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03-Finance\ai-fund\ciq\templates\"/>
    </mc:Choice>
  </mc:AlternateContent>
  <xr:revisionPtr revIDLastSave="0" documentId="13_ncr:1_{419F5278-AFB2-41AF-8ECB-F1A1D4506885}" xr6:coauthVersionLast="47" xr6:coauthVersionMax="47" xr10:uidLastSave="{00000000-0000-0000-0000-000000000000}"/>
  <bookViews>
    <workbookView xWindow="1080" yWindow="1305" windowWidth="21600" windowHeight="11295" activeTab="3" xr2:uid="{00000000-000D-0000-FFFF-FFFF00000000}"/>
  </bookViews>
  <sheets>
    <sheet name="Input_Raw" sheetId="45" r:id="rId1"/>
    <sheet name="Input" sheetId="49" r:id="rId2"/>
    <sheet name="_CIQHiddenCacheSheet" sheetId="53" state="veryHidden" r:id="rId3"/>
    <sheet name="Financial Statements" sheetId="37" r:id="rId4"/>
    <sheet name="Common Size" sheetId="40" r:id="rId5"/>
    <sheet name="Detailed Comps" sheetId="38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3" hidden="1">'Financial Statements'!#REF!</definedName>
    <definedName name="Ccy">Input!$B$7</definedName>
    <definedName name="CIQWBGuid" hidden="1">"a1c2c506-75b4-42d7-b414-fcd6c060056f"</definedName>
    <definedName name="CIQWBInfo" hidden="1">"{ ""CIQVersion"":""9.52.4409.4666"" }"</definedName>
    <definedName name="Conv">Input!$B$8</definedName>
    <definedName name="Date">Input!$B$6</definedName>
    <definedName name="ExternalData_1" localSheetId="1" hidden="1">Input!#REF!</definedName>
    <definedName name="ExternalData_1" localSheetId="0" hidden="1">Input_Raw!$A$1:$B$6</definedName>
    <definedName name="InputTicker">Input!$B$2</definedName>
    <definedName name="IQ_ADDIN" hidden="1">"AUTO"</definedName>
    <definedName name="IQ_ANNUAL_DIVIDEND" hidden="1">"c229"</definedName>
    <definedName name="IQ_AVG_PRICE_TARGET" hidden="1">"c82"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CH">110000</definedName>
    <definedName name="IQ_CLASSB_OUTSTANDING_BS_DATE" hidden="1">"c1972"</definedName>
    <definedName name="IQ_CLASSB_OUTSTANDING_FILING_DATE" hidden="1">"c1974"</definedName>
    <definedName name="IQ_CONV_RATE" hidden="1">"c2192"</definedName>
    <definedName name="IQ_CQ">5000</definedName>
    <definedName name="IQ_CY">10000</definedName>
    <definedName name="IQ_DAILY">500000</definedName>
    <definedName name="IQ_DNTM" hidden="1">700000</definedName>
    <definedName name="IQ_EBIT_10K" hidden="1">"IQ_EBIT_10K"</definedName>
    <definedName name="IQ_EBIT_10Q" hidden="1">"IQ_EBIT_10Q"</definedName>
    <definedName name="IQ_EBIT_10Q1" hidden="1">"IQ_EBIT_10Q1"</definedName>
    <definedName name="IQ_EBIT_GROWTH_1" hidden="1">"c157"</definedName>
    <definedName name="IQ_EBIT_GROWTH_2" hidden="1">"c161"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GROWTH_1" hidden="1">"c156"</definedName>
    <definedName name="IQ_EBITDA_GROWTH_2" hidden="1">"c160"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EST_1" hidden="1">"c189"</definedName>
    <definedName name="IQ_EST_EPS_SURPRISE" hidden="1">"c1635"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V_OVER_REVENUE_EST" hidden="1">"c165"</definedName>
    <definedName name="IQ_EV_OVER_REVENUE_EST_1" hidden="1">"c166"</definedName>
    <definedName name="IQ_EXPENSE_CODE_" hidden="1">"test"</definedName>
    <definedName name="IQ_FH">100000</definedName>
    <definedName name="IQ_FHLB_DUE_AFTER_FIVE" hidden="1">"c2086"</definedName>
    <definedName name="IQ_FIN_DIV_CURRENT_PORT_DEBT_TOTAL" hidden="1">"c5524"</definedName>
    <definedName name="IQ_FIN_DIV_CURRENT_PORT_LEASES_TOTAL" hidden="1">"c5523"</definedName>
    <definedName name="IQ_FIN_DIV_DEBT_LT_TOTAL" hidden="1">"c5526"</definedName>
    <definedName name="IQ_FIN_DIV_LEASES_LT_TOTAL" hidden="1">"c5525"</definedName>
    <definedName name="IQ_FIN_DIV_NOTES_PAY_TOTAL" hidden="1">"c5522"</definedName>
    <definedName name="IQ_FIVE_PERCENT_AMOUNT" hidden="1">"c240"</definedName>
    <definedName name="IQ_FIVEPERCENT_OWNER" hidden="1">"c239"</definedName>
    <definedName name="IQ_FLOAT" hidden="1">"c225"</definedName>
    <definedName name="IQ_FQ">500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Y">1000</definedName>
    <definedName name="IQ_FY_DATE" hidden="1">"IQ_FY_DATE"</definedName>
    <definedName name="IQ_INSIDER_3MTH_BOUGHT" hidden="1">"c1534"</definedName>
    <definedName name="IQ_INSIDER_3MTH_NET" hidden="1">"c1535"</definedName>
    <definedName name="IQ_INSIDER_3MTH_SOLD" hidden="1">"c1533"</definedName>
    <definedName name="IQ_INSIDER_6MTH_BOUGHT" hidden="1">"c1537"</definedName>
    <definedName name="IQ_INSIDER_6MTH_NET" hidden="1">"c1538"</definedName>
    <definedName name="IQ_INSIDER_6MTH_SOLD" hidden="1">"c1536"</definedName>
    <definedName name="IQ_INSIDER_AMOUNT" hidden="1">"c238"</definedName>
    <definedName name="IQ_INSTITUTIONAL_AMOUNT" hidden="1">"c236"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TM">2000</definedName>
    <definedName name="IQ_LTM_DATE" hidden="1">"IQ_LTM_DATE"</definedName>
    <definedName name="IQ_LTMMONTH" hidden="1">120000</definedName>
    <definedName name="IQ_MONTH">15000</definedName>
    <definedName name="IQ_MTD" hidden="1">800000</definedName>
    <definedName name="IQ_NAMES_REVISION_DATE_" hidden="1">"01/16/2026 15:33:52"</definedName>
    <definedName name="IQ_NAV_ACT_OR_EST" hidden="1">"c2225"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GROWTH_1" hidden="1">"c158"</definedName>
    <definedName name="IQ_NET_INC_GROWTH_2" hidden="1">"c162"</definedName>
    <definedName name="IQ_NTM">6000</definedName>
    <definedName name="IQ_NUM_OFFICES" hidden="1">"c2088"</definedName>
    <definedName name="IQ_NUMBER_SHAREHOLDERS_CLASSB" hidden="1">"c1969"</definedName>
    <definedName name="IQ_OG_OTHER_ADJ" hidden="1">"c1999"</definedName>
    <definedName name="IQ_OG_TOTAL_OIL_PRODUCTON" hidden="1">"c2059"</definedName>
    <definedName name="IQ_OPENED55" hidden="1">1</definedName>
    <definedName name="IQ_OPTIONS_EXCERCISED" hidden="1">"c2116"</definedName>
    <definedName name="IQ_OUTSTANDING_FILING_DATE_TOTAL" hidden="1">"c2107"</definedName>
    <definedName name="IQ_PERCENT_FLOAT" hidden="1">"c227"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ICE_OVER_EPS_EST" hidden="1">"c174"</definedName>
    <definedName name="IQ_PRICE_OVER_EPS_EST_1" hidden="1">"c175"</definedName>
    <definedName name="IQ_PRICEDATETIME" hidden="1">"IQ_PRICEDATETIME"</definedName>
    <definedName name="IQ_PRIMARY_EPS_TYPE_THOM" hidden="1">"c5297"</definedName>
    <definedName name="IQ_QTD" hidden="1">750000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_1" hidden="1">"c190"</definedName>
    <definedName name="IQ_REVENUE_GROWTH_1" hidden="1">"c155"</definedName>
    <definedName name="IQ_REVENUE_GROWTH_2" hidden="1">"c159"</definedName>
    <definedName name="IQ_SHAREOUTSTANDING" hidden="1">"c1347"</definedName>
    <definedName name="IQ_SHORT_INTEREST_VOLUME" hidden="1">"c228"</definedName>
    <definedName name="IQ_TARGET_PRICE_LASTCLOSE" hidden="1">"c1855"</definedName>
    <definedName name="IQ_TODAY" hidden="1">0</definedName>
    <definedName name="IQ_TOTAL_PENSION_OBLIGATION" hidden="1">"c1292"</definedName>
    <definedName name="IQ_WEEK">50000</definedName>
    <definedName name="IQ_YTD">3000</definedName>
    <definedName name="IQ_YTDMONTH" hidden="1">130000</definedName>
    <definedName name="IQB_BOOKMARK_COUNT" hidden="1">3</definedName>
    <definedName name="IQB_BOOKMARK_LOCATION_0" hidden="1">'Financial Statements'!$A$1</definedName>
    <definedName name="IQB_BOOKMARK_LOCATION_1" hidden="1">'Financial Statements'!#REF!</definedName>
    <definedName name="IQB_BOOKMARK_LOCATION_2" hidden="1">'Financial Statements'!#REF!</definedName>
    <definedName name="IQB_CURRENT_BOOKMARK" hidden="1">1</definedName>
    <definedName name="IQRA7" hidden="1">"$A$8:$A$11"</definedName>
    <definedName name="IQRB7" hidden="1">"$B$8:$B$11"</definedName>
    <definedName name="IQRBenchmarkAI6" hidden="1">[1]Benchmark!$AI$7</definedName>
    <definedName name="IQRBenchmarkAJ6" hidden="1">[1]Benchmark!$AJ$7</definedName>
    <definedName name="IQRBenchmarkAL6" hidden="1">[1]Benchmark!$AL$7</definedName>
    <definedName name="IQRBenchmarkAM6" hidden="1">[1]Benchmark!$AM$7</definedName>
    <definedName name="IQRBenchmarkAO6" hidden="1">[1]Benchmark!$AO$7</definedName>
    <definedName name="IQRBenchmarkAP6" hidden="1">[1]Benchmark!$AP$7</definedName>
    <definedName name="IQRBenchmarkAR6" hidden="1">[1]Benchmark!$AR$7</definedName>
    <definedName name="IQRBenchmarkAS6" hidden="1">[1]Benchmark!$AS$7</definedName>
    <definedName name="IQRBenchmarkAU6" hidden="1">[1]Benchmark!$AU$7</definedName>
    <definedName name="IQRBenchmarkAV6" hidden="1">[1]Benchmark!$AV$7</definedName>
    <definedName name="IQRBenchmarkAX6" hidden="1">[1]Benchmark!$AX$7</definedName>
    <definedName name="IQRBenchmarkAY6" hidden="1">[1]Benchmark!$AY$7</definedName>
    <definedName name="IQRBenchmarkBA6" hidden="1">[1]Benchmark!$BA$7</definedName>
    <definedName name="IQRBenchmarkBB6" hidden="1">[1]Benchmark!$BB$7</definedName>
    <definedName name="IQRBenchmarkBD6" hidden="1">[1]Benchmark!$BD$7</definedName>
    <definedName name="IQRBenchmarkBE6" hidden="1">[1]Benchmark!$BE$7</definedName>
    <definedName name="IQRBenchmarkBG6" hidden="1">[1]Benchmark!$BG$7</definedName>
    <definedName name="IQRBenchmarkBH6" hidden="1">[1]Benchmark!$BH$7</definedName>
    <definedName name="IQRBenchmarkBJ6" hidden="1">[1]Benchmark!$BJ$7</definedName>
    <definedName name="IQRBenchmarkBK6" hidden="1">[1]Benchmark!$BK$7</definedName>
    <definedName name="IQRBenchmarkBM6" hidden="1">[1]Benchmark!$BM$7</definedName>
    <definedName name="IQRBenchmarkBN6" hidden="1">[1]Benchmark!$BN$7</definedName>
    <definedName name="IQRC7" hidden="1">"$C$8:$C$11"</definedName>
    <definedName name="IQRCapitalStructureDetailsU34" hidden="1">'[2]Capital Structure Details'!$U$35:$U$59</definedName>
    <definedName name="IQRCapitalStructureDetailsU5" hidden="1">'[2]Capital Structure Details'!$U$6:$U$30</definedName>
    <definedName name="IQRCapitalStructureDetailsU63" hidden="1">'[2]Capital Structure Details'!$U$64:$U$88</definedName>
    <definedName name="IQRD7" hidden="1">"$D$8:$D$11"</definedName>
    <definedName name="IQRDataA8" hidden="1">[3]Data!$A$9:$A$261</definedName>
    <definedName name="IQRDataB8" hidden="1">[3]Data!$B$9:$B$261</definedName>
    <definedName name="IQRDataC8" hidden="1">[3]Data!$C$9:$C$261</definedName>
    <definedName name="IQRE7" hidden="1">"$E$8:$E$11"</definedName>
    <definedName name="IQRF7" hidden="1">"$F$8:$F$11"</definedName>
    <definedName name="IQRG7" hidden="1">"$G$8:$G$11"</definedName>
    <definedName name="IQRGrowthModelA9" hidden="1">'[4]Growth Model'!$A$10</definedName>
    <definedName name="IQRH7" hidden="1">"$H$8:$H$11"</definedName>
    <definedName name="IQRI7" hidden="1">"$I$8:$I$11"</definedName>
    <definedName name="IQRJ7" hidden="1">"$J$8:$J$11"</definedName>
    <definedName name="IQRMomentumModelA9" hidden="1">'[4]Momentum Model'!$A$10</definedName>
    <definedName name="IQRPortfolioAI6" hidden="1">[1]Portfolio!$AI$7</definedName>
    <definedName name="IQRPortfolioAJ6" hidden="1">[1]Portfolio!$AJ$7</definedName>
    <definedName name="IQRPortfolioAL6" hidden="1">[1]Portfolio!$AL$7</definedName>
    <definedName name="IQRPortfolioAM6" hidden="1">[1]Portfolio!$AM$7</definedName>
    <definedName name="IQRPortfolioAO6" hidden="1">[1]Portfolio!$AO$7</definedName>
    <definedName name="IQRPortfolioAP6" hidden="1">[1]Portfolio!$AP$7</definedName>
    <definedName name="IQRPortfolioAR6" hidden="1">[1]Portfolio!$AR$7</definedName>
    <definedName name="IQRPortfolioAS6" hidden="1">[1]Portfolio!$AS$7</definedName>
    <definedName name="IQRPortfolioAU6" hidden="1">[1]Portfolio!$AU$7</definedName>
    <definedName name="IQRPortfolioAV6" hidden="1">[1]Portfolio!$AV$7</definedName>
    <definedName name="IQRPortfolioAX6" hidden="1">[1]Portfolio!$AX$7</definedName>
    <definedName name="IQRPortfolioAY6" hidden="1">[1]Portfolio!$AY$7</definedName>
    <definedName name="IQRPortfolioBA6" hidden="1">[1]Portfolio!$BA$7</definedName>
    <definedName name="IQRPortfolioBB6" hidden="1">[1]Portfolio!$BB$7</definedName>
    <definedName name="IQRPortfolioBD6" hidden="1">[1]Portfolio!$BD$7</definedName>
    <definedName name="IQRPortfolioBE6" hidden="1">[1]Portfolio!$BE$7</definedName>
    <definedName name="IQRPortfolioBG6" hidden="1">[1]Portfolio!$BG$7</definedName>
    <definedName name="IQRPortfolioBH6" hidden="1">[1]Portfolio!$BH$7</definedName>
    <definedName name="IQRPortfolioBJ6" hidden="1">[1]Portfolio!$BJ$7</definedName>
    <definedName name="IQRPortfolioBK6" hidden="1">[1]Portfolio!$BK$7</definedName>
    <definedName name="IQRPortfolioBM6" hidden="1">[1]Portfolio!$BM$7</definedName>
    <definedName name="IQRPortfolioBN6" hidden="1">[1]Portfolio!$BN$7</definedName>
    <definedName name="IQRQualityModelA9" hidden="1">'[4]Quality Model'!$A$10</definedName>
    <definedName name="IQRValueModelA9" hidden="1">'[4]Value Model'!$A$10</definedName>
    <definedName name="Languages">OFFSET(#REF!,,,#REF!)</definedName>
    <definedName name="_xlnm.Print_Area" localSheetId="4">'Common Size'!$A$2:$M$55,'Common Size'!$A$56:$M$121</definedName>
    <definedName name="_xlnm.Print_Area" localSheetId="5">'Detailed Comps'!$A$1:$CH$10</definedName>
    <definedName name="_xlnm.Print_Area" localSheetId="3">'Financial Statements'!$A$1:$M$182,'Financial Statements'!$A$183:$M$280,'Financial Statements'!$A$281:$M$346,'Financial Statements'!$A$370:$M$471,'Financial Statements'!$A$473:$M$536</definedName>
    <definedName name="_xlnm.Print_Titles" localSheetId="4">'Common Size'!#REF!</definedName>
    <definedName name="_xlnm.Print_Titles" localSheetId="5">'Detailed Comps'!$A:$D</definedName>
    <definedName name="_xlnm.Print_Titles" localSheetId="3">'Financial Statements'!#REF!</definedName>
    <definedName name="SPWS_WBID">"0D145571-4AA7-4C6E-B8EB-4DF0FED2B8BC"</definedName>
    <definedName name="SPWS_WSID" localSheetId="4" hidden="1">"74B14380-D945-4DA9-AF4C-09AEA4A7FF0E"</definedName>
    <definedName name="SPWS_WSID" localSheetId="3" hidden="1">"57DB6723-E5BE-4B4A-A101-4BA9B54D516F"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financials_input_8f7c566d-870a-47f1-bc0e-bdda7aca83b5" name="financials_input" connection="Query - financials_inpu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G2" i="38" l="1"/>
  <c r="AK2" i="38"/>
  <c r="AC2" i="38"/>
  <c r="L478" i="37"/>
  <c r="L477" i="37"/>
  <c r="L476" i="37"/>
  <c r="L475" i="37"/>
  <c r="K476" i="37"/>
  <c r="K475" i="37"/>
  <c r="K474" i="37"/>
  <c r="L474" i="37"/>
  <c r="L473" i="37"/>
  <c r="J474" i="37"/>
  <c r="J473" i="37"/>
  <c r="K478" i="37"/>
  <c r="K473" i="37"/>
  <c r="K477" i="37"/>
  <c r="I473" i="37"/>
  <c r="J477" i="37"/>
  <c r="J478" i="37"/>
  <c r="J476" i="37"/>
  <c r="J475" i="37"/>
  <c r="I476" i="37"/>
  <c r="I478" i="37"/>
  <c r="I477" i="37"/>
  <c r="I475" i="37"/>
  <c r="I474" i="37"/>
  <c r="H478" i="37"/>
  <c r="H477" i="37"/>
  <c r="H476" i="37"/>
  <c r="H474" i="37"/>
  <c r="H473" i="37"/>
  <c r="G477" i="37"/>
  <c r="G476" i="37"/>
  <c r="G475" i="37"/>
  <c r="G473" i="37"/>
  <c r="H475" i="37"/>
  <c r="F476" i="37"/>
  <c r="F475" i="37"/>
  <c r="F474" i="37"/>
  <c r="G474" i="37"/>
  <c r="G478" i="37"/>
  <c r="E474" i="37"/>
  <c r="E473" i="37"/>
  <c r="F478" i="37"/>
  <c r="F473" i="37"/>
  <c r="F477" i="37"/>
  <c r="D473" i="37"/>
  <c r="E477" i="37"/>
  <c r="E478" i="37"/>
  <c r="E476" i="37"/>
  <c r="E475" i="37"/>
  <c r="D478" i="37"/>
  <c r="D477" i="37"/>
  <c r="D476" i="37"/>
  <c r="D475" i="37"/>
  <c r="D474" i="37"/>
  <c r="CE6" i="38"/>
  <c r="CA6" i="38"/>
  <c r="BZ6" i="38"/>
  <c r="CH6" i="38"/>
  <c r="CG6" i="38"/>
  <c r="CF6" i="38"/>
  <c r="BV6" i="38"/>
  <c r="BU6" i="38"/>
  <c r="CD6" i="38"/>
  <c r="CC6" i="38"/>
  <c r="CB6" i="38"/>
  <c r="BP6" i="38"/>
  <c r="BO6" i="38"/>
  <c r="BY6" i="38"/>
  <c r="BX6" i="38"/>
  <c r="BW6" i="38"/>
  <c r="BJ6" i="38"/>
  <c r="BH6" i="38"/>
  <c r="BT6" i="38"/>
  <c r="BS6" i="38"/>
  <c r="BR6" i="38"/>
  <c r="BC6" i="38"/>
  <c r="BB6" i="38"/>
  <c r="BN6" i="38"/>
  <c r="BL6" i="38"/>
  <c r="BK6" i="38"/>
  <c r="AO6" i="38"/>
  <c r="AN6" i="38"/>
  <c r="BG6" i="38"/>
  <c r="BF6" i="38"/>
  <c r="BD6" i="38"/>
  <c r="AJ6" i="38"/>
  <c r="AI6" i="38"/>
  <c r="AX6" i="38"/>
  <c r="AT6" i="38"/>
  <c r="AP6" i="38"/>
  <c r="AC6" i="38"/>
  <c r="J6" i="38"/>
  <c r="AM6" i="38"/>
  <c r="AL6" i="38"/>
  <c r="AK6" i="38"/>
  <c r="C6" i="38"/>
  <c r="B6" i="38"/>
  <c r="AH6" i="38"/>
  <c r="AG6" i="38"/>
  <c r="AD6" i="38"/>
  <c r="CE7" i="38"/>
  <c r="CD7" i="38"/>
  <c r="CC7" i="38"/>
  <c r="CH7" i="38"/>
  <c r="D6" i="38"/>
  <c r="BZ7" i="38"/>
  <c r="BY7" i="38"/>
  <c r="BX7" i="38"/>
  <c r="CG7" i="38"/>
  <c r="CF7" i="38"/>
  <c r="BU7" i="38"/>
  <c r="BT7" i="38"/>
  <c r="BS7" i="38"/>
  <c r="CB7" i="38"/>
  <c r="CA7" i="38"/>
  <c r="BO7" i="38"/>
  <c r="BN7" i="38"/>
  <c r="BL7" i="38"/>
  <c r="BW7" i="38"/>
  <c r="BV7" i="38"/>
  <c r="BH7" i="38"/>
  <c r="BG7" i="38"/>
  <c r="BF7" i="38"/>
  <c r="BR7" i="38"/>
  <c r="BP7" i="38"/>
  <c r="BB7" i="38"/>
  <c r="AX7" i="38"/>
  <c r="AT7" i="38"/>
  <c r="BK7" i="38"/>
  <c r="BJ7" i="38"/>
  <c r="AN7" i="38"/>
  <c r="AM7" i="38"/>
  <c r="AL7" i="38"/>
  <c r="BD7" i="38"/>
  <c r="BC7" i="38"/>
  <c r="AI7" i="38"/>
  <c r="AH7" i="38"/>
  <c r="AG7" i="38"/>
  <c r="AP7" i="38"/>
  <c r="AO7" i="38"/>
  <c r="J7" i="38"/>
  <c r="D7" i="38"/>
  <c r="C7" i="38"/>
  <c r="AK7" i="38"/>
  <c r="AJ7" i="38"/>
  <c r="CG8" i="38"/>
  <c r="CF8" i="38"/>
  <c r="B7" i="38"/>
  <c r="AD7" i="38"/>
  <c r="AC7" i="38"/>
  <c r="CD8" i="38"/>
  <c r="CC8" i="38"/>
  <c r="CB8" i="38"/>
  <c r="CA8" i="38"/>
  <c r="CH8" i="38"/>
  <c r="BY8" i="38"/>
  <c r="BX8" i="38"/>
  <c r="BW8" i="38"/>
  <c r="BV8" i="38"/>
  <c r="CE8" i="38"/>
  <c r="BT8" i="38"/>
  <c r="BS8" i="38"/>
  <c r="BR8" i="38"/>
  <c r="BP8" i="38"/>
  <c r="BZ8" i="38"/>
  <c r="BN8" i="38"/>
  <c r="BL8" i="38"/>
  <c r="BK8" i="38"/>
  <c r="BJ8" i="38"/>
  <c r="BU8" i="38"/>
  <c r="BG8" i="38"/>
  <c r="BF8" i="38"/>
  <c r="BD8" i="38"/>
  <c r="BC8" i="38"/>
  <c r="BO8" i="38"/>
  <c r="AX8" i="38"/>
  <c r="AT8" i="38"/>
  <c r="AP8" i="38"/>
  <c r="AO8" i="38"/>
  <c r="BH8" i="38"/>
  <c r="AM8" i="38"/>
  <c r="AL8" i="38"/>
  <c r="AK8" i="38"/>
  <c r="AJ8" i="38"/>
  <c r="BB8" i="38"/>
  <c r="AH8" i="38"/>
  <c r="AG8" i="38"/>
  <c r="AD8" i="38"/>
  <c r="AC8" i="38"/>
  <c r="AN8" i="38"/>
  <c r="J8" i="38"/>
  <c r="D8" i="38"/>
  <c r="C8" i="38"/>
  <c r="B8" i="38"/>
  <c r="AI8" i="38"/>
  <c r="CH9" i="38"/>
  <c r="CG9" i="38"/>
  <c r="CF9" i="38"/>
  <c r="CE9" i="38"/>
  <c r="CD9" i="38"/>
  <c r="CC9" i="38"/>
  <c r="CB9" i="38"/>
  <c r="CA9" i="38"/>
  <c r="BZ9" i="38"/>
  <c r="BY9" i="38"/>
  <c r="BX9" i="38"/>
  <c r="BW9" i="38"/>
  <c r="BV9" i="38"/>
  <c r="BU9" i="38"/>
  <c r="BT9" i="38"/>
  <c r="BS9" i="38"/>
  <c r="BR9" i="38"/>
  <c r="BP9" i="38"/>
  <c r="BO9" i="38"/>
  <c r="BN9" i="38"/>
  <c r="BL9" i="38"/>
  <c r="BK9" i="38"/>
  <c r="BJ9" i="38"/>
  <c r="BH9" i="38"/>
  <c r="BG9" i="38"/>
  <c r="BF9" i="38"/>
  <c r="BD9" i="38"/>
  <c r="BC9" i="38"/>
  <c r="BB9" i="38"/>
  <c r="AX9" i="38"/>
  <c r="AT9" i="38"/>
  <c r="AP9" i="38"/>
  <c r="AO9" i="38"/>
  <c r="AN9" i="38"/>
  <c r="AM9" i="38"/>
  <c r="AL9" i="38"/>
  <c r="AK9" i="38"/>
  <c r="AJ9" i="38"/>
  <c r="AI9" i="38"/>
  <c r="AH9" i="38"/>
  <c r="AG9" i="38"/>
  <c r="AD9" i="38"/>
  <c r="AC9" i="38"/>
  <c r="J9" i="38"/>
  <c r="D9" i="38"/>
  <c r="CD2" i="38"/>
  <c r="CC2" i="38"/>
  <c r="CH2" i="38"/>
  <c r="C9" i="38"/>
  <c r="B9" i="38"/>
  <c r="BY2" i="38"/>
  <c r="BX2" i="38"/>
  <c r="CG2" i="38"/>
  <c r="CF2" i="38"/>
  <c r="CE2" i="38"/>
  <c r="BT2" i="38"/>
  <c r="BS2" i="38"/>
  <c r="CB2" i="38"/>
  <c r="CA2" i="38"/>
  <c r="BZ2" i="38"/>
  <c r="BN2" i="38"/>
  <c r="BL2" i="38"/>
  <c r="BW2" i="38"/>
  <c r="BV2" i="38"/>
  <c r="BU2" i="38"/>
  <c r="BG2" i="38"/>
  <c r="BF2" i="38"/>
  <c r="BR2" i="38"/>
  <c r="BP2" i="38"/>
  <c r="BO2" i="38"/>
  <c r="AX2" i="38"/>
  <c r="AT2" i="38"/>
  <c r="BK2" i="38"/>
  <c r="BJ2" i="38"/>
  <c r="BH2" i="38"/>
  <c r="AM2" i="38"/>
  <c r="AL2" i="38"/>
  <c r="BD2" i="38"/>
  <c r="BC2" i="38"/>
  <c r="BB2" i="38"/>
  <c r="AI2" i="38"/>
  <c r="AH2" i="38"/>
  <c r="AP2" i="38"/>
  <c r="AO2" i="38"/>
  <c r="AN2" i="38"/>
  <c r="AD2" i="38"/>
  <c r="J2" i="38"/>
  <c r="D2" i="38"/>
  <c r="C2" i="38"/>
  <c r="AJ2" i="38"/>
  <c r="CA3" i="38"/>
  <c r="CH3" i="38"/>
  <c r="CG3" i="38"/>
  <c r="CF3" i="38"/>
  <c r="B2" i="38"/>
  <c r="BV3" i="38"/>
  <c r="CE3" i="38"/>
  <c r="CD3" i="38"/>
  <c r="CC3" i="38"/>
  <c r="CB3" i="38"/>
  <c r="BP3" i="38"/>
  <c r="BZ3" i="38"/>
  <c r="BY3" i="38"/>
  <c r="BX3" i="38"/>
  <c r="BW3" i="38"/>
  <c r="BJ3" i="38"/>
  <c r="BU3" i="38"/>
  <c r="BT3" i="38"/>
  <c r="BS3" i="38"/>
  <c r="BR3" i="38"/>
  <c r="BC3" i="38"/>
  <c r="BO3" i="38"/>
  <c r="BN3" i="38"/>
  <c r="BL3" i="38"/>
  <c r="BK3" i="38"/>
  <c r="AO3" i="38"/>
  <c r="BH3" i="38"/>
  <c r="BG3" i="38"/>
  <c r="BF3" i="38"/>
  <c r="BD3" i="38"/>
  <c r="AJ3" i="38"/>
  <c r="BB3" i="38"/>
  <c r="AX3" i="38"/>
  <c r="AT3" i="38"/>
  <c r="AP3" i="38"/>
  <c r="AC3" i="38"/>
  <c r="AN3" i="38"/>
  <c r="AM3" i="38"/>
  <c r="AL3" i="38"/>
  <c r="AK3" i="38"/>
  <c r="B3" i="38"/>
  <c r="AI3" i="38"/>
  <c r="AH3" i="38"/>
  <c r="AG3" i="38"/>
  <c r="AD3" i="38"/>
  <c r="CE4" i="38"/>
  <c r="CD4" i="38"/>
  <c r="J3" i="38"/>
  <c r="D3" i="38"/>
  <c r="C3" i="38"/>
  <c r="BZ4" i="38"/>
  <c r="BY4" i="38"/>
  <c r="CH4" i="38"/>
  <c r="CG4" i="38"/>
  <c r="CF4" i="38"/>
  <c r="BU4" i="38"/>
  <c r="BT4" i="38"/>
  <c r="CC4" i="38"/>
  <c r="CB4" i="38"/>
  <c r="CA4" i="38"/>
  <c r="BO4" i="38"/>
  <c r="BN4" i="38"/>
  <c r="BX4" i="38"/>
  <c r="BW4" i="38"/>
  <c r="BV4" i="38"/>
  <c r="BH4" i="38"/>
  <c r="BG4" i="38"/>
  <c r="BS4" i="38"/>
  <c r="BR4" i="38"/>
  <c r="BP4" i="38"/>
  <c r="BB4" i="38"/>
  <c r="AX4" i="38"/>
  <c r="BL4" i="38"/>
  <c r="BK4" i="38"/>
  <c r="BJ4" i="38"/>
  <c r="AN4" i="38"/>
  <c r="AM4" i="38"/>
  <c r="BF4" i="38"/>
  <c r="BD4" i="38"/>
  <c r="BC4" i="38"/>
  <c r="AI4" i="38"/>
  <c r="AH4" i="38"/>
  <c r="AT4" i="38"/>
  <c r="AP4" i="38"/>
  <c r="AO4" i="38"/>
  <c r="J4" i="38"/>
  <c r="D4" i="38"/>
  <c r="AL4" i="38"/>
  <c r="AK4" i="38"/>
  <c r="AJ4" i="38"/>
  <c r="C4" i="38"/>
  <c r="B4" i="38"/>
  <c r="AG4" i="38"/>
  <c r="AD4" i="38"/>
  <c r="AC4" i="38"/>
  <c r="CD5" i="38"/>
  <c r="CC5" i="38"/>
  <c r="CB5" i="38"/>
  <c r="CH5" i="38"/>
  <c r="CG5" i="38"/>
  <c r="BY5" i="38"/>
  <c r="BX5" i="38"/>
  <c r="BW5" i="38"/>
  <c r="CF5" i="38"/>
  <c r="CE5" i="38"/>
  <c r="BT5" i="38"/>
  <c r="BS5" i="38"/>
  <c r="BR5" i="38"/>
  <c r="CA5" i="38"/>
  <c r="BZ5" i="38"/>
  <c r="BN5" i="38"/>
  <c r="BL5" i="38"/>
  <c r="BK5" i="38"/>
  <c r="BV5" i="38"/>
  <c r="BU5" i="38"/>
  <c r="BG5" i="38"/>
  <c r="BF5" i="38"/>
  <c r="BD5" i="38"/>
  <c r="BP5" i="38"/>
  <c r="BO5" i="38"/>
  <c r="AX5" i="38"/>
  <c r="AT5" i="38"/>
  <c r="AP5" i="38"/>
  <c r="BJ5" i="38"/>
  <c r="BH5" i="38"/>
  <c r="AM5" i="38"/>
  <c r="AL5" i="38"/>
  <c r="AK5" i="38"/>
  <c r="BC5" i="38"/>
  <c r="BB5" i="38"/>
  <c r="AH5" i="38"/>
  <c r="AG5" i="38"/>
  <c r="AD5" i="38"/>
  <c r="AO5" i="38"/>
  <c r="AN5" i="38"/>
  <c r="D5" i="38"/>
  <c r="C5" i="38"/>
  <c r="B5" i="38"/>
  <c r="AJ5" i="38"/>
  <c r="AI5" i="38"/>
  <c r="AS6" i="38"/>
  <c r="AR6" i="38"/>
  <c r="AQ6" i="38"/>
  <c r="AC5" i="38"/>
  <c r="J5" i="38"/>
  <c r="AZ6" i="38"/>
  <c r="AY6" i="38"/>
  <c r="AW6" i="38"/>
  <c r="AV6" i="38"/>
  <c r="AU6" i="38"/>
  <c r="AB6" i="38"/>
  <c r="BM6" i="38"/>
  <c r="BI6" i="38"/>
  <c r="BE6" i="38"/>
  <c r="BA6" i="38"/>
  <c r="W6" i="38"/>
  <c r="X6" i="38"/>
  <c r="Y6" i="38"/>
  <c r="Z6" i="38"/>
  <c r="AA6" i="38"/>
  <c r="R6" i="38"/>
  <c r="S6" i="38"/>
  <c r="T6" i="38"/>
  <c r="U6" i="38"/>
  <c r="V6" i="38"/>
  <c r="L6" i="38"/>
  <c r="M6" i="38"/>
  <c r="N6" i="38"/>
  <c r="O6" i="38"/>
  <c r="Q6" i="38"/>
  <c r="AR7" i="38"/>
  <c r="AQ7" i="38"/>
  <c r="E6" i="38"/>
  <c r="F6" i="38"/>
  <c r="G6" i="38"/>
  <c r="AY7" i="38"/>
  <c r="AW7" i="38"/>
  <c r="AV7" i="38"/>
  <c r="AU7" i="38"/>
  <c r="AS7" i="38"/>
  <c r="BM7" i="38"/>
  <c r="BI7" i="38"/>
  <c r="BE7" i="38"/>
  <c r="BA7" i="38"/>
  <c r="AZ7" i="38"/>
  <c r="X7" i="38"/>
  <c r="Y7" i="38"/>
  <c r="Z7" i="38"/>
  <c r="AA7" i="38"/>
  <c r="AB7" i="38"/>
  <c r="S7" i="38"/>
  <c r="T7" i="38"/>
  <c r="U7" i="38"/>
  <c r="V7" i="38"/>
  <c r="W7" i="38"/>
  <c r="M7" i="38"/>
  <c r="N7" i="38"/>
  <c r="O7" i="38"/>
  <c r="Q7" i="38"/>
  <c r="R7" i="38"/>
  <c r="AQ8" i="38"/>
  <c r="G7" i="38"/>
  <c r="E7" i="38"/>
  <c r="F7" i="38"/>
  <c r="L7" i="38"/>
  <c r="AW8" i="38"/>
  <c r="AV8" i="38"/>
  <c r="AU8" i="38"/>
  <c r="AS8" i="38"/>
  <c r="AR8" i="38"/>
  <c r="BI8" i="38"/>
  <c r="BE8" i="38"/>
  <c r="BA8" i="38"/>
  <c r="AZ8" i="38"/>
  <c r="AY8" i="38"/>
  <c r="Y8" i="38"/>
  <c r="Z8" i="38"/>
  <c r="AA8" i="38"/>
  <c r="AB8" i="38"/>
  <c r="BM8" i="38"/>
  <c r="T8" i="38"/>
  <c r="U8" i="38"/>
  <c r="V8" i="38"/>
  <c r="W8" i="38"/>
  <c r="X8" i="38"/>
  <c r="N8" i="38"/>
  <c r="O8" i="38"/>
  <c r="Q8" i="38"/>
  <c r="R8" i="38"/>
  <c r="S8" i="38"/>
  <c r="G8" i="38"/>
  <c r="E8" i="38"/>
  <c r="F8" i="38"/>
  <c r="L8" i="38"/>
  <c r="M8" i="38"/>
  <c r="AV9" i="38"/>
  <c r="AU9" i="38"/>
  <c r="AS9" i="38"/>
  <c r="AR9" i="38"/>
  <c r="AQ9" i="38"/>
  <c r="BE9" i="38"/>
  <c r="BA9" i="38"/>
  <c r="AZ9" i="38"/>
  <c r="AY9" i="38"/>
  <c r="AW9" i="38"/>
  <c r="Z9" i="38"/>
  <c r="AA9" i="38"/>
  <c r="AB9" i="38"/>
  <c r="BM9" i="38"/>
  <c r="BI9" i="38"/>
  <c r="U9" i="38"/>
  <c r="V9" i="38"/>
  <c r="W9" i="38"/>
  <c r="X9" i="38"/>
  <c r="Y9" i="38"/>
  <c r="O9" i="38"/>
  <c r="Q9" i="38"/>
  <c r="R9" i="38"/>
  <c r="S9" i="38"/>
  <c r="T9" i="38"/>
  <c r="E9" i="38"/>
  <c r="G9" i="38"/>
  <c r="L9" i="38"/>
  <c r="M9" i="38"/>
  <c r="N9" i="38"/>
  <c r="AU2" i="38"/>
  <c r="AS2" i="38"/>
  <c r="AR2" i="38"/>
  <c r="AQ2" i="38"/>
  <c r="F9" i="38"/>
  <c r="BA2" i="38"/>
  <c r="AZ2" i="38"/>
  <c r="AY2" i="38"/>
  <c r="AW2" i="38"/>
  <c r="AV2" i="38"/>
  <c r="AA2" i="38"/>
  <c r="AB2" i="38"/>
  <c r="BM2" i="38"/>
  <c r="BI2" i="38"/>
  <c r="BE2" i="38"/>
  <c r="V2" i="38"/>
  <c r="W2" i="38"/>
  <c r="X2" i="38"/>
  <c r="Y2" i="38"/>
  <c r="Z2" i="38"/>
  <c r="Q2" i="38"/>
  <c r="R2" i="38"/>
  <c r="S2" i="38"/>
  <c r="T2" i="38"/>
  <c r="U2" i="38"/>
  <c r="E2" i="38"/>
  <c r="L2" i="38"/>
  <c r="M2" i="38"/>
  <c r="N2" i="38"/>
  <c r="O2" i="38"/>
  <c r="AS3" i="38"/>
  <c r="AR3" i="38"/>
  <c r="AQ3" i="38"/>
  <c r="F2" i="38"/>
  <c r="G2" i="38"/>
  <c r="AZ3" i="38"/>
  <c r="AY3" i="38"/>
  <c r="AW3" i="38"/>
  <c r="AV3" i="38"/>
  <c r="AU3" i="38"/>
  <c r="AB3" i="38"/>
  <c r="BM3" i="38"/>
  <c r="BI3" i="38"/>
  <c r="BE3" i="38"/>
  <c r="BA3" i="38"/>
  <c r="W3" i="38"/>
  <c r="X3" i="38"/>
  <c r="Y3" i="38"/>
  <c r="Z3" i="38"/>
  <c r="AA3" i="38"/>
  <c r="R3" i="38"/>
  <c r="S3" i="38"/>
  <c r="T3" i="38"/>
  <c r="U3" i="38"/>
  <c r="V3" i="38"/>
  <c r="L3" i="38"/>
  <c r="M3" i="38"/>
  <c r="N3" i="38"/>
  <c r="O3" i="38"/>
  <c r="Q3" i="38"/>
  <c r="AR4" i="38"/>
  <c r="AQ4" i="38"/>
  <c r="E3" i="38"/>
  <c r="G3" i="38"/>
  <c r="F3" i="38"/>
  <c r="AY4" i="38"/>
  <c r="AW4" i="38"/>
  <c r="AV4" i="38"/>
  <c r="AU4" i="38"/>
  <c r="AS4" i="38"/>
  <c r="BM4" i="38"/>
  <c r="BI4" i="38"/>
  <c r="BE4" i="38"/>
  <c r="BA4" i="38"/>
  <c r="AZ4" i="38"/>
  <c r="X4" i="38"/>
  <c r="Y4" i="38"/>
  <c r="Z4" i="38"/>
  <c r="AA4" i="38"/>
  <c r="AB4" i="38"/>
  <c r="S4" i="38"/>
  <c r="T4" i="38"/>
  <c r="U4" i="38"/>
  <c r="V4" i="38"/>
  <c r="W4" i="38"/>
  <c r="M4" i="38"/>
  <c r="N4" i="38"/>
  <c r="O4" i="38"/>
  <c r="Q4" i="38"/>
  <c r="R4" i="38"/>
  <c r="AQ5" i="38"/>
  <c r="E4" i="38"/>
  <c r="F4" i="38"/>
  <c r="G4" i="38"/>
  <c r="L4" i="38"/>
  <c r="AW5" i="38"/>
  <c r="AV5" i="38"/>
  <c r="AU5" i="38"/>
  <c r="AS5" i="38"/>
  <c r="AR5" i="38"/>
  <c r="BI5" i="38"/>
  <c r="BE5" i="38"/>
  <c r="BA5" i="38"/>
  <c r="AZ5" i="38"/>
  <c r="AY5" i="38"/>
  <c r="Y5" i="38"/>
  <c r="Z5" i="38"/>
  <c r="AA5" i="38"/>
  <c r="AB5" i="38"/>
  <c r="BM5" i="38"/>
  <c r="T5" i="38"/>
  <c r="U5" i="38"/>
  <c r="V5" i="38"/>
  <c r="W5" i="38"/>
  <c r="X5" i="38"/>
  <c r="N5" i="38"/>
  <c r="O5" i="38"/>
  <c r="Q5" i="38"/>
  <c r="R5" i="38"/>
  <c r="S5" i="38"/>
  <c r="E5" i="38"/>
  <c r="G5" i="38"/>
  <c r="F5" i="38"/>
  <c r="L5" i="38"/>
  <c r="M5" i="38"/>
  <c r="B475" i="37"/>
  <c r="B474" i="37"/>
  <c r="B473" i="37"/>
  <c r="M474" i="37"/>
  <c r="M473" i="37"/>
  <c r="B478" i="37"/>
  <c r="B477" i="37"/>
  <c r="B476" i="37"/>
  <c r="C473" i="37"/>
  <c r="M478" i="37"/>
  <c r="M477" i="37"/>
  <c r="M476" i="37"/>
  <c r="M475" i="37"/>
  <c r="C478" i="37"/>
  <c r="C477" i="37"/>
  <c r="C476" i="37"/>
  <c r="C475" i="37"/>
  <c r="C474" i="37"/>
  <c r="H472" i="37"/>
  <c r="I472" i="37"/>
  <c r="J472" i="37"/>
  <c r="K472" i="37"/>
  <c r="L472" i="37"/>
  <c r="C472" i="37"/>
  <c r="D472" i="37"/>
  <c r="E472" i="37"/>
  <c r="F472" i="37"/>
  <c r="G472" i="37"/>
  <c r="BI10" i="38"/>
  <c r="BM10" i="38"/>
  <c r="BA10" i="38"/>
  <c r="AZ10" i="38"/>
  <c r="AY10" i="38"/>
  <c r="AW10" i="38"/>
  <c r="BE10" i="38"/>
  <c r="AQ10" i="38"/>
  <c r="AV10" i="38"/>
  <c r="AU10" i="38"/>
  <c r="AS10" i="38"/>
  <c r="AR10" i="38"/>
  <c r="A2" i="38"/>
  <c r="A9" i="38"/>
  <c r="A8" i="38"/>
  <c r="A7" i="38"/>
  <c r="A6" i="38"/>
  <c r="AB10" i="38"/>
  <c r="AA10" i="38"/>
  <c r="A5" i="38"/>
  <c r="A4" i="38"/>
  <c r="A3" i="38"/>
  <c r="Z10" i="38"/>
  <c r="Y10" i="38"/>
  <c r="X10" i="38"/>
  <c r="W10" i="38"/>
  <c r="V10" i="38"/>
  <c r="U10" i="38"/>
  <c r="T10" i="38"/>
  <c r="S10" i="38"/>
  <c r="R10" i="38"/>
  <c r="Q10" i="38"/>
  <c r="E10" i="38"/>
  <c r="O10" i="38"/>
  <c r="N10" i="38"/>
  <c r="M10" i="38"/>
  <c r="L10" i="38"/>
  <c r="M465" i="37"/>
  <c r="M410" i="37"/>
  <c r="M423" i="37"/>
  <c r="M436" i="37"/>
  <c r="M439" i="37"/>
  <c r="M452" i="37"/>
  <c r="M342" i="37"/>
  <c r="M355" i="37"/>
  <c r="M381" i="37"/>
  <c r="M384" i="37"/>
  <c r="M397" i="37"/>
  <c r="F10" i="38"/>
  <c r="B424" i="37"/>
  <c r="B453" i="37"/>
  <c r="B466" i="37"/>
  <c r="G10" i="38"/>
  <c r="M443" i="37"/>
  <c r="M456" i="37"/>
  <c r="M459" i="37"/>
  <c r="M517" i="37"/>
  <c r="M375" i="37"/>
  <c r="M388" i="37"/>
  <c r="M401" i="37"/>
  <c r="M404" i="37"/>
  <c r="M417" i="37"/>
  <c r="B405" i="37"/>
  <c r="B418" i="37"/>
  <c r="B444" i="37"/>
  <c r="B447" i="37"/>
  <c r="B460" i="37"/>
  <c r="M463" i="37"/>
  <c r="B350" i="37"/>
  <c r="B376" i="37"/>
  <c r="B389" i="37"/>
  <c r="B392" i="37"/>
  <c r="M408" i="37"/>
  <c r="M421" i="37"/>
  <c r="M424" i="37"/>
  <c r="M437" i="37"/>
  <c r="M450" i="37"/>
  <c r="M353" i="37"/>
  <c r="M366" i="37"/>
  <c r="M369" i="37"/>
  <c r="M382" i="37"/>
  <c r="M395" i="37"/>
  <c r="B425" i="37"/>
  <c r="B438" i="37"/>
  <c r="B451" i="37"/>
  <c r="B464" i="37"/>
  <c r="B467" i="37"/>
  <c r="M457" i="37"/>
  <c r="B383" i="37"/>
  <c r="B396" i="37"/>
  <c r="B409" i="37"/>
  <c r="B412" i="37"/>
  <c r="M386" i="37"/>
  <c r="M389" i="37"/>
  <c r="M415" i="37"/>
  <c r="M441" i="37"/>
  <c r="M444" i="37"/>
  <c r="B361" i="37"/>
  <c r="B374" i="37"/>
  <c r="B416" i="37"/>
  <c r="B458" i="37"/>
  <c r="M373" i="37"/>
  <c r="M422" i="37"/>
  <c r="M435" i="37"/>
  <c r="M448" i="37"/>
  <c r="M461" i="37"/>
  <c r="M464" i="37"/>
  <c r="B452" i="37"/>
  <c r="B465" i="37"/>
  <c r="M393" i="37"/>
  <c r="M406" i="37"/>
  <c r="M409" i="37"/>
  <c r="B397" i="37"/>
  <c r="B410" i="37"/>
  <c r="B423" i="37"/>
  <c r="B436" i="37"/>
  <c r="B449" i="37"/>
  <c r="M400" i="37"/>
  <c r="M413" i="37"/>
  <c r="M442" i="37"/>
  <c r="M455" i="37"/>
  <c r="B394" i="37"/>
  <c r="B456" i="37"/>
  <c r="B517" i="37"/>
  <c r="M358" i="37"/>
  <c r="M374" i="37"/>
  <c r="M387" i="37"/>
  <c r="B388" i="37"/>
  <c r="B401" i="37"/>
  <c r="B414" i="37"/>
  <c r="B417" i="37"/>
  <c r="B443" i="37"/>
  <c r="M420" i="37"/>
  <c r="M433" i="37"/>
  <c r="M446" i="37"/>
  <c r="M449" i="37"/>
  <c r="M462" i="37"/>
  <c r="B450" i="37"/>
  <c r="B463" i="37"/>
  <c r="M391" i="37"/>
  <c r="M394" i="37"/>
  <c r="M407" i="37"/>
  <c r="B382" i="37"/>
  <c r="B408" i="37"/>
  <c r="B421" i="37"/>
  <c r="B434" i="37"/>
  <c r="B437" i="37"/>
  <c r="M411" i="37"/>
  <c r="M414" i="37"/>
  <c r="M453" i="37"/>
  <c r="M466" i="37"/>
  <c r="B379" i="37"/>
  <c r="M356" i="37"/>
  <c r="M359" i="37"/>
  <c r="M372" i="37"/>
  <c r="M385" i="37"/>
  <c r="M398" i="37"/>
  <c r="B441" i="37"/>
  <c r="B454" i="37"/>
  <c r="B457" i="37"/>
  <c r="M330" i="37"/>
  <c r="M343" i="37"/>
  <c r="M460" i="37"/>
  <c r="B386" i="37"/>
  <c r="B399" i="37"/>
  <c r="B402" i="37"/>
  <c r="B415" i="37"/>
  <c r="B435" i="37"/>
  <c r="B448" i="37"/>
  <c r="B461" i="37"/>
  <c r="M434" i="37"/>
  <c r="M447" i="37"/>
  <c r="M454" i="37"/>
  <c r="M467" i="37"/>
  <c r="B406" i="37"/>
  <c r="B419" i="37"/>
  <c r="B422" i="37"/>
  <c r="M399" i="37"/>
  <c r="M412" i="37"/>
  <c r="M425" i="37"/>
  <c r="M438" i="37"/>
  <c r="M451" i="37"/>
  <c r="M419" i="37"/>
  <c r="M445" i="37"/>
  <c r="M458" i="37"/>
  <c r="B439" i="37"/>
  <c r="B442" i="37"/>
  <c r="B433" i="37"/>
  <c r="B446" i="37"/>
  <c r="B459" i="37"/>
  <c r="B462" i="37"/>
  <c r="M416" i="37"/>
  <c r="B328" i="37"/>
  <c r="M333" i="37"/>
  <c r="M349" i="37"/>
  <c r="B365" i="37"/>
  <c r="B378" i="37"/>
  <c r="B334" i="37"/>
  <c r="M345" i="37"/>
  <c r="B348" i="37"/>
  <c r="M396" i="37"/>
  <c r="M308" i="37"/>
  <c r="B346" i="37"/>
  <c r="B352" i="37"/>
  <c r="M287" i="37"/>
  <c r="B309" i="37"/>
  <c r="M319" i="37"/>
  <c r="B312" i="37"/>
  <c r="M331" i="37"/>
  <c r="M403" i="37"/>
  <c r="M341" i="37"/>
  <c r="B344" i="37"/>
  <c r="M265" i="37"/>
  <c r="M291" i="37"/>
  <c r="M294" i="37"/>
  <c r="B301" i="37"/>
  <c r="M306" i="37"/>
  <c r="B385" i="37"/>
  <c r="B337" i="37"/>
  <c r="B367" i="37"/>
  <c r="B381" i="37"/>
  <c r="B404" i="37"/>
  <c r="M285" i="37"/>
  <c r="M298" i="37"/>
  <c r="M309" i="37"/>
  <c r="M323" i="37"/>
  <c r="M334" i="37"/>
  <c r="B310" i="37"/>
  <c r="B324" i="37"/>
  <c r="B335" i="37"/>
  <c r="B373" i="37"/>
  <c r="M376" i="37"/>
  <c r="M321" i="37"/>
  <c r="M361" i="37"/>
  <c r="M379" i="37"/>
  <c r="B286" i="37"/>
  <c r="B299" i="37"/>
  <c r="M351" i="37"/>
  <c r="B359" i="37"/>
  <c r="B380" i="37"/>
  <c r="M276" i="37"/>
  <c r="M292" i="37"/>
  <c r="B302" i="37"/>
  <c r="B327" i="37"/>
  <c r="M332" i="37"/>
  <c r="M344" i="37"/>
  <c r="B347" i="37"/>
  <c r="B238" i="37"/>
  <c r="B251" i="37"/>
  <c r="B264" i="37"/>
  <c r="B267" i="37"/>
  <c r="B293" i="37"/>
  <c r="M340" i="37"/>
  <c r="B343" i="37"/>
  <c r="B345" i="37"/>
  <c r="B354" i="37"/>
  <c r="B225" i="37"/>
  <c r="B411" i="37"/>
  <c r="M283" i="37"/>
  <c r="M296" i="37"/>
  <c r="M324" i="37"/>
  <c r="B333" i="37"/>
  <c r="M360" i="37"/>
  <c r="B364" i="37"/>
  <c r="M383" i="37"/>
  <c r="B341" i="37"/>
  <c r="M363" i="37"/>
  <c r="B420" i="37"/>
  <c r="M290" i="37"/>
  <c r="B300" i="37"/>
  <c r="B331" i="37"/>
  <c r="M338" i="37"/>
  <c r="B317" i="37"/>
  <c r="M322" i="37"/>
  <c r="B339" i="37"/>
  <c r="B356" i="37"/>
  <c r="B400" i="37"/>
  <c r="M336" i="37"/>
  <c r="B372" i="37"/>
  <c r="M392" i="37"/>
  <c r="M418" i="37"/>
  <c r="M311" i="37"/>
  <c r="M365" i="37"/>
  <c r="B375" i="37"/>
  <c r="B393" i="37"/>
  <c r="B323" i="37"/>
  <c r="M328" i="37"/>
  <c r="M350" i="37"/>
  <c r="B358" i="37"/>
  <c r="M314" i="37"/>
  <c r="B329" i="37"/>
  <c r="M357" i="37"/>
  <c r="B351" i="37"/>
  <c r="M352" i="37"/>
  <c r="M378" i="37"/>
  <c r="B315" i="37"/>
  <c r="M320" i="37"/>
  <c r="B321" i="37"/>
  <c r="M326" i="37"/>
  <c r="B332" i="37"/>
  <c r="M346" i="37"/>
  <c r="M348" i="37"/>
  <c r="M339" i="37"/>
  <c r="B349" i="37"/>
  <c r="B355" i="37"/>
  <c r="B369" i="37"/>
  <c r="B407" i="37"/>
  <c r="B313" i="37"/>
  <c r="M318" i="37"/>
  <c r="M282" i="37"/>
  <c r="M295" i="37"/>
  <c r="M312" i="37"/>
  <c r="B319" i="37"/>
  <c r="B357" i="37"/>
  <c r="M367" i="37"/>
  <c r="M405" i="37"/>
  <c r="B296" i="37"/>
  <c r="B368" i="37"/>
  <c r="B398" i="37"/>
  <c r="M286" i="37"/>
  <c r="M289" i="37"/>
  <c r="B305" i="37"/>
  <c r="B322" i="37"/>
  <c r="B336" i="37"/>
  <c r="B362" i="37"/>
  <c r="M377" i="37"/>
  <c r="M310" i="37"/>
  <c r="M189" i="37"/>
  <c r="B245" i="37"/>
  <c r="B255" i="37"/>
  <c r="B284" i="37"/>
  <c r="M316" i="37"/>
  <c r="M224" i="37"/>
  <c r="M195" i="37"/>
  <c r="B266" i="37"/>
  <c r="M300" i="37"/>
  <c r="B325" i="37"/>
  <c r="M212" i="37"/>
  <c r="M259" i="37"/>
  <c r="M270" i="37"/>
  <c r="M299" i="37"/>
  <c r="B196" i="37"/>
  <c r="M237" i="37"/>
  <c r="B257" i="37"/>
  <c r="M267" i="37"/>
  <c r="B271" i="37"/>
  <c r="M273" i="37"/>
  <c r="B242" i="37"/>
  <c r="B268" i="37"/>
  <c r="B283" i="37"/>
  <c r="B295" i="37"/>
  <c r="B213" i="37"/>
  <c r="B270" i="37"/>
  <c r="M208" i="37"/>
  <c r="M251" i="37"/>
  <c r="M202" i="37"/>
  <c r="M216" i="37"/>
  <c r="B314" i="37"/>
  <c r="M183" i="37"/>
  <c r="B209" i="37"/>
  <c r="M228" i="37"/>
  <c r="M232" i="37"/>
  <c r="M293" i="37"/>
  <c r="M219" i="37"/>
  <c r="M230" i="37"/>
  <c r="M272" i="37"/>
  <c r="B282" i="37"/>
  <c r="M217" i="37"/>
  <c r="B254" i="37"/>
  <c r="B294" i="37"/>
  <c r="B212" i="37"/>
  <c r="M256" i="37"/>
  <c r="B303" i="37"/>
  <c r="B311" i="37"/>
  <c r="M215" i="37"/>
  <c r="M302" i="37"/>
  <c r="M241" i="37"/>
  <c r="B297" i="37"/>
  <c r="M243" i="37"/>
  <c r="M245" i="37"/>
  <c r="M250" i="37"/>
  <c r="M258" i="37"/>
  <c r="M225" i="37"/>
  <c r="M247" i="37"/>
  <c r="M182" i="37"/>
  <c r="M196" i="37"/>
  <c r="M274" i="37"/>
  <c r="M221" i="37"/>
  <c r="B226" i="37"/>
  <c r="M252" i="37"/>
  <c r="M263" i="37"/>
  <c r="B183" i="37"/>
  <c r="B281" i="37"/>
  <c r="B200" i="37"/>
  <c r="M238" i="37"/>
  <c r="M260" i="37"/>
  <c r="M199" i="37"/>
  <c r="M271" i="37"/>
  <c r="B287" i="37"/>
  <c r="M186" i="37"/>
  <c r="B239" i="37"/>
  <c r="M257" i="37"/>
  <c r="M10" i="37"/>
  <c r="M74" i="37"/>
  <c r="M244" i="37"/>
  <c r="M254" i="37"/>
  <c r="B258" i="37"/>
  <c r="M513" i="37"/>
  <c r="M526" i="37"/>
  <c r="B170" i="37"/>
  <c r="M169" i="37"/>
  <c r="M60" i="37"/>
  <c r="B488" i="37"/>
  <c r="B501" i="37"/>
  <c r="B514" i="37"/>
  <c r="B527" i="37"/>
  <c r="M500" i="37"/>
  <c r="M504" i="37"/>
  <c r="M520" i="37"/>
  <c r="B427" i="37"/>
  <c r="B440" i="37"/>
  <c r="B485" i="37"/>
  <c r="B508" i="37"/>
  <c r="B521" i="37"/>
  <c r="B534" i="37"/>
  <c r="M430" i="37"/>
  <c r="M472" i="37"/>
  <c r="M485" i="37"/>
  <c r="B431" i="37"/>
  <c r="B479" i="37"/>
  <c r="B492" i="37"/>
  <c r="B505" i="37"/>
  <c r="B499" i="37"/>
  <c r="B512" i="37"/>
  <c r="B525" i="37"/>
  <c r="B528" i="37"/>
  <c r="M482" i="37"/>
  <c r="M428" i="37"/>
  <c r="M470" i="37"/>
  <c r="M502" i="37"/>
  <c r="M518" i="37"/>
  <c r="B486" i="37"/>
  <c r="B490" i="37"/>
  <c r="B493" i="37"/>
  <c r="B506" i="37"/>
  <c r="B519" i="37"/>
  <c r="B532" i="37"/>
  <c r="M522" i="37"/>
  <c r="B390" i="37"/>
  <c r="B429" i="37"/>
  <c r="B432" i="37"/>
  <c r="B471" i="37"/>
  <c r="B484" i="37"/>
  <c r="B497" i="37"/>
  <c r="B510" i="37"/>
  <c r="B513" i="37"/>
  <c r="B526" i="37"/>
  <c r="M468" i="37"/>
  <c r="M487" i="37"/>
  <c r="M503" i="37"/>
  <c r="M516" i="37"/>
  <c r="M529" i="37"/>
  <c r="B504" i="37"/>
  <c r="B530" i="37"/>
  <c r="B533" i="37"/>
  <c r="M426" i="37"/>
  <c r="M429" i="37"/>
  <c r="M523" i="37"/>
  <c r="B430" i="37"/>
  <c r="B469" i="37"/>
  <c r="B472" i="37"/>
  <c r="B491" i="37"/>
  <c r="B498" i="37"/>
  <c r="B511" i="37"/>
  <c r="B524" i="37"/>
  <c r="M494" i="37"/>
  <c r="M510" i="37"/>
  <c r="M469" i="37"/>
  <c r="M501" i="37"/>
  <c r="M514" i="37"/>
  <c r="B482" i="37"/>
  <c r="B495" i="37"/>
  <c r="B515" i="37"/>
  <c r="B518" i="37"/>
  <c r="B531" i="37"/>
  <c r="M427" i="37"/>
  <c r="M440" i="37"/>
  <c r="M534" i="37"/>
  <c r="B428" i="37"/>
  <c r="B470" i="37"/>
  <c r="B489" i="37"/>
  <c r="B502" i="37"/>
  <c r="B522" i="37"/>
  <c r="B535" i="37"/>
  <c r="M431" i="37"/>
  <c r="M492" i="37"/>
  <c r="M508" i="37"/>
  <c r="M528" i="37"/>
  <c r="B480" i="37"/>
  <c r="B483" i="37"/>
  <c r="B496" i="37"/>
  <c r="B509" i="37"/>
  <c r="B516" i="37"/>
  <c r="B529" i="37"/>
  <c r="M499" i="37"/>
  <c r="M512" i="37"/>
  <c r="M515" i="37"/>
  <c r="B426" i="37"/>
  <c r="B468" i="37"/>
  <c r="B487" i="37"/>
  <c r="B500" i="37"/>
  <c r="B503" i="37"/>
  <c r="M480" i="37"/>
  <c r="M493" i="37"/>
  <c r="M506" i="37"/>
  <c r="M532" i="37"/>
  <c r="M535" i="37"/>
  <c r="B520" i="37"/>
  <c r="B523" i="37"/>
  <c r="B536" i="37"/>
  <c r="M432" i="37"/>
  <c r="M471" i="37"/>
  <c r="M278" i="37"/>
  <c r="B371" i="37"/>
  <c r="B481" i="37"/>
  <c r="B494" i="37"/>
  <c r="B507" i="37"/>
  <c r="B277" i="37"/>
  <c r="M277" i="37"/>
  <c r="B280" i="37"/>
  <c r="M279" i="37"/>
  <c r="B370" i="37"/>
  <c r="G525" i="37"/>
  <c r="B130" i="37"/>
  <c r="M130" i="37"/>
  <c r="M280" i="37"/>
  <c r="B279" i="37"/>
  <c r="I508" i="37"/>
  <c r="I534" i="37"/>
  <c r="E532" i="37"/>
  <c r="K530" i="37"/>
  <c r="G528" i="37"/>
  <c r="K491" i="37"/>
  <c r="I521" i="37"/>
  <c r="E519" i="37"/>
  <c r="E516" i="37"/>
  <c r="G512" i="37"/>
  <c r="I479" i="37"/>
  <c r="K504" i="37"/>
  <c r="E503" i="37"/>
  <c r="G499" i="37"/>
  <c r="I495" i="37"/>
  <c r="K427" i="37"/>
  <c r="E490" i="37"/>
  <c r="K488" i="37"/>
  <c r="G486" i="37"/>
  <c r="I482" i="37"/>
  <c r="L530" i="37"/>
  <c r="E471" i="37"/>
  <c r="K469" i="37"/>
  <c r="K430" i="37"/>
  <c r="E429" i="37"/>
  <c r="F519" i="37"/>
  <c r="G370" i="37"/>
  <c r="D536" i="37"/>
  <c r="L533" i="37"/>
  <c r="F532" i="37"/>
  <c r="F506" i="37"/>
  <c r="H528" i="37"/>
  <c r="J524" i="37"/>
  <c r="D523" i="37"/>
  <c r="J521" i="37"/>
  <c r="J495" i="37"/>
  <c r="H515" i="37"/>
  <c r="H512" i="37"/>
  <c r="D510" i="37"/>
  <c r="J508" i="37"/>
  <c r="J482" i="37"/>
  <c r="L504" i="37"/>
  <c r="F503" i="37"/>
  <c r="H499" i="37"/>
  <c r="D497" i="37"/>
  <c r="F429" i="37"/>
  <c r="D494" i="37"/>
  <c r="L491" i="37"/>
  <c r="F490" i="37"/>
  <c r="H486" i="37"/>
  <c r="E523" i="37"/>
  <c r="D481" i="37"/>
  <c r="F471" i="37"/>
  <c r="L469" i="37"/>
  <c r="L430" i="37"/>
  <c r="K508" i="37"/>
  <c r="E536" i="37"/>
  <c r="G532" i="37"/>
  <c r="I528" i="37"/>
  <c r="K524" i="37"/>
  <c r="K495" i="37"/>
  <c r="G519" i="37"/>
  <c r="I515" i="37"/>
  <c r="K511" i="37"/>
  <c r="E510" i="37"/>
  <c r="K482" i="37"/>
  <c r="G506" i="37"/>
  <c r="I502" i="37"/>
  <c r="I499" i="37"/>
  <c r="E497" i="37"/>
  <c r="G390" i="37"/>
  <c r="G493" i="37"/>
  <c r="G490" i="37"/>
  <c r="I486" i="37"/>
  <c r="E484" i="37"/>
  <c r="J528" i="37"/>
  <c r="E481" i="37"/>
  <c r="G471" i="37"/>
  <c r="G432" i="37"/>
  <c r="G429" i="37"/>
  <c r="J515" i="37"/>
  <c r="I370" i="37"/>
  <c r="H535" i="37"/>
  <c r="H532" i="37"/>
  <c r="D530" i="37"/>
  <c r="J502" i="37"/>
  <c r="F526" i="37"/>
  <c r="L524" i="37"/>
  <c r="F523" i="37"/>
  <c r="H519" i="37"/>
  <c r="H493" i="37"/>
  <c r="D514" i="37"/>
  <c r="L511" i="37"/>
  <c r="F510" i="37"/>
  <c r="H506" i="37"/>
  <c r="L482" i="37"/>
  <c r="D501" i="37"/>
  <c r="L498" i="37"/>
  <c r="F497" i="37"/>
  <c r="L495" i="37"/>
  <c r="H432" i="37"/>
  <c r="J489" i="37"/>
  <c r="D488" i="37"/>
  <c r="J486" i="37"/>
  <c r="F484" i="37"/>
  <c r="I535" i="37"/>
  <c r="H480" i="37"/>
  <c r="H471" i="37"/>
  <c r="D469" i="37"/>
  <c r="D440" i="37"/>
  <c r="I522" i="37"/>
  <c r="J428" i="37"/>
  <c r="D427" i="37"/>
  <c r="H390" i="37"/>
  <c r="J370" i="37"/>
  <c r="I506" i="37"/>
  <c r="K531" i="37"/>
  <c r="E530" i="37"/>
  <c r="K528" i="37"/>
  <c r="G526" i="37"/>
  <c r="I493" i="37"/>
  <c r="I519" i="37"/>
  <c r="K515" i="37"/>
  <c r="G513" i="37"/>
  <c r="G510" i="37"/>
  <c r="K470" i="37"/>
  <c r="E504" i="37"/>
  <c r="K502" i="37"/>
  <c r="E501" i="37"/>
  <c r="G497" i="37"/>
  <c r="E427" i="37"/>
  <c r="K489" i="37"/>
  <c r="E488" i="37"/>
  <c r="G484" i="37"/>
  <c r="I480" i="37"/>
  <c r="F530" i="37"/>
  <c r="E469" i="37"/>
  <c r="E440" i="37"/>
  <c r="I432" i="37"/>
  <c r="K428" i="37"/>
  <c r="L515" i="37"/>
  <c r="I390" i="37"/>
  <c r="J535" i="37"/>
  <c r="D534" i="37"/>
  <c r="L531" i="37"/>
  <c r="F504" i="37"/>
  <c r="H526" i="37"/>
  <c r="J522" i="37"/>
  <c r="D521" i="37"/>
  <c r="L518" i="37"/>
  <c r="J493" i="37"/>
  <c r="H513" i="37"/>
  <c r="J509" i="37"/>
  <c r="D508" i="37"/>
  <c r="J506" i="37"/>
  <c r="D482" i="37"/>
  <c r="L502" i="37"/>
  <c r="H500" i="37"/>
  <c r="H497" i="37"/>
  <c r="D495" i="37"/>
  <c r="J432" i="37"/>
  <c r="F491" i="37"/>
  <c r="L489" i="37"/>
  <c r="F488" i="37"/>
  <c r="H484" i="37"/>
  <c r="K535" i="37"/>
  <c r="J480" i="37"/>
  <c r="D479" i="37"/>
  <c r="L470" i="37"/>
  <c r="F469" i="37"/>
  <c r="K522" i="37"/>
  <c r="F430" i="37"/>
  <c r="L428" i="37"/>
  <c r="F427" i="37"/>
  <c r="J390" i="37"/>
  <c r="G504" i="37"/>
  <c r="G533" i="37"/>
  <c r="G530" i="37"/>
  <c r="I526" i="37"/>
  <c r="E524" i="37"/>
  <c r="G491" i="37"/>
  <c r="E521" i="37"/>
  <c r="I513" i="37"/>
  <c r="K509" i="37"/>
  <c r="E508" i="37"/>
  <c r="G469" i="37"/>
  <c r="I500" i="37"/>
  <c r="K496" i="37"/>
  <c r="E495" i="37"/>
  <c r="K493" i="37"/>
  <c r="L535" i="37"/>
  <c r="I487" i="37"/>
  <c r="I484" i="37"/>
  <c r="E482" i="37"/>
  <c r="K480" i="37"/>
  <c r="F524" i="37"/>
  <c r="K432" i="37"/>
  <c r="G430" i="37"/>
  <c r="I426" i="37"/>
  <c r="I371" i="37"/>
  <c r="F511" i="37"/>
  <c r="H533" i="37"/>
  <c r="J529" i="37"/>
  <c r="D528" i="37"/>
  <c r="J526" i="37"/>
  <c r="J500" i="37"/>
  <c r="L522" i="37"/>
  <c r="H520" i="37"/>
  <c r="D515" i="37"/>
  <c r="J513" i="37"/>
  <c r="J487" i="37"/>
  <c r="L509" i="37"/>
  <c r="F508" i="37"/>
  <c r="H504" i="37"/>
  <c r="D502" i="37"/>
  <c r="J468" i="37"/>
  <c r="D499" i="37"/>
  <c r="L496" i="37"/>
  <c r="F495" i="37"/>
  <c r="H491" i="37"/>
  <c r="I533" i="37"/>
  <c r="D486" i="37"/>
  <c r="L483" i="37"/>
  <c r="F482" i="37"/>
  <c r="L480" i="37"/>
  <c r="K516" i="37"/>
  <c r="H430" i="37"/>
  <c r="J426" i="37"/>
  <c r="J371" i="37"/>
  <c r="D370" i="37"/>
  <c r="I504" i="37"/>
  <c r="K529" i="37"/>
  <c r="E528" i="37"/>
  <c r="G524" i="37"/>
  <c r="I520" i="37"/>
  <c r="I491" i="37"/>
  <c r="E515" i="37"/>
  <c r="K513" i="37"/>
  <c r="G511" i="37"/>
  <c r="I507" i="37"/>
  <c r="K468" i="37"/>
  <c r="E502" i="37"/>
  <c r="K500" i="37"/>
  <c r="G498" i="37"/>
  <c r="G495" i="37"/>
  <c r="D535" i="37"/>
  <c r="E489" i="37"/>
  <c r="K487" i="37"/>
  <c r="E486" i="37"/>
  <c r="G482" i="37"/>
  <c r="H524" i="37"/>
  <c r="I430" i="37"/>
  <c r="E428" i="37"/>
  <c r="K426" i="37"/>
  <c r="K371" i="37"/>
  <c r="F515" i="37"/>
  <c r="J533" i="37"/>
  <c r="F531" i="37"/>
  <c r="L529" i="37"/>
  <c r="F528" i="37"/>
  <c r="F502" i="37"/>
  <c r="D522" i="37"/>
  <c r="J520" i="37"/>
  <c r="D519" i="37"/>
  <c r="L516" i="37"/>
  <c r="J491" i="37"/>
  <c r="H511" i="37"/>
  <c r="J507" i="37"/>
  <c r="D506" i="37"/>
  <c r="L503" i="37"/>
  <c r="D480" i="37"/>
  <c r="L500" i="37"/>
  <c r="H498" i="37"/>
  <c r="J494" i="37"/>
  <c r="D493" i="37"/>
  <c r="F428" i="37"/>
  <c r="F489" i="37"/>
  <c r="L487" i="37"/>
  <c r="H485" i="37"/>
  <c r="H482" i="37"/>
  <c r="G531" i="37"/>
  <c r="F470" i="37"/>
  <c r="L468" i="37"/>
  <c r="D432" i="37"/>
  <c r="J430" i="37"/>
  <c r="G518" i="37"/>
  <c r="L426" i="37"/>
  <c r="D390" i="37"/>
  <c r="E535" i="37"/>
  <c r="K533" i="37"/>
  <c r="E506" i="37"/>
  <c r="I527" i="37"/>
  <c r="I524" i="37"/>
  <c r="E522" i="37"/>
  <c r="K520" i="37"/>
  <c r="G489" i="37"/>
  <c r="G515" i="37"/>
  <c r="I511" i="37"/>
  <c r="E509" i="37"/>
  <c r="K507" i="37"/>
  <c r="E432" i="37"/>
  <c r="G502" i="37"/>
  <c r="I498" i="37"/>
  <c r="K494" i="37"/>
  <c r="E493" i="37"/>
  <c r="J527" i="37"/>
  <c r="I485" i="37"/>
  <c r="K481" i="37"/>
  <c r="E480" i="37"/>
  <c r="G470" i="37"/>
  <c r="H518" i="37"/>
  <c r="G428" i="37"/>
  <c r="E390" i="37"/>
  <c r="F535" i="37"/>
  <c r="H531" i="37"/>
  <c r="L507" i="37"/>
  <c r="D526" i="37"/>
  <c r="L523" i="37"/>
  <c r="F522" i="37"/>
  <c r="L520" i="37"/>
  <c r="F496" i="37"/>
  <c r="J514" i="37"/>
  <c r="D513" i="37"/>
  <c r="J511" i="37"/>
  <c r="F509" i="37"/>
  <c r="J485" i="37"/>
  <c r="H505" i="37"/>
  <c r="H502" i="37"/>
  <c r="D500" i="37"/>
  <c r="J498" i="37"/>
  <c r="F432" i="37"/>
  <c r="L494" i="37"/>
  <c r="F493" i="37"/>
  <c r="H489" i="37"/>
  <c r="D487" i="37"/>
  <c r="I531" i="37"/>
  <c r="D484" i="37"/>
  <c r="L481" i="37"/>
  <c r="F480" i="37"/>
  <c r="H470" i="37"/>
  <c r="I518" i="37"/>
  <c r="H428" i="37"/>
  <c r="D426" i="37"/>
  <c r="K536" i="37"/>
  <c r="G535" i="37"/>
  <c r="K501" i="37"/>
  <c r="E529" i="37"/>
  <c r="K527" i="37"/>
  <c r="E526" i="37"/>
  <c r="G522" i="37"/>
  <c r="I489" i="37"/>
  <c r="K514" i="37"/>
  <c r="E513" i="37"/>
  <c r="G509" i="37"/>
  <c r="I505" i="37"/>
  <c r="I470" i="37"/>
  <c r="E500" i="37"/>
  <c r="K498" i="37"/>
  <c r="G496" i="37"/>
  <c r="I492" i="37"/>
  <c r="E426" i="37"/>
  <c r="E487" i="37"/>
  <c r="K485" i="37"/>
  <c r="G483" i="37"/>
  <c r="G480" i="37"/>
  <c r="F529" i="37"/>
  <c r="E468" i="37"/>
  <c r="K440" i="37"/>
  <c r="I431" i="37"/>
  <c r="I428" i="37"/>
  <c r="J518" i="37"/>
  <c r="L536" i="37"/>
  <c r="J534" i="37"/>
  <c r="D533" i="37"/>
  <c r="J531" i="37"/>
  <c r="D507" i="37"/>
  <c r="L527" i="37"/>
  <c r="H525" i="37"/>
  <c r="H522" i="37"/>
  <c r="D520" i="37"/>
  <c r="H496" i="37"/>
  <c r="F516" i="37"/>
  <c r="L514" i="37"/>
  <c r="F513" i="37"/>
  <c r="H509" i="37"/>
  <c r="L485" i="37"/>
  <c r="J505" i="37"/>
  <c r="D504" i="37"/>
  <c r="L501" i="37"/>
  <c r="F500" i="37"/>
  <c r="L440" i="37"/>
  <c r="J492" i="37"/>
  <c r="D491" i="37"/>
  <c r="L488" i="37"/>
  <c r="F487" i="37"/>
  <c r="F371" i="37"/>
  <c r="H483" i="37"/>
  <c r="J479" i="37"/>
  <c r="J470" i="37"/>
  <c r="F468" i="37"/>
  <c r="K521" i="37"/>
  <c r="J431" i="37"/>
  <c r="D430" i="37"/>
  <c r="L427" i="37"/>
  <c r="F426" i="37"/>
  <c r="I509" i="37"/>
  <c r="K534" i="37"/>
  <c r="E533" i="37"/>
  <c r="G529" i="37"/>
  <c r="I525" i="37"/>
  <c r="I496" i="37"/>
  <c r="E520" i="37"/>
  <c r="K518" i="37"/>
  <c r="G516" i="37"/>
  <c r="I512" i="37"/>
  <c r="I483" i="37"/>
  <c r="E507" i="37"/>
  <c r="K505" i="37"/>
  <c r="G503" i="37"/>
  <c r="G500" i="37"/>
  <c r="G426" i="37"/>
  <c r="E494" i="37"/>
  <c r="K492" i="37"/>
  <c r="E491" i="37"/>
  <c r="G487" i="37"/>
  <c r="H529" i="37"/>
  <c r="K479" i="37"/>
  <c r="G468" i="37"/>
  <c r="K431" i="37"/>
  <c r="E430" i="37"/>
  <c r="F520" i="37"/>
  <c r="G371" i="37"/>
  <c r="F536" i="37"/>
  <c r="L534" i="37"/>
  <c r="F533" i="37"/>
  <c r="F507" i="37"/>
  <c r="D527" i="37"/>
  <c r="J525" i="37"/>
  <c r="D524" i="37"/>
  <c r="L521" i="37"/>
  <c r="J496" i="37"/>
  <c r="H516" i="37"/>
  <c r="J512" i="37"/>
  <c r="D511" i="37"/>
  <c r="L508" i="37"/>
  <c r="D485" i="37"/>
  <c r="L505" i="37"/>
  <c r="H503" i="37"/>
  <c r="J499" i="37"/>
  <c r="D498" i="37"/>
  <c r="L431" i="37"/>
  <c r="F494" i="37"/>
  <c r="L492" i="37"/>
  <c r="H490" i="37"/>
  <c r="H487" i="37"/>
  <c r="I529" i="37"/>
  <c r="J483" i="37"/>
  <c r="F481" i="37"/>
  <c r="L479" i="37"/>
  <c r="H468" i="37"/>
  <c r="I516" i="37"/>
  <c r="H429" i="37"/>
  <c r="H426" i="37"/>
  <c r="G536" i="37"/>
  <c r="I532" i="37"/>
  <c r="I503" i="37"/>
  <c r="E527" i="37"/>
  <c r="K525" i="37"/>
  <c r="G523" i="37"/>
  <c r="G520" i="37"/>
  <c r="K486" i="37"/>
  <c r="E514" i="37"/>
  <c r="K512" i="37"/>
  <c r="E511" i="37"/>
  <c r="G507" i="37"/>
  <c r="I468" i="37"/>
  <c r="K499" i="37"/>
  <c r="E498" i="37"/>
  <c r="G494" i="37"/>
  <c r="I490" i="37"/>
  <c r="F527" i="37"/>
  <c r="E485" i="37"/>
  <c r="K483" i="37"/>
  <c r="G481" i="37"/>
  <c r="I471" i="37"/>
  <c r="J516" i="37"/>
  <c r="H536" i="37"/>
  <c r="J532" i="37"/>
  <c r="D531" i="37"/>
  <c r="L528" i="37"/>
  <c r="D505" i="37"/>
  <c r="L525" i="37"/>
  <c r="H523" i="37"/>
  <c r="J519" i="37"/>
  <c r="D518" i="37"/>
  <c r="H494" i="37"/>
  <c r="F514" i="37"/>
  <c r="L512" i="37"/>
  <c r="H510" i="37"/>
  <c r="H507" i="37"/>
  <c r="F485" i="37"/>
  <c r="J503" i="37"/>
  <c r="F501" i="37"/>
  <c r="L499" i="37"/>
  <c r="F498" i="37"/>
  <c r="D431" i="37"/>
  <c r="D492" i="37"/>
  <c r="J490" i="37"/>
  <c r="D489" i="37"/>
  <c r="L486" i="37"/>
  <c r="K532" i="37"/>
  <c r="H481" i="37"/>
  <c r="J471" i="37"/>
  <c r="D470" i="37"/>
  <c r="F440" i="37"/>
  <c r="E518" i="37"/>
  <c r="J429" i="37"/>
  <c r="D428" i="37"/>
  <c r="I536" i="37"/>
  <c r="E534" i="37"/>
  <c r="K503" i="37"/>
  <c r="E531" i="37"/>
  <c r="G527" i="37"/>
  <c r="I523" i="37"/>
  <c r="K519" i="37"/>
  <c r="K490" i="37"/>
  <c r="G514" i="37"/>
  <c r="I510" i="37"/>
  <c r="K506" i="37"/>
  <c r="E505" i="37"/>
  <c r="K471" i="37"/>
  <c r="G501" i="37"/>
  <c r="I497" i="37"/>
  <c r="I494" i="37"/>
  <c r="E492" i="37"/>
  <c r="G427" i="37"/>
  <c r="G488" i="37"/>
  <c r="G485" i="37"/>
  <c r="I481" i="37"/>
  <c r="E479" i="37"/>
  <c r="H527" i="37"/>
  <c r="E470" i="37"/>
  <c r="G440" i="37"/>
  <c r="E431" i="37"/>
  <c r="K429" i="37"/>
  <c r="F518" i="37"/>
  <c r="J536" i="37"/>
  <c r="F534" i="37"/>
  <c r="L532" i="37"/>
  <c r="H530" i="37"/>
  <c r="L506" i="37"/>
  <c r="D525" i="37"/>
  <c r="J523" i="37"/>
  <c r="F521" i="37"/>
  <c r="L519" i="37"/>
  <c r="L493" i="37"/>
  <c r="H514" i="37"/>
  <c r="D512" i="37"/>
  <c r="J510" i="37"/>
  <c r="D509" i="37"/>
  <c r="D483" i="37"/>
  <c r="F505" i="37"/>
  <c r="H501" i="37"/>
  <c r="J497" i="37"/>
  <c r="D496" i="37"/>
  <c r="H440" i="37"/>
  <c r="F492" i="37"/>
  <c r="L490" i="37"/>
  <c r="H488" i="37"/>
  <c r="J484" i="37"/>
  <c r="G534" i="37"/>
  <c r="J481" i="37"/>
  <c r="F479" i="37"/>
  <c r="L471" i="37"/>
  <c r="H469" i="37"/>
  <c r="G521" i="37"/>
  <c r="L432" i="37"/>
  <c r="F431" i="37"/>
  <c r="L429" i="37"/>
  <c r="H427" i="37"/>
  <c r="G505" i="37"/>
  <c r="I530" i="37"/>
  <c r="K526" i="37"/>
  <c r="E525" i="37"/>
  <c r="K523" i="37"/>
  <c r="G492" i="37"/>
  <c r="I514" i="37"/>
  <c r="E512" i="37"/>
  <c r="K510" i="37"/>
  <c r="G508" i="37"/>
  <c r="I469" i="37"/>
  <c r="I501" i="37"/>
  <c r="E499" i="37"/>
  <c r="K497" i="37"/>
  <c r="E496" i="37"/>
  <c r="D532" i="37"/>
  <c r="I488" i="37"/>
  <c r="K484" i="37"/>
  <c r="E483" i="37"/>
  <c r="G479" i="37"/>
  <c r="H521" i="37"/>
  <c r="I440" i="37"/>
  <c r="G431" i="37"/>
  <c r="I427" i="37"/>
  <c r="H534" i="37"/>
  <c r="H508" i="37"/>
  <c r="J530" i="37"/>
  <c r="D529" i="37"/>
  <c r="L526" i="37"/>
  <c r="F525" i="37"/>
  <c r="L497" i="37"/>
  <c r="D516" i="37"/>
  <c r="L513" i="37"/>
  <c r="F512" i="37"/>
  <c r="L510" i="37"/>
  <c r="F486" i="37"/>
  <c r="J504" i="37"/>
  <c r="D503" i="37"/>
  <c r="J501" i="37"/>
  <c r="F499" i="37"/>
  <c r="J469" i="37"/>
  <c r="H495" i="37"/>
  <c r="H492" i="37"/>
  <c r="D490" i="37"/>
  <c r="J488" i="37"/>
  <c r="I429" i="37"/>
  <c r="L484" i="37"/>
  <c r="F483" i="37"/>
  <c r="H479" i="37"/>
  <c r="D471" i="37"/>
  <c r="H370" i="37"/>
  <c r="D468" i="37"/>
  <c r="J440" i="37"/>
  <c r="H431" i="37"/>
  <c r="D429" i="37"/>
  <c r="F278" i="37"/>
  <c r="K390" i="37"/>
  <c r="L390" i="37"/>
  <c r="J427" i="37"/>
  <c r="F370" i="37"/>
  <c r="E280" i="37"/>
  <c r="G280" i="37"/>
  <c r="F390" i="37"/>
  <c r="E370" i="37"/>
  <c r="J280" i="37"/>
  <c r="I277" i="37"/>
  <c r="D240" i="37"/>
  <c r="G278" i="37"/>
  <c r="H278" i="37"/>
  <c r="I278" i="37"/>
  <c r="F279" i="37"/>
  <c r="H279" i="37"/>
  <c r="L371" i="37"/>
  <c r="D371" i="37"/>
  <c r="E371" i="37"/>
  <c r="G240" i="37"/>
  <c r="H371" i="37"/>
  <c r="K370" i="37"/>
  <c r="L370" i="37"/>
  <c r="L280" i="37"/>
  <c r="E277" i="37"/>
  <c r="F280" i="37"/>
  <c r="K277" i="37"/>
  <c r="F240" i="37"/>
  <c r="H280" i="37"/>
  <c r="L123" i="37"/>
  <c r="I280" i="37"/>
  <c r="D277" i="37"/>
  <c r="H240" i="37"/>
  <c r="D280" i="37"/>
  <c r="J240" i="37"/>
  <c r="I240" i="37"/>
  <c r="H131" i="37"/>
  <c r="J127" i="37"/>
  <c r="F125" i="37"/>
  <c r="D133" i="37"/>
  <c r="F122" i="37"/>
  <c r="J72" i="37"/>
  <c r="I279" i="37"/>
  <c r="F277" i="37"/>
  <c r="E240" i="37"/>
  <c r="K130" i="37"/>
  <c r="K127" i="37"/>
  <c r="G125" i="37"/>
  <c r="J279" i="37"/>
  <c r="E279" i="37"/>
  <c r="L130" i="37"/>
  <c r="K279" i="37"/>
  <c r="L279" i="37"/>
  <c r="D279" i="37"/>
  <c r="L122" i="37"/>
  <c r="I132" i="37"/>
  <c r="K128" i="37"/>
  <c r="E127" i="37"/>
  <c r="G123" i="37"/>
  <c r="E125" i="37"/>
  <c r="G279" i="37"/>
  <c r="J278" i="37"/>
  <c r="H130" i="37"/>
  <c r="D125" i="37"/>
  <c r="F128" i="37"/>
  <c r="F95" i="37"/>
  <c r="K278" i="37"/>
  <c r="I130" i="37"/>
  <c r="E128" i="37"/>
  <c r="K133" i="37"/>
  <c r="L278" i="37"/>
  <c r="J133" i="37"/>
  <c r="D132" i="37"/>
  <c r="J130" i="37"/>
  <c r="K280" i="37"/>
  <c r="H95" i="37"/>
  <c r="F73" i="37"/>
  <c r="H66" i="37"/>
  <c r="L58" i="37"/>
  <c r="H277" i="37"/>
  <c r="E132" i="37"/>
  <c r="G128" i="37"/>
  <c r="E278" i="37"/>
  <c r="L277" i="37"/>
  <c r="L61" i="37"/>
  <c r="D278" i="37"/>
  <c r="K240" i="37"/>
  <c r="G277" i="37"/>
  <c r="L240" i="37"/>
  <c r="I73" i="37"/>
  <c r="J277" i="37"/>
  <c r="K132" i="37"/>
  <c r="H73" i="37"/>
  <c r="H65" i="37"/>
  <c r="L72" i="37"/>
  <c r="D58" i="37"/>
  <c r="E2" i="37"/>
  <c r="F132" i="37"/>
  <c r="J123" i="37"/>
  <c r="J131" i="37"/>
  <c r="I65" i="37"/>
  <c r="F2" i="37"/>
  <c r="I131" i="37"/>
  <c r="K123" i="37"/>
  <c r="K125" i="37"/>
  <c r="J65" i="37"/>
  <c r="D61" i="37"/>
  <c r="G66" i="37"/>
  <c r="K2" i="37"/>
  <c r="L131" i="37"/>
  <c r="E61" i="37"/>
  <c r="I2" i="37"/>
  <c r="K131" i="37"/>
  <c r="J128" i="37"/>
  <c r="G61" i="37"/>
  <c r="E123" i="37"/>
  <c r="J68" i="37"/>
  <c r="F61" i="37"/>
  <c r="G2" i="37"/>
  <c r="L68" i="37"/>
  <c r="L128" i="37"/>
  <c r="L125" i="37"/>
  <c r="F123" i="37"/>
  <c r="K68" i="37"/>
  <c r="H128" i="37"/>
  <c r="I66" i="37"/>
  <c r="G73" i="37"/>
  <c r="H123" i="37"/>
  <c r="D73" i="37"/>
  <c r="E131" i="37"/>
  <c r="D65" i="37"/>
  <c r="H61" i="37"/>
  <c r="I58" i="37"/>
  <c r="D131" i="37"/>
  <c r="L133" i="37"/>
  <c r="I123" i="37"/>
  <c r="G72" i="37"/>
  <c r="J66" i="37"/>
  <c r="E65" i="37"/>
  <c r="L95" i="37"/>
  <c r="I128" i="37"/>
  <c r="K95" i="37"/>
  <c r="H72" i="37"/>
  <c r="K66" i="37"/>
  <c r="L2" i="37"/>
  <c r="F131" i="37"/>
  <c r="L127" i="37"/>
  <c r="H125" i="37"/>
  <c r="D123" i="37"/>
  <c r="K72" i="37"/>
  <c r="I72" i="37"/>
  <c r="E68" i="37"/>
  <c r="L66" i="37"/>
  <c r="J58" i="37"/>
  <c r="H122" i="37"/>
  <c r="K61" i="37"/>
  <c r="G131" i="37"/>
  <c r="I125" i="37"/>
  <c r="G122" i="37"/>
  <c r="G95" i="37"/>
  <c r="F68" i="37"/>
  <c r="K58" i="37"/>
  <c r="H2" i="37"/>
  <c r="J125" i="37"/>
  <c r="F130" i="37"/>
  <c r="G68" i="37"/>
  <c r="D66" i="37"/>
  <c r="E133" i="37"/>
  <c r="I122" i="37"/>
  <c r="I68" i="37"/>
  <c r="H68" i="37"/>
  <c r="E66" i="37"/>
  <c r="F58" i="37"/>
  <c r="F133" i="37"/>
  <c r="G133" i="37"/>
  <c r="D128" i="37"/>
  <c r="J122" i="37"/>
  <c r="I95" i="37"/>
  <c r="D72" i="37"/>
  <c r="J2" i="37"/>
  <c r="F66" i="37"/>
  <c r="E58" i="37"/>
  <c r="E72" i="37"/>
  <c r="D68" i="37"/>
  <c r="F72" i="37"/>
  <c r="G130" i="37"/>
  <c r="G127" i="37"/>
  <c r="K122" i="37"/>
  <c r="J95" i="37"/>
  <c r="I127" i="37"/>
  <c r="D2" i="37"/>
  <c r="H133" i="37"/>
  <c r="H127" i="37"/>
  <c r="J73" i="37"/>
  <c r="D130" i="37"/>
  <c r="K65" i="37"/>
  <c r="G58" i="37"/>
  <c r="I61" i="37"/>
  <c r="I133" i="37"/>
  <c r="E122" i="37"/>
  <c r="K73" i="37"/>
  <c r="L65" i="37"/>
  <c r="H58" i="37"/>
  <c r="L132" i="37"/>
  <c r="G65" i="37"/>
  <c r="D122" i="37"/>
  <c r="L73" i="37"/>
  <c r="E130" i="37"/>
  <c r="D127" i="37"/>
  <c r="J132" i="37"/>
  <c r="D95" i="37"/>
  <c r="G132" i="37"/>
  <c r="F127" i="37"/>
  <c r="E95" i="37"/>
  <c r="B58" i="37"/>
  <c r="H132" i="37"/>
  <c r="E73" i="37"/>
  <c r="F65" i="37"/>
  <c r="J61" i="37"/>
  <c r="C127" i="37"/>
  <c r="C95" i="37"/>
  <c r="M132" i="37"/>
  <c r="B66" i="37"/>
  <c r="M73" i="37"/>
  <c r="B122" i="37"/>
  <c r="C130" i="37"/>
  <c r="C122" i="37"/>
  <c r="B95" i="37"/>
  <c r="C68" i="37"/>
  <c r="B131" i="37"/>
  <c r="B125" i="37"/>
  <c r="C128" i="37"/>
  <c r="C72" i="37"/>
  <c r="C125" i="37"/>
  <c r="B128" i="37"/>
  <c r="B72" i="37"/>
  <c r="M58" i="37"/>
  <c r="C61" i="37"/>
  <c r="C58" i="37"/>
  <c r="M127" i="37"/>
  <c r="M133" i="37"/>
  <c r="B61" i="37"/>
  <c r="M66" i="37"/>
  <c r="M65" i="37"/>
  <c r="M128" i="37"/>
  <c r="M68" i="37"/>
  <c r="C123" i="37"/>
  <c r="M2" i="37"/>
  <c r="C2" i="37"/>
  <c r="C65" i="37"/>
  <c r="C73" i="37"/>
  <c r="C66" i="37"/>
  <c r="M131" i="37"/>
  <c r="M125" i="37"/>
  <c r="M61" i="37"/>
  <c r="B2" i="37"/>
  <c r="M72" i="37"/>
  <c r="B65" i="37"/>
  <c r="B73" i="37"/>
  <c r="C132" i="37"/>
  <c r="M122" i="37"/>
  <c r="B123" i="37"/>
  <c r="B68" i="37"/>
  <c r="C278" i="37"/>
  <c r="B240" i="37"/>
  <c r="C240" i="37"/>
  <c r="C131" i="37"/>
  <c r="M95" i="37"/>
  <c r="B132" i="37"/>
  <c r="C277" i="37"/>
  <c r="B133" i="37"/>
  <c r="C133" i="37"/>
  <c r="M123" i="37"/>
  <c r="B127" i="37"/>
  <c r="C280" i="37"/>
  <c r="B278" i="37"/>
  <c r="C279" i="37"/>
  <c r="M240" i="37"/>
  <c r="M370" i="37"/>
  <c r="C426" i="37"/>
  <c r="C429" i="37"/>
  <c r="C428" i="37"/>
  <c r="C371" i="37"/>
  <c r="M390" i="37"/>
  <c r="C516" i="37"/>
  <c r="C503" i="37"/>
  <c r="C487" i="37"/>
  <c r="C490" i="37"/>
  <c r="C468" i="37"/>
  <c r="C496" i="37"/>
  <c r="C483" i="37"/>
  <c r="M486" i="37"/>
  <c r="C529" i="37"/>
  <c r="M519" i="37"/>
  <c r="M479" i="37"/>
  <c r="C470" i="37"/>
  <c r="C525" i="37"/>
  <c r="C522" i="37"/>
  <c r="C509" i="37"/>
  <c r="M521" i="37"/>
  <c r="C502" i="37"/>
  <c r="C505" i="37"/>
  <c r="C489" i="37"/>
  <c r="M495" i="37"/>
  <c r="C482" i="37"/>
  <c r="C485" i="37"/>
  <c r="M488" i="37"/>
  <c r="C531" i="37"/>
  <c r="C518" i="37"/>
  <c r="M536" i="37"/>
  <c r="C524" i="37"/>
  <c r="M527" i="37"/>
  <c r="C511" i="37"/>
  <c r="C498" i="37"/>
  <c r="C504" i="37"/>
  <c r="C491" i="37"/>
  <c r="M481" i="37"/>
  <c r="C430" i="37"/>
  <c r="M530" i="37"/>
  <c r="M490" i="37"/>
  <c r="M371" i="37"/>
  <c r="C533" i="37"/>
  <c r="C520" i="37"/>
  <c r="M507" i="37"/>
  <c r="C526" i="37"/>
  <c r="C513" i="37"/>
  <c r="C497" i="37"/>
  <c r="C500" i="37"/>
  <c r="C484" i="37"/>
  <c r="C471" i="37"/>
  <c r="C480" i="37"/>
  <c r="M483" i="37"/>
  <c r="C432" i="37"/>
  <c r="C390" i="37"/>
  <c r="C519" i="37"/>
  <c r="C506" i="37"/>
  <c r="M509" i="37"/>
  <c r="M496" i="37"/>
  <c r="C493" i="37"/>
  <c r="M489" i="37"/>
  <c r="C370" i="37"/>
  <c r="C535" i="37"/>
  <c r="M525" i="37"/>
  <c r="C532" i="37"/>
  <c r="C515" i="37"/>
  <c r="M505" i="37"/>
  <c r="C512" i="37"/>
  <c r="C499" i="37"/>
  <c r="C486" i="37"/>
  <c r="C495" i="37"/>
  <c r="C479" i="37"/>
  <c r="C431" i="37"/>
  <c r="C528" i="37"/>
  <c r="M531" i="37"/>
  <c r="C521" i="37"/>
  <c r="C508" i="37"/>
  <c r="M511" i="37"/>
  <c r="M498" i="37"/>
  <c r="C492" i="37"/>
  <c r="C469" i="37"/>
  <c r="C440" i="37"/>
  <c r="C427" i="37"/>
  <c r="C534" i="37"/>
  <c r="M524" i="37"/>
  <c r="C530" i="37"/>
  <c r="C514" i="37"/>
  <c r="C501" i="37"/>
  <c r="M491" i="37"/>
  <c r="C488" i="37"/>
  <c r="C494" i="37"/>
  <c r="C481" i="37"/>
  <c r="M484" i="37"/>
  <c r="M533" i="37"/>
  <c r="C527" i="37"/>
  <c r="C536" i="37"/>
  <c r="C523" i="37"/>
  <c r="C507" i="37"/>
  <c r="C510" i="37"/>
  <c r="M497" i="37"/>
  <c r="E458" i="37"/>
  <c r="K456" i="37"/>
  <c r="E455" i="37"/>
  <c r="K517" i="37"/>
  <c r="G467" i="37"/>
  <c r="K443" i="37"/>
  <c r="E442" i="37"/>
  <c r="G438" i="37"/>
  <c r="G464" i="37"/>
  <c r="I460" i="37"/>
  <c r="I421" i="37"/>
  <c r="I418" i="37"/>
  <c r="E416" i="37"/>
  <c r="G451" i="37"/>
  <c r="I447" i="37"/>
  <c r="G409" i="37"/>
  <c r="I405" i="37"/>
  <c r="E403" i="37"/>
  <c r="I434" i="37"/>
  <c r="G425" i="37"/>
  <c r="G396" i="37"/>
  <c r="I392" i="37"/>
  <c r="K388" i="37"/>
  <c r="K414" i="37"/>
  <c r="G412" i="37"/>
  <c r="I379" i="37"/>
  <c r="K375" i="37"/>
  <c r="E374" i="37"/>
  <c r="K401" i="37"/>
  <c r="E400" i="37"/>
  <c r="I363" i="37"/>
  <c r="E361" i="37"/>
  <c r="K359" i="37"/>
  <c r="E387" i="37"/>
  <c r="G383" i="37"/>
  <c r="I350" i="37"/>
  <c r="E348" i="37"/>
  <c r="K346" i="37"/>
  <c r="K372" i="37"/>
  <c r="I366" i="37"/>
  <c r="I337" i="37"/>
  <c r="L517" i="37"/>
  <c r="H467" i="37"/>
  <c r="G357" i="37"/>
  <c r="G354" i="37"/>
  <c r="J460" i="37"/>
  <c r="F458" i="37"/>
  <c r="L456" i="37"/>
  <c r="E345" i="37"/>
  <c r="G341" i="37"/>
  <c r="D449" i="37"/>
  <c r="J447" i="37"/>
  <c r="F445" i="37"/>
  <c r="J463" i="37"/>
  <c r="D462" i="37"/>
  <c r="H438" i="37"/>
  <c r="D436" i="37"/>
  <c r="J434" i="37"/>
  <c r="H454" i="37"/>
  <c r="H451" i="37"/>
  <c r="J421" i="37"/>
  <c r="D420" i="37"/>
  <c r="I467" i="37"/>
  <c r="L443" i="37"/>
  <c r="F442" i="37"/>
  <c r="G458" i="37"/>
  <c r="I454" i="37"/>
  <c r="K450" i="37"/>
  <c r="D433" i="37"/>
  <c r="H425" i="37"/>
  <c r="G445" i="37"/>
  <c r="I441" i="37"/>
  <c r="I438" i="37"/>
  <c r="K463" i="37"/>
  <c r="E462" i="37"/>
  <c r="I425" i="37"/>
  <c r="E423" i="37"/>
  <c r="K421" i="37"/>
  <c r="E449" i="37"/>
  <c r="K447" i="37"/>
  <c r="I412" i="37"/>
  <c r="K408" i="37"/>
  <c r="E407" i="37"/>
  <c r="E436" i="37"/>
  <c r="K434" i="37"/>
  <c r="K395" i="37"/>
  <c r="E394" i="37"/>
  <c r="K392" i="37"/>
  <c r="E420" i="37"/>
  <c r="G416" i="37"/>
  <c r="E381" i="37"/>
  <c r="K379" i="37"/>
  <c r="G377" i="37"/>
  <c r="G403" i="37"/>
  <c r="I399" i="37"/>
  <c r="K366" i="37"/>
  <c r="E365" i="37"/>
  <c r="G361" i="37"/>
  <c r="I386" i="37"/>
  <c r="I383" i="37"/>
  <c r="J467" i="37"/>
  <c r="F465" i="37"/>
  <c r="L463" i="37"/>
  <c r="G374" i="37"/>
  <c r="E368" i="37"/>
  <c r="D456" i="37"/>
  <c r="J454" i="37"/>
  <c r="D453" i="37"/>
  <c r="I357" i="37"/>
  <c r="D517" i="37"/>
  <c r="H445" i="37"/>
  <c r="J441" i="37"/>
  <c r="L437" i="37"/>
  <c r="F462" i="37"/>
  <c r="H458" i="37"/>
  <c r="J425" i="37"/>
  <c r="F423" i="37"/>
  <c r="L421" i="37"/>
  <c r="L450" i="37"/>
  <c r="F449" i="37"/>
  <c r="D414" i="37"/>
  <c r="J412" i="37"/>
  <c r="F410" i="37"/>
  <c r="F436" i="37"/>
  <c r="L434" i="37"/>
  <c r="H403" i="37"/>
  <c r="D401" i="37"/>
  <c r="J399" i="37"/>
  <c r="H419" i="37"/>
  <c r="H416" i="37"/>
  <c r="F394" i="37"/>
  <c r="J386" i="37"/>
  <c r="D385" i="37"/>
  <c r="L408" i="37"/>
  <c r="F407" i="37"/>
  <c r="L379" i="37"/>
  <c r="H377" i="37"/>
  <c r="J373" i="37"/>
  <c r="D398" i="37"/>
  <c r="L395" i="37"/>
  <c r="L366" i="37"/>
  <c r="H364" i="37"/>
  <c r="H361" i="37"/>
  <c r="L382" i="37"/>
  <c r="F381" i="37"/>
  <c r="F355" i="37"/>
  <c r="L353" i="37"/>
  <c r="F352" i="37"/>
  <c r="D372" i="37"/>
  <c r="F368" i="37"/>
  <c r="J344" i="37"/>
  <c r="D343" i="37"/>
  <c r="E517" i="37"/>
  <c r="D359" i="37"/>
  <c r="J357" i="37"/>
  <c r="I461" i="37"/>
  <c r="I458" i="37"/>
  <c r="E456" i="37"/>
  <c r="H348" i="37"/>
  <c r="D346" i="37"/>
  <c r="G449" i="37"/>
  <c r="I445" i="37"/>
  <c r="E443" i="37"/>
  <c r="K467" i="37"/>
  <c r="G465" i="37"/>
  <c r="G423" i="37"/>
  <c r="I419" i="37"/>
  <c r="K415" i="37"/>
  <c r="K454" i="37"/>
  <c r="G452" i="37"/>
  <c r="G410" i="37"/>
  <c r="I406" i="37"/>
  <c r="I403" i="37"/>
  <c r="K441" i="37"/>
  <c r="G436" i="37"/>
  <c r="G397" i="37"/>
  <c r="G394" i="37"/>
  <c r="E388" i="37"/>
  <c r="E414" i="37"/>
  <c r="K412" i="37"/>
  <c r="G381" i="37"/>
  <c r="I377" i="37"/>
  <c r="K373" i="37"/>
  <c r="E401" i="37"/>
  <c r="K399" i="37"/>
  <c r="I364" i="37"/>
  <c r="K360" i="37"/>
  <c r="E359" i="37"/>
  <c r="K386" i="37"/>
  <c r="E385" i="37"/>
  <c r="I351" i="37"/>
  <c r="F517" i="37"/>
  <c r="H465" i="37"/>
  <c r="E372" i="37"/>
  <c r="G368" i="37"/>
  <c r="L457" i="37"/>
  <c r="F456" i="37"/>
  <c r="L454" i="37"/>
  <c r="K357" i="37"/>
  <c r="G355" i="37"/>
  <c r="D447" i="37"/>
  <c r="J445" i="37"/>
  <c r="F443" i="37"/>
  <c r="J461" i="37"/>
  <c r="D460" i="37"/>
  <c r="H436" i="37"/>
  <c r="D434" i="37"/>
  <c r="H423" i="37"/>
  <c r="H452" i="37"/>
  <c r="J448" i="37"/>
  <c r="D418" i="37"/>
  <c r="L415" i="37"/>
  <c r="F414" i="37"/>
  <c r="L441" i="37"/>
  <c r="H439" i="37"/>
  <c r="D405" i="37"/>
  <c r="L402" i="37"/>
  <c r="F401" i="37"/>
  <c r="D421" i="37"/>
  <c r="J419" i="37"/>
  <c r="J393" i="37"/>
  <c r="D392" i="37"/>
  <c r="F388" i="37"/>
  <c r="H410" i="37"/>
  <c r="J406" i="37"/>
  <c r="H381" i="37"/>
  <c r="D379" i="37"/>
  <c r="J377" i="37"/>
  <c r="L399" i="37"/>
  <c r="H397" i="37"/>
  <c r="I465" i="37"/>
  <c r="E463" i="37"/>
  <c r="K461" i="37"/>
  <c r="L386" i="37"/>
  <c r="H384" i="37"/>
  <c r="I452" i="37"/>
  <c r="K448" i="37"/>
  <c r="E447" i="37"/>
  <c r="F375" i="37"/>
  <c r="G517" i="37"/>
  <c r="K435" i="37"/>
  <c r="E434" i="37"/>
  <c r="I423" i="37"/>
  <c r="E460" i="37"/>
  <c r="G456" i="37"/>
  <c r="G417" i="37"/>
  <c r="G414" i="37"/>
  <c r="I410" i="37"/>
  <c r="G443" i="37"/>
  <c r="I439" i="37"/>
  <c r="E405" i="37"/>
  <c r="G401" i="37"/>
  <c r="I397" i="37"/>
  <c r="E421" i="37"/>
  <c r="K419" i="37"/>
  <c r="G388" i="37"/>
  <c r="I384" i="37"/>
  <c r="K380" i="37"/>
  <c r="E408" i="37"/>
  <c r="K406" i="37"/>
  <c r="G375" i="37"/>
  <c r="I368" i="37"/>
  <c r="E366" i="37"/>
  <c r="K393" i="37"/>
  <c r="E392" i="37"/>
  <c r="J465" i="37"/>
  <c r="F463" i="37"/>
  <c r="L461" i="37"/>
  <c r="E379" i="37"/>
  <c r="K377" i="37"/>
  <c r="D454" i="37"/>
  <c r="J452" i="37"/>
  <c r="F450" i="37"/>
  <c r="H517" i="37"/>
  <c r="D467" i="37"/>
  <c r="H443" i="37"/>
  <c r="D441" i="37"/>
  <c r="J439" i="37"/>
  <c r="H459" i="37"/>
  <c r="H456" i="37"/>
  <c r="F434" i="37"/>
  <c r="D425" i="37"/>
  <c r="L422" i="37"/>
  <c r="L448" i="37"/>
  <c r="F447" i="37"/>
  <c r="H417" i="37"/>
  <c r="J413" i="37"/>
  <c r="D412" i="37"/>
  <c r="D438" i="37"/>
  <c r="L435" i="37"/>
  <c r="L406" i="37"/>
  <c r="H404" i="37"/>
  <c r="H401" i="37"/>
  <c r="F421" i="37"/>
  <c r="L419" i="37"/>
  <c r="F395" i="37"/>
  <c r="L393" i="37"/>
  <c r="F392" i="37"/>
  <c r="J410" i="37"/>
  <c r="F408" i="37"/>
  <c r="J384" i="37"/>
  <c r="D383" i="37"/>
  <c r="L380" i="37"/>
  <c r="D399" i="37"/>
  <c r="J397" i="37"/>
  <c r="L367" i="37"/>
  <c r="F366" i="37"/>
  <c r="L364" i="37"/>
  <c r="H388" i="37"/>
  <c r="D386" i="37"/>
  <c r="G463" i="37"/>
  <c r="I459" i="37"/>
  <c r="K455" i="37"/>
  <c r="F379" i="37"/>
  <c r="H375" i="37"/>
  <c r="G450" i="37"/>
  <c r="I446" i="37"/>
  <c r="I443" i="37"/>
  <c r="H362" i="37"/>
  <c r="E467" i="37"/>
  <c r="G437" i="37"/>
  <c r="G434" i="37"/>
  <c r="E425" i="37"/>
  <c r="E454" i="37"/>
  <c r="K452" i="37"/>
  <c r="K413" i="37"/>
  <c r="E412" i="37"/>
  <c r="G408" i="37"/>
  <c r="E441" i="37"/>
  <c r="K439" i="37"/>
  <c r="E399" i="37"/>
  <c r="K397" i="37"/>
  <c r="G395" i="37"/>
  <c r="G421" i="37"/>
  <c r="I417" i="37"/>
  <c r="E386" i="37"/>
  <c r="K384" i="37"/>
  <c r="G382" i="37"/>
  <c r="I404" i="37"/>
  <c r="K400" i="37"/>
  <c r="E373" i="37"/>
  <c r="F467" i="37"/>
  <c r="H463" i="37"/>
  <c r="I391" i="37"/>
  <c r="I388" i="37"/>
  <c r="D458" i="37"/>
  <c r="L455" i="37"/>
  <c r="F454" i="37"/>
  <c r="G379" i="37"/>
  <c r="I375" i="37"/>
  <c r="D445" i="37"/>
  <c r="L442" i="37"/>
  <c r="F441" i="37"/>
  <c r="D461" i="37"/>
  <c r="J459" i="37"/>
  <c r="J433" i="37"/>
  <c r="H424" i="37"/>
  <c r="H421" i="37"/>
  <c r="H450" i="37"/>
  <c r="J446" i="37"/>
  <c r="F415" i="37"/>
  <c r="L413" i="37"/>
  <c r="F412" i="37"/>
  <c r="L439" i="37"/>
  <c r="H437" i="37"/>
  <c r="J404" i="37"/>
  <c r="D403" i="37"/>
  <c r="L400" i="37"/>
  <c r="D419" i="37"/>
  <c r="J417" i="37"/>
  <c r="J391" i="37"/>
  <c r="L387" i="37"/>
  <c r="I466" i="37"/>
  <c r="H408" i="37"/>
  <c r="D406" i="37"/>
  <c r="K459" i="37"/>
  <c r="G457" i="37"/>
  <c r="G454" i="37"/>
  <c r="F399" i="37"/>
  <c r="H395" i="37"/>
  <c r="K446" i="37"/>
  <c r="E445" i="37"/>
  <c r="G441" i="37"/>
  <c r="I463" i="37"/>
  <c r="E461" i="37"/>
  <c r="I424" i="37"/>
  <c r="K420" i="37"/>
  <c r="E419" i="37"/>
  <c r="I450" i="37"/>
  <c r="E448" i="37"/>
  <c r="I411" i="37"/>
  <c r="I408" i="37"/>
  <c r="E406" i="37"/>
  <c r="I437" i="37"/>
  <c r="K433" i="37"/>
  <c r="G399" i="37"/>
  <c r="I395" i="37"/>
  <c r="E393" i="37"/>
  <c r="K417" i="37"/>
  <c r="G415" i="37"/>
  <c r="I382" i="37"/>
  <c r="K378" i="37"/>
  <c r="E377" i="37"/>
  <c r="K404" i="37"/>
  <c r="G402" i="37"/>
  <c r="K365" i="37"/>
  <c r="E364" i="37"/>
  <c r="K362" i="37"/>
  <c r="K391" i="37"/>
  <c r="G386" i="37"/>
  <c r="J466" i="37"/>
  <c r="D465" i="37"/>
  <c r="L462" i="37"/>
  <c r="G373" i="37"/>
  <c r="I369" i="37"/>
  <c r="H457" i="37"/>
  <c r="J453" i="37"/>
  <c r="D452" i="37"/>
  <c r="G360" i="37"/>
  <c r="I356" i="37"/>
  <c r="L446" i="37"/>
  <c r="H444" i="37"/>
  <c r="H441" i="37"/>
  <c r="F461" i="37"/>
  <c r="L459" i="37"/>
  <c r="F435" i="37"/>
  <c r="L433" i="37"/>
  <c r="J424" i="37"/>
  <c r="J450" i="37"/>
  <c r="F448" i="37"/>
  <c r="F419" i="37"/>
  <c r="H415" i="37"/>
  <c r="J411" i="37"/>
  <c r="D439" i="37"/>
  <c r="J437" i="37"/>
  <c r="F406" i="37"/>
  <c r="L404" i="37"/>
  <c r="H402" i="37"/>
  <c r="D423" i="37"/>
  <c r="L420" i="37"/>
  <c r="J395" i="37"/>
  <c r="F393" i="37"/>
  <c r="L391" i="37"/>
  <c r="D410" i="37"/>
  <c r="L407" i="37"/>
  <c r="K466" i="37"/>
  <c r="E465" i="37"/>
  <c r="G461" i="37"/>
  <c r="J398" i="37"/>
  <c r="D397" i="37"/>
  <c r="E452" i="37"/>
  <c r="G448" i="37"/>
  <c r="I444" i="37"/>
  <c r="H389" i="37"/>
  <c r="H386" i="37"/>
  <c r="G435" i="37"/>
  <c r="K424" i="37"/>
  <c r="G422" i="37"/>
  <c r="I457" i="37"/>
  <c r="K453" i="37"/>
  <c r="E413" i="37"/>
  <c r="K411" i="37"/>
  <c r="E410" i="37"/>
  <c r="E439" i="37"/>
  <c r="K437" i="37"/>
  <c r="K398" i="37"/>
  <c r="E397" i="37"/>
  <c r="G393" i="37"/>
  <c r="G419" i="37"/>
  <c r="I415" i="37"/>
  <c r="H464" i="37"/>
  <c r="H461" i="37"/>
  <c r="D459" i="37"/>
  <c r="G406" i="37"/>
  <c r="I402" i="37"/>
  <c r="L453" i="37"/>
  <c r="F452" i="37"/>
  <c r="H448" i="37"/>
  <c r="I389" i="37"/>
  <c r="L466" i="37"/>
  <c r="D443" i="37"/>
  <c r="F439" i="37"/>
  <c r="H435" i="37"/>
  <c r="J457" i="37"/>
  <c r="F455" i="37"/>
  <c r="J418" i="37"/>
  <c r="D417" i="37"/>
  <c r="J415" i="37"/>
  <c r="D446" i="37"/>
  <c r="J444" i="37"/>
  <c r="H409" i="37"/>
  <c r="H406" i="37"/>
  <c r="D404" i="37"/>
  <c r="L424" i="37"/>
  <c r="H422" i="37"/>
  <c r="L398" i="37"/>
  <c r="F397" i="37"/>
  <c r="H393" i="37"/>
  <c r="F413" i="37"/>
  <c r="L411" i="37"/>
  <c r="D388" i="37"/>
  <c r="L385" i="37"/>
  <c r="F384" i="37"/>
  <c r="J402" i="37"/>
  <c r="F400" i="37"/>
  <c r="D375" i="37"/>
  <c r="L372" i="37"/>
  <c r="I464" i="37"/>
  <c r="D391" i="37"/>
  <c r="J389" i="37"/>
  <c r="K457" i="37"/>
  <c r="G455" i="37"/>
  <c r="I451" i="37"/>
  <c r="H380" i="37"/>
  <c r="J376" i="37"/>
  <c r="K444" i="37"/>
  <c r="G442" i="37"/>
  <c r="G439" i="37"/>
  <c r="K460" i="37"/>
  <c r="E459" i="37"/>
  <c r="I422" i="37"/>
  <c r="K418" i="37"/>
  <c r="E417" i="37"/>
  <c r="I448" i="37"/>
  <c r="E446" i="37"/>
  <c r="K405" i="37"/>
  <c r="E404" i="37"/>
  <c r="K402" i="37"/>
  <c r="I435" i="37"/>
  <c r="E433" i="37"/>
  <c r="I393" i="37"/>
  <c r="E391" i="37"/>
  <c r="K389" i="37"/>
  <c r="G413" i="37"/>
  <c r="I409" i="37"/>
  <c r="I380" i="37"/>
  <c r="E378" i="37"/>
  <c r="K376" i="37"/>
  <c r="G400" i="37"/>
  <c r="I396" i="37"/>
  <c r="K363" i="37"/>
  <c r="E362" i="37"/>
  <c r="G358" i="37"/>
  <c r="G387" i="37"/>
  <c r="G384" i="37"/>
  <c r="E349" i="37"/>
  <c r="K347" i="37"/>
  <c r="G345" i="37"/>
  <c r="E375" i="37"/>
  <c r="I367" i="37"/>
  <c r="E336" i="37"/>
  <c r="K334" i="37"/>
  <c r="G332" i="37"/>
  <c r="I354" i="37"/>
  <c r="K350" i="37"/>
  <c r="E323" i="37"/>
  <c r="K321" i="37"/>
  <c r="E320" i="37"/>
  <c r="I341" i="37"/>
  <c r="I338" i="37"/>
  <c r="K308" i="37"/>
  <c r="E307" i="37"/>
  <c r="G303" i="37"/>
  <c r="G329" i="37"/>
  <c r="I325" i="37"/>
  <c r="J464" i="37"/>
  <c r="D463" i="37"/>
  <c r="L460" i="37"/>
  <c r="G316" i="37"/>
  <c r="I312" i="37"/>
  <c r="J451" i="37"/>
  <c r="D450" i="37"/>
  <c r="L447" i="37"/>
  <c r="I299" i="37"/>
  <c r="D466" i="37"/>
  <c r="H442" i="37"/>
  <c r="J438" i="37"/>
  <c r="D437" i="37"/>
  <c r="F459" i="37"/>
  <c r="H455" i="37"/>
  <c r="D424" i="37"/>
  <c r="J422" i="37"/>
  <c r="F420" i="37"/>
  <c r="F446" i="37"/>
  <c r="L444" i="37"/>
  <c r="H413" i="37"/>
  <c r="D411" i="37"/>
  <c r="J409" i="37"/>
  <c r="J435" i="37"/>
  <c r="F433" i="37"/>
  <c r="F404" i="37"/>
  <c r="H400" i="37"/>
  <c r="J396" i="37"/>
  <c r="L418" i="37"/>
  <c r="F417" i="37"/>
  <c r="F391" i="37"/>
  <c r="L389" i="37"/>
  <c r="H387" i="37"/>
  <c r="D408" i="37"/>
  <c r="L405" i="37"/>
  <c r="J380" i="37"/>
  <c r="F378" i="37"/>
  <c r="E466" i="37"/>
  <c r="D395" i="37"/>
  <c r="L392" i="37"/>
  <c r="G459" i="37"/>
  <c r="I455" i="37"/>
  <c r="E453" i="37"/>
  <c r="J383" i="37"/>
  <c r="D382" i="37"/>
  <c r="G446" i="37"/>
  <c r="I442" i="37"/>
  <c r="K438" i="37"/>
  <c r="K464" i="37"/>
  <c r="G462" i="37"/>
  <c r="L467" i="37"/>
  <c r="F466" i="37"/>
  <c r="L464" i="37"/>
  <c r="K451" i="37"/>
  <c r="E450" i="37"/>
  <c r="D457" i="37"/>
  <c r="J455" i="37"/>
  <c r="F453" i="37"/>
  <c r="E437" i="37"/>
  <c r="G433" i="37"/>
  <c r="H446" i="37"/>
  <c r="D444" i="37"/>
  <c r="J442" i="37"/>
  <c r="H462" i="37"/>
  <c r="J458" i="37"/>
  <c r="H433" i="37"/>
  <c r="L425" i="37"/>
  <c r="F424" i="37"/>
  <c r="L451" i="37"/>
  <c r="H449" i="37"/>
  <c r="D415" i="37"/>
  <c r="L412" i="37"/>
  <c r="F411" i="37"/>
  <c r="L438" i="37"/>
  <c r="F437" i="37"/>
  <c r="J403" i="37"/>
  <c r="D402" i="37"/>
  <c r="J400" i="37"/>
  <c r="H420" i="37"/>
  <c r="J416" i="37"/>
  <c r="I462" i="37"/>
  <c r="K458" i="37"/>
  <c r="E457" i="37"/>
  <c r="L409" i="37"/>
  <c r="H407" i="37"/>
  <c r="K445" i="37"/>
  <c r="E444" i="37"/>
  <c r="K442" i="37"/>
  <c r="F398" i="37"/>
  <c r="G466" i="37"/>
  <c r="G424" i="37"/>
  <c r="I420" i="37"/>
  <c r="E418" i="37"/>
  <c r="G453" i="37"/>
  <c r="I449" i="37"/>
  <c r="G411" i="37"/>
  <c r="I407" i="37"/>
  <c r="K403" i="37"/>
  <c r="I436" i="37"/>
  <c r="I433" i="37"/>
  <c r="H466" i="37"/>
  <c r="D464" i="37"/>
  <c r="J462" i="37"/>
  <c r="K416" i="37"/>
  <c r="E415" i="37"/>
  <c r="F457" i="37"/>
  <c r="H453" i="37"/>
  <c r="D451" i="37"/>
  <c r="E402" i="37"/>
  <c r="G398" i="37"/>
  <c r="L445" i="37"/>
  <c r="F444" i="37"/>
  <c r="J436" i="37"/>
  <c r="F460" i="37"/>
  <c r="L458" i="37"/>
  <c r="I517" i="37"/>
  <c r="K465" i="37"/>
  <c r="E464" i="37"/>
  <c r="J449" i="37"/>
  <c r="D448" i="37"/>
  <c r="I456" i="37"/>
  <c r="I453" i="37"/>
  <c r="E451" i="37"/>
  <c r="D435" i="37"/>
  <c r="J423" i="37"/>
  <c r="G444" i="37"/>
  <c r="E438" i="37"/>
  <c r="K436" i="37"/>
  <c r="K462" i="37"/>
  <c r="G460" i="37"/>
  <c r="E422" i="37"/>
  <c r="G418" i="37"/>
  <c r="I414" i="37"/>
  <c r="K449" i="37"/>
  <c r="G447" i="37"/>
  <c r="K407" i="37"/>
  <c r="G405" i="37"/>
  <c r="J517" i="37"/>
  <c r="E435" i="37"/>
  <c r="K423" i="37"/>
  <c r="H460" i="37"/>
  <c r="J456" i="37"/>
  <c r="D455" i="37"/>
  <c r="K410" i="37"/>
  <c r="E409" i="37"/>
  <c r="L449" i="37"/>
  <c r="H447" i="37"/>
  <c r="J443" i="37"/>
  <c r="L465" i="37"/>
  <c r="F464" i="37"/>
  <c r="L436" i="37"/>
  <c r="H434" i="37"/>
  <c r="H414" i="37"/>
  <c r="L452" i="37"/>
  <c r="F451" i="37"/>
  <c r="F385" i="37"/>
  <c r="J381" i="37"/>
  <c r="D374" i="37"/>
  <c r="D442" i="37"/>
  <c r="F438" i="37"/>
  <c r="E357" i="37"/>
  <c r="J354" i="37"/>
  <c r="J352" i="37"/>
  <c r="J405" i="37"/>
  <c r="L396" i="37"/>
  <c r="K341" i="37"/>
  <c r="I339" i="37"/>
  <c r="G337" i="37"/>
  <c r="G367" i="37"/>
  <c r="I359" i="37"/>
  <c r="E330" i="37"/>
  <c r="K325" i="37"/>
  <c r="F324" i="37"/>
  <c r="L345" i="37"/>
  <c r="K343" i="37"/>
  <c r="D316" i="37"/>
  <c r="K314" i="37"/>
  <c r="H312" i="37"/>
  <c r="F335" i="37"/>
  <c r="J331" i="37"/>
  <c r="G404" i="37"/>
  <c r="G385" i="37"/>
  <c r="K381" i="37"/>
  <c r="J320" i="37"/>
  <c r="G318" i="37"/>
  <c r="H367" i="37"/>
  <c r="D365" i="37"/>
  <c r="D362" i="37"/>
  <c r="F310" i="37"/>
  <c r="J414" i="37"/>
  <c r="K354" i="37"/>
  <c r="K352" i="37"/>
  <c r="L343" i="37"/>
  <c r="D378" i="37"/>
  <c r="F374" i="37"/>
  <c r="H337" i="37"/>
  <c r="G335" i="37"/>
  <c r="K331" i="37"/>
  <c r="J359" i="37"/>
  <c r="F357" i="37"/>
  <c r="G324" i="37"/>
  <c r="D322" i="37"/>
  <c r="H318" i="37"/>
  <c r="L341" i="37"/>
  <c r="J339" i="37"/>
  <c r="J312" i="37"/>
  <c r="G310" i="37"/>
  <c r="K306" i="37"/>
  <c r="H329" i="37"/>
  <c r="L325" i="37"/>
  <c r="G299" i="37"/>
  <c r="I295" i="37"/>
  <c r="E293" i="37"/>
  <c r="E316" i="37"/>
  <c r="L314" i="37"/>
  <c r="L414" i="37"/>
  <c r="L403" i="37"/>
  <c r="D396" i="37"/>
  <c r="H304" i="37"/>
  <c r="L300" i="37"/>
  <c r="D377" i="37"/>
  <c r="L373" i="37"/>
  <c r="J367" i="37"/>
  <c r="K291" i="37"/>
  <c r="E290" i="37"/>
  <c r="L359" i="37"/>
  <c r="J356" i="37"/>
  <c r="L354" i="37"/>
  <c r="H385" i="37"/>
  <c r="L381" i="37"/>
  <c r="J337" i="37"/>
  <c r="H335" i="37"/>
  <c r="E333" i="37"/>
  <c r="J364" i="37"/>
  <c r="F362" i="37"/>
  <c r="D328" i="37"/>
  <c r="J323" i="37"/>
  <c r="E322" i="37"/>
  <c r="D350" i="37"/>
  <c r="K339" i="37"/>
  <c r="D314" i="37"/>
  <c r="K312" i="37"/>
  <c r="H310" i="37"/>
  <c r="L331" i="37"/>
  <c r="I329" i="37"/>
  <c r="I304" i="37"/>
  <c r="D303" i="37"/>
  <c r="K425" i="37"/>
  <c r="I318" i="37"/>
  <c r="F316" i="37"/>
  <c r="I385" i="37"/>
  <c r="D381" i="37"/>
  <c r="F377" i="37"/>
  <c r="E308" i="37"/>
  <c r="L306" i="37"/>
  <c r="K364" i="37"/>
  <c r="I361" i="37"/>
  <c r="F359" i="37"/>
  <c r="I413" i="37"/>
  <c r="E396" i="37"/>
  <c r="E350" i="37"/>
  <c r="D348" i="37"/>
  <c r="E343" i="37"/>
  <c r="F373" i="37"/>
  <c r="K367" i="37"/>
  <c r="K337" i="37"/>
  <c r="I335" i="37"/>
  <c r="F333" i="37"/>
  <c r="K356" i="37"/>
  <c r="D352" i="37"/>
  <c r="K323" i="37"/>
  <c r="F322" i="37"/>
  <c r="L317" i="37"/>
  <c r="D341" i="37"/>
  <c r="L339" i="37"/>
  <c r="I310" i="37"/>
  <c r="F308" i="37"/>
  <c r="J304" i="37"/>
  <c r="J329" i="37"/>
  <c r="G327" i="37"/>
  <c r="E297" i="37"/>
  <c r="G293" i="37"/>
  <c r="I289" i="37"/>
  <c r="H316" i="37"/>
  <c r="E314" i="37"/>
  <c r="K282" i="37"/>
  <c r="I276" i="37"/>
  <c r="I273" i="37"/>
  <c r="G302" i="37"/>
  <c r="K298" i="37"/>
  <c r="G267" i="37"/>
  <c r="G264" i="37"/>
  <c r="I260" i="37"/>
  <c r="K285" i="37"/>
  <c r="E284" i="37"/>
  <c r="E255" i="37"/>
  <c r="F425" i="37"/>
  <c r="F396" i="37"/>
  <c r="E271" i="37"/>
  <c r="K269" i="37"/>
  <c r="H373" i="37"/>
  <c r="J361" i="37"/>
  <c r="G359" i="37"/>
  <c r="E258" i="37"/>
  <c r="K256" i="37"/>
  <c r="E352" i="37"/>
  <c r="H349" i="37"/>
  <c r="G347" i="37"/>
  <c r="J385" i="37"/>
  <c r="I376" i="37"/>
  <c r="E341" i="37"/>
  <c r="D339" i="37"/>
  <c r="J335" i="37"/>
  <c r="L356" i="37"/>
  <c r="D354" i="37"/>
  <c r="K329" i="37"/>
  <c r="H327" i="37"/>
  <c r="L323" i="37"/>
  <c r="F345" i="37"/>
  <c r="F343" i="37"/>
  <c r="E424" i="37"/>
  <c r="D413" i="37"/>
  <c r="F403" i="37"/>
  <c r="G333" i="37"/>
  <c r="D331" i="37"/>
  <c r="L376" i="37"/>
  <c r="I373" i="37"/>
  <c r="D364" i="37"/>
  <c r="I321" i="37"/>
  <c r="D320" i="37"/>
  <c r="D356" i="37"/>
  <c r="E354" i="37"/>
  <c r="J351" i="37"/>
  <c r="H396" i="37"/>
  <c r="F380" i="37"/>
  <c r="H345" i="37"/>
  <c r="G343" i="37"/>
  <c r="F341" i="37"/>
  <c r="K361" i="37"/>
  <c r="J358" i="37"/>
  <c r="E331" i="37"/>
  <c r="L329" i="37"/>
  <c r="I327" i="37"/>
  <c r="I349" i="37"/>
  <c r="H347" i="37"/>
  <c r="H319" i="37"/>
  <c r="L315" i="37"/>
  <c r="G314" i="37"/>
  <c r="E339" i="37"/>
  <c r="H333" i="37"/>
  <c r="E306" i="37"/>
  <c r="L304" i="37"/>
  <c r="I302" i="37"/>
  <c r="F325" i="37"/>
  <c r="J321" i="37"/>
  <c r="I293" i="37"/>
  <c r="E291" i="37"/>
  <c r="K289" i="37"/>
  <c r="D312" i="37"/>
  <c r="H308" i="37"/>
  <c r="H412" i="37"/>
  <c r="E395" i="37"/>
  <c r="D389" i="37"/>
  <c r="F300" i="37"/>
  <c r="I296" i="37"/>
  <c r="H369" i="37"/>
  <c r="D367" i="37"/>
  <c r="F364" i="37"/>
  <c r="G287" i="37"/>
  <c r="L423" i="37"/>
  <c r="E356" i="37"/>
  <c r="F354" i="37"/>
  <c r="K351" i="37"/>
  <c r="L384" i="37"/>
  <c r="G380" i="37"/>
  <c r="I345" i="37"/>
  <c r="H343" i="37"/>
  <c r="H341" i="37"/>
  <c r="L361" i="37"/>
  <c r="K358" i="37"/>
  <c r="I333" i="37"/>
  <c r="F331" i="37"/>
  <c r="J327" i="37"/>
  <c r="J349" i="37"/>
  <c r="I347" i="37"/>
  <c r="I319" i="37"/>
  <c r="D318" i="37"/>
  <c r="J313" i="37"/>
  <c r="F339" i="37"/>
  <c r="D337" i="37"/>
  <c r="F306" i="37"/>
  <c r="J302" i="37"/>
  <c r="G300" i="37"/>
  <c r="G325" i="37"/>
  <c r="L321" i="37"/>
  <c r="L292" i="37"/>
  <c r="F291" i="37"/>
  <c r="L289" i="37"/>
  <c r="E312" i="37"/>
  <c r="I308" i="37"/>
  <c r="D282" i="37"/>
  <c r="L276" i="37"/>
  <c r="H274" i="37"/>
  <c r="J296" i="37"/>
  <c r="D295" i="37"/>
  <c r="J267" i="37"/>
  <c r="F265" i="37"/>
  <c r="L263" i="37"/>
  <c r="H287" i="37"/>
  <c r="J283" i="37"/>
  <c r="D256" i="37"/>
  <c r="J254" i="37"/>
  <c r="D253" i="37"/>
  <c r="H271" i="37"/>
  <c r="D269" i="37"/>
  <c r="H245" i="37"/>
  <c r="J241" i="37"/>
  <c r="L237" i="37"/>
  <c r="F262" i="37"/>
  <c r="H258" i="37"/>
  <c r="H232" i="37"/>
  <c r="J228" i="37"/>
  <c r="D227" i="37"/>
  <c r="L250" i="37"/>
  <c r="F249" i="37"/>
  <c r="L221" i="37"/>
  <c r="H219" i="37"/>
  <c r="H216" i="37"/>
  <c r="F236" i="37"/>
  <c r="L234" i="37"/>
  <c r="F210" i="37"/>
  <c r="L208" i="37"/>
  <c r="F207" i="37"/>
  <c r="J225" i="37"/>
  <c r="F223" i="37"/>
  <c r="J199" i="37"/>
  <c r="D198" i="37"/>
  <c r="L195" i="37"/>
  <c r="D214" i="37"/>
  <c r="J212" i="37"/>
  <c r="J186" i="37"/>
  <c r="D185" i="37"/>
  <c r="L182" i="37"/>
  <c r="H203" i="37"/>
  <c r="D201" i="37"/>
  <c r="H177" i="37"/>
  <c r="J173" i="37"/>
  <c r="D172" i="37"/>
  <c r="F194" i="37"/>
  <c r="H190" i="37"/>
  <c r="L166" i="37"/>
  <c r="H164" i="37"/>
  <c r="H161" i="37"/>
  <c r="F181" i="37"/>
  <c r="L179" i="37"/>
  <c r="F155" i="37"/>
  <c r="L153" i="37"/>
  <c r="F152" i="37"/>
  <c r="J170" i="37"/>
  <c r="F168" i="37"/>
  <c r="K422" i="37"/>
  <c r="E411" i="37"/>
  <c r="F402" i="37"/>
  <c r="D159" i="37"/>
  <c r="J157" i="37"/>
  <c r="D384" i="37"/>
  <c r="D376" i="37"/>
  <c r="J369" i="37"/>
  <c r="H148" i="37"/>
  <c r="D146" i="37"/>
  <c r="L358" i="37"/>
  <c r="F356" i="37"/>
  <c r="J353" i="37"/>
  <c r="H394" i="37"/>
  <c r="E389" i="37"/>
  <c r="J347" i="37"/>
  <c r="J345" i="37"/>
  <c r="I343" i="37"/>
  <c r="E367" i="37"/>
  <c r="G364" i="37"/>
  <c r="E337" i="37"/>
  <c r="L332" i="37"/>
  <c r="G331" i="37"/>
  <c r="L351" i="37"/>
  <c r="K349" i="37"/>
  <c r="H325" i="37"/>
  <c r="F323" i="37"/>
  <c r="J319" i="37"/>
  <c r="K340" i="37"/>
  <c r="G339" i="37"/>
  <c r="F312" i="37"/>
  <c r="L307" i="37"/>
  <c r="G306" i="37"/>
  <c r="D329" i="37"/>
  <c r="K327" i="37"/>
  <c r="H300" i="37"/>
  <c r="E298" i="37"/>
  <c r="K296" i="37"/>
  <c r="G317" i="37"/>
  <c r="K313" i="37"/>
  <c r="I287" i="37"/>
  <c r="K283" i="37"/>
  <c r="E282" i="37"/>
  <c r="D304" i="37"/>
  <c r="K302" i="37"/>
  <c r="D422" i="37"/>
  <c r="H411" i="37"/>
  <c r="I401" i="37"/>
  <c r="E295" i="37"/>
  <c r="G291" i="37"/>
  <c r="E384" i="37"/>
  <c r="E376" i="37"/>
  <c r="D373" i="37"/>
  <c r="I274" i="37"/>
  <c r="K270" i="37"/>
  <c r="J363" i="37"/>
  <c r="D361" i="37"/>
  <c r="G356" i="37"/>
  <c r="I394" i="37"/>
  <c r="F389" i="37"/>
  <c r="L342" i="37"/>
  <c r="L340" i="37"/>
  <c r="J338" i="37"/>
  <c r="K369" i="37"/>
  <c r="F367" i="37"/>
  <c r="H331" i="37"/>
  <c r="E329" i="37"/>
  <c r="J325" i="37"/>
  <c r="K353" i="37"/>
  <c r="L349" i="37"/>
  <c r="K319" i="37"/>
  <c r="H317" i="37"/>
  <c r="L313" i="37"/>
  <c r="F337" i="37"/>
  <c r="D335" i="37"/>
  <c r="H306" i="37"/>
  <c r="E304" i="37"/>
  <c r="I300" i="37"/>
  <c r="G323" i="37"/>
  <c r="D321" i="37"/>
  <c r="H294" i="37"/>
  <c r="H291" i="37"/>
  <c r="D289" i="37"/>
  <c r="I311" i="37"/>
  <c r="D310" i="37"/>
  <c r="L283" i="37"/>
  <c r="F282" i="37"/>
  <c r="D276" i="37"/>
  <c r="F298" i="37"/>
  <c r="L296" i="37"/>
  <c r="L270" i="37"/>
  <c r="F269" i="37"/>
  <c r="H265" i="37"/>
  <c r="J287" i="37"/>
  <c r="F285" i="37"/>
  <c r="L257" i="37"/>
  <c r="F256" i="37"/>
  <c r="L254" i="37"/>
  <c r="J274" i="37"/>
  <c r="D273" i="37"/>
  <c r="D247" i="37"/>
  <c r="J245" i="37"/>
  <c r="F243" i="37"/>
  <c r="J261" i="37"/>
  <c r="D260" i="37"/>
  <c r="H236" i="37"/>
  <c r="D234" i="37"/>
  <c r="J232" i="37"/>
  <c r="H252" i="37"/>
  <c r="J248" i="37"/>
  <c r="F227" i="37"/>
  <c r="H223" i="37"/>
  <c r="D221" i="37"/>
  <c r="L241" i="37"/>
  <c r="H239" i="37"/>
  <c r="J401" i="37"/>
  <c r="J394" i="37"/>
  <c r="G389" i="37"/>
  <c r="F230" i="37"/>
  <c r="L228" i="37"/>
  <c r="G372" i="37"/>
  <c r="L369" i="37"/>
  <c r="J366" i="37"/>
  <c r="F422" i="37"/>
  <c r="L410" i="37"/>
  <c r="E358" i="37"/>
  <c r="H356" i="37"/>
  <c r="D351" i="37"/>
  <c r="K383" i="37"/>
  <c r="F376" i="37"/>
  <c r="E335" i="37"/>
  <c r="K330" i="37"/>
  <c r="F329" i="37"/>
  <c r="L363" i="37"/>
  <c r="F361" i="37"/>
  <c r="E321" i="37"/>
  <c r="L319" i="37"/>
  <c r="I317" i="37"/>
  <c r="K338" i="37"/>
  <c r="I336" i="37"/>
  <c r="E310" i="37"/>
  <c r="K305" i="37"/>
  <c r="F304" i="37"/>
  <c r="D327" i="37"/>
  <c r="H323" i="37"/>
  <c r="I294" i="37"/>
  <c r="K290" i="37"/>
  <c r="E289" i="37"/>
  <c r="F315" i="37"/>
  <c r="J311" i="37"/>
  <c r="I281" i="37"/>
  <c r="E276" i="37"/>
  <c r="K274" i="37"/>
  <c r="J300" i="37"/>
  <c r="G298" i="37"/>
  <c r="K394" i="37"/>
  <c r="J388" i="37"/>
  <c r="L383" i="37"/>
  <c r="K287" i="37"/>
  <c r="G285" i="37"/>
  <c r="H372" i="37"/>
  <c r="D369" i="37"/>
  <c r="D366" i="37"/>
  <c r="G420" i="37"/>
  <c r="L401" i="37"/>
  <c r="K355" i="37"/>
  <c r="E353" i="37"/>
  <c r="E351" i="37"/>
  <c r="D380" i="37"/>
  <c r="G376" i="37"/>
  <c r="L338" i="37"/>
  <c r="J336" i="37"/>
  <c r="H334" i="37"/>
  <c r="L360" i="37"/>
  <c r="F358" i="37"/>
  <c r="J420" i="37"/>
  <c r="K409" i="37"/>
  <c r="I400" i="37"/>
  <c r="D349" i="37"/>
  <c r="D347" i="37"/>
  <c r="E380" i="37"/>
  <c r="H376" i="37"/>
  <c r="I372" i="37"/>
  <c r="L330" i="37"/>
  <c r="J328" i="37"/>
  <c r="H358" i="37"/>
  <c r="L355" i="37"/>
  <c r="F353" i="37"/>
  <c r="L394" i="37"/>
  <c r="L388" i="37"/>
  <c r="E347" i="37"/>
  <c r="D345" i="37"/>
  <c r="G342" i="37"/>
  <c r="E369" i="37"/>
  <c r="G366" i="37"/>
  <c r="D333" i="37"/>
  <c r="K328" i="37"/>
  <c r="F327" i="37"/>
  <c r="F351" i="37"/>
  <c r="F349" i="37"/>
  <c r="D319" i="37"/>
  <c r="K317" i="37"/>
  <c r="H315" i="37"/>
  <c r="K336" i="37"/>
  <c r="I334" i="37"/>
  <c r="I309" i="37"/>
  <c r="D308" i="37"/>
  <c r="J303" i="37"/>
  <c r="L322" i="37"/>
  <c r="G321" i="37"/>
  <c r="E296" i="37"/>
  <c r="K294" i="37"/>
  <c r="G292" i="37"/>
  <c r="E313" i="37"/>
  <c r="L311" i="37"/>
  <c r="E283" i="37"/>
  <c r="K281" i="37"/>
  <c r="G276" i="37"/>
  <c r="E302" i="37"/>
  <c r="I298" i="37"/>
  <c r="E267" i="37"/>
  <c r="G263" i="37"/>
  <c r="I259" i="37"/>
  <c r="G289" i="37"/>
  <c r="I285" i="37"/>
  <c r="K252" i="37"/>
  <c r="G250" i="37"/>
  <c r="I246" i="37"/>
  <c r="I272" i="37"/>
  <c r="K268" i="37"/>
  <c r="K239" i="37"/>
  <c r="G237" i="37"/>
  <c r="G234" i="37"/>
  <c r="K255" i="37"/>
  <c r="E254" i="37"/>
  <c r="I387" i="37"/>
  <c r="H379" i="37"/>
  <c r="L375" i="37"/>
  <c r="I243" i="37"/>
  <c r="E241" i="37"/>
  <c r="H366" i="37"/>
  <c r="E363" i="37"/>
  <c r="I358" i="37"/>
  <c r="D409" i="37"/>
  <c r="D394" i="37"/>
  <c r="G349" i="37"/>
  <c r="F347" i="37"/>
  <c r="H344" i="37"/>
  <c r="J372" i="37"/>
  <c r="F369" i="37"/>
  <c r="L336" i="37"/>
  <c r="J334" i="37"/>
  <c r="H332" i="37"/>
  <c r="G353" i="37"/>
  <c r="G351" i="37"/>
  <c r="D325" i="37"/>
  <c r="H321" i="37"/>
  <c r="E319" i="37"/>
  <c r="H342" i="37"/>
  <c r="F340" i="37"/>
  <c r="J309" i="37"/>
  <c r="G307" i="37"/>
  <c r="K303" i="37"/>
  <c r="L328" i="37"/>
  <c r="I326" i="37"/>
  <c r="F296" i="37"/>
  <c r="L294" i="37"/>
  <c r="H292" i="37"/>
  <c r="I315" i="37"/>
  <c r="F313" i="37"/>
  <c r="J285" i="37"/>
  <c r="F283" i="37"/>
  <c r="L281" i="37"/>
  <c r="F302" i="37"/>
  <c r="L297" i="37"/>
  <c r="J272" i="37"/>
  <c r="F270" i="37"/>
  <c r="L268" i="37"/>
  <c r="J288" i="37"/>
  <c r="D287" i="37"/>
  <c r="D261" i="37"/>
  <c r="J259" i="37"/>
  <c r="D258" i="37"/>
  <c r="H276" i="37"/>
  <c r="D274" i="37"/>
  <c r="H250" i="37"/>
  <c r="F409" i="37"/>
  <c r="J387" i="37"/>
  <c r="F267" i="37"/>
  <c r="H263" i="37"/>
  <c r="J375" i="37"/>
  <c r="G369" i="37"/>
  <c r="L365" i="37"/>
  <c r="L255" i="37"/>
  <c r="F254" i="37"/>
  <c r="L357" i="37"/>
  <c r="H355" i="37"/>
  <c r="H353" i="37"/>
  <c r="E383" i="37"/>
  <c r="J379" i="37"/>
  <c r="I346" i="37"/>
  <c r="I344" i="37"/>
  <c r="I342" i="37"/>
  <c r="F363" i="37"/>
  <c r="F360" i="37"/>
  <c r="L334" i="37"/>
  <c r="I332" i="37"/>
  <c r="F330" i="37"/>
  <c r="H351" i="37"/>
  <c r="J348" i="37"/>
  <c r="K320" i="37"/>
  <c r="F319" i="37"/>
  <c r="J315" i="37"/>
  <c r="G340" i="37"/>
  <c r="E338" i="37"/>
  <c r="K309" i="37"/>
  <c r="H307" i="37"/>
  <c r="L303" i="37"/>
  <c r="J326" i="37"/>
  <c r="E325" i="37"/>
  <c r="F418" i="37"/>
  <c r="J408" i="37"/>
  <c r="D400" i="37"/>
  <c r="G313" i="37"/>
  <c r="D311" i="37"/>
  <c r="J378" i="37"/>
  <c r="F372" i="37"/>
  <c r="J368" i="37"/>
  <c r="I301" i="37"/>
  <c r="D300" i="37"/>
  <c r="I355" i="37"/>
  <c r="I353" i="37"/>
  <c r="L350" i="37"/>
  <c r="K387" i="37"/>
  <c r="F383" i="37"/>
  <c r="K344" i="37"/>
  <c r="J342" i="37"/>
  <c r="H340" i="37"/>
  <c r="G363" i="37"/>
  <c r="H360" i="37"/>
  <c r="J332" i="37"/>
  <c r="G330" i="37"/>
  <c r="K326" i="37"/>
  <c r="K348" i="37"/>
  <c r="J346" i="37"/>
  <c r="G319" i="37"/>
  <c r="D317" i="37"/>
  <c r="H313" i="37"/>
  <c r="F338" i="37"/>
  <c r="D336" i="37"/>
  <c r="H399" i="37"/>
  <c r="H383" i="37"/>
  <c r="L378" i="37"/>
  <c r="H324" i="37"/>
  <c r="L320" i="37"/>
  <c r="I360" i="37"/>
  <c r="J355" i="37"/>
  <c r="L352" i="37"/>
  <c r="H418" i="37"/>
  <c r="G407" i="37"/>
  <c r="L344" i="37"/>
  <c r="K342" i="37"/>
  <c r="I340" i="37"/>
  <c r="K368" i="37"/>
  <c r="H363" i="37"/>
  <c r="D334" i="37"/>
  <c r="K332" i="37"/>
  <c r="H330" i="37"/>
  <c r="L348" i="37"/>
  <c r="L346" i="37"/>
  <c r="I324" i="37"/>
  <c r="D323" i="37"/>
  <c r="J318" i="37"/>
  <c r="G338" i="37"/>
  <c r="F336" i="37"/>
  <c r="F311" i="37"/>
  <c r="J307" i="37"/>
  <c r="G305" i="37"/>
  <c r="E328" i="37"/>
  <c r="L326" i="37"/>
  <c r="E398" i="37"/>
  <c r="D393" i="37"/>
  <c r="H382" i="37"/>
  <c r="E317" i="37"/>
  <c r="I313" i="37"/>
  <c r="F365" i="37"/>
  <c r="L362" i="37"/>
  <c r="J360" i="37"/>
  <c r="L417" i="37"/>
  <c r="J407" i="37"/>
  <c r="G336" i="37"/>
  <c r="E334" i="37"/>
  <c r="I330" i="37"/>
  <c r="H374" i="37"/>
  <c r="L368" i="37"/>
  <c r="G322" i="37"/>
  <c r="K318" i="37"/>
  <c r="F317" i="37"/>
  <c r="J340" i="37"/>
  <c r="H338" i="37"/>
  <c r="D309" i="37"/>
  <c r="K307" i="37"/>
  <c r="I416" i="37"/>
  <c r="F328" i="37"/>
  <c r="J324" i="37"/>
  <c r="D387" i="37"/>
  <c r="J382" i="37"/>
  <c r="G378" i="37"/>
  <c r="L312" i="37"/>
  <c r="G311" i="37"/>
  <c r="D363" i="37"/>
  <c r="D358" i="37"/>
  <c r="E346" i="37"/>
  <c r="H398" i="37"/>
  <c r="G392" i="37"/>
  <c r="H336" i="37"/>
  <c r="F334" i="37"/>
  <c r="J330" i="37"/>
  <c r="I374" i="37"/>
  <c r="G365" i="37"/>
  <c r="K324" i="37"/>
  <c r="H322" i="37"/>
  <c r="L318" i="37"/>
  <c r="D344" i="37"/>
  <c r="L337" i="37"/>
  <c r="H311" i="37"/>
  <c r="E309" i="37"/>
  <c r="I305" i="37"/>
  <c r="G328" i="37"/>
  <c r="D326" i="37"/>
  <c r="K299" i="37"/>
  <c r="G297" i="37"/>
  <c r="G294" i="37"/>
  <c r="I316" i="37"/>
  <c r="D315" i="37"/>
  <c r="K286" i="37"/>
  <c r="E285" i="37"/>
  <c r="G281" i="37"/>
  <c r="F303" i="37"/>
  <c r="D301" i="37"/>
  <c r="G268" i="37"/>
  <c r="I264" i="37"/>
  <c r="K260" i="37"/>
  <c r="I290" i="37"/>
  <c r="E288" i="37"/>
  <c r="G255" i="37"/>
  <c r="I251" i="37"/>
  <c r="I248" i="37"/>
  <c r="K273" i="37"/>
  <c r="E272" i="37"/>
  <c r="G242" i="37"/>
  <c r="G239" i="37"/>
  <c r="I235" i="37"/>
  <c r="E259" i="37"/>
  <c r="K257" i="37"/>
  <c r="E230" i="37"/>
  <c r="G226" i="37"/>
  <c r="I222" i="37"/>
  <c r="E246" i="37"/>
  <c r="K244" i="37"/>
  <c r="D407" i="37"/>
  <c r="I398" i="37"/>
  <c r="H392" i="37"/>
  <c r="E233" i="37"/>
  <c r="K231" i="37"/>
  <c r="H378" i="37"/>
  <c r="J374" i="37"/>
  <c r="H368" i="37"/>
  <c r="K218" i="37"/>
  <c r="L416" i="37"/>
  <c r="H357" i="37"/>
  <c r="D353" i="37"/>
  <c r="F350" i="37"/>
  <c r="F387" i="37"/>
  <c r="K382" i="37"/>
  <c r="E344" i="37"/>
  <c r="D342" i="37"/>
  <c r="K335" i="37"/>
  <c r="H365" i="37"/>
  <c r="G362" i="37"/>
  <c r="H328" i="37"/>
  <c r="E326" i="37"/>
  <c r="L324" i="37"/>
  <c r="F348" i="37"/>
  <c r="F346" i="37"/>
  <c r="J316" i="37"/>
  <c r="E315" i="37"/>
  <c r="K310" i="37"/>
  <c r="G334" i="37"/>
  <c r="D332" i="37"/>
  <c r="H303" i="37"/>
  <c r="E301" i="37"/>
  <c r="L299" i="37"/>
  <c r="I322" i="37"/>
  <c r="F320" i="37"/>
  <c r="D292" i="37"/>
  <c r="J290" i="37"/>
  <c r="D416" i="37"/>
  <c r="F309" i="37"/>
  <c r="J305" i="37"/>
  <c r="F386" i="37"/>
  <c r="E382" i="37"/>
  <c r="I378" i="37"/>
  <c r="H297" i="37"/>
  <c r="J293" i="37"/>
  <c r="I362" i="37"/>
  <c r="D360" i="37"/>
  <c r="D355" i="37"/>
  <c r="L397" i="37"/>
  <c r="J392" i="37"/>
  <c r="G348" i="37"/>
  <c r="G346" i="37"/>
  <c r="F344" i="37"/>
  <c r="K374" i="37"/>
  <c r="I365" i="37"/>
  <c r="L335" i="37"/>
  <c r="J333" i="37"/>
  <c r="E332" i="37"/>
  <c r="G352" i="37"/>
  <c r="G350" i="37"/>
  <c r="J322" i="37"/>
  <c r="G320" i="37"/>
  <c r="K316" i="37"/>
  <c r="E342" i="37"/>
  <c r="D340" i="37"/>
  <c r="G309" i="37"/>
  <c r="D307" i="37"/>
  <c r="I303" i="37"/>
  <c r="I328" i="37"/>
  <c r="F326" i="37"/>
  <c r="K293" i="37"/>
  <c r="E292" i="37"/>
  <c r="G288" i="37"/>
  <c r="H314" i="37"/>
  <c r="L310" i="37"/>
  <c r="F405" i="37"/>
  <c r="G391" i="37"/>
  <c r="K385" i="37"/>
  <c r="F301" i="37"/>
  <c r="I297" i="37"/>
  <c r="L374" i="37"/>
  <c r="J365" i="37"/>
  <c r="J362" i="37"/>
  <c r="I284" i="37"/>
  <c r="F416" i="37"/>
  <c r="H352" i="37"/>
  <c r="H350" i="37"/>
  <c r="I348" i="37"/>
  <c r="F382" i="37"/>
  <c r="L377" i="37"/>
  <c r="F342" i="37"/>
  <c r="E340" i="37"/>
  <c r="K333" i="37"/>
  <c r="E360" i="37"/>
  <c r="E355" i="37"/>
  <c r="G326" i="37"/>
  <c r="D324" i="37"/>
  <c r="K322" i="37"/>
  <c r="H346" i="37"/>
  <c r="G344" i="37"/>
  <c r="L316" i="37"/>
  <c r="I314" i="37"/>
  <c r="D313" i="37"/>
  <c r="F332" i="37"/>
  <c r="L327" i="37"/>
  <c r="L302" i="37"/>
  <c r="G301" i="37"/>
  <c r="D299" i="37"/>
  <c r="H320" i="37"/>
  <c r="E318" i="37"/>
  <c r="L293" i="37"/>
  <c r="F292" i="37"/>
  <c r="H288" i="37"/>
  <c r="J308" i="37"/>
  <c r="F307" i="37"/>
  <c r="D283" i="37"/>
  <c r="H275" i="37"/>
  <c r="J271" i="37"/>
  <c r="J297" i="37"/>
  <c r="F295" i="37"/>
  <c r="F266" i="37"/>
  <c r="L264" i="37"/>
  <c r="H262" i="37"/>
  <c r="D286" i="37"/>
  <c r="J284" i="37"/>
  <c r="J255" i="37"/>
  <c r="F253" i="37"/>
  <c r="L251" i="37"/>
  <c r="D270" i="37"/>
  <c r="L267" i="37"/>
  <c r="H405" i="37"/>
  <c r="K396" i="37"/>
  <c r="H391" i="37"/>
  <c r="J258" i="37"/>
  <c r="D257" i="37"/>
  <c r="H359" i="37"/>
  <c r="D357" i="37"/>
  <c r="H354" i="37"/>
  <c r="H249" i="37"/>
  <c r="H246" i="37"/>
  <c r="L347" i="37"/>
  <c r="K345" i="37"/>
  <c r="J343" i="37"/>
  <c r="I381" i="37"/>
  <c r="D368" i="37"/>
  <c r="D338" i="37"/>
  <c r="L333" i="37"/>
  <c r="I331" i="37"/>
  <c r="I352" i="37"/>
  <c r="J350" i="37"/>
  <c r="E324" i="37"/>
  <c r="I320" i="37"/>
  <c r="F318" i="37"/>
  <c r="J341" i="37"/>
  <c r="H339" i="37"/>
  <c r="I307" i="37"/>
  <c r="K300" i="37"/>
  <c r="K295" i="37"/>
  <c r="D330" i="37"/>
  <c r="H326" i="37"/>
  <c r="F274" i="37"/>
  <c r="D271" i="37"/>
  <c r="E268" i="37"/>
  <c r="J314" i="37"/>
  <c r="E327" i="37"/>
  <c r="G260" i="37"/>
  <c r="G257" i="37"/>
  <c r="I252" i="37"/>
  <c r="L291" i="37"/>
  <c r="E287" i="37"/>
  <c r="F238" i="37"/>
  <c r="G236" i="37"/>
  <c r="K233" i="37"/>
  <c r="L265" i="37"/>
  <c r="L262" i="37"/>
  <c r="I227" i="37"/>
  <c r="H225" i="37"/>
  <c r="I223" i="37"/>
  <c r="D250" i="37"/>
  <c r="I247" i="37"/>
  <c r="D217" i="37"/>
  <c r="H213" i="37"/>
  <c r="E211" i="37"/>
  <c r="J231" i="37"/>
  <c r="J229" i="37"/>
  <c r="F205" i="37"/>
  <c r="J201" i="37"/>
  <c r="E200" i="37"/>
  <c r="H221" i="37"/>
  <c r="F219" i="37"/>
  <c r="D192" i="37"/>
  <c r="H188" i="37"/>
  <c r="E186" i="37"/>
  <c r="L209" i="37"/>
  <c r="I207" i="37"/>
  <c r="F180" i="37"/>
  <c r="J176" i="37"/>
  <c r="E175" i="37"/>
  <c r="K195" i="37"/>
  <c r="G194" i="37"/>
  <c r="L295" i="37"/>
  <c r="D291" i="37"/>
  <c r="F287" i="37"/>
  <c r="L184" i="37"/>
  <c r="I182" i="37"/>
  <c r="F271" i="37"/>
  <c r="F268" i="37"/>
  <c r="H260" i="37"/>
  <c r="K170" i="37"/>
  <c r="I306" i="37"/>
  <c r="E250" i="37"/>
  <c r="J247" i="37"/>
  <c r="D245" i="37"/>
  <c r="G283" i="37"/>
  <c r="G274" i="37"/>
  <c r="K235" i="37"/>
  <c r="L233" i="37"/>
  <c r="L231" i="37"/>
  <c r="H257" i="37"/>
  <c r="J252" i="37"/>
  <c r="I225" i="37"/>
  <c r="L222" i="37"/>
  <c r="K220" i="37"/>
  <c r="D243" i="37"/>
  <c r="G238" i="37"/>
  <c r="I213" i="37"/>
  <c r="F211" i="37"/>
  <c r="J207" i="37"/>
  <c r="K229" i="37"/>
  <c r="J227" i="37"/>
  <c r="H199" i="37"/>
  <c r="J193" i="37"/>
  <c r="E192" i="37"/>
  <c r="G219" i="37"/>
  <c r="E217" i="37"/>
  <c r="J182" i="37"/>
  <c r="G180" i="37"/>
  <c r="K176" i="37"/>
  <c r="G205" i="37"/>
  <c r="K201" i="37"/>
  <c r="G169" i="37"/>
  <c r="D167" i="37"/>
  <c r="H163" i="37"/>
  <c r="I188" i="37"/>
  <c r="F186" i="37"/>
  <c r="J306" i="37"/>
  <c r="G295" i="37"/>
  <c r="L290" i="37"/>
  <c r="H174" i="37"/>
  <c r="L170" i="37"/>
  <c r="J273" i="37"/>
  <c r="G271" i="37"/>
  <c r="H268" i="37"/>
  <c r="E161" i="37"/>
  <c r="I323" i="37"/>
  <c r="D255" i="37"/>
  <c r="I249" i="37"/>
  <c r="K247" i="37"/>
  <c r="I286" i="37"/>
  <c r="H283" i="37"/>
  <c r="H238" i="37"/>
  <c r="L235" i="37"/>
  <c r="L229" i="37"/>
  <c r="J260" i="37"/>
  <c r="I257" i="37"/>
  <c r="J218" i="37"/>
  <c r="F217" i="37"/>
  <c r="L212" i="37"/>
  <c r="E245" i="37"/>
  <c r="H242" i="37"/>
  <c r="K207" i="37"/>
  <c r="H205" i="37"/>
  <c r="E203" i="37"/>
  <c r="K227" i="37"/>
  <c r="L220" i="37"/>
  <c r="G197" i="37"/>
  <c r="K193" i="37"/>
  <c r="F192" i="37"/>
  <c r="G211" i="37"/>
  <c r="D209" i="37"/>
  <c r="D184" i="37"/>
  <c r="K182" i="37"/>
  <c r="H180" i="37"/>
  <c r="L201" i="37"/>
  <c r="I199" i="37"/>
  <c r="I174" i="37"/>
  <c r="D173" i="37"/>
  <c r="J168" i="37"/>
  <c r="L187" i="37"/>
  <c r="G186" i="37"/>
  <c r="F161" i="37"/>
  <c r="K157" i="37"/>
  <c r="H155" i="37"/>
  <c r="E178" i="37"/>
  <c r="L176" i="37"/>
  <c r="I149" i="37"/>
  <c r="D148" i="37"/>
  <c r="G144" i="37"/>
  <c r="E167" i="37"/>
  <c r="I163" i="37"/>
  <c r="D306" i="37"/>
  <c r="H295" i="37"/>
  <c r="J286" i="37"/>
  <c r="E153" i="37"/>
  <c r="L151" i="37"/>
  <c r="I268" i="37"/>
  <c r="G265" i="37"/>
  <c r="D263" i="37"/>
  <c r="I140" i="37"/>
  <c r="F321" i="37"/>
  <c r="D252" i="37"/>
  <c r="J249" i="37"/>
  <c r="H244" i="37"/>
  <c r="I283" i="37"/>
  <c r="L273" i="37"/>
  <c r="D231" i="37"/>
  <c r="L218" i="37"/>
  <c r="I216" i="37"/>
  <c r="J257" i="37"/>
  <c r="H254" i="37"/>
  <c r="E209" i="37"/>
  <c r="I205" i="37"/>
  <c r="F203" i="37"/>
  <c r="I242" i="37"/>
  <c r="I238" i="37"/>
  <c r="L193" i="37"/>
  <c r="I191" i="37"/>
  <c r="D190" i="37"/>
  <c r="D215" i="37"/>
  <c r="H211" i="37"/>
  <c r="I180" i="37"/>
  <c r="F178" i="37"/>
  <c r="J174" i="37"/>
  <c r="K199" i="37"/>
  <c r="H197" i="37"/>
  <c r="F167" i="37"/>
  <c r="L162" i="37"/>
  <c r="G161" i="37"/>
  <c r="H186" i="37"/>
  <c r="E184" i="37"/>
  <c r="F153" i="37"/>
  <c r="J149" i="37"/>
  <c r="G147" i="37"/>
  <c r="G172" i="37"/>
  <c r="K168" i="37"/>
  <c r="J140" i="37"/>
  <c r="F138" i="37"/>
  <c r="L136" i="37"/>
  <c r="E159" i="37"/>
  <c r="I155" i="37"/>
  <c r="H118" i="37"/>
  <c r="D116" i="37"/>
  <c r="J114" i="37"/>
  <c r="J143" i="37"/>
  <c r="D142" i="37"/>
  <c r="F109" i="37"/>
  <c r="H105" i="37"/>
  <c r="J101" i="37"/>
  <c r="H134" i="37"/>
  <c r="D129" i="37"/>
  <c r="F96" i="37"/>
  <c r="L94" i="37"/>
  <c r="H92" i="37"/>
  <c r="D113" i="37"/>
  <c r="L110" i="37"/>
  <c r="J85" i="37"/>
  <c r="F83" i="37"/>
  <c r="L81" i="37"/>
  <c r="D100" i="37"/>
  <c r="L97" i="37"/>
  <c r="D74" i="37"/>
  <c r="F70" i="37"/>
  <c r="L305" i="37"/>
  <c r="J88" i="37"/>
  <c r="D87" i="37"/>
  <c r="F290" i="37"/>
  <c r="L286" i="37"/>
  <c r="L282" i="37"/>
  <c r="H79" i="37"/>
  <c r="H76" i="37"/>
  <c r="I254" i="37"/>
  <c r="E252" i="37"/>
  <c r="K249" i="37"/>
  <c r="E300" i="37"/>
  <c r="J295" i="37"/>
  <c r="J242" i="37"/>
  <c r="F233" i="37"/>
  <c r="E231" i="37"/>
  <c r="I265" i="37"/>
  <c r="G262" i="37"/>
  <c r="J216" i="37"/>
  <c r="E215" i="37"/>
  <c r="K210" i="37"/>
  <c r="E247" i="37"/>
  <c r="I244" i="37"/>
  <c r="G203" i="37"/>
  <c r="E201" i="37"/>
  <c r="L199" i="37"/>
  <c r="D229" i="37"/>
  <c r="D225" i="37"/>
  <c r="J191" i="37"/>
  <c r="E190" i="37"/>
  <c r="K185" i="37"/>
  <c r="F209" i="37"/>
  <c r="J205" i="37"/>
  <c r="G178" i="37"/>
  <c r="D176" i="37"/>
  <c r="K174" i="37"/>
  <c r="I197" i="37"/>
  <c r="F195" i="37"/>
  <c r="I166" i="37"/>
  <c r="D165" i="37"/>
  <c r="K160" i="37"/>
  <c r="F184" i="37"/>
  <c r="J180" i="37"/>
  <c r="G153" i="37"/>
  <c r="D151" i="37"/>
  <c r="K149" i="37"/>
  <c r="H172" i="37"/>
  <c r="L168" i="37"/>
  <c r="E142" i="37"/>
  <c r="G138" i="37"/>
  <c r="I134" i="37"/>
  <c r="F159" i="37"/>
  <c r="J155" i="37"/>
  <c r="H299" i="37"/>
  <c r="G290" i="37"/>
  <c r="E286" i="37"/>
  <c r="H147" i="37"/>
  <c r="K143" i="37"/>
  <c r="G270" i="37"/>
  <c r="J265" i="37"/>
  <c r="I262" i="37"/>
  <c r="E129" i="37"/>
  <c r="F305" i="37"/>
  <c r="F252" i="37"/>
  <c r="L249" i="37"/>
  <c r="F247" i="37"/>
  <c r="J276" i="37"/>
  <c r="E273" i="37"/>
  <c r="F235" i="37"/>
  <c r="G233" i="37"/>
  <c r="F231" i="37"/>
  <c r="E260" i="37"/>
  <c r="K254" i="37"/>
  <c r="E225" i="37"/>
  <c r="D223" i="37"/>
  <c r="F220" i="37"/>
  <c r="J244" i="37"/>
  <c r="K242" i="37"/>
  <c r="L210" i="37"/>
  <c r="G209" i="37"/>
  <c r="D207" i="37"/>
  <c r="E229" i="37"/>
  <c r="E227" i="37"/>
  <c r="J197" i="37"/>
  <c r="G195" i="37"/>
  <c r="K191" i="37"/>
  <c r="K216" i="37"/>
  <c r="H214" i="37"/>
  <c r="G184" i="37"/>
  <c r="D182" i="37"/>
  <c r="H178" i="37"/>
  <c r="I203" i="37"/>
  <c r="F201" i="37"/>
  <c r="I172" i="37"/>
  <c r="F170" i="37"/>
  <c r="J166" i="37"/>
  <c r="H189" i="37"/>
  <c r="L185" i="37"/>
  <c r="G159" i="37"/>
  <c r="D157" i="37"/>
  <c r="H153" i="37"/>
  <c r="E176" i="37"/>
  <c r="L174" i="37"/>
  <c r="I147" i="37"/>
  <c r="F145" i="37"/>
  <c r="L143" i="37"/>
  <c r="E165" i="37"/>
  <c r="L160" i="37"/>
  <c r="D136" i="37"/>
  <c r="J134" i="37"/>
  <c r="F129" i="37"/>
  <c r="E151" i="37"/>
  <c r="L149" i="37"/>
  <c r="J299" i="37"/>
  <c r="J294" i="37"/>
  <c r="H290" i="37"/>
  <c r="F142" i="37"/>
  <c r="H138" i="37"/>
  <c r="K276" i="37"/>
  <c r="F273" i="37"/>
  <c r="H270" i="37"/>
  <c r="J317" i="37"/>
  <c r="H305" i="37"/>
  <c r="E257" i="37"/>
  <c r="J251" i="37"/>
  <c r="J246" i="37"/>
  <c r="F286" i="37"/>
  <c r="G282" i="37"/>
  <c r="G235" i="37"/>
  <c r="H233" i="37"/>
  <c r="G231" i="37"/>
  <c r="J262" i="37"/>
  <c r="H259" i="37"/>
  <c r="H224" i="37"/>
  <c r="G222" i="37"/>
  <c r="G220" i="37"/>
  <c r="L244" i="37"/>
  <c r="D238" i="37"/>
  <c r="I214" i="37"/>
  <c r="D213" i="37"/>
  <c r="J208" i="37"/>
  <c r="F229" i="37"/>
  <c r="I226" i="37"/>
  <c r="G201" i="37"/>
  <c r="D199" i="37"/>
  <c r="K197" i="37"/>
  <c r="E218" i="37"/>
  <c r="L216" i="37"/>
  <c r="L191" i="37"/>
  <c r="I189" i="37"/>
  <c r="D188" i="37"/>
  <c r="E207" i="37"/>
  <c r="L202" i="37"/>
  <c r="I178" i="37"/>
  <c r="F176" i="37"/>
  <c r="K315" i="37"/>
  <c r="H195" i="37"/>
  <c r="E193" i="37"/>
  <c r="G286" i="37"/>
  <c r="H282" i="37"/>
  <c r="F276" i="37"/>
  <c r="J183" i="37"/>
  <c r="E182" i="37"/>
  <c r="D268" i="37"/>
  <c r="D265" i="37"/>
  <c r="K262" i="37"/>
  <c r="D305" i="37"/>
  <c r="E299" i="37"/>
  <c r="D254" i="37"/>
  <c r="K251" i="37"/>
  <c r="D249" i="37"/>
  <c r="G273" i="37"/>
  <c r="I270" i="37"/>
  <c r="H235" i="37"/>
  <c r="I233" i="37"/>
  <c r="H231" i="37"/>
  <c r="K259" i="37"/>
  <c r="F257" i="37"/>
  <c r="I224" i="37"/>
  <c r="H222" i="37"/>
  <c r="H220" i="37"/>
  <c r="K246" i="37"/>
  <c r="H237" i="37"/>
  <c r="G212" i="37"/>
  <c r="K208" i="37"/>
  <c r="I206" i="37"/>
  <c r="G229" i="37"/>
  <c r="J226" i="37"/>
  <c r="E199" i="37"/>
  <c r="I195" i="37"/>
  <c r="F193" i="37"/>
  <c r="F218" i="37"/>
  <c r="J214" i="37"/>
  <c r="K183" i="37"/>
  <c r="F182" i="37"/>
  <c r="L177" i="37"/>
  <c r="D205" i="37"/>
  <c r="H201" i="37"/>
  <c r="K172" i="37"/>
  <c r="H170" i="37"/>
  <c r="E168" i="37"/>
  <c r="J189" i="37"/>
  <c r="G187" i="37"/>
  <c r="K158" i="37"/>
  <c r="F157" i="37"/>
  <c r="L152" i="37"/>
  <c r="G176" i="37"/>
  <c r="D174" i="37"/>
  <c r="K147" i="37"/>
  <c r="H145" i="37"/>
  <c r="J141" i="37"/>
  <c r="J164" i="37"/>
  <c r="G162" i="37"/>
  <c r="F136" i="37"/>
  <c r="G315" i="37"/>
  <c r="E305" i="37"/>
  <c r="G151" i="37"/>
  <c r="D149" i="37"/>
  <c r="D290" i="37"/>
  <c r="H286" i="37"/>
  <c r="I282" i="37"/>
  <c r="D140" i="37"/>
  <c r="L137" i="37"/>
  <c r="J270" i="37"/>
  <c r="H267" i="37"/>
  <c r="E265" i="37"/>
  <c r="F299" i="37"/>
  <c r="D294" i="37"/>
  <c r="G254" i="37"/>
  <c r="E249" i="37"/>
  <c r="L246" i="37"/>
  <c r="K275" i="37"/>
  <c r="H273" i="37"/>
  <c r="I237" i="37"/>
  <c r="J235" i="37"/>
  <c r="L232" i="37"/>
  <c r="L259" i="37"/>
  <c r="I256" i="37"/>
  <c r="K226" i="37"/>
  <c r="J224" i="37"/>
  <c r="J222" i="37"/>
  <c r="D244" i="37"/>
  <c r="D242" i="37"/>
  <c r="D216" i="37"/>
  <c r="K214" i="37"/>
  <c r="H212" i="37"/>
  <c r="K230" i="37"/>
  <c r="K228" i="37"/>
  <c r="K200" i="37"/>
  <c r="F199" i="37"/>
  <c r="J195" i="37"/>
  <c r="I220" i="37"/>
  <c r="G218" i="37"/>
  <c r="K189" i="37"/>
  <c r="H187" i="37"/>
  <c r="L183" i="37"/>
  <c r="J206" i="37"/>
  <c r="E205" i="37"/>
  <c r="H176" i="37"/>
  <c r="E174" i="37"/>
  <c r="I170" i="37"/>
  <c r="G193" i="37"/>
  <c r="D191" i="37"/>
  <c r="K164" i="37"/>
  <c r="H162" i="37"/>
  <c r="L158" i="37"/>
  <c r="I181" i="37"/>
  <c r="D180" i="37"/>
  <c r="H151" i="37"/>
  <c r="E149" i="37"/>
  <c r="I145" i="37"/>
  <c r="G168" i="37"/>
  <c r="D166" i="37"/>
  <c r="E140" i="37"/>
  <c r="G136" i="37"/>
  <c r="I119" i="37"/>
  <c r="I156" i="37"/>
  <c r="D155" i="37"/>
  <c r="K112" i="37"/>
  <c r="G110" i="37"/>
  <c r="I106" i="37"/>
  <c r="E143" i="37"/>
  <c r="K141" i="37"/>
  <c r="K99" i="37"/>
  <c r="G97" i="37"/>
  <c r="G94" i="37"/>
  <c r="K115" i="37"/>
  <c r="E114" i="37"/>
  <c r="K86" i="37"/>
  <c r="E85" i="37"/>
  <c r="G81" i="37"/>
  <c r="I103" i="37"/>
  <c r="E101" i="37"/>
  <c r="K304" i="37"/>
  <c r="J298" i="37"/>
  <c r="E294" i="37"/>
  <c r="I90" i="37"/>
  <c r="E88" i="37"/>
  <c r="J282" i="37"/>
  <c r="L275" i="37"/>
  <c r="L272" i="37"/>
  <c r="I77" i="37"/>
  <c r="F314" i="37"/>
  <c r="D262" i="37"/>
  <c r="J256" i="37"/>
  <c r="J253" i="37"/>
  <c r="H289" i="37"/>
  <c r="L285" i="37"/>
  <c r="E244" i="37"/>
  <c r="E242" i="37"/>
  <c r="I239" i="37"/>
  <c r="I267" i="37"/>
  <c r="H264" i="37"/>
  <c r="L226" i="37"/>
  <c r="K224" i="37"/>
  <c r="K222" i="37"/>
  <c r="D251" i="37"/>
  <c r="G249" i="37"/>
  <c r="E216" i="37"/>
  <c r="L214" i="37"/>
  <c r="I212" i="37"/>
  <c r="J237" i="37"/>
  <c r="L230" i="37"/>
  <c r="H204" i="37"/>
  <c r="L200" i="37"/>
  <c r="G199" i="37"/>
  <c r="J220" i="37"/>
  <c r="H218" i="37"/>
  <c r="E191" i="37"/>
  <c r="L189" i="37"/>
  <c r="I187" i="37"/>
  <c r="G210" i="37"/>
  <c r="K206" i="37"/>
  <c r="E180" i="37"/>
  <c r="K175" i="37"/>
  <c r="F174" i="37"/>
  <c r="D197" i="37"/>
  <c r="H193" i="37"/>
  <c r="F294" i="37"/>
  <c r="J289" i="37"/>
  <c r="H285" i="37"/>
  <c r="F185" i="37"/>
  <c r="J181" i="37"/>
  <c r="E262" i="37"/>
  <c r="D259" i="37"/>
  <c r="L256" i="37"/>
  <c r="G304" i="37"/>
  <c r="L298" i="37"/>
  <c r="K248" i="37"/>
  <c r="D246" i="37"/>
  <c r="F244" i="37"/>
  <c r="K267" i="37"/>
  <c r="J264" i="37"/>
  <c r="K237" i="37"/>
  <c r="L224" i="37"/>
  <c r="I218" i="37"/>
  <c r="K253" i="37"/>
  <c r="E251" i="37"/>
  <c r="H210" i="37"/>
  <c r="E208" i="37"/>
  <c r="L206" i="37"/>
  <c r="F242" i="37"/>
  <c r="J239" i="37"/>
  <c r="J198" i="37"/>
  <c r="E197" i="37"/>
  <c r="I193" i="37"/>
  <c r="F216" i="37"/>
  <c r="K212" i="37"/>
  <c r="G185" i="37"/>
  <c r="K181" i="37"/>
  <c r="H179" i="37"/>
  <c r="I204" i="37"/>
  <c r="D203" i="37"/>
  <c r="F289" i="37"/>
  <c r="G272" i="37"/>
  <c r="E270" i="37"/>
  <c r="F191" i="37"/>
  <c r="J187" i="37"/>
  <c r="F259" i="37"/>
  <c r="L253" i="37"/>
  <c r="F251" i="37"/>
  <c r="G312" i="37"/>
  <c r="H298" i="37"/>
  <c r="G244" i="37"/>
  <c r="I241" i="37"/>
  <c r="L239" i="37"/>
  <c r="K264" i="37"/>
  <c r="I261" i="37"/>
  <c r="D224" i="37"/>
  <c r="L217" i="37"/>
  <c r="G216" i="37"/>
  <c r="L248" i="37"/>
  <c r="F246" i="37"/>
  <c r="F208" i="37"/>
  <c r="J204" i="37"/>
  <c r="G202" i="37"/>
  <c r="E228" i="37"/>
  <c r="D226" i="37"/>
  <c r="L192" i="37"/>
  <c r="G191" i="37"/>
  <c r="D189" i="37"/>
  <c r="E214" i="37"/>
  <c r="I210" i="37"/>
  <c r="E183" i="37"/>
  <c r="L181" i="37"/>
  <c r="I179" i="37"/>
  <c r="K198" i="37"/>
  <c r="F197" i="37"/>
  <c r="F172" i="37"/>
  <c r="L167" i="37"/>
  <c r="G166" i="37"/>
  <c r="K187" i="37"/>
  <c r="H185" i="37"/>
  <c r="H160" i="37"/>
  <c r="E158" i="37"/>
  <c r="L156" i="37"/>
  <c r="D178" i="37"/>
  <c r="K173" i="37"/>
  <c r="J148" i="37"/>
  <c r="E147" i="37"/>
  <c r="H143" i="37"/>
  <c r="D164" i="37"/>
  <c r="K162" i="37"/>
  <c r="D138" i="37"/>
  <c r="L135" i="37"/>
  <c r="F134" i="37"/>
  <c r="I154" i="37"/>
  <c r="D153" i="37"/>
  <c r="L119" i="37"/>
  <c r="H117" i="37"/>
  <c r="J113" i="37"/>
  <c r="D141" i="37"/>
  <c r="J139" i="37"/>
  <c r="F108" i="37"/>
  <c r="L106" i="37"/>
  <c r="H104" i="37"/>
  <c r="J126" i="37"/>
  <c r="F121" i="37"/>
  <c r="J97" i="37"/>
  <c r="L93" i="37"/>
  <c r="K288" i="37"/>
  <c r="D112" i="37"/>
  <c r="J110" i="37"/>
  <c r="H272" i="37"/>
  <c r="H269" i="37"/>
  <c r="D267" i="37"/>
  <c r="H101" i="37"/>
  <c r="D99" i="37"/>
  <c r="E256" i="37"/>
  <c r="G251" i="37"/>
  <c r="E248" i="37"/>
  <c r="J281" i="37"/>
  <c r="F275" i="37"/>
  <c r="K241" i="37"/>
  <c r="D237" i="37"/>
  <c r="D235" i="37"/>
  <c r="K261" i="37"/>
  <c r="G259" i="37"/>
  <c r="F228" i="37"/>
  <c r="E226" i="37"/>
  <c r="E224" i="37"/>
  <c r="G246" i="37"/>
  <c r="J243" i="37"/>
  <c r="F214" i="37"/>
  <c r="J210" i="37"/>
  <c r="G208" i="37"/>
  <c r="D233" i="37"/>
  <c r="G230" i="37"/>
  <c r="H202" i="37"/>
  <c r="L198" i="37"/>
  <c r="I196" i="37"/>
  <c r="D222" i="37"/>
  <c r="K215" i="37"/>
  <c r="E189" i="37"/>
  <c r="I185" i="37"/>
  <c r="F183" i="37"/>
  <c r="D206" i="37"/>
  <c r="K204" i="37"/>
  <c r="L173" i="37"/>
  <c r="I171" i="37"/>
  <c r="D170" i="37"/>
  <c r="D195" i="37"/>
  <c r="H191" i="37"/>
  <c r="I160" i="37"/>
  <c r="F158" i="37"/>
  <c r="J154" i="37"/>
  <c r="J179" i="37"/>
  <c r="G177" i="37"/>
  <c r="F147" i="37"/>
  <c r="I143" i="37"/>
  <c r="E141" i="37"/>
  <c r="H166" i="37"/>
  <c r="E164" i="37"/>
  <c r="G134" i="37"/>
  <c r="K126" i="37"/>
  <c r="G121" i="37"/>
  <c r="G152" i="37"/>
  <c r="K148" i="37"/>
  <c r="F293" i="37"/>
  <c r="L288" i="37"/>
  <c r="G275" i="37"/>
  <c r="K139" i="37"/>
  <c r="G137" i="37"/>
  <c r="I266" i="37"/>
  <c r="D264" i="37"/>
  <c r="L261" i="37"/>
  <c r="K311" i="37"/>
  <c r="E303" i="37"/>
  <c r="E253" i="37"/>
  <c r="H251" i="37"/>
  <c r="F248" i="37"/>
  <c r="K272" i="37"/>
  <c r="I269" i="37"/>
  <c r="D239" i="37"/>
  <c r="E237" i="37"/>
  <c r="E235" i="37"/>
  <c r="K258" i="37"/>
  <c r="G256" i="37"/>
  <c r="G228" i="37"/>
  <c r="F226" i="37"/>
  <c r="F224" i="37"/>
  <c r="K245" i="37"/>
  <c r="K243" i="37"/>
  <c r="L215" i="37"/>
  <c r="G214" i="37"/>
  <c r="D212" i="37"/>
  <c r="G232" i="37"/>
  <c r="H230" i="37"/>
  <c r="L204" i="37"/>
  <c r="I202" i="37"/>
  <c r="F200" i="37"/>
  <c r="E222" i="37"/>
  <c r="D220" i="37"/>
  <c r="K190" i="37"/>
  <c r="F189" i="37"/>
  <c r="J185" i="37"/>
  <c r="H208" i="37"/>
  <c r="E206" i="37"/>
  <c r="K179" i="37"/>
  <c r="I177" i="37"/>
  <c r="F175" i="37"/>
  <c r="J196" i="37"/>
  <c r="E195" i="37"/>
  <c r="K165" i="37"/>
  <c r="F164" i="37"/>
  <c r="J160" i="37"/>
  <c r="G183" i="37"/>
  <c r="D181" i="37"/>
  <c r="K154" i="37"/>
  <c r="H152" i="37"/>
  <c r="L148" i="37"/>
  <c r="J171" i="37"/>
  <c r="E170" i="37"/>
  <c r="L142" i="37"/>
  <c r="F141" i="37"/>
  <c r="L139" i="37"/>
  <c r="G158" i="37"/>
  <c r="D156" i="37"/>
  <c r="H124" i="37"/>
  <c r="H121" i="37"/>
  <c r="D119" i="37"/>
  <c r="I146" i="37"/>
  <c r="D145" i="37"/>
  <c r="L113" i="37"/>
  <c r="F112" i="37"/>
  <c r="H108" i="37"/>
  <c r="H137" i="37"/>
  <c r="L126" i="37"/>
  <c r="D103" i="37"/>
  <c r="L100" i="37"/>
  <c r="F99" i="37"/>
  <c r="J117" i="37"/>
  <c r="F115" i="37"/>
  <c r="L87" i="37"/>
  <c r="F86" i="37"/>
  <c r="L84" i="37"/>
  <c r="D106" i="37"/>
  <c r="J104" i="37"/>
  <c r="D77" i="37"/>
  <c r="J75" i="37"/>
  <c r="L71" i="37"/>
  <c r="J91" i="37"/>
  <c r="D90" i="37"/>
  <c r="J62" i="37"/>
  <c r="F60" i="37"/>
  <c r="F57" i="37"/>
  <c r="H82" i="37"/>
  <c r="J78" i="37"/>
  <c r="J49" i="37"/>
  <c r="D48" i="37"/>
  <c r="L45" i="37"/>
  <c r="H69" i="37"/>
  <c r="D64" i="37"/>
  <c r="D298" i="37"/>
  <c r="H293" i="37"/>
  <c r="D285" i="37"/>
  <c r="H53" i="37"/>
  <c r="D51" i="37"/>
  <c r="J269" i="37"/>
  <c r="J266" i="37"/>
  <c r="E264" i="37"/>
  <c r="F44" i="37"/>
  <c r="E311" i="37"/>
  <c r="H256" i="37"/>
  <c r="G253" i="37"/>
  <c r="K250" i="37"/>
  <c r="D281" i="37"/>
  <c r="I275" i="37"/>
  <c r="L243" i="37"/>
  <c r="D241" i="37"/>
  <c r="E239" i="37"/>
  <c r="E261" i="37"/>
  <c r="L258" i="37"/>
  <c r="I232" i="37"/>
  <c r="I230" i="37"/>
  <c r="H228" i="37"/>
  <c r="G248" i="37"/>
  <c r="L245" i="37"/>
  <c r="F222" i="37"/>
  <c r="E220" i="37"/>
  <c r="D218" i="37"/>
  <c r="F237" i="37"/>
  <c r="H234" i="37"/>
  <c r="I208" i="37"/>
  <c r="F206" i="37"/>
  <c r="J202" i="37"/>
  <c r="H226" i="37"/>
  <c r="G224" i="37"/>
  <c r="H194" i="37"/>
  <c r="L190" i="37"/>
  <c r="G189" i="37"/>
  <c r="J213" i="37"/>
  <c r="E212" i="37"/>
  <c r="E181" i="37"/>
  <c r="J177" i="37"/>
  <c r="G175" i="37"/>
  <c r="G200" i="37"/>
  <c r="K196" i="37"/>
  <c r="L165" i="37"/>
  <c r="G164" i="37"/>
  <c r="D162" i="37"/>
  <c r="D187" i="37"/>
  <c r="H183" i="37"/>
  <c r="L154" i="37"/>
  <c r="I152" i="37"/>
  <c r="F150" i="37"/>
  <c r="K171" i="37"/>
  <c r="H169" i="37"/>
  <c r="G141" i="37"/>
  <c r="I137" i="37"/>
  <c r="K297" i="37"/>
  <c r="H158" i="37"/>
  <c r="E156" i="37"/>
  <c r="E281" i="37"/>
  <c r="J275" i="37"/>
  <c r="L269" i="37"/>
  <c r="J146" i="37"/>
  <c r="E145" i="37"/>
  <c r="F261" i="37"/>
  <c r="H253" i="37"/>
  <c r="H248" i="37"/>
  <c r="D293" i="37"/>
  <c r="H284" i="37"/>
  <c r="I236" i="37"/>
  <c r="I234" i="37"/>
  <c r="K232" i="37"/>
  <c r="K266" i="37"/>
  <c r="F264" i="37"/>
  <c r="K225" i="37"/>
  <c r="J223" i="37"/>
  <c r="I221" i="37"/>
  <c r="F241" i="37"/>
  <c r="F239" i="37"/>
  <c r="J310" i="37"/>
  <c r="H302" i="37"/>
  <c r="I292" i="37"/>
  <c r="J230" i="37"/>
  <c r="I228" i="37"/>
  <c r="F281" i="37"/>
  <c r="D272" i="37"/>
  <c r="L266" i="37"/>
  <c r="I219" i="37"/>
  <c r="G217" i="37"/>
  <c r="I253" i="37"/>
  <c r="L247" i="37"/>
  <c r="E243" i="37"/>
  <c r="F288" i="37"/>
  <c r="K284" i="37"/>
  <c r="J236" i="37"/>
  <c r="J234" i="37"/>
  <c r="L227" i="37"/>
  <c r="J263" i="37"/>
  <c r="G261" i="37"/>
  <c r="J221" i="37"/>
  <c r="J219" i="37"/>
  <c r="H217" i="37"/>
  <c r="G241" i="37"/>
  <c r="J238" i="37"/>
  <c r="D210" i="37"/>
  <c r="H206" i="37"/>
  <c r="E204" i="37"/>
  <c r="L225" i="37"/>
  <c r="K223" i="37"/>
  <c r="J194" i="37"/>
  <c r="G192" i="37"/>
  <c r="K188" i="37"/>
  <c r="L213" i="37"/>
  <c r="I211" i="37"/>
  <c r="E179" i="37"/>
  <c r="I175" i="37"/>
  <c r="F173" i="37"/>
  <c r="I200" i="37"/>
  <c r="F198" i="37"/>
  <c r="D297" i="37"/>
  <c r="J292" i="37"/>
  <c r="I288" i="37"/>
  <c r="F187" i="37"/>
  <c r="H181" i="37"/>
  <c r="F272" i="37"/>
  <c r="E269" i="37"/>
  <c r="D266" i="37"/>
  <c r="H309" i="37"/>
  <c r="D302" i="37"/>
  <c r="F258" i="37"/>
  <c r="L252" i="37"/>
  <c r="F250" i="37"/>
  <c r="L284" i="37"/>
  <c r="H281" i="37"/>
  <c r="K238" i="37"/>
  <c r="K236" i="37"/>
  <c r="K234" i="37"/>
  <c r="K263" i="37"/>
  <c r="H261" i="37"/>
  <c r="K219" i="37"/>
  <c r="I217" i="37"/>
  <c r="F215" i="37"/>
  <c r="G243" i="37"/>
  <c r="H241" i="37"/>
  <c r="K205" i="37"/>
  <c r="F204" i="37"/>
  <c r="J200" i="37"/>
  <c r="L223" i="37"/>
  <c r="K221" i="37"/>
  <c r="K194" i="37"/>
  <c r="H192" i="37"/>
  <c r="L188" i="37"/>
  <c r="J211" i="37"/>
  <c r="E210" i="37"/>
  <c r="K180" i="37"/>
  <c r="F179" i="37"/>
  <c r="J175" i="37"/>
  <c r="G198" i="37"/>
  <c r="D196" i="37"/>
  <c r="K169" i="37"/>
  <c r="H167" i="37"/>
  <c r="L163" i="37"/>
  <c r="I186" i="37"/>
  <c r="E185" i="37"/>
  <c r="H156" i="37"/>
  <c r="E154" i="37"/>
  <c r="I150" i="37"/>
  <c r="G173" i="37"/>
  <c r="D171" i="37"/>
  <c r="D143" i="37"/>
  <c r="L140" i="37"/>
  <c r="L309" i="37"/>
  <c r="I161" i="37"/>
  <c r="D160" i="37"/>
  <c r="K292" i="37"/>
  <c r="L287" i="37"/>
  <c r="D275" i="37"/>
  <c r="F148" i="37"/>
  <c r="J144" i="37"/>
  <c r="E266" i="37"/>
  <c r="L260" i="37"/>
  <c r="G258" i="37"/>
  <c r="J301" i="37"/>
  <c r="F297" i="37"/>
  <c r="F245" i="37"/>
  <c r="H243" i="37"/>
  <c r="L238" i="37"/>
  <c r="I271" i="37"/>
  <c r="G269" i="37"/>
  <c r="L219" i="37"/>
  <c r="J217" i="37"/>
  <c r="G215" i="37"/>
  <c r="F255" i="37"/>
  <c r="I250" i="37"/>
  <c r="L205" i="37"/>
  <c r="G204" i="37"/>
  <c r="D202" i="37"/>
  <c r="L236" i="37"/>
  <c r="D232" i="37"/>
  <c r="L308" i="37"/>
  <c r="K301" i="37"/>
  <c r="D296" i="37"/>
  <c r="K211" i="37"/>
  <c r="H209" i="37"/>
  <c r="K271" i="37"/>
  <c r="J268" i="37"/>
  <c r="G266" i="37"/>
  <c r="H198" i="37"/>
  <c r="E196" i="37"/>
  <c r="H255" i="37"/>
  <c r="J250" i="37"/>
  <c r="D248" i="37"/>
  <c r="D284" i="37"/>
  <c r="E275" i="37"/>
  <c r="E234" i="37"/>
  <c r="E232" i="37"/>
  <c r="D230" i="37"/>
  <c r="E263" i="37"/>
  <c r="I258" i="37"/>
  <c r="K217" i="37"/>
  <c r="H215" i="37"/>
  <c r="E213" i="37"/>
  <c r="G245" i="37"/>
  <c r="L242" i="37"/>
  <c r="D208" i="37"/>
  <c r="J203" i="37"/>
  <c r="E202" i="37"/>
  <c r="D228" i="37"/>
  <c r="E221" i="37"/>
  <c r="J192" i="37"/>
  <c r="G190" i="37"/>
  <c r="G308" i="37"/>
  <c r="L211" i="37"/>
  <c r="I209" i="37"/>
  <c r="I291" i="37"/>
  <c r="D288" i="37"/>
  <c r="F284" i="37"/>
  <c r="I198" i="37"/>
  <c r="F196" i="37"/>
  <c r="H266" i="37"/>
  <c r="F263" i="37"/>
  <c r="I255" i="37"/>
  <c r="L301" i="37"/>
  <c r="G296" i="37"/>
  <c r="D236" i="37"/>
  <c r="F234" i="37"/>
  <c r="F232" i="37"/>
  <c r="L274" i="37"/>
  <c r="L271" i="37"/>
  <c r="F225" i="37"/>
  <c r="E223" i="37"/>
  <c r="F221" i="37"/>
  <c r="G247" i="37"/>
  <c r="I245" i="37"/>
  <c r="F213" i="37"/>
  <c r="J209" i="37"/>
  <c r="G207" i="37"/>
  <c r="H229" i="37"/>
  <c r="G227" i="37"/>
  <c r="L197" i="37"/>
  <c r="G196" i="37"/>
  <c r="D194" i="37"/>
  <c r="D219" i="37"/>
  <c r="I215" i="37"/>
  <c r="F188" i="37"/>
  <c r="J184" i="37"/>
  <c r="G182" i="37"/>
  <c r="K203" i="37"/>
  <c r="F202" i="37"/>
  <c r="L172" i="37"/>
  <c r="G171" i="37"/>
  <c r="H301" i="37"/>
  <c r="K192" i="37"/>
  <c r="I190" i="37"/>
  <c r="G284" i="37"/>
  <c r="E274" i="37"/>
  <c r="K265" i="37"/>
  <c r="K178" i="37"/>
  <c r="F177" i="37"/>
  <c r="G252" i="37"/>
  <c r="H247" i="37"/>
  <c r="E238" i="37"/>
  <c r="H296" i="37"/>
  <c r="J291" i="37"/>
  <c r="I231" i="37"/>
  <c r="I229" i="37"/>
  <c r="H227" i="37"/>
  <c r="I263" i="37"/>
  <c r="F260" i="37"/>
  <c r="G221" i="37"/>
  <c r="E219" i="37"/>
  <c r="J215" i="37"/>
  <c r="E236" i="37"/>
  <c r="J233" i="37"/>
  <c r="K209" i="37"/>
  <c r="H207" i="37"/>
  <c r="L203" i="37"/>
  <c r="G225" i="37"/>
  <c r="G223" i="37"/>
  <c r="H196" i="37"/>
  <c r="E194" i="37"/>
  <c r="J190" i="37"/>
  <c r="G213" i="37"/>
  <c r="D211" i="37"/>
  <c r="K184" i="37"/>
  <c r="K213" i="37"/>
  <c r="D169" i="37"/>
  <c r="I201" i="37"/>
  <c r="D200" i="37"/>
  <c r="J156" i="37"/>
  <c r="F149" i="37"/>
  <c r="J145" i="37"/>
  <c r="G188" i="37"/>
  <c r="D186" i="37"/>
  <c r="K129" i="37"/>
  <c r="E126" i="37"/>
  <c r="G124" i="37"/>
  <c r="J165" i="37"/>
  <c r="F160" i="37"/>
  <c r="F117" i="37"/>
  <c r="H114" i="37"/>
  <c r="I112" i="37"/>
  <c r="L141" i="37"/>
  <c r="E138" i="37"/>
  <c r="J98" i="37"/>
  <c r="J96" i="37"/>
  <c r="J94" i="37"/>
  <c r="L121" i="37"/>
  <c r="F119" i="37"/>
  <c r="K83" i="37"/>
  <c r="J81" i="37"/>
  <c r="J79" i="37"/>
  <c r="E103" i="37"/>
  <c r="F101" i="37"/>
  <c r="F71" i="37"/>
  <c r="D69" i="37"/>
  <c r="K67" i="37"/>
  <c r="K92" i="37"/>
  <c r="L85" i="37"/>
  <c r="J53" i="37"/>
  <c r="E52" i="37"/>
  <c r="I48" i="37"/>
  <c r="J77" i="37"/>
  <c r="I75" i="37"/>
  <c r="G40" i="37"/>
  <c r="I36" i="37"/>
  <c r="I33" i="37"/>
  <c r="E63" i="37"/>
  <c r="I59" i="37"/>
  <c r="G27" i="37"/>
  <c r="G24" i="37"/>
  <c r="I20" i="37"/>
  <c r="F46" i="37"/>
  <c r="J42" i="37"/>
  <c r="E15" i="37"/>
  <c r="G11" i="37"/>
  <c r="I7" i="37"/>
  <c r="E31" i="37"/>
  <c r="K29" i="37"/>
  <c r="J59" i="37"/>
  <c r="L16" i="37"/>
  <c r="D102" i="37"/>
  <c r="E18" i="37"/>
  <c r="K16" i="37"/>
  <c r="I60" i="37"/>
  <c r="D46" i="37"/>
  <c r="I42" i="37"/>
  <c r="K3" i="37"/>
  <c r="K94" i="37"/>
  <c r="H184" i="37"/>
  <c r="E169" i="37"/>
  <c r="I164" i="37"/>
  <c r="H78" i="37"/>
  <c r="L67" i="37"/>
  <c r="G149" i="37"/>
  <c r="I138" i="37"/>
  <c r="L129" i="37"/>
  <c r="F40" i="37"/>
  <c r="F212" i="37"/>
  <c r="G119" i="37"/>
  <c r="I116" i="37"/>
  <c r="I114" i="37"/>
  <c r="G160" i="37"/>
  <c r="K156" i="37"/>
  <c r="G101" i="37"/>
  <c r="K98" i="37"/>
  <c r="K96" i="37"/>
  <c r="F126" i="37"/>
  <c r="D121" i="37"/>
  <c r="K79" i="37"/>
  <c r="K77" i="37"/>
  <c r="G71" i="37"/>
  <c r="J112" i="37"/>
  <c r="F103" i="37"/>
  <c r="G57" i="37"/>
  <c r="K53" i="37"/>
  <c r="F52" i="37"/>
  <c r="L83" i="37"/>
  <c r="K81" i="37"/>
  <c r="D44" i="37"/>
  <c r="K42" i="37"/>
  <c r="H40" i="37"/>
  <c r="E69" i="37"/>
  <c r="F63" i="37"/>
  <c r="L32" i="37"/>
  <c r="F31" i="37"/>
  <c r="L29" i="37"/>
  <c r="L47" i="37"/>
  <c r="G46" i="37"/>
  <c r="D22" i="37"/>
  <c r="J20" i="37"/>
  <c r="F18" i="37"/>
  <c r="J36" i="37"/>
  <c r="D35" i="37"/>
  <c r="D9" i="37"/>
  <c r="J7" i="37"/>
  <c r="F5" i="37"/>
  <c r="H27" i="37"/>
  <c r="J23" i="37"/>
  <c r="I184" i="37"/>
  <c r="D175" i="37"/>
  <c r="F169" i="37"/>
  <c r="H14" i="37"/>
  <c r="H11" i="37"/>
  <c r="J152" i="37"/>
  <c r="H144" i="37"/>
  <c r="H141" i="37"/>
  <c r="L3" i="37"/>
  <c r="K31" i="37"/>
  <c r="J118" i="37"/>
  <c r="J116" i="37"/>
  <c r="K114" i="37"/>
  <c r="L164" i="37"/>
  <c r="F156" i="37"/>
  <c r="F105" i="37"/>
  <c r="G103" i="37"/>
  <c r="K100" i="37"/>
  <c r="G126" i="37"/>
  <c r="E121" i="37"/>
  <c r="D92" i="37"/>
  <c r="L79" i="37"/>
  <c r="H71" i="37"/>
  <c r="D110" i="37"/>
  <c r="D108" i="37"/>
  <c r="K59" i="37"/>
  <c r="H57" i="37"/>
  <c r="L53" i="37"/>
  <c r="L98" i="37"/>
  <c r="L96" i="37"/>
  <c r="H46" i="37"/>
  <c r="E44" i="37"/>
  <c r="I40" i="37"/>
  <c r="F69" i="37"/>
  <c r="G63" i="37"/>
  <c r="E35" i="37"/>
  <c r="G31" i="37"/>
  <c r="I27" i="37"/>
  <c r="I51" i="37"/>
  <c r="D50" i="37"/>
  <c r="G18" i="37"/>
  <c r="I14" i="37"/>
  <c r="K10" i="37"/>
  <c r="E38" i="37"/>
  <c r="K36" i="37"/>
  <c r="G5" i="37"/>
  <c r="I17" i="37"/>
  <c r="D19" i="37"/>
  <c r="K23" i="37"/>
  <c r="E22" i="37"/>
  <c r="K90" i="37"/>
  <c r="E62" i="37"/>
  <c r="J52" i="37"/>
  <c r="E9" i="37"/>
  <c r="K7" i="37"/>
  <c r="G42" i="37"/>
  <c r="F33" i="37"/>
  <c r="H26" i="37"/>
  <c r="F12" i="37"/>
  <c r="D3" i="37"/>
  <c r="L207" i="37"/>
  <c r="I183" i="37"/>
  <c r="G156" i="37"/>
  <c r="E17" i="37"/>
  <c r="D60" i="37"/>
  <c r="I144" i="37"/>
  <c r="K140" i="37"/>
  <c r="D135" i="37"/>
  <c r="K44" i="37"/>
  <c r="F24" i="37"/>
  <c r="K120" i="37"/>
  <c r="K118" i="37"/>
  <c r="K116" i="37"/>
  <c r="K152" i="37"/>
  <c r="E148" i="37"/>
  <c r="G107" i="37"/>
  <c r="G105" i="37"/>
  <c r="H103" i="37"/>
  <c r="G129" i="37"/>
  <c r="H126" i="37"/>
  <c r="E90" i="37"/>
  <c r="D88" i="37"/>
  <c r="D81" i="37"/>
  <c r="L114" i="37"/>
  <c r="E110" i="37"/>
  <c r="G69" i="37"/>
  <c r="D67" i="37"/>
  <c r="H63" i="37"/>
  <c r="D94" i="37"/>
  <c r="E92" i="37"/>
  <c r="F55" i="37"/>
  <c r="J51" i="37"/>
  <c r="E50" i="37"/>
  <c r="D79" i="37"/>
  <c r="K70" i="37"/>
  <c r="D42" i="37"/>
  <c r="J40" i="37"/>
  <c r="F38" i="37"/>
  <c r="L59" i="37"/>
  <c r="I57" i="37"/>
  <c r="H31" i="37"/>
  <c r="D29" i="37"/>
  <c r="J27" i="37"/>
  <c r="K45" i="37"/>
  <c r="G44" i="37"/>
  <c r="F22" i="37"/>
  <c r="H18" i="37"/>
  <c r="D16" i="37"/>
  <c r="L36" i="37"/>
  <c r="H34" i="37"/>
  <c r="L10" i="37"/>
  <c r="F9" i="37"/>
  <c r="H5" i="37"/>
  <c r="F25" i="37"/>
  <c r="L23" i="37"/>
  <c r="D10" i="37"/>
  <c r="H44" i="37"/>
  <c r="L40" i="37"/>
  <c r="J14" i="37"/>
  <c r="D13" i="37"/>
  <c r="J18" i="37"/>
  <c r="D37" i="37"/>
  <c r="G206" i="37"/>
  <c r="H28" i="37"/>
  <c r="F19" i="37"/>
  <c r="J163" i="37"/>
  <c r="E160" i="37"/>
  <c r="K155" i="37"/>
  <c r="F26" i="37"/>
  <c r="H22" i="37"/>
  <c r="J137" i="37"/>
  <c r="E135" i="37"/>
  <c r="L120" i="37"/>
  <c r="G174" i="37"/>
  <c r="H168" i="37"/>
  <c r="E112" i="37"/>
  <c r="H109" i="37"/>
  <c r="H107" i="37"/>
  <c r="G148" i="37"/>
  <c r="K144" i="37"/>
  <c r="D96" i="37"/>
  <c r="E94" i="37"/>
  <c r="F92" i="37"/>
  <c r="L118" i="37"/>
  <c r="L116" i="37"/>
  <c r="F85" i="37"/>
  <c r="E83" i="37"/>
  <c r="E81" i="37"/>
  <c r="I105" i="37"/>
  <c r="L102" i="37"/>
  <c r="D75" i="37"/>
  <c r="L70" i="37"/>
  <c r="E67" i="37"/>
  <c r="H89" i="37"/>
  <c r="G87" i="37"/>
  <c r="G55" i="37"/>
  <c r="K51" i="37"/>
  <c r="H49" i="37"/>
  <c r="E79" i="37"/>
  <c r="E77" i="37"/>
  <c r="G38" i="37"/>
  <c r="I34" i="37"/>
  <c r="K30" i="37"/>
  <c r="I63" i="37"/>
  <c r="J57" i="37"/>
  <c r="G25" i="37"/>
  <c r="I21" i="37"/>
  <c r="I18" i="37"/>
  <c r="J43" i="37"/>
  <c r="E42" i="37"/>
  <c r="G12" i="37"/>
  <c r="G9" i="37"/>
  <c r="I5" i="37"/>
  <c r="E29" i="37"/>
  <c r="K27" i="37"/>
  <c r="L49" i="37"/>
  <c r="F36" i="37"/>
  <c r="L21" i="37"/>
  <c r="E16" i="37"/>
  <c r="K14" i="37"/>
  <c r="F10" i="37"/>
  <c r="F7" i="37"/>
  <c r="I4" i="37"/>
  <c r="E3" i="37"/>
  <c r="G3" i="37"/>
  <c r="E64" i="37"/>
  <c r="J54" i="37"/>
  <c r="I8" i="37"/>
  <c r="H19" i="37"/>
  <c r="H16" i="37"/>
  <c r="I35" i="37"/>
  <c r="E33" i="37"/>
  <c r="E30" i="37"/>
  <c r="H8" i="37"/>
  <c r="D6" i="37"/>
  <c r="F20" i="37"/>
  <c r="L5" i="37"/>
  <c r="J50" i="37"/>
  <c r="E6" i="37"/>
  <c r="L33" i="37"/>
  <c r="E173" i="37"/>
  <c r="I168" i="37"/>
  <c r="K163" i="37"/>
  <c r="G26" i="37"/>
  <c r="K5" i="37"/>
  <c r="D152" i="37"/>
  <c r="I148" i="37"/>
  <c r="L144" i="37"/>
  <c r="D204" i="37"/>
  <c r="D183" i="37"/>
  <c r="D114" i="37"/>
  <c r="I111" i="37"/>
  <c r="I109" i="37"/>
  <c r="H159" i="37"/>
  <c r="L155" i="37"/>
  <c r="E98" i="37"/>
  <c r="E96" i="37"/>
  <c r="F94" i="37"/>
  <c r="K137" i="37"/>
  <c r="K134" i="37"/>
  <c r="H87" i="37"/>
  <c r="G85" i="37"/>
  <c r="G83" i="37"/>
  <c r="I107" i="37"/>
  <c r="J105" i="37"/>
  <c r="F77" i="37"/>
  <c r="E75" i="37"/>
  <c r="F67" i="37"/>
  <c r="I91" i="37"/>
  <c r="I89" i="37"/>
  <c r="K57" i="37"/>
  <c r="H55" i="37"/>
  <c r="E53" i="37"/>
  <c r="F81" i="37"/>
  <c r="F79" i="37"/>
  <c r="G47" i="37"/>
  <c r="K43" i="37"/>
  <c r="F42" i="37"/>
  <c r="L62" i="37"/>
  <c r="D59" i="37"/>
  <c r="J34" i="37"/>
  <c r="D33" i="37"/>
  <c r="L30" i="37"/>
  <c r="L51" i="37"/>
  <c r="I49" i="37"/>
  <c r="J21" i="37"/>
  <c r="D20" i="37"/>
  <c r="L17" i="37"/>
  <c r="H38" i="37"/>
  <c r="D36" i="37"/>
  <c r="H12" i="37"/>
  <c r="J8" i="37"/>
  <c r="D7" i="37"/>
  <c r="F29" i="37"/>
  <c r="H25" i="37"/>
  <c r="E59" i="37"/>
  <c r="K49" i="37"/>
  <c r="H47" i="37"/>
  <c r="F16" i="37"/>
  <c r="L14" i="37"/>
  <c r="G16" i="37"/>
  <c r="K8" i="37"/>
  <c r="I47" i="37"/>
  <c r="J5" i="37"/>
  <c r="F3" i="37"/>
  <c r="H32" i="37"/>
  <c r="I6" i="37"/>
  <c r="E34" i="37"/>
  <c r="K34" i="37"/>
  <c r="G29" i="37"/>
  <c r="G13" i="37"/>
  <c r="J44" i="37"/>
  <c r="J35" i="37"/>
  <c r="J41" i="37"/>
  <c r="D40" i="37"/>
  <c r="H182" i="37"/>
  <c r="H173" i="37"/>
  <c r="D168" i="37"/>
  <c r="E8" i="37"/>
  <c r="I30" i="37"/>
  <c r="L147" i="37"/>
  <c r="L134" i="37"/>
  <c r="E116" i="37"/>
  <c r="E11" i="37"/>
  <c r="K202" i="37"/>
  <c r="J109" i="37"/>
  <c r="J107" i="37"/>
  <c r="F100" i="37"/>
  <c r="I159" i="37"/>
  <c r="E152" i="37"/>
  <c r="J93" i="37"/>
  <c r="K91" i="37"/>
  <c r="J89" i="37"/>
  <c r="F114" i="37"/>
  <c r="J111" i="37"/>
  <c r="H83" i="37"/>
  <c r="H81" i="37"/>
  <c r="G79" i="37"/>
  <c r="F98" i="37"/>
  <c r="G96" i="37"/>
  <c r="I55" i="37"/>
  <c r="F53" i="37"/>
  <c r="L43" i="37"/>
  <c r="I87" i="37"/>
  <c r="H85" i="37"/>
  <c r="E36" i="37"/>
  <c r="G32" i="37"/>
  <c r="I25" i="37"/>
  <c r="I76" i="37"/>
  <c r="H74" i="37"/>
  <c r="E20" i="37"/>
  <c r="I12" i="37"/>
  <c r="E7" i="37"/>
  <c r="I41" i="37"/>
  <c r="I38" i="37"/>
  <c r="H24" i="37"/>
  <c r="K48" i="37"/>
  <c r="F47" i="37"/>
  <c r="E23" i="37"/>
  <c r="K21" i="37"/>
  <c r="I37" i="37"/>
  <c r="K33" i="37"/>
  <c r="E32" i="37"/>
  <c r="G8" i="37"/>
  <c r="D32" i="37"/>
  <c r="K20" i="37"/>
  <c r="G15" i="37"/>
  <c r="F32" i="37"/>
  <c r="L42" i="37"/>
  <c r="G41" i="37"/>
  <c r="H29" i="37"/>
  <c r="K38" i="37"/>
  <c r="H200" i="37"/>
  <c r="G28" i="37"/>
  <c r="I24" i="37"/>
  <c r="G167" i="37"/>
  <c r="J159" i="37"/>
  <c r="I151" i="37"/>
  <c r="E54" i="37"/>
  <c r="J38" i="37"/>
  <c r="D134" i="37"/>
  <c r="E118" i="37"/>
  <c r="F116" i="37"/>
  <c r="G181" i="37"/>
  <c r="I173" i="37"/>
  <c r="K109" i="37"/>
  <c r="K107" i="37"/>
  <c r="G102" i="37"/>
  <c r="D144" i="37"/>
  <c r="F140" i="37"/>
  <c r="H96" i="37"/>
  <c r="K93" i="37"/>
  <c r="L91" i="37"/>
  <c r="G114" i="37"/>
  <c r="K111" i="37"/>
  <c r="I85" i="37"/>
  <c r="I83" i="37"/>
  <c r="K80" i="37"/>
  <c r="G100" i="37"/>
  <c r="G98" i="37"/>
  <c r="I74" i="37"/>
  <c r="K60" i="37"/>
  <c r="F59" i="37"/>
  <c r="K89" i="37"/>
  <c r="J87" i="37"/>
  <c r="E51" i="37"/>
  <c r="F45" i="37"/>
  <c r="L37" i="37"/>
  <c r="K78" i="37"/>
  <c r="J76" i="37"/>
  <c r="D27" i="37"/>
  <c r="J25" i="37"/>
  <c r="F23" i="37"/>
  <c r="J55" i="37"/>
  <c r="G53" i="37"/>
  <c r="L8" i="37"/>
  <c r="H3" i="37"/>
  <c r="G17" i="37"/>
  <c r="L34" i="37"/>
  <c r="J28" i="37"/>
  <c r="K13" i="37"/>
  <c r="D26" i="37"/>
  <c r="L7" i="37"/>
  <c r="D14" i="37"/>
  <c r="J12" i="37"/>
  <c r="E37" i="37"/>
  <c r="G7" i="37"/>
  <c r="L44" i="37"/>
  <c r="K26" i="37"/>
  <c r="G21" i="37"/>
  <c r="L180" i="37"/>
  <c r="I167" i="37"/>
  <c r="E163" i="37"/>
  <c r="I9" i="37"/>
  <c r="I50" i="37"/>
  <c r="E144" i="37"/>
  <c r="G140" i="37"/>
  <c r="D137" i="37"/>
  <c r="H20" i="37"/>
  <c r="E198" i="37"/>
  <c r="F118" i="37"/>
  <c r="G116" i="37"/>
  <c r="K113" i="37"/>
  <c r="K159" i="37"/>
  <c r="J151" i="37"/>
  <c r="D105" i="37"/>
  <c r="H102" i="37"/>
  <c r="H100" i="37"/>
  <c r="E134" i="37"/>
  <c r="F120" i="37"/>
  <c r="K87" i="37"/>
  <c r="L82" i="37"/>
  <c r="L80" i="37"/>
  <c r="L111" i="37"/>
  <c r="L109" i="37"/>
  <c r="J74" i="37"/>
  <c r="G70" i="37"/>
  <c r="H64" i="37"/>
  <c r="H98" i="37"/>
  <c r="L89" i="37"/>
  <c r="D57" i="37"/>
  <c r="I53" i="37"/>
  <c r="F51" i="37"/>
  <c r="L78" i="37"/>
  <c r="K76" i="37"/>
  <c r="K41" i="37"/>
  <c r="E40" i="37"/>
  <c r="G36" i="37"/>
  <c r="L60" i="37"/>
  <c r="G59" i="37"/>
  <c r="E27" i="37"/>
  <c r="G23" i="37"/>
  <c r="I19" i="37"/>
  <c r="J47" i="37"/>
  <c r="G45" i="37"/>
  <c r="K12" i="37"/>
  <c r="G10" i="37"/>
  <c r="I3" i="37"/>
  <c r="I32" i="37"/>
  <c r="K28" i="37"/>
  <c r="I26" i="37"/>
  <c r="I23" i="37"/>
  <c r="K19" i="37"/>
  <c r="K15" i="37"/>
  <c r="E14" i="37"/>
  <c r="J4" i="37"/>
  <c r="H97" i="37"/>
  <c r="J82" i="37"/>
  <c r="I39" i="37"/>
  <c r="K32" i="37"/>
  <c r="H13" i="37"/>
  <c r="J29" i="37"/>
  <c r="H7" i="37"/>
  <c r="E5" i="37"/>
  <c r="E28" i="37"/>
  <c r="J167" i="37"/>
  <c r="F163" i="37"/>
  <c r="L159" i="37"/>
  <c r="G74" i="37"/>
  <c r="F17" i="37"/>
  <c r="F144" i="37"/>
  <c r="H140" i="37"/>
  <c r="E137" i="37"/>
  <c r="L196" i="37"/>
  <c r="J172" i="37"/>
  <c r="H116" i="37"/>
  <c r="D107" i="37"/>
  <c r="E105" i="37"/>
  <c r="G155" i="37"/>
  <c r="K151" i="37"/>
  <c r="I98" i="37"/>
  <c r="E93" i="37"/>
  <c r="D91" i="37"/>
  <c r="G120" i="37"/>
  <c r="G118" i="37"/>
  <c r="H70" i="37"/>
  <c r="I64" i="37"/>
  <c r="D63" i="37"/>
  <c r="I102" i="37"/>
  <c r="I100" i="37"/>
  <c r="G51" i="37"/>
  <c r="D49" i="37"/>
  <c r="K47" i="37"/>
  <c r="L76" i="37"/>
  <c r="K74" i="37"/>
  <c r="L41" i="37"/>
  <c r="H39" i="37"/>
  <c r="H36" i="37"/>
  <c r="E57" i="37"/>
  <c r="L52" i="37"/>
  <c r="F30" i="37"/>
  <c r="L28" i="37"/>
  <c r="F27" i="37"/>
  <c r="H45" i="37"/>
  <c r="E43" i="37"/>
  <c r="J19" i="37"/>
  <c r="D18" i="37"/>
  <c r="L15" i="37"/>
  <c r="D34" i="37"/>
  <c r="J32" i="37"/>
  <c r="J6" i="37"/>
  <c r="D5" i="37"/>
  <c r="G30" i="37"/>
  <c r="H23" i="37"/>
  <c r="D21" i="37"/>
  <c r="K6" i="37"/>
  <c r="E25" i="37"/>
  <c r="D104" i="37"/>
  <c r="F14" i="37"/>
  <c r="H10" i="37"/>
  <c r="F39" i="37"/>
  <c r="J31" i="37"/>
  <c r="L24" i="37"/>
  <c r="E21" i="37"/>
  <c r="I10" i="37"/>
  <c r="I13" i="37"/>
  <c r="I194" i="37"/>
  <c r="E172" i="37"/>
  <c r="J84" i="37"/>
  <c r="G76" i="37"/>
  <c r="J158" i="37"/>
  <c r="F151" i="37"/>
  <c r="J147" i="37"/>
  <c r="H6" i="37"/>
  <c r="F48" i="37"/>
  <c r="I118" i="37"/>
  <c r="L115" i="37"/>
  <c r="D111" i="37"/>
  <c r="K167" i="37"/>
  <c r="G163" i="37"/>
  <c r="I104" i="37"/>
  <c r="J102" i="37"/>
  <c r="J100" i="37"/>
  <c r="F137" i="37"/>
  <c r="H120" i="37"/>
  <c r="D89" i="37"/>
  <c r="L74" i="37"/>
  <c r="I70" i="37"/>
  <c r="D109" i="37"/>
  <c r="E107" i="37"/>
  <c r="I56" i="37"/>
  <c r="D55" i="37"/>
  <c r="H51" i="37"/>
  <c r="F93" i="37"/>
  <c r="E91" i="37"/>
  <c r="F43" i="37"/>
  <c r="K35" i="37"/>
  <c r="G14" i="37"/>
  <c r="J64" i="37"/>
  <c r="G62" i="37"/>
  <c r="I43" i="37"/>
  <c r="H37" i="37"/>
  <c r="F28" i="37"/>
  <c r="E49" i="37"/>
  <c r="I45" i="37"/>
  <c r="E19" i="37"/>
  <c r="I11" i="37"/>
  <c r="K4" i="37"/>
  <c r="J48" i="37"/>
  <c r="E47" i="37"/>
  <c r="D17" i="37"/>
  <c r="H9" i="37"/>
  <c r="J9" i="37"/>
  <c r="L13" i="37"/>
  <c r="E100" i="37"/>
  <c r="E71" i="37"/>
  <c r="D52" i="37"/>
  <c r="E46" i="37"/>
  <c r="J24" i="37"/>
  <c r="K46" i="37"/>
  <c r="L171" i="37"/>
  <c r="D163" i="37"/>
  <c r="E155" i="37"/>
  <c r="G20" i="37"/>
  <c r="G4" i="37"/>
  <c r="H139" i="37"/>
  <c r="I136" i="37"/>
  <c r="I120" i="37"/>
  <c r="L194" i="37"/>
  <c r="D179" i="37"/>
  <c r="E111" i="37"/>
  <c r="E109" i="37"/>
  <c r="F107" i="37"/>
  <c r="K150" i="37"/>
  <c r="F143" i="37"/>
  <c r="G93" i="37"/>
  <c r="F91" i="37"/>
  <c r="E89" i="37"/>
  <c r="L117" i="37"/>
  <c r="E113" i="37"/>
  <c r="D83" i="37"/>
  <c r="F80" i="37"/>
  <c r="E78" i="37"/>
  <c r="K104" i="37"/>
  <c r="K102" i="37"/>
  <c r="K64" i="37"/>
  <c r="H62" i="37"/>
  <c r="J56" i="37"/>
  <c r="E87" i="37"/>
  <c r="D85" i="37"/>
  <c r="F49" i="37"/>
  <c r="J45" i="37"/>
  <c r="G43" i="37"/>
  <c r="D76" i="37"/>
  <c r="J70" i="37"/>
  <c r="D38" i="37"/>
  <c r="L35" i="37"/>
  <c r="F34" i="37"/>
  <c r="E55" i="37"/>
  <c r="K50" i="37"/>
  <c r="D25" i="37"/>
  <c r="L22" i="37"/>
  <c r="F21" i="37"/>
  <c r="D41" i="37"/>
  <c r="J39" i="37"/>
  <c r="J13" i="37"/>
  <c r="D12" i="37"/>
  <c r="J10" i="37"/>
  <c r="H30" i="37"/>
  <c r="J26" i="37"/>
  <c r="H4" i="37"/>
  <c r="E12" i="37"/>
  <c r="F41" i="37"/>
  <c r="L19" i="37"/>
  <c r="H17" i="37"/>
  <c r="K17" i="37"/>
  <c r="L27" i="37"/>
  <c r="F13" i="37"/>
  <c r="F8" i="37"/>
  <c r="L6" i="37"/>
  <c r="L63" i="37"/>
  <c r="L31" i="37"/>
  <c r="D24" i="37"/>
  <c r="J30" i="37"/>
  <c r="F15" i="37"/>
  <c r="G179" i="37"/>
  <c r="E171" i="37"/>
  <c r="I162" i="37"/>
  <c r="D4" i="37"/>
  <c r="I22" i="37"/>
  <c r="D147" i="37"/>
  <c r="G143" i="37"/>
  <c r="I139" i="37"/>
  <c r="K9" i="37"/>
  <c r="D193" i="37"/>
  <c r="F113" i="37"/>
  <c r="F111" i="37"/>
  <c r="G109" i="37"/>
  <c r="H154" i="37"/>
  <c r="L150" i="37"/>
  <c r="H93" i="37"/>
  <c r="G91" i="37"/>
  <c r="F89" i="37"/>
  <c r="J136" i="37"/>
  <c r="J120" i="37"/>
  <c r="G82" i="37"/>
  <c r="G80" i="37"/>
  <c r="F78" i="37"/>
  <c r="J106" i="37"/>
  <c r="L104" i="37"/>
  <c r="L64" i="37"/>
  <c r="I62" i="37"/>
  <c r="G60" i="37"/>
  <c r="F87" i="37"/>
  <c r="H84" i="37"/>
  <c r="L50" i="37"/>
  <c r="G49" i="37"/>
  <c r="D47" i="37"/>
  <c r="E76" i="37"/>
  <c r="E74" i="37"/>
  <c r="K39" i="37"/>
  <c r="G37" i="37"/>
  <c r="G34" i="37"/>
  <c r="K56" i="37"/>
  <c r="H54" i="37"/>
  <c r="L26" i="37"/>
  <c r="H21" i="37"/>
  <c r="J17" i="37"/>
  <c r="H43" i="37"/>
  <c r="E41" i="37"/>
  <c r="L18" i="37"/>
  <c r="G54" i="37"/>
  <c r="F37" i="37"/>
  <c r="L39" i="37"/>
  <c r="J33" i="37"/>
  <c r="I192" i="37"/>
  <c r="J178" i="37"/>
  <c r="F171" i="37"/>
  <c r="G52" i="37"/>
  <c r="J15" i="37"/>
  <c r="I158" i="37"/>
  <c r="G150" i="37"/>
  <c r="K146" i="37"/>
  <c r="D15" i="37"/>
  <c r="J3" i="37"/>
  <c r="G115" i="37"/>
  <c r="G113" i="37"/>
  <c r="G111" i="37"/>
  <c r="K166" i="37"/>
  <c r="J162" i="37"/>
  <c r="D98" i="37"/>
  <c r="I93" i="37"/>
  <c r="H91" i="37"/>
  <c r="D139" i="37"/>
  <c r="K136" i="37"/>
  <c r="I84" i="37"/>
  <c r="I82" i="37"/>
  <c r="H80" i="37"/>
  <c r="J108" i="37"/>
  <c r="K106" i="37"/>
  <c r="F74" i="37"/>
  <c r="K62" i="37"/>
  <c r="H60" i="37"/>
  <c r="G89" i="37"/>
  <c r="I86" i="37"/>
  <c r="D53" i="37"/>
  <c r="K88" i="37"/>
  <c r="I80" i="37"/>
  <c r="G78" i="37"/>
  <c r="F76" i="37"/>
  <c r="F6" i="37"/>
  <c r="D30" i="37"/>
  <c r="D8" i="37"/>
  <c r="L56" i="37"/>
  <c r="I54" i="37"/>
  <c r="H59" i="37"/>
  <c r="L38" i="37"/>
  <c r="L178" i="37"/>
  <c r="D23" i="37"/>
  <c r="H15" i="37"/>
  <c r="E162" i="37"/>
  <c r="L157" i="37"/>
  <c r="D154" i="37"/>
  <c r="F4" i="37"/>
  <c r="G48" i="37"/>
  <c r="E139" i="37"/>
  <c r="E136" i="37"/>
  <c r="I124" i="37"/>
  <c r="H171" i="37"/>
  <c r="E166" i="37"/>
  <c r="H113" i="37"/>
  <c r="H111" i="37"/>
  <c r="K108" i="37"/>
  <c r="H150" i="37"/>
  <c r="L146" i="37"/>
  <c r="J11" i="37"/>
  <c r="L4" i="37"/>
  <c r="J63" i="37"/>
  <c r="D118" i="37"/>
  <c r="H115" i="37"/>
  <c r="H48" i="37"/>
  <c r="H33" i="37"/>
  <c r="L25" i="37"/>
  <c r="L92" i="37"/>
  <c r="J86" i="37"/>
  <c r="F190" i="37"/>
  <c r="G170" i="37"/>
  <c r="F166" i="37"/>
  <c r="H56" i="37"/>
  <c r="E24" i="37"/>
  <c r="J150" i="37"/>
  <c r="E146" i="37"/>
  <c r="G142" i="37"/>
  <c r="J16" i="37"/>
  <c r="L9" i="37"/>
  <c r="J124" i="37"/>
  <c r="D120" i="37"/>
  <c r="G117" i="37"/>
  <c r="F162" i="37"/>
  <c r="F154" i="37"/>
  <c r="K110" i="37"/>
  <c r="L108" i="37"/>
  <c r="E106" i="37"/>
  <c r="F139" i="37"/>
  <c r="H136" i="37"/>
  <c r="H99" i="37"/>
  <c r="I97" i="37"/>
  <c r="L90" i="37"/>
  <c r="I115" i="37"/>
  <c r="I113" i="37"/>
  <c r="K84" i="37"/>
  <c r="K82" i="37"/>
  <c r="J80" i="37"/>
  <c r="E104" i="37"/>
  <c r="E102" i="37"/>
  <c r="D70" i="37"/>
  <c r="F64" i="37"/>
  <c r="J60" i="37"/>
  <c r="L88" i="37"/>
  <c r="L86" i="37"/>
  <c r="H52" i="37"/>
  <c r="L48" i="37"/>
  <c r="I46" i="37"/>
  <c r="I78" i="37"/>
  <c r="K75" i="37"/>
  <c r="D39" i="37"/>
  <c r="J37" i="37"/>
  <c r="F35" i="37"/>
  <c r="D56" i="37"/>
  <c r="K54" i="37"/>
  <c r="G50" i="37"/>
  <c r="K18" i="37"/>
  <c r="E4" i="37"/>
  <c r="D45" i="37"/>
  <c r="H41" i="37"/>
  <c r="I29" i="37"/>
  <c r="K25" i="37"/>
  <c r="K22" i="37"/>
  <c r="L20" i="37"/>
  <c r="I69" i="37"/>
  <c r="D28" i="37"/>
  <c r="F11" i="37"/>
  <c r="J188" i="37"/>
  <c r="D11" i="37"/>
  <c r="H42" i="37"/>
  <c r="G154" i="37"/>
  <c r="F146" i="37"/>
  <c r="H142" i="37"/>
  <c r="I16" i="37"/>
  <c r="L55" i="37"/>
  <c r="K124" i="37"/>
  <c r="E120" i="37"/>
  <c r="I117" i="37"/>
  <c r="K177" i="37"/>
  <c r="J161" i="37"/>
  <c r="F106" i="37"/>
  <c r="F104" i="37"/>
  <c r="F102" i="37"/>
  <c r="G139" i="37"/>
  <c r="K135" i="37"/>
  <c r="L77" i="37"/>
  <c r="L75" i="37"/>
  <c r="I71" i="37"/>
  <c r="J115" i="37"/>
  <c r="L112" i="37"/>
  <c r="D62" i="37"/>
  <c r="E56" i="37"/>
  <c r="L54" i="37"/>
  <c r="I99" i="37"/>
  <c r="K97" i="37"/>
  <c r="J46" i="37"/>
  <c r="E45" i="37"/>
  <c r="K40" i="37"/>
  <c r="E70" i="37"/>
  <c r="G64" i="37"/>
  <c r="G35" i="37"/>
  <c r="I31" i="37"/>
  <c r="I28" i="37"/>
  <c r="I52" i="37"/>
  <c r="F50" i="37"/>
  <c r="G22" i="37"/>
  <c r="G19" i="37"/>
  <c r="I15" i="37"/>
  <c r="E39" i="37"/>
  <c r="K37" i="37"/>
  <c r="E10" i="37"/>
  <c r="G6" i="37"/>
  <c r="G33" i="37"/>
  <c r="E26" i="37"/>
  <c r="K24" i="37"/>
  <c r="K161" i="37"/>
  <c r="D158" i="37"/>
  <c r="J153" i="37"/>
  <c r="E13" i="37"/>
  <c r="K11" i="37"/>
  <c r="J138" i="37"/>
  <c r="F135" i="37"/>
  <c r="L124" i="37"/>
  <c r="J67" i="37"/>
  <c r="D177" i="37"/>
  <c r="E108" i="37"/>
  <c r="G106" i="37"/>
  <c r="G104" i="37"/>
  <c r="G146" i="37"/>
  <c r="I142" i="37"/>
  <c r="D86" i="37"/>
  <c r="D84" i="37"/>
  <c r="J71" i="37"/>
  <c r="H119" i="37"/>
  <c r="K117" i="37"/>
  <c r="L11" i="37"/>
  <c r="L12" i="37"/>
  <c r="E188" i="37"/>
  <c r="I101" i="37"/>
  <c r="J99" i="37"/>
  <c r="F165" i="37"/>
  <c r="L161" i="37"/>
  <c r="G157" i="37"/>
  <c r="F56" i="37"/>
  <c r="H35" i="37"/>
  <c r="H146" i="37"/>
  <c r="J142" i="37"/>
  <c r="K138" i="37"/>
  <c r="E177" i="37"/>
  <c r="I169" i="37"/>
  <c r="G108" i="37"/>
  <c r="H106" i="37"/>
  <c r="J103" i="37"/>
  <c r="K153" i="37"/>
  <c r="D150" i="37"/>
  <c r="D97" i="37"/>
  <c r="D93" i="37"/>
  <c r="F90" i="37"/>
  <c r="G135" i="37"/>
  <c r="J119" i="37"/>
  <c r="E84" i="37"/>
  <c r="D82" i="37"/>
  <c r="K71" i="37"/>
  <c r="K101" i="37"/>
  <c r="L99" i="37"/>
  <c r="K63" i="37"/>
  <c r="F62" i="37"/>
  <c r="L57" i="37"/>
  <c r="F88" i="37"/>
  <c r="E86" i="37"/>
  <c r="K52" i="37"/>
  <c r="H50" i="37"/>
  <c r="E48" i="37"/>
  <c r="J69" i="37"/>
  <c r="G67" i="37"/>
  <c r="D43" i="37"/>
  <c r="G39" i="37"/>
  <c r="E187" i="37"/>
  <c r="G56" i="37"/>
  <c r="D54" i="37"/>
  <c r="G165" i="37"/>
  <c r="H157" i="37"/>
  <c r="E150" i="37"/>
  <c r="L46" i="37"/>
  <c r="I44" i="37"/>
  <c r="L138" i="37"/>
  <c r="H135" i="37"/>
  <c r="H129" i="37"/>
  <c r="I176" i="37"/>
  <c r="J169" i="37"/>
  <c r="K119" i="37"/>
  <c r="F110" i="37"/>
  <c r="I108" i="37"/>
  <c r="K145" i="37"/>
  <c r="K142" i="37"/>
  <c r="L101" i="37"/>
  <c r="E97" i="37"/>
  <c r="G92" i="37"/>
  <c r="D124" i="37"/>
  <c r="I121" i="37"/>
  <c r="G86" i="37"/>
  <c r="F84" i="37"/>
  <c r="E82" i="37"/>
  <c r="K105" i="37"/>
  <c r="K103" i="37"/>
  <c r="F75" i="37"/>
  <c r="K69" i="37"/>
  <c r="H67" i="37"/>
  <c r="G90" i="37"/>
  <c r="G88" i="37"/>
  <c r="L175" i="37"/>
  <c r="L169" i="37"/>
  <c r="H165" i="37"/>
  <c r="D80" i="37"/>
  <c r="D78" i="37"/>
  <c r="H149" i="37"/>
  <c r="L145" i="37"/>
  <c r="I135" i="37"/>
  <c r="J22" i="37"/>
  <c r="K186" i="37"/>
  <c r="E124" i="37"/>
  <c r="J121" i="37"/>
  <c r="D117" i="37"/>
  <c r="D161" i="37"/>
  <c r="I157" i="37"/>
  <c r="H110" i="37"/>
  <c r="L107" i="37"/>
  <c r="L105" i="37"/>
  <c r="I129" i="37"/>
  <c r="I126" i="37"/>
  <c r="F97" i="37"/>
  <c r="H94" i="37"/>
  <c r="I92" i="37"/>
  <c r="D115" i="37"/>
  <c r="G112" i="37"/>
  <c r="H86" i="37"/>
  <c r="G84" i="37"/>
  <c r="F82" i="37"/>
  <c r="L103" i="37"/>
  <c r="E99" i="37"/>
  <c r="G75" i="37"/>
  <c r="D71" i="37"/>
  <c r="L69" i="37"/>
  <c r="H90" i="37"/>
  <c r="H88" i="37"/>
  <c r="K55" i="37"/>
  <c r="F54" i="37"/>
  <c r="D31" i="37"/>
  <c r="E80" i="37"/>
  <c r="G77" i="37"/>
  <c r="I165" i="37"/>
  <c r="E157" i="37"/>
  <c r="I153" i="37"/>
  <c r="I67" i="37"/>
  <c r="E60" i="37"/>
  <c r="J135" i="37"/>
  <c r="J129" i="37"/>
  <c r="D126" i="37"/>
  <c r="L186" i="37"/>
  <c r="H175" i="37"/>
  <c r="E119" i="37"/>
  <c r="E117" i="37"/>
  <c r="E115" i="37"/>
  <c r="G145" i="37"/>
  <c r="I141" i="37"/>
  <c r="D101" i="37"/>
  <c r="G99" i="37"/>
  <c r="I96" i="37"/>
  <c r="F124" i="37"/>
  <c r="K121" i="37"/>
  <c r="J90" i="37"/>
  <c r="I88" i="37"/>
  <c r="K85" i="37"/>
  <c r="H112" i="37"/>
  <c r="I110" i="37"/>
  <c r="I79" i="37"/>
  <c r="H77" i="37"/>
  <c r="H75" i="37"/>
  <c r="I94" i="37"/>
  <c r="J92" i="37"/>
  <c r="M105" i="37"/>
  <c r="M107" i="37"/>
  <c r="M103" i="37"/>
  <c r="J83" i="37"/>
  <c r="I81" i="37"/>
  <c r="C52" i="37"/>
  <c r="C169" i="37"/>
  <c r="C149" i="37"/>
  <c r="M160" i="37"/>
  <c r="B139" i="37"/>
  <c r="B154" i="37"/>
  <c r="M138" i="37"/>
  <c r="C119" i="37"/>
  <c r="M101" i="37"/>
  <c r="M63" i="37"/>
  <c r="M71" i="37"/>
  <c r="B74" i="37"/>
  <c r="M46" i="37"/>
  <c r="M57" i="37"/>
  <c r="B142" i="37"/>
  <c r="M153" i="37"/>
  <c r="C113" i="37"/>
  <c r="C115" i="37"/>
  <c r="C117" i="37"/>
  <c r="C99" i="37"/>
  <c r="C78" i="37"/>
  <c r="C80" i="37"/>
  <c r="C60" i="37"/>
  <c r="M40" i="37"/>
  <c r="M161" i="37"/>
  <c r="C111" i="37"/>
  <c r="B113" i="37"/>
  <c r="B115" i="37"/>
  <c r="B117" i="37"/>
  <c r="B76" i="37"/>
  <c r="M77" i="37"/>
  <c r="B80" i="37"/>
  <c r="C82" i="37"/>
  <c r="M75" i="37"/>
  <c r="C124" i="37"/>
  <c r="M114" i="37"/>
  <c r="B89" i="37"/>
  <c r="C91" i="37"/>
  <c r="C93" i="37"/>
  <c r="C97" i="37"/>
  <c r="M27" i="37"/>
  <c r="B166" i="37"/>
  <c r="C150" i="37"/>
  <c r="B111" i="37"/>
  <c r="M112" i="37"/>
  <c r="C17" i="37"/>
  <c r="M20" i="37"/>
  <c r="M7" i="37"/>
  <c r="M188" i="37"/>
  <c r="B6" i="37"/>
  <c r="M59" i="37"/>
  <c r="B43" i="37"/>
  <c r="M48" i="37"/>
  <c r="M33" i="37"/>
  <c r="C30" i="37"/>
  <c r="C84" i="37"/>
  <c r="M86" i="37"/>
  <c r="M88" i="37"/>
  <c r="M90" i="37"/>
  <c r="M79" i="37"/>
  <c r="C158" i="37"/>
  <c r="B109" i="37"/>
  <c r="M110" i="37"/>
  <c r="B93" i="37"/>
  <c r="B82" i="37"/>
  <c r="C62" i="37"/>
  <c r="C51" i="37"/>
  <c r="M42" i="37"/>
  <c r="M165" i="37"/>
  <c r="M149" i="37"/>
  <c r="C178" i="37"/>
  <c r="B158" i="37"/>
  <c r="M92" i="37"/>
  <c r="M94" i="37"/>
  <c r="M67" i="37"/>
  <c r="C120" i="37"/>
  <c r="M106" i="37"/>
  <c r="C28" i="37"/>
  <c r="B22" i="37"/>
  <c r="B64" i="37"/>
  <c r="B70" i="37"/>
  <c r="C4" i="37"/>
  <c r="M5" i="37"/>
  <c r="M190" i="37"/>
  <c r="C143" i="37"/>
  <c r="M119" i="37"/>
  <c r="C100" i="37"/>
  <c r="C102" i="37"/>
  <c r="C104" i="37"/>
  <c r="C64" i="37"/>
  <c r="C16" i="37"/>
  <c r="C15" i="37"/>
  <c r="C154" i="37"/>
  <c r="B143" i="37"/>
  <c r="B118" i="37"/>
  <c r="M69" i="37"/>
  <c r="B59" i="37"/>
  <c r="C53" i="37"/>
  <c r="M35" i="37"/>
  <c r="B45" i="37"/>
  <c r="M117" i="37"/>
  <c r="C116" i="37"/>
  <c r="C98" i="37"/>
  <c r="B100" i="37"/>
  <c r="B102" i="37"/>
  <c r="B21" i="37"/>
  <c r="B41" i="37"/>
  <c r="C167" i="37"/>
  <c r="M49" i="37"/>
  <c r="B159" i="37"/>
  <c r="B3" i="37"/>
  <c r="B36" i="37"/>
  <c r="C19" i="37"/>
  <c r="M56" i="37"/>
  <c r="C70" i="37"/>
  <c r="B29" i="37"/>
  <c r="B32" i="37"/>
  <c r="B16" i="37"/>
  <c r="C32" i="37"/>
  <c r="M44" i="37"/>
  <c r="B98" i="37"/>
  <c r="M99" i="37"/>
  <c r="C74" i="37"/>
  <c r="C47" i="37"/>
  <c r="B53" i="37"/>
  <c r="B167" i="37"/>
  <c r="B134" i="37"/>
  <c r="C147" i="37"/>
  <c r="M115" i="37"/>
  <c r="C96" i="37"/>
  <c r="C12" i="37"/>
  <c r="B14" i="37"/>
  <c r="B30" i="37"/>
  <c r="M34" i="37"/>
  <c r="M158" i="37"/>
  <c r="C87" i="37"/>
  <c r="M76" i="37"/>
  <c r="M52" i="37"/>
  <c r="B47" i="37"/>
  <c r="M50" i="37"/>
  <c r="M97" i="37"/>
  <c r="B79" i="37"/>
  <c r="C81" i="37"/>
  <c r="C83" i="37"/>
  <c r="C85" i="37"/>
  <c r="B155" i="37"/>
  <c r="C140" i="37"/>
  <c r="M143" i="37"/>
  <c r="B114" i="37"/>
  <c r="B96" i="37"/>
  <c r="M41" i="37"/>
  <c r="C43" i="37"/>
  <c r="M31" i="37"/>
  <c r="M11" i="37"/>
  <c r="C181" i="37"/>
  <c r="C55" i="37"/>
  <c r="B38" i="37"/>
  <c r="B25" i="37"/>
  <c r="B9" i="37"/>
  <c r="B12" i="37"/>
  <c r="B87" i="37"/>
  <c r="C89" i="37"/>
  <c r="M78" i="37"/>
  <c r="M80" i="37"/>
  <c r="B83" i="37"/>
  <c r="C148" i="37"/>
  <c r="C109" i="37"/>
  <c r="M111" i="37"/>
  <c r="M113" i="37"/>
  <c r="B85" i="37"/>
  <c r="C5" i="37"/>
  <c r="M28" i="37"/>
  <c r="M22" i="37"/>
  <c r="B8" i="37"/>
  <c r="M180" i="37"/>
  <c r="C34" i="37"/>
  <c r="M37" i="37"/>
  <c r="M21" i="37"/>
  <c r="M24" i="37"/>
  <c r="C18" i="37"/>
  <c r="C63" i="37"/>
  <c r="C49" i="37"/>
  <c r="M54" i="37"/>
  <c r="B44" i="37"/>
  <c r="C31" i="37"/>
  <c r="C107" i="37"/>
  <c r="M91" i="37"/>
  <c r="M93" i="37"/>
  <c r="M84" i="37"/>
  <c r="B69" i="37"/>
  <c r="C69" i="37"/>
  <c r="C156" i="37"/>
  <c r="M172" i="37"/>
  <c r="B148" i="37"/>
  <c r="C126" i="37"/>
  <c r="C57" i="37"/>
  <c r="B31" i="37"/>
  <c r="B18" i="37"/>
  <c r="B5" i="37"/>
  <c r="B23" i="37"/>
  <c r="C137" i="37"/>
  <c r="C121" i="37"/>
  <c r="B105" i="37"/>
  <c r="C71" i="37"/>
  <c r="B63" i="37"/>
  <c r="B17" i="37"/>
  <c r="B164" i="37"/>
  <c r="M147" i="37"/>
  <c r="B156" i="37"/>
  <c r="B126" i="37"/>
  <c r="C36" i="37"/>
  <c r="C23" i="37"/>
  <c r="M26" i="37"/>
  <c r="C8" i="37"/>
  <c r="M14" i="37"/>
  <c r="C11" i="37"/>
  <c r="B51" i="37"/>
  <c r="C39" i="37"/>
  <c r="C45" i="37"/>
  <c r="M29" i="37"/>
  <c r="B71" i="37"/>
  <c r="C40" i="37"/>
  <c r="M17" i="37"/>
  <c r="M15" i="37"/>
  <c r="M8" i="37"/>
  <c r="B119" i="37"/>
  <c r="B121" i="37"/>
  <c r="C103" i="37"/>
  <c r="M104" i="37"/>
  <c r="M62" i="37"/>
  <c r="M155" i="37"/>
  <c r="M163" i="37"/>
  <c r="B137" i="37"/>
  <c r="C141" i="37"/>
  <c r="C144" i="37"/>
  <c r="C14" i="37"/>
  <c r="C38" i="37"/>
  <c r="C37" i="37"/>
  <c r="M13" i="37"/>
  <c r="B28" i="37"/>
  <c r="M51" i="37"/>
  <c r="B57" i="37"/>
  <c r="C27" i="37"/>
  <c r="M30" i="37"/>
  <c r="M43" i="37"/>
  <c r="B40" i="37"/>
  <c r="B27" i="37"/>
  <c r="B24" i="37"/>
  <c r="B11" i="37"/>
  <c r="C46" i="37"/>
  <c r="M116" i="37"/>
  <c r="C101" i="37"/>
  <c r="M102" i="37"/>
  <c r="M70" i="37"/>
  <c r="B46" i="37"/>
  <c r="B15" i="37"/>
  <c r="B19" i="37"/>
  <c r="B141" i="37"/>
  <c r="M118" i="37"/>
  <c r="M120" i="37"/>
  <c r="C25" i="37"/>
  <c r="C10" i="37"/>
  <c r="B52" i="37"/>
  <c r="C24" i="37"/>
  <c r="C41" i="37"/>
  <c r="C20" i="37"/>
  <c r="M23" i="37"/>
  <c r="C7" i="37"/>
  <c r="M4" i="37"/>
  <c r="B10" i="37"/>
  <c r="C48" i="37"/>
  <c r="B54" i="37"/>
  <c r="M36" i="37"/>
  <c r="M39" i="37"/>
  <c r="C33" i="37"/>
  <c r="C114" i="37"/>
  <c r="B99" i="37"/>
  <c r="B101" i="37"/>
  <c r="C59" i="37"/>
  <c r="M45" i="37"/>
  <c r="B34" i="37"/>
  <c r="B37" i="37"/>
  <c r="C183" i="37"/>
  <c r="C152" i="37"/>
  <c r="M140" i="37"/>
  <c r="B7" i="37"/>
  <c r="B62" i="37"/>
  <c r="M9" i="37"/>
  <c r="C54" i="37"/>
  <c r="B60" i="37"/>
  <c r="M64" i="37"/>
  <c r="M53" i="37"/>
  <c r="B48" i="37"/>
  <c r="B33" i="37"/>
  <c r="B20" i="37"/>
  <c r="M100" i="37"/>
  <c r="B84" i="37"/>
  <c r="C86" i="37"/>
  <c r="C75" i="37"/>
  <c r="C77" i="37"/>
  <c r="C138" i="37"/>
  <c r="B124" i="37"/>
  <c r="C112" i="37"/>
  <c r="M96" i="37"/>
  <c r="M98" i="37"/>
  <c r="M3" i="37"/>
  <c r="C160" i="37"/>
  <c r="C164" i="37"/>
  <c r="B169" i="37"/>
  <c r="C174" i="37"/>
  <c r="C29" i="37"/>
  <c r="M16" i="37"/>
  <c r="M19" i="37"/>
  <c r="C13" i="37"/>
  <c r="M6" i="37"/>
  <c r="C56" i="37"/>
  <c r="C42" i="37"/>
  <c r="M47" i="37"/>
  <c r="M32" i="37"/>
  <c r="C26" i="37"/>
  <c r="C88" i="37"/>
  <c r="C90" i="37"/>
  <c r="B75" i="37"/>
  <c r="B77" i="37"/>
  <c r="C67" i="37"/>
  <c r="B112" i="37"/>
  <c r="C94" i="37"/>
  <c r="M81" i="37"/>
  <c r="M83" i="37"/>
  <c r="B86" i="37"/>
  <c r="B160" i="37"/>
  <c r="B149" i="37"/>
  <c r="C129" i="37"/>
  <c r="C135" i="37"/>
  <c r="B138" i="37"/>
  <c r="B4" i="37"/>
  <c r="C210" i="37"/>
  <c r="M18" i="37"/>
  <c r="C21" i="37"/>
  <c r="C3" i="37"/>
  <c r="B67" i="37"/>
  <c r="C50" i="37"/>
  <c r="B56" i="37"/>
  <c r="B39" i="37"/>
  <c r="B26" i="37"/>
  <c r="B135" i="37"/>
  <c r="C108" i="37"/>
  <c r="C110" i="37"/>
  <c r="M85" i="37"/>
  <c r="B90" i="37"/>
  <c r="B35" i="37"/>
  <c r="B175" i="37"/>
  <c r="M141" i="37"/>
  <c r="M144" i="37"/>
  <c r="C153" i="37"/>
  <c r="C6" i="37"/>
  <c r="B13" i="37"/>
  <c r="B88" i="37"/>
  <c r="B92" i="37"/>
  <c r="B49" i="37"/>
  <c r="M25" i="37"/>
  <c r="C22" i="37"/>
  <c r="C9" i="37"/>
  <c r="M12" i="37"/>
  <c r="C106" i="37"/>
  <c r="M55" i="37"/>
  <c r="C44" i="37"/>
  <c r="B50" i="37"/>
  <c r="C35" i="37"/>
  <c r="M38" i="37"/>
  <c r="B106" i="37"/>
  <c r="B108" i="37"/>
  <c r="M109" i="37"/>
  <c r="M87" i="37"/>
  <c r="M89" i="37"/>
  <c r="C192" i="37"/>
  <c r="M174" i="37"/>
  <c r="B185" i="37"/>
  <c r="B153" i="37"/>
  <c r="M134" i="37"/>
  <c r="C241" i="37"/>
  <c r="B243" i="37"/>
  <c r="C217" i="37"/>
  <c r="C206" i="37"/>
  <c r="M197" i="37"/>
  <c r="C175" i="37"/>
  <c r="C308" i="37"/>
  <c r="B269" i="37"/>
  <c r="C281" i="37"/>
  <c r="B250" i="37"/>
  <c r="M211" i="37"/>
  <c r="B217" i="37"/>
  <c r="B206" i="37"/>
  <c r="C200" i="37"/>
  <c r="B181" i="37"/>
  <c r="M268" i="37"/>
  <c r="M249" i="37"/>
  <c r="C253" i="37"/>
  <c r="B241" i="37"/>
  <c r="M242" i="37"/>
  <c r="C219" i="37"/>
  <c r="B224" i="37"/>
  <c r="M205" i="37"/>
  <c r="C194" i="37"/>
  <c r="C261" i="37"/>
  <c r="B288" i="37"/>
  <c r="B292" i="37"/>
  <c r="B253" i="37"/>
  <c r="M236" i="37"/>
  <c r="C226" i="37"/>
  <c r="C234" i="37"/>
  <c r="M223" i="37"/>
  <c r="C228" i="37"/>
  <c r="C208" i="37"/>
  <c r="B214" i="37"/>
  <c r="M157" i="37"/>
  <c r="M146" i="37"/>
  <c r="C284" i="37"/>
  <c r="C248" i="37"/>
  <c r="C230" i="37"/>
  <c r="B208" i="37"/>
  <c r="C191" i="37"/>
  <c r="C177" i="37"/>
  <c r="C166" i="37"/>
  <c r="B152" i="37"/>
  <c r="C232" i="37"/>
  <c r="B228" i="37"/>
  <c r="B230" i="37"/>
  <c r="M213" i="37"/>
  <c r="C202" i="37"/>
  <c r="M171" i="37"/>
  <c r="B177" i="37"/>
  <c r="B275" i="37"/>
  <c r="C246" i="37"/>
  <c r="C256" i="37"/>
  <c r="C216" i="37"/>
  <c r="M207" i="37"/>
  <c r="B202" i="37"/>
  <c r="C185" i="37"/>
  <c r="B191" i="37"/>
  <c r="B246" i="37"/>
  <c r="C251" i="37"/>
  <c r="B256" i="37"/>
  <c r="M229" i="37"/>
  <c r="B232" i="37"/>
  <c r="C272" i="37"/>
  <c r="M255" i="37"/>
  <c r="B216" i="37"/>
  <c r="B259" i="37"/>
  <c r="C269" i="37"/>
  <c r="C136" i="37"/>
  <c r="C139" i="37"/>
  <c r="M126" i="37"/>
  <c r="M129" i="37"/>
  <c r="B289" i="37"/>
  <c r="C179" i="37"/>
  <c r="C168" i="37"/>
  <c r="M159" i="37"/>
  <c r="M142" i="37"/>
  <c r="M148" i="37"/>
  <c r="C204" i="37"/>
  <c r="C193" i="37"/>
  <c r="B199" i="37"/>
  <c r="M184" i="37"/>
  <c r="B174" i="37"/>
  <c r="B55" i="37"/>
  <c r="M288" i="37"/>
  <c r="B42" i="37"/>
  <c r="B272" i="37"/>
  <c r="B210" i="37"/>
  <c r="B136" i="37"/>
  <c r="B110" i="37"/>
  <c r="B94" i="37"/>
  <c r="B97" i="37"/>
  <c r="B81" i="37"/>
  <c r="C187" i="37"/>
  <c r="M173" i="37"/>
  <c r="B168" i="37"/>
  <c r="C162" i="37"/>
  <c r="C151" i="37"/>
  <c r="C285" i="37"/>
  <c r="C218" i="37"/>
  <c r="M209" i="37"/>
  <c r="B193" i="37"/>
  <c r="M198" i="37"/>
  <c r="M156" i="37"/>
  <c r="C145" i="37"/>
  <c r="M135" i="37"/>
  <c r="C298" i="37"/>
  <c r="M281" i="37"/>
  <c r="M181" i="37"/>
  <c r="M167" i="37"/>
  <c r="C176" i="37"/>
  <c r="B162" i="37"/>
  <c r="B151" i="37"/>
  <c r="C220" i="37"/>
  <c r="C212" i="37"/>
  <c r="C201" i="37"/>
  <c r="B187" i="37"/>
  <c r="M192" i="37"/>
  <c r="B285" i="37"/>
  <c r="B298" i="37"/>
  <c r="B304" i="37"/>
  <c r="C264" i="37"/>
  <c r="C239" i="37"/>
  <c r="B145" i="37"/>
  <c r="B129" i="37"/>
  <c r="B116" i="37"/>
  <c r="B103" i="37"/>
  <c r="C312" i="37"/>
  <c r="C195" i="37"/>
  <c r="B201" i="37"/>
  <c r="M175" i="37"/>
  <c r="C170" i="37"/>
  <c r="M150" i="37"/>
  <c r="C233" i="37"/>
  <c r="C235" i="37"/>
  <c r="B220" i="37"/>
  <c r="C222" i="37"/>
  <c r="M206" i="37"/>
  <c r="M284" i="37"/>
  <c r="C267" i="37"/>
  <c r="B276" i="37"/>
  <c r="B237" i="37"/>
  <c r="C231" i="37"/>
  <c r="M200" i="37"/>
  <c r="C189" i="37"/>
  <c r="M303" i="37"/>
  <c r="B184" i="37"/>
  <c r="C282" i="37"/>
  <c r="B233" i="37"/>
  <c r="B235" i="37"/>
  <c r="C214" i="37"/>
  <c r="B222" i="37"/>
  <c r="B195" i="37"/>
  <c r="B178" i="37"/>
  <c r="C270" i="37"/>
  <c r="M275" i="37"/>
  <c r="M226" i="37"/>
  <c r="B229" i="37"/>
  <c r="M246" i="37"/>
  <c r="M234" i="37"/>
  <c r="C203" i="37"/>
  <c r="M194" i="37"/>
  <c r="C172" i="37"/>
  <c r="C92" i="37"/>
  <c r="M82" i="37"/>
  <c r="C76" i="37"/>
  <c r="C79" i="37"/>
  <c r="C259" i="37"/>
  <c r="C118" i="37"/>
  <c r="M121" i="37"/>
  <c r="M124" i="37"/>
  <c r="M108" i="37"/>
  <c r="C105" i="37"/>
  <c r="C161" i="37"/>
  <c r="B147" i="37"/>
  <c r="M152" i="37"/>
  <c r="M137" i="37"/>
  <c r="C134" i="37"/>
  <c r="C211" i="37"/>
  <c r="C197" i="37"/>
  <c r="C186" i="37"/>
  <c r="M177" i="37"/>
  <c r="B172" i="37"/>
  <c r="B161" i="37"/>
  <c r="C155" i="37"/>
  <c r="B144" i="37"/>
  <c r="B262" i="37"/>
  <c r="B203" i="37"/>
  <c r="B197" i="37"/>
  <c r="B186" i="37"/>
  <c r="M191" i="37"/>
  <c r="C180" i="37"/>
  <c r="M166" i="37"/>
  <c r="C290" i="37"/>
  <c r="C294" i="37"/>
  <c r="C242" i="37"/>
  <c r="C244" i="37"/>
  <c r="B211" i="37"/>
  <c r="C249" i="37"/>
  <c r="M210" i="37"/>
  <c r="C205" i="37"/>
  <c r="B180" i="37"/>
  <c r="M185" i="37"/>
  <c r="M154" i="37"/>
  <c r="B140" i="37"/>
  <c r="C268" i="37"/>
  <c r="C254" i="37"/>
  <c r="C265" i="37"/>
  <c r="B194" i="37"/>
  <c r="M179" i="37"/>
  <c r="C188" i="37"/>
  <c r="C163" i="37"/>
  <c r="M168" i="37"/>
  <c r="C238" i="37"/>
  <c r="B219" i="37"/>
  <c r="C213" i="37"/>
  <c r="C199" i="37"/>
  <c r="M204" i="37"/>
  <c r="M136" i="37"/>
  <c r="M139" i="37"/>
  <c r="B318" i="37"/>
  <c r="C257" i="37"/>
  <c r="M239" i="37"/>
  <c r="B188" i="37"/>
  <c r="C171" i="37"/>
  <c r="M162" i="37"/>
  <c r="C157" i="37"/>
  <c r="C146" i="37"/>
  <c r="C227" i="37"/>
  <c r="M218" i="37"/>
  <c r="C207" i="37"/>
  <c r="M193" i="37"/>
  <c r="C182" i="37"/>
  <c r="C319" i="37"/>
  <c r="C260" i="37"/>
  <c r="C236" i="37"/>
  <c r="B221" i="37"/>
  <c r="C223" i="37"/>
  <c r="B120" i="37"/>
  <c r="B104" i="37"/>
  <c r="B107" i="37"/>
  <c r="B91" i="37"/>
  <c r="B78" i="37"/>
  <c r="M176" i="37"/>
  <c r="C165" i="37"/>
  <c r="M151" i="37"/>
  <c r="B157" i="37"/>
  <c r="B146" i="37"/>
  <c r="M201" i="37"/>
  <c r="M187" i="37"/>
  <c r="C196" i="37"/>
  <c r="B182" i="37"/>
  <c r="B171" i="37"/>
  <c r="M220" i="37"/>
  <c r="B223" i="37"/>
  <c r="C225" i="37"/>
  <c r="B227" i="37"/>
  <c r="B207" i="37"/>
  <c r="C291" i="37"/>
  <c r="C247" i="37"/>
  <c r="C229" i="37"/>
  <c r="B234" i="37"/>
  <c r="B236" i="37"/>
  <c r="M170" i="37"/>
  <c r="C159" i="37"/>
  <c r="B165" i="37"/>
  <c r="C142" i="37"/>
  <c r="M145" i="37"/>
  <c r="M231" i="37"/>
  <c r="M233" i="37"/>
  <c r="M222" i="37"/>
  <c r="C215" i="37"/>
  <c r="C190" i="37"/>
  <c r="M164" i="37"/>
  <c r="C301" i="37"/>
  <c r="B263" i="37"/>
  <c r="C266" i="37"/>
  <c r="C252" i="37"/>
  <c r="B204" i="37"/>
  <c r="B190" i="37"/>
  <c r="B179" i="37"/>
  <c r="C184" i="37"/>
  <c r="C173" i="37"/>
  <c r="M262" i="37"/>
  <c r="C255" i="37"/>
  <c r="C209" i="37"/>
  <c r="B215" i="37"/>
  <c r="C198" i="37"/>
  <c r="M214" i="37"/>
  <c r="M203" i="37"/>
  <c r="B198" i="37"/>
  <c r="M178" i="37"/>
  <c r="B173" i="37"/>
  <c r="C415" i="37"/>
  <c r="M364" i="37"/>
  <c r="C374" i="37"/>
  <c r="M327" i="37"/>
  <c r="C243" i="37"/>
  <c r="B290" i="37"/>
  <c r="B274" i="37"/>
  <c r="B261" i="37"/>
  <c r="B248" i="37"/>
  <c r="C386" i="37"/>
  <c r="C357" i="37"/>
  <c r="M335" i="37"/>
  <c r="C338" i="37"/>
  <c r="C330" i="37"/>
  <c r="C305" i="37"/>
  <c r="B330" i="37"/>
  <c r="C313" i="37"/>
  <c r="C299" i="37"/>
  <c r="C296" i="37"/>
  <c r="C283" i="37"/>
  <c r="B340" i="37"/>
  <c r="M329" i="37"/>
  <c r="C307" i="37"/>
  <c r="B338" i="37"/>
  <c r="C324" i="37"/>
  <c r="M227" i="37"/>
  <c r="C221" i="37"/>
  <c r="C360" i="37"/>
  <c r="C355" i="37"/>
  <c r="M337" i="37"/>
  <c r="M266" i="37"/>
  <c r="C250" i="37"/>
  <c r="M253" i="37"/>
  <c r="C237" i="37"/>
  <c r="C224" i="37"/>
  <c r="B307" i="37"/>
  <c r="C292" i="37"/>
  <c r="M269" i="37"/>
  <c r="C276" i="37"/>
  <c r="C263" i="37"/>
  <c r="C342" i="37"/>
  <c r="C351" i="37"/>
  <c r="B353" i="37"/>
  <c r="C332" i="37"/>
  <c r="C321" i="37"/>
  <c r="B342" i="37"/>
  <c r="C344" i="37"/>
  <c r="M354" i="37"/>
  <c r="C315" i="37"/>
  <c r="B360" i="37"/>
  <c r="B387" i="37"/>
  <c r="B366" i="37"/>
  <c r="C309" i="37"/>
  <c r="C387" i="37"/>
  <c r="C358" i="37"/>
  <c r="M297" i="37"/>
  <c r="C334" i="37"/>
  <c r="C323" i="37"/>
  <c r="C393" i="37"/>
  <c r="C375" i="37"/>
  <c r="C400" i="37"/>
  <c r="B249" i="37"/>
  <c r="B252" i="37"/>
  <c r="C317" i="37"/>
  <c r="C306" i="37"/>
  <c r="C331" i="37"/>
  <c r="C300" i="37"/>
  <c r="B306" i="37"/>
  <c r="B291" i="37"/>
  <c r="B265" i="37"/>
  <c r="C245" i="37"/>
  <c r="M248" i="37"/>
  <c r="M235" i="37"/>
  <c r="B384" i="37"/>
  <c r="C361" i="37"/>
  <c r="C271" i="37"/>
  <c r="C274" i="37"/>
  <c r="M261" i="37"/>
  <c r="M264" i="37"/>
  <c r="C258" i="37"/>
  <c r="C333" i="37"/>
  <c r="C341" i="37"/>
  <c r="C325" i="37"/>
  <c r="M305" i="37"/>
  <c r="C287" i="37"/>
  <c r="C302" i="37"/>
  <c r="B308" i="37"/>
  <c r="C293" i="37"/>
  <c r="C343" i="37"/>
  <c r="C345" i="37"/>
  <c r="C316" i="37"/>
  <c r="C380" i="37"/>
  <c r="C347" i="37"/>
  <c r="C349" i="37"/>
  <c r="M313" i="37"/>
  <c r="B316" i="37"/>
  <c r="C289" i="37"/>
  <c r="C286" i="37"/>
  <c r="C273" i="37"/>
  <c r="M307" i="37"/>
  <c r="B163" i="37"/>
  <c r="B150" i="37"/>
  <c r="C373" i="37"/>
  <c r="C335" i="37"/>
  <c r="C310" i="37"/>
  <c r="B218" i="37"/>
  <c r="B205" i="37"/>
  <c r="B192" i="37"/>
  <c r="B189" i="37"/>
  <c r="B176" i="37"/>
  <c r="B273" i="37"/>
  <c r="B260" i="37"/>
  <c r="B247" i="37"/>
  <c r="B244" i="37"/>
  <c r="B231" i="37"/>
  <c r="C295" i="37"/>
  <c r="C402" i="37"/>
  <c r="C329" i="37"/>
  <c r="M315" i="37"/>
  <c r="C304" i="37"/>
  <c r="C326" i="37"/>
  <c r="C389" i="37"/>
  <c r="C367" i="37"/>
  <c r="C337" i="37"/>
  <c r="C318" i="37"/>
  <c r="C288" i="37"/>
  <c r="C275" i="37"/>
  <c r="C262" i="37"/>
  <c r="B413" i="37"/>
  <c r="C364" i="37"/>
  <c r="B391" i="37"/>
  <c r="C354" i="37"/>
  <c r="C346" i="37"/>
  <c r="C320" i="37"/>
  <c r="B326" i="37"/>
  <c r="C303" i="37"/>
  <c r="C297" i="37"/>
  <c r="C348" i="37"/>
  <c r="B320" i="37"/>
  <c r="M325" i="37"/>
  <c r="C362" i="37"/>
  <c r="M347" i="37"/>
  <c r="C322" i="37"/>
  <c r="C350" i="37"/>
  <c r="C328" i="37"/>
  <c r="C409" i="37"/>
  <c r="B455" i="37"/>
  <c r="C455" i="37"/>
  <c r="C442" i="37"/>
  <c r="C413" i="37"/>
  <c r="C464" i="37"/>
  <c r="C448" i="37"/>
  <c r="C435" i="37"/>
  <c r="C422" i="37"/>
  <c r="C406" i="37"/>
  <c r="M304" i="37"/>
  <c r="C457" i="37"/>
  <c r="C441" i="37"/>
  <c r="C444" i="37"/>
  <c r="C461" i="37"/>
  <c r="C327" i="37"/>
  <c r="C311" i="37"/>
  <c r="C314" i="37"/>
  <c r="M317" i="37"/>
  <c r="M301" i="37"/>
  <c r="C382" i="37"/>
  <c r="C366" i="37"/>
  <c r="C369" i="37"/>
  <c r="C353" i="37"/>
  <c r="C340" i="37"/>
  <c r="C437" i="37"/>
  <c r="C421" i="37"/>
  <c r="C424" i="37"/>
  <c r="C408" i="37"/>
  <c r="C395" i="37"/>
  <c r="C401" i="37"/>
  <c r="C388" i="37"/>
  <c r="B395" i="37"/>
  <c r="C463" i="37"/>
  <c r="C450" i="37"/>
  <c r="C459" i="37"/>
  <c r="C456" i="37"/>
  <c r="C443" i="37"/>
  <c r="C417" i="37"/>
  <c r="C404" i="37"/>
  <c r="C397" i="37"/>
  <c r="C381" i="37"/>
  <c r="C384" i="37"/>
  <c r="C368" i="37"/>
  <c r="C517" i="37"/>
  <c r="C452" i="37"/>
  <c r="C436" i="37"/>
  <c r="C439" i="37"/>
  <c r="C423" i="37"/>
  <c r="C410" i="37"/>
  <c r="C419" i="37"/>
  <c r="C403" i="37"/>
  <c r="C377" i="37"/>
  <c r="M380" i="37"/>
  <c r="C465" i="37"/>
  <c r="B403" i="37"/>
  <c r="B377" i="37"/>
  <c r="C458" i="37"/>
  <c r="C445" i="37"/>
  <c r="C416" i="37"/>
  <c r="M402" i="37"/>
  <c r="C396" i="37"/>
  <c r="C399" i="37"/>
  <c r="C383" i="37"/>
  <c r="B445" i="37"/>
  <c r="C451" i="37"/>
  <c r="C454" i="37"/>
  <c r="C438" i="37"/>
  <c r="C425" i="37"/>
  <c r="C412" i="37"/>
  <c r="C392" i="37"/>
  <c r="C376" i="37"/>
  <c r="C379" i="37"/>
  <c r="C363" i="37"/>
  <c r="C467" i="37"/>
  <c r="C460" i="37"/>
  <c r="C447" i="37"/>
  <c r="C434" i="37"/>
  <c r="C418" i="37"/>
  <c r="C405" i="37"/>
  <c r="C372" i="37"/>
  <c r="C359" i="37"/>
  <c r="M362" i="37"/>
  <c r="C356" i="37"/>
  <c r="B363" i="37"/>
  <c r="C453" i="37"/>
  <c r="C411" i="37"/>
  <c r="C414" i="37"/>
  <c r="C398" i="37"/>
  <c r="C385" i="37"/>
  <c r="M368" i="37"/>
  <c r="C352" i="37"/>
  <c r="C336" i="37"/>
  <c r="C339" i="37"/>
  <c r="C466" i="37"/>
  <c r="C407" i="37"/>
  <c r="C394" i="37"/>
  <c r="C391" i="37"/>
  <c r="C378" i="37"/>
  <c r="C365" i="37"/>
  <c r="C462" i="37"/>
  <c r="C449" i="37"/>
  <c r="C446" i="37"/>
  <c r="C433" i="37"/>
  <c r="C420" i="37"/>
  <c r="D10" i="38"/>
  <c r="B10" i="38"/>
  <c r="C10" i="38"/>
  <c r="J10" i="38"/>
  <c r="AG10" i="38"/>
  <c r="AD10" i="38"/>
  <c r="AC10" i="38"/>
  <c r="AL10" i="38"/>
  <c r="AK10" i="38"/>
  <c r="AJ10" i="38"/>
  <c r="AI10" i="38"/>
  <c r="AH10" i="38"/>
  <c r="AP10" i="38"/>
  <c r="AO10" i="38"/>
  <c r="AN10" i="38"/>
  <c r="AM10" i="38"/>
  <c r="AT10" i="38"/>
  <c r="AX10" i="38"/>
  <c r="BF10" i="38"/>
  <c r="BD10" i="38"/>
  <c r="BC10" i="38"/>
  <c r="BB10" i="38"/>
  <c r="BK10" i="38"/>
  <c r="BJ10" i="38"/>
  <c r="BH10" i="38"/>
  <c r="BG10" i="38"/>
  <c r="BP10" i="38"/>
  <c r="BO10" i="38"/>
  <c r="BN10" i="38"/>
  <c r="BL10" i="38"/>
  <c r="BV10" i="38"/>
  <c r="BU10" i="38"/>
  <c r="BT10" i="38"/>
  <c r="BS10" i="38"/>
  <c r="BR10" i="38"/>
  <c r="CA10" i="38"/>
  <c r="BZ10" i="38"/>
  <c r="BY10" i="38"/>
  <c r="BX10" i="38"/>
  <c r="BW10" i="38"/>
  <c r="CF10" i="38"/>
  <c r="CE10" i="38"/>
  <c r="CD10" i="38"/>
  <c r="CC10" i="38"/>
  <c r="CB10" i="38"/>
  <c r="CH10" i="38"/>
  <c r="CG10" i="38"/>
  <c r="A1" i="49"/>
  <c r="B1" i="49"/>
  <c r="A2" i="49"/>
  <c r="B2" i="49"/>
  <c r="A10" i="38" s="1"/>
  <c r="E2" i="49"/>
  <c r="A3" i="49"/>
  <c r="B3" i="49"/>
  <c r="A4" i="49"/>
  <c r="B4" i="49"/>
  <c r="A5" i="49"/>
  <c r="B5" i="49"/>
  <c r="B6" i="49" s="1"/>
  <c r="A7" i="49"/>
  <c r="B7" i="49"/>
  <c r="K6" i="38" l="1"/>
  <c r="P6" i="38" s="1"/>
  <c r="BQ6" i="38"/>
  <c r="H6" i="38"/>
  <c r="I6" i="38"/>
  <c r="K7" i="38"/>
  <c r="P7" i="38" s="1"/>
  <c r="BQ7" i="38"/>
  <c r="H7" i="38"/>
  <c r="I7" i="38"/>
  <c r="K8" i="38"/>
  <c r="P8" i="38" s="1"/>
  <c r="BQ8" i="38"/>
  <c r="H8" i="38"/>
  <c r="I8" i="38"/>
  <c r="K9" i="38"/>
  <c r="P9" i="38" s="1"/>
  <c r="BQ9" i="38"/>
  <c r="H9" i="38"/>
  <c r="I9" i="38"/>
  <c r="K2" i="38"/>
  <c r="P2" i="38" s="1"/>
  <c r="BQ2" i="38"/>
  <c r="I2" i="38"/>
  <c r="H2" i="38"/>
  <c r="K3" i="38"/>
  <c r="P3" i="38" s="1"/>
  <c r="BQ3" i="38"/>
  <c r="I3" i="38"/>
  <c r="H3" i="38"/>
  <c r="K4" i="38"/>
  <c r="P4" i="38" s="1"/>
  <c r="BQ4" i="38"/>
  <c r="I4" i="38"/>
  <c r="H4" i="38"/>
  <c r="K5" i="38"/>
  <c r="P5" i="38" s="1"/>
  <c r="BQ5" i="38"/>
  <c r="H5" i="38"/>
  <c r="I5" i="38"/>
  <c r="K10" i="38"/>
  <c r="P10" i="38" s="1"/>
  <c r="BQ10" i="38"/>
  <c r="H10" i="38"/>
  <c r="I10" i="38"/>
  <c r="M117" i="40"/>
  <c r="C114" i="40"/>
  <c r="C111" i="40"/>
  <c r="M118" i="40"/>
  <c r="C115" i="40"/>
  <c r="M105" i="40"/>
  <c r="C102" i="40"/>
  <c r="M92" i="40"/>
  <c r="C89" i="40"/>
  <c r="C86" i="40"/>
  <c r="M79" i="40"/>
  <c r="M76" i="40"/>
  <c r="M108" i="40"/>
  <c r="B103" i="40"/>
  <c r="C97" i="40"/>
  <c r="M83" i="40"/>
  <c r="M120" i="40"/>
  <c r="B109" i="40"/>
  <c r="C103" i="40"/>
  <c r="M94" i="40"/>
  <c r="B84" i="40"/>
  <c r="C78" i="40"/>
  <c r="C72" i="40"/>
  <c r="M62" i="40"/>
  <c r="B121" i="40"/>
  <c r="B119" i="40"/>
  <c r="M116" i="40"/>
  <c r="M100" i="40"/>
  <c r="B95" i="40"/>
  <c r="C121" i="40"/>
  <c r="M106" i="40"/>
  <c r="B101" i="40"/>
  <c r="C95" i="40"/>
  <c r="B87" i="40"/>
  <c r="M81" i="40"/>
  <c r="B76" i="40"/>
  <c r="M69" i="40"/>
  <c r="M66" i="40"/>
  <c r="C63" i="40"/>
  <c r="B112" i="40"/>
  <c r="C101" i="40"/>
  <c r="C112" i="40"/>
  <c r="M109" i="40"/>
  <c r="M98" i="40"/>
  <c r="C93" i="40"/>
  <c r="M84" i="40"/>
  <c r="M73" i="40"/>
  <c r="C70" i="40"/>
  <c r="M60" i="40"/>
  <c r="B110" i="40"/>
  <c r="C104" i="40"/>
  <c r="B99" i="40"/>
  <c r="M90" i="40"/>
  <c r="B85" i="40"/>
  <c r="C79" i="40"/>
  <c r="B74" i="40"/>
  <c r="B61" i="40"/>
  <c r="C110" i="40"/>
  <c r="M96" i="40"/>
  <c r="B91" i="40"/>
  <c r="C85" i="40"/>
  <c r="M67" i="40"/>
  <c r="C64" i="40"/>
  <c r="C61" i="40"/>
  <c r="M119" i="40"/>
  <c r="M107" i="40"/>
  <c r="B102" i="40"/>
  <c r="C91" i="40"/>
  <c r="M82" i="40"/>
  <c r="B77" i="40"/>
  <c r="B68" i="40"/>
  <c r="B120" i="40"/>
  <c r="B118" i="40"/>
  <c r="M115" i="40"/>
  <c r="B108" i="40"/>
  <c r="M99" i="40"/>
  <c r="M88" i="40"/>
  <c r="B83" i="40"/>
  <c r="C77" i="40"/>
  <c r="M71" i="40"/>
  <c r="C68" i="40"/>
  <c r="M58" i="40"/>
  <c r="C120" i="40"/>
  <c r="C118" i="40"/>
  <c r="B116" i="40"/>
  <c r="C108" i="40"/>
  <c r="C116" i="40"/>
  <c r="M113" i="40"/>
  <c r="B106" i="40"/>
  <c r="C100" i="40"/>
  <c r="M80" i="40"/>
  <c r="B75" i="40"/>
  <c r="M65" i="40"/>
  <c r="C62" i="40"/>
  <c r="B114" i="40"/>
  <c r="C106" i="40"/>
  <c r="M97" i="40"/>
  <c r="B92" i="40"/>
  <c r="M86" i="40"/>
  <c r="B81" i="40"/>
  <c r="C75" i="40"/>
  <c r="B66" i="40"/>
  <c r="M111" i="40"/>
  <c r="M103" i="40"/>
  <c r="B98" i="40"/>
  <c r="C92" i="40"/>
  <c r="C81" i="40"/>
  <c r="M72" i="40"/>
  <c r="C109" i="40"/>
  <c r="B104" i="40"/>
  <c r="C98" i="40"/>
  <c r="M89" i="40"/>
  <c r="M95" i="40"/>
  <c r="B90" i="40"/>
  <c r="C84" i="40"/>
  <c r="M121" i="40"/>
  <c r="C119" i="40"/>
  <c r="B117" i="40"/>
  <c r="B107" i="40"/>
  <c r="M101" i="40"/>
  <c r="B96" i="40"/>
  <c r="C90" i="40"/>
  <c r="C117" i="40"/>
  <c r="M114" i="40"/>
  <c r="C107" i="40"/>
  <c r="C96" i="40"/>
  <c r="M87" i="40"/>
  <c r="B82" i="40"/>
  <c r="M70" i="40"/>
  <c r="C67" i="40"/>
  <c r="M57" i="40"/>
  <c r="B115" i="40"/>
  <c r="M112" i="40"/>
  <c r="M104" i="40"/>
  <c r="M93" i="40"/>
  <c r="B88" i="40"/>
  <c r="C82" i="40"/>
  <c r="B71" i="40"/>
  <c r="B113" i="40"/>
  <c r="B105" i="40"/>
  <c r="C99" i="40"/>
  <c r="B94" i="40"/>
  <c r="C88" i="40"/>
  <c r="B80" i="40"/>
  <c r="C74" i="40"/>
  <c r="C71" i="40"/>
  <c r="M64" i="40"/>
  <c r="M61" i="40"/>
  <c r="C58" i="40"/>
  <c r="C113" i="40"/>
  <c r="M110" i="40"/>
  <c r="C105" i="40"/>
  <c r="M85" i="40"/>
  <c r="C80" i="40"/>
  <c r="B65" i="40"/>
  <c r="B111" i="40"/>
  <c r="M102" i="40"/>
  <c r="B97" i="40"/>
  <c r="M91" i="40"/>
  <c r="B59" i="40"/>
  <c r="B100" i="40"/>
  <c r="M75" i="40"/>
  <c r="C76" i="40"/>
  <c r="M74" i="40"/>
  <c r="C66" i="40"/>
  <c r="C94" i="40"/>
  <c r="B93" i="40"/>
  <c r="B70" i="40"/>
  <c r="B58" i="40"/>
  <c r="C69" i="40"/>
  <c r="C65" i="40"/>
  <c r="B89" i="40"/>
  <c r="B57" i="40"/>
  <c r="M78" i="40"/>
  <c r="M68" i="40"/>
  <c r="M59" i="40"/>
  <c r="C57" i="40"/>
  <c r="C87" i="40"/>
  <c r="B79" i="40"/>
  <c r="B73" i="40"/>
  <c r="B69" i="40"/>
  <c r="B60" i="40"/>
  <c r="C73" i="40"/>
  <c r="C60" i="40"/>
  <c r="M56" i="40"/>
  <c r="B55" i="40"/>
  <c r="B42" i="40"/>
  <c r="M77" i="40"/>
  <c r="M63" i="40"/>
  <c r="B86" i="40"/>
  <c r="B78" i="40"/>
  <c r="B64" i="40"/>
  <c r="B72" i="40"/>
  <c r="C59" i="40"/>
  <c r="B67" i="40"/>
  <c r="B63" i="40"/>
  <c r="B56" i="40"/>
  <c r="C83" i="40"/>
  <c r="B62" i="40"/>
  <c r="C56" i="40"/>
  <c r="M55" i="40"/>
  <c r="B50" i="40"/>
  <c r="C44" i="40"/>
  <c r="M38" i="40"/>
  <c r="C35" i="40"/>
  <c r="M25" i="40"/>
  <c r="C22" i="40"/>
  <c r="M12" i="40"/>
  <c r="C9" i="40"/>
  <c r="C6" i="40"/>
  <c r="B13" i="40"/>
  <c r="B49" i="40"/>
  <c r="B35" i="40"/>
  <c r="C50" i="40"/>
  <c r="B39" i="40"/>
  <c r="B26" i="40"/>
  <c r="B4" i="40"/>
  <c r="C3" i="40"/>
  <c r="C21" i="40"/>
  <c r="M18" i="40"/>
  <c r="M47" i="40"/>
  <c r="C42" i="40"/>
  <c r="M32" i="40"/>
  <c r="C29" i="40"/>
  <c r="C26" i="40"/>
  <c r="M19" i="40"/>
  <c r="M16" i="40"/>
  <c r="C13" i="40"/>
  <c r="M3" i="40"/>
  <c r="M6" i="40"/>
  <c r="M53" i="40"/>
  <c r="B48" i="40"/>
  <c r="B33" i="40"/>
  <c r="B20" i="40"/>
  <c r="B7" i="40"/>
  <c r="M9" i="40"/>
  <c r="C54" i="40"/>
  <c r="B37" i="40"/>
  <c r="B34" i="40"/>
  <c r="B54" i="40"/>
  <c r="C48" i="40"/>
  <c r="M45" i="40"/>
  <c r="M39" i="40"/>
  <c r="M36" i="40"/>
  <c r="C33" i="40"/>
  <c r="M23" i="40"/>
  <c r="C20" i="40"/>
  <c r="M10" i="40"/>
  <c r="C7" i="40"/>
  <c r="M4" i="40"/>
  <c r="C25" i="40"/>
  <c r="B10" i="40"/>
  <c r="C10" i="40"/>
  <c r="C24" i="40"/>
  <c r="B52" i="40"/>
  <c r="B15" i="40"/>
  <c r="C41" i="40"/>
  <c r="B19" i="40"/>
  <c r="B46" i="40"/>
  <c r="B40" i="40"/>
  <c r="B27" i="40"/>
  <c r="B24" i="40"/>
  <c r="B11" i="40"/>
  <c r="M51" i="40"/>
  <c r="C46" i="40"/>
  <c r="M30" i="40"/>
  <c r="C27" i="40"/>
  <c r="C14" i="40"/>
  <c r="M43" i="40"/>
  <c r="C38" i="40"/>
  <c r="M13" i="40"/>
  <c r="C37" i="40"/>
  <c r="B28" i="40"/>
  <c r="C40" i="40"/>
  <c r="M17" i="40"/>
  <c r="C11" i="40"/>
  <c r="M8" i="40"/>
  <c r="M15" i="40"/>
  <c r="B51" i="40"/>
  <c r="C45" i="40"/>
  <c r="C39" i="40"/>
  <c r="C36" i="40"/>
  <c r="M29" i="40"/>
  <c r="M26" i="40"/>
  <c r="C23" i="40"/>
  <c r="B17" i="40"/>
  <c r="M14" i="40"/>
  <c r="C8" i="40"/>
  <c r="B31" i="40"/>
  <c r="B18" i="40"/>
  <c r="B5" i="40"/>
  <c r="B23" i="40"/>
  <c r="M54" i="40"/>
  <c r="C49" i="40"/>
  <c r="B44" i="40"/>
  <c r="M37" i="40"/>
  <c r="C34" i="40"/>
  <c r="C31" i="40"/>
  <c r="M24" i="40"/>
  <c r="M21" i="40"/>
  <c r="C18" i="40"/>
  <c r="C5" i="40"/>
  <c r="M28" i="40"/>
  <c r="M22" i="40"/>
  <c r="B8" i="40"/>
  <c r="C55" i="40"/>
  <c r="B38" i="40"/>
  <c r="B25" i="40"/>
  <c r="B12" i="40"/>
  <c r="B9" i="40"/>
  <c r="M41" i="40"/>
  <c r="C43" i="40"/>
  <c r="M11" i="40"/>
  <c r="M31" i="40"/>
  <c r="M52" i="40"/>
  <c r="B47" i="40"/>
  <c r="C12" i="40"/>
  <c r="M50" i="40"/>
  <c r="B30" i="40"/>
  <c r="B14" i="40"/>
  <c r="M34" i="40"/>
  <c r="B53" i="40"/>
  <c r="C47" i="40"/>
  <c r="B32" i="40"/>
  <c r="B29" i="40"/>
  <c r="B16" i="40"/>
  <c r="B3" i="40"/>
  <c r="M44" i="40"/>
  <c r="C32" i="40"/>
  <c r="C19" i="40"/>
  <c r="B36" i="40"/>
  <c r="B21" i="40"/>
  <c r="B41" i="40"/>
  <c r="M49" i="40"/>
  <c r="C53" i="40"/>
  <c r="M35" i="40"/>
  <c r="C16" i="40"/>
  <c r="B45" i="40"/>
  <c r="C15" i="40"/>
  <c r="C4" i="40"/>
  <c r="M5" i="40"/>
  <c r="C28" i="40"/>
  <c r="B22" i="40"/>
  <c r="C51" i="40"/>
  <c r="M42" i="40"/>
  <c r="M48" i="40"/>
  <c r="B43" i="40"/>
  <c r="M33" i="40"/>
  <c r="C30" i="40"/>
  <c r="M20" i="40"/>
  <c r="C17" i="40"/>
  <c r="M7" i="40"/>
  <c r="M27" i="40"/>
  <c r="B6" i="40"/>
  <c r="M40" i="40"/>
  <c r="M46" i="40"/>
  <c r="C52" i="40"/>
  <c r="B2" i="40"/>
  <c r="B1" i="40" s="1"/>
  <c r="B1" i="37"/>
  <c r="M2" i="40"/>
  <c r="C2" i="40"/>
  <c r="C1" i="40" s="1"/>
  <c r="C1" i="37"/>
  <c r="F2" i="49"/>
  <c r="D2" i="40" l="1"/>
  <c r="D1" i="40" s="1"/>
  <c r="D1" i="37"/>
  <c r="D31" i="40"/>
  <c r="D43" i="40"/>
  <c r="D54" i="40"/>
  <c r="D28" i="40"/>
  <c r="D11" i="40"/>
  <c r="D39" i="40"/>
  <c r="D45" i="40"/>
  <c r="D8" i="40"/>
  <c r="D30" i="40"/>
  <c r="D23" i="40"/>
  <c r="D53" i="40"/>
  <c r="D15" i="40"/>
  <c r="D47" i="40"/>
  <c r="D24" i="40"/>
  <c r="D4" i="40"/>
  <c r="D12" i="40"/>
  <c r="D25" i="40"/>
  <c r="D38" i="40"/>
  <c r="D41" i="40"/>
  <c r="D52" i="40"/>
  <c r="D17" i="40"/>
  <c r="D55" i="40"/>
  <c r="D5" i="40"/>
  <c r="D18" i="40"/>
  <c r="D21" i="40"/>
  <c r="D34" i="40"/>
  <c r="D49" i="40"/>
  <c r="D26" i="40"/>
  <c r="D14" i="40"/>
  <c r="D27" i="40"/>
  <c r="D32" i="40"/>
  <c r="D40" i="40"/>
  <c r="D7" i="40"/>
  <c r="D20" i="40"/>
  <c r="D33" i="40"/>
  <c r="D36" i="40"/>
  <c r="D6" i="40"/>
  <c r="D37" i="40"/>
  <c r="D10" i="40"/>
  <c r="D13" i="40"/>
  <c r="D16" i="40"/>
  <c r="D29" i="40"/>
  <c r="D42" i="40"/>
  <c r="D3" i="40"/>
  <c r="D19" i="40"/>
  <c r="D50" i="40"/>
  <c r="D9" i="40"/>
  <c r="D22" i="40"/>
  <c r="D35" i="40"/>
  <c r="D44" i="40"/>
  <c r="D46" i="40"/>
  <c r="D63" i="40"/>
  <c r="D59" i="40"/>
  <c r="D71" i="40"/>
  <c r="D72" i="40"/>
  <c r="D77" i="40"/>
  <c r="D68" i="40"/>
  <c r="D56" i="40"/>
  <c r="D60" i="40"/>
  <c r="D73" i="40"/>
  <c r="D48" i="40"/>
  <c r="D51" i="40"/>
  <c r="D65" i="40"/>
  <c r="D69" i="40"/>
  <c r="D80" i="40"/>
  <c r="D81" i="40"/>
  <c r="D66" i="40"/>
  <c r="D105" i="40"/>
  <c r="D113" i="40"/>
  <c r="D58" i="40"/>
  <c r="D61" i="40"/>
  <c r="D74" i="40"/>
  <c r="D88" i="40"/>
  <c r="D99" i="40"/>
  <c r="D82" i="40"/>
  <c r="D115" i="40"/>
  <c r="D67" i="40"/>
  <c r="D107" i="40"/>
  <c r="D117" i="40"/>
  <c r="D76" i="40"/>
  <c r="D90" i="40"/>
  <c r="D101" i="40"/>
  <c r="D119" i="40"/>
  <c r="D84" i="40"/>
  <c r="D98" i="40"/>
  <c r="D109" i="40"/>
  <c r="D92" i="40"/>
  <c r="D111" i="40"/>
  <c r="D75" i="40"/>
  <c r="D86" i="40"/>
  <c r="D62" i="40"/>
  <c r="D100" i="40"/>
  <c r="D83" i="40"/>
  <c r="D94" i="40"/>
  <c r="D108" i="40"/>
  <c r="D120" i="40"/>
  <c r="D102" i="40"/>
  <c r="D64" i="40"/>
  <c r="D85" i="40"/>
  <c r="D96" i="40"/>
  <c r="D110" i="40"/>
  <c r="D79" i="40"/>
  <c r="D104" i="40"/>
  <c r="D57" i="40"/>
  <c r="D70" i="40"/>
  <c r="D93" i="40"/>
  <c r="D112" i="40"/>
  <c r="D87" i="40"/>
  <c r="D95" i="40"/>
  <c r="D106" i="40"/>
  <c r="D114" i="40"/>
  <c r="D116" i="40"/>
  <c r="D78" i="40"/>
  <c r="D89" i="40"/>
  <c r="D103" i="40"/>
  <c r="D97" i="40"/>
  <c r="D91" i="40"/>
  <c r="D118" i="40"/>
  <c r="D121" i="40"/>
  <c r="AF9" i="38"/>
  <c r="AE9" i="38"/>
  <c r="AF10" i="38"/>
  <c r="AE10" i="38"/>
  <c r="AE5" i="38"/>
  <c r="AF5" i="38"/>
  <c r="AE7" i="38"/>
  <c r="AF7" i="38"/>
  <c r="AF8" i="38"/>
  <c r="AE8" i="38"/>
  <c r="G2" i="49"/>
  <c r="AE4" i="38"/>
  <c r="AF4" i="38"/>
  <c r="AE3" i="38"/>
  <c r="AF3" i="38"/>
  <c r="AE2" i="38"/>
  <c r="AF2" i="38"/>
  <c r="AE6" i="38"/>
  <c r="AF6" i="38"/>
  <c r="E2" i="40" l="1"/>
  <c r="E1" i="40" s="1"/>
  <c r="E1" i="37"/>
  <c r="E48" i="40"/>
  <c r="E10" i="40"/>
  <c r="E13" i="40"/>
  <c r="E26" i="40"/>
  <c r="E39" i="40"/>
  <c r="E45" i="40"/>
  <c r="E4" i="40"/>
  <c r="E24" i="40"/>
  <c r="E41" i="40"/>
  <c r="E12" i="40"/>
  <c r="E55" i="40"/>
  <c r="E46" i="40"/>
  <c r="E19" i="40"/>
  <c r="E47" i="40"/>
  <c r="E49" i="40"/>
  <c r="E25" i="40"/>
  <c r="E21" i="40"/>
  <c r="E43" i="40"/>
  <c r="E28" i="40"/>
  <c r="E5" i="40"/>
  <c r="E14" i="40"/>
  <c r="E27" i="40"/>
  <c r="E40" i="40"/>
  <c r="E37" i="40"/>
  <c r="E51" i="40"/>
  <c r="E54" i="40"/>
  <c r="E32" i="40"/>
  <c r="E7" i="40"/>
  <c r="E20" i="40"/>
  <c r="E23" i="40"/>
  <c r="E36" i="40"/>
  <c r="E11" i="40"/>
  <c r="E8" i="40"/>
  <c r="E34" i="40"/>
  <c r="E53" i="40"/>
  <c r="E30" i="40"/>
  <c r="E33" i="40"/>
  <c r="E6" i="40"/>
  <c r="E3" i="40"/>
  <c r="E16" i="40"/>
  <c r="E29" i="40"/>
  <c r="E42" i="40"/>
  <c r="E50" i="40"/>
  <c r="E17" i="40"/>
  <c r="E9" i="40"/>
  <c r="E22" i="40"/>
  <c r="E35" i="40"/>
  <c r="E38" i="40"/>
  <c r="E44" i="40"/>
  <c r="E15" i="40"/>
  <c r="E18" i="40"/>
  <c r="E31" i="40"/>
  <c r="E52" i="40"/>
  <c r="E56" i="40"/>
  <c r="E86" i="40"/>
  <c r="E78" i="40"/>
  <c r="E69" i="40"/>
  <c r="E80" i="40"/>
  <c r="E74" i="40"/>
  <c r="E61" i="40"/>
  <c r="E75" i="40"/>
  <c r="E62" i="40"/>
  <c r="E102" i="40"/>
  <c r="E99" i="40"/>
  <c r="E93" i="40"/>
  <c r="E115" i="40"/>
  <c r="E67" i="40"/>
  <c r="E107" i="40"/>
  <c r="E117" i="40"/>
  <c r="E76" i="40"/>
  <c r="E90" i="40"/>
  <c r="E101" i="40"/>
  <c r="E119" i="40"/>
  <c r="E60" i="40"/>
  <c r="E63" i="40"/>
  <c r="E84" i="40"/>
  <c r="E121" i="40"/>
  <c r="E109" i="40"/>
  <c r="E92" i="40"/>
  <c r="E103" i="40"/>
  <c r="E100" i="40"/>
  <c r="E113" i="40"/>
  <c r="E94" i="40"/>
  <c r="E58" i="40"/>
  <c r="E71" i="40"/>
  <c r="E77" i="40"/>
  <c r="E88" i="40"/>
  <c r="E64" i="40"/>
  <c r="E85" i="40"/>
  <c r="E96" i="40"/>
  <c r="E110" i="40"/>
  <c r="E79" i="40"/>
  <c r="E104" i="40"/>
  <c r="E57" i="40"/>
  <c r="E70" i="40"/>
  <c r="E73" i="40"/>
  <c r="E112" i="40"/>
  <c r="E87" i="40"/>
  <c r="E66" i="40"/>
  <c r="E81" i="40"/>
  <c r="E106" i="40"/>
  <c r="E114" i="40"/>
  <c r="E116" i="40"/>
  <c r="E59" i="40"/>
  <c r="E72" i="40"/>
  <c r="E89" i="40"/>
  <c r="E118" i="40"/>
  <c r="E83" i="40"/>
  <c r="E97" i="40"/>
  <c r="E108" i="40"/>
  <c r="E65" i="40"/>
  <c r="E68" i="40"/>
  <c r="E91" i="40"/>
  <c r="E105" i="40"/>
  <c r="E82" i="40"/>
  <c r="E95" i="40"/>
  <c r="E98" i="40"/>
  <c r="E111" i="40"/>
  <c r="E120" i="40"/>
  <c r="H2" i="49"/>
  <c r="F2" i="40" l="1"/>
  <c r="F1" i="40" s="1"/>
  <c r="F1" i="37"/>
  <c r="F54" i="40"/>
  <c r="F50" i="40"/>
  <c r="F11" i="40"/>
  <c r="F35" i="40"/>
  <c r="F4" i="40"/>
  <c r="F6" i="40"/>
  <c r="F37" i="40"/>
  <c r="F13" i="40"/>
  <c r="F15" i="40"/>
  <c r="F41" i="40"/>
  <c r="F8" i="40"/>
  <c r="F21" i="40"/>
  <c r="F34" i="40"/>
  <c r="F49" i="40"/>
  <c r="F28" i="40"/>
  <c r="F43" i="40"/>
  <c r="F48" i="40"/>
  <c r="F39" i="40"/>
  <c r="F14" i="40"/>
  <c r="F27" i="40"/>
  <c r="F30" i="40"/>
  <c r="F17" i="40"/>
  <c r="F51" i="40"/>
  <c r="F23" i="40"/>
  <c r="F45" i="40"/>
  <c r="F32" i="40"/>
  <c r="F47" i="40"/>
  <c r="F53" i="40"/>
  <c r="F3" i="40"/>
  <c r="F16" i="40"/>
  <c r="F29" i="40"/>
  <c r="F42" i="40"/>
  <c r="F20" i="40"/>
  <c r="F7" i="40"/>
  <c r="F10" i="40"/>
  <c r="F36" i="40"/>
  <c r="F26" i="40"/>
  <c r="F19" i="40"/>
  <c r="F9" i="40"/>
  <c r="F22" i="40"/>
  <c r="F25" i="40"/>
  <c r="F38" i="40"/>
  <c r="F55" i="40"/>
  <c r="F24" i="40"/>
  <c r="F33" i="40"/>
  <c r="F12" i="40"/>
  <c r="F5" i="40"/>
  <c r="F18" i="40"/>
  <c r="F31" i="40"/>
  <c r="F52" i="40"/>
  <c r="F40" i="40"/>
  <c r="F46" i="40"/>
  <c r="F59" i="40"/>
  <c r="F72" i="40"/>
  <c r="F56" i="40"/>
  <c r="F63" i="40"/>
  <c r="F44" i="40"/>
  <c r="F68" i="40"/>
  <c r="F64" i="40"/>
  <c r="F69" i="40"/>
  <c r="F89" i="40"/>
  <c r="F74" i="40"/>
  <c r="F61" i="40"/>
  <c r="F80" i="40"/>
  <c r="F65" i="40"/>
  <c r="F96" i="40"/>
  <c r="F62" i="40"/>
  <c r="F93" i="40"/>
  <c r="F67" i="40"/>
  <c r="F70" i="40"/>
  <c r="F82" i="40"/>
  <c r="F107" i="40"/>
  <c r="F117" i="40"/>
  <c r="F76" i="40"/>
  <c r="F101" i="40"/>
  <c r="F119" i="40"/>
  <c r="F84" i="40"/>
  <c r="F95" i="40"/>
  <c r="F121" i="40"/>
  <c r="F78" i="40"/>
  <c r="F109" i="40"/>
  <c r="F92" i="40"/>
  <c r="F103" i="40"/>
  <c r="F86" i="40"/>
  <c r="F111" i="40"/>
  <c r="F113" i="40"/>
  <c r="F94" i="40"/>
  <c r="F105" i="40"/>
  <c r="F58" i="40"/>
  <c r="F71" i="40"/>
  <c r="F77" i="40"/>
  <c r="F88" i="40"/>
  <c r="F115" i="40"/>
  <c r="F102" i="40"/>
  <c r="F79" i="40"/>
  <c r="F90" i="40"/>
  <c r="F104" i="40"/>
  <c r="F57" i="40"/>
  <c r="F60" i="40"/>
  <c r="F73" i="40"/>
  <c r="F112" i="40"/>
  <c r="F87" i="40"/>
  <c r="F98" i="40"/>
  <c r="F66" i="40"/>
  <c r="F81" i="40"/>
  <c r="F106" i="40"/>
  <c r="F114" i="40"/>
  <c r="F75" i="40"/>
  <c r="F100" i="40"/>
  <c r="F116" i="40"/>
  <c r="F118" i="40"/>
  <c r="F120" i="40"/>
  <c r="F83" i="40"/>
  <c r="F97" i="40"/>
  <c r="F108" i="40"/>
  <c r="F91" i="40"/>
  <c r="F85" i="40"/>
  <c r="F99" i="40"/>
  <c r="F110" i="40"/>
  <c r="I2" i="49"/>
  <c r="G2" i="40" l="1"/>
  <c r="G1" i="40" s="1"/>
  <c r="G1" i="37"/>
  <c r="G39" i="40"/>
  <c r="G33" i="40"/>
  <c r="G6" i="40"/>
  <c r="G19" i="40"/>
  <c r="G22" i="40"/>
  <c r="G35" i="40"/>
  <c r="G50" i="40"/>
  <c r="G48" i="40"/>
  <c r="G54" i="40"/>
  <c r="G52" i="40"/>
  <c r="G34" i="40"/>
  <c r="G37" i="40"/>
  <c r="G49" i="40"/>
  <c r="G43" i="40"/>
  <c r="G4" i="40"/>
  <c r="G20" i="40"/>
  <c r="G14" i="40"/>
  <c r="G30" i="40"/>
  <c r="G51" i="40"/>
  <c r="G10" i="40"/>
  <c r="G23" i="40"/>
  <c r="G36" i="40"/>
  <c r="G45" i="40"/>
  <c r="G7" i="40"/>
  <c r="G21" i="40"/>
  <c r="G17" i="40"/>
  <c r="G53" i="40"/>
  <c r="G15" i="40"/>
  <c r="G28" i="40"/>
  <c r="G41" i="40"/>
  <c r="G8" i="40"/>
  <c r="G32" i="40"/>
  <c r="G13" i="40"/>
  <c r="G16" i="40"/>
  <c r="G29" i="40"/>
  <c r="G47" i="40"/>
  <c r="G26" i="40"/>
  <c r="G3" i="40"/>
  <c r="G9" i="40"/>
  <c r="G12" i="40"/>
  <c r="G25" i="40"/>
  <c r="G38" i="40"/>
  <c r="G55" i="40"/>
  <c r="G44" i="40"/>
  <c r="G42" i="40"/>
  <c r="G5" i="40"/>
  <c r="G18" i="40"/>
  <c r="G31" i="40"/>
  <c r="G46" i="40"/>
  <c r="G11" i="40"/>
  <c r="G24" i="40"/>
  <c r="G27" i="40"/>
  <c r="G40" i="40"/>
  <c r="G59" i="40"/>
  <c r="G71" i="40"/>
  <c r="G83" i="40"/>
  <c r="G87" i="40"/>
  <c r="G79" i="40"/>
  <c r="G90" i="40"/>
  <c r="G61" i="40"/>
  <c r="G57" i="40"/>
  <c r="G65" i="40"/>
  <c r="G70" i="40"/>
  <c r="G58" i="40"/>
  <c r="G76" i="40"/>
  <c r="G101" i="40"/>
  <c r="G119" i="40"/>
  <c r="G63" i="40"/>
  <c r="G84" i="40"/>
  <c r="G95" i="40"/>
  <c r="G121" i="40"/>
  <c r="G109" i="40"/>
  <c r="G56" i="40"/>
  <c r="G69" i="40"/>
  <c r="G72" i="40"/>
  <c r="G103" i="40"/>
  <c r="G86" i="40"/>
  <c r="G97" i="40"/>
  <c r="G111" i="40"/>
  <c r="G80" i="40"/>
  <c r="G113" i="40"/>
  <c r="G94" i="40"/>
  <c r="G105" i="40"/>
  <c r="G88" i="40"/>
  <c r="G115" i="40"/>
  <c r="G82" i="40"/>
  <c r="G64" i="40"/>
  <c r="G67" i="40"/>
  <c r="G96" i="40"/>
  <c r="G117" i="40"/>
  <c r="G60" i="40"/>
  <c r="G73" i="40"/>
  <c r="G98" i="40"/>
  <c r="G66" i="40"/>
  <c r="G81" i="40"/>
  <c r="G92" i="40"/>
  <c r="G106" i="40"/>
  <c r="G114" i="40"/>
  <c r="G75" i="40"/>
  <c r="G100" i="40"/>
  <c r="G62" i="40"/>
  <c r="G89" i="40"/>
  <c r="G118" i="40"/>
  <c r="G108" i="40"/>
  <c r="G68" i="40"/>
  <c r="G77" i="40"/>
  <c r="G102" i="40"/>
  <c r="G74" i="40"/>
  <c r="G85" i="40"/>
  <c r="G99" i="40"/>
  <c r="G110" i="40"/>
  <c r="G93" i="40"/>
  <c r="G112" i="40"/>
  <c r="G78" i="40"/>
  <c r="G91" i="40"/>
  <c r="G104" i="40"/>
  <c r="G107" i="40"/>
  <c r="G120" i="40"/>
  <c r="G116" i="40"/>
  <c r="J2" i="49"/>
  <c r="H2" i="40" l="1"/>
  <c r="H1" i="40" s="1"/>
  <c r="H1" i="37"/>
  <c r="H50" i="40"/>
  <c r="H35" i="40"/>
  <c r="H42" i="40"/>
  <c r="H41" i="40"/>
  <c r="H52" i="40"/>
  <c r="H33" i="40"/>
  <c r="H48" i="40"/>
  <c r="H15" i="40"/>
  <c r="H21" i="40"/>
  <c r="H43" i="40"/>
  <c r="H54" i="40"/>
  <c r="H4" i="40"/>
  <c r="H17" i="40"/>
  <c r="H30" i="40"/>
  <c r="H9" i="40"/>
  <c r="H37" i="40"/>
  <c r="H51" i="40"/>
  <c r="H6" i="40"/>
  <c r="H10" i="40"/>
  <c r="H23" i="40"/>
  <c r="H36" i="40"/>
  <c r="H39" i="40"/>
  <c r="H45" i="40"/>
  <c r="H7" i="40"/>
  <c r="H13" i="40"/>
  <c r="H20" i="40"/>
  <c r="H3" i="40"/>
  <c r="H29" i="40"/>
  <c r="H24" i="40"/>
  <c r="H32" i="40"/>
  <c r="H47" i="40"/>
  <c r="H12" i="40"/>
  <c r="H25" i="40"/>
  <c r="H38" i="40"/>
  <c r="H55" i="40"/>
  <c r="H8" i="40"/>
  <c r="H16" i="40"/>
  <c r="H19" i="40"/>
  <c r="H49" i="40"/>
  <c r="H22" i="40"/>
  <c r="H44" i="40"/>
  <c r="H28" i="40"/>
  <c r="H5" i="40"/>
  <c r="H18" i="40"/>
  <c r="H31" i="40"/>
  <c r="H34" i="40"/>
  <c r="H26" i="40"/>
  <c r="H46" i="40"/>
  <c r="H11" i="40"/>
  <c r="H14" i="40"/>
  <c r="H27" i="40"/>
  <c r="H40" i="40"/>
  <c r="H71" i="40"/>
  <c r="H76" i="40"/>
  <c r="H56" i="40"/>
  <c r="H84" i="40"/>
  <c r="H77" i="40"/>
  <c r="H59" i="40"/>
  <c r="H68" i="40"/>
  <c r="H53" i="40"/>
  <c r="H73" i="40"/>
  <c r="H60" i="40"/>
  <c r="H64" i="40"/>
  <c r="H61" i="40"/>
  <c r="H57" i="40"/>
  <c r="H65" i="40"/>
  <c r="H80" i="40"/>
  <c r="H74" i="40"/>
  <c r="H70" i="40"/>
  <c r="H58" i="40"/>
  <c r="H101" i="40"/>
  <c r="H114" i="40"/>
  <c r="H63" i="40"/>
  <c r="H95" i="40"/>
  <c r="H121" i="40"/>
  <c r="H89" i="40"/>
  <c r="H72" i="40"/>
  <c r="H78" i="40"/>
  <c r="H103" i="40"/>
  <c r="H86" i="40"/>
  <c r="H97" i="40"/>
  <c r="H111" i="40"/>
  <c r="H113" i="40"/>
  <c r="H105" i="40"/>
  <c r="H88" i="40"/>
  <c r="H99" i="40"/>
  <c r="H115" i="40"/>
  <c r="H82" i="40"/>
  <c r="H67" i="40"/>
  <c r="H96" i="40"/>
  <c r="H107" i="40"/>
  <c r="H117" i="40"/>
  <c r="H119" i="40"/>
  <c r="H90" i="40"/>
  <c r="H109" i="40"/>
  <c r="H98" i="40"/>
  <c r="H66" i="40"/>
  <c r="H69" i="40"/>
  <c r="H81" i="40"/>
  <c r="H92" i="40"/>
  <c r="H106" i="40"/>
  <c r="H75" i="40"/>
  <c r="H100" i="40"/>
  <c r="H62" i="40"/>
  <c r="H116" i="40"/>
  <c r="H118" i="40"/>
  <c r="H83" i="40"/>
  <c r="H94" i="40"/>
  <c r="H108" i="40"/>
  <c r="H120" i="40"/>
  <c r="H102" i="40"/>
  <c r="H91" i="40"/>
  <c r="H85" i="40"/>
  <c r="H110" i="40"/>
  <c r="H79" i="40"/>
  <c r="H93" i="40"/>
  <c r="H104" i="40"/>
  <c r="H112" i="40"/>
  <c r="H87" i="40"/>
  <c r="K2" i="49"/>
  <c r="I2" i="40" l="1"/>
  <c r="I1" i="40" s="1"/>
  <c r="I1" i="37"/>
  <c r="I44" i="40"/>
  <c r="I15" i="40"/>
  <c r="I28" i="40"/>
  <c r="I31" i="40"/>
  <c r="I52" i="40"/>
  <c r="I16" i="40"/>
  <c r="I29" i="40"/>
  <c r="I46" i="40"/>
  <c r="I54" i="40"/>
  <c r="I22" i="40"/>
  <c r="I11" i="40"/>
  <c r="I43" i="40"/>
  <c r="I45" i="40"/>
  <c r="I13" i="40"/>
  <c r="I10" i="40"/>
  <c r="I23" i="40"/>
  <c r="I26" i="40"/>
  <c r="I39" i="40"/>
  <c r="I3" i="40"/>
  <c r="I19" i="40"/>
  <c r="I32" i="40"/>
  <c r="I53" i="40"/>
  <c r="I50" i="40"/>
  <c r="I9" i="40"/>
  <c r="I24" i="40"/>
  <c r="I37" i="40"/>
  <c r="I12" i="40"/>
  <c r="I25" i="40"/>
  <c r="I38" i="40"/>
  <c r="I41" i="40"/>
  <c r="I55" i="40"/>
  <c r="I30" i="40"/>
  <c r="I6" i="40"/>
  <c r="I47" i="40"/>
  <c r="I49" i="40"/>
  <c r="I35" i="40"/>
  <c r="I8" i="40"/>
  <c r="I4" i="40"/>
  <c r="I5" i="40"/>
  <c r="I18" i="40"/>
  <c r="I21" i="40"/>
  <c r="I34" i="40"/>
  <c r="I17" i="40"/>
  <c r="I14" i="40"/>
  <c r="I27" i="40"/>
  <c r="I40" i="40"/>
  <c r="I51" i="40"/>
  <c r="I42" i="40"/>
  <c r="I7" i="40"/>
  <c r="I20" i="40"/>
  <c r="I33" i="40"/>
  <c r="I36" i="40"/>
  <c r="I48" i="40"/>
  <c r="I66" i="40"/>
  <c r="I63" i="40"/>
  <c r="I67" i="40"/>
  <c r="I57" i="40"/>
  <c r="I58" i="40"/>
  <c r="I61" i="40"/>
  <c r="I98" i="40"/>
  <c r="I81" i="40"/>
  <c r="I82" i="40"/>
  <c r="I95" i="40"/>
  <c r="I106" i="40"/>
  <c r="I89" i="40"/>
  <c r="I59" i="40"/>
  <c r="I72" i="40"/>
  <c r="I78" i="40"/>
  <c r="I103" i="40"/>
  <c r="I97" i="40"/>
  <c r="I65" i="40"/>
  <c r="I80" i="40"/>
  <c r="I91" i="40"/>
  <c r="I105" i="40"/>
  <c r="I88" i="40"/>
  <c r="I99" i="40"/>
  <c r="I115" i="40"/>
  <c r="I76" i="40"/>
  <c r="I107" i="40"/>
  <c r="I117" i="40"/>
  <c r="I119" i="40"/>
  <c r="I121" i="40"/>
  <c r="I90" i="40"/>
  <c r="I101" i="40"/>
  <c r="I60" i="40"/>
  <c r="I73" i="40"/>
  <c r="I84" i="40"/>
  <c r="I109" i="40"/>
  <c r="I56" i="40"/>
  <c r="I69" i="40"/>
  <c r="I92" i="40"/>
  <c r="I111" i="40"/>
  <c r="I75" i="40"/>
  <c r="I86" i="40"/>
  <c r="I62" i="40"/>
  <c r="I118" i="40"/>
  <c r="I83" i="40"/>
  <c r="I94" i="40"/>
  <c r="I108" i="40"/>
  <c r="I120" i="40"/>
  <c r="I68" i="40"/>
  <c r="I71" i="40"/>
  <c r="I77" i="40"/>
  <c r="I102" i="40"/>
  <c r="I96" i="40"/>
  <c r="I64" i="40"/>
  <c r="I85" i="40"/>
  <c r="I110" i="40"/>
  <c r="I79" i="40"/>
  <c r="I93" i="40"/>
  <c r="I104" i="40"/>
  <c r="I70" i="40"/>
  <c r="I114" i="40"/>
  <c r="I74" i="40"/>
  <c r="I87" i="40"/>
  <c r="I100" i="40"/>
  <c r="I113" i="40"/>
  <c r="I116" i="40"/>
  <c r="I112" i="40"/>
  <c r="L2" i="49"/>
  <c r="J2" i="40" l="1"/>
  <c r="J1" i="40" s="1"/>
  <c r="J1" i="37"/>
  <c r="J22" i="40"/>
  <c r="J46" i="40"/>
  <c r="J37" i="40"/>
  <c r="J16" i="40"/>
  <c r="J11" i="40"/>
  <c r="J3" i="40"/>
  <c r="J15" i="40"/>
  <c r="J17" i="40"/>
  <c r="J33" i="40"/>
  <c r="J30" i="40"/>
  <c r="J10" i="40"/>
  <c r="J13" i="40"/>
  <c r="J26" i="40"/>
  <c r="J39" i="40"/>
  <c r="J45" i="40"/>
  <c r="J9" i="40"/>
  <c r="J24" i="40"/>
  <c r="J48" i="40"/>
  <c r="J31" i="40"/>
  <c r="J6" i="40"/>
  <c r="J19" i="40"/>
  <c r="J32" i="40"/>
  <c r="J29" i="40"/>
  <c r="J4" i="40"/>
  <c r="J47" i="40"/>
  <c r="J12" i="40"/>
  <c r="J25" i="40"/>
  <c r="J28" i="40"/>
  <c r="J55" i="40"/>
  <c r="J38" i="40"/>
  <c r="J35" i="40"/>
  <c r="J44" i="40"/>
  <c r="J41" i="40"/>
  <c r="J5" i="40"/>
  <c r="J8" i="40"/>
  <c r="J21" i="40"/>
  <c r="J34" i="40"/>
  <c r="J50" i="40"/>
  <c r="J54" i="40"/>
  <c r="J43" i="40"/>
  <c r="J18" i="40"/>
  <c r="J14" i="40"/>
  <c r="J27" i="40"/>
  <c r="J40" i="40"/>
  <c r="J51" i="40"/>
  <c r="J52" i="40"/>
  <c r="J7" i="40"/>
  <c r="J20" i="40"/>
  <c r="J23" i="40"/>
  <c r="J36" i="40"/>
  <c r="J42" i="40"/>
  <c r="J53" i="40"/>
  <c r="J66" i="40"/>
  <c r="J76" i="40"/>
  <c r="J67" i="40"/>
  <c r="J85" i="40"/>
  <c r="J49" i="40"/>
  <c r="J56" i="40"/>
  <c r="J64" i="40"/>
  <c r="J57" i="40"/>
  <c r="J73" i="40"/>
  <c r="J69" i="40"/>
  <c r="J74" i="40"/>
  <c r="J92" i="40"/>
  <c r="J70" i="40"/>
  <c r="J61" i="40"/>
  <c r="J81" i="40"/>
  <c r="J89" i="40"/>
  <c r="J116" i="40"/>
  <c r="J118" i="40"/>
  <c r="J59" i="40"/>
  <c r="J72" i="40"/>
  <c r="J83" i="40"/>
  <c r="J97" i="40"/>
  <c r="J108" i="40"/>
  <c r="J65" i="40"/>
  <c r="J68" i="40"/>
  <c r="J80" i="40"/>
  <c r="J91" i="40"/>
  <c r="J105" i="40"/>
  <c r="J99" i="40"/>
  <c r="J115" i="40"/>
  <c r="J82" i="40"/>
  <c r="J93" i="40"/>
  <c r="J107" i="40"/>
  <c r="J117" i="40"/>
  <c r="J121" i="40"/>
  <c r="J90" i="40"/>
  <c r="J101" i="40"/>
  <c r="J60" i="40"/>
  <c r="J63" i="40"/>
  <c r="J84" i="40"/>
  <c r="J109" i="40"/>
  <c r="J78" i="40"/>
  <c r="J103" i="40"/>
  <c r="J111" i="40"/>
  <c r="J75" i="40"/>
  <c r="J86" i="40"/>
  <c r="J62" i="40"/>
  <c r="J100" i="40"/>
  <c r="J113" i="40"/>
  <c r="J94" i="40"/>
  <c r="J120" i="40"/>
  <c r="J58" i="40"/>
  <c r="J71" i="40"/>
  <c r="J77" i="40"/>
  <c r="J88" i="40"/>
  <c r="J102" i="40"/>
  <c r="J96" i="40"/>
  <c r="J110" i="40"/>
  <c r="J79" i="40"/>
  <c r="J104" i="40"/>
  <c r="J98" i="40"/>
  <c r="J112" i="40"/>
  <c r="J87" i="40"/>
  <c r="J114" i="40"/>
  <c r="J95" i="40"/>
  <c r="J106" i="40"/>
  <c r="J119" i="40"/>
  <c r="M2" i="49"/>
  <c r="K2" i="40" l="1"/>
  <c r="K1" i="40" s="1"/>
  <c r="K1" i="37"/>
  <c r="K55" i="40"/>
  <c r="K52" i="40"/>
  <c r="K11" i="40"/>
  <c r="K24" i="40"/>
  <c r="K37" i="40"/>
  <c r="K40" i="40"/>
  <c r="K22" i="40"/>
  <c r="K25" i="40"/>
  <c r="K18" i="40"/>
  <c r="K54" i="40"/>
  <c r="K39" i="40"/>
  <c r="K9" i="40"/>
  <c r="K17" i="40"/>
  <c r="K50" i="40"/>
  <c r="K46" i="40"/>
  <c r="K4" i="40"/>
  <c r="K35" i="40"/>
  <c r="K6" i="40"/>
  <c r="K47" i="40"/>
  <c r="K19" i="40"/>
  <c r="K32" i="40"/>
  <c r="K12" i="40"/>
  <c r="K15" i="40"/>
  <c r="K28" i="40"/>
  <c r="K41" i="40"/>
  <c r="K13" i="40"/>
  <c r="K26" i="40"/>
  <c r="K38" i="40"/>
  <c r="K20" i="40"/>
  <c r="K33" i="40"/>
  <c r="K48" i="40"/>
  <c r="K21" i="40"/>
  <c r="K8" i="40"/>
  <c r="K34" i="40"/>
  <c r="K49" i="40"/>
  <c r="K43" i="40"/>
  <c r="K5" i="40"/>
  <c r="K14" i="40"/>
  <c r="K27" i="40"/>
  <c r="K30" i="40"/>
  <c r="K51" i="40"/>
  <c r="K45" i="40"/>
  <c r="K44" i="40"/>
  <c r="K7" i="40"/>
  <c r="K10" i="40"/>
  <c r="K23" i="40"/>
  <c r="K36" i="40"/>
  <c r="K31" i="40"/>
  <c r="K42" i="40"/>
  <c r="K53" i="40"/>
  <c r="K3" i="40"/>
  <c r="K16" i="40"/>
  <c r="K29" i="40"/>
  <c r="K76" i="40"/>
  <c r="K67" i="40"/>
  <c r="K59" i="40"/>
  <c r="K72" i="40"/>
  <c r="K86" i="40"/>
  <c r="K63" i="40"/>
  <c r="K79" i="40"/>
  <c r="K90" i="40"/>
  <c r="K70" i="40"/>
  <c r="K75" i="40"/>
  <c r="K120" i="40"/>
  <c r="K97" i="40"/>
  <c r="K108" i="40"/>
  <c r="K68" i="40"/>
  <c r="K91" i="40"/>
  <c r="K85" i="40"/>
  <c r="K110" i="40"/>
  <c r="K61" i="40"/>
  <c r="K74" i="40"/>
  <c r="K99" i="40"/>
  <c r="K82" i="40"/>
  <c r="K93" i="40"/>
  <c r="K107" i="40"/>
  <c r="K117" i="40"/>
  <c r="K101" i="40"/>
  <c r="K119" i="40"/>
  <c r="K84" i="40"/>
  <c r="K95" i="40"/>
  <c r="K78" i="40"/>
  <c r="K56" i="40"/>
  <c r="K69" i="40"/>
  <c r="K92" i="40"/>
  <c r="K103" i="40"/>
  <c r="K111" i="40"/>
  <c r="K62" i="40"/>
  <c r="K65" i="40"/>
  <c r="K80" i="40"/>
  <c r="K105" i="40"/>
  <c r="K113" i="40"/>
  <c r="K94" i="40"/>
  <c r="K58" i="40"/>
  <c r="K71" i="40"/>
  <c r="K77" i="40"/>
  <c r="K88" i="40"/>
  <c r="K102" i="40"/>
  <c r="K115" i="40"/>
  <c r="K64" i="40"/>
  <c r="K104" i="40"/>
  <c r="K57" i="40"/>
  <c r="K60" i="40"/>
  <c r="K73" i="40"/>
  <c r="K98" i="40"/>
  <c r="K112" i="40"/>
  <c r="K87" i="40"/>
  <c r="K114" i="40"/>
  <c r="K66" i="40"/>
  <c r="K81" i="40"/>
  <c r="K106" i="40"/>
  <c r="K89" i="40"/>
  <c r="K100" i="40"/>
  <c r="K116" i="40"/>
  <c r="K118" i="40"/>
  <c r="K83" i="40"/>
  <c r="K96" i="40"/>
  <c r="K109" i="40"/>
  <c r="K121" i="40"/>
  <c r="N2" i="49"/>
  <c r="L2" i="40" l="1"/>
  <c r="L1" i="40" s="1"/>
  <c r="L1" i="37"/>
  <c r="L46" i="40"/>
  <c r="L12" i="40"/>
  <c r="L11" i="40"/>
  <c r="L54" i="40"/>
  <c r="L55" i="40"/>
  <c r="L20" i="40"/>
  <c r="L48" i="40"/>
  <c r="L9" i="40"/>
  <c r="L25" i="40"/>
  <c r="L4" i="40"/>
  <c r="L38" i="40"/>
  <c r="L18" i="40"/>
  <c r="L26" i="40"/>
  <c r="L39" i="40"/>
  <c r="L50" i="40"/>
  <c r="L31" i="40"/>
  <c r="L27" i="40"/>
  <c r="L6" i="40"/>
  <c r="L19" i="40"/>
  <c r="L22" i="40"/>
  <c r="L35" i="40"/>
  <c r="L13" i="40"/>
  <c r="L24" i="40"/>
  <c r="L15" i="40"/>
  <c r="L28" i="40"/>
  <c r="L41" i="40"/>
  <c r="L52" i="40"/>
  <c r="L44" i="40"/>
  <c r="L7" i="40"/>
  <c r="L8" i="40"/>
  <c r="L34" i="40"/>
  <c r="L37" i="40"/>
  <c r="L42" i="40"/>
  <c r="L43" i="40"/>
  <c r="L14" i="40"/>
  <c r="L17" i="40"/>
  <c r="L30" i="40"/>
  <c r="L51" i="40"/>
  <c r="L5" i="40"/>
  <c r="L33" i="40"/>
  <c r="L21" i="40"/>
  <c r="L49" i="40"/>
  <c r="L40" i="40"/>
  <c r="L10" i="40"/>
  <c r="L23" i="40"/>
  <c r="L36" i="40"/>
  <c r="L53" i="40"/>
  <c r="L3" i="40"/>
  <c r="L29" i="40"/>
  <c r="L32" i="40"/>
  <c r="L47" i="40"/>
  <c r="L16" i="40"/>
  <c r="L76" i="40"/>
  <c r="L83" i="40"/>
  <c r="L62" i="40"/>
  <c r="L84" i="40"/>
  <c r="L59" i="40"/>
  <c r="L45" i="40"/>
  <c r="L63" i="40"/>
  <c r="L73" i="40"/>
  <c r="L60" i="40"/>
  <c r="L57" i="40"/>
  <c r="L61" i="40"/>
  <c r="L80" i="40"/>
  <c r="L65" i="40"/>
  <c r="L70" i="40"/>
  <c r="L66" i="40"/>
  <c r="L108" i="40"/>
  <c r="L68" i="40"/>
  <c r="L77" i="40"/>
  <c r="L91" i="40"/>
  <c r="L102" i="40"/>
  <c r="L85" i="40"/>
  <c r="L110" i="40"/>
  <c r="L74" i="40"/>
  <c r="L99" i="40"/>
  <c r="L93" i="40"/>
  <c r="L112" i="40"/>
  <c r="L87" i="40"/>
  <c r="L101" i="40"/>
  <c r="L119" i="40"/>
  <c r="L121" i="40"/>
  <c r="L95" i="40"/>
  <c r="L78" i="40"/>
  <c r="L109" i="40"/>
  <c r="L56" i="40"/>
  <c r="L69" i="40"/>
  <c r="L72" i="40"/>
  <c r="L103" i="40"/>
  <c r="L111" i="40"/>
  <c r="L86" i="40"/>
  <c r="L97" i="40"/>
  <c r="L105" i="40"/>
  <c r="L113" i="40"/>
  <c r="L94" i="40"/>
  <c r="L58" i="40"/>
  <c r="L71" i="40"/>
  <c r="L88" i="40"/>
  <c r="L115" i="40"/>
  <c r="L117" i="40"/>
  <c r="L82" i="40"/>
  <c r="L107" i="40"/>
  <c r="L64" i="40"/>
  <c r="L67" i="40"/>
  <c r="L96" i="40"/>
  <c r="L79" i="40"/>
  <c r="L90" i="40"/>
  <c r="L104" i="40"/>
  <c r="L98" i="40"/>
  <c r="L92" i="40"/>
  <c r="L114" i="40"/>
  <c r="L81" i="40"/>
  <c r="L106" i="40"/>
  <c r="L75" i="40"/>
  <c r="L89" i="40"/>
  <c r="L100" i="40"/>
  <c r="L116" i="40"/>
  <c r="L118" i="40"/>
  <c r="L120" i="4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BE153E-9484-4A22-B747-386987480F72}" keepAlive="1" name="ModelConnection_ExternalData_1" description="Data Model" type="5" refreshedVersion="8" minRefreshableVersion="5" saveData="1">
    <dbPr connection="Data Model Connection" command="financials_input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D28B8124-7EAF-4906-8304-C133ACEA22AD}" name="Query - financials_input" description="Connection to the 'financials_input' query in the workbook." type="100" refreshedVersion="8" minRefreshableVersion="5">
    <extLst>
      <ext xmlns:x15="http://schemas.microsoft.com/office/spreadsheetml/2010/11/main" uri="{DE250136-89BD-433C-8126-D09CA5730AF9}">
        <x15:connection id="5e3fbd90-746a-4d2a-ae1a-4d0477c2c3f2"/>
      </ext>
    </extLst>
  </connection>
  <connection id="3" xr16:uid="{A75A9DA2-D6B5-48B0-B50F-519F1A8FA3D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<sst xmlns="http://schemas.openxmlformats.org/spreadsheetml/2006/main" count="2065" uniqueCount="1891">
  <si>
    <t>Provision for Doubtful Accounts - Patient Service Revenue</t>
  </si>
  <si>
    <t>General Partner - Common Equity</t>
  </si>
  <si>
    <t>General Partner - Preferred Equity</t>
  </si>
  <si>
    <t>General Partner - Minority Interest</t>
  </si>
  <si>
    <t>General Partner Interest (Supple)</t>
  </si>
  <si>
    <t>Depreciation And Amortization Notes for Partial CF</t>
  </si>
  <si>
    <t>Amortization Of Goodwill Notes for Partial CF</t>
  </si>
  <si>
    <t>Contingent Rental Expense</t>
  </si>
  <si>
    <t>Short-Term Borrowing Derivatives</t>
  </si>
  <si>
    <t>Curr. Port. of LT Debt Derivatives</t>
  </si>
  <si>
    <t>Long-Term Debt Derivatives</t>
  </si>
  <si>
    <t>Current Derivative Assets</t>
  </si>
  <si>
    <t>Long-Term Derivative Assets</t>
  </si>
  <si>
    <t>Gross Intangible Assets</t>
  </si>
  <si>
    <t>Accumulated Amortization of Intangible Assets</t>
  </si>
  <si>
    <t>Gross Goodwill</t>
  </si>
  <si>
    <t>Accumulated Amortization of Goodwill</t>
  </si>
  <si>
    <t>Aircraft Rental Expense</t>
  </si>
  <si>
    <t>Current Derivative Liabilities</t>
  </si>
  <si>
    <t>Non-Current Derivative Liabilities</t>
  </si>
  <si>
    <t>Derivative Trading Asset Securities</t>
  </si>
  <si>
    <t>Net Income to Company</t>
  </si>
  <si>
    <t>Net Income to Parent</t>
  </si>
  <si>
    <t>Earnings to Parent before Extraordinary Items</t>
  </si>
  <si>
    <t>Redeemable Minority Interest</t>
  </si>
  <si>
    <t>Finance Division Redeemable Minority Interest</t>
  </si>
  <si>
    <t>Total Redeemable Minority Interest</t>
  </si>
  <si>
    <t>Finance Division Minority Interest</t>
  </si>
  <si>
    <t>Capitalized/Purchased Software</t>
  </si>
  <si>
    <t>Minimum Rental Expense</t>
  </si>
  <si>
    <t>Other Rental Expense</t>
  </si>
  <si>
    <t>Depreciation of Rental Assets</t>
  </si>
  <si>
    <t>Sale Proceeds from Rental Assets</t>
  </si>
  <si>
    <t>Cash Flow per Share</t>
  </si>
  <si>
    <t>Net Cash from Discontinued Ops. - Investing</t>
  </si>
  <si>
    <t>Net Cash from Discontinued Ops. - Financing</t>
  </si>
  <si>
    <t>Net Rental Expense, Total</t>
  </si>
  <si>
    <t>Net Rental Expense</t>
  </si>
  <si>
    <t>Net Rental Expense (Supple)</t>
  </si>
  <si>
    <t>Fees and Other Income</t>
  </si>
  <si>
    <t>Amortization of Negative Goodwill</t>
  </si>
  <si>
    <t>Amortization of Negative Goodwill - After Tax</t>
  </si>
  <si>
    <t>Book Value/Share (Reported)</t>
  </si>
  <si>
    <t>Accounts Receivables - Unbilled</t>
  </si>
  <si>
    <t>Net Income</t>
  </si>
  <si>
    <t>Total Current Assets</t>
  </si>
  <si>
    <t>Total Equity</t>
  </si>
  <si>
    <t>Common Stock</t>
  </si>
  <si>
    <t>Cash Interest Paid</t>
  </si>
  <si>
    <t>Cash Taxes Paid</t>
  </si>
  <si>
    <t>Accounts Payable</t>
  </si>
  <si>
    <t>Total Debt</t>
  </si>
  <si>
    <t>Interest Expense</t>
  </si>
  <si>
    <t>Gross Profit</t>
  </si>
  <si>
    <t>Treasury Stock</t>
  </si>
  <si>
    <t>Accounts Receivable</t>
  </si>
  <si>
    <t>Goodwill</t>
  </si>
  <si>
    <t>Revenues</t>
  </si>
  <si>
    <t>Total Revenues</t>
  </si>
  <si>
    <t>R &amp; D Exp.</t>
  </si>
  <si>
    <t>Depreciation &amp; Amort., Total</t>
  </si>
  <si>
    <t>Other Operating Expense/(Income)</t>
  </si>
  <si>
    <t>Other Operating Exp., Total</t>
  </si>
  <si>
    <t>Operating Income</t>
  </si>
  <si>
    <t>Interest and Invest. Income</t>
  </si>
  <si>
    <t>Net Interest Exp.</t>
  </si>
  <si>
    <t>EBT Excl Unusual Items</t>
  </si>
  <si>
    <t>Impairment of Goodwill</t>
  </si>
  <si>
    <t>Gain (Loss) On Sale Of Invest.</t>
  </si>
  <si>
    <t>Gain (Loss) On Sale Of Assets</t>
  </si>
  <si>
    <t>EBT Incl Unusual Items</t>
  </si>
  <si>
    <t>Income Tax Expense</t>
  </si>
  <si>
    <t>Earnings from Cont. Ops.</t>
  </si>
  <si>
    <t>Earnings of Discontinued Ops.</t>
  </si>
  <si>
    <t>Extraord. Item &amp; Account. Change</t>
  </si>
  <si>
    <t>Pref. Dividends and Other Adj.</t>
  </si>
  <si>
    <t>NI to Common Incl Extra Items</t>
  </si>
  <si>
    <t>NI to Common Excl Extra Items</t>
  </si>
  <si>
    <t>Basic EPS</t>
  </si>
  <si>
    <t>Basic EPS Excl. Extra Items</t>
  </si>
  <si>
    <t>Weighted Avg. Basic Shares Out.</t>
  </si>
  <si>
    <t>Diluted EPS</t>
  </si>
  <si>
    <t>Diluted EPS Excl Extra Items</t>
  </si>
  <si>
    <t>Weighted Avg. Diluted Shares Out.</t>
  </si>
  <si>
    <t>EBITDA</t>
  </si>
  <si>
    <t>Cash And Equivalents</t>
  </si>
  <si>
    <t>Short Term Investments</t>
  </si>
  <si>
    <t>Total Cash &amp; ST Investments</t>
  </si>
  <si>
    <t>Notes Receivable</t>
  </si>
  <si>
    <t>Total Receivables</t>
  </si>
  <si>
    <t>Inventory</t>
  </si>
  <si>
    <t>Prepaid Exp.</t>
  </si>
  <si>
    <t>Gross Property, Plant &amp; Equipment</t>
  </si>
  <si>
    <t>Accumulated Depreciation</t>
  </si>
  <si>
    <t>Net Property, Plant &amp; Equipment</t>
  </si>
  <si>
    <t>Other Intangibles</t>
  </si>
  <si>
    <t>Accrued Exp.</t>
  </si>
  <si>
    <t>Total Current Liabilities</t>
  </si>
  <si>
    <t>Retained Earnings</t>
  </si>
  <si>
    <t>Total Common Equity</t>
  </si>
  <si>
    <t>Total Liabilities And Equity</t>
  </si>
  <si>
    <t>Book Value/Share</t>
  </si>
  <si>
    <t>Net Debt</t>
  </si>
  <si>
    <t>Cash from Ops.</t>
  </si>
  <si>
    <t>Capital Expenditure</t>
  </si>
  <si>
    <t>Sale of Property, Plant, and Equipment</t>
  </si>
  <si>
    <t>Cash Acquisitions</t>
  </si>
  <si>
    <t>Divestitures</t>
  </si>
  <si>
    <t>Cash from Investing</t>
  </si>
  <si>
    <t>Short Term Debt Issued</t>
  </si>
  <si>
    <t>Long-Term Debt Issued</t>
  </si>
  <si>
    <t>Total Debt Issued</t>
  </si>
  <si>
    <t>Short Term Debt Repaid</t>
  </si>
  <si>
    <t>Long-Term Debt Repaid</t>
  </si>
  <si>
    <t>Total Debt Repaid</t>
  </si>
  <si>
    <t>Issuance of Common Stock</t>
  </si>
  <si>
    <t>Repurchase of Common</t>
  </si>
  <si>
    <t>Issuance of Pref. Stock</t>
  </si>
  <si>
    <t>Repurchase of Preferred</t>
  </si>
  <si>
    <t>Total Dividends Paid</t>
  </si>
  <si>
    <t>Cash from Financing</t>
  </si>
  <si>
    <t>Net Change in Cash</t>
  </si>
  <si>
    <t>Net Debt Issued</t>
  </si>
  <si>
    <t>Other Revenues</t>
  </si>
  <si>
    <t>Cost Of Goods Sold</t>
  </si>
  <si>
    <t>Selling General &amp; Admin Exp.</t>
  </si>
  <si>
    <t>Depreciation &amp; Amort.</t>
  </si>
  <si>
    <t>Other Non-Operating Inc. (Exp.)</t>
  </si>
  <si>
    <t>Merger &amp; Related Restruct. Charges</t>
  </si>
  <si>
    <t>Other Unusual Items</t>
  </si>
  <si>
    <t>Deferred Tax Assets, Curr.</t>
  </si>
  <si>
    <t>Other Current Assets</t>
  </si>
  <si>
    <t>Loans Receivable Long-Term</t>
  </si>
  <si>
    <t>Deferred Tax Assets, LT</t>
  </si>
  <si>
    <t>Other Long-Term Assets</t>
  </si>
  <si>
    <t>Unearned Revenue, Current</t>
  </si>
  <si>
    <t>Other Current Liabilities</t>
  </si>
  <si>
    <t>Def. Tax Liability, Non-Curr.</t>
  </si>
  <si>
    <t>Other Non-Current Liabilities</t>
  </si>
  <si>
    <t>Additional Paid In Capital</t>
  </si>
  <si>
    <t>Comprehensive Inc. and Other</t>
  </si>
  <si>
    <t>Amort. of Goodwill and Intangibles</t>
  </si>
  <si>
    <t>(Gain) Loss On Sale Of Invest.</t>
  </si>
  <si>
    <t>Tax Benefit from Stock Options</t>
  </si>
  <si>
    <t>Change in Acc. Receivable</t>
  </si>
  <si>
    <t>Change In Inventories</t>
  </si>
  <si>
    <t>Change in Acc. Payable</t>
  </si>
  <si>
    <t>Change in Unearned Rev.</t>
  </si>
  <si>
    <t>Change in Def. Taxes</t>
  </si>
  <si>
    <t>Net (Inc.) Dec. in Loans Originated/Sold</t>
  </si>
  <si>
    <t>Other Investing Activities</t>
  </si>
  <si>
    <t>Common Dividends Paid</t>
  </si>
  <si>
    <t>Pref. Dividends Paid</t>
  </si>
  <si>
    <t>Common and/or Pref. Dividends Paid</t>
  </si>
  <si>
    <t>Special Dividend Paid</t>
  </si>
  <si>
    <t>Other Financing Activities</t>
  </si>
  <si>
    <t>Foreign Exchange Rate Adj.</t>
  </si>
  <si>
    <t>Finance Div. Revenues</t>
  </si>
  <si>
    <t>Insurance Div. Revenues</t>
  </si>
  <si>
    <t>Interest And Invest. Income (Rev)</t>
  </si>
  <si>
    <t>Finance Div. Operating Exp.</t>
  </si>
  <si>
    <t>Insurance Div. Operating Exp.</t>
  </si>
  <si>
    <t>Interest Expense - Finance Division</t>
  </si>
  <si>
    <t>Income / (Loss) from Affiliates</t>
  </si>
  <si>
    <t>Currency Exchange Gains (Loss)</t>
  </si>
  <si>
    <t>Restructuring Charges</t>
  </si>
  <si>
    <t>Asset Writedown</t>
  </si>
  <si>
    <t>Insurance Settlements</t>
  </si>
  <si>
    <t>Legal Settlements</t>
  </si>
  <si>
    <t>Minority Int. in Earnings</t>
  </si>
  <si>
    <t>Trading Asset Securities</t>
  </si>
  <si>
    <t>Other Receivables</t>
  </si>
  <si>
    <t>Finance Div. Loans and Leases, ST</t>
  </si>
  <si>
    <t>Finance Div. Other Curr. Assets</t>
  </si>
  <si>
    <t>Loans Held For Sale</t>
  </si>
  <si>
    <t>Restricted Cash</t>
  </si>
  <si>
    <t>Long-term Investments</t>
  </si>
  <si>
    <t>Finance Div. Loans and Leases, LT</t>
  </si>
  <si>
    <t>Finance Div. Other LT Assets</t>
  </si>
  <si>
    <t>Accounts Receivable Long-Term</t>
  </si>
  <si>
    <t>Deferred Charges, LT</t>
  </si>
  <si>
    <t>Short-term Borrowings</t>
  </si>
  <si>
    <t>Current Portion of Long Term Debt</t>
  </si>
  <si>
    <t>Finance Div. Debt Current</t>
  </si>
  <si>
    <t>Finance Div. Other Curr. Liab.</t>
  </si>
  <si>
    <t>Curr. Income Taxes Payable</t>
  </si>
  <si>
    <t>Def. Tax Liability, Curr.</t>
  </si>
  <si>
    <t>Long-Term Debt</t>
  </si>
  <si>
    <t>Minority Interest</t>
  </si>
  <si>
    <t>Finance Div. Debt Non-Curr.</t>
  </si>
  <si>
    <t>Finance Div. Other Non-Curr. Liab.</t>
  </si>
  <si>
    <t>Unearned Revenue, Non-Current</t>
  </si>
  <si>
    <t>Pension &amp; Other Post-Retire. Benefits</t>
  </si>
  <si>
    <t>Pref. Stock, Redeemable</t>
  </si>
  <si>
    <t>Pref. Stock, Non-Redeem.</t>
  </si>
  <si>
    <t>Pref. Stock, Convertible</t>
  </si>
  <si>
    <t>Pref. Stock, Other</t>
  </si>
  <si>
    <t>Impair. of Oil, Gas &amp; Mineral Prop.</t>
  </si>
  <si>
    <t>(Gain) Loss From Sale Of Asset</t>
  </si>
  <si>
    <t>Asset Writedown &amp; Restructuring Costs</t>
  </si>
  <si>
    <t>Net (Increase) Decrease in Loans Orig./Sold</t>
  </si>
  <si>
    <t>Provision for Credit Losses</t>
  </si>
  <si>
    <t>(Income) Loss on Equity Invest.</t>
  </si>
  <si>
    <t>Stock-Based Compensation</t>
  </si>
  <si>
    <t>Provision &amp; Write-off of Bad debts</t>
  </si>
  <si>
    <t>Net Cash From Discontinued Ops.</t>
  </si>
  <si>
    <t>Other Operating Activities</t>
  </si>
  <si>
    <t>Change in Trad. Asset Securities</t>
  </si>
  <si>
    <t>Change in Inc. Taxes</t>
  </si>
  <si>
    <t>Exploration/Drilling Costs</t>
  </si>
  <si>
    <t>Provision for Bad Debts</t>
  </si>
  <si>
    <t>Pre-Opening Costs</t>
  </si>
  <si>
    <t>Misc. Cash Flow Adj.</t>
  </si>
  <si>
    <t>Net Income per SFAS 123 (after Options)</t>
  </si>
  <si>
    <t>Ticker</t>
  </si>
  <si>
    <t>As-Reported Total Revenue</t>
  </si>
  <si>
    <t>Filing Date</t>
  </si>
  <si>
    <t>Tangible Book Value/Share</t>
  </si>
  <si>
    <t>Total Capitalization</t>
  </si>
  <si>
    <t>LIFO Reserve</t>
  </si>
  <si>
    <t>Raw Materials Inventory</t>
  </si>
  <si>
    <t>Work in Progress Inventory</t>
  </si>
  <si>
    <t>Finished Goods Inventory</t>
  </si>
  <si>
    <t>Other Inventory Accounts</t>
  </si>
  <si>
    <t>Land</t>
  </si>
  <si>
    <t>Buildings</t>
  </si>
  <si>
    <t>Machinery</t>
  </si>
  <si>
    <t>Return on Assets (%)</t>
  </si>
  <si>
    <t>Return on Capital (%)</t>
  </si>
  <si>
    <t>Return on Equity (%)</t>
  </si>
  <si>
    <t>Gross Margin (%)</t>
  </si>
  <si>
    <t>EBITDA Margin (%)</t>
  </si>
  <si>
    <t>EBIT Margin (%)</t>
  </si>
  <si>
    <t>Net Income Margin (%)</t>
  </si>
  <si>
    <t>Total Asset Turnover</t>
  </si>
  <si>
    <t>Fixed Asset Turnover</t>
  </si>
  <si>
    <t>Accounts Receivable Turnover</t>
  </si>
  <si>
    <t>Inventory Turnover</t>
  </si>
  <si>
    <t>Current Ratio</t>
  </si>
  <si>
    <t>Quick Ratio</t>
  </si>
  <si>
    <t>Avg. Cash Conversion Cycle</t>
  </si>
  <si>
    <t>EBIT / Interest Expense</t>
  </si>
  <si>
    <t>Total Debt / EBITDA</t>
  </si>
  <si>
    <t>Net Debt / EBITDA</t>
  </si>
  <si>
    <t>Altman Z Score</t>
  </si>
  <si>
    <t>EBITDA / Interest Expense</t>
  </si>
  <si>
    <t>(EBITDA-CAPEX) / Interest Expense</t>
  </si>
  <si>
    <t>Avg. Days Sales Outstanding</t>
  </si>
  <si>
    <t>Avg. Days Inventory Outstanding</t>
  </si>
  <si>
    <t>Avg. Days Payable Outstanding</t>
  </si>
  <si>
    <t>Cash from Operations to Currrent Liabilities</t>
  </si>
  <si>
    <t>Total Debt / Equity (%)</t>
  </si>
  <si>
    <t>Total Debt / Capital (%)</t>
  </si>
  <si>
    <t>LT Debt / Equity (%)</t>
  </si>
  <si>
    <t>LT Debt / Capital (%)</t>
  </si>
  <si>
    <t>Total Liabilities / Total Assets (%)</t>
  </si>
  <si>
    <t>Stock Price</t>
  </si>
  <si>
    <t>Name</t>
  </si>
  <si>
    <t>FYE</t>
  </si>
  <si>
    <t>52W High</t>
  </si>
  <si>
    <t>52W Low</t>
  </si>
  <si>
    <t>Shares Out</t>
  </si>
  <si>
    <t>Market Cap</t>
  </si>
  <si>
    <t>Cash</t>
  </si>
  <si>
    <t>Pref. Stock</t>
  </si>
  <si>
    <t>Minority Int.</t>
  </si>
  <si>
    <t>LTM</t>
  </si>
  <si>
    <t>Total Assets</t>
  </si>
  <si>
    <t>TEV / Total Revenue</t>
  </si>
  <si>
    <t>TEV / EBITDA</t>
  </si>
  <si>
    <t>TEV / EBIT</t>
  </si>
  <si>
    <t>P/E</t>
  </si>
  <si>
    <t>P/BV</t>
  </si>
  <si>
    <t>P/Tangible BV</t>
  </si>
  <si>
    <t>Value</t>
  </si>
  <si>
    <t>TEV</t>
  </si>
  <si>
    <t>Gain/(Loss) on Sale Of Assets (Rev)</t>
  </si>
  <si>
    <t>Gain/(Loss) on Sale Of Invest.(Rev)</t>
  </si>
  <si>
    <t>In Process R &amp; D Exp.</t>
  </si>
  <si>
    <t>Sale/(Purchase) of Real Estate Properties</t>
  </si>
  <si>
    <t>Sale/(Purchase) of Intangible Assets</t>
  </si>
  <si>
    <t>Invest. in Marketable &amp; Equity Sec.</t>
  </si>
  <si>
    <t>Effective Tax Rate (%)</t>
  </si>
  <si>
    <t>Payout Ratio (%)</t>
  </si>
  <si>
    <t>Tangible Book Value</t>
  </si>
  <si>
    <t>Total Shares Out. on Balance Sheet Date</t>
  </si>
  <si>
    <t>EBITDA (Incl. Equity Inc. from Affiliates)</t>
  </si>
  <si>
    <t>EBITDA (Excl. SBC and Incl. Equity Inc. from Affiliates)</t>
  </si>
  <si>
    <t>EBITDA (Excl. SBC)</t>
  </si>
  <si>
    <t>EBIT (Incl. Equity Inc. from Affiliates)</t>
  </si>
  <si>
    <t>EBIT (Excl. SBC and Incl. Equity Inc. from Affiliates)</t>
  </si>
  <si>
    <t>EBIT (Excl. SBC)</t>
  </si>
  <si>
    <t>EBITA (Incl. Equity Inc. from Affiliates)</t>
  </si>
  <si>
    <t>EBITA (Excl. SBC and Incl. Equity Inc. from Affiliates)</t>
  </si>
  <si>
    <t>EBITA (Excl. SBC)</t>
  </si>
  <si>
    <t>EBITDAR (Incl. Equity Inc. from Affiliates)</t>
  </si>
  <si>
    <t>EBITDAR (Excl. SBC and Incl. Equity Inc. from Affiliates)</t>
  </si>
  <si>
    <t>EBITDAR (Excl. SBC)</t>
  </si>
  <si>
    <t>Restr. Stock Comp. Exp., Before Tax</t>
  </si>
  <si>
    <t>Restr. Stock Comp. Exp. Tax Effect</t>
  </si>
  <si>
    <t>Restr. Stock Comp. Exp., After Tax</t>
  </si>
  <si>
    <t>Stock Options Comp. Exp., Before Tax</t>
  </si>
  <si>
    <t>Stock Options Comp. Exp. Tax Effect</t>
  </si>
  <si>
    <t>Stock Options Comp. Exp., After Tax</t>
  </si>
  <si>
    <t>Stock Based Comp. Exp., Before Tax</t>
  </si>
  <si>
    <t>Stock Based Comp. Exp. Tax Effect</t>
  </si>
  <si>
    <t>Stock Based Comp. Exp., After Tax</t>
  </si>
  <si>
    <t>EBIT</t>
  </si>
  <si>
    <t>EBITA</t>
  </si>
  <si>
    <t>EBITDAR</t>
  </si>
  <si>
    <t>Interest Capitalized</t>
  </si>
  <si>
    <t>Normalized Basic EPS</t>
  </si>
  <si>
    <t>Normalized Diluted EPS</t>
  </si>
  <si>
    <t>Distributable Cash per Share</t>
  </si>
  <si>
    <t>Revenues per Share</t>
  </si>
  <si>
    <t>Special Dividend per Share</t>
  </si>
  <si>
    <t>Dividends per Share</t>
  </si>
  <si>
    <t>Period Length in Months</t>
  </si>
  <si>
    <t>Same Store Sales Growth</t>
  </si>
  <si>
    <t>Current Domestic Taxes</t>
  </si>
  <si>
    <t>Current Foreign Taxes</t>
  </si>
  <si>
    <t>Deferred Domestic Taxes</t>
  </si>
  <si>
    <t>Deferred Foreign Taxes</t>
  </si>
  <si>
    <t>Normalized Net Income</t>
  </si>
  <si>
    <t>Interest On Long Term Debt</t>
  </si>
  <si>
    <t>Non-Cash Pension Expense</t>
  </si>
  <si>
    <t>D&amp;A For EBITDA</t>
  </si>
  <si>
    <t>Distributable Cash</t>
  </si>
  <si>
    <t>Interest Expense (Incl. Cap. Interest)</t>
  </si>
  <si>
    <t>Common Stock Dividend Declared</t>
  </si>
  <si>
    <t>Marketing Expense</t>
  </si>
  <si>
    <t>Selling And Marketing Expense</t>
  </si>
  <si>
    <t>General and Administrative Expense</t>
  </si>
  <si>
    <t>Maintenance &amp; Repair Expenses</t>
  </si>
  <si>
    <t>Imputed Oper. Lease Interest Exp</t>
  </si>
  <si>
    <t>Imputed Oper. Lease Depreciation</t>
  </si>
  <si>
    <t>Stock-Based Comp., COGS</t>
  </si>
  <si>
    <t>Stock-Based Comp., R&amp;D Exp</t>
  </si>
  <si>
    <t>Stock-Based Comp., S&amp;M Exp</t>
  </si>
  <si>
    <t>Stock-Based Comp., G&amp;A Exp</t>
  </si>
  <si>
    <t>Stock-Based Comp., SG&amp;A Exp</t>
  </si>
  <si>
    <t>Stock-Based Comp., Unallocated</t>
  </si>
  <si>
    <t>Stock-Based Comp., After-Tax</t>
  </si>
  <si>
    <t>Stock-Based Comp., Total</t>
  </si>
  <si>
    <t>Annualized Distributions per Unit</t>
  </si>
  <si>
    <t>Restatement Type</t>
  </si>
  <si>
    <t>Calculation Type</t>
  </si>
  <si>
    <t>Filing Currency</t>
  </si>
  <si>
    <t>Diluted Net Income</t>
  </si>
  <si>
    <t>Depreciation (From Notes)</t>
  </si>
  <si>
    <t>Change in Net Working Capital</t>
  </si>
  <si>
    <t>Maintenance CAPEX</t>
  </si>
  <si>
    <t>Cash per Share</t>
  </si>
  <si>
    <t>Working Capital</t>
  </si>
  <si>
    <t>Net Working Capital</t>
  </si>
  <si>
    <t>Equity Method Investments</t>
  </si>
  <si>
    <t>Inventory Method</t>
  </si>
  <si>
    <t>Full Time Employees</t>
  </si>
  <si>
    <t>Part Time Employees</t>
  </si>
  <si>
    <t>Total Employees</t>
  </si>
  <si>
    <t>Finance Division Long-term Debt, Total</t>
  </si>
  <si>
    <t>Finance Division Short-term Debt, Total</t>
  </si>
  <si>
    <t>Cost of Borrowing</t>
  </si>
  <si>
    <t>Total Debt (Excl.Fin.Div.Debt)</t>
  </si>
  <si>
    <t>Order Backlog</t>
  </si>
  <si>
    <t>Distributable Cash Payout Ratio (Income Trusts)</t>
  </si>
  <si>
    <t>Advertising Expense</t>
  </si>
  <si>
    <t>Accumulated Allowance for Doubtful Accounts</t>
  </si>
  <si>
    <t>Minority Interest, Total</t>
  </si>
  <si>
    <t>R&amp;D Expense (Foot Note)</t>
  </si>
  <si>
    <t>Change In Other Net Operating Assets</t>
  </si>
  <si>
    <t>Avg Employees</t>
  </si>
  <si>
    <t>Temporary/Seasonal Employees</t>
  </si>
  <si>
    <t>Excise Taxes Excluded from Sales</t>
  </si>
  <si>
    <t>Excise Taxes Included in Sales</t>
  </si>
  <si>
    <t>Finance Division Debt, Total</t>
  </si>
  <si>
    <t>Financial Accounting Standard</t>
  </si>
  <si>
    <t>Total Debt Current</t>
  </si>
  <si>
    <t>Restricted Cash (Non-Current)</t>
  </si>
  <si>
    <t>Finance Division Cash and Equivalents</t>
  </si>
  <si>
    <t>Finance Division Short-Term Investments</t>
  </si>
  <si>
    <t>Cash Interest Paid - Operating Activities</t>
  </si>
  <si>
    <t>Cash Interest Paid - Investing Activities</t>
  </si>
  <si>
    <t>Cash Interest Paid - Financing Activities</t>
  </si>
  <si>
    <t>Cash Taxes Paid - Operating Activities</t>
  </si>
  <si>
    <t>Cash Taxes Paid - Investing Activities</t>
  </si>
  <si>
    <t>Cash Taxes Paid - Financing Activities</t>
  </si>
  <si>
    <t>USD</t>
  </si>
  <si>
    <t>Deferred Income Taxes, Total</t>
  </si>
  <si>
    <t>Distributable Cash Shares (Basic)</t>
  </si>
  <si>
    <t>Distributable Cash Shares (Diluted)</t>
  </si>
  <si>
    <t>Distributable Cash per Share (Diluted)</t>
  </si>
  <si>
    <t>Salaries and Other Employee Benefits</t>
  </si>
  <si>
    <t>Stock-Based Comp., Exploration/Drilling Exp.</t>
  </si>
  <si>
    <t>Employees Under Union Contracts</t>
  </si>
  <si>
    <t>Contingent Liabilities</t>
  </si>
  <si>
    <t>Liquidation Value of Preferred Stock - Convertible</t>
  </si>
  <si>
    <t>Liquidation Value of Preferred Stock - Non-Redeemable</t>
  </si>
  <si>
    <t>Liquidation Value of Preferred Stock - Redeemable</t>
  </si>
  <si>
    <t>Level 1 Assets - Quoted Prices</t>
  </si>
  <si>
    <t>Netting and Other Adj. to Assets</t>
  </si>
  <si>
    <t>Fair Value of Assets</t>
  </si>
  <si>
    <t>Level 1 Liabilities - Quoted Prices</t>
  </si>
  <si>
    <t>Netting and Other Adj. to Liabilities</t>
  </si>
  <si>
    <t>Fair Value of Liabilities</t>
  </si>
  <si>
    <t>Fair Value Change Included in Earnings</t>
  </si>
  <si>
    <t>Exploration/Drilling Exp.</t>
  </si>
  <si>
    <t>Debt Issuance Costs</t>
  </si>
  <si>
    <t>Period Date</t>
  </si>
  <si>
    <t>Cash Interest Paid Net of Interest Received</t>
  </si>
  <si>
    <t>Unusual Items, Total (Supple)</t>
  </si>
  <si>
    <t>Restructuring Charges (Supple)</t>
  </si>
  <si>
    <t>Merger &amp; Related Restruct. Charges (Supple)</t>
  </si>
  <si>
    <t>Impairment of Goodwill (Supple)</t>
  </si>
  <si>
    <t>Asset Writedown, Total (Supple)</t>
  </si>
  <si>
    <t>In Process R &amp; D Exp. (Supple)</t>
  </si>
  <si>
    <t>Insurance Settlements (Supple)</t>
  </si>
  <si>
    <t>Legal Settlements (Supple)</t>
  </si>
  <si>
    <t>Other Unusual Items (Supple)</t>
  </si>
  <si>
    <t>Total Shares Out. on Filing Date</t>
  </si>
  <si>
    <t>Level 2 Assets - Observable Prices</t>
  </si>
  <si>
    <t>Level 3 Assets - Unobservable Prices</t>
  </si>
  <si>
    <t>Level 2 Liabilities - Observable Prices</t>
  </si>
  <si>
    <t>Level 3 Liabilities - Unobservable Prices</t>
  </si>
  <si>
    <t>Other Amortization</t>
  </si>
  <si>
    <t>Return on Common Equity (%)</t>
  </si>
  <si>
    <t>Total Debt / (EBITDA-CAPEX)</t>
  </si>
  <si>
    <t>Net Debt / (EBITDA-CAPEX)</t>
  </si>
  <si>
    <t>Total Revenues/ Employee</t>
  </si>
  <si>
    <t>Shares per Depository Receipt</t>
  </si>
  <si>
    <t>EBITDA - CAPEX</t>
  </si>
  <si>
    <t>Tangible Book Value Per Share (Reported)</t>
  </si>
  <si>
    <t>Total Current Taxes</t>
  </si>
  <si>
    <t>Total Deferred Taxes</t>
  </si>
  <si>
    <t>Capex as % of Revenues</t>
  </si>
  <si>
    <t>Total Intangibles</t>
  </si>
  <si>
    <t>Standardized Distributable Cash</t>
  </si>
  <si>
    <t>Construction in Progress</t>
  </si>
  <si>
    <t>Leasehold Improvements</t>
  </si>
  <si>
    <t>Amortization of Debt Issuance Costs</t>
  </si>
  <si>
    <t>Amortization of Software Assets</t>
  </si>
  <si>
    <t>Deferred Tax Valuation Allowance</t>
  </si>
  <si>
    <t>Interest Income</t>
  </si>
  <si>
    <t>Warranty Liabilities</t>
  </si>
  <si>
    <t>Investment Income</t>
  </si>
  <si>
    <t>Depreciation on Right of Use Assets</t>
  </si>
  <si>
    <t>Operating Lease Payments</t>
  </si>
  <si>
    <t>Change in Operating Lease Liabilities</t>
  </si>
  <si>
    <t>Change in Operating Lease Liabilities Non-Cash</t>
  </si>
  <si>
    <t>Right-of-Use Asset-Gross</t>
  </si>
  <si>
    <t>Right-of-Use Asset-Accumulated Depreciation</t>
  </si>
  <si>
    <t>Right-of-Use Asset-Net</t>
  </si>
  <si>
    <t>Right-of-Use Asset-Capital Lease-Gross</t>
  </si>
  <si>
    <t>Right-of-Use Asset-Capital Lease-Accumulated Depreciation</t>
  </si>
  <si>
    <t>Right-of-Use Asset-Capital Lease-Net</t>
  </si>
  <si>
    <t>Right-of-Use Asset-Operating Lease-Gross</t>
  </si>
  <si>
    <t>Right-of-Use Asset-Operating Lease-Accumulated Depreciation</t>
  </si>
  <si>
    <t>Right-of-Use Asset-Operating Lease-Net</t>
  </si>
  <si>
    <t>Non-Recurring Income Taxes</t>
  </si>
  <si>
    <t>Interest Expenses On Lease Liability/Debt</t>
  </si>
  <si>
    <t>EBITDA, Lease Adjusted</t>
  </si>
  <si>
    <t>Lease Adjustment for EBITDA</t>
  </si>
  <si>
    <t>EBITDA (Incl. Equity Inc. from Affiliates, Excl. Op. Lease Adj.)</t>
  </si>
  <si>
    <t>As Reported EBITDA</t>
  </si>
  <si>
    <t>Gain on Bargain Acquisition</t>
  </si>
  <si>
    <t>Gain on Bargain Acquisition  - Supple</t>
  </si>
  <si>
    <t>Depreciation &amp; Amortization - CF, Excl. Operating Leases</t>
  </si>
  <si>
    <t>Depreciation &amp; Amort., Total, Excl. Operating Leases</t>
  </si>
  <si>
    <t>Long-Term Debt Repaid, Excl. Leases</t>
  </si>
  <si>
    <t>Total Debt Repaid, Excl. Leases</t>
  </si>
  <si>
    <t>Gain on Bargain Acquisition - (CF)</t>
  </si>
  <si>
    <t>Current Portion of Leases</t>
  </si>
  <si>
    <t>Long-Term Leases</t>
  </si>
  <si>
    <t>Gross PP&amp;E, Excl. Operating Leases</t>
  </si>
  <si>
    <t>Accumulated Depreciation, Excl. Operating Leases</t>
  </si>
  <si>
    <t>Net PP&amp;E, Excl. Operating Leases</t>
  </si>
  <si>
    <t>Finance Leases, Current</t>
  </si>
  <si>
    <t>Finance Leases, Long Term</t>
  </si>
  <si>
    <t>Total Finance Leases</t>
  </si>
  <si>
    <t>Current Portion of Operating Lease Liabilities</t>
  </si>
  <si>
    <t>Long-Term Portion of Operating Lease Liabilities</t>
  </si>
  <si>
    <t>Total Operating Leases</t>
  </si>
  <si>
    <t>Total Leases</t>
  </si>
  <si>
    <t>Current Financing Obligations, Excl. Operating Leases</t>
  </si>
  <si>
    <t>Non-Current Financing Obligations Excl. Operating Leases</t>
  </si>
  <si>
    <t>Total Debt, Excl. Operating Leases</t>
  </si>
  <si>
    <t>Total Debt, Excl. Leases</t>
  </si>
  <si>
    <t>Long Term Marketable Securities</t>
  </si>
  <si>
    <t>Advances for Supplies</t>
  </si>
  <si>
    <t>Goodwill and Intangibles (Net)</t>
  </si>
  <si>
    <t>Goodwill (Net)</t>
  </si>
  <si>
    <t>Intangibles (Net)</t>
  </si>
  <si>
    <t>Intercompany Non-Current Assets</t>
  </si>
  <si>
    <t>Intercompany Current Liabilities</t>
  </si>
  <si>
    <t>Intercompany Non-Current Liabilities</t>
  </si>
  <si>
    <t>EBITDA, Excl. Operating Leases/Interest Expense</t>
  </si>
  <si>
    <t>(EBITDA, Excl. Operating Leases-CAPEX)/Interest Exp.</t>
  </si>
  <si>
    <t>Total Debt / EBITDA, Excl. Operating Leases</t>
  </si>
  <si>
    <t>Net Debt/EBITDA, Excl. Operating Leases</t>
  </si>
  <si>
    <t>Total Debt/(EBITDA, Excl. Operating Leases - CAPEX)</t>
  </si>
  <si>
    <t>Net Debt/(EBITDA, Excl. Operating Leases - CAPEX)</t>
  </si>
  <si>
    <t>Natural Resources, at Cost</t>
  </si>
  <si>
    <t>Number Of ADR Holders</t>
  </si>
  <si>
    <t>Debt Equiv. of Unfunded Proj. Benefit Obligation</t>
  </si>
  <si>
    <t>Debt Equivalent Oper. Leases</t>
  </si>
  <si>
    <t>Total Restricted Cash</t>
  </si>
  <si>
    <t>Intercompany Current Assets</t>
  </si>
  <si>
    <t>Cash Dividend and Interest Received</t>
  </si>
  <si>
    <t>Levered Free Cash Flow</t>
  </si>
  <si>
    <t>Unlevered Free Cash Flow</t>
  </si>
  <si>
    <t>Total Liabilities</t>
  </si>
  <si>
    <t>Total Pref. Equity</t>
  </si>
  <si>
    <t>Total Non-Current Debt</t>
  </si>
  <si>
    <t>ticker</t>
  </si>
  <si>
    <t>% of 52W High</t>
  </si>
  <si>
    <t>% of 52W Low</t>
  </si>
  <si>
    <t>Total Revenue - FY</t>
  </si>
  <si>
    <t>Total Revenue - LTM</t>
  </si>
  <si>
    <t>Total Revenue - CY+1</t>
  </si>
  <si>
    <t>Total Revenue - CY+2</t>
  </si>
  <si>
    <t>EBITDA - FY</t>
  </si>
  <si>
    <t>EBITDA - LTM</t>
  </si>
  <si>
    <t>EBITDA - CY+1</t>
  </si>
  <si>
    <t>EBITDA - CY+2</t>
  </si>
  <si>
    <t>Diluted EPS - FY</t>
  </si>
  <si>
    <t>Diluted EPS - LTM</t>
  </si>
  <si>
    <t>Diluted EPS - CY+1</t>
  </si>
  <si>
    <t>Diluted EPS - CY+2</t>
  </si>
  <si>
    <t>TEV/Total Revenue - FY</t>
  </si>
  <si>
    <t>TEV/Total Revenue - LTM</t>
  </si>
  <si>
    <t>TEV/Total Revenue - CY+1</t>
  </si>
  <si>
    <t>TEV/Total Revenue - CY+2</t>
  </si>
  <si>
    <t>TEV/EBITDA - FY</t>
  </si>
  <si>
    <t>TEV/EBITDA - LTM</t>
  </si>
  <si>
    <t>TEV/EBITDA - CY+1</t>
  </si>
  <si>
    <t>TEV/EBITDA - CY+2</t>
  </si>
  <si>
    <t>PE - FY</t>
  </si>
  <si>
    <t>PE - LTM</t>
  </si>
  <si>
    <t>PE - CY+1</t>
  </si>
  <si>
    <t>PE - CY+2</t>
  </si>
  <si>
    <t>Price / - BV</t>
  </si>
  <si>
    <t>Price / - Tangible BV</t>
  </si>
  <si>
    <t>Gross Margin - FY-2</t>
  </si>
  <si>
    <t>Gross Margin - FY-1</t>
  </si>
  <si>
    <t>Gross Margin - FY</t>
  </si>
  <si>
    <t>Gross Margin - LTM</t>
  </si>
  <si>
    <t>Net Income Margin - FY-2</t>
  </si>
  <si>
    <t>Net Income Margin - FY-1</t>
  </si>
  <si>
    <t>Net Income Margin - FY</t>
  </si>
  <si>
    <t>Net Income Margin - LTM</t>
  </si>
  <si>
    <t>Total Revenue - 5-Yr CAGR</t>
  </si>
  <si>
    <t>Total Revenue - 3-Yr CAGR</t>
  </si>
  <si>
    <t>EBITDA - 5-Yr CAGR</t>
  </si>
  <si>
    <t>EBITDA - 3-Yr CAGR</t>
  </si>
  <si>
    <t>EPS - 5-Yr CAGR</t>
  </si>
  <si>
    <t>EPS - 3-Yr CAGR</t>
  </si>
  <si>
    <t>EPS - FY</t>
  </si>
  <si>
    <t>EPS - LTM</t>
  </si>
  <si>
    <t>Total Debt/LTM EBITDA</t>
  </si>
  <si>
    <t>Net Debt/LTM EBITDA</t>
  </si>
  <si>
    <t>(Debt+Pref)/LTM EBITDA</t>
  </si>
  <si>
    <t>EBITDA/Interest</t>
  </si>
  <si>
    <t>(EBITDA-Capex)/Interest</t>
  </si>
  <si>
    <t>Total Debt/Total Equity (%)</t>
  </si>
  <si>
    <t>Total Debt/Total Cap. (%)</t>
  </si>
  <si>
    <t>Total Debt/ROE</t>
  </si>
  <si>
    <t>Total Debt/ROA</t>
  </si>
  <si>
    <t>Total Debt/ROIC</t>
  </si>
  <si>
    <t>Avg. Days Sales Out.</t>
  </si>
  <si>
    <t>Avg. Days Inv. Out.</t>
  </si>
  <si>
    <t>Avg. Days Payable Out.</t>
  </si>
  <si>
    <t>Avg. Cash Conv. Cycle</t>
  </si>
  <si>
    <t>Avg. Total Assets</t>
  </si>
  <si>
    <t>Avg. Fixed Assets</t>
  </si>
  <si>
    <t>Avg. A/R</t>
  </si>
  <si>
    <t>Avg. Inventory</t>
  </si>
  <si>
    <t>H</t>
  </si>
  <si>
    <t>date_year</t>
  </si>
  <si>
    <t>2026</t>
  </si>
  <si>
    <t>date_month</t>
  </si>
  <si>
    <t>3</t>
  </si>
  <si>
    <t>date_day</t>
  </si>
  <si>
    <t>currency</t>
  </si>
  <si>
    <t>date</t>
  </si>
  <si>
    <t>conversion</t>
  </si>
  <si>
    <t>Total Revenue (%, yoy)</t>
  </si>
  <si>
    <t>Gross Profit (%, yoy)</t>
  </si>
  <si>
    <t>EBITDA (%, yoy)</t>
  </si>
  <si>
    <t>EBIT (%, yoy)</t>
  </si>
  <si>
    <t>Net Income (%, yoy)</t>
  </si>
  <si>
    <t>Diluted EPS before Extra (%, yoy)</t>
  </si>
  <si>
    <t>Total Revenue (%, CAGR-3Y)</t>
  </si>
  <si>
    <t>Gross Profit (%, CAGR-3Y)</t>
  </si>
  <si>
    <t>EBITDA (%, CAGR-3Y)</t>
  </si>
  <si>
    <t>EBIT (%, CAGR-3Y)</t>
  </si>
  <si>
    <t>Net Income (%, CAGR-3Y)</t>
  </si>
  <si>
    <t>Diluted EPS before Extra (%, CAGR-3Y)</t>
  </si>
  <si>
    <t>Total Revenue (%, CAGR-5Y)</t>
  </si>
  <si>
    <t>Gross Profit (%, CAGR-5Y)</t>
  </si>
  <si>
    <t>EBITDA (%, CAGR-5Y)</t>
  </si>
  <si>
    <t>EBIT (%, CAGR-5Y)</t>
  </si>
  <si>
    <t>Net Income (%, CAGR-5Y)</t>
  </si>
  <si>
    <t>Diluted EPS before Extra (%, CAGR-5Y)</t>
  </si>
  <si>
    <t>RatiosDate</t>
  </si>
  <si>
    <t>(User access restricted)</t>
  </si>
  <si>
    <t>Period</t>
  </si>
  <si>
    <t>NYSE:IBM</t>
  </si>
  <si>
    <t>7</t>
  </si>
  <si>
    <t>BAABTAVMT0NBTAFI/////wFQcBkAACpDSVEuTllTRTpJQk0uSVFfRUJJVF9NQVJHSU4uOTk3LjA3LzAzLzIwMjYBAAAA3rYBAAIAAAAHMTIuNDI1MgEIAAAABQAAAAExAQAAAAstMTk1ODI4MTA5NgMAAAADMTYwAgAAAAQ0MDUzBAAAAAEwBwAAAAgzLzcvMjAyNggAAAAKMTIvMzEvMjAyMgkAAAABMMC6fiT/gd4Ia0//J/+B3ggsQ0lRLk5ZU0U6SUJNLklRX1JFVFVSTl9FUVVJVFkuOTk5LjA3LzAzLzIwMjYBAAAA3rYBAAIAAAAHMjQuMDU3MQEIAAAABQAAAAExAQAAAAstMTkwNDg2MDc0MwMAAAADMTYwAgAAAAQ0MTI4BAAAAAEwBwAAAAgzLzcvMjAyNggAAAAKMTIvMzEvMjAyNAkAAAABMMC6fiT/gd4IHXf/J/+B3ggtQ0lRLk5ZU0U6SUJNLklRX1JFVFVSTl9DQVBJVEFMLjk5My4wNy8wMy8yMDI2AQAAAN62AQACAAAABzEyLjk3NjYBCAAAAAUAAAABMQEAAAAKMjA4MTUwNTQwMQMAAAADMTYwAgAAAAQ0MzYzBAAAAAEwBwAAAAgzLzcvMjAyNggAAAAKMTIvMzEvMjAxOAkAAAABMMC6fiT/gd4IHXf/J/+B3ggrQ0lRLk5ZU0U6SUJNLklRX0NBTENfVFlQRV9CUy45OTUuMDcvMDMvMjAyNgEAAADetgEAAwAAAANSVVAAwLp+JP+B3ggdd/8n/4HeCDBDSVEuTllTRTpJQk0uSVFfTlVNQkVSX0FEUkhPTERFUlMuOTkzLjA3LzAzLzIwMjYBAAAA3rYBAAMAAAAAAMC6fiT/gd4IoRT/J/+B3gguQ0lRLk5ZU0U6</t>
  </si>
  <si>
    <t>SUJNLklRX0xUX0RFQlRfQ0FQSVRBTC45OTUuMDcvMDMvMjAyNgEAAADetgEAAgAAAAc2Ni4zNDkzAQgAAAAFAAAAATEBAAAACy0yMDU5MDczMjAyAwAAAAMxNjACAAAABDQxODcEAAAAATAHAAAACDMvNy8yMDI2CAAAAAoxMi8zMS8yMDIwCQAAAAEwwLp+JP+B3ghrT/8n/4HeCC5DSVEuTllTRTpJQk0uSVFfQ0FTSF9DT05WRVJTSU9OLjk5Ny4wNy8wMy8yMDI2AQAAAN62AQACAAAACTExLjIxOTAwNQEIAAAABQAAAAExAQAAAAstMTk1ODI4MTA5NgMAAAADMTYwAgAAAAQ0MTg0BAAAAAEwBwAAAAgzLzcvMjAyNggAAAAKMTIvMzEvMjAyMgkAAAABMMC6fiT/gd4Ia0//J/+B3ggvQ0lRLk5ZU0U6SUJNLklRX0NGT19DVVJSRU5UX0xJQUIuOTk5LjA3LzAzLzIwMjYBAAAA3rYBAAIAAAAIMC40MDU2NzgBCAAAAAUAAAABMQEAAAALLTE5MDQ4NjA3NDMDAAAAAzE2MAIAAAAENDE4NQQAAAABMAcAAAAIMy83LzIwMjYIAAAACjEyLzMxLzIwMjQJAAAAATDAun4k/4HeCGtP/yf/gd4IKkNJUS5OWVNFOklCTS5JUV9RVUlDS19SQVRJTy45OTMuMDcvMDMvMjAyNgEAAADetgEAAgAAAAgxLjEyNTY0NAEIAAAABQAAAAExAQAAAAoyMDgxNTA1NDAxAwAAAAMxNjACAAAABDQxMjEEAAAAATAHAAAACDMvNy8yMDI2CAAAAAoxMi8zMS8yMDE4CQAAAAEwwLp+JP+B3ghrT/8n/4HeCDBDSVEuTllTRTpJQk0uSVFfRklYRURf</t>
  </si>
  <si>
    <t>QVNTRVRfVFVSTlMuOTk1LjA3LzAzLzIwMjYBAAAA3rYBAAIAAAAHNC40NTQwNQEIAAAABQAAAAExAQAAAAstMjA1OTA3MzIwMgMAAAADMTYwAgAAAAQ0MDY2BAAAAAEwBwAAAAgzLzcvMjAyNggAAAAKMTIvMzEvMjAyMAkAAAABMMC6fiT/gd4IoRT/J/+B3gg0Q0lRLk5ZU0U6SUJNLklRX05FVF9ERUJUX0VCSVREQV9DQVBFWC45OTUuMDcvMDMvMjAyNgEAAADetgEAAgAAAAg0Ljk5ODUzOAEIAAAABQAAAAExAQAAAAstMjA1OTA3MzIwMgMAAAADMTYwAgAAAAUyMzMxNAQAAAABMAcAAAAIMy83LzIwMjYIAAAACjEyLzMxLzIwMjAJAAAAATDAun4k/4HeCKEU/yf/gd4ILkNJUS5OWVNFOklCTS5JUV9ORVRfREVCVF9FQklUREEuOTk3LjA3LzAzLzIwMjYBAAAA3rYBAAIAAAAIMy43NjYwMTIBCAAAAAUAAAABMQEAAAALLTE5NTgyODEwOTYDAAAAAzE2MAIAAAAENDE5MwQAAAABMAcAAAAIMy83LzIwMjYIAAAACjEyLzMxLzIwMjIJAAAAATDAun4k/4HeCKEU/yf/gd4IMENJUS5OWVNFOklCTS5JUV9UT1RBTF9ERUJUX0VCSVREQS45OTMuMDcvMDMvMjAyNgEAAADetgEAAgAAAAgyLjU4ODU0MQEIAAAABQAAAAExAQAAAAoyMDgxNTA1NDAxAwAAAAMxNjACAAAABDQxOTIEAAAAATAHAAAACDMvNy8yMDI2CAAAAAoxMi8zMS8yMDE4CQAAAAEwwLp+JP+B3gihFP8n/4HeCC9DSVEuTllTRTpJQk0uSVFfRUJJVERB</t>
  </si>
  <si>
    <t>X0NBUEVYX0lOVC45OTkuMDcvMDMvMjAyNgEAAADetgEAAgAAAAg3LjY3OTMyMgEIAAAABQAAAAExAQAAAAstMTkwNDg2MDc0MwMAAAADMTYwAgAAAAQ0MTkxBAAAAAEwBwAAAAgzLzcvMjAyNggAAAAKMTIvMzEvMjAyNAkAAAABMMC6fiT/gd4IoRT/J/+B3gg6Q0lRLk5ZU0U6SUJNLklRX0VCSVREQV9FWENMX09QRVJfTEVBU0VTX0lOVC45OTMuMDcvMDMvMjAyNgEAAADetgEAAgAAAAkyNC40Nzg1NjEBCAAAAAUAAAABMQEAAAAKMjA4MTUwNTQwMQMAAAADMTYwAgAAAAU0OTE3MwQAAAABMAcAAAAIMy83LzIwMjYIAAAACjEyLzMxLzIwMTgJAAAAATDAun4k/4HeCFHt/if/gd4IMkNJUS5OWVNFOklCTS5JUV9FQklUREFfM1lSX0FOTl9DQUdSLjk5Ny4wNy8wMy8yMDI2AQAAAN62AQACAAAABy03LjQ2MzMBCAAAAAUAAAABMQEAAAALLTE5NTgyODEwOTYDAAAAAzE2MAIAAAAENDIyMgQAAAABMAcAAAAIMy83LzIwMjYIAAAACjEyLzMxLzIwMjIJAAAAATDAun4k/4HeCKEU/yf/gd4IMUNJUS5OWVNFOklCTS5JUV9FUFNfMVlSX0FOTl9HUk9XVEguOTk3LjA3LzAzLzIwMjYBAAAA3rYBAAIAAAAHLTYyLjU3MgEIAAAABQAAAAExAQAAAAstMTk1ODI4MTA5NgMAAAADMTYwAgAAAAQ0MjAwBAAAAAEwBwAAAAgzLzcvMjAyNggAAAAKMTIvMzEvMjAyMgkAAAABMMC6fiT/gd4IoRT/J/+B3ggyQ0lRLk5ZU0U6SUJN</t>
  </si>
  <si>
    <t>LklRX0VCSVRfMVlSX0FOTl9HUk9XVEguOTkzLjA3LzAzLzIwMjYBAAAA3rYBAAIAAAAHMTMuMTQ4NAEIAAAABQAAAAExAQAAAAoyMDgxNTA1NDAxAwAAAAMxNjACAAAABDQxOTcEAAAAATAHAAAACDMvNy8yMDI2CAAAAAoxMi8zMS8yMDE4CQAAAAEwwLp+JP+B3gihFP8n/4HeCDBDSVEuTllTRTpJQk0uSVFfR1BfMVlSX0FOTl9HUk9XVEguOTk5LjA3LzAzLzIwMjYBAAAA3rYBAAIAAAAGMy42NTAxAQgAAAAFAAAAATEBAAAACy0xOTA0ODYwNzQzAwAAAAMxNjACAAAABDQxOTUEAAAAATAHAAAACDMvNy8yMDI2CAAAAAoxMi8zMS8yMDI0CQAAAAEwwLp+JP+B3gihFP8n/4HeCCZDSVEuTllTRTpJQk0uSVFfWl9TQ09SRS45OTUuMDcvMDMvMjAyNgEAAADetgEAAgAAAAgyLjM5ODA4MwEIAAAABQAAAAExAQAAAAstMjA1OTA3MzIwMgMAAAADMTYwAgAAAAYxMDAxMjMEAAAAATAHAAAACDMvNy8yMDI2CAAAAAoxMi8zMS8yMDIwCQAAAAEwwLp+JP+B3ghUtP4n/4HeCClDSVEuTllTRTpJQk0uSVFfRlVMTF9USU1FLjEwMDAuMDcvMDMvMjAyNgEAAADetgEAAgAAAAYyNjQzMDAAwLp+JP+B3ghR7f4n/4HeCClDSVEuTllTRTpJQk0uSVFfSU5WX01FVEhPRC45OTIuMDcvMDMvMjAyNgEAAADetgEAAwAAAAhBdmcgQ29zdADAun4k/4HeCFHt/if/gd4ILkNJUS5OWVNFOklCTS5JUV9OSV81WVJfQU5OX0NBR1IuOTkz</t>
  </si>
  <si>
    <t>LjA3LzAzLzIwMjYBAAAA3rYBAAIAAAAILTExLjk0MDYBCAAAAAUAAAABMQEAAAAKMjA4MTUwNTQwMQMAAAADMTYwAgAAAAQ0MjM4BAAAAAEwBwAAAAgzLzcvMjAyNggAAAAKMTIvMzEvMjAxOAkAAAABMMC6fiT/gd4IUe3+J/+B3ggyQ0lRLk5ZU0U6SUJNLklRX0VCSVREQV81WVJfQU5OX0NBR1IuOTk5LjA3LzAzLzIwMjYBAAAA3rYBAAIAAAAHLTEuMDY5OQEIAAAABQAAAAExAQAAAAstMTkwNDg2MDc0MwMAAAADMTYwAgAAAAQ0MjM1BAAAAAEwBwAAAAgzLzcvMjAyNggAAAAKMTIvMzEvMjAyNAkAAAABMMC6fiT/gd4IUe3+J/+B3gg1Q0lRLk5ZU0U6SUJNLklRX1RPVEFMX1JFVl81WVJfQU5OX0NBR1IuOTk1LjA3LzAzLzIwMjYBAAAA3rYBAAIAAAAHLTcuNTU4NgEIAAAABQAAAAExAQAAAAstMjA1OTA3MzIwMgMAAAADMTYwAgAAAAQ0MjMzBAAAAAEwBwAAAAgzLzcvMjAyNggAAAAKMTIvMzEvMjAyMAkAAAABMMC6fiT/gd4IMo3+J/+B3ggrQ0lRLk5ZU0U6SUJNLklRX0NBTENfVFlQRV9CUy45OTQuMDcvMDMvMjAyNgEAAADetgEAAwAAAANSVVAAwLp+JP+B3giRnf4n/4HeCC9DSVEuTllTRTpJQk0uSVFfRklMSU5HX0NVUlJFTkNZLjEwMDAuMDcvMDMvMjAyNgEAAADetgEAAwAAAANVU0QAwLp+JP+B3gg7iAso/4HeCDBDSVEuTllTRTpJQk0uSVFfTlVNQkVSX0FEUkhPTERFUlMuOTkyLjA3LzAzLzIw</t>
  </si>
  <si>
    <t>MjYBAAAA3rYBAAMAAAAAAMC6fiT/gd4IVLT+J/+B3ggsQ0lRLk5ZU0U6SUJNLklRX0FWR19FTVBMT1lFRVMuOTk4LjA3LzAzLzIwMjYBAAAA3rYBAAMAAAAAAMC6fiT/gd4IVLT+J/+B3gguQ0lRLk5ZU0U6SUJNLklRX1RPVEFMX0VNUExPWUVFUy45OTQuMDcvMDMvMjAyNgEAAADetgEAAgAAAAYzNTI2MDAAwLp+JP+B3gg1Zv4n/4HeCDBDSVEuTllTRTpJQk0uSVFfRklYRURfQVNTRVRfVFVSTlMuOTk0LjA3LzAzLzIwMjYBAAAA3rYBAAIAAAAGNC40NzQzAQgAAAAFAAAAATEBAAAACy0yMTEwNzY5MzU1AwAAAAMxNjACAAAABDQwNjYEAAAAATAHAAAACDMvNy8yMDI2CAAAAAoxMi8zMS8yMDE5CQAAAAEwwLp+JP+B3gg1Zv4n/4HeCC1DSVEuTllTRTpJQk0uSVFfQ0FQRVhfUENUX1JFVi4xMDAwLjA3LzAzLzIwMjYBAAAA3rYBAAIAAAAGMS42MTU0AQgAAAAFAAAAATEBAAAACy0xOTA0ODYwNzQwAwAAAAMxNjACAAAABTM1MzgwBAAAAAEwBwAAAAgzLzcvMjAyNggAAAAKMTIvMzEvMjAyNQkAAAABMMC6fiT/gd4INWb+J/+B3ggqQ0lRLk5ZU0U6SUJNLklRX0VCSVRfTUFSR0lOLjk5Ni4wNy8wMy8yMDI2AQAAAN62AQACAAAABjkuNzM0NwEIAAAABQAAAAExAQAAAAstMjAwODY0NzE5OAMAAAADMTYwAgAAAAQ0MDUzBAAAAAEwBwAAAAgzLzcvMjAyNggAAAAKMTIvMzEvMjAyMQkAAAABMMC6fiT/gd4INWb+</t>
  </si>
  <si>
    <t>J/+B3ggzQ0lRLk5ZU0U6SUJNLklRX1JFVFVSTl9DT01NT05fRVFVSVRZLjk5Ni4wNy8wMy8yMDI2AQAAAN62AQACAAAABzIzLjg2NDQBCAAAAAUAAAABMQEAAAALLTIwMDg2NDcxOTgDAAAAAzE2MAIAAAAFMzMzMjAEAAAAATAHAAAACDMvNy8yMDI2CAAAAAoxMi8zMS8yMDIxCQAAAAEwwLp+JP+B3ggyjf4n/4HeCC1DSVEuTllTRTpJQk0uSVFfUkVUVVJOX0NBUElUQUwuOTkyLjA3LzAzLzIwMjYBAAAA3rYBAAIAAAAHMTEuNjY3OQEIAAAABQAAAAExAQAAAAoyMDE3MTY0MjQ0AwAAAAMxNjACAAAABDQzNjMEAAAAATAHAAAACDMvNy8yMDI2CAAAAAoxMi8zMS8yMDE3CQAAAAEwquF+JP+B3ggwP/4n/4HeCDJDSVEuTllTRTpJQk0uSVFfVE9UQUxfREVCVF9DQVBJVEFMLjEwMDAuMDcvMDMvMjAyNgEAAADetgEAAgAAAAY2Ni4zNjcBCAAAAAUAAAABMQEAAAALLTE5MDQ4NjA3NDADAAAAAzE2MAIAAAAENDE4NgQAAAABMAcAAAAIMy83LzIwMjYIAAAACjEyLzMxLzIwMjUJAAAAATCq4X4k/4HeCDA//if/gd4ILkNJUS5OWVNFOklCTS5JUV9DQVNIX0NPTlZFUlNJT04uOTk2LjA3LzAzLzIwMjYBAAAA3rYBAAIAAAAIMTAuMzY5NjUBCAAAAAUAAAABMQEAAAALLTIwMDg2NDcxOTgDAAAAAzE2MAIAAAAENDE4NAQAAAABMAcAAAAIMy83LzIwMjYIAAAACjEyLzMxLzIwMjEJAAAAATCq4X4k/4HeCDA//if/gd4I</t>
  </si>
  <si>
    <t>L0NJUS5OWVNFOklCTS5JUV9DRk9fQ1VSUkVOVF9MSUFCLjk5OC4wNy8wMy8yMDI2AQAAAN62AQACAAAABzAuNDA4MjcBCAAAAAUAAAABMQEAAAALLTE5MDQ4NjA3NDQDAAAAAzE2MAIAAAAENDE4NQQAAAABMAcAAAAIMy83LzIwMjYIAAAACjEyLzMxLzIwMjMJAAAAATCq4X4k/4HeCDA//if/gd4IKkNJUS5OWVNFOklCTS5JUV9RVUlDS19SQVRJTy45OTIuMDcvMDMvMjAyNgEAAADetgEAAgAAAAgxLjE5NTkxNQEIAAAABQAAAAExAQAAAAoyMDE3MTY0MjQ0AwAAAAMxNjACAAAABDQxMjEEAAAAATAHAAAACDMvNy8yMDI2CAAAAAoxMi8zMS8yMDE3CQAAAAEwquF+JP+B3ggwP/4n/4HeCC5DSVEuTllTRTpJQk0uSVFfSU5WRU5UT1JZX1RVUk5TLjk5OC4wNy8wMy8yMDI2AQAAAN62AQACAAAACTIwLjAzNTM4NQEIAAAABQAAAAExAQAAAAstMTkwNDg2MDc0NAMAAAADMTYwAgAAAAQ0MDgyBAAAAAEwBwAAAAgzLzcvMjAyNggAAAAKMTIvMzEvMjAyMwkAAAABMKrhfiT/gd4I8vD9J/+B3gguQ0lRLk5ZU0U6SUJNLklRX05FVF9ERUJUX0VCSVREQS45OTYuMDcvMDMvMjAyNgEAAADetgEAAgAAAAgzLjc1NzI1NwEIAAAABQAAAAExAQAAAAstMjAwODY0NzE5OAMAAAADMTYwAgAAAAQ0MTkzBAAAAAEwBwAAAAgzLzcvMjAyNggAAAAKMTIvMzEvMjAyMQkAAAABMKrhfiT/gd4ICxj+J/+B3ggvQ0lRLk5ZU0U6SUJN</t>
  </si>
  <si>
    <t>LklRX0VCSVREQV9DQVBFWF9JTlQuOTk4LjA3LzAzLzIwMjYBAAAA3rYBAAIAAAAINy42NTY1MDIBCAAAAAUAAAABMQEAAAALLTE5MDQ4NjA3NDQDAAAAAzE2MAIAAAAENDE5MQQAAAABMAcAAAAIMy83LzIwMjYIAAAACjEyLzMxLzIwMjMJAAAAATCq4X4k/4HeCAsY/if/gd4IOkNJUS5OWVNFOklCTS5JUV9FQklUREFfRVhDTF9PUEVSX0xFQVNFU19JTlQuOTkyLjA3LzAzLzIwMjYBAAAA3rYBAAIAAAAJMjYuMzc4ODYxAQgAAAAFAAAAATEBAAAACjIwMTcxNjQyNDQDAAAAAzE2MAIAAAAFNDkxNzMEAAAAATAHAAAACDMvNy8yMDI2CAAAAAoxMi8zMS8yMDE3CQAAAAEwquF+JP+B3ggLGP4n/4HeCDdDSVEuTllTRTpJQk0uSVFfVE9UQUxfTElBQl9UT1RBTF9BU1NFVFMuMTAwMC4wNy8wMy8yMDI2AQAAAN62AQACAAAABzc4LjQ0MjgBCAAAAAUAAAABMQEAAAALLTE5MDQ4NjA3NDADAAAAAzE2MAIAAAAENDE4OAQAAAABMAcAAAAIMy83LzIwMjYIAAAACjEyLzMxLzIwMjUJAAAAATCq4X4k/4HeCAsY/if/gd4ILkNJUS5OWVNFOklCTS5JUV9MVF9ERUJUX0NBUElUQUwuOTk0LjA3LzAzLzIwMjYBAAAA3rYBAAIAAAAHNjUuMDQyNgEIAAAABQAAAAExAQAAAAstMjExMDc2OTM1NQMAAAADMTYwAgAAAAQ0MTg3BAAAAAEwBwAAAAgzLzcvMjAyNggAAAAKMTIvMzEvMjAxOQkAAAABMKrhfiT/gd4I6cn9J/+B3ggy</t>
  </si>
  <si>
    <t>Q0lRLk5ZU0U6SUJNLklRX0VCSVRfMVlSX0FOTl9HUk9XVEguOTkyLjA3LzAzLzIwMjYBAAAA3rYBAAIAAAAILTE3LjU1ODMBCAAAAAUAAAABMQEAAAAKMjAxNzE2NDI0NAMAAAADMTYwAgAAAAQ0MTk3BAAAAAEwBwAAAAgzLzcvMjAyNggAAAAKMTIvMzEvMjAxNwkAAAABMKrhfiT/gd4I8vD9J/+B3ggwQ0lRLk5ZU0U6SUJNLklRX0dQXzFZUl9BTk5fR1JPV1RILjk5OC4wNy8wMy8yMDI2AQAAAN62AQACAAAABjQuOTMxNAEIAAAABQAAAAExAQAAAAstMTkwNDg2MDc0NAMAAAADMTYwAgAAAAQ0MTk1BAAAAAEwBwAAAAgzLzcvMjAyNggAAAAKMTIvMzEvMjAyMwkAAAABMKrhfiT/gd4I8vD9J/+B3gg3Q0lRLk5ZU0U6SUJNLklRX1RPVEFMX1JFVl8xWVJfQU5OX0dST1dUSC45OTIuMDcvMDMvMjAyNgEAAADetgEAAgAAAAYtMC45NzYBCAAAAAUAAAABMQEAAAAKMjAxNzE2NDI0NAMAAAADMTYwAgAAAAQ0MTk0BAAAAAEwBwAAAAgzLzcvMjAyNggAAAAKMTIvMzEvMjAxNwkAAAABMKrhfiT/gd4I8vD9J/+B3ghGQ0lRLk5ZU0U6SUJNLklRX05FVF9ERUJUX0VCSVREQV9FWENMX09QRVJfTEVBU0VTX0NBUEVYLjEwMDAuMDcvMDMvMjAyNgEAAADetgEAAgAAAAgzLjMzOTk4OAEIAAAABQAAAAExAQAAAAstMTkwNDg2MDc0MAMAAAADMTYwAgAAAAU0OTE4MgQAAAABMAcAAAAIMy83LzIwMjYIAAAACjEyLzMxLzIw</t>
  </si>
  <si>
    <t>MjUJAAAAATCq4X4k/4HeCPLw/Sf/gd4INENJUS5OWVNFOklCTS5JUV9ORVRfREVCVF9FQklUREFfQ0FQRVguOTk0LjA3LzAzLzIwMjYBAAAA3rYBAAIAAAAINC41ODM2ODcBCAAAAAUAAAABMQEAAAALLTIxMTA3NjkzNTUDAAAAAzE2MAIAAAAFMjMzMTQEAAAAATAHAAAACDMvNy8yMDI2CAAAAAoxMi8zMS8yMDE5CQAAAAEwquF+JP+B3gjNov0n/4HeCDJDSVEuTllTRTpJQk0uSVFfRUJJVERBXzVZUl9BTk5fQ0FHUi45OTguMDcvMDMvMjAyNgEAAADetgEAAgAAAActNy4wODM3AQgAAAAFAAAAATEBAAAACy0xOTA0ODYwNzQ0AwAAAAMxNjACAAAABDQyMzUEAAAAATAHAAAACDMvNy8yMDI2CAAAAAoxMi8zMS8yMDIzCQAAAAEwquF+JP+B3gjpyf0n/4HeCDVDSVEuTllTRTpJQk0uSVFfVE9UQUxfUkVWXzVZUl9BTk5fQ0FHUi45OTQuMDcvMDMvMjAyNgEAAADetgEAAgAAAActOS4wNjA0AQgAAAAFAAAAATEBAAAACy0yMTEwNzY5MzU1AwAAAAMxNjACAAAABDQyMzMEAAAAATAHAAAACDMvNy8yMDI2CAAAAAoxMi8zMS8yMDE5CQAAAAEwquF+JP+B3gjpyf0n/4HeCC9DSVEuTllTRTpJQk0uSVFfTklfM1lSX0FOTl9DQUdSLjEwMDAuMDcvMDMvMjAyNgEAAADetgEAAgAAAAc4Ni4yNzE2AQgAAAAFAAAAATEBAAAACy0xOTA0ODYwNzQwAwAAAAMxNjACAAAABDQyMjUEAAAAATAHAAAACDMvNy8yMDI2CAAAAAox</t>
  </si>
  <si>
    <t>Mi8zMS8yMDI1CQAAAAEwquF+JP+B3gjpyf0n/4HeCDBDSVEuTllTRTpJQk0uSVFfRUJJVF8zWVJfQU5OX0NBR1IuOTk0LjA3LzAzLzIwMjYBAAAA3rYBAAIAAAAILTE4Ljk2OTYBCAAAAAUAAAABMQEAAAALLTIxMTA3NjkzNTUDAAAAAzE2MAIAAAAENDIyMwQAAAABMAcAAAAIMy83LzIwMjYIAAAACjEyLzMxLzIwMTkJAAAAATCq4X4k/4HeCOnJ/Sf/gd4IMUNJUS5OWVNFOklCTS5JUV9FUFNfMVlSX0FOTl9HUk9XVEguOTk2LjA3LzAzLzIwMjYBAAAA3rYBAAIAAAAHMTguODU3NAEIAAAABQAAAAExAQAAAAstMjAwODY0NzE5OAMAAAADMTYwAgAAAAQ0MjAwBAAAAAEwBwAAAAgzLzcvMjAyNggAAAAKMTIvMzEvMjAyMQkAAAABMKrhfiT/gd4Ia3v9J/+B3ggsQ0lRLk5ZU0U6SUJNLklRX0FWR19FTVBMT1lFRVMuOTk3LjA3LzAzLzIwMjYBAAAA3rYBAAMAAAAAAKrhfiT/gd4IzaL9J/+B3gguQ0lRLk5ZU0U6SUJNLklRX1RPVEFMX0VNUExPWUVFUy45OTMuMDcvMDMvMjAyNgEAAADetgEAAgAAAAYzNTA2MDAAquF+JP+B3gjNov0n/4HeCChDSVEuTllTRTpJQk0uSVFfRlVMTF9USU1FLjk5OS4wNy8wMy8yMDI2AQAAAN62AQACAAAABjI3MDMwMACq4X4k/4HeCM2i/Sf/gd4IOENJUS5OWVNFOklCTS5JUV9UT1RBTF9PVVRTVEFORElOR19CU19EQVRFLjk5OS4wNy8wMy8yMDI2AQAAAN62AQACAAAACTkyNi4y</t>
  </si>
  <si>
    <t>OTAwNwEEAAAABQAAAAE1AQAAAAstMTkwNDg2MDc0MwIAAAAFMjQxNTIGAAAAATCq4X4k/4HeCM2i/Sf/gd4ILkNJUS5OWVNFOklCTS5JUV9OSV81WVJfQU5OX0NBR1IuOTkyLjA3LzAzLzIwMjYBAAAA3rYBAAIAAAAILTE5LjEwMjMBCAAAAAUAAAABMQEAAAAKMjAxNzE2NDI0NAMAAAADMTYwAgAAAAQ0MjM4BAAAAAEwBwAAAAgzLzcvMjAyNggAAAAKMTIvMzEvMjAxNwkAAAABMKrhfiT/gd4I8z/9J/+B3ggwQ0lRLk5ZU0U6SUJNLklRX0ZJWEVEX0FTU0VUX1RVUk5TLjk5My4wNy8wMy8yMDI2AQAAAN62AQACAAAABzcuMjY1OTMBCAAAAAUAAAABMQEAAAAKMjA4MTUwNTQwMQMAAAADMTYwAgAAAAQ0MDY2BAAAAAEwBwAAAAgzLzcvMjAyNggAAAAKMTIvMzEvMjAxOAkAAAABMKrhfiT/gd4Ia3v9J/+B3ggsQ0lRLk5ZU0U6SUJNLklRX0NBUEVYX1BDVF9SRVYuOTk5LjA3LzAzLzIwMjYBAAAA3rYBAAIAAAAEMS42NwEIAAAABQAAAAExAQAAAAstMTkwNDg2MDc0MwMAAAADMTYwAgAAAAUzNTM4MAQAAAABMAcAAAAIMy83LzIwMjYIAAAACjEyLzMxLzIwMjQJAAAAATCq4X4k/4HeCGt7/Sf/gd4IKENJUS5OWVNFOklCTS5JUV9OSV9NQVJHSU4uOTkzLjA3LzAzLzIwMjYBAAAA3rYBAAIAAAAGMTAuOTY2AQgAAAAFAAAAATEBAAAACjIwODE1MDU0MDEDAAAAAzE2MAIAAAAENDA5NAQAAAABMAcAAAAIMy83LzIw</t>
  </si>
  <si>
    <t>MjYIAAAACjEyLzMxLzIwMTgJAAAAATCq4X4k/4HeCGt7/Sf/gd4IM0NJUS5OWVNFOklCTS5JUV9SRVRVUk5fQ09NTU9OX0VRVUlUWS45OTUuMDcvMDMvMjAyNgEAAADetgEAAgAAAAcxOC45Nzc3AQgAAAAFAAAAATEBAAAACy0yMDU5MDczMjAyAwAAAAMxNjACAAAABTMzMzIwBAAAAAEwBwAAAAgzLzcvMjAyNggAAAAKMTIvMzEvMjAyMAkAAAABMKrhfiT/gd4Ia3v9J/+B3gguQ0lRLk5ZU0U6SUJNLklRX0ZJTElOR19DVVJSRU5DWS45OTkuMDcvMDMvMjAyNgEAAADetgEAAwAAAANVU0QAquF+JP+B3gjqYgoo/4HeCC5DSVEuTllTRTpJQk0uSVFfTFRfREVCVF9DQVBJVEFMLjk5My4wNy8wMy8yMDI2AQAAAN62AQACAAAABzU2Ljc0ODIBCAAAAAUAAAABMQEAAAAKMjA4MTUwNTQwMQMAAAADMTYwAgAAAAQ0MTg3BAAAAAEwBwAAAAgzLzcvMjAyNggAAAAKMTIvMzEvMjAxOAkAAAABMKrhfiT/gd4I8z/9J/+B3ggxQ0lRLk5ZU0U6SUJNLklRX1RPVEFMX0RFQlRfQ0FQSVRBTC45OTkuMDcvMDMvMjAyNgEAAADetgEAAgAAAAc2OC4wNjkzAQgAAAAFAAAAATEBAAAACy0xOTA0ODYwNzQzAwAAAAMxNjACAAAABDQxODYEAAAAATAHAAAACDMvNy8yMDI2CAAAAAoxMi8zMS8yMDI0CQAAAAEwquF+JP+B3gjzP/0n/4HeCC5DSVEuTllTRTpJQk0uSVFfQ0FTSF9DT05WRVJTSU9OLjk5NS4wNy8wMy8yMDI2AQAAAN62</t>
  </si>
  <si>
    <t>AQACAAAACDcuMzkwNjM4AQgAAAAFAAAAATEBAAAACy0yMDU5MDczMjAyAwAAAAMxNjACAAAABDQxODQEAAAAATAHAAAACDMvNy8yMDI2CAAAAAoxMi8zMS8yMDIwCQAAAAEwquF+JP+B3gjzP/0n/4HeCC1DSVEuTllTRTpJQk0uSVFfREFZU19TQUxFU19PVVQuOTk1LjA3LzAzLzIwMjYBAAAA3rYBAAIAAAAJNDkuMjIxODc2AQgAAAAFAAAAATEBAAAACy0yMDU5MDczMjAyAwAAAAMxNjACAAAABDQwNDIEAAAAATAHAAAACDMvNy8yMDI2CAAAAAoxMi8zMS8yMDIwCQAAAAEwquF+JP+B3gjzP/0n/4HeCC5DSVEuTllTRTpJQk0uSVFfSU5WRU5UT1JZX1RVUk5TLjk5Ny4wNy8wMy8yMDI2AQAAAN62AQACAAAACTE3LjE0MjE0MwEIAAAABQAAAAExAQAAAAstMTk1ODI4MTA5NgMAAAADMTYwAgAAAAQ0MDgyBAAAAAEwBwAAAAgzLzcvMjAyNggAAAAKMTIvMzEvMjAyMgkAAAABMKrhfiT/gd4IFQX9J/+B3gg0Q0lRLk5ZU0U6SUJNLklRX05FVF9ERUJUX0VCSVREQV9DQVBFWC45OTMuMDcvMDMvMjAyNgEAAADetgEAAgAAAAgyLjM2NDE4OQEIAAAABQAAAAExAQAAAAoyMDgxNTA1NDAxAwAAAAMxNjACAAAABTIzMzE0BAAAAAEwBwAAAAgzLzcvMjAyNggAAAAKMTIvMzEvMjAxOAkAAAABMKrhfiT/gd4IFQX9J/+B3gg2Q0lRLk5ZU0U6SUJNLklRX1RPVEFMX0RFQlRfRUJJVERBX0NBUEVYLjk5OS4wNy8wMy8yMDI2</t>
  </si>
  <si>
    <t>AQAAAN62AQACAAAACDQuNDQxNzczAQgAAAAFAAAAATEBAAAACy0xOTA0ODYwNzQzAwAAAAMxNjACAAAABTIzMzEzBAAAAAEwBwAAAAgzLzcvMjAyNggAAAAKMTIvMzEvMjAyNAkAAAABMKrhfiT/gd4IFQX9J/+B3gguQ0lRLk5ZU0U6SUJNLklRX05FVF9ERUJUX0VCSVREQS45OTUuMDcvMDMvMjAyNgEAAADetgEAAgAAAAczLjk4MjYxAQgAAAAFAAAAATEBAAAACy0yMDU5MDczMjAyAwAAAAMxNjACAAAABDQxOTMEAAAAATAHAAAACDMvNy8yMDI2CAAAAAoxMi8zMS8yMDIwCQAAAAEwquF+JP+B3ggVBf0n/4HeCC9DSVEuTllTRTpJQk0uSVFfRUJJVERBX0NBUEVYX0lOVC45OTcuMDcvMDMvMjAyNgEAAADetgEAAgAAAAg4Ljc3OTYwNQEIAAAABQAAAAExAQAAAAstMTk1ODI4MTA5NgMAAAADMTYwAgAAAAQ0MTkxBAAAAAEwBwAAAAgzLzcvMjAyNggAAAAKMTIvMzEvMjAyMgkAAAABMKrhfiT/gd4I8z/9J/+B3ggnQ0lRLk5ZU0U6SUJNLklRX0VCSVRfSU5ULjk5Ny4wNy8wMy8yMDI2AQAAAN62AQACAAAACDYuMTg1MDMyAQgAAAAFAAAAATEBAAAACy0xOTU4MjgxMDk2AwAAAAMxNjACAAAABDQxODkEAAAAATAHAAAACDMvNy8yMDI2CAAAAAoxMi8zMS8yMDIyCQAAAAEwquF+JP+B3ggK3vwn/4HeCC5DSVEuTllTRTpJQk0uSVFfTklfM1lSX0FOTl9DQUdSLjk5OS4wNy8wMy8yMDI2AQAAAN62AQACAAAABjEu</t>
  </si>
  <si>
    <t>NTk5NAEIAAAABQAAAAExAQAAAAstMTkwNDg2MDc0MwMAAAADMTYwAgAAAAQ0MjI1BAAAAAEwBwAAAAgzLzcvMjAyNggAAAAKMTIvMzEvMjAyNAkAAAABMKrhfiT/gd4IFQX9J/+B3ggwQ0lRLk5ZU0U6SUJNLklRX0VCSVRfM1lSX0FOTl9DQUdSLjk5My4wNy8wMy8yMDI2AQAAAN62AQACAAAABy03LjE1NzkBCAAAAAUAAAABMQEAAAAKMjA4MTUwNTQwMQMAAAADMTYwAgAAAAQ0MjIzBAAAAAEwBwAAAAgzLzcvMjAyNggAAAAKMTIvMzEvMjAxOAkAAAABMKrhfiT/gd4IFQX9J/+B3ggxQ0lRLk5ZU0U6SUJNLklRX0VQU18xWVJfQU5OX0dST1dUSC45OTUuMDcvMDMvMjAyNgEAAADetgEAAgAAAAgtNDUuMjA3NQEIAAAABQAAAAExAQAAAAstMjA1OTA3MzIwMgMAAAADMTYwAgAAAAQ0MjAwBAAAAAEwBwAAAAgzLzcvMjAyNggAAAAKMTIvMzEvMjAyMAkAAAABMKrhfiT/gd4IFQX9J/+B3ggwQ0lRLk5ZU0U6SUJNLklRX0dQXzFZUl9BTk5fR1JPV1RILjk5Ny4wNy8wMy8yMDI2AQAAAN62AQACAAAABjMuODE3NQEIAAAABQAAAAExAQAAAAstMTk1ODI4MTA5NgMAAAADMTYwAgAAAAQ0MTk1BAAAAAEwBwAAAAgzLzcvMjAyNggAAAAKMTIvMzEvMjAyMgkAAAABMKrhfiT/gd4IFQX9J/+B3ghFQ0lRLk5ZU0U6SUJNLklRX05FVF9ERUJUX0VCSVREQV9FWENMX09QRVJfTEVBU0VTX0NBUEVYLjk5OS4wNy8wMy8yMDI2</t>
  </si>
  <si>
    <t>AQAAAN62AQACAAAACDMuNzAwMzcxAQgAAAAFAAAAATEBAAAACy0xOTA0ODYwNzQzAwAAAAMxNjACAAAABTQ5MTgyBAAAAAEwBwAAAAgzLzcvMjAyNggAAAAKMTIvMzEvMjAyNAkAAAABMKrhfiT/gd4I+Lb8J/+B3ggsQ0lRLk5ZU0U6SUJNLklRX0FWR19FTVBMT1lFRVMuOTk2LjA3LzAzLzIwMjYBAAAA3rYBAAMAAAAAAKrhfiT/gd4ICt78J/+B3ggoQ0lRLk5ZU0U6SUJNLklRX0ZVTExfVElNRS45OTguMDcvMDMvMjAyNgEAAADetgEAAgAAAAYyODIyMDAAquF+JP+B3ggK3vwn/4HeCDhDSVEuTllTRTpJQk0uSVFfVE9UQUxfT1VUU1RBTkRJTkdfQlNfREFURS45OTguMDcvMDMvMjAyNgEAAADetgEAAgAAAAo5MTUuMDEzNjQ2AQQAAAAFAAAAATUBAAAACy0xOTA0ODYwNzQ0AgAAAAUyNDE1MgYAAAABMKrhfiT/gd4ICt78J/+B3gg8Q0lRLk5ZU0U6SUJNLklRX1RPVEFMX09VVFNUQU5ESU5HX0ZJTElOR19EQVRFLjk5Mi4wNy8wMy8yMDI2AQAAAN62AQACAAAACjkyMS4xNjc4OTQBBAAAAAUAAAABNQEAAAAKMjAxNzE2NDI0NAIAAAAFMjQxNTMGAAAAATCq4X4k/4HeCAre/Cf/gd4IMkNJUS5OWVNFOklCTS5JUV9FQklUREFfNVlSX0FOTl9DQUdSLjk5Ny4wNy8wMy8yMDI2AQAAAN62AQACAAAABy03Ljg1ODEBCAAAAAUAAAABMQEAAAALLTE5NTgyODEwOTYDAAAAAzE2MAIAAAAENDIzNQQAAAABMAcAAAAI</t>
  </si>
  <si>
    <t>My83LzIwMjYIAAAACjEyLzMxLzIwMjIJAAAAATCq4X4k/4HeCJeP/Cf/gd4IKENJUS5OWVNFOklCTS5JUV9OSV9NQVJHSU4uOTkyLjA3LzAzLzIwMjYBAAAA3rYBAAIAAAAGNy4yNjk0AQgAAAAFAAAAATEBAAAACjIwMTcxNjQyNDQDAAAAAzE2MAIAAAAENDA5NAQAAAABMAcAAAAIMy83LzIwMjYIAAAACjEyLzMxLzIwMTcJAAAAATCq4X4k/4HeCJeP/Cf/gd4ILENJUS5OWVNFOklCTS5JUV9HUk9TU19NQVJHSU4uMTAwMC4wNy8wMy8yMDI2AQAAAN62AQACAAAABzU4LjE4NjEBCAAAAAUAAAABMQEAAAALLTE5MDQ4NjA3NDADAAAAAzE2MAIAAAAENDA3NAQAAAABMAcAAAAIMy83LzIwMjYIAAAACjEyLzMxLzIwMjUJAAAAATCq4X4k/4HeCPi2/Cf/gd4IM0NJUS5OWVNFOklCTS5JUV9SRVRVUk5fQ09NTU9OX0VRVUlUWS45OTQuMDcvMDMvMjAyNgEAAADetgEAAgAAAAczNy45NzMyAQgAAAAFAAAAATEBAAAACy0yMTEwNzY5MzU1AwAAAAMxNjACAAAABTMzMzIwBAAAAAEwBwAAAAgzLzcvMjAyNggAAAAKMTIvMzEvMjAxOQkAAAABMKrhfiT/gd4I+Lb8J/+B3gguQ0lRLk5ZU0U6SUJNLklRX1JFVFVSTl9DQVBJVEFMLjEwMDAuMDcvMDMvMjAyNgEAAADetgEAAgAAAAY4LjU3ODIBCAAAAAUAAAABMQEAAAALLTE5MDQ4NjA3NDADAAAAAzE2MAIAAAAENDM2MwQAAAABMAcAAAAIMy83LzIwMjYIAAAACjEyLzMx</t>
  </si>
  <si>
    <t>LzIwMjUJAAAAATCq4X4k/4HeCPi2/Cf/gd4ILkNJUS5OWVNFOklCTS5JUV9GSUxJTkdfQ1VSUkVOQ1kuOTk4LjA3LzAzLzIwMjYBAAAA3rYBAAMAAAADVVNEAKrhfiT/gd4IMMMLKP+B3ggwQ0lRLk5ZU0U6SUJNLklRX1RPVEFMX0RFQlRfRVFVSVRZLjk5Mi4wNy8wMy8yMDI2AQAAAN62AQACAAAABzI2NC4zNjEBCAAAAAUAAAABMQEAAAAKMjAxNzE2NDI0NAMAAAADMTYwAgAAAAQ0MDM0BAAAAAEwBwAAAAgzLzcvMjAyNggAAAAKMTIvMzEvMjAxNwkAAAABMKrhfiT/gd4I03v8J/+B3ggyQ0lRLk5ZU0U6SUJNLklRX0RBWVNfSU5WRU5UT1JZX09VVC4xMDAwLjA3LzAzLzIwMjYBAAAA3rYBAAIAAAAJMTYuNDQ5NDU1AQgAAAAFAAAAATEBAAAACy0xOTA0ODYwNzQwAwAAAAMxNjACAAAABDQwMzUEAAAAATAHAAAACDMvNy8yMDI2CAAAAAoxMi8zMS8yMDI1CQAAAAEwquF+JP+B3giXj/wn/4HeCC1DSVEuTllTRTpJQk0uSVFfREFZU19TQUxFU19PVVQuOTk0LjA3LzAzLzIwMjYBAAAA3rYBAAIAAAAINTIuNTM1OTEBCAAAAAUAAAABMQEAAAALLTIxMTA3NjkzNTUDAAAAAzE2MAIAAAAENDA0MgQAAAABMAcAAAAIMy83LzIwMjYIAAAACjEyLzMxLzIwMTkJAAAAATCq4X4k/4HeCJeP/Cf/gd4ILkNJUS5OWVNFOklCTS5JUV9JTlZFTlRPUllfVFVSTlMuOTk2LjA3LzAzLzIwMjYBAAAA3rYBAAIAAAAJMTQuNjM3</t>
  </si>
  <si>
    <t>OTY1AQgAAAAFAAAAATEBAAAACy0yMDA4NjQ3MTk4AwAAAAMxNjACAAAABDQwODIEAAAAATAHAAAACDMvNy8yMDI2CAAAAAoxMi8zMS8yMDIxCQAAAAEwquF+JP+B3giXj/wn/4HeCCxDSVEuTllTRTpJQk0uSVFfQ0FQRVhfUENUX1JFVi45OTguMDcvMDMvMjAyNgEAAADetgEAAgAAAAYyLjAxMjYBCAAAAAUAAAABMQEAAAALLTE5MDQ4NjA3NDQDAAAAAzE2MAIAAAAFMzUzODAEAAAAATAHAAAACDMvNy8yMDI2CAAAAAoxMi8zMS8yMDIzCQAAAAEwquF+JP+B3gi2Lfwn/4HeCDFDSVEuTllTRTpJQk0uSVFfVE9UQUxfREVCVF9FQklUREEuMTAwMC4wNy8wMy8yMDI2AQAAAN62AQACAAAACDMuNzA3NTA2AQgAAAAFAAAAATEBAAAACy0xOTA0ODYwNzQwAwAAAAMxNjACAAAABDQxOTIEAAAAATAHAAAACDMvNy8yMDI2CAAAAAoxMi8zMS8yMDI1CQAAAAEwquF+JP+B3gi9VPwn/4HeCEBDSVEuTllTRTpJQk0uSVFfRUJJVERBX0VYQ0xfT1BFUl9MRUFTRVNfQ0FQRVhfSU5ULjk5NC4wNy8wMy8yMDI2AQAAAN62AQACAAAACDguNDE2NjY2AQgAAAAFAAAAATEBAAAACy0yMTEwNzY5MzU1AwAAAAMxNjACAAAABTQ5MTc0BAAAAAEwBwAAAAgzLzcvMjAyNggAAAAKMTIvMzEvMjAxOQkAAAABMKrhfiT/gd4IvVT8J/+B3ggnQ0lRLk5ZU0U6SUJNLklRX0VCSVRfSU5ULjk5Ni4wNy8wMy8yMDI2AQAAAN62AQACAAAACDQu</t>
  </si>
  <si>
    <t>ODMzNzY2AQgAAAAFAAAAATEBAAAACy0yMDA4NjQ3MTk4AwAAAAMxNjACAAAABDQxODkEAAAAATAHAAAACDMvNy8yMDI2CAAAAAoxMi8zMS8yMDIxCQAAAAEwquF+JP+B3gi9VPwn/4HeCC5DSVEuTllTRTpJQk0uSVFfTFRfREVCVF9DQVBJVEFMLjk5Mi4wNy8wMy8yMDI2AQAAAN62AQACAAAABjYxLjczNgEIAAAABQAAAAExAQAAAAoyMDE3MTY0MjQ0AwAAAAMxNjACAAAABDQxODcEAAAAATAHAAAACDMvNy8yMDI2CAAAAAoxMi8zMS8yMDE3CQAAAAEwquF+JP+B3gi9VPwn/4HeCDFDSVEuTllTRTpJQk0uSVFfVE9UQUxfREVCVF9DQVBJVEFMLjk5OC4wNy8wMy8yMDI2AQAAAN62AQACAAAABzcyLjYwNjIBCAAAAAUAAAABMQEAAAALLTE5MDQ4NjA3NDQDAAAAAzE2MAIAAAAENDE4NgQAAAABMAcAAAAIMy83LzIwMjYIAAAACjEyLzMxLzIwMjMJAAAAATCq4X4k/4HeCIYG/Cf/gd4IM0NJUS5OWVNFOklCTS5JUV9FQklUXzFZUl9BTk5fR1JPV1RILjEwMDAuMDcvMDMvMjAyNgEAAADetgEAAgAAAAcyOC40MDIxAQgAAAAFAAAAATEBAAAACy0xOTA0ODYwNzQwAwAAAAMxNjACAAAABDQxOTcEAAAAATAHAAAACDMvNy8yMDI2CAAAAAoxMi8zMS8yMDI1CQAAAAEwquF+JP+B3gi2Lfwn/4HeCDBDSVEuTllTRTpJQk0uSVFfR1BfMVlSX0FOTl9HUk9XVEguOTk2LjA3LzAzLzIwMjYBAAAA3rYBAAIAAAAGMi4wMTE5</t>
  </si>
  <si>
    <t>AQgAAAAFAAAAATEBAAAACy0yMDA4NjQ3MTk4AwAAAAMxNjACAAAABDQxOTUEAAAAATAHAAAACDMvNy8yMDI2CAAAAAoxMi8zMS8yMDIxCQAAAAEwquF+JP+B3gi2Lfwn/4HeCDRDSVEuTllTRTpJQk0uSVFfTkVUX0RFQlRfRUJJVERBX0NBUEVYLjk5Mi4wNy8wMy8yMDI2AQAAAN62AQACAAAACDIuNjM3ODMyAQgAAAAFAAAAATEBAAAACjIwMTcxNjQyNDQDAAAAAzE2MAIAAAAFMjMzMTQEAAAAATAHAAAACDMvNy8yMDI2CAAAAAoxMi8zMS8yMDE3CQAAAAEwquF+JP+B3gi2Lfwn/4HeCDZDSVEuTllTRTpJQk0uSVFfVE9UQUxfREVCVF9FQklUREFfQ0FQRVguOTk4LjA3LzAzLzIwMjYBAAAA3rYBAAIAAAAHNC44NzExOAEIAAAABQAAAAExAQAAAAstMTkwNDg2MDc0NAMAAAADMTYwAgAAAAUyMzMxMwQAAAABMAcAAAAIMy83LzIwMjYIAAAACjEyLzMxLzIwMjMJAAAAATCq4X4k/4HeCLYt/Cf/gd4ILkNJUS5OWVNFOklCTS5JUV9ORVRfREVCVF9FQklUREEuOTk0LjA3LzAzLzIwMjYBAAAA3rYBAAIAAAAIMy44OTUyNzYBCAAAAAUAAAABMQEAAAALLTIxMTA3NjkzNTUDAAAAAzE2MAIAAAAENDE5MwQAAAABMAcAAAAIMy83LzIwMjYIAAAACjEyLzMxLzIwMTkJAAAAATCq4X4k/4HeCG7f+yf/gd4IMkNJUS5OWVNFOklCTS5JUV9FQklUREFfNVlSX0FOTl9DQUdSLjk5Ni4wNy8wMy8yMDI2AQAAAN62AQACAAAA</t>
  </si>
  <si>
    <t>By05LjQyNDQBCAAAAAUAAAABMQEAAAALLTIwMDg2NDcxOTgDAAAAAzE2MAIAAAAENDIzNQQAAAABMAcAAAAIMy83LzIwMjYIAAAACjEyLzMxLzIwMjEJAAAAATCq4X4k/4HeCG7f+yf/gd4ILkNJUS5OWVNFOklCTS5JUV9OSV8zWVJfQU5OX0NBR1IuOTk4LjA3LzAzLzIwMjYBAAAA3rYBAAIAAAAHMTAuMzAzMwEIAAAABQAAAAExAQAAAAstMTkwNDg2MDc0NAMAAAADMTYwAgAAAAQ0MjI1BAAAAAEwBwAAAAgzLzcvMjAyNggAAAAKMTIvMzEvMjAyMwkAAAABMKrhfiT/gd4Ihgb8J/+B3ggwQ0lRLk5ZU0U6SUJNLklRX0VCSVRfM1lSX0FOTl9DQUdSLjk5Mi4wNy8wMy8yMDI2AQAAAN62AQACAAAACC0xNi41ODc0AQgAAAAFAAAAATEBAAAACjIwMTcxNjQyNDQDAAAAAzE2MAIAAAAENDIyMwQAAAABMAcAAAAIMy83LzIwMjYIAAAACjEyLzMxLzIwMTcJAAAAATCq4X4k/4HeCIYG/Cf/gd4ILkNJUS5OWVNFOklCTS5JUV9HUF8zWVJfQU5OX0NBR1IuOTk4LjA3LzAzLzIwMjYBAAAA3rYBAAIAAAAEMy41OAEIAAAABQAAAAExAQAAAAstMTkwNDg2MDc0NAMAAAADMTYwAgAAAAQ0MjIxBAAAAAEwBwAAAAgzLzcvMjAyNggAAAAKMTIvMzEvMjAyMwkAAAABMKrhfiT/gd4Ihgb8J/+B3ggxQ0lRLk5ZU0U6SUJNLklRX0VQU18xWVJfQU5OX0dST1dUSC45OTQuMDcvMDMvMjAyNgEAAADetgEAAgAAAAgtMTUuOTE1MQEI</t>
  </si>
  <si>
    <t>AAAABQAAAAExAQAAAAstMjExMDc2OTM1NQMAAAADMTYwAgAAAAQ0MjAwBAAAAAEwBwAAAAgzLzcvMjAyNggAAAAKMTIvMzEvMjAxOQkAAAABMKrhfiT/gd4IP7j7J/+B3ggwQ0lRLk5ZU0U6SUJNLklRX05VTUJFUl9BRFJIT0xERVJTLjk5OS4wNy8wMy8yMDI2AQAAAN62AQADAAAAAACq4X4k/4HeCD+4+yf/gd4ILENJUS5OWVNFOklCTS5JUV9BVkdfRU1QTE9ZRUVTLjk5NS4wNy8wMy8yMDI2AQAAAN62AQADAAAAAACq4X4k/4HeCG7f+yf/gd4IKENJUS5OWVNFOklCTS5JUV9GVUxMX1RJTUUuOTk3LjA3LzAzLzIwMjYBAAAA3rYBAAIAAAAGMjg4MzAwAKrhfiT/gd4Ibt/7J/+B3gg4Q0lRLk5ZU0U6SUJNLklRX1RPVEFMX09VVFNUQU5ESU5HX0JTX0RBVEUuOTk3LjA3LzAzLzIwMjYBAAAA3rYBAAIAAAAKOTA2LjA5MTk3NwEEAAAABQAAAAE1AQAAAAstMTk1ODI4MTA5NgIAAAAFMjQxNTIGAAAAATCq4X4k/4HeCG7f+yf/gd4IL0NJUS5OWVNFOklCTS5JUV9OSV81WVJfQU5OX0NBR1IuMTAwMC4wNy8wMy8yMDI2AQAAAN62AQACAAAABzEzLjYzNzQBCAAAAAUAAAABMQEAAAALLTE5MDQ4NjA3NDADAAAAAzE2MAIAAAAENDIzOAQAAAABMAcAAAAIMy83LzIwMjYIAAAACjEyLzMxLzIwMjUJAAAAATCq4X4k/4HeCJik+yf/gd4ILENJUS5OWVNFOklCTS5JUV9DQVBFWF9QQ1RfUkVWLjk5Ny4wNy8wMy8yMDI2</t>
  </si>
  <si>
    <t>AQAAAN62AQACAAAABjIuMjIzNgEIAAAABQAAAAExAQAAAAstMTk1ODI4MTA5NgMAAAADMTYwAgAAAAUzNTM4MAQAAAABMAcAAAAIMy83LzIwMjYIAAAACjEyLzMxLzIwMjIJAAAAATCq4X4k/4HeCJik+yf/gd4ILENJUS5OWVNFOklCTS5JUV9FQklUREFfTUFSR0lOLjk5Ny4wNy8wMy8yMDI2AQAAAN62AQACAAAABjE3LjgwMQEIAAAABQAAAAExAQAAAAstMTk1ODI4MTA5NgMAAAADMTYwAgAAAAQ0MDQ3BAAAAAEwBwAAAAgzLzcvMjAyNggAAAAKMTIvMzEvMjAyMgkAAAABMKrhfiT/gd4IP7j7J/+B3ggzQ0lRLk5ZU0U6SUJNLklRX1JFVFVSTl9DT01NT05fRVFVSVRZLjk5My4wNy8wMy8yMDI2AQAAAN62AQACAAAABzUwLjcyOTgBCAAAAAUAAAABMQEAAAAKMjA4MTUwNTQwMQMAAAADMTYwAgAAAAUzMzMyMAQAAAABMAcAAAAIMy83LzIwMjYIAAAACjEyLzMxLzIwMTgJAAAAATCq4X4k/4HeCD+4+yf/gd4ILUNJUS5OWVNFOklCTS5JUV9SRVRVUk5fQ0FQSVRBTC45OTkuMDcvMDMvMjAyNgEAAADetgEAAgAAAAY3LjI2ODEBCAAAAAUAAAABMQEAAAALLTE5MDQ4NjA3NDMDAAAAAzE2MAIAAAAENDM2MwQAAAABMAcAAAAIMy83LzIwMjYIAAAACjEyLzMxLzIwMjQJAAAAATCq4X4k/4HeCD+4+yf/gd4ILUNJUS5OWVNFOklCTS5JUV9SRVNUQVRFTUVOVF9CUy45OTUuMDcvMDMvMjAyNgEAAADetgEAAwAAAAJS</t>
  </si>
  <si>
    <t>RACq4X4k/4HeCIF9+yf/gd4IMUNJUS5OWVNFOklCTS5JUV9UT1RBTF9ERUJUX0NBUElUQUwuOTk3LjA3LzAzLzIwMjYBAAAA3rYBAAIAAAAHNzEuMDM3OQEIAAAABQAAAAExAQAAAAstMTk1ODI4MTA5NgMAAAADMTYwAgAAAAQ0MTg2BAAAAAEwBwAAAAgzLzcvMjAyNggAAAAKMTIvMzEvMjAyMgkAAAABMKrhfiT/gd4IgX37J/+B3ggxQ0lRLk5ZU0U6SUJNLklRX0RBWVNfSU5WRU5UT1JZX09VVC45OTkuMDcvMDMvMjAyNgEAAADetgEAAgAAAAkxNi43MDkzNjQBCAAAAAUAAAABMQEAAAALLTE5MDQ4NjA3NDMDAAAAAzE2MAIAAAAENDAzNQQAAAABMAcAAAAIMy83LzIwMjYIAAAACjEyLzMxLzIwMjQJAAAAATCq4X4k/4HeCIF9+yf/gd4ILUNJUS5OWVNFOklCTS5JUV9EQVlTX1NBTEVTX09VVC45OTMuMDcvMDMvMjAyNgEAAADetgEAAgAAAAk0MC40ODM5NzUBCAAAAAUAAAABMQEAAAAKMjA4MTUwNTQwMQMAAAADMTYwAgAAAAQ0MDQyBAAAAAEwBwAAAAgzLzcvMjAyNggAAAAKMTIvMzEvMjAxOAkAAAABMKrhfiT/gd4IgX37J/+B3ggqQ0lRLk5ZU0U6SUJNLklRX1FVSUNLX1JBVElPLjk5OS4wNy8wMy8yMDI2AQAAAN62AQACAAAACDAuODc2MDQ4AQgAAAAFAAAAATEBAAAACy0xOTA0ODYwNzQzAwAAAAMxNjACAAAABDQxMjEEAAAAATAHAAAACDMvNy8yMDI2CAAAAAoxMi8zMS8yMDI0CQAAAAEwquF+JP+B</t>
  </si>
  <si>
    <t>3giYpPsn/4HeCC5DSVEuTllTRTpJQk0uSVFfSU5WRU5UT1JZX1RVUk5TLjk5NS4wNy8wMy8yMDI2AQAAAN62AQACAAAACTEzLjgzNjc4MgEIAAAABQAAAAExAQAAAAstMjA1OTA3MzIwMgMAAAADMTYwAgAAAAQ0MDgyBAAAAAEwBwAAAAgzLzcvMjAyNggAAAAKMTIvMzEvMjAyMAkAAAABMKrhfiT/gd4IdFb7J/+B3gg0Q0lRLk5ZU0U6SUJNLklRX0VCSVREQV8xWVJfQU5OX0dST1dUSC45OTMuMDcvMDMvMjAyNgEAAADetgEAAgAAAAU5LjA5MgEIAAAABQAAAAExAQAAAAoyMDgxNTA1NDAxAwAAAAMxNjACAAAABDQxOTYEAAAAATAHAAAACDMvNy8yMDI2CAAAAAoxMi8zMS8yMDE4CQAAAAEwquF+JP+B3gh0Vvsn/4HeCDZDSVEuTllTRTpJQk0uSVFfVE9UQUxfREVCVF9FQklUREFfQ0FQRVguOTk3LjA3LzAzLzIwMjYBAAAA3rYBAAIAAAAINS4wNTkyOTEBCAAAAAUAAAABMQEAAAALLTE5NTgyODEwOTYDAAAAAzE2MAIAAAAFMjMzMTMEAAAAATAHAAAACDMvNy8yMDI2CAAAAAoxMi8zMS8yMDIyCQAAAAEwquF+JP+B3gh0Vvsn/4HeCDBDSVEuTllTRTpJQk0uSVFfVE9UQUxfREVCVF9FQklUREEuOTk5LjA3LzAzLzIwMjYBAAAA3rYBAAIAAAAINC4xMTM4NDIBCAAAAAUAAAABMQEAAAALLTE5MDQ4NjA3NDMDAAAAAzE2MAIAAAAENDE5MgQAAAABMAcAAAAIMy83LzIwMjYIAAAACjEyLzMxLzIwMjQJAAAAATCq</t>
  </si>
  <si>
    <t>4X4k/4HeCIF9+yf/gd4IQENJUS5OWVNFOklCTS5JUV9FQklUREFfRVhDTF9PUEVSX0xFQVNFU19DQVBFWF9JTlQuOTkzLjA3LzAzLzIwMjYBAAAA3rYBAAIAAAAJMTkuNzgyODQ5AQgAAAAFAAAAATEBAAAACjIwODE1MDU0MDEDAAAAAzE2MAIAAAAFNDkxNzQEAAAAATAHAAAACDMvNy8yMDI2CAAAAAoxMi8zMS8yMDE4CQAAAAEwquF+JP+B3giBffsn/4HeCCdDSVEuTllTRTpJQk0uSVFfRUJJVF9JTlQuOTk1LjA3LzAzLzIwMjYBAAAA3rYBAAIAAAAIMy42MTk1NjUBCAAAAAUAAAABMQEAAAALLTIwNTkwNzMyMDIDAAAAAzE2MAIAAAAENDE4OQQAAAABMAcAAAAIMy83LzIwMjYIAAAACjEyLzMxLzIwMjAJAAAAATCq4X4k/4HeCHRW+yf/gd4IMkNJUS5OWVNFOklCTS5JUV9FQklUREFfNVlSX0FOTl9DQUdSLjk5NS4wNy8wMy8yMDI2AQAAAN62AQACAAAACC0xMS4wMjk1AQgAAAAFAAAAATEBAAAACy0yMDU5MDczMjAyAwAAAAMxNjACAAAABDQyMzUEAAAAATAHAAAACDMvNy8yMDI2CAAAAAoxMi8zMS8yMDIwCQAAAAEwquF+JP+B3gh0Vvsn/4HeCC9DSVEuTllTRTpJQk0uSVFfRVBTXzNZUl9BTk5fQ0FHUi45OTUuMDcvMDMvMjAyNgEAAADetgEAAgAAAAgtMTAuNjI3NwEIAAAABQAAAAExAQAAAAstMjA1OTA3MzIwMgMAAAADMTYwAgAAAAQ0MjI2BAAAAAEwBwAAAAgzLzcvMjAyNggAAAAKMTIvMzEvMjAy</t>
  </si>
  <si>
    <t>MAkAAAABMKrhfiT/gd4IdFb7J/+B3gguQ0lRLk5ZU0U6SUJNLklRX0dQXzNZUl9BTk5fQ0FHUi45OTcuMDcvMDMvMjAyNgEAAADetgEAAgAAAAYxLjIwNTIBCAAAAAUAAAABMQEAAAALLTE5NTgyODEwOTYDAAAAAzE2MAIAAAAENDIyMQQAAAABMAcAAAAIMy83LzIwMjYIAAAACjEyLzMxLzIwMjIJAAAAATCq4X4k/4HeCHRW+yf/gd4IMUNJUS5OWVNFOklCTS5JUV9FUFNfMVlSX0FOTl9HUk9XVEguOTkzLjA3LzAzLzIwMjYBAAAA3rYBAAIAAAAGNTQuOTQyAQgAAAAFAAAAATEBAAAACjIwODE1MDU0MDEDAAAAAzE2MAIAAAAENDIwMAQAAAABMAcAAAAIMy83LzIwMjYIAAAACjEyLzMxLzIwMTgJAAAAATCq4X4k/4HeCHRW+yf/gd4IMkNJUS5OWVNFOklCTS5JUV9FQklUXzFZUl9BTk5fR1JPV1RILjk5OS4wNy8wMy8yMDI2AQAAAN62AQACAAAABjMuODk1NQEIAAAABQAAAAExAQAAAAstMTkwNDg2MDc0MwMAAAADMTYwAgAAAAQ0MTk3BAAAAAEwBwAAAAgzLzcvMjAyNggAAAAKMTIvMzEvMjAyNAkAAAABMKrhfiT/gd4IYS/7J/+B3ggsQ0lRLk5ZU0U6SUJNLklRX0FWR19FTVBMT1lFRVMuOTk0LjA3LzAzLzIwMjYBAAAA3rYBAAMAAAAAAKrhfiT/gd4IYS/7J/+B3ggvQ0lRLk5ZU0U6SUJNLklRX1RPVEFMX0VNUExPWUVFUy4xMDAwLjA3LzAzLzIwMjYBAAAA3rYBAAIAAAAGMjY0MzAwAKrhfiT/gd4IYS/7</t>
  </si>
  <si>
    <t>J/+B3ggoQ0lRLk5ZU0U6SUJNLklRX1BBUlRfVElNRS45OTQuMDcvMDMvMjAyNgEAAADetgEAAwAAAAAAquF+JP+B3ghhL/sn/4HeCClDSVEuTllTRTpJQk0uSVFfSU5WX01FVEhPRC45OTguMDcvMDMvMjAyNgEAAADetgEAAwAAAAhBdmcgQ29zdACq4X4k/4HeCGEv+yf/gd4ILkNJUS5OWVNFOklCTS5JUV9OSV81WVJfQU5OX0NBR1IuOTk5LjA3LzAzLzIwMjYBAAAA3rYBAAIAAAAGLTguNTc4AQgAAAAFAAAAATEBAAAACy0xOTA0ODYwNzQzAwAAAAMxNjACAAAABDQyMzgEAAAAATAHAAAACDMvNy8yMDI2CAAAAAoxMi8zMS8yMDI0CQAAAAEwquF+JP+B3ghQCPsn/4HeCC1DSVEuTllTRTpJQk0uSVFfUkVUVVJOX0NBUElUQUwuOTk4LjA3LzAzLzIwMjYBAAAA3rYBAAIAAAAGNy40MjU5AQgAAAAFAAAAATEBAAAACy0xOTA0ODYwNzQ0AwAAAAMxNjACAAAABDQzNjMEAAAAATAHAAAACDMvNy8yMDI2CAAAAAoxMi8zMS8yMDIzCQAAAAEwquF+JP+B3ghQCPsn/4HeCCxDSVEuTllTRTpJQk0uSVFfUkVUVVJOX0FTU0VUUy45OTIuMDcvMDMvMjAyNgEAAADetgEAAgAAAAY2LjAxMzUBCAAAAAUAAAABMQEAAAAKMjAxNzE2NDI0NAMAAAADMTYwAgAAAAQ0MTc4BAAAAAEwBwAAAAgzLzcvMjAyNggAAAAKMTIvMzEvMjAxNwkAAAABMKrhfiT/gd4IUAj7J/+B3ggsQ0lRLk5ZU0U6SUJNLklRX0NBTENfVFlQRV9CUy4x</t>
  </si>
  <si>
    <t>MDAwLjA3LzAzLzIwMjYBAAAA3rYBAAMAAAADUkVQAKrhfiT/gd4IYS/7J/+B3ggtQ0lRLk5ZU0U6SUJNLklRX1JFU1RBVEVNRU5UX0JTLjk5NC4wNy8wMy8yMDI2AQAAAN62AQADAAAAAk5DAKrhfiT/gd4IYS/7J/+B3ggwQ0lRLk5ZU0U6SUJNLklRX05VTUJFUl9BRFJIT0xERVJTLjk5OC4wNy8wMy8yMDI2AQAAAN62AQADAAAAAACq4X4k/4HeCEnh+if/gd4ILkNJUS5OWVNFOklCTS5JUV9JTlZFTlRPUllfVFVSTlMuOTk0LjA3LzAzLzIwMjYBAAAA3rYBAAIAAAAJMTUuNDM1MzIyAQgAAAAFAAAAATEBAAAACy0yMTEwNzY5MzU1AwAAAAMxNjACAAAABDQwODIEAAAAATAHAAAACDMvNy8yMDI2CAAAAAoxMi8zMS8yMDE5CQAAAAEwquF+JP+B3ghJ4fon/4HeCDFDSVEuTllTRTpJQk0uSVFfRklYRURfQVNTRVRfVFVSTlMuMTAwMC4wNy8wMy8yMDI2AQAAAN62AQACAAAACDcuNTIxODU3AQgAAAAFAAAAATEBAAAACy0xOTA0ODYwNzQwAwAAAAMxNjACAAAABDQwNjYEAAAAATAHAAAACDMvNy8yMDI2CAAAAAoxMi8zMS8yMDI1CQAAAAEwquF+JP+B3ghJ4fon/4HeCCpDSVEuTllTRTpJQk0uSVFfQVNTRVRfVFVSTlMuOTk0LjA3LzAzLzIwMjYBAAAA3rYBAAIAAAAIMC40MTg4NzMBCAAAAAUAAAABMQEAAAALLTIxMTA3NjkzNTUDAAAAAzE2MAIAAAAENDE3NwQAAAABMAcAAAAIMy83LzIwMjYIAAAACjEyLzMx</t>
  </si>
  <si>
    <t>LzIwMTkJAAAAATCq4X4k/4HeCFAI+yf/gd4ILENJUS5OWVNFOklCTS5JUV9FQklUREFfTUFSR0lOLjk5Ni4wNy8wMy8yMDI2AQAAAN62AQACAAAABzE5LjcxODkBCAAAAAUAAAABMQEAAAALLTIwMDg2NDcxOTgDAAAAAzE2MAIAAAAENDA0NwQAAAABMAcAAAAIMy83LzIwMjYIAAAACjEyLzMxLzIwMjEJAAAAATCq4X4k/4HeCFAI+yf/gd4IM0NJUS5OWVNFOklCTS5JUV9SRVRVUk5fQ09NTU9OX0VRVUlUWS45OTIuMDcvMDMvMjAyNgEAAADetgEAAgAAAAczMi4xMzE2AQgAAAAFAAAAATEBAAAACjIwMTcxNjQyNDQDAAAAAzE2MAIAAAAFMzMzMjAEAAAAATAHAAAACDMvNy8yMDI2CAAAAAoxMi8zMS8yMDE3CQAAAAEwquF+JP+B3gg2uvon/4HeCC9DSVEuTllTRTpJQk0uSVFfTFRfREVCVF9DQVBJVEFMLjEwMDAuMDcvMDMvMjAyNgEAAADetgEAAgAAAAc1OC45NDYyAQgAAAAFAAAAATEBAAAACy0xOTA0ODYwNzQwAwAAAAMxNjACAAAABDQxODcEAAAAATAHAAAACDMvNy8yMDI2CAAAAAoxMi8zMS8yMDI1CQAAAAEwquF+JP+B3gg2uvon/4HeCDFDSVEuTllTRTpJQk0uSVFfVE9UQUxfREVCVF9DQVBJVEFMLjk5Ni4wNy8wMy8yMDI2AQAAAN62AQACAAAABzc0LjM3NjgBCAAAAAUAAAABMQEAAAALLTIwMDg2NDcxOTgDAAAAAzE2MAIAAAAENDE4NgQAAAABMAcAAAAIMy83LzIwMjYIAAAACjEyLzMxLzIwMjEJ</t>
  </si>
  <si>
    <t>AAAAATCq4X4k/4HeCDa6+if/gd4IL0NJUS5OWVNFOklCTS5JUV9EQVlTX1BBWUFCTEVfT1VULjk5Ni4wNy8wMy8yMDI2AQAAAN62AQACAAAACTU3LjkyMjk0NQEIAAAABQAAAAExAQAAAAstMjAwODY0NzE5OAMAAAADMTYwAgAAAAQ0MTgzBAAAAAEwBwAAAAgzLzcvMjAyNggAAAAKMTIvMzEvMjAyMQkAAAABMKrhfiT/gd4ISeH6J/+B3ggtQ0lRLk5ZU0U6SUJNLklRX0RBWVNfU0FMRVNfT1VULjk5Mi4wNy8wMy8yMDI2AQAAAN62AQACAAAACTQzLjc5ODE3NQEIAAAABQAAAAExAQAAAAoyMDE3MTY0MjQ0AwAAAAMxNjACAAAABDQwNDIEAAAAATAHAAAACDMvNy8yMDI2CAAAAAoxMi8zMS8yMDE3CQAAAAEwquF+JP+B3ghJ4fon/4HeCCpDSVEuTllTRTpJQk0uSVFfUVVJQ0tfUkFUSU8uOTk4LjA3LzAzLzIwMjYBAAAA3rYBAAIAAAAHMC44MTczOQEIAAAABQAAAAExAQAAAAstMTkwNDg2MDc0NAMAAAADMTYwAgAAAAQ0MTIxBAAAAAEwBwAAAAgzLzcvMjAyNggAAAAKMTIvMzEvMjAyMwkAAAABMKrhfiT/gd4IKJP6J/+B3gg2Q0lRLk5ZU0U6SUJNLklRX1RPVEFMX0RFQlRfRUJJVERBX0NBUEVYLjk5Ni4wNy8wMy8yMDI2AQAAAN62AQACAAAACDUuMTYwOTg4AQgAAAAFAAAAATEBAAAACy0yMDA4NjQ3MTk4AwAAAAMxNjACAAAABTIzMzEzBAAAAAEwBwAAAAgzLzcvMjAyNggAAAAKMTIvMzEvMjAyMQkAAAAB</t>
  </si>
  <si>
    <t>MKrhfiT/gd4IKJP6J/+B3ggwQ0lRLk5ZU0U6SUJNLklRX1RPVEFMX0RFQlRfRUJJVERBLjk5OC4wNy8wMy8yMDI2AQAAAN62AQACAAAACDQuNDIzNTczAQgAAAAFAAAAATEBAAAACy0xOTA0ODYwNzQ0AwAAAAMxNjACAAAABDQxOTIEAAAAATAHAAAACDMvNy8yMDI2CAAAAAoxMi8zMS8yMDIzCQAAAAEwquF+JP+B3ggok/on/4HeCEBDSVEuTllTRTpJQk0uSVFfRUJJVERBX0VYQ0xfT1BFUl9MRUFTRVNfQ0FQRVhfSU5ULjk5Mi4wNy8wMy8yMDI2AQAAAN62AQACAAAACTIxLjEyODQ1NQEIAAAABQAAAAExAQAAAAoyMDE3MTY0MjQ0AwAAAAMxNjACAAAABTQ5MTc0BAAAAAEwBwAAAAgzLzcvMjAyNggAAAAKMTIvMzEvMjAxNwkAAAABMKrhfiT/gd4IKJP6J/+B3gg6Q0lRLk5ZU0U6SUJNLklRX0VCSVREQV9FWENMX09QRVJfTEVBU0VTX0lOVC45OTguMDcvMDMvMjAyNgEAAADetgEAAgAAAAg3LjYyNzI1NQEIAAAABQAAAAExAQAAAAstMTkwNDg2MDc0NAMAAAADMTYwAgAAAAU0OTE3MwQAAAABMAcAAAAIMy83LzIwMjYIAAAACjEyLzMxLzIwMjMJAAAAATCq4X4k/4HeCDa6+if/gd4IJ0NJUS5OWVNFOklCTS5JUV9FQklUX0lOVC45OTQuMDcvMDMvMjAyNgEAAADetgEAAgAAAAg1LjYwOTM3NQEIAAAABQAAAAExAQAAAAstMjExMDc2OTM1NQMAAAADMTYwAgAAAAQ0MTg5BAAAAAEwBwAAAAgzLzcvMjAyNggA</t>
  </si>
  <si>
    <t>AAAKMTIvMzEvMjAxOQkAAAABMKrhfiT/gd4I7mv6J/+B3gguQ0lRLk5ZU0U6SUJNLklRX0dQXzNZUl9BTk5fQ0FHUi45OTYuMDcvMDMvMjAyNgEAAADetgEAAgAAAActNS4xODMyAQgAAAAFAAAAATEBAAAACy0yMDA4NjQ3MTk4AwAAAAMxNjACAAAABDQyMjEEAAAAATAHAAAACDMvNy8yMDI2CAAAAAoxMi8zMS8yMDIxCQAAAAEwquF+JP+B3gjua/on/4HeCDJDSVEuTllTRTpJQk0uSVFfRUJJVF8xWVJfQU5OX0dST1dUSC45OTguMDcvMDMvMjAyNgEAAADetgEAAgAAAAcyNS4yNjI1AQgAAAAFAAAAATEBAAAACy0xOTA0ODYwNzQ0AwAAAAMxNjACAAAABDQxOTcEAAAAATAHAAAACDMvNy8yMDI2CAAAAAoxMi8zMS8yMDIzCQAAAAEwquF+JP+B3gjua/on/4HeCDRDSVEuTllTRTpJQk0uSVFfRUJJVERBXzFZUl9BTk5fR1JPV1RILjk5Mi4wNy8wMy8yMDI2AQAAAN62AQACAAAACC0xMi41NDkyAQgAAAAFAAAAATEBAAAACjIwMTcxNjQyNDQDAAAAAzE2MAIAAAAENDE5NgQAAAABMAcAAAAIMy83LzIwMjYIAAAACjEyLzMxLzIwMTcJAAAAATCq4X4k/4HeCO5r+if/gd4IJ0NJUS5OWVNFOklCTS5JUV9aX1NDT1JFLjEwMDAuMDcvMDMvMjAyNgEAAADetgEAAgAAAAgzLjM4NjMwMgEIAAAABQAAAAExAQAAAAstMTkwNDg2MDc0MAMAAAADMTYwAgAAAAYxMDAxMjMEAAAAATAHAAAACDMvNy8yMDI2CAAAAAoxMi8z</t>
  </si>
  <si>
    <t>MS8yMDI1CQAAAAEwquF+JP+B3ggok/on/4HeCDVDSVEuTllTRTpJQk0uSVFfTkVUX0RFQlRfRUJJVERBX0NBUEVYLjEwMDAuMDcvMDMvMjAyNgEAAADetgEAAgAAAAgzLjA3MjU0MwEIAAAABQAAAAExAQAAAAstMTkwNDg2MDc0MAMAAAADMTYwAgAAAAUyMzMxNAQAAAABMAcAAAAIMy83LzIwMjYIAAAACjEyLzMxLzIwMjUJAAAAATCq4X4k/4HeCFIx+if/gd4IKUNJUS5OWVNFOklCTS5JUV9JTlZfTUVUSE9ELjk5Ny4wNy8wMy8yMDI2AQAAAN62AQADAAAACEF2ZyBDb3N0AKrhfiT/gd4IUjH6J/+B3gguQ0lRLk5ZU0U6SUJNLklRX05JXzVZUl9BTk5fQ0FHUi45OTguMDcvMDMvMjAyNgEAAADetgEAAgAAAAYtMi45ODIBCAAAAAUAAAABMQEAAAALLTE5MDQ4NjA3NDQDAAAAAzE2MAIAAAAENDIzOAQAAAABMAcAAAAIMy83LzIwMjYIAAAACjEyLzMxLzIwMjMJAAAAATCq4X4k/4HeCEtY+if/gd4IMENJUS5OWVNFOklCTS5JUV9FQklUXzVZUl9BTk5fQ0FHUi45OTIuMDcvMDMvMjAyNgEAAADetgEAAgAAAAYtMTIuNTIBCAAAAAUAAAABMQEAAAAKMjAxNzE2NDI0NAMAAAADMTYwAgAAAAQ0MjM2BAAAAAEwBwAAAAgzLzcvMjAyNggAAAAKMTIvMzEvMjAxNwkAAAABMKrhfiT/gd4IS1j6J/+B3gg2Q0lRLk5ZU0U6SUJNLklRX1RPVEFMX1JFVl81WVJfQU5OX0NBR1IuMTAwMC4wNy8wMy8yMDI2AQAAAN62AQAC</t>
  </si>
  <si>
    <t>AAAABTQuMTI0AQgAAAAFAAAAATEBAAAACy0xOTA0ODYwNzQwAwAAAAMxNjACAAAABDQyMzMEAAAAATAHAAAACDMvNy8yMDI2CAAAAAoxMi8zMS8yMDI1CQAAAAEwquF+JP+B3ghLWPon/4HeCC9DSVEuTllTRTpJQk0uSVFfRVBTXzNZUl9BTk5fQ0FHUi45OTQuMDcvMDMvMjAyNgEAAADetgEAAgAAAAgtMTMuNTY4MwEIAAAABQAAAAExAQAAAAstMjExMDc2OTM1NQMAAAADMTYwAgAAAAQ0MjI2BAAAAAEwBwAAAAgzLzcvMjAyNggAAAAKMTIvMzEvMjAxOQkAAAABMKrhfiT/gd4IAgr6J/+B3ggtQ0lRLk5ZU0U6SUJNLklRX1JFU1RBVEVNRU5UX0JTLjk5My4wNy8wMy8yMDI2AQAAAN62AQADAAAAAk5DAKrhfiT/gd4IAgr6J/+B3ggtQ0lRLk5ZU0U6SUJNLklRX0NPU1RfQk9SUk9XSU5HLjk5My4wNy8wMy8yMDI2AQAAAN62AQACAAAABjEuNTY2OAEIAAAABQAAAAExAQAAAAoyMDgxNTA1NDAxAwAAAAMxNjACAAAABTIxNjgxBAAAAAEwBwAAAAgzLzcvMjAyNggAAAAKMTIvMzEvMjAxOAkAAAABMKrhfiT/gd4IAgr6J/+B3ggwQ0lRLk5ZU0U6SUJNLklRX05VTUJFUl9BRFJIT0xERVJTLjk5Ny4wNy8wMy8yMDI2AQAAAN62AQADAAAAAACq4X4k/4HeCFIx+if/gd4ILkNJUS5OWVNFOklCTS5JUV9UT1RBTF9FTVBMT1lFRVMuOTk5LjA3LzAzLzIwMjYBAAAA3rYBAAIAAAAGMjcwMzAwAKrhfiT/gd4IUjH6J/+B</t>
  </si>
  <si>
    <t>3ggoQ0lRLk5ZU0U6SUJNLklRX1BBUlRfVElNRS45OTMuMDcvMDMvMjAyNgEAAADetgEAAwAAAAAAquF+JP+B3ghOz/kn/4HeCDBDSVEuTllTRTpJQk0uSVFfRklYRURfQVNTRVRfVFVSTlMuOTk5LjA3LzAzLzIwMjYBAAAA3rYBAAIAAAAINy4xMTA4MjEBCAAAAAUAAAABMQEAAAALLTE5MDQ4NjA3NDMDAAAAAzE2MAIAAAAENDA2NgQAAAABMAcAAAAIMy83LzIwMjYIAAAACjEyLzMxLzIwMjQJAAAAATCq4X4k/4HeCE7P+Sf/gd4IKkNJUS5OWVNFOklCTS5JUV9BU1NFVF9UVVJOUy45OTMuMDcvMDMvMjAyNgEAAADetgEAAgAAAAgwLjYzOTk1OAEIAAAABQAAAAExAQAAAAoyMDgxNTA1NDAxAwAAAAMxNjACAAAABDQxNzcEAAAAATAHAAAACDMvNy8yMDI2CAAAAAoxMi8zMS8yMDE4CQAAAAEwquF+JP+B3ghOz/kn/4HeCCxDSVEuTllTRTpJQk0uSVFfRUJJVERBX01BUkdJTi45OTUuMDcvMDMvMjAyNgEAAADetgEAAgAAAAcyMC41ODIxAQgAAAAFAAAAATEBAAAACy0yMDU5MDczMjAyAwAAAAMxNjACAAAABDQwNDcEAAAAATAHAAAACDMvNy8yMDI2CAAAAAoxMi8zMS8yMDIwCQAAAAEwquF+JP+B3ghOz/kn/4HeCC1DSVEuTllTRTpJQk0uSVFfUkVUVVJOX0NBUElUQUwuOTk3LjA3LzAzLzIwMjYBAAAA3rYBAAIAAAAGNi4yNjA0AQgAAAAFAAAAATEBAAAACy0xOTU4MjgxMDk2AwAAAAMxNjACAAAABDQzNjME</t>
  </si>
  <si>
    <t>AAAAATAHAAAACDMvNy8yMDI2CAAAAAoxMi8zMS8yMDIyCQAAAAEwquF+JP+B3ghOz/kn/4HeCCtDSVEuTllTRTpJQk0uSVFfQ0FMQ19UWVBFX0JTLjk5OS4wNy8wMy8yMDI2AQAAAN62AQADAAAAA1JFUACq4X4k/4HeCD6o+Sf/gd4IJ0NJUS5OWVNFOklCTS5JUV9FQklUX0lOVC45OTMuMDcvMDMvMjAyNgEAAADetgEAAgAAAAkxOC4yODIxNTcBCAAAAAUAAAABMQEAAAAKMjA4MTUwNTQwMQMAAAADMTYwAgAAAAQ0MTg5BAAAAAEwBwAAAAgzLzcvMjAyNggAAAAKMTIvMzEvMjAxOAkAAAABMKrhfiT/gd4IPqj5J/+B3gguQ0lRLk5ZU0U6SUJNLklRX0xUX0RFQlRfQ0FQSVRBTC45OTkuMDcvMDMvMjAyNgEAAADetgEAAgAAAAc2MS4yNDIxAQgAAAAFAAAAATEBAAAACy0xOTA0ODYwNzQzAwAAAAMxNjACAAAABDQxODcEAAAAATAHAAAACDMvNy8yMDI2CAAAAAoxMi8zMS8yMDI0CQAAAAEwquF+JP+B3ghOz/kn/4HeCC1DSVEuTllTRTpJQk0uSVFfTFRfREVCVF9FUVVJVFkuOTkzLjA3LzAzLzIwMjYBAAAA3rYBAAIAAAAIMjEwLjMwNzEBCAAAAAUAAAABMQEAAAAKMjA4MTUwNTQwMQMAAAADMTYwAgAAAAQ0MDg1BAAAAAEwBwAAAAgzLzcvMjAyNggAAAAKMTIvMzEvMjAxOAkAAAABMKrhfiT/gd4ITs/5J/+B3ggvQ0lRLk5ZU0U6SUJNLklRX0RBWVNfUEFZQUJMRV9PVVQuOTk1LjA3LzAzLzIwMjYBAAAA3rYB</t>
  </si>
  <si>
    <t>AAIAAAAJNjguMjgyNDI0AQgAAAAFAAAAATEBAAAACy0yMDU5MDczMjAyAwAAAAMxNjACAAAABDQxODMEAAAAATAHAAAACDMvNy8yMDI2CAAAAAoxMi8zMS8yMDIwCQAAAAEwquF+JP+B3ghOz/kn/4HeCCpDSVEuTllTRTpJQk0uSVFfUVVJQ0tfUkFUSU8uOTk3LjA3LzAzLzIwMjYBAAAA3rYBAAIAAAAIMC43Mzg2NDQBCAAAAAUAAAABMQEAAAALLTE5NTgyODEwOTYDAAAAAzE2MAIAAAAENDEyMQQAAAABMAcAAAAIMy83LzIwMjYIAAAACjEyLzMxLzIwMjIJAAAAATCq4X4k/4HeCDuB+Sf/gd4IN0NJUS5OWVNFOklCTS5JUV9UT1RBTF9SRVZfMVlSX0FOTl9HUk9XVEguOTk3LjA3LzAzLzIwMjYBAAAA3rYBAAIAAAAFNS41NDMBCAAAAAUAAAABMQEAAAALLTE5NTgyODEwOTYDAAAAAzE2MAIAAAAENDE5NAQAAAABMAcAAAAIMy83LzIwMjYIAAAACjEyLzMxLzIwMjIJAAAAATCq4X4k/4HeCDuB+Sf/gd4INENJUS5OWVNFOklCTS5JUV9ORVRfREVCVF9FQklUREFfQ0FQRVguOTk5LjA3LzAzLzIwMjYBAAAA3rYBAAIAAAAIMy4zMzE5MzgBCAAAAAUAAAABMQEAAAALLTE5MDQ4NjA3NDMDAAAAAzE2MAIAAAAFMjMzMTQEAAAAATAHAAAACDMvNy8yMDI2CAAAAAoxMi8zMS8yMDI0CQAAAAEwquF+JP+B3gg+qPkn/4HeCDZDSVEuTllTRTpJQk0uSVFfVE9UQUxfREVCVF9FQklUREFfQ0FQRVguOTk1LjA3LzAzLzIw</t>
  </si>
  <si>
    <t>MjYBAAAA3rYBAAIAAAAINi4zNDIwMDUBCAAAAAUAAAABMQEAAAALLTIwNTkwNzMyMDIDAAAAAzE2MAIAAAAFMjMzMTMEAAAAATAHAAAACDMvNy8yMDI2CAAAAAoxMi8zMS8yMDIwCQAAAAEwquF+JP+B3gg+qPkn/4HeCEFDSVEuTllTRTpJQk0uSVFfVE9UQUxfREVCVF9FQklUREFfRVhDTF9PUEVSX0xFQVNFUy45OTUuMDcvMDMvMjAyNgEAAADetgEAAgAAAAc1LjczMTA5AQgAAAAFAAAAATEBAAAACy0yMDU5MDczMjAyAwAAAAMxNjACAAAABTQ4OTk0BAAAAAEwBwAAAAgzLzcvMjAyNggAAAAKMTIvMzEvMjAyMAkAAAABMKrhfiT/gd4IPqj5J/+B3gg6Q0lRLk5ZU0U6SUJNLklRX0VCSVREQV9FWENMX09QRVJfTEVBU0VTX0lOVC45OTcuMDcvMDMvMjAyNgEAAADetgEAAgAAAAg4Ljg2MTAxOQEIAAAABQAAAAExAQAAAAstMTk1ODI4MTA5NgMAAAADMTYwAgAAAAU0OTE3MwQAAAABMAcAAAAIMy83LzIwMjYIAAAACjEyLzMxLzIwMjIJAAAAATCq4X4k/4HeCCBa+Sf/gd4INUNJUS5OWVNFOklCTS5JUV9UT1RBTF9SRVZfNVlSX0FOTl9DQUdSLjk5OS4wNy8wMy8yMDI2AQAAAN62AQACAAAABjEuNjg4MgEIAAAABQAAAAExAQAAAAstMTkwNDg2MDc0MwMAAAADMTYwAgAAAAQ0MjMzBAAAAAEwBwAAAAgzLzcvMjAyNggAAAAKMTIvMzEvMjAyNAkAAAABMKrhfiT/gd4IIFr5J/+B3ggvQ0lRLk5ZU0U6SUJNLklR</t>
  </si>
  <si>
    <t>X0VQU18zWVJfQU5OX0NBR1IuOTkzLjA3LzAzLzIwMjYBAAAA3rYBAAIAAAAILTExLjIyMzkBCAAAAAUAAAABMQEAAAAKMjA4MTUwNTQwMQMAAAADMTYwAgAAAAQ0MjI2BAAAAAEwBwAAAAgzLzcvMjAyNggAAAAKMTIvMzEvMjAxOAkAAAABMKrhfiT/gd4IO4H5J/+B3ggwQ0lRLk5ZU0U6SUJNLklRX0VCSVRfM1lSX0FOTl9DQUdSLjk5OS4wNy8wMy8yMDI2AQAAAN62AQACAAAABTIwLjU4AQgAAAAFAAAAATEBAAAACy0xOTA0ODYwNzQzAwAAAAMxNjACAAAABDQyMjMEAAAAATAHAAAACDMvNy8yMDI2CAAAAAoxMi8zMS8yMDI0CQAAAAEwquF+JP+B3gg7gfkn/4HeCC5DSVEuTllTRTpJQk0uSVFfR1BfM1lSX0FOTl9DQUdSLjk5NS4wNy8wMy8yMDI2AQAAAN62AQACAAAABy01LjgxNTgBCAAAAAUAAAABMQEAAAALLTIwNTkwNzMyMDIDAAAAAzE2MAIAAAAENDIyMQQAAAABMAcAAAAIMy83LzIwMjYIAAAACjEyLzMxLzIwMjAJAAAAATCq4X4k/4HeCDuB+Sf/gd4IMkNJUS5OWVNFOklCTS5JUV9FQklUXzFZUl9BTk5fR1JPV1RILjk5Ny4wNy8wMy8yMDI2AQAAAN62AQACAAAABzM0LjcxMjUBCAAAAAUAAAABMQEAAAALLTE5NTgyODEwOTYDAAAAAzE2MAIAAAAENDE5NwQAAAABMAcAAAAIMy83LzIwMjYIAAAACjEyLzMxLzIwMjIJAAAAATCq4X4k/4HeCO0y+Sf/gd4ILkNJUS5OWVNFOklCTS5JUV9UT1RBTF9F</t>
  </si>
  <si>
    <t>TVBMT1lFRVMuOTk4LjA3LzAzLzIwMjYBAAAA3rYBAAIAAAAGMjgyMjAwAKrhfiT/gd4I7TL5J/+B3ggoQ0lRLk5ZU0U6SUJNLklRX1BBUlRfVElNRS45OTIuMDcvMDMvMjAyNgEAAADetgEAAwAAAAAAquF+JP+B3gggWvkn/4HeCClDSVEuTllTRTpJQk0uSVFfSU5WX01FVEhPRC45OTYuMDcvMDMvMjAyNgEAAADetgEAAwAAAAhBdmcgQ29zdACq4X4k/4HeCCBa+Sf/gd4IPENJUS5OWVNFOklCTS5JUV9UT1RBTF9PVVRTVEFORElOR19GSUxJTkdfREFURS45OTguMDcvMDMvMjAyNgEAAADetgEAAgAAAAo5MTYuNzQ0ODQ4AQQAAAAFAAAAATUBAAAACy0xOTA0ODYwNzQ0AgAAAAUyNDE1MwYAAAABMKrhfiT/gd4IIFr5J/+B3gguQ0lRLk5ZU0U6SUJNLklRX05JXzVZUl9BTk5fQ0FHUi45OTcuMDcvMDMvMjAyNgEAAADetgEAAgAAAAgtMjIuMjA3NwEIAAAABQAAAAExAQAAAAstMTk1ODI4MTA5NgMAAAADMTYwAgAAAAQ0MjM4BAAAAAEwBwAAAAgzLzcvMjAyNggAAAAKMTIvMzEvMjAyMgkAAAABMKrhfiT/gd4IwQv5J/+B3ggtQ0lRLk5ZU0U6SUJNLklRX1JFVFVSTl9DQVBJVEFMLjk5Ni4wNy8wMy8yMDI2AQAAAN62AQACAAAABTQuMzYzAQgAAAAFAAAAATEBAAAACy0yMDA4NjQ3MTk4AwAAAAMxNjACAAAABDQzNjMEAAAAATAHAAAACDMvNy8yMDI2CAAAAAoxMi8zMS8yMDIxCQAAAAEwquF+JP+B3gjBC/kn</t>
  </si>
  <si>
    <t>/4HeCCZDSVEuTllTRTpJQk0uSVFfR0FBUF9CUy45OTYuMDcvMDMvMjAyNgEAAADetgEAAwAAAAdVUyBHQUFQAKrhfiT/gd4I7TL5J/+B3ggtQ0lRLk5ZU0U6SUJNLklRX1JFU1RBVEVNRU5UX0JTLjk5Mi4wNy8wMy8yMDI2AQAAAN62AQADAAAAAk5DAKrhfiT/gd4I7TL5J/+B3ggtQ0lRLk5ZU0U6SUJNLklRX0NPU1RfQk9SUk9XSU5HLjk5Mi4wNy8wMy8yMDI2AQAAAN62AQACAAAABjEuMzkyNwEIAAAABQAAAAExAQAAAAoyMDE3MTY0MjQ0AwAAAAMxNjACAAAABTIxNjgxBAAAAAEwBwAAAAgzLzcvMjAyNggAAAAKMTIvMzEvMjAxNwkAAAABMKrhfiT/gd4I7TL5J/+B3ggwQ0lRLk5ZU0U6SUJNLklRX05VTUJFUl9BRFJIT0xERVJTLjk5Ni4wNy8wMy8yMDI2AQAAAN62AQADAAAAAACq4X4k/4HeCB/4+Cf/gd4IMENJUS5OWVNFOklCTS5JUV9GSVhFRF9BU1NFVF9UVVJOUy45OTguMDcvMDMvMjAyNgEAAADetgEAAgAAAAg3LjMwNjQ0MwEIAAAABQAAAAExAQAAAAstMTkwNDg2MDc0NAMAAAADMTYwAgAAAAQ0MDY2BAAAAAEwBwAAAAgzLzcvMjAyNggAAAAKMTIvMzEvMjAyMwkAAAABMKrhfiT/gd4IwQv5J/+B3ggqQ0lRLk5ZU0U6SUJNLklRX0FTU0VUX1RVUk5TLjk5Mi4wNy8wMy8yMDI2AQAAAN62AQACAAAACDAuNjUxODE2AQgAAAAFAAAAATEBAAAACjIwMTcxNjQyNDQDAAAAAzE2MAIAAAAENDE3NwQA</t>
  </si>
  <si>
    <t>AAABMAcAAAAIMy83LzIwMjYIAAAACjEyLzMxLzIwMTcJAAAAATCq4X4k/4HeCMEL+Sf/gd4IKENJUS5OWVNFOklCTS5JUV9OSV9NQVJHSU4uOTk4LjA3LzAzLzIwMjYBAAAA3rYBAAIAAAAHMTIuMTI3MwEIAAAABQAAAAExAQAAAAstMTkwNDg2MDc0NAMAAAADMTYwAgAAAAQ0MDk0BAAAAAEwBwAAAAgzLzcvMjAyNggAAAAKMTIvMzEvMjAyMwkAAAABMKrhfiT/gd4IwQv5J/+B3ggsQ0lRLk5ZU0U6SUJNLklRX0VCSVREQV9NQVJHSU4uOTk0LjA3LzAzLzIwMjYBAAAA3rYBAAIAAAAGMjMuNTYxAQgAAAAFAAAAATEBAAAACy0yMTEwNzY5MzU1AwAAAAMxNjACAAAABDQwNDcEAAAAATAHAAAACDMvNy8yMDI2CAAAAAoxMi8zMS8yMDE5CQAAAAEwquF+JP+B3gjBC/kn/4HeCDRDSVEuTllTRTpJQk0uSVFfUkVUVVJOX0NPTU1PTl9FUVVJVFkuMTAwMC4wNy8wMy8yMDI2AQAAAN62AQACAAAABzM1LjI2MzEBCAAAAAUAAAABMQEAAAALLTE5MDQ4NjA3NDADAAAAAzE2MAIAAAAFMzMzMjAEAAAAATAHAAAACDMvNy8yMDI2CAAAAAoxMi8zMS8yMDI1CQAAAAEwquF+JP+B3ggG0fgn/4HeCC1DSVEuTllTRTpJQk0uSVFfTFRfREVCVF9FUVVJVFkuOTkyLjA3LzAzLzIwMjYBAAAA3rYBAAIAAAAIMjI0Ljk0MjEBCAAAAAUAAAABMQEAAAAKMjAxNzE2NDI0NAMAAAADMTYwAgAAAAQ0MDg1BAAAAAEwBwAAAAgzLzcvMjAy</t>
  </si>
  <si>
    <t>NggAAAAKMTIvMzEvMjAxNwkAAAABMKrhfiT/gd4IBtH4J/+B3ggvQ0lRLk5ZU0U6SUJNLklRX0NBU0hfQ09OVkVSU0lPTi4xMDAwLjA3LzAzLzIwMjYBAAAA3rYBAAIAAAAIMS45NDE0MzUBCAAAAAUAAAABMQEAAAALLTE5MDQ4NjA3NDADAAAAAzE2MAIAAAAENDE4NAQAAAABMAcAAAAIMy83LzIwMjYIAAAACjEyLzMxLzIwMjUJAAAAATCq4X4k/4HeCAbR+Cf/gd4IL0NJUS5OWVNFOklCTS5JUV9EQVlTX1BBWUFCTEVfT1VULjk5NC4wNy8wMy8yMDI2AQAAAN62AQACAAAACTgyLjI1NTMwNQEIAAAABQAAAAExAQAAAAstMjExMDc2OTM1NQMAAAADMTYwAgAAAAQ0MTgzBAAAAAEwBwAAAAgzLzcvMjAyNggAAAAKMTIvMzEvMjAxOQkAAAABMKrhfiT/gd4IH/j4J/+B3gguQ0lRLk5ZU0U6SUJNLklRX0RBWVNfU0FMRVNfT1VULjEwMDAuMDcvMDMvMjAyNgEAAADetgEAAgAAAAk0My4yNTE0MDUBCAAAAAUAAAABMQEAAAALLTE5MDQ4NjA3NDADAAAAAzE2MAIAAAAENDA0MgQAAAABMAcAAAAIMy83LzIwMjYIAAAACjEyLzMxLzIwMjUJAAAAATCq4X4k/4HeCB/4+Cf/gd4IKkNJUS5OWVNFOklCTS5JUV9RVUlDS19SQVRJTy45OTYuMDcvMDMvMjAyNgEAAADetgEAAgAAAAgwLjY3NTA5NAEIAAAABQAAAAExAQAAAAstMjAwODY0NzE5OAMAAAADMTYwAgAAAAQ0MTIxBAAAAAEwBwAAAAgzLzcvMjAyNggAAAAKMTIv</t>
  </si>
  <si>
    <t>MzEvMjAyMQkAAAABMKrhfiT/gd4I1Kn4J/+B3ghHQ0lRLk5ZU0U6SUJNLklRX1RPVEFMX0RFQlRfRUJJVERBX0VYQ0xfT1BFUl9MRUFTRVNfQ0FQRVguOTkyLjA3LzAzLzIwMjYBAAAA3rYBAAIAAAAIMy42MDYxMjUBCAAAAAUAAAABMQEAAAAKMjAxNzE2NDI0NAMAAAADMTYwAgAAAAU0OTE4MwQAAAABMAcAAAAIMy83LzIwMjYIAAAACjEyLzMxLzIwMTcJAAAAATCq4X4k/4HeCNSp+Cf/gd4IL0NJUS5OWVNFOklCTS5JUV9ORVRfREVCVF9FQklUREEuMTAwMC4wNy8wMy8yMDI2AQAAAN62AQACAAAACDIuODgwMTc5AQgAAAAFAAAAATEBAAAACy0xOTA0ODYwNzQwAwAAAAMxNjACAAAABDQxOTMEAAAAATAHAAAACDMvNy8yMDI2CAAAAAoxMi8zMS8yMDI1CQAAAAEwquF+JP+B3gjUqfgn/4HeCEFDSVEuTllTRTpJQk0uSVFfVE9UQUxfREVCVF9FQklUREFfRVhDTF9PUEVSX0xFQVNFUy45OTQuMDcvMDMvMjAyNgEAAADetgEAAgAAAAg1LjAxMjM1NAEIAAAABQAAAAExAQAAAAstMjExMDc2OTM1NQMAAAADMTYwAgAAAAU0ODk5NAQAAAABMAcAAAAIMy83LzIwMjYIAAAACjEyLzMxLzIwMTkJAAAAATCq4X4k/4HeCNSp+Cf/gd4IOkNJUS5OWVNFOklCTS5JUV9FQklUREFfRVhDTF9PUEVSX0xFQVNFU19JTlQuOTk2LjA3LzAzLzIwMjYBAAAA3rYBAAIAAAAIOS43OTEzNDEBCAAAAAUAAAABMQEAAAALLTIwMDg2</t>
  </si>
  <si>
    <t>NDcxOTgDAAAAAzE2MAIAAAAFNDkxNzMEAAAAATAHAAAACDMvNy8yMDI2CAAAAAoxMi8zMS8yMDIxCQAAAAEwquF+JP+B3ggG0fgn/4HeCC5DSVEuTllTRTpJQk0uSVFfTFRfREVCVF9DQVBJVEFMLjk5OC4wNy8wMy8yMDI2AQAAAN62AQACAAAABzYzLjgyODMBCAAAAAUAAAABMQEAAAALLTE5MDQ4NjA3NDQDAAAAAzE2MAIAAAAENDE4NwQAAAABMAcAAAAIMy83LzIwMjYIAAAACjEyLzMxLzIwMjMJAAAAATCq4X4k/4HeCCNv+Cf/gd4ILkNJUS5OWVNFOklCTS5JUV9HUF8zWVJfQU5OX0NBR1IuOTk0LjA3LzAzLzIwMjYBAAAA3rYBAAIAAAAHLTYuNDUwNAEIAAAABQAAAAExAQAAAAstMjExMDc2OTM1NQMAAAADMTYwAgAAAAQ0MjIxBAAAAAEwBwAAAAgzLzcvMjAyNggAAAAKMTIvMzEvMjAxOQkAAAABMKrhfiT/gd4IL5b4J/+B3ggyQ0lRLk5ZU0U6SUJNLklRX0VQU18xWVJfQU5OX0dST1dUSC4xMDAwLjA3LzAzLzIwMjYBAAAA3rYBAAIAAAAHNzMuNTIwMgEIAAAABQAAAAExAQAAAAstMTkwNDg2MDc0MAMAAAADMTYwAgAAAAQ0MjAwBAAAAAEwBwAAAAgzLzcvMjAyNggAAAAKMTIvMzEvMjAyNQkAAAABMKrhfiT/gd4IL5b4J/+B3ggwQ0lRLk5ZU0U6SUJNLklRX05JXzFZUl9BTk5fR1JPV1RILjk5NC4wNy8wMy8yMDI2AQAAAN62AQACAAAABjguMDU0NQEIAAAABQAAAAExAQAAAAstMjExMDc2OTM1NQMA</t>
  </si>
  <si>
    <t>AAADMTYwAgAAAAQ0MTk5BAAAAAEwBwAAAAgzLzcvMjAyNggAAAAKMTIvMzEvMjAxOQkAAAABMKrhfiT/gd4IL5b4J/+B3gg3Q0lRLk5ZU0U6SUJNLklRX1RPVEFMX1JFVl8xWVJfQU5OX0dST1dUSC45OTYuMDcvMDMvMjAyNgEAAADetgEAAgAAAAYzLjkzNjIBCAAAAAUAAAABMQEAAAALLTIwMDg2NDcxOTgDAAAAAzE2MAIAAAAENDE5NAQAAAABMAcAAAAIMy83LzIwMjYIAAAACjEyLzMxLzIwMjEJAAAAATCq4X4k/4HeCNSp+Cf/gd4INENJUS5OWVNFOklCTS5JUV9ORVRfREVCVF9FQklUREFfQ0FQRVguOTk4LjA3LzAzLzIwMjYBAAAA3rYBAAIAAAAIMy43Nzg3NzEBCAAAAAUAAAABMQEAAAALLTE5MDQ4NjA3NDQDAAAAAzE2MAIAAAAFMjMzMTQEAAAAATAHAAAACDMvNy8yMDI2CAAAAAoxMi8zMS8yMDIzCQAAAAEwquF+JP+B3gjdR/gn/4HeCDxDSVEuTllTRTpJQk0uSVFfVE9UQUxfT1VUU1RBTkRJTkdfRklMSU5HX0RBVEUuOTk3LjA3LzAzLzIwMjYBAAAA3rYBAAIAAAAKOTA3LjEwNTYxMQEEAAAABQAAAAE1AQAAAAstMTk1ODI4MTA5NgIAAAAFMjQxNTMGAAAAATCq4X4k/4HeCCNv+Cf/gd4ILkNJUS5OWVNFOklCTS5JUV9OSV81WVJfQU5OX0NBR1IuOTk2LjA3LzAzLzIwMjYBAAAA3rYBAAIAAAAILTEzLjUxODYBCAAAAAUAAAABMQEAAAALLTIwMDg2NDcxOTgDAAAAAzE2MAIAAAAENDIzOAQAAAAB</t>
  </si>
  <si>
    <t>MAcAAAAIMy83LzIwMjYIAAAACjEyLzMxLzIwMjEJAAAAATCq4X4k/4HeCCNv+Cf/gd4ILkNJUS5OWVNFOklCTS5JUV9HUF81WVJfQU5OX0NBR1IuOTk2LjA3LzAzLzIwMjYBAAAA3rYBAAIAAAAGLTMuOTUxAQgAAAAFAAAAATEBAAAACy0yMDA4NjQ3MTk4AwAAAAMxNjACAAAABDQyMzQEAAAAATAHAAAACDMvNy8yMDI2CAAAAAoxMi8zMS8yMDIxCQAAAAEwquF+JP+B3ggjb/gn/4HeCC9DSVEuTllTRTpJQk0uSVFfRVBTXzNZUl9BTk5fQ0FHUi45OTIuMDcvMDMvMjAyNgEAAADetgEAAgAAAAgtMjYuNzAyMwEIAAAABQAAAAExAQAAAAoyMDE3MTY0MjQ0AwAAAAMxNjACAAAABDQyMjYEAAAAATAHAAAACDMvNy8yMDI2CAAAAAoxMi8zMS8yMDE3CQAAAAEwquF+JP+B3ggjb/gn/4HeCDBDSVEuTllTRTpJQk0uSVFfRUJJVF8zWVJfQU5OX0NBR1IuOTk4LjA3LzAzLzIwMjYBAAAA3rYBAAIAAAAHMjYuNDI3NQEIAAAABQAAAAExAQAAAAstMTkwNDg2MDc0NAMAAAADMTYwAgAAAAQ0MjIzBAAAAAEwBwAAAAgzLzcvMjAyNggAAAAKMTIvMzEvMjAyMwkAAAABMKrhfiT/gd4ISDD4J/+B3ggsQ0lRLk5ZU0U6SUJNLklRX1JFVFVSTl9FUVVJVFkuOTkzLjA3LzAzLzIwMjYBAAAA3rYBAAIAAAAHNTAuMzQxOQEIAAAABQAAAAExAQAAAAoyMDgxNTA1NDAxAwAAAAMxNjACAAAABDQxMjgEAAAAATAHAAAACDMvNy8yMDI2</t>
  </si>
  <si>
    <t>CAAAAAoxMi8zMS8yMDE4CQAAAAEwquF+JP+B3gjdR/gn/4HeCCZDSVEuTllTRTpJQk0uSVFfR0FBUF9CUy45OTUuMDcvMDMvMjAyNgEAAADetgEAAwAAAAdVUyBHQUFQAKrhfiT/gd4I3Uf4J/+B3ggwQ0lRLk5ZU0U6SUJNLklRX05VTUJFUl9BRFJIT0xERVJTLjk5NS4wNy8wMy8yMDI2AQAAAN62AQADAAAAAACq4X4k/4HeCN1H+Cf/gd4IPkNJUS5OWVNFOklCTS5JUV9FTVBMT1lFRVNfVU5ERVJfVU5JT05fQ09OVFJBQ1RTLjk5NS4wNy8wMy8yMDI2AQAAAN62AQADAAAAAACq4X4k/4HeCN1H+Cf/gd4IKUNJUS5OWVNFOklCTS5JUV9JTlZfTUVUSE9ELjk5NS4wNy8wMy8yMDI2AQAAAN62AQADAAAACEF2ZyBDb3N0AKrhfiT/gd4IevX3J/+B3ggqQ0lRLk5ZU0U6SUJNLklRX1FVSUNLX1JBVElPLjk5NS4wNy8wMy8yMDI2AQAAAN62AQACAAAACDAuNzgyNzM4AQgAAAAFAAAAATEBAAAACy0yMDU5MDczMjAyAwAAAAMxNjACAAAABDQxMjEEAAAAATAHAAAACDMvNy8yMDI2CAAAAAoxMi8zMS8yMDIwCQAAAAEwquF+JP+B3gh69fcn/4HeCCdDSVEuTllTRTpJQk0uSVFfQVJfVFVSTlMuOTk1LjA3LzAzLzIwMjYBAAAA3rYBAAIAAAAINy40MzU2ODYBCAAAAAUAAAABMQEAAAALLTIwNTkwNzMyMDIDAAAAAzE2MAIAAAAENDAwMQQAAAABMAcAAAAIMy83LzIwMjYIAAAACjEyLzMxLzIwMjAJAAAAATCq4X4k/4He</t>
  </si>
  <si>
    <t>CHr19yf/gd4IKENJUS5OWVNFOklCTS5JUV9OSV9NQVJHSU4uOTk3LjA3LzAzLzIwMjYBAAAA3rYBAAIAAAAGMi43MDc3AQgAAAAFAAAAATEBAAAACy0xOTU4MjgxMDk2AwAAAAMxNjACAAAABDQwOTQEAAAAATAHAAAACDMvNy8yMDI2CAAAAAoxMi8zMS8yMDIyCQAAAAEwquF+JP+B3ghIMPgn/4HeCCxDSVEuTllTRTpJQk0uSVFfRUJJVERBX01BUkdJTi45OTMuMDcvMDMvMjAyNgEAAADetgEAAgAAAAcyMi4yMzYxAQgAAAAFAAAAATEBAAAACjIwODE1MDU0MDEDAAAAAzE2MAIAAAAENDA0NwQAAAABMAcAAAAIMy83LzIwMjYIAAAACjEyLzMxLzIwMTgJAAAAATCq4X4k/4HeCEgw+Cf/gd4IM0NJUS5OWVNFOklCTS5JUV9SRVRVUk5fQ09NTU9OX0VRVUlUWS45OTkuMDcvMDMvMjAyNgEAAADetgEAAgAAAAcyNC4xMzcyAQgAAAAFAAAAATEBAAAACy0xOTA0ODYwNzQzAwAAAAMxNjACAAAABTMzMzIwBAAAAAEwBwAAAAgzLzcvMjAyNggAAAAKMTIvMzEvMjAyNAkAAAABMKrhfiT/gd4IevX3J/+B3gg6Q0lRLk5ZU0U6SUJNLklRX0VCSVREQV9FWENMX09QRVJfTEVBU0VTX0lOVC45OTUuMDcvMDMvMjAyNgEAAADetgEAAgAAAAg4LjgxNzU0NgEIAAAABQAAAAExAQAAAAstMjA1OTA3MzIwMgMAAAADMTYwAgAAAAU0OTE3MwQAAAABMAcAAAAIMy83LzIwMjYIAAAACjEyLzMxLzIwMjAJAAAAATCq4X4k/4HeCHr1</t>
  </si>
  <si>
    <t>9yf/gd4ILkNJUS5OWVNFOklCTS5JUV9MVF9ERUJUX0NBUElUQUwuOTk3LjA3LzAzLzIwMjYBAAAA3rYBAAIAAAAHNjMuNjI4MQEIAAAABQAAAAExAQAAAAstMTk1ODI4MTA5NgMAAAADMTYwAgAAAAQ0MTg3BAAAAAEwBwAAAAgzLzcvMjAyNggAAAAKMTIvMzEvMjAyMgkAAAABMKrhfiT/gd4IevX3J/+B3ggwQ0lRLk5ZU0U6SUJNLklRX1RPVEFMX0RFQlRfRVFVSVRZLjk5Ny4wNy8wMy8yMDI2AQAAAN62AQACAAAACDI0NS4yNzk1AQgAAAAFAAAAATEBAAAACy0xOTU4MjgxMDk2AwAAAAMxNjACAAAABDQwMzQEAAAAATAHAAAACDMvNy8yMDI2CAAAAAoxMi8zMS8yMDIyCQAAAAEwquF+JP+B3gh69fcn/4HeCC9DSVEuTllTRTpJQk0uSVFfREFZU19QQVlBQkxFX09VVC45OTMuMDcvMDMvMjAyNgEAAADetgEAAgAAAAk1Ny4wNDE4MzUBCAAAAAUAAAABMQEAAAAKMjA4MTUwNTQwMQMAAAADMTYwAgAAAAQ0MTgzBAAAAAEwBwAAAAgzLzcvMjAyNggAAAAKMTIvMzEvMjAxOAkAAAABMKrhfiT/gd4IevX3J/+B3ggtQ0lRLk5ZU0U6SUJNLklRX0RBWVNfU0FMRVNfT1VULjk5OS4wNy8wMy8yMDI2AQAAAN62AQACAAAACTQ0LjExMjg4MgEIAAAABQAAAAExAQAAAAstMTkwNDg2MDc0MwMAAAADMTYwAgAAAAQ0MDQyBAAAAAEwBwAAAAgzLzcvMjAyNggAAAAKMTIvMzEvMjAyNAkAAAABMKrhfiT/gd4IC873J/+B3gg3</t>
  </si>
  <si>
    <t>Q0lRLk5ZU0U6SUJNLklRX1RPVEFMX1JFVl8xWVJfQU5OX0dST1dUSC45OTUuMDcvMDMvMjAyNgEAAADetgEAAgAAAActNC4zOTI0AQgAAAAFAAAAATEBAAAACy0yMDU5MDczMjAyAwAAAAMxNjACAAAABDQxOTQEAAAAATAHAAAACDMvNy8yMDI2CAAAAAoxMi8zMS8yMDIwCQAAAAEwquF+JP+B3ggLzvcn/4HeCDRDSVEuTllTRTpJQk0uSVFfTkVUX0RFQlRfRUJJVERBX0NBUEVYLjk5Ny4wNy8wMy8yMDI2AQAAAN62AQACAAAABzQuMjQwODIBCAAAAAUAAAABMQEAAAALLTE5NTgyODEwOTYDAAAAAzE2MAIAAAAFMjMzMTQEAAAAATAHAAAACDMvNy8yMDI2CAAAAAoxMi8zMS8yMDIyCQAAAAEwquF+JP+B3ggLzvcn/4HeCC5DSVEuTllTRTpJQk0uSVFfTkVUX0RFQlRfRUJJVERBLjk5OS4wNy8wMy8yMDI2AQAAAN62AQACAAAACDMuMDg1OTQ1AQgAAAAFAAAAATEBAAAACy0xOTA0ODYwNzQzAwAAAAMxNjACAAAABDQxOTMEAAAAATAHAAAACDMvNy8yMDI2CAAAAAoxMi8zMS8yMDI0CQAAAAEwquF+JP+B3ggLzvcn/4HeCEFDSVEuTllTRTpJQk0uSVFfVE9UQUxfREVCVF9FQklUREFfRVhDTF9PUEVSX0xFQVNFUy45OTMuMDcvMDMvMjAyNgEAAADetgEAAgAAAAgyLjU4ODU0MQEIAAAABQAAAAExAQAAAAoyMDgxNTA1NDAxAwAAAAMxNjACAAAABTQ4OTk0BAAAAAEwBwAAAAgzLzcvMjAyNggAAAAKMTIvMzEvMjAx</t>
  </si>
  <si>
    <t>OAkAAAABMKrhfiT/gd4IevX3J/+B3ghAQ0lRLk5ZU0U6SUJNLklRX0VCSVREQV9FWENMX09QRVJfTEVBU0VTX0NBUEVYX0lOVC45OTkuMDcvMDMvMjAyNgEAAADetgEAAgAAAAg2LjkxNDcxOQEIAAAABQAAAAExAQAAAAstMTkwNDg2MDc0MwMAAAADMTYwAgAAAAU0OTE3NAQAAAABMAcAAAAIMy83LzIwMjYIAAAACjEyLzMxLzIwMjQJAAAAATCq4X4k/4HeCC649yf/gd4IL0NJUS5OWVNFOklCTS5JUV9FUFNfNVlSX0FOTl9DQUdSLjk5My4wNy8wMy8yMDI2AQAAAN62AQACAAAABy05LjA2NzcBCAAAAAUAAAABMQEAAAAKMjA4MTUwNTQwMQMAAAADMTYwAgAAAAQ0MjM5BAAAAAEwBwAAAAgzLzcvMjAyNggAAAAKMTIvMzEvMjAxOAkAAAABMKrhfiT/gd4ILrj3J/+B3gguQ0lRLk5ZU0U6SUJNLklRX0dQXzVZUl9BTk5fQ0FHUi45OTUuMDcvMDMvMjAyNgEAAADetgEAAgAAAActNS4zNzQ0AQgAAAAFAAAAATEBAAAACy0yMDU5MDczMjAyAwAAAAMxNjACAAAABDQyMzQEAAAAATAHAAAACDMvNy8yMDI2CAAAAAoxMi8zMS8yMDIwCQAAAAEwquF+JP+B3ggLzvcn/4HeCDBDSVEuTllTRTpJQk0uSVFfRUJJVF8zWVJfQU5OX0NBR1IuOTk3LjA3LzAzLzIwMjYBAAAA3rYBAAIAAAAHLTAuMDc5NwEIAAAABQAAAAExAQAAAAstMTk1ODI4MTA5NgMAAAADMTYwAgAAAAQ0MjIzBAAAAAEwBwAAAAgzLzcvMjAyNggAAAAK</t>
  </si>
  <si>
    <t>MTIvMzEvMjAyMgkAAAABMKrhfiT/gd4IC873J/+B3ggxQ0lRLk5ZU0U6SUJNLklRX0VQU18xWVJfQU5OX0dST1dUSC45OTkuMDcvMDMvMjAyNgEAAADetgEAAgAAAActMjEuMjI3AQgAAAAFAAAAATEBAAAACy0xOTA0ODYwNzQzAwAAAAMxNjACAAAABDQyMDAEAAAAATAHAAAACDMvNy8yMDI2CAAAAAoxMi8zMS8yMDI0CQAAAAEwquF+JP+B3ggLzvcn/4HeCDBDSVEuTllTRTpJQk0uSVFfTklfMVlSX0FOTl9HUk9XVEguOTkzLjA3LzAzLzIwMjYBAAAA3rYBAAIAAAAHNTEuNzEyMQEIAAAABQAAAAExAQAAAAoyMDgxNTA1NDAxAwAAAAMxNjACAAAABDQxOTkEAAAAATAHAAAACDMvNy8yMDI2CAAAAAoxMi8zMS8yMDE4CQAAAAEwquF+JP+B3gjHZfcn/4HeCCxDSVEuTllTRTpJQk0uSVFfUkVUVVJOX0VRVUlUWS45OTIuMDcvMDMvMjAyNgEAAADetgEAAgAAAAczMS44ODUyAQgAAAAFAAAAATEBAAAACjIwMTcxNjQyNDQDAAAAAzE2MAIAAAAENDEyOAQAAAABMAcAAAAIMy83LzIwMjYIAAAACjEyLzMxLzIwMTcJAAAAATCq4X4k/4HeCMdl9yf/gd4IJkNJUS5OWVNFOklCTS5JUV9HQUFQX0JTLjk5NC4wNy8wMy8yMDI2AQAAAN62AQADAAAAB1VTIEdBQVAAquF+JP+B3giBoPcn/4HeCC5DSVEuTllTRTpJQk0uSVFfUkVTVEFURU1FTlRfQlMuMTAwMC4wNy8wMy8yMDI2AQAAAN62AQADAAAAAU8AuQh/JP+B3giB</t>
  </si>
  <si>
    <t>oPcn/4HeCC1DSVEuTllTRTpJQk0uSVFfQVZHX0VNUExPWUVFUy4xMDAwLjA3LzAzLzIwMjYBAAAA3rYBAAMAAAAAALkIfyT/gd4IgaD3J/+B3gg+Q0lRLk5ZU0U6SUJNLklRX0VNUExPWUVFU19VTkRFUl9VTklPTl9DT05UUkFDVFMuOTk0LjA3LzAzLzIwMjYBAAAA3rYBAAMAAAAAALkIfyT/gd4Ix2X3J/+B3ggvQ0lRLk5ZU0U6SUJNLklRX0NGT19DVVJSRU5UX0xJQUIuOTkyLjA3LzAzLzIwMjYBAAAA3rYBAAIAAAAIMC40NDc2MDgBCAAAAAUAAAABMQEAAAAKMjAxNzE2NDI0NAMAAAADMTYwAgAAAAQ0MTg1BAAAAAEwBwAAAAgzLzcvMjAyNggAAAAKMTIvMzEvMjAxNwkAAAABMLkIfyT/gd4Ix2X3J/+B3ggvQ0lRLk5ZU0U6SUJNLklRX0lOVkVOVE9SWV9UVVJOUy4xMDAwLjA3LzAzLzIwMjYBAAAA3rYBAAIAAAAJMjIuMTg4OTE5AQgAAAAFAAAAATEBAAAACy0xOTA0ODYwNzQwAwAAAAMxNjACAAAABDQwODIEAAAAATAHAAAACDMvNy8yMDI2CAAAAAoxMi8zMS8yMDI1CQAAAAEwuQh/JP+B3gjHZfcn/4HeCCdDSVEuTllTRTpJQk0uSVFfQVJfVFVSTlMuOTk0LjA3LzAzLzIwMjYBAAAA3rYBAAIAAAAINi45NDc2MTQBCAAAAAUAAAABMQEAAAALLTIxMTA3NjkzNTUDAAAAAzE2MAIAAAAENDAwMQQAAAABMAcAAAAIMy83LzIwMjYIAAAACjEyLzMxLzIwMTkJAAAAATC5CH8k/4HeCMdl9yf/gd4IKENJUS5O</t>
  </si>
  <si>
    <t>WVNFOklCTS5JUV9OSV9NQVJHSU4uOTk2LjA3LzAzLzIwMjYBAAAA3rYBAAIAAAAHMTAuMDEzNwEIAAAABQAAAAExAQAAAAstMjAwODY0NzE5OAMAAAADMTYwAgAAAAQ0MDk0BAAAAAEwBwAAAAgzLzcvMjAyNggAAAAKMTIvMzEvMjAyMQkAAAABMLkIfyT/gd4Ix2X3J/+B3ggzQ0lRLk5ZU0U6SUJNLklRX1JFVFVSTl9DT01NT05fRVFVSVRZLjk5OC4wNy8wMy8yMDI2AQAAAN62AQACAAAABzMzLjc4ODIBCAAAAAUAAAABMQEAAAALLTE5MDQ4NjA3NDQDAAAAAzE2MAIAAAAFMzMzMjAEAAAAATAHAAAACDMvNy8yMDI2CAAAAAoxMi8zMS8yMDIzCQAAAAEwuQh/JP+B3gjHZfcn/4HeCChDSVEuTllTRTpJQk0uSVFfRUJJVF9JTlQuMTAwMC4wNy8wMy8yMDI2AQAAAN62AQACAAAABzYuNDk1MDkBCAAAAAUAAAABMQEAAAALLTE5MDQ4NjA3NDADAAAAAzE2MAIAAAAENDE4OQQAAAABMAcAAAAIMy83LzIwMjYIAAAACjEyLzMxLzIwMjUJAAAAATC5CH8k/4HeCMdl9yf/gd4INkNJUS5OWVNFOklCTS5JUV9UT1RBTF9MSUFCX1RPVEFMX0FTU0VUUy45OTQuMDcvMDMvMjAyNgEAAADetgEAAgAAAAc4Ni4yMTA5AQgAAAAFAAAAATEBAAAACy0yMTEwNzY5MzU1AwAAAAMxNjACAAAABDQxODgEAAAAATAHAAAACDMvNy8yMDI2CAAAAAoxMi8zMS8yMDE5CQAAAAEwuQh/JP+B3gjHZfcn/4HeCDBDSVEuTllTRTpJQk0uSVFf</t>
  </si>
  <si>
    <t>VE9UQUxfREVCVF9FUVVJVFkuOTk2LjA3LzAzLzIwMjYBAAAA3rYBAAIAAAAIMjkwLjI3MTYBCAAAAAUAAAABMQEAAAALLTIwMDg2NDcxOTgDAAAAAzE2MAIAAAAENDAzNAQAAAABMAcAAAAIMy83LzIwMjYIAAAACjEyLzMxLzIwMjEJAAAAATC5CH8k/4HeCMdl9yf/gd4IL0NJUS5OWVNFOklCTS5JUV9EQVlTX1BBWUFCTEVfT1VULjk5Mi4wNy8wMy8yMDI2AQAAAN62AQACAAAACDU2LjMzMDQ1AQgAAAAFAAAAATEBAAAACjIwMTcxNjQyNDQDAAAAAzE2MAIAAAAENDE4MwQAAAABMAcAAAAIMy83LzIwMjYIAAAACjEyLzMxLzIwMTcJAAAAATC5CH8k/4HeCMdl9yf/gd4ILUNJUS5OWVNFOklCTS5JUV9EQVlTX1NBTEVTX09VVC45OTguMDcvMDMvMjAyNgEAAADetgEAAgAAAAk0My45NjI0MjUBCAAAAAUAAAABMQEAAAALLTE5MDQ4NjA3NDQDAAAAAzE2MAIAAAAENDA0MgQAAAABMAcAAAAIMy83LzIwMjYIAAAACjEyLzMxLzIwMjMJAAAAATC5CH8k/4HeCLU+9yf/gd4INENJUS5OWVNFOklCTS5JUV9ORVRfREVCVF9FQklUREFfQ0FQRVguOTk2LjA3LzAzLzIwMjYBAAAA3rYBAAIAAAAINC40ODI0MDMBCAAAAAUAAAABMQEAAAALLTIwMDg2NDcxOTgDAAAAAzE2MAIAAAAFMjMzMTQEAAAAATAHAAAACDMvNy8yMDI2CAAAAAoxMi8zMS8yMDIxCQAAAAEwuQh/JP+B3gi1Pvcn/4HeCD9DSVEuTllTRTpJQk0uSVFf</t>
  </si>
  <si>
    <t>TkVUX0RFQlRfRUJJVERBX0VYQ0xfT1BFUl9MRUFTRVMuOTk2LjA3LzAzLzIwMjYBAAAA3rYBAAIAAAAHNC4yMzQ2OAEIAAAABQAAAAExAQAAAAstMjAwODY0NzE5OAMAAAADMTYwAgAAAAU0OTE3NQQAAAABMAcAAAAIMy83LzIwMjYIAAAACjEyLzMxLzIwMjEJAAAAATC5CH8k/4HeCLU+9yf/gd4IQUNJUS5OWVNFOklCTS5JUV9UT1RBTF9ERUJUX0VCSVREQV9FWENMX09QRVJfTEVBU0VTLjk5Mi4wNy8wMy8yMDI2AQAAAN62AQACAAAACDIuODg4MzY4AQgAAAAFAAAAATEBAAAACjIwMTcxNjQyNDQDAAAAAzE2MAIAAAAFNDg5OTQEAAAAATAHAAAACDMvNy8yMDI2CAAAAAoxMi8zMS8yMDE3CQAAAAEwuQh/JP+B3gjHZfcn/4HeCEBDSVEuTllTRTpJQk0uSVFfRUJJVERBX0VYQ0xfT1BFUl9MRUFTRVNfQ0FQRVhfSU5ULjk5OC4wNy8wMy8yMDI2AQAAAN62AQACAAAABzYuODUyNTIBCAAAAAUAAAABMQEAAAALLTE5MDQ4NjA3NDQDAAAAAzE2MAIAAAAFNDkxNzQEAAAAATAHAAAACDMvNy8yMDI2CAAAAAoxMi8zMS8yMDIzCQAAAAEwuQh/JP+B3gjHZfcn/4HeCDpDSVEuTllTRTpJQk0uSVFfRUJJVERBX0VYQ0xfT1BFUl9MRUFTRVNfSU5ULjk5NC4wNy8wMy8yMDI2AQAAAN62AQACAAAACTEwLjExNzU1OQEIAAAABQAAAAExAQAAAAstMjExMDc2OTM1NQMAAAADMTYwAgAAAAU0OTE3MwQAAAABMAcAAAAIMy83</t>
  </si>
  <si>
    <t>LzIwMjYIAAAACjEyLzMxLzIwMTkJAAAAATC5CH8k/4HeCLU+9yf/gd4IMENJUS5OWVNFOklCTS5JUV9FQklUXzNZUl9BTk5fQ0FHUi45OTYuMDcvMDMvMjAyNgEAAADetgEAAgAAAAgtMjQuOTcwMgEIAAAABQAAAAExAQAAAAstMjAwODY0NzE5OAMAAAADMTYwAgAAAAQ0MjIzBAAAAAEwBwAAAAgzLzcvMjAyNggAAAAKMTIvMzEvMjAyMQkAAAABMLkIfyT/gd4ItT73J/+B3ggxQ0lRLk5ZU0U6SUJNLklRX0VQU18xWVJfQU5OX0dST1dUSC45OTguMDcvMDMvMjAyNgEAAADetgEAAgAAAAgzMTcuOTQ4NgEIAAAABQAAAAExAQAAAAstMTkwNDg2MDc0NAMAAAADMTYwAgAAAAQ0MjAwBAAAAAEwBwAAAAgzLzcvMjAyNggAAAAKMTIvMzEvMjAyMwkAAAABMLkIfyT/gd4ItT73J/+B3ggwQ0lRLk5ZU0U6SUJNLklRX05JXzFZUl9BTk5fR1JPV1RILjk5Mi4wNy8wMy8yMDI2AQAAAN62AQACAAAACC01MS41NDE1AQgAAAAFAAAAATEBAAAACjIwMTcxNjQyNDQDAAAAAzE2MAIAAAAENDE5OQQAAAABMAcAAAAIMy83LzIwMjYIAAAACjEyLzMxLzIwMTcJAAAAATC5CH8k/4HeCLU+9yf/gd4INENJUS5OWVNFOklCTS5JUV9FQklUREFfMVlSX0FOTl9HUk9XVEguOTk4LjA3LzAzLzIwMjYBAAAA3rYBAAIAAAAGMTMuNzU0AQgAAAAFAAAAATEBAAAACy0xOTA0ODYwNzQ0AwAAAAMxNjACAAAABDQxOTYEAAAAATAHAAAACDMv</t>
  </si>
  <si>
    <t>Ny8yMDI2CAAAAAoxMi8zMS8yMDIzCQAAAAEwuQh/JP+B3gi1Pvcn/4HeCDdDSVEuTllTRTpJQk0uSVFfVE9UQUxfUkVWXzFZUl9BTk5fR1JPV1RILjk5NC4wNy8wMy8yMDI2AQAAAN62AQACAAAACC0yNy40ODY4AQgAAAAFAAAAATEBAAAACy0yMTEwNzY5MzU1AwAAAAMxNjACAAAABDQxOTQEAAAAATAHAAAACDMvNy8yMDI2CAAAAAoxMi8zMS8yMDE5CQAAAAEwuQh/JP+B3gilF/cn/4HeCDxDSVEuTllTRTpJQk0uSVFfVE9UQUxfT1VUU1RBTkRJTkdfRklMSU5HX0RBVEUuOTk1LjA3LzAzLzIwMjYBAAAA3rYBAAIAAAAJODkzLjU5NDA5AQQAAAAFAAAAATUBAAAACy0yMDU5MDczMjAyAgAAAAUyNDE1MwYAAAABMLkIfyT/gd4IpRf3J/+B3ggvQ0lRLk5ZU0U6SUJNLklRX0VQU181WVJfQU5OX0NBR1IuOTkyLjA3LzAzLzIwMjYBAAAA3rYBAAIAAAAILTE2LjAzMjYBCAAAAAUAAAABMQEAAAAKMjAxNzE2NDI0NAMAAAADMTYwAgAAAAQ0MjM5BAAAAAEwBwAAAAgzLzcvMjAyNggAAAAKMTIvMzEvMjAxNwkAAAABMLkIfyT/gd4IpRf3J/+B3ggzQ0lRLk5ZU0U6SUJNLklRX0VCSVREQV81WVJfQU5OX0NBR1IuMTAwMC4wNy8wMy8yMDI2AQAAAN62AQACAAAABTcuMjUzAQgAAAAFAAAAATEBAAAACy0xOTA0ODYwNzQwAwAAAAMxNjACAAAABDQyMzUEAAAAATAHAAAACDMvNy8yMDI2CAAAAAoxMi8zMS8yMDI1CQAA</t>
  </si>
  <si>
    <t>AAEwuQh/JP+B3gilF/cn/4HeCC5DSVEuTllTRTpJQk0uSVFfR1BfNVlSX0FOTl9DQUdSLjk5NC4wNy8wMy8yMDI2AQAAAN62AQACAAAABy03LjQzNjcBCAAAAAUAAAABMQEAAAALLTIxMTA3NjkzNTUDAAAAAzE2MAIAAAAENDIzNAQAAAABMAcAAAAIMy83LzIwMjYIAAAACjEyLzMxLzIwMTkJAAAAATC5CH8k/4HeCLU+9yf/gd4IMENJUS5OWVNFOklCTS5JUV9FUFNfM1lSX0FOTl9DQUdSLjEwMDAuMDcvMDMvMjAyNgEAAADetgEAAgAAAAc3OC43NjU0AQgAAAAFAAAAATEBAAAACy0xOTA0ODYwNzQwAwAAAAMxNjACAAAABDQyMjYEAAAAATAHAAAACDMvNy8yMDI2CAAAAAoxMi8zMS8yMDI1CQAAAAEwuQh/JP+B3gif8PYn/4HeCCZDSVEuTllTRTpJQk0uSVFfR0FBUF9CUy45OTMuMDcvMDMvMjAyNgEAAADetgEAAwAAAAdVUyBHQUFQALkIfyT/gd4IpRf3J/+B3ggtQ0lRLk5ZU0U6SUJNLklRX1JFU1RBVEVNRU5UX0JTLjk5OS4wNy8wMy8yMDI2AQAAAN62AQADAAAAAk5DALkIfyT/gd4IpRf3J/+B3ggsQ0lRLk5ZU0U6SUJNLklRX0FWR19FTVBMT1lFRVMuOTk5LjA3LzAzLzIwMjYBAAAA3rYBAAMAAAAAALkIfyT/gd4IpRf3J/+B3gg+Q0lRLk5ZU0U6SUJNLklRX0VNUExPWUVFU19VTkRFUl9VTklPTl9DT05UUkFDVFMuOTkzLjA3LzAzLzIwMjYBAAAA3rYBAAMAAAAAALkIfyT/gd4IpRf3J/+B3ggoQ0lR</t>
  </si>
  <si>
    <t>Lk5ZU0U6SUJNLklRX1BBUlRfVElNRS45OTkuMDcvMDMvMjAyNgEAAADetgEAAwAAAAAAuQh/JP+B3gif8PYn/4HeCCdDSVEuTllTRTpJQk0uSVFfQVJfVFVSTlMuOTkzLjA3LzAzLzIwMjYBAAAA3rYBAAIAAAAIOS4wMTU4OTUBCAAAAAUAAAABMQEAAAAKMjA4MTUwNTQwMQMAAAADMTYwAgAAAAQ0MDAxBAAAAAEwBwAAAAgzLzcvMjAyNggAAAAKMTIvMzEvMjAxOAkAAAABMLkIfyT/gd4In/D2J/+B3ggqQ0lRLk5ZU0U6SUJNLklRX0FTU0VUX1RVUk5TLjk5OS4wNy8wMy8yMDI2AQAAAN62AQACAAAACDAuNDYwNzE0AQgAAAAFAAAAATEBAAAACy0xOTA0ODYwNzQzAwAAAAMxNjACAAAABDQxNzcEAAAAATAHAAAACDMvNy8yMDI2CAAAAAoxMi8zMS8yMDI0CQAAAAEwuQh/JP+B3gif8PYn/4HeCChDSVEuTllTRTpJQk0uSVFfTklfTUFSR0lOLjk5NS4wNy8wMy8yMDI2AQAAAN62AQACAAAABzEwLjEzMDYBCAAAAAUAAAABMQEAAAALLTIwNTkwNzMyMDIDAAAAAzE2MAIAAAAENDA5NAQAAAABMAcAAAAIMy83LzIwMjYIAAAACjEyLzMxLzIwMjAJAAAAATC5CH8k/4HeCJ/w9if/gd4IM0NJUS5OWVNFOklCTS5JUV9SRVRVUk5fQ09NTU9OX0VRVUlUWS45OTcuMDcvMDMvMjAyNgEAAADetgEAAgAAAAY4LjcyNTYBCAAAAAUAAAABMQEAAAALLTE5NTgyODEwOTYDAAAAAzE2MAIAAAAFMzMzMjAEAAAAATAHAAAACDMv</t>
  </si>
  <si>
    <t>Ny8yMDI2CAAAAAoxMi8zMS8yMDIyCQAAAAEwuQh/JP+B3gif8PYn/4HeCCxDSVEuTllTRTpJQk0uSVFfUkVUVVJOX0FTU0VUUy45OTcuMDcvMDMvMjAyNgEAAADetgEAAgAAAAYzLjYyNjQBCAAAAAUAAAABMQEAAAALLTE5NTgyODEwOTYDAAAAAzE2MAIAAAAENDE3OAQAAAABMAcAAAAIMy83LzIwMjYIAAAACjEyLzMxLzIwMjIJAAAAATC5CH8k/4HeCIbJ9if/gd4IJ0NJUS5OWVNFOklCTS5JUV9FQklUX0lOVC45OTkuMDcvMDMvMjAyNgEAAADetgEAAgAAAAg1LjcxNzI4OQEIAAAABQAAAAExAQAAAAstMTkwNDg2MDc0MwMAAAADMTYwAgAAAAQ0MTg5BAAAAAEwBwAAAAgzLzcvMjAyNggAAAAKMTIvMzEvMjAyNAkAAAABMLkIfyT/gd4Ihsn2J/+B3gg2Q0lRLk5ZU0U6SUJNLklRX1RPVEFMX0xJQUJfVE9UQUxfQVNTRVRTLjk5My4wNy8wMy8yMDI2AQAAAN62AQACAAAABzg2LjI3ODMBCAAAAAUAAAABMQEAAAAKMjA4MTUwNTQwMQMAAAADMTYwAgAAAAQ0MTg4BAAAAAEwBwAAAAgzLzcvMjAyNggAAAAKMTIvMzEvMjAxOAkAAAABMLkIfyT/gd4In/D2J/+B3ggwQ0lRLk5ZU0U6SUJNLklRX1RPVEFMX0RFQlRfRVFVSVRZLjk5NS4wNy8wMy8yMDI2AQAAAN62AQACAAAACDMxNC4wNDAzAQgAAAAFAAAAATEBAAAACy0yMDU5MDczMjAyAwAAAAMxNjACAAAABDQwMzQEAAAAATAHAAAACDMvNy8yMDI2CAAAAAox</t>
  </si>
  <si>
    <t>Mi8zMS8yMDIwCQAAAAEwuQh/JP+B3gif8PYn/4HeCC1DSVEuTllTRTpJQk0uSVFfREFZU19TQUxFU19PVVQuOTk3LjA3LzAzLzIwMjYBAAAA3rYBAAIAAAAINDMuMzcwMDMBCAAAAAUAAAABMQEAAAALLTE5NTgyODEwOTYDAAAAAzE2MAIAAAAENDA0MgQAAAABMAcAAAAIMy83LzIwMjYIAAAACjEyLzMxLzIwMjIJAAAAATC5CH8k/4HeCJ/w9if/gd4ILkNJUS5OWVNFOklCTS5JUV9JTlZFTlRPUllfVFVSTlMuOTk5LjA3LzAzLzIwMjYBAAAA3rYBAAIAAAAJMjEuOTAzNjczAQgAAAAFAAAAATEBAAAACy0xOTA0ODYwNzQzAwAAAAMxNjACAAAABDQwODIEAAAAATAHAAAACDMvNy8yMDI2CAAAAAoxMi8zMS8yMDI0CQAAAAEwuQh/JP+B3giGyfYn/4HeCDRDSVEuTllTRTpJQk0uSVFfRUJJVERBXzFZUl9BTk5fR1JPV1RILjk5Ny4wNy8wMy8yMDI2AQAAAN62AQACAAAABi00LjcyMgEIAAAABQAAAAExAQAAAAstMTk1ODI4MTA5NgMAAAADMTYwAgAAAAQ0MTk2BAAAAAEwBwAAAAgzLzcvMjAyNggAAAAKMTIvMzEvMjAyMgkAAAABMLkIfyT/gd4Ihsn2J/+B3gg3Q0lRLk5ZU0U6SUJNLklRX1RPVEFMX1JFVl8xWVJfQU5OX0dST1dUSC45OTMuMDcvMDMvMjAyNgEAAADetgEAAgAAAAYwLjU3MTEBCAAAAAUAAAABMQEAAAAKMjA4MTUwNTQwMQMAAAADMTYwAgAAAAQ0MTk0BAAAAAEwBwAAAAgzLzcvMjAyNggAAAAK</t>
  </si>
  <si>
    <t>MTIvMzEvMjAxOAkAAAABMLkIfyT/gd4Ihsn2J/+B3ghFQ0lRLk5ZU0U6SUJNLklRX05FVF9ERUJUX0VCSVREQV9FWENMX09QRVJfTEVBU0VTX0NBUEVYLjk5My4wNy8wMy8yMDI2AQAAAN62AQACAAAACDIuMzY0MTg5AQgAAAAFAAAAATEBAAAACjIwODE1MDU0MDEDAAAAAzE2MAIAAAAFNDkxODIEAAAAATAHAAAACDMvNy8yMDI2CAAAAAoxMi8zMS8yMDE4CQAAAAEwuQh/JP+B3giGyfYn/4HeCD9DSVEuTllTRTpJQk0uSVFfTkVUX0RFQlRfRUJJVERBX0VYQ0xfT1BFUl9MRUFTRVMuOTk1LjA3LzAzLzIwMjYBAAAA3rYBAAIAAAAINC41MTcwMzcBCAAAAAUAAAABMQEAAAALLTIwNTkwNzMyMDIDAAAAAzE2MAIAAAAFNDkxNzUEAAAAATAHAAAACDMvNy8yMDI2CAAAAAoxMi8zMS8yMDIwCQAAAAEwuQh/JP+B3giGyfYn/4HeCDBDSVEuTllTRTpJQk0uSVFfRUJJVF8zWVJfQU5OX0NBR1IuOTk1LjA3LzAzLzIwMjYBAAAA3rYBAAIAAAAILTI2LjM3NjIBCAAAAAUAAAABMQEAAAALLTIwNTkwNzMyMDIDAAAAAzE2MAIAAAAENDIyMwQAAAABMAcAAAAIMy83LzIwMjYIAAAACjEyLzMxLzIwMjAJAAAAATC5CH8k/4HeCIbJ9if/gd4IK0NJUS5OWVNFOklCTS5JUV9DQUxDX1RZUEVfQ0YuOTkwLjA3LzAzLzIwMjYBAAAA3rYBAAMAAAADUkVQALkIfyT/gd4Ie6L2J/+B3ggpQ0lRLk5ZU0U6SUJNLklRX1BFUklPRERB</t>
  </si>
  <si>
    <t>VEUuOTkwLjA3LzAzLzIwMjYBAAAA3rYBAAUAAAAKMzEvMTIvMjAxNQBHIb8k/4HeCLBODyj/gd4IKUNJUS5OWVNFOklCTS5JUV9QRVJJT0REQVRFLjk5MS4wNy8wMy8yMDI2AQAAAN62AQAFAAAACjMxLzEyLzIwMTYAlTZ+JP+B3ghXJw8o/4HeCClDSVEuTllTRTpJQk0uSVFfUEVSSU9EREFURS45OTIuMDcvMDMvMjAyNgEAAADetgEABQAAAAozMS8xMi8yMDE3AK1dfiT/gd4IHgQOKP+B3ggpQ0lRLk5ZU0U6SUJNLklRX1BFUklPRERBVEUuOTkzLjA3LzAzLzIwMjYBAAAA3rYBAAUAAAAKMzEvMTIvMjAxOACtXX4k/4HeCGARDCj/gd4IKUNJUS5OWVNFOklCTS5JUV9QRVJJT0REQVRFLjk5NC4wNy8wMy8yMDI2AQAAAN62AQAFAAAACjMxLzEyLzIwMTkArV1+JP+B3ghrOAwo/4HeCClDSVEuTllTRTpJQk0uSVFfUEVSSU9EREFURS45OTUuMDcvMDMvMjAyNgEAAADetgEABQAAAAozMS8xMi8yMDIwAK1dfiT/gd4IsYYMKP+B3ggpQ0lRLk5ZU0U6SUJNLklRX1BFUklPRERBVEUuOTk2LjA3LzAzLzIwMjYBAAAA3rYBAAUAAAAKMzEvMTIvMjAyMQCtXX4k/4HeCOSODSj/gd4IKUNJUS5OWVNFOklCTS5JUV9QRVJJT0REQVRFLjk5Ny4wNy8wMy8yMDI2AQAAAN62AQAFAAAACjMxLzEyLzIwMjIArV1+JP+B3giOXwwo/4HeCClDSVEuTllTRTpJQk0uSVFfUEVSSU9EREFURS45OTguMDcvMDMvMjAyNgEAAADetgEA</t>
  </si>
  <si>
    <t>BQAAAAozMS8xMi8yMDIzAK1dfiT/gd4I/9wNKP+B3ggpQ0lRLk5ZU0U6SUJNLklRX1BFUklPRERBVEUuOTk5LjA3LzAzLzIwMjYBAAAA3rYBAAUAAAAKMzEvMTIvMjAyNACtXX4k/4HeCI5fDCj/gd4IQUNJUS5OWVNFOklCTS5JUV9GSU5fRElWX01JTk9SSVRZX0lOVEVSRVNULjEwMDAuMDcvMDMvMjAyNi4uLlVTRC5IAQAAAN62AQADAAAAAAAh074k/4HeCOZqGij/gd4IQkNJUS5OWVNFOklCTS5JUV9GSU5fRElWX01JTk9SSVRZX0lOVF9SRURFRU0uOTk2LjA3LzAzLzIwMjYuLi5VU0QuSAEAAADetgEAAwAAAAAAIdO+JP+B3gjmahoo/4HeCCpDSVEuTllTRTpJQk0uSVFfQ0lQLjk5Ni4wNy8wMy8yMDI2Li4uVVNELkgBAAAA3rYBAAMAAAAAACHTviT/gd4I5moaKP+B3gg6Q0lRLk5ZU0U6SUJNLklRX0xJQUJJTElUSUVTX0xFVkVMXzIuOTk0LjA3LzAzLzIwMjYuLi5VU0QuSAEAAADetgEAAgAAAAU1OTA5OQAh074k/4HeCOZqGij/gd4IOUNJUS5OWVNFOklCTS5JUV9BU1NFVFNfRkFJUl9WQUxVRS4xMDAwLjA3LzAzLzIwMjYuLi5VU0QuSAEAAADetgEAAgAAAAQ4OTA4ACHTviT/gd4I5moaKP+B3gg1Q0lRLk5ZU0U6SUJNLklRX0FTU0VUU19MRVZFTF8zLjk5Ni4wNy8wMy8yMDI2Li4uVVNELkgBAAAA3rYBAAMAAAAAACHTviT/gd4IpUMaKP+B3ghNQ0lRLk5ZU0U6SUJNLklRX0xJUVVJREFUSU9OX1ZB</t>
  </si>
  <si>
    <t>TFVFX1BSRUZFUlJFRF9OT05fUkVERUVNLjk5OC4wNy8wMy8yMDI2Li4uVVNELkgBAAAA3rYBAAMAAAAAACHTviT/gd4I5moaKP+B3ghKQ0lRLk5ZU0U6SUJNLklRX0xJUVVJREFUSU9OX1ZBTFVFX1BSRUZFUlJFRF9DT05WRVJULjk5Mi4wNy8wMy8yMDI2Li4uVVNELkgBAAAA3rYBAAMAAAAAACHTviT/gd4I5moaKP+B3gg5Q0lRLk5ZU0U6SUJNLklRX0RFQlRfRVFVSVZfTkVUX1BCTy45OTIuMDcvMDMvMjAyNi4uLlVTRC5IAQAAAN62AQACAAAABDgwNjMBCAAAAAUAAAABMQEAAAAKMjAxNzE2NDI0NAMAAAADMTYwAgAAAAUyMTY3OQQAAAABMAcAAAAIMy83LzIwMjYIAAAACjEyLzMxLzIwMTcJAAAAATAh074k/4HeCOZqGij/gd4IOkNJUS5OWVNFOklCTS5JUV9GSU5fRElWX0RFQlRfVE9UQUwuMTAwMC4wNy8wMy8yMDI2Li4uVVNELkgBAAAA3rYBAAIAAAAFMTUwOTMBCAAAAAUAAAABMQEAAAALLTE5MDQ4NjA3NDADAAAAAzE2MAIAAAAFMjQ1MTYEAAAAATAHAAAACDMvNy8yMDI2CAAAAAoxMi8zMS8yMDI1CQAAAAEwIdO+JP+B3gjmahoo/4HeCDxDSVEuTllTRTpJQk0uSVFfRklOX0RJVl9TVF9ERUJUX1RPVEFMLjk5NC4wNy8wMy8yMDI2Li4uVVNELkgBAAAA3rYBAAMAAAAAACHTviT/gd4IpUMaKP+B3ghGQ0lRLk5ZU0U6SUJNLklRX0ZBSVJfVkFMVUVfQ0hBTkdFX0lOQ0xfRUFSTklOR1MuOTkyLjA3</t>
  </si>
  <si>
    <t>LzAzLzIwMjYuLi5VU0QuSAEAAADetgEAAwAAAAAAIdO+JP+B3gilQxoo/4HeCDtDSVEuTllTRTpJQk0uSVFfTElBQklMSVRJRVNfTEVWRUxfMy4xMDAwLjA3LzAzLzIwMjYuLi5VU0QuSAEAAADetgEAAwAAAAAAIdO+JP+B3gilQxoo/4HeCEVDSVEuTllTRTpJQk0uSVFfQ1VSUkVOVF9QT1JUX0RFQlRfREVSSVZBVElWRVMuMTAwMC4wNy8wMy8yMDI2Li4uVVNELkgBAAAA3rYBAAMAAAAAACHTviT/gd4IpUMaKP+B3gg6Q0lRLk5ZU0U6SUJNLklRX1NUX0RFQlRfREVSSVZBVElWRVMuOTk0LjA3LzAzLzIwMjYuLi5VU0QuSAEAAADetgEAAwAAAAAAIdO+JP+B3gilQxoo/4HeCDpDSVEuTllTRTpJQk0uSVFfVE9UQUxfREVCVF9FWENMX0ZJTi45OTYuMDcvMDMvMjAyNi4uLlVTRC5IAQAAAN62AQACAAAABTU1MTQwAQgAAAAFAAAAATEBAAAACy0yMDA4NjQ3MTk4AwAAAAMxNjACAAAABTIxODYwBAAAAAEwBwAAAAgzLzcvMjAyNggAAAAKMTIvMzEvMjAyMQkAAAABMCHTviT/gd4Ipi8aKP+B3ghCQ0lRLk5ZU0U6SUJNLklRX1JFU1RSSUNURURfQ0FTSF9OT05fQ1VSUkVOVC45OTIuMDcvMDMvMjAyNi4uLlVTRC5IAQAAAN62AQADAAAAAAAh074k/4HeCKYvGij/gd4IPENJUS5OWVNFOklCTS5JUV9ERUJUX0VRVUlWX09QRVJfTEVBU0UuOTk4LjA3LzAzLzIwMjYuLi5VU0QuSAEAAADetgEAAgAAAAUxMDMzNgEI</t>
  </si>
  <si>
    <t>AAAABQAAAAExAQAAAAstMTkwNDg2MDc0NAMAAAADMTYwAgAAAAUyMTY3MQQAAAABMAcAAAAIMy83LzIwMjYIAAAACjEyLzMxLzIwMjMJAAAAATAh074k/4HeCKVDGij/gd4IOUNJUS5OWVNFOklCTS5JUV9MVF9NQVJLX1NFQ1VSSVRJRVMuOTk2LjA3LzAzLzIwMjYuLi5VU0QuSAEAAADetgEAAwAAAAAAIdO+JP+B3gilQxoo/4HeCD9DSVEuTllTRTpJQk0uSVFfQUNDVU1fQU1PUlRfSU5UQU5fQVNTRVRTLjk5Ni4wNy8wMy8yMDI2Li4uVVNELkgBAAAA3rYBAAIAAAAFLTU3NjkBCAAAAAUAAAABMQEAAAALLTIwMDg2NDcxOTgDAAAAAzE2MAIAAAAFMjQzMzEEAAAAATAHAAAACDMvNy8yMDI2CAAAAAoxMi8zMS8yMDIxCQAAAAEwIdO+JP+B3gilQxoo/4HeCDtDSVEuTllTRTpJQk0uSVFfREVSSVZBVElWRV9BU1NFVFNfTFQuOTkyLjA3LzAzLzIwMjYuLi5VU0QuSAEAAADetgEAAgAAAAMyOTgBCAAAAAUAAAABMQEAAAAKMjAxNzE2NDI0NAMAAAADMTYwAgAAAAQxMTEwBAAAAAEwBwAAAAgzLzcvMjAyNggAAAAKMTIvMzEvMjAxNwkAAAABMCHTviT/gd4IoggaKP+B3ghAQ0lRLk5ZU0U6SUJNLklRX0RFUklWQVRJVkVfVFJBRElOR19BU1NFVFMuOTk4LjA3LzAzLzIwMjYuLi5VU0QuSAEAAADetgEAAwAAAAAAIdO+JP+B3giiCBoo/4HeCD5DSVEuTllTRTpJQk0uSVFfREVSSVZBVElWRV9MSUFCX0NVUlJFTlQu</t>
  </si>
  <si>
    <t>OTk0LjA3LzAzLzIwMjYuLi5VU0QuSAEAAADetgEAAgAAAAMxNjcBCAAAAAUAAAABMQEAAAALLTIxMTA3NjkzNTUDAAAAAzE2MAIAAAAFNDA0MTcEAAAAATAHAAAACDMvNy8yMDI2CAAAAAoxMi8zMS8yMDE5CQAAAAEwIdO+JP+B3giiCBoo/4HeCDlDSVEuTllTRTpJQk0uSVFfVE9UQUxfUkVWX0VNUExPWUVFLjk5Ni4wNy8wMy8yMDI2Li4uVVNELkgBAAAA3rYBAAIAAAAFMjAzLjMBCAAAAAUAAAABMQEAAAALLTIwMDg2NDcxOTgDAAAAAzE2MAIAAAAENDEyMwQAAAABMAcAAAAIMy83LzIwMjYIAAAACjEyLzMxLzIwMjEJAAAAATAh074k/4HeCKYvGij/gd4IOkNJUS5OWVNFOklCTS5JUV9JTlRFUkNPTVBBTllfTk9OX0NMLjk5Mi4wNy8wMy8yMDI2Li4uVVNELkgBAAAA3rYBAAMAAAAAACHTviT/gd4Ipi8aKP+B3gg6Q0lRLk5ZU0U6SUJNLklRX0lOVEVSQ09NUEFOWV9OT05fQ0EuOTk4LjA3LzAzLzIwMjYuLi5VU0QuSAEAAADetgEAAwAAAAAAIdO+JP+B3giiCBoo/4HeCDBDSVEuTllTRTpJQk0uSVFfSU5UQU5fTkVULjk5NC4wNy8wMy8yMDI2Li4uVVNELkgBAAAA3rYBAAIAAAAFMTUyMzUBCAAAAAUAAAABMQEAAAALLTIxMTA3NjkzNTUDAAAAAzE2MAIAAAAFNDg5NjIEAAAAATAHAAAACDMvNy8yMDI2CAAAAAoxMi8zMS8yMDE5CQAAAAEwIdO+JP+B3giiCBoo/4HeCDRDSVEuTllTRTpJQk0uSVFfR1df</t>
  </si>
  <si>
    <t>SU5UQU5fTkVULjEwMDAuMDcvMDMvMjAyNi4uLlVTRC5IAQAAAN62AQADAAAAAAAh074k/4HeCKIIGij/gd4IMUNJUS5OWVNFOklCTS5JUV9UT1RBTF9ERUJULjk5My4wNy8wMy8yMDI2Li4uVVNELkgBAAAA3rYBAAIAAAAFNDU4MTIBCAAAAAUAAAABMQEAAAAKMjA4MTUwNTQwMQMAAAADMTYwAgAAAAQ0MTczBAAAAAEwBwAAAAgzLzcvMjAyNggAAAAKMTIvMzEvMjAxOAkAAAABMCHTviT/gd4IoggaKP+B3ggvQ0lRLk5ZU0U6SUJNLklRX0dXX0lOVEFOLjk5OS4wNy8wMy8yMDI2Li4uVVNELkgBAAAA3rYBAAIAAAAFNzEzNjYBCAAAAAUAAAABMQEAAAALLTE5MDQ4NjA3NDMDAAAAAzE2MAIAAAAFMzUzODEEAAAAATAHAAAACDMvNy8yMDI2CAAAAAoxMi8zMS8yMDI0CQAAAAEwIdO+JP+B3giiCBoo/4HeCDlDSVEuTllTRTpJQk0uSVFfVEJWX1NIQVJFX1JFUE9SVEVELjk5NS4wNy8wMy8yMDI2Li4uVVNELkgBAAAA3rYBAAMAAAAAACHTviT/gd4IkOEZKP+B3ghCQ0lRLk5ZU0U6SUJNLklRX1RPVEFMX0RFQlRfRVhDTF9PUEVSX0xFQVNFUy45OTcuMDcvMDMvMjAyNi4uLlVTRC5IAQAAAN62AQACAAAABTUwOTQ5AQgAAAAFAAAAATEBAAAACy0xOTU4MjgxMDk2AwAAAAMxNjACAAAABTQ4OTgyBAAAAAEwBwAAAAgzLzcvMjAyNggAAAAKMTIvMzEvMjAyMgkAAAABMCHTviT/gd4IkOEZKP+B3ghPQ0lRLk5ZU0U6</t>
  </si>
  <si>
    <t>SUJNLklRX0ZJTkFOQ0lOR19PQkxJR19DVVJSRU5UX0VYQ0xfT1BFUl9MRUFTRVMuOTkzLjA3LzAzLzIwMjYuLi5VU0QuSAEAAADetgEAAgAAAAUxMDIwNwEIAAAABQAAAAExAQAAAAoyMDgxNTA1NDAxAwAAAAMxNjACAAAABTQ4OTgwBAAAAAEwBwAAAAgzLzcvMjAyNggAAAAKMTIvMzEvMjAxOAkAAAABMCHTviT/gd4IkOEZKP+B3gguQ0lRLk5ZU0U6SUJNLklRX1dJUF9JTlYuOTk5LjA3LzAzLzIwMjYuLi5VU0QuSAEAAADetgEAAgAAAAQxMTU1AQgAAAAFAAAAATEBAAAACy0xOTA0ODYwNzQzAwAAAAMxNjACAAAABDMyMTkEAAAAATAHAAAACDMvNy8yMDI2CAAAAAoxMi8zMS8yMDI0CQAAAAEwIdO+JP+B3giQ4Rko/4HeCC5DSVEuTllTRTpJQk0uSVFfUkFXX0lOVi45OTMuMDcvMDMvMjAyNi4uLlVTRC5IAQAAAN62AQADAAAAAAAh074k/4HeCKIIGij/gd4INENJUS5OWVNFOklCTS5JUV9FUVVJVFlfTUVUSE9ELjk5NS4wNy8wMy8yMDI2Li4uVVNELkgBAAAA3rYBAAIAAAADMTcwAQgAAAAFAAAAATEBAAAACy0yMDU5MDczMjAyAwAAAAMxNjACAAAABDMwNjMEAAAAATAHAAAACDMvNy8yMDI2CAAAAAoxMi8zMS8yMDIwCQAAAAEwIdO+JP+B3ggWuhko/4HeCDBDSVEuTllTRTpJQk0uSVFfVE9UQUxfQ0FQLjk5Ny4wNy8wMy8yMDI2Li4uVVNELkgBAAAA3rYBAAIAAAAFNzYwMzQBCAAAAAUAAAABMQEAAAAL</t>
  </si>
  <si>
    <t>LTE5NTgyODEwOTYDAAAAAzE2MAIAAAAENDE3NQQAAAABMAcAAAAIMy83LzIwMjYIAAAACjEyLzMxLzIwMjIJAAAAATAh074k/4HeCBa6GSj/gd4IOUNJUS5OWVNFOklCTS5JUV9UT1RBTF9ERUJUX0NVUlJFTlQuOTk5LjA3LzAzLzIwMjYuLi5VU0QuSAEAAADetgEAAgAAAAQ1ODU3AQgAAAAFAAAAATEBAAAACy0xOTA0ODYwNzQzAwAAAAMxNjACAAAABTI1MjIzBAAAAAEwBwAAAAgzLzcvMjAyNggAAAAKMTIvMzEvMjAyNAkAAAABMCHTviT/gd4IFroZKP+B3ghEQ0lRLk5ZU0U6SUJNLklRX0dFTkVSQUxfUEFSVE5FUl9DT01NT05fRVFVSVRZLjk5My4wNy8wMy8yMDI2Li4uVVNELkgBAAAA3rYBAAMAAAAAACHTviT/gd4IkOEZKP+B3ghAQ0lRLk5ZU0U6SUJNLklRX0ZJTl9ESVZfTUlOT1JJVFlfSU5URVJFU1QuOTk5LjA3LzAzLzIwMjYuLi5VU0QuSAEAAADetgEAAwAAAAAAIdO+JP+B3giQ4Rko/4HeCD5DSVEuTllTRTpJQk0uSVFfTUlOT1JJVFlfSU5UX1JFREVFTV9UT1QuOTkzLjA3LzAzLzIwMjYuLi5VU0QuSAEAAADetgEAAwAAAAAAIdO+JP+B3gj8khko/4HeCCpDSVEuTllTRTpJQk0uSVFfQ0lQLjk5NS4wNy8wMy8yMDI2Li4uVVNELkgBAAAA3rYBAAMAAAAAACHTviT/gd4I/JIZKP+B3ggwQ0lRLk5ZU0U6SUJNLklRX0JVSUxESU5HUy45OTcuMDcvMDMvMjAyNi4uLlVTRC5IAQAAAN62AQACAAAA</t>
  </si>
  <si>
    <t>BDU2NzgBCAAAAAUAAAABMQEAAAALLTE5NTgyODEwOTYDAAAAAzE2MAIAAAAEMzAyMwQAAAABMAcAAAAIMy83LzIwMjYIAAAACjEyLzMxLzIwMjIJAAAAATAh074k/4HeCPySGSj/gd4IOkNJUS5OWVNFOklCTS5JUV9MSUFCSUxJVElFU19MRVZFTF8yLjk5My4wNy8wMy8yMDI2Li4uVVNELkgBAAAA3rYBAAIAAAAFMzY5MzEAIdO+JP+B3gj8khko/4HeCDhDSVEuTllTRTpJQk0uSVFfQVNTRVRTX0ZBSVJfVkFMVUUuOTk5LjA3LzAzLzIwMjYuLi5VU0QuSAEAAADetgEAAgAAAAQ4MjYyACHTviT/gd4IFroZKP+B3gg1Q0lRLk5ZU0U6SUJNLklRX0FTU0VUU19MRVZFTF8zLjk5NS4wNy8wMy8yMDI2Li4uVVNELkgBAAAA3rYBAAMAAAAAACHTviT/gd4I/WsZKP+B3ghJQ0lRLk5ZU0U6SUJNLklRX0xJUVVJREFUSU9OX1ZBTFVFX1BSRUZFUlJFRF9SRURFRU0uOTk1LjA3LzAzLzIwMjYuLi5VU0QuSAEAAADetgEAAwAAAAAAIdO+JP+B3gj9axko/4HeCEhDSVEuTllTRTpJQk0uSVFfR0VORVJBTF9QQVJUTkVSX01JTk9SSVRZX0lOVEVSRVNULjk5Ny4wNy8wMy8yMDI2Li4uVVNELkgBAAAA3rYBAAMAAAAAACHTviT/gd4I/WsZKP+B3gg6Q0lRLk5ZU0U6SUJNLklRX1RPVEFMX0RFQlRfRVhDTF9GSU4uOTk1LjA3LzAzLzIwMjYuLi5VU0QuSAEAAADetgEAAgAAAAU2NTA4OAEIAAAABQAAAAExAQAAAAstMjA1OTA3</t>
  </si>
  <si>
    <t>MzIwMgMAAAADMTYwAgAAAAUyMTg2MAQAAAABMAcAAAAIMy83LzIwMjYIAAAACjEyLzMxLzIwMjAJAAAAATAh074k/4HeCP1rGSj/gd4IPENJUS5OWVNFOklCTS5JUV9ERUJUX0VRVUlWX09QRVJfTEVBU0UuOTk3LjA3LzAzLzIwMjYuLi5VU0QuSAEAAADetgEAAgAAAAQ5OTc2AQgAAAAFAAAAATEBAAAACy0xOTU4MjgxMDk2AwAAAAMxNjACAAAABTIxNjcxBAAAAAEwBwAAAAgzLzcvMjAyNggAAAAKMTIvMzEvMjAyMgkAAAABMCHTviT/gd4I/JIZKP+B3gg5Q0lRLk5ZU0U6SUJNLklRX0ZJTl9ESVZfREVCVF9UT1RBTC45OTkuMDcvMDMvMjAyNi4uLlVTRC5IAQAAAN62AQACAAAABTEyMTE2AQgAAAAFAAAAATEBAAAACy0xOTA0ODYwNzQzAwAAAAMxNjACAAAABTI0NTE2BAAAAAEwBwAAAAgzLzcvMjAyNggAAAAKMTIvMzEvMjAyNAkAAAABMCHTviT/gd4I3kQZKP+B3gg8Q0lRLk5ZU0U6SUJNLklRX0ZJTl9ESVZfU1RfREVCVF9UT1RBTC45OTMuMDcvMDMvMjAyNi4uLlVTRC5IAQAAAN62AQADAAAAAAAo+r4k/4HeCN5EGSj/gd4ITENJUS5OWVNFOklCTS5JUV9MSUFCSUxJVElFU19ORVRUSU5HX09USEVSX0FESlVTVE1FTlRTLjk5Ny4wNy8wMy8yMDI2Li4uVVNELkgBAAAA3rYBAAMAAAAAACj6viT/gd4I3kQZKP+B3gg8Q0lRLk5ZU0U6SUJNLklRX0FEVkFOQ0VTX0ZPUl9TVVBQTElFUy45OTMuMDcvMDMv</t>
  </si>
  <si>
    <t>MjAyNi4uLlVTRC5IAQAAAN62AQADAAAAAAAo+r4k/4HeCP1rGSj/gd4IP0NJUS5OWVNFOklCTS5JUV9BQ0NVTV9BTU9SVF9JTlRBTl9BU1NFVFMuOTk1LjA3LzAzLzIwMjYuLi5VU0QuSAEAAADetgEAAgAAAAUtNDE2OQEIAAAABQAAAAExAQAAAAstMjA1OTA3MzIwMgMAAAADMTYwAgAAAAUyNDMzMQQAAAABMAcAAAAIMy83LzIwMjYIAAAACjEyLzMxLzIwMjAJAAAAATAo+r4k/4HeCP1rGSj/gd4IQENJUS5OWVNFOklCTS5JUV9ERVJJVkFUSVZFX1RSQURJTkdfQVNTRVRTLjk5Ny4wNy8wMy8yMDI2Li4uVVNELkgBAAAA3rYBAAMAAAAAACj6viT/gd4I3B0ZKP+B3ghEQ0lRLk5ZU0U6SUJNLklRX0NVUlJFTlRfUE9SVF9ERUJUX0RFUklWQVRJVkVTLjk5OS4wNy8wMy8yMDI2Li4uVVNELkgBAAAA3rYBAAMAAAAAACj6viT/gd4I3kQZKP+B3gg6Q0lRLk5ZU0U6SUJNLklRX1NUX0RFQlRfREVSSVZBVElWRVMuOTkzLjA3LzAzLzIwMjYuLi5VU0QuSAEAAADetgEAAwAAAAAAKPq+JP+B3gjeRBko/4HeCDlDSVEuTllTRTpJQk0uSVFfVEJWX1NIQVJFX1JFUE9SVEVELjk5NC4wNy8wMy8yMDI2Li4uVVNELkgBAAAA3rYBAAMAAAAAACj6viT/gd4I3kQZKP+B3gg5Q0lRLk5ZU0U6SUJNLklRX1RPVEFMX1JFVl9FTVBMT1lFRS45OTUuMDcvMDMvMjAyNi4uLlVTRC5IAQAAAN62AQACAAAABzE1OS41MjIBCAAAAAUA</t>
  </si>
  <si>
    <t>AAABMQEAAAALLTIwNTkwNzMyMDIDAAAAAzE2MAIAAAAENDEyMwQAAAABMAcAAAAIMy83LzIwMjYIAAAACjEyLzMxLzIwMjAJAAAAATAo+r4k/4HeCN5EGSj/gd4IOkNJUS5OWVNFOklCTS5JUV9JTlRFUkNPTVBBTllfTk9OX0NBLjk5Ny4wNy8wMy8yMDI2Li4uVVNELkgBAAAA3rYBAAMAAAAAACj6viT/gd4I0vYYKP+B3ggwQ0lRLk5ZU0U6SUJNLklRX0lOVEFOX05FVC45OTMuMDcvMDMvMjAyNi4uLlVTRC5IAQAAAN62AQACAAAABDMwODcBCAAAAAUAAAABMQEAAAAKMjA4MTUwNTQwMQMAAAADMTYwAgAAAAU0ODk2MgQAAAABMAcAAAAIMy83LzIwMjYIAAAACjEyLzMxLzIwMTgJAAAAATAo+r4k/4HeCNwdGSj/gd4IM0NJUS5OWVNFOklCTS5JUV9HV19JTlRBTl9ORVQuOTk5LjA3LzAzLzIwMjYuLi5VU0QuSAEAAADetgEAAwAAAAAAKPq+JP+B3gjcHRko/4HeCDdDSVEuTllTRTpJQk0uSVFfTkVUX1dPUktJTkdfQ0FQLjEwMDAuMDcvMDMvMjAyNi4uLlVTRC5IAQAAAN62AQACAAAABS04OTA3AQgAAAAFAAAAATEBAAAACy0xOTA0ODYwNzQwAwAAAAMxNjACAAAABDEzMTEEAAAAATAHAAAACDMvNy8yMDI2CAAAAAoxMi8zMS8yMDI1CQAAAAEwKPq+JP+B3gjcHRko/4HeCDBDSVEuTllTRTpJQk0uSVFfVE9UQUxfQ0FQLjk5Ni4wNy8wMy8yMDI2Li4uVVNELkgBAAAA3rYBAAIAAAAFNzQxMzYBCAAAAAUAAAAB</t>
  </si>
  <si>
    <t>MQEAAAALLTIwMDg2NDcxOTgDAAAAAzE2MAIAAAAENDE3NQQAAAABMAcAAAAIMy83LzIwMjYIAAAACjEyLzMxLzIwMjEJAAAAATAo+r4k/4HeCNwdGSj/gd4IPUNJUS5OWVNFOklCTS5JUV9UT1RBTF9ERUJUX05PTl9DVVJSRU5ULjk5Ni4wNy8wMy8yMDI2Li4uVVNELkgBAAAA3rYBAAIAAAAFNDczNzkBCAAAAAUAAAABMQEAAAALLTIwMDg2NDcxOTgDAAAAAzE2MAIAAAAFMjUyMjQEAAAAATAHAAAACDMvNy8yMDI2CAAAAAoxMi8zMS8yMDIxCQAAAAEwKPq+JP+B3gjazxgo/4HeCDFDSVEuTllTRTpJQk0uSVFfVE9UQUxfREVCVC45OTIuMDcvMDMvMjAyNi4uLlVTRC5IAQAAAN62AQACAAAABTQ2ODU4AQgAAAAFAAAAATEBAAAACjIwMTcxNjQyNDQDAAAAAzE2MAIAAAAENDE3MwQAAAABMAcAAAAIMy83LzIwMjYIAAAACjEyLzMxLzIwMTcJAAAAATAo+r4k/4HeCNL2GCj/gd4IL0NJUS5OWVNFOklCTS5JUV9HV19JTlRBTi45OTguMDcvMDMvMjAyNi4uLlVTRC5IAQAAAN62AQACAAAABTcxMjE0AQgAAAAFAAAAATEBAAAACy0xOTA0ODYwNzQ0AwAAAAMxNjACAAAABTM1MzgxBAAAAAEwBwAAAAgzLzcvMjAyNggAAAAKMTIvMzEvMjAyMwkAAAABMCj6viT/gd4I0vYYKP+B3ggwQ0lRLk5ZU0U6SUJNLklRX1NPRlRXQVJFLjEwMDAuMDcvMDMvMjAyNi4uLlVTRC5IAQAAAN62AQADAAAAAAAo+r4k/4HeCNL2GCj/</t>
  </si>
  <si>
    <t>gd4IMENJUS5OWVNFOklCTS5JUV9CVUlMRElOR1MuOTk2LjA3LzAzLzIwMjYuLi5VU0QuSAEAAADetgEAAgAAAAQ2MDQ5AQgAAAAFAAAAATEBAAAACy0yMDA4NjQ3MTk4AwAAAAMxNjACAAAABDMwMjMEAAAAATAHAAAACDMvNy8yMDI2CAAAAAoxMi8zMS8yMDIxCQAAAAEwKPq+JP+B3gjS9hgo/4HeCC5DSVEuTllTRTpJQk0uSVFfV0lQX0lOVi45OTguMDcvMDMvMjAyNi4uLlVTRC5IAQAAAN62AQACAAAABDEwODMBCAAAAAUAAAABMQEAAAALLTE5MDQ4NjA3NDQDAAAAAzE2MAIAAAAEMzIxOQQAAAABMAcAAAAIMy83LzIwMjYIAAAACjEyLzMxLzIwMjMJAAAAATAo+r4k/4HeCFOoGCj/gd4ILkNJUS5OWVNFOklCTS5JUV9SQVdfSU5WLjk5Mi4wNy8wMy8yMDI2Li4uVVNELkgBAAAA3rYBAAMAAAAAACj6viT/gd4I2s8YKP+B3gg0Q0lRLk5ZU0U6SUJNLklRX0VRVUlUWV9NRVRIT0QuOTk0LjA3LzAzLzIwMjYuLi5VU0QuSAEAAADetgEAAgAAAAMxODQBCAAAAAUAAAABMQEAAAALLTIxMTA3NjkzNTUDAAAAAzE2MAIAAAAEMzA2MwQAAAABMAcAAAAIMy83LzIwMjYIAAAACjEyLzMxLzIwMTkJAAAAATAo+r4k/4HeCNrPGCj/gd4ISENJUS5OWVNFOklCTS5JUV9HRU5FUkFMX1BBUlRORVJfTUlOT1JJVFlfSU5URVJFU1QuOTk2LjA3LzAzLzIwMjYuLi5VU0QuSAEAAADetgEAAwAAAAAAKPq+JP+B3gjazxgo/4He</t>
  </si>
  <si>
    <t>CEBDSVEuTllTRTpJQk0uSVFfRklOX0RJVl9NSU5PUklUWV9JTlRFUkVTVC45OTguMDcvMDMvMjAyNi4uLlVTRC5IAQAAAN62AQADAAAAAAAo+r4k/4HeCNrPGCj/gd4IPkNJUS5OWVNFOklCTS5JUV9NSU5PUklUWV9JTlRfUkVERUVNX1RPVC45OTIuMDcvMDMvMjAyNi4uLlVTRC5IAQAAAN62AQADAAAAAAAo+r4k/4HeCOeJGCj/gd4IPUNJUS5OWVNFOklCTS5JUV9MRUFTRUhPTERfSU1QUk9WRU1FTlQuMTAwMC4wNy8wMy8yMDI2Li4uVVNELkgBAAAA3rYBAAMAAAAAACj6viT/gd4I54kYKP+B3ggqQ0lRLk5ZU0U6SUJNLklRX0NJUC45OTQuMDcvMDMvMjAyNi4uLlVTRC5IAQAAAN62AQADAAAAAAAo+r4k/4HeCFOoGCj/gd4IOkNJUS5OWVNFOklCTS5JUV9MSUFCSUxJVElFU19MRVZFTF8yLjk5Mi4wNy8wMy8yMDI2Li4uVVNELkgBAAAA3rYBAAIAAAAFNDI2NzkAKPq+JP+B3ghTqBgo/4HeCDhDSVEuTllTRTpJQk0uSVFfQVNTRVRTX0ZBSVJfVkFMVUUuOTk4LjA3LzAzLzIwMjYuLi5VU0QuSAEAAADetgEAAgAAAAQ4NDM5ACj6viT/gd4IU6gYKP+B3ghHQ0lRLk5ZU0U6SUJNLklRX0FTU0VUU19ORVRUSU5HX09USEVSX0FESlVTVE1FTlRTLjk5Mi4wNy8wMy8yMDI2Li4uVVNELkgBAAAA3rYBAAMAAAAAACj6viT/gd4IKU4YKP+B3gg2Q0lRLk5ZU0U6SUJNLklRX0FTU0VUU19MRVZFTF8xLjEwMDAuMDcv</t>
  </si>
  <si>
    <t>MDMvMjAyNi4uLlVTRC5IAQAAAN62AQACAAAAAzQxMwAo+r4k/4HeCClOGCj/gd4ISUNJUS5OWVNFOklCTS5JUV9MSVFVSURBVElPTl9WQUxVRV9QUkVGRVJSRURfUkVERUVNLjk5NC4wNy8wMy8yMDI2Li4uVVNELkgBAAAA3rYBAAMAAAAAACj6viT/gd4IKU4YKP+B3ghDQ0lRLk5ZU0U6SUJNLklRX1JFU1RSSUNURURfQ0FTSF9OT05fQ1VSUkVOVC4xMDAwLjA3LzAzLzIwMjYuLi5VU0QuSAEAAADetgEAAwAAAAAAKPq+JP+B3gjniRgo/4HeCDxDSVEuTllTRTpJQk0uSVFfREVCVF9FUVVJVl9PUEVSX0xFQVNFLjk5Ni4wNy8wMy8yMDI2Li4uVVNELkgBAAAA3rYBAAIAAAAFMTE0OTYBCAAAAAUAAAABMQEAAAALLTIwMDg2NDcxOTgDAAAAAzE2MAIAAAAFMjE2NzEEAAAAATAHAAAACDMvNy8yMDI2CAAAAAoxMi8zMS8yMDIxCQAAAAEwKPq+JP+B3gjniRgo/4HeCDlDSVEuTllTRTpJQk0uSVFfRklOX0RJVl9DQVNIX0VRVUlWLjk5Ni4wNy8wMy8yMDI2Li4uVVNELkgBAAAA3rYBAAMAAAAAACj6viT/gd4ILxMYKP+B3gg8Q0lRLk5ZU0U6SUJNLklRX0ZJTl9ESVZfU1RfREVCVF9UT1RBTC45OTIuMDcvMDMvMjAyNi4uLlVTRC5IAQAAAN62AQADAAAAAAAo+r4k/4HeCClOGCj/gd4ITENJUS5OWVNFOklCTS5JUV9MSUFCSUxJVElFU19ORVRUSU5HX09USEVSX0FESlVTVE1FTlRTLjk5Ni4wNy8wMy8yMDI2Li4u</t>
  </si>
  <si>
    <t>VVNELkgBAAAA3rYBAAMAAAAAACj6viT/gd4IKU4YKP+B3ghAQ0lRLk5ZU0U6SUJNLklRX0RFUklWQVRJVkVfVFJBRElOR19BU1NFVFMuOTk2LjA3LzAzLzIwMjYuLi5VU0QuSAEAAADetgEAAwAAAAAAKPq+JP+B3ggpThgo/4HeCERDSVEuTllTRTpJQk0uSVFfQ1VSUkVOVF9QT1JUX0RFQlRfREVSSVZBVElWRVMuOTk4LjA3LzAzLzIwMjYuLi5VU0QuSAEAAADetgEAAwAAAAAAKPq+JP+B3ggpThgo/4HeCDpDSVEuTllTRTpJQk0uSVFfU1RfREVCVF9ERVJJVkFUSVZFUy45OTIuMDcvMDMvMjAyNi4uLlVTRC5IAQAAAN62AQADAAAAAAAo+r4k/4HeCC8TGCj/gd4IPUNJUS5OWVNFOklCTS5JUV9DT05USU5HRU5UX0xJQUJJTElUSUVTLjk5OC4wNy8wMy8yMDI2Li4uVVNELkgBAAAA3rYBAAMAAAAAACj6viT/gd4ILxMYKP+B3gg6Q0lRLk5ZU0U6SUJNLklRX1RPVEFMX0RFQlRfRVhDTF9GSU4uOTk0LjA3LzAzLzIwMjYuLi5VU0QuSAEAAADetgEAAgAAAAU2ODE1OAEIAAAABQAAAAExAQAAAAstMjExMDc2OTM1NQMAAAADMTYwAgAAAAUyMTg2MAQAAAABMAcAAAAIMy83LzIwMjYIAAAACjEyLzMxLzIwMTkJAAAAATAo+r4k/4HeCC8TGCj/gd4IM0NJUS5OWVNFOklCTS5JUV9HV19JTlRBTl9ORVQuOTk4LjA3LzAzLzIwMjYuLi5VU0QuSAEAAADetgEAAwAAAAAAKPq+JP+B3ggvExgo/4HeCDxDSVEuTllTRTpJ</t>
  </si>
  <si>
    <t>Qk0uSVFfQURWQU5DRVNfRk9SX1NVUFBMSUVTLjk5Mi4wNy8wMy8yMDI2Li4uVVNELkgBAAAA3rYBAAMAAAAAACj6viT/gd4ILxMYKP+B3ggwQ0lRLk5ZU0U6SUJNLklRX0dST1NTX0dXLjEwMDAuMDcvMDMvMjAyNi4uLlVTRC5IAQAAAN62AQADAAAAAAAo+r4k/4HeCPzrFyj/gd4IP0NJUS5OWVNFOklCTS5JUV9BQ0NVTV9BTU9SVF9JTlRBTl9BU1NFVFMuOTk0LjA3LzAzLzIwMjYuLi5VU0QuSAEAAADetgEAAgAAAAUtMzMwOQEIAAAABQAAAAExAQAAAAstMjExMDc2OTM1NQMAAAADMTYwAgAAAAUyNDMzMQQAAAABMAcAAAAIMy83LzIwMjYIAAAACjEyLzMxLzIwMTkJAAAAATAo+r4k/4HeCPzrFyj/gd4IPENJUS5OWVNFOklCTS5JUV9ERVJJVkFUSVZFX0FTU0VUU19MVC4xMDAwLjA3LzAzLzIwMjYuLi5VU0QuSAEAAADetgEAAgAAAAMzNjEBCAAAAAUAAAABMQEAAAALLTE5MDQ4NjA3NDADAAAAAzE2MAIAAAAEMTExMAQAAAABMAcAAAAIMy83LzIwMjYIAAAACjEyLzMxLzIwMjUJAAAAATAo+r4k/4HeCPzrFyj/gd4IOkNJUS5OWVNFOklCTS5JUV9BRF9FWENMX09QRVJfTEVBU0VTLjk5OS4wNy8wMy8yMDI2Li4uVVNELkgBAAAA3rYBAAIAAAAGLTExOTU5AQgAAAAFAAAAATEBAAAACy0xOTA0ODYwNzQzAwAAAAMxNjACAAAABTQ4OTc1BAAAAAEwBwAAAAgzLzcvMjAyNggAAAAKMTIvMzEvMjAyNAkAAAAB</t>
  </si>
  <si>
    <t>MCj6viT/gd4I/OsXKP+B3gg+Q0lRLk5ZU0U6SUJNLklRX1JVQV9PUEVSQVRJTkdfTEVBU0VfTkVULjk5NS4wNy8wMy8yMDI2Li4uVVNELkgBAAAA3rYBAAMAAAAAACj6viT/gd4ILxMYKP+B3ghCQ0lRLk5ZU0U6SUJNLklRX1JVQV9DQVBJVEFMX0xFQVNFX0FDQ1VNX0RFUC45OTcuMDcvMDMvMjAyNi4uLlVTRC5IAQAAAN62AQADAAAAAAAo+r4k/4HeCN/EFyj/gd4IOUNJUS5OWVNFOklCTS5JUV9UT1RBTF9SRVZfRU1QTE9ZRUUuOTk0LjA3LzAzLzIwMjYuLi5VU0QuSAEAAADetgEAAgAAAAcxNjMuNjgxAQgAAAAFAAAAATEBAAAACy0yMTEwNzY5MzU1AwAAAAMxNjACAAAABDQxMjMEAAAAATAHAAAACDMvNy8yMDI2CAAAAAoxMi8zMS8yMDE5CQAAAAEwKPq+JP+B3gjfxBco/4HeCDpDSVEuTllTRTpJQk0uSVFfSU5URVJDT01QQU5ZX05PTl9DQS45OTYuMDcvMDMvMjAyNi4uLlVTRC5IAQAAAN62AQADAAAAAAAo+r4k/4HeCN/EFyj/gd4IL0NJUS5OWVNFOklCTS5JUV9CVl9TSEFSRS45OTMuMDcvMDMvMjAyNi4uLlVTRC5IAQAAAN62AQACAAAACTE4LjgxOTQ4MQEIAAAABQAAAAExAQAAAAoyMDgxNTA1NDAxAwAAAAMxNjACAAAABDQwMjAEAAAAATAHAAAACDMvNy8yMDI2CAAAAAoxMi8zMS8yMDE4CQAAAAEwKPq+JP+B3gjfxBco/4HeCEJDSVEuTllTRTpJQk0uSVFfVE9UQUxfREVCVF9FWENMX09QRVJf</t>
  </si>
  <si>
    <t>TEVBU0VTLjk5NS4wNy8wMy8yMDI2Li4uVVNELkgBAAAA3rYBAAIAAAAFNjEzMzMBCAAAAAUAAAABMQEAAAALLTIwNTkwNzMyMDIDAAAAAzE2MAIAAAAFNDg5ODIEAAAAATAHAAAACDMvNy8yMDI2CAAAAAoxMi8zMS8yMDIwCQAAAAEwKPq+JP+B3gj86xco/4HeCDhDSVEuTllTRTpJQk0uSVFfVE9UQUxfT1BFUl9MRUFTRVMuOTk3LjA3LzAzLzIwMjYuLi5VU0QuSAEAAADetgEAAgAAAAQzMDY0AQgAAAAFAAAAATEBAAAACy0xOTU4MjgxMDk2AwAAAAMxNjACAAAABTQ4OTc4BAAAAAEwBwAAAAgzLzcvMjAyNggAAAAKMTIvMzEvMjAyMgkAAAABMCj6viT/gd4IenYXKP+B3gg/Q0lRLk5ZU0U6SUJNLklRX0ZJTkFOQ0VfTEVBU0VTX0xPTkdfVEVSTS45OTkuMDcvMDMvMjAyNi4uLlVTRC5IAQAAAN62AQACAAAAAzgwMwEIAAAABQAAAAExAQAAAAstMTkwNDg2MDc0MwMAAAADMTYwAgAAAAU0ODk5MQQAAAABMAcAAAAIMy83LzIwMjYIAAAACjEyLzMxLzIwMjQJAAAAATAo+r4k/4HeCNydFyj/gd4IPUNJUS5OWVNFOklCTS5JUV9GSU5BTkNFX0xFQVNFU19DVVJSRU5ULjk5My4wNy8wMy8yMDI2Li4uVVNELkgBAAAA3rYBAAIAAAABMwEIAAAABQAAAAExAQAAAAoyMDgxNTA1NDAxAwAAAAMxNjACAAAABTQ4OTkwBAAAAAEwBwAAAAgzLzcvMjAyNggAAAAKMTIvMzEvMjAxOAkAAAABMCj6viT/gd4I3J0XKP+B3gg2</t>
  </si>
  <si>
    <t>Q0lRLk5ZU0U6SUJNLklRX05FVF9XT1JLSU5HX0NBUC45OTkuMDcvMDMvMjAyNi4uLlVTRC5IAQAAAN62AQACAAAABS03Mzk0AQgAAAAFAAAAATEBAAAACy0xOTA0ODYwNzQzAwAAAAMxNjACAAAABDEzMTEEAAAAATAHAAAACDMvNy8yMDI2CAAAAAoxMi8zMS8yMDI0CQAAAAEwKPq+JP+B3gjcnRco/4HeCDJDSVEuTllTRTpJQk0uSVFfV09SS0lOR19DQVAuOTkzLjA3LzAzLzIwMjYuLi5VU0QuSAEAAADetgEAAgAAAAUxMDkxOQEIAAAABQAAAAExAQAAAAoyMDgxNTA1NDAxAwAAAAMxNjACAAAABDQxNjUEAAAAATAHAAAACDMvNy8yMDI2CAAAAAoxMi8zMS8yMDE4CQAAAAEwKPq+JP+B3gjcnRco/4HeCD1DSVEuTllTRTpJQk0uSVFfVE9UQUxfREVCVF9OT05fQ1VSUkVOVC45OTUuMDcvMDMvMjAyNi4uLlVTRC5IAQAAAN62AQACAAAABTU2OTM3AQgAAAAFAAAAATEBAAAACy0yMDU5MDczMjAyAwAAAAMxNjACAAAABTI1MjI0BAAAAAEwBwAAAAgzLzcvMjAyNggAAAAKMTIvMzEvMjAyMAkAAAABMCj6viT/gd4IoDsXKP+B3ggvQ0lRLk5ZU0U6SUJNLklRX0dXX0lOVEFOLjk5Ny4wNy8wMy8yMDI2Li4uVVNELkgBAAAA3rYBAAIAAAAFNjcxMzMBCAAAAAUAAAABMQEAAAALLTE5NTgyODEwOTYDAAAAAzE2MAIAAAAFMzUzODEEAAAAATAHAAAACDMvNy8yMDI2CAAAAAoxMi8zMS8yMDIyCQAAAAEwKPq+JP+B3gig</t>
  </si>
  <si>
    <t>Oxco/4HeCDhDSVEuTllTRTpJQk0uSVFfQlZfU0hBUkVfUkVQT1JURUQuOTk5LjA3LzAzLzIwMjYuLi5VU0QuSAEAAADetgEAAwAAAAAAKPq+JP+B3gh6dhco/4HeCCpDSVEuTllTRTpJQk0uSVFfQ0lQLjk5My4wNy8wMy8yMDI2Li4uVVNELkgBAAAA3rYBAAMAAAAAACj6viT/gd4IenYXKP+B3ggvQ0lRLk5ZU0U6SUJNLklRX1NPRlRXQVJFLjk5OS4wNy8wMy8yMDI2Li4uVVNELkgBAAAA3rYBAAMAAAAAACj6viT/gd4IenYXKP+B3ggwQ0lRLk5ZU0U6SUJNLklRX0JVSUxESU5HUy45OTUuMDcvMDMvMjAyNi4uLlVTRC5IAQAAAN62AQACAAAABDY0MDcBCAAAAAUAAAABMQEAAAALLTIwNTkwNzMyMDIDAAAAAzE2MAIAAAAEMzAyMwQAAAABMAcAAAAIMy83LzIwMjYIAAAACjEyLzMxLzIwMjAJAAAAATAo+r4k/4HeCKA7Fyj/gd4IM0NJUS5OWVNFOklCTS5JUV9GSU5JU0hFRF9JTlYuOTk1LjA3LzAzLzIwMjYuLi5VU0QuSAEAAADetgEAAgAAAAMxNjMBCAAAAAUAAAABMQEAAAALLTIwNTkwNzMyMDIDAAAAAzE2MAIAAAAEMzA3NQQAAAABMAcAAAAIMy83LzIwMjYIAAAACjEyLzMxLzIwMjAJAAAAATAo+r4k/4HeCKA7Fyj/gd4INENJUS5OWVNFOklCTS5JUV9FUVVJVFlfTUVUSE9ELjk5My4wNy8wMy8yMDI2Li4uVVNELkgBAAAA3rYBAAIAAAADMTkyAQgAAAAFAAAAATEBAAAACjIwODE1MDU0MDEDAAAAAzE2</t>
  </si>
  <si>
    <t>MAIAAAAEMzA2MwQAAAABMAcAAAAIMy83LzIwMjYIAAAACjEyLzMxLzIwMTgJAAAAATAo+r4k/4HeCKA7Fyj/gd4ISUNJUS5OWVNFOklCTS5JUV9MSVFVSURBVElPTl9WQUxVRV9QUkVGRVJSRURfUkVERUVNLjk5My4wNy8wMy8yMDI2Li4uVVNELkgBAAAA3rYBAAMAAAAAACj6viT/gd4IoDsXKP+B3ghKQ0lRLk5ZU0U6SUJNLklRX0xJUVVJREFUSU9OX1ZBTFVFX1BSRUZFUlJFRF9DT05WRVJULjk5OS4wNy8wMy8yMDI2Li4uVVNELkgBAAAA3rYBAAMAAAAAACj6viT/gd4IoDsXKP+B3ghIQ0lRLk5ZU0U6SUJNLklRX0dFTkVSQUxfUEFSVE5FUl9NSU5PUklUWV9JTlRFUkVTVC45OTUuMDcvMDMvMjAyNi4uLlVTRC5IAQAAAN62AQADAAAAAAAo+r4k/4HeCL0nFyj/gd4IQENJUS5OWVNFOklCTS5JUV9GSU5fRElWX01JTk9SSVRZX0lOVEVSRVNULjk5Ny4wNy8wMy8yMDI2Li4uVVNELkgBAAAA3rYBAAMAAAAAACj6viT/gd4IoDsXKP+B3gg6Q0lRLk5ZU0U6SUJNLklRX01JTk9SSVRZX0lOVF9SRURFRU0uOTk3LjA3LzAzLzIwMjYuLi5VU0QuSAEAAADetgEAAwAAAAAAKPq+JP+B3gigOxco/4HeCEJDSVEuTllTRTpJQk0uSVFfUkVTVFJJQ1RFRF9DQVNIX05PTl9DVVJSRU5ULjk5OS4wNy8wMy8yMDI2Li4uVVNELkgBAAAA3rYBAAMAAAAAACj6viT/gd4IoDsXKP+B3gg5Q0lRLk5ZU0U6SUJNLklRX0ZJTl9E</t>
  </si>
  <si>
    <t>SVZfQ0FTSF9FUVVJVi45OTUuMDcvMDMvMjAyNi4uLlVTRC5IAQAAAN62AQADAAAAAAAo+r4k/4HeCKA7Fyj/gd4ITENJUS5OWVNFOklCTS5JUV9MSUFCSUxJVElFU19ORVRUSU5HX09USEVSX0FESlVTVE1FTlRTLjk5NS4wNy8wMy8yMDI2Li4uVVNELkgBAAAA3rYBAAMAAAAAACj6viT/gd4I7QAXKP+B3gg4Q0lRLk5ZU0U6SUJNLklRX0FTU0VUU19GQUlSX1ZBTFVFLjk5Ny4wNy8wMy8yMDI2Li4uVVNELkgBAAAA3rYBAAIAAAAENTE0OAAo+r4k/4HeCO0AFyj/gd4INUNJUS5OWVNFOklCTS5JUV9BU1NFVFNfTEVWRUxfMS45OTkuMDcvMDMvMjAyNi4uLlVTRC5IAQAAAN62AQACAAAAAzI4NAAo+r4k/4HeCL0nFyj/gd4IO0NJUS5OWVNFOklCTS5JUV9ERVJJVkFUSVZFX0FTU0VUU19MVC45OTkuMDcvMDMvMjAyNi4uLlVTRC5IAQAAAN62AQACAAAAAjk2AQgAAAAFAAAAATEBAAAACy0xOTA0ODYwNzQzAwAAAAMxNjACAAAABDExMTAEAAAAATAHAAAACDMvNy8yMDI2CAAAAAoxMi8zMS8yMDI0CQAAAAEwKPq+JP+B3gi9Jxco/4HeCEBDSVEuTllTRTpJQk0uSVFfREVSSVZBVElWRV9UUkFESU5HX0FTU0VUUy45OTUuMDcvMDMvMjAyNi4uLlVTRC5IAQAAAN62AQADAAAAAAAo+r4k/4HeCL0nFyj/gd4IOkNJUS5OWVNFOklCTS5JUV9MVF9ERUJUX0RFUklWQVRJVkVTLjk5NS4wNy8wMy8yMDI2Li4uVVNELkgB</t>
  </si>
  <si>
    <t>AAAA3rYBAAMAAAAAACj6viT/gd4IGbsWKP+B3gg9Q0lRLk5ZU0U6SUJNLklRX0NPTlRJTkdFTlRfTElBQklMSVRJRVMuOTk3LjA3LzAzLzIwMjYuLi5VU0QuSAEAAADetgEAAwAAAAAAKPq+JP+B3ggZuxYo/4HeCDpDSVEuTllTRTpJQk0uSVFfVE9UQUxfREVCVF9FWENMX0ZJTi45OTMuMDcvMDMvMjAyNi4uLlVTRC5IAQAAAN62AQACAAAABTQ1ODEyAQgAAAAFAAAAATEBAAAACjIwODE1MDU0MDEDAAAAAzE2MAIAAAAFMjE4NjAEAAAAATAHAAAACDMvNy8yMDI2CAAAAAoxMi8zMS8yMDE4CQAAAAEwKPq+JP+B3ghh2RYo/4HeCDpDSVEuTllTRTpJQk0uSVFfSU5URVJDT01QQU5ZX05PTl9DTC45OTkuMDcvMDMvMjAyNi4uLlVTRC5IAQAAAN62AQADAAAAAAAo+r4k/4HeCGHZFij/gd4IOkNJUS5OWVNFOklCTS5JUV9JTlRFUkNPTVBBTllfTk9OX0NBLjk5NS4wNy8wMy8yMDI2Li4uVVNELkgBAAAA3rYBAAMAAAAAACj6viT/gd4I7QAXKP+B3ggzQ0lRLk5ZU0U6SUJNLklRX0dXX0lOVEFOX05FVC45OTcuMDcvMDMvMjAyNi4uLlVTRC5IAQAAAN62AQADAAAAAAAo+r4k/4HeCFSAFij/gd4INUNJUS5OWVNFOklCTS5JUV9BQ0NVTV9BTU9SVF9HVy45OTcuMDcvMDMvMjAyNi4uLlVTRC5IAQAAAN62AQADAAAAAAAo+r4k/4HeCFSAFij/gd4IP0NJUS5OWVNFOklCTS5JUV9BQ0NVTV9BTU9SVF9JTlRBTl9BU1NF</t>
  </si>
  <si>
    <t>VFMuOTkzLjA3LzAzLzIwMjYuLi5VU0QuSAEAAADetgEAAgAAAAUtMjc3MgEIAAAABQAAAAExAQAAAAoyMDgxNTA1NDAxAwAAAAMxNjACAAAABTI0MzMxBAAAAAEwBwAAAAgzLzcvMjAyNggAAAAKMTIvMzEvMjAxOAkAAAABMCj6viT/gd4IVIAWKP+B3gg0Q0lRLk5ZU0U6SUJNLklRX1JVQV9BQ0NVTV9ERVAuOTk2LjA3LzAzLzIwMjYuLi5VU0QuSAEAAADetgEAAwAAAAAAKPq+JP+B3ghUgBYo/4HeCDhDSVEuTllTRTpJQk0uSVFfVE9UQUxfTElBQl9FUVVJVFkuOTkyLjA3LzAzLzIwMjYuLi5VU0QuSAEAAADetgEAAgAAAAYxMjUzNTYBCAAAAAUAAAABMQEAAAAKMjAxNzE2NDI0NAMAAAADMTYwAgAAAAQxMDEzBAAAAAEwBwAAAAgzLzcvMjAyNggAAAAKMTIvMzEvMjAxNwkAAAABMCj6viT/gd4IVIAWKP+B3gg4Q0lRLk5ZU0U6SUJNLklRX01JTk9SSVRZX0lOVEVSRVNULjk5OC4wNy8wMy8yMDI2Li4uVVNELkgBAAAA3rYBAAIAAAACODABCAAAAAUAAAABMQEAAAALLTE5MDQ4NjA3NDQDAAAAAzE2MAIAAAAEMTA1MgQAAAABMAcAAAAIMy83LzIwMjYIAAAACjEyLzMxLzIwMjMJAAAAATAo+r4k/4HeCAhZFij/gd4IOkNJUS5OWVNFOklCTS5JUV9UT1RBTF9DT01NT05fRVFVSVRZLjk5Mi4wNy8wMy8yMDI2Li4uVVNELkgBAAAA3rYBAAIAAAAFMTc1OTQBCAAAAAUAAAABMQEAAAAKMjAxNzE2NDI0NAMAAAAD</t>
  </si>
  <si>
    <t>MTYwAgAAAAQxMDA2BAAAAAEwBwAAAAgzLzcvMjAyNggAAAAKMTIvMzEvMjAxNwkAAAABMCj6viT/gd4ICFkWKP+B3gg5Q0lRLk5ZU0U6SUJNLklRX1RPVEFMX1JFVl9FTVBMT1lFRS45OTMuMDcvMDMvMjAyNi4uLlVTRC5IAQAAAN62AQACAAAABzIyNy4wMTMBCAAAAAUAAAABMQEAAAAKMjA4MTUwNTQwMQMAAAADMTYwAgAAAAQ0MTIzBAAAAAEwBwAAAAgzLzcvMjAyNggAAAAKMTIvMzEvMjAxOAkAAAABMCj6viT/gd4ICFkWKP+B3gg9Q0lRLk5ZU0U6SUJNLklRX0ZJTkFOQ0VfTEVBU0VTX0NVUlJFTlQuOTkyLjA3LzAzLzIwMjYuLi5VU0QuSAEAAADetgEAAwAAAAAAKPq+JP+B3ghUgBYo/4HeCDpDSVEuTllTRTpJQk0uSVFfQURfRVhDTF9PUEVSX0xFQVNFUy45OTguMDcvMDMvMjAyNi4uLlVTRC5IAQAAAN62AQACAAAABi0xMjYyMQEIAAAABQAAAAExAQAAAAstMTkwNDg2MDc0NAMAAAADMTYwAgAAAAU0ODk3NQQAAAABMAcAAAAIMy83LzIwMjYIAAAACjEyLzMxLzIwMjMJAAAAATAo+r4k/4HeCFSAFij/gd4IPkNJUS5OWVNFOklCTS5JUV9SVUFfT1BFUkFUSU5HX0xFQVNFX05FVC45OTQuMDcvMDMvMjAyNi4uLlVTRC5IAQAAAN62AQADAAAAAAAo+r4k/4HeCIIoFij/gd4IQUNJUS5OWVNFOklCTS5JUV9SVUFfT1BFUkFUSU5HX0xFQVNFX0dST1NTLjEwMDAuMDcvMDMvMjAyNi4uLlVTRC5IAQAAAN62</t>
  </si>
  <si>
    <t>AQACAAAABDMxMjkBCAAAAAUAAAABMQEAAAALLTE5MDQ4NjA3NDADAAAAAzE2MAIAAAAFNDgzNzcEAAAAATAHAAAACDMvNy8yMDI2CAAAAAoxMi8zMS8yMDI1CQAAAAEwKPq+JP+B3giyQxYo/4HeCDxDSVEuTllTRTpJQk0uSVFfUlVBX0NBUElUQUxfTEVBU0VfTkVULjk5NC4wNy8wMy8yMDI2Li4uVVNELkgBAAAA3rYBAAMAAAAAACj6viT/gd4IskMWKP+B3ggvQ0lRLk5ZU0U6SUJNLklRX0JWX1NIQVJFLjk5Mi4wNy8wMy8yMDI2Li4uVVNELkgBAAAA3rYBAAIAAAAIMTkuMDc4NzIBCAAAAAUAAAABMQEAAAAKMjAxNzE2NDI0NAMAAAADMTYwAgAAAAQ0MDIwBAAAAAEwBwAAAAgzLzcvMjAyNggAAAAKMTIvMzEvMjAxNwkAAAABMCj6viT/gd4IskMWKP+B3ghCQ0lRLk5ZU0U6SUJNLklRX1RPVEFMX0RFQlRfRVhDTF9PUEVSX0xFQVNFUy45OTQuMDcvMDMvMjAyNi4uLlVTRC5IAQAAAN62AQACAAAABTYyODk5AQgAAAAFAAAAATEBAAAACy0yMTEwNzY5MzU1AwAAAAMxNjACAAAABTQ4OTgyBAAAAAEwBwAAAAgzLzcvMjAyNggAAAAKMTIvMzEvMjAxOQkAAAABMCj6viT/gd4ICFkWKP+B3ghQQ0lRLk5ZU0U6SUJNLklRX0ZJTkFOQ0lOR19PQkxJR19DVVJSRU5UX0VYQ0xfT1BFUl9MRUFTRVMuMTAwMC4wNy8wMy8yMDI2Li4uVVNELkgBAAAA3rYBAAIAAAAENjQyNAEIAAAABQAAAAExAQAAAAstMTkwNDg2MDc0</t>
  </si>
  <si>
    <t>MAMAAAADMTYwAgAAAAU0ODk4MAQAAAABMAcAAAAIMy83LzIwMjYIAAAACjEyLzMxLzIwMjUJAAAAATAo+r4k/4HeCNnsFSj/gd4IOENJUS5OWVNFOklCTS5JUV9UT1RBTF9PUEVSX0xFQVNFUy45OTYuMDcvMDMvMjAyNi4uLlVTRC5IAQAAAN62AQACAAAABDM0MzYBCAAAAAUAAAABMQEAAAALLTIwMDg2NDcxOTgDAAAAAzE2MAIAAAAFNDg5NzgEAAAAATAHAAAACDMvNy8yMDI2CAAAAAoxMi8zMS8yMDIxCQAAAAEwKPq+JP+B3gjZ7BUo/4HeCDtDSVEuTllTRTpJQk0uSVFfVE9UQUxfRklOQU5DRV9MRUFTRVMuOTk2LjA3LzAzLzIwMjYuLi5VU0QuSAEAAADetgEAAgAAAAI5OQEIAAAABQAAAAExAQAAAAstMjAwODY0NzE5OAMAAAADMTYwAgAAAAU0OTAzMQQAAAABMAcAAAAIMy83LzIwMjYIAAAACjEyLzMxLzIwMjEJAAAAATAo+r4k/4HeCNnsFSj/gd4IMENJUS5OWVNFOklCTS5JUV9ORVRfREVCVC4xMDAwLjA3LzAzLzIwMjYuLi5VU0QuSAEAAADetgEAAgAAAAU1MDE5MAEIAAAABQAAAAExAQAAAAstMTkwNDg2MDc0MAMAAAADMTYwAgAAAAQ0MzY0BAAAAAEwBwAAAAgzLzcvMjAyNggAAAAKMTIvMzEvMjAyNQkAAAABMCj6viT/gd4IgigWKP+B3gg9Q0lRLk5ZU0U6SUJNLklRX1RPVEFMX0RFQlRfTk9OX0NVUlJFTlQuOTk0LjA3LzAzLzIwMjYuLi5VU0QuSAEAAADetgEAAgAAAAU1Nzk4MQEIAAAABQAA</t>
  </si>
  <si>
    <t>AAExAQAAAAstMjExMDc2OTM1NQMAAAADMTYwAgAAAAUyNTIyNAQAAAABMAcAAAAIMy83LzIwMjYIAAAACjEyLzMxLzIwMTkJAAAAATAo+r4k/4HeCIIoFij/gd4IMkNJUS5OWVNFOklCTS5JUV9UT1RBTF9ERUJULjEwMDAuMDcvMDMvMjAyNi4uLlVTRC5IAQAAAN62AQACAAAABTY0NjA3AQgAAAAFAAAAATEBAAAACy0xOTA0ODYwNzQwAwAAAAMxNjACAAAABDQxNzMEAAAAATAHAAAACDMvNy8yMDI2CAAAAAoxMi8zMS8yMDI1CQAAAAEwKPq+JP+B3ggGshUo/4HeCC9DSVEuTllTRTpJQk0uSVFfR1dfSU5UQU4uOTk2LjA3LzAzLzIwMjYuLi5VU0QuSAEAAADetgEAAgAAAAU2ODE1NAEIAAAABQAAAAExAQAAAAstMjAwODY0NzE5OAMAAAADMTYwAgAAAAUzNTM4MQQAAAABMAcAAAAIMy83LzIwMjYIAAAACjEyLzMxLzIwMjEJAAAAATAo+r4k/4HeCNnsFSj/gd4IOENJUS5OWVNFOklCTS5JUV9CVl9TSEFSRV9SRVBPUlRFRC45OTguMDcvMDMvMjAyNi4uLlVTRC5IAQAAAN62AQADAAAAAAAo+r4k/4HeCNnsFSj/gd4IMENJUS5OWVNFOklCTS5JUV9NQUNISU5FUlkuOTkyLjA3LzAzLzIwMjYuLi5VU0QuSAEAAADetgEAAgAAAAUxNzcxOAEIAAAABQAAAAExAQAAAAoyMDE3MTY0MjQ0AwAAAAMxNjACAAAABDMxMTQEAAAAATAHAAAACDMvNy8yMDI2CAAAAAoxMi8zMS8yMDE3CQAAAAEwKPq+JP+B3gjZ7BUo/4He</t>
  </si>
  <si>
    <t>CDFDSVEuTllTRTpJQk0uSVFfT1RIRVJfSU5WLjEwMDAuMDcvMDMvMjAyNi4uLlVTRC5IAQAAAN62AQADAAAAAAAo+r4k/4HeCNnsFSj/gd4IM0NJUS5OWVNFOklCTS5JUV9GSU5JU0hFRF9JTlYuOTk0LjA3LzAzLzIwMjYuLi5VU0QuSAEAAADetgEAAgAAAAMyMjABCAAAAAUAAAABMQEAAAALLTIxMTA3NjkzNTUDAAAAAzE2MAIAAAAEMzA3NQQAAAABMAcAAAAIMy83LzIwMjYIAAAACjEyLzMxLzIwMTkJAAAAATAo+r4k/4HeCAayFSj/gd4INkNJUS5OWVNFOklCTS5JUV9ORVRfV09SS0lOR19DQVAuOTk4LjA3LzAzLzIwMjYuLi5VU0QuSAEAAADetgEAAgAAAAUtNzQwOQEIAAAABQAAAAExAQAAAAstMTkwNDg2MDc0NAMAAAADMTYwAgAAAAQxMzExBAAAAAEwBwAAAAgzLzcvMjAyNggAAAAKMTIvMzEvMjAyMwkAAAABMCj6viT/gd4IBrIVKP+B3ggyQ0lRLk5ZU0U6SUJNLklRX1dPUktJTkdfQ0FQLjk5Mi4wNy8wMy8yMDI2Li4uVVNELkgBAAAA3rYBAAIAAAAFMTIzNzIBCAAAAAUAAAABMQEAAAAKMjAxNzE2NDI0NAMAAAADMTYwAgAAAAQ0MTY1BAAAAAEwBwAAAAgzLzcvMjAyNggAAAAKMTIvMzEvMjAxNwkAAAABMCj6viT/gd4IBrIVKP+B3ghFQ0lRLk5ZU0U6SUJNLklRX0dFTkVSQUxfUEFSVE5FUl9DT01NT05fRVFVSVRZLjEwMDAuMDcvMDMvMjAyNi4uLlVTRC5IAQAAAN62AQADAAAAAAAo+r4k/4He</t>
  </si>
  <si>
    <t>CAayFSj/gd4IQkNJUS5OWVNFOklCTS5JUV9ERUZfVEFYX1ZBTFVBVElPTl9BTExPV0FOQ0UuOTk0LjA3LzAzLzIwMjYuLi5VU0QuSAEAAADetgEAAgAAAAM2MDgBCAAAAAUAAAABMQEAAAALLTIxMTA3NjkzNTUDAAAAAzE2MAIAAAAFNDYwNDUEAAAAATAHAAAACDMvNy8yMDI2CAAAAAoxMi8zMS8yMDE5CQAAAAEwKPq+JP+B3ggGshUo/4HeCDpDSVEuTllTRTpJQk0uSVFfTUlOT1JJVFlfSU5UX1JFREVFTS45OTYuMDcvMDMvMjAyNi4uLlVTRC5IAQAAAN62AQADAAAAAAAo+r4k/4HeCPFjFSj/gd4IKkNJUS5OWVNFOklCTS5JUV9DSVAuOTkyLjA3LzAzLzIwMjYuLi5VU0QuSAEAAADetgEAAwAAAAAAKPq+JP+B3ggAixUo/4HeCC9DSVEuTllTRTpJQk0uSVFfU09GVFdBUkUuOTk4LjA3LzAzLzIwMjYuLi5VU0QuSAEAAADetgEAAwAAAAAAKPq+JP+B3ggAixUo/4HeCDhDSVEuTllTRTpJQk0uSVFfQVNTRVRTX0ZBSVJfVkFMVUUuOTk2LjA3LzAzLzIwMjYuLi5VU0QuSAEAAADetgEAAgAAAAQ0NTY0ACj6viT/gd4IAIsVKP+B3gg1Q0lRLk5ZU0U6SUJNLklRX0FTU0VUU19MRVZFTF8yLjk5Ni4wNy8wMy8yMDI2Li4uVVNELkgBAAAA3rYBAAIAAAAEMzQ5NAAo+r4k/4HeCACLFSj/gd4ISUNJUS5OWVNFOklCTS5JUV9MSVFVSURBVElPTl9WQUxVRV9QUkVGRVJSRURfUkVERUVNLjk5Mi4wNy8wMy8yMDI2Li4u</t>
  </si>
  <si>
    <t>VVNELkgBAAAA3rYBAAMAAAAAACj6viT/gd4IyjwVKP+B3ghKQ0lRLk5ZU0U6SUJNLklRX0xJUVVJREFUSU9OX1ZBTFVFX1BSRUZFUlJFRF9DT05WRVJULjk5OC4wNy8wMy8yMDI2Li4uVVNELkgBAAAA3rYBAAMAAAAAACj6viT/gd4I8WMVKP+B3ghIQ0lRLk5ZU0U6SUJNLklRX0dFTkVSQUxfUEFSVE5FUl9NSU5PUklUWV9JTlRFUkVTVC45OTQuMDcvMDMvMjAyNi4uLlVTRC5IAQAAAN62AQADAAAAAAAo+r4k/4HeCPFjFSj/gd4IOUNJUS5OWVNFOklCTS5JUV9GSU5fRElWX0NBU0hfRVFVSVYuOTk0LjA3LzAzLzIwMjYuLi5VU0QuSAEAAADetgEAAwAAAAAAKPq+JP+B3gjxYxUo/4HeCD1DSVEuTllTRTpJQk0uSVFfRklOX0RJVl9TVF9ERUJUX1RPVEFMLjEwMDAuMDcvMDMvMjAyNi4uLlVTRC5IAQAAAN62AQADAAAAAAAo+r4k/4HeCPFjFSj/gd4IRkNJUS5OWVNFOklCTS5JUV9GQUlSX1ZBTFVFX0NIQU5HRV9JTkNMX0VBUk5JTkdTLjk5OC4wNy8wMy8yMDI2Li4uVVNELkgBAAAA3rYBAAMAAAAAACj6viT/gd4IuxUVKP+B3ghMQ0lRLk5ZU0U6SUJNLklRX0xJQUJJTElUSUVTX05FVFRJTkdfT1RIRVJfQURKVVNUTUVOVFMuOTk0LjA3LzAzLzIwMjYuLi5VU0QuSAEAAADetgEAAwAAAAAAKPq+JP+B3gjKPBUo/4HeCDtDSVEuTllTRTpJQk0uSVFfTElBQklMSVRJRVNfTEVWRUxfMi4xMDAwLjA3LzAzLzIw</t>
  </si>
  <si>
    <t>MjYuLi5VU0QuSAEAAADetgEAAgAAAAM1MTMAKPq+JP+B3gjKPBUo/4HeCD9DSVEuTllTRTpJQk0uSVFfREVSSVZBVElWRV9MSUFCX0NVUlJFTlQuMTAwMC4wNy8wMy8yMDI2Li4uVVNELkgBAAAA3rYBAAIAAAADMjU0AQgAAAAFAAAAATEBAAAACy0xOTA0ODYwNzQwAwAAAAMxNjACAAAABTQwNDE3BAAAAAEwBwAAAAgzLzcvMjAyNggAAAAKMTIvMzEvMjAyNQkAAAABMCj6viT/gd4IyjwVKP+B3gg6Q0lRLk5ZU0U6SUJNLklRX0xUX0RFQlRfREVSSVZBVElWRVMuOTk0LjA3LzAzLzIwMjYuLi5VU0QuSAEAAADetgEAAgAAAAQ3MzAwAQgAAAAFAAAAATEBAAAACy0yMTEwNzY5MzU1AwAAAAMxNjACAAAABTMwOTE1BAAAAAEwBwAAAAgzLzcvMjAyNggAAAAKMTIvMzEvMjAxOQkAAAABMCj6viT/gd4IyjwVKP+B3gg9Q0lRLk5ZU0U6SUJNLklRX0NPTlRJTkdFTlRfTElBQklMSVRJRVMuOTk2LjA3LzAzLzIwMjYuLi5VU0QuSAEAAADetgEAAwAAAAAAKPq+JP+B3giz7hQo/4HeCEJDSVEuTllTRTpJQk0uSVFfUkVTVFJJQ1RFRF9DQVNIX05PTl9DVVJSRU5ULjk5OC4wNy8wMy8yMDI2Li4uVVNELkgBAAAA3rYBAAMAAAAAACj6viT/gd4Is+4UKP+B3gg5Q0lRLk5ZU0U6SUJNLklRX0ZJTl9ESVZfU1RfSU5WRVNULjEwMDAuMDcvMDMvMjAyNi4uLlVTRC5IAQAAAN62AQADAAAAAAAo+r4k/4HeCLsVFSj/gd4ILUNJ</t>
  </si>
  <si>
    <t>US5OWVNFOklCTS5JUV9HV19ORVQuOTk0LjA3LzAzLzIwMjYuLi5VU0QuSAEAAADetgEAAgAAAAU1ODIyMgEIAAAABQAAAAExAQAAAAstMjExMDc2OTM1NQMAAAADMTYwAgAAAAU0ODk2MAQAAAABMAcAAAAIMy83LzIwMjYIAAAACjEyLzMxLzIwMTkJAAAAATAo+r4k/4HeCLsVFSj/gd4INUNJUS5OWVNFOklCTS5JUV9BQ0NVTV9BTU9SVF9HVy45OTYuMDcvMDMvMjAyNi4uLlVTRC5IAQAAAN62AQADAAAAAAAo+r4k/4HeCLsVFSj/gd4IP0NJUS5OWVNFOklCTS5JUV9BQ0NVTV9BTU9SVF9JTlRBTl9BU1NFVFMuOTkyLjA3LzAzLzIwMjYuLi5VU0QuSAEAAADetgEAAgAAAAUtMjcyOAEIAAAABQAAAAExAQAAAAoyMDE3MTY0MjQ0AwAAAAMxNjACAAAABTI0MzMxBAAAAAEwBwAAAAgzLzcvMjAyNggAAAAKMTIvMzEvMjAxNwkAAAABMCj6viT/gd4ImccUKP+B3gg7Q0lRLk5ZU0U6SUJNLklRX0RFUklWQVRJVkVfQVNTRVRTX0xULjk5OC4wNy8wMy8yMDI2Li4uVVNELkgBAAAA3rYBAAIAAAACMzcBCAAAAAUAAAABMQEAAAALLTE5MDQ4NjA3NDQDAAAAAzE2MAIAAAAEMTExMAQAAAABMAcAAAAIMy83LzIwMjYIAAAACjEyLzMxLzIwMjMJAAAAATAo+r4k/4HeCJnHFCj/gd4IQENJUS5OWVNFOklCTS5JUV9ERVJJVkFUSVZFX0FTU0VUU19DVVJSRU5ULjk5Mi4wNy8wMy8yMDI2Li4uVVNELkgBAAAA3rYBAAIAAAAD</t>
  </si>
  <si>
    <t>MTg0AQgAAAAFAAAAATEBAAAACjIwMTcxNjQyNDQDAAAAAzE2MAIAAAAEMTEwOQQAAAABMAcAAAAIMy83LzIwMjYIAAAACjEyLzMxLzIwMTcJAAAAATAo+r4k/4HeCLPuFCj/gd4IOkNJUS5OWVNFOklCTS5JUV9BRF9FWENMX09QRVJfTEVBU0VTLjk5Ny4wNy8wMy8yMDI2Li4uVVNELkgBAAAA3rYBAAIAAAAGLTEzMzYxAQgAAAAFAAAAATEBAAAACy0xOTU4MjgxMDk2AwAAAAMxNjACAAAABTQ4OTc1BAAAAAEwBwAAAAgzLzcvMjAyNggAAAAKMTIvMzEvMjAyMgkAAAABMCj6viT/gd4Is+4UKP+B3gg5Q0lRLk5ZU0U6SUJNLklRX1RPVEFMX1JFVl9FTVBMT1lFRS45OTIuMDcvMDMvMjAyNi4uLlVTRC5IAQAAAN62AQACAAAABzIxNS44NzIBCAAAAAUAAAABMQEAAAAKMjAxNzE2NDI0NAMAAAADMTYwAgAAAAQ0MTIzBAAAAAEwBwAAAAgzLzcvMjAyNggAAAAKMTIvMzEvMjAxNwkAAAABMCj6viT/gd4Is+4UKP+B3gg6Q0lRLk5ZU0U6SUJNLklRX0lOVEVSQ09NUEFOWV9OT05fQ0wuOTk4LjA3LzAzLzIwMjYuLi5VU0QuSAEAAADetgEAAwAAAAAAKPq+JP+B3ghFoBQo/4HeCDpDSVEuTllTRTpJQk0uSVFfSU5URVJDT01QQU5ZX05PTl9DQS45OTQuMDcvMDMvMjAyNi4uLlVTRC5IAQAAAN62AQADAAAAAAAo+r4k/4HeCEWgFCj/gd4IMUNJUS5OWVNFOklCTS5JUV9JTlRBTl9ORVQuMTAwMC4wNy8wMy8yMDI2Li4u</t>
  </si>
  <si>
    <t>VVNELkgBAAAA3rYBAAIAAAAFMTEzOTEBCAAAAAUAAAABMQEAAAALLTE5MDQ4NjA3NDADAAAAAzE2MAIAAAAFNDg5NjIEAAAAATAHAAAACDMvNy8yMDI2CAAAAAoxMi8zMS8yMDI1CQAAAAEwKPq+JP+B3ghFoBQo/4HeCDBDSVEuTllTRTpJQk0uSVFfVEJWX1NIQVJFLjk5NS4wNy8wMy8yMDI2Li4uVVNELkgBAAAA3rYBAAIAAAAKLTUyLjU0NzgyOQEIAAAABQAAAAExAQAAAAstMjA1OTA3MzIwMgMAAAADMTYwAgAAAAQ0MTU2BAAAAAEwBwAAAAgzLzcvMjAyNggAAAAKMTIvMzEvMjAyMAkAAAABMCj6viT/gd4ImccUKP+B3ghCQ0lRLk5ZU0U6SUJNLklRX1RPVEFMX0RFQlRfRVhDTF9PUEVSX0xFQVNFUy45OTMuMDcvMDMvMjAyNi4uLlVTRC5IAQAAAN62AQACAAAABTQ1ODEyAQgAAAAFAAAAATEBAAAACjIwODE1MDU0MDEDAAAAAzE2MAIAAAAFNDg5ODIEAAAAATAHAAAACDMvNy8yMDI2CAAAAAoxMi8zMS8yMDE4CQAAAAEwKPq+JP+B3giZxxQo/4HeCE9DSVEuTllTRTpJQk0uSVFfRklOQU5DSU5HX09CTElHX0NVUlJFTlRfRVhDTF9PUEVSX0xFQVNFUy45OTkuMDcvMDMvMjAyNi4uLlVTRC5IAQAAAN62AQACAAAABDUwODkBCAAAAAUAAAABMQEAAAALLTE5MDQ4NjA3NDMDAAAAAzE2MAIAAAAFNDg5ODAEAAAAATAHAAAACDMvNy8yMDI2CAAAAAoxMi8zMS8yMDI0CQAAAAEwKPq+JP+B3giHXRQo/4HeCDND</t>
  </si>
  <si>
    <t>SVEuTllTRTpJQk0uSVFfVE9UQUxfTEVBU0VTLjk5My4wNy8wMy8yMDI2Li4uVVNELkgBAAAA3rYBAAIAAAACNDEBCAAAAAUAAAABMQEAAAAKMjA4MTUwNTQwMQMAAAADMTYwAgAAAAU0ODk3OQQAAAABMAcAAAAIMy83LzIwMjYIAAAACjEyLzMxLzIwMTgJAAAAATAo+r4k/4HeCEWgFCj/gd4IO0NJUS5OWVNFOklCTS5JUV9UT1RBTF9GSU5BTkNFX0xFQVNFUy45OTUuMDcvMDMvMjAyNi4uLlVTRC5IAQAAAN62AQACAAAAAjkwAQgAAAAFAAAAATEBAAAACy0yMDU5MDczMjAyAwAAAAMxNjACAAAABTQ5MDMxBAAAAAEwBwAAAAgzLzcvMjAyNggAAAAKMTIvMzEvMjAyMAkAAAABMCj6viT/gd4IRaAUKP+B3gg2Q0lRLk5ZU0U6SUJNLklRX05FVF9XT1JLSU5HX0NBUC45OTcuMDcvMDMvMjAyNi4uLlVTRC5IAQAAAN62AQACAAAABS01NDkxAQgAAAAFAAAAATEBAAAACy0xOTU4MjgxMDk2AwAAAAMxNjACAAAABDEzMTEEAAAAATAHAAAACDMvNy8yMDI2CAAAAAoxMi8zMS8yMDIyCQAAAAEwKPq+JP+B3ghFoBQo/4HeCD5DSVEuTllTRTpJQk0uSVFfTUlOT1JJVFlfSU5URVJFU1RfVE9UQUwuOTk3LjA3LzAzLzIwMjYuLi5VU0QuSAEAAADetgEAAgAAAAI3NwEIAAAABQAAAAExAQAAAAstMTk1ODI4MTA5NgMAAAADMTYwAgAAAAQxMzEyBAAAAAEwBwAAAAgzLzcvMjAyNggAAAAKMTIvMzEvMjAyMgkAAAABMCj6viT/</t>
  </si>
  <si>
    <t>gd4IRaAUKP+B3gg9Q0lRLk5ZU0U6SUJNLklRX1RPVEFMX0RFQlRfTk9OX0NVUlJFTlQuOTkzLjA3LzAzLzIwMjYuLi5VU0QuSAEAAADetgEAAgAAAAUzNTYwNQEIAAAABQAAAAExAQAAAAoyMDgxNTA1NDAxAwAAAAMxNjACAAAABTI1MjI0BAAAAAEwBwAAAAgzLzcvMjAyNggAAAAKMTIvMzEvMjAxOAkAAAABMCj6viT/gd4Ih10UKP+B3ggxQ0lRLk5ZU0U6SUJNLklRX1RPVEFMX0RFQlQuOTk5LjA3LzAzLzIwMjYuLi5VU0QuSAEAAADetgEAAgAAAAU1ODM5NgEIAAAABQAAAAExAQAAAAstMTkwNDg2MDc0MwMAAAADMTYwAgAAAAQ0MTczBAAAAAEwBwAAAAgzLzcvMjAyNggAAAAKMTIvMzEvMjAyNAkAAAABMCj6viT/gd4Ih10UKP+B3ggvQ0lRLk5ZU0U6SUJNLklRX0dXX0lOVEFOLjk5NS4wNy8wMy8yMDI2Li4uVVNELkgBAAAA3rYBAAIAAAAFNjc1MDQBCAAAAAUAAAABMQEAAAALLTIwNTkwNzMyMDIDAAAAAzE2MAIAAAAFMzUzODEEAAAAATAHAAAACDMvNy8yMDI2CAAAAAoxMi8zMS8yMDIwCQAAAAEwKPq+JP+B3giHXRQo/4HeCDpDSVEuTllTRTpJQk0uSVFfTUlOT1JJVFlfSU5UX1JFREVFTS45OTUuMDcvMDMvMjAyNi4uLlVTRC5IAQAAAN62AQADAAAAAAAo+r4k/4HeCIddFCj/gd4IL0NJUS5OWVNFOklCTS5JUV9TT0ZUV0FSRS45OTcuMDcvMDMvMjAyNi4uLlVTRC5IAQAAAN62AQADAAAAAAAo+r4k</t>
  </si>
  <si>
    <t>/4HeCIddFCj/gd4IMENJUS5OWVNFOklCTS5JUV9PVEhFUl9JTlYuOTk5LjA3LzAzLzIwMjYuLi5VU0QuSAEAAADetgEAAwAAAAAAKPq+JP+B3gibIhQo/4HeCDNDSVEuTllTRTpJQk0uSVFfRklOSVNIRURfSU5WLjk5My4wNy8wMy8yMDI2Li4uVVNELkgBAAAA3rYBAAIAAAADMjY3AQgAAAAFAAAAATEBAAAACjIwODE1MDU0MDEDAAAAAzE2MAIAAAAEMzA3NQQAAAABMAcAAAAIMy83LzIwMjYIAAAACjEyLzMxLzIwMTgJAAAAATAo+r4k/4HeCIddFCj/gd4ILkNJUS5OWVNFOklCTS5JUV9SQVdfSU5WLjk5OS4wNy8wMy8yMDI2Li4uVVNELkgBAAAA3rYBAAMAAAAAACj6viT/gd4Ih10UKP+B3gg6Q0lRLk5ZU0U6SUJNLklRX0xJQUJJTElUSUVTX0xFVkVMXzEuOTkzLjA3LzAzLzIwMjYuLi5VU0QuSAEAAADetgEAAwAAAAAAKPq+JP+B3giHXRQo/4HeCDVDSVEuTllTRTpJQk0uSVFfQVNTRVRTX0xFVkVMXzIuOTk1LjA3LzAzLzIwMjYuLi5VU0QuSAEAAADetgEAAgAAAAQ4OTgyACj6viT/gd4Ih10UKP+B3ghKQ0lRLk5ZU0U6SUJNLklRX0xJUVVJREFUSU9OX1ZBTFVFX1BSRUZFUlJFRF9DT05WRVJULjk5Ny4wNy8wMy8yMDI2Li4uVVNELkgBAAAA3rYBAAMAAAAAACj6viT/gd4ImyIUKP+B3ghEQ0lRLk5ZU0U6SUJNLklRX0dFTkVSQUxfUEFSVE5FUl9DT01NT05fRVFVSVRZLjk5OS4wNy8wMy8yMDI2Li4u</t>
  </si>
  <si>
    <t>VVNELkgBAAAA3rYBAAMAAAAAACj6viT/gd4ImyIUKP+B3ghCQ0lRLk5ZU0U6SUJNLklRX0RFRl9UQVhfVkFMVUFUSU9OX0FMTE9XQU5DRS45OTMuMDcvMDMvMjAyNi4uLlVTRC5IAQAAAN62AQACAAAAAzkxNQEIAAAABQAAAAExAQAAAAoyMDgxNTA1NDAxAwAAAAMxNjACAAAABTQ2MDQ1BAAAAAEwBwAAAAgzLzcvMjAyNggAAAAKMTIvMzEvMjAxOAkAAAABMCj6viT/gd4ImyIUKP+B3gg5Q0lRLk5ZU0U6SUJNLklRX0ZJTl9ESVZfQ0FTSF9FUVVJVi45OTMuMDcvMDMvMjAyNi4uLlVTRC5IAQAAAN62AQADAAAAAAAo+r4k/4HeCJsiFCj/gd4IPENJUS5OWVNFOklCTS5JUV9GSU5fRElWX1NUX0RFQlRfVE9UQUwuOTk5LjA3LzAzLzIwMjYuLi5VU0QuSAEAAADetgEAAwAAAAAAKPq+JP+B3gibIhQo/4HeCEZDSVEuTllTRTpJQk0uSVFfRkFJUl9WQUxVRV9DSEFOR0VfSU5DTF9FQVJOSU5HUy45OTcuMDcvMDMvMjAyNi4uLlVTRC5IAQAAAN62AQADAAAAAAAo+r4k/4HeCJsiFCj/gd4ITENJUS5OWVNFOklCTS5JUV9MSUFCSUxJVElFU19ORVRUSU5HX09USEVSX0FESlVTVE1FTlRTLjk5My4wNy8wMy8yMDI2Li4uVVNELkgBAAAA3rYBAAMAAAAAACj6viT/gd4ImyIUKP+B3gg6Q0lRLk5ZU0U6SUJNLklRX0xJQUJJTElUSUVTX0xFVkVMXzIuOTk5LjA3LzAzLzIwMjYuLi5VU0QuSAEAAADetgEAAgAAAAM3MjYA</t>
  </si>
  <si>
    <t>KPq+JP+B3gibIhQo/4HeCDpDSVEuTllTRTpJQk0uSVFfTFRfREVCVF9ERVJJVkFUSVZFUy45OTMuMDcvMDMvMjAyNi4uLlVTRC5IAQAAAN62AQACAAAABDYyNjEBCAAAAAUAAAABMQEAAAAKMjA4MTUwNTQwMQMAAAADMTYwAgAAAAUzMDkxNQQAAAABMAcAAAAIMy83LzIwMjYIAAAACjEyLzMxLzIwMTgJAAAAATAo+r4k/4HeCJsiFCj/gd4IOkNJUS5OWVNFOklCTS5JUV9TVF9ERUJUX0RFUklWQVRJVkVTLjk5OS4wNy8wMy8yMDI2Li4uVVNELkgBAAAA3rYBAAMAAAAAACj6viT/gd4ImyIUKP+B3gg9Q0lRLk5ZU0U6SUJNLklRX0NPTlRJTkdFTlRfTElBQklMSVRJRVMuOTk1LjA3LzAzLzIwMjYuLi5VU0QuSAEAAADetgEAAwAAAAAAKPq+JP+B3giQ+xMo/4HeCEJDSVEuTllTRTpJQk0uSVFfUkVTVFJJQ1RFRF9DQVNIX05PTl9DVVJSRU5ULjk5Ny4wNy8wMy8yMDI2Li4uVVNELkgBAAAA3rYBAAMAAAAAACj6viT/gd4IkPsTKP+B3gg5Q0lRLk5ZU0U6SUJNLklRX0RFQlRfRVFVSVZfTkVUX1BCTy45OTcuMDcvMDMvMjAyNi4uLlVTRC5IAQAAAN62AQACAAAABC03MTEBCAAAAAUAAAABMQEAAAALLTE5NTgyODEwOTYDAAAAAzE2MAIAAAAFMjE2NzkEAAAAATAHAAAACDMvNy8yMDI2CAAAAAoxMi8zMS8yMDIyCQAAAAEwKPq+JP+B3gibIhQo/4HeCDBDSVEuTllTRTpJQk0uSVFfSU5UQU5fTkVULjk5OS4wNy8w</t>
  </si>
  <si>
    <t>My8yMDI2Li4uVVNELkgBAAAA3rYBAAIAAAAFMTA2NjABCAAAAAUAAAABMQEAAAALLTE5MDQ4NjA3NDMDAAAAAzE2MAIAAAAFNDg5NjIEAAAAATAHAAAACDMvNy8yMDI2CAAAAAoxMi8zMS8yMDI0CQAAAAEwKPq+JP+B3gibIhQo/4HeCC1DSVEuTllTRTpJQk0uSVFfR1dfTkVULjk5My4wNy8wMy8yMDI2Li4uVVNELkgBAAAA3rYBAAIAAAAFMzYyNjUBCAAAAAUAAAABMQEAAAAKMjA4MTUwNTQwMQMAAAADMTYwAgAAAAU0ODk2MAQAAAABMAcAAAAIMy83LzIwMjYIAAAACjEyLzMxLzIwMTgJAAAAATAo+r4k/4HeCJsiFCj/gd4INUNJUS5OWVNFOklCTS5JUV9BQ0NVTV9BTU9SVF9HVy45OTUuMDcvMDMvMjAyNi4uLlVTRC5IAQAAAN62AQADAAAAAAAo+r4k/4HeCJD7Eyj/gd4IO0NJUS5OWVNFOklCTS5JUV9ERVJJVkFUSVZFX0FTU0VUU19MVC45OTcuMDcvMDMvMjAyNi4uLlVTRC5IAQAAAN62AQACAAAAATcBCAAAAAUAAAABMQEAAAALLTE5NTgyODEwOTYDAAAAAzE2MAIAAAAEMTExMAQAAAABMAcAAAAIMy83LzIwMjYIAAAACjEyLzMxLzIwMjIJAAAAATAo+r4k/4HeCJD7Eyj/gd4IPkNJUS5OWVNFOklCTS5JUV9ERVJJVkFUSVZFX0xJQUJfQ1VSUkVOVC45OTkuMDcvMDMvMjAyNi4uLlVTRC5IAQAAAN62AQACAAAAAzI2MgEIAAAABQAAAAExAQAAAAstMTkwNDg2MDc0MwMAAAADMTYwAgAAAAU0MDQxNwQA</t>
  </si>
  <si>
    <t>AAABMAcAAAAIMy83LzIwMjYIAAAACjEyLzMxLzIwMjQJAAAAATAo+r4k/4HeCJD7Eyj/gd4IPENJUS5OWVNFOklCTS5JUV9GSU5fRElWX0xUX0RFQlRfVE9UQUwuOTkyLjA3LzAzLzIwMjYuLi5VU0QuSAEAAADetgEAAgAAAAUzMTQzNAEIAAAABQAAAAExAQAAAAoyMDE3MTY0MjQ0AwAAAAMxNjACAAAABTI0NTE1BAAAAAEwBwAAAAgzLzcvMjAyNggAAAAKMTIvMzEvMjAxNwkAAAABMCj6viT/gd4IkPsTKP+B3ghGQ0lRLk5ZU0U6SUJNLklRX0ZBSVJfVkFMVUVfQ0hBTkdFX0lOQ0xfRUFSTklOR1MuOTk2LjA3LzAzLzIwMjYuLi5VU0QuSAEAAADetgEAAwAAAAAAKPq+JP+B3giQ+xMo/4HeCDpDSVEuTllTRTpJQk0uSVFfTElBQklMSVRJRVNfTEVWRUxfMi45OTguMDcvMDMvMjAyNi4uLlVTRC5IAQAAAN62AQACAAAABTQ4ODc3ACj6viT/gd4IetQTKP+B3gg6Q0lRLk5ZU0U6SUJNLklRX0xJQUJJTElUSUVTX0xFVkVMXzEuOTkyLjA3LzAzLzIwMjYuLi5VU0QuSAEAAADetgEAAwAAAAAAKPq+JP+B3gh61BMo/4HeCDpDSVEuTllTRTpJQk0uSVFfSU5URVJDT01QQU5ZX05PTl9DTC45OTcuMDcvMDMvMjAyNi4uLlVTRC5IAQAAAN62AQADAAAAAAAo+r4k/4HeCHrUEyj/gd4IO0NJUS5OWVNFOklCTS5JUV9UT1RBTF9ERUJUX0VYQ0xfRklOLjEwMDAuMDcvMDMvMjAyNi4uLlVTRC5IAQAAAN62AQACAAAABTY0</t>
  </si>
  <si>
    <t>NjA3AQgAAAAFAAAAATEBAAAACy0xOTA0ODYwNzQwAwAAAAMxNjACAAAABTIxODYwBAAAAAEwBwAAAAgzLzcvMjAyNggAAAAKMTIvMzEvMjAyNQkAAAABMCj6viT/gd4IkPsTKP+B3gg8Q0lRLk5ZU0U6SUJNLklRX1JFU1RSSUNURURfQ0FTSF9UT1RBTC45OTQuMDcvMDMvMjAyNi4uLlVTRC5IAQAAAN62AQACAAAAAzE0MQEIAAAABQAAAAExAQAAAAstMjExMDc2OTM1NQMAAAADMTYwAgAAAAUyNDE5MgQAAAABMAcAAAAIMy83LzIwMjYIAAAACjEyLzMxLzIwMTkJAAAAATAo+r4k/4HeCJD7Eyj/gd4IOUNJUS5OWVNFOklCTS5JUV9ERUJUX0VRVUlWX05FVF9QQk8uOTk2LjA3LzAzLzIwMjYuLi5VU0QuSAEAAADetgEAAgAAAAQxNDQ4AQgAAAAFAAAAATEBAAAACy0yMDA4NjQ3MTk4AwAAAAMxNjACAAAABTIxNjc5BAAAAAEwBwAAAAgzLzcvMjAyNggAAAAKMTIvMzEvMjAyMQkAAAABMCj6viT/gd4IetQTKP+B3gg5Q0lRLk5ZU0U6SUJNLklRX0ZJTl9ESVZfQ0FTSF9FUVVJVi45OTIuMDcvMDMvMjAyNi4uLlVTRC5IAQAAAN62AQADAAAAAAAo+r4k/4HeCHrUEyj/gd4IPENJUS5OWVNFOklCTS5JUV9GSU5fRElWX1NUX0RFQlRfVE9UQUwuOTk4LjA3LzAzLzIwMjYuLi5VU0QuSAEAAADetgEAAwAAAAAAKPq+JP+B3gh61BMo/4HeCDtDSVEuTllTRTpJQk0uSVFfREVSSVZBVElWRV9BU1NFVFNfTFQuOTk2LjA3</t>
  </si>
  <si>
    <t>LzAzLzIwMjYuLi5VU0QuSAEAAADetgEAAgAAAAI0MAEIAAAABQAAAAExAQAAAAstMjAwODY0NzE5OAMAAAADMTYwAgAAAAQxMTEwBAAAAAEwBwAAAAgzLzcvMjAyNggAAAAKMTIvMzEvMjAyMQkAAAABMCj6viT/gd4IetQTKP+B3ghCQ0lRLk5ZU0U6SUJNLklRX0RFUklWQVRJVkVfTElBQl9OT05fQ1VSUkVOVC45OTYuMDcvMDMvMjAyNi4uLlVTRC5IAQAAAN62AQACAAAAAzEwMwEIAAAABQAAAAExAQAAAAstMjAwODY0NzE5OAMAAAADMTYwAgAAAAU0MDQxOQQAAAABMAcAAAAIMy83LzIwMjYIAAAACjEyLzMxLzIwMjEJAAAAATAo+r4k/4HeCHrUEyj/gd4IOkNJUS5OWVNFOklCTS5JUV9MVF9ERUJUX0RFUklWQVRJVkVTLjk5Mi4wNy8wMy8yMDI2Li4uVVNELkgBAAAA3rYBAAIAAAAENjUwNQEIAAAABQAAAAExAQAAAAoyMDE3MTY0MjQ0AwAAAAMxNjACAAAABTMwOTE1BAAAAAEwBwAAAAgzLzcvMjAyNggAAAAKMTIvMzEvMjAxNwkAAAABMCj6viT/gd4Ib60TKP+B3gg6Q0lRLk5ZU0U6SUJNLklRX1NUX0RFQlRfREVSSVZBVElWRVMuOTk4LjA3LzAzLzIwMjYuLi5VU0QuSAEAAADetgEAAwAAAAAAKPq+JP+B3ghvrRMo/4HeCD1DSVEuTllTRTpJQk0uSVFfQ09OVElOR0VOVF9MSUFCSUxJVElFUy45OTQuMDcvMDMvMjAyNi4uLlVTRC5IAQAAAN62AQADAAAAAAAo+r4k/4HeCG+tEyj/gd4IMENJUS5OWVNF</t>
  </si>
  <si>
    <t>OklCTS5JUV9JTlRBTl9ORVQuOTk4LjA3LzAzLzIwMjYuLi5VU0QuSAEAAADetgEAAgAAAAUxMTAzNgEIAAAABQAAAAExAQAAAAstMTkwNDg2MDc0NAMAAAADMTYwAgAAAAU0ODk2MgQAAAABMAcAAAAIMy83LzIwMjYIAAAACjEyLzMxLzIwMjMJAAAAATAo+r4k/4HeCG+tEyj/gd4ILUNJUS5OWVNFOklCTS5JUV9HV19ORVQuOTkyLjA3LzAzLzIwMjYuLi5VU0QuSAEAAADetgEAAwAAAAAAKPq+JP+B3gh61BMo/4HeCDxDSVEuTllTRTpJQk0uSVFfQURWQU5DRVNfRk9SX1NVUFBMSUVTLjk5OC4wNy8wMy8yMDI2Li4uVVNELkgBAAAA3rYBAAMAAAAAACj6viT/gd4Ib60TKP+B3gg1Q0lRLk5ZU0U6SUJNLklRX0FDQ1VNX0FNT1JUX0dXLjk5NC4wNy8wMy8yMDI2Li4uVVNELkgBAAAA3rYBAAMAAAAAACj6viT/gd4Ib60TKP+B3ghAQ0lRLk5ZU0U6SUJNLklRX0FDQ1VNX0FNT1JUX0lOVEFOX0FTU0VUUy4xMDAwLjA3LzAzLzIwMjYuLi5VU0QuSAEAAADetgEAAgAAAAYtMTA0MDMBCAAAAAUAAAABMQEAAAALLTE5MDQ4NjA3NDADAAAAAzE2MAIAAAAFMjQzMzEEAAAAATAHAAAACDMvNy8yMDI2CAAAAAoxMi8zMS8yMDI1CQAAAAEwKPq+JP+B3ghvrRMo/4HeCDNDSVEuTllTRTpJQk0uSVFfVE9UQUxfRVFVSVRZLjk5My4wNy8wMy8yMDI2Li4uVVNELkgBAAAA3rYBAAIAAAAFMTY5MzABCAAAAAUAAAABMQEAAAAK</t>
  </si>
  <si>
    <t>MjA4MTUwNTQwMQMAAAADMTYwAgAAAAQxMjc1BAAAAAEwBwAAAAgzLzcvMjAyNggAAAAKMTIvMzEvMjAxOAkAAAABMCj6viT/gd4Ib60TKP+B3ggvQ0lRLk5ZU0U6SUJNLklRX1RSRUFTVVJZLjk5NS4wNy8wMy8yMDI2Li4uVVNELkgBAAAA3rYBAAIAAAAHLTE2OTMzOQEIAAAABQAAAAExAQAAAAstMjA1OTA3MzIwMgMAAAADMTYwAgAAAAQxMjQ4BAAAAAEwBwAAAAgzLzcvMjAyNggAAAAKMTIvMzEvMjAyMAkAAAABMCj6viT/gd4Ib60TKP+B3ggyQ0lRLk5ZU0U6SUJNLklRX1BSRUZfRVFVSVRZLjk5Ny4wNy8wMy8yMDI2Li4uVVNELkgBAAAA3rYBAAMAAAAAACj6viT/gd4IX4YTKP+B3gg6Q0lRLk5ZU0U6SUJNLklRX1RPVEFMX1JFVl9FTVBMT1lFRS4xMDAwLjA3LzAzLzIwMjYuLi5VU0QuSAEAAADetgEAAgAAAAcyNTUuNTI0AQgAAAAFAAAAATEBAAAACy0xOTA0ODYwNzQwAwAAAAMxNjACAAAABDQxMjMEAAAAATAHAAAACDMvNy8yMDI2CAAAAAoxMi8zMS8yMDI1CQAAAAEwKPq+JP+B3ghfhhMo/4HeCDpDSVEuTllTRTpJQk0uSVFfSU5URVJDT01QQU5ZX05PTl9DTC45OTYuMDcvMDMvMjAyNi4uLlVTRC5IAQAAAN62AQADAAAAAAAo+r4k/4HeCF+GEyj/gd4IOkNJUS5OWVNFOklCTS5JUV9BRF9FWENMX09QRVJfTEVBU0VTLjk5NS4wNy8wMy8yMDI2Li4uVVNELkgBAAAA3rYBAAIAAAAGLTEzODk2AQgA</t>
  </si>
  <si>
    <t>AAAFAAAAATEBAAAACy0yMDU5MDczMjAyAwAAAAMxNjACAAAABTQ4OTc1BAAAAAEwBwAAAAgzLzcvMjAyNggAAAAKMTIvMzEvMjAyMAkAAAABMCj6viT/gd4IX4YTKP+B3ghEQ0lRLk5ZU0U6SUJNLklRX1JVQV9PUEVSQVRJTkdfTEVBU0VfQUNDVU1fREVQLjk5NS4wNy8wMy8yMDI2Li4uVVNELkgBAAAA3rYBAAMAAAAAACj6viT/gd4Ib60TKP+B3gg+Q0lRLk5ZU0U6SUJNLklRX1JVQV9DQVBJVEFMX0xFQVNFX0dST1NTLjk5Ny4wNy8wMy8yMDI2Li4uVVNELkgBAAAA3rYBAAMAAAAAACj6viT/gd4IX4YTKP+B3gg0Q0lRLk5ZU0U6SUJNLklRX1JVQV9BQ0NVTV9ERVAuOTkzLjA3LzAzLzIwMjYuLi5VU0QuSAEAAADetgEAAwAAAAAAKPq+JP+B3ghfhhMo/4HeCDhDSVEuTllTRTpJQk0uSVFfVE9UQUxfTElBQl9FUVVJVFkuOTk5LjA3LzAzLzIwMjYuLi5VU0QuSAEAAADetgEAAgAAAAYxMzcxNzUBCAAAAAUAAAABMQEAAAALLTE5MDQ4NjA3NDMDAAAAAzE2MAIAAAAEMTAxMwQAAAABMAcAAAAIMy83LzIwMjYIAAAACjEyLzMxLzIwMjQJAAAAATAo+r4k/4HeCF+GEyj/gd4IL0NJUS5OWVNFOklCTS5JUV9CVl9TSEFSRS45OTkuMDcvMDMvMjAyNi4uLlVTRC5IAQAAAN62AQACAAAACTI5LjQ3OTk2NgEIAAAABQAAAAExAQAAAAstMTkwNDg2MDc0MwMAAAADMTYwAgAAAAQ0MDIwBAAAAAEwBwAAAAgzLzcvMjAy</t>
  </si>
  <si>
    <t>NggAAAAKMTIvMzEvMjAyNAkAAAABMCj6viT/gd4IX4YTKP+B3ghPQ0lRLk5ZU0U6SUJNLklRX0ZJTkFOQ0lOR19PQkxJR19DVVJSRU5UX0VYQ0xfT1BFUl9MRUFTRVMuOTk3LjA3LzAzLzIwMjYuLi5VU0QuSAEAAADetgEAAgAAAAQ0NzYwAQgAAAAFAAAAATEBAAAACy0xOTU4MjgxMDk2AwAAAAMxNjACAAAABTQ4OTgwBAAAAAEwBwAAAAgzLzcvMjAyNggAAAAKMTIvMzEvMjAyMgkAAAABMCj6viT/gd4IX4YTKP+B3ghIQ0lRLk5ZU0U6SUJNLklRX0xUX1BPUlRJT05fT1BFUl9MRUFTRV9MSUFCSUxJVElFUy45OTcuMDcvMDMvMjAyNi4uLlVTRC5IAQAAAN62AQACAAAABDIxOTABCAAAAAUAAAABMQEAAAALLTE5NTgyODEwOTYDAAAAAzE2MAIAAAAFNDgzODMEAAAAATAHAAAACDMvNy8yMDI2CAAAAAoxMi8zMS8yMDIyCQAAAAEwKPq+JP+B3ghiXxMo/4HeCDtDSVEuTllTRTpJQk0uSVFfVE9UQUxfRklOQU5DRV9MRUFTRVMuOTkzLjA3LzAzLzIwMjYuLi5VU0QuSAEAAADetgEAAgAAAAI0MQEIAAAABQAAAAExAQAAAAoyMDgxNTA1NDAxAwAAAAMxNjACAAAABTQ5MDMxBAAAAAEwBwAAAAgzLzcvMjAyNggAAAAKMTIvMzEvMjAxOAkAAAABMCj6viT/gd4IYl8TKP+B3gg9Q0lRLk5ZU0U6SUJNLklRX0ZJTkFOQ0VfTEVBU0VTX0NVUlJFTlQuOTk5LjA3LzAzLzIwMjYuLi5VU0QuSAEAAADetgEAAgAAAAMxOTgB</t>
  </si>
  <si>
    <t>CAAAAAUAAAABMQEAAAALLTE5MDQ4NjA3NDMDAAAAAzE2MAIAAAAFNDg5OTAEAAAAATAHAAAACDMvNy8yMDI2CAAAAAoxMi8zMS8yMDI0CQAAAAEwKPq+JP+B3ghiXxMo/4HeCDdDSVEuTllTRTpJQk0uSVFfQUxMT1dfRE9VQlRfQUNDVC45OTMuMDcvMDMvMjAyNi4uLlVTRC5IAQAAAN62AQACAAAAAzMwOQEIAAAABQAAAAExAQAAAAoyMDgxNTA1NDAxAwAAAAMxNjACAAAABDMwMTIEAAAAATAHAAAACDMvNy8yMDI2CAAAAAoxMi8zMS8yMDE4CQAAAAEwKPq+JP+B3ghiXxMo/4HeCD5DSVEuTllTRTpJQk0uSVFfTUlOT1JJVFlfSU5URVJFU1RfVE9UQUwuOTk1LjA3LzAzLzIwMjYuLi5VU0QuSAEAAADetgEAAgAAAAMxMjkBCAAAAAUAAAABMQEAAAALLTIwNTkwNzMyMDIDAAAAAzE2MAIAAAAEMTMxMgQAAAABMAcAAAAIMy83LzIwMjYIAAAACjEyLzMxLzIwMjAJAAAAATAo+r4k/4HeCGJfEyj/gd4IMUNJUS5OWVNFOklCTS5JUV9UT1RBTF9ERUJULjk5Ny4wNy8wMy8yMDI2Li4uVVNELkgBAAAA3rYBAAIAAAAFNTQwMTMBCAAAAAUAAAABMQEAAAALLTE5NTgyODEwOTYDAAAAAzE2MAIAAAAENDE3MwQAAAABMAcAAAAIMy83LzIwMjYIAAAACjEyLzMxLzIwMjIJAAAAATAo+r4k/4HeCBQ4Eyj/gd4IOUNJUS5OWVNFOklCTS5JUV9UQlZfU0hBUkVfUkVQT1JURUQuOTk5LjA3LzAzLzIwMjYuLi5VU0QuSAEAAADe</t>
  </si>
  <si>
    <t>tgEAAwAAAAAAKPq+JP+B3ghiXxMo/4HeCDBDSVEuTllTRTpJQk0uSVFfVEJWX1NIQVJFLjk5My4wNy8wMy8yMDI2Li4uVVNELkgBAAAA3rYBAAIAAAAKLTI1LjI3MzQxMgEIAAAABQAAAAExAQAAAAoyMDgxNTA1NDAxAwAAAAMxNjACAAAABDQxNTYEAAAAATAHAAAACDMvNy8yMDI2CAAAAAoxMi8zMS8yMDE4CQAAAAEwKPq+JP+B3ghiXxMo/4HeCCpDSVEuTllTRTpJQk0uSVFfQ0lQLjk5OS4wNy8wMy8yMDI2Li4uVVNELkgBAAAA3rYBAAMAAAAAACj6viT/gd4IYl8TKP+B3gg9Q0lRLk5ZU0U6SUJNLklRX05BVFVSQUxfUkVTT1VSQ0VTX0NPU1QuOTkzLjA3LzAzLzIwMjYuLi5VU0QuSAEAAADetgEAAwAAAAAAKPq+JP+B3ghiXxMo/4HeCCtDSVEuTllTRTpJQk0uSVFfTEFORC45OTUuMDcvMDMvMjAyNi4uLlVTRC5IAQAAAN62AQACAAAAAzIzNAEIAAAABQAAAAExAQAAAAstMjA1OTA3MzIwMgMAAAADMTYwAgAAAAQzMDk4BAAAAAEwBwAAAAgzLzcvMjAyNggAAAAKMTIvMzEvMjAyMAkAAAABMCj6viT/gd4I/hATKP+B3gguQ0lRLk5ZU0U6SUJNLklRX1JBV19JTlYuOTk3LjA3LzAzLzIwMjYuLi5VU0QuSAEAAADetgEAAwAAAAAAKPq+JP+B3ggUOBMo/4HeCDRDSVEuTllTRTpJQk0uSVFfRVFVSVRZX01FVEhPRC45OTkuMDcvMDMvMjAyNi4uLlVTRC5IAQAAAN62AQACAAAAAzEwOAEIAAAABQAAAAExAQAA</t>
  </si>
  <si>
    <t>AAstMTkwNDg2MDc0MwMAAAADMTYwAgAAAAQzMDYzBAAAAAEwBwAAAAgzLzcvMjAyNggAAAAKMTIvMzEvMjAyNAkAAAABMCj6viT/gd4IFDgTKP+B3ghJQ0lRLk5ZU0U6SUJNLklRX0xJUVVJREFUSU9OX1ZBTFVFX1BSRUZFUlJFRF9SRURFRU0uOTk5LjA3LzAzLzIwMjYuLi5VU0QuSAEAAADetgEAAwAAAAAAKPq+JP+B3ggUOBMo/4HeCEpDSVEuTllTRTpJQk0uSVFfTElRVUlEQVRJT05fVkFMVUVfUFJFRkVSUkVEX0NPTlZFUlQuOTk1LjA3LzAzLzIwMjYuLi5VU0QuSAEAAADetgEAAwAAAAAARyG/JP+B3ggUOBMo/4HeCEJDSVEuTllTRTpJQk0uSVFfR0VORVJBTF9QQVJUTkVSX1BSRUZfRVFVSVRZLjk5NS4wNy8wMy8yMDI2Li4uVVNELkgBAAAA3rYBAAMAAAAAAEchvyT/gd4I7ukSKP+B3gg+Q0lRLk5ZU0U6SUJNLklRX01JTk9SSVRZX0lOVF9SRURFRU1fVE9ULjk5Ny4wNy8wMy8yMDI2Li4uVVNELkgBAAAA3rYBAAMAAAAAAEchvyT/gd4I/hATKP+B3gg6Q0lRLk5ZU0U6SUJNLklRX01JTk9SSVRZX0lOVF9SRURFRU0uOTkzLjA3LzAzLzIwMjYuLi5VU0QuSAEAAADetgEAAwAAAAAARyG/JP+B3gj+EBMo/4HeCDxDSVEuTllTRTpJQk0uSVFfRklOX0RJVl9TVF9ERUJUX1RPVEFMLjk5Ny4wNy8wMy8yMDI2Li4uVVNELkgBAAAA3rYBAAMAAAAAAEchvyT/gd4I/hATKP+B3ghGQ0lRLk5ZU0U6SUJNLklR</t>
  </si>
  <si>
    <t>X0ZBSVJfVkFMVUVfQ0hBTkdFX0lOQ0xfRUFSTklOR1MuOTk1LjA3LzAzLzIwMjYuLi5VU0QuSAEAAADetgEAAwAAAAAARyG/JP+B3gj+EBMo/4HeCDpDSVEuTllTRTpJQk0uSVFfTElBQklMSVRJRVNfTEVWRUxfMi45OTcuMDcvMDMvMjAyNi4uLlVTRC5IAQAAAN62AQACAAAABTQzNTQ4AEchvyT/gd4I4cISKP+B3ghHQ0lRLk5ZU0U6SUJNLklRX0FTU0VUU19ORVRUSU5HX09USEVSX0FESlVTVE1FTlRTLjk5Ny4wNy8wMy8yMDI2Li4uVVNELkgBAAAA3rYBAAMAAAAAAEchvyT/gd4I7ukSKP+B3gg1Q0lRLk5ZU0U6SUJNLklRX0FTU0VUU19MRVZFTF8yLjk5My4wNy8wMy8yMDI2Li4uVVNELkgBAAAA3rYBAAIAAAAEOTAyNgBHIb8k/4HeCO7pEij/gd4IQkNJUS5OWVNFOklCTS5JUV9ERVJJVkFUSVZFX0xJQUJfTk9OX0NVUlJFTlQuOTk1LjA3LzAzLzIwMjYuLi5VU0QuSAEAAADetgEAAgAAAAI0MAEIAAAABQAAAAExAQAAAAstMjA1OTA3MzIwMgMAAAADMTYwAgAAAAU0MDQxOQQAAAABMAcAAAAIMy83LzIwMjYIAAAACjEyLzMxLzIwMjAJAAAAATBHIb8k/4HeCO7pEij/gd4IOkNJUS5OWVNFOklCTS5JUV9TVF9ERUJUX0RFUklWQVRJVkVTLjk5Ny4wNy8wMy8yMDI2Li4uVVNELkgBAAAA3rYBAAMAAAAAAEchvyT/gd4I7ukSKP+B3gg6Q0lRLk5ZU0U6SUJNLklRX1RPVEFMX0RFQlRfRVhDTF9GSU4uOTk5</t>
  </si>
  <si>
    <t>LjA3LzAzLzIwMjYuLi5VU0QuSAEAAADetgEAAgAAAAU1ODM5NgEIAAAABQAAAAExAQAAAAstMTkwNDg2MDc0MwMAAAADMTYwAgAAAAUyMTg2MAQAAAABMAcAAAAIMy83LzIwMjYIAAAACjEyLzMxLzIwMjQJAAAAATBHIb8k/4HeCNaOEij/gd4IPENJUS5OWVNFOklCTS5JUV9SRVNUUklDVEVEX0NBU0hfVE9UQUwuOTkzLjA3LzAzLzIwMjYuLi5VU0QuSAEAAADetgEAAgAAAAMyMjUBCAAAAAUAAAABMQEAAAAKMjA4MTUwNTQwMQMAAAADMTYwAgAAAAUyNDE5MgQAAAABMAcAAAAIMy83LzIwMjYIAAAACjEyLzMxLzIwMTgJAAAAATBHIb8k/4HeCOHCEij/gd4IOUNJUS5OWVNFOklCTS5JUV9ERUJUX0VRVUlWX05FVF9QQk8uOTk1LjA3LzAzLzIwMjYuLi5VU0QuSAEAAADetgEAAgAAAAQ1OTkwAQgAAAAFAAAAATEBAAAACy0yMDU5MDczMjAyAwAAAAMxNjACAAAABTIxNjc5BAAAAAEwBwAAAAgzLzcvMjAyNggAAAAKMTIvMzEvMjAyMAkAAAABMEchvyT/gd4I4cISKP+B3gg2Q0lRLk5ZU0U6SUJNLklRX0lOVEVSQ09NUEFOWV9DQS45OTUuMDcvMDMvMjAyNi4uLlVTRC5IAQAAAN62AQADAAAAAABHIb8k/4HeCOHCEij/gd4IPENJUS5OWVNFOklCTS5JUV9BRFZBTkNFU19GT1JfU1VQUExJRVMuOTk3LjA3LzAzLzIwMjYuLi5VU0QuSAEAAADetgEAAwAAAAAARyG/JP+B3gjhwhIo/4HeCDVDSVEuTllTRTpJQk0u</t>
  </si>
  <si>
    <t>SVFfQUNDVU1fQU1PUlRfR1cuOTkzLjA3LzAzLzIwMjYuLi5VU0QuSAEAAADetgEAAwAAAAAARyG/JP+B3gjWjhIo/4HeCD9DSVEuTllTRTpJQk0uSVFfQUNDVU1fQU1PUlRfSU5UQU5fQVNTRVRTLjk5OS4wNy8wMy8yMDI2Li4uVVNELkgBAAAA3rYBAAIAAAAFLTgwOTQBCAAAAAUAAAABMQEAAAALLTE5MDQ4NjA3NDMDAAAAAzE2MAIAAAAFMjQzMzEEAAAAATAHAAAACDMvNy8yMDI2CAAAAAoxMi8zMS8yMDI0CQAAAAEwRyG/JP+B3gjWjhIo/4HeCDlDSVEuTllTRTpJQk0uSVFfR1JPU1NfSU5UQU5fQVNTRVRTLjk5My4wNy8wMy8yMDI2Li4uVVNELkgBAAAA3rYBAAIAAAAENDkyMQEIAAAABQAAAAExAQAAAAoyMDgxNTA1NDAxAwAAAAMxNjACAAAABTI0MjkzBAAAAAEwBwAAAAgzLzcvMjAyNggAAAAKMTIvMzEvMjAxOAkAAAABMEchvyT/gd4I1o4SKP+B3gg5Q0lRLk5ZU0U6SUJNLklRX1RPVEFMX1JFVl9FTVBMT1lFRS45OTkuMDcvMDMvMjAyNi4uLlVTRC5IAQAAAN62AQACAAAABjIzMi4xNgEIAAAABQAAAAExAQAAAAstMTkwNDg2MDc0MwMAAAADMTYwAgAAAAQ0MTIzBAAAAAEwBwAAAAgzLzcvMjAyNggAAAAKMTIvMzEvMjAyNAkAAAABMEchvyT/gd4I1o4SKP+B3gg6Q0lRLk5ZU0U6SUJNLklRX0lOVEVSQ09NUEFOWV9OT05fQ0wuOTk1LjA3LzAzLzIwMjYuLi5VU0QuSAEAAADetgEAAwAAAAAARyG/</t>
  </si>
  <si>
    <t>JP+B3gjWjhIo/4HeCC9DSVEuTllTRTpJQk0uSVFfRVBTXzVZUl9BTk5fQ0FHUi45OTEuMDcvMDMvMjAyNgEAAADetgEAAgAAAActMS4wNDc4AQgAAAAFAAAAATEBAAAACjE5NDcxNzk1ODMDAAAAAzE2MAIAAAAENDIzOQQAAAABMAcAAAAIMy83LzIwMjYIAAAACjEyLzMxLzIwMTYJAAAAATBHIb8k/4HeCM1nEij/gd4IMENJUS5OWVNFOklCTS5JUV9OSV8xWVJfQU5OX0dST1dUSC45OTEuMDcvMDMvMjAyNgEAAADetgEAAgAAAActOS45OTI1AQgAAAAFAAAAATEBAAAACjE5NDcxNzk1ODMDAAAAAzE2MAIAAAAENDE5OQQAAAABMAcAAAAIMy83LzIwMjYIAAAACjEyLzMxLzIwMTYJAAAAATBHIb8k/4HeCM1nEij/gd4IL0NJUS5OWVNFOklCTS5JUV9FQklUREFfQ0FQRVhfSU5ULjk5MS4wNy8wMy8yMDI2AQAAAN62AQACAAAACTIzLjc4NDEyNgEIAAAABQAAAAExAQAAAAoxOTQ3MTc5NTgzAwAAAAMxNjACAAAABDQxOTEEAAAAATAHAAAACDMvNy8yMDI2CAAAAAoxMi8zMS8yMDE2CQAAAAEwRyG/JP+B3gjNZxIo/4HeCEFDSVEuTllTRTpJQk0uSVFfVE9UQUxfREVCVF9FQklUREFfRVhDTF9PUEVSX0xFQVNFUy45OTEuMDcvMDMvMjAyNgEAAADetgEAAgAAAAgyLjI3MzUxNgEIAAAABQAAAAExAQAAAAoxOTQ3MTc5NTgzAwAAAAMxNjACAAAABTQ4OTk0BAAAAAEwBwAAAAgzLzcvMjAyNggAAAAKMTIvMzEvMjAx</t>
  </si>
  <si>
    <t>NgkAAAABMEchvyT/gd4IzWcSKP+B3ggwQ0lRLk5ZU0U6SUJNLklRX0RBWVNfUEFZQUJMRV9PVVQuMjAwMC4wNy8wMy8yMDI2AQAAAN62AQACAAAACTU3Ljc1OTQyNQEIAAAABQAAAAExAQAAAAstMTkwNDg2MDY1NwMAAAADMTYwAgAAAAQ0MTgzBAAAAAEwBwAAAAgzLzcvMjAyNggAAAAKMTIvMzEvMjAyNQkAAAABMEchvyT/gd4IzWcSKP+B3ggvQ0lRLk5ZU0U6SUJNLklRX0NGT19DVVJSRU5UX0xJQUIuOTkxLjA3LzAzLzIwMjYBAAAA3rYBAAIAAAAIMC40NzA5NTcBCAAAAAUAAAABMQEAAAAKMTk0NzE3OTU4MwMAAAADMTYwAgAAAAQ0MTg1BAAAAAEwBwAAAAgzLzcvMjAyNggAAAAKMTIvMzEvMjAxNgkAAAABMEchvyT/gd4InBkSKP+B3ggsQ0lRLk5ZU0U6SUJNLklRX1JFVFVSTl9FUVVJVFkuOTkxLjA3LzAzLzIwMjYBAAAA3rYBAAIAAAAHNzIuNDA5OAEIAAAABQAAAAExAQAAAAoxOTQ3MTc5NTgzAwAAAAMxNjACAAAABDQxMjgEAAAAATAHAAAACDMvNy8yMDI2CAAAAAoxMi8zMS8yMDE2CQAAAAEwRyG/JP+B3gjRQBIo/4HeCC1DSVEuTllTRTpJQk0uSVFfRUJJVERBX01BUkdJTi4yMDAwLjA3LzAzLzIwMjYBAAAA3rYBAAIAAAAHMjMuODY2MQEIAAAABQAAAAExAQAAAAstMTkwNDg2MDY1NwMAAAADMTYwAgAAAAQ0MDQ3BAAAAAEwBwAAAAgzLzcvMjAyNggAAAAKMTIvMzEvMjAyNQkAAAABMEchvyT/</t>
  </si>
  <si>
    <t>gd4I0UASKP+B3ggzQ0lRLk5ZU0U6SUJNLklRX0VCSVREQV81WVJfQU5OX0NBR1IuMjAwMC4wNy8wMy8yMDI2AQAAAN62AQACAAAABTcuMjUzAQgAAAAFAAAAATEBAAAACy0xOTA0ODYwNjU3AwAAAAMxNjACAAAABDQyMzUEAAAAATAHAAAACDMvNy8yMDI2CAAAAAoxMi8zMS8yMDI1CQAAAAEwRyG/JP+B3gjRQBIo/4HeCDJDSVEuTllTRTpJQk0uSVFfRUJJVERBXzNZUl9BTk5fQ0FHUi45OTEuMDcvMDMvMjAyNgEAAADetgEAAgAAAAgtMTAuMjk2MQEIAAAABQAAAAExAQAAAAoxOTQ3MTc5NTgzAwAAAAMxNjACAAAABDQyMjIEAAAAATAHAAAACDMvNy8yMDI2CAAAAAoxMi8zMS8yMDE2CQAAAAEwRyG/JP+B3gjRQBIo/4HeCC9DSVEuTllTRTpJQk0uSVFfRVBTXzNZUl9BTk5fQ0FHUi45OTEuMDcvMDMvMjAyNgEAAADetgEAAgAAAActNi43OTY5AQgAAAAFAAAAATEBAAAACjE5NDcxNzk1ODMDAAAAAzE2MAIAAAAENDIyNgQAAAABMAcAAAAIMy83LzIwMjYIAAAACjEyLzMxLzIwMTYJAAAAATBHIb8k/4HeCKPyESj/gd4IR0NJUS5OWVNFOklCTS5JUV9UT1RBTF9ERUJUX0VCSVREQV9FWENMX09QRVJfTEVBU0VTX0NBUEVYLjk5MS4wNy8wMy8yMDI2AQAAAN62AQACAAAACDIuODE0NzM1AQgAAAAFAAAAATEBAAAACjE5NDcxNzk1ODMDAAAAAzE2MAIAAAAFNDkxODMEAAAAATAHAAAACDMvNy8yMDI2CAAAAAox</t>
  </si>
  <si>
    <t>Mi8zMS8yMDE2CQAAAAEwRyG/JP+B3gij8hEo/4HeCC1DSVEuTllTRTpJQk0uSVFfTFRfREVCVF9FUVVJVFkuOTkxLjA3LzAzLzIwMjYBAAAA3rYBAAIAAAAIMTg4LjQ2NzgBCAAAAAUAAAABMQEAAAAKMTk0NzE3OTU4MwMAAAADMTYwAgAAAAQ0MDg1BAAAAAEwBwAAAAgzLzcvMjAyNggAAAAKMTIvMzEvMjAxNgkAAAABMEchvyT/gd4InBkSKP+B3ggvQ0lRLk5ZU0U6SUJNLklRX0lOVkVOVE9SWV9UVVJOUy4yMDAwLjA3LzAzLzIwMjYBAAAA3rYBAAIAAAAJMjIuMTg4OTE5AQgAAAAFAAAAATEBAAAACy0xOTA0ODYwNjU3AwAAAAMxNjACAAAABDQwODIEAAAAATAHAAAACDMvNy8yMDI2CAAAAAoxMi8zMS8yMDI1CQAAAAEwRyG/JP+B3gicGRIo/4HeCCpDSVEuTllTRTpJQk0uSVFfQVNTRVRfVFVSTlMuOTkxLjA3LzAzLzIwMjYBAAAA3rYBAAIAAAAIMC43MDExNTEBCAAAAAUAAAABMQEAAAAKMTk0NzE3OTU4MwMAAAADMTYwAgAAAAQ0MTc3BAAAAAEwBwAAAAgzLzcvMjAyNggAAAAKMTIvMzEvMjAxNgkAAAABMEchvyT/gd4InBkSKP+B3ggtQ0lRLk5ZU0U6SUJNLklRX1JFU1RBVEVNRU5UX0JTLjk5MS4wNy8wMy8yMDI2AQAAAN62AQADAAAAAk5DAEchvyT/gd4If8sRKP+B3ggtQ0lRLk5ZU0U6SUJNLklRX0NPU1RfQk9SUk9XSU5HLjk5MS4wNy8wMy8yMDI2AQAAAN62AQACAAAABjEuNTQwMQEIAAAABQAA</t>
  </si>
  <si>
    <t>AAExAQAAAAoxOTQ3MTc5NTgzAwAAAAMxNjACAAAABTIxNjgxBAAAAAEwBwAAAAgzLzcvMjAyNggAAAAKMTIvMzEvMjAxNgkAAAABMEchvyT/gd4Io/IRKP+B3ggoQ0lRLk5ZU0U6SUJNLklRX1BBUlRfVElNRS45OTEuMDcvMDMvMjAyNgEAAADetgEAAwAAAAAARyG/JP+B3gij8hEo/4HeCDBDSVEuTllTRTpJQk0uSVFfRUJJVF81WVJfQU5OX0NBR1IuOTkxLjA3LzAzLzIwMjYBAAAA3rYBAAIAAAAHLTguMDM5NwEIAAAABQAAAAExAQAAAAoxOTQ3MTc5NTgzAwAAAAMxNjACAAAABDQyMzYEAAAAATAHAAAACDMvNy8yMDI2CAAAAAoxMi8zMS8yMDE2CQAAAAEwRyG/JP+B3gij8hEo/4HeCDJDSVEuTllTRTpJQk0uSVFfRVBTXzFZUl9BTk5fR1JPV1RILjIwMDAuMDcvMDMvMjAyNgEAAADetgEAAgAAAAc3My41MjAyAQgAAAAFAAAAATEBAAAACy0xOTA0ODYwNjU3AwAAAAMxNjACAAAABDQyMDAEAAAAATAHAAAACDMvNy8yMDI2CAAAAAoxMi8zMS8yMDI1CQAAAAEwRyG/JP+B3gij8hEo/4HeCDRDSVEuTllTRTpJQk0uSVFfRUJJVERBXzFZUl9BTk5fR1JPV1RILjk5MS4wNy8wMy8yMDI2AQAAAN62AQACAAAABy04LjkzODgBCAAAAAUAAAABMQEAAAAKMTk0NzE3OTU4MwMAAAADMTYwAgAAAAQ0MTk2BAAAAAEwBwAAAAgzLzcvMjAyNggAAAAKMTIvMzEvMjAxNgkAAAABMEchvyT/gd4If8sRKP+B3ghAQ0lRLk5Z</t>
  </si>
  <si>
    <t>U0U6SUJNLklRX0VCSVREQV9FWENMX09QRVJfTEVBU0VTX0NBUEVYX0lOVC45OTEuMDcvMDMvMjAyNgEAAADetgEAAgAAAAkyMy43ODQxMjYBCAAAAAUAAAABMQEAAAAKMTk0NzE3OTU4MwMAAAADMTYwAgAAAAU0OTE3NAQAAAABMAcAAAAIMy83LzIwMjYIAAAACjEyLzMxLzIwMTYJAAAAATBHIb8k/4HeCH/LESj/gd4IL0NJUS5OWVNFOklCTS5JUV9ORVRfREVCVF9FQklUREEuMjAwMC4wNy8wMy8yMDI2AQAAAN62AQACAAAACDIuODgwMTc5AQgAAAAFAAAAATEBAAAACy0xOTA0ODYwNjU3AwAAAAMxNjACAAAABDQxOTMEAAAAATAHAAAACDMvNy8yMDI2CAAAAAoxMi8zMS8yMDI1CQAAAAEwRyG/JP+B3gh/yxEo/4HeCC9DSVEuTllTRTpJQk0uSVFfQ0FTSF9DT05WRVJTSU9OLjIwMDAuMDcvMDMvMjAyNgEAAADetgEAAgAAAAgxLjk0MTQzNQEIAAAABQAAAAExAQAAAAstMTkwNDg2MDY1NwMAAAADMTYwAgAAAAQ0MTg0BAAAAAEwBwAAAAgzLzcvMjAyNggAAAAKMTIvMzEvMjAyNQkAAAABMEchvyT/gd4If8sRKP+B3ggsQ0lRLk5ZU0U6SUJNLklRX0NVUlJFTlRfUkFUSU8uOTkxLjA3LzAzLzIwMjYBAAAA3rYBAAIAAAAIMS4yMDk4OTYBCAAAAAUAAAABMQEAAAAKMTk0NzE3OTU4MwMAAAADMTYwAgAAAAQ0MDMwBAAAAAEwBwAAAAgzLzcvMjAyNggAAAAKMTIvMzEvMjAxNgkAAAABMEchvyT/gd4If8sRKP+B</t>
  </si>
  <si>
    <t>3ggtQ0lRLk5ZU0U6SUJNLklRX0RBWVNfU0FMRVNfT1VULjk5MS4wNy8wMy8yMDI2AQAAAN62AQACAAAACTQwLjk4MjQ4NAEIAAAABQAAAAExAQAAAAoxOTQ3MTc5NTgzAwAAAAMxNjACAAAABDQwNDIEAAAAATAHAAAACDMvNy8yMDI2CAAAAAoxMi8zMS8yMDE2CQAAAAEwRyG/JP+B3gh3pBEo/4HeCCxDSVEuTllTRTpJQk0uSVFfUkVUVVJOX0FTU0VUUy45OTEuMDcvMDMvMjAyNgEAAADetgEAAgAAAAY3Ljc2OTgBCAAAAAUAAAABMQEAAAAKMTk0NzE3OTU4MwMAAAADMTYwAgAAAAQ0MTc4BAAAAAEwBwAAAAgzLzcvMjAyNggAAAAKMTIvMzEvMjAxNgkAAAABMEchvyT/gd4Id6QRKP+B3ggxQ0lRLk5ZU0U6SUJNLklRX0FWR19URU1QX0VNUExPWUVFUy45OTEuMDcvMDMvMjAyNgEAAADetgEAAgAAAAUyNDUwMAEIAAAABQAAAAExAQAAAAoxOTQ3MTc5NTgzAwAAAAMxNjACAAAABTI0Njc1BAAAAAEwBwAAAAgzLzcvMjAyNggAAAAKMTIvMzEvMjAxNgkAAAABMEchvyT/gd4Id6QRKP+B3ggwQ0lRLk5ZU0U6SUJNLklRX0VCSVRfM1lSX0FOTl9DQUdSLjk5MS4wNy8wMy8yMDI2AQAAAN62AQACAAAACC0xMi4zMjA0AQgAAAAFAAAAATEBAAAACjE5NDcxNzk1ODMDAAAAAzE2MAIAAAAENDIyMwQAAAABMAcAAAAIMy83LzIwMjYIAAAACjEyLzMxLzIwMTYJAAAAATBHIb8k/4HeCH/LESj/gd4INkNJUS5OWVNFOklC</t>
  </si>
  <si>
    <t>TS5JUV9UT1RBTF9SRVZfNVlSX0FOTl9DQUdSLjIwMDAuMDcvMDMvMjAyNgEAAADetgEAAgAAAAU0LjEyNAEIAAAABQAAAAExAQAAAAstMTkwNDg2MDY1NwMAAAADMTYwAgAAAAQ0MjMzBAAAAAEwBwAAAAgzLzcvMjAyNggAAAAKMTIvMzEvMjAyNQkAAAABMEchvyT/gd4If8sRKP+B3gg0Q0lRLk5ZU0U6SUJNLklRX05FVF9ERUJUX0VCSVREQV9DQVBFWC45OTEuMDcvMDMvMjAyNgEAAADetgEAAgAAAAgyLjI0NTY2MgEIAAAABQAAAAExAQAAAAoxOTQ3MTc5NTgzAwAAAAMxNjACAAAABTIzMzE0BAAAAAEwBwAAAAgzLzcvMjAyNggAAAAKMTIvMzEvMjAxNgkAAAABMEchvyT/gd4Id6QRKP+B3ggqQ0lRLk5ZU0U6SUJNLklRX0VCSVREQV9JTlQuMjAwMC4wNy8wMy8yMDI2AQAAAN62AQACAAAACDkuMDA1Njg0AQgAAAAFAAAAATEBAAAACy0xOTA0ODYwNjU3AwAAAAMxNjACAAAABDQxOTAEAAAAATAHAAAACDMvNy8yMDI2CAAAAAoxMi8zMS8yMDI1CQAAAAEwRyG/JP+B3gh3pBEo/4HeCD9DSVEuTllTRTpJQk0uSVFfTkVUX0RFQlRfRUJJVERBX0VYQ0xfT1BFUl9MRUFTRVMuOTkxLjA3LzAzLzIwMjYBAAAA3rYBAAIAAAAIMS44MTM4NjQBCAAAAAUAAAABMQEAAAAKMTk0NzE3OTU4MwMAAAADMTYwAgAAAAU0OTE3NQQAAAABMAcAAAAIMy83LzIwMjYIAAAACjEyLzMxLzIwMTYJAAAAATBHIb8k/4HeCHekESj/</t>
  </si>
  <si>
    <t>gd4IMENJUS5OWVNFOklCTS5JUV9UT1RBTF9ERUJUX0VRVUlUWS45OTEuMDcvMDMvMjAyNgEAAADetgEAAgAAAAcyMjkuMzE3AQgAAAAFAAAAATEBAAAACjE5NDcxNzk1ODMDAAAAAzE2MAIAAAAENDAzNAQAAAABMAcAAAAIMy83LzIwMjYIAAAACjEyLzMxLzIwMTYJAAAAATBHIb8k/4HeCHekESj/gd4IKENJUS5OWVNFOklCTS5JUV9OSV9NQVJHSU4uOTkxLjA3LzAzLzIwMjYBAAAA3rYBAAIAAAAGMTQuODU1AQgAAAAFAAAAATEBAAAACjE5NDcxNzk1ODMDAAAAAzE2MAIAAAAENDA5NAQAAAABMAcAAAAIMy83LzIwMjYIAAAACjEyLzMxLzIwMTYJAAAAATBHIb8k/4HeCHekESj/gd4IMUNJUS5OWVNFOklCTS5JUV9GSVhFRF9BU1NFVF9UVVJOUy4yMDAwLjA3LzAzLzIwMjYBAAAA3rYBAAIAAAAINy41MjE4NTcBCAAAAAUAAAABMQEAAAALLTE5MDQ4NjA2NTcDAAAAAzE2MAIAAAAENDA2NgQAAAABMAcAAAAIMy83LzIwMjYIAAAACjEyLzMxLzIwMjUJAAAAATBHIb8k/4HeCGB9ESj/gd4IPENJUS5OWVNFOklCTS5JUV9UT1RBTF9PVVRTVEFORElOR19GSUxJTkdfREFURS45OTEuMDcvMDMvMjAyNgEAAADetgEAAgAAAAo5NDMuMjEyNTUxAQQAAAAFAAAAATUBAAAACjE5NDcxNzk1ODMCAAAABTI0MTUzBgAAAAEwRyG/JP+B3ghgfREo/4HeCC5DSVEuTllTRTpJQk0uSVFfTklfNVlSX0FOTl9DQUdSLjk5MS4w</t>
  </si>
  <si>
    <t>Ny8wMy8yMDI2AQAAAN62AQACAAAABy01LjYyMTkBCAAAAAUAAAABMQEAAAAKMTk0NzE3OTU4MwMAAAADMTYwAgAAAAQ0MjM4BAAAAAEwBwAAAAgzLzcvMjAyNggAAAAKMTIvMzEvMjAxNgkAAAABMEchvyT/gd4IYH0RKP+B3gg2Q0lRLk5ZU0U6SUJNLklRX1RPVEFMX1JFVl8zWVJfQU5OX0NBR1IuMjAwMC4wNy8wMy8yMDI2AQAAAN62AQACAAAABjMuNzE3NgEIAAAABQAAAAExAQAAAAstMTkwNDg2MDY1NwMAAAADMTYwAgAAAAQ0MjIwBAAAAAEwBwAAAAgzLzcvMjAyNggAAAAKMTIvMzEvMjAyNQkAAAABMEchvyT/gd4Id6QRKP+B3gguQ0lRLk5ZU0U6SUJNLklRX0dQXzVZUl9BTk5fQ0FHUi45OTEuMDcvMDMvMjAyNgEAAADetgEAAgAAAActNS4xMzczAQgAAAAFAAAAATEBAAAACjE5NDcxNzk1ODMDAAAAAzE2MAIAAAAENDIzNAQAAAABMAcAAAAIMy83LzIwMjYIAAAACjEyLzMxLzIwMTYJAAAAATBHIb8k/4HeCHekESj/gd4IN0NJUS5OWVNFOklCTS5JUV9UT1RBTF9SRVZfMVlSX0FOTl9HUk9XVEguOTkxLjA3LzAzLzIwMjYBAAAA3rYBAAIAAAAGLTIuMjI5AQgAAAAFAAAAATEBAAAACjE5NDcxNzk1ODMDAAAAAzE2MAIAAAAENDE5NAQAAAABMAcAAAAIMy83LzIwMjYIAAAACjEyLzMxLzIwMTYJAAAAATBHIb8k/4HeCGB9ESj/gd4IOkNJUS5OWVNFOklCTS5JUV9FQklUREFfRVhDTF9PUEVSX0xFQVNF</t>
  </si>
  <si>
    <t>U19JTlQuOTkxLjA3LzAzLzIwMjYBAAAA3rYBAAIAAAAJMjkuNDQ2MDMxAQgAAAAFAAAAATEBAAAACjE5NDcxNzk1ODMDAAAAAzE2MAIAAAAFNDkxNzMEAAAAATAHAAAACDMvNy8yMDI2CAAAAAoxMi8zMS8yMDE2CQAAAAEwRyG/JP+B3ghgfREo/4HeCDFDSVEuTllTRTpJQk0uSVFfVE9UQUxfREVCVF9FQklUREEuMjAwMC4wNy8wMy8yMDI2AQAAAN62AQACAAAACDMuNzA3NTA2AQgAAAAFAAAAATEBAAAACy0xOTA0ODYwNjU3AwAAAAMxNjACAAAABDQxOTIEAAAAATAHAAAACDMvNy8yMDI2CAAAAAoxMi8zMS8yMDI1CQAAAAEwRyG/JP+B3ghgfREo/4HeCDJDSVEuTllTRTpJQk0uSVFfREFZU19JTlZFTlRPUllfT1VULjIwMDAuMDcvMDMvMjAyNgEAAADetgEAAgAAAAkxNi40NDk0NTUBCAAAAAUAAAABMQEAAAALLTE5MDQ4NjA2NTcDAAAAAzE2MAIAAAAENDAzNQQAAAABMAcAAAAIMy83LzIwMjYIAAAACjEyLzMxLzIwMjUJAAAAATBHIb8k/4HeCGB9ESj/gd4IKkNJUS5OWVNFOklCTS5JUV9RVUlDS19SQVRJTy45OTEuMDcvMDMvMjAyNgEAAADetgEAAgAAAAgxLjA0MTI2OAEIAAAABQAAAAExAQAAAAoxOTQ3MTc5NTgzAwAAAAMxNjACAAAABDQxMjEEAAAAATAHAAAACDMvNy8yMDI2CAAAAAoxMi8zMS8yMDE2CQAAAAEwRyG/JP+B3ghgfREo/4HeCCZDSVEuTllTRTpJQk0uSVFfR0FBUF9CUy45OTEuMDcv</t>
  </si>
  <si>
    <t>MDMvMjAyNgEAAADetgEAAwAAAAdVUyBHQUFQAEchvyT/gd4IV1YRKP+B3ggtQ0lRLk5ZU0U6SUJNLklRX1JFVFVSTl9DQVBJVEFMLjk5MS4wNy8wMy8yMDI2AQAAAN62AQACAAAABzE1LjQxNzcBCAAAAAUAAAABMQEAAAAKMTk0NzE3OTU4MwMAAAADMTYwAgAAAAQ0MzYzBAAAAAEwBwAAAAgzLzcvMjAyNggAAAAKMTIvMzEvMjAxNgkAAAABMEchvyT/gd4IV1YRKP+B3ggsQ0lRLk5ZU0U6SUJNLklRX0dST1NTX01BUkdJTi4yMDAwLjA3LzAzLzIwMjYBAAAA3rYBAAIAAAAHNTguMTg2MQEIAAAABQAAAAExAQAAAAstMTkwNDg2MDY1NwMAAAADMTYwAgAAAAQ0MDc0BAAAAAEwBwAAAAgzLzcvMjAyNggAAAAKMTIvMzEvMjAyNQkAAAABMEchvyT/gd4IV1YRKP+B3ggwQ0lRLk5ZU0U6SUJNLklRX05VTUJFUl9BRFJIT0xERVJTLjk5MS4wNy8wMy8yMDI2AQAAAN62AQADAAAAAABHIb8k/4HeCFdWESj/gd4IKUNJUS5OWVNFOklCTS5JUV9JTlZfTUVUSE9ELjk5MS4wNy8wMy8yMDI2AQAAAN62AQADAAAACEF2ZyBDb3N0AEchvyT/gd4IYH0RKP+B3gguQ0lRLk5ZU0U6SUJNLklRX0dQXzNZUl9BTk5fQ0FHUi45OTEuMDcvMDMvMjAyNgEAAADetgEAAgAAAActNy41MTUxAQgAAAAFAAAAATEBAAAACjE5NDcxNzk1ODMDAAAAAzE2MAIAAAAENDIyMQQAAAABMAcAAAAIMy83LzIwMjYIAAAACjEyLzMxLzIwMTYJAAAA</t>
  </si>
  <si>
    <t>ATBHIb8k/4HeCFdWESj/gd4INkNJUS5OWVNFOklCTS5JUV9UT1RBTF9ERUJUX0VCSVREQV9DQVBFWC45OTEuMDcvMDMvMjAyNgEAAADetgEAAgAAAAgyLjgxNDczNQEIAAAABQAAAAExAQAAAAoxOTQ3MTc5NTgzAwAAAAMxNjACAAAABTIzMzEzBAAAAAEwBwAAAAgzLzcvMjAyNggAAAAKMTIvMzEvMjAxNgkAAAABMEchvyT/gd4IV1YRKP+B3ggvQ0lRLk5ZU0U6SUJNLklRX0RBWVNfUEFZQUJMRV9PVVQuOTkxLjA3LzAzLzIwMjYBAAAA3rYBAAIAAAAJNTUuNDg0ODY4AQgAAAAFAAAAATEBAAAACjE5NDcxNzk1ODMDAAAAAzE2MAIAAAAENDE4MwQAAAABMAcAAAAIMy83LzIwMjYIAAAACjEyLzMxLzIwMTYJAAAAATBHIb8k/4HeCFdWESj/gd4IMUNJUS5OWVNFOklCTS5JUV9UT1RBTF9ERUJUX0NBUElUQUwuOTkxLjA3LzAzLzIwMjYBAAAA3rYBAAIAAAAHNjkuNjM0MQEIAAAABQAAAAExAQAAAAoxOTQ3MTc5NTgzAwAAAAMxNjACAAAABDQxODYEAAAAATAHAAAACDMvNy8yMDI2CAAAAAoxMi8zMS8yMDE2CQAAAAEwRyG/JP+B3ghXVhEo/4HeCCxDSVEuTllTRTpJQk0uSVFfRUJJVERBX01BUkdJTi45OTEuMDcvMDMvMjAyNgEAAADetgEAAgAAAAcyMy4yMTIyAQgAAAAFAAAAATEBAAAACjE5NDcxNzk1ODMDAAAAAzE2MAIAAAAENDA0NwQAAAABMAcAAAAIMy83LzIwMjYIAAAACjEyLzMxLzIwMTYJAAAAATBH</t>
  </si>
  <si>
    <t>Ib8k/4HeCFdWESj/gd4IKENJUS5OWVNFOklCTS5JUV9BUl9UVVJOUy4yMDAwLjA3LzAzLzIwMjYBAAAA3rYBAAIAAAAIOC40MzkwMTIBCAAAAAUAAAABMQEAAAALLTE5MDQ4NjA2NTcDAAAAAzE2MAIAAAAENDAwMQQAAAABMAcAAAAIMy83LzIwMjYIAAAACjEyLzMxLzIwMjUJAAAAATBHIb8k/4HeCPouESj/gd4IOUNJUS5OWVNFOklCTS5JUV9UT1RBTF9PVVRTVEFORElOR19CU19EQVRFLjIwMDAuMDcvMDMvMjAyNgEAAADetgEAAgAAAAo5MzYuOTUyMTI5AQQAAAAFAAAAATUBAAAACy0xOTA0ODYwNjU3AgAAAAUyNDE1MgYAAAABMEchvyT/gd4I+i4RKP+B3ggyQ0lRLk5ZU0U6SUJNLklRX0VCSVREQV81WVJfQU5OX0NBR1IuOTkxLjA3LzAzLzIwMjYBAAAA3rYBAAIAAAAGLTYuNzg2AQgAAAAFAAAAATEBAAAACjE5NDcxNzk1ODMDAAAAAzE2MAIAAAAENDIzNQQAAAABMAcAAAAIMy83LzIwMjYIAAAACjEyLzMxLzIwMTYJAAAAATBHIb8k/4HeCPouESj/gd4IMENJUS5OWVNFOklCTS5JUV9HUF8xWVJfQU5OX0dST1dUSC45OTEuMDcvMDMvMjAyNgEAAADetgEAAgAAAActNS4zMjY1AQgAAAAFAAAAATEBAAAACjE5NDcxNzk1ODMDAAAAAzE2MAIAAAAENDE5NQQAAAABMAcAAAAIMy83LzIwMjYIAAAACjEyLzMxLzIwMTYJAAAAATBHIb8k/4HeCPouESj/gd4IMENJUS5OWVNFOklCTS5JUV9FQklUREFfQ0FQ</t>
  </si>
  <si>
    <t>RVhfSU5ULjIwMDAuMDcvMDMvMjAyNgEAAADetgEAAgAAAAc4LjQ0MTg2AQgAAAAFAAAAATEBAAAACy0xOTA0ODYwNjU3AwAAAAMxNjACAAAABDQxOTEEAAAAATAHAAAACDMvNy8yMDI2CAAAAAoxMi8zMS8yMDI1CQAAAAEwRyG/JP+B3ghXVhEo/4HeCCdDSVEuTllTRTpJQk0uSVFfRUJJVF9JTlQuOTkxLjA3LzAzLzIwMjYBAAAA3rYBAAIAAAAJMjIuNDkyMDYzAQgAAAAFAAAAATEBAAAACjE5NDcxNzk1ODMDAAAAAzE2MAIAAAAENDE4OQQAAAABMAcAAAAIMy83LzIwMjYIAAAACjEyLzMxLzIwMTYJAAAAATBHIb8k/4HeCPouESj/gd4ILkNJUS5OWVNFOklCTS5JUV9JTlZFTlRPUllfVFVSTlMuOTkxLjA3LzAzLzIwMjYBAAAA3rYBAAIAAAAJMjYuMDAzODY1AQgAAAAFAAAAATEBAAAACjE5NDcxNzk1ODMDAAAAAzE2MAIAAAAENDA4MgQAAAABMAcAAAAIMy83LzIwMjYIAAAACjEyLzMxLzIwMTYJAAAAATBHIb8k/4HeCPouESj/gd4ILUNJUS5OWVNFOklCTS5JUV9SRVRVUk5fRVFVSVRZLjIwMDAuMDcvMDMvMjAyNgEAAADetgEAAgAAAAczNS4xNTgxAQgAAAAFAAAAATEBAAAACy0xOTA0ODYwNjU3AwAAAAMxNjACAAAABDQxMjgEAAAAATAHAAAACDMvNy8yMDI2CAAAAAoxMi8zMS8yMDI1CQAAAAEwRyG/JP+B3gj6LhEo/4HeCCxDSVEuTllTRTpJQk0uSVFfQVZHX0VNUExPWUVFUy45OTEuMDcvMDMvMjAy</t>
  </si>
  <si>
    <t>NgEAAADetgEAAwAAAAAARyG/JP+B3gj6LhEo/4HeCDBDSVEuTllTRTpJQk0uSVFfRVBTXzNZUl9BTk5fQ0FHUi4yMDAwLjA3LzAzLzIwMjYBAAAA3rYBAAIAAAAHNzguNzY1NAEIAAAABQAAAAExAQAAAAstMTkwNDg2MDY1NwMAAAADMTYwAgAAAAQ0MjI2BAAAAAEwBwAAAAgzLzcvMjAyNggAAAAKMTIvMzEvMjAyNQkAAAABMEchvyT/gd4I+i4RKP+B3ggwQ0lRLk5ZU0U6SUJNLklRX0VQU181WVJfQU5OX0NBR1IuMjAwMC4wNy8wMy8yMDI2AQAAAN62AQACAAAABzIwLjUwNzcBCAAAAAUAAAABMQEAAAALLTE5MDQ4NjA2NTcDAAAAAzE2MAIAAAAENDIzOQQAAAABMAcAAAAIMy83LzIwMjYIAAAACjEyLzMxLzIwMjUJAAAAATBHIb8k/4HeCN/yECj/gd4IMUNJUS5OWVNFOklCTS5JUV9FUFNfMVlSX0FOTl9HUk9XVEguOTkxLjA3LzAzLzIwMjYBAAAA3rYBAAIAAAAHLTguODg1NAEIAAAABQAAAAExAQAAAAoxOTQ3MTc5NTgzAwAAAAMxNjACAAAABDQyMDAEAAAAATAHAAAACDMvNy8yMDI2CAAAAAoxMi8zMS8yMDE2CQAAAAEwRyG/JP+B3gitBxEo/4HeCDNDSVEuTllTRTpJQk0uSVFfRUJJVERBXzNZUl9BTk5fQ0FHUi4yMDAwLjA3LzAzLzIwMjYBAAAA3rYBAAIAAAAHMTQuMzY2MwEIAAAABQAAAAExAQAAAAstMTkwNDg2MDY1NwMAAAADMTYwAgAAAAQ0MjIyBAAAAAEwBwAAAAgzLzcvMjAyNggAAAAKMTIv</t>
  </si>
  <si>
    <t>MzEvMjAyNQkAAAABMEchvyT/gd4IrQcRKP+B3gguQ0lRLk5ZU0U6SUJNLklRX05FVF9ERUJUX0VCSVREQS45OTEuMDcvMDMvMjAyNgEAAADetgEAAgAAAAgxLjgxMzg2NAEIAAAABQAAAAExAQAAAAoxOTQ3MTc5NTgzAwAAAAMxNjACAAAABDQxOTMEAAAAATAHAAAACDMvNy8yMDI2CAAAAAoxMi8zMS8yMDE2CQAAAAEwRyG/JP+B3gitBxEo/4HeCC5DSVEuTllTRTpJQk0uSVFfQ0FTSF9DT05WRVJTSU9OLjk5MS4wNy8wMy8yMDI2AQAAAN62AQACAAAACS0wLjQyNzg1NAEIAAAABQAAAAExAQAAAAoxOTQ3MTc5NTgzAwAAAAMxNjACAAAABDQxODQEAAAAATAHAAAACDMvNy8yMDI2CAAAAAoxMi8zMS8yMDE2CQAAAAEwRyG/JP+B3gitBxEo/4HeCDNDSVEuTllTRTpJQk0uSVFfUkVUVVJOX0NPTU1PTl9FUVVJVFkuOTkxLjA3LzAzLzIwMjYBAAAA3rYBAAIAAAAHNzMuMDk1OAEIAAAABQAAAAExAQAAAAoxOTQ3MTc5NTgzAwAAAAMxNjACAAAABTMzMzIwBAAAAAEwBwAAAAgzLzcvMjAyNggAAAAKMTIvMzEvMjAxNgkAAAABMEchvyT/gd4ICrgQKP+B3ggqQ0lRLk5ZU0U6SUJNLklRX0VCSVRfTUFSR0lOLjk5MS4wNy8wMy8yMDI2AQAAAN62AQACAAAABzE3LjczMDQBCAAAAAUAAAABMQEAAAAKMTk0NzE3OTU4MwMAAAADMTYwAgAAAAQ0MDUzBAAAAAEwBwAAAAgzLzcvMjAyNggAAAAKMTIvMzEvMjAxNgkAAAAB</t>
  </si>
  <si>
    <t>MEchvyT/gd4ICrgQKP+B3ggrQ0lRLk5ZU0U6SUJNLklRX0FTU0VUX1RVUk5TLjIwMDAuMDcvMDMvMjAyNgEAAADetgEAAgAAAAgwLjQ2NzI4MQEIAAAABQAAAAExAQAAAAstMTkwNDg2MDY1NwMAAAADMTYwAgAAAAQ0MTc3BAAAAAEwBwAAAAgzLzcvMjAyNggAAAAKMTIvMzEvMjAyNQkAAAABMEchvyT/gd4ICrgQKP+B3gg1Q0lRLk5ZU0U6SUJNLklRX1RPVEFMX1JFVl81WVJfQU5OX0NBR1IuOTkxLjA3LzAzLzIwMjYBAAAA3rYBAAIAAAAHLTUuNjU0NAEIAAAABQAAAAExAQAAAAoxOTQ3MTc5NTgzAwAAAAMxNjACAAAABDQyMzMEAAAAATAHAAAACDMvNy8yMDI2CAAAAAoxMi8zMS8yMDE2CQAAAAEwRyG/JP+B3gjf8hAo/4HeCCZDSVEuTllTRTpJQk0uSVFfWl9TQ09SRS45OTEuMDcvMDMvMjAyNgEAAADetgEAAgAAAAgzLjg0OTgwOAEIAAAABQAAAAExAQAAAAoxOTQ3MTc5NTgzAwAAAAMxNjACAAAABjEwMDEyMwQAAAABMAcAAAAIMy83LzIwMjYIAAAACjEyLzMxLzIwMTYJAAAAATBHIb8k/4HeCN/yECj/gd4INUNJUS5OWVNFOklCTS5JUV9FQklUREFfMVlSX0FOTl9HUk9XVEguMjAwMC4wNy8wMy8yMDI2AQAAAN62AQACAAAABzI1LjA4MTQBCAAAAAUAAAABMQEAAAALLTE5MDQ4NjA2NTcDAAAAAzE2MAIAAAAENDE5NgQAAAABMAcAAAAIMy83LzIwMjYIAAAACjEyLzMxLzIwMjUJAAAAATBHIb8k/4He</t>
  </si>
  <si>
    <t>CPeQECj/gd4ILkNJUS5OWVNFOklCTS5JUV9MVF9ERUJUX0NBUElUQUwuOTkxLjA3LzAzLzIwMjYBAAAA3rYBAAIAAAAHNTcuMjI5OAEIAAAABQAAAAExAQAAAAoxOTQ3MTc5NTgzAwAAAAMxNjACAAAABDQxODcEAAAAATAHAAAACDMvNy8yMDI2CAAAAAoxMi8zMS8yMDE2CQAAAAEwRyG/JP+B3gj3kBAo/4HeCClDSVEuTllTRTpJQk0uSVFfRUJJVERBX0lOVC45OTEuMDcvMDMvMjAyNgEAAADetgEAAgAAAAkyOS40NDYwMzEBCAAAAAUAAAABMQEAAAAKMTk0NzE3OTU4MwMAAAADMTYwAgAAAAQ0MTkwBAAAAAEwBwAAAAgzLzcvMjAyNggAAAAKMTIvMzEvMjAxNgkAAAABMEchvyT/gd4ICrgQKP+B3ggwQ0lRLk5ZU0U6SUJNLklRX0ZJWEVEX0FTU0VUX1RVUk5TLjk5MS4wNy8wMy8yMDI2AQAAAN62AQACAAAACDcuNDE0NjY4AQgAAAAFAAAAATEBAAAACjE5NDcxNzk1ODMDAAAAAzE2MAIAAAAENDA2NgQAAAABMAcAAAAIMy83LzIwMjYIAAAACjEyLzMxLzIwMTYJAAAAATBHIb8k/4HeCAq4ECj/gd4ILkNJUS5OWVNFOklCTS5JUV9EQVlTX1NBTEVTX09VVC4yMDAwLjA3LzAzLzIwMjYBAAAA3rYBAAIAAAAJNDMuMjUxNDA1AQgAAAAFAAAAATEBAAAACy0xOTA0ODYwNjU3AwAAAAMxNjACAAAABDQwNDIEAAAAATAHAAAACDMvNy8yMDI2CAAAAAoxMi8zMS8yMDI1CQAAAAEwRyG/JP+B3ggKuBAo/4HeCC1DSVEu</t>
  </si>
  <si>
    <t>TllTRTpJQk0uSVFfUkVUVVJOX0FTU0VUUy4yMDAwLjA3LzAzLzIwMjYBAAAA3rYBAAIAAAAGNS40MzQ5AQgAAAAFAAAAATEBAAAACy0xOTA0ODYwNjU3AwAAAAMxNjACAAAABDQxNzgEAAAAATAHAAAACDMvNy8yMDI2CAAAAAoxMi8zMS8yMDI1CQAAAAEwRyG/JP+B3gjoaRAo/4HeCCtDSVEuTllTRTpJQk0uSVFfQ0FMQ19UWVBFX0JTLjk5MS4wNy8wMy8yMDI2AQAAAN62AQADAAAAA1JVUABHIb8k/4HeCOhpECj/gd4INUNJUS5OWVNFOklCTS5JUV9UT1RBTF9SRVZfM1lSX0FOTl9DQUdSLjk5MS4wNy8wMy8yMDI2AQAAAN62AQACAAAABy02LjY4OTIBCAAAAAUAAAABMQEAAAAKMTk0NzE3OTU4MwMAAAADMTYwAgAAAAQ0MjIwBAAAAAEwBwAAAAgzLzcvMjAyNggAAAAKMTIvMzEvMjAxNgkAAAABMEchvyT/gd4I95AQKP+B3ggyQ0lRLk5ZU0U6SUJNLklRX0VCSVRfMVlSX0FOTl9HUk9XVEguOTkxLjA3LzAzLzIwMjYBAAAA3rYBAAIAAAAILTE0LjIwOTcBCAAAAAUAAAABMQEAAAAKMTk0NzE3OTU4MwMAAAADMTYwAgAAAAQ0MTk3BAAAAAEwBwAAAAgzLzcvMjAyNggAAAAKMTIvMzEvMjAxNgkAAAABMEchvyT/gd4I95AQKP+B3ggwQ0lRLk5ZU0U6SUJNLklRX1RPVEFMX0RFQlRfRUJJVERBLjk5MS4wNy8wMy8yMDI2AQAAAN62AQACAAAACDIuMjczNTE2AQgAAAAFAAAAATEBAAAACjE5NDcxNzk1ODMDAAAA</t>
  </si>
  <si>
    <t>AzE2MAIAAAAENDE5MgQAAAABMAcAAAAIMy83LzIwMjYIAAAACjEyLzMxLzIwMTYJAAAAATBHIb8k/4HeCPeQECj/gd4IMUNJUS5OWVNFOklCTS5JUV9EQVlTX0lOVkVOVE9SWV9PVVQuOTkxLjA3LzAzLzIwMjYBAAAA3rYBAAIAAAAIMTQuMDc0NTMBCAAAAAUAAAABMQEAAAAKMTk0NzE3OTU4MwMAAAADMTYwAgAAAAQ0MDM1BAAAAAEwBwAAAAgzLzcvMjAyNggAAAAKMTIvMzEvMjAxNgkAAAABMEchvyT/gd4IxkIQKP+B3ggrQ0lRLk5ZU0U6SUJNLklRX0dST1NTX01BUkdJTi45OTEuMDcvMDMvMjAyNgEAAADetgEAAgAAAAY0OC4xOTUBCAAAAAUAAAABMQEAAAAKMTk0NzE3OTU4MwMAAAADMTYwAgAAAAQ0MDc0BAAAAAEwBwAAAAgzLzcvMjAyNggAAAAKMTIvMzEvMjAxNgkAAAABMEchvyT/gd4IxkIQKP+B3ggpQ0lRLk5ZU0U6SUJNLklRX05JX01BUkdJTi4yMDAwLjA3LzAzLzIwMjYBAAAA3rYBAAIAAAAHMTUuNjg1MgEIAAAABQAAAAExAQAAAAstMTkwNDg2MDY1NwMAAAADMTYwAgAAAAQ0MDk0BAAAAAEwBwAAAAgzLzcvMjAyNggAAAAKMTIvMzEvMjAyNQkAAAABMEchvyT/gd4IxkIQKP+B3gguQ0lRLk5ZU0U6SUJNLklRX05JXzNZUl9BTk5fQ0FHUi45OTEuMDcvMDMvMjAyNgEAAADetgEAAgAAAAgtMTAuMzYxMgEIAAAABQAAAAExAQAAAAoxOTQ3MTc5NTgzAwAAAAMxNjACAAAABDQyMjUEAAAAATAH</t>
  </si>
  <si>
    <t>AAAACDMvNy8yMDI2CAAAAAoxMi8zMS8yMDE2CQAAAAEwRyG/JP+B3gjoaRAo/4HeCDhDSVEuTllTRTpJQk0uSVFfVE9UQUxfUkVWXzFZUl9BTk5fR1JPV1RILjIwMDAuMDcvMDMvMjAyNgEAAADetgEAAgAAAAY3LjYyMDMBCAAAAAUAAAABMQEAAAALLTE5MDQ4NjA2NTcDAAAAAzE2MAIAAAAENDE5NAQAAAABMAcAAAAIMy83LzIwMjYIAAAACjEyLzMxLzIwMjUJAAAAATBHIb8k/4HeCOhpECj/gd4IRUNJUS5OWVNFOklCTS5JUV9ORVRfREVCVF9FQklUREFfRVhDTF9PUEVSX0xFQVNFU19DQVBFWC45OTEuMDcvMDMvMjAyNgEAAADetgEAAgAAAAgyLjI0NTY2MgEIAAAABQAAAAExAQAAAAoxOTQ3MTc5NTgzAwAAAAMxNjACAAAABTQ5MTgyBAAAAAEwBwAAAAgzLzcvMjAyNggAAAAKMTIvMzEvMjAxNgkAAAABMEchvyT/gd4IsxsQKP+B3gg2Q0lRLk5ZU0U6SUJNLklRX1RPVEFMX0xJQUJfVE9UQUxfQVNTRVRTLjk5MS4wNy8wMy8yMDI2AQAAAN62AQACAAAABzg0LjM0MzIBCAAAAAUAAAABMQEAAAAKMTk0NzE3OTU4MwMAAAADMTYwAgAAAAQ0MTg4BAAAAAEwBwAAAAgzLzcvMjAyNggAAAAKMTIvMzEvMjAxNgkAAAABMEchvyT/gd4IsxsQKP+B3ggsQ0lRLk5ZU0U6SUJNLklRX0NBUEVYX1BDVF9SRVYuOTkxLjA3LzAzLzIwMjYBAAAA3rYBAAIAAAAGNC40NjMyAQgAAAAFAAAAATEBAAAACjE5NDcxNzk1ODMD</t>
  </si>
  <si>
    <t>AAAAAzE2MAIAAAAFMzUzODAEAAAAATAHAAAACDMvNy8yMDI2CAAAAAoxMi8zMS8yMDE2CQAAAAEwRyG/JP+B3gizGxAo/4HeCCdDSVEuTllTRTpJQk0uSVFfQVJfVFVSTlMuOTkxLjA3LzAzLzIwMjYBAAAA3rYBAAIAAAAHOC45MzA2MwEIAAAABQAAAAExAQAAAAoxOTQ3MTc5NTgzAwAAAAMxNjACAAAABDQwMDEEAAAAATAHAAAACDMvNy8yMDI2CAAAAAoxMi8zMS8yMDE2CQAAAAEwRyG/JP+B3gjGQhAo/4HeCC5DSVEuTllTRTpJQk0uSVFfRklMSU5HX0NVUlJFTkNZLjk5MS4wNy8wMy8yMDI2AQAAAN62AQADAAAAA1VTRABHIb8k/4HeCMZCECj/gd4IKENJUS5OWVNFOklCTS5JUV9GVUxMX1RJTUUuOTkxLjA3LzAzLzIwMjYBAAAA3rYBAAIAAAAGMzgwMzAwAEchvyT/gd4IqPQPKP+B3gg+Q0lRLk5ZU0U6SUJNLklRX0VNUExPWUVFU19VTkRFUl9VTklPTl9DT05UUkFDVFMuOTkxLjA3LzAzLzIwMjYBAAAA3rYBAAMAAAAAAEchvyT/gd4IqPQPKP+B3gguQ0lRLk5ZU0U6SUJNLklRX1RPVEFMX0VNUExPWUVFUy45OTEuMDcvMDMvMjAyNgEAAADetgEAAgAAAAYzODAzMDAARyG/JP+B3gizGxAo/4HeCDhDSVEuTllTRTpJQk0uSVFfVE9UQUxfT1VUU1RBTkRJTkdfQlNfREFURS45OTEuMDcvMDMvMjAyNgEAAADetgEAAgAAAAo5NDUuODY3NDAzAQQAAAAFAAAAATUBAAAACjE5NDcxNzk1ODMCAAAABTI0MTUy</t>
  </si>
  <si>
    <t>BgAAAAEwRyG/JP+B3gizGxAo/4HeCCpDSVEuTllTRTpJQk0uSVFfSU5WX01FVEhPRC4yMDAwLjA3LzAzLzIwMjYBAAAA3rYBAAMAAAAIQXZnIENvc3QARyG/JP+B3gizGxAo/4HeCCZDSVEuTllTRTpJQk0uSVFfR0FBUF9DRi45OTEuMDcvMDMvMjAyNgEAAADetgEAAwAAAAdVUyBHQUFQAEchvyT/gd4Iac0PKP+B3ggtQ0lRLk5ZU0U6SUJNLklRX1JFU1RBVEVNRU5UX0NGLjk5MC4wNy8wMy8yMDI2AQAAAN62AQADAAAAAlJTAEchvyT/gd4Iac0PKP+B3ggrQ0lRLk5ZU0U6SUJNLklRX0NBTENfVFlQRV9DRi45OTEuMDcvMDMvMjAyNgEAAADetgEAAwAAAANSRVAARyG/JP+B3gio9A8o/4HeCC9DSVEuTllTRTpJQk0uSVFfUEVSSU9ETEVOR1RIX0NGLjIwMDAuMDcvMDMvMjAyNgEAAADetgEAAQAAAAIxMgBHIb8k/4HeCKj0Dyj/gd4IPUNJUS5OWVNFOklCTS5JUV9UT1RBTF9PVVRTVEFORElOR19GSUxJTkdfREFURS4yMDAwLjA3LzAzLzIwMjYBAAAA3rYBAAIAAAAKOTM4LjAzNDQwNAEEAAAABQAAAAE1AQAAAAstMTkwNDg2MDY1NwIAAAAFMjQxNTMGAAAAATBHIb8k/4HeCKj0Dyj/gd4IJkNJUS5OWVNFOklCTS5JUV9HQUFQX0lTLjk5MC4wNy8wMy8yMDI2AQAAAN62AQADAAAAB1VTIEdBQVAARyG/JP+B3giZng8o/4HeCCZDSVEuTllTRTpJQk0uSVFfR0FBUF9JUy45OTEuMDcvMDMvMjAyNgEAAADetgEA</t>
  </si>
  <si>
    <t>AwAAAAdVUyBHQUFQAEchvyT/gd4IsLkPKP+B3ghBQ0lRLk5ZU0U6SUJNLklRX0RJU1RSSUJVVEFCTEVfQ0FTSF9TSEFSRVNfRElMVVRFRC4yMDAwLjA3LzAzLzIwMjYBAAAA3rYBAAMAAAAAAEchvyT/gd4Iac0PKP+B3gguQ0lRLk5ZU0U6SUJNLklRX0VGRkVDVF9UQVhfUkFURS45OTAuMDcvMDMvMjAyNgEAAADetgEAAgAAAAcxNi4xODY4AQgAAAAFAAAAATEBAAAACjE4NzY0MzI4NzIDAAAAAzE2MAIAAAAENDM3NgQAAAABMAcAAAAIMy83LzIwMjYIAAAACjEyLzMxLzIwMTUJAAAAATBHIb8k/4HeCGnNDyj/gd4ILkNJUS5OWVNFOklCTS5JUV9QRVJJT0RMRU5HVEhfQ0YuOTkwLjA3LzAzLzIwMjYBAAAA3rYBAAEAAAACMTIARyG/JP+B3ghTdw8o/4HeCC5DSVEuTllTRTpJQk0uSVFfUEVSSU9ETEVOR1RIX0NGLjk5MS4wNy8wMy8yMDI2AQAAAN62AQABAAAAAjEyAEchvyT/gd4IU3cPKP+B3ggtQ0lRLk5ZU0U6SUJNLklRX1JFU1RBVEVNRU5UX0lTLjk5MS4wNy8wMy8yMDI2AQAAAN62AQADAAAAAlJDAEchvyT/gd4IU3cPKP+B3ggqQ0lRLk5ZU0U6SUJNLklRX1NBTUVfU1RPUkUuMjAwMC4wNy8wMy8yMDI2AQAAAN62AQADAAAAAABHIb8k/4HeCFN3Dyj/gd4IK0NJUS5OWVNFOklCTS5JUV9DQUxDX1RZUEVfSVMuOTkwLjA3LzAzLzIwMjYBAAAA3rYBAAMAAAADUkVQAEchvyT/gd4IU3cPKP+B3ggrQ0lR</t>
  </si>
  <si>
    <t>Lk5ZU0U6SUJNLklRX0NBTENfVFlQRV9JUy45OTEuMDcvMDMvMjAyNgEAAADetgEAAwAAAANSRVAARyG/JP+B3giwTg8o/4HeCD9DSVEuTllTRTpJQk0uSVFfRElTVFJJQlVUQUJMRV9DQVNIX1NIQVJFU19CQVNJQy4yMDAwLjA3LzAzLzIwMjYBAAAA3rYBAAMAAAAAAEchvyT/gd4IU3cPKP+B3ghAQ0lRLk5ZU0U6SUJNLklRX0RJU1RSSUJVVEFCTEVfQ0FTSF9TSEFSRVNfRElMVVRFRC45OTAuMDcvMDMvMjAyNgEAAADetgEAAwAAAAAARyG/JP+B3ghTdw8o/4HeCC9DSVEuTllTRTpJQk0uSVFfRFJfUkFUSU9fUFJJTUFSWS45OTAuMDcvMDMvMjAyNgEAAADetgEAAgAAAAExAEchvyT/gd4IU3cPKP+B3ggtQ0lRLk5ZU0U6SUJNLklRX1JFU1RBVEVNRU5UX0NGLjk5MS4wNy8wMy8yMDI2AQAAAN62AQADAAAAAlJTAEchvyT/gd4IU3cPKP+B3ggsQ0lRLk5ZU0U6SUJNLklRX0RJTFVUX1dFSUdIVC4yMDAwLjA3LzAzLzIwMjYBAAAA3rYBAAIAAAAKOTQ4LjY3NTIyOABHIb8k/4HeCLBODyj/gd4ILUNJUS5OWVNFOklCTS5JUV9GSUxJTkdEQVRFX0lTLjIwMDAuMDcvMDMvMjAyNgEAAADetgEABQAAAAoyNC8wMi8yMDI2AEchvyT/gd4IsE4PKP+B3gg+Q0lRLk5ZU0U6SUJNLklRX0RJU1RSSUJVVEFCTEVfQ0FTSF9TSEFSRVNfQkFTSUMuOTkwLjA3LzAzLzIwMjYBAAAA3rYBAAMAAAAAAEchvyT/gd4IsE4PKP+B</t>
  </si>
  <si>
    <t>3gguQ0lRLk5ZU0U6SUJNLklRX1BFUklPRExFTkdUSF9JUy45OTAuMDcvMDMvMjAyNgEAAADetgEAAQAAAAIxMgBHIb8k/4HeCLBODyj/gd4IPkNJUS5OWVNFOklCTS5JUV9ESVNUUklCVVRBQkxFX0NBU0hfU0hBUkVTX0JBU0lDLjk5MS4wNy8wMy8yMDI2AQAAAN62AQADAAAAAABHIb8k/4HeCFcnDyj/gd4ILkNJUS5OWVNFOklCTS5JUV9QRVJJT0RMRU5HVEhfSVMuOTkxLjA3LzAzLzIwMjYBAAAA3rYBAAEAAAACMTIARyG/JP+B3giwTg8o/4HeCEBDSVEuTllTRTpJQk0uSVFfRElTVFJJQlVUQUJMRV9DQVNIX1NIQVJFU19ESUxVVEVELjk5MS4wNy8wMy8yMDI2AQAAAN62AQADAAAAAABHIb8k/4HeCLBODyj/gd4ILkNJUS5OWVNFOklCTS5JUV9SRVNUQVRFTUVOVF9JUy4yMDAwLjA3LzAzLzIwMjYBAAAA3rYBAAMAAAABTwBHIb8k/4HeCLBODyj/gd4IOUNJUS5OWVNFOklCTS5JUV9ESVNUUklCVVRBQkxFX0NBU0hfUEFZT1VULjIwMDAuMDcvMDMvMjAyNgEAAADetgEAAwAAAAAARyG/JP+B3giwTg8o/4HeCCxDSVEuTllTRTpJQk0uSVFfUEFZT1VUX1JBVElPLjIwMDAuMDcvMDMvMjAyNgEAAADetgEAAgAAAAc1OS4wNDg0AQgAAAAFAAAAATEBAAAACy0xOTA0ODYwNjU3AwAAAAMxNjACAAAABDQzNzcEAAAAATAHAAAACDMvNy8yMDI2CAAAAAoxMi8zMS8yMDI1CQAAAAEwRyG/JP+B3ghXJw8o/4HeCDBD</t>
  </si>
  <si>
    <t>SVEuTllTRTpJQk0uSVFfRFJfUkFUSU9fUFJJTUFSWS4yMDAwLjA3LzAzLzIwMjYBAAAA3rYBAAIAAAABMQBHIb8k/4HeCFcnDyj/gd4IKkNJUS5OWVNFOklCTS5JUV9QRVJJT0REQVRFLjIwMDAuMDcvMDMvMjAyNgEAAADetgEABQAAAAozMS8xMi8yMDI1AJU2fiT/gd4IVycPKP+B3ggvQ0lRLk5ZU0U6SUJNLklRX0VGRkVDVF9UQVhfUkFURS4yMDAwLjA3LzAzLzIwMjYBAAAA3rYBAAMAAAACTk0BCAAAAAUAAAABMQEAAAALLTE5MDQ4NjA2NTcDAAAAAzE2MAIAAAAENDM3NgQAAAABMAcAAAAIMy83LzIwMjYIAAAACjEyLzMxLzIwMjUJAAAAATCVNn4k/4HeCNYQDyj/gd4IJ0NJUS5OWVNFOklCTS5JUV9HQUFQX0lTLjIwMDAuMDcvMDMvMjAyNgEAAADetgEAAwAAAAdVUyBHQUFQAJU2fiT/gd4I1hAPKP+B3ggrQ0lRLk5ZU0U6SUJNLklRX0RJTFVUX1dFSUdIVC45OTAuMDcvMDMvMjAyNgEAAADetgEAAgAAAAo5ODIuNzAwMjY3AJU2fiT/gd4I1hAPKP+B3ggrQ0lRLk5ZU0U6SUJNLklRX1BBWU9VVF9SQVRJTy45OTAuMDcvMDMvMjAyNgEAAADetgEAAgAAAAczNy4xMjY2AQgAAAAFAAAAATEBAAAACjE4NzY0MzI4NzIDAAAAAzE2MAIAAAAENDM3NwQAAAABMAcAAAAIMy83LzIwMjYIAAAACjEyLzMxLzIwMTUJAAAAATCVNn4k/4HeCETeDij/gd4ILENJUS5OWVNFOklCTS5JUV9GSUxJTkdEQVRFX0lTLjk5</t>
  </si>
  <si>
    <t>MC4wNy8wMy8yMDI2AQAAAN62AQAFAAAACjI3LzAyLzIwMTgAlTZ+JP+B3ghE3g4o/4HeCCxDSVEuTllTRTpJQk0uSVFfQkFTSUNfV0VJR0hULjIwMDAuMDcvMDMvMjAyNgEAAADetgEAAgAAAAo5MzIuMjkzOTI3AJU2fiT/gd4I1hAPKP+B3ggrQ0lRLk5ZU0U6SUJNLklRX0RJTFVUX1dFSUdIVC45OTEuMDcvMDMvMjAyNgEAAADetgEAAgAAAAo5NTguNzE0MDk3AJU2fiT/gd4I1hAPKP+B3ggrQ0lRLk5ZU0U6SUJNLklRX0JBU0lDX1dFSUdIVC45OTEuMDcvMDMvMjAyNgEAAADetgEAAgAAAAk5NTUuNDIyNTMAlTZ+JP+B3gjWEA8o/4HeCC1DSVEuTllTRTpJQk0uSVFfUkVTVEFURU1FTlRfSVMuOTkwLjA3LzAzLzIwMjYBAAAA3rYBAAMAAAACUkMAlTZ+JP+B3ghE3g4o/4HeCDhDSVEuTllTRTpJQk0uSVFfRElTVFJJQlVUQUJMRV9DQVNIX1BBWU9VVC45OTAuMDcvMDMvMjAyNgEAAADetgEAAwAAAAAAlTZ+JP+B3ghE3g4o/4HeCCtDSVEuTllTRTpJQk0uSVFfUEFZT1VUX1JBVElPLjk5MS4wNy8wMy8yMDI2AQAAAN62AQACAAAABzQ0LjI3MjIBCAAAAAUAAAABMQEAAAAKMTk0NzE3OTU4MwMAAAADMTYwAgAAAAQ0Mzc3BAAAAAEwBwAAAAgzLzcvMjAyNggAAAAKMTIvMzEvMjAxNgkAAAABMJU2fiT/gd4IRN4OKP+B3ggsQ0lRLk5ZU0U6SUJNLklRX0ZJTElOR0RBVEVfSVMuOTkxLjA3LzAzLzIwMjYBAAAA</t>
  </si>
  <si>
    <t>3rYBAAUAAAAKMjYvMDIvMjAxOQCVNn4k/4HeCETeDij/gd4IOENJUS5OWVNFOklCTS5JUV9ESVNUUklCVVRBQkxFX0NBU0hfUEFZT1VULjk5MS4wNy8wMy8yMDI2AQAAAN62AQADAAAAAACVNn4k/4HeCETeDij/gd4IKUNJUS5OWVNFOklCTS5JUV9TQU1FX1NUT1JFLjk5MC4wNy8wMy8yMDI2AQAAAN62AQADAAAAAACVNn4k/4HeCETeDij/gd4IL0NJUS5OWVNFOklCTS5JUV9EUl9SQVRJT19QUklNQVJZLjk5MS4wNy8wMy8yMDI2AQAAAN62AQACAAAAATEAlTZ+JP+B3ghE3g4o/4HeCC5DSVEuTllTRTpJQk0uSVFfRUZGRUNUX1RBWF9SQVRFLjk5MS4wNy8wMy8yMDI2AQAAAN62AQACAAAABjMuNjQxNQEIAAAABQAAAAExAQAAAAoxOTQ3MTc5NTgzAwAAAAMxNjACAAAABDQzNzYEAAAAATAHAAAACDMvNy8yMDI2CAAAAAoxMi8zMS8yMDE2CQAAAAEwlTZ+JP+B3gj/tg4o/4HeCClDSVEuTllTRTpJQk0uSVFfU0FNRV9TVE9SRS45OTEuMDcvMDMvMjAyNgEAAADetgEAAwAAAAAAlTZ+JP+B3gj/tg4o/4HeCCxDSVEuTllTRTpJQk0uSVFfQ0FMQ19UWVBFX0lTLjIwMDAuMDcvMDMvMjAyNgEAAADetgEAAwAAAANSRVAAlTZ+JP+B3gj/tg4o/4HeCC9DSVEuTllTRTpJQk0uSVFfUEVSSU9ETEVOR1RIX0lTLjIwMDAuMDcvMDMvMjAyNgEAAADetgEAAQAAAAIxMgCVNn4k/4HeCP+2Dij/gd4IK0NJUS5OWVNFOklC</t>
  </si>
  <si>
    <t>TS5JUV9CQVNJQ19XRUlHSFQuOTkwLjA3LzAzLzIwMjYBAAAA3rYBAAIAAAAKOTc4Ljc0NDUyMwCtXX4k/4HeCPKgDij/gd4IK0NJUS5OWVNFOklCTS5JUV9DQUxDX1RZUEVfSVMuOTk2LjA3LzAzLzIwMjYBAAAA3rYBAAMAAAADUkVQAK1dfiT/gd4I8qAOKP+B3gguQ0lRLk5ZU0U6SUJNLklRX1BFUklPRExFTkdUSF9JUy45OTMuMDcvMDMvMjAyNgEAAADetgEAAQAAAAIxMgCtXX4k/4HeCPKgDij/gd4IPkNJUS5OWVNFOklCTS5JUV9ESVNUUklCVVRBQkxFX0NBU0hfU0hBUkVTX0JBU0lDLjk5NC4wNy8wMy8yMDI2AQAAAN62AQADAAAAAAB8f34k/4HeCP+2Dij/gd4IK0NJUS5OWVNFOklCTS5JUV9ESUxVVF9XRUlHSFQuOTk4LjA3LzAzLzIwMjYBAAAA3rYBAAIAAAAKOTIyLjA3MzgyOACtXX4k/4HeCP+2Dij/gd4IK0NJUS5OWVNFOklCTS5JUV9DQUxDX1RZUEVfSVMuOTk4LjA3LzAzLzIwMjYBAAAA3rYBAAMAAAADUkVQAK1dfiT/gd4ITnkOKP+B3ggpQ0lRLk5ZU0U6SUJNLklRX1NBTUVfU1RPUkUuOTkyLjA3LzAzLzIwMjYBAAAA3rYBAAMAAAAAAK1dfiT/gd4ILY0OKP+B3ggrQ0lRLk5ZU0U6SUJNLklRX0NBTENfVFlQRV9JUy45OTUuMDcvMDMvMjAyNgEAAADetgEAAwAAAANSRVAArV1+JP+B3ggtjQ4o/4HeCC5DSVEuTllTRTpJQk0uSVFfRUZGRUNUX1RBWF9SQVRFLjk5NC4wNy8wMy8yMDI2AQAA</t>
  </si>
  <si>
    <t>AN62AQACAAAABjAuODMyNgEIAAAABQAAAAExAQAAAAstMjExMDc2OTM1NQMAAAADMTYwAgAAAAQ0Mzc2BAAAAAEwBwAAAAgzLzcvMjAyNggAAAAKMTIvMzEvMjAxOQkAAAABMK1dfiT/gd4ILY0OKP+B3ggpQ0lRLk5ZU0U6SUJNLklRX1NBTUVfU1RPUkUuOTkzLjA3LzAzLzIwMjYBAAAA3rYBAAMAAAAAAK1dfiT/gd4I8qAOKP+B3gg+Q0lRLk5ZU0U6SUJNLklRX0RJU1RSSUJVVEFCTEVfQ0FTSF9TSEFSRVNfQkFTSUMuOTk1LjA3LzAzLzIwMjYBAAAA3rYBAAMAAAAAAK1dfiT/gd4IQ1IOKP+B3gg+Q0lRLk5ZU0U6SUJNLklRX0RJU1RSSUJVVEFCTEVfQ0FTSF9TSEFSRVNfQkFTSUMuOTkyLjA3LzAzLzIwMjYBAAAA3rYBAAMAAAAAAK1dfiT/gd4IQ1IOKP+B3ggvQ0lRLk5ZU0U6SUJNLklRX1BFUklPRExFTkdUSF9JUy4xMDAwLjA3LzAzLzIwMjYBAAAA3rYBAAEAAAACMTIArV1+JP+B3ghDUg4o/4HeCC5DSVEuTllTRTpJQk0uSVFfRklMSU5HX0NVUlJFTkNZLjk5My4wNy8wMy8yMDI2AQAAAN62AQADAAAAA1VTRADAun4k/4HeCE55Dij/gd4ILkNJUS5OWVNFOklCTS5JUV9FRkZFQ1RfVEFYX1JBVEUuOTkyLjA3LzAzLzIwMjYBAAAA3rYBAAIAAAAHNDkuNDkxMgEIAAAABQAAAAExAQAAAAoyMDE3MTY0MjQ0AwAAAAMxNjACAAAABDQzNzYEAAAAATAHAAAACDMvNy8yMDI2CAAAAAoxMi8zMS8yMDE3CQAA</t>
  </si>
  <si>
    <t>AAEwrV1+JP+B3ghOeQ4o/4HeCD5DSVEuTllTRTpJQk0uSVFfRElTVFJJQlVUQUJMRV9DQVNIX1NIQVJFU19CQVNJQy45OTMuMDcvMDMvMjAyNgEAAADetgEAAwAAAAAArV1+JP+B3ggyKw4o/4HeCC5DSVEuTllTRTpJQk0uSVFfUEVSSU9ETEVOR1RIX0lTLjk5OS4wNy8wMy8yMDI2AQAAAN62AQABAAAAAjEyAK1dfiT/gd4IMisOKP+B3gg/Q0lRLk5ZU0U6SUJNLklRX0RJU1RSSUJVVEFCTEVfQ0FTSF9TSEFSRVNfQkFTSUMuMTAwMC4wNy8wMy8yMDI2AQAAAN62AQADAAAAAAB8f34k/4HeCENSDij/gd4IK0NJUS5OWVNFOklCTS5JUV9CQVNJQ19XRUlHSFQuOTk2LjA3LzAzLzIwMjYBAAAA3rYBAAIAAAAKODk1Ljk5MDc3MQCtXX4k/4HeCENSDij/gd4ILENJUS5OWVNFOklCTS5JUV9DQUxDX1RZUEVfSVMuMTAwMC4wNy8wMy8yMDI2AQAAAN62AQADAAAAA1JFUACtXX4k/4HeCENSDij/gd4ILkNJUS5OWVNFOklCTS5JUV9GSUxJTkdfQ1VSUkVOQ1kuOTkyLjA3LzAzLzIwMjYBAAAA3rYBAAMAAAADVVNEAFWTfiT/gd4IHgQOKP+B3gg+Q0lRLk5ZU0U6SUJNLklRX0RJU1RSSUJVVEFCTEVfQ0FTSF9TSEFSRVNfQkFTSUMuOTk5LjA3LzAzLzIwMjYBAAAA3rYBAAMAAAAAAK1dfiT/gd4IHgQOKP+B3ggrQ0lRLk5ZU0U6SUJNLklRX0JBU0lDX1dFSUdIVC45OTUuMDcvMDMvMjAyNgEAAADetgEAAgAAAAo4OTAu</t>
  </si>
  <si>
    <t>MzQ4Njc5AK1dfiT/gd4IMisOKP+B3ggrQ0lRLk5ZU0U6SUJNLklRX0RJTFVUX1dFSUdIVC45OTcuMDcvMDMvMjAyNgEAAADetgEAAgAAAAo5MTIuMjY5MDYyAK1dfiT/gd4IMisOKP+B3ggmQ0lRLk5ZU0U6SUJNLklRX0dBQVBfSVMuOTk3LjA3LzAzLzIwMjYBAAAA3rYBAAMAAAAHVVMgR0FBUACtXX4k/4HeCDIrDij/gd4ILkNJUS5OWVNFOklCTS5JUV9FRkZFQ1RfVEFYX1JBVEUuOTk3LjA3LzAzLzIwMjYBAAAA3rYBAAMAAAACTk0BCAAAAAUAAAABMQEAAAALLTE5NTgyODEwOTYDAAAAAzE2MAIAAAAENDM3NgQAAAABMAcAAAAIMy83LzIwMjYIAAAACjEyLzMxLzIwMjIJAAAAATCtXX4k/4HeCB4EDij/gd4IJkNJUS5OWVNFOklCTS5JUV9HQUFQX0lTLjk5Ni4wNy8wMy8yMDI2AQAAAN62AQADAAAAB1VTIEdBQVAArV1+JP+B3ggeBA4o/4HeCC5DSVEuTllTRTpJQk0uSVFfRUZGRUNUX1RBWF9SQVRFLjk5Ni4wNy8wMy8yMDI2AQAAAN62AQACAAAABjIuNTYzNQEIAAAABQAAAAExAQAAAAstMjAwODY0NzE5OAMAAAADMTYwAgAAAAQ0Mzc2BAAAAAEwBwAAAAgzLzcvMjAyNggAAAAKMTIvMzEvMjAyMQkAAAABMK1dfiT/gd4IHgQOKP+B3gguQ0lRLk5ZU0U6SUJNLklRX1BFUklPRExFTkdUSF9JUy45OTguMDcvMDMvMjAyNgEAAADetgEAAQAAAAIxMgCtXX4k/4HeCB4EDij/gd4ILENJUS5OWVNFOklCTS5J</t>
  </si>
  <si>
    <t>UV9GSUxJTkdEQVRFX0lTLjk5NC4wNy8wMy8yMDI2AQAAAN62AQAFAAAACjIyLzAyLzIwMjIArV1+JP+B3gj/3A0o/4HeCC5DSVEuTllTRTpJQk0uSVFfRklMSU5HX0NVUlJFTkNZLjk5NS4wNy8wMy8yMDI2AQAAAN62AQADAAAAA1VTRADAun4k/4HeCP/cDSj/gd4ILkNJUS5OWVNFOklCTS5JUV9FRkZFQ1RfVEFYX1JBVEUuOTk1LjA3LzAzLzIwMjYBAAAA3rYBAAMAAAACTk0BCAAAAAUAAAABMQEAAAALLTIwNTkwNzMyMDIDAAAAAzE2MAIAAAAENDM3NgQAAAABMAcAAAAIMy83LzIwMjYIAAAACjEyLzMxLzIwMjAJAAAAATCtXX4k/4HeCP/cDSj/gd4IKUNJUS5OWVNFOklCTS5JUV9TQU1FX1NUT1JFLjk5OC4wNy8wMy8yMDI2AQAAAN62AQADAAAAAACtXX4k/4HeCB4EDij/gd4IQENJUS5OWVNFOklCTS5JUV9ESVNUUklCVVRBQkxFX0NBU0hfU0hBUkVTX0RJTFVURUQuOTk0LjA3LzAzLzIwMjYBAAAA3rYBAAMAAAAAAK1dfiT/gd4I/9wNKP+B3ggrQ0lRLk5ZU0U6SUJNLklRX0JBU0lDX1dFSUdIVC45OTMuMDcvMDMvMjAyNgEAAADetgEAAgAAAAo5MTIuMDQ4MDcyAK1dfiT/gd4I/9wNKP+B3ggsQ0lRLk5ZU0U6SUJNLklRX0ZJTElOR0RBVEVfSVMuOTkzLjA3LzAzLzIwMjYBAAAA3rYBAAUAAAAKMjMvMDIvMjAyMQCtXX4k/4HeCP/cDSj/gd4IL0NJUS5OWVNFOklCTS5JUV9EUl9SQVRJT19QUklNQVJZ</t>
  </si>
  <si>
    <t>Ljk5Mi4wNy8wMy8yMDI2AQAAAN62AQACAAAAATEArV1+JP+B3gj/3A0o/4HeCCZDSVEuTllTRTpJQk0uSVFfR0FBUF9JUy45OTUuMDcvMDMvMjAyNgEAAADetgEAAwAAAAdVUyBHQUFQAK1dfiT/gd4ID7YNKP+B3ggrQ0lRLk5ZU0U6SUJNLklRX1BBWU9VVF9SQVRJTy45OTIuMDcvMDMvMjAyNgEAAADetgEAAgAAAAc5NS43MDY1AQgAAAAFAAAAATEBAAAACjIwMTcxNjQyNDQDAAAAAzE2MAIAAAAENDM3NwQAAAABMAcAAAAIMy83LzIwMjYIAAAACjEyLzMxLzIwMTcJAAAAATCtXX4k/4HeCA+2DSj/gd4IPkNJUS5OWVNFOklCTS5JUV9ESVNUUklCVVRBQkxFX0NBU0hfU0hBUkVTX0JBU0lDLjk5OC4wNy8wMy8yMDI2AQAAAN62AQADAAAAAACtXX4k/4HeCA+2DSj/gd4IKUNJUS5OWVNFOklCTS5JUV9TQU1FX1NUT1JFLjk5Ny4wNy8wMy8yMDI2AQAAAN62AQADAAAAAACtXX4k/4HeCA+2DSj/gd4ILENJUS5OWVNFOklCTS5JUV9GSUxJTkdEQVRFX0lTLjk5Mi4wNy8wMy8yMDI2AQAAAN62AQAFAAAACjI1LzAyLzIwMjAArV1+JP+B3ggPtg0o/4HeCC9DSVEuTllTRTpJQk0uSVFfRFJfUkFUSU9fUFJJTUFSWS45OTcuMDcvMDMvMjAyNgEAAADetgEAAgAAAAExAK1dfiT/gd4I5I4NKP+B3ggvQ0lRLk5ZU0U6SUJNLklRX0RSX1JBVElPX1BSSU1BUlkuOTk2LjA3LzAzLzIwMjYBAAAA3rYBAAIAAAABMQCtXX4k</t>
  </si>
  <si>
    <t>/4HeCOSODSj/gd4IQENJUS5OWVNFOklCTS5JUV9ESVNUUklCVVRBQkxFX0NBU0hfU0hBUkVTX0RJTFVURUQuOTkzLjA3LzAzLzIwMjYBAAAA3rYBAAMAAAAAAK1dfiT/gd4ID7YNKP+B3ggrQ0lRLk5ZU0U6SUJNLklRX0JBU0lDX1dFSUdIVC45OTQuMDcvMDMvMjAyNgEAAADetgEAAgAAAAo4ODcuMjM1MTA1AK1dfiT/gd4ID7YNKP+B3ggmQ0lRLk5ZU0U6SUJNLklRX0dBQVBfSVMuOTk0LjA3LzAzLzIwMjYBAAAA3rYBAAMAAAAHVVMgR0FBUACtXX4k/4HeCA+2DSj/gd4ILkNJUS5OWVNFOklCTS5JUV9GSUxJTkdfQ1VSUkVOQ1kuOTk0LjA3LzAzLzIwMjYBAAAA3rYBAAMAAAADVVNEAMC6fiT/gd4I5I4NKP+B3ggvQ0lRLk5ZU0U6SUJNLklRX0RSX1JBVElPX1BSSU1BUlkuOTk1LjA3LzAzLzIwMjYBAAAA3rYBAAIAAAABMQCtXX4k/4HeCOSODSj/gd4IQENJUS5OWVNFOklCTS5JUV9ESVNUUklCVVRBQkxFX0NBU0hfU0hBUkVTX0RJTFVURUQuOTkyLjA3LzAzLzIwMjYBAAAA3rYBAAMAAAAAAK1dfiT/gd4I5I4NKP+B3ggmQ0lRLk5ZU0U6SUJNLklRX0dBQVBfSVMuOTkzLjA3LzAzLzIwMjYBAAAA3rYBAAMAAAAHVVMgR0FBUACtXX4k/4HeCOSODSj/gd4IPkNJUS5OWVNFOklCTS5JUV9ESVNUUklCVVRBQkxFX0NBU0hfU0hBUkVTX0JBU0lDLjk5Ny4wNy8wMy8yMDI2AQAAAN62AQADAAAAAACtXX4k/4He</t>
  </si>
  <si>
    <t>COSODSj/gd4IKUNJUS5OWVNFOklCTS5JUV9TQU1FX1NUT1JFLjk5NS4wNy8wMy8yMDI2AQAAAN62AQADAAAAAACtXX4k/4HeCNlnDSj/gd4IL0NJUS5OWVNFOklCTS5JUV9EUl9SQVRJT19QUklNQVJZLjk5NC4wNy8wMy8yMDI2AQAAAN62AQACAAAAATEArV1+JP+B3gjZZw0o/4HeCCtDSVEuTllTRTpJQk0uSVFfQkFTSUNfV0VJR0hULjk5OS4wNy8wMy8yMDI2AQAAAN62AQACAAAACjkyMS43Njc4MzQArV1+JP+B3gjZZw0o/4HeCDhDSVEuTllTRTpJQk0uSVFfRElTVFJJQlVUQUJMRV9DQVNIX1BBWU9VVC45OTguMDcvMDMvMjAyNgEAAADetgEAAwAAAAAArV1+JP+B3gjkjg0o/4HeCD5DSVEuTllTRTpJQk0uSVFfRElTVFJJQlVUQUJMRV9DQVNIX1NIQVJFU19CQVNJQy45OTYuMDcvMDMvMjAyNgEAAADetgEAAwAAAAAArV1+JP+B3gicQA0o/4HeCCtDSVEuTllTRTpJQk0uSVFfRElMVVRfV0VJR0hULjk5OS4wNy8wMy8yMDI2AQAAAN62AQACAAAACjkzNy4xNjEyMjQArV1+JP+B3gicQA0o/4HeCC1DSVEuTllTRTpJQk0uSVFfUkVTVEFURU1FTlRfSVMuOTk1LjA3LzAzLzIwMjYBAAAA3rYBAAMAAAACUkQArV1+JP+B3gicQA0o/4HeCDhDSVEuTllTRTpJQk0uSVFfRElTVFJJQlVUQUJMRV9DQVNIX1BBWU9VVC45OTcuMDcvMDMvMjAyNgEAAADetgEAAwAAAAAArV1+JP+B3gicQA0o/4HeCCxDSVEuTllT</t>
  </si>
  <si>
    <t>RTpJQk0uSVFfRklMSU5HREFURV9JUy45OTkuMDcvMDMvMjAyNgEAAADetgEABQAAAAoyNC8wMi8yMDI2AK1dfiT/gd4IUhkNKP+B3ggsQ0lRLk5ZU0U6SUJNLklRX0ZJTElOR0RBVEVfSVMuOTk3LjA3LzAzLzIwMjYBAAAA3rYBAAUAAAAKMjUvMDIvMjAyNQCtXX4k/4HeCFIZDSj/gd4IL0NJUS5OWVNFOklCTS5JUV9EUl9SQVRJT19QUklNQVJZLjk5My4wNy8wMy8yMDI2AQAAAN62AQACAAAAATEArV1+JP+B3ghSGQ0o/4HeCEFDSVEuTllTRTpJQk0uSVFfRElTVFJJQlVUQUJMRV9DQVNIX1NIQVJFU19ESUxVVEVELjEwMDAuMDcvMDMvMjAyNgEAAADetgEAAwAAAAAAfH9+JP+B3ghSGQ0o/4HeCCtDSVEuTllTRTpJQk0uSVFfQkFTSUNfV0VJR0hULjk5OC4wNy8wMy8yMDI2AQAAAN62AQACAAAACjkxMS4yMTAzMTkArV1+JP+B3ghSGQ0o/4HeCCpDSVEuTllTRTpJQk0uSVFfUEVSSU9EREFURS4xMDAwLjA3LzAzLzIwMjYBAAAA3rYBAAUAAAAKMzEvMTIvMjAyNQCtXX4k/4HeCJ0FDSj/gd4ILUNJUS5OWVNFOklCTS5JUV9SRVNUQVRFTUVOVF9JUy45OTQuMDcvMDMvMjAyNgEAAADetgEAAwAAAAJSRACtXX4k/4HeCJ0FDSj/gd4IL0NJUS5OWVNFOklCTS5JUV9FRkZFQ1RfVEFYX1JBVEUuMTAwMC4wNy8wMy8yMDI2AQAAAN62AQADAAAAAk5NAQgAAAAFAAAAATEBAAAACy0xOTA0ODYwNzQwAwAAAAMxNjAC</t>
  </si>
  <si>
    <t>AAAABDQzNzYEAAAAATAHAAAACDMvNy8yMDI2CAAAAAoxMi8zMS8yMDI1CQAAAAEwrV1+JP+B3gidBQ0o/4HeCDhDSVEuTllTRTpJQk0uSVFfRElTVFJJQlVUQUJMRV9DQVNIX1BBWU9VVC45OTYuMDcvMDMvMjAyNgEAAADetgEAAwAAAAAArV1+JP+B3ghSGQ0o/4HeCCpDSVEuTllTRTpJQk0uSVFfU0FNRV9TVE9SRS4xMDAwLjA3LzAzLzIwMjYBAAAA3rYBAAMAAAAAAK1dfiT/gd4I0fEMKP+B3ggrQ0lRLk5ZU0U6SUJNLklRX1BBWU9VVF9SQVRJTy45OTcuMDcvMDMvMjAyNgEAAADetgEAAgAAAAgzNjIuOTA0MgEIAAAABQAAAAExAQAAAAstMTk1ODI4MTA5NgMAAAADMTYwAgAAAAQ0Mzc3BAAAAAEwBwAAAAgzLzcvMjAyNggAAAAKMTIvMzEvMjAyMgkAAAABMK1dfiT/gd4I0fEMKP+B3ggpQ0lRLk5ZU0U6SUJNLklRX1NBTUVfU1RPUkUuOTk5LjA3LzAzLzIwMjYBAAAA3rYBAAMAAAAAAK1dfiT/gd4I0fEMKP+B3ggsQ0lRLk5ZU0U6SUJNLklRX0ZJTElOR0RBVEVfSVMuOTk2LjA3LzAzLzIwMjYBAAAA3rYBAAUAAAAKMjYvMDIvMjAyNACtXX4k/4HeCJ0FDSj/gd4IQENJUS5OWVNFOklCTS5JUV9ESVNUUklCVVRBQkxFX0NBU0hfU0hBUkVTX0RJTFVURUQuOTk5LjA3LzAzLzIwMjYBAAAA3rYBAAMAAAAAAK1dfiT/gd4InQUNKP+B3ggnQ0lRLk5ZU0U6SUJNLklRX0dBQVBfSVMuMTAwMC4wNy8wMy8yMDI2</t>
  </si>
  <si>
    <t>AQAAAN62AQADAAAAB1VTIEdBQVAArV1+JP+B3gh6ygwo/4HeCEBDSVEuTllTRTpJQk0uSVFfRElTVFJJQlVUQUJMRV9DQVNIX1NIQVJFU19ESUxVVEVELjk5Ny4wNy8wMy8yMDI2AQAAAN62AQADAAAAAACtXX4k/4HeCHrKDCj/gd4ILENJUS5OWVNFOklCTS5JUV9GSUxJTkdEQVRFX0lTLjk5NS4wNy8wMy8yMDI2AQAAAN62AQAFAAAACjI4LzAyLzIwMjMArV1+JP+B3gh6ygwo/4HeCEBDSVEuTllTRTpJQk0uSVFfRElTVFJJQlVUQUJMRV9DQVNIX1NIQVJFU19ESUxVVEVELjk5OC4wNy8wMy8yMDI2AQAAAN62AQADAAAAAACtXX4k/4HeCHrKDCj/gd4ILUNJUS5OWVNFOklCTS5JUV9SRVNUQVRFTUVOVF9JUy45OTMuMDcvMDMvMjAyNgEAAADetgEAAwAAAAJSQwCtXX4k/4HeCHrKDCj/gd4IK0NJUS5OWVNFOklCTS5JUV9ESUxVVF9XRUlHSFQuOTk2LjA3LzAzLzIwMjYBAAAA3rYBAAIAAAAKOTA0LjY0MTAwMQCtXX4k/4HeCHrKDCj/gd4IK0NJUS5OWVNFOklCTS5JUV9CQVNJQ19XRUlHSFQuOTk3LjA3LzAzLzIwMjYBAAAA3rYBAAIAAAAJOTAyLjY2NDE5AK1dfiT/gd4IesoMKP+B3ggtQ0lRLk5ZU0U6SUJNLklRX1JFU1RBVEVNRU5UX0lTLjk5Mi4wNy8wMy8yMDI2AQAAAN62AQADAAAAAlJDAK1dfiT/gd4IesoMKP+B3ggrQ0lRLk5ZU0U6SUJNLklRX1BBWU9VVF9SQVRJTy45OTYuMDcvMDMvMjAyNgEA</t>
  </si>
  <si>
    <t>AADetgEAAgAAAAgxMDIuMTkzOQEIAAAABQAAAAExAQAAAAstMjAwODY0NzE5OAMAAAADMTYwAgAAAAQ0Mzc3BAAAAAEwBwAAAAgzLzcvMjAyNggAAAAKMTIvMzEvMjAyMQkAAAABMK1dfiT/gd4IsYYMKP+B3gguQ0lRLk5ZU0U6SUJNLklRX1BFUklPRExFTkdUSF9JUy45OTUuMDcvMDMvMjAyNgEAAADetgEAAQAAAAIxMgCtXX4k/4HeCLGGDCj/gd4IQENJUS5OWVNFOklCTS5JUV9ESVNUUklCVVRBQkxFX0NBU0hfU0hBUkVTX0RJTFVURUQuOTk2LjA3LzAzLzIwMjYBAAAA3rYBAAMAAAAAAHx/fiT/gd4IsYYMKP+B3gguQ0lRLk5ZU0U6SUJNLklRX1BFUklPRExFTkdUSF9JUy45OTIuMDcvMDMvMjAyNgEAAADetgEAAQAAAAIxMgCtXX4k/4HeCLGGDCj/gd4IMENJUS5OWVNFOklCTS5JUV9EUl9SQVRJT19QUklNQVJZLjEwMDAuMDcvMDMvMjAyNgEAAADetgEAAgAAAAExAK1dfiT/gd4IsYYMKP+B3ggsQ0lRLk5ZU0U6SUJNLklRX1BBWU9VVF9SQVRJTy4xMDAwLjA3LzAzLzIwMjYBAAAA3rYBAAIAAAAHNTkuMDQ4NAEIAAAABQAAAAExAQAAAAstMTkwNDg2MDc0MAMAAAADMTYwAgAAAAQ0Mzc3BAAAAAEwBwAAAAgzLzcvMjAyNggAAAAKMTIvMzEvMjAyNQkAAAABMK1dfiT/gd4IsYYMKP+B3gg5Q0lRLk5ZU0U6SUJNLklRX0RJU1RSSUJVVEFCTEVfQ0FTSF9QQVlPVVQuMTAwMC4wNy8wMy8yMDI2AQAAAN62</t>
  </si>
  <si>
    <t>AQADAAAAAACtXX4k/4HeCLGGDCj/gd4IL0NJUS5OWVNFOklCTS5JUV9EUl9SQVRJT19QUklNQVJZLjk5OS4wNy8wMy8yMDI2AQAAAN62AQACAAAAATEArV1+JP+B3gixhgwo/4HeCCtDSVEuTllTRTpJQk0uSVFfRElMVVRfV0VJR0hULjk5NS4wNy8wMy8yMDI2AQAAAN62AQACAAAACjg5Ni41NjM5NzEArV1+JP+B3gixhgwo/4HeCC9DSVEuTllTRTpJQk0uSVFfRFJfUkFUSU9fUFJJTUFSWS45OTguMDcvMDMvMjAyNgEAAADetgEAAgAAAAExAK1dfiT/gd4IsYYMKP+B3ggrQ0lRLk5ZU0U6SUJNLklRX0RJTFVUX1dFSUdIVC45OTQuMDcvMDMvMjAyNgEAAADetgEAAgAAAAo4OTIuODEzMzc2AK1dfiT/gd4IsYYMKP+B3gguQ0lRLk5ZU0U6SUJNLklRX1JFU1RBVEVNRU5UX0lTLjEwMDAuMDcvMDMvMjAyNgEAAADetgEAAwAAAAFPAK1dfiT/gd4Ijl8MKP+B3ggrQ0lRLk5ZU0U6SUJNLklRX0RJTFVUX1dFSUdIVC45OTMuMDcvMDMvMjAyNgEAAADetgEAAgAAAAo5MTYuMzE1NzE0AK1dfiT/gd4Ijl8MKP+B3ggtQ0lRLk5ZU0U6SUJNLklRX1JFU1RBVEVNRU5UX0lTLjk5OS4wNy8wMy8yMDI2AQAAAN62AQADAAAAAk5DAK1dfiT/gd4Ijl8MKP+B3ggrQ0lRLk5ZU0U6SUJNLklRX1BBWU9VVF9SQVRJTy45OTguMDcvMDMvMjAyNgEAAADetgEAAgAAAAc4MC41MTE4AQgAAAAFAAAAATEBAAAACy0xOTA0ODYwNzQ0</t>
  </si>
  <si>
    <t>AwAAAAMxNjACAAAABDQzNzcEAAAAATAHAAAACDMvNy8yMDI2CAAAAAoxMi8zMS8yMDIzCQAAAAEwrV1+JP+B3giOXwwo/4HeCDhDSVEuTllTRTpJQk0uSVFfRElTVFJJQlVUQUJMRV9DQVNIX1BBWU9VVC45OTkuMDcvMDMvMjAyNgEAAADetgEAAwAAAAAArV1+JP+B3ghrOAwo/4HeCCtDSVEuTllTRTpJQk0uSVFfRElMVVRfV0VJR0hULjk5Mi4wNy8wMy8yMDI2AQAAAN62AQACAAAACjkzNy4zODU2MjUArV1+JP+B3giOXwwo/4HeCEBDSVEuTllTRTpJQk0uSVFfRElTVFJJQlVUQUJMRV9DQVNIX1NIQVJFU19ESUxVVEVELjk5NS4wNy8wMy8yMDI2AQAAAN62AQADAAAAAAB8f34k/4HeCI5fDCj/gd4ILUNJUS5OWVNFOklCTS5JUV9SRVNUQVRFTUVOVF9JUy45OTguMDcvMDMvMjAyNgEAAADetgEAAwAAAAJSQwCtXX4k/4HeCGARDCj/gd4ILUNJUS5OWVNFOklCTS5JUV9SRVNUQVRFTUVOVF9JUy45OTcuMDcvMDMvMjAyNgEAAADetgEAAwAAAAJSQwCtXX4k/4HeCGs4DCj/gd4ILUNJUS5OWVNFOklCTS5JUV9GSUxJTkdEQVRFX0lTLjEwMDAuMDcvMDMvMjAyNgEAAADetgEABQAAAAoyNC8wMi8yMDI2AK1dfiT/gd4IT+oLKP+B3ggrQ0lRLk5ZU0U6SUJNLklRX0JBU0lDX1dFSUdIVC45OTIuMDcvMDMvMjAyNgEAAADetgEAAgAAAAo5MzIuODI4Mjk1AK1dfiT/gd4IT+oLKP+B3ggrQ0lRLk5ZU0U6SUJNLklR</t>
  </si>
  <si>
    <t>X0NBTENfVFlQRV9JUy45OTQuMDcvMDMvMjAyNgEAAADetgEAAwAAAANSRVAArV1+JP+B3ghgEQwo/4HeCC5DSVEuTllTRTpJQk0uSVFfUEVSSU9ETEVOR1RIX0lTLjk5Ny4wNy8wMy8yMDI2AQAAAN62AQABAAAAAjEyAK1dfiT/gd4IMMMLKP+B3ggrQ0lRLk5ZU0U6SUJNLklRX0NBTENfVFlQRV9JUy45OTkuMDcvMDMvMjAyNgEAAADetgEAAwAAAANSRVAArV1+JP+B3ghP6gso/4HeCC5DSVEuTllTRTpJQk0uSVFfUEVSSU9ETEVOR1RIX0lTLjk5Ni4wNy8wMy8yMDI2AQAAAN62AQABAAAAAjEyAK1dfiT/gd4IT+oLKP+B3ggsQ0lRLk5ZU0U6SUJNLklRX0RJTFVUX1dFSUdIVC4xMDAwLjA3LzAzLzIwMjYBAAAA3rYBAAIAAAAKOTQ4LjY3NTIyOACtXX4k/4HeCDuICyj/gd4ILUNJUS5OWVNFOklCTS5JUV9SRVNUQVRFTUVOVF9DRi45OTIuMDcvMDMvMjAyNgEAAADetgEAAwAAAAJSUwCtXX4k/4HeCFmvCyj/gd4ILkNJUS5OWVNFOklCTS5JUV9QRVJJT0RMRU5HVEhfQ0YuOTk5LjA3LzAzLzIwMjYBAAAA3rYBAAEAAAACMTIArV1+JP+B3ghZrwso/4HeCC9DSVEuTllTRTpJQk0uSVFfUEVSSU9ETEVOR1RIX0NGLjEwMDAuMDcvMDMvMjAyNgEAAADetgEAAQAAAAIxMgCtXX4k/4HeCDDDCyj/gd4ILkNJUS5OWVNFOklCTS5JUV9GSUxJTkdfQ1VSUkVOQ1kuOTk2LjA3LzAzLzIwMjYBAAAA3rYBAAMAAAADVVNE</t>
  </si>
  <si>
    <t>AMC6fiT/gd4IP2ELKP+B3ggrQ0lRLk5ZU0U6SUJNLklRX0NBTENfVFlQRV9JUy45OTMuMDcvMDMvMjAyNgEAAADetgEAAwAAAANSRVAArV1+JP+B3gg7iAso/4HeCCtDSVEuTllTRTpJQk0uSVFfUEFZT1VUX1JBVElPLjk5NS4wNy8wMy8yMDI2AQAAAN62AQACAAAABzEwMy43MDMBCAAAAAUAAAABMQEAAAALLTIwNTkwNzMyMDIDAAAAAzE2MAIAAAAENDM3NwQAAAABMAcAAAAIMy83LzIwMjYIAAAACjEyLzMxLzIwMjAJAAAAATCtXX4k/4HeCDuICyj/gd4ILUNJUS5OWVNFOklCTS5JUV9SRVNUQVRFTUVOVF9DRi45OTMuMDcvMDMvMjAyNgEAAADetgEAAwAAAAJOQwCtXX4k/4HeCDuICyj/gd4IJkNJUS5OWVNFOklCTS5JUV9HQUFQX0NGLjk5OS4wNy8wMy8yMDI2AQAAAN62AQADAAAAB1VTIEdBQVAArV1+JP+B3ghROgso/4HeCClDSVEuTllTRTpJQk0uSVFfU0FNRV9TVE9SRS45OTYuMDcvMDMvMjAyNgEAAADetgEAAwAAAAAArV1+JP+B3ghROgso/4HeCC5DSVEuTllTRTpJQk0uSVFfUEVSSU9ETEVOR1RIX0lTLjk5NC4wNy8wMy8yMDI2AQAAAN62AQABAAAAAjEyAHx/fiT/gd4IP2ELKP+B3ggsQ0lRLk5ZU0U6SUJNLklRX0JBU0lDX1dFSUdIVC4xMDAwLjA3LzAzLzIwMjYBAAAA3rYBAAIAAAAKOTMyLjI5MzkyNwB8f34k/4HeCD9hCyj/gd4IJkNJUS5OWVNFOklCTS5JUV9HQUFQX0lTLjk5OS4wNy8w</t>
  </si>
  <si>
    <t>My8yMDI2AQAAAN62AQADAAAAB1VTIEdBQVAAfH9+JP+B3ggvEwso/4HeCC5DSVEuTllTRTpJQk0uSVFfUkVTVEFURU1FTlRfQ0YuMTAwMC4wNy8wMy8yMDI2AQAAAN62AQADAAAAAU8AfH9+JP+B3ggvEwso/4HeCCZDSVEuTllTRTpJQk0uSVFfR0FBUF9JUy45OTguMDcvMDMvMjAyNgEAAADetgEAAwAAAAdVUyBHQUFQAHx/fiT/gd4IUToLKP+B3ggrQ0lRLk5ZU0U6SUJNLklRX0NBTENfVFlQRV9JUy45OTIuMDcvMDMvMjAyNgEAAADetgEAAwAAAANSRVAAfH9+JP+B3ghROgso/4HeCCtDSVEuTllTRTpJQk0uSVFfUEFZT1VUX1JBVElPLjk5NC4wNy8wMy8yMDI2AQAAAN62AQACAAAABzYwLjUxMzIBCAAAAAUAAAABMQEAAAALLTIxMTA3NjkzNTUDAAAAAzE2MAIAAAAENDM3NwQAAAABMAcAAAAIMy83LzIwMjYIAAAACjEyLzMxLzIwMTkJAAAAATB8f34k/4HeCMfrCij/gd4IKUNJUS5OWVNFOklCTS5JUV9TQU1FX1NUT1JFLjk5NC4wNy8wMy8yMDI2AQAAAN62AQADAAAAAAB8f34k/4HeCMfrCij/gd4ILUNJUS5OWVNFOklCTS5JUV9SRVNUQVRFTUVOVF9DRi45OTkuMDcvMDMvMjAyNgEAAADetgEAAwAAAAJOQwB8f34k/4HeCC8TCyj/gd4ILkNJUS5OWVNFOklCTS5JUV9GSUxJTkdfQ1VSUkVOQ1kuOTk3LjA3LzAzLzIwMjYBAAAA3rYBAAMAAAADVVNEAMC6fiT/gd4ILxMLKP+B3ggrQ0lRLk5ZU0U6SUJN</t>
  </si>
  <si>
    <t>LklRX1BBWU9VVF9SQVRJTy45OTMuMDcvMDMvMjAyNgEAAADetgEAAgAAAAc2NC45MTc1AQgAAAAFAAAAATEBAAAACjIwODE1MDU0MDEDAAAAAzE2MAIAAAAENDM3NwQAAAABMAcAAAAIMy83LzIwMjYIAAAACjEyLzMxLzIwMTgJAAAAATB8f34k/4HeCC8TCyj/gd4IOENJUS5OWVNFOklCTS5JUV9ESVNUUklCVVRBQkxFX0NBU0hfUEFZT1VULjk5My4wNy8wMy8yMDI2AQAAAN62AQADAAAAAAB8f34k/4HeCP+wCij/gd4IK0NJUS5OWVNFOklCTS5JUV9DQUxDX1RZUEVfQ0YuOTk1LjA3LzAzLzIwMjYBAAAA3rYBAAMAAAADUkVQAHx/fiT/gd4I/7AKKP+B3ggtQ0lRLk5ZU0U6SUJNLklRX1JFU1RBVEVNRU5UX0NGLjk5OC4wNy8wMy8yMDI2AQAAAN62AQADAAAAAk5DAHx/fiT/gd4I/7AKKP+B3gg4Q0lRLk5ZU0U6SUJNLklRX0RJU1RSSUJVVEFCTEVfQ0FTSF9QQVlPVVQuOTkyLjA3LzAzLzIwMjYBAAAA3rYBAAMAAAAAAHx/fiT/gd4Ix+sKKP+B3ggrQ0lRLk5ZU0U6SUJNLklRX0NBTENfVFlQRV9JUy45OTcuMDcvMDMvMjAyNgEAAADetgEAAwAAAANSRVAAfH9+JP+B3gj/sAoo/4HeCCtDSVEuTllTRTpJQk0uSVFfUEFZT1VUX1JBVElPLjk5OS4wNy8wMy8yMDI2AQAAAN62AQACAAAACDEwMi4wNTg3AQgAAAAFAAAAATEBAAAACy0xOTA0ODYwNzQzAwAAAAMxNjACAAAABDQzNzcEAAAAATAHAAAACDMvNy8y</t>
  </si>
  <si>
    <t>MDI2CAAAAAoxMi8zMS8yMDI0CQAAAAEwfH9+JP+B3gj/sAoo/4HeCC5DSVEuTllTRTpJQk0uSVFfRUZGRUNUX1RBWF9SQVRFLjk5My4wNy8wMy8yMDI2AQAAAN62AQACAAAABzIzLjA5MTEBCAAAAAUAAAABMQEAAAAKMjA4MTUwNTQwMQMAAAADMTYwAgAAAAQ0Mzc2BAAAAAEwBwAAAAgzLzcvMjAyNggAAAAKMTIvMzEvMjAxOAkAAAABMHx/fiT/gd4I/7AKKP+B3ggrQ0lRLk5ZU0U6SUJNLklRX0NBTENfVFlQRV9DRi45OTMuMDcvMDMvMjAyNgEAAADetgEAAwAAAANSRVAAfH9+JP+B3gjqYgoo/4HeCCtDSVEuTllTRTpJQk0uSVFfQ0FMQ19UWVBFX0NGLjk5OS4wNy8wMy8yMDI2AQAAAN62AQADAAAAA1JFUAB8f34k/4HeCO2JCij/gd4ILENJUS5OWVNFOklCTS5JUV9DQUxDX1RZUEVfQ0YuMTAwMC4wNy8wMy8yMDI2AQAAAN62AQADAAAAA1JFUAB8f34k/4HeCO2JCij/gd4IK0NJUS5OWVNFOklCTS5JUV9DQUxDX1RZUEVfQ0YuOTkyLjA3LzAzLzIwMjYBAAAA3rYBAAMAAAADUlVQAHx/fiT/gd4I7YkKKP+B3gguQ0lRLk5ZU0U6SUJNLklRX1BFUklPRExFTkdUSF9DRi45OTMuMDcvMDMvMjAyNgEAAADetgEAAQAAAAIxMgB8f34k/4HeCOw7Cij/gd4ILkNJUS5OWVNFOklCTS5JUV9FRkZFQ1RfVEFYX1JBVEUuOTk5LjA3LzAzLzIwMjYBAAAA3rYBAAMAAAACTk0BCAAAAAUAAAABMQEAAAALLTE5MDQ4NjA3</t>
  </si>
  <si>
    <t>NDMDAAAAAzE2MAIAAAAENDM3NgQAAAABMAcAAAAIMy83LzIwMjYIAAAACjEyLzMxLzIwMjQJAAAAATB8f34k/4HeCOpiCij/gd4IOENJUS5OWVNFOklCTS5JUV9ESVNUUklCVVRBQkxFX0NBU0hfUEFZT1VULjk5NS4wNy8wMy8yMDI2AQAAAN62AQADAAAAAAB8f34k/4HeCOpiCij/gd4IK0NJUS5OWVNFOklCTS5JUV9DQUxDX1RZUEVfQ0YuOTk4LjA3LzAzLzIwMjYBAAAA3rYBAAMAAAADUkVQAHx/fiT/gd4I6mIKKP+B3ggmQ0lRLk5ZU0U6SUJNLklRX0dBQVBfSVMuOTkyLjA3LzAzLzIwMjYBAAAA3rYBAAMAAAAHVVMgR0FBUAB8f34k/4HeCMoUCij/gd4ILENJUS5OWVNFOklCTS5JUV9GSUxJTkdEQVRFX0lTLjk5OC4wNy8wMy8yMDI2AQAAAN62AQAFAAAACjI0LzAyLzIwMjYAfH9+JP+B3gjsOwoo/4HeCCtDSVEuTllTRTpJQk0uSVFfQ0FMQ19UWVBFX0NGLjk5Ny4wNy8wMy8yMDI2AQAAAN62AQADAAAAA1JFUAB8f34k/4HeCOw7Cij/gd4ILkNJUS5OWVNFOklCTS5JUV9QRVJJT0RMRU5HVEhfQ0YuOTk4LjA3LzAzLzIwMjYBAAAA3rYBAAEAAAACMTIAfH9+JP+B3giFAAoo/4HeCC5DSVEuTllTRTpJQk0uSVFfUEVSSU9ETEVOR1RIX0NGLjk5Ny4wNy8wMy8yMDI2AQAAAN62AQABAAAAAjEyAHx/fiT/gd4IhQAKKP+B3ggtQ0lRLk5ZU0U6SUJNLklRX1JFU1RBVEVNRU5UX0lTLjk5Ni4wNy8wMy8yMDI2</t>
  </si>
  <si>
    <t>AQAAAN62AQADAAAAAlJDAHx/fiT/gd4IyhQKKP+B3gguQ0lRLk5ZU0U6SUJNLklRX0VGRkVDVF9UQVhfUkFURS45OTguMDcvMDMvMjAyNgEAAADetgEAAgAAAAcxMy41MzI3AQgAAAAFAAAAATEBAAAACy0xOTA0ODYwNzQ0AwAAAAMxNjACAAAABDQzNzYEAAAAATAHAAAACDMvNy8yMDI2CAAAAAoxMi8zMS8yMDIzCQAAAAEwfH9+JP+B3gjKFAoo/4HeCDhDSVEuTllTRTpJQk0uSVFfRElTVFJJQlVUQUJMRV9DQVNIX1BBWU9VVC45OTQuMDcvMDMvMjAyNgEAAADetgEAAwAAAAAAfH9+JP+B3gjKFAoo/4HeCCZDSVEuTllTRTpJQk0uSVFfR0FBUF9DRi45OTcuMDcvMDMvMjAyNgEAAADetgEAAwAAAAdVUyBHQUFQAHx/fiT/gd4IStkJKP+B3gguQ0lRLk5ZU0U6SUJNLklRX1BFUklPRExFTkdUSF9DRi45OTYuMDcvMDMvMjAyNgEAAADetgEAAQAAAAIxMgB8f34k/4HeCErZCSj/gd4IJkNJUS5OWVNFOklCTS5JUV9HQUFQX0NGLjk5Mi4wNy8wMy8yMDI2AQAAAN62AQADAAAAB1VTIEdBQVAAfH9+JP+B3ghK2Qko/4HeCCZDSVEuTllTRTpJQk0uSVFfR0FBUF9DRi45OTQuMDcvMDMvMjAyNgEAAADetgEAAwAAAAdVUyBHQUFQAHx/fiT/gd4IKLIJKP+B3gguQ0lRLk5ZU0U6SUJNLklRX1BFUklPRExFTkdUSF9DRi45OTQuMDcvMDMvMjAyNgEAAADetgEAAQAAAAIxMgB8f34k/4HeCCiyCSj/gd4IJkNJUS5OWVNF</t>
  </si>
  <si>
    <t>OklCTS5JUV9HQUFQX0NGLjk5Ni4wNy8wMy8yMDI2AQAAAN62AQADAAAAB1VTIEdBQVAAfH9+JP+B3ggosgko/4HeCC5DSVEuTllTRTpJQk0uSVFfUEVSSU9ETEVOR1RIX0NGLjk5NS4wNy8wMy8yMDI2AQAAAN62AQABAAAAAjEyAHx/fiT/gd4IlGMJKP+B3gg4Q0lRLk5ZU0U6SUJNLklRX1RPVEFMX09VVFNUQU5ESU5HX0JTX0RBVEUuOTk2LjA3LzAzLzIwMjYBAAAA3rYBAAIAAAAKODk4LjA2ODU5OQEEAAAABQAAAAE1AQAAAAstMjAwODY0NzE5OAIAAAAFMjQxNTIGAAAAATB8f34k/4HeCNaKCSj/gd4IPENJUS5OWVNFOklCTS5JUV9UT1RBTF9PVVRTVEFORElOR19GSUxJTkdfREFURS45OTkuMDcvMDMvMjAyNgEAAADetgEAAgAAAAo5MjcuMjY0MzMyAQQAAAAFAAAAATUBAAAACy0xOTA0ODYwNzQzAgAAAAUyNDE1MwYAAAABMHx/fiT/gd4I1ooJKP+B3gg9Q0lRLk5ZU0U6SUJNLklRX1RPVEFMX09VVFNUQU5ESU5HX0ZJTElOR19EQVRFLjEwMDAuMDcvMDMvMjAyNgEAAADetgEAAgAAAAo5MzguMDM0NDA0AQQAAAAFAAAAATUBAAAACy0xOTA0ODYwNzQwAgAAAAUyNDE1MwYAAAABMHx/fiT/gd4I1ooJKP+B3ggnQ0lRLk5ZU0U6SUJNLklRX0dBQVBfQ0YuMTAwMC4wNy8wMy8yMDI2AQAAAN62AQADAAAAB1VTIEdBQVAAfH9+JP+B3gjWigko/4HeCCtDSVEuTllTRTpJQk0uSVFfQ0FMQ19UWVBFX0NGLjk5</t>
  </si>
  <si>
    <t>NC4wNy8wMy8yMDI2AQAAAN62AQADAAAAA1JFUAB8f34k/4HeCL1PCSj/gd4IK0NJUS5OWVNFOklCTS5JUV9DQUxDX1RZUEVfQ0YuOTk2LjA3LzAzLzIwMjYBAAAA3rYBAAMAAAADUkVQAHx/fiT/gd4IvU8JKP+B3gg5Q0lRLk5ZU0U6SUJNLklRX1RPVEFMX09VVFNUQU5ESU5HX0JTX0RBVEUuMTAwMC4wNy8wMy8yMDI2AQAAAN62AQACAAAACjkzNi45NTIxMjkBBAAAAAUAAAABNQEAAAALLTE5MDQ4NjA3NDACAAAABTI0MTUyBgAAAAEwfH9+JP+B3giUYwko/4HeCDhDSVEuTllTRTpJQk0uSVFfVE9UQUxfT1VUU1RBTkRJTkdfQlNfREFURS45OTIuMDcvMDMvMjAyNgEAAADetgEAAgAAAAo5MjIuMTc5MjI1AQQAAAAFAAAAATUBAAAACjIwMTcxNjQyNDQCAAAABTI0MTUyBgAAAAEwfH9+JP+B3giUYwko/4HeCDhDSVEuTllTRTpJQk0uSVFfVE9UQUxfT1VUU1RBTkRJTkdfQlNfREFURS45OTMuMDcvMDMvMjAyNgEAAADetgEAAgAAAAo4OTIuNDc5NDExAQQAAAAFAAAAATUBAAAACjIwODE1MDU0MDECAAAABTI0MTUyBgAAAAEwfH9+JP+B3giUYwko/4HeCC5DSVEuTllTRTpJQk0uSVFfUEVSSU9ETEVOR1RIX0NGLjk5Mi4wNy8wMy8yMDI2AQAAAN62AQABAAAAAjEyAHx/fiT/gd4IsSgJKP+B3ggtQ0lRLk5ZU0U6SUJNLklRX1JFU1RBVEVNRU5UX0NGLjk5NS4wNy8wMy8yMDI2AQAAAN62AQADAAAAAk5DAHx/</t>
  </si>
  <si>
    <t>fiT/gd4IsSgJKP+B3ggtQ0lRLk5ZU0U6SUJNLklRX1JFU1RBVEVNRU5UX0NGLjk5Ni4wNy8wMy8yMDI2AQAAAN62AQADAAAAAk5DAHx/fiT/gd4IsSgJKP+B3ggtQ0lRLk5ZU0U6SUJNLklRX1JFU1RBVEVNRU5UX0NGLjk5Ny4wNy8wMy8yMDI2AQAAAN62AQADAAAAAlJTAHx/fiT/gd4IvU8JKP+B3ggmQ0lRLk5ZU0U6SUJNLklRX0dBQVBfQ0YuOTkzLjA3LzAzLzIwMjYBAAAA3rYBAAMAAAAHVVMgR0FBUAB8f34k/4HeCJ8BCSj/gd4IJkNJUS5OWVNFOklCTS5JUV9HQUFQX0NGLjk5NS4wNy8wMy8yMDI2AQAAAN62AQADAAAAB1VTIEdBQVAAfH9+JP+B3gixKAko/4HeCClDSVEuTllTRTpJQk0uSVFfSU5WX01FVEhPRC45OTQuMDcvMDMvMjAyNgEAAADetgEAAwAAAAhBdmcgQ29zdABVk34k/4HeCLEoCSj/gd4IPENJUS5OWVNFOklCTS5JUV9UT1RBTF9PVVRTVEFORElOR19GSUxJTkdfREFURS45OTMuMDcvMDMvMjAyNgEAAADetgEAAgAAAAo4ODkuODY2MjU2AQQAAAAFAAAAATUBAAAACjIwODE1MDU0MDECAAAABTI0MTUzBgAAAAEwVZN+JP+B3gixKAko/4HeCCZDSVEuTllTRTpJQk0uSVFfR0FBUF9DRi45OTguMDcvMDMvMjAyNgEAAADetgEAAwAAAAdVUyBHQUFQAFWTfiT/gd4IsSgJKP+B3ggtQ0lRLk5ZU0U6SUJNLklRX1JFU1RBVEVNRU5UX0NGLjk5NC4wNy8wMy8yMDI2AQAAAN62AQADAAAAAk5D</t>
  </si>
  <si>
    <t>AFWTfiT/gd4InwEJKP+B3ggpQ0lRLk5ZU0U6SUJNLklRX0lOVl9NRVRIT0QuOTk5LjA3LzAzLzIwMjYBAAAA3rYBAAMAAAAIQXZnIENvc3QAVZN+JP+B3gifAQko/4HeCCpDSVEuTllTRTpJQk0uSVFfSU5WX01FVEhPRC4xMDAwLjA3LzAzLzIwMjYBAAAA3rYBAAMAAAAIQXZnIENvc3QAVZN+JP+B3gifAQko/4HeCChDSVEuTllTRTpJQk0uSVFfUEFSVF9USU1FLjk5OC4wNy8wMy8yMDI2AQAAAN62AQADAAAAAABVk34k/4HeCJ8BCSj/gd4IPENJUS5OWVNFOklCTS5JUV9UT1RBTF9PVVRTVEFORElOR19GSUxJTkdfREFURS45OTQuMDcvMDMvMjAyNgEAAADetgEAAgAAAAo4ODcuMTEwNDU0AQQAAAAFAAAAATUBAAAACy0yMTEwNzY5MzU1AgAAAAUyNDE1MwYAAAABMFWTfiT/gd4InwEJKP+B3gg8Q0lRLk5ZU0U6SUJNLklRX1RPVEFMX09VVFNUQU5ESU5HX0ZJTElOR19EQVRFLjk5Ni4wNy8wMy8yMDI2AQAAAN62AQACAAAACjg5OS4zMDk5ODYBBAAAAAUAAAABNQEAAAALLTIwMDg2NDcxOTgCAAAABTI0MTUzBgAAAAEwVZN+JP+B3giSswgo/4HeCC1DSVEuTllTRTpJQk0uSVFfQ09TVF9CT1JST1dJTkcuOTk4LjA3LzAzLzIwMjYBAAAA3rYBAAIAAAAGMi44MzYzAQgAAAAFAAAAATEBAAAACy0xOTA0ODYwNzQ0AwAAAAMxNjACAAAABTIxNjgxBAAAAAEwBwAAAAgzLzcvMjAyNggAAAAKMTIvMzEvMjAyMwkA</t>
  </si>
  <si>
    <t>AAABMFWTfiT/gd4IlNoIKP+B3ggxQ0lRLk5ZU0U6SUJNLklRX0FWR19URU1QX0VNUExPWUVFUy45OTYuMDcvMDMvMjAyNgEAAADetgEAAgAAAAUxNTcwMAEIAAAABQAAAAExAQAAAAstMjAwODY0NzE5OAMAAAADMTYwAgAAAAUyNDY3NQQAAAABMAcAAAAIMy83LzIwMjYIAAAACjEyLzMxLzIwMjEJAAAAATBVk34k/4HeCJTaCCj/gd4IPkNJUS5OWVNFOklCTS5JUV9FTVBMT1lFRVNfVU5ERVJfVU5JT05fQ09OVFJBQ1RTLjk5Mi4wNy8wMy8yMDI2AQAAAN62AQADAAAAAABVk34k/4HeCJTaCCj/gd4IPkNJUS5OWVNFOklCTS5JUV9FTVBMT1lFRVNfVU5ERVJfVU5JT05fQ09OVFJBQ1RTLjk5Ny4wNy8wMy8yMDI2AQAAAN62AQADAAAAAABVk34k/4HeCJKzCCj/gd4ILUNJUS5OWVNFOklCTS5JUV9FQklUREFfTUFSR0lOLjEwMDAuMDcvMDMvMjAyNgEAAADetgEAAgAAAAcyMy44NjYxAQgAAAAFAAAAATEBAAAACy0xOTA0ODYwNzQwAwAAAAMxNjACAAAABDQwNDcEAAAAATAHAAAACDMvNy8yMDI2CAAAAAoxMi8zMS8yMDI1CQAAAAEwVZN+JP+B3giSswgo/4HeCCtDSVEuTllTRTpJQk0uSVFfR1JPU1NfTUFSR0lOLjk5NC4wNy8wMy8yMDI2AQAAAN62AQACAAAABzU0LjYzODMBCAAAAAUAAAABMQEAAAALLTIxMTA3NjkzNTUDAAAAAzE2MAIAAAAENDA3NAQAAAABMAcAAAAIMy83LzIwMjYIAAAACjEyLzMxLzIw</t>
  </si>
  <si>
    <t>MTkJAAAAATBVk34k/4HeCJKzCCj/gd4ILENJUS5OWVNFOklCTS5JUV9SRVRVUk5fQVNTRVRTLjk5Ni4wNy8wMy8yMDI2AQAAAN62AQACAAAABjIuNDIzNAEIAAAABQAAAAExAQAAAAstMjAwODY0NzE5OAMAAAADMTYwAgAAAAQ0MTc4BAAAAAEwBwAAAAgzLzcvMjAyNggAAAAKMTIvMzEvMjAyMQkAAAABMFWTfiT/gd4IkrMIKP+B3ggmQ0lRLk5ZU0U6SUJNLklRX0dBQVBfQlMuOTkyLjA3LzAzLzIwMjYBAAAA3rYBAAMAAAAHVVMgR0FBUABVk34k/4HeCJKzCCj/gd4ILUNJUS5OWVNFOklCTS5JUV9SRVNUQVRFTUVOVF9CUy45OTguMDcvMDMvMjAyNgEAAADetgEAAwAAAAJOQwBVk34k/4HeCJ6MCCj/gd4ILUNJUS5OWVNFOklCTS5JUV9EQVlTX1NBTEVTX09VVC45OTYuMDcvMDMvMjAyNgEAAADetgEAAgAAAAg0My4zNTc2MgEIAAAABQAAAAExAQAAAAstMjAwODY0NzE5OAMAAAADMTYwAgAAAAQ0MDQyBAAAAAEwBwAAAAgzLzcvMjAyNggAAAAKMTIvMzEvMjAyMQkAAAABMFWTfiT/gd4InowIKP+B3ggsQ0lRLk5ZU0U6SUJNLklRX0NVUlJFTlRfUkFUSU8uOTk2LjA3LzAzLzIwMjYBAAAA3rYBAAIAAAAHMC44Nzg2NAEIAAAABQAAAAExAQAAAAstMjAwODY0NzE5OAMAAAADMTYwAgAAAAQ0MDMwBAAAAAEwBwAAAAgzLzcvMjAyNggAAAAKMTIvMzEvMjAyMQkAAAABMFWTfiT/gd4InowIKP+B3ggnQ0lRLk5Z</t>
  </si>
  <si>
    <t>U0U6SUJNLklRX0FSX1RVUk5TLjk5Mi4wNy8wMy8yMDI2AQAAAN62AQACAAAACDguMzMzNjc0AQgAAAAFAAAAATEBAAAACjIwMTcxNjQyNDQDAAAAAzE2MAIAAAAENDAwMQQAAAABMAcAAAAIMy83LzIwMjYIAAAACjEyLzMxLzIwMTcJAAAAATBVk34k/4HeCJ6MCCj/gd4IKkNJUS5OWVNFOklCTS5JUV9BU1NFVF9UVVJOUy45OTguMDcvMDMvMjAyNgEAAADetgEAAgAAAAgwLjQ3MTM0MwEIAAAABQAAAAExAQAAAAstMTkwNDg2MDc0NAMAAAADMTYwAgAAAAQ0MTc3BAAAAAEwBwAAAAgzLzcvMjAyNggAAAAKMTIvMzEvMjAyMwkAAAABMFWTfiT/gd4IkrMIKP+B3ggoQ0lRLk5ZU0U6SUJNLklRX05JX01BUkdJTi45OTQuMDcvMDMvMjAyNgEAAADetgEAAgAAAAcxNi4zNDA5AQgAAAAFAAAAATEBAAAACy0yMTEwNzY5MzU1AwAAAAMxNjACAAAABDQwOTQEAAAAATAHAAAACDMvNy8yMDI2CAAAAAoxMi8zMS8yMDE5CQAAAAEwVZN+JP+B3ghfZQgo/4HeCCdDSVEuTllTRTpJQk0uSVFfRUJJVF9JTlQuOTk4LjA3LzAzLzIwMjYBAAAA3rYBAAIAAAAINS44NjI0NzYBCAAAAAUAAAABMQEAAAALLTE5MDQ4NjA3NDQDAAAAAzE2MAIAAAAENDE4OQQAAAABMAcAAAAIMy83LzIwMjYIAAAACjEyLzMxLzIwMjMJAAAAATBVk34k/4HeCF9lCCj/gd4INkNJUS5OWVNFOklCTS5JUV9UT1RBTF9MSUFCX1RPVEFMX0FTU0VUUy45</t>
  </si>
  <si>
    <t>OTIuMDcvMDMvMjAyNgEAAADetgEAAgAAAAc4NS44NjAyAQgAAAAFAAAAATEBAAAACjIwMTcxNjQyNDQDAAAAAzE2MAIAAAAENDE4OAQAAAABMAcAAAAIMy83LzIwMjYIAAAACjEyLzMxLzIwMTcJAAAAATBVk34k/4HeCJ6MCCj/gd4ILUNJUS5OWVNFOklCTS5JUV9MVF9ERUJUX0VRVUlUWS45OTguMDcvMDMvMjAyNgEAAADetgEAAgAAAAgyMzMuMDAzMQEIAAAABQAAAAExAQAAAAstMTkwNDg2MDc0NAMAAAADMTYwAgAAAAQ0MDg1BAAAAAEwBwAAAAgzLzcvMjAyNggAAAAKMTIvMzEvMjAyMwkAAAABMFWTfiT/gd4InowIKP+B3ggwQ0lRLk5ZU0U6SUJNLklRX1RPVEFMX0RFQlRfRVFVSVRZLjk5NC4wNy8wMy8yMDI2AQAAAN62AQACAAAACDMyNC43OTM5AQgAAAAFAAAAATEBAAAACy0yMTEwNzY5MzU1AwAAAAMxNjACAAAABDQwMzQEAAAAATAHAAAACDMvNy8yMDI2CAAAAAoxMi8zMS8yMDE5CQAAAAEwVZN+JP+B3giejAgo/4HeCDBDSVEuTllTRTpJQk0uSVFfREFZU19QQVlBQkxFX09VVC4xMDAwLjA3LzAzLzIwMjYBAAAA3rYBAAIAAAAJNTcuNzU5NDI1AQgAAAAFAAAAATEBAAAACy0xOTA0ODYwNzQwAwAAAAMxNjACAAAABDQxODMEAAAAATAHAAAACDMvNy8yMDI2CAAAAAoxMi8zMS8yMDI1CQAAAAEwVZN+JP+B3gjYPAgo/4HeCEVDSVEuTllTRTpJQk0uSVFfTkVUX0RFQlRfRUJJVERBX0VYQ0xfT1BF</t>
  </si>
  <si>
    <t>Ul9MRUFTRVNfQ0FQRVguOTkyLjA3LzAzLzIwMjYBAAAA3rYBAAIAAAAIMi42Mzc4MzIBCAAAAAUAAAABMQEAAAAKMjAxNzE2NDI0NAMAAAADMTYwAgAAAAU0OTE4MgQAAAABMAcAAAAIMy83LzIwMjYIAAAACjEyLzMxLzIwMTcJAAAAATBVk34k/4HeCNg8CCj/gd4IN0NJUS5OWVNFOklCTS5JUV9UT1RBTF9ERUJUX0VCSVREQV9DQVBFWC4xMDAwLjA3LzAzLzIwMjYBAAAA3rYBAAIAAAAIMy45NTUxMjcBCAAAAAUAAAABMQEAAAALLTE5MDQ4NjA3NDADAAAAAzE2MAIAAAAFMjMzMTMEAAAAATAHAAAACDMvNy8yMDI2CAAAAAoxMi8zMS8yMDI1CQAAAAEwVZN+JP+B3ghfZQgo/4HeCD9DSVEuTllTRTpJQk0uSVFfTkVUX0RFQlRfRUJJVERBX0VYQ0xfT1BFUl9MRUFTRVMuOTk0LjA3LzAzLzIwMjYBAAAA3rYBAAIAAAAGNC4zNjAyAQgAAAAFAAAAATEBAAAACy0yMTEwNzY5MzU1AwAAAAMxNjACAAAABTQ5MTc1BAAAAAEwBwAAAAgzLzcvMjAyNggAAAAKMTIvMzEvMjAxOQkAAAABMFWTfiT/gd4IX2UIKP+B3ghCQ0lRLk5ZU0U6SUJNLklRX1RPVEFMX0RFQlRfRUJJVERBX0VYQ0xfT1BFUl9MRUFTRVMuMTAwMC4wNy8wMy8yMDI2AQAAAN62AQACAAAACDQuMDA4Mzc1AQgAAAAFAAAAATEBAAAACy0xOTA0ODYwNzQwAwAAAAMxNjACAAAABTQ4OTk0BAAAAAEwBwAAAAgzLzcvMjAyNggAAAAKMTIvMzEvMjAyNQkA</t>
  </si>
  <si>
    <t>AAABMFWTfiT/gd4IX2UIKP+B3ghAQ0lRLk5ZU0U6SUJNLklRX0VCSVREQV9FWENMX09QRVJfTEVBU0VTX0NBUEVYX0lOVC45OTYuMDcvMDMvMjAyNgEAAADetgEAAgAAAAc4LjAwNjA2AQgAAAAFAAAAATEBAAAACy0yMDA4NjQ3MTk4AwAAAAMxNjACAAAABTQ5MTc0BAAAAAEwBwAAAAgzLzcvMjAyNggAAAAKMTIvMzEvMjAyMQkAAAABMFWTfiT/gd4IyhUIKP+B3ggvQ0lRLk5ZU0U6SUJNLklRX0VQU18zWVJfQU5OX0NBR1IuOTk4LjA3LzAzLzIwMjYBAAAA3rYBAAIAAAAHMjIuOTY1MgEIAAAABQAAAAExAQAAAAstMTkwNDg2MDc0NAMAAAADMTYwAgAAAAQ0MjI2BAAAAAEwBwAAAAgzLzcvMjAyNggAAAAKMTIvMzEvMjAyMwkAAAABMFWTfiT/gd4IyhUIKP+B3gguQ0lRLk5ZU0U6SUJNLklRX05JXzNZUl9BTk5fQ0FHUi45OTIuMDcvMDMvMjAyNgEAAADetgEAAgAAAAgtMjEuNzgyMgEIAAAABQAAAAExAQAAAAoyMDE3MTY0MjQ0AwAAAAMxNjACAAAABDQyMjUEAAAAATAHAAAACDMvNy8yMDI2CAAAAAoxMi8zMS8yMDE3CQAAAAEwVZN+JP+B3gjYPAgo/4HeCC9DSVEuTllTRTpJQk0uSVFfR1BfM1lSX0FOTl9DQUdSLjEwMDAuMDcvMDMvMjAyNgEAAADetgEAAgAAAAY2LjMyOTQBCAAAAAUAAAABMQEAAAALLTE5MDQ4NjA3NDADAAAAAzE2MAIAAAAENDIyMQQAAAABMAcAAAAIMy83LzIwMjYIAAAACjEyLzMx</t>
  </si>
  <si>
    <t>LzIwMjUJAAAAATBVk34k/4HeCNg8CCj/gd4INUNJUS5OWVNFOklCTS5JUV9UT1RBTF9SRVZfM1lSX0FOTl9DQUdSLjk5NC4wNy8wMy8yMDI2AQAAAN62AQACAAAACC0xMC4yODI1AQgAAAAFAAAAATEBAAAACy0yMTEwNzY5MzU1AwAAAAMxNjACAAAABDQyMjAEAAAAATAHAAAACDMvNy8yMDI2CAAAAAoxMi8zMS8yMDE5CQAAAAEwVZN+JP+B3gjYPAgo/4HeCDRDSVEuTllTRTpJQk0uSVFfRUJJVERBXzFZUl9BTk5fR1JPV1RILjk5Ni4wNy8wMy8yMDI2AQAAAN62AQACAAAABy0wLjQyMjcBCAAAAAUAAAABMQEAAAALLTIwMDg2NDcxOTgDAAAAAzE2MAIAAAAENDE5NgQAAAABMAcAAAAIMy83LzIwMjYIAAAACjEyLzMxLzIwMjEJAAAAATBVk34k/4HeCKPuByj/gd4ILUNJUS5OWVNFOklCTS5JUV9DT1NUX0JPUlJPV0lORy45OTcuMDcvMDMvMjAyNgEAAADetgEAAgAAAAYyLjIzNzIBCAAAAAUAAAABMQEAAAALLTE5NTgyODEwOTYDAAAAAzE2MAIAAAAFMjE2ODEEAAAAATAHAAAACDMvNy8yMDI2CAAAAAoxMi8zMS8yMDIyCQAAAAEwVZN+JP+B3gij7gco/4HeCDFDSVEuTllTRTpJQk0uSVFfQVZHX1RFTVBfRU1QTE9ZRUVTLjk5NS4wNy8wMy8yMDI2AQAAAN62AQACAAAABTE4OTAwAQgAAAAFAAAAATEBAAAACy0yMDU5MDczMjAyAwAAAAMxNjACAAAABTI0Njc1BAAAAAEwBwAAAAgzLzcvMjAyNggAAAAKMTIv</t>
  </si>
  <si>
    <t>MzEvMjAyMAkAAAABMFWTfiT/gd4IyhUIKP+B3ggoQ0lRLk5ZU0U6SUJNLklRX1BBUlRfVElNRS45OTcuMDcvMDMvMjAyNgEAAADetgEAAwAAAAAAVZN+JP+B3gjKFQgo/4HeCDBDSVEuTllTRTpJQk0uSVFfRUJJVF81WVJfQU5OX0NBR1IuOTk2LjA3LzAzLzIwMjYBAAAA3rYBAAIAAAAILTE2Ljk5NTkBCAAAAAUAAAABMQEAAAALLTIwMDg2NDcxOTgDAAAAAzE2MAIAAAAENDIzNgQAAAABMAcAAAAIMy83LzIwMjYIAAAACjEyLzMxLzIwMjEJAAAAATBVk34k/4HeCMoVCCj/gd4ILkNJUS5OWVNFOklCTS5JUV9HUF81WVJfQU5OX0NBR1IuOTkyLjA3LzAzLzIwMjYBAAAA3rYBAAIAAAAHLTYuMDA5MQEIAAAABQAAAAExAQAAAAoyMDE3MTY0MjQ0AwAAAAMxNjACAAAABDQyMzQEAAAAATAHAAAACDMvNy8yMDI2CAAAAAoxMi8zMS8yMDE3CQAAAAEwVZN+JP+B3gjK2gco/4HeCCpDSVEuTllTRTpJQk0uSVFfQVNTRVRfVFVSTlMuOTk3LjA3LzAzLzIwMjYBAAAA3rYBAAIAAAAIMC40NjY5NzMBCAAAAAUAAAABMQEAAAALLTE5NTgyODEwOTYDAAAAAzE2MAIAAAAENDE3NwQAAAABMAcAAAAIMy83LzIwMjYIAAAACjEyLzMxLzIwMjIJAAAAATBVk34k/4HeCKPuByj/gd4ILENJUS5OWVNFOklCTS5JUV9FQklUREFfTUFSR0lOLjk5OS4wNy8wMy8yMDI2AQAAAN62AQACAAAABzIwLjUzNDQBCAAAAAUAAAABMQEAAAAL</t>
  </si>
  <si>
    <t>LTE5MDQ4NjA3NDMDAAAAAzE2MAIAAAAENDA0NwQAAAABMAcAAAAIMy83LzIwMjYIAAAACjEyLzMxLzIwMjQJAAAAATBVk34k/4HeCKPuByj/gd4IK0NJUS5OWVNFOklCTS5JUV9HUk9TU19NQVJHSU4uOTkzLjA3LzAzLzIwMjYBAAAA3rYBAAIAAAAHNDYuNDA4NQEIAAAABQAAAAExAQAAAAoyMDgxNTA1NDAxAwAAAAMxNjACAAAABDQwNzQEAAAAATAHAAAACDMvNy8yMDI2CAAAAAoxMi8zMS8yMDE4CQAAAAEwVZN+JP+B3gij7gco/4HeCCxDSVEuTllTRTpJQk0uSVFfUkVUVVJOX0FTU0VUUy45OTUuMDcvMDMvMjAyNgEAAADetgEAAgAAAAUxLjg5MQEIAAAABQAAAAExAQAAAAstMjA1OTA3MzIwMgMAAAADMTYwAgAAAAQ0MTc4BAAAAAEwBwAAAAgzLzcvMjAyNggAAAAKMTIvMzEvMjAyMAkAAAABMFWTfiT/gd4Io+4HKP+B3ggtQ0lRLk5ZU0U6SUJNLklRX1JFU1RBVEVNRU5UX0JTLjk5Ny4wNy8wMy8yMDI2AQAAAN62AQADAAAAAk5DAFWTfiT/gd4Ix7MHKP+B3ggtQ0lRLk5ZU0U6SUJNLklRX0xUX0RFQlRfRVFVSVRZLjk5Ny4wNy8wMy8yMDI2AQAAAN62AQACAAAACDIxOS42OTQ4AQgAAAAFAAAAATEBAAAACy0xOTU4MjgxMDk2AwAAAAMxNjACAAAABDQwODUEAAAAATAHAAAACDMvNy8yMDI2CAAAAAoxMi8zMS8yMDIyCQAAAAEwVZN+JP+B3gjHswco/4HeCDBDSVEuTllTRTpJQk0uSVFfVE9UQUxfREVC</t>
  </si>
  <si>
    <t>VF9FUVVJVFkuOTkzLjA3LzAzLzIwMjYBAAAA3rYBAAIAAAAIMjcwLjU5NjUBCAAAAAUAAAABMQEAAAAKMjA4MTUwNTQwMQMAAAADMTYwAgAAAAQ0MDM0BAAAAAEwBwAAAAgzLzcvMjAyNggAAAAKMTIvMzEvMjAxOAkAAAABMFWTfiT/gd4Ix7MHKP+B3ggvQ0lRLk5ZU0U6SUJNLklRX0RBWVNfUEFZQUJMRV9PVVQuOTk5LjA3LzAzLzIwMjYBAAAA3rYBAAIAAAAJNTUuNDE1Njk0AQgAAAAFAAAAATEBAAAACy0xOTA0ODYwNzQzAwAAAAMxNjACAAAABDQxODMEAAAAATAHAAAACDMvNy8yMDI2CAAAAAoxMi8zMS8yMDI0CQAAAAEwVZN+JP+B3gjK2gco/4HeCDFDSVEuTllTRTpJQk0uSVFfREFZU19JTlZFTlRPUllfT1VULjk5My4wNy8wMy8yMDI2AQAAAN62AQACAAAACDE0LjM1MDM0AQgAAAAFAAAAATEBAAAACjIwODE1MDU0MDEDAAAAAzE2MAIAAAAENDAzNQQAAAABMAcAAAAIMy83LzIwMjYIAAAACjEyLzMxLzIwMTgJAAAAATBVk34k/4HeCMraByj/gd4ILENJUS5OWVNFOklCTS5JUV9DVVJSRU5UX1JBVElPLjk5NS4wNy8wMy8yMDI2AQAAAN62AQACAAAACDAuOTgyMzQyAQgAAAAFAAAAATEBAAAACy0yMDU5MDczMjAyAwAAAAMxNjACAAAABDQwMzAEAAAAATAHAAAACDMvNy8yMDI2CAAAAAoxMi8zMS8yMDIwCQAAAAEwVZN+JP+B3ghZjAco/4HeCEdDSVEuTllTRTpJQk0uSVFfVE9UQUxfREVCVF9FQklU</t>
  </si>
  <si>
    <t>REFfRVhDTF9PUEVSX0xFQVNFU19DQVBFWC45OTcuMDcvMDMvMjAyNgEAAADetgEAAgAAAAg1LjcyODM5MQEIAAAABQAAAAExAQAAAAstMTk1ODI4MTA5NgMAAAADMTYwAgAAAAU0OTE4MwQAAAABMAcAAAAIMy83LzIwMjYIAAAACjEyLzMxLzIwMjIJAAAAATBVk34k/4HeCFmMByj/gd4IP0NJUS5OWVNFOklCTS5JUV9ORVRfREVCVF9FQklUREFfRVhDTF9PUEVSX0xFQVNFUy45OTMuMDcvMDMvMjAyNgEAAADetgEAAgAAAAgxLjkxMDY2NwEIAAAABQAAAAExAQAAAAoyMDgxNTA1NDAxAwAAAAMxNjACAAAABTQ5MTc1BAAAAAEwBwAAAAgzLzcvMjAyNggAAAAKMTIvMzEvMjAxOAkAAAABMFWTfiT/gd4Ix7MHKP+B3ghBQ0lRLk5ZU0U6SUJNLklRX1RPVEFMX0RFQlRfRUJJVERBX0VYQ0xfT1BFUl9MRUFTRVMuOTk5LjA3LzAzLzIwMjYBAAAA3rYBAAIAAAAINC41MzE3MzkBCAAAAAUAAAABMQEAAAALLTE5MDQ4NjA3NDMDAAAAAzE2MAIAAAAFNDg5OTQEAAAAATAHAAAACDMvNy8yMDI2CAAAAAoxMi8zMS8yMDI0CQAAAAEwVZN+JP+B3gjHswco/4HeCEBDSVEuTllTRTpJQk0uSVFfRUJJVERBX0VYQ0xfT1BFUl9MRUFTRVNfQ0FQRVhfSU5ULjk5NS4wNy8wMy8yMDI2AQAAAN62AQACAAAACDYuNzg0OTM3AQgAAAAFAAAAATEBAAAACy0yMDU5MDczMjAyAwAAAAMxNjACAAAABTQ5MTc0BAAAAAEwBwAAAAgzLzcv</t>
  </si>
  <si>
    <t>MjAyNggAAAAKMTIvMzEvMjAyMAkAAAABMFWTfiT/gd4Ix7MHKP+B3ggpQ0lRLk5ZU0U6SUJNLklRX0VCSVREQV9JTlQuOTk1LjA3LzAzLzIwMjYBAAAA3rYBAAIAAAAJMTAuMDAwNzc2AQgAAAAFAAAAATEBAAAACy0yMDU5MDczMjAyAwAAAAMxNjACAAAABDQxOTAEAAAAATAHAAAACDMvNy8yMDI2CAAAAAoxMi8zMS8yMDIwCQAAAAEwVZN+JP+B3givdQco/4HeCC9DSVEuTllTRTpJQk0uSVFfRVBTXzNZUl9BTk5fQ0FHUi45OTcuMDcvMDMvMjAyNgEAAADetgEAAgAAAAgtMzcuNTMzNAEIAAAABQAAAAExAQAAAAstMTk1ODI4MTA5NgMAAAADMTYwAgAAAAQ0MjI2BAAAAAEwBwAAAAgzLzcvMjAyNggAAAAKMTIvMzEvMjAyMgkAAAABMFWTfiT/gd4IWYwHKP+B3gguQ0lRLk5ZU0U6SUJNLklRX0dQXzNZUl9BTk5fQ0FHUi45OTkuMDcvMDMvMjAyNgEAAADetgEAAgAAAAY0LjEzMTUBCAAAAAUAAAABMQEAAAALLTE5MDQ4NjA3NDMDAAAAAzE2MAIAAAAENDIyMQQAAAABMAcAAAAIMy83LzIwMjYIAAAACjEyLzMxLzIwMjQJAAAAATBVk34k/4HeCFmMByj/gd4INUNJUS5OWVNFOklCTS5JUV9UT1RBTF9SRVZfM1lSX0FOTl9DQUdSLjk5My4wNy8wMy8yMDI2AQAAAN62AQACAAAABy0wLjg4NDYBCAAAAAUAAAABMQEAAAAKMjA4MTUwNTQwMQMAAAADMTYwAgAAAAQ0MjIwBAAAAAEwBwAAAAgzLzcvMjAyNggAAAAK</t>
  </si>
  <si>
    <t>MTIvMzEvMjAxOAkAAAABMFWTfiT/gd4IWYwHKP+B3ggwQ0lRLk5ZU0U6SUJNLklRX05JXzFZUl9BTk5fR1JPV1RILjk5OS4wNy8wMy8yMDI2AQAAAN62AQACAAAACC0xOS43MTQ4AQgAAAAFAAAAATEBAAAACy0xOTA0ODYwNzQzAwAAAAMxNjACAAAABDQxOTkEAAAAATAHAAAACDMvNy8yMDI2CAAAAAoxMi8zMS8yMDI0CQAAAAEwVZN+JP+B3ghZjAco/4HeCDRDSVEuTllTRTpJQk0uSVFfRUJJVERBXzFZUl9BTk5fR1JPV1RILjk5NS4wNy8wMy8yMDI2AQAAAN62AQACAAAACC0xNi40ODA0AQgAAAAFAAAAATEBAAAACy0yMDU5MDczMjAyAwAAAAMxNjACAAAABDQxOTYEAAAAATAHAAAACDMvNy8yMDI2CAAAAAoxMi8zMS8yMDIwCQAAAAEwVZN+JP+B3gh7Ogco/4HeCDFDSVEuTllTRTpJQk0uSVFfTlVNQkVSX0FEUkhPTERFUlMuMTAwMC4wNy8wMy8yMDI2AQAAAN62AQADAAAAAABpo34k/4HeCHs6Byj/gd4IMUNJUS5OWVNFOklCTS5JUV9BVkdfVEVNUF9FTVBMT1lFRVMuOTk0LjA3LzAzLzIwMjYBAAAA3rYBAAIAAAAFMjE2MDABCAAAAAUAAAABMQEAAAALLTIxMTA3NjkzNTUDAAAAAzE2MAIAAAAFMjQ2NzUEAAAAATAHAAAACDMvNy8yMDI2CAAAAAoxMi8zMS8yMDE5CQAAAAEwaaN+JP+B3givdQco/4HeCD9DSVEuTllTRTpJQk0uSVFfRU1QTE9ZRUVTX1VOREVSX1VOSU9OX0NPTlRSQUNUUy4xMDAwLjA3</t>
  </si>
  <si>
    <t>LzAzLzIwMjYBAAAA3rYBAAMAAAAAAGmjfiT/gd4Ir3UHKP+B3ggoQ0lRLk5ZU0U6SUJNLklRX1BBUlRfVElNRS45OTYuMDcvMDMvMjAyNgEAAADetgEAAwAAAAAAaaN+JP+B3givdQco/4HeCDBDSVEuTllTRTpJQk0uSVFfRUJJVF81WVJfQU5OX0NBR1IuOTk1LjA3LzAzLzIwMjYBAAAA3rYBAAIAAAAILTIyLjM1MjQBCAAAAAUAAAABMQEAAAALLTIwNTkwNzMyMDIDAAAAAzE2MAIAAAAENDIzNgQAAAABMAcAAAAIMy83LzIwMjYIAAAACjEyLzMxLzIwMjAJAAAAATBpo34k/4HeCHs6Byj/gd4ILENJUS5OWVNFOklCTS5JUV9SRVRVUk5fRVFVSVRZLjk5OC4wNy8wMy8yMDI2AQAAAN62AQACAAAABzMzLjY2OTQBCAAAAAUAAAABMQEAAAALLTE5MDQ4NjA3NDQDAAAAAzE2MAIAAAAENDEyOAQAAAABMAcAAAAIMy83LzIwMjYIAAAACjEyLzMxLzIwMjMJAAAAATBpo34k/4HeCHs6Byj/gd4ILENJUS5OWVNFOklCTS5JUV9SRVRVUk5fQVNTRVRTLjk5NC4wNy8wMy8yMDI2AQAAAN62AQACAAAABjMuNDE5NwEIAAAABQAAAAExAQAAAAstMjExMDc2OTM1NQMAAAADMTYwAgAAAAQ0MTc4BAAAAAEwBwAAAAgzLzcvMjAyNggAAAAKMTIvMzEvMjAxOQkAAAABMGmjfiT/gd4IezoHKP+B3ggnQ0lRLk5ZU0U6SUJNLklRX0dBQVBfQlMuMTAwMC4wNy8wMy8yMDI2AQAAAN62AQADAAAAB1VTIEdBQVAAaaN+JP+B3gh7Ogco</t>
  </si>
  <si>
    <t>/4HeCC1DSVEuTllTRTpJQk0uSVFfUkVTVEFURU1FTlRfQlMuOTk2LjA3LzAzLzIwMjYBAAAA3rYBAAMAAAACTkMAaaN+JP+B3gh7Ogco/4HeCC1DSVEuTllTRTpJQk0uSVFfQ09TVF9CT1JST1dJTkcuOTk2LjA3LzAzLzIwMjYBAAAA3rYBAAIAAAAGMS45MjYzAQgAAAAFAAAAATEBAAAACy0yMDA4NjQ3MTk4AwAAAAMxNjACAAAABTIxNjgxBAAAAAEwBwAAAAgzLzcvMjAyNggAAAAKMTIvMzEvMjAyMQkAAAABMGmjfiT/gd4IIhMHKP+B3ggsQ0lRLk5ZU0U6SUJNLklRX0NVUlJFTlRfUkFUSU8uOTk0LjA3LzAzLzIwMjYBAAAA3rYBAAIAAAAIMS4wMTkwNzEBCAAAAAUAAAABMQEAAAALLTIxMTA3NjkzNTUDAAAAAzE2MAIAAAAENDAzMAQAAAABMAcAAAAIMy83LzIwMjYIAAAACjEyLzMxLzIwMTkJAAAAATBpo34k/4HeCCITByj/gd4IKENJUS5OWVNFOklCTS5JUV9BUl9UVVJOUy4xMDAwLjA3LzAzLzIwMjYBAAAA3rYBAAIAAAAIOC40MzkwMTIBCAAAAAUAAAABMQEAAAALLTE5MDQ4NjA3NDADAAAAAzE2MAIAAAAENDAwMQQAAAABMAcAAAAIMy83LzIwMjYIAAAACjEyLzMxLzIwMjUJAAAAATBpo34k/4HeCHs6Byj/gd4IKkNJUS5OWVNFOklCTS5JUV9BU1NFVF9UVVJOUy45OTYuMDcvMDMvMjAyNgEAAADetgEAAgAAAAgwLjM5ODMwOQEIAAAABQAAAAExAQAAAAstMjAwODY0NzE5OAMAAAADMTYwAgAAAAQ0</t>
  </si>
  <si>
    <t>MTc3BAAAAAEwBwAAAAgzLzcvMjAyNggAAAAKMTIvMzEvMjAyMQkAAAABMGmjfiT/gd4IezoHKP+B3ggsQ0lRLk5ZU0U6SUJNLklRX0VCSVREQV9NQVJHSU4uOTk4LjA3LzAzLzIwMjYBAAAA3rYBAAIAAAAGMTkuODE0AQgAAAAFAAAAATEBAAAACy0xOTA0ODYwNzQ0AwAAAAMxNjACAAAABDQwNDcEAAAAATAHAAAACDMvNy8yMDI2CAAAAAoxMi8zMS8yMDIzCQAAAAEwaaN+JP+B3gh7Ogco/4HeCCtDSVEuTllTRTpJQk0uSVFfR1JPU1NfTUFSR0lOLjk5Mi4wNy8wMy8yMDI2AQAAAN62AQACAAAABzQ2LjY4MTEBCAAAAAUAAAABMQEAAAAKMjAxNzE2NDI0NAMAAAADMTYwAgAAAAQ0MDc0BAAAAAEwBwAAAAgzLzcvMjAyNggAAAAKMTIvMzEvMjAxNwkAAAABMGmjfiT/gd4IIhMHKP+B3ggpQ0lRLk5ZU0U6SUJNLklRX0VCSVREQV9JTlQuOTk0LjA3LzAzLzIwMjYBAAAA3rYBAAIAAAAJMTEuMzI1MTQ4AQgAAAAFAAAAATEBAAAACy0yMTEwNzY5MzU1AwAAAAMxNjACAAAABDQxOTAEAAAAATAHAAAACDMvNy8yMDI2CAAAAAoxMi8zMS8yMDE5CQAAAAEwaaN+JP+B3ggiEwco/4HeCC1DSVEuTllTRTpJQk0uSVFfTFRfREVCVF9FUVVJVFkuOTk2LjA3LzAzLzIwMjYBAAAA3rYBAAIAAAAIMjQ5LjQxNTYBCAAAAAUAAAABMQEAAAALLTIwMDg2NDcxOTgDAAAAAzE2MAIAAAAENDA4NQQAAAABMAcAAAAIMy83LzIwMjYI</t>
  </si>
  <si>
    <t>AAAACjEyLzMxLzIwMjEJAAAAATBpo34k/4HeCCITByj/gd4IL0NJUS5OWVNFOklCTS5JUV9EQVlTX1BBWUFCTEVfT1VULjk5OC4wNy8wMy8yMDI2AQAAAN62AQACAAAACDU1Ljc1MDgzAQgAAAAFAAAAATEBAAAACy0xOTA0ODYwNzQ0AwAAAAMxNjACAAAABDQxODMEAAAAATAHAAAACDMvNy8yMDI2CAAAAAoxMi8zMS8yMDIzCQAAAAEwaaN+JP+B3ggiEwco/4HeCDFDSVEuTllTRTpJQk0uSVFfREFZU19JTlZFTlRPUllfT1VULjk5Mi4wNy8wMy8yMDI2AQAAAN62AQACAAAACDEzLjk2MzQ0AQgAAAAFAAAAATEBAAAACjIwMTcxNjQyNDQDAAAAAzE2MAIAAAAENDAzNQQAAAABMAcAAAAIMy83LzIwMjYIAAAACjEyLzMxLzIwMTcJAAAAATBpo34k/4HeCCITByj/gd4IK0NJUS5OWVNFOklCTS5JUV9RVUlDS19SQVRJTy4xMDAwLjA3LzAzLzIwMjYBAAAA3rYBAAIAAAAIMC44MTI0MzIBCAAAAAUAAAABMQEAAAALLTE5MDQ4NjA3NDADAAAAAzE2MAIAAAAENDEyMQQAAAABMAcAAAAIMy83LzIwMjYIAAAACjEyLzMxLzIwMjUJAAAAATBpo34k/4HeCJ7oBij/gd4IR0NJUS5OWVNFOklCTS5JUV9UT1RBTF9ERUJUX0VCSVREQV9FWENMX09QRVJfTEVBU0VTX0NBUEVYLjk5Ni4wNy8wMy8yMDI2AQAAAN62AQACAAAACDUuOTYzMDE1AQgAAAAFAAAAATEBAAAACy0yMDA4NjQ3MTk4AwAAAAMxNjACAAAABTQ5MTgzBAAA</t>
  </si>
  <si>
    <t>AAEwBwAAAAgzLzcvMjAyNggAAAAKMTIvMzEvMjAyMQkAAAABMGmjfiT/gd4IAf0GKP+B3gg/Q0lRLk5ZU0U6SUJNLklRX05FVF9ERUJUX0VCSVREQV9FWENMX09QRVJfTEVBU0VTLjk5Mi4wNy8wMy8yMDI2AQAAAN62AQACAAAACDIuMTEyODAyAQgAAAAFAAAAATEBAAAACjIwMTcxNjQyNDQDAAAAAzE2MAIAAAAFNDkxNzUEAAAAATAHAAAACDMvNy8yMDI2CAAAAAoxMi8zMS8yMDE3CQAAAAEwaaN+JP+B3ggB/QYo/4HeCEFDSVEuTllTRTpJQk0uSVFfVE9UQUxfREVCVF9FQklUREFfRVhDTF9PUEVSX0xFQVNFUy45OTguMDcvMDMvMjAyNgEAAADetgEAAgAAAAg0Ljg4OTg1OAEIAAAABQAAAAExAQAAAAstMTkwNDg2MDc0NAMAAAADMTYwAgAAAAU0ODk5NAQAAAABMAcAAAAIMy83LzIwMjYIAAAACjEyLzMxLzIwMjMJAAAAATBpo34k/4HeCAH9Bij/gd4IMENJUS5OWVNFOklCTS5JUV9UT1RBTF9ERUJUX0VCSVREQS45OTIuMDcvMDMvMjAyNgEAAADetgEAAgAAAAgyLjg4ODM2OAEIAAAABQAAAAExAQAAAAoyMDE3MTY0MjQ0AwAAAAMxNjACAAAABDQxOTIEAAAAATAHAAAACDMvNy8yMDI2CAAAAAoxMi8zMS8yMDE3CQAAAAEwaaN+JP+B3ggB/QYo/4HeCDtDSVEuTllTRTpJQk0uSVFfRUJJVERBX0VYQ0xfT1BFUl9MRUFTRVNfSU5ULjEwMDAuMDcvMDMvMjAyNgEAAADetgEAAgAAAAg4LjMyOTcxNQEIAAAA</t>
  </si>
  <si>
    <t>BQAAAAExAQAAAAstMTkwNDg2MDc0MAMAAAADMTYwAgAAAAU0OTE3MwQAAAABMAcAAAAIMy83LzIwMjYIAAAACjEyLzMxLzIwMjUJAAAAATBpo34k/4HeCNfUBij/gd4INUNJUS5OWVNFOklCTS5JUV9UT1RBTF9SRVZfM1lSX0FOTl9DQUdSLjk5Mi4wNy8wMy8yMDI2AQAAAN62AQACAAAABy01LjE2NzIBCAAAAAUAAAABMQEAAAAKMjAxNzE2NDI0NAMAAAADMTYwAgAAAAQ0MjIwBAAAAAEwBwAAAAgzLzcvMjAyNggAAAAKMTIvMzEvMjAxNwkAAAABMGmjfiT/gd4I19QGKP+B3ggwQ0lRLk5ZU0U6SUJNLklRX05JXzFZUl9BTk5fR1JPV1RILjk5OC4wNy8wMy8yMDI2AQAAAN62AQACAAAACDM1Ny43MTgxAQgAAAAFAAAAATEBAAAACy0xOTA0ODYwNzQ0AwAAAAMxNjACAAAABDQxOTkEAAAAATAHAAAACDMvNy8yMDI2CAAAAAoxMi8zMS8yMDIzCQAAAAEwaaN+JP+B3gjX1AYo/4HeCDRDSVEuTllTRTpJQk0uSVFfRUJJVERBXzFZUl9BTk5fR1JPV1RILjk5NC4wNy8wMy8yMDI2AQAAAN62AQACAAAACC0yMy4xNjY1AQgAAAAFAAAAATEBAAAACy0yMTEwNzY5MzU1AwAAAAMxNjACAAAABDQxOTYEAAAAATAHAAAACDMvNy8yMDI2CAAAAAoxMi8zMS8yMDE5CQAAAAEwaaN+JP+B3gie6AYo/4HeCDhDSVEuTllTRTpJQk0uSVFfVE9UQUxfUkVWXzFZUl9BTk5fR1JPV1RILjEwMDAuMDcvMDMvMjAyNgEAAADetgEAAgAA</t>
  </si>
  <si>
    <t>AAY3LjYyMDMBCAAAAAUAAAABMQEAAAALLTE5MDQ4NjA3NDADAAAAAzE2MAIAAAAENDE5NAQAAAABMAcAAAAIMy83LzIwMjYIAAAACjEyLzMxLzIwMjUJAAAAATBpo34k/4HeCJ7oBij/gd4IJkNJUS5OWVNFOklCTS5JUV9aX1NDT1JFLjk5NC4wNy8wMy8yMDI2AQAAAN62AQACAAAACDIuNjA0OTUyAQgAAAAFAAAAATEBAAAACy0yMTEwNzY5MzU1AwAAAAMxNjACAAAABjEwMDEyMwQAAAABMAcAAAAIMy83LzIwMjYIAAAACjEyLzMxLzIwMTkJAAAAATBpo34k/4HeCMKtBij/gd4IL0NJUS5OWVNFOklCTS5JUV9FUFNfNVlSX0FOTl9DQUdSLjk5OC4wNy8wMy8yMDI2AQAAAN62AQACAAAABy0zLjA0NzkBCAAAAAUAAAABMQEAAAALLTE5MDQ4NjA3NDQDAAAAAzE2MAIAAAAENDIzOQQAAAABMAcAAAAIMy83LzIwMjYIAAAACjEyLzMxLzIwMjMJAAAAATBpo34k/4HeCMKtBij/gd4IMENJUS5OWVNFOklCTS5JUV9FQklUXzVZUl9BTk5fQ0FHUi45OTQuMDcvMDMvMjAyNgEAAADetgEAAgAAAAgtMTcuODMyOAEIAAAABQAAAAExAQAAAAstMjExMDc2OTM1NQMAAAADMTYwAgAAAAQ0MjM2BAAAAAEwBwAAAAgzLzcvMjAyNggAAAAKMTIvMzEvMjAxOQkAAAABMGmjfiT/gd4Iwq0GKP+B3ggvQ0lRLk5ZU0U6SUJNLklRX0dQXzVZUl9BTk5fQ0FHUi4xMDAwLjA3LzAzLzIwMjYBAAAA3rYBAAIAAAAGNC45NDg1AQgAAAAF</t>
  </si>
  <si>
    <t>AAAAATEBAAAACy0xOTA0ODYwNzQwAwAAAAMxNjACAAAABDQyMzQEAAAAATAHAAAACDMvNy8yMDI2CAAAAAoxMi8zMS8yMDI1CQAAAAEwaaN+JP+B3gjCrQYo/4HeCC9DSVEuTllTRTpJQk0uSVFfRVBTXzNZUl9BTk5fQ0FHUi45OTYuMDcvMDMvMjAyNgEAAADetgEAAgAAAAgtMTguMTg3MQEIAAAABQAAAAExAQAAAAstMjAwODY0NzE5OAMAAAADMTYwAgAAAAQ0MjI2BAAAAAEwBwAAAAgzLzcvMjAyNggAAAAKMTIvMzEvMjAyMQkAAAABMGmjfiT/gd4I19QGKP+B3ggyQ0lRLk5ZU0U6SUJNLklRX0VCSVREQV8zWVJfQU5OX0NBR1IuOTk2LjA3LzAzLzIwMjYBAAAA3rYBAAIAAAAILTEzLjg2NzYBCAAAAAUAAAABMQEAAAALLTIwMDg2NDcxOTgDAAAAAzE2MAIAAAAENDIyMgQAAAABMAcAAAAIMy83LzIwMjYIAAAACjEyLzMxLzIwMjEJAAAAATBpo34k/4HeCLiGBij/gd4IK0NJUS5OWVNFOklCTS5JUV9DQUxDX1RZUEVfQlMuOTkzLjA3LzAzLzIwMjYBAAAA3rYBAAMAAAADUlVQAGmjfiT/gd4IuIYGKP+B3ggtQ0lRLk5ZU0U6SUJNLklRX0NPU1RfQk9SUk9XSU5HLjk5NS4wNy8wMy8yMDI2AQAAAN62AQACAAAABjEuOTQwNwEIAAAABQAAAAExAQAAAAstMjA1OTA3MzIwMgMAAAADMTYwAgAAAAUyMTY4MQQAAAABMAcAAAAIMy83LzIwMjYIAAAACjEyLzMxLzIwMjAJAAAAATBpo34k/4HeCLiGBij/gd4IMUNJ</t>
  </si>
  <si>
    <t>US5OWVNFOklCTS5JUV9BVkdfVEVNUF9FTVBMT1lFRVMuOTkzLjA3LzAzLzIwMjYBAAAA3rYBAAIAAAAFMjExMDABCAAAAAUAAAABMQEAAAAKMjA4MTUwNTQwMQMAAAADMTYwAgAAAAUyNDY3NQQAAAABMAcAAAAIMy83LzIwMjYIAAAACjEyLzMxLzIwMTgJAAAAATBpo34k/4HeCMKtBij/gd4IPkNJUS5OWVNFOklCTS5JUV9FTVBMT1lFRVNfVU5ERVJfVU5JT05fQ09OVFJBQ1RTLjk5OS4wNy8wMy8yMDI2AQAAAN62AQADAAAAAABpo34k/4HeCMKtBij/gd4IKENJUS5OWVNFOklCTS5JUV9QQVJUX1RJTUUuOTk1LjA3LzAzLzIwMjYBAAAA3rYBAAMAAAAAAGmjfiT/gd4ImF8GKP+B3ggqQ0lRLk5ZU0U6SUJNLklRX0FTU0VUX1RVUk5TLjk5NS4wNy8wMy8yMDI2AQAAAN62AQACAAAACDAuMzU4MTIyAQgAAAAFAAAAATEBAAAACy0yMDU5MDczMjAyAwAAAAMxNjACAAAABDQxNzcEAAAAATAHAAAACDMvNy8yMDI2CAAAAAoxMi8zMS8yMDIwCQAAAAEwaaN+JP+B3giYXwYo/4HeCCpDSVEuTllTRTpJQk0uSVFfRUJJVF9NQVJHSU4uOTk1LjA3LzAzLzIwMjYBAAAA3rYBAAIAAAAGOC40NDg4AQgAAAAFAAAAATEBAAAACy0yMDU5MDczMjAyAwAAAAMxNjACAAAABDQwNTMEAAAAATAHAAAACDMvNy8yMDI2CAAAAAoxMi8zMS8yMDIwCQAAAAEwaaN+JP+B3gi4hgYo/4HeCCxDSVEuTllTRTpJQk0uSVFfUkVUVVJOX0VR</t>
  </si>
  <si>
    <t>VUlUWS45OTcuMDcvMDMvMjAyNgEAAADetgEAAgAAAAU4LjY4OQEIAAAABQAAAAExAQAAAAstMTk1ODI4MTA5NgMAAAADMTYwAgAAAAQ0MTI4BAAAAAEwBwAAAAgzLzcvMjAyNggAAAAKMTIvMzEvMjAyMgkAAAABMGmjfiT/gd4IuIYGKP+B3ggsQ0lRLk5ZU0U6SUJNLklRX1JFVFVSTl9BU1NFVFMuOTkzLjA3LzAzLzIwMjYBAAAA3rYBAAIAAAAGNi42NDI1AQgAAAAFAAAAATEBAAAACjIwODE1MDU0MDEDAAAAAzE2MAIAAAAENDE3OAQAAAABMAcAAAAIMy83LzIwMjYIAAAACjEyLzMxLzIwMTgJAAAAATBpo34k/4HeCLiGBij/gd4IJkNJUS5OWVNFOklCTS5JUV9HQUFQX0JTLjk5OS4wNy8wMy8yMDI2AQAAAN62AQADAAAAB1VTIEdBQVAAaaN+JP+B3giYXwYo/4HeCC1DSVEuTllTRTpJQk0uSVFfTFRfREVCVF9FUVVJVFkuOTk1LjA3LzAzLzIwMjYBAAAA3rYBAAIAAAAIMjc0LjcxMjkBCAAAAAUAAAABMQEAAAALLTIwNTkwNzMyMDIDAAAAAzE2MAIAAAAENDA4NQQAAAABMAcAAAAIMy83LzIwMjYIAAAACjEyLzMxLzIwMjAJAAAAATBpo34k/4HeCJhfBij/gd4IL0NJUS5OWVNFOklCTS5JUV9EQVlTX1BBWUFCTEVfT1VULjk5Ny4wNy8wMy8yMDI2AQAAAN62AQACAAAABzUzLjQ0MzMBCAAAAAUAAAABMQEAAAALLTE5NTgyODEwOTYDAAAAAzE2MAIAAAAENDE4MwQAAAABMAcAAAAIMy83LzIwMjYIAAAACjEy</t>
  </si>
  <si>
    <t>LzMxLzIwMjIJAAAAATBpo34k/4HeCJhfBij/gd4IL0NJUS5OWVNFOklCTS5JUV9DRk9fQ1VSUkVOVF9MSUFCLjk5Ny4wNy8wMy8yMDI2AQAAAN62AQACAAAACDAuMzMxMjE3AQgAAAAFAAAAATEBAAAACy0xOTU4MjgxMDk2AwAAAAMxNjACAAAABDQxODUEAAAAATAHAAAACDMvNy8yMDI2CAAAAAoxMi8zMS8yMDIyCQAAAAEwaaN+JP+B3giYXwYo/4HeCCxDSVEuTllTRTpJQk0uSVFfQ1VSUkVOVF9SQVRJTy45OTMuMDcvMDMvMjAyNgEAAADetgEAAgAAAAgxLjI4NTYzNQEIAAAABQAAAAExAQAAAAoyMDgxNTA1NDAxAwAAAAMxNjACAAAABDQwMzAEAAAAATAHAAAACDMvNy8yMDI2CAAAAAoxMi8zMS8yMDE4CQAAAAEwaaN+JP+B3giYXwYo/4HeCCdDSVEuTllTRTpJQk0uSVFfQVJfVFVSTlMuOTk5LjA3LzAzLzIwMjYBAAAA3rYBAAIAAAAHOC4yOTY4NwEIAAAABQAAAAExAQAAAAstMTkwNDg2MDc0MwMAAAADMTYwAgAAAAQ0MDAxBAAAAAEwBwAAAAgzLzcvMjAyNggAAAAKMTIvMzEvMjAyNAkAAAABMGmjfiT/gd4IiDgGKP+B3ghHQ0lRLk5ZU0U6SUJNLklRX1RPVEFMX0RFQlRfRUJJVERBX0VYQ0xfT1BFUl9MRUFTRVNfQ0FQRVguOTk1LjA3LzAzLzIwMjYBAAAA3rYBAAIAAAAINy40NDc5OTEBCAAAAAUAAAABMQEAAAALLTIwNTkwNzMyMDIDAAAAAzE2MAIAAAAFNDkxODMEAAAAATAHAAAACDMvNy8yMDI2</t>
  </si>
  <si>
    <t>CAAAAAoxMi8zMS8yMDIwCQAAAAEwaaN+JP+B3giIOAYo/4HeCEFDSVEuTllTRTpJQk0uSVFfVE9UQUxfREVCVF9FQklUREFfRVhDTF9PUEVSX0xFQVNFUy45OTcuMDcvMDMvMjAyNgEAAADetgEAAgAAAAg1LjAxMjgwNwEIAAAABQAAAAExAQAAAAstMTk1ODI4MTA5NgMAAAADMTYwAgAAAAU0ODk5NAQAAAABMAcAAAAIMy83LzIwMjYIAAAACjEyLzMxLzIwMjIJAAAAATBpo34k/4HeCIg4Bij/gd4IOkNJUS5OWVNFOklCTS5JUV9FQklUREFfRVhDTF9PUEVSX0xFQVNFU19JTlQuOTk5LjA3LzAzLzIwMjYBAAAA3rYBAAIAAAAINy41MjY4NjkBCAAAAAUAAAABMQEAAAALLTE5MDQ4NjA3NDMDAAAAAzE2MAIAAAAFNDkxNzMEAAAAATAHAAAACDMvNy8yMDI2CAAAAAoxMi8zMS8yMDI0CQAAAAEwaaN+JP+B3giIOAYo/4HeCClDSVEuTllTRTpJQk0uSVFfRUJJVERBX0lOVC45OTMuMDcvMDMvMjAyNgEAAADetgEAAgAAAAkyNC40Nzg1NjEBCAAAAAUAAAABMQEAAAAKMjA4MTUwNTQwMQMAAAADMTYwAgAAAAQ0MTkwBAAAAAEwBwAAAAgzLzcvMjAyNggAAAAKMTIvMzEvMjAxOAkAAAABMGmjfiT/gd4IiDgGKP+B3gg2Q0lRLk5ZU0U6SUJNLklRX1RPVEFMX0xJQUJfVE9UQUxfQVNTRVRTLjk5OS4wNy8wMy8yMDI2AQAAAN62AQACAAAABzgwLjAzMDYBCAAAAAUAAAABMQEAAAALLTE5MDQ4NjA3NDMDAAAAAzE2MAIA</t>
  </si>
  <si>
    <t>AAAENDE4OAQAAAABMAcAAAAIMy83LzIwMjYIAAAACjEyLzMxLzIwMjQJAAAAATBpo34k/4HeCH4RBij/gd4INUNJUS5OWVNFOklCTS5JUV9UT1RBTF9SRVZfNVlSX0FOTl9DQUdSLjk5My4wNy8wMy8yMDI2AQAAAN62AQACAAAABy00LjE0NzgBCAAAAAUAAAABMQEAAAAKMjA4MTUwNTQwMQMAAAADMTYwAgAAAAQ0MjMzBAAAAAEwBwAAAAgzLzcvMjAyNggAAAAKMTIvMzEvMjAxOAkAAAABMGmjfiT/gd4IfhEGKP+B3ggyQ0lRLk5ZU0U6SUJNLklRX0VCSVREQV8zWVJfQU5OX0NBR1IuOTk1LjA3LzAzLzIwMjYBAAAA3rYBAAIAAAAILTExLjIwNzMBCAAAAAUAAAABMQEAAAALLTIwNTkwNzMyMDIDAAAAAzE2MAIAAAAENDIyMgQAAAABMAcAAAAIMy83LzIwMjYIAAAACjEyLzMxLzIwMjAJAAAAATBpo34k/4HeCH4RBij/gd4IMENJUS5OWVNFOklCTS5JUV9OSV8xWVJfQU5OX0dST1dUSC45OTcuMDcvMDMvMjAyNgEAAADetgEAAgAAAActNzEuNDYxAQgAAAAFAAAAATEBAAAACy0xOTU4MjgxMDk2AwAAAAMxNjACAAAABDQxOTkEAAAAATAHAAAACDMvNy8yMDI2CAAAAAoxMi8zMS8yMDIyCQAAAAEwaaN+JP+B3gh+EQYo/4HeCDdDSVEuTllTRTpJQk0uSVFfVE9UQUxfUkVWXzFZUl9BTk5fR1JPV1RILjk5OS4wNy8wMy8yMDI2AQAAAN62AQACAAAABjEuNDQzNQEIAAAABQAAAAExAQAAAAstMTkwNDg2MDc0MwMA</t>
  </si>
  <si>
    <t>AAADMTYwAgAAAAQ0MTk0BAAAAAEwBwAAAAgzLzcvMjAyNggAAAAKMTIvMzEvMjAyNAkAAAABMGmjfiT/gd4IiDgGKP+B3ggmQ0lRLk5ZU0U6SUJNLklRX1pfU0NPUkUuOTkzLjA3LzAzLzIwMjYBAAAA3rYBAAIAAAAIMy42NTQ5ODYBCAAAAAUAAAABMQEAAAAKMjA4MTUwNTQwMQMAAAADMTYwAgAAAAYxMDAxMjMEAAAAATAHAAAACDMvNy8yMDI2CAAAAAoxMi8zMS8yMDE4CQAAAAEwaaN+JP+B3ghi6gUo/4HeCD5DSVEuTllTRTpJQk0uSVFfRU1QTE9ZRUVTX1VOREVSX1VOSU9OX0NPTlRSQUNUUy45OTguMDcvMDMvMjAyNgEAAADetgEAAwAAAAAAaaN+JP+B3ghi6gUo/4HeCC5DSVEuTllTRTpJQk0uSVFfVE9UQUxfRU1QTE9ZRUVTLjk5Mi4wNy8wMy8yMDI2AQAAAN62AQACAAAABjM2NjYwMABpo34k/4HeCGLqBSj/gd4IL0NJUS5OWVNFOklCTS5JUV9FUFNfNVlSX0FOTl9DQUdSLjk5Ny4wNy8wMy8yMDI2AQAAAN62AQACAAAACC0yMC41MDAyAQgAAAAFAAAAATEBAAAACy0xOTU4MjgxMDk2AwAAAAMxNjACAAAABDQyMzkEAAAAATAHAAAACDMvNy8yMDI2CAAAAAoxMi8zMS8yMDIyCQAAAAEwaaN+JP+B3gh+EQYo/4HeCDBDSVEuTllTRTpJQk0uSVFfRUJJVF81WVJfQU5OX0NBR1IuOTkzLjA3LzAzLzIwMjYBAAAA3rYBAAIAAAAHLTguODYyMwEIAAAABQAAAAExAQAAAAoyMDgxNTA1NDAxAwAAAAMxNjAC</t>
  </si>
  <si>
    <t>AAAABDQyMzYEAAAAATAHAAAACDMvNy8yMDI2CAAAAAoxMi8zMS8yMDE4CQAAAAEwaaN+JP+B3gh+EQYo/4HeCC5DSVEuTllTRTpJQk0uSVFfR1BfNVlSX0FOTl9DQUdSLjk5OS4wNy8wMy8yMDI2AQAAAN62AQACAAAABjIuNDI3NgEIAAAABQAAAAExAQAAAAstMTkwNDg2MDc0MwMAAAADMTYwAgAAAAQ0MjM0BAAAAAEwBwAAAAgzLzcvMjAyNggAAAAKMTIvMzEvMjAyNAkAAAABMGmjfiT/gd4IscMFKP+B3ggsQ0lRLk5ZU0U6SUJNLklRX1JFVFVSTl9FUVVJVFkuOTk2LjA3LzAzLzIwMjYBAAAA3rYBAAIAAAAHMjMuNzI5OQEIAAAABQAAAAExAQAAAAstMjAwODY0NzE5OAMAAAADMTYwAgAAAAQ0MTI4BAAAAAEwBwAAAAgzLzcvMjAyNggAAAAKMTIvMzEvMjAyMQkAAAABMGmjfiT/gd4IYuoFKP+B3ggmQ0lRLk5ZU0U6SUJNLklRX0dBQVBfQlMuOTk4LjA3LzAzLzIwMjYBAAAA3rYBAAMAAAAHVVMgR0FBUABpo34k/4HeCGLqBSj/gd4IK0NJUS5OWVNFOklCTS5JUV9DQUxDX1RZUEVfQlMuOTkyLjA3LzAzLzIwMjYBAAAA3rYBAAMAAAADUlVQAGmjfiT/gd4IYuoFKP+B3ggtQ0lRLk5ZU0U6SUJNLklRX0NPU1RfQk9SUk9XSU5HLjk5NC4wNy8wMy8yMDI2AQAAAN62AQACAAAABjIuMzY1NQEIAAAABQAAAAExAQAAAAstMjExMDc2OTM1NQMAAAADMTYwAgAAAAUyMTY4MQQAAAABMAcAAAAIMy83LzIwMjYIAAAA</t>
  </si>
  <si>
    <t>CjEyLzMxLzIwMTkJAAAAATBpo34k/4HeCGLqBSj/gd4IMUNJUS5OWVNFOklCTS5JUV9BVkdfVEVNUF9FTVBMT1lFRVMuOTkyLjA3LzAzLzIwMjYBAAAA3rYBAAIAAAAFMjE5MDABCAAAAAUAAAABMQEAAAAKMjAxNzE2NDI0NAMAAAADMTYwAgAAAAUyNDY3NQQAAAABMAcAAAAIMy83LzIwMjYIAAAACjEyLzMxLzIwMTcJAAAAATBpo34k/4HeCDCcBSj/gd4ILENJUS5OWVNFOklCTS5JUV9DVVJSRU5UX1JBVElPLjk5Mi4wNy8wMy8yMDI2AQAAAN62AQACAAAACDEuMzMxMTI5AQgAAAAFAAAAATEBAAAACjIwMTcxNjQyNDQDAAAAAzE2MAIAAAAENDAzMAQAAAABMAcAAAAIMy83LzIwMjYIAAAACjEyLzMxLzIwMTcJAAAAATBpo34k/4HeCLHDBSj/gd4IJ0NJUS5OWVNFOklCTS5JUV9BUl9UVVJOUy45OTguMDcvMDMvMjAyNgEAAADetgEAAgAAAAg4LjMwMjQ5OQEIAAAABQAAAAExAQAAAAstMTkwNDg2MDc0NAMAAAADMTYwAgAAAAQ0MDAxBAAAAAEwBwAAAAgzLzcvMjAyNggAAAAKMTIvMzEvMjAyMwkAAAABMGmjfiT/gd4IscMFKP+B3ggwQ0lRLk5ZU0U6SUJNLklRX0ZJWEVEX0FTU0VUX1RVUk5TLjk5Mi4wNy8wMy8yMDI2AQAAAN62AQACAAAACDcuMjEyMTU3AQgAAAAFAAAAATEBAAAACjIwMTcxNjQyNDQDAAAAAzE2MAIAAAAENDA2NgQAAAABMAcAAAAIMy83LzIwMjYIAAAACjEyLzMxLzIwMTcJAAAAATBp</t>
  </si>
  <si>
    <t>o34k/4HeCLHDBSj/gd4IKUNJUS5OWVNFOklCTS5JUV9OSV9NQVJHSU4uMTAwMC4wNy8wMy8yMDI2AQAAAN62AQACAAAABzE1LjY4NTIBCAAAAAUAAAABMQEAAAALLTE5MDQ4NjA3NDADAAAAAzE2MAIAAAAENDA5NAQAAAABMAcAAAAIMy83LzIwMjYIAAAACjEyLzMxLzIwMjUJAAAAATBpo34k/4HeCLHDBSj/gd4IKkNJUS5OWVNFOklCTS5JUV9FQklUX01BUkdJTi45OTQuMDcvMDMvMjAyNgEAAADetgEAAgAAAAcxMy4wNjI2AQgAAAAFAAAAATEBAAAACy0yMTEwNzY5MzU1AwAAAAMxNjACAAAABDQwNTMEAAAAATAHAAAACDMvNy8yMDI2CAAAAAoxMi8zMS8yMDE5CQAAAAEwaaN+JP+B3gg8dQUo/4HeCDZDSVEuTllTRTpJQk0uSVFfVE9UQUxfTElBQl9UT1RBTF9BU1NFVFMuOTk4LjA3LzAzLzIwMjYBAAAA3rYBAAIAAAAHODMuMjc5NAEIAAAABQAAAAExAQAAAAstMTkwNDg2MDc0NAMAAAADMTYwAgAAAAQ0MTg4BAAAAAEwBwAAAAgzLzcvMjAyNggAAAAKMTIvMzEvMjAyMwkAAAABMGmjfiT/gd4IMJwFKP+B3ggtQ0lRLk5ZU0U6SUJNLklRX0xUX0RFQlRfRVFVSVRZLjk5NC4wNy8wMy8yMDI2AQAAAN62AQACAAAACDI3Ni4yOTczAQgAAAAFAAAAATEBAAAACy0yMTEwNzY5MzU1AwAAAAMxNjACAAAABDQwODUEAAAAATAHAAAACDMvNy8yMDI2CAAAAAoxMi8zMS8yMDE5CQAAAAEwaaN+JP+B3ggwnAUo/4He</t>
  </si>
  <si>
    <t>CDFDSVEuTllTRTpJQk0uSVFfVE9UQUxfREVCVF9FUVVJVFkuMTAwMC4wNy8wMy8yMDI2AQAAAN62AQACAAAACDE5Ny4zMjc1AQgAAAAFAAAAATEBAAAACy0xOTA0ODYwNzQwAwAAAAMxNjACAAAABDQwMzQEAAAAATAHAAAACDMvNy8yMDI2CAAAAAoxMi8zMS8yMDI1CQAAAAEwaaN+JP+B3ggwnAUo/4HeCC5DSVEuTllTRTpJQk0uSVFfQ0FTSF9DT05WRVJTSU9OLjk5NC4wNy8wMy8yMDI2AQAAAN62AQACAAAACS02LjA3MjUwNQEIAAAABQAAAAExAQAAAAstMjExMDc2OTM1NQMAAAADMTYwAgAAAAQ0MTg0BAAAAAEwBwAAAAgzLzcvMjAyNggAAAAKMTIvMzEvMjAxOQkAAAABMGmjfiT/gd4IMJwFKP+B3ggvQ0lRLk5ZU0U6SUJNLklRX0NGT19DVVJSRU5UX0xJQUIuOTk2LjA3LzAzLzIwMjYBAAAA3rYBAAIAAAAIMC4zODA2MTgBCAAAAAUAAAABMQEAAAALLTIwMDg2NDcxOTgDAAAAAzE2MAIAAAAENDE4NQQAAAABMAcAAAAIMy83LzIwMjYIAAAACjEyLzMxLzIwMjEJAAAAATBpo34k/4HeCDx1BSj/gd4IR0NJUS5OWVNFOklCTS5JUV9UT1RBTF9ERUJUX0VCSVREQV9FWENMX09QRVJfTEVBU0VTX0NBUEVYLjk5NC4wNy8wMy8yMDI2AQAAAN62AQACAAAACDYuMDI1MjgyAQgAAAAFAAAAATEBAAAACy0yMTEwNzY5MzU1AwAAAAMxNjACAAAABTQ5MTgzBAAAAAEwBwAAAAgzLzcvMjAyNggAAAAKMTIvMzEvMjAx</t>
  </si>
  <si>
    <t>OQkAAAABMGmjfiT/gd4IPHUFKP+B3ghAQ0lRLk5ZU0U6SUJNLklRX05FVF9ERUJUX0VCSVREQV9FWENMX09QRVJfTEVBU0VTLjEwMDAuMDcvMDMvMjAyNgEAAADetgEAAgAAAAgzLjExMzkwOQEIAAAABQAAAAExAQAAAAstMTkwNDg2MDc0MAMAAAADMTYwAgAAAAU0OTE3NQQAAAABMAcAAAAIMy83LzIwMjYIAAAACjEyLzMxLzIwMjUJAAAAATBpo34k/4HeCDx1BSj/gd4IQUNJUS5OWVNFOklCTS5JUV9UT1RBTF9ERUJUX0VCSVREQV9FWENMX09QRVJfTEVBU0VTLjk5Ni4wNy8wMy8yMDI2AQAAAN62AQACAAAACDQuODc1NzYyAQgAAAAFAAAAATEBAAAACy0yMDA4NjQ3MTk4AwAAAAMxNjACAAAABTQ4OTk0BAAAAAEwBwAAAAgzLzcvMjAyNggAAAAKMTIvMzEvMjAyMQkAAAABMGmjfiT/gd4IPHUFKP+B3ggvQ0lRLk5ZU0U6SUJNLklRX0VCSVREQV9DQVBFWF9JTlQuOTk2LjA3LzAzLzIwMjYBAAAA3rYBAAIAAAAIOS4yNTAyMTYBCAAAAAUAAAABMQEAAAALLTIwMDg2NDcxOTgDAAAAAzE2MAIAAAAENDE5MQQAAAABMAcAAAAIMy83LzIwMjYIAAAACjEyLzMxLzIwMjEJAAAAATBpo34k/4HeCDx1BSj/gd4IKUNJUS5OWVNFOklCTS5JUV9FQklUREFfSU5ULjk5Mi4wNy8wMy8yMDI2AQAAAN62AQACAAAACTI2LjM3ODg2MQEIAAAABQAAAAExAQAAAAoyMDE3MTY0MjQ0AwAAAAMxNjACAAAABDQxOTAEAAAAATAH</t>
  </si>
  <si>
    <t>AAAACDMvNy8yMDI2CAAAAAoxMi8zMS8yMDE3CQAAAAEwaaN+JP+B3gjJTQUo/4HeCDZDSVEuTllTRTpJQk0uSVFfVE9UQUxfUkVWXzNZUl9BTk5fQ0FHUi4xMDAwLjA3LzAzLzIwMjYBAAAA3rYBAAIAAAAGMy43MTc2AQgAAAAFAAAAATEBAAAACy0xOTA0ODYwNzQwAwAAAAMxNjACAAAABDQyMjAEAAAAATAHAAAACDMvNy8yMDI2CAAAAAoxMi8zMS8yMDI1CQAAAAEwaaN+JP+B3gjJTQUo/4HeCDBDSVEuTllTRTpJQk0uSVFfTklfMVlSX0FOTl9HUk9XVEguOTk2LjA3LzAzLzIwMjYBAAAA3rYBAAIAAAAFMi43MzcBCAAAAAUAAAABMQEAAAALLTIwMDg2NDcxOTgDAAAAAzE2MAIAAAAENDE5OQQAAAABMAcAAAAIMy83LzIwMjYIAAAACjEyLzMxLzIwMjEJAAAAATDAun4k/4HeCMlNBSj/gd4IN0NJUS5OWVNFOklCTS5JUV9UT1RBTF9SRVZfMVlSX0FOTl9HUk9XVEguOTk4LjA3LzAzLzIwMjYBAAAA3rYBAAIAAAAGMi4xOTcyAQgAAAAFAAAAATEBAAAACy0xOTA0ODYwNzQ0AwAAAAMxNjACAAAABDQxOTQEAAAAATAHAAAACDMvNy8yMDI2CAAAAAoxMi8zMS8yMDIzCQAAAAEwwLp+JP+B3gjJTQUo/4HeCCZDSVEuTllTRTpJQk0uSVFfWl9TQ09SRS45OTIuMDcvMDMvMjAyNgEAAADetgEAAgAAAAgzLjU5MTQ1NgEIAAAABQAAAAExAQAAAAoyMDE3MTY0MjQ0AwAAAAMxNjACAAAABjEwMDEyMwQAAAABMAcAAAAI</t>
  </si>
  <si>
    <t>My83LzIwMjYIAAAACjEyLzMxLzIwMTcJAAAAATDAun4k/4HeCDx1BSj/gd4IRUNJUS5OWVNFOklCTS5JUV9ORVRfREVCVF9FQklUREFfRVhDTF9PUEVSX0xFQVNFU19DQVBFWC45OTguMDcvMDMvMjAyNgEAAADetgEAAgAAAAg0LjIyMjEyMQEIAAAABQAAAAExAQAAAAstMTkwNDg2MDc0NAMAAAADMTYwAgAAAAU0OTE4MgQAAAABMAcAAAAIMy83LzIwMjYIAAAACjEyLzMxLzIwMjMJAAAAATDAun4k/4HeCHAmBSj/gd4IL0NJUS5OWVNFOklCTS5JUV9FUFNfNVlSX0FOTl9DQUdSLjk5Ni4wNy8wMy8yMDI2AQAAAN62AQACAAAACC0xNS45MDgzAQgAAAAFAAAAATEBAAAACy0yMDA4NjQ3MTk4AwAAAAMxNjACAAAABDQyMzkEAAAAATAHAAAACDMvNy8yMDI2CAAAAAoxMi8zMS8yMDIxCQAAAAEwwLp+JP+B3ghwJgUo/4HeCC5DSVEuTllTRTpJQk0uSVFfR1BfNVlSX0FOTl9DQUdSLjk5OC4wNy8wMy8yMDI2AQAAAN62AQACAAAABy0xLjQ3MDUBCAAAAAUAAAABMQEAAAALLTE5MDQ4NjA3NDQDAAAAAzE2MAIAAAAENDIzNAQAAAABMAcAAAAIMy83LzIwMjYIAAAACjEyLzMxLzIwMjMJAAAAATDAun4k/4HeCHAmBSj/gd4INUNJUS5OWVNFOklCTS5JUV9UT1RBTF9SRVZfNVlSX0FOTl9DQUdSLjk5Mi4wNy8wMy8yMDI2AQAAAN62AQACAAAABy01LjExMDgBCAAAAAUAAAABMQEAAAAKMjAxNzE2NDI0NAMAAAADMTYw</t>
  </si>
  <si>
    <t>AgAAAAQ0MjMzBAAAAAEwBwAAAAgzLzcvMjAyNggAAAAKMTIvMzEvMjAxNwkAAAABMMC6fiT/gd4IyU0FKP+B3ggxQ0lRLk5ZU0U6SUJNLklRX0VCSVRfM1lSX0FOTl9DQUdSLjEwMDAuMDcvMDMvMjAyNgEAAADetgEAAgAAAAcxOC42NjcxAQgAAAAFAAAAATEBAAAACy0xOTA0ODYwNzQwAwAAAAMxNjACAAAABDQyMjMEAAAAATAHAAAACDMvNy8yMDI2CAAAAAoxMi8zMS8yMDI1CQAAAAEwwLp+JP+B3gjJTQUo/4HeCDJDSVEuTllTRTpJQk0uSVFfRUJJVERBXzNZUl9BTk5fQ0FHUi45OTQuMDcvMDMvMjAyNgEAAADetgEAAgAAAActOS44MzU0AQgAAAAFAAAAATEBAAAACy0yMTEwNzY5MzU1AwAAAAMxNjACAAAABDQyMjIEAAAAATAHAAAACDMvNy8yMDI2CAAAAAoxMi8zMS8yMDE5CQAAAAEwwLp+JP+B3ghsEgUo/4HeCCpDSVEuTllTRTpJQk0uSVFfRUJJVF9NQVJHSU4uOTkzLjA3LzAzLzIwMjYBAAAA3rYBAAIAAAAHMTYuNjA3NAEIAAAABQAAAAExAQAAAAoyMDgxNTA1NDAxAwAAAAMxNjACAAAABDQwNTMEAAAAATAHAAAACDMvNy8yMDI2CAAAAAoxMi8zMS8yMDE4CQAAAAEwwLp+JP+B3ghwJgUo/4HeCCtDSVEuTllTRTpJQk0uSVFfR1JPU1NfTUFSR0lOLjk5OS4wNy8wMy8yMDI2AQAAAN62AQACAAAABzU2LjY1MzgBCAAAAAUAAAABMQEAAAALLTE5MDQ4NjA3NDMDAAAAAzE2MAIAAAAENDA3NAQAAAAB</t>
  </si>
  <si>
    <t>MAcAAAAIMy83LzIwMjYIAAAACjEyLzMxLzIwMjQJAAAAATDAun4k/4HeCHAmBSj/gd4ILENJUS5OWVNFOklCTS5JUV9SRVRVUk5fRVFVSVRZLjk5NS4wNy8wMy8yMDI2AQAAAN62AQACAAAABzE4Ljg1MzUBCAAAAAUAAAABMQEAAAALLTIwNTkwNzMyMDIDAAAAAzE2MAIAAAAENDEyOAQAAAABMAcAAAAIMy83LzIwMjYIAAAACjEyLzMxLzIwMjAJAAAAATDAun4k/4HeCHAmBSj/gd4IJkNJUS5OWVNFOklCTS5JUV9HQUFQX0JTLjk5Ny4wNy8wMy8yMDI2AQAAAN62AQADAAAAB1VTIEdBQVAAwLp+JP+B3ghwJgUo/4HeCDBDSVEuTllTRTpJQk0uSVFfVE9UQUxfREVCVF9FUVVJVFkuOTk5LjA3LzAzLzIwMjYBAAAA3rYBAAIAAAAIMjEzLjE3ODUBCAAAAAUAAAABMQEAAAALLTE5MDQ4NjA3NDMDAAAAAzE2MAIAAAAENDAzNAQAAAABMAcAAAAIMy83LzIwMjYIAAAACjEyLzMxLzIwMjQJAAAAATDAun4k/4HeCFbrBCj/gd4ILkNJUS5OWVNFOklCTS5JUV9DQVNIX0NPTlZFUlNJT04uOTkzLjA3LzAzLzIwMjYBAAAA3rYBAAIAAAAILTIuMjA3NTIBCAAAAAUAAAABMQEAAAAKMjA4MTUwNTQwMQMAAAADMTYwAgAAAAQ0MTg0BAAAAAEwBwAAAAgzLzcvMjAyNggAAAAKMTIvMzEvMjAxOAkAAAABMMC6fiT/gd4IVusEKP+B3ggvQ0lRLk5ZU0U6SUJNLklRX0NGT19DVVJSRU5UX0xJQUIuOTk1LjA3LzAzLzIwMjYBAAAA</t>
  </si>
  <si>
    <t>3rYBAAIAAAAIMC40NTY0MTkBCAAAAAUAAAABMQEAAAALLTIwNTkwNzMyMDIDAAAAAzE2MAIAAAAENDE4NQQAAAABMAcAAAAIMy83LzIwMjYIAAAACjEyLzMxLzIwMjAJAAAAATDAun4k/4HeCGwSBSj/gd4IJ0NJUS5OWVNFOklCTS5JUV9BUl9UVVJOUy45OTcuMDcvMDMvMjAyNgEAAADetgEAAgAAAAg4LjQxNTg4MQEIAAAABQAAAAExAQAAAAstMTk1ODI4MTA5NgMAAAADMTYwAgAAAAQ0MDAxBAAAAAEwBwAAAAgzLzcvMjAyNggAAAAKMTIvMzEvMjAyMgkAAAABMMC6fiT/gd4IbBIFKP+B3ggoQ0lRLk5ZU0U6SUJNLklRX05JX01BUkdJTi45OTkuMDcvMDMvMjAyNgEAAADetgEAAgAAAAY5LjU5NzkBCAAAAAUAAAABMQEAAAALLTE5MDQ4NjA3NDMDAAAAAzE2MAIAAAAENDA5NAQAAAABMAcAAAAIMy83LzIwMjYIAAAACjEyLzMxLzIwMjQJAAAAATDAun4k/4HeCETEBCj/gd4IR0NJUS5OWVNFOklCTS5JUV9UT1RBTF9ERUJUX0VCSVREQV9FWENMX09QRVJfTEVBU0VTX0NBUEVYLjk5My4wNy8wMy8yMDI2AQAAAN62AQACAAAACDMuMjAyOTY0AQgAAAAFAAAAATEBAAAACjIwODE1MDU0MDEDAAAAAzE2MAIAAAAFNDkxODMEAAAAATAHAAAACDMvNy8yMDI2CAAAAAoxMi8zMS8yMDE4CQAAAAEwwLp+JP+B3ghExAQo/4HeCD9DSVEuTllTRTpJQk0uSVFfTkVUX0RFQlRfRUJJVERBX0VYQ0xfT1BFUl9MRUFTRVMu</t>
  </si>
  <si>
    <t>OTk5LjA3LzAzLzIwMjYBAAAA3rYBAAIAAAAIMy4zOTk0MjUBCAAAAAUAAAABMQEAAAALLTE5MDQ4NjA3NDMDAAAAAzE2MAIAAAAFNDkxNzUEAAAAATAHAAAACDMvNy8yMDI2CAAAAAoxMi8zMS8yMDI0CQAAAAEwwLp+JP+B3ghW6wQo/4HeCC5DSVEuTllTRTpJQk0uSVFfTkVUX0RFQlRfRUJJVERBLjk5My4wNy8wMy8yMDI2AQAAAN62AQACAAAACDEuOTEwNjY3AQgAAAAFAAAAATEBAAAACjIwODE1MDU0MDEDAAAAAzE2MAIAAAAENDE5MwQAAAABMAcAAAAIMy83LzIwMjYIAAAACjEyLzMxLzIwMTgJAAAAATDAun4k/4HeCFbrBCj/gd4IL0NJUS5OWVNFOklCTS5JUV9FQklUREFfQ0FQRVhfSU5ULjk5NS4wNy8wMy8yMDI2AQAAAN62AQACAAAACDcuOTY4MTY3AQgAAAAFAAAAATEBAAAACy0yMDU5MDczMjAyAwAAAAMxNjACAAAABDQxOTEEAAAAATAHAAAACDMvNy8yMDI2CAAAAAoxMi8zMS8yMDIwCQAAAAEwwLp+JP+B3ghW6wQo/4HeCDZDSVEuTllTRTpJQk0uSVFfVE9UQUxfTElBQl9UT1RBTF9BU1NFVFMuOTk3LjA3LzAzLzIwMjYBAAAA3rYBAAIAAAAHODIuNjkzNwEIAAAABQAAAAExAQAAAAstMTk1ODI4MTA5NgMAAAADMTYwAgAAAAQ0MTg4BAAAAAEwBwAAAAgzLzcvMjAyNggAAAAKMTIvMzEvMjAyMgkAAAABMMC6fiT/gd4IDZ0EKP+B3ggyQ0lRLk5ZU0U6SUJNLklRX0VCSVREQV8zWVJfQU5OX0NB</t>
  </si>
  <si>
    <t>R1IuOTkzLjA3LzAzLzIwMjYBAAAA3rYBAAIAAAAGLTQuNTgyAQgAAAAFAAAAATEBAAAACjIwODE1MDU0MDEDAAAAAzE2MAIAAAAENDIyMgQAAAABMAcAAAAIMy83LzIwMjYIAAAACjEyLzMxLzIwMTgJAAAAATDAun4k/4HeCETEBCj/gd4INUNJUS5OWVNFOklCTS5JUV9UT1RBTF9SRVZfM1lSX0FOTl9DQUdSLjk5OS4wNy8wMy8yMDI2AQAAAN62AQACAAAABTMuMDQ2AQgAAAAFAAAAATEBAAAACy0xOTA0ODYwNzQzAwAAAAMxNjACAAAABDQyMjAEAAAAATAHAAAACDMvNy8yMDI2CAAAAAoxMi8zMS8yMDI0CQAAAAEwwLp+JP+B3ghExAQo/4HeCDBDSVEuTllTRTpJQk0uSVFfTklfMVlSX0FOTl9HUk9XVEguOTk1LjA3LzAzLzIwMjYBAAAA3rYBAAIAAAAILTQwLjcyNzQBCAAAAAUAAAABMQEAAAALLTIwNTkwNzMyMDIDAAAAAzE2MAIAAAAENDE5OQQAAAABMAcAAAAIMy83LzIwMjYIAAAACjEyLzMxLzIwMjAJAAAAATDAun4k/4HeCETEBCj/gd4IMENJUS5OWVNFOklCTS5JUV9HUF8xWVJfQU5OX0dST1dUSC45OTUuMDcvMDMvMjAyNgEAAADetgEAAgAAAActMi4xMjE2AQgAAAAFAAAAATEBAAAACy0yMDU5MDczMjAyAwAAAAMxNjACAAAABDQxOTUEAAAAATAHAAAACDMvNy8yMDI2CAAAAAoxMi8zMS8yMDIwCQAAAAEwwLp+JP+B3ghExAQo/4HeCEVDSVEuTllTRTpJQk0uSVFfTkVUX0RFQlRfRUJJVERBX0VY</t>
  </si>
  <si>
    <t>Q0xfT1BFUl9MRUFTRVNfQ0FQRVguOTk3LjA3LzAzLzIwMjYBAAAA3rYBAAIAAAAINC44MDE2NzUBCAAAAAUAAAABMQEAAAALLTE5NTgyODEwOTYDAAAAAzE2MAIAAAAFNDkxODIEAAAAATAHAAAACDMvNy8yMDI2CAAAAAoxMi8zMS8yMDIyCQAAAAEwwLp+JP+B3ggNnQQo/4HeCD5DSVEuTllTRTpJQk0uSVFfRU1QTE9ZRUVTX1VOREVSX1VOSU9OX0NPTlRSQUNUUy45OTYuMDcvMDMvMjAyNgEAAADetgEAAwAAAAAAwLp+JP+B3ggNnQQo/4HeCChDSVEuTllTRTpJQk0uSVFfRlVMTF9USU1FLjk5Ni4wNy8wMy8yMDI2AQAAAN62AQACAAAABjI4MjEwMADAun4k/4HeCA2dBCj/gd4IL0NJUS5OWVNFOklCTS5JUV9FUFNfNVlSX0FOTl9DQUdSLjk5NS4wNy8wMy8yMDI2AQAAAN62AQACAAAABy0yMC4yNjIBCAAAAAUAAAABMQEAAAALLTIwNTkwNzMyMDIDAAAAAzE2MAIAAAAENDIzOQQAAAABMAcAAAAIMy83LzIwMjYIAAAACjEyLzMxLzIwMjAJAAAAATDAun4k/4HeCA2dBCj/gd4ILkNJUS5OWVNFOklCTS5JUV9HUF81WVJfQU5OX0NBR1IuOTk3LjA3LzAzLzIwMjYBAAAA3rYBAAIAAAAHLTIuNDE3NwEIAAAABQAAAAExAQAAAAstMTk1ODI4MTA5NgMAAAADMTYwAgAAAAQ0MjM0BAAAAAEwBwAAAAgzLzcvMjAyNggAAAAKMTIvMzEvMjAyMgkAAAABMMC6fiT/gd4IDZ0EKP+B3gguQ0lRLk5ZU0U6SUJNLklRX05J</t>
  </si>
  <si>
    <t>XzNZUl9BTk5fQ0FHUi45OTcuMDcvMDMvMjAyNgEAAADetgEAAgAAAActNDQuMTk1AQgAAAAFAAAAATEBAAAACy0xOTU4MjgxMDk2AwAAAAMxNjACAAAABDQyMjUEAAAAATAHAAAACDMvNy8yMDI2CAAAAAoxMi8zMS8yMDIyCQAAAAEwwLp+JP+B3gj8dQQo/4HeCCtDSVEuTllTRTpJQk0uSVFfR1JPU1NfTUFSR0lOLjk5OC4wNy8wMy8yMDI2AQAAAN62AQACAAAABzU1LjQ0NzcBCAAAAAUAAAABMQEAAAALLTE5MDQ4NjA3NDQDAAAAAzE2MAIAAAAENDA3NAQAAAABMAcAAAAIMy83LzIwMjYIAAAACjEyLzMxLzIwMjMJAAAAATDAun4k/4HeCPx1BCj/gd4ILENJUS5OWVNFOklCTS5JUV9SRVRVUk5fRVFVSVRZLjk5NC4wNy8wMy8yMDI2AQAAAN62AQACAAAABzM3LjY5NDgBCAAAAAUAAAABMQEAAAALLTIxMTA3NjkzNTUDAAAAAzE2MAIAAAAENDEyOAQAAAABMAcAAAAIMy83LzIwMjYIAAAACjEyLzMxLzIwMTkJAAAAATDAun4k/4HeCPx1BCj/gd4ILUNJUS5OWVNFOklCTS5JUV9SRVRVUk5fQVNTRVRTLjEwMDAuMDcvMDMvMjAyNgEAAADetgEAAgAAAAY1LjQzNDkBCAAAAAUAAAABMQEAAAALLTE5MDQ4NjA3NDADAAAAAzE2MAIAAAAENDE3OAQAAAABMAcAAAAIMy83LzIwMjYIAAAACjEyLzMxLzIwMjUJAAAAATDAun4k/4HeCPx1BCj/gd4IMkNJUS5OWVNFOklCTS5JUV9BVkdfVEVNUF9FTVBMT1lFRVMuMTAw</t>
  </si>
  <si>
    <t>MC4wNy8wMy8yMDI2AQAAAN62AQACAAAABTEzODAwAQgAAAAFAAAAATEBAAAACy0xOTA0ODYwNzQwAwAAAAMxNjACAAAABTI0Njc1BAAAAAEwBwAAAAgzLzcvMjAyNggAAAAKMTIvMzEvMjAyNQkAAAABMMC6fiT/gd4ICk8EKP+B3ggvQ0lRLk5ZU0U6SUJNLklRX0NGT19DVVJSRU5UX0xJQUIuOTk0LjA3LzAzLzIwMjYBAAAA3rYBAAIAAAAIMC4zOTE3NjYBCAAAAAUAAAABMQEAAAALLTIxMTA3NjkzNTUDAAAAAzE2MAIAAAAENDE4NQQAAAABMAcAAAAIMy83LzIwMjYIAAAACjEyLzMxLzIwMTkJAAAAATDAun4k/4HeCApPBCj/gd4ILUNJUS5OWVNFOklCTS5JUV9DVVJSRU5UX1JBVElPLjEwMDAuMDcvMDMvMjAyNgEAAADetgEAAgAAAAgwLjk1NTY2MgEIAAAABQAAAAExAQAAAAstMTkwNDg2MDc0MAMAAAADMTYwAgAAAAQ0MDMwBAAAAAEwBwAAAAgzLzcvMjAyNggAAAAKMTIvMzEvMjAyNQkAAAABMMC6fiT/gd4ICk8EKP+B3ggnQ0lRLk5ZU0U6SUJNLklRX0FSX1RVUk5TLjk5Ni4wNy8wMy8yMDI2AQAAAN62AQACAAAACDguNDE4MzAzAQgAAAAFAAAAATEBAAAACy0yMDA4NjQ3MTk4AwAAAAMxNjACAAAABDQwMDEEAAAAATAHAAAACDMvNy8yMDI2CAAAAAoxMi8zMS8yMDIxCQAAAAEwwLp+JP+B3gj8dQQo/4HeCCxDSVEuTllTRTpJQk0uSVFfQ0FQRVhfUENUX1JFVi45OTYuMDcvMDMvMjAyNgEAAADetgEA</t>
  </si>
  <si>
    <t>AgAAAAYzLjU5NTQBCAAAAAUAAAABMQEAAAALLTIwMDg2NDcxOTgDAAAAAzE2MAIAAAAFMzUzODAEAAAAATAHAAAACDMvNy8yMDI2CAAAAAoxMi8zMS8yMDIxCQAAAAEwwLp+JP+B3gj8dQQo/4HeCCpDSVEuTllTRTpJQk0uSVFfRUJJVF9NQVJHSU4uOTkyLjA3LzAzLzIwMjYBAAAA3rYBAAIAAAAHMTQuNzYxMwEIAAAABQAAAAExAQAAAAoyMDE3MTY0MjQ0AwAAAAMxNjACAAAABDQwNTMEAAAAATAHAAAACDMvNy8yMDI2CAAAAAoxMi8zMS8yMDE3CQAAAAEwwLp+JP+B3gjoJwQo/4HeCCpDSVEuTllTRTpJQk0uSVFfRUJJVERBX0lOVC4xMDAwLjA3LzAzLzIwMjYBAAAA3rYBAAIAAAAIOS4wMDU2ODQBCAAAAAUAAAABMQEAAAALLTE5MDQ4NjA3NDADAAAAAzE2MAIAAAAENDE5MAQAAAABMAcAAAAIMy83LzIwMjYIAAAACjEyLzMxLzIwMjUJAAAAATDAun4k/4HeCApPBCj/gd4INkNJUS5OWVNFOklCTS5JUV9UT1RBTF9MSUFCX1RPVEFMX0FTU0VUUy45OTYuMDcvMDMvMjAyNgEAAADetgEAAgAAAAc4NS42MDkxAQgAAAAFAAAAATEBAAAACy0yMDA4NjQ3MTk4AwAAAAMxNjACAAAABDQxODgEAAAAATAHAAAACDMvNy8yMDI2CAAAAAoxMi8zMS8yMDIxCQAAAAEwwLp+JP+B3ggKTwQo/4HeCDBDSVEuTllTRTpJQk0uSVFfVE9UQUxfREVCVF9FUVVJVFkuOTk4LjA3LzAzLzIwMjYBAAAA3rYBAAIAAAAIMjY1LjA0</t>
  </si>
  <si>
    <t>NjYBCAAAAAUAAAABMQEAAAALLTE5MDQ4NjA3NDQDAAAAAzE2MAIAAAAENDAzNAQAAAABMAcAAAAIMy83LzIwMjYIAAAACjEyLzMxLzIwMjMJAAAAATDAun4k/4HeCApPBCj/gd4ILkNJUS5OWVNFOklCTS5JUV9DQVNIX0NPTlZFUlNJT04uOTkyLjA3LzAzLzIwMjYBAAAA3rYBAAIAAAAIMS40MzExNjUBCAAAAAUAAAABMQEAAAAKMjAxNzE2NDI0NAMAAAADMTYwAgAAAAQ0MTg0BAAAAAEwBwAAAAgzLzcvMjAyNggAAAAKMTIvMzEvMjAxNwkAAAABMMC6fiT/gd4ICk8EKP+B3ggxQ0lRLk5ZU0U6SUJNLklRX0RBWVNfSU5WRU5UT1JZX09VVC45OTguMDcvMDMvMjAyNgEAAADetgEAAgAAAAkxOC4yMTc1MTUBCAAAAAUAAAABMQEAAAALLTE5MDQ4NjA3NDQDAAAAAzE2MAIAAAAENDAzNQQAAAABMAcAAAAIMy83LzIwMjYIAAAACjEyLzMxLzIwMjMJAAAAATDAun4k/4HeCOgnBCj/gd4IRUNJUS5OWVNFOklCTS5JUV9ORVRfREVCVF9FQklUREFfRVhDTF9PUEVSX0xFQVNFU19DQVBFWC45OTYuMDcvMDMvMjAyNgEAAADetgEAAgAAAAg1LjE3ODk3NgEIAAAABQAAAAExAQAAAAstMjAwODY0NzE5OAMAAAADMTYwAgAAAAU0OTE4MgQAAAABMAcAAAAIMy83LzIwMjYIAAAACjEyLzMxLzIwMjEJAAAAATDAun4k/4HeCOgnBCj/gd4IP0NJUS5OWVNFOklCTS5JUV9ORVRfREVCVF9FQklUREFfRVhDTF9PUEVSX0xFQVNF</t>
  </si>
  <si>
    <t>Uy45OTguMDcvMDMvMjAyNgEAAADetgEAAgAAAAczLjc5MzI2AQgAAAAFAAAAATEBAAAACy0xOTA0ODYwNzQ0AwAAAAMxNjACAAAABTQ5MTc1BAAAAAEwBwAAAAgzLzcvMjAyNggAAAAKMTIvMzEvMjAyMwkAAAABMMC6fiT/gd4I6CcEKP+B3gguQ0lRLk5ZU0U6SUJNLklRX05FVF9ERUJUX0VCSVREQS45OTIuMDcvMDMvMjAyNgEAAADetgEAAgAAAAgyLjExMjgwMgEIAAAABQAAAAExAQAAAAoyMDE3MTY0MjQ0AwAAAAMxNjACAAAABDQxOTMEAAAAATAHAAAACDMvNy8yMDI2CAAAAAoxMi8zMS8yMDE3CQAAAAEwwLp+JP+B3gjoJwQo/4HeCEFDSVEuTllTRTpJQk0uSVFfRUJJVERBX0VYQ0xfT1BFUl9MRUFTRVNfQ0FQRVhfSU5ULjEwMDAuMDcvMDMvMjAyNgEAAADetgEAAgAAAAg3Ljc2NTg5MQEIAAAABQAAAAExAQAAAAstMTkwNDg2MDc0MAMAAAADMTYwAgAAAAU0OTE3NAQAAAABMAcAAAAIMy83LzIwMjYIAAAACjEyLzMxLzIwMjUJAAAAATDAun4k/4HeCOgnBCj/gd4IL0NJUS5OWVNFOklCTS5JUV9FQklUREFfQ0FQRVhfSU5ULjk5NC4wNy8wMy8yMDI2AQAAAN62AQACAAAACDkuNjI0MjU1AQgAAAAFAAAAATEBAAAACy0yMTEwNzY5MzU1AwAAAAMxNjACAAAABDQxOTEEAAAAATAHAAAACDMvNy8yMDI2CAAAAAoxMi8zMS8yMDE5CQAAAAEwwLp+JP+B3gjKAAQo/4HeCDJDSVEuTllTRTpJQk0uSVFfRUJJ</t>
  </si>
  <si>
    <t>VERBXzNZUl9BTk5fQ0FHUi45OTIuMDcvMDMvMjAyNgEAAADetgEAAgAAAAgtMTIuOTgyMQEIAAAABQAAAAExAQAAAAoyMDE3MTY0MjQ0AwAAAAMxNjACAAAABDQyMjIEAAAAATAHAAAACDMvNy8yMDI2CAAAAAoxMi8zMS8yMDE3CQAAAAEwwLp+JP+B3gjKAAQo/4HeCDVDSVEuTllTRTpJQk0uSVFfVE9UQUxfUkVWXzNZUl9BTk5fQ0FHUi45OTguMDcvMDMvMjAyNgEAAADetgEAAgAAAAYzLjg4MzIBCAAAAAUAAAABMQEAAAALLTE5MDQ4NjA3NDQDAAAAAzE2MAIAAAAENDIyMAQAAAABMAcAAAAIMy83LzIwMjYIAAAACjEyLzMxLzIwMjMJAAAAATDAun4k/4HeCMoABCj/gd4IMUNJUS5OWVNFOklCTS5JUV9FUFNfMVlSX0FOTl9HUk9XVEguOTkyLjA3LzAzLzIwMjYBAAAA3rYBAAIAAAAILTUwLjQ0MDEBCAAAAAUAAAABMQEAAAAKMjAxNzE2NDI0NAMAAAADMTYwAgAAAAQ0MjAwBAAAAAEwBwAAAAgzLzcvMjAyNggAAAAKMTIvMzEvMjAxNwkAAAABMMC6fiT/gd4IygAEKP+B3gg1Q0lRLk5ZU0U6SUJNLklRX0VCSVREQV8xWVJfQU5OX0dST1dUSC4xMDAwLjA3LzAzLzIwMjYBAAAA3rYBAAIAAAAHMjUuMDgxNAEIAAAABQAAAAExAQAAAAstMTkwNDg2MDc0MAMAAAADMTYwAgAAAAQ0MTk2BAAAAAEwBwAAAAgzLzcvMjAyNggAAAAKMTIvMzEvMjAyNQkAAAABMMC6fiT/gd4IygAEKP+B3ggwQ0lRLk5ZU0U6SUJN</t>
  </si>
  <si>
    <t>LklRX0dQXzFZUl9BTk5fR1JPV1RILjk5NC4wNy8wMy8yMDI2AQAAAN62AQACAAAACC0xNC42Mjc3AQgAAAAFAAAAATEBAAAACy0yMTEwNzY5MzU1AwAAAAMxNjACAAAABDQxOTUEAAAAATAHAAAACDMvNy8yMDI2CAAAAAoxMi8zMS8yMDE5CQAAAAEwwLp+JP+B3gjU2QMo/4HeCDhDSVEuTllTRTpJQk0uSVFfVE9UQUxfT1VUU1RBTkRJTkdfQlNfREFURS45OTUuMDcvMDMvMjAyNgEAAADetgEAAgAAAAo4OTIuNjUzNDI0AQQAAAAFAAAAATUBAAAACy0yMDU5MDczMjAyAgAAAAUyNDE1MgYAAAABMMC6fiT/gd4I1NkDKP+B3ggvQ0lRLk5ZU0U6SUJNLklRX0VQU181WVJfQU5OX0NBR1IuOTk0LjA3LzAzLzIwMjYBAAAA3rYBAAIAAAAILTEyLjQ5NTMBCAAAAAUAAAABMQEAAAALLTIxMTA3NjkzNTUDAAAAAzE2MAIAAAAENDIzOQQAAAABMAcAAAAIMy83LzIwMjYIAAAACjEyLzMxLzIwMTkJAAAAATDAun4k/4HeCNTZAyj/gd4IMUNJUS5OWVNFOklCTS5JUV9FQklUXzVZUl9BTk5fQ0FHUi4xMDAwLjA3LzAzLzIwMjYBAAAA3rYBAAIAAAAHMjEuOTM3OQEIAAAABQAAAAExAQAAAAstMTkwNDg2MDc0MAMAAAADMTYwAgAAAAQ0MjM2BAAAAAEwBwAAAAgzLzcvMjAyNggAAAAKMTIvMzEvMjAyNQkAAAABMMC6fiT/gd4I1NkDKP+B3ggyQ0lRLk5ZU0U6SUJNLklRX0VCSVREQV81WVJfQU5OX0NBR1IuOTk0LjA3LzAz</t>
  </si>
  <si>
    <t>LzIwMjYBAAAA3rYBAAIAAAAILTExLjE5NTgBCAAAAAUAAAABMQEAAAALLTIxMTA3NjkzNTUDAAAAAzE2MAIAAAAENDIzNQQAAAABMAcAAAAIMy83LzIwMjYIAAAACjEyLzMxLzIwMTkJAAAAATDAun4k/4HeCMoABCj/gd4ILkNJUS5OWVNFOklCTS5JUV9OSV8zWVJfQU5OX0NBR1IuOTk2LjA3LzAzLzIwMjYBAAAA3rYBAAIAAAAILTEzLjAyMjMBCAAAAAUAAAABMQEAAAALLTIwMDg2NDcxOTgDAAAAAzE2MAIAAAAENDIyNQQAAAABMAcAAAAIMy83LzIwMjYIAAAACjEyLzMxLzIwMjEJAAAAATDAun4k/4HeCJiLAyj/gd4ILENJUS5OWVNFOklCTS5JUV9SRVRVUk5fQVNTRVRTLjk5OS4wNy8wMy8yMDI2AQAAAN62AQACAAAABjQuNDkxMgEIAAAABQAAAAExAQAAAAstMTkwNDg2MDc0MwMAAAADMTYwAgAAAAQ0MTc4BAAAAAEwBwAAAAgzLzcvMjAyNggAAAAKMTIvMzEvMjAyNAkAAAABMMC6fiT/gd4ImIsDKP+B3ggxQ0lRLk5ZU0U6SUJNLklRX0FWR19URU1QX0VNUExPWUVFUy45OTkuMDcvMDMvMjAyNgEAAADetgEAAgAAAAUxNDIwMAEIAAAABQAAAAExAQAAAAstMTkwNDg2MDc0MwMAAAADMTYwAgAAAAUyNDY3NQQAAAABMAcAAAAIMy83LzIwMjYIAAAACjEyLzMxLzIwMjQJAAAAATDAun4k/4HeCLiyAyj/gd4ILENJUS5OWVNFOklCTS5JUV9BVkdfRU1QTE9ZRUVTLjk5My4wNy8wMy8yMDI2AQAAAN62AQAD</t>
  </si>
  <si>
    <t>AAAAAADAun4k/4HeCNTZAyj/gd4IKENJUS5OWVNFOklCTS5JUV9GVUxMX1RJTUUuOTk1LjA3LzAzLzIwMjYBAAAA3rYBAAIAAAAGMzQ1OTAwAMC6fiT/gd4IpGQDKP+B3ggvQ0lRLk5ZU0U6SUJNLklRX0NGT19DVVJSRU5UX0xJQUIuOTkzLjA3LzAzLzIwMjYBAAAA3rYBAAIAAAAIMC4zOTg4NTQBCAAAAAUAAAABMQEAAAAKMjA4MTUwNTQwMQMAAAADMTYwAgAAAAQ0MTg1BAAAAAEwBwAAAAgzLzcvMjAyNggAAAAKMTIvMzEvMjAxOAkAAAABMMC6fiT/gd4IpGQDKP+B3ggsQ0lRLk5ZU0U6SUJNLklRX0NVUlJFTlRfUkFUSU8uOTk5LjA3LzAzLzIwMjYBAAAA3rYBAAIAAAAIMS4wNDA0MzIBCAAAAAUAAAABMQEAAAALLTE5MDQ4NjA3NDMDAAAAAzE2MAIAAAAENDAzMAQAAAABMAcAAAAIMy83LzIwMjYIAAAACjEyLzMxLzIwMjQJAAAAATDAun4k/4HeCJiLAyj/gd4ILkNJUS5OWVNFOklCTS5JUV9JTlZFTlRPUllfVFVSTlMuOTkzLjA3LzAzLzIwMjYBAAAA3rYBAAIAAAAJMjUuNDM0NjA5AQgAAAAFAAAAATEBAAAACjIwODE1MDU0MDEDAAAAAzE2MAIAAAAENDA4MgQAAAABMAcAAAAIMy83LzIwMjYIAAAACjEyLzMxLzIwMTgJAAAAATDAun4k/4HeCJiLAyj/gd4ILENJUS5OWVNFOklCTS5JUV9DQVBFWF9QQ1RfUkVWLjk5NS4wNy8wMy8yMDI2AQAAAN62AQACAAAABjQuNzQ0NQEIAAAABQAAAAExAQAAAAst</t>
  </si>
  <si>
    <t>MjA1OTA3MzIwMgMAAAADMTYwAgAAAAUzNTM4MAQAAAABMAcAAAAIMy83LzIwMjYIAAAACjEyLzMxLzIwMjAJAAAAATDAun4k/4HeCJiLAyj/gd4IK0NJUS5OWVNFOklCTS5JUV9HUk9TU19NQVJHSU4uOTk3LjA3LzAzLzIwMjYBAAAA3rYBAAIAAAAHNTQuMDAyOQEIAAAABQAAAAExAQAAAAstMTk1ODI4MTA5NgMAAAADMTYwAgAAAAQ0MDc0BAAAAAEwBwAAAAgzLzcvMjAyNggAAAAKMTIvMzEvMjAyMgkAAAABMMC6fiT/gd4IDzsDKP+B3ggvQ0lRLk5ZU0U6SUJNLklRX0VCSVREQV9DQVBFWF9JTlQuOTkzLjA3LzAzLzIwMjYBAAAA3rYBAAIAAAAJMTkuNzgyODQ5AQgAAAAFAAAAATEBAAAACjIwODE1MDU0MDEDAAAAAzE2MAIAAAAENDE5MQQAAAABMAcAAAAIMy83LzIwMjYIAAAACjEyLzMxLzIwMTgJAAAAATDAun4k/4HeCA87Ayj/gd4IKUNJUS5OWVNFOklCTS5JUV9FQklUREFfSU5ULjk5OS4wNy8wMy8yMDI2AQAAAN62AQACAAAACDguMjkxNDcxAQgAAAAFAAAAATEBAAAACy0xOTA0ODYwNzQzAwAAAAMxNjACAAAABDQxOTAEAAAAATAHAAAACDMvNy8yMDI2CAAAAAoxMi8zMS8yMDI0CQAAAAEwwLp+JP+B3ggPOwMo/4HeCDZDSVEuTllTRTpJQk0uSVFfVE9UQUxfTElBQl9UT1RBTF9BU1NFVFMuOTk1LjA3LzAzLzIwMjYBAAAA3rYBAAIAAAAHODYuNzExNgEIAAAABQAAAAExAQAAAAstMjA1OTA3MzIw</t>
  </si>
  <si>
    <t>MgMAAAADMTYwAgAAAAQ0MTg4BAAAAAEwBwAAAAgzLzcvMjAyNggAAAAKMTIvMzEvMjAyMAkAAAABMMC6fiT/gd4IpGQDKP+B3ggxQ0lRLk5ZU0U6SUJNLklRX1RPVEFMX0RFQlRfQ0FQSVRBTC45OTUuMDcvMDMvMjAyNgEAAADetgEAAgAAAAc3NS44NDc3AQgAAAAFAAAAATEBAAAACy0yMDU5MDczMjAyAwAAAAMxNjACAAAABDQxODYEAAAAATAHAAAACDMvNy8yMDI2CAAAAAoxMi8zMS8yMDIwCQAAAAEwwLp+JP+B3gikZAMo/4HeCDFDSVEuTllTRTpJQk0uSVFfREFZU19JTlZFTlRPUllfT1VULjk5Ny4wNy8wMy8yMDI2AQAAAN62AQACAAAACTIxLjI5MjI3NQEIAAAABQAAAAExAQAAAAstMTk1ODI4MTA5NgMAAAADMTYwAgAAAAQ0MDM1BAAAAAEwBwAAAAgzLzcvMjAyNggAAAAKMTIvMzEvMjAyMgkAAAABMMC6fiT/gd4I8BMDKP+B3ggwQ0lRLk5ZU0U6SUJNLklRX0dQXzFZUl9BTk5fR1JPV1RILjk5My4wNy8wMy8yMDI2AQAAAN62AQACAAAABy0wLjAxNjMBCAAAAAUAAAABMQEAAAAKMjA4MTUwNTQwMQMAAAADMTYwAgAAAAQ0MTk1BAAAAAEwBwAAAAgzLzcvMjAyNggAAAAKMTIvMzEvMjAxOAkAAAABMMC6fiT/gd4I8BMDKP+B3ggmQ0lRLk5ZU0U6SUJNLklRX1pfU0NPUkUuOTk5LjA3LzAzLzIwMjYBAAAA3rYBAAIAAAAGMy4yMjIyAQgAAAAFAAAAATEBAAAACy0xOTA0ODYwNzQzAwAAAAMxNjACAAAA</t>
  </si>
  <si>
    <t>BjEwMDEyMwQAAAABMAcAAAAIMy83LzIwMjYIAAAACjEyLzMxLzIwMjQJAAAAATDAun4k/4HeCPATAyj/gd4IRUNJUS5OWVNFOklCTS5JUV9ORVRfREVCVF9FQklUREFfRVhDTF9PUEVSX0xFQVNFU19DQVBFWC45OTUuMDcvMDMvMjAyNgEAAADetgEAAgAAAAg1Ljg3MDIzNgEIAAAABQAAAAExAQAAAAstMjA1OTA3MzIwMgMAAAADMTYwAgAAAAU0OTE4MgQAAAABMAcAAAAIMy83LzIwMjYIAAAACjEyLzMxLzIwMjAJAAAAATDAun4k/4HeCA87Ayj/gd4IP0NJUS5OWVNFOklCTS5JUV9ORVRfREVCVF9FQklUREFfRVhDTF9PUEVSX0xFQVNFUy45OTcuMDcvMDMvMjAyNgEAAADetgEAAgAAAAg0LjIwMTg1NgEIAAAABQAAAAExAQAAAAstMTk1ODI4MTA5NgMAAAADMTYwAgAAAAU0OTE3NQQAAAABMAcAAAAIMy83LzIwMjYIAAAACjEyLzMxLzIwMjIJAAAAATDAun4k/4HeCA87Ayj/gd4IMENJUS5OWVNFOklCTS5JUV9UT1RBTF9ERUJUX0VCSVREQS45OTcuMDcvMDMvMjAyNgEAAADetgEAAgAAAAg0LjQ5Mjg0NgEIAAAABQAAAAExAQAAAAstMTk1ODI4MTA5NgMAAAADMTYwAgAAAAQ0MTkyBAAAAAEwBwAAAAgzLzcvMjAyNggAAAAKMTIvMzEvMjAyMgkAAAABMMC6fiT/gd4InewCKP+B3ggwQ0lRLk5ZU0U6SUJNLklRX0VCSVRfNVlSX0FOTl9DQUdSLjk5OS4wNy8wMy8yMDI2AQAAAN62AQACAAAABjUuMzYwMQEI</t>
  </si>
  <si>
    <t>AAAABQAAAAExAQAAAAstMTkwNDg2MDc0MwMAAAADMTYwAgAAAAQ0MjM2BAAAAAEwBwAAAAgzLzcvMjAyNggAAAAKMTIvMzEvMjAyNAkAAAABMMC6fiT/gd4InewCKP+B3ggyQ0lRLk5ZU0U6SUJNLklRX0VCSVREQV81WVJfQU5OX0NBR1IuOTkzLjA3LzAzLzIwMjYBAAAA3rYBAAIAAAAHLTcuMTg5MwEIAAAABQAAAAExAQAAAAoyMDgxNTA1NDAxAwAAAAMxNjACAAAABDQyMzUEAAAAATAHAAAACDMvNy8yMDI2CAAAAAoxMi8zMS8yMDE4CQAAAAEwwLp+JP+B3gid7AIo/4HeCC5DSVEuTllTRTpJQk0uSVFfTklfM1lSX0FOTl9DQUdSLjk5NS4wNy8wMy8yMDI2AQAAAN62AQACAAAABy0wLjk1MzUBCAAAAAUAAAABMQEAAAALLTIwNTkwNzMyMDIDAAAAAzE2MAIAAAAENDIyNQQAAAABMAcAAAAIMy83LzIwMjYIAAAACjEyLzMxLzIwMjAJAAAAATDAun4k/4HeCJ3sAij/gd4INUNJUS5OWVNFOklCTS5JUV9UT1RBTF9SRVZfM1lSX0FOTl9DQUdSLjk5Ny4wNy8wMy8yMDI2AQAAAN62AQACAAAABjEuNjAwNgEIAAAABQAAAAExAQAAAAstMTk1ODI4MTA5NgMAAAADMTYwAgAAAAQ0MjIwBAAAAAEwBwAAAAgzLzcvMjAyNggAAAAKMTIvMzEvMjAyMgkAAAABMMC6fiT/gd4I8BMDKP+B3gg0Q0lRLk5ZU0U6SUJNLklRX0VCSVREQV8xWVJfQU5OX0dST1dUSC45OTkuMDcvMDMvMjAyNgEAAADetgEAAgAAAAY1LjEzMTcB</t>
  </si>
  <si>
    <t>CAAAAAUAAAABMQEAAAALLTE5MDQ4NjA3NDMDAAAAAzE2MAIAAAAENDE5NgQAAAABMAcAAAAIMy83LzIwMjYIAAAACjEyLzMxLzIwMjQJAAAAATDAun4k/4HeCNSxAij/gd4IMUNJUS5OWVNFOklCTS5JUV9BVkdfVEVNUF9FTVBMT1lFRVMuOTk4LjA3LzAzLzIwMjYBAAAA3rYBAAIAAAAFMTQ0MDABCAAAAAUAAAABMQEAAAALLTE5MDQ4NjA3NDQDAAAAAzE2MAIAAAAFMjQ2NzUEAAAAATAHAAAACDMvNy8yMDI2CAAAAAoxMi8zMS8yMDIzCQAAAAEwwLp+JP+B3gjUsQIo/4HeCCxDSVEuTllTRTpJQk0uSVFfQVZHX0VNUExPWUVFUy45OTIuMDcvMDMvMjAyNgEAAADetgEAAwAAAAAAwLp+JP+B3gjUsQIo/4HeCClDSVEuTllTRTpJQk0uSVFfUEFSVF9USU1FLjEwMDAuMDcvMDMvMjAyNgEAAADetgEAAwAAAAAAwLp+JP+B3gjUsQIo/4HeCChDSVEuTllTRTpJQk0uSVFfRlVMTF9USU1FLjk5NC4wNy8wMy8yMDI2AQAAAN62AQACAAAABjM1MjYwMADAun4k/4HeCJ3sAij/gd4IOENJUS5OWVNFOklCTS5JUV9UT1RBTF9PVVRTVEFORElOR19CU19EQVRFLjk5NC4wNy8wMy8yMDI2AQAAAN62AQACAAAACjg4Ny4xMTA0NTQBBAAAAAUAAAABNQEAAAALLTIxMTA3NjkzNTUCAAAABTI0MTUyBgAAAAEwwLp+JP+B3giqigIo/4HeCCtDSVEuTllTRTpJQk0uSVFfR1JPU1NfTUFSR0lOLjk5Ni4wNy8wMy8yMDI2AQAAAN62</t>
  </si>
  <si>
    <t>AQACAAAABzU0LjkwMDUBCAAAAAUAAAABMQEAAAALLTIwMDg2NDcxOTgDAAAAAzE2MAIAAAAENDA3NAQAAAABMAcAAAAIMy83LzIwMjYIAAAACjEyLzMxLzIwMjEJAAAAATDAun4k/4HeCKqKAij/gd4ILENJUS5OWVNFOklCTS5JUV9SRVRVUk5fQVNTRVRTLjk5OC4wNy8wMy8yMDI2AQAAAN62AQACAAAABjQuNDg2NAEIAAAABQAAAAExAQAAAAstMTkwNDg2MDc0NAMAAAADMTYwAgAAAAQ0MTc4BAAAAAEwBwAAAAgzLzcvMjAyNggAAAAKMTIvMzEvMjAyMwkAAAABMMC6fiT/gd4IqooCKP+B3ggrQ0lRLk5ZU0U6SUJNLklRX0NBTENfVFlQRV9CUy45OTguMDcvMDMvMjAyNgEAAADetgEAAwAAAANSVVAAwLp+JP+B3gjUsQIo/4HeCC5DSVEuTllTRTpJQk0uSVFfQ09TVF9CT1JST1dJTkcuMTAwMC4wNy8wMy8yMDI2AQAAAN62AQACAAAABjMuMTUyNwEIAAAABQAAAAExAQAAAAstMTkwNDg2MDc0MAMAAAADMTYwAgAAAAUyMTY4MQQAAAABMAcAAAAIMy83LzIwMjYIAAAACjEyLzMxLzIwMjUJAAAAATDAun4k/4HeCMhjAij/gd4ILENJUS5OWVNFOklCTS5JUV9DVVJSRU5UX1JBVElPLjk5OC4wNy8wMy8yMDI2AQAAAN62AQACAAAACDAuOTY0NDIxAQgAAAAFAAAAATEBAAAACy0xOTA0ODYwNzQ0AwAAAAMxNjACAAAABDQwMzAEAAAAATAHAAAACDMvNy8yMDI2CAAAAAoxMi8zMS8yMDIzCQAAAAEwwLp+JP+B3gjI</t>
  </si>
  <si>
    <t>YwIo/4HeCC5DSVEuTllTRTpJQk0uSVFfSU5WRU5UT1JZX1RVUk5TLjk5Mi4wNy8wMy8yMDI2AQAAAN62AQACAAAACDI2LjEzOTAzAQgAAAAFAAAAATEBAAAACjIwMTcxNjQyNDQDAAAAAzE2MAIAAAAENDA4MgQAAAABMAcAAAAIMy83LzIwMjYIAAAACjEyLzMxLzIwMTcJAAAAATDAun4k/4HeCMhjAij/gd4IK0NJUS5OWVNFOklCTS5JUV9BU1NFVF9UVVJOUy4xMDAwLjA3LzAzLzIwMjYBAAAA3rYBAAIAAAAIMC40NjcyODEBCAAAAAUAAAABMQEAAAALLTE5MDQ4NjA3NDADAAAAAzE2MAIAAAAENDE3NwQAAAABMAcAAAAIMy83LzIwMjYIAAAACjEyLzMxLzIwMjUJAAAAATDAun4k/4HeCMhjAij/gd4ILENJUS5OWVNFOklCTS5JUV9DQVBFWF9QQ1RfUkVWLjk5NC4wNy8wMy8yMDI2AQAAAN62AQACAAAABjMuOTYwOQEIAAAABQAAAAExAQAAAAstMjExMDc2OTM1NQMAAAADMTYwAgAAAAUzNTM4MAQAAAABMAcAAAAIMy83LzIwMjYIAAAACjEyLzMxLzIwMTkJAAAAATDAun4k/4HeCKqKAij/gd4IK0NJUS5OWVNFOklCTS5JUV9FQklUX01BUkdJTi4xMDAwLjA3LzAzLzIwMjYBAAAA3rYBAAIAAAAHMTguNjA5NgEIAAAABQAAAAExAQAAAAstMTkwNDg2MDc0MAMAAAADMTYwAgAAAAQ0MDUzBAAAAAEwBwAAAAgzLzcvMjAyNggAAAAKMTIvMzEvMjAyNQkAAAABMMC6fiT/gd4ImjwCKP+B3ggpQ0lRLk5ZU0U6SUJN</t>
  </si>
  <si>
    <t>LklRX0VCSVREQV9JTlQuOTk4LjA3LzAzLzIwMjYBAAAA3rYBAAIAAAAIOC40MzEyMzgBCAAAAAUAAAABMQEAAAALLTE5MDQ4NjA3NDQDAAAAAzE2MAIAAAAENDE5MAQAAAABMAcAAAAIMy83LzIwMjYIAAAACjEyLzMxLzIwMjMJAAAAATDAun4k/4HeCJo8Aij/gd4IJ0NJUS5OWVNFOklCTS5JUV9FQklUX0lOVC45OTIuMDcvMDMvMjAyNgEAAADetgEAAgAAAAkxOC45OTUxMjEBCAAAAAUAAAABMQEAAAAKMjAxNzE2NDI0NAMAAAADMTYwAgAAAAQ0MTg5BAAAAAEwBwAAAAgzLzcvMjAyNggAAAAKMTIvMzEvMjAxNwkAAAABMMC6fiT/gd4ImjwCKP+B3gguQ0lRLk5ZU0U6SUJNLklRX0xUX0RFQlRfRVFVSVRZLjEwMDAuMDcvMDMvMjAyNgEAAADetgEAAgAAAAgxNzUuMjYzNAEIAAAABQAAAAExAQAAAAstMTkwNDg2MDc0MAMAAAADMTYwAgAAAAQ0MDg1BAAAAAEwBwAAAAgzLzcvMjAyNggAAAAKMTIvMzEvMjAyNQkAAAABMMC6fiT/gd4ImjwCKP+B3ggxQ0lRLk5ZU0U6SUJNLklRX1RPVEFMX0RFQlRfQ0FQSVRBTC45OTQuMDcvMDMvMjAyNgEAAADetgEAAgAAAAc3Ni40NTkxAQgAAAAFAAAAATEBAAAACy0yMTEwNzY5MzU1AwAAAAMxNjACAAAABDQxODYEAAAAATAHAAAACDMvNy8yMDI2CAAAAAoxMi8zMS8yMDE5CQAAAAEwwLp+JP+B3gjIYwIo/4HeCDFDSVEuTllTRTpJQk0uSVFfREFZU19JTlZFTlRPUllf</t>
  </si>
  <si>
    <t>T1VULjk5Ni4wNy8wMy8yMDI2AQAAAN62AQACAAAACTI0LjkzNDk3NQEIAAAABQAAAAExAQAAAAstMjAwODY0NzE5OAMAAAADMTYwAgAAAAQ0MDM1BAAAAAEwBwAAAAgzLzcvMjAyNggAAAAKMTIvMzEvMjAyMQkAAAABMMC6fiT/gd4IeRUCKP+B3ghFQ0lRLk5ZU0U6SUJNLklRX05FVF9ERUJUX0VCSVREQV9FWENMX09QRVJfTEVBU0VTX0NBUEVYLjk5NC4wNy8wMy8yMDI2AQAAAN62AQACAAAACDUuMjQxMzM2AQgAAAAFAAAAATEBAAAACy0yMTEwNzY5MzU1AwAAAAMxNjACAAAABTQ5MTgyBAAAAAEwBwAAAAgzLzcvMjAyNggAAAAKMTIvMzEvMjAxOQkAAAABMMC6fiT/gd4IeRUCKP+B3ghIQ0lRLk5ZU0U6SUJNLklRX1RPVEFMX0RFQlRfRUJJVERBX0VYQ0xfT1BFUl9MRUFTRVNfQ0FQRVguMTAwMC4wNy8wMy8yMDI2AQAAAN62AQACAAAACDQuMjk5Mzk0AQgAAAAFAAAAATEBAAAACy0xOTA0ODYwNzQwAwAAAAMxNjACAAAABTQ5MTgzBAAAAAEwBwAAAAgzLzcvMjAyNggAAAAKMTIvMzEvMjAyNQkAAAABMMC6fiT/gd4IeRUCKP+B3gg2Q0lRLk5ZU0U6SUJNLklRX1RPVEFMX0RFQlRfRUJJVERBX0NBUEVYLjk5NC4wNy8wMy8yMDI2AQAAAN62AQACAAAACDUuMjY5MjY5AQgAAAAFAAAAATEBAAAACy0yMTEwNzY5MzU1AwAAAAMxNjACAAAABTIzMzEzBAAAAAEwBwAAAAgzLzcvMjAyNggAAAAKMTIvMzEvMjAx</t>
  </si>
  <si>
    <t>OQkAAAABMMC6fiT/gd4IeRUCKP+B3ggwQ0lRLk5ZU0U6SUJNLklRX1RPVEFMX0RFQlRfRUJJVERBLjk5Ni4wNy8wMy8yMDI2AQAAAN62AQACAAAACDQuMzI2MDYzAQgAAAAFAAAAATEBAAAACy0yMDA4NjQ3MTk4AwAAAAMxNjACAAAABDQxOTIEAAAAATAHAAAACDMvNy8yMDI2CAAAAAoxMi8zMS8yMDIxCQAAAAEwwLp+JP+B3gh5FQIo/4HeCC9DSVEuTllTRTpJQk0uSVFfRUJJVERBX0NBUEVYX0lOVC45OTIuMDcvMDMvMjAyNgEAAADetgEAAgAAAAkyMS4xMjg0NTUBCAAAAAUAAAABMQEAAAAKMjAxNzE2NDI0NAMAAAADMTYwAgAAAAQ0MTkxBAAAAAEwBwAAAAgzLzcvMjAyNggAAAAKMTIvMzEvMjAxNwkAAAABMMC6fiT/gd4Ia7MBKP+B3ggzQ0lRLk5ZU0U6SUJNLklRX0VCSVREQV8zWVJfQU5OX0NBR1IuMTAwMC4wNy8wMy8yMDI2AQAAAN62AQACAAAABzE0LjM2NjMBCAAAAAUAAAABMQEAAAALLTE5MDQ4NjA3NDADAAAAAzE2MAIAAAAENDIyMgQAAAABMAcAAAAIMy83LzIwMjYIAAAACjEyLzMxLzIwMjUJAAAAATDAun4k/4HeCC3uASj/gd4INUNJUS5OWVNFOklCTS5JUV9UT1RBTF9SRVZfM1lSX0FOTl9DQUdSLjk5Ni4wNy8wMy8yMDI2AQAAAN62AQACAAAACC0xMC4zNDgyAQgAAAAFAAAAATEBAAAACy0yMDA4NjQ3MTk4AwAAAAMxNjACAAAABDQyMjAEAAAAATAHAAAACDMvNy8yMDI2CAAAAAoxMi8z</t>
  </si>
  <si>
    <t>MS8yMDIxCQAAAAEwwLp+JP+B3ggt7gEo/4HeCDJDSVEuTllTRTpJQk0uSVFfRUJJVF8xWVJfQU5OX0dST1dUSC45OTYuMDcvMDMvMjAyNgEAAADetgEAAgAAAAcxOS43NTU0AQgAAAAFAAAAATEBAAAACy0yMDA4NjQ3MTk4AwAAAAMxNjACAAAABDQxOTcEAAAAATAHAAAACDMvNy8yMDI2CAAAAAoxMi8zMS8yMDIxCQAAAAEwwLp+JP+B3ggt7gEo/4HeCDBDSVEuTllTRTpJQk0uSVFfR1BfMVlSX0FOTl9HUk9XVEguOTkyLjA3LzAzLzIwMjYBAAAA3rYBAAIAAAAHLTQuMDg2NgEIAAAABQAAAAExAQAAAAoyMDE3MTY0MjQ0AwAAAAMxNjACAAAABDQxOTUEAAAAATAHAAAACDMvNy8yMDI2CAAAAAoxMi8zMS8yMDE3CQAAAAEwwLp+JP+B3ggt7gEo/4HeCCZDSVEuTllTRTpJQk0uSVFfWl9TQ09SRS45OTguMDcvMDMvMjAyNgEAAADetgEAAgAAAAgyLjkxNjI3MgEIAAAABQAAAAExAQAAAAstMTkwNDg2MDc0NAMAAAADMTYwAgAAAAYxMDAxMjMEAAAAATAHAAAACDMvNy8yMDI2CAAAAAoxMi8zMS8yMDIzCQAAAAEwwLp+JP+B3ghrswEo/4HeCDBDSVEuTllTRTpJQk0uSVFfRVBTXzVZUl9BTk5fQ0FHUi4xMDAwLjA3LzAzLzIwMjYBAAAA3rYBAAIAAAAHMjAuNTA3NwEIAAAABQAAAAExAQAAAAstMTkwNDg2MDc0MAMAAAADMTYwAgAAAAQ0MjM5BAAAAAEwBwAAAAgzLzcvMjAyNggAAAAKMTIvMzEvMjAyNQkAAAAB</t>
  </si>
  <si>
    <t>MMC6fiT/gd4Ia7MBKP+B3ggwQ0lRLk5ZU0U6SUJNLklRX0VCSVRfNVlSX0FOTl9DQUdSLjk5OC4wNy8wMy8yMDI2AQAAAN62AQACAAAABy02LjU0ODUBCAAAAAUAAAABMQEAAAALLTE5MDQ4NjA3NDQDAAAAAzE2MAIAAAAENDIzNgQAAAABMAcAAAAIMy83LzIwMjYIAAAACjEyLzMxLzIwMjMJAAAAATDAun4k/4HeCGuzASj/gd4IMkNJUS5OWVNFOklCTS5JUV9FQklUREFfNVlSX0FOTl9DQUdSLjk5Mi4wNy8wMy8yMDI2AQAAAN62AQACAAAACC0xMC4wMDI4AQgAAAAFAAAAATEBAAAACjIwMTcxNjQyNDQDAAAAAzE2MAIAAAAENDIzNQQAAAABMAcAAAAIMy83LzIwMjYIAAAACjEyLzMxLzIwMTcJAAAAATDAun4k/4HeCGuzASj/gd4INUNJUS5OWVNFOklCTS5JUV9UT1RBTF9SRVZfNVlSX0FOTl9DQUdSLjk5OC4wNy8wMy8yMDI2AQAAAN62AQACAAAABy00LjkxNTYBCAAAAAUAAAABMQEAAAALLTE5MDQ4NjA3NDQDAAAAAzE2MAIAAAAENDIzMwQAAAABMAcAAAAIMy83LzIwMjYIAAAACjEyLzMxLzIwMjMJAAAAATDAun4k/4HeCGuzASj/gd4ILkNJUS5OWVNFOklCTS5JUV9OSV8zWVJfQU5OX0NBR1IuOTk0LjA3LzAzLzIwMjYBAAAA3rYBAAIAAAAHLTcuMzg1NwEIAAAABQAAAAExAQAAAAstMjExMDc2OTM1NQMAAAADMTYwAgAAAAQ0MjI1BAAAAAEwBwAAAAgzLzcvMjAyNggAAAAKMTIvMzEvMjAxOQkAAAAB</t>
  </si>
  <si>
    <t>MMC6fiT/gd4IWHgBKP+B3ggtQ0lRLk5ZU0U6SUJNLklRX0NPU1RfQk9SUk9XSU5HLjk5OS4wNy8wMy8yMDI2AQAAAN62AQACAAAABjIuOTEzOAEIAAAABQAAAAExAQAAAAstMTkwNDg2MDc0MwMAAAADMTYwAgAAAAUyMTY4MQQAAAABMAcAAAAIMy83LzIwMjYIAAAACjEyLzMxLzIwMjQJAAAAATDAun4k/4HeCFh4ASj/gd4IMUNJUS5OWVNFOklCTS5JUV9BVkdfVEVNUF9FTVBMT1lFRVMuOTk3LjA3LzAzLzIwMjYBAAAA3rYBAAIAAAAFMTQ4MDABCAAAAAUAAAABMQEAAAALLTE5NTgyODEwOTYDAAAAAzE2MAIAAAAFMjQ2NzUEAAAAATAHAAAACDMvNy8yMDI2CAAAAAoxMi8zMS8yMDIyCQAAAAEwwLp+JP+B3ghfnwEo/4HeCC5DSVEuTllTRTpJQk0uSVFfVE9UQUxfRU1QTE9ZRUVTLjk5Ny4wNy8wMy8yMDI2AQAAAN62AQACAAAABjI4ODMwMADAun4k/4HeCGuzASj/gd4IKENJUS5OWVNFOklCTS5JUV9GVUxMX1RJTUUuOTkzLjA3LzAzLzIwMjYBAAAA3rYBAAIAAAAGMzUwNjAwAMC6fiT/gd4IKlEBKP+B3ggsQ0lRLk5ZU0U6SUJNLklRX0NBUEVYX1BDVF9SRVYuOTkzLjA3LzAzLzIwMjYBAAAA3rYBAAIAAAAGNC4yNjU1AQgAAAAFAAAAATEBAAAACjIwODE1MDU0MDEDAAAAAzE2MAIAAAAFMzUzODAEAAAAATAHAAAACDMvNy8yMDI2CAAAAAoxMi8zMS8yMDE4CQAAAAEwwLp+JP+B3ggqUQEo/4HeCCpDSVEu</t>
  </si>
  <si>
    <t>TllTRTpJQk0uSVFfRUJJVF9NQVJHSU4uOTk5LjA3LzAzLzIwMjYBAAAA3rYBAAIAAAAHMTUuNTk3NgEIAAAABQAAAAExAQAAAAstMTkwNDg2MDc0MwMAAAADMTYwAgAAAAQ0MDUzBAAAAAEwBwAAAAgzLzcvMjAyNggAAAAKMTIvMzEvMjAyNAkAAAABMMC6fiT/gd4IKlEBKP+B3ggrQ0lRLk5ZU0U6SUJNLklRX0dST1NTX01BUkdJTi45OTUuMDcvMDMvMjAyNgEAAADetgEAAgAAAAc1NS45MzYxAQgAAAAFAAAAATEBAAAACy0yMDU5MDczMjAyAwAAAAMxNjACAAAABDQwNzQEAAAAATAHAAAACDMvNy8yMDI2CAAAAAoxMi8zMS8yMDIwCQAAAAEwwLp+JP+B3ghYeAEo/4HeCC1DSVEuTllTRTpJQk0uSVFfUkVUVVJOX0NBUElUQUwuOTk1LjA3LzAzLzIwMjYBAAAA3rYBAAIAAAAGMy4zMzA4AQgAAAAFAAAAATEBAAAACy0yMDU5MDczMjAyAwAAAAMxNjACAAAABDQzNjMEAAAAATAHAAAACDMvNy8yMDI2CAAAAAoxMi8zMS8yMDIwCQAAAAEwwLp+JP+B3ghYeAEo/4HeCCtDSVEuTllTRTpJQk0uSVFfQ0FMQ19UWVBFX0JTLjk5Ny4wNy8wMy8yMDI2AQAAAN62AQADAAAAA1JVUADAun4k/4HeCAUDASj/gd4IMUNJUS5OWVNFOklCTS5JUV9UT1RBTF9ERUJUX0NBUElUQUwuOTkzLjA3LzAzLzIwMjYBAAAA3rYBAAIAAAAHNzMuMDE2NAEIAAAABQAAAAExAQAAAAoyMDgxNTA1NDAxAwAAAAMxNjACAAAABDQxODYEAAAA</t>
  </si>
  <si>
    <t>ATAHAAAACDMvNy8yMDI2CAAAAAoxMi8zMS8yMDE4CQAAAAEwwLp+JP+B3ggQKgEo/4HeCC5DSVEuTllTRTpJQk0uSVFfQ0FTSF9DT05WRVJTSU9OLjk5OS4wNy8wMy8yMDI2AQAAAN62AQACAAAACDUuNDA2NTUyAQgAAAAFAAAAATEBAAAACy0xOTA0ODYwNzQzAwAAAAMxNjACAAAABDQxODQEAAAAATAHAAAACDMvNy8yMDI2CAAAAAoxMi8zMS8yMDI0CQAAAAEwwLp+JP+B3ggQKgEo/4HeCDFDSVEuTllTRTpJQk0uSVFfREFZU19JTlZFTlRPUllfT1VULjk5NS4wNy8wMy8yMDI2AQAAAN62AQACAAAACTI2LjQ1MTE4NgEIAAAABQAAAAExAQAAAAstMjA1OTA3MzIwMgMAAAADMTYwAgAAAAQ0MDM1BAAAAAEwBwAAAAgzLzcvMjAyNggAAAAKMTIvMzEvMjAyMAkAAAABMMC6fiT/gd4IECoBKP+B3ggsQ0lRLk5ZU0U6SUJNLklRX0NVUlJFTlRfUkFUSU8uOTk3LjA3LzAzLzIwMjYBAAAA3rYBAAIAAAAIMC45MjQyMzQBCAAAAAUAAAABMQEAAAALLTE5NTgyODEwOTYDAAAAAzE2MAIAAAAENDAzMAQAAAABMAcAAAAIMy83LzIwMjYIAAAACjEyLzMxLzIwMjIJAAAAATDAun4k/4HeCBAqASj/gd4IMENJUS5OWVNFOklCTS5JUV9GSVhFRF9BU1NFVF9UVVJOUy45OTcuMDcvMDMvMjAyNgEAAADetgEAAgAAAAg3LjA2Nzk1OAEIAAAABQAAAAExAQAAAAstMTk1ODI4MTA5NgMAAAADMTYwAgAAAAQ0MDY2BAAAAAEwBwAA</t>
  </si>
  <si>
    <t>AAgzLzcvMjAyNggAAAAKMTIvMzEvMjAyMgkAAAABMMC6fiT/gd4I8dsAKP+B3ghHQ0lRLk5ZU0U6SUJNLklRX1RPVEFMX0RFQlRfRUJJVERBX0VYQ0xfT1BFUl9MRUFTRVNfQ0FQRVguOTk5LjA3LzAzLzIwMjYBAAAA3rYBAAIAAAAINC45MzI5MjcBCAAAAAUAAAABMQEAAAALLTE5MDQ4NjA3NDMDAAAAAzE2MAIAAAAFNDkxODMEAAAAATAHAAAACDMvNy8yMDI2CAAAAAoxMi8zMS8yMDI0CQAAAAEwwLp+JP+B3ggFAwEo/4HeCDZDSVEuTllTRTpJQk0uSVFfVE9UQUxfREVCVF9FQklUREFfQ0FQRVguOTkzLjA3LzAzLzIwMjYBAAAA3rYBAAIAAAAIMy4yMDI5NjQBCAAAAAUAAAABMQEAAAAKMjA4MTUwNTQwMQMAAAADMTYwAgAAAAUyMzMxMwQAAAABMAcAAAAIMy83LzIwMjYIAAAACjEyLzMxLzIwMTgJAAAAATDAun4k/4HeCAUDASj/gd4IMENJUS5OWVNFOklCTS5JUV9UT1RBTF9ERUJUX0VCSVREQS45OTUuMDcvMDMvMjAyNgEAAADetgEAAgAAAAg1LjA1MzAyMwEIAAAABQAAAAExAQAAAAstMjA1OTA3MzIwMgMAAAADMTYwAgAAAAQ0MTkyBAAAAAEwBwAAAAgzLzcvMjAyNggAAAAKMTIvMzEvMjAyMAkAAAABMMC6fiT/gd4IBQMBKP+B3ggpQ0lRLk5ZU0U6SUJNLklRX0VCSVREQV9JTlQuOTk3LjA3LzAzLzIwMjYBAAAA3rYBAAIAAAAIOS44ODY1MTMBCAAAAAUAAAABMQEAAAALLTE5NTgyODEwOTYDAAAA</t>
  </si>
  <si>
    <t>AzE2MAIAAAAENDE5MAQAAAABMAcAAAAIMy83LzIwMjYIAAAACjEyLzMxLzIwMjIJAAAAATDAun4k/4HeCAUDASj/gd4ILUNJUS5OWVNFOklCTS5JUV9MVF9ERUJUX0VRVUlUWS45OTkuMDcvMDMvMjAyNgEAAADetgEAAgAAAAgxOTEuNzk3MQEIAAAABQAAAAExAQAAAAstMTkwNDg2MDc0MwMAAAADMTYwAgAAAAQ0MDg1BAAAAAEwBwAAAAgzLzcvMjAyNggAAAAKMTIvMzEvMjAyNAkAAAABMMC6fiT/gd4I67QAKP+B3gguQ0lRLk5ZU0U6SUJNLklRX05JXzNZUl9BTk5fQ0FHUi45OTMuMDcvMDMvMjAyNgEAAADetgEAAgAAAAgtMTIuODU4OQEIAAAABQAAAAExAQAAAAoyMDgxNTA1NDAxAwAAAAMxNjACAAAABDQyMjUEAAAAATAHAAAACDMvNy8yMDI2CAAAAAoxMi8zMS8yMDE4CQAAAAEwwLp+JP+B3gjrtAAo/4HeCDJDSVEuTllTRTpJQk0uSVFfRUJJVERBXzNZUl9BTk5fQ0FHUi45OTkuMDcvMDMvMjAyNgEAAADetgEAAgAAAAY0LjQ0NzUBCAAAAAUAAAABMQEAAAALLTE5MDQ4NjA3NDMDAAAAAzE2MAIAAAAENDIyMgQAAAABMAcAAAAIMy83LzIwMjYIAAAACjEyLzMxLzIwMjQJAAAAATDAun4k/4HeCPHbACj/gd4ILkNJUS5OWVNFOklCTS5JUV9HUF8zWVJfQU5OX0NBR1IuOTkzLjA3LzAzLzIwMjYBAAAA3rYBAAIAAAAHLTMuMTY5NAEIAAAABQAAAAExAQAAAAoyMDgxNTA1NDAxAwAAAAMxNjACAAAABDQy</t>
  </si>
  <si>
    <t>MjEEAAAAATAHAAAACDMvNy8yMDI2CAAAAAoxMi8zMS8yMDE4CQAAAAEwwLp+JP+B3gjx2wAo/4HeCDJDSVEuTllTRTpJQk0uSVFfRUJJVF8xWVJfQU5OX0dST1dUSC45OTUuMDcvMDMvMjAyNgEAAADetgEAAgAAAAgtMzguMTYxNgEIAAAABQAAAAExAQAAAAstMjA1OTA3MzIwMgMAAAADMTYwAgAAAAQ0MTk3BAAAAAEwBwAAAAgzLzcvMjAyNggAAAAKMTIvMzEvMjAyMAkAAAABMMC6fiT/gd4I8dsAKP+B3ggmQ0lRLk5ZU0U6SUJNLklRX1pfU0NPUkUuOTk3LjA3LzAzLzIwMjYBAAAA3rYBAAIAAAAIMi45ODMyMzkBCAAAAAUAAAABMQEAAAALLTE5NTgyODEwOTYDAAAAAzE2MAIAAAAGMTAwMTIzBAAAAAEwBwAAAAgzLzcvMjAyNggAAAAKMTIvMzEvMjAyMgkAAAABMMC6fiT/gd4ImY0AKP+B3gguQ0lRLk5ZU0U6SUJNLklRX1RPVEFMX0VNUExPWUVFUy45OTYuMDcvMDMvMjAyNgEAAADetgEAAgAAAAYyODIxMDAAwLp+JP+B3giZjQAo/4HeCChDSVEuTllTRTpJQk0uSVFfRlVMTF9USU1FLjk5Mi4wNy8wMy8yMDI2AQAAAN62AQACAAAABjM2NjYwMADAun4k/4HeCJmNACj/gd4IL0NJUS5OWVNFOklCTS5JUV9FUFNfNVlSX0FOTl9DQUdSLjk5OS4wNy8wMy8yMDI2AQAAAN62AQACAAAABy00LjMwNTEBCAAAAAUAAAABMQEAAAALLTE5MDQ4NjA3NDMDAAAAAzE2MAIAAAAENDIzOQQAAAABMAcAAAAIMy83LzIw</t>
  </si>
  <si>
    <t>MjYIAAAACjEyLzMxLzIwMjQJAAAAATDAun4k/4HeCOu0ACj/gd4ILkNJUS5OWVNFOklCTS5JUV9OSV81WVJfQU5OX0NBR1IuOTk1LjA3LzAzLzIwMjYBAAAA3rYBAAIAAAAILTE1Ljc3NjUBCAAAAAUAAAABMQEAAAALLTIwNTkwNzMyMDIDAAAAAzE2MAIAAAAENDIzOAQAAAABMAcAAAAIMy83LzIwMjYIAAAACjEyLzMxLzIwMjAJAAAAATDAun4k/4HeCOu0ACj/gd4INUNJUS5OWVNFOklCTS5JUV9UT1RBTF9SRVZfNVlSX0FOTl9DQUdSLjk5Ny4wNy8wMy8yMDI2AQAAAN62AQACAAAABy01LjIyMDIBCAAAAAUAAAABMQEAAAALLTE5NTgyODEwOTYDAAAAAzE2MAIAAAAENDIzMwQAAAABMAcAAAAIMy83LzIwMjYIAAAACjEyLzMxLzIwMjIJAAAAATDAun4k/4HeCMs+ACj/gd4ILENJUS5OWVNFOklCTS5JUV9FQklUREFfTUFSR0lOLjk5Mi4wNy8wMy8yMDI2AQAAAN62AQACAAAABzIwLjQ5OTMBCAAAAAUAAAABMQEAAAAKMjAxNzE2NDI0NAMAAAADMTYwAgAAAAQ0MDQ3BAAAAAEwBwAAAAgzLzcvMjAyNggAAAAKMTIvMzEvMjAxNwkAAAABMMC6fiT/gd4ImHkAKP+B3ggtQ0lRLk5ZU0U6SUJNLklRX1JFVFVSTl9FUVVJVFkuMTAwMC4wNy8wMy8yMDI2AQAAAN62AQACAAAABzM1LjE1ODEBCAAAAAUAAAABMQEAAAALLTE5MDQ4NjA3NDADAAAAAzE2MAIAAAAENDEyOAQAAAABMAcAAAAIMy83LzIwMjYIAAAACjEy</t>
  </si>
  <si>
    <t>LzMxLzIwMjUJAAAAATDAun4k/4HeCJh5ACj/gd4ILUNJUS5OWVNFOklCTS5JUV9SRVRVUk5fQ0FQSVRBTC45OTQuMDcvMDMvMjAyNgEAAADetgEAAgAAAAY2LjIwNDUBCAAAAAUAAAABMQEAAAALLTIxMTA3NjkzNTUDAAAAAzE2MAIAAAAENDM2MwQAAAABMAcAAAAIMy83LzIwMjYIAAAACjEyLzMxLzIwMTkJAAAAATDAun4k/4HeCJh5ACj/gd4IK0NJUS5OWVNFOklCTS5JUV9DQUxDX1RZUEVfQlMuOTk2LjA3LzAzLzIwMjYBAAAA3rYBAAMAAAADUlVQAMC6fiT/gd4ImY0AKP+B3ggwQ0lRLk5ZU0U6SUJNLklRX05VTUJFUl9BRFJIT0xERVJTLjk5NC4wNy8wMy8yMDI2AQAAAN62AQADAAAAAADAun4k/4HeCMs+ACj/gd4IMENJUS5OWVNFOklCTS5JUV9DRk9fQ1VSUkVOVF9MSUFCLjEwMDAuMDcvMDMvMjAyNgEAAADetgEAAgAAAAgwLjM0MTI3NAEIAAAABQAAAAExAQAAAAstMTkwNDg2MDc0MAMAAAADMTYwAgAAAAQ0MTg1BAAAAAEwBwAAAAgzLzcvMjAyNggAAAAKMTIvMzEvMjAyNQkAAAABMMC6fiT/gd4Iyz4AKP+B3ggqQ0lRLk5ZU0U6SUJNLklRX1FVSUNLX1JBVElPLjk5NC4wNy8wMy8yMDI2AQAAAN62AQACAAAABzAuODc4NzMBCAAAAAUAAAABMQEAAAALLTIxMTA3NjkzNTUDAAAAAzE2MAIAAAAENDEyMQQAAAABMAcAAAAIMy83LzIwMjYIAAAACjEyLzMxLzIwMTkJAAAAATDAun4k/4HeCMs+ACj/</t>
  </si>
  <si>
    <t>gd4IMENJUS5OWVNFOklCTS5JUV9GSVhFRF9BU1NFVF9UVVJOUy45OTYuMDcvMDMvMjAyNgEAAADetgEAAgAAAAg2LjEzODA2MwEIAAAABQAAAAExAQAAAAstMjAwODY0NzE5OAMAAAADMTYwAgAAAAQ0MDY2BAAAAAEwBwAAAAgzLzcvMjAyNggAAAAKMTIvMzEvMjAyMQkAAAABMMC6fiT/gd4Iyz4AKP+B3ggsQ0lRLk5ZU0U6SUJNLklRX0NBUEVYX1BDVF9SRVYuOTkyLjA3LzAzLzIwMjYBAAAA3rYBAAIAAAAGNC4wODAxAQgAAAAFAAAAATEBAAAACjIwMTcxNjQyNDQDAAAAAzE2MAIAAAAFMzUzODAEAAAAATAHAAAACDMvNy8yMDI2CAAAAAoxMi8zMS8yMDE3CQAAAAEwwLp+JP+B3gjLPgAo/4HeCCpDSVEuTllTRTpJQk0uSVFfRUJJVF9NQVJHSU4uOTk4LjA3LzAzLzIwMjYBAAAA3rYBAAIAAAAHMTUuMjI5NQEIAAAABQAAAAExAQAAAAstMTkwNDg2MDc0NAMAAAADMTYwAgAAAAQ0MDUzBAAAAAEwBwAAAAgzLzcvMjAyNggAAAAKMTIvMzEvMjAyMwkAAAABMMC6fiT/gd4I7xcAKP+B3ggpQ0lRLk5ZU0U6SUJNLklRX0VCSVREQV9JTlQuOTk2LjA3LzAzLzIwMjYBAAAA3rYBAAIAAAAJMTEuMDM1NDk3AQgAAAAFAAAAATEBAAAACy0yMDA4NjQ3MTk4AwAAAAMxNjACAAAABDQxOTAEAAAAATAHAAAACDMvNy8yMDI2CAAAAAoxMi8zMS8yMDIxCQAAAAEwwLp+JP+B3gjvFwAo/4HeCC5DSVEuTllTRTpJQk0uSVFf</t>
  </si>
  <si>
    <t>TFRfREVCVF9DQVBJVEFMLjk5Ni4wNy8wMy8yMDI2AQAAAN62AQACAAAABzYzLjkwODIBCAAAAAUAAAABMQEAAAALLTIwMDg2NDcxOTgDAAAAAzE2MAIAAAAENDE4NwQAAAABMAcAAAAIMy83LzIwMjYIAAAACjEyLzMxLzIwMjEJAAAAATDAun4k/4HeCO8XACj/gd4IMUNJUS5OWVNFOklCTS5JUV9UT1RBTF9ERUJUX0NBUElUQUwuOTkyLjA3LzAzLzIwMjYBAAAA3rYBAAIAAAAHNzIuNTU0NgEIAAAABQAAAAExAQAAAAoyMDE3MTY0MjQ0AwAAAAMxNjACAAAABDQxODYEAAAAATAHAAAACDMvNy8yMDI2CAAAAAoxMi8zMS8yMDE3CQAAAAEwwLp+JP+B3gjvFwAo/4HeCC5DSVEuTllTRTpJQk0uSVFfQ0FTSF9DT05WRVJTSU9OLjk5OC4wNy8wMy8yMDI2AQAAAN62AQACAAAABzYuNDI5MTEBCAAAAAUAAAABMQEAAAALLTE5MDQ4NjA3NDQDAAAAAzE2MAIAAAAENDE4NAQAAAABMAcAAAAIMy83LzIwMjYIAAAACjEyLzMxLzIwMjMJAAAAATDAun4k/4HeCO8XACj/gd4IMUNJUS5OWVNFOklCTS5JUV9EQVlTX0lOVkVOVE9SWV9PVVQuOTk0LjA3LzAzLzIwMjYBAAAA3rYBAAIAAAAIMjMuNjQ2ODkBCAAAAAUAAAABMQEAAAALLTIxMTA3NjkzNTUDAAAAAzE2MAIAAAAENDAzNQQAAAABMAcAAAAIMy83LzIwMjYIAAAACjEyLzMxLzIwMTkJAAAAATDAun4k/4HeCADb/yf/gd4IR0NJUS5OWVNFOklCTS5JUV9UT1RBTF9E</t>
  </si>
  <si>
    <t>RUJUX0VCSVREQV9FWENMX09QRVJfTEVBU0VTX0NBUEVYLjk5OC4wNy8wMy8yMDI2AQAAAN62AQACAAAACDUuNDQyNjk4AQgAAAAFAAAAATEBAAAACy0xOTA0ODYwNzQ0AwAAAAMxNjACAAAABTQ5MTgzBAAAAAEwBwAAAAgzLzcvMjAyNggAAAAKMTIvMzEvMjAyMwkAAAABMMC6fiT/gd4IRPD/J/+B3gg2Q0lRLk5ZU0U6SUJNLklRX1RPVEFMX0RFQlRfRUJJVERBX0NBUEVYLjk5Mi4wNy8wMy8yMDI2AQAAAN62AQACAAAACDMuNjA2MTI1AQgAAAAFAAAAATEBAAAACjIwMTcxNjQyNDQDAAAAAzE2MAIAAAAFMjMzMTMEAAAAATAHAAAACDMvNy8yMDI2CAAAAAoxMi8zMS8yMDE3CQAAAAEwwLp+JP+B3ghE8P8n/4HeCC5DSVEuTllTRTpJQk0uSVFfTkVUX0RFQlRfRUJJVERBLjk5OC4wNy8wMy8yMDI2AQAAAN62AQACAAAACDMuNDMxNTQ0AQgAAAAFAAAAATEBAAAACy0xOTA0ODYwNzQ0AwAAAAMxNjACAAAABDQxOTMEAAAAATAHAAAACDMvNy8yMDI2CAAAAAoxMi8zMS8yMDIzCQAAAAEwwLp+JP+B3ghE8P8n/4HeCDBDSVEuTllTRTpJQk0uSVFfVE9UQUxfREVCVF9FQklUREEuOTk0LjA3LzAzLzIwMjYBAAAA3rYBAAIAAAAINC40Nzc4OTIBCAAAAAUAAAABMQEAAAALLTIxMTA3NjkzNTUDAAAAAzE2MAIAAAAENDE5MgQAAAABMAcAAAAIMy83LzIwMjYIAAAACjEyLzMxLzIwMTkJAAAAATDAun4k/4HeCETw/yf/</t>
  </si>
  <si>
    <t>gd4IMENJUS5OWVNFOklCTS5JUV9FQklUREFfQ0FQRVhfSU5ULjEwMDAuMDcvMDMvMjAyNgEAAADetgEAAgAAAAc4LjQ0MTg2AQgAAAAFAAAAATEBAAAACy0xOTA0ODYwNzQwAwAAAAMxNjACAAAABDQxOTEEAAAAATAHAAAACDMvNy8yMDI2CAAAAAoxMi8zMS8yMDI1CQAAAAEwwLp+JP+B3ggXoP8n/4HeCC5DSVEuTllTRTpJQk0uSVFfR1BfM1lSX0FOTl9DQUdSLjk5Mi4wNy8wMy8yMDI2AQAAAN62AQACAAAABy03LjMyMDcBCAAAAAUAAAABMQEAAAAKMjAxNzE2NDI0NAMAAAADMTYwAgAAAAQ0MjIxBAAAAAEwBwAAAAgzLzcvMjAyNggAAAAKMTIvMzEvMjAxNwkAAAABMMC6fiT/gd4IF6D/J/+B3ggxQ0lRLk5ZU0U6SUJNLklRX05JXzFZUl9BTk5fR1JPV1RILjEwMDAuMDcvMDMvMjAyNgEAAADetgEAAgAAAAc3NS44NzU4AQgAAAAFAAAAATEBAAAACy0xOTA0ODYwNzQwAwAAAAMxNjACAAAABDQxOTkEAAAAATAHAAAACDMvNy8yMDI2CAAAAAoxMi8zMS8yMDI1CQAAAAEwwLp+JP+B3ggXoP8n/4HeCDJDSVEuTllTRTpJQk0uSVFfRUJJVF8xWVJfQU5OX0dST1dUSC45OTQuMDcvMDMvMjAyNgEAAADetgEAAgAAAAgtNDIuOTY0MgEIAAAABQAAAAExAQAAAAstMjExMDc2OTM1NQMAAAADMTYwAgAAAAQ0MTk3BAAAAAEwBwAAAAgzLzcvMjAyNggAAAAKMTIvMzEvMjAxOQkAAAABMMC6fiT/gd4IF6D/J/+B3ggx</t>
  </si>
  <si>
    <t>Q0lRLk5ZU0U6SUJNLklRX0dQXzFZUl9BTk5fR1JPV1RILjEwMDAuMDcvMDMvMjAyNgEAAADetgEAAgAAAAYxMC41MzEBCAAAAAUAAAABMQEAAAALLTE5MDQ4NjA3NDADAAAAAzE2MAIAAAAENDE5NQQAAAABMAcAAAAIMy83LzIwMjYIAAAACjEyLzMxLzIwMjUJAAAAATDAun4k/4HeCADb/yf/gd4IJkNJUS5OWVNFOklCTS5JUV9aX1NDT1JFLjk5Ni4wNy8wMy8yMDI2AQAAAN62AQACAAAACDIuODA4ODk1AQgAAAAFAAAAATEBAAAACy0yMDA4NjQ3MTk4AwAAAAMxNjACAAAABjEwMDEyMwQAAAABMAcAAAAIMy83LzIwMjYIAAAACjEyLzMxLzIwMjEJAAAAATDAun4k/4HeCB13/yf/gd4ILkNJUS5OWVNFOklCTS5JUV9UT1RBTF9FTVBMT1lFRVMuOTk1LjA3LzAzLzIwMjYBAAAA3rYBAAIAAAAGMzQ1OTAwAMC6fiT/gd4IHXf/J/+B3ggpQ0lRLk5ZU0U6SUJNLklRX0lOVl9NRVRIT0QuOTkzLjA3LzAzLzIwMjYBAAAA3rYBAAMAAAAIQXZnIENvc3QAwLp+JP+B3ggXoP8n/4HeCC5DSVEuTllTRTpJQk0uSVFfTklfNVlSX0FOTl9DQUdSLjk5NC4wNy8wMy8yMDI2AQAAAN62AQACAAAABy00LjczODgBCAAAAAUAAAABMQEAAAALLTIxMTA3NjkzNTUDAAAAAzE2MAIAAAAENDIzOAQAAAABMAcAAAAIMy83LzIwMjYIAAAACjEyLzMxLzIwMTkJAAAAATDAun4k/4HeCBeg/yf/gd4INUNJUS5OWVNFOklCTS5JUV9UT1RB</t>
  </si>
  <si>
    <t>TF9SRVZfNVlSX0FOTl9DQUdSLjk5Ni4wNy8wMy8yMDI2AQAAAN62AQACAAAABi02LjQyMQEIAAAABQAAAAExAQAAAAstMjAwODY0NzE5OAMAAAADMTYwAgAAAAQ0MjMzBAAAAAEwBwAAAAgzLzcvMjAyNggAAAAKMTIvMzEvMjAyMQkAAAABMMC6fiT/gd4IF6D/J/+B3ggyQ0lRLk5ZU0U6SUJNLklRX0VCSVREQV8zWVJfQU5OX0NBR1IuOTk4LjA3LzAzLzIwMjYBAAAA3rYBAAIAAAAGMi41NzQ3AQgAAAAFAAAAATEBAAAACy0xOTA0ODYwNzQ0AwAAAAMxNjACAAAABDQyMjIEAAAAATAHAAAACDMvNy8yMDI2CAAAAAoxMi8zMS8yMDIzCQAAAAEwwLp+JP+B3ghrT/8n/4HeCC5DSVEuTllTRTpJQk0uSVFfTklfTk9STS45OTIuMDcvMDMvMjAyNi4uLlVTRC5IAQAAAN62AQACAAAABDcxMjUBCAAAAAUAAAABMQEAAAAKMjAxNzE2NDI0NAMAAAADMTYwAgAAAAQ0Mzc4BAAAAAEwBwAAAAgzLzcvMjAyNggAAAAKMTIvMzEvMjAxNwkAAAABMIG05iT/gd4INQtPKP+B3gg7Q0lRLk5ZU0U6SUJNLklRX0RFRkVSUkVEX1RBWEVTX1RPVEFMLjk5OC4wNy8wMy8yMDI2Li4uVVNELkgBAAAA3rYBAAIAAAAFLTExMDUBCAAAAAUAAAABMQEAAAALLTE5MDQ4NjA3NDQDAAAAAzE2MAIAAAAFMzUzODUEAAAAATAHAAAACDMvNy8yMDI2CAAAAAoxMi8zMS8yMDIzCQAAAAEwgbTmJP+B3gg1C08o/4HeCD5DSVEuTllTRTpJQk0uSVFf</t>
  </si>
  <si>
    <t>REVGRVJSRURfRE9NRVNUSUNfVEFYRVMuOTk0LjA3LzAzLzIwMjYuLi5VU0QuSAEAAADetgEAAgAAAAQtOTU4AQgAAAAFAAAAATEBAAAACy0yMTEwNzY5MzU1AwAAAAMxNjACAAAABDMwNTQEAAAAATAHAAAACDMvNy8yMDI2CAAAAAoxMi8zMS8yMDE5CQAAAAEwgbTmJP+B3ggs5E4o/4HeCDpDSVEuTllTRTpJQk0uSVFfQ1VSUl9GT1JFSUdOX1RBWEVTLjEwMDAuMDcvMDMvMjAyNi4uLlVTRC5IAQAAAN62AQACAAAABDIzMDMBCAAAAAUAAAABMQEAAAALLTE5MDQ4NjA3NDADAAAAAzE2MAIAAAAEMzAzMAQAAAABMAcAAAAIMy83LzIwMjYIAAAACjEyLzMxLzIwMjUJAAAAATCBtOYk/4HeCCzkTij/gd4IPkNJUS5OWVNFOklCTS5JUV9FWENJU0VfVEFYRVNfSU5DTF9TQUxFUy45OTYuMDcvMDMvMjAyNi4uLlVTRC5IAQAAAN62AQADAAAAAACBtOYk/4HeCCzkTij/gd4IMUNJUS5OWVNFOklCTS5JUV9DT01NT05fRElWLjk5OC4wNy8wMy8yMDI2Li4uVVNELkgBAAAA3rYBAAIAAAAENjA0MACBtOYk/4HeCCzkTij/gd4IRkNJUS5OWVNFOklCTS5JUV9ESVNUUklCVVRBQkxFX0NBU0hfU1RBTkRBUkRJWkVELjk5NC4wNy8wMy8yMDI2Li4uVVNELkgBAAAA3rYBAAMAAAAAAIG05iT/gd4ILOROKP+B3ggxQ0lRLk5ZU0U6SUJNLklRX0RBX0VCSVREQS4xMDAwLjA3LzAzLzIwMjYuLi5VU0QuSAEAAADetgEAAgAAAAQz</t>
  </si>
  <si>
    <t>NTUwAQgAAAAFAAAAATEBAAAACy0xOTA0ODYwNzQwAwAAAAMxNjACAAAABDIyMDYEAAAAATAHAAAACDMvNy8yMDI2CAAAAAoxMi8zMS8yMDI1CQAAAAEwgbTmJP+B3ggfvU4o/4HeCDdDSVEuTllTRTpJQk0uSVFfSU5UX0VYUF9JTkNMX0NBUC45OTYuMDcvMDMvMjAyNi4uLlVTRC5IAQAAAN62AQACAAAABDExNTgBCAAAAAUAAAABMQEAAAALLTIwMDg2NDcxOTgDAAAAAzE2MAIAAAAFMjE4NjEEAAAAATAHAAAACDMvNy8yMDI2CAAAAAoxMi8zMS8yMDIxCQAAAAEwgbTmJP+B3ggfvU4o/4HeCC9DSVEuTllTRTpJQk0uSVFfRElMVVRfTkkuOTk4LjA3LzAzLzIwMjYuLi5VU0QuSAEAAADetgEAAgAAAAs3NTE0LjkwMTY5OAEIAAAABQAAAAExAQAAAAstMTkwNDg2MDc0NAMAAAADMTYwAgAAAAQzNTIyBAAAAAEwBwAAAAgzLzcvMjAyNggAAAAKMTIvMzEvMjAyMwkAAAABMIG05iT/gd4IH71OKP+B3gg8Q0lRLk5ZU0U6SUJNLklRX05FVF9SRU5UQUxfRVhQX1NVUFBMRS45OTIuMDcvMDMvMjAyNi4uLlVTRC5IAQAAAN62AQADAAAAAACBtOYk/4HeCB+9Tij/gd4IOENJUS5OWVNFOklCTS5JUV9ORVRfUkVOVEFMX0VYUF9GTi45OTguMDcvMDMvMjAyNi4uLlVTRC5IAQAAAN62AQACAAAABDEyOTIBCAAAAAUAAAABMQEAAAALLTE5MDQ4NjA3NDQDAAAAAzE2MAIAAAAEMzE3MAQAAAABMAcAAAAIMy83LzIwMjYIAAAA</t>
  </si>
  <si>
    <t>CjEyLzMxLzIwMjMJAAAAATCBtOYk/4HeCCzkTij/gd4IMENJUS5OWVNFOklCTS5JUV9SRF9FWFBfRk4uOTkyLjA3LzAzLzIwMjYuLi5VU0QuSAEAAADetgEAAgAAAAQ1NTkwAQgAAAAFAAAAATEBAAAACjIwMTcxNjQyNDQDAAAAAzE2MAIAAAAEMzE2OAQAAAABMAcAAAAIMy83LzIwMjYIAAAACjEyLzMxLzIwMTcJAAAAATCBtOYk/4HeCOSVTij/gd4IMUNJUS5OWVNFOklCTS5JUV9NQVJLRVRJTkcuMTAwMC4wNy8wMy8yMDI2Li4uVVNELkgBAAAA3rYBAAMAAAAAAIG05iT/gd4IH71OKP+B3ggyQ0lRLk5ZU0U6SUJNLklRX0FEVkVSVElTSU5HLjk5NC4wNy8wMy8yMDI2Li4uVVNELkgBAAAA3rYBAAIAAAAEMTUwOQEIAAAABQAAAAExAQAAAAstMjExMDc2OTM1NQMAAAADMTYwAgAAAAQzMDEzBAAAAAEwBwAAAAgzLzcvMjAyNggAAAAKMTIvMzEvMjAxOQkAAAABMIG05iT/gd4IH71OKP+B3gg7Q0lRLk5ZU0U6SUJNLklRX0lNUEFJUk1FTlRfR1dfU1VQUExFLjk5Ny4wNy8wMy8yMDI2Li4uVVNELkgBAAAA3rYBAAMAAAAAAIG05iT/gd4IH71OKP+B3gg0Q0lRLk5ZU0U6SUJNLklRX01FUkdFUl9TVVBQTEUuOTkyLjA3LzAzLzIwMjYuLi5VU0QuSAEAAADetgEAAwAAAAAAgbTmJP+B3ggfvU4o/4HeCDNDSVEuTllTRTpJQk0uSVFfTUFJTlRfUkVQQUlSLjk5OC4wNy8wMy8yMDI2Li4uVVNELkgBAAAA3rYBAAMA</t>
  </si>
  <si>
    <t>AAAAAIG05iT/gd4I5JVOKP+B3gg+Q0lRLk5ZU0U6SUJNLklRX0VYUExPUkVfRFJJTExfRVhQX1RPVEFMLjk5My4wNy8wMy8yMDI2Li4uVVNELkgBAAAA3rYBAAMAAAAAAIG05iT/gd4I5JVOKP+B3gg1Q0lRLk5ZU0U6SUJNLklRX01JTklNVU1fUkVOVEFMLjk5Ni4wNy8wMy8yMDI2Li4uVVNELkgBAAAA3rYBAAMAAAAAAIG05iT/gd4I5JVOKP+B3gg7Q0lRLk5ZU0U6SUJNLklRX05FR0FUSVZFX0dXX0FNT1JUX0FULjk5Mi4wNy8wMy8yMDI2Li4uVVNELkgBAAAA3rYBAAMAAAAAAIG05iT/gd4I5JVOKP+B3gg7Q0lRLk5ZU0U6SUJNLklRX1RPVEFMX1VOVVNVQUxfU1VQUExFLjk5OS4wNy8wMy8yMDI2Li4uVVNELkgBAAAA3rYBAAMAAAAAAIG05iT/gd4I5JVOKP+B3gg6Q0lRLk5ZU0U6SUJNLklRX0xFR0FMX1NFVFRMRV9TVVBQTEUuOTk2LjA3LzAzLzIwMjYuLi5VU0QuSAEAAADetgEAAwAAAAAAgbTmJP+B3ghEgk4o/4HeCD5DSVEuTllTRTpJQk0uSVFfR0FJTl9CQVJHQUlOX0FDUV9TVVBQTEUuOTkzLjA3LzAzLzIwMjYuLi5VU0QuSAEAAADetgEAAwAAAAAAgbTmJP+B3ghEgk4o/4HeCDNDSVEuTllTRTpJQk0uSVFfSVBSRF9TVVBQTEUuMTAwMC4wNy8wMy8yMDI2Li4uVVNELkgBAAAA3rYBAAMAAAAAAIG05iT/gd4I5JVOKP+B3gg9Q0lRLk5ZU0U6SUJNLklRX1NUT0NLX09QVElPTlNfQ09NUF9UQVgu</t>
  </si>
  <si>
    <t>OTkyLjA3LzAzLzIwMjYuLi5VU0QuSAEAAADetgEAAwAAAAAAgbTmJP+B3gjklU4o/4HeCDhDSVEuTllTRTpJQk0uSVFfU1RPQ0tfQkFTRURfVE9UQUwuOTk5LjA3LzAzLzIwMjYuLi5VU0QuSAEAAADetgEAAgAAAAQxMzExAQgAAAAFAAAAATEBAAAACy0xOTA0ODYwNzQzAwAAAAMxNjACAAAABTI0MDM0BAAAAAEwBwAAAAgzLzcvMjAyNggAAAAKMTIvMzEvMjAyNAkAAAABMIG05iT/gd4I5JVOKP+B3gg1Q0lRLk5ZU0U6SUJNLklRX1NUT0NLX0JBU0VEX0FULjk5NC4wNy8wMy8yMDI2Li4uVVNELkgBAAAA3rYBAAMAAAAAAIG05iT/gd4IMltOKP+B3gg2Q0lRLk5ZU0U6SUJNLklRX1NUT0NLX0JBU0VEX1NNLjEwMDAuMDcvMDMvMjAyNi4uLlVTRC5IAQAAAN62AQADAAAAAACBtOYk/4HeCDJbTij/gd4INUNJUS5OWVNFOklCTS5JUV9TVE9DS19CQVNFRF9SRC45OTUuMDcvMDMvMjAyNi4uLlVTRC5IAQAAAN62AQACAAAAAzE5NwEIAAAABQAAAAExAQAAAAstMjA1OTA3MzIwMgMAAAADMTYwAgAAAAUyMjY3OAQAAAABMAcAAAAIMy83LzIwMjYIAAAACjEyLzMxLzIwMjAJAAAAATCBtOYk/4HeCDJbTij/gd4ILENJUS5OWVNFOklCTS5JUV9EQV9DRi45OTkuMDcvMDMvMjAyNi4uLlVTRC5IAQAAAN62AQACAAAABDM5OTgBCAAAAAUAAAABMQEAAAALLTE5MDQ4NjA3NDMDAAAAAzE2MAIAAAAEMjE2MAQAAAABMAcA</t>
  </si>
  <si>
    <t>AAAIMy83LzIwMjYIAAAACjEyLzMxLzIwMjQJAAAAATCBtOYk/4HeCESCTij/gd4IOENJUS5OWVNFOklCTS5JUV9HV19JTlRBTl9BTU9SVF9DRi45OTYuMDcvMDMvMjAyNi4uLlVTRC5IAQAAAN62AQACAAAABDE4MzgBCAAAAAUAAAABMQEAAAALLTIwMDg2NDcxOTgDAAAAAzE2MAIAAAAEMjE4MgQAAAABMAcAAAAIMy83LzIwMjYIAAAACjEyLzMxLzIwMjEJAAAAATCBtOYk/4HeCESCTij/gd4ILENJUS5OWVNFOklCTS5JUV9OSV9DRi45OTMuMDcvMDMvMjAyNi4uLlVTRC5IAQAAAN62AQACAAAABDg3MjgBCAAAAAUAAAABMQEAAAAKMjA4MTUwNTQwMQMAAAADMTYwAgAAAAQyMTUwBAAAAAEwBwAAAAgzLzcvMjAyNggAAAAKMTIvMzEvMjAxOAkAAAABMIG05iT/gd4IMltOKP+B3gg8Q0lRLk5ZU0U6SUJNLklRX1NUT0NLX0JBU0VEX0NPTVBfVEFYLjEwMDAuMDcvMDMvMjAyNi4uLlVTRC5IAQAAAN62AQACAAAABC03NDAAgbTmJP+B3ggyW04o/4HeCDlDSVEuTllTRTpJQk0uSVFfU1RPQ0tfT1BUSU9OU19DT01QLjk5Ny4wNy8wMy8yMDI2Li4uVVNELkgBAAAA3rYBAAMAAAAAAIG05iT/gd4IMltOKP+B3gg4Q0lRLk5ZU0U6SUJNLklRX1BST1ZfQkFEX0RFQlRTX0NGLjk5OS4wNy8wMy8yMDI2Li4uVVNELkgBAAAA3rYBAAMAAAAAAIG05iT/gd4IMltOKP+B3gg6Q0lRLk5ZU0U6SUJNLklRX1RBWF9CRU5FRklU</t>
  </si>
  <si>
    <t>X09QVElPTlMuOTk0LjA3LzAzLzIwMjYuLi5VU0QuSAEAAADetgEAAwAAAAAAgbTmJP+B3ggyW04o/4HeCDpDSVEuTllTRTpJQk0uSVFfQVNTRVRfV1JJVEVET1dOX0NGLjEwMDAuMDcvMDMvMjAyNi4uLlVTRC5IAQAAAN62AQADAAAAAACBtOYk/4HeCPozTij/gd4INUNJUS5OWVNFOklCTS5JUV9HQUlOX0lOVkVTVF9DRi45OTUuMDcvMDMvMjAyNi4uLlVTRC5IAQAAAN62AQADAAAAAACBtOYk/4HeCPozTij/gd4IO0NJUS5OWVNFOklCTS5JUV9NSU5PUklUWV9JTlRFUkVTVF9DRi45OTIuMDcvMDMvMjAyNi4uLlVTRC5IAQAAAN62AQADAAAAAACH2+Yk/4HeCPozTij/gd4IOkNJUS5OWVNFOklCTS5JUV9TQUxFX1JFQUxfRVNUQVRFX0NGLjk5My4wNy8wMy8yMDI2Li4uVVNELkgBAAAA3rYBAAMAAAAAAIfb5iT/gd4I+jNOKP+B3ggsQ0lRLk5ZU0U6SUJNLklRX0NBUEVYLjk5Ny4wNy8wMy8yMDI2Li4uVVNELkgBAAAA3rYBAAIAAAAFLTEzNDYBCAAAAAUAAAABMQEAAAALLTE5NTgyODEwOTYDAAAAAzE2MAIAAAAEMjAyMQQAAAABMAcAAAAIMy83LzIwMjYIAAAACjEyLzMxLzIwMjIJAAAAATCH2+Yk/4HeCPozTij/gd4IQ0NJUS5OWVNFOklCTS5JUV9DSEFOR0VfT1RIRVJfTkVUX09QRVJfQVNTRVRTLjk5NC4wNy8wMy8yMDI2Li4uVVNELkgBAAAA3rYBAAIAAAAEMTE1OQEIAAAABQAAAAExAQAAAAstMjEx</t>
  </si>
  <si>
    <t>MDc2OTM1NQMAAAADMTYwAgAAAAQyMDQ1BAAAAAEwBwAAAAgzLzcvMjAyNggAAAAKMTIvMzEvMjAxOQkAAAABMIfb5iT/gd4I0QxOKP+B3ggwQ0lRLk5ZU0U6SUJNLklRX0NIQU5HRV9BUC45OTguMDcvMDMvMjAyNi4uLlVTRC5IAQAAAN62AQACAAAAAjY1AQgAAAAFAAAAATEBAAAACy0xOTA0ODYwNzQ0AwAAAAMxNjACAAAABDIwMTcEAAAAATAHAAAACDMvNy8yMDI2CAAAAAoxMi8zMS8yMDIzCQAAAAEwh9vmJP+B3gj6M04o/4HeCDBDSVEuTllTRTpJQk0uSVFfQ0hBTkdFX0FSLjk5NS4wNy8wMy8yMDI2Li4uVVNELkgBAAAA3rYBAAIAAAAENTI5NwEIAAAABQAAAAExAQAAAAstMjA1OTA3MzIwMgMAAAADMTYwAgAAAAQyMDE4BAAAAAEwBwAAAAgzLzcvMjAyNggAAAAKMTIvMzEvMjAyMAkAAAABMIfb5iT/gd4I+jNOKP+B3ggyQ0lRLk5ZU0U6SUJNLklRX1BSRUZfSVNTVUVELjk5My4wNy8wMy8yMDI2Li4uVVNELkgBAAAA3rYBAAMAAAAAAIfb5iT/gd4I+jNOKP+B3gg0Q0lRLk5ZU0U6SUJNLklRX0NPTU1PTl9JU1NVRUQuOTkyLjA3LzAzLzIwMjYuLi5VU0QuSAEAAADetgEAAwAAAAAAh9vmJP+B3gj6M04o/4HeCDVDSVEuTllTRTpJQk0uSVFfTFRfREVCVF9SRVBBSUQuOTkyLjA3LzAzLzIwMjYuLi5VU0QuSAEAAADetgEAAgAAAAUtNjgxNgEIAAAABQAAAAExAQAAAAoyMDE3MTY0MjQ0AwAAAAMxNjAC</t>
  </si>
  <si>
    <t>AAAABDIwMzYEAAAAATAHAAAACDMvNy8yMDI2CAAAAAoxMi8zMS8yMDE3CQAAAAEwh9vmJP+B3gjRDE4o/4HeCDdDSVEuTllTRTpJQk0uSVFfSU5WRVNUX0xPQU5TX0NGLjEwMDAuMDcvMDMvMjAyNi4uLlVTRC5IAQAAAN62AQADAAAAAACH2+Yk/4HeCNEMTij/gd4IOUNJUS5OWVNFOklCTS5JUV9JTlZFU1RfU0VDVVJJVFlfQ0YuOTk1LjA3LzAzLzIwMjYuLi5VU0QuSAEAAADetgEAAgAAAAQtNjI4AQgAAAAFAAAAATEBAAAACy0yMDU5MDczMjAyAwAAAAMxNjACAAAABDIwMjcEAAAAATAHAAAACDMvNy8yMDI2CAAAAAoxMi8zMS8yMDIwCQAAAAEwh9vmJP+B3gjRDE4o/4HeCDxDSVEuTllTRTpJQk0uSVFfTkVHQVRJVkVfR1dfQU1PUlRfQ0YuMTAwMC4wNy8wMy8yMDI2Li4uVVNELkgBAAAA3rYBAAMAAAAAAIfb5iT/gd4I0QxOKP+B3ghDQ0lRLk5ZU0U6SUJNLklRX0RBX1NVUFBMX0NGX0VYQ0xfT1BFUl9MRUFTRVMuOTk0LjA3LzAzLzIwMjYuLi5VU0QuSAEAAADetgEAAgAAAAQ0MjA5AQgAAAAFAAAAATEBAAAACy0yMTEwNzY5MzU1AwAAAAMxNjACAAAABTQ4OTgzBAAAAAEwBwAAAAgzLzcvMjAyNggAAAAKMTIvMzEvMjAxOQkAAAABMIfb5iT/gd4I0QxOKP+B3ghEQ0lRLk5ZU0U6SUJNLklRX0RFUFJFQ0lBVElPTl9SRU5UQUxfQVNTRVRTX0NGLjk5NS4wNy8wMy8yMDI2Li4uVVNELkgBAAAA3rYBAAMA</t>
  </si>
  <si>
    <t>AAAAAIfb5iT/gd4ILflNKP+B3gg6Q0lRLk5ZU0U6SUJNLklRX0RBX1NVUFBMX1BBUlRJQUxfQ0YuOTk3LjA3LzAzLzIwMjYuLi5VU0QuSAEAAADetgEAAwAAAAAAh9vmJP+B3ggt+U0o/4HeCDJDSVEuTllTRTpJQk0uSVFfTkVUX0NIQU5HRS4xMDAwLjA3LzAzLzIwMjYuLi5VU0QuSAEAAADetgEAAgAAAAQtNTIwAQgAAAAFAAAAATEBAAAACy0xOTA0ODYwNzQwAwAAAAMxNjACAAAABDIwOTMEAAAAATAHAAAACDMvNy8yMDI2CAAAAAoxMi8zMS8yMDI1CQAAAAEwh9vmJP+B3ggt+U0o/4HeCDJDSVEuTllTRTpJQk0uSVFfTEVWRVJFRF9GQ0YuOTk5LjA3LzAzLzIwMjYuLi5VU0QuSAEAAADetgEAAgAAAAY5MzI1LjUBCAAAAAUAAAABMQEAAAALLTE5MDQ4NjA3NDMDAAAAAzE2MAIAAAAENDQyMgQAAAABMAcAAAAIMy83LzIwMjYIAAAACjEyLzMxLzIwMjQJAAAAATCH2+Yk/4HeCNEMTij/gd4IN0NJUS5OWVNFOklCTS5JUV9DQVNIX1RBWEVTX0ZJTkFOLjk5Ny4wNy8wMy8yMDI2Li4uVVNELkgBAAAA3rYBAAMAAAAAAIfb5iT/gd4I0QxOKP+B3gg2Q0lRLk5ZU0U6SUJNLklRX0NBU0hfVEFYRVNfT1BFUi45OTQuMDcvMDMvMjAyNi4uLlVTRC5IAQAAAN62AQADAAAAAACH2+Yk/4HeCCPSTSj/gd4IOUNJUS5OWVNFOklCTS5JUV9DQVNIX0lOVEVSRVNUX05FVC4xMDAwLjA3LzAzLzIwMjYuLi5VU0QuSAEAAADe</t>
  </si>
  <si>
    <t>tgEAAwAAAAAAh9vmJP+B3ggj0k0o/4HeCEJDSVEuTllTRTpJQk0uSVFfU0FMRV9QUk9DRUVEU19SRU5UQUxfQVNTRVRTLjk5NC4wNy8wMy8yMDI2Li4uVVNELkgBAAAA3rYBAAMAAAAAAIfb5iT/gd4II9JNKP+B3ggpQ0lRLk5ZU0U6SUJNLklRX0FQLjk5NS4wNy8wMy8yMDI2Li4uVVNELkgBAAAA3rYBAAIAAAAENDAzMwEIAAAABQAAAAExAQAAAAstMjA1OTA3MzIwMgMAAAADMTYwAgAAAAQxMDE4BAAAAAEwBwAAAAgzLzcvMjAyNggAAAAKMTIvMzEvMjAyMAkAAAABMIfb5iT/gd4II9JNKP+B3ggrQ0lRLk5ZU0U6SUJNLklRX0dQUEUuOTk2LjA3LzAzLzIwMjYuLi5VU0QuSAEAAADetgEAAgAAAAUyMzMwNgEIAAAABQAAAAExAQAAAAstMjAwODY0NzE5OAMAAAADMTYwAgAAAAQxMTY5BAAAAAEwBwAAAAgzLzcvMjAyNggAAAAKMTIvMzEvMjAyMQkAAAABMIfb5iT/gd4ILflNKP+B3ggwQ0lRLk5ZU0U6SUJNLklRX0lOVkVOVE9SWS45OTQuMDcvMDMvMjAyNi4uLlVTRC5IAQAAAN62AQACAAAABDE2MTkBCAAAAAUAAAABMQEAAAALLTIxMTA3NjkzNTUDAAAAAzE2MAIAAAAEMTA0MwQAAAABMAcAAAAIMy83LzIwMjYIAAAACjEyLzMxLzIwMTkJAAAAATCH2+Yk/4HeCA2rTSj/gd4IQkNJUS5OWVNFOklCTS5JUV9PUEVSQVRJTkdfTEVBU0VfTElBQklMSVRJRVMuOTk1LjA3LzAzLzIwMjYuLi5VU0QuSAEAAADe</t>
  </si>
  <si>
    <t>tgEAAwAAAAAAh9vmJP+B3ggNq00o/4HeCDRDSVEuTllTRTpJQk0uSVFfRE9fRklOQU5DRV9DRi45OTMuMDcvMDMvMjAyNi4uLlVTRC5IAQAAAN62AQADAAAAAACH2+Yk/4HeCA2rTSj/gd4INUNJUS5OWVNFOklCTS5JUV9HQUlOX0lOVkVTVF9DRi45OTQuMDcvMDMvMjAyNi4uLlVTRC5IAQAAAN62AQADAAAAAACH2+Yk/4HeCA2rTSj/gd4ILENJUS5OWVNFOklCTS5JUV9EQV9DRi45OTguMDcvMDMvMjAyNi4uLlVTRC5IAQAAAN62AQACAAAABDM3MzYBCAAAAAUAAAABMQEAAAALLTE5MDQ4NjA3NDQDAAAAAzE2MAIAAAAEMjE2MAQAAAABMAcAAAAIMy83LzIwMjYIAAAACjEyLzMxLzIwMjMJAAAAATCH2+Yk/4HeCA2rTSj/gd4IOENJUS5OWVNFOklCTS5JUV9HV19JTlRBTl9BTU9SVF9DRi45OTUuMDcvMDMvMjAyNi4uLlVTRC5IAQAAAN62AQACAAAABDI0NjgBCAAAAAUAAAABMQEAAAALLTIwNTkwNzMyMDIDAAAAAzE2MAIAAAAEMjE4MgQAAAABMAcAAAAIMy83LzIwMjYIAAAACjEyLzMxLzIwMjAJAAAAATCH2+Yk/4HeCOpcTSj/gd4IO0NJUS5OWVNFOklCTS5JUV9TVE9DS19CQVNFRF9DT01QX1RBWC45OTkuMDcvMDMvMjAyNi4uLlVTRC5IAQAAAN62AQACAAAABC00NjkAh9vmJP+B3ghXhE0o/4HeCDlDSVEuTllTRTpJQk0uSVFfU1RPQ0tfT1BUSU9OU19DT01QLjk5Ni4wNy8wMy8yMDI2Li4uVVNELkgB</t>
  </si>
  <si>
    <t>AAAA3rYBAAMAAAAAAIfb5iT/gd4IV4RNKP+B3ggwQ0lRLk5ZU0U6SUJNLklRX0NIQU5HRV9BUC45OTcuMDcvMDMvMjAyNi4uLlVTRC5IAQAAAN62AQACAAAAAzIxMwEIAAAABQAAAAExAQAAAAstMTk1ODI4MTA5NgMAAAADMTYwAgAAAAQyMDE3BAAAAAEwBwAAAAgzLzcvMjAyNggAAAAKMTIvMzEvMjAyMgkAAAABMIfb5iT/gd4IV4RNKP+B3gg3Q0lRLk5ZU0U6SUJNLklRX0NIQU5HRV9JTlZFTlRPUlkuOTkyLjA3LzAzLzIwMjYuLi5VU0QuSAEAAADetgEAAgAAAAIxOAEIAAAABQAAAAExAQAAAAoyMDE3MTY0MjQ0AwAAAAMxNjACAAAABDIwOTkEAAAAATAHAAAACDMvNy8yMDI2CAAAAAoxMi8zMS8yMDE3CQAAAAEwh9vmJP+B3ghXhE0o/4HeCDhDSVEuTllTRTpJQk0uSVFfUFJPVl9CQURfREVCVFNfQ0YuOTk4LjA3LzAzLzIwMjYuLi5VU0QuSAEAAADetgEAAwAAAAAAh9vmJP+B3gjmNU0o/4HeCDpDSVEuTllTRTpJQk0uSVFfVEFYX0JFTkVGSVRfT1BUSU9OUy45OTMuMDcvMDMvMjAyNi4uLlVTRC5IAQAAAN62AQADAAAAAACH2+Yk/4HeCOY1TSj/gd4IL0NJUS5OWVNFOklCTS5JUV9MT0FOU19DRi45OTcuMDcvMDMvMjAyNi4uLlVTRC5IAQAAAN62AQADAAAAAACH2+Yk/4HeCOpcTSj/gd4IOUNJUS5OWVNFOklCTS5JUV9JTlZFU1RfU0VDVVJJVFlfQ0YuOTk0LjA3LzAzLzIwMjYuLi5VU0QuSAEAAADe</t>
  </si>
  <si>
    <t>tgEAAgAAAAMyNjgBCAAAAAUAAAABMQEAAAALLTIxMTA3NjkzNTUDAAAAAzE2MAIAAAAEMjAyNwQAAAABMAcAAAAIMy83LzIwMjYIAAAACjEyLzMxLzIwMTkJAAAAATCH2+Yk/4HeCOpcTSj/gd4INkNJUS5OWVNFOklCTS5JUV9DQVNIX0FDUVVJUkVfQ0YuOTk5LjA3LzAzLzIwMjYuLi5VU0QuSAEAAADetgEAAgAAAAUtMzI4OQEIAAAABQAAAAExAQAAAAstMTkwNDg2MDc0MwMAAAADMTYwAgAAAAQyMDU3BAAAAAEwBwAAAAgzLzcvMjAyNggAAAAKMTIvMzEvMjAyNAkAAAABMIfb5iT/gd4I6lxNKP+B3ggsQ0lRLk5ZU0U6SUJNLklRX0NBUEVYLjk5Ni4wNy8wMy8yMDI2Li4uVVNELkgBAAAA3rYBAAIAAAAFLTIwNjIBCAAAAAUAAAABMQEAAAALLTIwMDg2NDcxOTgDAAAAAzE2MAIAAAAEMjAyMQQAAAABMAcAAAAIMy83LzIwMjYIAAAACjEyLzMxLzIwMjEJAAAAATCH2+Yk/4HeCO8OTSj/gd4IQ0NJUS5OWVNFOklCTS5JUV9DSEFOR0VfT1RIRVJfTkVUX09QRVJfQVNTRVRTLjk5My4wNy8wMy8yMDI2Li4uVVNELkgBAAAA3rYBAAIAAAAELTQ1MQEIAAAABQAAAAExAQAAAAoyMDgxNTA1NDAxAwAAAAMxNjACAAAABDIwNDUEAAAAATAHAAAACDMvNy8yMDI2CAAAAAoxMi8zMS8yMDE4CQAAAAEwh9vmJP+B3gjvDk0o/4HeCDZDSVEuTllTRTpJQk0uSVFfQ0hBTkdFX0lOQ19UQVguMTAwMC4wNy8wMy8yMDI2Li4u</t>
  </si>
  <si>
    <t>VVNELkgBAAAA3rYBAAMAAAAAAIfb5iT/gd4I7w5NKP+B3ghAQ0lRLk5ZU0U6SUJNLklRX0dXX0lOVEFOX0FNT1JUX1BBUlRJQUxfQ0YuOTk0LjA3LzAzLzIwMjYuLi5VU0QuSAEAAADetgEAAwAAAAAAh9vmJP+B3gjmNU0o/4HeCDFDSVEuTllTRTpJQk0uSVFfTkVUX0NIQU5HRS45OTguMDcvMDMvMjAyNi4uLlVTRC5IAQAAAN62AQACAAAABDUxMDEBCAAAAAUAAAABMQEAAAALLTE5MDQ4NjA3NDQDAAAAAzE2MAIAAAAEMjA5MwQAAAABMAcAAAAIMy83LzIwMjYIAAAACjEyLzMxLzIwMjMJAAAAATCH2+Yk/4HeCOY1TSj/gd4IKUNJUS5OWVNFOklCTS5JUV9GWC45OTkuMDcvMDMvMjAyNi4uLlVTRC5IAQAAAN62AQACAAAABC0zNTkBCAAAAAUAAAABMQEAAAALLTE5MDQ4NjA3NDMDAAAAAzE2MAIAAAAEMjE0NAQAAAABMAcAAAAIMy83LzIwMjYIAAAACjEyLzMxLzIwMjQJAAAAATCH2+Yk/4HeCIznTCj/gd4INkNJUS5OWVNFOklCTS5JUV9MVF9ERUJUX1JFUEFJRC4xMDAwLjA3LzAzLzIwMjYuLi5VU0QuSAEAAADetgEAAgAAAAUtNTQ4OQEIAAAABQAAAAExAQAAAAstMTkwNDg2MDc0MAMAAAADMTYwAgAAAAQyMDM2BAAAAAEwBwAAAAgzLzcvMjAyNggAAAAKMTIvMzEvMjAyNQkAAAABMIfb5iT/gd4IjOdMKP+B3gg9Q0lRLk5ZU0U6SUJNLklRX09USEVSX0lOVkVTVF9BQ1RfU1VQUEwuOTk3LjA3LzAzLzIw</t>
  </si>
  <si>
    <t>MjYuLi5VU0QuSAEAAADetgEAAwAAAAAAh9vmJP+B3giM50wo/4HeCDhDSVEuTllTRTpJQk0uSVFfQ0FTSF9JTlRFUkVTVF9ORVQuOTk5LjA3LzAzLzIwMjYuLi5VU0QuSAEAAADetgEAAwAAAAAAh9vmJP+B3gjvDk0o/4HeCEJDSVEuTllTRTpJQk0uSVFfU0FMRV9QUk9DRUVEU19SRU5UQUxfQVNTRVRTLjk5My4wNy8wMy8yMDI2Li4uVVNELkgBAAAA3rYBAAMAAAAAAIfb5iT/gd4I7w5NKP+B3gg7Q0lRLk5ZU0U6SUJNLklRX05FR0FUSVZFX0dXX0FNT1JUX0NGLjk5OS4wNy8wMy8yMDI2Li4uVVNELkgBAAAA3rYBAAMAAAAAAIfb5iT/gd4IrqxMKP+B3ghDQ0lRLk5ZU0U6SUJNLklRX0RBX1NVUFBMX0NGX0VYQ0xfT1BFUl9MRUFTRVMuOTkyLjA3LzAzLzIwMjYuLi5VU0QuSAEAAADetgEAAgAAAAQzMDIxAQgAAAAFAAAAATEBAAAACjIwMTcxNjQyNDQDAAAAAzE2MAIAAAAFNDg5ODMEAAAAATAHAAAACDMvNy8yMDI2CAAAAAoxMi8zMS8yMDE3CQAAAAEwh9vmJP+B3giurEwo/4HeCERDSVEuTllTRTpJQk0uSVFfREVQUkVDSUFUSU9OX1JFTlRBTF9BU1NFVFNfQ0YuOTk0LjA3LzAzLzIwMjYuLi5VU0QuSAEAAADetgEAAwAAAAAAh9vmJP+B3giurEwo/4HeCDZDSVEuTllTRTpJQk0uSVFfTkVUX0RFQlRfSVNTVUVELjk5OS4wNy8wMy8yMDI2Li4uVVNELkgBAAAA3rYBAAIAAAAELTg4MAEIAAAABQAAAAEx</t>
  </si>
  <si>
    <t>AQAAAAstMTkwNDg2MDc0MwMAAAADMTYwAgAAAAQyMDAzBAAAAAEwBwAAAAgzLzcvMjAyNggAAAAKMTIvMzEvMjAyNAkAAAABMIfb5iT/gd4IrqxMKP+B3ggyQ0lRLk5ZU0U6SUJNLklRX0xFVkVSRURfRkNGLjk5OC4wNy8wMy8yMDI2Li4uVVNELkgBAAAA3rYBAAIAAAAIMTA1MjEuNzUBCAAAAAUAAAABMQEAAAALLTE5MDQ4NjA3NDQDAAAAAzE2MAIAAAAENDQyMgQAAAABMAcAAAAIMy83LzIwMjYIAAAACjEyLzMxLzIwMjMJAAAAATCH2+Yk/4HeCIznTCj/gd4IO0NJUS5OWVNFOklCTS5JUV9DSEFOR0VfREVGX1RBWF9UT1RBTC45OTMuMDcvMDMvMjAyNi4uLlVTRC5IAQAAAN62AQACAAAAAzg1MwEIAAAABQAAAAExAQAAAAoyMDgxNTA1NDAxAwAAAAMxNjACAAAABTMwOTI0BAAAAAEwBwAAAAgzLzcvMjAyNggAAAAKMTIvMzEvMjAxOAkAAAABMIfb5iT/gd4IlYVMKP+B3gg2Q0lRLk5ZU0U6SUJNLklRX0NBU0hfVEFYRVNfT1BFUi45OTIuMDcvMDMvMjAyNi4uLlVTRC5IAQAAAN62AQADAAAAAACH2+Yk/4HeCJWFTCj/gd4IPENJUS5OWVNFOklCTS5JUV9DQVNIX0lOVEVSRVNUX0lOVkVTVC4xMDAwLjA3LzAzLzIwMjYuLi5VU0QuSAEAAADetgEAAwAAAAAAh9vmJP+B3giVhUwo/4HeCDdDSVEuTllTRTpJQk0uSVFfRklOX0RJVl9MT0FOU19MVC45OTUuMDcvMDMvMjAyNi4uLlVTRC5IAQAAAN62AQACAAAA</t>
  </si>
  <si>
    <t>BDcwODYBCAAAAAUAAAABMQEAAAALLTIwNTkwNzMyMDIDAAAAAzE2MAIAAAAEMTAzMwQAAAABMAcAAAAIMy83LzIwMjYIAAAACjEyLzMxLzIwMjAJAAAAATCH2+Yk/4HeCK6sTCj/gd4ILENJUS5OWVNFOklCTS5JUV9HUFBFLjEwMDAuMDcvMDMvMjAyNi4uLlVTRC5IAQAAAN62AQACAAAABTIxMDAzAQgAAAAFAAAAATEBAAAACy0xOTA0ODYwNzQwAwAAAAMxNjACAAAABDExNjkEAAAAATAHAAAACDMvNy8yMDI2CAAAAAoxMi8zMS8yMDI1CQAAAAEwh9vmJP+B3giurEwo/4HeCD1DSVEuTllTRTpJQk0uSVFfREVGX1RBWF9BU1NFVFNfQ1VSUkVOVC45OTQuMDcvMDMvMjAyNi4uLlVTRC5IAQAAAN62AQADAAAAAACH2+Yk/4HeCEdeTCj/gd4IMENJUS5OWVNFOklCTS5JUV9JTlZFTlRPUlkuOTk4LjA3LzAzLzIwMjYuLi5VU0QuSAEAAADetgEAAgAAAAQxMTYxAQgAAAAFAAAAATEBAAAACy0xOTA0ODYwNzQ0AwAAAAMxNjACAAAABDEwNDMEAAAAATAHAAAACDMvNy8yMDI2CAAAAAoxMi8zMS8yMDIzCQAAAAEwh9vmJP+B3ghHXkwo/4HeCClDSVEuTllTRTpJQk0uSVFfQVIuOTk2LjA3LzAzLzIwMjYuLi5VU0QuSAEAAADetgEAAgAAAAQ3MjI1AQgAAAAFAAAAATEBAAAACy0yMDA4NjQ3MTk4AwAAAAMxNjACAAAABDEwMjEEAAAAATAHAAAACDMvNy8yMDI2CAAAAAoxMi8zMS8yMDIxCQAAAAEwh9vmJP+B3ghHXkwo</t>
  </si>
  <si>
    <t>/4HeCDhDSVEuTllTRTpJQk0uSVFfR1dfSU5UQU5fQU1PUlRfQ0YuOTk0LjA3LzAzLzIwMjYuLi5VU0QuSAEAAADetgEAAgAAAAQxODUwAQgAAAAFAAAAATEBAAAACy0yMTEwNzY5MzU1AwAAAAMxNjACAAAABDIxODIEAAAAATAHAAAACDMvNy8yMDI2CAAAAAoxMi8zMS8yMDE5CQAAAAEwh9vmJP+B3ghHXkwo/4HeCDtDSVEuTllTRTpJQk0uSVFfU1RPQ0tfQkFTRURfQ09NUF9UQVguOTk4LjA3LzAzLzIwMjYuLi5VU0QuSAEAAADetgEAAgAAAAQtMjkwAIfb5iT/gd4IlYVMKP+B3gg+Q0lRLk5ZU0U6SUJNLklRX1NUT0NLX0JBU0VEX0NPTVBfUFJFVEFYLjk5My4wNy8wMy8yMDI2Li4uVVNELkgBAAAA3rYBAAIAAAADNTEwAIfb5iT/gd4I+zZMKP+B3gg7Q0lRLk5ZU0U6SUJNLklRX1JFU1RSX1NUT0NLX0NPTVBfVEFYLjk5OS4wNy8wMy8yMDI2Li4uVVNELkgBAAAA3rYBAAMAAAAAAIfb5iT/gd4I+zZMKP+B3gg+Q0lRLk5ZU0U6SUJNLklRX1JFU1RSX1NUT0NLX0NPTVBfUFJFVEFYLjk5NC4wNy8wMy8yMDI2Li4uVVNELkgBAAAA3rYBAAMAAAAAAIfb5iT/gd4I+zZMKP+B3gg6Q0lRLk5ZU0U6SUJNLklRX1RBWF9CRU5FRklUX09QVElPTlMuOTkyLjA3LzAzLzIwMjYuLi5VU0QuSAEAAADetgEAAwAAAAAAh9vmJP+B3gj7Nkwo/4HeCC9DSVEuTllTRTpJQk0uSVFfTE9BTlNfQ0YuOTk2LjA3LzAzLzIwMjYu</t>
  </si>
  <si>
    <t>Li5VU0QuSAEAAADetgEAAwAAAAAAh9vmJP+B3ghHXkwo/4HeCDVDSVEuTllTRTpJQk0uSVFfR0FJTl9JTlZFU1RfQ0YuOTkzLjA3LzAzLzIwMjYuLi5VU0QuSAEAAADetgEAAwAAAAAAh9vmJP+B3gj15kso/4HeCDxDSVEuTllTRTpJQk0uSVFfTUlOT1JJVFlfSU5URVJFU1RfQ0YuMTAwMC4wNy8wMy8yMDI2Li4uVVNELkgBAAAA3rYBAAMAAAAAAIfb5iT/gd4I9eZLKP+B3ggsQ0lRLk5ZU0U6SUJNLklRX0RBX0NGLjk5Ny4wNy8wMy8yMDI2Li4uVVNELkgBAAAA3rYBAAIAAAAENDE1NAEIAAAABQAAAAExAQAAAAstMTk1ODI4MTA5NgMAAAADMTYwAgAAAAQyMTYwBAAAAAEwBwAAAAgzLzcvMjAyNggAAAAKMTIvMzEvMjAyMgkAAAABMIfb5iT/gd4I9eZLKP+B3ggsQ0lRLk5ZU0U6SUJNLklRX0NBUEVYLjk5NS4wNy8wMy8yMDI2Li4uVVNELkgBAAAA3rYBAAIAAAAFLTI2MTgBCAAAAAUAAAABMQEAAAALLTIwNTkwNzMyMDIDAAAAAzE2MAIAAAAEMjAyMQQAAAABMAcAAAAIMy83LzIwMjYIAAAACjEyLzMxLzIwMjAJAAAAATCH2+Yk/4HeCMwhTCj/gd4INUNJUS5OWVNFOklCTS5JUV9DSEFOR0VfSU5DX1RBWC45OTkuMDcvMDMvMjAyNi4uLlVTRC5IAQAAAN62AQADAAAAAACH2+Yk/4HeCMwhTCj/gd4IMENJUS5OWVNFOklCTS5JUV9DSEFOR0VfQVAuOTk2LjA3LzAzLzIwMjYuLi5VU0QuSAEAAADetgEAAgAA</t>
  </si>
  <si>
    <t>AAI4NQEIAAAABQAAAAExAQAAAAstMjAwODY0NzE5OAMAAAADMTYwAgAAAAQyMDE3BAAAAAEwBwAAAAgzLzcvMjAyNggAAAAKMTIvMzEvMjAyMQkAAAABMIfb5iT/gd4Im79LKP+B3gg2Q0lRLk5ZU0U6SUJNLklRX09USEVSX09QRVJfQUNULjEwMDAuMDcvMDMvMjAyNi4uLlVTRC5IAQAAAN62AQACAAAABC05NTgBCAAAAAUAAAABMQEAAAALLTE5MDQ4NjA3NDADAAAAAzE2MAIAAAAEMjA0NwQAAAABMAcAAAAIMy83LzIwMjYIAAAACjEyLzMxLzIwMjUJAAAAATCH2+Yk/4HeCPXmSyj/gd4ILENJUS5OWVNFOklCTS5JUV9ET19DRi45OTUuMDcvMDMvMjAyNi4uLlVTRC5IAQAAAN62AQADAAAAAACH2+Yk/4HeCPXmSyj/gd4INUNJUS5OWVNFOklCTS5JUV9TVF9ERUJUX0lTU1VFRC45OTguMDcvMDMvMjAyNi4uLlVTRC5IAQAAAN62AQADAAAAAACH2+Yk/4HeCPXmSyj/gd4IPUNJUS5OWVNFOklCTS5JUV9PVEhFUl9JTlZFU1RfQUNUX1NVUFBMLjk5Ni4wNy8wMy8yMDI2Li4uVVNELkgBAAAA3rYBAAIAAAACLTEBCAAAAAUAAAABMQEAAAALLTIwMDg2NDcxOTgDAAAAAzE2MAIAAAAEMjA1MQQAAAABMAcAAAAIMy83LzIwMjYIAAAACjEyLzMxLzIwMjEJAAAAATCH2+Yk/4HeCPXmSyj/gd4IOUNJUS5OWVNFOklCTS5JUV9JTlZFU1RfU0VDVVJJVFlfQ0YuOTkzLjA3LzAzLzIwMjYuLi5VU0QuSAEAAADetgEAAgAA</t>
  </si>
  <si>
    <t>AAQtNTU0AQgAAAAFAAAAATEBAAAACjIwODE1MDU0MDEDAAAAAzE2MAIAAAAEMjAyNwQAAAABMAcAAAAIMy83LzIwMjYIAAAACjEyLzMxLzIwMTgJAAAAATCH2+Yk/4HeCNirSyj/gd4IO0NJUS5OWVNFOklCTS5JUV9TQUxFX1JFQUxfRVNUQVRFX0NGLjEwMDAuMDcvMDMvMjAyNi4uLlVTRC5IAQAAAN62AQADAAAAAACH2+Yk/4HeCNirSyj/gd4INkNJUS5OWVNFOklCTS5JUV9DQVNIX0FDUVVJUkVfQ0YuOTk3LjA3LzAzLzIwMjYuLi5VU0QuSAEAAADetgEAAgAAAAUtMjM0OAEIAAAABQAAAAExAQAAAAstMTk1ODI4MTA5NgMAAAADMTYwAgAAAAQyMDU3BAAAAAEwBwAAAAgzLzcvMjAyNggAAAAKMTIvMzEvMjAyMgkAAAABMIfb5iT/gd4Im79LKP+B3ggpQ0lRLk5ZU0U6SUJNLklRX0ZYLjk5OC4wNy8wMy8yMDI2Li4uVVNELkgBAAAA3rYBAAIAAAABOQEIAAAABQAAAAExAQAAAAstMTkwNDg2MDc0NAMAAAADMTYwAgAAAAQyMTQ0BAAAAAEwBwAAAAgzLzcvMjAyNggAAAAKMTIvMzEvMjAyMwkAAAABMIfb5iT/gd4Im79LKP+B3gg1Q0lRLk5ZU0U6SUJNLklRX0NPTU1PTl9ESVZfQ0YuMTAwMC4wNy8wMy8yMDI2Li4uVVNELkgBAAAA3rYBAAIAAAAFLTYyNTUBCAAAAAUAAAABMQEAAAALLTE5MDQ4NjA3NDADAAAAAzE2MAIAAAAEMjA3NAQAAAABMAcAAAAIMy83LzIwMjYIAAAACjEyLzMxLzIwMjUJAAAAATCH</t>
  </si>
  <si>
    <t>2+Yk/4HeCJu/Syj/gd4INUNJUS5OWVNFOklCTS5JUV9DT01NT05fSVNTVUVELjEwMDAuMDcvMDMvMjAyNi4uLlVTRC5IAQAAAN62AQACAAAAAzcxMAEIAAAABQAAAAExAQAAAAstMTkwNDg2MDc0MAMAAAADMTYwAgAAAAQyMTY5BAAAAAEwBwAAAAgzLzcvMjAyNggAAAAKMTIvMzEvMjAyNQkAAAABMIfb5iT/gd4I8oJLKP+B3gg1Q0lRLk5ZU0U6SUJNLklRX0xUX0RFQlRfUkVQQUlELjk5OS4wNy8wMy8yMDI2Li4uVVNELkgBAAAA3rYBAAIAAAAFLTY2MTUBCAAAAAUAAAABMQEAAAALLTE5MDQ4NjA3NDMDAAAAAzE2MAIAAAAEMjAzNgQAAAABMAcAAAAIMy83LzIwMjYIAAAACjEyLzMxLzIwMjQJAAAAATCH2+Yk/4HeCPKCSyj/gd4IOENJUS5OWVNFOklCTS5JUV9UT1RBTF9ERUJUX0lTU1VFRC45OTkuMDcvMDMvMjAyNi4uLlVTRC5IAQAAAN62AQACAAAABDU3MzUBCAAAAAUAAAABMQEAAAALLTE5MDQ4NjA3NDMDAAAAAzE2MAIAAAAEMjE2MQQAAAABMAcAAAAIMy83LzIwMjYIAAAACjEyLzMxLzIwMjQJAAAAATCH2+Yk/4HeCPKCSyj/gd4IQkNJUS5OWVNFOklCTS5JUV9TQUxFX1BST0NFRURTX1JFTlRBTF9BU1NFVFMuOTkyLjA3LzAzLzIwMjYuLi5VU0QuSAEAAADetgEAAwAAAAAAh9vmJP+B3gjygkso/4HeCDNDSVEuTllTRTpJQk0uSVFfQU1PUlRfRElDX0NGLjk5NS4wNy8wMy8yMDI2Li4uVVNELkgB</t>
  </si>
  <si>
    <t>AAAA3rYBAAMAAAAAAIfb5iT/gd4I8oJLKP+B3ghEQ0lRLk5ZU0U6SUJNLklRX0RFUFJFQ0lBVElPTl9SRU5UQUxfQVNTRVRTX0NGLjk5My4wNy8wMy8yMDI2Li4uVVNELkgBAAAA3rYBAAMAAAAAAIfb5iT/gd4ItDRLKP+B3ghAQ0lRLk5ZU0U6SUJNLklRX0dXX0lOVEFOX0FNT1JUX1BBUlRJQUxfQ0YuOTkzLjA3LzAzLzIwMjYuLi5VU0QuSAEAAADetgEAAwAAAAAAh9vmJP+B3gjMW0so/4HeCDFDSVEuTllTRTpJQk0uSVFfTkVUX0NIQU5HRS45OTcuMDcvMDMvMjAyNi4uLlVTRC5IAQAAAN62AQACAAAABDEwMzEBCAAAAAUAAAABMQEAAAALLTE5NTgyODEwOTYDAAAAAzE2MAIAAAAEMjA5MwQAAAABMAcAAAAIMy83LzIwMjYIAAAACjEyLzMxLzIwMjIJAAAAATCH2+Yk/4HeCMxbSyj/gd4INkNJUS5OWVNFOklCTS5JUV9ORVRfREVCVF9JU1NVRUQuOTk3LjA3LzAzLzIwMjYuLi5VU0QuSAEAAADetgEAAgAAAAQxMjIxAQgAAAAFAAAAATEBAAAACy0xOTU4MjgxMDk2AwAAAAMxNjACAAAABDIwMDMEAAAAATAHAAAACDMvNy8yMDI2CAAAAAoxMi8zMS8yMDIyCQAAAAEwh9vmJP+B3gjMW0so/4HeCDJDSVEuTllTRTpJQk0uSVFfTEVWRVJFRF9GQ0YuOTk2LjA3LzAzLzIwMjYuLi5VU0QuSAEAAADetgEAAgAAAAY0NjI2LjUBCAAAAAUAAAABMQEAAAALLTIwMDg2NDcxOTgDAAAAAzE2MAIAAAAENDQyMgQAAAAB</t>
  </si>
  <si>
    <t>MAcAAAAIMy83LzIwMjYIAAAACjEyLzMxLzIwMjEJAAAAATCH2+Yk/4HeCMxbSyj/gd4IO0NJUS5OWVNFOklCTS5JUV9DSEFOR0VfREVGX1RBWF9UT1RBTC45OTIuMDcvMDMvMjAyNi4uLlVTRC5IAQAAAN62AQACAAAABC05MzEBCAAAAAUAAAABMQEAAAAKMjAxNzE2NDI0NAMAAAADMTYwAgAAAAUzMDkyNAQAAAABMAcAAAAIMy83LzIwMjYIAAAACjEyLzMxLzIwMTcJAAAAATCH2+Yk/4HeCLINSyj/gd4IO0NJUS5OWVNFOklCTS5JUV9DQVNIX0lOVEVSRVNUX0lOVkVTVC45OTguMDcvMDMvMjAyNi4uLlVTRC5IAQAAAN62AQADAAAAAACH2+Yk/4HeCLINSyj/gd4IOENJUS5OWVNFOklCTS5JUV9DQVNIX0lOVEVSRVNUX05FVC45OTguMDcvMDMvMjAyNi4uLlVTRC5IAQAAAN62AQADAAAAAACH2+Yk/4HeCLQ0Syj/gd4IMENJUS5OWVNFOklCTS5JUV9JTlZFTlRPUlkuOTk2LjA3LzAzLzIwMjYuLi5VU0QuSAEAAADetgEAAgAAAAQxNjQ5AQgAAAAFAAAAATEBAAAACy0yMDA4NjQ3MTk4AwAAAAMxNjACAAAABDEwNDMEAAAAATAHAAAACDMvNy8yMDI2CAAAAAoxMi8zMS8yMDIxCQAAAAEwh9vmJP+B3gi0NEso/4HeCCpDSVEuTllTRTpJQk0uSVFfQVIuMTAwMC4wNy8wMy8yMDI2Li4uVVNELkgBAAAA3rYBAAIAAAAEODU5NAEIAAAABQAAAAExAQAAAAstMTkwNDg2MDc0MAMAAAADMTYwAgAAAAQxMDIxBAAAAAEw</t>
  </si>
  <si>
    <t>BwAAAAgzLzcvMjAyNggAAAAKMTIvMzEvMjAyNQkAAAABMIfb5iT/gd4ItDRLKP+B3ggwQ0lRLk5ZU0U6SUJNLklRX1NUX0lOVkVTVC45OTguMDcvMDMvMjAyNi4uLlVTRC5IAQAAAN62AQACAAAAAzM3MwEIAAAABQAAAAExAQAAAAstMTkwNDg2MDc0NAMAAAADMTYwAgAAAAQxMDY5BAAAAAEwBwAAAAgzLzcvMjAyNggAAAAKMTIvMzEvMjAyMwkAAAABMIfb5iT/gd4IneZKKP+B3ghFQ0lRLk5ZU0U6SUJNLklRX1RPVEFMX0RFQlRfUkVQQUlEX0VYQ0xfTEVBU0VTLjEwMDAuMDcvMDMvMjAyNi4uLlVTRC5IAQAAAN62AQACAAAABS01NTE4AQgAAAAFAAAAATEBAAAACy0xOTA0ODYwNzQwAwAAAAMxNjACAAAABTQ4OTg2BAAAAAEwBwAAAAgzLzcvMjAyNggAAAAKMTIvMzEvMjAyNQkAAAABMIfb5iT/gd4IneZKKP+B3ghDQ0lRLk5ZU0U6SUJNLklRX09QRVJBVElOR19MRUFTRV9MSUFCSUxJVElFUy4xMDAwLjA3LzAzLzIwMjYuLi5VU0QuSAEAAADetgEAAwAAAAAAh9vmJP+B3gid5koo/4HeCDZDSVEuTllTRTpJQk0uSVFfRUJJVERBX0VYQ0xfU0JDLjk5Ny4wNy8wMy8yMDI2Li4uVVNELkgBAAAA3rYBAAIAAAAFMTE3NjMBCAAAAAUAAAABMQEAAAALLTE5NTgyODEwOTYDAAAAAzE2MAIAAAAFMjQxMzUEAAAAATAHAAAACDMvNy8yMDI2CAAAAAoxMi8zMS8yMDIyCQAAAAEwh9vmJP+B3giyDUso/4HeCC5DSVEu</t>
  </si>
  <si>
    <t>TllTRTpJQk0uSVFfU1RfREVCVC45OTQuMDcvMDMvMjAyNi4uLlVTRC5IAQAAAN62AQACAAAABDEyNzUBCAAAAAUAAAABMQEAAAALLTIxMTA3NjkzNTUDAAAAAzE2MAIAAAAEMTA0NgQAAAABMAcAAAAIMy83LzIwMjYIAAAACjEyLzMxLzIwMTkJAAAAATCH2+Yk/4HeCLINSyj/gd4IN0NJUS5OWVNFOklCTS5JUV9GSU5fRElWX0xPQU5TX0xULjk5OS4wNy8wMy8yMDI2Li4uVVNELkgBAAAA3rYBAAIAAAAENTM1MwEIAAAABQAAAAExAQAAAAstMTkwNDg2MDc0MwMAAAADMTYwAgAAAAQxMDMzBAAAAAEwBwAAAAgzLzcvMjAyNggAAAAKMTIvMzEvMjAyNAkAAAABMIfb5iT/gd4IrL9KKP+B3ggrQ0lRLk5ZU0U6SUJNLklRX0dQUEUuOTk4LjA3LzAzLzIwMjYuLi5VU0QuSAEAAADetgEAAgAAAAUyMTM0MgEIAAAABQAAAAExAQAAAAstMTkwNDg2MDc0NAMAAAADMTYwAgAAAAQxMTY5BAAAAAEwBwAAAAgzLzcvMjAyNggAAAAKMTIvMzEvMjAyMwkAAAABMIfb5iT/gd4IrL9KKP+B3gg9Q0lRLk5ZU0U6SUJNLklRX0RFRl9UQVhfQVNTRVRTX0NVUlJFTlQuOTkzLjA3LzAzLzIwMjYuLi5VU0QuSAEAAADetgEAAwAAAAAAh9vmJP+B3gisv0oo/4HeCDVDSVEuTllTRTpJQk0uSVFfRUJJVERBUl9FUV9JTkMuOTk3LjA3LzAzLzIwMjYuLi5VU0QuSAEAAADetgEAAgAAAAUxMzI2OQEIAAAABQAAAAExAQAAAAstMTk1ODI4</t>
  </si>
  <si>
    <t>MTA5NgMAAAADMTYwAgAAAAUyNDEyOQQAAAABMAcAAAAIMy83LzIwMjYIAAAACjEyLzMxLzIwMjIJAAAAATCH2+Yk/4HeCJ3mSij/gd4INUNJUS5OWVNFOklCTS5JUV9FQklUQV9FWENMX1NCQy45OTMuMDcvMDMvMjAyNi4uLlVTRC5IAQAAAN62AQACAAAABTE1MDgxAQgAAAAFAAAAATEBAAAACjIwODE1MDU0MDEDAAAAAzE2MAIAAAAFMjQxMzYEAAAAATAHAAAACDMvNy8yMDI2CAAAAAoxMi8zMS8yMDE4CQAAAAEwh9vmJP+B3gid5koo/4HeCDNDSVEuTllTRTpJQk0uSVFfRUJJVEFfRVFfSU5DLjk5OS4wNy8wMy8yMDI2Li4uVVNELkgBAAAA3rYBAAIAAAAFMTE2MTgBCAAAAAUAAAABMQEAAAALLTE5MDQ4NjA3NDMDAAAAAzE2MAIAAAAFMjE2NzYEAAAAATAHAAAACDMvNy8yMDI2CAAAAAoxMi8zMS8yMDI0CQAAAAEwh9vmJP+B3ggvh0oo/4HeCCxDSVEuTllTRTpJQk0uSVFfRUJJVEEuOTkzLjA3LzAzLzIwMjYuLi5VU0QuSAEAAADetgEAAgAAAAUxNDU3MQEIAAAABQAAAAExAQAAAAoyMDgxNTA1NDAxAwAAAAMxNjACAAAABjEwMDY4OQQAAAABMAcAAAAIMy83LzIwMjYIAAAACjEyLzMxLzIwMTgJAAAAATCH2+Yk/4HeCC+HSij/gd4IK0NJUS5OWVNFOklCTS5JUV9FQklULjk5NS4wNy8wMy8yMDI2Li4uVVNELkgBAAAA3rYBAAIAAAAENDY2MgEIAAAABQAAAAExAQAAAAstMjA1OTA3MzIwMgMAAAADMTYw</t>
  </si>
  <si>
    <t>AgAAAAM0MDAEAAAAATAHAAAACDMvNy8yMDI2CAAAAAoxMi8zMS8yMDIwCQAAAAEwh9vmJP+B3ggvh0oo/4HeCD5DSVEuTllTRTpJQk0uSVFfRVhDSVNFX1RBWEVTX0VYQ0xfU0FMRVMuOTk3LjA3LzAzLzIwMjYuLi5VU0QuSAEAAADetgEAAwAAAAAAh9vmJP+B3ggvh0oo/4HeCDZDSVEuTllTRTpJQk0uSVFfSU5URVJFU1RfSU5DT01FLjk5My4wNy8wMy8yMDI2Li4uVVNELkgBAAAA3rYBAAMAAAAAAIfb5iT/gd4IrL9KKP+B3ghAQ0lRLk5ZU0U6SUJNLklRX0VBUk5JTkdfUEFSRU5UX0VYQ0xfRVhUUkEuOTk5LjA3LzAzLzIwMjYuLi5VU0QuSAEAAADetgEAAgAAAAQ2MDE1AQgAAAAFAAAAATEBAAAACy0xOTA0ODYwNzQzAwAAAAMxNjACAAAABTQxNTk2BAAAAAEwBwAAAAgzLzcvMjAyNggAAAAKMTIvMzEvMjAyNAkAAAABMIfb5iT/gd4IMWBKKP+B3gg5Q0lRLk5ZU0U6SUJNLklRX0FTX1JFUE9SVEVEX0VCSVREQS45OTUuMDcvMDMvMjAyNi4uLlVTRC5IAQAAAN62AQADAAAAAACH2+Yk/4HeCDFgSij/gd4IOENJUS5OWVNFOklCTS5JUV9GRUVTX09USEVSX0lOQ09NRS45OTUuMDcvMDMvMjAyNi4uLlVTRC5IAQAAAN62AQADAAAAAACH2+Yk/4HeCDFgSij/gd4IMkNJUS5OWVNFOklCTS5JUV9JTlRfRVhQX0xURC45OTkuMDcvMDMvMjAyNi4uLlVTRC5IAQAAAN62AQADAAAAAACH2+Yk/4HeCC+HSij/gd4I</t>
  </si>
  <si>
    <t>O0NJUS5OWVNFOklCTS5JUV9DQVBJVEFMSVpFRF9JTlRFUkVTVC45OTMuMDcvMDMvMjAyNi4uLlVTRC5IAQAAAN62AQACAAAAATMBCAAAAAUAAAABMQEAAAAKMjA4MTUwNTQwMQMAAAADMTYwAgAAAAQzMDMyBAAAAAEwBwAAAAgzLzcvMjAyNggAAAAKMTIvMzEvMjAxOAkAAAABMIfb5iT/gd4IL4dKKP+B3gguQ0lRLk5ZU0U6SUJNLklRX05JX05PUk0uOTk5LjA3LzAzLzIwMjYuLi5VU0QuSAEAAADetgEAAgAAAAg1Njk4LjEyNQEIAAAABQAAAAExAQAAAAstMTkwNDg2MDc0MwMAAAADMTYwAgAAAAQ0Mzc4BAAAAAEwBwAAAAgzLzcvMjAyNggAAAAKMTIvMzEvMjAyNAkAAAABMIfb5iT/gd4I8ThKKP+B3gg7Q0lRLk5ZU0U6SUJNLklRX0RFRkVSUkVEX1RBWEVTX1RPVEFMLjk5NS4wNy8wMy8yMDI2Li4uVVNELkgBAAAA3rYBAAIAAAAFLTMyMjUBCAAAAAUAAAABMQEAAAALLTIwNTkwNzMyMDIDAAAAAzE2MAIAAAAFMzUzODUEAAAAATAHAAAACDMvNy8yMDI2CAAAAAoxMi8zMS8yMDIwCQAAAAEwh9vmJP+B3gjxOEoo/4HeCDlDSVEuTllTRTpJQk0uSVFfQ1VSUl9GT1JFSUdOX1RBWEVTLjk5Ny4wNy8wMy8yMDI2Li4uVVNELkgBAAAA3rYBAAIAAAAEMTY3NgEIAAAABQAAAAExAQAAAAstMTk1ODI4MTA5NgMAAAADMTYwAgAAAAQzMDMwBAAAAAEwBwAAAAgzLzcvMjAyNggAAAAKMTIvMzEvMjAyMgkAAAABMIfb</t>
  </si>
  <si>
    <t>5iT/gd4I8ThKKP+B3gg1Q0lRLk5ZU0U6SUJNLklRX01JTklNVU1fUkVOVEFMLjk5My4wNy8wMy8yMDI2Li4uVVNELkgBAAAA3rYBAAMAAAAAAIfb5iT/gd4I8ThKKP+B3gg8Q0lRLk5ZU0U6SUJNLklRX05FVF9SRU5UQUxfRVhQX1NVUFBMRS45OTkuMDcvMDMvMjAyNi4uLlVTRC5IAQAAAN62AQACAAAABDEzMDkBCAAAAAUAAAABMQEAAAALLTE5MDQ4NjA3NDMDAAAAAzE2MAIAAAAFMjQyNjMEAAAAATAHAAAACDMvNy8yMDI2CAAAAAoxMi8zMS8yMDI0CQAAAAEwh9vmJP+B3ggxYEoo/4HeCDVDSVEuTllTRTpJQk0uSVFfTkVUX1JFTlRBTF9FWFAuOTkzLjA3LzAzLzIwMjYuLi5VU0QuSAEAAADetgEAAwAAAAAAh9vmJP+B3giI6kko/4HeCDZDSVEuTllTRTpJQk0uSVFfU0FMRVNfTUFSS0VUSU5HLjk5NS4wNy8wMy8yMDI2Li4uVVNELkgBAAAA3rYBAAIAAAAEMTUwOQEIAAAABQAAAAExAQAAAAstMjA1OTA3MzIwMgMAAAADMTYwAgAAAAUyMTU2MQQAAAABMAcAAAAIMy83LzIwMjYIAAAACjEyLzMxLzIwMjAJAAAAATCH2+Yk/4HeCNURSij/gd4IMENJUS5OWVNFOklCTS5JUV9EQV9FQklUREEuOTk3LjA3LzAzLzIwMjYuLi5VU0QuSAEAAADetgEAAgAAAAQzMjU0AQgAAAAFAAAAATEBAAAACy0xOTU4MjgxMDk2AwAAAAMxNjACAAAABDIyMDYEAAAAATAHAAAACDMvNy8yMDI2CAAAAAoxMi8zMS8yMDIyCQAA</t>
  </si>
  <si>
    <t>AAEwh9vmJP+B3gjVEUoo/4HeCDJDSVEuTllTRTpJQk0uSVFfSVBSRF9TVVBQTEUuOTk3LjA3LzAzLzIwMjYuLi5VU0QuSAEAAADetgEAAwAAAAAAh9vmJP+B3gjVEUoo/4HeCD1DSVEuTllTRTpJQk0uSVFfQVNTRVRfV1JJVEVET1dOX1NVUFBMRS45OTIuMDcvMDMvMjAyNi4uLlVTRC5IAQAAAN62AQADAAAAAACH2+Yk/4HeCNURSij/gd4IPkNJUS5OWVNFOklCTS5JUV9TQUxBUklFU19PVEhFUl9CRU5FRklUUy45OTYuMDcvMDMvMjAyNi4uLlVTRC5IAQAAAN62AQADAAAAAACH2+Yk/4HeCNDWSSj/gd4IP0NJUS5OWVNFOklCTS5JUV9JTVBVVF9PUEVSX0xFQVNFX0lOVF9FWFAuOTkzLjA3LzAzLzIwMjYuLi5VU0QuSAEAAADetgEAAwAAAAAAh9vmJP+B3giI6kko/4HeCDRDSVEuTllTRTpJQk0uSVFfQUlSQ1JBRlRfUkVOVC45OTcuMDcvMDMvMjAyNi4uLlVTRC5IAQAAAN62AQADAAAAAACH2+Yk/4HeCIjqSSj/gd4INUNJUS5OWVNFOklCTS5JUV9TVE9DS19CQVNFRF9HQS45OTUuMDcvMDMvMjAyNi4uLlVTRC5IAQAAAN62AQADAAAAAACH2+Yk/4HeCIjqSSj/gd4INUNJUS5OWVNFOklCTS5JUV9TVE9DS19CQVNFRF9SRC45OTIuMDcvMDMvMjAyNi4uLlVTRC5IAQAAAN62AQACAAAAAjU5AQgAAAAFAAAAATEBAAAACjIwMTcxNjQyNDQDAAAAAzE2MAIAAAAFMjI2NzgEAAAAATAHAAAACDMvNy8yMDI2CAAA</t>
  </si>
  <si>
    <t>AAoxMi8zMS8yMDE3CQAAAAEwh9vmJP+B3giI6kko/4HeCDtDSVEuTllTRTpJQk0uSVFfTkVHQVRJVkVfR1dfQU1PUlRfQVQuOTk5LjA3LzAzLzIwMjYuLi5VU0QuSAEAAADetgEAAwAAAAAAh9vmJP+B3gjgm0ko/4HeCDtDSVEuTllTRTpJQk0uSVFfVE9UQUxfVU5VU1VBTF9TVVBQTEUuOTk2LjA3LzAzLzIwMjYuLi5VU0QuSAEAAADetgEAAwAAAAAAh9vmJP+B3gjgm0ko/4HeCD9DSVEuTllTRTpJQk0uSVFfR0FJTl9CQVJHQUlOX0FDUV9TVVBQTEUuMTAwMC4wNy8wMy8yMDI2Li4uVVNELkgBAAAA3rYBAAMAAAAAAIfb5iT/gd4I9MJJKP+B3gg7Q0lRLk5ZU0U6SUJNLklRX1NUT0NLX0JBU0VEX0NPTVBfVEFYLjk5Ny4wNy8wMy8yMDI2Li4uVVNELkgBAAAA3rYBAAIAAAAELTI0OQCH2+Yk/4HeCPTCSSj/gd4IPkNJUS5OWVNFOklCTS5JUV9TVE9DS19CQVNFRF9DT01QX1BSRVRBWC45OTIuMDcvMDMvMjAyNi4uLlVTRC5IAQAAAN62AQACAAAAAzUzNACH2+Yk/4HeCNDWSSj/gd4IN0NJUS5OWVNFOklCTS5JUV9SRVNUUl9TVE9DS19DT01QLjk5Ni4wNy8wMy8yMDI2Li4uVVNELkgBAAAA3rYBAAMAAAAAAIfb5iT/gd4IznRJKP+B3gg+Q0lRLk5ZU0U6SUJNLklRX1JFU1RSX1NUT0NLX0NPTVBfUFJFVEFYLjk5My4wNy8wMy8yMDI2Li4uVVNELkgBAAAA3rYBAAMAAAAAAIfb5iT/gd4IznRJKP+B3ghAQ0lR</t>
  </si>
  <si>
    <t>Lk5ZU0U6SUJNLklRX1NUT0NLX0JBU0VEX0VYUExPUkVfRFJJTEwuOTk3LjA3LzAzLzIwMjYuLi5VU0QuSAEAAADetgEAAwAAAAAAh9vmJP+B3gjOdEko/4HeCC9DSVEuTllTRTpJQk0uSVFfTE9BTlNfQ0YuOTk1LjA3LzAzLzIwMjYuLi5VU0QuSAEAAADetgEAAwAAAAAAh9vmJP+B3gjgm0ko/4HeCDVDSVEuTllTRTpJQk0uSVFfR0FJTl9JTlZFU1RfQ0YuOTkyLjA3LzAzLzIwMjYuLi5VU0QuSAEAAADetgEAAwAAAAAAh9vmJP+B3gjgm0ko/4HeCDtDSVEuTllTRTpJQk0uSVFfTUlOT1JJVFlfSU5URVJFU1RfQ0YuOTk5LjA3LzAzLzIwMjYuLi5VU0QuSAEAAADetgEAAwAAAAAAh9vmJP+B3gi6TUko/4HeCCxDSVEuTllTRTpJQk0uSVFfREFfQ0YuOTk2LjA3LzAzLzIwMjYuLi5VU0QuSAEAAADetgEAAgAAAAQ1NzI2AQgAAAAFAAAAATEBAAAACy0yMDA4NjQ3MTk4AwAAAAMxNjACAAAABDIxNjAEAAAAATAHAAAACDMvNy8yMDI2CAAAAAoxMi8zMS8yMDIxCQAAAAEwh9vmJP+B3gi6TUko/4HeCC1DSVEuTllTRTpJQk0uSVFfTklfQ0YuMTAwMC4wNy8wMy8yMDI2Li4uVVNELkgBAAAA3rYBAAIAAAAFMTA1OTMBCAAAAAUAAAABMQEAAAALLTE5MDQ4NjA3NDADAAAAAzE2MAIAAAAEMjE1MAQAAAABMAcAAAAIMy83LzIwMjYIAAAACjEyLzMxLzIwMjUJAAAAATCH2+Yk/4HeCLpNSSj/gd4INUNJUS5OWVNFOklC</t>
  </si>
  <si>
    <t>TS5JUV9DSEFOR0VfSU5DX1RBWC45OTguMDcvMDMvMjAyNi4uLlVTRC5IAQAAAN62AQADAAAAAACH2+Yk/4HeCLpNSSj/gd4IOENJUS5OWVNFOklCTS5JUV9DSEFOR0VfVU5FQVJOX1JFVi45OTMuMDcvMDMvMjAyNi4uLlVTRC5IAQAAAN62AQADAAAAAACH2+Yk/4HeCM50SSj/gd4INUNJUS5OWVNFOklCTS5JUV9PVEhFUl9PUEVSX0FDVC45OTkuMDcvMDMvMjAyNi4uLlVTRC5IAQAAAN62AQACAAAAAzc4MwEIAAAABQAAAAExAQAAAAstMTkwNDg2MDc0MwMAAAADMTYwAgAAAAQyMDQ3BAAAAAEwBwAAAAgzLzcvMjAyNggAAAAKMTIvMzEvMjAyNAkAAAABMIfb5iT/gd4IvCZJKP+B3ggsQ0lRLk5ZU0U6SUJNLklRX0RPX0NGLjk5NC4wNy8wMy8yMDI2Li4uVVNELkgBAAAA3rYBAAMAAAAAAIfb5iT/gd4IvCZJKP+B3gg0Q0lRLk5ZU0U6SUJNLklRX0lOQ19FUVVJVFlfQ0YuOTk4LjA3LzAzLzIwMjYuLi5VU0QuSAEAAADetgEAAwAAAAAAh9vmJP+B3gi8Jkko/4HeCDVDSVEuTllTRTpJQk0uSVFfU1RfREVCVF9JU1NVRUQuOTk3LjA3LzAzLzIwMjYuLi5VU0QuSAEAAADetgEAAgAAAAMyMTcBCAAAAAUAAAABMQEAAAALLTE5NTgyODEwOTYDAAAAAzE2MAIAAAAEMjA0MwQAAAABMAcAAAAIMy83LzIwMjYIAAAACjEyLzMxLzIwMjIJAAAAATCH2+Yk/4HeCLwmSSj/gd4IPUNJUS5OWVNFOklCTS5JUV9PVEhFUl9J</t>
  </si>
  <si>
    <t>TlZFU1RfQUNUX1NVUFBMLjk5NS4wNy8wMy8yMDI2Li4uVVNELkgBAAAA3rYBAAMAAAAAAIfb5iT/gd4Iuk1JKP+B3gg5Q0lRLk5ZU0U6SUJNLklRX0lOVkVTVF9TRUNVUklUWV9DRi45OTIuMDcvMDMvMjAyNi4uLlVTRC5IAQAAAN62AQACAAAABS0xMDM5AQgAAAAFAAAAATEBAAAACjIwMTcxNjQyNDQDAAAAAzE2MAIAAAAEMjAyNwQAAAABMAcAAAAIMy83LzIwMjYIAAAACjEyLzMxLzIwMTcJAAAAATCH2+Yk/4HeCB/sSCj/gd4IOkNJUS5OWVNFOklCTS5JUV9TQUxFX1JFQUxfRVNUQVRFX0NGLjk5OS4wNy8wMy8yMDI2Li4uVVNELkgBAAAA3rYBAAMAAAAAAIfb5iT/gd4IH+xIKP+B3gg2Q0lRLk5ZU0U6SUJNLklRX0NBU0hfQUNRVUlSRV9DRi45OTYuMDcvMDMvMjAyNi4uLlVTRC5IAQAAAN62AQACAAAABS0zMjkzAQgAAAAFAAAAATEBAAAACy0yMDA4NjQ3MTk4AwAAAAMxNjACAAAABDIwNTcEAAAAATAHAAAACDMvNy8yMDI2CAAAAAoxMi8zMS8yMDIxCQAAAAEwh9vmJP+B3ggf7Ego/4HeCDRDSVEuTllTRTpJQk0uSVFfQ09NTU9OX0RJVl9DRi45OTkuMDcvMDMvMjAyNi4uLlVTRC5IAQAAAN62AQACAAAABS02MTQ3AQgAAAAFAAAAATEBAAAACy0xOTA0ODYwNzQzAwAAAAMxNjACAAAABDIwNzQEAAAAATAHAAAACDMvNy8yMDI2CAAAAAoxMi8zMS8yMDI0CQAAAAEwh9vmJP+B3ggf7Ego/4HeCDJDSVEu</t>
  </si>
  <si>
    <t>TllTRTpJQk0uSVFfUFJFRl9JU1NVRUQuOTk5LjA3LzAzLzIwMjYuLi5VU0QuSAEAAADetgEAAwAAAAAAh9vmJP+B3ggf7Ego/4HeCDRDSVEuTllTRTpJQk0uSVFfQ09NTU9OX0lTU1VFRC45OTkuMDcvMDMvMjAyNi4uLlVTRC5IAQAAAN62AQACAAAAAzc0NQEIAAAABQAAAAExAQAAAAstMTkwNDg2MDc0MwMAAAADMTYwAgAAAAQyMTY5BAAAAAEwBwAAAAgzLzcvMjAyNggAAAAKMTIvMzEvMjAyNAkAAAABMIfb5iT/gd4IJ55IKP+B3gg1Q0lRLk5ZU0U6SUJNLklRX0xUX0RFQlRfUkVQQUlELjk5OC4wNy8wMy8yMDI2Li4uVVNELkgBAAAA3rYBAAIAAAAFLTUwODIBCAAAAAUAAAABMQEAAAALLTE5MDQ4NjA3NDQDAAAAAzE2MAIAAAAEMjAzNgQAAAABMAcAAAAIMy83LzIwMjYIAAAACjEyLzMxLzIwMjMJAAAAATCH2+Yk/4HeCCeeSCj/gd4IOENJUS5OWVNFOklCTS5JUV9UT1RBTF9ERUJUX0lTU1VFRC45OTguMDcvMDMvMjAyNi4uLlVTRC5IAQAAAN62AQACAAAABDk1ODYBCAAAAAUAAAABMQEAAAALLTE5MDQ4NjA3NDQDAAAAAzE2MAIAAAAEMjE2MQQAAAABMAcAAAAIMy83LzIwMjYIAAAACjEyLzMxLzIwMjMJAAAAATCH2+Yk/4HeCCeeSCj/gd4IRENJUS5OWVNFOklCTS5JUV9ERVBSRUNJQVRJT05fUkVOVEFMX0FTU0VUU19DRi45OTIuMDcvMDMvMjAyNi4uLlVTRC5IAQAAAN62AQADAAAAAACH2+Yk/4He</t>
  </si>
  <si>
    <t>CHXFSCj/gd4IQENJUS5OWVNFOklCTS5JUV9HV19JTlRBTl9BTU9SVF9QQVJUSUFMX0NGLjk5Mi4wNy8wMy8yMDI2Li4uVVNELkgBAAAA3rYBAAMAAAAAAIfb5iT/gd4IdcVIKP+B3ggpQ0lRLk5ZU0U6SUJNLklRX0ZYLjk5Ny4wNy8wMy8yMDI2Li4uVVNELkgBAAAA3rYBAAIAAAAELTI0NAEIAAAABQAAAAExAQAAAAstMTk1ODI4MTA5NgMAAAADMTYwAgAAAAQyMTQ0BAAAAAEwBwAAAAgzLzcvMjAyNggAAAAKMTIvMzEvMjAyMgkAAAABMIfb5iT/gd4IinZIKP+B3gg+Q0lRLk5ZU0U6SUJNLklRX09USEVSX0ZJTkFOQ0VfQUNUX1NVUFBMLjk5OC4wNy8wMy8yMDI2Li4uVVNELkgBAAAA3rYBAAIAAAAELTIzOAEIAAAABQAAAAExAQAAAAstMTkwNDg2MDc0NAMAAAADMTYwAgAAAAQyMDUwBAAAAAEwBwAAAAgzLzcvMjAyNggAAAAKMTIvMzEvMjAyMwkAAAABMIfb5iT/gd4IJ55IKP+B3gg6Q0lRLk5ZU0U6SUJNLklRX0NPTU1PTl9QUkVGX0RJVl9DRi4xMDAwLjA3LzAzLzIwMjYuLi5VU0QuSAEAAADetgEAAwAAAAAAh9vmJP+B3ggnnkgo/4HeCDdDSVEuTllTRTpJQk0uSVFfQ0FTSF9UQVhFU19PUEVSLjEwMDAuMDcvMDMvMjAyNi4uLlVTRC5IAQAAAN62AQADAAAAAACH2+Yk/4HeCCeeSCj/gd4IO0NJUS5OWVNFOklCTS5JUV9DQVNIX0lOVEVSRVNUX0lOVkVTVC45OTcuMDcvMDMvMjAyNi4uLlVTRC5IAQAA</t>
  </si>
  <si>
    <t>AN62AQADAAAAAACH2+Yk/4HeCCeeSCj/gd4IPUNJUS5OWVNFOklCTS5JUV9DQVNIX0lOVEVSRVNUX1JFQ0VJVkVELjk5NS4wNy8wMy8yMDI2Li4uVVNELkgBAAAA3rYBAAMAAAAAAIfb5iT/gd4IinZIKP+B3ggzQ0lRLk5ZU0U6SUJNLklRX0FNT1JUX0RJQ19DRi45OTMuMDcvMDMvMjAyNi4uLlVTRC5IAQAAAN62AQADAAAAAACH2+Yk/4HeCIp2SCj/gd4IRENJUS5OWVNFOklCTS5JUV9EQV9TVVBQTF9DRl9FWENMX09QRVJfTEVBU0VTLjEwMDAuMDcvMDMvMjAyNi4uLlVTRC5IAQAAAN62AQACAAAABDEzODQBCAAAAAUAAAABMQEAAAALLTE5MDQ4NjA3NDADAAAAAzE2MAIAAAAFNDg5ODMEAAAAATAHAAAACDMvNy8yMDI2CAAAAAoxMi8zMS8yMDI1CQAAAAEwh9vmJP+B3giKdkgo/4HeCERDSVEuTllTRTpJQk0uSVFfVE9UQUxfREVCVF9SRVBBSURfRVhDTF9MRUFTRVMuOTk5LjA3LzAzLzIwMjYuLi5VU0QuSAEAAADetgEAAgAAAAUtNjYxNQEIAAAABQAAAAExAQAAAAstMTkwNDg2MDc0MwMAAAADMTYwAgAAAAU0ODk4NgQAAAABMAcAAAAIMy83LzIwMjYIAAAACjEyLzMxLzIwMjQJAAAAATCH2+Yk/4HeCIp2SCj/gd4ISkNJUS5OWVNFOklCTS5JUV9PUEVSQVRJTkdfTEVBU0VfTElBQklMSVRJRVNfTk9OQ0FTSC45OTYuMDcvMDMvMjAyNi4uLlVTRC5IAQAAAN62AQADAAAAAACH2+Yk/4HeCIp2SCj/gd4I</t>
  </si>
  <si>
    <t>NENJUS5OWVNFOklCTS5JUV9ET19GSU5BTkNFX0NGLjk5OC4wNy8wMy8yMDI2Li4uVVNELkgBAAAA3rYBAAMAAAAAAIfb5iT/gd4Ic09IKP+B3gg2Q0lRLk5ZU0U6SUJNLklRX05FVF9ERUJUX0lTU1VFRC45OTYuMDcvMDMvMjAyNi4uLlVTRC5IAQAAAN62AQACAAAABS04MTE1AQgAAAAFAAAAATEBAAAACy0yMDA4NjQ3MTk4AwAAAAMxNjACAAAABDIwMDMEAAAAATAHAAAACDMvNy8yMDI2CAAAAAoxMi8zMS8yMDIxCQAAAAEwh9vmJP+B3ghzT0go/4HeCDRDSVEuTllTRTpJQk0uSVFfVU5MRVZFUkVEX0ZDRi45OTMuMDcvMDMvMjAyNi4uLlVTRC5IAQAAAN62AQACAAAABzY5MzUuMjUBCAAAAAUAAAABMQEAAAAKMjA4MTUwNTQwMQMAAAADMTYwAgAAAAQ0NDIzBAAAAAEwBwAAAAgzLzcvMjAyNggAAAAKMTIvMzEvMjAxOAkAAAABMIfb5iT/gd4Ic09IKP+B3ggpQ0lRLk5ZU0U6SUJNLklRX0FELjk5NC4wNy8wMy8yMDI2Li4uVVNELkgBAAAA3rYBAAIAAAAGLTIyMDE4AQgAAAAFAAAAATEBAAAACy0yMTEwNzY5MzU1AwAAAAMxNjACAAAABDEwNzUEAAAAATAHAAAACDMvNy8yMDI2CAAAAAoxMi8zMS8yMDE5CQAAAAEwh9vmJP+B3ghzT0go/4HeCD1DSVEuTllTRTpJQk0uSVFfREVGX1RBWF9BU1NFVFNfQ1VSUkVOVC45OTIuMDcvMDMvMjAyNi4uLlVTRC5IAQAAAN62AQADAAAAAACH2+Yk/4HeCHNPSCj/gd4I</t>
  </si>
  <si>
    <t>MkNJUS5OWVNFOklCTS5JUV9QUkVQQUlEX0VYUC45OTIuMDcvMDMvMjAyNi4uLlVTRC5IAQAAAN62AQACAAAABDEyMDMBCAAAAAUAAAABMQEAAAAKMjAxNzE2NDI0NAMAAAADMTYwAgAAAAQxMjEyBAAAAAEwBwAAAAgzLzcvMjAyNggAAAAKMTIvMzEvMjAxNwkAAAABMIfb5iT/gd4IHihIKP+B3ggzQ0lRLk5ZU0U6SUJNLklRX09USEVSX1JFQ0VJVi45OTYuMDcvMDMvMjAyNi4uLlVTRC5IAQAAAN62AQACAAAABDEwMDABCAAAAAUAAAABMQEAAAALLTIwMDg2NDcxOTgDAAAAAzE2MAIAAAAEMTIwNgQAAAABMAcAAAAIMy83LzIwMjYIAAAACjEyLzMxLzIwMjEJAAAAATCH2+Yk/4HeCB4oSCj/gd4IMENJUS5OWVNFOklCTS5JUV9TVF9JTlZFU1QuOTk3LjA3LzAzLzIwMjYuLi5VU0QuSAEAAADetgEAAgAAAAM4NTIBCAAAAAUAAAABMQEAAAALLTE5NTgyODEwOTYDAAAAAzE2MAIAAAAEMTA2OQQAAAABMAcAAAAIMy83LzIwMjYIAAAACjEyLzMxLzIwMjIJAAAAATCH2+Yk/4HeCB4oSCj/gd4INUNJUS5OWVNFOklCTS5JUV9ORVRfUkVOVEFMX0VYUC45OTIuMDcvMDMvMjAyNi4uLlVTRC5IAQAAAN62AQADAAAAAACH2+Yk/4HeCHNPSCj/gd4ILkNJUS5OWVNFOklCTS5JUV9HQV9FWFAuMTAwMC4wNy8wMy8yMDI2Li4uVVNELkgBAAAA3rYBAAMAAAAAAIfb5iT/gd4Ic09IKP+B3gg2Q0lRLk5ZU0U6SUJNLklRX1NB</t>
  </si>
  <si>
    <t>TEVTX01BUktFVElORy45OTQuMDcvMDMvMjAyNi4uLlVTRC5IAQAAAN62AQACAAAABDE1MDkBCAAAAAUAAAABMQEAAAALLTIxMTA3NjkzNTUDAAAAAzE2MAIAAAAFMjE1NjEEAAAAATAHAAAACDMvNy8yMDI2CAAAAAoxMi8zMS8yMDE5CQAAAAEwh9vmJP+B3ggeKEgo/4HeCDhDSVEuTllTRTpJQk0uSVFfQ1VSUkVOVF9QT1JUX0RFQlQuOTk1LjA3LzAzLzIwMjYuLi5VU0QuSAEAAADetgEAAgAAAAQ2OTU2AQgAAAAFAAAAATEBAAAACy0yMDU5MDczMjAyAwAAAAMxNjACAAAABDEyOTcEAAAAATAHAAAACDMvNy8yMDI2CAAAAAoxMi8zMS8yMDIwCQAAAAEwh9vmJP+B3ggeKEgo/4HeCDhDSVEuTllTRTpJQk0uSVFfRklOX0RJVl9BU1NFVFNfTFQuOTkzLjA3LzAzLzIwMjYuLi5VU0QuSAEAAADetgEAAwAAAAAAh9vmJP+B3ggeKEgo/4HeCD5DSVEuTllTRTpJQk0uSVFfU0FMQVJJRVNfT1RIRVJfQkVORUZJVFMuOTk1LjA3LzAzLzIwMjYuLi5VU0QuSAEAAADetgEAAwAAAAAAh9vmJP+B3ggeKEgo/4HeCD9DSVEuTllTRTpJQk0uSVFfSU1QVVRfT1BFUl9MRUFTRV9JTlRfRVhQLjk5Mi4wNy8wMy8yMDI2Li4uVVNELkgBAAAA3rYBAAMAAAAAAIfb5iT/gd4IHihIKP+B3gg+Q0lRLk5ZU0U6SUJNLklRX0VYUExPUkVfRFJJTExfRVhQX1RPVEFMLjk5OS4wNy8wMy8yMDI2Li4uVVNELkgBAAAA3rYBAAMAAAAAAIfb</t>
  </si>
  <si>
    <t>5iT/gd4IqexHKP+B3gg0Q0lRLk5ZU0U6SUJNLklRX0FJUkNSQUZUX1JFTlQuOTk2LjA3LzAzLzIwMjYuLi5VU0QuSAEAAADetgEAAwAAAAAAh9vmJP+B3gip7Eco/4HeCDxDSVEuTllTRTpJQk0uSVFfTkVUX1JFTlRBTF9FWFBfU1VQUExFLjk5OC4wNy8wMy8yMDI2Li4uVVNELkgBAAAA3rYBAAIAAAAEMTI5MgEIAAAABQAAAAExAQAAAAstMTkwNDg2MDc0NAMAAAADMTYwAgAAAAUyNDI2MwQAAAABMAcAAAAIMy83LzIwMjYIAAAACjEyLzMxLzIwMjMJAAAAATCH2+Yk/4HeCKnsRyj/gd4IO0NJUS5OWVNFOklCTS5JUV9ORUdBVElWRV9HV19BTU9SVF9BVC45OTguMDcvMDMvMjAyNi4uLlVTRC5IAQAAAN62AQADAAAAAACH2+Yk/4HeCKnsRyj/gd4IO0NJUS5OWVNFOklCTS5JUV9UT1RBTF9VTlVTVUFMX1NVUFBMRS45OTUuMDcvMDMvMjAyNi4uLlVTRC5IAQAAAN62AQACAAAAAy0xMwEIAAAABQAAAAExAQAAAAstMjA1OTA3MzIwMgMAAAADMTYwAgAAAAUzMzM5MAQAAAABMAcAAAAIMy83LzIwMjYIAAAACjEyLzMxLzIwMjAJAAAAATCH2+Yk/4HeCB4oSCj/gd4IPkNJUS5OWVNFOklCTS5JUV9HQUlOX0JBUkdBSU5fQUNRX1NVUFBMRS45OTkuMDcvMDMvMjAyNi4uLlVTRC5IAQAAAN62AQADAAAAAACH2+Yk/4HeCKnsRyj/gd4IN0NJUS5OWVNFOklCTS5JUV9HQUlOX0JBUkdBSU5fQUNRLjk5NC4wNy8wMy8y</t>
  </si>
  <si>
    <t>MDI2Li4uVVNELkgBAAAA3rYBAAMAAAAAAIfb5iT/gd4IqexHKP+B3gg6Q0lRLk5ZU0U6SUJNLklRX1JFU1RSVUNUVVJFX1NVUFBMRS4xMDAwLjA3LzAzLzIwMjYuLi5VU0QuSAEAAADetgEAAwAAAAAAh9vmJP+B3gip7Eco/4HeCDdDSVEuTllTRTpJQk0uSVFfUkVTVFJfU1RPQ0tfQ09NUC45OTUuMDcvMDMvMjAyNi4uLlVTRC5IAQAAAN62AQADAAAAAACH2+Yk/4HeCKnsRyj/gd4IPkNJUS5OWVNFOklCTS5JUV9SRVNUUl9TVE9DS19DT01QX1BSRVRBWC45OTIuMDcvMDMvMjAyNi4uLlVTRC5IAQAAAN62AQADAAAAAACH2+Yk/4HeCKnsRyj/gd4INUNJUS5OWVNFOklCTS5JUV9TVE9DS19CQVNFRF9BVC45OTkuMDcvMDMvMjAyNi4uLlVTRC5IAQAAAN62AQADAAAAAACH2+Yk/4HeCMexRyj/gd4IQENJUS5OWVNFOklCTS5JUV9TVE9DS19CQVNFRF9FWFBMT1JFX0RSSUxMLjk5Ni4wNy8wMy8yMDI2Li4uVVNELkgBAAAA3rYBAAMAAAAAAIfb5iT/gd4Ix7FHKP+B3gg1Q0lRLk5ZU0U6SUJNLklRX1NUT0NLX0JBU0VEX0dBLjk5My4wNy8wMy8yMDI2Li4uVVNELkgBAAAA3rYBAAMAAAAAAIfb5iT/gd4Ix7FHKP+B3gg7Q0lRLk5ZU0U6SUJNLklRX01JTk9SSVRZX0lOVEVSRVNUX0NGLjk5OC4wNy8wMy8yMDI2Li4uVVNELkgBAAAA3rYBAAMAAAAAAIfb5iT/gd4IqexHKP+B3ggsQ0lRLk5ZU0U6SUJNLklRX0RB</t>
  </si>
  <si>
    <t>X0NGLjk5NS4wNy8wMy8yMDI2Li4uVVNELkgBAAAA3rYBAAIAAAAENjY5NQEIAAAABQAAAAExAQAAAAstMjA1OTA3MzIwMgMAAAADMTYwAgAAAAQyMTYwBAAAAAEwBwAAAAgzLzcvMjAyNggAAAAKMTIvMzEvMjAyMAkAAAABMIfb5iT/gd4IqexHKP+B3ggsQ0lRLk5ZU0U6SUJNLklRX05JX0NGLjk5OS4wNy8wMy8yMDI2Li4uVVNELkgBAAAA3rYBAAIAAAAENjAyMwEIAAAABQAAAAExAQAAAAstMTkwNDg2MDc0MwMAAAADMTYwAgAAAAQyMTUwBAAAAAEwBwAAAAgzLzcvMjAyNggAAAAKMTIvMzEvMjAyNAkAAAABMIfb5iT/gd4Ix7FHKP+B3gg3Q0lRLk5ZU0U6SUJNLklRX1NUT0NLX0JBU0VEX0NPTVAuOTk0LjA3LzAzLzIwMjYuLi5VU0QuSAEAAADetgEAAgAAAAM0ODQAh9vmJP+B3gjHsUco/4HeCEFDSVEuTllTRTpJQk0uSVFfU1RPQ0tfT1BUSU9OU19DT01QX1BSRVRBWC4xMDAwLjA3LzAzLzIwMjYuLi5VU0QuSAEAAADetgEAAwAAAAAAh9vmJP+B3gjHsUco/4HeCDhDSVEuTllTRTpJQk0uSVFfQ0hBTkdFX1VORUFSTl9SRVYuOTkyLjA3LzAzLzIwMjYuLi5VU0QuSAEAAADetgEAAwAAAAAAh9vmJP+B3gjHsUco/4HeCDxDSVEuTllTRTpJQk0uSVFfQ0hBTkdFX1RSQURJTkdfQVNTRVRTLjk5Ni4wNy8wMy8yMDI2Li4uVVNELkgBAAAA3rYBAAMAAAAAAIfb5iT/gd4Ix7FHKP+B3ggsQ0lRLk5ZU0U6SUJN</t>
  </si>
  <si>
    <t>LklRX0RPX0NGLjk5My4wNy8wMy8yMDI2Li4uVVNELkgBAAAA3rYBAAMAAAAAAIfb5iT/gd4It4pHKP+B3gg0Q0lRLk5ZU0U6SUJNLklRX0lOQ19FUVVJVFlfQ0YuOTk3LjA3LzAzLzIwMjYuLi5VU0QuSAEAAADetgEAAwAAAAAAh9vmJP+B3gjHsUco/4HeCC9DSVEuTllTRTpJQk0uSVFfTE9BTlNfQ0YuOTk0LjA3LzAzLzIwMjYuLi5VU0QuSAEAAADetgEAAwAAAAAAh9vmJP+B3gjHsUco/4HeCD1DSVEuTllTRTpJQk0uSVFfT1RIRVJfSU5WRVNUX0FDVF9TVVBQTC45OTQuMDcvMDMvMjAyNi4uLlVTRC5IAQAAAN62AQADAAAAAACH2+Yk/4HeCMexRyj/gd4IOkNJUS5OWVNFOklCTS5JUV9TQUxFX1JFQUxfRVNUQVRFX0NGLjk5OC4wNy8wMy8yMDI2Li4uVVNELkgBAAAA3rYBAAMAAAAAAIfb5iT/gd4Ix7FHKP+B3gg2Q0lRLk5ZU0U6SUJNLklRX0NBU0hfQUNRVUlSRV9DRi45OTUuMDcvMDMvMjAyNi4uLlVTRC5IAQAAAN62AQACAAAABC0zMzYBCAAAAAUAAAABMQEAAAALLTIwNTkwNzMyMDIDAAAAAzE2MAIAAAAEMjA1NwQAAAABMAcAAAAIMy83LzIwMjYIAAAACjEyLzMxLzIwMjAJAAAAATCH2+Yk/4HeCLeKRyj/gd4IQ0NJUS5OWVNFOklCTS5JUV9DSEFOR0VfT1RIRVJfTkVUX09QRVJfQVNTRVRTLjk5OS4wNy8wMy8yMDI2Li4uVVNELkgBAAAA3rYBAAIAAAAEMTg2NgEIAAAABQAAAAExAQAAAAstMTkw</t>
  </si>
  <si>
    <t>NDg2MDc0MwMAAAADMTYwAgAAAAQyMDQ1BAAAAAEwBwAAAAgzLzcvMjAyNggAAAAKMTIvMzEvMjAyNAkAAAABMIfb5iT/gd4It4pHKP+B3gg1Q0lRLk5ZU0U6SUJNLklRX0NIQU5HRV9JTkNfVEFYLjk5Ny4wNy8wMy8yMDI2Li4uVVNELkgBAAAA3rYBAAMAAAAAAIfb5iT/gd4It4pHKP+B3ggvQ0lRLk5ZU0U6SUJNLklRX1BSRUZfUkVQLjk5NS4wNy8wMy8yMDI2Li4uVVNELkgBAAAA3rYBAAMAAAAAAIfb5iT/gd4It4pHKP+B3gg0Q0lRLk5ZU0U6SUJNLklRX0NPTU1PTl9JU1NVRUQuOTk4LjA3LzAzLzIwMjYuLi5VU0QuSAEAAADetgEAAgAAAAM0MTQBCAAAAAUAAAABMQEAAAALLTE5MDQ4NjA3NDQDAAAAAzE2MAIAAAAEMjE2OQQAAAABMAcAAAAIMy83LzIwMjYIAAAACjEyLzMxLzIwMjMJAAAAATCH2+Yk/4HeCLeKRyj/gd4INUNJUS5OWVNFOklCTS5JUV9MVF9ERUJUX1JFUEFJRC45OTcuMDcvMDMvMjAyNi4uLlVTRC5IAQAAAN62AQACAAAABS02ODAwAQgAAAAFAAAAATEBAAAACy0xOTU4MjgxMDk2AwAAAAMxNjACAAAABDIwMzYEAAAAATAHAAAACDMvNy8yMDI2CAAAAAoxMi8zMS8yMDIyCQAAAAEwh9vmJP+B3girY0co/4HeCDhDSVEuTllTRTpJQk0uSVFfVE9UQUxfREVCVF9JU1NVRUQuOTk2LjA3LzAzLzIwMjYuLi5VU0QuSAEAAADetgEAAgAAAAM1MjIBCAAAAAUAAAABMQEAAAALLTIwMDg2NDcx</t>
  </si>
  <si>
    <t>OTgDAAAAAzE2MAIAAAAEMjE2MQQAAAABMAcAAAAIMy83LzIwMjYIAAAACjEyLzMxLzIwMjEJAAAAATCH2+Yk/4HeCKtjRyj/gd4INUNJUS5OWVNFOklCTS5JUV9TVF9ERUJUX0lTU1VFRC45OTYuMDcvMDMvMjAyNi4uLlVTRC5IAQAAAN62AQADAAAAAACH2+Yk/4HeCLeKRyj/gd4IQ0NJUS5OWVNFOklCTS5JUV9EQV9TVVBQTF9DRl9FWENMX09QRVJfTEVBU0VTLjk5OS4wNy8wMy8yMDI2Li4uVVNELkgBAAAA3rYBAAIAAAAEMTI2OAEIAAAABQAAAAExAQAAAAstMTkwNDg2MDc0MwMAAAADMTYwAgAAAAU0ODk4MwQAAAABMAcAAAAIMy83LzIwMjYIAAAACjEyLzMxLzIwMjQJAAAAATCH2+Yk/4HeCLeKRyj/gd4IKUNJUS5OWVNFOklCTS5JUV9GWC45OTYuMDcvMDMvMjAyNi4uLlVTRC5IAQAAAN62AQACAAAABC0xODUBCAAAAAUAAAABMQEAAAALLTIwMDg2NDcxOTgDAAAAAzE2MAIAAAAEMjE0NAQAAAABMAcAAAAIMy83LzIwMjYIAAAACjEyLzMxLzIwMjEJAAAAATCH2+Yk/4HeCLeKRyj/gd4IPkNJUS5OWVNFOklCTS5JUV9PVEhFUl9GSU5BTkNFX0FDVF9TVVBQTC45OTYuMDcvMDMvMjAyNi4uLlVTRC5IAQAAAN62AQACAAAAAzk0OQEIAAAABQAAAAExAQAAAAstMjAwODY0NzE5OAMAAAADMTYwAgAAAAQyMDUwBAAAAAEwBwAAAAgzLzcvMjAyNggAAAAKMTIvMzEvMjAyMQkAAAABMIfb5iT/gd4Iq2NHKP+B</t>
  </si>
  <si>
    <t>3gg4Q0lRLk5ZU0U6SUJNLklRX1RPVEFMX0RJVl9QQUlEX0NGLjk5Ny4wNy8wMy8yMDI2Li4uVVNELkgBAAAA3rYBAAIAAAAFLTU5NDgBCAAAAAUAAAABMQEAAAALLTE5NTgyODEwOTYDAAAAAzE2MAIAAAAEMjAyMgQAAAABMAcAAAAIMy83LzIwMjYIAAAACjEyLzMxLzIwMjIJAAAAATCH2+Yk/4HeCKtjRyj/gd4IMkNJUS5OWVNFOklCTS5JUV9QUkVGX0RJVl9DRi45OTYuMDcvMDMvMjAyNi4uLlVTRC5IAQAAAN62AQADAAAAAACH2+Yk/4HeCKtjRyj/gd4INkNJUS5OWVNFOklCTS5JUV9DQVNIX1RBWEVTX09QRVIuOTk5LjA3LzAzLzIwMjYuLi5VU0QuSAEAAADetgEAAwAAAAAAh9vmJP+B3girY0co/4HeCDpDSVEuTllTRTpJQk0uSVFfQ0FTSF9JTlRFUkVTVF9GSU5BTi45OTQuMDcvMDMvMjAyNi4uLlVTRC5IAQAAAN62AQADAAAAAACH2+Yk/4HeCKtjRyj/gd4IPUNJUS5OWVNFOklCTS5JUV9DQVNIX0lOVEVSRVNUX1JFQ0VJVkVELjk5Mi4wNy8wMy8yMDI2Li4uVVNELkgBAAAA3rYBAAMAAAAAAIfb5iT/gd4IVTxHKP+B3ghCQ0lRLk5ZU0U6SUJNLklRX1NBTEVfUFJPQ0VFRFNfUkVOVEFMX0FTU0VUUy45OTkuMDcvMDMvMjAyNi4uLlVTRC5IAQAAAN62AQADAAAAAACH2+Yk/4HeCFU8Ryj/gd4IM0NJUS5OWVNFOklCTS5JUV9BTU9SVF9ESUNfQ0YuOTkyLjA3LzAzLzIwMjYuLi5VU0QuSAEAAADetgEA</t>
  </si>
  <si>
    <t>AwAAAAAAh9vmJP+B3ghVPEco/4HeCEpDSVEuTllTRTpJQk0uSVFfT1BFUkFUSU5HX0xFQVNFX0xJQUJJTElUSUVTX05PTkNBU0guOTk1LjA3LzAzLzIwMjYuLi5VU0QuSAEAAADetgEAAwAAAAAAh9vmJP+B3girY0co/4HeCDRDSVEuTllTRTpJQk0uSVFfRE9fRklOQU5DRV9DRi45OTcuMDcvMDMvMjAyNi4uLlVTRC5IAQAAAN62AQADAAAAAACH2+Yk/4HeCKtjRyj/gd4IMkNJUS5OWVNFOklCTS5JUV9NQUlOVF9DQVBFWC45OTIuMDcvMDMvMjAyNi4uLlVTRC5IAQAAAN62AQADAAAAAACH2+Yk/4HeCFU8Ryj/gd4INENJUS5OWVNFOklCTS5JUV9VTkxFVkVSRURfRkNGLjk5Mi4wNy8wMy8yMDI2Li4uVVNELkgBAAAA3rYBAAIAAAAHODQyNi4yNQEIAAAABQAAAAExAQAAAAoyMDE3MTY0MjQ0AwAAAAMxNjACAAAABDQ0MjMEAAAAATAHAAAACDMvNy8yMDI2CAAAAAoxMi8zMS8yMDE3CQAAAAEwh9vmJP+B3ghVPEco/4HeCDtDSVEuTllTRTpJQk0uSVFfQ0hBTkdFX0RFRl9UQVhfVE9UQUwuOTk5LjA3LzAzLzIwMjYuLi5VU0QuSAEAAADetgEAAgAAAAUtMjMzMAEIAAAABQAAAAExAQAAAAstMTkwNDg2MDc0MwMAAAADMTYwAgAAAAUzMDkyNAQAAAABMAcAAAAIMy83LzIwMjYIAAAACjEyLzMxLzIwMjQJAAAAATCH2+Yk/4HeCFU8Ryj/gd4IOENJUS5OWVNFOklCTS5JUV9GSU5fRElWX0FTU0VUU19MVC45OTIu</t>
  </si>
  <si>
    <t>MDcvMDMvMjAyNi4uLlVTRC5IAQAAAN62AQADAAAAAACH2+Yk/4HeCFU8Ryj/gd4IKUNJUS5OWVNFOklCTS5JUV9BRC45OTMuMDcvMDMvMjAyNi4uLlVTRC5IAQAAAN62AQACAAAABi0yMTY2OAEIAAAABQAAAAExAQAAAAoyMDgxNTA1NDAxAwAAAAMxNjACAAAABDEwNzUEAAAAATAHAAAACDMvNy8yMDI2CAAAAAoxMi8zMS8yMDE4CQAAAAEwh9vmJP+B3ghVPEco/4HeCDNDSVEuTllTRTpJQk0uSVFfT1RIRVJfUkVDRUlWLjk5NS4wNy8wMy8yMDI2Li4uVVNELkgBAAAA3rYBAAIAAAADNjk1AQgAAAAFAAAAATEBAAAACy0yMDU5MDczMjAyAwAAAAMxNjACAAAABDEyMDYEAAAAATAHAAAACDMvNy8yMDI2CAAAAAoxMi8zMS8yMDIwCQAAAAEwh9vmJP+B3giVKEco/4HeCDBDSVEuTllTRTpJQk0uSVFfU1RfSU5WRVNULjk5Ni4wNy8wMy8yMDI2Li4uVVNELkgBAAAA3rYBAAIAAAADNjAwAQgAAAAFAAAAATEBAAAACy0yMDA4NjQ3MTk4AwAAAAMxNjACAAAABDEwNjkEAAAAATAHAAAACDMvNy8yMDI2CAAAAAoxMi8zMS8yMDIxCQAAAAEwh9vmJP+B3giVKEco/4HeCDpDSVEuTllTRTpJQk0uSVFfR0FJTl9CQVJHQUlOX0FDUV9DRi45OTQuMDcvMDMvMjAyNi4uLlVTRC5IAQAAAN62AQADAAAAAACH2+Yk/4HeCJUoRyj/gd4ILENJUS5OWVNFOklCTS5JUV9OSV9DRi45OTguMDcvMDMvMjAyNi4uLlVTRC5IAQAAAN62</t>
  </si>
  <si>
    <t>AQACAAAABDc1MDIBCAAAAAUAAAABMQEAAAALLTE5MDQ4NjA3NDQDAAAAAzE2MAIAAAAEMjE1MAQAAAABMAcAAAAIMy83LzIwMjYIAAAACjEyLzMxLzIwMjMJAAAAATCH2+Yk/4HeCJUoRyj/gd4IN0NJUS5OWVNFOklCTS5JUV9TVE9DS19CQVNFRF9DT01QLjk5My4wNy8wMy8yMDI2Li4uVVNELkgBAAAA3rYBAAIAAAADMzkzAIfb5iT/gd4IVTxHKP+B3gg9Q0lRLk5ZU0U6SUJNLklRX1NUT0NLX09QVElPTlNfQ09NUF9UQVguOTk3LjA3LzAzLzIwMjYuLi5VU0QuSAEAAADetgEAAwAAAAAAh9vmJP+B3giXAUco/4HeCDdDSVEuTllTRTpJQk0uSVFfUkVTVFJfU1RPQ0tfQ09NUC45OTQuMDcvMDMvMjAyNi4uLlVTRC5IAQAAAN62AQADAAAAAACH2+Yk/4HeCJcBRyj/gd4IOENJUS5OWVNFOklCTS5JUV9DVVJSRU5UX1BPUlRfREVCVC45OTkuMDcvMDMvMjAyNi4uLlVTRC5IAQAAAN62AQACAAAABDQ4NjEBCAAAAAUAAAABMQEAAAALLTE5MDQ4NjA3NDMDAAAAAzE2MAIAAAAEMTI5NwQAAAABMAcAAAAIMy83LzIwMjYIAAAACjEyLzMxLzIwMjQJAAAAATCH2+Yk/4HeCJcBRyj/gd4INENJUS5OWVNFOklCTS5JUV9JTkNfRVFVSVRZX0NGLjk5Ni4wNy8wMy8yMDI2Li4uVVNELkgBAAAA3rYBAAMAAAAAAIfb5iT/gd4IlwFHKP+B3ggvQ0lRLk5ZU0U6SUJNLklRX0xPQU5TX0NGLjk5My4wNy8wMy8yMDI2Li4uVVNE</t>
  </si>
  <si>
    <t>LkgBAAAA3rYBAAMAAAAAAIfb5iT/gd4IlwFHKP+B3gg2Q0lRLk5ZU0U6SUJNLklRX0dBSU5fSU5WRVNUX0NGLjEwMDAuMDcvMDMvMjAyNi4uLlVTRC5IAQAAAN62AQADAAAAAACH2+Yk/4HeCKbaRij/gd4IO0NJUS5OWVNFOklCTS5JUV9NSU5PUklUWV9JTlRFUkVTVF9DRi45OTcuMDcvMDMvMjAyNi4uLlVTRC5IAQAAAN62AQADAAAAAACH2+Yk/4HeCKbaRij/gd4IMkNJUS5OWVNFOklCTS5JUV9PVEhFUl9BTU9SVC45OTIuMDcvMDMvMjAyNi4uLlVTRC5IAQAAAN62AQADAAAAAACH2+Yk/4HeCKbaRij/gd4INUNJUS5OWVNFOklCTS5JUV9DSEFOR0VfREVGX1RBWC45OTMuMDcvMDMvMjAyNi4uLlVTRC5IAQAAAN62AQADAAAAAACH2+Yk/4HeCJcBRyj/gd4IMUNJUS5OWVNFOklCTS5JUV9DSEFOR0VfQVIuMTAwMC4wNy8wMy8yMDI2Li4uVVNELkgBAAAA3rYBAAIAAAAFLTQyNzgBCAAAAAUAAAABMQEAAAALLTE5MDQ4NjA3NDADAAAAAzE2MAIAAAAEMjAxOAQAAAABMAcAAAAIMy83LzIwMjYIAAAACjEyLzMxLzIwMjUJAAAAATCH2+Yk/4HeCJcBRyj/gd4IPENJUS5OWVNFOklCTS5JUV9DSEFOR0VfVFJBRElOR19BU1NFVFMuOTk1LjA3LzAzLzIwMjYuLi5VU0QuSAEAAADetgEAAwAAAAAAh9vmJP+B3gj5nkYo/4HeCCxDSVEuTllTRTpJQk0uSVFfRE9fQ0YuOTkyLjA3LzAzLzIwMjYuLi5VU0QuSAEAAADe</t>
  </si>
  <si>
    <t>tgEAAwAAAAAAh9vmJP+B3gj7skYo/4HeCDpDSVEuTllTRTpJQk0uSVFfVEFYX0JFTkVGSVRfT1BUSU9OUy45OTkuMDcvMDMvMjAyNi4uLlVTRC5IAQAAAN62AQADAAAAAACH2+Yk/4HeCPuyRij/gd4IPUNJUS5OWVNFOklCTS5JUV9PVEhFUl9JTlZFU1RfQUNUX1NVUFBMLjk5My4wNy8wMy8yMDI2Li4uVVNELkgBAAAA3rYBAAIAAAACLTEBCAAAAAUAAAABMQEAAAAKMjA4MTUwNTQwMQMAAAADMTYwAgAAAAQyMDUxBAAAAAEwBwAAAAgzLzcvMjAyNggAAAAKMTIvMzEvMjAxOAkAAAABMIfb5iT/gd4I+7JGKP+B3gg6Q0lRLk5ZU0U6SUJNLklRX0lOVkVTVF9TRUNVUklUWV9DRi4xMDAwLjA3LzAzLzIwMjYuLi5VU0QuSAEAAADetgEAAgAAAAQtMzkxAQgAAAAFAAAAATEBAAAACy0xOTA0ODYwNzQwAwAAAAMxNjACAAAABDIwMjcEAAAAATAHAAAACDMvNy8yMDI2CAAAAAoxMi8zMS8yMDI1CQAAAAEwh9vmJP+B3gim2kYo/4HeCDpDSVEuTllTRTpJQk0uSVFfU0FMRV9SRUFMX0VTVEFURV9DRi45OTcuMDcvMDMvMjAyNi4uLlVTRC5IAQAAAN62AQADAAAAAACH2+Yk/4HeCFJQRij/gd4IMENJUS5OWVNFOklCTS5JUV9ESVZFU1RfQ0YuOTkyLjA3LzAzLzIwMjYuLi5VU0QuSAEAAADetgEAAgAAAAQtMjA1AQgAAAAFAAAAATEBAAAACjIwMTcxNjQyNDQDAAAAAzE2MAIAAAAEMjA3NwQAAAABMAcAAAAIMy83LzIw</t>
  </si>
  <si>
    <t>MjYIAAAACjEyLzMxLzIwMTcJAAAAATCH2+Yk/4HeCFJQRij/gd4IQ0NJUS5OWVNFOklCTS5JUV9DSEFOR0VfT1RIRVJfTkVUX09QRVJfQVNTRVRTLjk5OC4wNy8wMy8yMDI2Li4uVVNELkgBAAAA3rYBAAIAAAAEMTAwNAEIAAAABQAAAAExAQAAAAstMTkwNDg2MDc0NAMAAAADMTYwAgAAAAQyMDQ1BAAAAAEwBwAAAAgzLzcvMjAyNggAAAAKMTIvMzEvMjAyMwkAAAABMIfb5iT/gd4Id4tGKP+B3ggvQ0lRLk5ZU0U6SUJNLklRX1BSRUZfUkVQLjk5NC4wNy8wMy8yMDI2Li4uVVNELkgBAAAA3rYBAAMAAAAAAIfb5iT/gd4Id4tGKP+B3gg0Q0lRLk5ZU0U6SUJNLklRX0NPTU1PTl9JU1NVRUQuOTk3LjA3LzAzLzIwMjYuLi5VU0QuSAEAAADetgEAAgAAAAMyNzkBCAAAAAUAAAABMQEAAAALLTE5NTgyODEwOTYDAAAAAzE2MAIAAAAEMjE2OQQAAAABMAcAAAAIMy83LzIwMjYIAAAACjEyLzMxLzIwMjIJAAAAATCH2+Yk/4HeCPmeRij/gd4INUNJUS5OWVNFOklCTS5JUV9MVF9ERUJUX1JFUEFJRC45OTYuMDcvMDMvMjAyNi4uLlVTRC5IAQAAAN62AQACAAAABS04NTk3AQgAAAAFAAAAATEBAAAACy0yMDA4NjQ3MTk4AwAAAAMxNjACAAAABDIwMzYEAAAAATAHAAAACDMvNy8yMDI2CAAAAAoxMi8zMS8yMDIxCQAAAAEwh9vmJP+B3ghSUEYo/4HeCDhDSVEuTllTRTpJQk0uSVFfVE9UQUxfREVCVF9JU1NVRUQuOTk1</t>
  </si>
  <si>
    <t>LjA3LzAzLzIwMjYuLi5VU0QuSAEAAADetgEAAgAAAAUxMDUwNAEIAAAABQAAAAExAQAAAAstMjA1OTA3MzIwMgMAAAADMTYwAgAAAAQyMTYxBAAAAAEwBwAAAAgzLzcvMjAyNggAAAAKMTIvMzEvMjAyMAkAAAABMIfb5iT/gd4IUlBGKP+B3gg1Q0lRLk5ZU0U6SUJNLklRX1NUX0RFQlRfSVNTVUVELjk5NS4wNy8wMy8yMDI2Li4uVVNELkgBAAAA3rYBAAMAAAAAAIfb5iT/gd4IUlBGKP+B3ghFQ0lRLk5ZU0U6SUJNLklRX0RFUFJFQ0lBVElPTl9SRU5UQUxfQVNTRVRTX0NGLjEwMDAuMDcvMDMvMjAyNi4uLlVTRC5IAQAAAN62AQADAAAAAACH2+Yk/4HeCFJQRij/gd4INUNJUS5OWVNFOklCTS5JUV9NSVNDX0FESlVTVF9DRi45OTIuMDcvMDMvMjAyNi4uLlVTRC5IAQAAAN62AQACAAAAAi0xAQgAAAAFAAAAATEBAAAACjIwMTcxNjQyNDQDAAAAAzE2MAIAAAAEMjE0OQQAAAABMAcAAAAIMy83LzIwMjYIAAAACjEyLzMxLzIwMTcJAAAAATCH2+Yk/4HeCFJQRij/gd4IPkNJUS5OWVNFOklCTS5JUV9PVEhFUl9GSU5BTkNFX0FDVF9TVVBQTC45OTUuMDcvMDMvMjAyNi4uLlVTRC5IAQAAAN62AQACAAAAAjkyAQgAAAAFAAAAATEBAAAACy0yMDU5MDczMjAyAwAAAAMxNjACAAAABDIwNTAEAAAAATAHAAAACDMvNy8yMDI2CAAAAAoxMi8zMS8yMDIwCQAAAAEwh9vmJP+B3ggqKUYo/4HeCDhDSVEuTllTRTpJQk0u</t>
  </si>
  <si>
    <t>SVFfVE9UQUxfRElWX1BBSURfQ0YuOTk2LjA3LzAzLzIwMjYuLi5VU0QuSAEAAADetgEAAgAAAAUtNTg2OQEIAAAABQAAAAExAQAAAAstMjAwODY0NzE5OAMAAAADMTYwAgAAAAQyMDIyBAAAAAEwBwAAAAgzLzcvMjAyNggAAAAKMTIvMzEvMjAyMQkAAAABMIfb5iT/gd4IKilGKP+B3ggyQ0lRLk5ZU0U6SUJNLklRX1BSRUZfRElWX0NGLjk5NS4wNy8wMy8yMDI2Li4uVVNELkgBAAAA3rYBAAMAAAAAAIfb5iT/gd4IKilGKP+B3gg7Q0lRLk5ZU0U6SUJNLklRX0NIQU5HRV9ERUZfVEFYX1RPVEFMLjk5OC4wNy8wMy8yMDI2Li4uVVNELkgBAAAA3rYBAAIAAAAFLTExMTQBCAAAAAUAAAABMQEAAAALLTE5MDQ4NjA3NDQDAAAAAzE2MAIAAAAFMzA5MjQEAAAAATAHAAAACDMvNy8yMDI2CAAAAAoxMi8zMS8yMDIzCQAAAAEwh9vmJP+B3ggqKUYo/4HeCDZDSVEuTllTRTpJQk0uSVFfQ0FTSF9UQVhFU19PUEVSLjk5Ni4wNy8wMy8yMDI2Li4uVVNELkgBAAAA3rYBAAMAAAAAAIfb5iT/gd4IUlBGKP+B3gg6Q0lRLk5ZU0U6SUJNLklRX0NBU0hfSU5URVJFU1RfRklOQU4uOTkzLjA3LzAzLzIwMjYuLi5VU0QuSAEAAADetgEAAwAAAAAAh9vmJP+B3gg1AkYo/4HeCEJDSVEuTllTRTpJQk0uSVFfU0FMRV9QUk9DRUVEU19SRU5UQUxfQVNTRVRTLjk5OC4wNy8wMy8yMDI2Li4uVVNELkgBAAAA3rYBAAMAAAAAAIfb5iT/</t>
  </si>
  <si>
    <t>gd4INQJGKP+B3ghDQ0lRLk5ZU0U6SUJNLklRX0RBX1NVUFBMX0NGX0VYQ0xfT1BFUl9MRUFTRVMuOTk4LjA3LzAzLzIwMjYuLi5VU0QuSAEAAADetgEAAgAAAAQxMjA5AQgAAAAFAAAAATEBAAAACy0xOTA0ODYwNzQ0AwAAAAMxNjACAAAABTQ4OTgzBAAAAAEwBwAAAAgzLzcvMjAyNggAAAAKMTIvMzEvMjAyMwkAAAABMIfb5iT/gd4INQJGKP+B3ggzQ0lRLk5ZU0U6SUJNLklRX09USEVSX1JFQ0VJVi45OTQuMDcvMDMvMjAyNi4uLlVTRC5IAQAAAN62AQACAAAABDE3MDcBCAAAAAUAAAABMQEAAAALLTIxMTA3NjkzNTUDAAAAAzE2MAIAAAAEMTIwNgQAAAABMAcAAAAIMy83LzIwMjYIAAAACjEyLzMxLzIwMTkJAAAAATCH2+Yk/4HeCDUCRij/gd4IMENJUS5OWVNFOklCTS5JUV9TVF9JTlZFU1QuOTk1LjA3LzAzLzIwMjYuLi5VU0QuSAEAAADetgEAAgAAAAM2MDABCAAAAAUAAAABMQEAAAALLTIwNTkwNzMyMDIDAAAAAzE2MAIAAAAEMTA2OQQAAAABMAcAAAAIMy83LzIwMjYIAAAACjEyLzMxLzIwMjAJAAAAATCH2+Yk/4HeCDUCRij/gd4IOkNJUS5OWVNFOklCTS5JUV9HQUlOX0JBUkdBSU5fQUNRX0NGLjk5OS4wNy8wMy8yMDI2Li4uVVNELkgBAAAA3rYBAAMAAAAAAIfb5iT/gd4IrbNFKP+B3ghKQ0lRLk5ZU0U6SUJNLklRX09QRVJBVElOR19MRUFTRV9MSUFCSUxJVElFU19OT05DQVNILjk5NC4wNy8w</t>
  </si>
  <si>
    <t>My8yMDI2Li4uVVNELkgBAAAA3rYBAAMAAAAAAIfb5iT/gd4IGdtFKP+B3gg0Q0lRLk5ZU0U6SUJNLklRX0RPX0ZJTkFOQ0VfQ0YuOTk2LjA3LzAzLzIwMjYuLi5VU0QuSAEAAADetgEAAwAAAAAAh9vmJP+B3ggZ20Uo/4HeCDtDSVEuTllTRTpJQk0uSVFfRklOX0RJVl9ERUJUX0NVUlJFTlQuOTk4LjA3LzAzLzIwMjYuLi5VU0QuSAEAAADetgEAAwAAAAAAh9vmJP+B3ggZ20Uo/4HeCDhDSVEuTllTRTpJQk0uSVFfRklOX0RJVl9BU1NFVFNfTFQuOTk2LjA3LzAzLzIwMjYuLi5VU0QuSAEAAADetgEAAwAAAAAAh9vmJP+B3ggZ20Uo/4HeCClDSVEuTllTRTpJQk0uSVFfQUQuOTk4LjA3LzAzLzIwMjYuLi5VU0QuSAEAAADetgEAAgAAAAYtMTI2MjEBCAAAAAUAAAABMQEAAAALLTE5MDQ4NjA3NDQDAAAAAzE2MAIAAAAEMTA3NQQAAAABMAcAAAAIMy83LzIwMjYIAAAACjEyLzMxLzIwMjMJAAAAATCH2+Yk/4HeCMl4RSj/gd4IPUNJUS5OWVNFOklCTS5JUV9ERUZfVEFYX0FTU0VUU19DVVJSRU5ULjk5OC4wNy8wMy8yMDI2Li4uVVNELkgBAAAA3rYBAAMAAAAAAIfb5iT/gd4IrbNFKP+B3ggyQ0lRLk5ZU0U6SUJNLklRX1BSRVBBSURfRVhQLjk5Ni4wNy8wMy8yMDI2Li4uVVNELkgBAAAA3rYBAAIAAAAEMTgzMAEIAAAABQAAAAExAQAAAAstMjAwODY0NzE5OAMAAAADMTYwAgAAAAQxMjEyBAAAAAEwBwAAAAgz</t>
  </si>
  <si>
    <t>LzcvMjAyNggAAAAKMTIvMzEvMjAyMQkAAAABMIfb5iT/gd4IrbNFKP+B3gg4Q0lRLk5ZU0U6SUJNLklRX0NPTlRJTkdFTlRfUkVOVEFMLjk5NC4wNy8wMy8yMDI2Li4uVVNELkgBAAAA3rYBAAIAAAADMzY0AIfb5iT/gd4IrbNFKP+B3ggwQ0lRLk5ZU0U6SUJNLklRX1JEX0VYUF9GTi45OTYuMDcvMDMvMjAyNi4uLlVTRC5IAQAAAN62AQACAAAABDY0ODgBCAAAAAUAAAABMQEAAAALLTIwMDg2NDcxOTgDAAAAAzE2MAIAAAAEMzE2OAQAAAABMAcAAAAIMy83LzIwMjYIAAAACjEyLzMxLzIwMjEJAAAAATCH2+Yk/4HeCK2zRSj/gd4INkNJUS5OWVNFOklCTS5JUV9TQUxFU19NQVJLRVRJTkcuOTkyLjA3LzAzLzIwMjYuLi5VU0QuSAEAAADetgEAAgAAAAQxNDQ1AQgAAAAFAAAAATEBAAAACjIwMTcxNjQyNDQDAAAAAzE2MAIAAAAFMjE1NjEEAAAAATAHAAAACDMvNy8yMDI2CAAAAAoxMi8zMS8yMDE3CQAAAAEwh9vmJP+B3gjJeEUo/4HeCDJDSVEuTllTRTpJQk0uSVFfQURWRVJUSVNJTkcuOTk4LjA3LzAzLzIwMjYuLi5VU0QuSAEAAADetgEAAgAAAAQxMjM3AQgAAAAFAAAAATEBAAAACy0xOTA0ODYwNzQ0AwAAAAMxNjACAAAABDMwMTMEAAAAATAHAAAACDMvNy8yMDI2CAAAAAoxMi8zMS8yMDIzCQAAAAEwh9vmJP+B3gjJeEUo/4HeCCpDSVEuTllTRTpJQk0uSVFfRElDLjk5NC4wNy8wMy8yMDI2Li4uVVNE</t>
  </si>
  <si>
    <t>LkgBAAAA3rYBAAMAAAAAAIfb5iT/gd4IyXhFKP+B3gg+Q0lRLk5ZU0U6SUJNLklRX1NBTEFSSUVTX09USEVSX0JFTkVGSVRTLjk5My4wNy8wMy8yMDI2Li4uVVNELkgBAAAA3rYBAAMAAAAAAIfb5iT/gd4IyXhFKP+B3ghAQ0lRLk5ZU0U6SUJNLklRX0lNUFVUX09QRVJfTEVBU0VfSU5UX0VYUC4xMDAwLjA3LzAzLzIwMjYuLi5VU0QuSAEAAADetgEAAgAAAAozMjkuODk4NTI4AQgAAAAFAAAAATEBAAAACy0xOTA0ODYwNzQwAwAAAAMxNjACAAAABTIxNjcyBAAAAAEwBwAAAAgzLzcvMjAyNggAAAAKMTIvMzEvMjAyNQkAAAABMIfb5iT/gd4IyXhFKP+B3gg+Q0lRLk5ZU0U6SUJNLklRX0VYUExPUkVfRFJJTExfRVhQX1RPVEFMLjk5Ny4wNy8wMy8yMDI2Li4uVVNELkgBAAAA3rYBAAMAAAAAAIfb5iT/gd4ImxZFKP+B3gg0Q0lRLk5ZU0U6SUJNLklRX0FJUkNSQUZUX1JFTlQuOTk0LjA3LzAzLzIwMjYuLi5VU0QuSAEAAADetgEAAwAAAAAAh9vmJP+B3gh1UUUo/4HeCDZDSVEuTllTRTpJQk0uSVFfTUlOSU1VTV9SRU5UQUwuMTAwMC4wNy8wMy8yMDI2Li4uVVNELkgBAAAA3rYBAAMAAAAAAIfb5iT/gd4IdVFFKP+B3gg3Q0lRLk5ZU0U6SUJNLklRX1NUT0NLX0JBU0VEX0NPR1MuOTkzLjA3LzAzLzIwMjYuLi5VU0QuSAEAAADetgEAAgAAAAI4MgEIAAAABQAAAAExAQAAAAoyMDgxNTA1NDAxAwAAAAMxNjAC</t>
  </si>
  <si>
    <t>AAAABTIyNjc0BAAAAAEwBwAAAAgzLzcvMjAyNggAAAAKMTIvMzEvMjAxOAkAAAABMIfb5iT/gd4IdVFFKP+B3gg7Q0lRLk5ZU0U6SUJNLklRX0xFR0FMX1NFVFRMRV9TVVBQTEUuMTAwMC4wNy8wMy8yMDI2Li4uVVNELkgBAAAA3rYBAAMAAAAAAIfb5iT/gd4IdVFFKP+B3gg4Q0lRLk5ZU0U6SUJNLklRX0lOU19TRVRUTEVfU1VQUExFLjk5NS4wNy8wMy8yMDI2Li4uVVNELkgBAAAA3rYBAAMAAAAAAIfb5iT/gd4ImxZFKP+B3gg3Q0lRLk5ZU0U6SUJNLklRX0dBSU5fQkFSR0FJTl9BQ1EuOTkyLjA3LzAzLzIwMjYuLi5VU0QuSAEAAADetgEAAwAAAAAAh9vmJP+B3gibFkUo/4HeCDRDSVEuTllTRTpJQk0uSVFfTUVSR0VSX1NVUFBMRS45OTYuMDcvMDMvMjAyNi4uLlVTRC5IAQAAAN62AQADAAAAAACH2+Yk/4HeCJsWRSj/gd4IN0NJUS5OWVNFOklCTS5JUV9SRVNUUl9TVE9DS19DT01QLjk5My4wNy8wMy8yMDI2Li4uVVNELkgBAAAA3rYBAAMAAAAAAIfb5iT/gd4ImxZFKP+B3gg/Q0lRLk5ZU0U6SUJNLklRX1JFU1RSX1NUT0NLX0NPTVBfUFJFVEFYLjEwMDAuMDcvMDMvMjAyNi4uLlVTRC5IAQAAAN62AQADAAAAAACH2+Yk/4HeCJsWRSj/gd4INUNJUS5OWVNFOklCTS5JUV9TVE9DS19CQVNFRF9BVC45OTcuMDcvMDMvMjAyNi4uLlVTRC5IAQAAAN62AQADAAAAAACH2+Yk/4HeCJnNRCj/gd4IQENJUS5O</t>
  </si>
  <si>
    <t>WVNFOklCTS5JUV9TVE9DS19CQVNFRF9FWFBMT1JFX0RSSUxMLjk5NC4wNy8wMy8yMDI2Li4uVVNELkgBAAAA3rYBAAMAAAAAAIfb5iT/gd4IkfREKP+B3gg1Q0lRLk5ZU0U6SUJNLklRX1NUT0NLX0JBU0VEX1JELjk5OC4wNy8wMy8yMDI2Li4uVVNELkgBAAAA3rYBAAIAAAADMzI4AQgAAAAFAAAAATEBAAAACy0xOTA0ODYwNzQ0AwAAAAMxNjACAAAABTIyNjc4BAAAAAEwBwAAAAgzLzcvMjAyNggAAAAKMTIvMzEvMjAyMwkAAAABMIfb5iT/gd4ITwhFKP+B3gg7Q0lRLk5ZU0U6SUJNLklRX01JTk9SSVRZX0lOVEVSRVNUX0NGLjk5Ni4wNy8wMy8yMDI2Li4uVVNELkgBAAAA3rYBAAMAAAAAAIfb5iT/gd4ITwhFKP+B3gg5Q0lRLk5ZU0U6SUJNLklRX0dXX0lOVEFOX0FNT1JUX0NGLjEwMDAuMDcvMDMvMjAyNi4uLlVTRC5IAQAAAN62AQACAAAABDIxNjYBCAAAAAUAAAABMQEAAAALLTE5MDQ4NjA3NDADAAAAAzE2MAIAAAAEMjE4MgQAAAABMAcAAAAIMy83LzIwMjYIAAAACjEyLzMxLzIwMjUJAAAAATCH2+Yk/4HeCJsWRSj/gd4IMkNJUS5OWVNFOklCTS5JUV9EQV9TVVBQTF9DRi45OTUuMDcvMDMvMjAyNi4uLlVTRC5IAQAAAN62AQACAAAABDQyMjcBCAAAAAUAAAABMQEAAAALLTIwNTkwNzMyMDIDAAAAAzE2MAIAAAAEMjE3MQQAAAABMAcAAAAIMy83LzIwMjYIAAAACjEyLzMxLzIwMjAJAAAAATCH2+Yk</t>
  </si>
  <si>
    <t>/4HeCDGmRCj/gd4IN0NJUS5OWVNFOklCTS5JUV9TVE9DS19CQVNFRF9DT01QLjk5Mi4wNy8wMy8yMDI2Li4uVVNELkgBAAAA3rYBAAIAAAADNDAzAIfb5iT/gd4IMaZEKP+B3gg9Q0lRLk5ZU0U6SUJNLklRX1NUT0NLX09QVElPTlNfQ09NUF9UQVguOTk2LjA3LzAzLzIwMjYuLi5VU0QuSAEAAADetgEAAwAAAAAAh9vmJP+B3ggxpkQo/4HeCDdDSVEuTllTRTpJQk0uSVFfQ0hBTkdFX0lOVkVOVE9SWS45OTcuMDcvMDMvMjAyNi4uLlVTRC5IAQAAAN62AQACAAAAAjcxAQgAAAAFAAAAATEBAAAACy0xOTU4MjgxMDk2AwAAAAMxNjACAAAABDIwOTkEAAAAATAHAAAACDMvNy8yMDI2CAAAAAoxMi8zMS8yMDIyCQAAAAEwh9vmJP+B3giZzUQo/4HeCDxDSVEuTllTRTpJQk0uSVFfQ0hBTkdFX1RSQURJTkdfQVNTRVRTLjk5NC4wNy8wMy8yMDI2Li4uVVNELkgBAAAA3rYBAAMAAAAAAIfb5iT/gd4Imc1EKP+B3gg6Q0lRLk5ZU0U6SUJNLklRX1RBWF9CRU5FRklUX09QVElPTlMuOTk4LjA3LzAzLzIwMjYuLi5VU0QuSAEAAADetgEAAwAAAAAAh9vmJP+B3ghaa0Qo/4HeCDRDSVEuTllTRTpJQk0uSVFfSU5DX0VRVUlUWV9DRi45OTUuMDcvMDMvMjAyNi4uLlVTRC5IAQAAAN62AQADAAAAAACH2+Yk/4HeCHKSRCj/gd4INUNJUS5OWVNFOklCTS5JUV9HQUlOX0lOVkVTVF9DRi45OTkuMDcvMDMvMjAyNi4uLlVTRC5I</t>
  </si>
  <si>
    <t>AQAAAN62AQADAAAAAACH2+Yk/4HeCHKSRCj/gd4IOUNJUS5OWVNFOklCTS5JUV9JTlZFU1RfU0VDVVJJVFlfQ0YuOTk5LjA3LzAzLzIwMjYuLi5VU0QuSAEAAADetgEAAgAAAAUtMTIxOAEIAAAABQAAAAExAQAAAAstMTkwNDg2MDc0MwMAAAADMTYwAgAAAAQyMDI3BAAAAAEwBwAAAAgzLzcvMjAyNggAAAAKMTIvMzEvMjAyNAkAAAABMIfb5iT/gd4IcpJEKP+B3gg6Q0lRLk5ZU0U6SUJNLklRX1NBTEVfUkVBTF9FU1RBVEVfQ0YuOTk2LjA3LzAzLzIwMjYuLi5VU0QuSAEAAADetgEAAwAAAAAAh9vmJP+B3ggxpkQo/4HeCC1DSVEuTllTRTpJQk0uSVFfQ0FQRVguMTAwMC4wNy8wMy8yMDI2Li4uVVNELkgBAAAA3rYBAAIAAAAFLTEwOTEBCAAAAAUAAAABMQEAAAALLTE5MDQ4NjA3NDADAAAAAzE2MAIAAAAEMjAyMQQAAAABMAcAAAAIMy83LzIwMjYIAAAACjEyLzMxLzIwMjUJAAAAATCH2+Yk/4HeCFpERCj/gd4IMENJUS5OWVNFOklCTS5JUV9DQVNIX09QRVIuOTk1LjA3LzAzLzIwMjYuLi5VU0QuSAEAAADetgEAAgAAAAUxODE5NwEIAAAABQAAAAExAQAAAAstMjA1OTA3MzIwMgMAAAADMTYwAgAAAAQyMDA2BAAAAAEwBwAAAAgzLzcvMjAyNggAAAAKMTIvMzEvMjAyMAkAAAABMIfb5iT/gd4IWkREKP+B3gg1Q0lRLk5ZU0U6SUJNLklRX0NIQU5HRV9ERUZfVEFYLjk5Mi4wNy8wMy8yMDI2Li4uVVNELkgB</t>
  </si>
  <si>
    <t>AAAA3rYBAAMAAAAAAIfb5iT/gd4IWmtEKP+B3ggvQ0lRLk5ZU0U6SUJNLklRX1BSRUZfUkVQLjk5My4wNy8wMy8yMDI2Li4uVVNELkgBAAAA3rYBAAMAAAAAAIfb5iT/gd4IWmtEKP+B3ggxQ0lRLk5ZU0U6SUJNLklRX0NPTU1PTl9SRVAuOTkzLjA3LzAzLzIwMjYuLi5VU0QuSAEAAADetgEAAgAAAAUtNDYxNAEIAAAABQAAAAExAQAAAAoyMDgxNTA1NDAxAwAAAAMxNjACAAAABDIxNjQEAAAAATAHAAAACDMvNy8yMDI2CAAAAAoxMi8zMS8yMDE4CQAAAAEwh9vmJP+B3ghaa0Qo/4HeCDhDSVEuTllTRTpJQk0uSVFfVE9UQUxfREVCVF9SRVBBSUQuOTkzLjA3LzAzLzIwMjYuLi5VU0QuSAEAAADetgEAAgAAAAUtODUzMwEIAAAABQAAAAExAQAAAAoyMDgxNTA1NDAxAwAAAAMxNjACAAAABDIxNjYEAAAAATAHAAAACDMvNy8yMDI2CAAAAAoxMi8zMS8yMDE4CQAAAAEwh9vmJP+B3gjWHEQo/4HeCDVDSVEuTllTRTpJQk0uSVFfU1RfREVCVF9SRVBBSUQuOTkyLjA3LzAzLzIwMjYuLi5VU0QuSAEAAADetgEAAwAAAAAAh9vmJP+B3gjWHEQo/4HeCDVDSVEuTllTRTpJQk0uSVFfU1RfREVCVF9JU1NVRUQuOTk0LjA3LzAzLzIwMjYuLi5VU0QuSAEAAADetgEAAwAAAAAAh9vmJP+B3gjWHEQo/4HeCERDSVEuTllTRTpJQk0uSVFfREVQUkVDSUFUSU9OX1JFTlRBTF9BU1NFVFNfQ0YuOTk4LjA3LzAzLzIwMjYuLi5V</t>
  </si>
  <si>
    <t>U0QuSAEAAADetgEAAwAAAAAAh9vmJP+B3ghaREQo/4HeCEBDSVEuTllTRTpJQk0uSVFfR1dfSU5UQU5fQU1PUlRfUEFSVElBTF9DRi45OTkuMDcvMDMvMjAyNi4uLlVTRC5IAQAAAN62AQADAAAAAABdFuck/4HeCFpERCj/gd4IPkNJUS5OWVNFOklCTS5JUV9PVEhFUl9GSU5BTkNFX0FDVF9TVVBQTC45OTQuMDcvMDMvMjAyNi4uLlVTRC5IAQAAAN62AQACAAAAAjk4AQgAAAAFAAAAATEBAAAACy0yMTEwNzY5MzU1AwAAAAMxNjACAAAABDIwNTAEAAAAATAHAAAACDMvNy8yMDI2CAAAAAoxMi8zMS8yMDE5CQAAAAEwXRbnJP+B3gga50Mo/4HeCDhDSVEuTllTRTpJQk0uSVFfVE9UQUxfRElWX1BBSURfQ0YuOTk1LjA3LzAzLzIwMjYuLi5VU0QuSAEAAADetgEAAgAAAAUtNTc5NwEIAAAABQAAAAExAQAAAAstMjA1OTA3MzIwMgMAAAADMTYwAgAAAAQyMDIyBAAAAAEwBwAAAAgzLzcvMjAyNggAAAAKMTIvMzEvMjAyMAkAAAABMF0W5yT/gd4IGudDKP+B3ggyQ0lRLk5ZU0U6SUJNLklRX1BSRUZfRElWX0NGLjk5NC4wNy8wMy8yMDI2Li4uVVNELkgBAAAA3rYBAAMAAAAAAF0W5yT/gd4IGudDKP+B3gg4Q0lRLk5ZU0U6SUJNLklRX0NBU0hfVEFYRVNfSU5WRVNULjk5My4wNy8wMy8yMDI2Li4uVVNELkgBAAAA3rYBAAMAAAAAAF0W5yT/gd4IGudDKP+B3gg9Q0lRLk5ZU0U6SUJNLklRX0NBU0hfSU5URVJFU1Rf</t>
  </si>
  <si>
    <t>UkVDRUlWRUQuOTk5LjA3LzAzLzIwMjYuLi5VU0QuSAEAAADetgEAAwAAAAAAXRbnJP+B3gjWHEQo/4HeCDRDSVEuTllTRTpJQk0uSVFfQ0FTSF9JTlRFUkVTVC45OTQuMDcvMDMvMjAyNi4uLlVTRC5IAQAAAN62AQACAAAABDE2ODUBCAAAAAUAAAABMQEAAAALLTIxMTA3NjkzNTUDAAAAAzE2MAIAAAAEMzAyOAQAAAABMAcAAAAIMy83LzIwMjYIAAAACjEyLzMxLzIwMTkJAAAAATBdFuck/4HeCBrnQyj/gd4INENJUS5OWVNFOklCTS5JUV9BTU9SVF9ESUNfQ0YuMTAwMC4wNy8wMy8yMDI2Li4uVVNELkgBAAAA3rYBAAMAAAAAAF0W5yT/gd4IGudDKP+B3gg9Q0lRLk5ZU0U6SUJNLklRX0RBX0NGX0VYQ0xfT1BFUl9MRUFTRVMuOTk0LjA3LzAzLzIwMjYuLi5VU0QuSAEAAADetgEAAgAAAAQ2MDU5AQgAAAAFAAAAATEBAAAACy0yMTEwNzY5MzU1AwAAAAMxNjACAAAABTQ4OTg1BAAAAAEwBwAAAAgzLzcvMjAyNggAAAAKMTIvMzEvMjAxOQkAAAABMF0W5yT/gd4IGudDKP+B3gg6Q0lRLk5ZU0U6SUJNLklRX0dBSU5fQkFSR0FJTl9BQ1FfQ0YuOTk4LjA3LzAzLzIwMjYuLi5VU0QuSAEAAADetgEAAwAAAAAAXRbnJP+B3gga50Mo/4HeCEpDSVEuTllTRTpJQk0uSVFfT1BFUkFUSU5HX0xFQVNFX0xJQUJJTElUSUVTX05PTkNBU0guOTkzLjA3LzAzLzIwMjYuLi5VU0QuSAEAAADetgEAAwAAAAAAXRbnJP+B3gga</t>
  </si>
  <si>
    <t>50Mo/4HeCDRDSVEuTllTRTpJQk0uSVFfRE9fRklOQU5DRV9DRi45OTUuMDcvMDMvMjAyNi4uLlVTRC5IAQAAAN62AQADAAAAAABdFuck/4HeCAfAQyj/gd4INENJUS5OWVNFOklCTS5JUV9VTkxFVkVSRURfRkNGLjk5OC4wNy8wMy8yMDI2Li4uVVNELkgBAAAA3rYBAAIAAAAJMTE1MjYuMTI1AQgAAAAFAAAAATEBAAAACy0xOTA0ODYwNzQ0AwAAAAMxNjACAAAABDQ0MjMEAAAAATAHAAAACDMvNy8yMDI2CAAAAAoxMi8zMS8yMDIzCQAAAAEwXRbnJP+B3ggHwEMo/4HeCDtDSVEuTllTRTpJQk0uSVFfQ0hBTkdFX0RFRl9UQVhfVE9UQUwuOTk3LjA3LzAzLzIwMjYuLi5VU0QuSAEAAADetgEAAgAAAAUtMjcyNgEIAAAABQAAAAExAQAAAAstMTk1ODI4MTA5NgMAAAADMTYwAgAAAAUzMDkyNAQAAAABMAcAAAAIMy83LzIwMjYIAAAACjEyLzMxLzIwMjIJAAAAATBdFuck/4HeCAfAQyj/gd4IKkNJUS5OWVNFOklCTS5JUV9ESUMuOTkzLjA3LzAzLzIwMjYuLi5VU0QuSAEAAADetgEAAwAAAAAAXRbnJP+B3ggHwEMo/4HeCDhDSVEuTllTRTpJQk0uSVFfRklOX0RJVl9BU1NFVFNfTFQuOTk0LjA3LzAzLzIwMjYuLi5VU0QuSAEAAADetgEAAwAAAAAAXRbnJP+B3ggHwEMo/4HeCClDSVEuTllTRTpJQk0uSVFfQUQuOTk2LjA3LzAzLzIwMjYuLi5VU0QuSAEAAADetgEAAgAAAAYtMTQzOTABCAAAAAUAAAABMQEAAAAL</t>
  </si>
  <si>
    <t>LTIwMDg2NDcxOTgDAAAAAzE2MAIAAAAEMTA3NQQAAAABMAcAAAAIMy83LzIwMjYIAAAACjEyLzMxLzIwMjEJAAAAATBdFuck/4HeCPqYQyj/gd4IMkNJUS5OWVNFOklCTS5JUV9QUkVQQUlEX0VYUC45OTUuMDcvMDMvMjAyNi4uLlVTRC5IAQAAAN62AQACAAAABDE1NzkBCAAAAAUAAAABMQEAAAALLTIwNTkwNzMyMDIDAAAAAzE2MAIAAAAEMTIxMgQAAAABMAcAAAAIMy83LzIwMjYIAAAACjEyLzMxLzIwMjAJAAAAATBdFuck/4HeCPqYQyj/gd4IM0NJUS5OWVNFOklCTS5JUV9PVEhFUl9SRUNFSVYuOTkzLjA3LzAzLzIwMjYuLi5VU0QuSAEAAADetgEAAgAAAAM3NDMBCAAAAAUAAAABMQEAAAAKMjA4MTUwNTQwMQMAAAADMTYwAgAAAAQxMjA2BAAAAAEwBwAAAAgzLzcvMjAyNggAAAAKMTIvMzEvMjAxOAkAAAABMF0W5yT/gd4I+phDKP+B3gg+Q0lRLk5ZU0U6SUJNLklRX0VYUExPUkVfRFJJTExfRVhQX1RPVEFMLjk5Ni4wNy8wMy8yMDI2Li4uVVNELkgBAAAA3rYBAAMAAAAAAF0W5yT/gd4IB8BDKP+B3gg1Q0lRLk5ZU0U6SUJNLklRX01JTklNVU1fUkVOVEFMLjk5OS4wNy8wMy8yMDI2Li4uVVNELkgBAAAA3rYBAAMAAAAAAF0W5yT/gd4IB8BDKP+B3gg4Q0lRLk5ZU0U6SUJNLklRX0NPTlRJTkdFTlRfUkVOVEFMLjk5My4wNy8wMy8yMDI2Li4uVVNELkgBAAAA3rYBAAMAAAAAAF0W5yT/gd4I43FDKP+B</t>
  </si>
  <si>
    <t>3ggwQ0lRLk5ZU0U6SUJNLklRX1JEX0VYUF9GTi45OTUuMDcvMDMvMjAyNi4uLlVTRC5IAQAAAN62AQACAAAABDYyNjIBCAAAAAUAAAABMQEAAAALLTIwNTkwNzMyMDIDAAAAAzE2MAIAAAAEMzE2OAQAAAABMAcAAAAIMy83LzIwMjYIAAAACjEyLzMxLzIwMjAJAAAAATBdFuck/4HeCONxQyj/gd4IMkNJUS5OWVNFOklCTS5JUV9BRFZFUlRJU0lORy45OTcuMDcvMDMvMjAyNi4uLlVTRC5IAQAAAN62AQACAAAABDEzMzABCAAAAAUAAAABMQEAAAALLTE5NTgyODEwOTYDAAAAAzE2MAIAAAAEMzAxMwQAAAABMAcAAAAIMy83LzIwMjYIAAAACjEyLzMxLzIwMjIJAAAAATBdFuck/4HeCPqYQyj/gd4IOENJUS5OWVNFOklCTS5JUV9JTlNfU0VUVExFX1NVUFBMRS45OTQuMDcvMDMvMjAyNi4uLlVTRC5IAQAAAN62AQADAAAAAABdFuck/4HeCPqYQyj/gd4IPUNJUS5OWVNFOklCTS5JUV9BU1NFVF9XUklURURPV05fU1VQUExFLjk5OC4wNy8wMy8yMDI2Li4uVVNELkgBAAAA3rYBAAMAAAAAAF0W5yT/gd4I+phDKP+B3gg0Q0lRLk5ZU0U6SUJNLklRX01FUkdFUl9TVVBQTEUuOTk1LjA3LzAzLzIwMjYuLi5VU0QuSAEAAADetgEAAgAAAAMtMTMBCAAAAAUAAAABMQEAAAALLTIwNTkwNzMyMDIDAAAAAzE2MAIAAAAFMjQ0NTUEAAAAATAHAAAACDMvNy8yMDI2CAAAAAoxMi8zMS8yMDIwCQAAAAEwXRbnJP+B3gjVSkMo</t>
  </si>
  <si>
    <t>/4HeCD5DSVEuTllTRTpJQk0uSVFfU0FMQVJJRVNfT1RIRVJfQkVORUZJVFMuOTkyLjA3LzAzLzIwMjYuLi5VU0QuSAEAAADetgEAAwAAAAAAXRbnJP+B3gjjcUMo/4HeCD9DSVEuTllTRTpJQk0uSVFfSU1QVVRfT1BFUl9MRUFTRV9JTlRfRVhQLjk5OS4wNy8wMy8yMDI2Li4uVVNELkgBAAAA3rYBAAIAAAAKMzA1LjEzMzEzNgEIAAAABQAAAAExAQAAAAstMTkwNDg2MDc0MwMAAAADMTYwAgAAAAUyMTY3MgQAAAABMAcAAAAIMy83LzIwMjYIAAAACjEyLzMxLzIwMjQJAAAAATBdFuck/4HeCONxQyj/gd4INUNJUS5OWVNFOklCTS5JUV9TVE9DS19CQVNFRF9BVC45OTYuMDcvMDMvMjAyNi4uLlVTRC5IAQAAAN62AQADAAAAAABdFuck/4HeCONxQyj/gd4INkNJUS5OWVNFOklCTS5JUV9TVE9DS19CQVNFRF9HQS4xMDAwLjA3LzAzLzIwMjYuLi5VU0QuSAEAAADetgEAAwAAAAAAXRbnJP+B3gjjcUMo/4HeCDVDSVEuTllTRTpJQk0uSVFfU1RPQ0tfQkFTRURfUkQuOTk3LjA3LzAzLzIwMjYuLi5VU0QuSAEAAADetgEAAgAAAAMyNTgBCAAAAAUAAAABMQEAAAALLTE5NTgyODEwOTYDAAAAAzE2MAIAAAAFMjI2NzgEAAAAATAHAAAACDMvNy8yMDI2CAAAAAoxMi8zMS8yMDIyCQAAAAEwXRbnJP+B3gjVSkMo/4HeCDdDSVEuTllTRTpJQk0uSVFfU1RPQ0tfQkFTRURfQ09HUy45OTIuMDcvMDMvMjAyNi4uLlVTRC5I</t>
  </si>
  <si>
    <t>AQAAAN62AQACAAAAAjkxAQgAAAAFAAAAATEBAAAACjIwMTcxNjQyNDQDAAAAAzE2MAIAAAAFMjI2NzQEAAAAATAHAAAACDMvNy8yMDI2CAAAAAoxMi8zMS8yMDE3CQAAAAEwXRbnJP+B3gjVSkMo/4HeCDpDSVEuTllTRTpJQk0uSVFfTEVHQUxfU0VUVExFX1NVUFBMRS45OTkuMDcvMDMvMjAyNi4uLlVTRC5IAQAAAN62AQADAAAAAABdFuck/4HeCNVKQyj/gd4IMkNJUS5OWVNFOklCTS5JUV9EQV9TVVBQTF9DRi45OTQuMDcvMDMvMjAyNi4uLlVTRC5IAQAAAN62AQACAAAABDQyMDkBCAAAAAUAAAABMQEAAAALLTIxMTA3NjkzNTUDAAAAAzE2MAIAAAAEMjE3MQQAAAABMAcAAAAIMy83LzIwMjYIAAAACjEyLzMxLzIwMTkJAAAAATBdFuck/4HeCNVKQyj/gd4IPkNJUS5OWVNFOklCTS5JUV9TVE9DS19CQVNFRF9DT01QX1BSRVRBWC45OTguMDcvMDMvMjAyNi4uLlVTRC5IAQAAAN62AQACAAAABDExMzQAXRbnJP+B3gjVSkMo/4HeCD1DSVEuTllTRTpJQk0uSVFfU1RPQ0tfT1BUSU9OU19DT01QX1RBWC45OTUuMDcvMDMvMjAyNi4uLlVTRC5IAQAAAN62AQADAAAAAABdFuck/4HeCM8jQyj/gd4IN0NJUS5OWVNFOklCTS5JUV9SRVNUUl9TVE9DS19DT01QLjk5Mi4wNy8wMy8yMDI2Li4uVVNELkgBAAAA3rYBAAMAAAAAAF0W5yT/gd4IzyNDKP+B3gg+Q0lRLk5ZU0U6SUJNLklRX1JFU1RSX1NUT0NLX0NPTVBf</t>
  </si>
  <si>
    <t>UFJFVEFYLjk5OS4wNy8wMy8yMDI2Li4uVVNELkgBAAAA3rYBAAMAAAAAAF0W5yT/gd4IzyNDKP+B3gg6Q0lRLk5ZU0U6SUJNLklRX1RBWF9CRU5FRklUX09QVElPTlMuOTk3LjA3LzAzLzIwMjYuLi5VU0QuSAEAAADetgEAAwAAAAAAXRbnJP+B3gjPI0Mo/4HeCDRDSVEuTllTRTpJQk0uSVFfSU5DX0VRVUlUWV9DRi45OTQuMDcvMDMvMjAyNi4uLlVTRC5IAQAAAN62AQADAAAAAABdFuck/4HeCNVKQyj/gd4INUNJUS5OWVNFOklCTS5JUV9HQUlOX0lOVkVTVF9DRi45OTguMDcvMDMvMjAyNi4uLlVTRC5IAQAAAN62AQADAAAAAABdFuck/4HeCLL8Qij/gd4INUNJUS5OWVNFOklCTS5JUV9HQUlOX0FTU0VUU19DRi45OTMuMDcvMDMvMjAyNi4uLlVTRC5IAQAAAN62AQACAAAAAzEyMwEIAAAABQAAAAExAQAAAAoyMDgxNTA1NDAxAwAAAAMxNjACAAAABDIwMjYEAAAAATAHAAAACDMvNy8yMDI2CAAAAAoxMi8zMS8yMDE4CQAAAAEwXRbnJP+B3giy/EIo/4HeCDhDSVEuTllTRTpJQk0uSVFfR1dfSU5UQU5fQU1PUlRfQ0YuOTk5LjA3LzAzLzIwMjYuLi5VU0QuSAEAAADetgEAAgAAAAQxODMwAQgAAAAFAAAAATEBAAAACy0xOTA0ODYwNzQzAwAAAAMxNjACAAAABDIxODIEAAAAATAHAAAACDMvNy8yMDI2CAAAAAoxMi8zMS8yMDI0CQAAAAEwXRbnJP+B3gjPI0Mo/4HeCDBDSVEuTllTRTpJQk0uSVFfQ0FTSF9P</t>
  </si>
  <si>
    <t>UEVSLjk5NC4wNy8wMy8yMDI2Li4uVVNELkgBAAAA3rYBAAIAAAAFMTQ3NzABCAAAAAUAAAABMQEAAAALLTIxMTA3NjkzNTUDAAAAAzE2MAIAAAAEMjAwNgQAAAABMAcAAAAIMy83LzIwMjYIAAAACjEyLzMxLzIwMTkJAAAAATBdFuck/4HeCM8jQyj/gd4IOENJUS5OWVNFOklCTS5JUV9DSEFOR0VfVU5FQVJOX1JFVi45OTguMDcvMDMvMjAyNi4uLlVTRC5IAQAAAN62AQADAAAAAABdFuck/4HeCM8jQyj/gd4IN0NJUS5OWVNFOklCTS5JUV9DSEFOR0VfSU5WRU5UT1JZLjk5NS4wNy8wMy8yMDI2Li4uVVNELkgBAAAA3rYBAAIAAAAELTIwOQEIAAAABQAAAAExAQAAAAstMjA1OTA3MzIwMgMAAAADMTYwAgAAAAQyMDk5BAAAAAEwBwAAAAgzLzcvMjAyNggAAAAKMTIvMzEvMjAyMAkAAAABMF0W5yT/gd4IodVCKP+B3gg8Q0lRLk5ZU0U6SUJNLklRX0NIQU5HRV9UUkFESU5HX0FTU0VUUy45OTMuMDcvMDMvMjAyNi4uLlVTRC5IAQAAAN62AQADAAAAAABdFuck/4HeCKHVQij/gd4ILUNJUS5OWVNFOklCTS5JUV9ET19DRi4xMDAwLjA3LzAzLzIwMjYuLi5VU0QuSAEAAADetgEAAwAAAAAAXRbnJP+B3giy/EIo/4HeCC9DSVEuTllTRTpJQk0uSVFfUFJFRl9SRVAuOTkyLjA3LzAzLzIwMjYuLi5VU0QuSAEAAADetgEAAwAAAAAAXRbnJP+B3giy/EIo/4HeCDhDSVEuTllTRTpJQk0uSVFfVE9UQUxfREVCVF9SRVBB</t>
  </si>
  <si>
    <t>SUQuOTkyLjA3LzAzLzIwMjYuLi5VU0QuSAEAAADetgEAAgAAAAUtNjgxNgEIAAAABQAAAAExAQAAAAoyMDE3MTY0MjQ0AwAAAAMxNjACAAAABDIxNjYEAAAAATAHAAAACDMvNy8yMDI2CAAAAAoxMi8zMS8yMDE3CQAAAAEwXRbnJP+B3giy/EIo/4HeCDlDSVEuTllTRTpJQk0uSVFfSU5WRVNUX1NFQ1VSSVRZX0NGLjk5OC4wNy8wMy8yMDI2Li4uVVNELkgBAAAA3rYBAAIAAAAELTQ5NgEIAAAABQAAAAExAQAAAAstMTkwNDg2MDc0NAMAAAADMTYwAgAAAAQyMDI3BAAAAAEwBwAAAAgzLzcvMjAyNggAAAAKMTIvMzEvMjAyMwkAAAABMF0W5yT/gd4IodVCKP+B3gg0Q0lRLk5ZU0U6SUJNLklRX1NBTEVfSU5UQU5fQ0YuOTkzLjA3LzAzLzIwMjYuLi5VU0QuSAEAAADetgEAAgAAAAQtNTY5AQgAAAAFAAAAATEBAAAACjIwODE1MDU0MDEDAAAAAzE2MAIAAAAEMjAyOQQAAAABMAcAAAAIMy83LzIwMjYIAAAACjEyLzMxLzIwMTgJAAAAATBdFuck/4HeCKHVQij/gd4ILENJUS5OWVNFOklCTS5JUV9DQVBFWC45OTkuMDcvMDMvMjAyNi4uLlVTRC5IAQAAAN62AQACAAAABS0xMDQ4AQgAAAAFAAAAATEBAAAACy0xOTA0ODYwNzQzAwAAAAMxNjACAAAABDIwMjEEAAAAATAHAAAACDMvNy8yMDI2CAAAAAoxMi8zMS8yMDI0CQAAAAEwXRbnJP+B3gih1UIo/4HeCD1DSVEuTllTRTpJQk0uSVFfREFfQ0ZfRVhDTF9PUEVS</t>
  </si>
  <si>
    <t>X0xFQVNFUy45OTMuMDcvMDMvMjAyNi4uLlVTRC5IAQAAAN62AQACAAAABDQ0ODABCAAAAAUAAAABMQEAAAAKMjA4MTUwNTQwMQMAAAADMTYwAgAAAAU0ODk4NQQAAAABMAcAAAAIMy83LzIwMjYIAAAACjEyLzMxLzIwMTgJAAAAATBdFuck/4HeCKHVQij/gd4IRENJUS5OWVNFOklCTS5JUV9ERVBSRUNJQVRJT05fUkVOVEFMX0FTU0VUU19DRi45OTcuMDcvMDMvMjAyNi4uLlVTRC5IAQAAAN62AQADAAAAAABdFuck/4HeCKHVQij/gd4IQENJUS5OWVNFOklCTS5JUV9HV19JTlRBTl9BTU9SVF9QQVJUSUFMX0NGLjk5OC4wNy8wMy8yMDI2Li4uVVNELkgBAAAA3rYBAAMAAAAAAF0W5yT/gd4Ilq5CKP+B3gg4Q0lRLk5ZU0U6SUJNLklRX1RPVEFMX0RJVl9QQUlEX0NGLjk5NC4wNy8wMy8yMDI2Li4uVVNELkgBAAAA3rYBAAIAAAAFLTU3MDcBCAAAAAUAAAABMQEAAAALLTIxMTA3NjkzNTUDAAAAAzE2MAIAAAAEMjAyMgQAAAABMAcAAAAIMy83LzIwMjYIAAAACjEyLzMxLzIwMTkJAAAAATBdFuck/4HeCJauQij/gd4IMkNJUS5OWVNFOklCTS5JUV9QUkVGX0RJVl9DRi45OTMuMDcvMDMvMjAyNi4uLlVTRC5IAQAAAN62AQADAAAAAABdFuck/4HeCJauQij/gd4INENJUS5OWVNFOklCTS5JUV9VTkxFVkVSRURfRkNGLjk5Ny4wNy8wMy8yMDI2Li4uVVNELkgBAAAA3rYBAAIAAAAJMTA0NDAuNjI1AQgAAAAFAAAA</t>
  </si>
  <si>
    <t>ATEBAAAACy0xOTU4MjgxMDk2AwAAAAMxNjACAAAABDQ0MjMEAAAAATAHAAAACDMvNy8yMDI2CAAAAAoxMi8zMS8yMDIyCQAAAAEwXRbnJP+B3giWrkIo/4HeCDtDSVEuTllTRTpJQk0uSVFfQ0hBTkdFX0RFRl9UQVhfVE9UQUwuOTk1LjA3LzAzLzIwMjYuLi5VU0QuSAEAAADetgEAAgAAAAUtMzIwMwEIAAAABQAAAAExAQAAAAstMjA1OTA3MzIwMgMAAAADMTYwAgAAAAUzMDkyNAQAAAABMAcAAAAIMy83LzIwMjYIAAAACjEyLzMxLzIwMjAJAAAAATBdFuck/4HeCJauQij/gd4IPUNJUS5OWVNFOklCTS5JUV9DQVNIX0lOVEVSRVNUX1JFQ0VJVkVELjk5Ny4wNy8wMy8yMDI2Li4uVVNELkgBAAAA3rYBAAMAAAAAAF0W5yT/gd4IiYdCKP+B3gg0Q0lRLk5ZU0U6SUJNLklRX0NBU0hfSU5URVJFU1QuOTkzLjA3LzAzLzIwMjYuLi5VU0QuSAEAAADetgEAAgAAAAQxNDIzAQgAAAAFAAAAATEBAAAACjIwODE1MDU0MDEDAAAAAzE2MAIAAAAEMzAyOAQAAAABMAcAAAAIMy83LzIwMjYIAAAACjEyLzMxLzIwMTgJAAAAATC1kswk/4HeCImHQij/gd4IM0NJUS5OWVNFOklCTS5JUV9BTU9SVF9ESUNfQ0YuOTk5LjA3LzAzLzIwMjYuLi5VU0QuSAEAAADetgEAAwAAAAAAtZLMJP+B3giJh0Io/4HeCCtDSVEuTllTRTpJQk0uSVFfTlBQRS45OTMuMDcvMDMvMjAyNi4uLlVTRC5IAQAAAN62AQACAAAABTEwNzkyAQgAAAAF</t>
  </si>
  <si>
    <t>AAAAATEBAAAACjIwODE1MDU0MDEDAAAAAzE2MAIAAAAEMTAwNAQAAAABMAcAAAAIMy83LzIwMjYIAAAACjEyLzMxLzIwMTgJAAAAATC1kswk/4HeCJauQij/gd4INkNJUS5OWVNFOklCTS5JUV9SRVNUUklDVEVEX0NBU0guOTk4LjA3LzAzLzIwMjYuLi5VU0QuSAEAAADetgEAAgAAAAIyMQEIAAAABQAAAAExAQAAAAstMTkwNDg2MDc0NAMAAAADMTYwAgAAAAQxMTA0BAAAAAEwBwAAAAgzLzcvMjAyNggAAAAKMTIvMzEvMjAyMwkAAAABMLWSzCT/gd4Ilq5CKP+B3ggyQ0lRLk5ZU0U6SUJNLklRX1BSRVBBSURfRVhQLjk5NC4wNy8wMy8yMDI2Li4uVVNELkgBAAAA3rYBAAIAAAAEMTQ2MAEIAAAABQAAAAExAQAAAAstMjExMDc2OTM1NQMAAAADMTYwAgAAAAQxMjEyBAAAAAEwBwAAAAgzLzcvMjAyNggAAAAKMTIvMzEvMjAxOQkAAAABMLWSzCT/gd4IOWBCKP+B3gg0Q0lRLk5ZU0U6SUJNLklRX09USEVSX1JFQ0VJVi4xMDAwLjA3LzAzLzIwMjYuLi5VU0QuSAEAAADetgEAAgAAAAQxMDUyAQgAAAAFAAAAATEBAAAACy0xOTA0ODYwNzQwAwAAAAMxNjACAAAABDEyMDYEAAAAATAHAAAACDMvNy8yMDI2CAAAAAoxMi8zMS8yMDI1CQAAAAEwtZLMJP+B3gg5YEIo/4HeCDFDSVEuTllTRTpJQk0uSVFfU1RfSU5WRVNULjEwMDAuMDcvMDMvMjAyNi4uLlVTRC5IAQAAAN62AQACAAAAAzgzMAEIAAAABQAAAAExAQAA</t>
  </si>
  <si>
    <t>AAstMTkwNDg2MDc0MAMAAAADMTYwAgAAAAQxMDY5BAAAAAEwBwAAAAgzLzcvMjAyNggAAAAKMTIvMzEvMjAyNQkAAAABMLWSzCT/gd4IiYdCKP+B3gg+Q0lRLk5ZU0U6SUJNLklRX0xFQVNFX0FESlVTVE1FTlRfRUJJVERBLjk5Ni4wNy8wMy8yMDI2Li4uVVNELkgBAAAA3rYBAAIAAAAEMTQzNwC1kswk/4HeCImHQij/gd4IPUNJUS5OWVNFOklCTS5JUV9FQklUREFfRVFfSU5DX0VYQ0xfU0JDLjk5Ni4wNy8wMy8yMDI2Li4uVVNELkgBAAAA3rYBAAIAAAAFMTIyOTEBCAAAAAUAAAABMQEAAAALLTIwMDg2NDcxOTgDAAAAAzE2MAIAAAAFMjQxMzEEAAAAATAHAAAACDMvNy8yMDI2CAAAAAoxMi8zMS8yMDIxCQAAAAEwtZLMJP+B3giJh0Io/4HeCC1DSVEuTllTRTpJQk0uSVFfRUJJVERBLjk5Mi4wNy8wMy8yMDI2Li4uVVNELkgBAAAA3rYBAAIAAAAFMTYyMjMBCAAAAAUAAAABMQEAAAAKMjAxNzE2NDI0NAMAAAADMTYwAgAAAAQ0MDUxBAAAAAEwBwAAAAgzLzcvMjAyNggAAAAKMTIvMzEvMjAxNwkAAAABMLWSzCT/gd4IOWBCKP+B3gg/Q0lRLk5ZU0U6SUJNLklRX0RJU1RSSUJVVEFCTEVfQ0FTSF9TSEFSRS45OTQuMDcvMDMvMjAyNi4uLlVTRC5IAQAAAN62AQADAAAAAAC1kswk/4HeCDlgQij/gd4IOUNJUS5OWVNFOklCTS5JUV9GSU5fRElWX0FTU0VUU19MVC4xMDAwLjA3LzAzLzIwMjYuLi5VU0QuSAEA</t>
  </si>
  <si>
    <t>AADetgEAAwAAAAAAtZLMJP+B3gg5YEIo/4HeCDVDSVEuTllTRTpJQk0uSVFfRUJJVEFfRVhDTF9TQkMuOTk4LjA3LzAzLzIwMjYuLi5VU0QuSAEAAADetgEAAgAAAAUxMjE4MgEIAAAABQAAAAExAQAAAAstMTkwNDg2MDc0NAMAAAADMTYwAgAAAAUyNDEzNgQAAAABMAcAAAAIMy83LzIwMjYIAAAACjEyLzMxLzIwMjMJAAAAATC1kswk/4HeCDlgQij/gd4IPENJUS5OWVNFOklCTS5JUV9FQklUQV9FUV9JTkNfRVhDTF9TQkMuOTkyLjA3LzAzLzIwMjYuLi5VU0QuSAEAAADetgEAAgAAAAUxMzczNgEIAAAABQAAAAExAQAAAAoyMDE3MTY0MjQ0AwAAAAMxNjACAAAABTI0MTMyBAAAAAEwBwAAAAgzLzcvMjAyNggAAAAKMTIvMzEvMjAxNwkAAAABMLWSzCT/gd4IOWBCKP+B3ggsQ0lRLk5ZU0U6SUJNLklRX0VCSVRBLjk5OC4wNy8wMy8yMDI2Li4uVVNELkgBAAAA3rYBAAIAAAAFMTEwNDgBCAAAAAUAAAABMQEAAAALLTE5MDQ4NjA3NDQDAAAAAzE2MAIAAAAGMTAwNjg5BAAAAAEwBwAAAAgzLzcvMjAyNggAAAAKMTIvMzEvMjAyMwkAAAABMLWSzCT/gd4I7BhCKP+B3gg7Q0lRLk5ZU0U6SUJNLklRX0VCSVRfRVFfSU5DX0VYQ0xfU0JDLjk5NC4wNy8wMy8yMDI2Li4uVVNELkgBAAAA3rYBAAIAAAAEODIxOAEIAAAABQAAAAExAQAAAAstMjExMDc2OTM1NQMAAAADMTYwAgAAAAUyNDEzMAQAAAABMAcAAAAIMy83</t>
  </si>
  <si>
    <t>LzIwMjYIAAAACjEyLzMxLzIwMTkJAAAAATC1kswk/4HeCOwYQij/gd4ILENJUS5OWVNFOklCTS5JUV9FQklULjEwMDAuMDcvMDMvMjAyNi4uLlVTRC5IAQAAAN62AQACAAAABTEyNTY4AQgAAAAFAAAAATEBAAAACy0xOTA0ODYwNzQwAwAAAAMxNjACAAAAAzQwMAQAAAABMAcAAAAIMy83LzIwMjYIAAAACjEyLzMxLzIwMjUJAAAAATC1kswk/4HeCOwYQij/gd4ILkNJUS5OWVNFOklCTS5JUV9OSV9TRkFTLjk5Mi4wNy8wMy8yMDI2Li4uVVNELkgBAAAA3rYBAAMAAAAAALWSzCT/gd4I7BhCKP+B3gg6Q0lRLk5ZU0U6SUJNLklRX0FTX1JFUE9SVEVEX0VCSVREQS4xMDAwLjA3LzAzLzIwMjYuLi5VU0QuSAEAAADetgEAAwAAAAAAtZLMJP+B3gjsGEIo/4HeCDxDSVEuTllTRTpJQk0uSVFfVE9UQUxfUkVWX0FTX1JFUE9SVEVELjk5NC4wNy8wMy8yMDI2Li4uVVNELkgBAAAA3rYBAAIAAAAFNTc3MTQBCAAAAAUAAAABMQEAAAALLTIxMTA3NjkzNTUDAAAAAzE2MAIAAAADMzM5BAAAAAEwBwAAAAgzLzcvMjAyNggAAAAKMTIvMzEvMjAxOQkAAAABMJG5zCT/gd4I7BhCKP+B3gg5Q0lRLk5ZU0U6SUJNLklRX0ZFRVNfT1RIRVJfSU5DT01FLjEwMDAuMDcvMDMvMjAyNi4uLlVTRC5IAQAAAN62AQADAAAAAACRucwk/4HeCOwYQij/gd4IN0NJUS5OWVNFOklCTS5JUV9FQklUREFSX0VYQ0xfU0JDLjk5Ni4wNy8wMy8y</t>
  </si>
  <si>
    <t>MDI2Li4uVVNELkgBAAAA3rYBAAIAAAAFMTM3MjgBCAAAAAUAAAABMQEAAAALLTIwMDg2NDcxOTgDAAAAAzE2MAIAAAAFMjQxMzcEAAAAATAHAAAACDMvNy8yMDI2CAAAAAoxMi8zMS8yMDIxCQAAAAEwkbnMJP+B3gjsGEIo/4HeCC9DSVEuTllTRTpJQk0uSVFfRElMVVRfTkkuOTkyLjA3LzAzLzIwMjYuLi5VU0QuSAEAAADetgEAAgAAAAQ1NzU2AQgAAAAFAAAAATEBAAAACjIwMTcxNjQyNDQDAAAAAzE2MAIAAAAEMzUyMgQAAAABMAcAAAAIMy83LzIwMjYIAAAACjEyLzMxLzIwMTcJAAAAATCRucwk/4HeCOwYQij/gd4IPENJUS5OWVNFOklCTS5JUV9ERUZFUlJFRF9UQVhFU19UT1RBTC4xMDAwLjA3LzAzLzIwMjYuLi5VU0QuSAEAAADetgEAAgAAAAQtOTU3AQgAAAAFAAAAATEBAAAACy0xOTA0ODYwNzQwAwAAAAMxNjACAAAABTM1Mzg1BAAAAAEwBwAAAAgzLzcvMjAyNggAAAAKMTIvMzEvMjAyNQkAAAABMJG5zCT/gd4I7BhCKP+B3gg9Q0lRLk5ZU0U6SUJNLklRX0RFRkVSUkVEX0ZPUkVJR05fVEFYRVMuOTk0LjA3LzAzLzIwMjYuLi5VU0QuSAEAAADetgEAAgAAAAQtNjMwAQgAAAAFAAAAATEBAAAACy0yMTEwNzY5MzU1AwAAAAMxNjACAAAABDMwNTUEAAAAATAHAAAACDMvNy8yMDI2CAAAAAoxMi8zMS8yMDE5CQAAAAEwkbnMJP+B3gjc8UEo/4HeCDpDSVEuTllTRTpJQk0uSVFfQ1VSUl9ET01FU1RJ</t>
  </si>
  <si>
    <t>Q19UQVhFUy45OTYuMDcvMDMvMjAyNi4uLlVTRC5IAQAAAN62AQACAAAAAzUzNQEIAAAABQAAAAExAQAAAAstMjAwODY0NzE5OAMAAAADMTYwAgAAAAQzMDI3BAAAAAEwBwAAAAgzLzcvMjAyNggAAAAKMTIvMzEvMjAyMQkAAAABMJG5zCT/gd4I3PFBKP+B3gg2Q0lRLk5ZU0U6SUJNLklRX0lOVEVSRVNUX0lOQ09NRS45OTguMDcvMDMvMjAyNi4uLlVTRC5IAQAAAN62AQACAAAAAzY3MAEIAAAABQAAAAExAQAAAAstMTkwNDg2MDc0NAMAAAADMTYwAgAAAAMyMTAEAAAAATAHAAAACDMvNy8yMDI2CAAAAAoxMi8zMS8yMDIzCQAAAAEwkbnMJP+B3gjc8UEo/4HeCDJDSVEuTllTRTpJQk0uSVFfQURWRVJUSVNJTkcuOTk2LjA3LzAzLzIwMjYuLi5VU0QuSAEAAADetgEAAgAAAAQxNDEzAQgAAAAFAAAAATEBAAAACy0yMDA4NjQ3MTk4AwAAAAMxNjACAAAABDMwMTMEAAAAATAHAAAACDMvNy8yMDI2CAAAAAoxMi8zMS8yMDIxCQAAAAEwkbnMJP+B3gjc8UEo/4HeCCpDSVEuTllTRTpJQk0uSVFfRElDLjk5Mi4wNy8wMy8yMDI2Li4uVVNELkgBAAAA3rYBAAMAAAAAAJG5zCT/gd4I7BhCKP+B3gg6Q0lRLk5ZU0U6SUJNLklRX05PTkNBU0hfUEVOU0lPTl9FWFAuOTk2LjA3LzAzLzIwMjYuLi5VU0QuSAEAAADetgEAAgAAAAQxMTM4AQgAAAAFAAAAATEBAAAACy0yMDA4NjQ3MTk4AwAAAAMxNjACAAAABTIxNjc4BAAA</t>
  </si>
  <si>
    <t>AAEwBwAAAAgzLzcvMjAyNggAAAAKMTIvMzEvMjAyMQkAAAABMJG5zCT/gd4I3MpBKP+B3ghIQ0lRLk5ZU0U6SUJNLklRX0lOVEVSRVNUX0VYUF9MRUFTRV9MSUFCSUxJVFlfREVCVC45OTIuMDcvMDMvMjAyNi4uLlVTRC5IAQAAAN62AQADAAAAAACRucwk/4HeCNzKQSj/gd4IO0NJUS5OWVNFOklCTS5JUV9DQVBJVEFMSVpFRF9JTlRFUkVTVC45OTguMDcvMDMvMjAyNi4uLlVTRC5IAQAAAN62AQACAAAAATkBCAAAAAUAAAABMQEAAAALLTE5MDQ4NjA3NDQDAAAAAzE2MAIAAAAEMzAzMgQAAAABMAcAAAAIMy83LzIwMjYIAAAACjEyLzMxLzIwMjMJAAAAATCRucwk/4HeCNzKQSj/gd4INUNJUS5OWVNFOklCTS5JUV9NSU5JTVVNX1JFTlRBTC45OTguMDcvMDMvMjAyNi4uLlVTRC5IAQAAAN62AQADAAAAAACRucwk/4HeCNzKQSj/gd4IOENJUS5OWVNFOklCTS5JUV9DT05USU5HRU5UX1JFTlRBTC45OTIuMDcvMDMvMjAyNi4uLlVTRC5IAQAAAN62AQADAAAAAACRucwk/4HeCNzKQSj/gd4INUNJUS5OWVNFOklCTS5JUV9ORVRfUkVOVEFMX0VYUC45OTguMDcvMDMvMjAyNi4uLlVTRC5IAQAAAN62AQADAAAAAACRucwk/4HeCLejQSj/gd4IMENJUS5OWVNFOklCTS5JUV9SRF9FWFBfRk4uOTk0LjA3LzAzLzIwMjYuLi5VU0QuSAEAAADetgEAAgAAAAQ1OTEwAQgAAAAFAAAAATEBAAAACy0yMTEwNzY5MzU1AwAA</t>
  </si>
  <si>
    <t>AAMxNjACAAAABDMxNjgEAAAAATAHAAAACDMvNy8yMDI2CAAAAAoxMi8zMS8yMDE5CQAAAAEwkbnMJP+B3gi3o0Eo/4HeCDdDSVEuTllTRTpJQk0uSVFfU0FMRVNfTUFSS0VUSU5HLjEwMDAuMDcvMDMvMjAyNi4uLlVTRC5IAQAAAN62AQACAAAABDExMjkBCAAAAAUAAAABMQEAAAALLTE5MDQ4NjA3NDADAAAAAzE2MAIAAAAFMjE1NjEEAAAAATAHAAAACDMvNy8yMDI2CAAAAAoxMi8zMS8yMDI1CQAAAAEwkbnMJP+B3gjcykEo/4HeCDhDSVEuTllTRTpJQk0uSVFfSU5TX1NFVFRMRV9TVVBQTEUuOTkzLjA3LzAzLzIwMjYuLi5VU0QuSAEAAADetgEAAwAAAAAAkbnMJP+B3gjcykEo/4HeCD1DSVEuTllTRTpJQk0uSVFfQVNTRVRfV1JJVEVET1dOX1NVUFBMRS45OTcuMDcvMDMvMjAyNi4uLlVTRC5IAQAAAN62AQADAAAAAACRucwk/4HeCNzKQSj/gd4INENJUS5OWVNFOklCTS5JUV9NRVJHRVJfU1VQUExFLjk5NC4wNy8wMy8yMDI2Li4uVVNELkgBAAAA3rYBAAIAAAAELTQyMwEIAAAABQAAAAExAQAAAAstMjExMDc2OTM1NQMAAAADMTYwAgAAAAUyNDQ1NQQAAAABMAcAAAAIMy83LzIwMjYIAAAACjEyLzMxLzIwMTkJAAAAATCRucwk/4HeCLejQSj/gd4IP0NJUS5OWVNFOklCTS5JUV9JTVBVVF9PUEVSX0xFQVNFX0lOVF9FWFAuOTk4LjA3LzAzLzIwMjYuLi5VU0QuSAEAAADetgEAAgAAAAoyOTMuMTU5OTY4</t>
  </si>
  <si>
    <t>AQgAAAAFAAAAATEBAAAACy0xOTA0ODYwNzQ0AwAAAAMxNjACAAAABTIxNjcyBAAAAAEwBwAAAAgzLzcvMjAyNggAAAAKMTIvMzEvMjAyMwkAAAABMJG5zCT/gd4It6NBKP+B3gg+Q0lRLk5ZU0U6SUJNLklRX0VYUExPUkVfRFJJTExfRVhQX1RPVEFMLjk5NS4wNy8wMy8yMDI2Li4uVVNELkgBAAAA3rYBAAMAAAAAAJG5zCT/gd4It6NBKP+B3gg1Q0lRLk5ZU0U6SUJNLklRX1NUT0NLX0JBU0VEX0FULjk5NS4wNy8wMy8yMDI2Li4uVVNELkgBAAAA3rYBAAMAAAAAAJG5zCT/gd4It6NBKP+B3gg1Q0lRLk5ZU0U6SUJNLklRX1NUT0NLX0JBU0VEX0dBLjk5OS4wNy8wMy8yMDI2Li4uVVNELkgBAAAA3rYBAAMAAAAAAJG5zCT/gd4It6NBKP+B3gg1Q0lRLk5ZU0U6SUJNLklRX1NUT0NLX0JBU0VEX1NNLjk5NC4wNy8wMy8yMDI2Li4uVVNELkgBAAAA3rYBAAMAAAAAAJG5zCT/gd4IrHxBKP+B3gg8Q0lRLk5ZU0U6SUJNLklRX1RPVEFMX1VOVVNVQUxfU1VQUExFLjEwMDAuMDcvMDMvMjAyNi4uLlVTRC5IAQAAAN62AQADAAAAAACRucwk/4HeCKx8QSj/gd4IO0NJUS5OWVNFOklCTS5JUV9PVEhFUl9VTlVTVUFMX1NVUFBMRS45OTUuMDcvMDMvMjAyNi4uLlVTRC5IAQAAAN62AQADAAAAAACRucwk/4HeCKx8QSj/gd4IMUNJUS5OWVNFOklCTS5JUV9PSUxfSU1QQUlSLjk5Ni4wNy8wMy8yMDI2Li4uVVNELkgBAAAA</t>
  </si>
  <si>
    <t>3rYBAAMAAAAAAJG5zCT/gd4IrHxBKP+B3ggyQ0lRLk5ZU0U6SUJNLklRX0RBX1NVUFBMX0NGLjk5My4wNy8wMy8yMDI2Li4uVVNELkgBAAAA3rYBAAIAAAAEMzEyNwEIAAAABQAAAAExAQAAAAoyMDgxNTA1NDAxAwAAAAMxNjACAAAABDIxNzEEAAAAATAHAAAACDMvNy8yMDI2CAAAAAoxMi8zMS8yMDE4CQAAAAEwkbnMJP+B3gisfEEo/4HeCD5DSVEuTllTRTpJQk0uSVFfU1RPQ0tfQkFTRURfQ09NUF9QUkVUQVguOTk3LjA3LzAzLzIwMjYuLi5VU0QuSAEAAADetgEAAgAAAAM5ODgAkbnMJP+B3gj2VUEo/4HeCD1DSVEuTllTRTpJQk0uSVFfU1RPQ0tfT1BUSU9OU19DT01QX1RBWC45OTQuMDcvMDMvMjAyNi4uLlVTRC5IAQAAAN62AQADAAAAAACRucwk/4HeCPZVQSj/gd4IPkNJUS5OWVNFOklCTS5JUV9SRVNUUl9TVE9DS19DT01QX1BSRVRBWC45OTguMDcvMDMvMjAyNi4uLlVTRC5IAQAAAN62AQADAAAAAACRucwk/4HeCPZVQSj/gd4ILENJUS5OWVNFOklCTS5JUV9ET19DRi45OTkuMDcvMDMvMjAyNi4uLlVTRC5IAQAAAN62AQADAAAAAACRucwk/4HeCKx8QSj/gd4IOkNJUS5OWVNFOklCTS5JUV9UQVhfQkVORUZJVF9PUFRJT05TLjk5Ni4wNy8wMy8yMDI2Li4uVVNELkgBAAAA3rYBAAMAAAAAAJG5zCT/gd4IrHxBKP+B3ggwQ0lRLk5ZU0U6SUJNLklRX0xPQU5TX0NGLjEwMDAuMDcvMDMvMjAyNi4u</t>
  </si>
  <si>
    <t>LlVTRC5IAQAAAN62AQADAAAAAACRucwk/4HeCIYuQSj/gd4INUNJUS5OWVNFOklCTS5JUV9HQUlOX0lOVkVTVF9DRi45OTcuMDcvMDMvMjAyNi4uLlVTRC5IAQAAAN62AQADAAAAAACRucwk/4HeCIYuQSj/gd4INUNJUS5OWVNFOklCTS5JUV9HQUlOX0FTU0VUU19DRi45OTIuMDcvMDMvMjAyNi4uLlVTRC5IAQAAAN62AQACAAAAAjE0AQgAAAAFAAAAATEBAAAACjIwMTcxNjQyNDQDAAAAAzE2MAIAAAAEMjAyNgQAAAABMAcAAAAIMy83LzIwMjYIAAAACjEyLzMxLzIwMTcJAAAAATCRucwk/4HeCPZVQSj/gd4INENJUS5OWVNFOklCTS5JUV9TQUxFX0lOVEFOX0NGLjk5Mi4wNy8wMy8yMDI2Li4uVVNELkgBAAAA3rYBAAIAAAAELTU0NAEIAAAABQAAAAExAQAAAAoyMDE3MTY0MjQ0AwAAAAMxNjACAAAABDIwMjkEAAAAATAHAAAACDMvNy8yMDI2CAAAAAoxMi8zMS8yMDE3CQAAAAEwkbnMJP+B3gj2VUEo/4HeCDJDSVEuTllTRTpJQk0uSVFfU0FMRV9QUEVfQ0YuOTk2LjA3LzAzLzIwMjYuLi5VU0QuSAEAAADetgEAAgAAAAMzODcBCAAAAAUAAAABMQEAAAALLTIwMDg2NDcxOTgDAAAAAzE2MAIAAAAEMjA0MgQAAAABMAcAAAAIMy83LzIwMjYIAAAACjEyLzMxLzIwMjEJAAAAATCRucwk/4HeCPZVQSj/gd4IMENJUS5OWVNFOklCTS5JUV9DQVNIX09QRVIuOTkzLjA3LzAzLzIwMjYuLi5VU0QuSAEAAADetgEA</t>
  </si>
  <si>
    <t>AgAAAAUxNTI0NwEIAAAABQAAAAExAQAAAAoyMDgxNTA1NDAxAwAAAAMxNjACAAAABDIwMDYEAAAAATAHAAAACDMvNy8yMDI2CAAAAAoxMi8zMS8yMDE4CQAAAAEwkbnMJP+B3giGLkEo/4HeCDhDSVEuTllTRTpJQk0uSVFfQ0hBTkdFX1VORUFSTl9SRVYuOTk3LjA3LzAzLzIwMjYuLi5VU0QuSAEAAADetgEAAwAAAAAAkbnMJP+B3giGLkEo/4HeCDdDSVEuTllTRTpJQk0uSVFfQ0hBTkdFX0lOVkVOVE9SWS45OTQuMDcvMDMvMjAyNi4uLlVTRC5IAQAAAN62AQACAAAAAjY3AQgAAAAFAAAAATEBAAAACy0yMTEwNzY5MzU1AwAAAAMxNjACAAAABDIwOTkEAAAAATAHAAAACDMvNy8yMDI2CAAAAAoxMi8zMS8yMDE5CQAAAAEwkbnMJP+B3giGLkEo/4HeCEBDSVEuTllTRTpJQk0uSVFfR1dfSU5UQU5fQU1PUlRfUEFSVElBTF9DRi45OTcuMDcvMDMvMjAyNi4uLlVTRC5IAQAAAN62AQADAAAAAACRucwk/4HeCIYuQSj/gd4INUNJUS5OWVNFOklCTS5JUV9NSVNDX0FESlVTVF9DRi45OTcuMDcvMDMvMjAyNi4uLlVTRC5IAQAAAN62AQADAAAAAACRucwk/4HeCIYuQSj/gd4IMkNJUS5OWVNFOklCTS5JUV9QUkVGX0RJVl9DRi45OTIuMDcvMDMvMjAyNi4uLlVTRC5IAQAAAN62AQADAAAAAACRucwk/4HeCIMHQSj/gd4IPkNJUS5OWVNFOklCTS5JUV9PVEhFUl9JTlZFU1RfQUNUX1NVUFBMLjEwMDAuMDcvMDMvMjAy</t>
  </si>
  <si>
    <t>Ni4uLlVTRC5IAQAAAN62AQACAAAAATEBCAAAAAUAAAABMQEAAAALLTE5MDQ4NjA3NDADAAAAAzE2MAIAAAAEMjA1MQQAAAABMAcAAAAIMy83LzIwMjYIAAAACjEyLzMxLzIwMjUJAAAAATCRucwk/4HeCIMHQSj/gd4IOUNJUS5OWVNFOklCTS5JUV9JTlZFU1RfU0VDVVJJVFlfQ0YuOTk3LjA3LzAzLzIwMjYuLi5VU0QuSAEAAADetgEAAgAAAAUtMTI2NQEIAAAABQAAAAExAQAAAAstMTk1ODI4MTA5NgMAAAADMTYwAgAAAAQyMDI3BAAAAAEwBwAAAAgzLzcvMjAyNggAAAAKMTIvMzEvMjAyMgkAAAABMJG5zCT/gd4IgwdBKP+B3gg6Q0lRLk5ZU0U6SUJNLklRX0NBU0hfSU5URVJFU1RfRklOQU4uOTk4LjA3LzAzLzIwMjYuLi5VU0QuSAEAAADetgEAAwAAAAAAkbnMJP+B3giDB0Eo/4HeCD1DSVEuTllTRTpJQk0uSVFfQ0FTSF9JTlRFUkVTVF9SRUNFSVZFRC45OTYuMDcvMDMvMjAyNi4uLlVTRC5IAQAAAN62AQADAAAAAACRucwk/4HeCIMHQSj/gd4INENJUS5OWVNFOklCTS5JUV9DQVNIX0lOVEVSRVNULjk5Mi4wNy8wMy8yMDI2Li4uVVNELkgBAAAA3rYBAAIAAAAEMTIwOAEIAAAABQAAAAExAQAAAAoyMDE3MTY0MjQ0AwAAAAMxNjACAAAABDMwMjgEAAAAATAHAAAACDMvNy8yMDI2CAAAAAoxMi8zMS8yMDE3CQAAAAEwkbnMJP+B3ghV4EAo/4HeCDNDSVEuTllTRTpJQk0uSVFfQU1PUlRfRElDX0NGLjk5</t>
  </si>
  <si>
    <t>OC4wNy8wMy8yMDI2Li4uVVNELkgBAAAA3rYBAAMAAAAAAJG5zCT/gd4IVeBAKP+B3ghEQ0lRLk5ZU0U6SUJNLklRX0RFUFJFQ0lBVElPTl9SRU5UQUxfQVNTRVRTX0NGLjk5Ni4wNy8wMy8yMDI2Li4uVVNELkgBAAAA3rYBAAMAAAAAAJG5zCT/gd4IVeBAKP+B3gg1Q0lRLk5ZU0U6SUJNLklRX1RSQURJTkdfQVNTRVRTLjk5Ny4wNy8wMy8yMDI2Li4uVVNELkgBAAAA3rYBAAMAAAAAAJG5zCT/gd4IgwdBKP+B3ghLQ0lRLk5ZU0U6SUJNLklRX09QRVJBVElOR19MRUFTRV9MSUFCSUxJVElFU19OT05DQVNILjEwMDAuMDcvMDMvMjAyNi4uLlVTRC5IAQAAAN62AQADAAAAAACRucwk/4HeCIMHQSj/gd4IMkNJUS5OWVNFOklCTS5JUV9NQUlOVF9DQVBFWC45OTcuMDcvMDMvMjAyNi4uLlVTRC5IAQAAAN62AQADAAAAAACRucwk/4HeCI/MQCj/gd4INENJUS5OWVNFOklCTS5JUV9VTkxFVkVSRURfRkNGLjk5NS4wNy8wMy8yMDI2Li4uVVNELkgBAAAA3rYBAAIAAAAIMTU2ODQuNzUBCAAAAAUAAAABMQEAAAALLTIwNTkwNzMyMDIDAAAAAzE2MAIAAAAENDQyMwQAAAABMAcAAAAIMy83LzIwMjYIAAAACjEyLzMxLzIwMjAJAAAAATCRucwk/4HeCI/MQCj/gd4IQUNJUS5OWVNFOklCTS5JUV9DSEFOR0VfTkVUX1dPUktJTkdfQ0FQSVRBTC45OTIuMDcvMDMvMjAyNi4uLlVTRC5IAQAAAN62AQACAAAAAzE3NwEIAAAA</t>
  </si>
  <si>
    <t>BQAAAAExAQAAAAoyMDE3MTY0MjQ0AwAAAAMxNjACAAAABDQ0MjEEAAAAATAHAAAACDMvNy8yMDI2CAAAAAoxMi8zMS8yMDE3CQAAAAEwkbnMJP+B3ghV4EAo/4HeCDVDSVEuTllTRTpJQk0uSVFfTkVUX1JFTlRBTF9FWFAuOTk3LjA3LzAzLzIwMjYuLi5VU0QuSAEAAADetgEAAwAAAAAAkbnMJP+B3ghV4EAo/4HeCDtDSVEuTllTRTpJQk0uSVFfREVGX1RBWF9MSUFCX0NVUlJFTlQuOTk0LjA3LzAzLzIwMjYuLi5VU0QuSAEAAADetgEAAwAAAAAAkbnMJP+B3ghV4EAo/4HeCCxDSVEuTllTRTpJQk0uSVFfQVJfTFQuOTkyLjA3LzAzLzIwMjYuLi5VU0QuSAEAAADetgEAAwAAAAAAkbnMJP+B3giKpUAo/4HeCDZDSVEuTllTRTpJQk0uSVFfUkVTVFJJQ1RFRF9DQVNILjk5Ni4wNy8wMy8yMDI2Li4uVVNELkgBAAAA3rYBAAIAAAADMzA3AQgAAAAFAAAAATEBAAAACy0yMDA4NjQ3MTk4AwAAAAMxNjACAAAABDExMDQEAAAAATAHAAAACDMvNy8yMDI2CAAAAAoxMi8zMS8yMDIxCQAAAAEwkbnMJP+B3giKpUAo/4HeCDNDSVEuTllTRTpJQk0uSVFfT1RIRVJfUkVDRUlWLjk5OC4wNy8wMy8yMDI2Li4uVVNELkgBAAAA3rYBAAIAAAADNjI5AQgAAAAFAAAAATEBAAAACy0xOTA0ODYwNzQ0AwAAAAMxNjACAAAABDEyMDYEAAAAATAHAAAACDMvNy8yMDI2CAAAAAoxMi8zMS8yMDIzCQAAAAEwkbnMJP+B3giKpUAo/4He</t>
  </si>
  <si>
    <t>CDRDSVEuTllTRTpJQk0uSVFfTUVSR0VSX1NVUFBMRS45OTMuMDcvMDMvMjAyNi4uLlVTRC5IAQAAAN62AQACAAAAAy0xNgEIAAAABQAAAAExAQAAAAoyMDgxNTA1NDAxAwAAAAMxNjACAAAABTI0NDU1BAAAAAEwBwAAAAgzLzcvMjAyNggAAAAKMTIvMzEvMjAxOAkAAAABMJG5zCT/gd4Ij8xAKP+B3gg/Q0lRLk5ZU0U6SUJNLklRX1NBTEFSSUVTX09USEVSX0JFTkVGSVRTLjEwMDAuMDcvMDMvMjAyNi4uLlVTRC5IAQAAAN62AQADAAAAAACRucwk/4HeCI/MQCj/gd4IP0NJUS5OWVNFOklCTS5JUV9JTVBVVF9PUEVSX0xFQVNFX0lOVF9FWFAuOTk3LjA3LzAzLzIwMjYuLi5VU0QuSAEAAADetgEAAgAAAAoyMjMuMTgzMDcyAQgAAAAFAAAAATEBAAAACy0xOTU4MjgxMDk2AwAAAAMxNjACAAAABTIxNjcyBAAAAAEwBwAAAAgzLzcvMjAyNggAAAAKMTIvMzEvMjAyMgkAAAABMJG5zCT/gd4Ia35AKP+B3ggzQ0lRLk5ZU0U6SUJNLklRX01BSU5UX1JFUEFJUi45OTIuMDcvMDMvMjAyNi4uLlVTRC5IAQAAAN62AQADAAAAAACRucwk/4HeCIqlQCj/gd4IM0NJUS5OWVNFOklCTS5JUV9PVEhFUl9SRU5UQUwuOTk1LjA3LzAzLzIwMjYuLi5VU0QuSAEAAADetgEAAwAAAAAAkbnMJP+B3giKpUAo/4HeCDVDSVEuTllTRTpJQk0uSVFfU1RPQ0tfQkFTRURfU00uOTkzLjA3LzAzLzIwMjYuLi5VU0QuSAEAAADetgEAAwAA</t>
  </si>
  <si>
    <t>AAAAkbnMJP+B3giKpUAo/4HeCDhDSVEuTllTRTpJQk0uSVFfTkVHQVRJVkVfR1dfQU1PUlQuOTk3LjA3LzAzLzIwMjYuLi5VU0QuSAEAAADetgEAAwAAAAAAkbnMJP+B3giKpUAo/4HeCDtDSVEuTllTRTpJQk0uSVFfT1RIRVJfVU5VU1VBTF9TVVBQTEUuOTk0LjA3LzAzLzIwMjYuLi5VU0QuSAEAAADetgEAAwAAAAAAkbnMJP+B3ghrfkAo/4HeCDdDSVEuTllTRTpJQk0uSVFfR0FJTl9CQVJHQUlOX0FDUS45OTkuMDcvMDMvMjAyNi4uLlVTRC5IAQAAAN62AQADAAAAAACRucwk/4HeCGt+QCj/gd4IPUNJUS5OWVNFOklCTS5JUV9BU1NFVF9XUklURURPV05fU1VQUExFLjk5Ni4wNy8wMy8yMDI2Li4uVVNELkgBAAAA3rYBAAMAAAAAAJG5zCT/gd4Ia35AKP+B3gg9Q0lRLk5ZU0U6SUJNLklRX1NUT0NLX09QVElPTlNfQ09NUF9UQVguOTkzLjA3LzAzLzIwMjYuLi5VU0QuSAEAAADetgEAAwAAAAAAkbnMJP+B3ghrfkAo/4HeCDhDSVEuTllTRTpJQk0uSVFfUkVTVFJfU1RPQ0tfQ09NUC4xMDAwLjA3LzAzLzIwMjYuLi5VU0QuSAEAAADetgEAAwAAAAAAkbnMJP+B3ghrfkAo/4HeCD5DSVEuTllTRTpJQk0uSVFfUkVTVFJfU1RPQ0tfQ09NUF9QUkVUQVguOTk3LjA3LzAzLzIwMjYuLi5VU0QuSAEAAADetgEAAwAAAAAAkbnMJP+B3ghLV0Ao/4HeCDhDSVEuTllTRTpJQk0uSVFfU1RPQ0tfQkFTRURfVE9UQUwu</t>
  </si>
  <si>
    <t>OTkyLjA3LzAzLzIwMjYuLi5VU0QuSAEAAADetgEAAgAAAAM1MzQBCAAAAAUAAAABMQEAAAAKMjAxNzE2NDI0NAMAAAADMTYwAgAAAAUyNDAzNAQAAAABMAcAAAAIMy83LzIwMjYIAAAACjEyLzMxLzIwMTcJAAAAATCRucwk/4HeCEtXQCj/gd4INUNJUS5OWVNFOklCTS5JUV9TVE9DS19CQVNFRF9HQS45OTguMDcvMDMvMjAyNi4uLlVTRC5IAQAAAN62AQADAAAAAACRucwk/4HeCEtXQCj/gd4ILUNJUS5OWVNFOklCTS5JUV9EQV9DRi4xMDAwLjA3LzAzLzIwMjYuLi5VU0QuSAEAAADetgEAAgAAAAQ0NDUwAQgAAAAFAAAAATEBAAAACy0xOTA0ODYwNzQwAwAAAAMxNjACAAAABDIxNjAEAAAAATAHAAAACDMvNy8yMDI2CAAAAAoxMi8zMS8yMDI1CQAAAAEwkbnMJP+B3ghLV0Ao/4HeCDFDSVEuTllTRTpJQk0uSVFfT0lMX0lNUEFJUi45OTUuMDcvMDMvMjAyNi4uLlVTRC5IAQAAAN62AQADAAAAAACRucwk/4HeCGt+QCj/gd4IMkNJUS5OWVNFOklCTS5JUV9EQV9TVVBQTF9DRi45OTIuMDcvMDMvMjAyNi4uLlVTRC5IAQAAAN62AQACAAAABDMwMjEBCAAAAAUAAAABMQEAAAAKMjAxNzE2NDI0NAMAAAADMTYwAgAAAAQyMTcxBAAAAAEwBwAAAAgzLzcvMjAyNggAAAAKMTIvMzEvMjAxNwkAAAABMJG5zCT/gd4Ie0NAKP+B3gg3Q0lRLk5ZU0U6SUJNLklRX1NUT0NLX0JBU0VEX0NPTVAuOTk5LjA3LzAzLzIwMjYu</t>
  </si>
  <si>
    <t>Li5VU0QuSAEAAADetgEAAgAAAAM4NDIAkbnMJP+B3gh7Q0Ao/4HeCD5DSVEuTllTRTpJQk0uSVFfU1RPQ0tfQkFTRURfQ09NUF9QUkVUQVguOTk2LjA3LzAzLzIwMjYuLi5VU0QuSAEAAADetgEAAgAAAAM5ODIAkbnMJP+B3gh7Q0Ao/4HeCD1DSVEuTllTRTpJQk0uSVFfQ0hBTkdFX1RSQURJTkdfQVNTRVRTLjEwMDAuMDcvMDMvMjAyNi4uLlVTRC5IAQAAAN62AQADAAAAAACRucwk/4HeCEtXQCj/gd4ILENJUS5OWVNFOklCTS5JUV9ET19DRi45OTcuMDcvMDMvMjAyNi4uLlVTRC5IAQAAAN62AQADAAAAAACRucwk/4HeCEtXQCj/gd4IOkNJUS5OWVNFOklCTS5JUV9UQVhfQkVORUZJVF9PUFRJT05TLjk5NS4wNy8wMy8yMDI2Li4uVVNELkgBAAAA3rYBAAMAAAAAAJG5zCT/gd4I5RxAKP+B3ggvQ0lRLk5ZU0U6SUJNLklRX0xPQU5TX0NGLjk5OS4wNy8wMy8yMDI2Li4uVVNELkgBAAAA3rYBAAMAAAAAAJG5zCT/gd4I5RxAKP+B3gg5Q0lRLk5ZU0U6SUJNLklRX0FTU0VUX1dSSVRFRE9XTl9DRi45OTQuMDcvMDMvMjAyNi4uLlVTRC5IAQAAAN62AQADAAAAAACRucwk/4HeCOUcQCj/gd4IMkNJUS5OWVNFOklCTS5JUV9TQUxFX1BQRV9DRi45OTUuMDcvMDMvMjAyNi4uLlVTRC5IAQAAAN62AQACAAAAAzE4OAEIAAAABQAAAAExAQAAAAstMjA1OTA3MzIwMgMAAAADMTYwAgAAAAQyMDQyBAAAAAEwBwAAAAgz</t>
  </si>
  <si>
    <t>LzcvMjAyNggAAAAKMTIvMzEvMjAyMAkAAAABMJG5zCT/gd4I5RxAKP+B3ggwQ0lRLk5ZU0U6SUJNLklRX0NBU0hfT1BFUi45OTIuMDcvMDMvMjAyNi4uLlVTRC5IAQAAAN62AQACAAAABTE2NzI0AQgAAAAFAAAAATEBAAAACjIwMTcxNjQyNDQDAAAAAzE2MAIAAAAEMjAwNgQAAAABMAcAAAAIMy83LzIwMjYIAAAACjEyLzMxLzIwMTcJAAAAATCRucwk/4HeCHtDQCj/gd4INUNJUS5OWVNFOklCTS5JUV9DSEFOR0VfREVGX1RBWC45OTkuMDcvMDMvMjAyNi4uLlVTRC5IAQAAAN62AQADAAAAAACRucwk/4HeCFf1Pyj/gd4IOENJUS5OWVNFOklCTS5JUV9DSEFOR0VfVU5FQVJOX1JFVi45OTYuMDcvMDMvMjAyNi4uLlVTRC5IAQAAAN62AQADAAAAAACRucwk/4HeCOUcQCj/gd4IN0NJUS5OWVNFOklCTS5JUV9DSEFOR0VfSU5WRU5UT1JZLjk5My4wNy8wMy8yMDI2Li4uVVNELkgBAAAA3rYBAAIAAAAELTEyNwEIAAAABQAAAAExAQAAAAoyMDgxNTA1NDAxAwAAAAMxNjACAAAABDIwOTkEAAAAATAHAAAACDMvNy8yMDI2CAAAAAoxMi8zMS8yMDE4CQAAAAEwkbnMJP+B3gjlHEAo/4HeCDFDSVEuTllTRTpJQk0uSVFfQ09NTU9OX1JFUC45OTkuMDcvMDMvMjAyNi4uLlVTRC5IAQAAAN62AQACAAAABC02NTEBCAAAAAUAAAABMQEAAAALLTE5MDQ4NjA3NDMDAAAAAzE2MAIAAAAEMjE2NAQAAAABMAcAAAAIMy83LzIw</t>
  </si>
  <si>
    <t>MjYIAAAACjEyLzMxLzIwMjQJAAAAATCRucwk/4HeCOUcQCj/gd4INkNJUS5OWVNFOklCTS5JUV9TVF9ERUJUX0lTU1VFRC4xMDAwLjA3LzAzLzIwMjYuLi5VU0QuSAEAAADetgEAAwAAAAAAkbnMJP+B3gjlHEAo/4HeCD1DSVEuTllTRTpJQk0uSVFfT1RIRVJfSU5WRVNUX0FDVF9TVVBQTC45OTguMDcvMDMvMjAyNi4uLlVTRC5IAQAAAN62AQACAAAAATEBCAAAAAUAAAABMQEAAAALLTE5MDQ4NjA3NDQDAAAAAzE2MAIAAAAEMjA1MQQAAAABMAcAAAAIMy83LzIwMjYIAAAACjEyLzMxLzIwMjMJAAAAATCRucwk/4HeCFf1Pyj/gd4INkNJUS5OWVNFOklCTS5JUV9JTlZFU1RfTE9BTlNfQ0YuOTk0LjA3LzAzLzIwMjYuLi5VU0QuSAEAAADetgEAAgAAAAQ2NzIwAQgAAAAFAAAAATEBAAAACy0yMTEwNzY5MzU1AwAAAAMxNjACAAAABDIwMzIEAAAAATAHAAAACDMvNy8yMDI2CAAAAAoxMi8zMS8yMDE5CQAAAAEwkbnMJP+B3ghX9T8o/4HeCDdDSVEuTllTRTpJQk0uSVFfQ0FTSF9BQ1FVSVJFX0NGLjEwMDAuMDcvMDMvMjAyNi4uLlVTRC5IAQAAAN62AQACAAAABS04Mjk0AQgAAAAFAAAAATEBAAAACy0xOTA0ODYwNzQwAwAAAAMxNjACAAAABDIwNTcEAAAAATAHAAAACDMvNy8yMDI2CAAAAAoxMi8zMS8yMDI1CQAAAAEwkbnMJP+B3ghX9T8o/4HeCC5DSVEuTllTRTpJQk0uSVFfREVQX1JVQS45OTMuMDcvMDMv</t>
  </si>
  <si>
    <t>MjAyNi4uLlVTRC5IAQAAAN62AQADAAAAAACRucwk/4HeCFf1Pyj/gd4IQENJUS5OWVNFOklCTS5JUV9HV19JTlRBTl9BTU9SVF9QQVJUSUFMX0NGLjk5Ni4wNy8wMy8yMDI2Li4uVVNELkgBAAAA3rYBAAMAAAAAAJG5zCT/gd4IV/U/KP+B3gg1Q0lRLk5ZU0U6SUJNLklRX01JU0NfQURKVVNUX0NGLjk5Ni4wNy8wMy8yMDI2Li4uVVNELkgBAAAA3rYBAAMAAAAAAJG5zCT/gd4IRc4/KP+B3gg/Q0lRLk5ZU0U6SUJNLklRX09USEVSX0ZJTkFOQ0VfQUNUX1NVUFBMLjEwMDAuMDcvMDMvMjAyNi4uLlVTRC5IAQAAAN62AQACAAAABC0xMzkBCAAAAAUAAAABMQEAAAALLTE5MDQ4NjA3NDADAAAAAzE2MAIAAAAEMjA1MAQAAAABMAcAAAAIMy83LzIwMjYIAAAACjEyLzMxLzIwMjUJAAAAATCRucwk/4HeCEXOPyj/gd4IMENJUS5OWVNFOklCTS5JUV9QUkVGX1JFUC4xMDAwLjA3LzAzLzIwMjYuLi5VU0QuSAEAAADetgEAAwAAAAAAkbnMJP+B3ghFzj8o/4HeCDhDSVEuTllTRTpJQk0uSVFfQ0FTSF9UQVhFU19JTlZFU1QuOTk4LjA3LzAzLzIwMjYuLi5VU0QuSAEAAADetgEAAwAAAAAAkbnMJP+B3ghFzj8o/4HeCDpDSVEuTllTRTpJQk0uSVFfQ0FTSF9JTlRFUkVTVF9GSU5BTi45OTcuMDcvMDMvMjAyNi4uLlVTRC5IAQAAAN62AQADAAAAAACRucwk/4HeCFf1Pyj/gd4IOUNJUS5OWVNFOklCTS5JUV9DQVNIX0lO</t>
  </si>
  <si>
    <t>VEVSRVNUX09QRVIuOTkyLjA3LzAzLzIwMjYuLi5VU0QuSAEAAADetgEAAwAAAAAAkbnMJP+B3ghLpz8o/4HeCDNDSVEuTllTRTpJQk0uSVFfQU1PUlRfRElDX0NGLjk5Ny4wNy8wMy8yMDI2Li4uVVNELkgBAAAA3rYBAAMAAAAAAJG5zCT/gd4IS6c/KP+B3gg9Q0lRLk5ZU0U6SUJNLklRX0RBX0NGX0VYQ0xfT1BFUl9MRUFTRVMuOTk5LjA3LzAzLzIwMjYuLi5VU0QuSAEAAADetgEAAgAAAAQzMDk4AQgAAAAFAAAAATEBAAAACy0xOTA0ODYwNzQzAwAAAAMxNjACAAAABTQ4OTg1BAAAAAEwBwAAAAgzLzcvMjAyNggAAAAKMTIvMzEvMjAyNAkAAAABMJG5zCT/gd4IS6c/KP+B3ggzQ0lRLk5ZU0U6SUJNLklRX09USEVSX1JFQ0VJVi45OTcuMDcvMDMvMjAyNi4uLlVTRC5IAQAAAN62AQACAAAAAzY3NwEIAAAABQAAAAExAQAAAAstMTk1ODI4MTA5NgMAAAADMTYwAgAAAAQxMjA2BAAAAAEwBwAAAAgzLzcvMjAyNggAAAAKMTIvMzEvMjAyMgkAAAABMJG5zCT/gd4IS6c/KP+B3gg1Q0lRLk5ZU0U6SUJNLklRX1RSQURJTkdfQVNTRVRTLjk5Ni4wNy8wMy8yMDI2Li4uVVNELkgBAAAA3rYBAAMAAAAAAJG5zCT/gd4IRc4/KP+B3ghKQ0lRLk5ZU0U6SUJNLklRX09QRVJBVElOR19MRUFTRV9MSUFCSUxJVElFU19OT05DQVNILjk5OC4wNy8wMy8yMDI2Li4uVVNELkgBAAAA3rYBAAMAAAAAAJG5zCT/gd4IM4A/KP+B</t>
  </si>
  <si>
    <t>3gg/Q0lRLk5ZU0U6SUJNLklRX09QRVJBVElOR19MRUFTRV9QQVlNRU5UUy45OTUuMDcvMDMvMjAyNi4uLlVTRC5IAQAAAN62AQADAAAAAACRucwk/4HeCEunPyj/gd4IMkNJUS5OWVNFOklCTS5JUV9NQUlOVF9DQVBFWC45OTYuMDcvMDMvMjAyNi4uLlVTRC5IAQAAAN62AQADAAAAAACRucwk/4HeCEunPyj/gd4IO0NJUS5OWVNFOklCTS5JUV9PVEhFUl9VTlVTVUFMX1NVUFBMRS45OTMuMDcvMDMvMjAyNi4uLlVTRC5IAQAAAN62AQADAAAAAACRucwk/4HeCEunPyj/gd4IL0NJUS5OWVNFOklCTS5JUV9UT1RBTF9DTC45OTcuMDcvMDMvMjAyNi4uLlVTRC5IAQAAAN62AQACAAAABTMxNTA1AQgAAAAFAAAAATEBAAAACy0xOTU4MjgxMDk2AwAAAAMxNjACAAAABDEwMDkEAAAAATAHAAAACDMvNy8yMDI2CAAAAAoxMi8zMS8yMDIyCQAAAAEwkbnMJP+B3ghLpz8o/4HeCCxDSVEuTllTRTpJQk0uSVFfQVJfTFQuOTk4LjA3LzAzLzIwMjYuLi5VU0QuSAEAAADetgEAAwAAAAAAkbnMJP+B3ggzgD8o/4HeCDZDSVEuTllTRTpJQk0uSVFfUkVTVFJJQ1RFRF9DQVNILjk5NS4wNy8wMy8yMDI2Li4uVVNELkgBAAAA3rYBAAIAAAADNDYzAQgAAAAFAAAAATEBAAAACy0yMDU5MDczMjAyAwAAAAMxNjACAAAABDExMDQEAAAAATAHAAAACDMvNy8yMDI2CAAAAAoxMi8zMS8yMDIwCQAAAAEwkbnMJP+B3ggzgD8o/4HeCDND</t>
  </si>
  <si>
    <t>SVEuTllTRTpJQk0uSVFfUFJFUEFJRF9FWFAuMTAwMC4wNy8wMy8yMDI2Li4uVVNELkgBAAAA3rYBAAIAAAAEMTgxNgEIAAAABQAAAAExAQAAAAstMTkwNDg2MDc0MAMAAAADMTYwAgAAAAQxMjEyBAAAAAEwBwAAAAgzLzcvMjAyNggAAAAKMTIvMzEvMjAyNQkAAAABMJG5zCT/gd4IM4A/KP+B3gg+Q0lRLk5ZU0U6SUJNLklRX1JFU1RSX1NUT0NLX0NPTVBfUFJFVEFYLjk5Ni4wNy8wMy8yMDI2Li4uVVNELkgBAAAA3rYBAAMAAAAAAJG5zCT/gd4IM4A/KP+B3ghBQ0lRLk5ZU0U6SUJNLklRX1NUT0NLX0JBU0VEX0VYUExPUkVfRFJJTEwuMTAwMC4wNy8wMy8yMDI2Li4uVVNELkgBAAAA3rYBAAMAAAAAAJG5zCT/gd4IM4A/KP+B3gg2Q0lRLk5ZU0U6SUJNLklRX1NUT0NLX0JBU0VEX1NHQS45OTUuMDcvMDMvMjAyNi4uLlVTRC5IAQAAAN62AQACAAAAAzU1MAEIAAAABQAAAAExAQAAAAstMjA1OTA3MzIwMgMAAAADMTYwAgAAAAUyMjY3OQQAAAABMAcAAAAIMy83LzIwMjYIAAAACjEyLzMxLzIwMjAJAAAAATCRucwk/4HeCDRZPyj/gd4INUNJUS5OWVNFOklCTS5JUV9TVE9DS19CQVNFRF9TTS45OTIuMDcvMDMvMjAyNi4uLlVTRC5IAQAAAN62AQADAAAAAACRucwk/4HeCDRZPyj/gd4IOENJUS5OWVNFOklCTS5JUV9ORUdBVElWRV9HV19BTU9SVC45OTYuMDcvMDMvMjAyNi4uLlVTRC5IAQAAAN62AQADAAAA</t>
  </si>
  <si>
    <t>AACRucwk/4HeCDOAPyj/gd4IMkNJUS5OWVNFOklCTS5JUV9PVEhFUl9BTU9SVC45OTcuMDcvMDMvMjAyNi4uLlVTRC5IAQAAAN62AQACAAAAAzY0OAEIAAAABQAAAAExAQAAAAstMTk1ODI4MTA5NgMAAAADMTYwAgAAAAQyMDE0BAAAAAEwBwAAAAgzLzcvMjAyNggAAAAKMTIvMzEvMjAyMgkAAAABMJG5zCT/gd4IM4A/KP+B3ggxQ0lRLk5ZU0U6SUJNLklRX09JTF9JTVBBSVIuOTk0LjA3LzAzLzIwMjYuLi5VU0QuSAEAAADetgEAAwAAAAAAkbnMJP+B3ggzgD8o/4HeCDdDSVEuTllTRTpJQk0uSVFfU1RPQ0tfQkFTRURfQ09NUC45OTguMDcvMDMvMjAyNi4uLlVTRC5IAQAAAN62AQACAAAAAzg0MwCRucwk/4HeCDRZPyj/gd4IPkNJUS5OWVNFOklCTS5JUV9TVE9DS19CQVNFRF9DT01QX1BSRVRBWC45OTUuMDcvMDMvMjAyNi4uLlVTRC5IAQAAAN62AQACAAAAAzkzNwCRucwk/4HeCDRZPyj/gd4IN0NJUS5OWVNFOklCTS5JUV9SRVNUUl9TVE9DS19DT01QLjk5OS4wNy8wMy8yMDI2Li4uVVNELkgBAAAA3rYBAAMAAAAAAJG5zCT/gd4INFk/KP+B3gg4Q0lRLk5ZU0U6SUJNLklRX0NIQU5HRV9VTkVBUk5fUkVWLjk5NS4wNy8wMy8yMDI2Li4uVVNELkgBAAAA3rYBAAMAAAAAAJG5zCT/gd4INFk/KP+B3gg8Q0lRLk5ZU0U6SUJNLklRX0NIQU5HRV9UUkFESU5HX0FTU0VUUy45OTkuMDcvMDMvMjAyNi4uLlVT</t>
  </si>
  <si>
    <t>RC5IAQAAAN62AQADAAAAAACRucwk/4HeCDRZPyj/gd4ILENJUS5OWVNFOklCTS5JUV9ET19DRi45OTYuMDcvMDMvMjAyNi4uLlVTRC5IAQAAAN62AQADAAAAAACRucwk/4HeCPMxPyj/gd4IL0NJUS5OWVNFOklCTS5JUV9MT0FOU19DRi45OTguMDcvMDMvMjAyNi4uLlVTRC5IAQAAAN62AQADAAAAAACRucwk/4HeCPMxPyj/gd4IOUNJUS5OWVNFOklCTS5JUV9BU1NFVF9XUklURURPV05fQ0YuOTkzLjA3LzAzLzIwMjYuLi5VU0QuSAEAAADetgEAAwAAAAAAkbnMJP+B3gjzMT8o/4HeCDJDSVEuTllTRTpJQk0uSVFfQ0FTSF9JTlZFU1QuOTk1LjA3LzAzLzIwMjYuLi5VU0QuSAEAAADetgEAAgAAAAUtMzAyOAEIAAAABQAAAAExAQAAAAstMjA1OTA3MzIwMgMAAAADMTYwAgAAAAQyMDA1BAAAAAEwBwAAAAgzLzcvMjAyNggAAAAKMTIvMzEvMjAyMAkAAAABMJG5zCT/gd4I8zE/KP+B3gg2Q0lRLk5ZU0U6SUJNLklRX0lOVkVTVF9MT0FOU19DRi45OTMuMDcvMDMvMjAyNi4uLlVTRC5IAQAAAN62AQACAAAABC01MDMBCAAAAAUAAAABMQEAAAAKMjA4MTUwNTQwMQMAAAADMTYwAgAAAAQyMDMyBAAAAAEwBwAAAAgzLzcvMjAyNggAAAAKMTIvMzEvMjAxOAkAAAABMJG5zCT/gd4INFk/KP+B3ggwQ0lRLk5ZU0U6SUJNLklRX0RJVkVTVF9DRi45OTcuMDcvMDMvMjAyNi4uLlVTRC5IAQAAAN62AQACAAAABDEyNzIB</t>
  </si>
  <si>
    <t>CAAAAAUAAAABMQEAAAALLTE5NTgyODEwOTYDAAAAAzE2MAIAAAAEMjA3NwQAAAABMAcAAAAIMy83LzIwMjYIAAAACjEyLzMxLzIwMjIJAAAAATCRucwk/4HeCMMKPyj/gd4IMkNJUS5OWVNFOklCTS5JUV9TQUxFX1BQRV9DRi45OTQuMDcvMDMvMjAyNi4uLlVTRC5IAQAAAN62AQACAAAAAzUzNwEIAAAABQAAAAExAQAAAAstMjExMDc2OTM1NQMAAAADMTYwAgAAAAQyMDQyBAAAAAEwBwAAAAgzLzcvMjAyNggAAAAKMTIvMzEvMjAxOQkAAAABMJG5zCT/gd4Iwwo/KP+B3gg1Q0lRLk5ZU0U6SUJNLklRX0NIQU5HRV9ERUZfVEFYLjk5OC4wNy8wMy8yMDI2Li4uVVNELkgBAAAA3rYBAAMAAAAAAJG5zCT/gd4Iwwo/KP+B3ggvQ0lRLk5ZU0U6SUJNLklRX1BSRUZfUkVQLjk5OS4wNy8wMy8yMDI2Li4uVVNELkgBAAAA3rYBAAMAAAAAAJG5zCT/gd4I8zE/KP+B3ggxQ0lRLk5ZU0U6SUJNLklRX0NPTU1PTl9SRVAuOTk4LjA3LzAzLzIwMjYuLi5VU0QuSAEAAADetgEAAgAAAAQtNDAyAQgAAAAFAAAAATEBAAAACy0xOTA0ODYwNzQ0AwAAAAMxNjACAAAABDIxNjQEAAAAATAHAAAACDMvNy8yMDI2CAAAAAoxMi8zMS8yMDIzCQAAAAEwkbnMJP+B3gjzMT8o/4HeCDhDSVEuTllTRTpJQk0uSVFfVE9UQUxfREVCVF9SRVBBSUQuOTk3LjA3LzAzLzIwMjYuLi5VU0QuSAEAAADetgEAAgAAAAUtNjgwMAEIAAAABQAAAAEx</t>
  </si>
  <si>
    <t>AQAAAAstMTk1ODI4MTA5NgMAAAADMTYwAgAAAAQyMTY2BAAAAAEwBwAAAAgzLzcvMjAyNggAAAAKMTIvMzEvMjAyMgkAAAABMJG5zCT/gd4IE9A+KP+B3gg5Q0lRLk5ZU0U6SUJNLklRX1RPVEFMX0RFQlRfSVNTVUVELjEwMDAuMDcvMDMvMjAyNi4uLlVTRC5IAQAAAN62AQACAAAABDgzOTEBCAAAAAUAAAABMQEAAAALLTE5MDQ4NjA3NDADAAAAAzE2MAIAAAAEMjE2MQQAAAABMAcAAAAIMy83LzIwMjYIAAAACjEyLzMxLzIwMjUJAAAAATCRucwk/4HeCCH3Pij/gd4INUNJUS5OWVNFOklCTS5JUV9TVF9ERUJUX0lTU1VFRC45OTkuMDcvMDMvMjAyNi4uLlVTRC5IAQAAAN62AQACAAAAAjMwAQgAAAAFAAAAATEBAAAACy0xOTA0ODYwNzQzAwAAAAMxNjACAAAABDIwNDMEAAAAATAHAAAACDMvNy8yMDI2CAAAAAoxMi8zMS8yMDI0CQAAAAEwkbnMJP+B3ggh9z4o/4HeCDFDSVEuTllTRTpJQk0uSVFfREVQUkVfU1VQUC45OTIuMDcvMDMvMjAyNi4uLlVTRC5IAQAAAN62AQADAAAAAACRucwk/4HeCMMKPyj/gd4INUNJUS5OWVNFOklCTS5JUV9NSVNDX0FESlVTVF9DRi45OTUuMDcvMDMvMjAyNi4uLlVTRC5IAQAAAN62AQADAAAAAACRucwk/4HeCMMKPyj/gd4IPkNJUS5OWVNFOklCTS5JUV9PVEhFUl9GSU5BTkNFX0FDVF9TVVBQTC45OTkuMDcvMDMvMjAyNi4uLlVTRC5IAQAAAN62AQACAAAABC0xNDYBCAAA</t>
  </si>
  <si>
    <t>AAUAAAABMQEAAAALLTE5MDQ4NjA3NDMDAAAAAzE2MAIAAAAEMjA1MAQAAAABMAcAAAAIMy83LzIwMjYIAAAACjEyLzMxLzIwMjQJAAAAATCa4Mwk/4HeCN+oPij/gd4IOUNJUS5OWVNFOklCTS5JUV9UT1RBTF9ESVZfUEFJRF9DRi4xMDAwLjA3LzAzLzIwMjYuLi5VU0QuSAEAAADetgEAAgAAAAUtNjI1NQEIAAAABQAAAAExAQAAAAstMTkwNDg2MDc0MAMAAAADMTYwAgAAAAQyMDIyBAAAAAEwBwAAAAgzLzcvMjAyNggAAAAKMTIvMzEvMjAyNQkAAAABMJrgzCT/gd4I36g+KP+B3ggzQ0lRLk5ZU0U6SUJNLklRX1BSRUZfRElWX0NGLjEwMDAuMDcvMDMvMjAyNi4uLlVTRC5IAQAAAN62AQADAAAAAACa4Mwk/4HeCBPQPij/gd4IOkNJUS5OWVNFOklCTS5JUV9DQVNIX0lOVEVSRVNUX0ZJTkFOLjk5Ni4wNy8wMy8yMDI2Li4uVVNELkgBAAAA3rYBAAMAAAAAAJrgzCT/gd4IE9A+KP+B3gg0Q0lRLk5ZU0U6SUJNLklRX0NBU0hfSU5URVJFU1QuOTk4LjA3LzAzLzIwMjYuLi5VU0QuSAEAAADetgEAAgAAAAQxNjY4AQgAAAAFAAAAATEBAAAACy0xOTA0ODYwNzQ0AwAAAAMxNjACAAAABDMwMjgEAAAAATAHAAAACDMvNy8yMDI2CAAAAAoxMi8zMS8yMDIzCQAAAAEwmuDMJP+B3ggT0D4o/4HeCD9DSVEuTllTRTpJQk0uSVFfQU1PUlRfU09GVFdBUkVfQVNTRVRTX0NGLjk5My4wNy8wMy8yMDI2Li4uVVNELkgBAAAA</t>
  </si>
  <si>
    <t>3rYBAAMAAAAAAJrgzCT/gd4ItYE+KP+B3gg9Q0lRLk5ZU0U6SUJNLklRX0RBX0NGX0VYQ0xfT1BFUl9MRUFTRVMuOTk4LjA3LzAzLzIwMjYuLi5VU0QuSAEAAADetgEAAgAAAAQyODM2AQgAAAAFAAAAATEBAAAACy0xOTA0ODYwNzQ0AwAAAAMxNjACAAAABTQ4OTg1BAAAAAEwBwAAAAgzLzcvMjAyNggAAAAKMTIvMzEvMjAyMwkAAAABMJrgzCT/gd4ItYE+KP+B3gguQ0lRLk5ZU0U6SUJNLklRX0RFUF9SVUEuOTkyLjA3LzAzLzIwMjYuLi5VU0QuSAEAAADetgEAAwAAAAAAmuDMJP+B3gi1gT4o/4HeCDVDSVEuTllTRTpJQk0uSVFfVFJBRElOR19BU1NFVFMuOTk1LjA3LzAzLzIwMjYuLi5VU0QuSAEAAADetgEAAwAAAAAAmuDMJP+B3gjfqD4o/4HeCEhDSVEuTllTRTpJQk0uSVFfTE9OR19URVJNX0RFQlRfUkVQQUlEX0VYQ0xfTEVBU0VTLjk5NS4wNy8wMy8yMDI2Li4uVVNELkgBAAAA3rYBAAIAAAAGLTEzMzY1AQgAAAAFAAAAATEBAAAACy0yMDU5MDczMjAyAwAAAAMxNjACAAAABTQ4OTg0BAAAAAEwBwAAAAgzLzcvMjAyNggAAAAKMTIvMzEvMjAyMAkAAAABMJrgzCT/gd4I36g+KP+B3gg/Q0lRLk5ZU0U6SUJNLklRX09QRVJBVElOR19MRUFTRV9QQVlNRU5UUy45OTQuMDcvMDMvMjAyNi4uLlVTRC5IAQAAAN62AQADAAAAAACa4Mwk/4HeCAlHPij/gd4IMkNJUS5OWVNFOklCTS5JUV9NQUlOVF9DQVBF</t>
  </si>
  <si>
    <t>WC45OTQuMDcvMDMvMjAyNi4uLlVTRC5IAQAAAN62AQADAAAAAACa4Mwk/4HeCBJuPij/gd4IOENJUS5OWVNFOklCTS5JUV9DQVNIX1RBWEVTX0lOVkVTVC45OTYuMDcvMDMvMjAyNi4uLlVTRC5IAQAAAN62AQADAAAAAACa4Mwk/4HeCBJuPij/gd4IQENJUS5OWVNFOklCTS5JUV9TVE9DS19CQVNFRF9FWFBMT1JFX0RSSUxMLjk5OS4wNy8wMy8yMDI2Li4uVVNELkgBAAAA3rYBAAMAAAAAAJrgzCT/gd4ItYE+KP+B3ggsQ0lRLk5ZU0U6SUJNLklRX0FSX0xULjk5Ny4wNy8wMy8yMDI2Li4uVVNELkgBAAAA3rYBAAMAAAAAAJrgzCT/gd4ItYE+KP+B3gg3Q0lRLk5ZU0U6SUJNLklRX1JFU1RSSUNURURfQ0FTSC4xMDAwLjA3LzAzLzIwMjYuLi5VU0QuSAEAAADetgEAAgAAAAI1NAEIAAAABQAAAAExAQAAAAstMTkwNDg2MDc0MAMAAAADMTYwAgAAAAQxMTA0BAAAAAEwBwAAAAgzLzcvMjAyNggAAAAKMTIvMzEvMjAyNQkAAAABMJrgzCT/gd4I9R8+KP+B3gg8Q0lRLk5ZU0U6SUJNLklRX0ZJTl9ESVZfTE9BTlNfQ1VSUkVOVC45OTIuMDcvMDMvMjAyNi4uLlVTRC5IAQAAAN62AQACAAAABTIxNzIxAQgAAAAFAAAAATEBAAAACjIwMTcxNjQyNDQDAAAAAzE2MAIAAAAEMTAzMgQAAAABMAcAAAAIMy83LzIwMjYIAAAACjEyLzMxLzIwMTcJAAAAATCa4Mwk/4HeCPUfPij/gd4INUNJUS5OWVNFOklCTS5JUV9TVF9O</t>
  </si>
  <si>
    <t>T1RFX1JFQ0VJVi45OTQuMDcvMDMvMjAyNi4uLlVTRC5IAQAAAN62AQADAAAAAACa4Mwk/4HeCAlHPij/gd4IM0NJUS5OWVNFOklCTS5JUV9EQV9TVVBQTF9DRi4xMDAwLjA3LzAzLzIwMjYuLi5VU0QuSAEAAADetgEAAgAAAAQyMjg0AQgAAAAFAAAAATEBAAAACy0xOTA0ODYwNzQwAwAAAAMxNjACAAAABDIxNzEEAAAAATAHAAAACDMvNy8yMDI2CAAAAAoxMi8zMS8yMDI1CQAAAAEwmuDMJP+B3ggJRz4o/4HeCDdDSVEuTllTRTpJQk0uSVFfU1RPQ0tfQkFTRURfQ09NUC45OTcuMDcvMDMvMjAyNi4uLlVTRC5IAQAAAN62AQACAAAAAzczOACa4Mwk/4HeCAlHPij/gd4IPkNJUS5OWVNFOklCTS5JUV9TVE9DS19CQVNFRF9DT01QX1BSRVRBWC45OTQuMDcvMDMvMjAyNi4uLlVTRC5IAQAAAN62AQACAAAAAzY3OQCa4Mwk/4HeCOn4PSj/gd4IN0NJUS5OWVNFOklCTS5JUV9SRVNUUl9TVE9DS19DT01QLjk5OC4wNy8wMy8yMDI2Li4uVVNELkgBAAAA3rYBAAMAAAAAAJrgzCT/gd4I6fg9KP+B3gg7Q0lRLk5ZU0U6SUJNLklRX1JFU1RSX1NUT0NLX0NPTVBfVEFYLjk5My4wNy8wMy8yMDI2Li4uVVNELkgBAAAA3rYBAAMAAAAAAJrgzCT/gd4I9R8+KP+B3gg0Q0lRLk5ZU0U6SUJNLklRX0lOQ19FUVVJVFlfQ0YuOTk5LjA3LzAzLzIwMjYuLi5VU0QuSAEAAADetgEAAwAAAAAAmuDMJP+B3gj1Hz4o/4HeCDVDSVEu</t>
  </si>
  <si>
    <t>TllTRTpJQk0uSVFfQ1JFRElUX0xPU1NfQ0YuOTk1LjA3LzAzLzIwMjYuLi5VU0QuSAEAAADetgEAAwAAAAAAmuDMJP+B3gj1Hz4o/4HeCDlDSVEuTllTRTpJQk0uSVFfQVNTRVRfV1JJVEVET1dOX0NGLjk5Mi4wNy8wMy8yMDI2Li4uVVNELkgBAAAA3rYBAAMAAAAAAJrgzCT/gd4I2dE9KP+B3ggyQ0lRLk5ZU0U6SUJNLklRX09USEVSX0FNT1JULjk5Ni4wNy8wMy8yMDI2Li4uVVNELkgBAAAA3rYBAAIAAAADNjkxAQgAAAAFAAAAATEBAAAACy0yMDA4NjQ3MTk4AwAAAAMxNjACAAAABDIwMTQEAAAAATAHAAAACDMvNy8yMDI2CAAAAAoxMi8zMS8yMDIxCQAAAAEwmuDMJP+B3gjZ0T0o/4HeCDFDSVEuTllTRTpJQk0uSVFfT0lMX0lNUEFJUi45OTMuMDcvMDMvMjAyNi4uLlVTRC5IAQAAAN62AQADAAAAAACa4Mwk/4HeCNnRPSj/gd4IMUNJUS5OWVNFOklCTS5JUV9DQVNIX09QRVIuMTAwMC4wNy8wMy8yMDI2Li4uVVNELkgBAAAA3rYBAAIAAAAFMTMxOTMBCAAAAAUAAAABMQEAAAALLTE5MDQ4NjA3NDADAAAAAzE2MAIAAAAEMjAwNgQAAAABMAcAAAAIMy83LzIwMjYIAAAACjEyLzMxLzIwMjUJAAAAATCa4Mwk/4HeCOn4PSj/gd4INUNJUS5OWVNFOklCTS5JUV9DSEFOR0VfREVGX1RBWC45OTcuMDcvMDMvMjAyNi4uLlVTRC5IAQAAAN62AQADAAAAAACa4Mwk/4HeCOn4PSj/gd4IOENJUS5OWVNFOklCTS5J</t>
  </si>
  <si>
    <t>UV9DSEFOR0VfVU5FQVJOX1JFVi45OTQuMDcvMDMvMjAyNi4uLlVTRC5IAQAAAN62AQADAAAAAACa4Mwk/4HeCJiqPSj/gd4IPENJUS5OWVNFOklCTS5JUV9DSEFOR0VfVFJBRElOR19BU1NFVFMuOTk4LjA3LzAzLzIwMjYuLi5VU0QuSAEAAADetgEAAwAAAAAAmuDMJP+B3giYqj0o/4HeCDVDSVEuTllTRTpJQk0uSVFfT1RIRVJfT1BFUl9BQ1QuOTkzLjA3LzAzLzIwMjYuLi5VU0QuSAEAAADetgEAAgAAAAM4NTIBCAAAAAUAAAABMQEAAAAKMjA4MTUwNTQwMQMAAAADMTYwAgAAAAQyMDQ3BAAAAAEwBwAAAAgzLzcvMjAyNggAAAAKMTIvMzEvMjAxOAkAAAABMJrgzCT/gd4ImKo9KP+B3gg1Q0lRLk5ZU0U6SUJNLklRX0xUX0RFQlRfSVNTVUVELjk5Ni4wNy8wMy8yMDI2Li4uVVNELkgBAAAA3rYBAAIAAAADNTIyAQgAAAAFAAAAATEBAAAACy0yMDA4NjQ3MTk4AwAAAAMxNjACAAAABDIwMzQEAAAAATAHAAAACDMvNy8yMDI2CAAAAAoxMi8zMS8yMDIxCQAAAAEwmuDMJP+B3giYqj0o/4HeCDJDSVEuTllTRTpJQk0uSVFfQ0FTSF9JTlZFU1QuOTk0LjA3LzAzLzIwMjYuLi5VU0QuSAEAAADetgEAAgAAAAYtMjY5MzYBCAAAAAUAAAABMQEAAAALLTIxMTA3NjkzNTUDAAAAAzE2MAIAAAAEMjAwNQQAAAABMAcAAAAIMy83LzIwMjYIAAAACjEyLzMxLzIwMTkJAAAAATCa4Mwk/4HeCNnRPSj/gd4INkNJUS5OWVNF</t>
  </si>
  <si>
    <t>OklCTS5JUV9JTlZFU1RfTE9BTlNfQ0YuOTkyLjA3LzAzLzIwMjYuLi5VU0QuSAEAAADetgEAAgAAAAUtMjAyOAEIAAAABQAAAAExAQAAAAoyMDE3MTY0MjQ0AwAAAAMxNjACAAAABDIwMzIEAAAAATAHAAAACDMvNy8yMDI2CAAAAAoxMi8zMS8yMDE3CQAAAAEwmuDMJP+B3gjcbz0o/4HeCDBDSVEuTllTRTpJQk0uSVFfRElWRVNUX0NGLjk5Ni4wNy8wMy8yMDI2Li4uVVNELkgBAAAA3rYBAAIAAAADMTE0AQgAAAAFAAAAATEBAAAACy0yMDA4NjQ3MTk4AwAAAAMxNjACAAAABDIwNzcEAAAAATAHAAAACDMvNy8yMDI2CAAAAAoxMi8zMS8yMDIxCQAAAAEwmuDMJP+B3gjcbz0o/4HeCDJDSVEuTllTRTpJQk0uSVFfU0FMRV9QUEVfQ0YuOTkzLjA3LzAzLzIwMjYuLi5VU0QuSAEAAADetgEAAgAAAAMyNDgBCAAAAAUAAAABMQEAAAAKMjA4MTUwNTQwMQMAAAADMTYwAgAAAAQyMDQyBAAAAAEwBwAAAAgzLzcvMjAyNggAAAAKMTIvMzEvMjAxOAkAAAABMJrgzCT/gd4I3G89KP+B3ggyQ0lRLk5ZU0U6SUJNLklRX1BSRUZfRElWX0NGLjk5OC4wNy8wMy8yMDI2Li4uVVNELkgBAAAA3rYBAAMAAAAAAJrgzCT/gd4I15Y9KP+B3ggvQ0lRLk5ZU0U6SUJNLklRX1BSRUZfUkVQLjk5OC4wNy8wMy8yMDI2Li4uVVNELkgBAAAA3rYBAAMAAAAAAJrgzCT/gd4I15Y9KP+B3ggxQ0lRLk5ZU0U6SUJNLklRX0NPTU1PTl9SRVAu</t>
  </si>
  <si>
    <t>OTk3LjA3LzAzLzIwMjYuLi5VU0QuSAEAAADetgEAAgAAAAQtNDA3AQgAAAAFAAAAATEBAAAACy0xOTU4MjgxMDk2AwAAAAMxNjACAAAABDIxNjQEAAAAATAHAAAACDMvNy8yMDI2CAAAAAoxMi8zMS8yMDIyCQAAAAEwmuDMJP+B3gjUSD0o/4HeCDhDSVEuTllTRTpJQk0uSVFfVE9UQUxfREVCVF9SRVBBSUQuOTk2LjA3LzAzLzIwMjYuLi5VU0QuSAEAAADetgEAAgAAAAUtODYzNwEIAAAABQAAAAExAQAAAAstMjAwODY0NzE5OAMAAAADMTYwAgAAAAQyMTY2BAAAAAEwBwAAAAgzLzcvMjAyNggAAAAKMTIvMzEvMjAyMQkAAAABMJrgzCT/gd4I1Eg9KP+B3gg1Q0lRLk5ZU0U6SUJNLklRX1NUX0RFQlRfUkVQQUlELjk5Ny4wNy8wMy8yMDI2Li4uVVNELkgBAAAA3rYBAAMAAAAAAJrgzCT/gd4I1Eg9KP+B3gg/Q0lRLk5ZU0U6SUJNLklRX0FNT1JUX1NPRlRXQVJFX0FTU0VUU19DRi45OTIuMDcvMDMvMjAyNi4uLlVTRC5IAQAAAN62AQADAAAAAACa4Mwk/4HeCNRIPSj/gd4IPUNJUS5OWVNFOklCTS5JUV9EQV9DRl9FWENMX09QRVJfTEVBU0VTLjk5Ny4wNy8wMy8yMDI2Li4uVVNELkgBAAAA3rYBAAIAAAAEMzI1NAEIAAAABQAAAAExAQAAAAstMTk1ODI4MTA5NgMAAAADMTYwAgAAAAU0ODk4NQQAAAABMAcAAAAIMy83LzIwMjYIAAAACjEyLzMxLzIwMjIJAAAAATCa4Mwk/4HeCNxvPSj/gd4INUNJUS5OWVNF</t>
  </si>
  <si>
    <t>OklCTS5JUV9NSVNDX0FESlVTVF9DRi45OTQuMDcvMDMvMjAyNi4uLlVTRC5IAQAAAN62AQACAAAAATEBCAAAAAUAAAABMQEAAAALLTIxMTA3NjkzNTUDAAAAAzE2MAIAAAAEMjE0OQQAAAABMAcAAAAIMy83LzIwMjYIAAAACjEyLzMxLzIwMTkJAAAAATCa4Mwk/4HeCLUhPSj/gd4IMUNJUS5OWVNFOklCTS5JUV9DQVNIX0ZJTkFOLjk5NS4wNy8wMy8yMDI2Li4uVVNELkgBAAAA3rYBAAIAAAAFLTk3MjEBCAAAAAUAAAABMQEAAAALLTIwNTkwNzMyMDIDAAAAAzE2MAIAAAAEMjAwNAQAAAABMAcAAAAIMy83LzIwMjYIAAAACjEyLzMxLzIwMjAJAAAAATCa4Mwk/4HeCLUhPSj/gd4IOENJUS5OWVNFOklCTS5JUV9UT1RBTF9ESVZfUEFJRF9DRi45OTkuMDcvMDMvMjAyNi4uLlVTRC5IAQAAAN62AQACAAAABS02MTQ3AQgAAAAFAAAAATEBAAAACy0xOTA0ODYwNzQzAwAAAAMxNjACAAAABDIwMjIEAAAAATAHAAAACDMvNy8yMDI2CAAAAAoxMi8zMS8yMDI0CQAAAAEwmuDMJP+B3gi1IT0o/4HeCDVDSVEuTllTRTpJQk0uSVFfVU5MRVZFUkVEX0ZDRi4xMDAwLjA3LzAzLzIwMjYuLi5VU0QuSAEAAADetgEAAgAAAAUxNDM2NgEIAAAABQAAAAExAQAAAAstMTkwNDg2MDc0MAMAAAADMTYwAgAAAAQ0NDIzBAAAAAEwBwAAAAgzLzcvMjAyNggAAAAKMTIvMzEvMjAyNQkAAAABMJrgzCT/gd4ItSE9KP+B3gg8Q0lRLk5Z</t>
  </si>
  <si>
    <t>U0U6SUJNLklRX0NIQU5HRV9ERUZfVEFYX1RPVEFMLjEwMDAuMDcvMDMvMjAyNi4uLlVTRC5IAQAAAN62AQACAAAABC05NTcBCAAAAAUAAAABMQEAAAALLTE5MDQ4NjA3NDADAAAAAzE2MAIAAAAFMzA5MjQEAAAAATAHAAAACDMvNy8yMDI2CAAAAAoxMi8zMS8yMDI1CQAAAAEwmuDMJP+B3gjUSD0o/4HeCDhDSVEuTllTRTpJQk0uSVFfQ0FTSF9UQVhFU19JTlZFU1QuOTk1LjA3LzAzLzIwMjYuLi5VU0QuSAEAAADetgEAAwAAAAAAmuDMJP+B3gi1yTwo/4HeCDpDSVEuTllTRTpJQk0uSVFfQ0FTSF9JTlRFUkVTVF9GSU5BTi45OTUuMDcvMDMvMjAyNi4uLlVTRC5IAQAAAN62AQADAAAAAACa4Mwk/4HeCHDdPCj/gd4INENJUS5OWVNFOklCTS5JUV9DQVNIX0lOVEVSRVNULjk5Ny4wNy8wMy8yMDI2Li4uVVNELkgBAAAA3rYBAAIAAAAEMTQwMQEIAAAABQAAAAExAQAAAAstMTk1ODI4MTA5NgMAAAADMTYwAgAAAAQzMDI4BAAAAAEwBwAAAAgzLzcvMjAyNggAAAAKMTIvMzEvMjAyMgkAAAABMJrgzCT/gd4Imfk8KP+B3gg9Q0lRLk5ZU0U6SUJNLklRX0ZJTl9ESVZfTE9BTlNfQ1VSUkVOVC4xMDAwLjA3LzAzLzIwMjYuLi5VU0QuSAEAAADetgEAAgAAAAQ3MzQ0AQgAAAAFAAAAATEBAAAACy0xOTA0ODYwNzQwAwAAAAMxNjACAAAABDEwMzIEAAAAATAHAAAACDMvNy8yMDI2CAAAAAoxMi8zMS8yMDI1CQAAAAEw</t>
  </si>
  <si>
    <t>muDMJP+B3giZ+Two/4HeCDVDSVEuTllTRTpJQk0uSVFfU1RfTk9URV9SRUNFSVYuOTkzLjA3LzAzLzIwMjYuLi5VU0QuSAEAAADetgEAAwAAAAAAmuDMJP+B3giZ+Two/4HeCEhDSVEuTllTRTpJQk0uSVFfTE9OR19URVJNX0RFQlRfUkVQQUlEX0VYQ0xfTEVBU0VTLjk5NC4wNy8wMy8yMDI2Li4uVVNELkgBAAAA3rYBAAIAAAAGLTEyOTQ0AQgAAAAFAAAAATEBAAAACy0yMTEwNzY5MzU1AwAAAAMxNjACAAAABTQ4OTg0BAAAAAEwBwAAAAgzLzcvMjAyNggAAAAKMTIvMzEvMjAxOQkAAAABMJrgzCT/gd4In5k8KP+B3gg/Q0lRLk5ZU0U6SUJNLklRX09QRVJBVElOR19MRUFTRV9QQVlNRU5UUy45OTIuMDcvMDMvMjAyNi4uLlVTRC5IAQAAAN62AQADAAAAAACa4Mwk/4HeCJ+ZPCj/gd4IMkNJUS5OWVNFOklCTS5JUV9NQUlOVF9DQVBFWC45OTMuMDcvMDMvMjAyNi4uLlVTRC5IAQAAAN62AQADAAAAAACa4Mwk/4HeCJ+ZPCj/gd4ILkNJUS5OWVNFOklCTS5JUV9TVF9ERUJULjk5OC4wNy8wMy8yMDI2Li4uVVNELkgBAAAA3rYBAAIAAAABMQEIAAAABQAAAAExAQAAAAstMTkwNDg2MDc0NAMAAAADMTYwAgAAAAQxMDQ2BAAAAAEwBwAAAAgzLzcvMjAyNggAAAAKMTIvMzEvMjAyMwkAAAABMJrgzCT/gd4Itck8KP+B3gg2Q0lRLk5ZU0U6SUJNLklRX0ZJTl9ESVZfTElBQl9MVC45OTMuMDcvMDMvMjAyNi4uLlVT</t>
  </si>
  <si>
    <t>RC5IAQAAAN62AQADAAAAAACa4Mwk/4HeCLXJPCj/gd4INkNJUS5OWVNFOklCTS5JUV9MT0FOU19SRUNFSVZfTFQuOTk3LjA3LzAzLzIwMjYuLi5VU0QuSAEAAADetgEAAwAAAAAAmuDMJP+B3gjIhTwo/4HeCCtDSVEuTllTRTpJQk0uSVFfTlBQRS45OTkuMDcvMDMvMjAyNi4uLlVTRC5IAQAAAN62AQACAAAABDg5MjkBCAAAAAUAAAABMQEAAAALLTE5MDQ4NjA3NDMDAAAAAzE2MAIAAAAEMTAwNAQAAAABMAcAAAAIMy83LzIwMjYIAAAACjEyLzMxLzIwMjQJAAAAATCa4Mwk/4HeCJ+ZPCj/gd4INkNJUS5OWVNFOklCTS5JUV9SRVNUUklDVEVEX0NBU0guOTk5LjA3LzAzLzIwMjYuLi5VU0QuSAEAAADetgEAAgAAAAMyMTQBCAAAAAUAAAABMQEAAAALLTE5MDQ4NjA3NDMDAAAAAzE2MAIAAAAEMTEwNAQAAAABMAcAAAAIMy83LzIwMjYIAAAACjEyLzMxLzIwMjQJAAAAATCa4Mwk/4HeCJ+ZPCj/gd4INkNJUS5OWVNFOklCTS5JUV9ERUZfVEFYX0xJQUJfTFQuOTkyLjA3LzAzLzIwMjYuLi5VU0QuSAEAAADetgEAAgAAAAM1NDUBCAAAAAUAAAABMQEAAAAKMjAxNzE2NDI0NAMAAAADMTYwAgAAAAQxMDI3BAAAAAEwBwAAAAgzLzcvMjAyNggAAAAKMTIvMzEvMjAxNwkAAAABMJrgzCT/gd4In5k8KP+B3gg2Q0lRLk5ZU0U6SUJNLklRX0ZJTl9ESVZfREVCVF9MVC45OTYuMDcvMDMvMjAyNi4uLlVTRC5IAQAAAN62</t>
  </si>
  <si>
    <t>AQADAAAAAACa4Mwk/4HeCJ+ZPCj/gd4ILkNJUS5OWVNFOklCTS5JUV9MVF9ERUJULjk5My4wNy8wMy8yMDI2Li4uVVNELkgBAAAA3rYBAAIAAAAFMzU1NjcBCAAAAAUAAAABMQEAAAAKMjA4MTUwNTQwMQMAAAADMTYwAgAAAAQxMDQ5BAAAAAEwBwAAAAgzLzcvMjAyNggAAAAKMTIvMzEvMjAxOAkAAAABMJrgzCT/gd4IRl48KP+B3gg5Q0lRLk5ZU0U6SUJNLklRX1VORUFSTl9SRVZfQ1VSUkVOVC45OTcuMDcvMDMvMjAyNi4uLlVTRC5IAQAAAN62AQACAAAABTEyMDMyAQgAAAAFAAAAATEBAAAACy0xOTU4MjgxMDk2AwAAAAMxNjACAAAABDEwNzQEAAAAATAHAAAACDMvNy8yMDI2CAAAAAoxMi8zMS8yMDIyCQAAAAEwmuDMJP+B3ghGXjwo/4HeCDtDSVEuTllTRTpJQk0uSVFfRklOX0RJVl9MSUFCX0NVUlJFTlQuOTk0LjA3LzAzLzIwMjYuLi5VU0QuSAEAAADetgEAAwAAAAAAmuDMJP+B3ghGXjwo/4HeCC9DSVEuTllTRTpJQk0uSVFfVFJFQVNVUlkuOTk4LjA3LzAzLzIwMjYuLi5VU0QuSAEAAADetgEAAgAAAActMTY5NjI0AQgAAAAFAAAAATEBAAAACy0xOTA0ODYwNzQ0AwAAAAMxNjACAAAABDEyNDgEAAAAATAHAAAACDMvNy8yMDI2CAAAAAoxMi8zMS8yMDIzCQAAAAEwmuDMJP+B3gjIhTwo/4HeCCtDSVEuTllTRTpJQk0uSVFfQVBJQy45OTYuMDcvMDMvMjAyNi4uLlVTRC5IAQAAAN62AQADAAAAAACa</t>
  </si>
  <si>
    <t>4Mwk/4HeCMiFPCj/gd4ILUNJUS5OWVNFOklCTS5JUV9DT01NT04uOTkyLjA3LzAzLzIwMjYuLi5VU0QuSAEAAADetgEAAgAAAAU1NDU2NgEIAAAABQAAAAExAQAAAAoyMDE3MTY0MjQ0AwAAAAMxNjACAAAABDExMDMEAAAAATAHAAAACDMvNy8yMDI2CAAAAAoxMi8zMS8yMDE3CQAAAAEwmuDMJP+B3ggXNDwo/4HeCDNDSVEuTllTRTpJQk0uSVFfUFJFRl9SRURFRU0uMTAwMC4wNy8wMy8yMDI2Li4uVVNELkgBAAAA3rYBAAMAAAAAAJrgzCT/gd4IFzQ8KP+B3gg0Q0lRLk5ZU0U6SUJNLklRX09USEVSX0xJQUJfTFQuOTk3LjA3LzAzLzIwMjYuLi5VU0QuSAEAAADetgEAAgAAAAQ5OTUxAQgAAAAFAAAAATEBAAAACy0xOTU4MjgxMDk2AwAAAAMxNjACAAAABDEwNjIEAAAAATAHAAAACDMvNy8yMDI2CAAAAAoxMi8zMS8yMDIyCQAAAAEwmuDMJP+B3gjdRzwo/4HeCDxDSVEuTllTRTpJQk0uSVFfUlVBX0NBUElUQUxfTEVBU0VfTkVULjk5Ny4wNy8wMy8yMDI2Li4uVVNELkgBAAAA3rYBAAMAAAAAAJrgzCT/gd4I3Uc8KP+B3gg+Q0lRLk5ZU0U6SUJNLklRX1JVQV9DQVBJVEFMX0xFQVNFX0dST1NTLjk5OC4wNy8wMy8yMDI2Li4uVVNELkgBAAAA3rYBAAMAAAAAAJrgzCT/gd4I3Uc8KP+B3ggxQ0lRLk5ZU0U6SUJNLklRX1JVQV9HUk9TUy4xMDAwLjA3LzAzLzIwMjYuLi5VU0QuSAEAAADetgEAAwAAAAAAmuDM</t>
  </si>
  <si>
    <t>JP+B3gha+Tso/4HeCDNDSVEuTllTRTpJQk0uSVFfVE9UQUxfRVFVSVRZLjk5OS4wNy8wMy8yMDI2Li4uVVNELkgBAAAA3rYBAAIAAAAFMjczOTMBCAAAAAUAAAABMQEAAAALLTE5MDQ4NjA3NDMDAAAAAzE2MAIAAAAEMTI3NQQAAAABMAcAAAAIMy83LzIwMjYIAAAACjEyLzMxLzIwMjQJAAAAATCa4Mwk/4HeCFkgPCj/gd4IOkNJUS5OWVNFOklCTS5JUV9UT1RBTF9DT01NT05fRVFVSVRZLjk5OC4wNy8wMy8yMDI2Li4uVVNELkgBAAAA3rYBAAIAAAAFMjI1MzMBCAAAAAUAAAABMQEAAAALLTE5MDQ4NjA3NDQDAAAAAzE2MAIAAAAEMTAwNgQAAAABMAcAAAAIMy83LzIwMjYIAAAACjEyLzMxLzIwMjMJAAAAATCa4Mwk/4HeCFkgPCj/gd4IPUNJUS5OWVNFOklCTS5JUV9UT1RBTF9ERUJUX05PTl9DVVJSRU5ULjk5Ny4wNy8wMy8yMDI2Li4uVVNELkgBAAAA3rYBAAIAAAAFNDgzNzkBCAAAAAUAAAABMQEAAAALLTE5NTgyODEwOTYDAAAAAzE2MAIAAAAFMjUyMjQEAAAAATAHAAAACDMvNy8yMDI2CAAAAAoxMi8zMS8yMDIyCQAAAAEwmuDMJP+B3ghZIDwo/4HeCEJDSVEuTllTRTpJQk0uSVFfVE9UQUxfREVCVF9FWENMX09QRVJfTEVBU0VTLjk5Mi4wNy8wMy8yMDI2Li4uVVNELkgBAAAA3rYBAAIAAAAFNDY4NTgBCAAAAAUAAAABMQEAAAAKMjAxNzE2NDI0NAMAAAADMTYwAgAAAAU0ODk4MgQAAAABMAcAAAAI</t>
  </si>
  <si>
    <t>My83LzIwMjYIAAAACjEyLzMxLzIwMTcJAAAAATCa4Mwk/4HeCBc0PCj/gd4IPUNJUS5OWVNFOklCTS5JUV9GSU5BTkNFX0xFQVNFU19DVVJSRU5ULjk5Ni4wNy8wMy8yMDI2Li4uVVNELkgBAAAA3rYBAAIAAAACMzYBCAAAAAUAAAABMQEAAAALLTIwMDg2NDcxOTgDAAAAAzE2MAIAAAAFNDg5OTAEAAAAATAHAAAACDMvNy8yMDI2CAAAAAoxMi8zMS8yMDIxCQAAAAEwmuDMJP+B3gg50jso/4HeCDpDSVEuTllTRTpJQk0uSVFfQURfRVhDTF9PUEVSX0xFQVNFUy45OTIuMDcvMDMvMjAyNi4uLlVTRC5IAQAAAN62AQACAAAABi0yMTIxNQEIAAAABQAAAAExAQAAAAoyMDE3MTY0MjQ0AwAAAAMxNjACAAAABTQ4OTc1BAAAAAEwBwAAAAgzLzcvMjAyNggAAAAKMTIvMzEvMjAxNwkAAAABMJrgzCT/gd4IOdI7KP+B3ghEQ0lRLk5ZU0U6SUJNLklRX1JVQV9PUEVSQVRJTkdfTEVBU0VfQUNDVU1fREVQLjk5Ni4wNy8wMy8yMDI2Li4uVVNELkgBAAAA3rYBAAMAAAAAAJrgzCT/gd4IWvk7KP+B3ggzQ0lRLk5ZU0U6SUJNLklRX0FNT1JUX0RJQ19DRi45OTYuMDcvMDMvMjAyNi4uLlVTRC5IAQAAAN62AQADAAAAAACa4Mwk/4HeCFr5Oyj/gd4IQ0NJUS5OWVNFOklCTS5JUV9EQV9TVVBQTF9DRl9FWENMX09QRVJfTEVBU0VTLjk5Ni4wNy8wMy8yMDI2Li4uVVNELkgBAAAA3rYBAAIAAAAEMzg4OAEIAAAABQAAAAExAQAA</t>
  </si>
  <si>
    <t>AAstMjAwODY0NzE5OAMAAAADMTYwAgAAAAU0ODk4MwQAAAABMAcAAAAIMy83LzIwMjYIAAAACjEyLzMxLzIwMjEJAAAAATCa4Mwk/4HeCFr5Oyj/gd4IPkNJUS5OWVNFOklCTS5JUV9NSU5PUklUWV9JTlRfUkVERUVNX1RPVC45OTYuMDcvMDMvMjAyNi4uLlVTRC5IAQAAAN62AQADAAAAAACa4Mwk/4HeCB6rOyj/gd4IK0NJUS5OWVNFOklCTS5JUV9MQU5ELjk5OS4wNy8wMy8yMDI2Li4uVVNELkgBAAAA3rYBAAIAAAADMTc5AQgAAAAFAAAAATEBAAAACy0xOTA0ODYwNzQzAwAAAAMxNjACAAAABDMwOTgEAAAAATAHAAAACDMvNy8yMDI2CAAAAAoxMi8zMS8yMDI0CQAAAAEwmuDMJP+B3ggeqzso/4HeCCxDSVEuTllTRTpJQk0uSVFfTElGT1IuOTk2LjA3LzAzLzIwMjYuLi5VU0QuSAEAAADetgEAAwAAAAAAmuDMJP+B3ggeqzso/4HeCDFDSVEuTllTRTpJQk0uSVFfQ0FTSF9UQVhFUy45OTguMDcvMDMvMjAyNi4uLlVTRC5IAQAAAN62AQACAAAABDE1NjQBCAAAAAUAAAABMQEAAAALLTE5MDQ4NjA3NDQDAAAAAzE2MAIAAAAEMzA1MwQAAAABMAcAAAAIMy83LzIwMjYIAAAACjEyLzMxLzIwMjMJAAAAATCa4Mwk/4HeCB6rOyj/gd4IOkNJUS5OWVNFOklCTS5JUV9DQVNIX0lOVEVSRVNUX0ZJTkFOLjk5Mi4wNy8wMy8yMDI2Li4uVVNELkgBAAAA3rYBAAMAAAAAAJrgzCT/gd4IOdI7KP+B3gg5Q0lRLk5ZU0U6</t>
  </si>
  <si>
    <t>SUJNLklRX0NBU0hfSU5URVJFU1RfT1BFUi45OTguMDcvMDMvMjAyNi4uLlVTRC5IAQAAAN62AQADAAAAAACa4Mwk/4HeCBWEOyj/gd4IOENJUS5OWVNFOklCTS5JUV9DQVNIX0lOVEVSRVNUX05FVC45OTQuMDcvMDMvMjAyNi4uLlVTRC5IAQAAAN62AQADAAAAAACa4Mwk/4HeCBWEOyj/gd4IQ0NJUS5OWVNFOklCTS5JUV9TQUxFX1BST0NFRURTX1JFTlRBTF9BU1NFVFMuMTAwMC4wNy8wMy8yMDI2Li4uVVNELkgBAAAA3rYBAAMAAAAAAJrgzCT/gd4IHqs7KP+B3gg0Q0lRLk5ZU0U6SUJNLklRX0RPX0ZJTkFOQ0VfQ0YuOTkyLjA3LzAzLzIwMjYuLi5VU0QuSAEAAADetgEAAwAAAAAAmuDMJP+B3ggeqzso/4HeCDdDSVEuTllTRTpJQk0uSVFfTkVUX0RFQlRfSVNTVUVELjEwMDAuMDcvMDMvMjAyNi4uLlVTRC5IAQAAAN62AQACAAAABDI4NzMBCAAAAAUAAAABMQEAAAALLTE5MDQ4NjA3NDADAAAAAzE2MAIAAAAEMjAwMwQAAAABMAcAAAAIMy83LzIwMjYIAAAACjEyLzMxLzIwMjUJAAAAATCa4Mwk/4HeCB6rOyj/gd4IL0NJUS5OWVNFOklCTS5JUV9DRl9TSEFSRS45OTQuMDcvMDMvMjAyNi4uLlVTRC5IAQAAAN62AQACAAAACTEzLjM3MDc1MQEIAAAABQAAAAExAQAAAAstMjExMDc2OTM1NQMAAAADMTYwAgAAAAU0MzkyMwQAAAABMAcAAAAIMy83LzIwMjYIAAAACjEyLzMxLzIwMTkJAAAAATCa4Mwk/4He</t>
  </si>
  <si>
    <t>CA5dOyj/gd4IM0NJUS5OWVNFOklCTS5JUV9MRVZFUkVEX0ZDRi4xMDAwLjA3LzAzLzIwMjYuLi5VU0QuSAEAAADetgEAAgAAAAkxMzE1Ni42MjUBCAAAAAUAAAABMQEAAAALLTE5MDQ4NjA3NDADAAAAAzE2MAIAAAAENDQyMgQAAAABMAcAAAAIMy83LzIwMjYIAAAACjEyLzMxLzIwMjUJAAAAATCa4Mwk/4HeCBWEOyj/gd4IO0NJUS5OWVNFOklCTS5JUV9DSEFOR0VfREVGX1RBWF9UT1RBTC45OTYuMDcvMDMvMjAyNi4uLlVTRC5IAQAAAN62AQACAAAABS0yMDAxAQgAAAAFAAAAATEBAAAACy0yMDA4NjQ3MTk4AwAAAAMxNjACAAAABTMwOTI0BAAAAAEwBwAAAAgzLzcvMjAyNggAAAAKMTIvMzEvMjAyMQkAAAABMJrgzCT/gd4IFYQ7KP+B3ggzQ0lRLk5ZU0U6SUJNLklRX09USEVSX1JFQ0VJVi45OTIuMDcvMDMvMjAyNi4uLlVTRC5IAQAAAN62AQACAAAAAzk4MQEIAAAABQAAAAExAQAAAAoyMDE3MTY0MjQ0AwAAAAMxNjACAAAABDEyMDYEAAAAATAHAAAACDMvNy8yMDI2CAAAAAoxMi8zMS8yMDE3CQAAAAEwmuDMJP+B3ggVhDso/4HeCDVDSVEuTllTRTpJQk0uSVFfQ0FTSF9TVF9JTlZFU1QuOTk4LjA3LzAzLzIwMjYuLi5VU0QuSAEAAADetgEAAgAAAAUxMzQ0MQEIAAAABQAAAAExAQAAAAstMTkwNDg2MDc0NAMAAAADMTYwAgAAAAQxMDAyBAAAAAEwBwAAAAgzLzcvMjAyNggAAAAKMTIvMzEvMjAyMwkA</t>
  </si>
  <si>
    <t>AAABMJrgzCT/gd4IFYQ7KP+B3gg1Q0lRLk5ZU0U6SUJNLklRX1RSQURJTkdfQVNTRVRTLjk5Mi4wNy8wMy8yMDI2Li4uVVNELkgBAAAA3rYBAAIAAAABMgEIAAAABQAAAAExAQAAAAoyMDE3MTY0MjQ0AwAAAAMxNjACAAAABDEyNDQEAAAAATAHAAAACDMvNy8yMDI2CAAAAAoxMi8zMS8yMDE3CQAAAAEwmuDMJP+B3ggFNjso/4HeCERDSVEuTllTRTpJQk0uSVFfVE9UQUxfREVCVF9SRVBBSURfRVhDTF9MRUFTRVMuOTk2LjA3LzAzLzIwMjYuLi5VU0QuSAEAAADetgEAAgAAAAUtODYzNwEIAAAABQAAAAExAQAAAAstMjAwODY0NzE5OAMAAAADMTYwAgAAAAU0ODk4NgQAAAABMAcAAAAIMy83LzIwMjYIAAAACjEyLzMxLzIwMjEJAAAAATCa4Mwk/4HeCAU2Oyj/gd4IP0NJUS5OWVNFOklCTS5JUV9PUEVSQVRJTkdfTEVBU0VfUEFZTUVOVFMuOTk4LjA3LzAzLzIwMjYuLi5VU0QuSAEAAADetgEAAwAAAAAAmuDMJP+B3ggFNjso/4HeCC9DSVEuTllTRTpJQk0uSVFfVE9UQUxfQ0EuOTk4LjA3LzAzLzIwMjYuLi5VU0QuSAEAAADetgEAAgAAAAUzMjkwOAEIAAAABQAAAAExAQAAAAstMTkwNDg2MDc0NAMAAAADMTYwAgAAAAQxMDA4BAAAAAEwBwAAAAgzLzcvMjAyNggAAAAKMTIvMzEvMjAyMwkAAAABMJrgzCT/gd4IDl07KP+B3gg2Q0lRLk5ZU0U6SUJNLklRX1JFU1RSSUNURURfQ0FTSC45OTQuMDcvMDMvMjAy</t>
  </si>
  <si>
    <t>Ni4uLlVTRC5IAQAAAN62AQACAAAAAzE0MQEIAAAABQAAAAExAQAAAAstMjExMDc2OTM1NQMAAAADMTYwAgAAAAQxMTA0BAAAAAEwBwAAAAgzLzcvMjAyNggAAAAKMTIvMzEvMjAxOQkAAAABMJrgzCT/gd4IDl07KP+B3gg2Q0lRLk5ZU0U6SUJNLklRX0xPQU5TX0ZPUl9TQUxFLjEwMDAuMDcvMDMvMjAyNi4uLlVTRC5IAQAAAN62AQADAAAAAACa4Mwk/4HeCN3nOij/gd4IPUNJUS5OWVNFOklCTS5JUV9GSU5fRElWX0FTU0VUU19DVVJSRU5ULjk5NC4wNy8wMy8yMDI2Li4uVVNELkgBAAAA3rYBAAMAAAAAAJrgzCT/gd4I3ec6KP+B3ggzQ0lRLk5ZU0U6SUJNLklRX1RPVEFMX1JFQ0VJVi45OTYuMDcvMDMvMjAyNi4uLlVTRC5IAQAAAN62AQACAAAABDgyMjUBCAAAAAUAAAABMQEAAAALLTIwMDg2NDcxOTgDAAAAAzE2MAIAAAAEMTAwMQQAAAABMAcAAAAIMy83LzIwMjYIAAAACjEyLzMxLzIwMjEJAAAAATCa4Mwk/4HeCPQOOyj/gd4IOENJUS5OWVNFOklCTS5JUV9ERUZfVEFYX0FTU0VUU19MVC45OTguMDcvMDMvMjAyNi4uLlVTRC5IAQAAAN62AQACAAAABDY2NTYBCAAAAAUAAAABMQEAAAALLTE5MDQ4NjA3NDQDAAAAAzE2MAIAAAAEMTAyNgQAAAABMAcAAAAIMy83LzIwMjYIAAAACjEyLzMxLzIwMjMJAAAAATCa4Mwk/4HeCPQOOyj/gd4INkNJUS5OWVNFOklCTS5JUV9MT0FOU19SRUNFSVZfTFQuOTk0</t>
  </si>
  <si>
    <t>LjA3LzAzLzIwMjYuLi5VU0QuSAEAAADetgEAAwAAAAAAmuDMJP+B3gj0Djso/4HeCCpDSVEuTllTRTpJQk0uSVFfR1cuMTAwMC4wNy8wMy8yMDI2Li4uVVNELkgBAAAA3rYBAAIAAAAFNjc3MTcBCAAAAAUAAAABMQEAAAALLTE5MDQ4NjA3NDADAAAAAzE2MAIAAAAEMTE3MQQAAAABMAcAAAAIMy83LzIwMjYIAAAACjEyLzMxLzIwMjUJAAAAATCa4Mwk/4HeCN3nOij/gd4IMENJUS5OWVNFOklCTS5JUV9MVF9JTlZFU1QuOTk1LjA3LzAzLzIwMjYuLi5VU0QuSAEAAADetgEAAgAAAAMyMTYBCAAAAAUAAAABMQEAAAALLTIwNTkwNzMyMDIDAAAAAzE2MAIAAAAEMTA1NAQAAAABMAcAAAAIMy83LzIwMjYIAAAACjEyLzMxLzIwMjAJAAAAATCa4Mwk/4HeCN3nOij/gd4IKUNJUS5OWVNFOklCTS5JUV9BRC45OTIuMDcvMDMvMjAyNi4uLlVTRC5IAQAAAN62AQACAAAABi0yMTIxNQEIAAAABQAAAAExAQAAAAoyMDE3MTY0MjQ0AwAAAAMxNjACAAAABDEwNzUEAAAAATAHAAAACDMvNy8yMDI2CAAAAAoxMi8zMS8yMDE3CQAAAAEwmuDMJP+B3gjd5zoo/4HeCDlDSVEuTllTRTpJQk0uSVFfVU5FQVJOX1JFVl9DVVJSRU5ULjk5Ni4wNy8wMy8yMDI2Li4uVVNELkgBAAAA3rYBAAIAAAAFMTI1MTgBCAAAAAUAAAABMQEAAAALLTIwMDg2NDcxOTgDAAAAAzE2MAIAAAAEMTA3NAQAAAABMAcAAAAIMy83LzIwMjYIAAAACjEy</t>
  </si>
  <si>
    <t>LzMxLzIwMjEJAAAAATCa4Mwk/4HeCN3nOij/gd4IO0NJUS5OWVNFOklCTS5JUV9GSU5fRElWX0xJQUJfQ1VSUkVOVC45OTMuMDcvMDMvMjAyNi4uLlVTRC5IAQAAAN62AQADAAAAAACa4Mwk/4HeCN3nOij/gd4IO0NJUS5OWVNFOklCTS5JUV9DVVJSRU5UX1BPUlRfTEVBU0VTLjEwMDAuMDcvMDMvMjAyNi4uLlVTRC5IAQAAAN62AQACAAAABDEwNzkBCAAAAAUAAAABMQEAAAALLTE5MDQ4NjA3NDADAAAAAzE2MAIAAAAEMTA5MAQAAAABMAcAAAAIMy83LzIwMjYIAAAACjEyLzMxLzIwMjUJAAAAATCa4Mwk/4HeCIDAOij/gd4ILkNJUS5OWVNFOklCTS5JUV9TVF9ERUJULjk5Ny4wNy8wMy8yMDI2Li4uVVNELkgBAAAA3rYBAAMAAAAAAJrgzCT/gd4IgMA6KP+B3ggpQ0lRLk5ZU0U6SUJNLklRX0FFLjk5Mi4wNy8wMy8yMDI2Li4uVVNELkgBAAAA3rYBAAIAAAAENzQ3NAEIAAAABQAAAAExAQAAAAoyMDE3MTY0MjQ0AwAAAAMxNjACAAAABDEwMTYEAAAAATAHAAAACDMvNy8yMDI2CAAAAAoxMi8zMS8yMDE3CQAAAAEwmuDMJP+B3giAwDoo/4HeCDFDSVEuTllTRTpJQk0uSVFfVE9UQUxfTElBQi45OTQuMDcvMDMvMjAyNi4uLlVTRC5IAQAAAN62AQACAAAABjEzMTIwMQEIAAAABQAAAAExAQAAAAstMjExMDc2OTM1NQMAAAADMTYwAgAAAAQxMjc2BAAAAAEwBwAAAAgzLzcvMjAyNggAAAAKMTIvMzEvMjAxOQkA</t>
  </si>
  <si>
    <t>AAABMJrgzCT/gd4IgMA6KP+B3gg3Q0lRLk5ZU0U6SUJNLklRX0ZJTl9ESVZfTElBQl9MVC4xMDAwLjA3LzAzLzIwMjYuLi5VU0QuSAEAAADetgEAAwAAAAAAmuDMJP+B3giAwDoo/4HeCDZDSVEuTllTRTpJQk0uSVFfRklOX0RJVl9ERUJUX0xULjk5NS4wNy8wMy8yMDI2Li4uVVNELkgBAAAA3rYBAAMAAAAAAJrgzCT/gd4IDoc6KP+B3gguQ0lRLk5ZU0U6SUJNLklRX0xUX0RFQlQuOTkyLjA3LzAzLzIwMjYuLi5VU0QuSAEAAADetgEAAgAAAAUzOTg3MQEIAAAABQAAAAExAQAAAAoyMDE3MTY0MjQ0AwAAAAMxNjACAAAABDEwNDkEAAAAATAHAAAACDMvNy8yMDI2CAAAAAoxMi8zMS8yMDE3CQAAAAEwmuDMJP+B3ggOhzoo/4HeCDVDSVEuTllTRTpJQk0uSVFfT1RIRVJfQ0xfU1VQUEwuOTk5LjA3LzAzLzIwMjYuLi5VU0QuSAEAAADetgEAAgAAAAMyNjEBCAAAAAUAAAABMQEAAAALLTE5MDQ4NjA3NDMDAAAAAzE2MAIAAAAEMTA1NwQAAAABMAcAAAAIMy83LzIwMjYIAAAACjEyLzMxLzIwMjQJAAAAATCa4Mwk/4HeCA6HOij/gd4IOENJUS5OWVNFOklCTS5JUV9UT1RBTF9MSUFCX0VRVUlUWS45OTYuMDcvMDMvMjAyNi4uLlVTRC5IAQAAAN62AQACAAAABjEzMjAwMQEIAAAABQAAAAExAQAAAAstMjAwODY0NzE5OAMAAAADMTYwAgAAAAQxMDEzBAAAAAEwBwAAAAgzLzcvMjAyNggAAAAKMTIvMzEvMjAyMQkA</t>
  </si>
  <si>
    <t>AAABMJrgzCT/gd4IDoc6KP+B3gg4Q0lRLk5ZU0U6SUJNLklRX01JTk9SSVRZX0lOVEVSRVNULjk5NS4wNy8wMy8yMDI2Li4uVVNELkgBAAAA3rYBAAIAAAADMTI5AQgAAAAFAAAAATEBAAAACy0yMDU5MDczMjAyAwAAAAMxNjACAAAABDEwNTIEAAAAATAHAAAACDMvNy8yMDI2CAAAAAoxMi8zMS8yMDIwCQAAAAEwmuDMJP+B3ggOhzoo/4HeCDNDSVEuTllTRTpJQk0uSVFfT1RIRVJfRVFVSVRZLjk5NC4wNy8wMy8yMDI2Li4uVVNELkgBAAAA3rYBAAIAAAAGLTI4NTk1AQgAAAAFAAAAATEBAAAACy0yMTEwNzY5MzU1AwAAAAMxNjACAAAABDEwMjgEAAAAATAHAAAACDMvNy8yMDI2CAAAAAoxMi8zMS8yMDE5CQAAAAEwmuDMJP+B3gj+Xzoo/4HeCClDSVEuTllTRTpJQk0uSVFfUkUuOTkzLjA3LzAzLzIwMjYuLi5VU0QuSAEAAADetgEAAgAAAAYxNTkyMDYBCAAAAAUAAAABMQEAAAAKMjA4MTUwNTQwMQMAAAADMTYwAgAAAAQxMjIyBAAAAAEwBwAAAAgzLzcvMjAyNggAAAAKMTIvMzEvMjAxOAkAAAABMJrgzCT/gd4I/l86KP+B3ggyQ0lRLk5ZU0U6SUJNLklRX1BSRUZfUkVERUVNLjk5OS4wNy8wMy8yMDI2Li4uVVNELkgBAAAA3rYBAAMAAAAAAJrgzCT/gd4IDoc6KP+B3gg/Q0lRLk5ZU0U6SUJNLklRX0ZJTkFOQ0VfTEVBU0VTX0xPTkdfVEVSTS45OTMuMDcvMDMvMjAyNi4uLlVTRC5IAQAAAN62AQACAAAA</t>
  </si>
  <si>
    <t>AjM4AQgAAAAFAAAAATEBAAAACjIwODE1MDU0MDEDAAAAAzE2MAIAAAAFNDg5OTEEAAAAATAHAAAACDMvNy8yMDI2CAAAAAoxMi8zMS8yMDE4CQAAAAEwmuDMJP+B3ggOhzoo/4HeCD5DSVEuTllTRTpJQk0uSVFfUlVBX09QRVJBVElOR19MRUFTRV9ORVQuOTkzLjA3LzAzLzIwMjYuLi5VU0QuSAEAAADetgEAAwAAAAAAmuDMJP+B3ggOhzoo/4HeCDxDSVEuTllTRTpJQk0uSVFfUlVBX0NBUElUQUxfTEVBU0VfTkVULjk5Ni4wNy8wMy8yMDI2Li4uVVNELkgBAAAA3rYBAAMAAAAAAJrgzCT/gd4IWTE6KP+B3gg+Q0lRLk5ZU0U6SUJNLklRX1JVQV9DQVBJVEFMX0xFQVNFX0dST1NTLjk5Ni4wNy8wMy8yMDI2Li4uVVNELkgBAAAA3rYBAAMAAAAAAJrgzCT/gd4I/l86KP+B3gg0Q0lRLk5ZU0U6SUJNLklRX1JVQV9BQ0NVTV9ERVAuOTk3LjA3LzAzLzIwMjYuLi5VU0QuSAEAAADetgEAAwAAAAAAmuDMJP+B3gj+Xzoo/4HeCC9DSVEuTllTRTpJQk0uSVFfTkVUX0RFQlQuOTk0LjA3LzAzLzIwMjYuLi5VU0QuSAEAAADetgEAAgAAAAU1OTI5MAEIAAAABQAAAAExAQAAAAstMjExMDc2OTM1NQMAAAADMTYwAgAAAAQ0MzY0BAAAAAEwBwAAAAgzLzcvMjAyNggAAAAKMTIvMzEvMjAxOQkAAAABMJrgzCT/gd4I/l86KP+B3ggwQ0lRLk5ZU0U6SUJNLklRX0dXX0lOVEFOLjEwMDAuMDcvMDMvMjAyNi4uLlVTRC5IAQAA</t>
  </si>
  <si>
    <t>AN62AQACAAAABTc5MTA4AQgAAAAFAAAAATEBAAAACy0xOTA0ODYwNzQwAwAAAAMxNjACAAAABTM1MzgxBAAAAAEwBwAAAAgzLzcvMjAyNggAAAAKMTIvMzEvMjAyNQkAAAABMJrgzCT/gd4I/l86KP+B3ggxQ0lRLk5ZU0U6SUJNLklRX1RCVl9TSEFSRS4xMDAwLjA3LzAzLzIwMjYuLi5VU0QuSAEAAADetgEAAgAAAAotNDkuNTg2MzExAQgAAAAFAAAAATEBAAAACy0xOTA0ODYwNzQwAwAAAAMxNjACAAAABDQxNTYEAAAAATAHAAAACDMvNy8yMDI2CAAAAAoxMi8zMS8yMDI1CQAAAAEwmuDMJP+B3ghZMToo/4HeCDNDSVEuTllTRTpJQk0uSVFfVE9UQUxfTEVBU0VTLjk5OC4wNy8wMy8yMDI2Li4uVVNELkgBAAAA3rYBAAIAAAAEMzg4OAEIAAAABQAAAAExAQAAAAstMTkwNDg2MDc0NAMAAAADMTYwAgAAAAU0ODk3OQQAAAABMAcAAAAIMy83LzIwMjYIAAAACjEyLzMxLzIwMjMJAAAAATCa4Mwk/4HeCFkxOij/gd4ITUNJUS5OWVNFOklCTS5JUV9DVVJSRU5UX1BPUlRJT05fT1BFUl9MRUFTRV9MSUFCSUxJVElFUy45OTguMDcvMDMvMjAyNi4uLlVTRC5IAQAAAN62AQACAAAAAzgyMAEIAAAABQAAAAExAQAAAAstMTkwNDg2MDc0NAMAAAADMTYwAgAAAAU0ODM4NQQAAAABMAcAAAAIMy83LzIwMjYIAAAACjEyLzMxLzIwMjMJAAAAATCa4Mwk/4HeCFkxOij/gd4INUNJUS5OWVNFOklCTS5JUV9DQVNIX1NUX0lO</t>
  </si>
  <si>
    <t>VkVTVC45OTcuMDcvMDMvMjAyNi4uLlVTRC5IAQAAAN62AQACAAAABDg3MzgBCAAAAAUAAAABMQEAAAALLTE5NTgyODEwOTYDAAAAAzE2MAIAAAAEMTAwMgQAAAABMAcAAAAIMy83LzIwMjYIAAAACjEyLzMxLzIwMjIJAAAAATCa4Mwk/4HeCFkxOij/gd4INUNJUS5OWVNFOklCTS5JUV9BU1NFVFNfTEVWRUxfMi45OTQuMDcvMDMvMjAyNi4uLlVTRC5IAQAAAN62AQACAAAABDUzOTQAmuDMJP+B3ghZMToo/4HeCD5DSVEuTllTRTpJQk0uSVFfTUlOT1JJVFlfSU5UX1JFREVFTV9UT1QuOTk0LjA3LzAzLzIwMjYuLi5VU0QuSAEAAADetgEAAwAAAAAAmuDMJP+B3ghfCjoo/4HeCCxDSVEuTllTRTpJQk0uSVFfTElGT1IuOTk1LjA3LzAzLzIwMjYuLi5VU0QuSAEAAADetgEAAwAAAAAAmuDMJP+B3ghfCjoo/4HeCDJDSVEuTllTRTpJQk0uSVFfV09SS0lOR19DQVAuOTk5LjA3LzAzLzIwMjYuLi5VU0QuSAEAAADetgEAAgAAAAQxMzQwAQgAAAAFAAAAATEBAAAACy0xOTA0ODYwNzQzAwAAAAMxNjACAAAABDQxNjUEAAAAATAHAAAACDMvNy8yMDI2CAAAAAoxMi8zMS8yMDI0CQAAAAEwmuDMJP+B3ghZMToo/4HeCDBDSVEuTllTRTpJQk0uSVFfTFRfSU5WRVNULjk5NC4wNy8wMy8yMDI2Li4uVVNELkgBAAAA3rYBAAIAAAADMjIyAQgAAAAFAAAAATEBAAAACy0yMTEwNzY5MzU1AwAAAAMxNjACAAAABDEwNTQEAAAA</t>
  </si>
  <si>
    <t>ATAHAAAACDMvNy8yMDI2CAAAAAoxMi8zMS8yMDE5CQAAAAEwmuDMJP+B3ghZMToo/4HeCC9DSVEuTllTRTpJQk0uSVFfVE9UQUxfQ0EuOTk3LjA3LzAzLzIwMjYuLi5VU0QuSAEAAADetgEAAgAAAAUyOTExOAEIAAAABQAAAAExAQAAAAstMTk1ODI4MTA5NgMAAAADMTYwAgAAAAQxMDA4BAAAAAEwBwAAAAgzLzcvMjAyNggAAAAKMTIvMzEvMjAyMgkAAAABMJrgzCT/gd4IWTE6KP+B3gg1Q0lRLk5ZU0U6SUJNLklRX0xPQU5TX0ZPUl9TQUxFLjk5OS4wNy8wMy8yMDI2Li4uVVNELkgBAAAA3rYBAAMAAAAAAJrgzCT/gd4ITeM5KP+B3gg9Q0lRLk5ZU0U6SUJNLklRX0ZJTl9ESVZfQVNTRVRTX0NVUlJFTlQuOTkzLjA3LzAzLzIwMjYuLi5VU0QuSAEAAADetgEAAwAAAAAAmuDMJP+B3ghfCjoo/4HeCDNDSVEuTllTRTpJQk0uSVFfVE9UQUxfUkVDRUlWLjk5NS4wNy8wMy8yMDI2Li4uVVNELkgBAAAA3rYBAAIAAAAENjkxMAEIAAAABQAAAAExAQAAAAstMjA1OTA3MzIwMgMAAAADMTYwAgAAAAQxMDAxBAAAAAEwBwAAAAgzLzcvMjAyNggAAAAKMTIvMzEvMjAyMAkAAAABMJrgzCT/gd4IXwo6KP+B3gguQ0lRLk5ZU0U6SUJNLklRX1NUX0RFQlQuOTk2LjA3LzAzLzIwMjYuLi5VU0QuSAEAAADetgEAAgAAAAIyMgEIAAAABQAAAAExAQAAAAstMjAwODY0NzE5OAMAAAADMTYwAgAAAAQxMDQ2BAAAAAEwBwAAAAgz</t>
  </si>
  <si>
    <t>LzcvMjAyNggAAAAKMTIvMzEvMjAyMQkAAAABMJrgzCT/gd4IXwo6KP+B3gg3Q0lRLk5ZU0U6SUJNLklRX09USEVSX0xUX0FTU0VUUy4xMDAwLjA3LzAzLzIwMjYuLi5VU0QuSAEAAADetgEAAgAAAAQ3OTA2AQgAAAAFAAAAATEBAAAACy0xOTA0ODYwNzQwAwAAAAMxNjACAAAABDEwNjAEAAAAATAHAAAACDMvNy8yMDI2CAAAAAoxMi8zMS8yMDI1CQAAAAEwmuDMJP+B3ghfCjoo/4HeCDVDSVEuTllTRTpJQk0uSVFfREVGX0NIQVJHRVNfTFQuOTk1LjA3LzAzLzIwMjYuLi5VU0QuSAEAAADetgEAAgAAAAQxMTUwAQgAAAAFAAAAATEBAAAACy0yMDU5MDczMjAyAwAAAAMxNjACAAAABDEwMjUEAAAAATAHAAAACDMvNy8yMDI2CAAAAAoxMi8zMS8yMDIwCQAAAAEwmuDMJP+B3ggQvDko/4HeCDZDSVEuTllTRTpJQk0uSVFfTE9BTlNfUkVDRUlWX0xULjk5Mi4wNy8wMy8yMDI2Li4uVVNELkgBAAAA3rYBAAMAAAAAAJrgzCT/gd4ITeM5KP+B3ggyQ0lRLk5ZU0U6SUJNLklRX09USEVSX0lOVEFOLjk5Ny4wNy8wMy8yMDI2Li4uVVNELkgBAAAA3rYBAAIAAAAFMTExODQBCAAAAAUAAAABMQEAAAALLTE5NTgyODEwOTYDAAAAAzE2MAIAAAAEMTA0MAQAAAABMAcAAAAIMy83LzIwMjYIAAAACjEyLzMxLzIwMjIJAAAAATCa4Mwk/4HeCE3jOSj/gd4INENJUS5OWVNFOklCTS5JUV9VTkVBUk5fUkVWX0xULjk5Ny4wNy8w</t>
  </si>
  <si>
    <t>My8yMDI2Li4uVVNELkgBAAAA3rYBAAIAAAAEMzQ5OQEIAAAABQAAAAExAQAAAAstMTk1ODI4MTA5NgMAAAADMTYwAgAAAAQxMjU2BAAAAAEwBwAAAAgzLzcvMjAyNggAAAAKMTIvMzEvMjAyMgkAAAABMJrgzCT/gd4ITeM5KP+B3gg2Q0lRLk5ZU0U6SUJNLklRX0ZJTl9ESVZfREVCVF9MVC45OTQuMDcvMDMvMjAyNi4uLlVTRC5IAQAAAN62AQADAAAAAACa4Mwk/4HeCE3jOSj/gd4INUNJUS5OWVNFOklCTS5JUV9PVEhFUl9DTF9TVVBQTC45OTguMDcvMDMvMjAyNi4uLlVTRC5IAQAAAN62AQACAAAAAzI5NQEIAAAABQAAAAExAQAAAAstMTkwNDg2MDc0NAMAAAADMTYwAgAAAAQxMDU3BAAAAAEwBwAAAAgzLzcvMjAyNggAAAAKMTIvMzEvMjAyMwkAAAABMJrgzCT/gd4IuoE5KP+B3gg5Q0lRLk5ZU0U6SUJNLklRX1VORUFSTl9SRVZfQ1VSUkVOVC45OTUuMDcvMDMvMjAyNi4uLlVTRC5IAQAAAN62AQACAAAABTEyMTQ2AQgAAAAFAAAAATEBAAAACy0yMDU5MDczMjAyAwAAAAMxNjACAAAABDEwNzQEAAAAATAHAAAACDMvNy8yMDI2CAAAAAoxMi8zMS8yMDIwCQAAAAEwmuDMJP+B3gi6gTko/4HeCDpDSVEuTllTRTpJQk0uSVFfQ1VSUkVOVF9QT1JUX0xFQVNFUy45OTkuMDcvMDMvMjAyNi4uLlVTRC5IAQAAAN62AQACAAAAAzk2NgEIAAAABQAAAAExAQAAAAstMTkwNDg2MDc0MwMAAAADMTYwAgAAAAQxMDkw</t>
  </si>
  <si>
    <t>BAAAAAEwBwAAAAgzLzcvMjAyNggAAAAKMTIvMzEvMjAyNAkAAAABMJrgzCT/gd4IOag5KP+B3ggzQ0lRLk5ZU0U6SUJNLklRX09USEVSX0VRVUlUWS45OTMuMDcvMDMvMjAyNi4uLlVTRC5IAQAAAN62AQACAAAABi0yOTQ5MAEIAAAABQAAAAExAQAAAAoyMDgxNTA1NDAxAwAAAAMxNjACAAAABDEwMjgEAAAAATAHAAAACDMvNy8yMDI2CAAAAAoxMi8zMS8yMDE4CQAAAAEwmuDMJP+B3ggQvDko/4HeCClDSVEuTllTRTpJQk0uSVFfUkUuOTkyLjA3LzAzLzIwMjYuLi5VU0QuSAEAAADetgEAAgAAAAYxNTMxMjYBCAAAAAUAAAABMQEAAAAKMjAxNzE2NDI0NAMAAAADMTYwAgAAAAQxMjIyBAAAAAEwBwAAAAgzLzcvMjAyNggAAAAKMTIvMzEvMjAxNwkAAAABMJrgzCT/gd4IELw5KP+B3gg0Q0lRLk5ZU0U6SUJNLklRX1BSRUZfQ09OVkVSVC4xMDAwLjA3LzAzLzIwMjYuLi5VU0QuSAEAAADetgEAAwAAAAAAmuDMJP+B3ghbWjko/4HeCDJDSVEuTllTRTpJQk0uSVFfUFJFRl9SRURFRU0uOTk4LjA3LzAzLzIwMjYuLi5VU0QuSAEAAADetgEAAwAAAAAAmuDMJP+B3gi6gTko/4HeCDFDSVEuTllTRTpJQk0uSVFfVE9UQUxfTElBQi45OTMuMDcvMDMvMjAyNi4uLlVTRC5IAQAAAN62AQACAAAABjEwNjQ1MgEIAAAABQAAAAExAQAAAAoyMDgxNTA1NDAxAwAAAAMxNjACAAAABDEyNzYEAAAAATAHAAAACDMvNy8yMDI2</t>
  </si>
  <si>
    <t>CAAAAAoxMi8zMS8yMDE4CQAAAAEwmuDMJP+B3gi6gTko/4HeCDxDSVEuTllTRTpJQk0uSVFfUlVBX0NBUElUQUxfTEVBU0VfTkVULjk5NS4wNy8wMy8yMDI2Li4uVVNELkgBAAAA3rYBAAMAAAAAAJrgzCT/gd4IuoE5KP+B3gg+Q0lRLk5ZU0U6SUJNLklRX1JVQV9DQVBJVEFMX0xFQVNFX0dST1NTLjk5NS4wNy8wMy8yMDI2Li4uVVNELkgBAAAA3rYBAAMAAAAAAJrgzCT/gd4IuoE5KP+B3gg0Q0lRLk5ZU0U6SUJNLklRX1JVQV9BQ0NVTV9ERVAuOTk1LjA3LzAzLzIwMjYuLi5VU0QuSAEAAADetgEAAwAAAAAAmuDMJP+B3ggrMzko/4HeCDhDSVEuTllTRTpJQk0uSVFfVE9UQUxfTElBQl9FUVVJVFkuOTk1LjA3LzAzLzIwMjYuLi5VU0QuSAEAAADetgEAAgAAAAYxNTU5NzEBCAAAAAUAAAABMQEAAAALLTIwNTkwNzMyMDIDAAAAAzE2MAIAAAAEMTAxMwQAAAABMAcAAAAIMy83LzIwMjYIAAAACjEyLzMxLzIwMjAJAAAAATCa4Mwk/4HeCFtaOSj/gd4IOENJUS5OWVNFOklCTS5JUV9NSU5PUklUWV9JTlRFUkVTVC45OTQuMDcvMDMvMjAyNi4uLlVTRC5IAQAAAN62AQACAAAAAzE0NAEIAAAABQAAAAExAQAAAAstMjExMDc2OTM1NQMAAAADMTYwAgAAAAQxMDUyBAAAAAEwBwAAAAgzLzcvMjAyNggAAAAKMTIvMzEvMjAxOQkAAAABMJrgzCT/gd4IW1o5KP+B3ggwQ0lRLk5ZU0U6SUJNLklRX1RCVl9TSEFSRS45</t>
  </si>
  <si>
    <t>OTkuMDcvMDMvMjAyNi4uLlVTRC5IAQAAAN62AQACAAAACi00Ny41NjUwMTMBCAAAAAUAAAABMQEAAAALLTE5MDQ4NjA3NDMDAAAAAzE2MAIAAAAENDE1NgQAAAABMAcAAAAIMy83LzIwMjYIAAAACjEyLzMxLzIwMjQJAAAAATCa4Mwk/4HeCFtaOSj/gd4IM0NJUS5OWVNFOklCTS5JUV9UT1RBTF9MRUFTRVMuOTk3LjA3LzAzLzIwMjYuLi5VU0QuSAEAAADetgEAAgAAAAQzMzAzAQgAAAAFAAAAATEBAAAACy0xOTU4MjgxMDk2AwAAAAMxNjACAAAABTQ4OTc5BAAAAAEwBwAAAAgzLzcvMjAyNggAAAAKMTIvMzEvMjAyMgkAAAABMJrgzCT/gd4IW1o5KP+B3ghNQ0lRLk5ZU0U6SUJNLklRX0NVUlJFTlRfUE9SVElPTl9PUEVSX0xFQVNFX0xJQUJJTElUSUVTLjk5Ny4wNy8wMy8yMDI2Li4uVVNELkgBAAAA3rYBAAIAAAADODc0AQgAAAAFAAAAATEBAAAACy0xOTU4MjgxMDk2AwAAAAMxNjACAAAABTQ4Mzg1BAAAAAEwBwAAAAgzLzcvMjAyNggAAAAKMTIvMzEvMjAyMgkAAAABMJrgzCT/gd4IKzM5KP+B3gg/Q0lRLk5ZU0U6SUJNLklRX0ZJTkFOQ0VfTEVBU0VTX0xPTkdfVEVSTS45OTIuMDcvMDMvMjAyNi4uLlVTRC5IAQAAAN62AQADAAAAAACa4Mwk/4HeCCszOSj/gd4IPkNJUS5OWVNFOklCTS5JUV9SVUFfT1BFUkFUSU5HX0xFQVNFX05FVC45OTIuMDcvMDMvMjAyNi4uLlVTRC5IAQAAAN62AQADAAAAAACa</t>
  </si>
  <si>
    <t>4Mwk/4HeCCszOSj/gd4IMUNJUS5OWVNFOklCTS5JUV9CVUlMRElOR1MuMTAwMC4wNy8wMy8yMDI2Li4uVVNELkgBAAAA3rYBAAIAAAAENDgwNwEIAAAABQAAAAExAQAAAAstMTkwNDg2MDc0MAMAAAADMTYwAgAAAAQzMDIzBAAAAAEwBwAAAAgzLzcvMjAyNggAAAAKMTIvMzEvMjAyNQkAAAABMJrgzCT/gd4IKzM5KP+B3gguQ0lRLk5ZU0U6SUJNLklRX1JBV19JTlYuOTk4LjA3LzAzLzIwMjYuLi5VU0QuSAEAAADetgEAAwAAAAAAmuDMJP+B3ggrMzko/4HeCDZDSVEuTllTRTpJQk0uSVFfTkVUX1dPUktJTkdfQ0FQLjk5NC4wNy8wMy8yMDI2Li4uVVNELkgBAAAA3rYBAAIAAAAEMjAyOAEIAAAABQAAAAExAQAAAAstMjExMDc2OTM1NQMAAAADMTYwAgAAAAQxMzExBAAAAAEwBwAAAAgzLzcvMjAyNggAAAAKMTIvMzEvMjAxOQkAAAABMJrgzCT/gd4I9ws5KP+B3ggvQ0lRLk5ZU0U6SUJNLklRX05FVF9ERUJULjk5My4wNy8wMy8yMDI2Li4uVVNELkgBAAAA3rYBAAIAAAAFMzM4MTUBCAAAAAUAAAABMQEAAAAKMjA4MTUwNTQwMQMAAAADMTYwAgAAAAQ0MzY0BAAAAAEwBwAAAAgzLzcvMjAyNggAAAAKMTIvMzEvMjAxOAkAAAABMJrgzCT/gd4I9ws5KP+B3ggxQ0lRLk5ZU0U6SUJNLklRX0NBU0hfU0hBUkUuOTk3LjA3LzAzLzIwMjYuLi5VU0QuSAEAAADetgEAAgAAAAc4LjcwMzMxAQgAAAAFAAAAATEBAAAA</t>
  </si>
  <si>
    <t>Cy0xOTU4MjgxMDk2AwAAAAMxNjACAAAABDQzODEEAAAAATAHAAAACDMvNy8yMDI2CAAAAAoxMi8zMS8yMDIyCQAAAAEwmuDMJP+B3gj3Czko/4HeCC9DSVEuTllTRTpJQk0uSVFfVE9UQUxfQ0EuOTk2LjA3LzAzLzIwMjYuLi5VU0QuSAEAAADetgEAAgAAAAUyOTUzOQEIAAAABQAAAAExAQAAAAstMjAwODY0NzE5OAMAAAADMTYwAgAAAAQxMDA4BAAAAAEwBwAAAAgzLzcvMjAyNggAAAAKMTIvMzEvMjAyMQkAAAABMJrgzCT/gd4I9ws5KP+B3gg1Q0lRLk5ZU0U6SUJNLklRX0xPQU5TX0ZPUl9TQUxFLjk5OC4wNy8wMy8yMDI2Li4uVVNELkgBAAAA3rYBAAMAAAAAAJrgzCT/gd4IKzM5KP+B3gg9Q0lRLk5ZU0U6SUJNLklRX0ZJTl9ESVZfQVNTRVRTX0NVUlJFTlQuOTkyLjA3LzAzLzIwMjYuLi5VU0QuSAEAAADetgEAAwAAAAAAmuDMJP+B3gjy5Dgo/4HeCDJDSVEuTllTRTpJQk0uSVFfUFJFUEFJRF9FWFAuOTk4LjA3LzAzLzIwMjYuLi5VU0QuSAEAAADetgEAAgAAAAQxODMwAQgAAAAFAAAAATEBAAAACy0xOTA0ODYwNzQ0AwAAAAMxNjACAAAABDEyMTIEAAAAATAHAAAACDMvNy8yMDI2CAAAAAoxMi8zMS8yMDIzCQAAAAEwmuDMJP+B3gjy5Dgo/4HeCDVDSVEuTllTRTpJQk0uSVFfQVNTRVRTX0xFVkVMXzIuOTkyLjA3LzAzLzIwMjYuLi5VU0QuSAEAAADetgEAAgAAAAUxMDExNwCa4Mwk/4HeCPLkOCj/</t>
  </si>
  <si>
    <t>gd4INUNJUS5OWVNFOklCTS5JUV9ERUZfQ0hBUkdFU19MVC45OTQuMDcvMDMvMjAyNi4uLlVTRC5IAQAAAN62AQACAAAABDI0NzIBCAAAAAUAAAABMQEAAAALLTIxMTA3NjkzNTUDAAAAAzE2MAIAAAAEMTAyNQQAAAABMAcAAAAIMy83LzIwMjYIAAAACjEyLzMxLzIwMTkJAAAAATCa4Mwk/4HeCPcLOSj/gd4IOENJUS5OWVNFOklCTS5JUV9GSU5fRElWX0FTU0VUU19MVC45OTguMDcvMDMvMjAyNi4uLlVTRC5IAQAAAN62AQADAAAAAACa4Mwk/4HeCPcLOSj/gd4IMkNJUS5OWVNFOklCTS5JUV9PVEhFUl9JTlRBTi45OTYuMDcvMDMvMjAyNi4uLlVTRC5IAQAAAN62AQACAAAABTEyNTExAQgAAAAFAAAAATEBAAAACy0yMDA4NjQ3MTk4AwAAAAMxNjACAAAABDEwNDAEAAAAATAHAAAACDMvNy8yMDI2CAAAAAoxMi8zMS8yMDIxCQAAAAEwmuDMJP+B3gjpsTgo/4HeCDBDSVEuTllTRTpJQk0uSVFfTFRfSU5WRVNULjk5My4wNy8wMy8yMDI2Li4uVVNELkgBAAAA3rYBAAIAAAADMjI2AQgAAAAFAAAAATEBAAAACjIwODE1MDU0MDEDAAAAAzE2MAIAAAAEMTA1NAQAAAABMAcAAAAIMy83LzIwMjYIAAAACjEyLzMxLzIwMTgJAAAAATCa4Mwk/4HeCOmxOCj/gd4IKkNJUS5OWVNFOklCTS5JUV9BRC4xMDAwLjA3LzAzLzIwMjYuLi5VU0QuSAEAAADetgEAAgAAAAYtMTE5NzUBCAAAAAUAAAABMQEAAAALLTE5MDQ4NjA3</t>
  </si>
  <si>
    <t>NDADAAAAAzE2MAIAAAAEMTA3NQQAAAABMAcAAAAIMy83LzIwMjYIAAAACjEyLzMxLzIwMjUJAAAAATCa4Mwk/4HeCPLkOCj/gd4INUNJUS5OWVNFOklCTS5JUV9PVEhFUl9DTF9TVVBQTC45OTcuMDcvMDMvMjAyNi4uLlVTRC5IAQAAAN62AQACAAAAAzU0NgEIAAAABQAAAAExAQAAAAstMTk1ODI4MTA5NgMAAAADMTYwAgAAAAQxMDU3BAAAAAEwBwAAAAgzLzcvMjAyNggAAAAKMTIvMzEvMjAyMgkAAAABMJrgzCT/gd4I8uQ4KP+B3gg5Q0lRLk5ZU0U6SUJNLklRX1VORUFSTl9SRVZfQ1VSUkVOVC45OTQuMDcvMDMvMjAyNi4uLlVTRC5IAQAAAN62AQACAAAABTEyMjUzAQgAAAAFAAAAATEBAAAACy0yMTEwNzY5MzU1AwAAAAMxNjACAAAABDEwNzQEAAAAATAHAAAACDMvNy8yMDI2CAAAAAoxMi8zMS8yMDE5CQAAAAEwmuDMJP+B3gjy5Dgo/4HeCDpDSVEuTllTRTpJQk0uSVFfQ1VSUkVOVF9QT1JUX0xFQVNFUy45OTguMDcvMDMvMjAyNi4uLlVTRC5IAQAAAN62AQACAAAAAzk0MQEIAAAABQAAAAExAQAAAAstMTkwNDg2MDc0NAMAAAADMTYwAgAAAAQxMDkwBAAAAAEwBwAAAAgzLzcvMjAyNggAAAAKMTIvMzEvMjAyMwkAAAABMJrgzCT/gd4I6bE4KP+B3gg4Q0lRLk5ZU0U6SUJNLklRX0NVUlJFTlRfUE9SVF9ERUJULjk5My4wNy8wMy8yMDI2Li4uVVNELkgBAAAA3rYBAAIAAAAENzA0OAEIAAAABQAAAAEx</t>
  </si>
  <si>
    <t>AQAAAAoyMDgxNTA1NDAxAwAAAAMxNjACAAAABDEyOTcEAAAAATAHAAAACDMvNy8yMDI2CAAAAAoxMi8zMS8yMDE4CQAAAAEwmuDMJP+B3gjpsTgo/4HeCDZDSVEuTllTRTpJQk0uSVFfT1RIRVJfTFRfQVNTRVRTLjk5OS4wNy8wMy8yMDI2Li4uVVNELkgBAAAA3rYBAAIAAAAENzU4OAEIAAAABQAAAAExAQAAAAstMTkwNDg2MDc0MwMAAAADMTYwAgAAAAQxMDYwBAAAAAEwBwAAAAgzLzcvMjAyNggAAAAKMTIvMzEvMjAyNAkAAAABMJrgzCT/gd4I6bE4KP+B3gg2Q0lRLk5ZU0U6SUJNLklRX1BSRUZfTk9OX1JFREVFTS45OTUuMDcvMDMvMjAyNi4uLlVTRC5IAQAAAN62AQADAAAAAACa4Mwk/4HeCOmxOCj/gd4IMUNJUS5OWVNFOklCTS5JUV9UT1RBTF9MSUFCLjk5Mi4wNy8wMy8yMDI2Li4uVVNELkgBAAAA3rYBAAIAAAAGMTA3NjMxAQgAAAAFAAAAATEBAAAACjIwMTcxNjQyNDQDAAAAAzE2MAIAAAAEMTI3NgQAAAABMAcAAAAIMy83LzIwMjYIAAAACjEyLzMxLzIwMTcJAAAAATCa4Mwk/4HeCOmxOCj/gd4INENJUS5OWVNFOklCTS5JUV9VTkVBUk5fUkVWX0xULjk5Ni4wNy8wMy8yMDI2Li4uVVNELkgBAAAA3rYBAAIAAAAEMzU3NwEIAAAABQAAAAExAQAAAAstMjAwODY0NzE5OAMAAAADMTYwAgAAAAQxMjU2BAAAAAEwBwAAAAgzLzcvMjAyNggAAAAKMTIvMzEvMjAyMQkAAAABMJrgzCT/gd4Isu43KP+B</t>
  </si>
  <si>
    <t>3gg2Q0lRLk5ZU0U6SUJNLklRX0ZJTl9ESVZfREVCVF9MVC45OTMuMDcvMDMvMjAyNi4uLlVTRC5IAQAAAN62AQADAAAAAACa4Mwk/4HeCLLuNyj/gd4IL0NJUS5OWVNFOklCTS5JUV9MVF9ERUJULjEwMDAuMDcvMDMvMjAyNi4uLlVTRC5IAQAAAN62AQACAAAABTUzOTYyAQgAAAAFAAAAATEBAAAACy0xOTA0ODYwNzQwAwAAAAMxNjACAAAABDEwNDkEAAAAATAHAAAACDMvNy8yMDI2CAAAAAoxMi8zMS8yMDI1CQAAAAEwmuDMJP+B3giy7jco/4HeCDRDSVEuTllTRTpJQk0uSVFfUlVBX0FDQ1VNX0RFUC45OTQuMDcvMDMvMjAyNi4uLlVTRC5IAQAAAN62AQADAAAAAACa4Mwk/4HeCLLuNyj/gd4IOENJUS5OWVNFOklCTS5JUV9UT1RBTF9MSUFCX0VRVUlUWS45OTQuMDcvMDMvMjAyNi4uLlVTRC5IAQAAAN62AQACAAAABjE1MjE4NgEIAAAABQAAAAExAQAAAAstMjExMDc2OTM1NQMAAAADMTYwAgAAAAQxMDEzBAAAAAEwBwAAAAgzLzcvMjAyNggAAAAKMTIvMzEvMjAxOQkAAAABMJrgzCT/gd4I6bE4KP+B3gg4Q0lRLk5ZU0U6SUJNLklRX01JTk9SSVRZX0lOVEVSRVNULjk5My4wNy8wMy8yMDI2Li4uVVNELkgBAAAA3rYBAAIAAAADMTM0AQgAAAAFAAAAATEBAAAACjIwODE1MDU0MDEDAAAAAzE2MAIAAAAEMTA1MgQAAAABMAcAAAAIMy83LzIwMjYIAAAACjEyLzMxLzIwMTgJAAAAATCa4Mwk/4HeCIvHNyj/</t>
  </si>
  <si>
    <t>gd4IM0NJUS5OWVNFOklCTS5JUV9PVEhFUl9FUVVJVFkuOTkyLjA3LzAzLzIwMjYuLi5VU0QuSAEAAADetgEAAgAAAAYtMjY1OTEBCAAAAAUAAAABMQEAAAAKMjAxNzE2NDI0NAMAAAADMTYwAgAAAAQxMDI4BAAAAAEwBwAAAAgzLzcvMjAyNggAAAAKMTIvMzEvMjAxNwkAAAABMJrgzCT/gd4Ii8c3KP+B3ggzQ0lRLk5ZU0U6SUJNLklRX1BSRUZfQ09OVkVSVC45OTkuMDcvMDMvMjAyNi4uLlVTRC5IAQAAAN62AQADAAAAAACa4Mwk/4HeCIvHNyj/gd4IM0NJUS5OWVNFOklCTS5JUV9UT1RBTF9MRUFTRVMuOTk2LjA3LzAzLzIwMjYuLi5VU0QuSAEAAADetgEAAgAAAAQzNTM1AQgAAAAFAAAAATEBAAAACy0yMDA4NjQ3MTk4AwAAAAMxNjACAAAABTQ4OTc5BAAAAAEwBwAAAAgzLzcvMjAyNggAAAAKMTIvMzEvMjAyMQkAAAABMJrgzCT/gd4Ii8c3KP+B3ghNQ0lRLk5ZU0U6SUJNLklRX0NVUlJFTlRfUE9SVElPTl9PUEVSX0xFQVNFX0xJQUJJTElUSUVTLjk5NS4wNy8wMy8yMDI2Li4uVVNELkgBAAAA3rYBAAIAAAAEMTAzNQEIAAAABQAAAAExAQAAAAstMjA1OTA3MzIwMgMAAAADMTYwAgAAAAU0ODM4NQQAAAABMAcAAAAIMy83LzIwMjYIAAAACjEyLzMxLzIwMjAJAAAAATCa4Mwk/4HeCLLuNyj/gd4IOkNJUS5OWVNFOklCTS5JUV9BRF9FWENMX09QRVJfTEVBU0VTLjk5Ni4wNy8wMy8yMDI2Li4uVVNELkgB</t>
  </si>
  <si>
    <t>AAAA3rYBAAIAAAAGLTE0MzkwAQgAAAAFAAAAATEBAAAACy0yMDA4NjQ3MTk4AwAAAAMxNjACAAAABTQ4OTc1BAAAAAEwBwAAAAgzLzcvMjAyNggAAAAKMTIvMzEvMjAyMQkAAAABMJrgzCT/gd4IvqA3KP+B3ghAQ0lRLk5ZU0U6SUJNLklRX1JVQV9PUEVSQVRJTkdfTEVBU0VfR1JPU1MuOTkyLjA3LzAzLzIwMjYuLi5VU0QuSAEAAADetgEAAwAAAAAAmuDMJP+B3gi+oDco/4HeCD5DSVEuTllTRTpJQk0uSVFfUlVBX0NBUElUQUxfTEVBU0VfR1JPU1MuOTk0LjA3LzAzLzIwMjYuLi5VU0QuSAEAAADetgEAAwAAAAAAmuDMJP+B3gi+oDco/4HeCDdDSVEuTllTRTpJQk0uSVFfQUxMT1dfRE9VQlRfQUNDVC45OTQuMDcvMDMvMjAyNi4uLlVTRC5IAQAAAN62AQACAAAAAzI5OQEIAAAABQAAAAExAQAAAAstMjExMDc2OTM1NQMAAAADMTYwAgAAAAQzMDEyBAAAAAEwBwAAAAgzLzcvMjAyNggAAAAKMTIvMzEvMjAxOQkAAAABMJrgzCT/gd4IvqA3KP+B3ggvQ0lRLk5ZU0U6SUJNLklRX05FVF9ERUJULjk5OS4wNy8wMy8yMDI2Li4uVVNELkgBAAAA3rYBAAIAAAAFNDM4MDUBCAAAAAUAAAABMQEAAAALLTE5MDQ4NjA3NDMDAAAAAzE2MAIAAAAENDM2NAQAAAABMAcAAAAIMy83LzIwMjYIAAAACjEyLzMxLzIwMjQJAAAAATCa4Mwk/4HeCL6gNyj/gd4IMUNJUS5OWVNFOklCTS5JUV9DQVNIX1NIQVJFLjk5Ni4wNy8w</t>
  </si>
  <si>
    <t>My8yMDI2Li4uVVNELkgBAAAA3rYBAAIAAAAINy40MDQ3NzkBCAAAAAUAAAABMQEAAAALLTIwMDg2NDcxOTgDAAAAAzE2MAIAAAAENDM4MQQAAAABMAcAAAAIMy83LzIwMjYIAAAACjEyLzMxLzIwMjEJAAAAATCa4Mwk/4HeCCVSNyj/gd4IMENJUS5OWVNFOklCTS5JUV9UQlZfU0hBUkUuOTk4LjA3LzAzLzIwMjYuLi5VU0QuSAEAAADetgEAAgAAAAotNTMuMjAyNDg1AQgAAAAFAAAAATEBAAAACy0xOTA0ODYwNzQ0AwAAAAMxNjACAAAABDQxNTYEAAAAATAHAAAACDMvNy8yMDI2CAAAAAoxMi8zMS8yMDIzCQAAAAEwmuDMJP+B3ghbeTco/4HeCEJDSVEuTllTRTpJQk0uSVFfVE9UQUxfREVCVF9FWENMX09QRVJfTEVBU0VTLjk5Ni4wNy8wMy8yMDI2Li4uVVNELkgBAAAA3rYBAAIAAAAFNTE3MDQBCAAAAAUAAAABMQEAAAALLTIwMDg2NDcxOTgDAAAAAzE2MAIAAAAFNDg5ODIEAAAAATAHAAAACDMvNy8yMDI2CAAAAAoxMi8zMS8yMDIxCQAAAAEwmuDMJP+B3ghbeTco/4HeCD1DSVEuTllTRTpJQk0uSVFfT1RIRVJfSU5WRVNUX0FDVF9TVVBQTC45OTkuMDcvMDMvMjAyNi4uLlVTRC5IAQAAAN62AQADAAAAAACa4Mwk/4HeCFt5Nyj/gd4INkNJUS5OWVNFOklCTS5JUV9BU1NFVFNfTEVWRUxfMi4xMDAwLjA3LzAzLzIwMjYuLi5VU0QuSAEAAADetgEAAgAAAAQ4NDk1AJrgzCT/gd4IW3k3KP+B3ghCQ0lRLk5Z</t>
  </si>
  <si>
    <t>U0U6SUJNLklRX0RFRl9UQVhfVkFMVUFUSU9OX0FMTE9XQU5DRS45OTIuMDcvMDMvMjAyNi4uLlVTRC5IAQAAAN62AQACAAAABDEwMDQBCAAAAAUAAAABMQEAAAAKMjAxNzE2NDI0NAMAAAADMTYwAgAAAAU0NjA0NQQAAAABMAcAAAAIMy83LzIwMjYIAAAACjEyLzMxLzIwMTcJAAAAATCa4Mwk/4HeCAwVNyj/gd4IMENJUS5OWVNFOklCTS5JUV9NQUNISU5FUlkuOTk3LjA3LzAzLzIwMjYuLi5VU0QuSAEAAADetgEAAgAAAAUxMjgwNAEIAAAABQAAAAExAQAAAAstMTk1ODI4MTA5NgMAAAADMTYwAgAAAAQzMTE0BAAAAAEwBwAAAAgzLzcvMjAyNggAAAAKMTIvMzEvMjAyMgkAAAABMIsbzST/gd4IDBU3KP+B3gguQ0lRLk5ZU0U6SUJNLklRX1JBV19JTlYuOTk2LjA3LzAzLzIwMjYuLi5VU0QuSAEAAADetgEAAwAAAAAAixvNJP+B3gglUjco/4HeCDhDSVEuTllTRTpJQk0uSVFfVE9UQUxfRElWX1BBSURfQ0YuOTkzLjA3LzAzLzIwMjYuLi5VU0QuSAEAAADetgEAAgAAAAUtNTY2NgEIAAAABQAAAAExAQAAAAoyMDgxNTA1NDAxAwAAAAMxNjACAAAABDIwMjIEAAAAATAHAAAACDMvNy8yMDI2CAAAAAoxMi8zMS8yMDE4CQAAAAEwixvNJP+B3gglUjco/4HeCDJDSVEuTllTRTpJQk0uSVFfUFJFRl9ESVZfQ0YuOTk5LjA3LzAzLzIwMjYuLi5VU0QuSAEAAADetgEAAwAAAAAAixvNJP+B3gglUjco/4HeCDRDSVEu</t>
  </si>
  <si>
    <t>TllTRTpJQk0uSVFfQ09NTU9OX0RJVl9DRi45OTMuMDcvMDMvMjAyNi4uLlVTRC5IAQAAAN62AQACAAAABS01NjY2AQgAAAAFAAAAATEBAAAACjIwODE1MDU0MDEDAAAAAzE2MAIAAAAEMjA3NAQAAAABMAcAAAAIMy83LzIwMjYIAAAACjEyLzMxLzIwMTgJAAAAATCLG80k/4HeCBHuNij/gd4INENJUS5OWVNFOklCTS5JUV9DT01NT05fSVNTVUVELjk5NS4wNy8wMy8yMDI2Li4uVVNELkgBAAAA3rYBAAMAAAAAAIsbzST/gd4IDBU3KP+B3gg4Q0lRLk5ZU0U6SUJNLklRX1RPVEFMX0RFQlRfSVNTVUVELjk5Ny4wNy8wMy8yMDI2Li4uVVNELkgBAAAA3rYBAAIAAAAEODAyMQEIAAAABQAAAAExAQAAAAstMTk1ODI4MTA5NgMAAAADMTYwAgAAAAQyMTYxBAAAAAEwBwAAAAgzLzcvMjAyNggAAAAKMTIvMzEvMjAyMgkAAAABMIsbzST/gd4IDBU3KP+B3ghDQ0lRLk5ZU0U6SUJNLklRX0RBX1NVUFBMX0NGX0VYQ0xfT1BFUl9MRUFTRVMuOTkzLjA3LzAzLzIwMjYuLi5VU0QuSAEAAADetgEAAgAAAAQzMTI3AQgAAAAFAAAAATEBAAAACjIwODE1MDU0MDEDAAAAAzE2MAIAAAAFNDg5ODMEAAAAATAHAAAACDMvNy8yMDI2CAAAAAoxMi8zMS8yMDE4CQAAAAEwixvNJP+B3ggMFTco/4HeCERDSVEuTllTRTpJQk0uSVFfREVQUkVDSUFUSU9OX1JFTlRBTF9BU1NFVFNfQ0YuOTk5LjA3LzAzLzIwMjYuLi5VU0QuSAEAAADe</t>
  </si>
  <si>
    <t>tgEAAwAAAAAAixvNJP+B3ggMFTco/4HeCEBDSVEuTllTRTpJQk0uSVFfR1dfSU5UQU5fQU1PUlRfUEFSVElBTF9DRi45OTUuMDcvMDMvMjAyNi4uLlVTRC5IAQAAAN62AQADAAAAAACLG80k/4HeCPnGNij/gd4IMUNJUS5OWVNFOklCTS5JUV9ORVRfQ0hBTkdFLjk5NS4wNy8wMy8yMDI2Li4uVVNELkgBAAAA3rYBAAIAAAAENTM2MQEIAAAABQAAAAExAQAAAAstMjA1OTA3MzIwMgMAAAADMTYwAgAAAAQyMDkzBAAAAAEwBwAAAAgzLzcvMjAyNggAAAAKMTIvMzEvMjAyMAkAAAABMIsbzST/gd4IEe42KP+B3gg+Q0lRLk5ZU0U6SUJNLklRX09USEVSX0ZJTkFOQ0VfQUNUX1NVUFBMLjk5Ny4wNy8wMy8yMDI2Li4uVVNELkgBAAAA3rYBAAIAAAAELTEwMwEIAAAABQAAAAExAQAAAAstMTk1ODI4MTA5NgMAAAADMTYwAgAAAAQyMDUwBAAAAAEwBwAAAAgzLzcvMjAyNggAAAAKMTIvMzEvMjAyMgkAAAABMIsbzST/gd4IEe42KP+B3gg2Q0lRLk5ZU0U6SUJNLklRX0NBU0hfVEFYRVNfT1BFUi45OTMuMDcvMDMvMjAyNi4uLlVTRC5IAQAAAN62AQADAAAAAACLG80k/4HeCBHuNij/gd4IOkNJUS5OWVNFOklCTS5JUV9DQVNIX0lOVEVSRVNUX0ZJTkFOLjk5OS4wNy8wMy8yMDI2Li4uVVNELkgBAAAA3rYBAAMAAAAAAIsbzST/gd4IEe42KP+B3gg5Q0lRLk5ZU0U6SUJNLklRX0NBU0hfSU5URVJFU1RfT1BFUi45OTUu</t>
  </si>
  <si>
    <t>MDcvMDMvMjAyNi4uLlVTRC5IAQAAAN62AQADAAAAAACLG80k/4HeCPGfNij/gd4IQkNJUS5OWVNFOklCTS5JUV9TQUxFX1BST0NFRURTX1JFTlRBTF9BU1NFVFMuOTk3LjA3LzAzLzIwMjYuLi5VU0QuSAEAAADetgEAAwAAAAAAixvNJP+B3gjxnzYo/4HeCDtDSVEuTllTRTpJQk0uSVFfTkVHQVRJVkVfR1dfQU1PUlRfQ0YuOTk3LjA3LzAzLzIwMjYuLi5VU0QuSAEAAADetgEAAwAAAAAAixvNJP+B3gj5xjYo/4HeCEpDSVEuTllTRTpJQk0uSVFfT1BFUkFUSU5HX0xFQVNFX0xJQUJJTElUSUVTX05PTkNBU0guOTk5LjA3LzAzLzIwMjYuLi5VU0QuSAEAAADetgEAAwAAAAAAixvNJP+B3gj5xjYo/4HeCEJDSVEuTllTRTpJQk0uSVFfT1BFUkFUSU5HX0xFQVNFX0xJQUJJTElUSUVTLjk5My4wNy8wMy8yMDI2Li4uVVNELkgBAAAA3rYBAAMAAAAAAIsbzST/gd4I+cY2KP+B3ggyQ0lRLk5ZU0U6SUJNLklRX01BSU5UX0NBUEVYLjk5NS4wNy8wMy8yMDI2Li4uVVNELkgBAAAA3rYBAAMAAAAAAIsbzST/gd4IXXY2KP+B3ggyQ0lRLk5ZU0U6SUJNLklRX0xFVkVSRURfRkNGLjk5Ny4wNy8wMy8yMDI2Li4uVVNELkgBAAAA3rYBAAIAAAAIOTY4MC42MjUBCAAAAAUAAAABMQEAAAALLTE5NTgyODEwOTYDAAAAAzE2MAIAAAAENDQyMgQAAAABMAcAAAAIMy83LzIwMjYIAAAACjEyLzMxLzIwMjIJAAAAATCLG80k/4He</t>
  </si>
  <si>
    <t>CF12Nij/gd4IOENJUS5OWVNFOklCTS5JUV9DQVNIX1RBWEVTX0lOVkVTVC45OTkuMDcvMDMvMjAyNi4uLlVTRC5IAQAAAN62AQADAAAAAACLG80k/4HeCPGfNij/gd4IMkNJUS5OWVNFOklCTS5JUV9QUkVQQUlEX0VYUC45OTcuMDcvMDMvMjAyNi4uLlVTRC5IAQAAAN62AQACAAAABDE4NzYBCAAAAAUAAAABMQEAAAALLTE5NTgyODEwOTYDAAAAAzE2MAIAAAAEMTIxMgQAAAABMAcAAAAIMy83LzIwMjYIAAAACjEyLzMxLzIwMjIJAAAAATCLG80k/4HeCPGfNij/gd4IM0NJUS5OWVNFOklCTS5JUV9UT1RBTF9SRUNFSVYuOTkzLjA3LzAzLzIwMjYuLi5VU0QuSAEAAADetgEAAgAAAAQ4NjQ1AQgAAAAFAAAAATEBAAAACjIwODE1MDU0MDEDAAAAAzE2MAIAAAAEMTAwMQQAAAABMAcAAAAIMy83LzIwMjYIAAAACjEyLzMxLzIwMTgJAAAAATCLG80k/4HeCPGfNij/gd4IM0NJUS5OWVNFOklCTS5JUV9PVEhFUl9SRUNFSVYuOTk5LjA3LzAzLzIwMjYuLi5VU0QuSAEAAADetgEAAgAAAAM5NDcBCAAAAAUAAAABMQEAAAALLTE5MDQ4NjA3NDMDAAAAAzE2MAIAAAAEMTIwNgQAAAABMAcAAAAIMy83LzIwMjYIAAAACjEyLzMxLzIwMjQJAAAAATCLG80k/4HeCFVPNij/gd4IKUNJUS5OWVNFOklCTS5JUV9BUi45OTMuMDcvMDMvMjAyNi4uLlVTRC5IAQAAAN62AQACAAAABDc5MDIBCAAAAAUAAAABMQEAAAAKMjA4MTUw</t>
  </si>
  <si>
    <t>NTQwMQMAAAADMTYwAgAAAAQxMDIxBAAAAAEwBwAAAAgzLzcvMjAyNggAAAAKMTIvMzEvMjAxOAkAAAABMIsbzST/gd4IVU82KP+B3ggxQ0lRLk5ZU0U6SUJNLklRX0NBU0hfRVFVSVYuOTk1LjA3LzAzLzIwMjYuLi5VU0QuSAEAAADetgEAAgAAAAUxMzE4OAEIAAAABQAAAAExAQAAAAstMjA1OTA3MzIwMgMAAAADMTYwAgAAAAQxMDk2BAAAAAEwBwAAAAgzLzcvMjAyNggAAAAKMTIvMzEvMjAyMAkAAAABMIsbzST/gd4IVU82KP+B3ggyQ0lRLk5ZU0U6SUJNLklRX09USEVSX0lOVEFOLjk5NC4wNy8wMy8yMDI2Li4uVVNELkgBAAAA3rYBAAIAAAAFMTUyMzUBCAAAAAUAAAABMQEAAAALLTIxMTA3NjkzNTUDAAAAAzE2MAIAAAAEMTA0MAQAAAABMAcAAAAIMy83LzIwMjYIAAAACjEyLzMxLzIwMTkJAAAAATCLG80k/4HeCF12Nij/gd4IMENJUS5OWVNFOklCTS5JUV9MVF9JTlZFU1QuOTkyLjA3LzAzLzIwMjYuLi5VU0QuSAEAAADetgEAAgAAAAM1ODEBCAAAAAUAAAABMQEAAAAKMjAxNzE2NDI0NAMAAAADMTYwAgAAAAQxMDU0BAAAAAEwBwAAAAgzLzcvMjAyNggAAAAKMTIvMzEvMjAxNwkAAAABMIsbzST/gd4IXXY2KP+B3ggpQ0lRLk5ZU0U6SUJNLklRX0FELjk5OS4wNy8wMy8yMDI2Li4uVVNELkgBAAAA3rYBAAIAAAAGLTExOTU5AQgAAAAFAAAAATEBAAAACy0xOTA0ODYwNzQzAwAAAAMxNjACAAAABDEw</t>
  </si>
  <si>
    <t>NzUEAAAAATAHAAAACDMvNy8yMDI2CAAAAAoxMi8zMS8yMDI0CQAAAAEwixvNJP+B3gg+KDYo/4HeCC9DSVEuTllTRTpJQk0uSVFfVE9UQUxfQ0EuOTk1LjA3LzAzLzIwMjYuLi5VU0QuSAEAAADetgEAAgAAAAUzOTE2NQEIAAAABQAAAAExAQAAAAstMjA1OTA3MzIwMgMAAAADMTYwAgAAAAQxMDA4BAAAAAEwBwAAAAgzLzcvMjAyNggAAAAKMTIvMzEvMjAyMAkAAAABMIsbzST/gd4IPig2KP+B3gg9Q0lRLk5ZU0U6SUJNLklRX0RFRl9UQVhfQVNTRVRTX0NVUlJFTlQuOTk1LjA3LzAzLzIwMjYuLi5VU0QuSAEAAADetgEAAwAAAAAAixvNJP+B3gg+KDYo/4HeCDpDSVEuTllTRTpJQk0uSVFfQ1VSUkVOVF9QT1JUX0xFQVNFUy45OTcuMDcvMDMvMjAyNi4uLlVTRC5IAQAAAN62AQACAAAAAzk0OQEIAAAABQAAAAExAQAAAAstMTk1ODI4MTA5NgMAAAADMTYwAgAAAAQxMDkwBAAAAAEwBwAAAAgzLzcvMjAyNggAAAAKMTIvMzEvMjAyMgkAAAABMIsbzST/gd4IPig2KP+B3gg4Q0lRLk5ZU0U6SUJNLklRX0NVUlJFTlRfUE9SVF9ERUJULjk5Mi4wNy8wMy8yMDI2Li4uVVNELkgBAAAA3rYBAAIAAAAENTIxNQEIAAAABQAAAAExAQAAAAoyMDE3MTY0MjQ0AwAAAAMxNjACAAAABDEyOTcEAAAAATAHAAAACDMvNy8yMDI2CAAAAAoxMi8zMS8yMDE3CQAAAAEwixvNJP+B3ghVTzYo/4HeCDNDSVEuTllTRTpJQk0uSVFf</t>
  </si>
  <si>
    <t>VE9UQUxfQVNTRVRTLjk5Ni4wNy8wMy8yMDI2Li4uVVNELkgBAAAA3rYBAAIAAAAGMTMyMDAxAQgAAAAFAAAAATEBAAAACy0yMDA4NjQ3MTk4AwAAAAMxNjACAAAABDEwMDcEAAAAATAHAAAACDMvNy8yMDI2CAAAAAoxMi8zMS8yMDIxCQAAAAEwixvNJP+B3ghT/DUo/4HeCDVDSVEuTllTRTpJQk0uSVFfREVGX0NIQVJHRVNfTFQuOTkzLjA3LzAzLzIwMjYuLi5VU0QuSAEAAADetgEAAgAAAAQyNjc2AQgAAAAFAAAAATEBAAAACjIwODE1MDU0MDEDAAAAAzE2MAIAAAAEMTAyNQQAAAABMAcAAAAIMy83LzIwMjYIAAAACjEyLzMxLzIwMTgJAAAAATCLG80k/4HeCFP8NSj/gd4IOENJUS5OWVNFOklCTS5JUV9GSU5fRElWX0FTU0VUU19MVC45OTcuMDcvMDMvMjAyNi4uLlVTRC5IAQAAAN62AQADAAAAAACLG80k/4HeCFP8NSj/gd4INENJUS5OWVNFOklCTS5JUV9VTkVBUk5fUkVWX0xULjk5NS4wNy8wMy8yMDI2Li4uVVNELkgBAAAA3rYBAAIAAAAEMzc1OAEIAAAABQAAAAExAQAAAAstMjA1OTA3MzIwMgMAAAADMTYwAgAAAAQxMjU2BAAAAAEwBwAAAAgzLzcvMjAyNggAAAAKMTIvMzEvMjAyMAkAAAABMIsbzST/gd4IU/w1KP+B3gg2Q0lRLk5ZU0U6SUJNLklRX0ZJTl9ESVZfREVCVF9MVC45OTIuMDcvMDMvMjAyNi4uLlVTRC5IAQAAAN62AQADAAAAAACLG80k/4HeCD4oNij/gd4ILkNJUS5OWVNFOklCTS5J</t>
  </si>
  <si>
    <t>UV9MVF9ERUJULjk5OS4wNy8wMy8yMDI2Li4uVVNELkgBAAAA3rYBAAIAAAAFNDkwODEBCAAAAAUAAAABMQEAAAALLTE5MDQ4NjA3NDMDAAAAAzE2MAIAAAAEMTA0OQQAAAABMAcAAAAIMy83LzIwMjYIAAAACjEyLzMxLzIwMjQJAAAAATCLG80k/4HeCFP8NSj/gd4INUNJUS5OWVNFOklCTS5JUV9PVEhFUl9DTF9TVVBQTC45OTYuMDcvMDMvMjAyNi4uLlVTRC5IAQAAAN62AQACAAAAAjYwAQgAAAAFAAAAATEBAAAACy0yMDA4NjQ3MTk4AwAAAAMxNjACAAAABDEwNTcEAAAAATAHAAAACDMvNy8yMDI2CAAAAAoxMi8zMS8yMDIxCQAAAAEwixvNJP+B3ghT/DUo/4HeCDxDSVEuTllTRTpJQk0uSVFfRklOX0RJVl9MSUFCX0NVUlJFTlQuMTAwMC4wNy8wMy8yMDI2Li4uVVNELkgBAAAA3rYBAAMAAAAAAIsbzST/gd4IU/w1KP+B3gg4Q0lRLk5ZU0U6SUJNLklRX01JTk9SSVRZX0lOVEVSRVNULjk5Mi4wNy8wMy8yMDI2Li4uVVNELkgBAAAA3rYBAAIAAAADMTMxAQgAAAAFAAAAATEBAAAACjIwMTcxNjQyNDQDAAAAAzE2MAIAAAAEMTA1MgQAAAABMAcAAAAIMy83LzIwMjYIAAAACjEyLzMxLzIwMTcJAAAAATCLG80k/4HeCFP8NSj/gd4IM0NJUS5OWVNFOklCTS5JUV9QUkVGX0VRVUlUWS4xMDAwLjA3LzAzLzIwMjYuLi5VU0QuSAEAAADetgEAAwAAAAAAixvNJP+B3ghT/DUo/4HeCDFDSVEuTllTRTpJQk0uSVFf</t>
  </si>
  <si>
    <t>UFJFRl9PVEhFUi45OTYuMDcvMDMvMjAyNi4uLlVTRC5IAQAAAN62AQADAAAAAACLG80k/4HeCFfVNSj/gd4INkNJUS5OWVNFOklCTS5JUV9QUkVGX05PTl9SRURFRU0uOTk0LjA3LzAzLzIwMjYuLi5VU0QuSAEAAADetgEAAwAAAAAAixvNJP+B3ghX1TUo/4HeCDZDSVEuTllTRTpJQk0uSVFfREVGX1RBWF9MSUFCX0xULjk5OC4wNy8wMy8yMDI2Li4uVVNELkgBAAAA3rYBAAIAAAAEMTE0NgEIAAAABQAAAAExAQAAAAstMTkwNDg2MDc0NAMAAAADMTYwAgAAAAQxMDI3BAAAAAEwBwAAAAgzLzcvMjAyNggAAAAKMTIvMzEvMjAyMwkAAAABMIsbzST/gd4IV9U1KP+B3ggwQ0lRLk5ZU0U6SUJNLklRX1RCVl9TSEFSRS45OTcuMDcvMDMvMjAyNi4uLlVTRC5IAQAAAN62AQACAAAACS00OS44NzI0MgEIAAAABQAAAAExAQAAAAstMTk1ODI4MTA5NgMAAAADMTYwAgAAAAQ0MTU2BAAAAAEwBwAAAAgzLzcvMjAyNggAAAAKMTIvMzEvMjAyMgkAAAABMIsbzST/gd4IV9U1KP+B3ggzQ0lRLk5ZU0U6SUJNLklRX1RPVEFMX0xFQVNFUy45OTUuMDcvMDMvMjAyNi4uLlVTRC5IAQAAAN62AQACAAAABDM4NDUBCAAAAAUAAAABMQEAAAALLTIwNTkwNzMyMDIDAAAAAzE2MAIAAAAFNDg5NzkEAAAAATAHAAAACDMvNy8yMDI2CAAAAAoxMi8zMS8yMDIwCQAAAAEwixvNJP+B3ghX1TUo/4HeCEhDSVEuTllTRTpJQk0uSVFfTFRf</t>
  </si>
  <si>
    <t>UE9SVElPTl9PUEVSX0xFQVNFX0xJQUJJTElUSUVTLjk5Mi4wNy8wMy8yMDI2Li4uVVNELkgBAAAA3rYBAAMAAAAAAIsbzST/gd4IP6c1KP+B3gg8Q0lRLk5ZU0U6SUJNLklRX05QUEVfRVhDTF9PUEVSX0xFQVNFUy45OTIuMDcvMDMvMjAyNi4uLlVTRC5IAQAAAN62AQACAAAABTExMTE2AQgAAAAFAAAAATEBAAAACjIwMTcxNjQyNDQDAAAAAzE2MAIAAAAFNDg5NzYEAAAAATAHAAAACDMvNy8yMDI2CAAAAAoxMi8zMS8yMDE3CQAAAAEwixvNJP+B3gg/pzUo/4HeCDhDSVEuTllTRTpJQk0uSVFfVE9UQUxfTElBQl9FUVVJVFkuOTkzLjA3LzAzLzIwMjYuLi5VU0QuSAEAAADetgEAAgAAAAYxMjMzODIBCAAAAAUAAAABMQEAAAAKMjA4MTUwNTQwMQMAAAADMTYwAgAAAAQxMDEzBAAAAAEwBwAAAAgzLzcvMjAyNggAAAAKMTIvMzEvMjAxOAkAAAABMIsbzST/gd4IP6c1KP+B3ggwQ0lRLk5ZU0U6SUJNLklRX01BQ0hJTkVSWS45OTYuMDcvMDMvMjAyNi4uLlVTRC5IAQAAAN62AQACAAAABTEzODExAQgAAAAFAAAAATEBAAAACy0yMDA4NjQ3MTk4AwAAAAMxNjACAAAABDMxMTQEAAAAATAHAAAACDMvNy8yMDI2CAAAAAoxMi8zMS8yMDIxCQAAAAEwixvNJP+B3gg/pzUo/4HeCC5DSVEuTllTRTpJQk0uSVFfUkFXX0lOVi45OTUuMDcvMDMvMjAyNi4uLlVTRC5IAQAAAN62AQADAAAAAACLG80k/4HeCFfVNSj/gd4I</t>
  </si>
  <si>
    <t>N0NJUS5OWVNFOklCTS5JUV9BTExPV19ET1VCVF9BQ0NULjk5Mi4wNy8wMy8yMDI2Li4uVVNELkgBAAAA3rYBAAIAAAADMjk3AQgAAAAFAAAAATEBAAAACjIwMTcxNjQyNDQDAAAAAzE2MAIAAAAEMzAxMgQAAAABMAcAAAAIMy83LzIwMjYIAAAACjEyLzMxLzIwMTcJAAAAATCLG80k/4HeCHaANSj/gd4IL0NJUS5OWVNFOklCTS5JUV9ORVRfREVCVC45OTguMDcvMDMvMjAyNi4uLlVTRC5IAQAAAN62AQACAAAABTQ2NDk0AQgAAAAFAAAAATEBAAAACy0xOTA0ODYwNzQ0AwAAAAMxNjACAAAABDQzNjQEAAAAATAHAAAACDMvNy8yMDI2CAAAAAoxMi8zMS8yMDIzCQAAAAEwixvNJP+B3gh2gDUo/4HeCDFDSVEuTllTRTpJQk0uSVFfQ0FTSF9TSEFSRS45OTUuMDcvMDMvMjAyNi4uLlVTRC5IAQAAAN62AQACAAAACDE0Ljc3MzkzAQgAAAAFAAAAATEBAAAACy0yMDU5MDczMjAyAwAAAAMxNjACAAAABDQzODEEAAAAATAHAAAACDMvNy8yMDI2CAAAAAoxMi8zMS8yMDIwCQAAAAEwixvNJP+B3gh2gDUo/4HeCCpDSVEuTllTRTpJQk0uSVFfQVAuMTAwMC4wNy8wMy8yMDI2Li4uVVNELkgBAAAA3rYBAAIAAAAENDc1NgEIAAAABQAAAAExAQAAAAstMTkwNDg2MDc0MAMAAAADMTYwAgAAAAQxMDE4BAAAAAEwBwAAAAgzLzcvMjAyNggAAAAKMTIvMzEvMjAyNQkAAAABMIsbzST/gd4IdoA1KP+B3ggzQ0lRLk5ZU0U6SUJN</t>
  </si>
  <si>
    <t>LklRX1RPVEFMX0FTU0VUUy45OTUuMDcvMDMvMjAyNi4uLlVTRC5IAQAAAN62AQACAAAABjE1NTk3MQEIAAAABQAAAAExAQAAAAstMjA1OTA3MzIwMgMAAAADMTYwAgAAAAQxMDA3BAAAAAEwBwAAAAgzLzcvMjAyNggAAAAKMTIvMzEvMjAyMAkAAAABMIsbzST/gd4IP6c1KP+B3gg1Q0lRLk5ZU0U6SUJNLklRX0RFRl9DSEFSR0VTX0xULjk5Mi4wNy8wMy8yMDI2Li4uVVNELkgBAAAA3rYBAAIAAAAEMjEzNgEIAAAABQAAAAExAQAAAAoyMDE3MTY0MjQ0AwAAAAMxNjACAAAABDEwMjUEAAAAATAHAAAACDMvNy8yMDI2CAAAAAoxMi8zMS8yMDE3CQAAAAEwixvNJP+B3ghJWDUo/4HeCDZDSVEuTllTRTpJQk0uSVFfTE9BTlNfUkVDRUlWX0xULjk5OS4wNy8wMy8yMDI2Li4uVVNELkgBAAAA3rYBAAMAAAAAAIsbzST/gd4ISVg1KP+B3gg1Q0lRLk5ZU0U6SUJNLklRX0FTU0VUU19MRVZFTF8yLjk5Ny4wNy8wMy8yMDI2Li4uVVNELkgBAAAA3rYBAAIAAAAENDg0MgCLG80k/4HeCElYNSj/gd4INENJUS5OWVNFOklCTS5JUV9VTkVBUk5fUkVWX0xULjk5NC4wNy8wMy8yMDI2Li4uVVNELkgBAAAA3rYBAAIAAAAEMzg1MQEIAAAABQAAAAExAQAAAAstMjExMDc2OTM1NQMAAAADMTYwAgAAAAQxMjU2BAAAAAEwBwAAAAgzLzcvMjAyNggAAAAKMTIvMzEvMjAxOQkAAAABMIsbzST/gd4ISVg1KP+B3gguQ0lRLk5ZU0U6</t>
  </si>
  <si>
    <t>SUJNLklRX0xUX0RFQlQuOTk4LjA3LzAzLzIwMjYuLi5VU0QuSAEAAADetgEAAgAAAAU0OTc0MgEIAAAABQAAAAExAQAAAAstMTkwNDg2MDc0NAMAAAADMTYwAgAAAAQxMDQ5BAAAAAEwBwAAAAgzLzcvMjAyNggAAAAKMTIvMzEvMjAyMwkAAAABMIsbzST/gd4IdoA1KP+B3gg1Q0lRLk5ZU0U6SUJNLklRX09USEVSX0NMX1NVUFBMLjk5NS4wNy8wMy8yMDI2Li4uVVNELkgBAAAA3rYBAAIAAAAENDQwNgEIAAAABQAAAAExAQAAAAstMjA1OTA3MzIwMgMAAAADMTYwAgAAAAQxMDU3BAAAAAEwBwAAAAgzLzcvMjAyNggAAAAKMTIvMzEvMjAyMAkAAAABMIsbzST/gd4IAwc1KP+B3gg7Q0lRLk5ZU0U6SUJNLklRX0ZJTl9ESVZfTElBQl9DVVJSRU5ULjk5OS4wNy8wMy8yMDI2Li4uVVNELkgBAAAA3rYBAAMAAAAAAIsbzST/gd4IAwc1KP+B3gg7Q0lRLk5ZU0U6SUJNLklRX0ZJTl9ESVZfREVCVF9DVVJSRU5ULjk5NC4wNy8wMy8yMDI2Li4uVVNELkgBAAAA3rYBAAMAAAAAAIsbzST/gd4IFUI1KP+B3ggpQ0lRLk5ZU0U6SUJNLklRX1JFLjk5OC4wNy8wMy8yMDI2Li4uVVNELkgBAAAA3rYBAAIAAAAGMTUxMjc2AQgAAAAFAAAAATEBAAAACy0xOTA0ODYwNzQ0AwAAAAMxNjACAAAABDEyMjIEAAAAATAHAAAACDMvNy8yMDI2CAAAAAoxMi8zMS8yMDIzCQAAAAEwixvNJP+B3ggVQjUo/4HeCC1DSVEuTllTRTpJQk0u</t>
  </si>
  <si>
    <t>SVFfQ09NTU9OLjk5Ni4wNy8wMy8yMDI2Li4uVVNELkgBAAAA3rYBAAIAAAAFNTczMTkBCAAAAAUAAAABMQEAAAALLTIwMDg2NDcxOTgDAAAAAzE2MAIAAAAEMTEwMwQAAAABMAcAAAAIMy83LzIwMjYIAAAACjEyLzMxLzIwMjEJAAAAATCLG80k/4HeCBVCNSj/gd4IMUNJUS5OWVNFOklCTS5JUV9QUkVGX09USEVSLjk5NS4wNy8wMy8yMDI2Li4uVVNELkgBAAAA3rYBAAMAAAAAAIsbzST/gd4Ie980KP+B3gg2Q0lRLk5ZU0U6SUJNLklRX1BSRUZfTk9OX1JFREVFTS45OTMuMDcvMDMvMjAyNi4uLlVTRC5IAQAAAN62AQADAAAAAACLG80k/4HeCAMHNSj/gd4INkNJUS5OWVNFOklCTS5JUV9ERUZfVEFYX0xJQUJfTFQuOTk3LjA3LzAzLzIwMjYuLi5VU0QuSAEAAADetgEAAgAAAAQyMjkyAQgAAAAFAAAAATEBAAAACy0xOTU4MjgxMDk2AwAAAAMxNjACAAAABDEwMjcEAAAAATAHAAAACDMvNy8yMDI2CAAAAAoxMi8zMS8yMDIyCQAAAAEwixvNJP+B3ggDBzUo/4HeCDBDSVEuTllTRTpJQk0uSVFfVEJWX1NIQVJFLjk5Ni4wNy8wMy8yMDI2Li4uVVNELkgBAAAA3rYBAAIAAAAKLTU0Ljg0MzI0OQEIAAAABQAAAAExAQAAAAstMjAwODY0NzE5OAMAAAADMTYwAgAAAAQ0MTU2BAAAAAEwBwAAAAgzLzcvMjAyNggAAAAKMTIvMzEvMjAyMQkAAAABMIsbzST/gd4IAwc1KP+B3ghDQ0lRLk5ZU0U6SUJNLklRX1RPVEFM</t>
  </si>
  <si>
    <t>X0RFQlRfRVhDTF9PUEVSX0xFQVNFUy4xMDAwLjA3LzAzLzIwMjYuLi5VU0QuSAEAAADetgEAAgAAAAU2MTI2MAEIAAAABQAAAAExAQAAAAstMTkwNDg2MDc0MAMAAAADMTYwAgAAAAU0ODk4MgQAAAABMAcAAAAIMy83LzIwMjYIAAAACjEyLzMxLzIwMjUJAAAAATCLG80k/4HeCAMHNSj/gd4IM0NJUS5OWVNFOklCTS5JUV9UT1RBTF9MRUFTRVMuOTk0LjA3LzAzLzIwMjYuLi5VU0QuSAEAAADetgEAAgAAAAQ1NDYyAQgAAAAFAAAAATEBAAAACy0yMTEwNzY5MzU1AwAAAAMxNjACAAAABTQ4OTc5BAAAAAEwBwAAAAgzLzcvMjAyNggAAAAKMTIvMzEvMjAxOQkAAAABMIsbzST/gd4ISqg0KP+B3ghOQ0lRLk5ZU0U6SUJNLklRX0NVUlJFTlRfUE9SVElPTl9PUEVSX0xFQVNFX0xJQUJJTElUSUVTLjEwMDAuMDcvMDMvMjAyNi4uLlVTRC5IAQAAAN62AQACAAAAAzgwMAEIAAAABQAAAAExAQAAAAstMTkwNDg2MDc0MAMAAAADMTYwAgAAAAU0ODM4NQQAAAABMAcAAAAIMy83LzIwMjYIAAAACjEyLzMxLzIwMjUJAAAAATCLG80k/4HeCHvfNCj/gd4IP0NJUS5OWVNFOklCTS5JUV9GSU5BTkNFX0xFQVNFU19MT05HX1RFUk0uOTk4LjA3LzAzLzIwMjYuLi5VU0QuSAEAAADetgEAAgAAAAMzNzkBCAAAAAUAAAABMQEAAAALLTE5MDQ4NjA3NDQDAAAAAzE2MAIAAAAFNDg5OTEEAAAAATAHAAAACDMvNy8yMDI2CAAAAAox</t>
  </si>
  <si>
    <t>Mi8zMS8yMDIzCQAAAAEwixvNJP+B3gh73zQo/4HeCDZDSVEuTllTRTpJQk0uSVFfQVNTRVRTX0xFVkVMXzMuMTAwMC4wNy8wMy8yMDI2Li4uVVNELkgBAAAA3rYBAAMAAAAAAIsbzST/gd4Ie980KP+B3ghCQ0lRLk5ZU0U6SUJNLklRX0RFRl9UQVhfVkFMVUFUSU9OX0FMTE9XQU5DRS45OTguMDcvMDMvMjAyNi4uLlVTRC5IAQAAAN62AQACAAAAAzc2NQEIAAAABQAAAAExAQAAAAstMTkwNDg2MDc0NAMAAAADMTYwAgAAAAU0NjA0NQQAAAABMAcAAAAIMy83LzIwMjYIAAAACjEyLzMxLzIwMjMJAAAAATCLG80k/4HeCHvfNCj/gd4IMENJUS5OWVNFOklCTS5JUV9NQUNISU5FUlkuOTkzLjA3LzAzLzIwMjYuLi5VU0QuSAEAAADetgEAAgAAAAUxODI5MgEIAAAABQAAAAExAQAAAAoyMDgxNTA1NDAxAwAAAAMxNjACAAAABDMxMTQEAAAAATAHAAAACDMvNy8yMDI2CAAAAAoxMi8zMS8yMDE4CQAAAAEwixvNJP+B3ghKqDQo/4HeCC5DSVEuTllTRTpJQk0uSVFfV0lQX0lOVi45OTIuMDcvMDMvMjAyNi4uLlVTRC5IAQAAAN62AQACAAAABDEyNTABCAAAAAUAAAABMQEAAAAKMjAxNzE2NDI0NAMAAAADMTYwAgAAAAQzMjE5BAAAAAEwBwAAAAgzLzcvMjAyNggAAAAKMTIvMzEvMjAxNwkAAAABMIsbzST/gd4ISqg0KP+B3ggvQ0lRLk5ZU0U6SUJNLklRX05FVF9ERUJULjk5Ni4wNy8wMy8yMDI2Li4uVVNELkgBAAAA</t>
  </si>
  <si>
    <t>3rYBAAIAAAAFNDc4OTABCAAAAAUAAAABMQEAAAALLTIwMDg2NDcxOTgDAAAAAzE2MAIAAAAENDM2NAQAAAABMAcAAAAIMy83LzIwMjYIAAAACjEyLzMxLzIwMjEJAAAAATCLG80k/4HeCEqoNCj/gd4IO0NJUS5OWVNFOklCTS5JUV9GSU5fRElWX0RFQlRfQ1VSUkVOVC45OTMuMDcvMDMvMjAyNi4uLlVTRC5IAQAAAN62AQADAAAAAACLG80k/4HeCEqoNCj/gd4IKUNJUS5OWVNFOklCTS5JUV9BRS45OTcuMDcvMDMvMjAyNi4uLlVTRC5IAQAAAN62AQACAAAABDcwNDYBCAAAAAUAAAABMQEAAAALLTE5NTgyODEwOTYDAAAAAzE2MAIAAAAEMTAxNgQAAAABMAcAAAAIMy83LzIwMjYIAAAACjEyLzMxLzIwMjIJAAAAATCLG80k/4HeCEqoNCj/gd4IM0NJUS5OWVNFOklCTS5JUV9UT1RBTF9BU1NFVFMuOTk0LjA3LzAzLzIwMjYuLi5VU0QuSAEAAADetgEAAgAAAAYxNTIxODYBCAAAAAUAAAABMQEAAAALLTIxMTA3NjkzNTUDAAAAAzE2MAIAAAAEMTAwNwQAAAABMAcAAAAIMy83LzIwMjYIAAAACjEyLzMxLzIwMTkJAAAAATCLG80k/4HeCJRtNCj/gd4INkNJUS5OWVNFOklCTS5JUV9MT0FOU19SRUNFSVZfTFQuOTk4LjA3LzAzLzIwMjYuLi5VU0QuSAEAAADetgEAAwAAAAAAixvNJP+B3giUbTQo/4HeCDhDSVEuTllTRTpJQk0uSVFfRklOX0RJVl9BU1NFVFNfTFQuOTk1LjA3LzAzLzIwMjYuLi5VU0QuSAEAAADe</t>
  </si>
  <si>
    <t>tgEAAwAAAAAAixvNJP+B3giUbTQo/4HeCDRDSVEuTllTRTpJQk0uSVFfVU5FQVJOX1JFVl9MVC45OTMuMDcvMDMvMjAyNi4uLlVTRC5IAQAAAN62AQACAAAABDM0NDUBCAAAAAUAAAABMQEAAAAKMjA4MTUwNTQwMQMAAAADMTYwAgAAAAQxMjU2BAAAAAEwBwAAAAgzLzcvMjAyNggAAAAKMTIvMzEvMjAxOAkAAAABMIsbzST/gd4IlG00KP+B3gg3Q0lRLk5ZU0U6SUJNLklRX0ZJTl9ESVZfREVCVF9MVC4xMDAwLjA3LzAzLzIwMjYuLi5VU0QuSAEAAADetgEAAwAAAAAAixvNJP+B3giUbTQo/4HeCC5DSVEuTllTRTpJQk0uSVFfTFRfREVCVC45OTcuMDcvMDMvMjAyNi4uLlVTRC5IAQAAAN62AQACAAAABTQ2MDI1AQgAAAAFAAAAATEBAAAACy0xOTU4MjgxMDk2AwAAAAMxNjACAAAABDEwNDkEAAAAATAHAAAACDMvNy8yMDI2CAAAAAoxMi8zMS8yMDIyCQAAAAEwixvNJP+B3giFRjQo/4HeCC9DSVEuTllTRTpJQk0uSVFfVE9UQUxfQ0wuOTkyLjA3LzAzLzIwMjYuLi5VU0QuSAEAAADetgEAAgAAAAUzNzM2MwEIAAAABQAAAAExAQAAAAoyMDE3MTY0MjQ0AwAAAAMxNjACAAAABDEwMDkEAAAAATAHAAAACDMvNy8yMDI2CAAAAAoxMi8zMS8yMDE3CQAAAAEwixvNJP+B3giFRjQo/4HeCDtDSVEuTllTRTpJQk0uSVFfRklOX0RJVl9MSUFCX0NVUlJFTlQuOTk4LjA3LzAzLzIwMjYuLi5VU0QuSAEAAADetgEAAwAA</t>
  </si>
  <si>
    <t>AAAAixvNJP+B3giFRjQo/4HeCC1DSVEuTllTRTpJQk0uSVFfQ09NTU9OLjk5NS4wNy8wMy8yMDI2Li4uVVNELkgBAAAA3rYBAAIAAAAFNTY1NTYBCAAAAAUAAAABMQEAAAALLTIwNTkwNzMyMDIDAAAAAzE2MAIAAAAEMTEwMwQAAAABMAcAAAAIMy83LzIwMjYIAAAACjEyLzMxLzIwMjAJAAAAATCLG80k/4HeCJRtNCj/gd4IMUNJUS5OWVNFOklCTS5JUV9QUkVGX09USEVSLjk5NC4wNy8wMy8yMDI2Li4uVVNELkgBAAAA3rYBAAMAAAAAAIsbzST/gd4IlG00KP+B3gg2Q0lRLk5ZU0U6SUJNLklRX1BSRUZfTk9OX1JFREVFTS45OTIuMDcvMDMvMjAyNi4uLlVTRC5IAQAAAN62AQADAAAAAACLG80k/4HeCHUfNCj/gd4IMUNJUS5OWVNFOklCTS5JUV9UT1RBTF9MSUFCLjk5OS4wNy8wMy8yMDI2Li4uVVNELkgBAAAA3rYBAAIAAAAGMTA5NzgyAQgAAAAFAAAAATEBAAAACy0xOTA0ODYwNzQzAwAAAAMxNjACAAAABDEyNzYEAAAAATAHAAAACDMvNy8yMDI2CAAAAAoxMi8zMS8yMDI0CQAAAAEwixvNJP+B3gh1HzQo/4HeCDZDSVEuTllTRTpJQk0uSVFfREVGX1RBWF9MSUFCX0xULjk5Ni4wNy8wMy8yMDI2Li4uVVNELkgBAAAA3rYBAAIAAAAEMzk1NgEIAAAABQAAAAExAQAAAAstMjAwODY0NzE5OAMAAAADMTYwAgAAAAQxMDI3BAAAAAEwBwAAAAgzLzcvMjAyNggAAAAKMTIvMzEvMjAyMQkAAAABMIsbzST/gd4I</t>
  </si>
  <si>
    <t>dR80KP+B3gg1Q0lRLk5ZU0U6SUJNLklRX1JVQV9BQ0NVTV9ERVAuMTAwMC4wNy8wMy8yMDI2Li4uVVNELkgBAAAA3rYBAAMAAAAAAIsbzST/gd4IdR80KP+B3gg5Q0lRLk5ZU0U6SUJNLklRX1RPVEFMX0xJQUJfRVFVSVRZLjEwMDAuMDcvMDMvMjAyNi4uLlVTRC5IAQAAAN62AQACAAAABjE1MTg4MAEIAAAABQAAAAExAQAAAAstMTkwNDg2MDc0MAMAAAADMTYwAgAAAAQxMDEzBAAAAAEwBwAAAAgzLzcvMjAyNggAAAAKMTIvMzEvMjAyNQkAAAABMIsbzST/gd4IhUY0KP+B3gg5Q0lRLk5ZU0U6SUJNLklRX01JTk9SSVRZX0lOVEVSRVNULjEwMDAuMDcvMDMvMjAyNi4uLlVTRC5IAQAAAN62AQACAAAAAjkzAQgAAAAFAAAAATEBAAAACy0xOTA0ODYwNzQwAwAAAAMxNjACAAAABDEwNTIEAAAAATAHAAAACDMvNy8yMDI2CAAAAAoxMi8zMS8yMDI1CQAAAAEwixvNJP+B3ghm+DMo/4HeCDNDSVEuTllTRTpJQk0uSVFfT1RIRVJfRVFVSVRZLjk5OS4wNy8wMy8yMDI2Li4uVVNELkgBAAAA3rYBAAIAAAAGLTE1MjY4AQgAAAAFAAAAATEBAAAACy0xOTA0ODYwNzQzAwAAAAMxNjACAAAABDEwMjgEAAAAATAHAAAACDMvNy8yMDI2CAAAAAoxMi8zMS8yMDI0CQAAAAEwixvNJP+B3ghm+DMo/4HeCClDSVEuTllTRTpJQk0uSVFfUkUuOTk3LjA3LzAzLzIwMjYuLi5VU0QuSAEAAADetgEAAgAAAAYxNDk4MjUBCAAAAAUA</t>
  </si>
  <si>
    <t>AAABMQEAAAALLTE5NTgyODEwOTYDAAAAAzE2MAIAAAAEMTIyMgQAAAABMAcAAAAIMy83LzIwMjYIAAAACjEyLzMxLzIwMjIJAAAAATCLG80k/4HeCGb4Myj/gd4IQkNJUS5OWVNFOklCTS5JUV9UT1RBTF9ERUJUX0VYQ0xfT1BFUl9MRUFTRVMuOTk5LjA3LzAzLzIwMjYuLi5VU0QuSAEAAADetgEAAgAAAAU1NDk3MwEIAAAABQAAAAExAQAAAAstMTkwNDg2MDc0MwMAAAADMTYwAgAAAAU0ODk4MgQAAAABMAcAAAAIMy83LzIwMjYIAAAACjEyLzMxLzIwMjQJAAAAATCLG80k/4HeCGb4Myj/gd4ISENJUS5OWVNFOklCTS5JUV9MVF9QT1JUSU9OX09QRVJfTEVBU0VfTElBQklMSVRJRVMuOTk2LjA3LzAzLzIwMjYuLi5VU0QuSAEAAADetgEAAgAAAAQyNDYyAQgAAAAFAAAAATEBAAAACy0yMDA4NjQ3MTk4AwAAAAMxNjACAAAABTQ4MzgzBAAAAAEwBwAAAAgzLzcvMjAyNggAAAAKMTIvMzEvMjAyMQkAAAABMIsbzST/gd4IZvgzKP+B3gg/Q0lRLk5ZU0U6SUJNLklRX0ZJTkFOQ0VfTEVBU0VTX0xPTkdfVEVSTS45OTcuMDcvMDMvMjAyNi4uLlVTRC5IAQAAAN62AQACAAAAAzE2NAEIAAAABQAAAAExAQAAAAstMTk1ODI4MTA5NgMAAAADMTYwAgAAAAU0ODk5MQQAAAABMAcAAAAIMy83LzIwMjYIAAAACjEyLzMxLzIwMjIJAAAAATCLG80k/4HeCEWqMyj/gd4IPkNJUS5OWVNFOklCTS5JUV9SVUFfT1BFUkFUSU5H</t>
  </si>
  <si>
    <t>X0xFQVNFX05FVC45OTguMDcvMDMvMjAyNi4uLlVTRC5IAQAAAN62AQADAAAAAACLG80k/4HeCFXRMyj/gd4IPUNJUS5OWVNFOklCTS5JUV9SVUFfQ0FQSVRBTF9MRUFTRV9ORVQuMTAwMC4wNy8wMy8yMDI2Li4uVVNELkgBAAAA3rYBAAMAAAAAAIsbzST/gd4IVdEzKP+B3ghHQ0lRLk5ZU0U6SUJNLklRX0FTU0VUU19ORVRUSU5HX09USEVSX0FESlVTVE1FTlRTLjk5Ni4wNy8wMy8yMDI2Li4uVVNELkgBAAAA3rYBAAMAAAAAAIsbzST/gd4IVdEzKP+B3ghCQ0lRLk5ZU0U6SUJNLklRX0RFRl9UQVhfVkFMVUFUSU9OX0FMTE9XQU5DRS45OTUuMDcvMDMvMjAyNi4uLlVTRC5IAQAAAN62AQACAAAAAzg1MAEIAAAABQAAAAExAQAAAAstMjA1OTA3MzIwMgMAAAADMTYwAgAAAAU0NjA0NQQAAAABMAcAAAAIMy83LzIwMjYIAAAACjEyLzMxLzIwMjAJAAAAATCLG80k/4HeCFXRMyj/gd4IL0NJUS5OWVNFOklCTS5JUV9TT0ZUV0FSRS45OTYuMDcvMDMvMjAyNi4uLlVTRC5IAQAAAN62AQADAAAAAACLG80k/4HeCDaDMyj/gd4IPkNJUS5OWVNFOklCTS5JUV9NSU5PUklUWV9JTlRFUkVTVF9UT1RBTC45OTYuMDcvMDMvMjAyNi4uLlVTRC5IAQAAAN62AQACAAAAAjk1AQgAAAAFAAAAATEBAAAACy0yMDA4NjQ3MTk4AwAAAAMxNjACAAAABDEzMTIEAAAAATAHAAAACDMvNy8yMDI2CAAAAAoxMi8zMS8yMDIxCQAAAAEw</t>
  </si>
  <si>
    <t>ixvNJP+B3gg2gzMo/4HeCDJDSVEuTllTRTpJQk0uSVFfQ0FTSF9TSEFSRS4xMDAwLjA3LzAzLzIwMjYuLi5VU0QuSAEAAADetgEAAgAAAAkxNC41MDEyNzQBCAAAAAUAAAABMQEAAAALLTE5MDQ4NjA3NDADAAAAAzE2MAIAAAAENDM4MQQAAAABMAcAAAAIMy83LzIwMjYIAAAACjEyLzMxLzIwMjUJAAAAATCLG80k/4HeCEWqMyj/gd4ILkNJUS5OWVNFOklCTS5JUV9MVF9ERUJULjk5Ni4wNy8wMy8yMDI2Li4uVVNELkgBAAAA3rYBAAIAAAAFNDQ4NTQBCAAAAAUAAAABMQEAAAALLTIwMDg2NDcxOTgDAAAAAzE2MAIAAAAEMTA0OQQAAAABMAcAAAAIMy83LzIwMjYIAAAACjEyLzMxLzIwMjEJAAAAATCLG80k/4HeCEWqMyj/gd4IOkNJUS5OWVNFOklCTS5JUV9VTkVBUk5fUkVWX0NVUlJFTlQuMTAwMC4wNy8wMy8yMDI2Li4uVVNELkgBAAAA3rYBAAIAAAAFMTYxMDEBCAAAAAUAAAABMQEAAAALLTE5MDQ4NjA3NDADAAAAAzE2MAIAAAAEMTA3NAQAAAABMAcAAAAIMy83LzIwMjYIAAAACjEyLzMxLzIwMjUJAAAAATCLG80k/4HeCEWqMyj/gd4IOkNJUS5OWVNFOklCTS5JUV9JTkNfVEFYX1BBWV9DVVJSRU5ULjk5NS4wNy8wMy8yMDI2Li4uVVNELkgBAAAA3rYBAAIAAAAEMzE5OAEIAAAABQAAAAExAQAAAAstMjA1OTA3MzIwMgMAAAADMTYwAgAAAAQxMDk0BAAAAAEwBwAAAAgzLzcvMjAyNggAAAAKMTIvMzEv</t>
  </si>
  <si>
    <t>MjAyMAkAAAABMIsbzST/gd4IMFwzKP+B3gg7Q0lRLk5ZU0U6SUJNLklRX0ZJTl9ESVZfREVCVF9DVVJSRU5ULjk5Mi4wNy8wMy8yMDI2Li4uVVNELkgBAAAA3rYBAAMAAAAAAIsbzST/gd4IMFwzKP+B3ggpQ0lRLk5ZU0U6SUJNLklRX0FFLjk5Ni4wNy8wMy8yMDI2Li4uVVNELkgBAAAA3rYBAAIAAAAENzAzNgEIAAAABQAAAAExAQAAAAstMjAwODY0NzE5OAMAAAADMTYwAgAAAAQxMDE2BAAAAAEwBwAAAAgzLzcvMjAyNggAAAAKMTIvMzEvMjAyMQkAAAABMIsbzST/gd4INoMzKP+B3ggtQ0lRLk5ZU0U6SUJNLklRX0NPTU1PTi45OTQuMDcvMDMvMjAyNi4uLlVTRC5IAQAAAN62AQACAAAABTU1ODk1AQgAAAAFAAAAATEBAAAACy0yMTEwNzY5MzU1AwAAAAMxNjACAAAABDExMDMEAAAAATAHAAAACDMvNy8yMDI2CAAAAAoxMi8zMS8yMDE5CQAAAAEwixvNJP+B3gg2gzMo/4HeCDFDSVEuTllTRTpJQk0uSVFfUFJFRl9PVEhFUi45OTIuMDcvMDMvMjAyNi4uLlVTRC5IAQAAAN62AQADAAAAAACLG80k/4HeCDaDMyj/gd4IMUNJUS5OWVNFOklCTS5JUV9UT1RBTF9MSUFCLjk5OC4wNy8wMy8yMDI2Li4uVVNELkgBAAAA3rYBAAIAAAAGMTEyNjI4AQgAAAAFAAAAATEBAAAACy0xOTA0ODYwNzQ0AwAAAAMxNjACAAAABDEyNzYEAAAAATAHAAAACDMvNy8yMDI2CAAAAAoxMi8zMS8yMDIzCQAAAAEwixvNJP+B3ggY</t>
  </si>
  <si>
    <t>NTMo/4HeCDZDSVEuTllTRTpJQk0uSVFfREVGX1RBWF9MSUFCX0xULjk5NS4wNy8wMy8yMDI2Li4uVVNELkgBAAAA3rYBAAIAAAAENDk1OAEIAAAABQAAAAExAQAAAAstMjA1OTA3MzIwMgMAAAADMTYwAgAAAAQxMDI3BAAAAAEwBwAAAAgzLzcvMjAyNggAAAAKMTIvMzEvMjAyMAkAAAABMIsbzST/gd4IGDUzKP+B3gg2Q0lRLk5ZU0U6SUJNLklRX0ZJTl9ESVZfREVCVF9MVC45OTkuMDcvMDMvMjAyNi4uLlVTRC5IAQAAAN62AQADAAAAAACLG80k/4HeCBg1Myj/gd4INENJUS5OWVNFOklCTS5JUV9SVUFfQUNDVU1fREVQLjk5OS4wNy8wMy8yMDI2Li4uVVNELkgBAAAA3rYBAAMAAAAAAIsbzST/gd4IMFwzKP+B3gg4Q0lRLk5ZU0U6SUJNLklRX1RPVEFMX0xJQUJfRVFVSVRZLjk5OC4wNy8wMy8yMDI2Li4uVVNELkgBAAAA3rYBAAIAAAAGMTM1MjQxAQgAAAAFAAAAATEBAAAACy0xOTA0ODYwNzQ0AwAAAAMxNjACAAAABDEwMTMEAAAAATAHAAAACDMvNy8yMDI2CAAAAAoxMi8zMS8yMDIzCQAAAAEwixvNJP+B3ggwXDMo/4HeCDhDSVEuTllTRTpJQk0uSVFfTUlOT1JJVFlfSU5URVJFU1QuOTk5LjA3LzAzLzIwMjYuLi5VU0QuSAEAAADetgEAAgAAAAI4NgEIAAAABQAAAAExAQAAAAstMTkwNDg2MDc0MwMAAAADMTYwAgAAAAQxMDUyBAAAAAEwBwAAAAgzLzcvMjAyNggAAAAKMTIvMzEvMjAyNAkAAAABMIsb</t>
  </si>
  <si>
    <t>zST/gd4I5Q0zKP+B3ggzQ0lRLk5ZU0U6SUJNLklRX09USEVSX0VRVUlUWS45OTguMDcvMDMvMjAyNi4uLlVTRC5IAQAAAN62AQACAAAABi0xODc2MgEIAAAABQAAAAExAQAAAAstMTkwNDg2MDc0NAMAAAADMTYwAgAAAAQxMDI4BAAAAAEwBwAAAAgzLzcvMjAyNggAAAAKMTIvMzEvMjAyMwkAAAABMIsbzST/gd4I5Q0zKP+B3ggpQ0lRLk5ZU0U6SUJNLklRX1JFLjk5Ni4wNy8wMy8yMDI2Li4uVVNELkgBAAAA3rYBAAIAAAAGMTU0MjA5AQgAAAAFAAAAATEBAAAACy0yMDA4NjQ3MTk4AwAAAAMxNjACAAAABDEyMjIEAAAAATAHAAAACDMvNy8yMDI2CAAAAAoxMi8zMS8yMDIxCQAAAAEwixvNJP+B3gjlDTMo/4HeCEhDSVEuTllTRTpJQk0uSVFfTFRfUE9SVElPTl9PUEVSX0xFQVNFX0xJQUJJTElUSUVTLjk5NS4wNy8wMy8yMDI2Li4uVVNELkgBAAAA3rYBAAIAAAAEMjcyMAEIAAAABQAAAAExAQAAAAstMjA1OTA3MzIwMgMAAAADMTYwAgAAAAU0ODM4MwQAAAABMAcAAAAIMy83LzIwMjYIAAAACjEyLzMxLzIwMjAJAAAAATCLG80k/4HeCOUNMyj/gd4IP0NJUS5OWVNFOklCTS5JUV9GSU5BTkNFX0xFQVNFU19MT05HX1RFUk0uOTk2LjA3LzAzLzIwMjYuLi5VU0QuSAEAAADetgEAAgAAAAI2MwEIAAAABQAAAAExAQAAAAstMjAwODY0NzE5OAMAAAADMTYwAgAAAAU0ODk5MQQAAAABMAcAAAAIMy83LzIwMjYI</t>
  </si>
  <si>
    <t>AAAACjEyLzMxLzIwMjEJAAAAATCLG80k/4HeCBg1Myj/gd4IPkNJUS5OWVNFOklCTS5JUV9SVUFfT1BFUkFUSU5HX0xFQVNFX05FVC45OTcuMDcvMDMvMjAyNi4uLlVTRC5IAQAAAN62AQADAAAAAACLG80k/4HeCKbmMij/gd4IQENJUS5OWVNFOklCTS5JUV9SVUFfT1BFUkFUSU5HX0xFQVNFX0dST1NTLjk5Ny4wNy8wMy8yMDI2Li4uVVNELkgBAAAA3rYBAAIAAAAEMjg3OAEIAAAABQAAAAExAQAAAAstMTk1ODI4MTA5NgMAAAADMTYwAgAAAAU0ODM3NwQAAAABMAcAAAAIMy83LzIwMjYIAAAACjEyLzMxLzIwMjIJAAAAATCLG80k/4HeCKbmMij/gd4IP0NJUS5OWVNFOklCTS5JUV9SVUFfQ0FQSVRBTF9MRUFTRV9HUk9TUy4xMDAwLjA3LzAzLzIwMjYuLi5VU0QuSAEAAADetgEAAwAAAAAAixvNJP+B3ghG+jIo/4HeCDdDSVEuTllTRTpJQk0uSVFfQUxMT1dfRE9VQlRfQUNDVC45OTkuMDcvMDMvMjAyNi4uLlVTRC5IAQAAAN62AQACAAAAAzExNAEIAAAABQAAAAExAQAAAAstMTkwNDg2MDc0MwMAAAADMTYwAgAAAAQzMDEyBAAAAAEwBwAAAAgzLzcvMjAyNggAAAAKMTIvMzEvMjAyNAkAAAABMIsbzST/gd4IRvoyKP+B3gg+Q0lRLk5ZU0U6SUJNLklRX01JTk9SSVRZX0lOVEVSRVNUX1RPVEFMLjk5NC4wNy8wMy8yMDI2Li4uVVNELkgBAAAA3rYBAAIAAAADMTQ0AQgAAAAFAAAAATEBAAAACy0yMTEwNzY5</t>
  </si>
  <si>
    <t>MzU1AwAAAAMxNjACAAAABDEzMTIEAAAAATAHAAAACDMvNy8yMDI2CAAAAAoxMi8zMS8yMDE5CQAAAAEwixvNJP+B3ghG+jIo/4HeCDFDSVEuTllTRTpJQk0uSVFfQ0FTSF9TSEFSRS45OTguMDcvMDMvMjAyNi4uLlVTRC5IAQAAAN62AQACAAAACTE0LjI4MTc1NAEIAAAABQAAAAExAQAAAAstMTkwNDg2MDc0NAMAAAADMTYwAgAAAAQ0MzgxBAAAAAEwBwAAAAgzLzcvMjAyNggAAAAKMTIvMzEvMjAyMwkAAAABMIsbzST/gd4IhZgyKP+B3ggvQ0lRLk5ZU0U6SUJNLklRX0JWX1NIQVJFLjk5NC4wNy8wMy8yMDI2Li4uVVNELkgBAAAA3rYBAAIAAAAJMjMuNDkzMTI4AQgAAAAFAAAAATEBAAAACy0yMTEwNzY5MzU1AwAAAAMxNjACAAAABDQwMjAEAAAAATAHAAAACDMvNy8yMDI2CAAAAAoxMi8zMS8yMDE5CQAAAAEwixvNJP+B3giXvzIo/4HeCEJDSVEuTllTRTpJQk0uSVFfVE9UQUxfREVCVF9FWENMX09QRVJfTEVBU0VTLjk5OC4wNy8wMy8yMDI2Li4uVVNELkgBAAAA3rYBAAIAAAAFNTY1NDcBCAAAAAUAAAABMQEAAAALLTE5MDQ4NjA3NDQDAAAAAzE2MAIAAAAFNDg5ODIEAAAAATAHAAAACDMvNy8yMDI2CAAAAAoxMi8zMS8yMDIzCQAAAAEwixvNJP+B3giXvzIo/4HeCDBDSVEuTllTRTpJQk0uSVFfTFRfSU5WRVNULjk5Ny4wNy8wMy8yMDI2Li4uVVNELkgBAAAA3rYBAAIAAAAEMTYxMAEIAAAABQAAAAEx</t>
  </si>
  <si>
    <t>AQAAAAstMTk1ODI4MTA5NgMAAAADMTYwAgAAAAQxMDU0BAAAAAEwBwAAAAgzLzcvMjAyNggAAAAKMTIvMzEvMjAyMgkAAAABMIsbzST/gd4Il78yKP+B3ggrQ0lRLk5ZU0U6SUJNLklRX05QUEUuOTkyLjA3LzAzLzIwMjYuLi5VU0QuSAEAAADetgEAAgAAAAUxMTExNgEIAAAABQAAAAExAQAAAAoyMDE3MTY0MjQ0AwAAAAMxNjACAAAABDEwMDQEAAAAATAHAAAACDMvNy8yMDI2CAAAAAoxMi8zMS8yMDE3CQAAAAEwixvNJP+B3giXvzIo/4HeCEdDSVEuTllTRTpJQk0uSVFfQVNTRVRTX05FVFRJTkdfT1RIRVJfQURKVVNUTUVOVFMuOTk0LjA3LzAzLzIwMjYuLi5VU0QuSAEAAADetgEAAwAAAAAAixvNJP+B3gh2cTIo/4HeCERDSVEuTllTRTpJQk0uSVFfR0VORVJBTF9QQVJUTkVSX0NPTU1PTl9FUVVJVFkuOTk4LjA3LzAzLzIwMjYuLi5VU0QuSAEAAADetgEAAwAAAAAAixvNJP+B3gh2cTIo/4HeCD1DSVEuTllTRTpJQk0uSVFfTkFUVVJBTF9SRVNPVVJDRVNfQ09TVC45OTIuMDcvMDMvMjAyNi4uLlVTRC5IAQAAAN62AQADAAAAAACLG80k/4HeCIWYMij/gd4IKUNJUS5OWVNFOklCTS5JUV9BRS45OTUuMDcvMDMvMjAyNi4uLlVTRC5IAQAAAN62AQACAAAABDc5MzUBCAAAAAUAAAABMQEAAAALLTIwNTkwNzMyMDIDAAAAAzE2MAIAAAAEMTAxNgQAAAABMAcAAAAIMy83LzIwMjYIAAAACjEyLzMxLzIwMjAJ</t>
  </si>
  <si>
    <t>AAAAATCLG80k/4HeCIWYMij/gd4IM0NJUS5OWVNFOklCTS5JUV9UT1RBTF9BU1NFVFMuOTkyLjA3LzAzLzIwMjYuLi5VU0QuSAEAAADetgEAAgAAAAYxMjUzNTYBCAAAAAUAAAABMQEAAAAKMjAxNzE2NDI0NAMAAAADMTYwAgAAAAQxMDA3BAAAAAEwBwAAAAgzLzcvMjAyNggAAAAKMTIvMzEvMjAxNwkAAAABMIsbzST/gd4IhZgyKP+B3gg1Q0lRLk5ZU0U6SUJNLklRX0RFRl9DSEFSR0VTX0xULjk5OS4wNy8wMy8yMDI2Li4uVVNELkgBAAAA3rYBAAIAAAADNzg4AQgAAAAFAAAAATEBAAAACy0xOTA0ODYwNzQzAwAAAAMxNjACAAAABDEwMjUEAAAAATAHAAAACDMvNy8yMDI2CAAAAAoxMi8zMS8yMDI0CQAAAAEwixvNJP+B3ghkSjIo/4HeCDZDSVEuTllTRTpJQk0uSVFfTE9BTlNfUkVDRUlWX0xULjk5Ni4wNy8wMy8yMDI2Li4uVVNELkgBAAAA3rYBAAMAAAAAAPZCzST/gd4IZEoyKP+B3ggzQ0lRLk5ZU0U6SUJNLklRX09USEVSX0lOVEFOLjEwMDAuMDcvMDMvMjAyNi4uLlVTRC5IAQAAAN62AQACAAAABTExMzkxAQgAAAAFAAAAATEBAAAACy0xOTA0ODYwNzQwAwAAAAMxNjACAAAABDEwNDAEAAAAATAHAAAACDMvNy8yMDI2CAAAAAoxMi8zMS8yMDI1CQAAAAEw9kLNJP+B3gh2cTIo/4HeCDZDSVEuTllTRTpJQk0uSVFfRklOX0RJVl9ERUJUX0xULjk5OC4wNy8wMy8yMDI2Li4uVVNELkgBAAAA3rYBAAMA</t>
  </si>
  <si>
    <t>AAAAAPZCzST/gd4IdnEyKP+B3gg3Q0lRLk5ZU0U6SUJNLklRX0xPTkdfVEVSTV9MRUFTRVMuOTkzLjA3LzAzLzIwMjYuLi5VU0QuSAEAAADetgEAAgAAAAIzOAEIAAAABQAAAAExAQAAAAoyMDgxNTA1NDAxAwAAAAMxNjACAAAABDExODMEAAAAATAHAAAACDMvNy8yMDI2CAAAAAoxMi8zMS8yMDE4CQAAAAEw9kLNJP+B3gh2cTIo/4HeCDlDSVEuTllTRTpJQk0uSVFfVU5FQVJOX1JFVl9DVVJSRU5ULjk5OS4wNy8wMy8yMDI2Li4uVVNELkgBAAAA3rYBAAIAAAAFMTM5MDcBCAAAAAUAAAABMQEAAAALLTE5MDQ4NjA3NDMDAAAAAzE2MAIAAAAEMTA3NAQAAAABMAcAAAAIMy83LzIwMjYIAAAACjEyLzMxLzIwMjQJAAAAATD2Qs0k/4HeCFUjMij/gd4IOkNJUS5OWVNFOklCTS5JUV9JTkNfVEFYX1BBWV9DVVJSRU5ULjk5NC4wNy8wMy8yMDI2Li4uVVNELkgBAAAA3rYBAAIAAAAEMjgzOQEIAAAABQAAAAExAQAAAAstMjExMDc2OTM1NQMAAAADMTYwAgAAAAQxMDk0BAAAAAEwBwAAAAgzLzcvMjAyNggAAAAKMTIvMzEvMjAxOQkAAAABMPZCzST/gd4IVSMyKP+B3gg4Q0lRLk5ZU0U6SUJNLklRX0NVUlJFTlRfUE9SVF9ERUJULjk5OC4wNy8wMy8yMDI2Li4uVVNELkgBAAAA3rYBAAIAAAAENjMwNAEIAAAABQAAAAExAQAAAAstMTkwNDg2MDc0NAMAAAADMTYwAgAAAAQxMjk3BAAAAAEwBwAAAAgzLzcvMjAyNggA</t>
  </si>
  <si>
    <t>AAAKMTIvMzEvMjAyMwkAAAABMPZCzST/gd4IVSMyKP+B3ggpQ0lRLk5ZU0U6SUJNLklRX1JFLjk5NS4wNy8wMy8yMDI2Li4uVVNELkgBAAAA3rYBAAIAAAAGMTYyNzE3AQgAAAAFAAAAATEBAAAACy0yMDU5MDczMjAyAwAAAAMxNjACAAAABDEyMjIEAAAAATAHAAAACDMvNy8yMDI2CAAAAAoxMi8zMS8yMDIwCQAAAAEw9kLNJP+B3ghkSjIo/4HeCC1DSVEuTllTRTpJQk0uSVFfQ09NTU9OLjk5My4wNy8wMy8yMDI2Li4uVVNELkgBAAAA3rYBAAIAAAAFNTUxNTEBCAAAAAUAAAABMQEAAAAKMjA4MTUwNTQwMQMAAAADMTYwAgAAAAQxMTAzBAAAAAEwBwAAAAgzLzcvMjAyNggAAAAKMTIvMzEvMjAxOAkAAAABMPZCzST/gd4IZEoyKP+B3gg3Q0lRLk5ZU0U6SUJNLklRX1BSRUZfTk9OX1JFREVFTS4xMDAwLjA3LzAzLzIwMjYuLi5VU0QuSAEAAADetgEAAwAAAAAA9kLNJP+B3ghF/DEo/4HeCDFDSVEuTllTRTpJQk0uSVFfVE9UQUxfTElBQi45OTcuMDcvMDMvMjAyNi4uLlVTRC5IAQAAAN62AQACAAAABjEwNTIyMgEIAAAABQAAAAExAQAAAAstMTk1ODI4MTA5NgMAAAADMTYwAgAAAAQxMjc2BAAAAAEwBwAAAAgzLzcvMjAyNggAAAAKMTIvMzEvMjAyMgkAAAABMPZCzST/gd4IRfwxKP+B3gg2Q0lRLk5ZU0U6SUJNLklRX0RFRl9UQVhfTElBQl9MVC45OTQuMDcvMDMvMjAyNi4uLlVTRC5IAQAAAN62AQACAAAA</t>
  </si>
  <si>
    <t>BDUyMzABCAAAAAUAAAABMQEAAAALLTIxMTA3NjkzNTUDAAAAAzE2MAIAAAAEMTAyNwQAAAABMAcAAAAIMy83LzIwMjYIAAAACjEyLzMxLzIwMTkJAAAAATD2Qs0k/4HeCEX8MSj/gd4IQkNJUS5OWVNFOklCTS5JUV9SVUFfQ0FQSVRBTF9MRUFTRV9BQ0NVTV9ERVAuOTk2LjA3LzAzLzIwMjYuLi5VU0QuSAEAAADetgEAAwAAAAAA9kLNJP+B3ghVIzIo/4HeCDRDSVEuTllTRTpJQk0uSVFfUlVBX0FDQ1VNX0RFUC45OTguMDcvMDMvMjAyNi4uLlVTRC5IAQAAAN62AQADAAAAAAD2Qs0k/4HeCFUjMij/gd4IOENJUS5OWVNFOklCTS5JUV9UT1RBTF9MSUFCX0VRVUlUWS45OTcuMDcvMDMvMjAyNi4uLlVTRC5IAQAAAN62AQACAAAABjEyNzI0MwEIAAAABQAAAAExAQAAAAstMTk1ODI4MTA5NgMAAAADMTYwAgAAAAQxMDEzBAAAAAEwBwAAAAgzLzcvMjAyNggAAAAKMTIvMzEvMjAyMgkAAAABMPZCzST/gd4INNUxKP+B3gg4Q0lRLk5ZU0U6SUJNLklRX01JTk9SSVRZX0lOVEVSRVNULjk5Ny4wNy8wMy8yMDI2Li4uVVNELkgBAAAA3rYBAAIAAAACNzcBCAAAAAUAAAABMQEAAAALLTE5NTgyODEwOTYDAAAAAzE2MAIAAAAEMTA1MgQAAAABMAcAAAAIMy83LzIwMjYIAAAACjEyLzMxLzIwMjIJAAAAATD2Qs0k/4HeCDTVMSj/gd4IM0NJUS5OWVNFOklCTS5JUV9PVEhFUl9FUVVJVFkuOTk3LjA3LzAzLzIwMjYuLi5V</t>
  </si>
  <si>
    <t>U0QuSAEAAADetgEAAgAAAAYtMTY3NDABCAAAAAUAAAABMQEAAAALLTE5NTgyODEwOTYDAAAAAzE2MAIAAAAEMTAyOAQAAAABMAcAAAAIMy83LzIwMjYIAAAACjEyLzMxLzIwMjIJAAAAATD2Qs0k/4HeCDTVMSj/gd4ISENJUS5OWVNFOklCTS5JUV9MVF9QT1JUSU9OX09QRVJfTEVBU0VfTElBQklMSVRJRVMuOTk0LjA3LzAzLzIwMjYuLi5VU0QuSAEAAADetgEAAgAAAAQzODc5AQgAAAAFAAAAATEBAAAACy0yMTEwNzY5MzU1AwAAAAMxNjACAAAABTQ4MzgzBAAAAAEwBwAAAAgzLzcvMjAyNggAAAAKMTIvMzEvMjAxOQkAAAABMPZCzST/gd4INNUxKP+B3gg/Q0lRLk5ZU0U6SUJNLklRX0ZJTkFOQ0VfTEVBU0VTX0xPTkdfVEVSTS45OTQuMDcvMDMvMjAyNi4uLlVTRC5IAQAAAN62AQACAAAAAzE1MQEIAAAABQAAAAExAQAAAAstMjExMDc2OTM1NQMAAAADMTYwAgAAAAU0ODk5MQQAAAABMAcAAAAIMy83LzIwMjYIAAAACjEyLzMxLzIwMTkJAAAAATD2Qs0k/4HeCEX8MSj/gd4IO0NJUS5OWVNFOklCTS5JUV9BRF9FWENMX09QRVJfTEVBU0VTLjEwMDAuMDcvMDMvMjAyNi4uLlVTRC5IAQAAAN62AQACAAAABi0xMTk3NQEIAAAABQAAAAExAQAAAAstMTkwNDg2MDc0MAMAAAADMTYwAgAAAAU0ODk3NQQAAAABMAcAAAAIMy83LzIwMjYIAAAACjEyLzMxLzIwMjUJAAAAATD2Qs0k/4HeCBaHMSj/gd4IPkNJUS5O</t>
  </si>
  <si>
    <t>WVNFOklCTS5JUV9SVUFfT1BFUkFUSU5HX0xFQVNFX05FVC45OTYuMDcvMDMvMjAyNi4uLlVTRC5IAQAAAN62AQADAAAAAAD2Qs0k/4HeCCSuMSj/gd4IQENJUS5OWVNFOklCTS5JUV9SVUFfT1BFUkFUSU5HX0xFQVNFX0dST1NTLjk5Ni4wNy8wMy8yMDI2Li4uVVNELkgBAAAA3rYBAAIAAAAEMzIyMgEIAAAABQAAAAExAQAAAAstMjAwODY0NzE5OAMAAAADMTYwAgAAAAU0ODM3NwQAAAABMAcAAAAIMy83LzIwMjYIAAAACjEyLzMxLzIwMjEJAAAAATD2Qs0k/4HeCCSuMSj/gd4IPkNJUS5OWVNFOklCTS5JUV9NSU5PUklUWV9JTlRFUkVTVF9UT1RBTC45OTMuMDcvMDMvMjAyNi4uLlVTRC5IAQAAAN62AQACAAAAAzEzNAEIAAAABQAAAAExAQAAAAoyMDgxNTA1NDAxAwAAAAMxNjACAAAABDEzMTIEAAAAATAHAAAACDMvNy8yMDI2CAAAAAoxMi8zMS8yMDE4CQAAAAEw9kLNJP+B3ggkrjEo/4HeCDFDSVEuTllTRTpJQk0uSVFfVE9UQUxfREVCVC45OTguMDcvMDMvMjAyNi4uLlVTRC5IAQAAAN62AQACAAAABTU5OTM1AQgAAAAFAAAAATEBAAAACy0xOTA0ODYwNzQ0AwAAAAMxNjACAAAABDQxNzMEAAAAATAHAAAACDMvNy8yMDI2CAAAAAoxMi8zMS8yMDIzCQAAAAEw9kLNJP+B3ggkrjEo/4HeCDlDSVEuTllTRTpJQk0uSVFfVEJWX1NIQVJFX1JFUE9SVEVELjk5OC4wNy8wMy8yMDI2Li4uVVNELkgBAAAA3rYB</t>
  </si>
  <si>
    <t>AAMAAAAAAPZCzST/gd4IBWAxKP+B3gg9Q0lRLk5ZU0U6SUJNLklRX1RPVEFMX0RFQlRfRVhDTF9MRUFTRVMuOTk1LjA3LzAzLzIwMjYuLi5VU0QuSAEAAADetgEAAgAAAAU2MTI0MwEIAAAABQAAAAExAQAAAAstMjA1OTA3MzIwMgMAAAADMTYwAgAAAAU0ODk5MgQAAAABMAcAAAAIMy83LzIwMjYIAAAACjEyLzMxLzIwMjAJAAAAATD2Qs0k/4HeCBaHMSj/gd4INENJUS5OWVNFOklCTS5JUV9UT1RBTF9MRUFTRVMuMTAwMC4wNy8wMy8yMDI2Li4uVVNELkgBAAAA3rYBAAIAAAAENDUwMAEIAAAABQAAAAExAQAAAAstMTkwNDg2MDc0MAMAAAADMTYwAgAAAAU0ODk3OQQAAAABMAcAAAAIMy83LzIwMjYIAAAACjEyLzMxLzIwMjUJAAAAATD2Qs0k/4HeCBaHMSj/gd4IOkNJUS5OWVNFOklCTS5JUV9DQVNIX0lOVEVSRVNUX09QRVIuMTAwMC4wNy8wMy8yMDI2Li4uVVNELkgBAAAA3rYBAAMAAAAAAPZCzST/gd4IFocxKP+B3gg9Q0lRLk5ZU0U6SUJNLklRX0NBU0hfSU5URVJFU1RfUkVDRUlWRUQuOTk0LjA3LzAzLzIwMjYuLi5VU0QuSAEAAADetgEAAwAAAAAA9kLNJP+B3ggWhzEo/4HeCD9DSVEuTllTRTpJQk0uSVFfQU1PUlRfU09GVFdBUkVfQVNTRVRTX0NGLjk5Ni4wNy8wMy8yMDI2Li4uVVNELkgBAAAA3rYBAAIAAAADNjkxAQgAAAAFAAAAATEBAAAACy0yMDA4NjQ3MTk4AwAAAAMxNjACAAAABTQ2MDEx</t>
  </si>
  <si>
    <t>BAAAAAEwBwAAAAgzLzcvMjAyNggAAAAKMTIvMzEvMjAyMQkAAAABMPZCzST/gd4I+TgxKP+B3ghCQ0lRLk5ZU0U6SUJNLklRX0dFTkVSQUxfUEFSVE5FUl9QUkVGX0VRVUlUWS45OTQuMDcvMDMvMjAyNi4uLlVTRC5IAQAAAN62AQADAAAAAAD2Qs0k/4HeCPk4MSj/gd4IN0NJUS5OWVNFOklCTS5JUV9BTExPV19ET1VCVF9BQ0NULjk5OC4wNy8wMy8yMDI2Li4uVVNELkgBAAAA3rYBAAIAAAADMTkyAQgAAAAFAAAAATEBAAAACy0xOTA0ODYwNzQ0AwAAAAMxNjACAAAABDMwMTIEAAAAATAHAAAACDMvNy8yMDI2CAAAAAoxMi8zMS8yMDIzCQAAAAEw9kLNJP+B3ggFYDEo/4HeCDZDSVEuTllTRTpJQk0uSVFfTkVUX0RFQlRfSVNTVUVELjk5NC4wNy8wMy8yMDI2Li4uVVNELkgBAAAA3rYBAAIAAAAFMTYyODQBCAAAAAUAAAABMQEAAAALLTIxMTA3NjkzNTUDAAAAAzE2MAIAAAAEMjAwMwQAAAABMAcAAAAIMy83LzIwMjYIAAAACjEyLzMxLzIwMTkJAAAAATD2Qs0k/4HeCAVgMSj/gd4IQUNJUS5OWVNFOklCTS5JUV9DSEFOR0VfTkVUX1dPUktJTkdfQ0FQSVRBTC45OTYuMDcvMDMvMjAyNi4uLlVTRC5IAQAAAN62AQACAAAABDI3NzIBCAAAAAUAAAABMQEAAAALLTIwMDg2NDcxOTgDAAAAAzE2MAIAAAAENDQyMQQAAAABMAcAAAAIMy83LzIwMjYIAAAACjEyLzMxLzIwMjEJAAAAATD2Qs0k/4HeCAVgMSj/gd4I</t>
  </si>
  <si>
    <t>N0NJUS5OWVNFOklCTS5JUV9DQVNIX1RBWEVTX0ZJTkFOLjk5Mi4wNy8wMy8yMDI2Li4uVVNELkgBAAAA3rYBAAMAAAAAAPZCzST/gd4IwhExKP+B3gg2Q0lRLk5ZU0U6SUJNLklRX0NBU0hfVEFYRVNfT1BFUi45OTguMDcvMDMvMjAyNi4uLlVTRC5IAQAAAN62AQADAAAAAAD2Qs0k/4HeCMIRMSj/gd4IMUNJUS5OWVNFOklCTS5JUV9DQVNIX1RBWEVTLjk5Mi4wNy8wMy8yMDI2Li4uVVNELkgBAAAA3rYBAAIAAAAEMTU5NwEIAAAABQAAAAExAQAAAAoyMDE3MTY0MjQ0AwAAAAMxNjACAAAABDMwNTMEAAAAATAHAAAACDMvNy8yMDI2CAAAAAoxMi8zMS8yMDE3CQAAAAEw9kLNJP+B3gjCETEo/4HeCDpDSVEuTllTRTpJQk0uSVFfR0FJTl9CQVJHQUlOX0FDUV9DRi45OTYuMDcvMDMvMjAyNi4uLlVTRC5IAQAAAN62AQADAAAAAAD2Qs0k/4HeCPk4MSj/gd4ISENJUS5OWVNFOklCTS5JUV9MT05HX1RFUk1fREVCVF9SRVBBSURfRVhDTF9MRUFTRVMuOTkyLjA3LzAzLzIwMjYuLi5VU0QuSAEAAADetgEAAgAAAAUtNjgxNgEIAAAABQAAAAExAQAAAAoyMDE3MTY0MjQ0AwAAAAMxNjACAAAABTQ4OTg0BAAAAAEwBwAAAAgzLzcvMjAyNggAAAAKMTIvMzEvMjAxNwkAAAABMPZCzST/gd4I+TgxKP+B3ghCQ0lRLk5ZU0U6SUJNLklRX09QRVJBVElOR19MRUFTRV9MSUFCSUxJVElFUy45OTguMDcvMDMvMjAyNi4uLlVT</t>
  </si>
  <si>
    <t>RC5IAQAAAN62AQADAAAAAAD2Qs0k/4HeCAzXMCj/gd4INENJUS5OWVNFOklCTS5JUV9ET19GSU5BTkNFX0NGLjk5NC4wNy8wMy8yMDI2Li4uVVNELkgBAAAA3rYBAAMAAAAAAPZCzST/gd4IDNcwKP+B3ggzQ0lRLk5ZU0U6SUJNLklRX01BSU5UX0NBUEVYLjEwMDAuMDcvMDMvMjAyNi4uLlVTRC5IAQAAAN62AQADAAAAAAD2Qs0k/4HeCAzXMCj/gd4IM0NJUS5OWVNFOklCTS5JUV9UT1RBTF9SRUNFSVYuOTk4LjA3LzAzLzIwMjYuLi5VU0QuSAEAAADetgEAAgAAAAQ4MzQ4AQgAAAAFAAAAATEBAAAACy0xOTA0ODYwNzQ0AwAAAAMxNjACAAAABDEwMDEEAAAAATAHAAAACDMvNy8yMDI2CAAAAAoxMi8zMS8yMDIzCQAAAAEw9kLNJP+B3gjCETEo/4HeCDVDSVEuTllTRTpJQk0uSVFfU1RfTk9URV9SRUNFSVYuOTkyLjA3LzAzLzIwMjYuLi5VU0QuSAEAAADetgEAAwAAAAAA9kLNJP+B3gjCETEo/4HeCClDSVEuTllTRTpJQk0uSVFfQVIuOTk4LjA3LzAzLzIwMjYuLi5VU0QuSAEAAADetgEAAgAAAAQ3NzE5AQgAAAAFAAAAATEBAAAACy0xOTA0ODYwNzQ0AwAAAAMxNjACAAAABDEwMjEEAAAAATAHAAAACDMvNy8yMDI2CAAAAAoxMi8zMS8yMDIzCQAAAAEw9kLNJP+B3gj7rzAo/4HeCDVDSVEuTllTRTpJQk0uSVFfVFJBRElOR19BU1NFVFMuOTk0LjA3LzAzLzIwMjYuLi5VU0QuSAEAAADetgEAAwAAAAAA9kLN</t>
  </si>
  <si>
    <t>JP+B3gj7rzAo/4HeCDJDSVEuTllTRTpJQk0uSVFfQ0FTSF9FUVVJVi4xMDAwLjA3LzAzLzIwMjYuLi5VU0QuSAEAAADetgEAAgAAAAUxMzU4NwEIAAAABQAAAAExAQAAAAstMTkwNDg2MDc0MAMAAAADMTYwAgAAAAQxMDk2BAAAAAEwBwAAAAgzLzcvMjAyNggAAAAKMTIvMzEvMjAyNQkAAAABMPZCzST/gd4IDNcwKP+B3ggpQ0lRLk5ZU0U6SUJNLklRX0dXLjk5NC4wNy8wMy8yMDI2Li4uVVNELkgBAAAA3rYBAAIAAAAFNTgyMjIBCAAAAAUAAAABMQEAAAALLTIxMTA3NjkzNTUDAAAAAzE2MAIAAAAEMTE3MQQAAAABMAcAAAAIMy83LzIwMjYIAAAACjEyLzMxLzIwMTkJAAAAATD2Qs0k/4HeCAzXMCj/gd4IMENJUS5OWVNFOklCTS5JUV9UT1RBTF9DQS4xMDAwLjA3LzAzLzIwMjYuLi5VU0QuSAEAAADetgEAAgAAAAUzNjk0NAEIAAAABQAAAAExAQAAAAstMTkwNDg2MDc0MAMAAAADMTYwAgAAAAQxMDA4BAAAAAEwBwAAAAgzLzcvMjAyNggAAAAKMTIvMzEvMjAyNQkAAAABMPZCzST/gd4IDNcwKP+B3gg1Q0lRLk5ZU0U6SUJNLklRX09USEVSX0NBX1NVUFBMLjk5NC4wNy8wMy8yMDI2Li4uVVNELkgBAAAA3rYBAAIAAAAEMjA3MQEIAAAABQAAAAExAQAAAAstMjExMDc2OTM1NQMAAAADMTYwAgAAAAQxMDU1BAAAAAEwBwAAAAgzLzcvMjAyNggAAAAKMTIvMzEvMjAxOQkAAAABMPZCzST/gd4I64gwKP+B3gg+</t>
  </si>
  <si>
    <t>Q0lRLk5ZU0U6SUJNLklRX0RFRl9UQVhfQVNTRVRTX0NVUlJFTlQuMTAwMC4wNy8wMy8yMDI2Li4uVVNELkgBAAAA3rYBAAMAAAAAAPZCzST/gd4I64gwKP+B3gg9Q0lRLk5ZU0U6SUJNLklRX0ZJTl9ESVZfQVNTRVRTX0NVUlJFTlQuOTk2LjA3LzAzLzIwMjYuLi5VU0QuSAEAAADetgEAAgAAAAM3OTMBCAAAAAUAAAABMQEAAAALLTIwMDg2NDcxOTgDAAAAAzE2MAIAAAAEMTAyOQQAAAABMAcAAAAIMy83LzIwMjYIAAAACjEyLzMxLzIwMjEJAAAAATD2Qs0k/4HeCOuIMCj/gd4IOENJUS5OWVNFOklCTS5JUV9DVVJSRU5UX1BPUlRfREVCVC45OTcuMDcvMDMvMjAyNi4uLlVTRC5IAQAAAN62AQACAAAABDQ2ODUBCAAAAAUAAAABMQEAAAALLTE5NTgyODEwOTYDAAAAAzE2MAIAAAAEMTI5NwQAAAABMAcAAAAIMy83LzIwMjYIAAAACjEyLzMxLzIwMjIJAAAAATD2Qs0k/4HeCPuvMCj/gd4IKUNJUS5OWVNFOklCTS5JUV9BRS45OTQuMDcvMDMvMjAyNi4uLlVTRC5IAQAAAN62AQACAAAABDczNjkBCAAAAAUAAAABMQEAAAALLTIxMTA3NjkzNTUDAAAAAzE2MAIAAAAEMTAxNgQAAAABMAcAAAAIMy83LzIwMjYIAAAACjEyLzMxLzIwMTkJAAAAATD2Qs0k/4HeCPuvMCj/gd4INUNJUS5OWVNFOklCTS5JUV9ERUZfQ0hBUkdFU19MVC45OTguMDcvMDMvMjAyNi4uLlVTRC5IAQAAAN62AQACAAAAAzg0MgEIAAAABQAA</t>
  </si>
  <si>
    <t>AAExAQAAAAstMTkwNDg2MDc0NAMAAAADMTYwAgAAAAQxMDI1BAAAAAEwBwAAAAgzLzcvMjAyNggAAAAKMTIvMzEvMjAyMwkAAAABMPZCzST/gd4I22EwKP+B3gg2Q0lRLk5ZU0U6SUJNLklRX0xPQU5TX1JFQ0VJVl9MVC45OTUuMDcvMDMvMjAyNi4uLlVTRC5IAQAAAN62AQADAAAAAAD2Qs0k/4HeCNthMCj/gd4IMkNJUS5OWVNFOklCTS5JUV9PVEhFUl9JTlRBTi45OTkuMDcvMDMvMjAyNi4uLlVTRC5IAQAAAN62AQACAAAABTEwNjYwAQgAAAAFAAAAATEBAAAACy0xOTA0ODYwNzQzAwAAAAMxNjACAAAABDEwNDAEAAAAATAHAAAACDMvNy8yMDI2CAAAAAoxMi8zMS8yMDI0CQAAAAEw9kLNJP+B3gjbYTAo/4HeCDVDSVEuTllTRTpJQk0uSVFfVU5FQVJOX1JFVl9MVC4xMDAwLjA3LzAzLzIwMjYuLi5VU0QuSAEAAADetgEAAgAAAAQ0MjcxAQgAAAAFAAAAATEBAAAACy0xOTA0ODYwNzQwAwAAAAMxNjACAAAABDEyNTYEAAAAATAHAAAACDMvNy8yMDI2CAAAAAoxMi8zMS8yMDI1CQAAAAEw9kLNJP+B3gjriDAo/4HeCDZDSVEuTllTRTpJQk0uSVFfRklOX0RJVl9ERUJUX0xULjk5Ny4wNy8wMy8yMDI2Li4uVVNELkgBAAAA3rYBAAMAAAAAAPZCzST/gd4I64gwKP+B3gg3Q0lRLk5ZU0U6SUJNLklRX0xPTkdfVEVSTV9MRUFTRVMuOTkyLjA3LzAzLzIwMjYuLi5VU0QuSAEAAADetgEAAwAAAAAA9kLNJP+B3gjM</t>
  </si>
  <si>
    <t>OjAo/4HeCDtDSVEuTllTRTpJQk0uSVFfREVGX1RBWF9MSUFCX0NVUlJFTlQuOTk2LjA3LzAzLzIwMjYuLi5VU0QuSAEAAADetgEAAwAAAAAA9kLNJP+B3gjMOjAo/4HeCDpDSVEuTllTRTpJQk0uSVFfSU5DX1RBWF9QQVlfQ1VSUkVOVC45OTMuMDcvMDMvMjAyNi4uLlVTRC5IAQAAAN62AQACAAAABDMwNDYBCAAAAAUAAAABMQEAAAAKMjA4MTUwNTQwMQMAAAADMTYwAgAAAAQxMDk0BAAAAAEwBwAAAAgzLzcvMjAyNggAAAAKMTIvMzEvMjAxOAkAAAABMPZCzST/gd4IzDowKP+B3ggzQ0lRLk5ZU0U6SUJNLklRX09USEVSX0VRVUlUWS45OTYuMDcvMDMvMjAyNi4uLlVTRC5IAQAAAN62AQACAAAABi0yMzIzNQEIAAAABQAAAAExAQAAAAstMjAwODY0NzE5OAMAAAADMTYwAgAAAAQxMDI4BAAAAAEwBwAAAAgzLzcvMjAyNggAAAAKMTIvMzEvMjAyMQkAAAABMPZCzST/gd4IzDowKP+B3ggpQ0lRLk5ZU0U6SUJNLklRX1JFLjk5NC4wNy8wMy8yMDI2Li4uVVNELkgBAAAA3rYBAAIAAAAGMTYyOTU0AQgAAAAFAAAAATEBAAAACy0yMTEwNzY5MzU1AwAAAAMxNjACAAAABDEyMjIEAAAAATAHAAAACDMvNy8yMDI2CAAAAAoxMi8zMS8yMDE5CQAAAAEw9kLNJP+B3gjbYTAo/4HeCDJDSVEuTllTRTpJQk0uSVFfUFJFRl9PVEhFUi4xMDAwLjA3LzAzLzIwMjYuLi5VU0QuSAEAAADetgEAAwAAAAAA9kLNJP+B3gibEzAo</t>
  </si>
  <si>
    <t>/4HeCDZDSVEuTllTRTpJQk0uSVFfUFJFRl9OT05fUkVERUVNLjk5OC4wNy8wMy8yMDI2Li4uVVNELkgBAAAA3rYBAAMAAAAAAPZCzST/gd4ImxMwKP+B3ggxQ0lRLk5ZU0U6SUJNLklRX1RPVEFMX0xJQUIuOTk2LjA3LzAzLzIwMjYuLi5VU0QuSAEAAADetgEAAgAAAAYxMTMwMDUBCAAAAAUAAAABMQEAAAALLTIwMDg2NDcxOTgDAAAAAzE2MAIAAAAEMTI3NgQAAAABMAcAAAAIMy83LzIwMjYIAAAACjEyLzMxLzIwMjEJAAAAATD2Qs0k/4HeCJsTMCj/gd4IQENJUS5OWVNFOklCTS5JUV9SVUFfT1BFUkFUSU5HX0xFQVNFX0dST1NTLjk5NS4wNy8wMy8yMDI2Li4uVVNELkgBAAAA3rYBAAIAAAAEMzU2NgEIAAAABQAAAAExAQAAAAstMjA1OTA3MzIwMgMAAAADMTYwAgAAAAU0ODM3NwQAAAABMAcAAAAIMy83LzIwMjYIAAAACjEyLzMxLzIwMjAJAAAAATDIVs0k/4HeCJsTMCj/gd4IQkNJUS5OWVNFOklCTS5JUV9SVUFfQ0FQSVRBTF9MRUFTRV9BQ0NVTV9ERVAuOTk1LjA3LzAzLzIwMjYuLi5VU0QuSAEAAADetgEAAwAAAAAAyFbNJP+B3gjMOjAo/4HeCC5DSVEuTllTRTpJQk0uSVFfUlVBX05FVC45OTUuMDcvMDMvMjAyNi4uLlVTRC5IAQAAAN62AQADAAAAAADIVs0k/4HeCOvYLyj/gd4IMENJUS5OWVNFOklCTS5JUV9SVUFfR1JPU1MuOTk0LjA3LzAzLzIwMjYuLi5VU0QuSAEAAADetgEAAwAAAAAAyFbN</t>
  </si>
  <si>
    <t>JP+B3gjr2C8o/4HeCDhDSVEuTllTRTpJQk0uSVFfTUlOT1JJVFlfSU5URVJFU1QuOTk2LjA3LzAzLzIwMjYuLi5VU0QuSAEAAADetgEAAgAAAAI5NQEIAAAABQAAAAExAQAAAAstMjAwODY0NzE5OAMAAAADMTYwAgAAAAQxMDUyBAAAAAEwBwAAAAgzLzcvMjAyNggAAAAKMTIvMzEvMjAyMQkAAAABMMhWzST/gd4I69gvKP+B3ggvQ0lRLk5ZU0U6SUJNLklRX0JWX1NIQVJFLjk5OC4wNy8wMy8yMDI2Li4uVVNELkgBAAAA3rYBAAIAAAAJMjQuNjI1ODYyAQgAAAAFAAAAATEBAAAACy0xOTA0ODYwNzQ0AwAAAAMxNjACAAAABDQwMjAEAAAAATAHAAAACDMvNy8yMDI2CAAAAAoxMi8zMS8yMDIzCQAAAAEwyFbNJP+B3gjr2C8o/4HeCD1DSVEuTllTRTpJQk0uSVFfVE9UQUxfREVCVF9FWENMX0xFQVNFUy45OTQuMDcvMDMvMjAyNi4uLlVTRC5IAQAAAN62AQACAAAABTYyNjk2AQgAAAAFAAAAATEBAAAACy0yMTEwNzY5MzU1AwAAAAMxNjACAAAABTQ4OTkyBAAAAAEwBwAAAAgzLzcvMjAyNggAAAAKMTIvMzEvMjAxOQkAAAABMMhWzST/gd4I69gvKP+B3ghPQ0lRLk5ZU0U6SUJNLklRX0ZJTkFOQ0lOR19PQkxJR19DVVJSRU5UX0VYQ0xfT1BFUl9MRUFTRVMuOTk2LjA3LzAzLzIwMjYuLi5VU0QuSAEAAADetgEAAgAAAAQ2Nzg3AQgAAAAFAAAAATEBAAAACy0yMDA4NjQ3MTk4AwAAAAMxNjACAAAABTQ4OTgwBAAA</t>
  </si>
  <si>
    <t>AAEwBwAAAAgzLzcvMjAyNggAAAAKMTIvMzEvMjAyMQkAAAABMMhWzST/gd4Iu7EvKP+B3ghIQ0lRLk5ZU0U6SUJNLklRX0xUX1BPUlRJT05fT1BFUl9MRUFTRV9MSUFCSUxJVElFUy45OTMuMDcvMDMvMjAyNi4uLlVTRC5IAQAAAN62AQADAAAAAADIVs0k/4HeCLuxLyj/gd4IPENJUS5OWVNFOklCTS5JUV9OUFBFX0VYQ0xfT1BFUl9MRUFTRVMuOTk3LjA3LzAzLzIwMjYuLi5VU0QuSAEAAADetgEAAgAAAAQ1MzM0AQgAAAAFAAAAATEBAAAACy0xOTU4MjgxMDk2AwAAAAMxNjACAAAABTQ4OTc2BAAAAAEwBwAAAAgzLzcvMjAyNggAAAAKMTIvMzEvMjAyMgkAAAABMMhWzST/gd4Iu7EvKP+B3ghCQ0lRLk5ZU0U6SUJNLklRX0dFTkVSQUxfUEFSVE5FUl9QUkVGX0VRVUlUWS45OTIuMDcvMDMvMjAyNi4uLlVTRC5IAQAAAN62AQADAAAAAADIVs0k/4HeCOvYLyj/gd4IM0NJUS5OWVNFOklCTS5JUV9GSU5JU0hFRF9JTlYuOTkyLjA3LzAzLzIwMjYuLi5VU0QuSAEAAADetgEAAgAAAAMzMzMBCAAAAAUAAAABMQEAAAAKMjAxNzE2NDI0NAMAAAADMTYwAgAAAAQzMDc1BAAAAAEwBwAAAAgzLzcvMjAyNggAAAAKMTIvMzEvMjAxNwkAAAABMMhWzST/gd4I69gvKP+B3gg3Q0lRLk5ZU0U6SUJNLklRX0FMTE9XX0RPVUJUX0FDQ1QuOTk3LjA3LzAzLzIwMjYuLi5VU0QuSAEAAADetgEAAgAAAAMyMzMBCAAAAAUAAAAB</t>
  </si>
  <si>
    <t>MQEAAAALLTE5NTgyODEwOTYDAAAAAzE2MAIAAAAEMzAxMgQAAAABMAcAAAAIMy83LzIwMjYIAAAACjEyLzMxLzIwMjIJAAAAATDIVs0k/4HeCIV0Lyj/gd4IMUNJUS5OWVNFOklCTS5JUV9UT1RBTF9ERUJULjk5Ni4wNy8wMy8yMDI2Li4uVVNELkgBAAAA3rYBAAIAAAAFNTUxNDABCAAAAAUAAAABMQEAAAALLTIwMDg2NDcxOTgDAAAAAzE2MAIAAAAENDE3MwQAAAABMAcAAAAIMy83LzIwMjYIAAAACjEyLzMxLzIwMjEJAAAAATDIVs0k/4HeCIV0Lyj/gd4IOkNJUS5OWVNFOklCTS5JUV9UQlZfU0hBUkVfUkVQT1JURUQuMTAwMC4wNy8wMy8yMDI2Li4uVVNELkgBAAAA3rYBAAMAAAAAAMhWzST/gd4IhXQvKP+B3ggxQ0lRLk5ZU0U6SUJNLklRX0RFUFJFX1NVUFAuOTk3LjA3LzAzLzIwMjYuLi5VU0QuSAEAAADetgEAAwAAAAAAyFbNJP+B3giFdC8o/4HeCDpDSVEuTllTRTpJQk0uSVFfREFfU1VQUExfUEFSVElBTF9DRi45OTMuMDcvMDMvMjAyNi4uLlVTRC5IAQAAAN62AQADAAAAAADIVs0k/4HeCLuxLyj/gd4IMUNJUS5OWVNFOklCTS5JUV9ORVRfQ0hBTkdFLjk5OS4wNy8wMy8yMDI2Li4uVVNELkgBAAAA3rYBAAIAAAAEMTA3MQEIAAAABQAAAAExAQAAAAstMTkwNDg2MDc0MwMAAAADMTYwAgAAAAQyMDkzBAAAAAEwBwAAAAgzLzcvMjAyNggAAAAKMTIvMzEvMjAyNAkAAAABMMhWzST/gd4I1DkvKP+B</t>
  </si>
  <si>
    <t>3ggpQ0lRLk5ZU0U6SUJNLklRX0ZYLjk5NS4wNy8wMy8yMDI2Li4uVVNELkgBAAAA3rYBAAIAAAADLTg3AQgAAAAFAAAAATEBAAAACy0yMDU5MDczMjAyAwAAAAMxNjACAAAABDIxNDQEAAAAATAHAAAACDMvNy8yMDI2CAAAAAoxMi8zMS8yMDIwCQAAAAEwyFbNJP+B3gjUOS8o/4HeCDVDSVEuTllTRTpJQk0uSVFfU1BFQ0lBTF9ESVZfQ0YuOTk1LjA3LzAzLzIwMjYuLi5VU0QuSAEAAADetgEAAwAAAAAAyFbNJP+B3giFdC8o/4HeCDlDSVEuTllTRTpJQk0uSVFfQ0FTSF9JTlRFUkVTVF9PUEVSLjk5OS4wNy8wMy8yMDI2Li4uVVNELkgBAAAA3rYBAAMAAAAAAMhWzST/gd4IhXQvKP+B3gg9Q0lRLk5ZU0U6SUJNLklRX0NBU0hfSU5URVJFU1RfUkVDRUlWRUQuOTkzLjA3LzAzLzIwMjYuLi5VU0QuSAEAAADetgEAAwAAAAAAyFbNJP+B3giFdC8o/4HeCDRDSVEuTllTRTpJQk0uSVFfQ0FTSF9JTlRFUkVTVC45OTkuMDcvMDMvMjAyNi4uLlVTRC5IAQAAAN62AQACAAAABDE5NzgBCAAAAAUAAAABMQEAAAALLTE5MDQ4NjA3NDMDAAAAAzE2MAIAAAAEMzAyOAQAAAABMAcAAAAIMy83LzIwMjYIAAAACjEyLzMxLzIwMjQJAAAAATDIVs0k/4HeCNQ5Lyj/gd4IP0NJUS5OWVNFOklCTS5JUV9BTU9SVF9TT0ZUV0FSRV9BU1NFVFNfQ0YuOTk1LjA3LzAzLzIwMjYuLi5VU0QuSAEAAADetgEAAwAAAAAAyFbNJP+B3gjU</t>
  </si>
  <si>
    <t>OS8o/4HeCENDSVEuTllTRTpJQk0uSVFfREFfU1VQUExfQ0ZfRVhDTF9PUEVSX0xFQVNFUy45OTcuMDcvMDMvMjAyNi4uLlVTRC5IAQAAAN62AQACAAAABDE1MDcBCAAAAAUAAAABMQEAAAALLTE5NTgyODEwOTYDAAAAAzE2MAIAAAAFNDg5ODMEAAAAATAHAAAACDMvNy8yMDI2CAAAAAoxMi8zMS8yMDIyCQAAAAEwyFbNJP+B3gjUOS8o/4HeCEJDSVEuTllTRTpJQk0uSVFfT1BFUkFUSU5HX0xFQVNFX0xJQUJJTElUSUVTLjk5Ny4wNy8wMy8yMDI2Li4uVVNELkgBAAAA3rYBAAMAAAAAAMhWzST/gd4I1DkvKP+B3ggyQ0lRLk5ZU0U6SUJNLklRX01BSU5UX0NBUEVYLjk5OS4wNy8wMy8yMDI2Li4uVVNELkgBAAAA3rYBAAMAAAAAAMhWzST/gd4I1DkvKP+B3gg2Q0lRLk5ZU0U6SUJNLklRX05FVF9ERUJUX0lTU1VFRC45OTMuMDcvMDMvMjAyNi4uLlVTRC5IAQAAAN62AQACAAAABC0zMDEBCAAAAAUAAAABMQEAAAAKMjA4MTUwNTQwMQMAAAADMTYwAgAAAAQyMDAzBAAAAAEwBwAAAAgzLzcvMjAyNggAAAAKMTIvMzEvMjAxOAkAAAABMMhWzST/gd4IxRIvKP+B3ghBQ0lRLk5ZU0U6SUJNLklRX0NIQU5HRV9ORVRfV09SS0lOR19DQVBJVEFMLjk5NS4wNy8wMy8yMDI2Li4uVVNELkgBAAAA3rYBAAIAAAAFLTgzNjkBCAAAAAUAAAABMQEAAAALLTIwNTkwNzMyMDIDAAAAAzE2MAIAAAAENDQyMQQAAAABMAcAAAAI</t>
  </si>
  <si>
    <t>My83LzIwMjYIAAAACjEyLzMxLzIwMjAJAAAAATDIVs0k/4HeCMUSLyj/gd4INkNJUS5OWVNFOklCTS5JUV9DQVNIX1RBWEVTX09QRVIuOTk3LjA3LzAzLzIwMjYuLi5VU0QuSAEAAADetgEAAwAAAAAAyFbNJP+B3gjFEi8o/4HeCDBDSVEuTllTRTpJQk0uSVFfSU5WRU5UT1JZLjk5NS4wNy8wMy8yMDI2Li4uVVNELkgBAAAA3rYBAAIAAAAEMTgxMgEIAAAABQAAAAExAQAAAAstMjA1OTA3MzIwMgMAAAADMTYwAgAAAAQxMDQzBAAAAAEwBwAAAAgzLzcvMjAyNggAAAAKMTIvMzEvMjAyMAkAAAABMMhWzST/gd4I1DkvKP+B3ggpQ0lRLk5ZU0U6SUJNLklRX0FSLjk5Ny4wNy8wMy8yMDI2Li4uVVNELkgBAAAA3rYBAAIAAAAENzAwNQEIAAAABQAAAAExAQAAAAstMTk1ODI4MTA5NgMAAAADMTYwAgAAAAQxMDIxBAAAAAEwBwAAAAgzLzcvMjAyNggAAAAKMTIvMzEvMjAyMgkAAAABMMhWzST/gd4I1DkvKP+B3gg1Q0lRLk5ZU0U6SUJNLklRX1RSQURJTkdfQVNTRVRTLjk5My4wNy8wMy8yMDI2Li4uVVNELkgBAAAA3rYBAAMAAAAAAMhWzST/gd4IxRIvKP+B3ggxQ0lRLk5ZU0U6SUJNLklRX0NBU0hfRVFVSVYuOTk5LjA3LzAzLzIwMjYuLi5VU0QuSAEAAADetgEAAgAAAAUxMzk0NwEIAAAABQAAAAExAQAAAAstMTkwNDg2MDc0MwMAAAADMTYwAgAAAAQxMDk2BAAAAAEwBwAAAAgzLzcvMjAyNggAAAAKMTIvMzEv</t>
  </si>
  <si>
    <t>MjAyNAkAAAABMMhWzST/gd4IxRIvKP+B3gg6Q0lRLk5ZU0U6SUJNLklRX0dBSU5fQkFSR0FJTl9BQ1FfQ0YuOTk1LjA3LzAzLzIwMjYuLi5VU0QuSAEAAADetgEAAwAAAAAAyFbNJP+B3gjFEi8o/4HeCClDSVEuTllTRTpJQk0uSVFfR1cuOTkzLjA3LzAzLzIwMjYuLi5VU0QuSAEAAADetgEAAgAAAAUzNjI2NQEIAAAABQAAAAExAQAAAAoyMDgxNTA1NDAxAwAAAAMxNjACAAAABDExNzEEAAAAATAHAAAACDMvNy8yMDI2CAAAAAoxMi8zMS8yMDE4CQAAAAEwyFbNJP+B3gjFEi8o/4HeCCtDSVEuTllTRTpJQk0uSVFfR1BQRS45OTcuMDcvMDMvMjAyNi4uLlVTRC5IAQAAAN62AQACAAAABTIxNTczAQgAAAAFAAAAATEBAAAACy0xOTU4MjgxMDk2AwAAAAMxNjACAAAABDExNjkEAAAAATAHAAAACDMvNy8yMDI2CAAAAAoxMi8zMS8yMDIyCQAAAAEwyFbNJP+B3gjFEi8o/4HeCDVDSVEuTllTRTpJQk0uSVFfT1RIRVJfQ0FfU1VQUEwuOTkzLjA3LzAzLzIwMjYuLi5VU0QuSAEAAADetgEAAgAAAAQyNjg2AQgAAAAFAAAAATEBAAAACjIwODE1MDU0MDEDAAAAAzE2MAIAAAAEMTA1NQQAAAABMAcAAAAIMy83LzIwMjYIAAAACjEyLzMxLzIwMTgJAAAAATDIVs0k/4HeCLjrLij/gd4IPUNJUS5OWVNFOklCTS5JUV9ERUZfVEFYX0FTU0VUU19DVVJSRU5ULjk5OS4wNy8wMy8yMDI2Li4uVVNELkgBAAAA3rYBAAMAAAAA</t>
  </si>
  <si>
    <t>AMhWzST/gd4IuOsuKP+B3gg9Q0lRLk5ZU0U6SUJNLklRX0ZJTl9ESVZfQVNTRVRTX0NVUlJFTlQuOTk1LjA3LzAzLzIwMjYuLi5VU0QuSAEAAADetgEAAgAAAAMzODMBCAAAAAUAAAABMQEAAAALLTIwNTkwNzMyMDIDAAAAAzE2MAIAAAAEMTAyOQQAAAABMAcAAAAIMy83LzIwMjYIAAAACjEyLzMxLzIwMjAJAAAAATDIVs0k/4HeCLjrLij/gd4IKUNJUS5OWVNFOklCTS5JUV9BRS45OTMuMDcvMDMvMjAyNi4uLlVTRC5IAQAAAN62AQACAAAABDY4MDMBCAAAAAUAAAABMQEAAAAKMjA4MTUwNTQwMQMAAAADMTYwAgAAAAQxMDE2BAAAAAEwBwAAAAgzLzcvMjAyNggAAAAKMTIvMzEvMjAxOAkAAAABMMhWzST/gd4IuOsuKP+B3gg0Q0lRLk5ZU0U6SUJNLklRX1RPVEFMX0FTU0VUUy4xMDAwLjA3LzAzLzIwMjYuLi5VU0QuSAEAAADetgEAAgAAAAYxNTE4ODABCAAAAAUAAAABMQEAAAALLTE5MDQ4NjA3NDADAAAAAzE2MAIAAAAEMTAwNwQAAAABMAcAAAAIMy83LzIwMjYIAAAACjEyLzMxLzIwMjUJAAAAATDIVs0k/4HeCLjrLij/gd4INUNJUS5OWVNFOklCTS5JUV9ERUZfQ0hBUkdFU19MVC45OTcuMDcvMDMvMjAyNi4uLlVTRC5IAQAAAN62AQACAAAAAzg2NgEIAAAABQAAAAExAQAAAAstMTk1ODI4MTA5NgMAAAADMTYwAgAAAAQxMDI1BAAAAAEwBwAAAAgzLzcvMjAyNggAAAAKMTIvMzEvMjAyMgkAAAABMMhW</t>
  </si>
  <si>
    <t>zST/gd4IpcQuKP+B3gg4Q0lRLk5ZU0U6SUJNLklRX0RFRl9UQVhfQVNTRVRTX0xULjk5Mi4wNy8wMy8yMDI2Li4uVVNELkgBAAAA3rYBAAIAAAAENDg2MgEIAAAABQAAAAExAQAAAAoyMDE3MTY0MjQ0AwAAAAMxNjACAAAABDEwMjYEAAAAATAHAAAACDMvNy8yMDI2CAAAAAoxMi8zMS8yMDE3CQAAAAEwyFbNJP+B3gilxC4o/4HeCDJDSVEuTllTRTpJQk0uSVFfT1RIRVJfSU5UQU4uOTk4LjA3LzAzLzIwMjYuLi5VU0QuSAEAAADetgEAAgAAAAUxMTAzNgEIAAAABQAAAAExAQAAAAstMTkwNDg2MDc0NAMAAAADMTYwAgAAAAQxMDQwBAAAAAEwBwAAAAgzLzcvMjAyNggAAAAKMTIvMzEvMjAyMwkAAAABMMhWzST/gd4IpcQuKP+B3gg2Q0lRLk5ZU0U6SUJNLklRX09USEVSX0NMX1NVUFBMLjEwMDAuMDcvMDMvMjAyNi4uLlVTRC5IAQAAAN62AQACAAAAAzI1NAEIAAAABQAAAAExAQAAAAstMTkwNDg2MDc0MAMAAAADMTYwAgAAAAQxMDU3BAAAAAEwBwAAAAgzLzcvMjAyNggAAAAKMTIvMzEvMjAyNQkAAAABMMhWzST/gd4IpcQuKP+B3gg7Q0lRLk5ZU0U6SUJNLklRX0RFRl9UQVhfTElBQl9DVVJSRU5ULjk5NS4wNy8wMy8yMDI2Li4uVVNELkgBAAAA3rYBAAMAAAAAAMhWzST/gd4IpcQuKP+B3gg6Q0lRLk5ZU0U6SUJNLklRX0lOQ19UQVhfUEFZX0NVUlJFTlQuOTkyLjA3LzAzLzIwMjYuLi5VU0QuSAEAAADe</t>
  </si>
  <si>
    <t>tgEAAgAAAAQ0MjE5AQgAAAAFAAAAATEBAAAACjIwMTcxNjQyNDQDAAAAAzE2MAIAAAAEMTA5NAQAAAABMAcAAAAIMy83LzIwMjYIAAAACjEyLzMxLzIwMTcJAAAAATDIVs0k/4HeCGN2Lij/gd4IO0NJUS5OWVNFOklCTS5JUV9GSU5fRElWX0RFQlRfQ1VSUkVOVC45OTkuMDcvMDMvMjAyNi4uLlVTRC5IAQAAAN62AQADAAAAAADIVs0k/4HeCJ6dLij/gd4IOENJUS5OWVNFOklCTS5JUV9DVVJSRU5UX1BPUlRfREVCVC45OTYuMDcvMDMvMjAyNi4uLlVTRC5IAQAAAN62AQACAAAABDY3MjkBCAAAAAUAAAABMQEAAAALLTIwMDg2NDcxOTgDAAAAAzE2MAIAAAAEMTI5NwQAAAABMAcAAAAIMy83LzIwMjYIAAAACjEyLzMxLzIwMjEJAAAAATDIVs0k/4HeCJ6dLij/gd4IMUNJUS5OWVNFOklCTS5JUV9QUkVGX09USEVSLjk5OS4wNy8wMy8yMDI2Li4uVVNELkgBAAAA3rYBAAMAAAAAAMhWzST/gd4Inp0uKP+B3gg2Q0lRLk5ZU0U6SUJNLklRX1BSRUZfTk9OX1JFREVFTS45OTcuMDcvMDMvMjAyNi4uLlVTRC5IAQAAAN62AQADAAAAAADIVs0k/4HeCJ6dLij/gd4IMkNJUS5OWVNFOklCTS5JUV9QUkVGX1JFREVFTS45OTIuMDcvMDMvMjAyNi4uLlVTRC5IAQAAAN62AQADAAAAAADIVs0k/4HeCLliLij/gd4INENJUS5OWVNFOklCTS5JUV9VTkVBUk5fUkVWX0xULjk5OS4wNy8wMy8yMDI2Li4uVVNELkgBAAAA3rYB</t>
  </si>
  <si>
    <t>AAIAAAAEMzYyMgEIAAAABQAAAAExAQAAAAstMTkwNDg2MDc0MwMAAAADMTYwAgAAAAQxMjU2BAAAAAEwBwAAAAgzLzcvMjAyNggAAAAKMTIvMzEvMjAyNAkAAAABMMhWzST/gd4IuWIuKP+B3gg2Q0lRLk5ZU0U6SUJNLklRX0ZJTl9ESVZfTElBQl9MVC45OTQuMDcvMDMvMjAyNi4uLlVTRC5IAQAAAN62AQADAAAAAADIVs0k/4HeCLliLij/gd4IQkNJUS5OWVNFOklCTS5JUV9SVUFfQ0FQSVRBTF9MRUFTRV9BQ0NVTV9ERVAuOTk0LjA3LzAzLzIwMjYuLi5VU0QuSAEAAADetgEAAwAAAAAAyFbNJP+B3ghjdi4o/4HeCC5DSVEuTllTRTpJQk0uSVFfUlVBX05FVC45OTQuMDcvMDMvMjAyNi4uLlVTRC5IAQAAAN62AQADAAAAAADIVs0k/4HeCGN2Lij/gd4IMENJUS5OWVNFOklCTS5JUV9SVUFfR1JPU1MuOTkzLjA3LzAzLzIwMjYuLi5VU0QuSAEAAADetgEAAwAAAAAAyFbNJP+B3gh0Oy4o/4HeCDNDSVEuTllTRTpJQk0uSVFfVE9UQUxfRVFVSVRZLjk5Mi4wNy8wMy8yMDI2Li4uVVNELkgBAAAA3rYBAAIAAAAFMTc3MjUBCAAAAAUAAAABMQEAAAAKMjAxNzE2NDI0NAMAAAADMTYwAgAAAAQxMjc1BAAAAAEwBwAAAAgzLzcvMjAyNggAAAAKMTIvMzEvMjAxNwkAAAABMMhWzST/gd4IdDsuKP+B3ggzQ0lRLk5ZU0U6SUJNLklRX09USEVSX0VRVUlUWS45OTUuMDcvMDMvMjAyNi4uLlVTRC5IAQAAAN62AQACAAAA</t>
  </si>
  <si>
    <t>Bi0yOTMzNwEIAAAABQAAAAExAQAAAAstMjA1OTA3MzIwMgMAAAADMTYwAgAAAAQxMDI4BAAAAAEwBwAAAAgzLzcvMjAyNggAAAAKMTIvMzEvMjAyMAkAAAABMMhWzST/gd4IdDsuKP+B3gg9Q0lRLk5ZU0U6SUJNLklRX1RPVEFMX0RFQlRfRVhDTF9MRUFTRVMuOTkzLjA3LzAzLzIwMjYuLi5VU0QuSAEAAADetgEAAgAAAAU0NTc3MQEIAAAABQAAAAExAQAAAAoyMDgxNTA1NDAxAwAAAAMxNjACAAAABTQ4OTkyBAAAAAEwBwAAAAgzLzcvMjAyNggAAAAKMTIvMzEvMjAxOAkAAAABMMhWzST/gd4IuWIuKP+B3ghPQ0lRLk5ZU0U6SUJNLklRX0ZJTkFOQ0lOR19PQkxJR19DVVJSRU5UX0VYQ0xfT1BFUl9MRUFTRVMuOTk1LjA3LzAzLzIwMjYuLi5VU0QuSAEAAADetgEAAgAAAAQ3MTE2AQgAAAAFAAAAATEBAAAACy0yMDU5MDczMjAyAwAAAAMxNjACAAAABTQ4OTgwBAAAAAEwBwAAAAgzLzcvMjAyNggAAAAKMTIvMzEvMjAyMAkAAAABMMhWzST/gd4IuWIuKP+B3gg8Q0lRLk5ZU0U6SUJNLklRX05QUEVfRVhDTF9PUEVSX0xFQVNFUy45OTYuMDcvMDMvMjAyNi4uLlVTRC5IAQAAAN62AQACAAAABDU2OTQBCAAAAAUAAAABMQEAAAALLTIwMDg2NDcxOTgDAAAAAzE2MAIAAAAFNDg5NzYEAAAAATAHAAAACDMvNy8yMDI2CAAAAAoxMi8zMS8yMDIxCQAAAAEwyFbNJP+B3giVAC4o/4HeCD9DSVEuTllTRTpJQk0uSVFf</t>
  </si>
  <si>
    <t>UlVBX09QRVJBVElOR19MRUFTRV9ORVQuMTAwMC4wNy8wMy8yMDI2Li4uVVNELkgBAAAA3rYBAAMAAAAAAMhWzST/gd4IdDsuKP+B3ghAQ0lRLk5ZU0U6SUJNLklRX1JVQV9PUEVSQVRJTkdfTEVBU0VfR1JPU1MuOTk0LjA3LzAzLzIwMjYuLi5VU0QuSAEAAADetgEAAgAAAAQ0OTk2AQgAAAAFAAAAATEBAAAACy0yMTEwNzY5MzU1AwAAAAMxNjACAAAABTQ4Mzc3BAAAAAEwBwAAAAgzLzcvMjAyNggAAAAKMTIvMzEvMjAxOQkAAAABMMhWzST/gd4IdDsuKP+B3gg0Q0lRLk5ZU0U6SUJNLklRX0ZJTklTSEVEX0lOVi4xMDAwLjA3LzAzLzIwMjYuLi5VU0QuSAEAAADetgEAAgAAAAMyMzABCAAAAAUAAAABMQEAAAALLTE5MDQ4NjA3NDADAAAAAzE2MAIAAAAEMzA3NQQAAAABMAcAAAAIMy83LzIwMjYIAAAACjEyLzMxLzIwMjUJAAAAATDIVs0k/4HeCHQ7Lij/gd4INUNJUS5OWVNFOklCTS5JUV9FUVVJVFlfTUVUSE9ELjEwMDAuMDcvMDMvMjAyNi4uLlVTRC5IAQAAAN62AQACAAAAAjYwAQgAAAAFAAAAATEBAAAACy0xOTA0ODYwNzQwAwAAAAMxNjACAAAABDMwNjMEAAAAATAHAAAACDMvNy8yMDI2CAAAAAoxMi8zMS8yMDI1CQAAAAEwyFbNJP+B3gh0Oy4o/4HeCDlDSVEuTllTRTpJQk0uSVFfVE9UQUxfREVCVF9DVVJSRU5ULjk5My4wNy8wMy8yMDI2Li4uVVNELkgBAAAA3rYBAAIAAAAFMTAyMDcBCAAAAAUA</t>
  </si>
  <si>
    <t>AAABMQEAAAAKMjA4MTUwNTQwMQMAAAADMTYwAgAAAAUyNTIyMwQAAAABMAcAAAAIMy83LzIwMjYIAAAACjEyLzMxLzIwMTgJAAAAATDIVs0k/4HeCJUALij/gd4IKkNJUS5OWVNFOklCTS5JUV9UQlYuOTk2LjA3LzAzLzIwMjYuLi5VU0QuSAEAAADetgEAAgAAAAYtNDkyNTMBCAAAAAUAAAABMQEAAAALLTIwMDg2NDcxOTgDAAAAAzE2MAIAAAAEMTMxMAQAAAABMAcAAAAIMy83LzIwMjYIAAAACjEyLzMxLzIwMjEJAAAAATDIVs0k/4HeCJUALij/gd4IL0NJUS5OWVNFOklCTS5JUV9CVl9TSEFSRS45OTcuMDcvMDMvMjAyNi4uLlVTRC5IAQAAAN62AQACAAAACTI0LjIxODI5MQEIAAAABQAAAAExAQAAAAstMTk1ODI4MTA5NgMAAAADMTYwAgAAAAQ0MDIwBAAAAAEwBwAAAAgzLzcvMjAyNggAAAAKMTIvMzEvMjAyMgkAAAABMMhWzST/gd4IlQAuKP+B3gg3Q0lRLk5ZU0U6SUJNLklRX0RFRl9UQVhfTElBQl9MVC4xMDAwLjA3LzAzLzIwMjYuLi5VU0QuSAEAAADetgEAAgAAAAM3ODEBCAAAAAUAAAABMQEAAAALLTE5MDQ4NjA3NDADAAAAAzE2MAIAAAAEMTAyNwQAAAABMAcAAAAIMy83LzIwMjYIAAAACjEyLzMxLzIwMjUJAAAAATDIVs0k/4HeCJUALij/gd4INENJUS5OWVNFOklCTS5JUV9VTkVBUk5fUkVWX0xULjk5OC4wNy8wMy8yMDI2Li4uVVNELkgBAAAA3rYBAAIAAAAEMzUzMwEIAAAABQAAAAExAQAA</t>
  </si>
  <si>
    <t>AAstMTkwNDg2MDc0NAMAAAADMTYwAgAAAAQxMjU2BAAAAAEwBwAAAAgzLzcvMjAyNggAAAAKMTIvMzEvMjAyMwkAAAABMMhWzST/gd4IlQAuKP+B3gg6Q0lRLk5ZU0U6SUJNLklRX0xJQUJJTElUSUVTX0xFVkVMXzEuOTk4LjA3LzAzLzIwMjYuLi5VU0QuSAEAAADetgEAAwAAAAAAyFbNJP+B3giVAC4o/4HeCEJDSVEuTllTRTpJQk0uSVFfR0VORVJBTF9QQVJUTkVSX1BSRUZfRVFVSVRZLjk5OS4wNy8wMy8yMDI2Li4uVVNELkgBAAAA3rYBAAMAAAAAAMhWzST/gd4IlQAuKP+B3gg9Q0lRLk5ZU0U6SUJNLklRX05BVFVSQUxfUkVTT1VSQ0VTX0NPU1QuOTk3LjA3LzAzLzIwMjYuLi5VU0QuSAEAAADetgEAAwAAAAAAyFbNJP+B3giVAC4o/4HeCC5DSVEuTllTRTpJQk0uSVFfUlVBX05FVC45OTIuMDcvMDMvMjAyNi4uLlVTRC5IAQAAAN62AQADAAAAAADIVs0k/4HeCJUALij/gd4IMENJUS5OWVNFOklCTS5JUV9SVUFfR1JPU1MuOTkyLjA3LzAzLzIwMjYuLi5VU0QuSAEAAADetgEAAwAAAAAAyFbNJP+B3giVAC4o/4HeCC5DSVEuTllTRTpJQk0uSVFfQ09NTU9OLjEwMDAuMDcvMDMvMjAyNi4uLlVTRC5IAQAAAN62AQACAAAABTYzMzE4AQgAAAAFAAAAATEBAAAACy0xOTA0ODYwNzQwAwAAAAMxNjACAAAABDExMDMEAAAAATAHAAAACDMvNy8yMDI2CAAAAAoxMi8zMS8yMDI1CQAAAAEwyFbNJP+B3ghu2S0o</t>
  </si>
  <si>
    <t>/4HeCDFDSVEuTllTRTpJQk0uSVFfUFJFRl9PVEhFUi45OTguMDcvMDMvMjAyNi4uLlVTRC5IAQAAAN62AQADAAAAAADIVs0k/4HeCG7ZLSj/gd4INkNJUS5OWVNFOklCTS5JUV9QUkVGX05PTl9SRURFRU0uOTk2LjA3LzAzLzIwMjYuLi5VU0QuSAEAAADetgEAAwAAAAAAyFbNJP+B3ghu2S0o/4HeCEBDSVEuTllTRTpJQk0uSVFfRklOQU5DRV9MRUFTRVNfTE9OR19URVJNLjEwMDAuMDcvMDMvMjAyNi4uLlVTRC5IAQAAAN62AQACAAAAAzg3NAEIAAAABQAAAAExAQAAAAstMTkwNDg2MDc0MAMAAAADMTYwAgAAAAU0ODk5MQQAAAABMAcAAAAIMy83LzIwMjYIAAAACjEyLzMxLzIwMjUJAAAAATDIVs0k/4HeCG7ZLSj/gd4IPENJUS5OWVNFOklCTS5JUV9OUFBFX0VYQ0xfT1BFUl9MRUFTRVMuOTk0LjA3LzAzLzIwMjYuLi5VU0QuSAEAAADetgEAAgAAAAUxMDAxMAEIAAAABQAAAAExAQAAAAstMjExMDc2OTM1NQMAAAADMTYwAgAAAAU0ODk3NgQAAAABMAcAAAAIMy83LzIwMjYIAAAACjEyLzMxLzIwMTkJAAAAATDIVs0k/4HeCJUALij/gd4IPkNJUS5OWVNFOklCTS5JUV9SVUFfT1BFUkFUSU5HX0xFQVNFX05FVC45OTkuMDcvMDMvMjAyNi4uLlVTRC5IAQAAAN62AQADAAAAAADIVs0k/4HeCAayLSj/gd4IQENJUS5OWVNFOklCTS5JUV9SVUFfT1BFUkFUSU5HX0xFQVNFX0dST1NTLjk5My4wNy8wMy8yMDI2</t>
  </si>
  <si>
    <t>Li4uVVNELkgBAAAA3rYBAAMAAAAAAMhWzST/gd4IBrItKP+B3ghCQ0lRLk5ZU0U6SUJNLklRX1JVQV9DQVBJVEFMX0xFQVNFX0FDQ1VNX0RFUC45OTMuMDcvMDMvMjAyNi4uLlVTRC5IAQAAAN62AQADAAAAAADIVs0k/4HeCAayLSj/gd4IOUNJUS5OWVNFOklCTS5JUV9UT1RBTF9ERUJUX0NVUlJFTlQuOTkyLjA3LzAzLzIwMjYuLi5VU0QuSAEAAADetgEAAgAAAAQ2OTg3AQgAAAAFAAAAATEBAAAACjIwMTcxNjQyNDQDAAAAAzE2MAIAAAAFMjUyMjMEAAAAATAHAAAACDMvNy8yMDI2CAAAAAoxMi8zMS8yMDE3CQAAAAEwyFbNJP+B3ggGsi0o/4HeCCpDSVEuTllTRTpJQk0uSVFfVEJWLjk5NS4wNy8wMy8yMDI2Li4uVVNELkgBAAAA3rYBAAIAAAAGLTQ2OTA3AQgAAAAFAAAAATEBAAAACy0yMDU5MDczMjAyAwAAAAMxNjACAAAABDEzMTAEAAAAATAHAAAACDMvNy8yMDI2CAAAAAoxMi8zMS8yMDIwCQAAAAEwyFbNJP+B3ggGsi0o/4HeCC9DSVEuTllTRTpJQk0uSVFfQlZfU0hBUkUuOTk2LjA3LzAzLzIwMjYuLi5VU0QuSAEAAADetgEAAgAAAAkyMS4wNDYyNzYBCAAAAAUAAAABMQEAAAALLTIwMDg2NDcxOTgDAAAAAzE2MAIAAAAENDAyMAQAAAABMAcAAAAIMy83LzIwMjYIAAAACjEyLzMxLzIwMjEJAAAAATDIVs0k/4HeCKWKLSj/gd4IPUNJUS5OWVNFOklCTS5JUV9UT1RBTF9ERUJUX0VYQ0xfTEVBU0VT</t>
  </si>
  <si>
    <t>Ljk5Mi4wNy8wMy8yMDI2Li4uVVNELkgBAAAA3rYBAAIAAAAFNDY4NTgBCAAAAAUAAAABMQEAAAAKMjAxNzE2NDI0NAMAAAADMTYwAgAAAAU0ODk5MgQAAAABMAcAAAAIMy83LzIwMjYIAAAACjEyLzMxLzIwMTcJAAAAATDIVs0k/4HeCKWKLSj/gd4IT0NJUS5OWVNFOklCTS5JUV9GSU5BTkNJTkdfT0JMSUdfQ1VSUkVOVF9FWENMX09QRVJfTEVBU0VTLjk5Mi4wNy8wMy8yMDI2Li4uVVNELkgBAAAA3rYBAAIAAAAENjk4NwEIAAAABQAAAAExAQAAAAoyMDE3MTY0MjQ0AwAAAAMxNjACAAAABTQ4OTgwBAAAAAEwBwAAAAgzLzcvMjAyNggAAAAKMTIvMzEvMjAxNwkAAAABMMhWzST/gd4IpYotKP+B3gg6Q0lRLk5ZU0U6SUJNLklRX0xJQUJJTElUSUVTX0xFVkVMXzEuOTk1LjA3LzAzLzIwMjYuLi5VU0QuSAEAAADetgEAAwAAAAAAyFbNJP+B3gilii0o/4HeCCtDSVEuTllTRTpJQk0uSVFfQ0lQLjEwMDAuMDcvMDMvMjAyNi4uLlVTRC5IAQAAAN62AQADAAAAAADIVs0k/4HeCKWKLSj/gd4IM0NJUS5OWVNFOklCTS5JUV9GSU5JU0hFRF9JTlYuOTk5LjA3LzAzLzIwMjYuLi5VU0QuSAEAAADetgEAAgAAAAMxMzQBCAAAAAUAAAABMQEAAAALLTE5MDQ4NjA3NDMDAAAAAzE2MAIAAAAEMzA3NQQAAAABMAcAAAAIMy83LzIwMjYIAAAACjEyLzMxLzIwMjQJAAAAATDIVs0k/4HeCEdJLSj/gd4INENJUS5OWVNFOklC</t>
  </si>
  <si>
    <t>TS5JUV9FUVVJVFlfTUVUSE9ELjk5OC4wNy8wMy8yMDI2Li4uVVNELkgBAAAA3rYBAAIAAAADMTI1AQgAAAAFAAAAATEBAAAACy0xOTA0ODYwNzQ0AwAAAAMxNjACAAAABDMwNjMEAAAAATAHAAAACDMvNy8yMDI2CAAAAAoxMi8zMS8yMDIzCQAAAAEwyFbNJP+B3ghHSS0o/4HeCD9DSVEuTllTRTpJQk0uSVFfTUlOT1JJVFlfSU5URVJFU1RfVE9UQUwuMTAwMC4wNy8wMy8yMDI2Li4uVVNELkgBAAAA3rYBAAIAAAACOTMBCAAAAAUAAAABMQEAAAALLTE5MDQ4NjA3NDADAAAAAzE2MAIAAAAEMTMxMgQAAAABMAcAAAAIMy83LzIwMjYIAAAACjEyLzMxLzIwMjUJAAAAATDIVs0k/4HeCGxwLSj/gd4INUNJUS5OWVNFOklCTS5JUV9TVF9OT1RFX1JFQ0VJVi45OTkuMDcvMDMvMjAyNi4uLlVTRC5IAQAAAN62AQADAAAAAADIVs0k/4HeCGxwLSj/gd4IKUNJUS5OWVNFOklCTS5JUV9BUi45OTUuMDcvMDMvMjAyNi4uLlVTRC5IAQAAAN62AQACAAAABDYyMTUBCAAAAAUAAAABMQEAAAALLTIwNTkwNzMyMDIDAAAAAzE2MAIAAAAEMTAyMQQAAAABMAcAAAAIMy83LzIwMjYIAAAACjEyLzMxLzIwMjAJAAAAATDIVs0k/4HeCGxwLSj/gd4IMUNJUS5OWVNFOklCTS5JUV9DQVNIX0VRVUlWLjk5Ny4wNy8wMy8yMDI2Li4uVVNELkgBAAAA3rYBAAIAAAAENzg4NgEIAAAABQAAAAExAQAAAAstMTk1ODI4MTA5NgMAAAADMTYw</t>
  </si>
  <si>
    <t>AgAAAAQxMDk2BAAAAAEwBwAAAAgzLzcvMjAyNggAAAAKMTIvMzEvMjAyMgkAAAABMMhWzST/gd4I6CEtKP+B3gg6Q0lRLk5ZU0U6SUJNLklRX0dBSU5fQkFSR0FJTl9BQ1FfQ0YuOTkzLjA3LzAzLzIwMjYuLi5VU0QuSAEAAADetgEAAwAAAAAAyFbNJP+B3gjoIS0o/4HeCEhDSVEuTllTRTpJQk0uSVFfTE9OR19URVJNX0RFQlRfUkVQQUlEX0VYQ0xfTEVBU0VTLjk5OS4wNy8wMy8yMDI2Li4uVVNELkgBAAAA3rYBAAIAAAAFLTY2MTUBCAAAAAUAAAABMQEAAAALLTE5MDQ4NjA3NDMDAAAAAzE2MAIAAAAFNDg5ODQEAAAAATAHAAAACDMvNy8yMDI2CAAAAAoxMi8zMS8yMDI0CQAAAAEwyFbNJP+B3ghHSS0o/4HeCCtDSVEuTllTRTpJQk0uSVFfTlBQRS45OTguMDcvMDMvMjAyNi4uLlVTRC5IAQAAAN62AQACAAAABDg3MjEBCAAAAAUAAAABMQEAAAALLTE5MDQ4NjA3NDQDAAAAAzE2MAIAAAAEMTAwNAQAAAABMAcAAAAIMy83LzIwMjYIAAAACjEyLzMxLzIwMjMJAAAAATDIVs0k/4HeCEdJLSj/gd4IK0NJUS5OWVNFOklCTS5JUV9HUFBFLjk5NS4wNy8wMy8yMDI2Li4uVVNELkgBAAAA3rYBAAIAAAAFMjM2NjcBCAAAAAUAAAABMQEAAAALLTIwNTkwNzMyMDIDAAAAAzE2MAIAAAAEMTE2OQQAAAABMAcAAAAIMy83LzIwMjYIAAAACjEyLzMxLzIwMjAJAAAAATDIVs0k/4HeCEdJLSj/gd4IPUNJUS5OWVNFOklC</t>
  </si>
  <si>
    <t>TS5JUV9ERUZfVEFYX0FTU0VUU19DVVJSRU5ULjk5Ny4wNy8wMy8yMDI2Li4uVVNELkgBAAAA3rYBAAMAAAAAAMhWzST/gd4IIQ4tKP+B3ggyQ0lRLk5ZU0U6SUJNLklRX1BSRVBBSURfRVhQLjk5OS4wNy8wMy8yMDI2Li4uVVNELkgBAAAA3rYBAAIAAAAEMTUxMgEIAAAABQAAAAExAQAAAAstMTkwNDg2MDc0MwMAAAADMTYwAgAAAAQxMjEyBAAAAAEwBwAAAAgzLzcvMjAyNggAAAAKMTIvMzEvMjAyNAkAAAABMMhWzST/gd4IIQ4tKP+B3ggwQ0lRLk5ZU0U6SUJNLklRX0lOVkVOVE9SWS45OTMuMDcvMDMvMjAyNi4uLlVTRC5IAQAAAN62AQACAAAABDE2ODIBCAAAAAUAAAABMQEAAAAKMjA4MTUwNTQwMQMAAAADMTYwAgAAAAQxMDQzBAAAAAEwBwAAAAgzLzcvMjAyNggAAAAKMTIvMzEvMjAxOAkAAAABMMhWzST/gd4I6CEtKP+B3gg4Q0lRLk5ZU0U6SUJNLklRX0NVUlJFTlRfUE9SVF9ERUJULjk5NC4wNy8wMy8yMDI2Li4uVVNELkgBAAAA3rYBAAIAAAAENzQ3MAEIAAAABQAAAAExAQAAAAstMjExMDc2OTM1NQMAAAADMTYwAgAAAAQxMjk3BAAAAAEwBwAAAAgzLzcvMjAyNggAAAAKMTIvMzEvMjAxOQkAAAABMMhWzST/gd4I6CEtKP+B3ggzQ0lRLk5ZU0U6SUJNLklRX1RPVEFMX0FTU0VUUy45OTguMDcvMDMvMjAyNi4uLlVTRC5IAQAAAN62AQACAAAABjEzNTI0MQEIAAAABQAAAAExAQAAAAstMTkwNDg2</t>
  </si>
  <si>
    <t>MDc0NAMAAAADMTYwAgAAAAQxMDA3BAAAAAEwBwAAAAgzLzcvMjAyNggAAAAKMTIvMzEvMjAyMwkAAAABMMhWzST/gd4I6CEtKP+B3gg2Q0lRLk5ZU0U6SUJNLklRX09USEVSX0xUX0FTU0VUUy45OTMuMDcvMDMvMjAyNi4uLlVTRC5IAQAAAN62AQACAAAABDY4MjYBCAAAAAUAAAABMQEAAAAKMjA4MTUwNTQwMQMAAAADMTYwAgAAAAQxMDYwBAAAAAEwBwAAAAgzLzcvMjAyNggAAAAKMTIvMzEvMjAxOAkAAAABMMhWzST/gd4IIucsKP+B3gg4Q0lRLk5ZU0U6SUJNLklRX0ZJTl9ESVZfQVNTRVRTX0xULjk5OS4wNy8wMy8yMDI2Li4uVVNELkgBAAAA3rYBAAMAAAAAAMhWzST/gd4IIucsKP+B3gg3Q0lRLk5ZU0U6SUJNLklRX0ZJTl9ESVZfTE9BTlNfTFQuOTk0LjA3LzAzLzIwMjYuLi5VU0QuSAEAAADetgEAAgAAAAQ4NzEyAQgAAAAFAAAAATEBAAAACy0yMTEwNzY5MzU1AwAAAAMxNjACAAAABDEwMzMEAAAAATAHAAAACDMvNy8yMDI2CAAAAAoxMi8zMS8yMDE5CQAAAAEwyFbNJP+B3ggi5ywo/4HeCDZDSVEuTllTRTpJQk0uSVFfRklOX0RJVl9MSUFCX0xULjk5Mi4wNy8wMy8yMDI2Li4uVVNELkgBAAAA3rYBAAMAAAAAAMhWzST/gd4IIucsKP+B3ggvQ0lRLk5ZU0U6SUJNLklRX1RPVEFMX0NMLjk5Ni4wNy8wMy8yMDI2Li4uVVNELkgBAAAA3rYBAAIAAAAFMzM2MTkBCAAAAAUAAAABMQEAAAALLTIwMDg2</t>
  </si>
  <si>
    <t>NDcxOTgDAAAAAzE2MAIAAAAEMTAwOQQAAAABMAcAAAAIMy83LzIwMjYIAAAACjEyLzMxLzIwMjEJAAAAATDIVs0k/4HeCCLnLCj/gd4IO0NJUS5OWVNFOklCTS5JUV9ERUZfVEFYX0xJQUJfQ1VSUkVOVC45OTMuMDcvMDMvMjAyNi4uLlVTRC5IAQAAAN62AQADAAAAAADIVs0k/4HeCPiYLCj/gd4IO0NJUS5OWVNFOklCTS5JUV9JTkNfVEFYX1BBWV9DVVJSRU5ULjEwMDAuMDcvMDMvMjAyNi4uLlVTRC5IAQAAAN62AQACAAAABDIzNDcBCAAAAAUAAAABMQEAAAALLTE5MDQ4NjA3NDADAAAAAzE2MAIAAAAEMTA5NAQAAAABMAcAAAAIMy83LzIwMjYIAAAACjEyLzMxLzIwMjUJAAAAATDIVs0k/4HeCBfALCj/gd4IO0NJUS5OWVNFOklCTS5JUV9GSU5fRElWX0RFQlRfQ1VSUkVOVC45OTcuMDcvMDMvMjAyNi4uLlVTRC5IAQAAAN62AQADAAAAAADIVs0k/4HeCBfALCj/gd4ILUNJUS5OWVNFOklCTS5JUV9DT01NT04uOTk5LjA3LzAzLzIwMjYuLi5VU0QuSAEAAADetgEAAgAAAAU2MTM4MAEIAAAABQAAAAExAQAAAAstMTkwNDg2MDc0MwMAAAADMTYwAgAAAAQxMTAzBAAAAAEwBwAAAAgzLzcvMjAyNggAAAAKMTIvMzEvMjAyNAkAAAABMMhWzST/gd4IF8AsKP+B3ggxQ0lRLk5ZU0U6SUJNLklRX1BSRUZfT1RIRVIuOTk3LjA3LzAzLzIwMjYuLi5VU0QuSAEAAADetgEAAwAAAAAAyFbNJP+B3ggXwCwo/4HeCDND</t>
  </si>
  <si>
    <t>SVEuTllTRTpJQk0uSVFfUFJFRl9DT05WRVJULjk5My4wNy8wMy8yMDI2Li4uVVNELkgBAAAA3rYBAAMAAAAAAMhWzST/gd4I5HEsKP+B3gg2Q0lRLk5ZU0U6SUJNLklRX0RFRl9UQVhfTElBQl9MVC45OTkuMDcvMDMvMjAyNi4uLlVTRC5IAQAAAN62AQACAAAAAzgxNQEIAAAABQAAAAExAQAAAAstMTkwNDg2MDc0MwMAAAADMTYwAgAAAAQxMDI3BAAAAAEwBwAAAAgzLzcvMjAyNggAAAAKMTIvMzEvMjAyNAkAAAABMMhWzST/gd4I5HEsKP+B3gguQ0lRLk5ZU0U6SUJNLklRX1BFTlNJT04uOTk0LjA3LzAzLzIwMjYuLi5VU0QuSAEAAADetgEAAgAAAAUxNzE0MgEIAAAABQAAAAExAQAAAAstMjExMDc2OTM1NQMAAAADMTYwAgAAAAQxMjEzBAAAAAEwBwAAAAgzLzcvMjAyNggAAAAKMTIvMzEvMjAxOQkAAAABMMhWzST/gd4I5HEsKP+B3ghJQ0lRLk5ZU0U6SUJNLklRX0xUX1BPUlRJT05fT1BFUl9MRUFTRV9MSUFCSUxJVElFUy4xMDAwLjA3LzAzLzIwMjYuLi5VU0QuSAEAAADetgEAAgAAAAQyNTQ3AQgAAAAFAAAAATEBAAAACy0xOTA0ODYwNzQwAwAAAAMxNjACAAAABTQ4MzgzBAAAAAEwBwAAAAgzLzcvMjAyNggAAAAKMTIvMzEvMjAyNQkAAAABMMhWzST/gd4I+JgsKP+B3gg7Q0lRLk5ZU0U6SUJNLklRX1RPVEFMX0ZJTkFOQ0VfTEVBU0VTLjk5NC4wNy8wMy8yMDI2Li4uVVNELkgBAAAA3rYBAAIAAAAD</t>
  </si>
  <si>
    <t>MjAzAQgAAAAFAAAAATEBAAAACy0yMTEwNzY5MzU1AwAAAAMxNjACAAAABTQ5MDMxBAAAAAEwBwAAAAgzLzcvMjAyNggAAAAKMTIvMzEvMjAxOQkAAAABMMhWzST/gd4I+JgsKP+B3gg8Q0lRLk5ZU0U6SUJNLklRX05QUEVfRVhDTF9PUEVSX0xFQVNFUy45OTMuMDcvMDMvMjAyNi4uLlVTRC5IAQAAAN62AQACAAAABTEwNzkyAQgAAAAFAAAAATEBAAAACjIwODE1MDU0MDEDAAAAAzE2MAIAAAAFNDg5NzYEAAAAATAHAAAACDMvNy8yMDI2CAAAAAoxMi8zMS8yMDE4CQAAAAEwyFbNJP+B3gjaSiwo/4HeCDxDSVEuTllTRTpJQk0uSVFfR1BQRV9FWENMX09QRVJfTEVBU0VTLjk5Ni4wNy8wMy8yMDI2Li4uVVNELkgBAAAA3rYBAAIAAAAFMjAwODQBCAAAAAUAAAABMQEAAAALLTIwMDg2NDcxOTgDAAAAAzE2MAIAAAAFNDg5NzQEAAAAATAHAAAACDMvNy8yMDI2CAAAAAoxMi8zMS8yMDIxCQAAAAEwyFbNJP+B3gjaSiwo/4HeCEJDSVEuTllTRTpJQk0uSVFfUlVBX0NBUElUQUxfTEVBU0VfQUNDVU1fREVQLjk5Mi4wNy8wMy8yMDI2Li4uVVNELkgBAAAA3rYBAAMAAAAAAMhWzST/gd4I2kosKP+B3gg+Q0lRLk5ZU0U6SUJNLklRX01JTk9SSVRZX0lOVEVSRVNUX1RPVEFMLjk5OS4wNy8wMy8yMDI2Li4uVVNELkgBAAAA3rYBAAIAAAACODYBCAAAAAUAAAABMQEAAAALLTE5MDQ4NjA3NDMDAAAAAzE2MAIAAAAEMTMx</t>
  </si>
  <si>
    <t>MgQAAAABMAcAAAAIMy83LzIwMjYIAAAACjEyLzMxLzIwMjQJAAAAATDIVs0k/4HeCNpKLCj/gd4IKkNJUS5OWVNFOklCTS5JUV9UQlYuOTk0LjA3LzAzLzIwMjYuLi5VU0QuSAEAAADetgEAAgAAAAYtNTI2MTYBCAAAAAUAAAABMQEAAAALLTIxMTA3NjkzNTUDAAAAAzE2MAIAAAAEMTMxMAQAAAABMAcAAAAIMy83LzIwMjYIAAAACjEyLzMxLzIwMTkJAAAAATDIVs0k/4HeCORxLCj/gd4IL0NJUS5OWVNFOklCTS5JUV9CVl9TSEFSRS45OTUuMDcvMDMvMjAyNi4uLlVTRC5IAQAAAN62AQACAAAACTIzLjA3MzkwNAEIAAAABQAAAAExAQAAAAstMjA1OTA3MzIwMgMAAAADMTYwAgAAAAQ0MDIwBAAAAAEwBwAAAAgzLzcvMjAyNggAAAAKMTIvMzEvMjAyMAkAAAABMMhWzST/gd4IzSMsKP+B3gg+Q0lRLk5ZU0U6SUJNLklRX1RPVEFMX0RFQlRfRVhDTF9MRUFTRVMuMTAwMC4wNy8wMy8yMDI2Li4uVVNELkgBAAAA3rYBAAIAAAAFNjAxMDcBCAAAAAUAAAABMQEAAAALLTE5MDQ4NjA3NDADAAAAAzE2MAIAAAAFNDg5OTIEAAAAATAHAAAACDMvNy8yMDI2CAAAAAoxMi8zMS8yMDI1CQAAAAEwyFbNJP+B3gjNIywo/4HeCE9DSVEuTllTRTpJQk0uSVFfRklOQU5DSU5HX09CTElHX0NVUlJFTlRfRVhDTF9PUEVSX0xFQVNFUy45OTguMDcvMDMvMjAyNi4uLlVTRC5IAQAAAN62AQACAAAABDY0MjYBCAAAAAUAAAABMQEA</t>
  </si>
  <si>
    <t>AAALLTE5MDQ4NjA3NDQDAAAAAzE2MAIAAAAFNDg5ODAEAAAAATAHAAAACDMvNy8yMDI2CAAAAAoxMi8zMS8yMDIzCQAAAAEwyFbNJP+B3gjNIywo/4HeCDpDSVEuTllTRTpJQk0uSVFfTElBQklMSVRJRVNfTEVWRUxfMy45OTQuMDcvMDMvMjAyNi4uLlVTRC5IAQAAAN62AQADAAAAAADIVs0k/4HeCM0jLCj/gd4ISUNJUS5OWVNFOklCTS5JUV9HRU5FUkFMX1BBUlRORVJfTUlOT1JJVFlfSU5URVJFU1QuMTAwMC4wNy8wMy8yMDI2Li4uVVNELkgBAAAA3rYBAAMAAAAAAMhWzST/gd4I2kosKP+B3ggqQ0lRLk5ZU0U6SUJNLklRX0NJUC45OTguMDcvMDMvMjAyNi4uLlVTRC5IAQAAAN62AQADAAAAAAA0fs0k/4HeCL/8Kyj/gd4IM0NJUS5OWVNFOklCTS5JUV9GSU5JU0hFRF9JTlYuOTk4LjA3LzAzLzIwMjYuLi5VU0QuSAEAAADetgEAAgAAAAI3OAEIAAAABQAAAAExAQAAAAstMTkwNDg2MDc0NAMAAAADMTYwAgAAAAQzMDc1BAAAAAEwBwAAAAgzLzcvMjAyNggAAAAKMTIvMzEvMjAyMwkAAAABMDR+zST/gd4Iv/wrKP+B3ggyQ0lRLk5ZU0U6SUJNLklRX0FSX1VOQklMTEVELjk5NS4wNy8wMy8yMDI2Li4uVVNELkgBAAAA3rYBAAIAAAAEMTA3NQEIAAAABQAAAAExAQAAAAstMjA1OTA3MzIwMgMAAAADMTYwAgAAAAU0NTQyMAQAAAABMAcAAAAIMy83LzIwMjYIAAAACjEyLzMxLzIwMjAJAAAAATA0fs0k/4He</t>
  </si>
  <si>
    <t>CL/8Kyj/gd4INENJUS5OWVNFOklCTS5JUV9DT01NT05fRElWX0NGLjk5NC4wNy8wMy8yMDI2Li4uVVNELkgBAAAA3rYBAAIAAAAFLTU3MDcBCAAAAAUAAAABMQEAAAALLTIxMTA3NjkzNTUDAAAAAzE2MAIAAAAEMjA3NAQAAAABMAcAAAAIMy83LzIwMjYIAAAACjEyLzMxLzIwMTkJAAAAATA0fs0k/4HeCL/8Kyj/gd4IM0NJUS5OWVNFOklCTS5JUV9QUkVGX0lTU1VFRC4xMDAwLjA3LzAzLzIwMjYuLi5VU0QuSAEAAADetgEAAwAAAAAANH7NJP+B3gjNIywo/4HeCDFDSVEuTllTRTpJQk0uSVFfQ09NTU9OX1JFUC45OTQuMDcvMDMvMjAyNi4uLlVTRC5IAQAAAN62AQACAAAABS0xNjMzAQgAAAAFAAAAATEBAAAACy0yMTEwNzY5MzU1AwAAAAMxNjACAAAABDIxNjQEAAAAATAHAAAACDMvNy8yMDI2CAAAAAoxMi8zMS8yMDE5CQAAAAEwNH7NJP+B3gie1Sso/4HeCDVDSVEuTllTRTpJQk0uSVFfU1RfREVCVF9SRVBBSUQuOTk2LjA3LzAzLzIwMjYuLi5VU0QuSAEAAADetgEAAgAAAAMtNDABCAAAAAUAAAABMQEAAAALLTIwMDg2NDcxOTgDAAAAAzE2MAIAAAAEMjA0NAQAAAABMAcAAAAIMy83LzIwMjYIAAAACjEyLzMxLzIwMjEJAAAAATA0fs0k/4HeCJ7VKyj/gd4INUNJUS5OWVNFOklCTS5JUV9MVF9ERUJUX0lTU1VFRC45OTIuMDcvMDMvMjAyNi4uLlVTRC5IAQAAAN62AQACAAAABDk2NDMBCAAAAAUAAAAB</t>
  </si>
  <si>
    <t>MQEAAAAKMjAxNzE2NDI0NAMAAAADMTYwAgAAAAQyMDM0BAAAAAEwBwAAAAgzLzcvMjAyNggAAAAKMTIvMzEvMjAxNwkAAAABMDR+zST/gd4IntUrKP+B3gg7Q0lRLk5ZU0U6SUJNLklRX0RBX1NVUFBMX1BBUlRJQUxfQ0YuMTAwMC4wNy8wMy8yMDI2Li4uVVNELkgBAAAA3rYBAAMAAAAAADR+zST/gd4IntUrKP+B3ggxQ0lRLk5ZU0U6SUJNLklRX05FVF9DSEFOR0UuOTk2LjA3LzAzLzIwMjYuLi5VU0QuSAEAAADetgEAAgAAAAUtNjcxOAEIAAAABQAAAAExAQAAAAstMjAwODY0NzE5OAMAAAADMTYwAgAAAAQyMDkzBAAAAAEwBwAAAAgzLzcvMjAyNggAAAAKMTIvMzEvMjAyMQkAAAABMDR+zST/gd4Iv/wrKP+B3ggxQ0lRLk5ZU0U6SUJNLklRX0NBU0hfRklOQU4uOTk2LjA3LzAzLzIwMjYuLi5VU0QuSAEAAADetgEAAgAAAAYtMTMzNTQBCAAAAAUAAAABMQEAAAALLTIwMDg2NDcxOTgDAAAAAzE2MAIAAAAEMjAwNAQAAAABMAcAAAAIMy83LzIwMjYIAAAACjEyLzMxLzIwMjEJAAAAATA0fs0k/4HeCCGuKyj/gd4INUNJUS5OWVNFOklCTS5JUV9TUEVDSUFMX0RJVl9DRi45OTIuMDcvMDMvMjAyNi4uLlVTRC5IAQAAAN62AQADAAAAAAA0fs0k/4HeCCGuKyj/gd4IOUNJUS5OWVNFOklCTS5JUV9DT01NT05fUFJFRl9ESVZfQ0YuOTk4LjA3LzAzLzIwMjYuLi5VU0QuSAEAAADetgEAAwAAAAAANH7NJP+B3ggh</t>
  </si>
  <si>
    <t>riso/4HeCDRDSVEuTllTRTpJQk0uSVFfQ0FTSF9JTlRFUkVTVC45OTYuMDcvMDMvMjAyNi4uLlVTRC5IAQAAAN62AQACAAAABDE1MTIBCAAAAAUAAAABMQEAAAALLTIwMDg2NDcxOTgDAAAAAzE2MAIAAAAEMzAyOAQAAAABMAcAAAAIMy83LzIwMjYIAAAACjEyLzMxLzIwMjEJAAAAATA0fs0k/4HeCCGuKyj/gd4IO0NJUS5OWVNFOklCTS5JUV9ORUdBVElWRV9HV19BTU9SVF9DRi45OTguMDcvMDMvMjAyNi4uLlVTRC5IAQAAAN62AQADAAAAAAA0fs0k/4HeCCGuKyj/gd4IPUNJUS5OWVNFOklCTS5JUV9EQV9DRl9FWENMX09QRVJfTEVBU0VTLjk5Mi4wNy8wMy8yMDI2Li4uVVNELkgBAAAA3rYBAAIAAAAENDU0MQEIAAAABQAAAAExAQAAAAoyMDE3MTY0MjQ0AwAAAAMxNjACAAAABTQ4OTg1BAAAAAEwBwAAAAgzLzcvMjAyNggAAAAKMTIvMzEvMjAxNwkAAAABMDR+zST/gd4IgnIrKP+B3gguQ0lRLk5ZU0U6SUJNLklRX0RFUF9SVUEuOTk4LjA3LzAzLzIwMjYuLi5VU0QuSAEAAADetgEAAgAAAAM5MDABCAAAAAUAAAABMQEAAAALLTE5MDQ4NjA3NDQDAAAAAzE2MAIAAAAFNDgzNTcEAAAAATAHAAAACDMvNy8yMDI2CAAAAAoxMi8zMS8yMDIzCQAAAAEwNH7NJP+B3giCciso/4HeCDFDSVEuTllTRTpJQk0uSVFfREVQUkVfU1VQUC45OTQuMDcvMDMvMjAyNi4uLlVTRC5IAQAAAN62AQADAAAAAAA0fs0k/4He</t>
  </si>
  <si>
    <t>CIJyKyj/gd4IN0NJUS5OWVNFOklCTS5JUV9DQVNIX1RBWEVTX0ZJTkFOLjk5OC4wNy8wMy8yMDI2Li4uVVNELkgBAAAA3rYBAAMAAAAAADR+zST/gd4IgnIrKP+B3gg4Q0lRLk5ZU0U6SUJNLklRX0NBU0hfVEFYRVNfSU5WRVNULjk5Mi4wNy8wMy8yMDI2Li4uVVNELkgBAAAA3rYBAAMAAAAAADR+zST/gd4IIa4rKP+B3gg7Q0lRLk5ZU0U6SUJNLklRX0NBU0hfSU5URVJFU1RfRklOQU4uMTAwMC4wNy8wMy8yMDI2Li4uVVNELkgBAAAA3rYBAAMAAAAAADR+zST/gd4IgnIrKP+B3gg7Q0lRLk5ZU0U6SUJNLklRX0NBU0hfSU5URVJFU1RfSU5WRVNULjk5NC4wNy8wMy8yMDI2Li4uVVNELkgBAAAA3rYBAAMAAAAAADR+zST/gd4IgnIrKP+B3gg+Q0lRLk5ZU0U6SUJNLklRX0NBU0hfSU5URVJFU1RfUkVDRUlWRUQuMTAwMC4wNy8wMy8yMDI2Li4uVVNELkgBAAAA3rYBAAMAAAAAADR+zST/gd4IgnIrKP+B3ghIQ0lRLk5ZU0U6SUJNLklRX0xPTkdfVEVSTV9ERUJUX1JFUEFJRF9FWENMX0xFQVNFUy45OTguMDcvMDMvMjAyNi4uLlVTRC5IAQAAAN62AQACAAAABS01MDgyAQgAAAAFAAAAATEBAAAACy0xOTA0ODYwNzQ0AwAAAAMxNjACAAAABTQ4OTg0BAAAAAEwBwAAAAgzLzcvMjAyNggAAAAKMTIvMzEvMjAyMwkAAAABMDR+zST/gd4IgnIrKP+B3ghKQ0lRLk5ZU0U6SUJNLklRX09QRVJBVElOR19MRUFTRV9M</t>
  </si>
  <si>
    <t>SUFCSUxJVElFU19OT05DQVNILjk5Mi4wNy8wMy8yMDI2Li4uVVNELkgBAAAA3rYBAAMAAAAAADR+zST/gd4IgnIrKP+B3gg1Q0lRLk5ZU0U6SUJNLklRX0RPX0ZJTkFOQ0VfQ0YuMTAwMC4wNy8wMy8yMDI2Li4uVVNELkgBAAAA3rYBAAMAAAAAADR+zST/gd4IaEorKP+B3ggzQ0lRLk5ZU0U6SUJNLklRX0RPX0lOVkVTVF9DRi45OTQuMDcvMDMvMjAyNi4uLlVTRC5IAQAAAN62AQADAAAAAAA0fs0k/4HeCCteKyj/gd4INENJUS5OWVNFOklCTS5JUV9VTkxFVkVSRURfRkNGLjk5Ni4wNy8wMy8yMDI2Li4uVVNELkgBAAAA3rYBAAIAAAAINTM0OC4zNzUBCAAAAAUAAAABMQEAAAALLTIwMDg2NDcxOTgDAAAAAzE2MAIAAAAENDQyMwQAAAABMAcAAAAIMy83LzIwMjYIAAAACjEyLzMxLzIwMjEJAAAAATA0fs0k/4HeCCteKyj/gd4INUNJUS5OWVNFOklCTS5JUV9TVF9OT1RFX1JFQ0VJVi45OTguMDcvMDMvMjAyNi4uLlVTRC5IAQAAAN62AQADAAAAAAA0fs0k/4HeCCteKyj/gd4IKUNJUS5OWVNFOklCTS5JUV9BUi45OTQuMDcvMDMvMjAyNi4uLlVTRC5IAQAAAN62AQACAAAABDgzNjIBCAAAAAUAAAABMQEAAAALLTIxMTA3NjkzNTUDAAAAAzE2MAIAAAAEMTAyMQQAAAABMAcAAAAIMy83LzIwMjYIAAAACjEyLzMxLzIwMTkJAAAAATA0fs0k/4HeCCteKyj/gd4INkNJUS5OWVNFOklCTS5JUV9UUkFESU5HX0FT</t>
  </si>
  <si>
    <t>U0VUUy4xMDAwLjA3LzAzLzIwMjYuLi5VU0QuSAEAAADetgEAAwAAAAAANH7NJP+B3giANiso/4HeCDBDSVEuTllTRTpJQk0uSVFfU1RfSU5WRVNULjk5NC4wNy8wMy8yMDI2Li4uVVNELkgBAAAA3rYBAAIAAAADNjk2AQgAAAAFAAAAATEBAAAACy0yMTEwNzY5MzU1AwAAAAMxNjACAAAABDEwNjkEAAAAATAHAAAACDMvNy8yMDI2CAAAAAoxMi8zMS8yMDE5CQAAAAEwNH7NJP+B3giANiso/4HeCDpDSVEuTllTRTpJQk0uSVFfR0FJTl9CQVJHQUlOX0FDUV9DRi45OTIuMDcvMDMvMjAyNi4uLlVTRC5IAQAAAN62AQADAAAAAAA0fs0k/4HeCIA2Kyj/gd4IK0NJUS5OWVNFOklCTS5JUV9HUFBFLjk5NC4wNy8wMy8yMDI2Li4uVVNELkgBAAAA3rYBAAIAAAAFMzcwMjQBCAAAAAUAAAABMQEAAAALLTIxMTA3NjkzNTUDAAAAAzE2MAIAAAAEMTE2OQQAAAABMAcAAAAIMy83LzIwMjYIAAAACjEyLzMxLzIwMTkJAAAAATA0fs0k/4HeCGhKKyj/gd4INkNJUS5OWVNFOklCTS5JUV9PVEhFUl9DQV9TVVBQTC4xMDAwLjA3LzAzLzIwMjYuLi5VU0QuSAEAAADetgEAAgAAAAQxMzE2AQgAAAAFAAAAATEBAAAACy0xOTA0ODYwNzQwAwAAAAMxNjACAAAABDEwNTUEAAAAATAHAAAACDMvNy8yMDI2CAAAAAoxMi8zMS8yMDI1CQAAAAEwNH7NJP+B3ghoSiso/4HeCD1DSVEuTllTRTpJQk0uSVFfREVGX1RBWF9BU1NFVFNfQ1VS</t>
  </si>
  <si>
    <t>UkVOVC45OTYuMDcvMDMvMjAyNi4uLlVTRC5IAQAAAN62AQADAAAAAAA0fs0k/4HeCG4PKyj/gd4IPENJUS5OWVNFOklCTS5JUV9GSU5fRElWX0xPQU5TX0NVUlJFTlQuOTk2LjA3LzAzLzIwMjYuLi5VU0QuSAEAAADetgEAAgAAAAQ3MjIxAQgAAAAFAAAAATEBAAAACy0yMDA4NjQ3MTk4AwAAAAMxNjACAAAABDEwMzIEAAAAATAHAAAACDMvNy8yMDI2CAAAAAoxMi8zMS8yMDIxCQAAAAEwNH7NJP+B3ghuDyso/4HeCDBDSVEuTllTRTpJQk0uSVFfSU5WRU5UT1JZLjk5Mi4wNy8wMy8yMDI2Li4uVVNELkgBAAAA3rYBAAIAAAAEMTU4MwEIAAAABQAAAAExAQAAAAoyMDE3MTY0MjQ0AwAAAAMxNjACAAAABDEwNDMEAAAAATAHAAAACDMvNy8yMDI2CAAAAAoxMi8zMS8yMDE3CQAAAAEwNH7NJP+B3ghuDyso/4HeCDNDSVEuTllTRTpJQk0uSVFfVE9UQUxfQVNTRVRTLjk5Ny4wNy8wMy8yMDI2Li4uVVNELkgBAAAA3rYBAAIAAAAGMTI3MjQzAQgAAAAFAAAAATEBAAAACy0xOTU4MjgxMDk2AwAAAAMxNjACAAAABDEwMDcEAAAAATAHAAAACDMvNy8yMDI2CAAAAAoxMi8zMS8yMDIyCQAAAAEwNH7NJP+B3ghuDyso/4HeCDZDSVEuTllTRTpJQk0uSVFfT1RIRVJfTFRfQVNTRVRTLjk5Mi4wNy8wMy8yMDI2Li4uVVNELkgBAAAA3rYBAAIAAAAENjg0NgEIAAAABQAAAAExAQAAAAoyMDE3MTY0MjQ0AwAAAAMxNjACAAAA</t>
  </si>
  <si>
    <t>BDEwNjAEAAAAATAHAAAACDMvNy8yMDI2CAAAAAoxMi8zMS8yMDE3CQAAAAEwNH7NJP+B3giANiso/4HeCCxDSVEuTllTRTpJQk0uSVFfQVJfTFQuOTk2LjA3LzAzLzIwMjYuLi5VU0QuSAEAAADetgEAAwAAAAAANH7NJP+B3ghg6Coo/4HeCDdDSVEuTllTRTpJQk0uSVFfRklOX0RJVl9MT0FOU19MVC45OTMuMDcvMDMvMjAyNi4uLlVTRC5IAQAAAN62AQACAAAABDkxNDgBCAAAAAUAAAABMQEAAAAKMjA4MTUwNTQwMQMAAAADMTYwAgAAAAQxMDMzBAAAAAEwBwAAAAgzLzcvMjAyNggAAAAKMTIvMzEvMjAxOAkAAAABMDR+zST/gd4IYOgqKP+B3ggrQ0lRLk5ZU0U6SUJNLklRX05QUEUuOTk3LjA3LzAzLzIwMjYuLi5VU0QuSAEAAADetgEAAgAAAAQ4MjEyAQgAAAAFAAAAATEBAAAACy0xOTU4MjgxMDk2AwAAAAMxNjACAAAABDEwMDQEAAAAATAHAAAACDMvNy8yMDI2CAAAAAoxMi8zMS8yMDIyCQAAAAEwNH7NJP+B3ghuDyso/4HeCC9DSVEuTllTRTpJQk0uSVFfVE9UQUxfQ0wuOTk1LjA3LzAzLzIwMjYuLi5VU0QuSAEAAADetgEAAgAAAAUzOTg2OQEIAAAABQAAAAExAQAAAAstMjA1OTA3MzIwMgMAAAADMTYwAgAAAAQxMDA5BAAAAAEwBwAAAAgzLzcvMjAyNggAAAAKMTIvMzEvMjAyMAkAAAABMDR+zST/gd4Ibg8rKP+B3gg7Q0lRLk5ZU0U6SUJNLklRX0RFRl9UQVhfTElBQl9DVVJSRU5ULjk5Mi4wNy8w</t>
  </si>
  <si>
    <t>My8yMDI2Li4uVVNELkgBAAAA3rYBAAMAAAAAADR+zST/gd4Ibg8rKP+B3gg6Q0lRLk5ZU0U6SUJNLklRX0lOQ19UQVhfUEFZX0NVUlJFTlQuOTk5LjA3LzAzLzIwMjYuLi5VU0QuSAEAAADetgEAAgAAAAQyMDMzAQgAAAAFAAAAATEBAAAACy0xOTA0ODYwNzQzAwAAAAMxNjACAAAABDEwOTQEAAAAATAHAAAACDMvNy8yMDI2CAAAAAoxMi8zMS8yMDI0CQAAAAEwNH7NJP+B3ghTwSoo/4HeCDtDSVEuTllTRTpJQk0uSVFfRklOX0RJVl9ERUJUX0NVUlJFTlQuOTk2LjA3LzAzLzIwMjYuLi5VU0QuSAEAAADetgEAAwAAAAAANH7NJP+B3ghg6Coo/4HeCCpDSVEuTllTRTpJQk0uSVFfQUUuMTAwMC4wNy8wMy8yMDI2Li4uVVNELkgBAAAA3rYBAAIAAAAENzk3NgEIAAAABQAAAAExAQAAAAstMTkwNDg2MDc0MAMAAAADMTYwAgAAAAQxMDE2BAAAAAEwBwAAAAgzLzcvMjAyNggAAAAKMTIvMzEvMjAyNQkAAAABMDR+zST/gd4IYOgqKP+B3ggyQ0lRLk5ZU0U6SUJNLklRX1BSRUZfRVFVSVRZLjk5NC4wNy8wMy8yMDI2Li4uVVNELkgBAAAA3rYBAAMAAAAAADR+zST/gd4IYOgqKP+B3ggzQ0lRLk5ZU0U6SUJNLklRX1BSRUZfQ09OVkVSVC45OTIuMDcvMDMvMjAyNi4uLlVTRC5IAQAAAN62AQADAAAAAAA0fs0k/4HeCGDoKij/gd4INENJUS5OWVNFOklCTS5JUV9PVEhFUl9MSUFCX0xULjk5Ni4wNy8wMy8yMDI2Li4u</t>
  </si>
  <si>
    <t>VVNELkgBAAAA3rYBAAIAAAAFMTAwMzkBCAAAAAUAAAABMQEAAAALLTIwMDg2NDcxOTgDAAAAAzE2MAIAAAAEMTA2MgQAAAABMAcAAAAIMy83LzIwMjYIAAAACjEyLzMxLzIwMjEJAAAAATA0fs0k/4HeCFPBKij/gd4ILkNJUS5OWVNFOklCTS5JUV9QRU5TSU9OLjk5My4wNy8wMy8yMDI2Li4uVVNELkgBAAAA3rYBAAIAAAAFMTcwMDIBCAAAAAUAAAABMQEAAAAKMjA4MTUwNTQwMQMAAAADMTYwAgAAAAQxMjEzBAAAAAEwBwAAAAgzLzcvMjAyNggAAAAKMTIvMzEvMjAxOAkAAAABMDR+zST/gd4IU8EqKP+B3gg3Q0lRLk5ZU0U6SUJNLklRX0xPTkdfVEVSTV9MRUFTRVMuOTk4LjA3LzAzLzIwMjYuLi5VU0QuSAEAAADetgEAAgAAAAQyOTQ3AQgAAAAFAAAAATEBAAAACy0xOTA0ODYwNzQ0AwAAAAMxNjACAAAABDExODMEAAAAATAHAAAACDMvNy8yMDI2CAAAAAoxMi8zMS8yMDIzCQAAAAEwNH7NJP+B3ghTwSoo/4HeCEBDSVEuTllTRTpJQk0uSVFfUlVBX09QRVJBVElOR19MRUFTRV9HUk9TUy45OTkuMDcvMDMvMjAyNi4uLlVTRC5IAQAAAN62AQACAAAABDMxOTcBCAAAAAUAAAABMQEAAAALLTE5MDQ4NjA3NDMDAAAAAzE2MAIAAAAFNDgzNzcEAAAAATAHAAAACDMvNy8yMDI2CAAAAAoxMi8zMS8yMDI0CQAAAAEwNH7NJP+B3ghTwSoo/4HeCC9DSVEuTllTRTpJQk0uSVFfUlVBX05FVC4xMDAwLjA3LzAzLzIw</t>
  </si>
  <si>
    <t>MjYuLi5VU0QuSAEAAADetgEAAwAAAAAANH7NJP+B3ghTwSoo/4HeCDRDSVEuTllTRTpJQk0uSVFfT1RIRVJfRVFVSVRZLjEwMDAuMDcvMDMvMjAyNi4uLlVTRC5IAQAAAN62AQACAAAABi0xNTcxMwEIAAAABQAAAAExAQAAAAstMTkwNDg2MDc0MAMAAAADMTYwAgAAAAQxMDI4BAAAAAEwBwAAAAgzLzcvMjAyNggAAAAKMTIvMzEvMjAyNQkAAAABMDR+zST/gd4IQ5oqKP+B3ggqQ0lRLk5ZU0U6SUJNLklRX1JFLjEwMDAuMDcvMDMvMjAyNi4uLlVTRC5IAQAAAN62AQACAAAABjE1NTY0OAEIAAAABQAAAAExAQAAAAstMTkwNDg2MDc0MAMAAAADMTYwAgAAAAQxMjIyBAAAAAEwBwAAAAgzLzcvMjAyNggAAAAKMTIvMzEvMjAyNQkAAAABMDR+zST/gd4IQ5oqKP+B3ggtQ0lRLk5ZU0U6SUJNLklRX0NPTU1PTi45OTguMDcvMDMvMjAyNi4uLlVTRC5IAQAAAN62AQACAAAABTU5NjQzAQgAAAAFAAAAATEBAAAACy0xOTA0ODYwNzQ0AwAAAAMxNjACAAAABDExMDMEAAAAATAHAAAACDMvNy8yMDI2CAAAAAoxMi8zMS8yMDIzCQAAAAEwNH7NJP+B3ghDmioo/4HeCD1DSVEuTllTRTpJQk0uSVFfVE9UQUxfREVCVF9FWENMX0xFQVNFUy45OTkuMDcvMDMvMjAyNi4uLlVTRC5IAQAAAN62AQACAAAABTUzOTcyAQgAAAAFAAAAATEBAAAACy0xOTA0ODYwNzQzAwAAAAMxNjACAAAABTQ4OTkyBAAAAAEwBwAAAAgzLzcvMjAy</t>
  </si>
  <si>
    <t>NggAAAAKMTIvMzEvMjAyNAkAAAABMDR+zST/gd4IQ5oqKP+B3ghTQ0lRLk5ZU0U6SUJNLklRX0ZJTkFOQ0lOR19PQkxJR19OT05fQ1VSUkVOVF9FWENMX09QRVJfTEVBU0VTLjk5NC4wNy8wMy8yMDI2Li4uVVNELkgBAAAA3rYBAAIAAAAFNTQxMDIBCAAAAAUAAAABMQEAAAALLTIxMTA3NjkzNTUDAAAAAzE2MAIAAAAFNDg5ODEEAAAAATAHAAAACDMvNy8yMDI2CAAAAAoxMi8zMS8yMDE5CQAAAAEwNH7NJP+B3ghTwSoo/4HeCEhDSVEuTllTRTpJQk0uSVFfTFRfUE9SVElPTl9PUEVSX0xFQVNFX0xJQUJJTElUSUVTLjk5OC4wNy8wMy8yMDI2Li4uVVNELkgBAAAA3rYBAAIAAAAEMjU2OAEIAAAABQAAAAExAQAAAAstMTkwNDg2MDc0NAMAAAADMTYwAgAAAAU0ODM4MwQAAAABMAcAAAAIMy83LzIwMjYIAAAACjEyLzMxLzIwMjMJAAAAATA0fs0k/4HeCEFzKij/gd4IO0NJUS5OWVNFOklCTS5JUV9UT1RBTF9GSU5BTkNFX0xFQVNFUy45OTIuMDcvMDMvMjAyNi4uLlVTRC5IAQAAAN62AQADAAAAAAA0fs0k/4HeCEFzKij/gd4IPENJUS5OWVNFOklCTS5JUV9HUFBFX0VYQ0xfT1BFUl9MRUFTRVMuOTk1LjA3LzAzLzIwMjYuLi5VU0QuSAEAAADetgEAAgAAAAUyMDEwMQEIAAAABQAAAAExAQAAAAstMjA1OTA3MzIwMgMAAAADMTYwAgAAAAU0ODk3NAQAAAABMAcAAAAIMy83LzIwMjYIAAAACjEyLzMxLzIwMjAJ</t>
  </si>
  <si>
    <t>AAAAATA0fs0k/4HeCEOaKij/gd4IM0NJUS5OWVNFOklCTS5JUV9GSU5JU0hFRF9JTlYuOTk3LjA3LzAzLzIwMjYuLi5VU0QuSAEAAADetgEAAgAAAAMxNTgBCAAAAAUAAAABMQEAAAALLTE5NTgyODEwOTYDAAAAAzE2MAIAAAAEMzA3NQQAAAABMAcAAAAIMy83LzIwMjYIAAAACjEyLzMxLzIwMjIJAAAAATA0fs0k/4HeCEOaKij/gd4IMkNJUS5OWVNFOklCTS5JUV9BUl9VTkJJTExFRC45OTQuMDcvMDMvMjAyNi4uLlVTRC5IAQAAAN62AQACAAAABDE1NjMBCAAAAAUAAAABMQEAAAALLTIxMTA3NjkzNTUDAAAAAzE2MAIAAAAFNDU0MjAEAAAAATAHAAAACDMvNy8yMDI2CAAAAAoxMi8zMS8yMDE5CQAAAAEwNH7NJP+B3ghDmioo/4HeCDBDSVEuTllTRTpJQk0uSVFfVE9UQUxfQ0FQLjk5My4wNy8wMy8yMDI2Li4uVVNELkgBAAAA3rYBAAIAAAAFNjI3NDIBCAAAAAUAAAABMQEAAAAKMjA4MTUwNTQwMQMAAAADMTYwAgAAAAQ0MTc1BAAAAAEwBwAAAAgzLzcvMjAyNggAAAAKMTIvMzEvMjAxOAkAAAABMDR+zST/gd4I3UsqKP+B3ggqQ0lRLk5ZU0U6SUJNLklRX1RCVi45OTMuMDcvMDMvMjAyNi4uLlVTRC5IAQAAAN62AQACAAAABi0yMjU1NgEIAAAABQAAAAExAQAAAAoyMDgxNTA1NDAxAwAAAAMxNjACAAAABDEzMTAEAAAAATAHAAAACDMvNy8yMDI2CAAAAAoxMi8zMS8yMDE4CQAAAAEwNH7NJP+B3ghBcyoo</t>
  </si>
  <si>
    <t>/4HeCDhDSVEuTllTRTpJQk0uSVFfQlZfU0hBUkVfUkVQT1JURUQuOTkyLjA3LzAzLzIwMjYuLi5VU0QuSAEAAADetgEAAwAAAAAANH7NJP+B3ghBcyoo/4HeCEhDSVEuTllTRTpJQk0uSVFfTE9OR19URVJNX0RFQlRfUkVQQUlEX0VYQ0xfTEVBU0VTLjk5Ny4wNy8wMy8yMDI2Li4uVVNELkgBAAAA3rYBAAIAAAAFLTY4MDABCAAAAAUAAAABMQEAAAALLTE5NTgyODEwOTYDAAAAAzE2MAIAAAAFNDg5ODQEAAAAATAHAAAACDMvNy8yMDI2CAAAAAoxMi8zMS8yMDIyCQAAAAEwNH7NJP+B3ghBcyoo/4HeCDRDSVEuTllTRTpJQk0uSVFfRE9fRklOQU5DRV9DRi45OTkuMDcvMDMvMjAyNi4uLlVTRC5IAQAAAN62AQADAAAAAAA0fs0k/4HeCEFzKij/gd4IOkNJUS5OWVNFOklCTS5JUV9MSUFCSUxJVElFU19MRVZFTF8zLjk5Mi4wNy8wMy8yMDI2Li4uVVNELkgBAAAA3rYBAAMAAAAAADR+zST/gd4I3UsqKP+B3ghFQ0lRLk5ZU0U6SUJNLklRX1RPVEFMX0dFTkVSQUxfUEFSVE5FUl9JTlRFUkVTVC45OTYuMDcvMDMvMjAyNi4uLlVTRC5IAQAAAN62AQADAAAAAAA0fs0k/4HeCN1LKij/gd4IKkNJUS5OWVNFOklCTS5JUV9DSVAuOTk3LjA3LzAzLzIwMjYuLi5VU0QuSAEAAADetgEAAwAAAAAANH7NJP+B3gjdSyoo/4HeCDZDSVEuTllTRTpJQk0uSVFfUkVTVFJJQ1RFRF9DQVNILjk5My4wNy8wMy8yMDI2Li4uVVNE</t>
  </si>
  <si>
    <t>LkgBAAAA3rYBAAIAAAADMjI1AQgAAAAFAAAAATEBAAAACjIwODE1MDU0MDEDAAAAAzE2MAIAAAAEMTEwNAQAAAABMAcAAAAIMy83LzIwMjYIAAAACjEyLzMxLzIwMTgJAAAAATA0fs0k/4HeCN1LKij/gd4IPENJUS5OWVNFOklCTS5JUV9GSU5fRElWX0xPQU5TX0NVUlJFTlQuOTk1LjA3LzAzLzIwMjYuLi5VU0QuSAEAAADetgEAAgAAAAUxMDUwOQEIAAAABQAAAAExAQAAAAstMjA1OTA3MzIwMgMAAAADMTYwAgAAAAQxMDMyBAAAAAEwBwAAAAgzLzcvMjAyNggAAAAKMTIvMzEvMjAyMAkAAAABMDR+zST/gd4I3UsqKP+B3gg1Q0lRLk5ZU0U6SUJNLklRX1NUX05PVEVfUkVDRUlWLjk5Ny4wNy8wMy8yMDI2Li4uVVNELkgBAAAA3rYBAAMAAAAAADR+zST/gd4IBREqKP+B3gg1Q0lRLk5ZU0U6SUJNLklRX1RSQURJTkdfQVNTRVRTLjk5OS4wNy8wMy8yMDI2Li4uVVNELkgBAAAA3rYBAAMAAAAAADR+zST/gd4IBREqKP+B3ggwQ0lRLk5ZU0U6SUJNLklRX1NUX0lOVkVTVC45OTMuMDcvMDMvMjAyNi4uLlVTRC5IAQAAAN62AQACAAAAAzYxOAEIAAAABQAAAAExAQAAAAoyMDgxNTA1NDAxAwAAAAMxNjACAAAABDEwNjkEAAAAATAHAAAACDMvNy8yMDI2CAAAAAoxMi8zMS8yMDE4CQAAAAEwNH7NJP+B3ggFESoo/4HeCDdDSVEuTllTRTpJQk0uSVFfRklOX0RJVl9MT0FOU19MVC45OTIuMDcvMDMvMjAyNi4uLlVT</t>
  </si>
  <si>
    <t>RC5IAQAAAN62AQACAAAABDk1NTABCAAAAAUAAAABMQEAAAAKMjAxNzE2NDI0NAMAAAADMTYwAgAAAAQxMDMzBAAAAAEwBwAAAAgzLzcvMjAyNggAAAAKMTIvMzEvMjAxNwkAAAABMDR+zST/gd4IBREqKP+B3ggpQ0lRLk5ZU0U6SUJNLklRX0dXLjk5OS4wNy8wMy8yMDI2Li4uVVNELkgBAAAA3rYBAAIAAAAFNjA3MDYBCAAAAAUAAAABMQEAAAALLTE5MDQ4NjA3NDMDAAAAAzE2MAIAAAAEMTE3MQQAAAABMAcAAAAIMy83LzIwMjYIAAAACjEyLzMxLzIwMjQJAAAAATA0fs0k/4HeCN1LKij/gd4IK0NJUS5OWVNFOklCTS5JUV9OUFBFLjk5Ni4wNy8wMy8yMDI2Li4uVVNELkgBAAAA3rYBAAIAAAAEODkxNgEIAAAABQAAAAExAQAAAAstMjAwODY0NzE5OAMAAAADMTYwAgAAAAQxMDA0BAAAAAEwBwAAAAgzLzcvMjAyNggAAAAKMTIvMzEvMjAyMQkAAAABMDR+zST/gd4IBREqKP+B3ggrQ0lRLk5ZU0U6SUJNLklRX0dQUEUuOTkzLjA3LzAzLzIwMjYuLi5VU0QuSAEAAADetgEAAgAAAAUzMjQ2MAEIAAAABQAAAAExAQAAAAoyMDgxNTA1NDAxAwAAAAMxNjACAAAABDExNjkEAAAAATAHAAAACDMvNy8yMDI2CAAAAAoxMi8zMS8yMDE4CQAAAAEwNH7NJP+B3ggFESoo/4HeCDVDSVEuTllTRTpJQk0uSVFfT1RIRVJfQ0FfU1VQUEwuOTk5LjA3LzAzLzIwMjYuLi5VU0QuSAEAAADetgEAAgAAAAQxNTMzAQgAAAAFAAAA</t>
  </si>
  <si>
    <t>ATEBAAAACy0xOTA0ODYwNzQzAwAAAAMxNjACAAAABDEwNTUEAAAAATAHAAAACDMvNy8yMDI2CAAAAAoxMi8zMS8yMDI0CQAAAAEwNH7NJP+B3ggFESoo/4HeCDtDSVEuTllTRTpJQk0uSVFfRklOX0RJVl9ERUJUX0NVUlJFTlQuOTk1LjA3LzAzLzIwMjYuLi5VU0QuSAEAAADetgEAAwAAAAAANH7NJP+B3ggFESoo/4HeCClDSVEuTllTRTpJQk0uSVFfQUUuOTk5LjA3LzAzLzIwMjYuLi5VU0QuSAEAAADetgEAAgAAAAQ3MDUyAQgAAAAFAAAAATEBAAAACy0xOTA0ODYwNzQzAwAAAAMxNjACAAAABDEwMTYEAAAAATAHAAAACDMvNy8yMDI2CAAAAAoxMi8zMS8yMDI0CQAAAAEwNH7NJP+B3ggFESoo/4HeCClDSVEuTllTRTpJQk0uSVFfQVAuOTk0LjA3LzAzLzIwMjYuLi5VU0QuSAEAAADetgEAAgAAAAQ0ODk2AQgAAAAFAAAAATEBAAAACy0yMTEwNzY5MzU1AwAAAAMxNjACAAAABDEwMTgEAAAAATAHAAAACDMvNy8yMDI2CAAAAAoxMi8zMS8yMDE5CQAAAAEwNH7NJP+B3ggO6iko/4HeCDdDSVEuTllTRTpJQk0uSVFfTE9BTlNfUkVDRUlWX0xULjEwMDAuMDcvMDMvMjAyNi4uLlVTRC5IAQAAAN62AQADAAAAAAA0fs0k/4HeCA7qKSj/gd4ILENJUS5OWVNFOklCTS5JUV9BUl9MVC45OTUuMDcvMDMvMjAyNi4uLlVTRC5IAQAAAN62AQADAAAAAAA0fs0k/4HeCA7qKSj/gd4ILkNJUS5OWVNFOklCTS5JUV9QRU5T</t>
  </si>
  <si>
    <t>SU9OLjk5Mi4wNy8wMy8yMDI2Li4uVVNELkgBAAAA3rYBAAIAAAAFMTY3MjABCAAAAAUAAAABMQEAAAAKMjAxNzE2NDI0NAMAAAADMTYwAgAAAAQxMjEzBAAAAAEwBwAAAAgzLzcvMjAyNggAAAAKMTIvMzEvMjAxNwkAAAABMDR+zST/gd4IDuopKP+B3gg2Q0lRLk5ZU0U6SUJNLklRX0ZJTl9ESVZfTElBQl9MVC45OTkuMDcvMDMvMjAyNi4uLlVTRC5IAQAAAN62AQADAAAAAAA0fs0k/4HeCAURKij/gd4IN0NJUS5OWVNFOklCTS5JUV9MT05HX1RFUk1fTEVBU0VTLjk5Ni4wNy8wMy8yMDI2Li4uVVNELkgBAAAA3rYBAAIAAAAEMjUyNQEIAAAABQAAAAExAQAAAAstMjAwODY0NzE5OAMAAAADMTYwAgAAAAQxMTgzBAAAAAEwBwAAAAgzLzcvMjAyNggAAAAKMTIvMzEvMjAyMQkAAAABMDR+zST/gd4I58IpKP+B3ggvQ0lRLk5ZU0U6SUJNLklRX1RPVEFMX0NMLjk5NC4wNy8wMy8yMDI2Li4uVVNELkgBAAAA3rYBAAIAAAAFMzc3MDEBCAAAAAUAAAABMQEAAAALLTIxMTA3NjkzNTUDAAAAAzE2MAIAAAAEMTAwOQQAAAABMAcAAAAIMy83LzIwMjYIAAAACjEyLzMxLzIwMTkJAAAAATA0fs0k/4HeCOfCKSj/gd4IOkNJUS5OWVNFOklCTS5JUV9JTkNfVEFYX1BBWV9DVVJSRU5ULjk5OC4wNy8wMy8yMDI2Li4uVVNELkgBAAAA3rYBAAIAAAAEMjI3MAEIAAAABQAAAAExAQAAAAstMTkwNDg2MDc0NAMAAAADMTYwAgAA</t>
  </si>
  <si>
    <t>AAQxMDk0BAAAAAEwBwAAAAgzLzcvMjAyNggAAAAKMTIvMzEvMjAyMwkAAAABMDR+zST/gd4I58IpKP+B3ggpQ0lRLk5ZU0U6SUJNLklRX1JFLjk5OS4wNy8wMy8yMDI2Li4uVVNELkgBAAAA3rYBAAIAAAAGMTUxMTYzAQgAAAAFAAAAATEBAAAACy0xOTA0ODYwNzQzAwAAAAMxNjACAAAABDEyMjIEAAAAATAHAAAACDMvNy8yMDI2CAAAAAoxMi8zMS8yMDI0CQAAAAEwNH7NJP+B3ggO6iko/4HeCCtDSVEuTllTRTpJQk0uSVFfQVBJQy45OTUuMDcvMDMvMjAyNi4uLlVTRC5IAQAAAN62AQADAAAAAAA0fs0k/4HeCA7qKSj/gd4IMkNJUS5OWVNFOklCTS5JUV9QUkVGX0VRVUlUWS45OTMuMDcvMDMvMjAyNi4uLlVTRC5IAQAAAN62AQADAAAAAAA0fs0k/4HeCMmbKSj/gd4IMkNJUS5OWVNFOklCTS5JUV9UT1RBTF9MSUFCLjEwMDAuMDcvMDMvMjAyNi4uLlVTRC5IAQAAAN62AQACAAAABjExOTEzOQEIAAAABQAAAAExAQAAAAstMTkwNDg2MDc0MAMAAAADMTYwAgAAAAQxMjc2BAAAAAEwBwAAAAgzLzcvMjAyNggAAAAKMTIvMzEvMjAyNQkAAAABMDR+zST/gd4IyZspKP+B3gg0Q0lRLk5ZU0U6SUJNLklRX09USEVSX0xJQUJfTFQuOTk1LjA3LzAzLzIwMjYuLi5VU0QuSAEAAADetgEAAgAAAAUxMjUzOQEIAAAABQAAAAExAQAAAAstMjA1OTA3MzIwMgMAAAADMTYwAgAAAAQxMDYyBAAAAAEwBwAAAAgzLzcvMjAy</t>
  </si>
  <si>
    <t>NggAAAAKMTIvMzEvMjAyMAkAAAABMDR+zST/gd4I58IpKP+B3ghDQ0lRLk5ZU0U6SUJNLklRX1JVQV9DQVBJVEFMX0xFQVNFX0FDQ1VNX0RFUC4xMDAwLjA3LzAzLzIwMjYuLi5VU0QuSAEAAADetgEAAwAAAAAANH7NJP+B3gjnwiko/4HeCC5DSVEuTllTRTpJQk0uSVFfUlVBX05FVC45OTkuMDcvMDMvMjAyNi4uLlVTRC5IAQAAAN62AQADAAAAAAA0fs0k/4HeCOfCKSj/gd4IMENJUS5OWVNFOklCTS5JUV9SVUFfR1JPU1MuOTk4LjA3LzAzLzIwMjYuLi5VU0QuSAEAAADetgEAAwAAAAAANH7NJP+B3gjJmyko/4HeCDNDSVEuTllTRTpJQk0uSVFfVE9UQUxfRVFVSVRZLjk5OC4wNy8wMy8yMDI2Li4uVVNELkgBAAAA3rYBAAIAAAAFMjI2MTMBCAAAAAUAAAABMQEAAAALLTE5MDQ4NjA3NDQDAAAAAzE2MAIAAAAEMTI3NQQAAAABMAcAAAAIMy83LzIwMjYIAAAACjEyLzMxLzIwMjMJAAAAATA0fs0k/4HeCMmbKSj/gd4IOkNJUS5OWVNFOklCTS5JUV9UT1RBTF9DT01NT05fRVFVSVRZLjk5Ny4wNy8wMy8yMDI2Li4uVVNELkgBAAAA3rYBAAIAAAAFMjE5NDQBCAAAAAUAAAABMQEAAAALLTE5NTgyODEwOTYDAAAAAzE2MAIAAAAEMTAwNgQAAAABMAcAAAAIMy83LzIwMjYIAAAACjEyLzMxLzIwMjIJAAAAATA0fs0k/4HeCMmbKSj/gd4IU0NJUS5OWVNFOklCTS5JUV9GSU5BTkNJTkdfT0JMSUdfTk9OX0NVUlJF</t>
  </si>
  <si>
    <t>TlRfRVhDTF9PUEVSX0xFQVNFUy45OTMuMDcvMDMvMjAyNi4uLlVTRC5IAQAAAN62AQACAAAABTM1NjA1AQgAAAAFAAAAATEBAAAACjIwODE1MDU0MDEDAAAAAzE2MAIAAAAFNDg5ODEEAAAAATAHAAAACDMvNy8yMDI2CAAAAAoxMi8zMS8yMDE4CQAAAAEwNH7NJP+B3gjJmyko/4HeCDhDSVEuTllTRTpJQk0uSVFfVE9UQUxfT1BFUl9MRUFTRVMuOTk1LjA3LzAzLzIwMjYuLi5VU0QuSAEAAADetgEAAgAAAAQzNzU1AQgAAAAFAAAAATEBAAAACy0yMDU5MDczMjAyAwAAAAMxNjACAAAABTQ4OTc4BAAAAAEwBwAAAAgzLzcvMjAyNggAAAAKMTIvMzEvMjAyMAkAAAABMDR+zST/gd4IyZspKP+B3gg9Q0lRLk5ZU0U6SUJNLklRX05QUEVfRVhDTF9PUEVSX0xFQVNFUy4xMDAwLjA3LzAzLzIwMjYuLi5VU0QuSAEAAADetgEAAgAAAAQ1ODk5AQgAAAAFAAAAATEBAAAACy0xOTA0ODYwNzQwAwAAAAMxNjACAAAABTQ4OTc2BAAAAAEwBwAAAAgzLzcvMjAyNggAAAAKMTIvMzEvMjAyNQkAAAABMDR+zST/gd4IqHQpKP+B3gg8Q0lRLk5ZU0U6SUJNLklRX0dQUEVfRVhDTF9PUEVSX0xFQVNFUy45OTQuMDcvMDMvMjAyNi4uLlVTRC5IAQAAAN62AQACAAAABTMyMDI4AQgAAAAFAAAAATEBAAAACy0yMTEwNzY5MzU1AwAAAAMxNjACAAAABTQ4OTc0BAAAAAEwBwAAAAgzLzcvMjAyNggAAAAKMTIvMzEvMjAxOQkAAAABMDR+</t>
  </si>
  <si>
    <t>zST/gd4IqHQpKP+B3ghAQ0lRLk5ZU0U6SUJNLklRX1JVQV9PUEVSQVRJTkdfTEVBU0VfR1JPU1MuOTk4LjA3LzAzLzIwMjYuLi5VU0QuSAEAAADetgEAAgAAAAQzMjIwAQgAAAAFAAAAATEBAAAACy0xOTA0ODYwNzQ0AwAAAAMxNjACAAAABTQ4Mzc3BAAAAAEwBwAAAAgzLzcvMjAyNggAAAAKMTIvMzEvMjAyMwkAAAABMDR+zST/gd4IqHQpKP+B3ggzQ0lRLk5ZU0U6SUJNLklRX0ZJTklTSEVEX0lOVi45OTYuMDcvMDMvMjAyNi4uLlVTRC5IAQAAAN62AQACAAAAAzIwOAEIAAAABQAAAAExAQAAAAstMjAwODY0NzE5OAMAAAADMTYwAgAAAAQzMDc1BAAAAAEwBwAAAAgzLzcvMjAyNggAAAAKMTIvMzEvMjAyMQkAAAABMDR+zST/gd4IqHQpKP+B3ggyQ0lRLk5ZU0U6SUJNLklRX0FSX1VOQklMTEVELjk5My4wNy8wMy8yMDI2Li4uVVNELkgBAAAA3rYBAAIAAAAEMTU0NQEIAAAABQAAAAExAQAAAAoyMDgxNTA1NDAxAwAAAAMxNjACAAAABTQ1NDIwBAAAAAEwBwAAAAgzLzcvMjAyNggAAAAKMTIvMzEvMjAxOAkAAAABMDR+zST/gd4IyZspKP+B3ggwQ0lRLk5ZU0U6SUJNLklRX1RPVEFMX0NBUC45OTIuMDcvMDMvMjAyNi4uLlVTRC5IAQAAAN62AQACAAAABTY0NTgzAQgAAAAFAAAAATEBAAAACjIwMTcxNjQyNDQDAAAAAzE2MAIAAAAENDE3NQQAAAABMAcAAAAIMy83LzIwMjYIAAAACjEyLzMxLzIwMTcJAAAA</t>
  </si>
  <si>
    <t>ATA0fs0k/4HeCKh0KSj/gd4IKkNJUS5OWVNFOklCTS5JUV9UQlYuOTkyLjA3LzAzLzIwMjYuLi5VU0QuSAEAAADetgEAAgAAAAYtMjI5MzYBCAAAAAUAAAABMQEAAAAKMjAxNzE2NDI0NAMAAAADMTYwAgAAAAQxMzEwBAAAAAEwBwAAAAgzLzcvMjAyNggAAAAKMTIvMzEvMjAxNwkAAAABMDR+zST/gd4IqHQpKP+B3gg9Q0lRLk5ZU0U6SUJNLklRX1RPVEFMX0RFQlRfRVhDTF9MRUFTRVMuOTk4LjA3LzAzLzIwMjYuLi5VU0QuSAEAAADetgEAAgAAAAU1NjA0NwEIAAAABQAAAAExAQAAAAstMTkwNDg2MDc0NAMAAAADMTYwAgAAAAU0ODk5MgQAAAABMAcAAAAIMy83LzIwMjYIAAAACjEyLzMxLzIwMjMJAAAAATA0fs0k/4HeCKh0KSj/gd4IM0NJUS5OWVNFOklCTS5JUV9NQUlOVF9SRVBBSVIuOTk2LjA3LzAzLzIwMjYuLi5VU0QuSAEAAADetgEAAwAAAAAANH7NJP+B3giodCko/4HeCEFDSVEuTllTRTpJQk0uSVFfREVQUkVDSUFUSU9OX1JFTlRBTF9BU1NFVFMuOTkyLjA3LzAzLzIwMjYuLi5VU0QuSAEAAADetgEAAwAAAAAANH7NJP+B3giodCko/4HeCDpDSVEuTllTRTpJQk0uSVFfTElBQklMSVRJRVNfTEVWRUxfMy45OTkuMDcvMDMvMjAyNi4uLlVTRC5IAQAAAN62AQADAAAAAAA0fs0k/4HeCNVgKSj/gd4IRUNJUS5OWVNFOklCTS5JUV9UT1RBTF9HRU5FUkFMX1BBUlRORVJfSU5URVJFU1QuOTkzLjA3</t>
  </si>
  <si>
    <t>LzAzLzIwMjYuLi5VU0QuSAEAAADetgEAAwAAAAAANH7NJP+B3gjVYCko/4HeCDxDSVEuTllTRTpJQk0uSVFfTEVBU0VIT0xEX0lNUFJPVkVNRU5ULjk5NC4wNy8wMy8yMDI2Li4uVVNELkgBAAAA3rYBAAMAAAAAADR+zST/gd4I1WApKP+B3gg4Q0lRLk5ZU0U6SUJNLklRX0lOU19TRVRUTEVfU1VQUExFLjk5Mi4wNy8wMy8yMDI2Li4uVVNELkgBAAAA3rYBAAMAAAAAADR+zST/gd4I1WApKP+B3gg3Q0lRLk5ZU0U6SUJNLklRX0dBSU5fQkFSR0FJTl9BQ1EuOTk4LjA3LzAzLzIwMjYuLi5VU0QuSAEAAADetgEAAwAAAAAANH7NJP+B3gjVYCko/4HeCD1DSVEuTllTRTpJQk0uSVFfQVNTRVRfV1JJVEVET1dOX1NVUFBMRS45OTQuMDcvMDMvMjAyNi4uLlVTRC5IAQAAAN62AQADAAAAAAA0fs0k/4HeCMg5KSj/gd4INUNJUS5OWVNFOklCTS5JUV9NRVJHRVJfU1VQUExFLjEwMDAuMDcvMDMvMjAyNi4uLlVTRC5IAQAAAN62AQADAAAAAAA0fs0k/4HeCMg5KSj/gd4IOUNJUS5OWVNFOklCTS5JUV9SRVNUUlVDVFVSRV9TVVBQTEUuOTk0LjA3LzAzLzIwMjYuLi5VU0QuSAEAAADetgEAAwAAAAAANH7NJP+B3gjIOSko/4HeCEBDSVEuTllTRTpJQk0uSVFfU1RPQ0tfQkFTRURfRVhQTE9SRV9EUklMTC45OTguMDcvMDMvMjAyNi4uLlVTRC5IAQAAAN62AQADAAAAAABKpc0k/4HeCMg5KSj/gd4INUNJUS5OWVNFOklC</t>
  </si>
  <si>
    <t>TS5JUV9TVE9DS19CQVNFRF9HQS45OTQuMDcvMDMvMjAyNi4uLlVTRC5IAQAAAN62AQADAAAAAABKpc0k/4HeCMg5KSj/gd4INkNJUS5OWVNFOklCTS5JUV9TVE9DS19CQVNFRF9SRC4xMDAwLjA3LzAzLzIwMjYuLi5VU0QuSAEAAADetgEAAgAAAAM1NDIBCAAAAAUAAAABMQEAAAALLTE5MDQ4NjA3NDADAAAAAzE2MAIAAAAFMjI2NzgEAAAAATAHAAAACDMvNy8yMDI2CAAAAAoxMi8zMS8yMDI1CQAAAAEwSqXNJP+B3gi3Eiko/4HeCDtDSVEuTllTRTpJQk0uSVFfTkVHQVRJVkVfR1dfQU1PUlRfQVQuOTk2LjA3LzAzLzIwMjYuLi5VU0QuSAEAAADetgEAAwAAAAAASqXNJP+B3gi3Eiko/4HeCDtDSVEuTllTRTpJQk0uSVFfT1RIRVJfVU5VU1VBTF9TVVBQTEUuOTk2LjA3LzAzLzIwMjYuLi5VU0QuSAEAAADetgEAAwAAAAAASqXNJP+B3gjIOSko/4HeCDtDSVEuTllTRTpJQk0uSVFfU1RPQ0tfQkFTRURfQ09NUF9UQVguOTk0LjA3LzAzLzIwMjYuLi5VU0QuSAEAAADetgEAAgAAAAQtMTQzAEqlzST/gd4IyDkpKP+B3gg6Q0lRLk5ZU0U6SUJNLklRX1NUT0NLX09QVElPTlNfQ09NUC4xMDAwLjA3LzAzLzIwMjYuLi5VU0QuSAEAAADetgEAAwAAAAAASqXNJP+B3gjIOSko/4HeCEBDSVEuTllTRTpJQk0uSVFfU1RPQ0tfT1BUSU9OU19DT01QX1BSRVRBWC45OTYuMDcvMDMvMjAyNi4uLlVTRC5IAQAAAN62AQAD</t>
  </si>
  <si>
    <t>AAAAAABKpc0k/4HeCLcSKSj/gd4IOENJUS5OWVNFOklCTS5JUV9TVE9DS19CQVNFRF9UT1RBTC45OTguMDcvMDMvMjAyNi4uLlVTRC5IAQAAAN62AQACAAAABDExMzQBCAAAAAUAAAABMQEAAAALLTE5MDQ4NjA3NDQDAAAAAzE2MAIAAAAFMjQwMzQEAAAAATAHAAAACDMvNy8yMDI2CAAAAAoxMi8zMS8yMDIzCQAAAAEwSqXNJP+B3gi3Eiko/4HeCDVDSVEuTllTRTpJQk0uSVFfU1RPQ0tfQkFTRURfQVQuOTkyLjA3LzAzLzIwMjYuLi5VU0QuSAEAAADetgEAAwAAAAAASqXNJP+B3gi3Eiko/4HeCDVDSVEuTllTRTpJQk0uSVFfQ1JFRElUX0xPU1NfQ0YuOTk0LjA3LzAzLzIwMjYuLi5VU0QuSAEAAADetgEAAwAAAAAASqXNJP+B3gi3Eiko/4HeCDVDSVEuTllTRTpJQk0uSVFfR0FJTl9BU1NFVFNfQ0YuOTk2LjA3LzAzLzIwMjYuLi5VU0QuSAEAAADetgEAAgAAAAQtMTM2AQgAAAAFAAAAATEBAAAACy0yMDA4NjQ3MTk4AwAAAAMxNjACAAAABDIwMjYEAAAAATAHAAAACDMvNy8yMDI2CAAAAAoxMi8zMS8yMDIxCQAAAAEwSqXNJP+B3gi3Eiko/4HeCDFDSVEuTllTRTpJQk0uSVFfT0lMX0lNUEFJUi45OTguMDcvMDMvMjAyNi4uLlVTRC5IAQAAAN62AQADAAAAAABKpc0k/4HeCHDrKCj/gd4IOENJUS5OWVNFOklCTS5JUV9HV19JTlRBTl9BTU9SVF9DRi45OTIuMDcvMDMvMjAyNi4uLlVTRC5IAQAAAN62AQAC</t>
  </si>
  <si>
    <t>AAAABDE1MjABCAAAAAUAAAABMQEAAAAKMjAxNzE2NDI0NAMAAAADMTYwAgAAAAQyMTgyBAAAAAEwBwAAAAgzLzcvMjAyNggAAAAKMTIvMzEvMjAxNwkAAAABMEqlzST/gd4IcOsoKP+B3gg4Q0lRLk5ZU0U6SUJNLklRX1NUT0NLX0JBU0VEX0NPTVAuMTAwMC4wNy8wMy8yMDI2Li4uVVNELkgBAAAA3rYBAAIAAAADOTc1AEqlzST/gd4IcOsoKP+B3gg3Q0lRLk5ZU0U6SUJNLklRX0NIQU5HRV9JTlZFTlRPUlkuOTk2LjA3LzAzLzIwMjYuLi5VU0QuSAEAAADetgEAAgAAAAMxMzgBCAAAAAUAAAABMQEAAAALLTIwMDg2NDcxOTgDAAAAAzE2MAIAAAAEMjA5OQQAAAABMAcAAAAIMy83LzIwMjYIAAAACjEyLzMxLzIwMjEJAAAAATBKpc0k/4HeCLcSKSj/gd4IPENJUS5OWVNFOklCTS5JUV9DSEFOR0VfVFJBRElOR19BU1NFVFMuOTkyLjA3LzAzLzIwMjYuLi5VU0QuSAEAAADetgEAAwAAAAAASqXNJP+B3gi3Eiko/4HeCCxDSVEuTllTRTpJQk0uSVFfRE9fQ0YuOTk4LjA3LzAzLzIwMjYuLi5VU0QuSAEAAADetgEAAwAAAAAASqXNJP+B3ghw6ygo/4HeCDhDSVEuTllTRTpJQk0uSVFfUFJPVl9CQURfREVCVFNfQ0YuOTkyLjA3LzAzLzIwMjYuLi5VU0QuSAEAAADetgEAAwAAAAAASqXNJP+B3ghw6ygo/4HeCDVDSVEuTllTRTpJQk0uSVFfSU5DX0VRVUlUWV9DRi4xMDAwLjA3LzAzLzIwMjYuLi5VU0QuSAEAAADe</t>
  </si>
  <si>
    <t>tgEAAwAAAAAASqXNJP+B3ghw6ygo/4HeCDpDSVEuTllTRTpJQk0uSVFfU0FMRV9SRUFMX0VTVEFURV9DRi45OTIuMDcvMDMvMjAyNi4uLlVTRC5IAQAAAN62AQADAAAAAABKpc0k/4HeCHDrKCj/gd4INkNJUS5OWVNFOklCTS5JUV9DQVNIX0FDUVVJUkVfQ0YuOTk4LjA3LzAzLzIwMjYuLi5VU0QuSAEAAADetgEAAgAAAAUtNTA4MgEIAAAABQAAAAExAQAAAAstMTkwNDg2MDc0NAMAAAADMTYwAgAAAAQyMDU3BAAAAAEwBwAAAAgzLzcvMjAyNggAAAAKMTIvMzEvMjAyMwkAAAABMEqlzST/gd4IcOsoKP+B3ggsQ0lRLk5ZU0U6SUJNLklRX0NBUEVYLjk5NC4wNy8wMy8yMDI2Li4uVVNELkgBAAAA3rYBAAIAAAAFLTIyODYBCAAAAAUAAAABMQEAAAALLTIxMTA3NjkzNTUDAAAAAzE2MAIAAAAEMjAyMQQAAAABMAcAAAAIMy83LzIwMjYIAAAACjEyLzMxLzIwMTkJAAAAATBKpc0k/4HeCKewKCj/gd4IRENJUS5OWVNFOklCTS5JUV9DSEFOR0VfT1RIRVJfTkVUX09QRVJfQVNTRVRTLjEwMDAuMDcvMDMvMjAyNi4uLlVTRC5IAQAAAN62AQACAAAAAzQ0NQEIAAAABQAAAAExAQAAAAstMTkwNDg2MDc0MAMAAAADMTYwAgAAAAQyMDQ1BAAAAAEwBwAAAAgzLzcvMjAyNggAAAAKMTIvMzEvMjAyNQkAAAABMEqlzST/gd4Ip7AoKP+B3gg1Q0lRLk5ZU0U6SUJNLklRX0NIQU5HRV9ERUZfVEFYLjk5NC4wNy8wMy8yMDI2</t>
  </si>
  <si>
    <t>Li4uVVNELkgBAAAA3rYBAAMAAAAAAEqlzST/gd4Ip7AoKP+B3gg4Q0lRLk5ZU0U6SUJNLklRX1RPVEFMX0RFQlRfUkVQQUlELjk5OC4wNy8wMy8yMDI2Li4uVVNELkgBAAAA3rYBAAIAAAAFLTUwODkBCAAAAAUAAAABMQEAAAALLTE5MDQ4NjA3NDQDAAAAAzE2MAIAAAAEMjE2NgQAAAABMAcAAAAIMy83LzIwMjYIAAAACjEyLzMxLzIwMjMJAAAAATBKpc0k/4HeCKewKCj/gd4INUNJUS5OWVNFOklCTS5JUV9TVF9ERUJUX1JFUEFJRC45OTQuMDcvMDMvMjAyNi4uLlVTRC5IAQAAAN62AQACAAAABS0yNTk3AQgAAAAFAAAAATEBAAAACy0yMTEwNzY5MzU1AwAAAAMxNjACAAAABDIwNDQEAAAAATAHAAAACDMvNy8yMDI2CAAAAAoxMi8zMS8yMDE5CQAAAAEwSqXNJP+B3ghw6ygo/4HeCDZDSVEuTllTRTpJQk0uSVFfTFRfREVCVF9JU1NVRUQuMTAwMC4wNy8wMy8yMDI2Li4uVVNELkgBAAAA3rYBAAIAAAAEODM5MQEIAAAABQAAAAExAQAAAAstMTkwNDg2MDc0MAMAAAADMTYwAgAAAAQyMDM0BAAAAAEwBwAAAAgzLzcvMjAyNggAAAAKMTIvMzEvMjAyNQkAAAABMEqlzST/gd4Ip7AoKP+B3ggyQ0lRLk5ZU0U6SUJNLklRX0NBU0hfSU5WRVNULjk5Ni4wNy8wMy8yMDI2Li4uVVNELkgBAAAA3rYBAAIAAAAFLTU5NzUBCAAAAAUAAAABMQEAAAALLTIwMDg2NDcxOTgDAAAAAzE2MAIAAAAEMjAwNQQAAAABMAcAAAAI</t>
  </si>
  <si>
    <t>My83LzIwMjYIAAAACjEyLzMxLzIwMjEJAAAAATBKpc0k/4HeCKewKCj/gd4IOUNJUS5OWVNFOklCTS5JUV9JTlZFU1RfU0VDVVJJVFlfQ0YuOTk2LjA3LzAzLzIwMjYuLi5VU0QuSAEAAADetgEAAgAAAAQtNDE0AQgAAAAFAAAAATEBAAAACy0yMDA4NjQ3MTk4AwAAAAMxNjACAAAABDIwMjcEAAAAATAHAAAACDMvNy8yMDI2CAAAAAoxMi8zMS8yMDIxCQAAAAEwSqXNJP+B3ginsCgo/4HeCDFDSVEuTllTRTpJQk0uSVFfQ0FTSF9GSU5BTi45OTQuMDcvMDMvMjAyNi4uLlVTRC5IAQAAAN62AQACAAAABDkwNDIBCAAAAAUAAAABMQEAAAALLTIxMTA3NjkzNTUDAAAAAzE2MAIAAAAEMjAwNAQAAAABMAcAAAAIMy83LzIwMjYIAAAACjEyLzMxLzIwMTkJAAAAATBKpc0k/4HeCKewKCj/gd4INkNJUS5OWVNFOklCTS5JUV9TUEVDSUFMX0RJVl9DRi4xMDAwLjA3LzAzLzIwMjYuLi5VU0QuSAEAAADetgEAAwAAAAAASqXNJP+B3ginsCgo/4HeCDlDSVEuTllTRTpJQk0uSVFfQ09NTU9OX1BSRUZfRElWX0NGLjk5Ni4wNy8wMy8yMDI2Li4uVVNELkgBAAAA3rYBAAMAAAAAAEqlzST/gd4IlYkoKP+B3ggyQ0lRLk5ZU0U6SUJNLklRX1BSRUZfSVNTVUVELjk5OC4wNy8wMy8yMDI2Li4uVVNELkgBAAAA3rYBAAMAAAAAAEqlzST/gd4Ip7AoKP+B3ggxQ0lRLk5ZU0U6SUJNLklRX0NPTU1PTl9SRVAuOTkyLjA3LzAzLzIw</t>
  </si>
  <si>
    <t>MjYuLi5VU0QuSAEAAADetgEAAgAAAAUtNDUzMwEIAAAABQAAAAExAQAAAAoyMDE3MTY0MjQ0AwAAAAMxNjACAAAABDIxNjQEAAAAATAHAAAACDMvNy8yMDI2CAAAAAoxMi8zMS8yMDE3CQAAAAEwSqXNJP+B3ginsCgo/4HeCEBDSVEuTllTRTpJQk0uSVFfQU1PUlRfU09GVFdBUkVfQVNTRVRTX0NGLjEwMDAuMDcvMDMvMjAyNi4uLlVTRC5IAQAAAN62AQACAAAAAzU3MQEIAAAABQAAAAExAQAAAAstMTkwNDg2MDc0MAMAAAADMTYwAgAAAAU0NjAxMQQAAAABMAcAAAAIMy83LzIwMjYIAAAACjEyLzMxLzIwMjUJAAAAATBKpc0k/4HeCKewKCj/gd4IM0NJUS5OWVNFOklCTS5JUV9BTU9SVF9ESUNfQ0YuOTk0LjA3LzAzLzIwMjYuLi5VU0QuSAEAAADetgEAAwAAAAAASqXNJP+B3ginsCgo/4HeCC5DSVEuTllTRTpJQk0uSVFfREVQX1JVQS45OTYuMDcvMDMvMjAyNi4uLlVTRC5IAQAAAN62AQADAAAAAABKpc0k/4HeCJWJKCj/gd4IOkNJUS5OWVNFOklCTS5JUV9EQV9TVVBQTF9QQVJUSUFMX0NGLjk5OC4wNy8wMy8yMDI2Li4uVVNELkgBAAAA3rYBAAMAAAAAAEqlzST/gd4IlYkoKP+B3ggqQ0lRLk5ZU0U6SUJNLklRX0ZYLjEwMDAuMDcvMDMvMjAyNi4uLlVTRC5IAQAAAN62AQACAAAAAzQxOAEIAAAABQAAAAExAQAAAAstMTkwNDg2MDc0MAMAAAADMTYwAgAAAAQyMTQ0BAAAAAEwBwAAAAgzLzcvMjAyNggA</t>
  </si>
  <si>
    <t>AAAKMTIvMzEvMjAyNQkAAAABMEqlzST/gd4IlYkoKP+B3gg7Q0lRLk5ZU0U6SUJNLklRX0NIQU5HRV9ERUZfVEFYX1RPVEFMLjk5NC4wNy8wMy8yMDI2Li4uVVNELkgBAAAA3rYBAAIAAAAFLTE1MjcBCAAAAAUAAAABMQEAAAALLTIxMTA3NjkzNTUDAAAAAzE2MAIAAAAFMzA5MjQEAAAAATAHAAAACDMvNy8yMDI2CAAAAAoxMi8zMS8yMDE5CQAAAAEwSqXNJP+B3giViSgo/4HeCDFDSVEuTllTRTpJQk0uSVFfQ0FTSF9UQVhFUy45OTYuMDcvMDMvMjAyNi4uLlVTRC5IAQAAAN62AQACAAAABDIxMDMBCAAAAAUAAAABMQEAAAALLTIwMDg2NDcxOTgDAAAAAzE2MAIAAAAEMzA1MwQAAAABMAcAAAAIMy83LzIwMjYIAAAACjEyLzMxLzIwMjEJAAAAATBKpc0k/4HeCJWJKCj/gd4IO0NJUS5OWVNFOklCTS5JUV9DQVNIX0lOVEVSRVNUX0lOVkVTVC45OTIuMDcvMDMvMjAyNi4uLlVTRC5IAQAAAN62AQADAAAAAABKpc0k/4HeCIdiKCj/gd4IPUNJUS5OWVNFOklCTS5JUV9DQVNIX0lOVEVSRVNUX1JFQ0VJVkVELjk5OC4wNy8wMy8yMDI2Li4uVVNELkgBAAAA3rYBAAMAAAAAAEqlzST/gd4Ih2IoKP+B3gg4Q0lRLk5ZU0U6SUJNLklRX0NBU0hfSU5URVJFU1RfTkVULjk5Mi4wNy8wMy8yMDI2Li4uVVNELkgBAAAA3rYBAAMAAAAAAEqlzST/gd4IlYkoKP+B3gg/Q0lRLk5ZU0U6SUJNLklRX09QRVJBVElOR19MRUFT</t>
  </si>
  <si>
    <t>RV9QQVlNRU5UUy45OTYuMDcvMDMvMjAyNi4uLlVTRC5IAQAAAN62AQADAAAAAABKpc0k/4HeCJWJKCj/gd4IM0NJUS5OWVNFOklCTS5JUV9ET19JTlZFU1RfQ0YuOTkyLjA3LzAzLzIwMjYuLi5VU0QuSAEAAADetgEAAwAAAAAASqXNJP+B3giViSgo/4HeCDZDSVEuTllTRTpJQk0uSVFfTkVUX0RFQlRfSVNTVUVELjk5OC4wNy8wMy8yMDI2Li4uVVNELkgBAAAA3rYBAAIAAAAENDQ5NwEIAAAABQAAAAExAQAAAAstMTkwNDg2MDc0NAMAAAADMTYwAgAAAAQyMDAzBAAAAAEwBwAAAAgzLzcvMjAyNggAAAAKMTIvMzEvMjAyMwkAAAABMEqlzST/gd4Ih2IoKP+B3gg0Q0lRLk5ZU0U6SUJNLklRX1VOTEVWRVJFRF9GQ0YuOTk0LjA3LzAzLzIwMjYuLi5VU0QuSAEAAADetgEAAgAAAAkxNTY0My44NzUBCAAAAAUAAAABMQEAAAALLTIxMTA3NjkzNTUDAAAAAzE2MAIAAAAENDQyMwQAAAABMAcAAAAIMy83LzIwMjYIAAAACjEyLzMxLzIwMTkJAAAAATBKpc0k/4HeCIdiKCj/gd4IQkNJUS5OWVNFOklCTS5JUV9DSEFOR0VfTkVUX1dPUktJTkdfQ0FQSVRBTC4xMDAwLjA3LzAzLzIwMjYuLi5VU0QuSAEAAADetgEAAgAAAAUtMTUxMwEIAAAABQAAAAExAQAAAAstMTkwNDg2MDc0MAMAAAADMTYwAgAAAAQ0NDIxBAAAAAEwBwAAAAgzLzcvMjAyNggAAAAKMTIvMzEvMjAyNQkAAAABMEqlzST/gd4Ih2IoKP+B3gg1Q0lR</t>
  </si>
  <si>
    <t>Lk5ZU0U6SUJNLklRX1NUX05PVEVfUkVDRUlWLjk5Ni4wNy8wMy8yMDI2Li4uVVNELkgBAAAA3rYBAAMAAAAAAEqlzST/gd4Ih2IoKP+B3gg1Q0lRLk5ZU0U6SUJNLklRX1RSQURJTkdfQVNTRVRTLjk5OC4wNy8wMy8yMDI2Li4uVVNELkgBAAAA3rYBAAMAAAAAAEqlzST/gd4Ih2IoKP+B3ggwQ0lRLk5ZU0U6SUJNLklRX1NUX0lOVkVTVC45OTIuMDcvMDMvMjAyNi4uLlVTRC5IAQAAAN62AQACAAAAAzYwOAEIAAAABQAAAAExAQAAAAoyMDE3MTY0MjQ0AwAAAAMxNjACAAAABDEwNjkEAAAAATAHAAAACDMvNy8yMDI2CAAAAAoxMi8zMS8yMDE3CQAAAAEwSqXNJP+B3gh/Oygo/4HeCDtDSVEuTllTRTpJQk0uSVFfR0FJTl9CQVJHQUlOX0FDUV9DRi4xMDAwLjA3LzAzLzIwMjYuLi5VU0QuSAEAAADetgEAAwAAAAAASqXNJP+B3gh/Oygo/4HeCEhDSVEuTllTRTpJQk0uSVFfTE9OR19URVJNX0RFQlRfUkVQQUlEX0VYQ0xfTEVBU0VTLjk5Ni4wNy8wMy8yMDI2Li4uVVNELkgBAAAA3rYBAAIAAAAFLTg1OTcBCAAAAAUAAAABMQEAAAALLTIwMDg2NDcxOTgDAAAAAzE2MAIAAAAFNDg5ODQEAAAAATAHAAAACDMvNy8yMDI2CAAAAAoxMi8zMS8yMDIxCQAAAAEwSqXNJP+B3gh/Oygo/4HeCDVDSVEuTllTRTpJQk0uSVFfT1RIRVJfQ0FfU1VQUEwuOTk4LjA3LzAzLzIwMjYuLi5VU0QuSAEAAADetgEAAgAAAAQxMzEz</t>
  </si>
  <si>
    <t>AQgAAAAFAAAAATEBAAAACy0xOTA0ODYwNzQ0AwAAAAMxNjACAAAABDEwNTUEAAAAATAHAAAACDMvNy8yMDI2CAAAAAoxMi8zMS8yMDIzCQAAAAEwSqXNJP+B3giHYigo/4HeCDZDSVEuTllTRTpJQk0uSVFfUkVTVFJJQ1RFRF9DQVNILjk5Mi4wNy8wMy8yMDI2Li4uVVNELkgBAAAA3rYBAAIAAAADMjYyAQgAAAAFAAAAATEBAAAACjIwMTcxNjQyNDQDAAAAAzE2MAIAAAAEMTEwNAQAAAABMAcAAAAIMy83LzIwMjYIAAAACjEyLzMxLzIwMTcJAAAAATBKpc0k/4HeCIdiKCj/gd4IPkNJUS5OWVNFOklCTS5JUV9GSU5fRElWX0FTU0VUU19DVVJSRU5ULjEwMDAuMDcvMDMvMjAyNi4uLlVTRC5IAQAAAN62AQACAAAABDExMzEBCAAAAAUAAAABMQEAAAALLTE5MDQ4NjA3NDADAAAAAzE2MAIAAAAEMTAyOQQAAAABMAcAAAAIMy83LzIwMjYIAAAACjEyLzMxLzIwMjUJAAAAATBKpc0k/4HeCH87KCj/gd4IPENJUS5OWVNFOklCTS5JUV9GSU5fRElWX0xPQU5TX0NVUlJFTlQuOTk0LjA3LzAzLzIwMjYuLi5VU0QuSAEAAADetgEAAgAAAAUxNDE5MgEIAAAABQAAAAExAQAAAAstMjExMDc2OTM1NQMAAAADMTYwAgAAAAQxMDMyBAAAAAEwBwAAAAgzLzcvMjAyNggAAAAKMTIvMzEvMjAxOQkAAAABMEqlzST/gd4IfzsoKP+B3ggxQ0lRLk5ZU0U6SUJNLklRX0lOVkVOVE9SWS4xMDAwLjA3LzAzLzIwMjYuLi5VU0QuSAEA</t>
  </si>
  <si>
    <t>AADetgEAAgAAAAQxMjIwAQgAAAAFAAAAATEBAAAACy0xOTA0ODYwNzQwAwAAAAMxNjACAAAABDEwNDMEAAAAATAHAAAACDMvNy8yMDI2CAAAAAoxMi8zMS8yMDI1CQAAAAEwSqXNJP+B3gh/Oygo/4HeCClDSVEuTllTRTpJQk0uSVFfQVAuOTkzLjA3LzAzLzIwMjYuLi5VU0QuSAEAAADetgEAAgAAAAQ2NTU4AQgAAAAFAAAAATEBAAAACjIwODE1MDU0MDEDAAAAAzE2MAIAAAAEMTAxOAQAAAABMAcAAAAIMy83LzIwMjYIAAAACjEyLzMxLzIwMTgJAAAAATBKpc0k/4HeCH87KCj/gd4IOENJUS5OWVNFOklCTS5JUV9ERUZfVEFYX0FTU0VUU19MVC45OTcuMDcvMDMvMjAyNi4uLlVTRC5IAQAAAN62AQACAAAABDYyNTYBCAAAAAUAAAABMQEAAAALLTE5NTgyODEwOTYDAAAAAzE2MAIAAAAEMTAyNgQAAAABMAcAAAAIMy83LzIwMjYIAAAACjEyLzMxLzIwMjIJAAAAATBKpc0k/4HeCH87KCj/gd4ILENJUS5OWVNFOklCTS5JUV9BUl9MVC45OTQuMDcvMDMvMjAyNi4uLlVTRC5IAQAAAN62AQADAAAAAABKpc0k/4HeCC4UKCj/gd4IKUNJUS5OWVNFOklCTS5JUV9HVy45OTguMDcvMDMvMjAyNi4uLlVTRC5IAQAAAN62AQACAAAABTYwMTc4AQgAAAAFAAAAATEBAAAACy0xOTA0ODYwNzQ0AwAAAAMxNjACAAAABDExNzEEAAAAATAHAAAACDMvNy8yMDI2CAAAAAoxMi8zMS8yMDIzCQAAAAEwSqXNJP+B3gguFCgo/4He</t>
  </si>
  <si>
    <t>CCtDSVEuTllTRTpJQk0uSVFfTlBQRS45OTUuMDcvMDMvMjAyNi4uLlVTRC5IAQAAAN62AQACAAAABDk3NzEBCAAAAAUAAAABMQEAAAALLTIwNTkwNzMyMDIDAAAAAzE2MAIAAAAEMTAwNAQAAAABMAcAAAAIMy83LzIwMjYIAAAACjEyLzMxLzIwMjAJAAAAATBKpc0k/4HeCC4UKCj/gd4IN0NJUS5OWVNFOklCTS5JUV9MT05HX1RFUk1fTEVBU0VTLjk5NS4wNy8wMy8yMDI2Li4uVVNELkgBAAAA3rYBAAIAAAAEMjc4MAEIAAAABQAAAAExAQAAAAstMjA1OTA3MzIwMgMAAAADMTYwAgAAAAQxMTgzBAAAAAEwBwAAAAgzLzcvMjAyNggAAAAKMTIvMzEvMjAyMAkAAAABMEqlzST/gd4ILhQoKP+B3gg8Q0lRLk5ZU0U6SUJNLklRX0RFRl9UQVhfTElBQl9DVVJSRU5ULjEwMDAuMDcvMDMvMjAyNi4uLlVTRC5IAQAAAN62AQADAAAAAABKpc0k/4HeCH87KCj/gd4IOkNJUS5OWVNFOklCTS5JUV9JTkNfVEFYX1BBWV9DVVJSRU5ULjk5Ny4wNy8wMy8yMDI2Li4uVVNELkgBAAAA3rYBAAIAAAAEMjE5NgEIAAAABQAAAAExAQAAAAstMTk1ODI4MTA5NgMAAAADMTYwAgAAAAQxMDk0BAAAAAEwBwAAAAgzLzcvMjAyNggAAAAKMTIvMzEvMjAyMgkAAAABMEqlzST/gd4IatknKP+B3gg7Q0lRLk5ZU0U6SUJNLklRX0ZJTl9ESVZfTElBQl9DVVJSRU5ULjk5Mi4wNy8wMy8yMDI2Li4uVVNELkgBAAAA3rYBAAMAAAAAAEqlzST/</t>
  </si>
  <si>
    <t>gd4ILhQoKP+B3ggpQ0lRLk5ZU0U6SUJNLklRX0FFLjk5OC4wNy8wMy8yMDI2Li4uVVNELkgBAAAA3rYBAAIAAAAENjcyOAEIAAAABQAAAAExAQAAAAstMTkwNDg2MDc0NAMAAAADMTYwAgAAAAQxMDE2BAAAAAEwBwAAAAgzLzcvMjAyNggAAAAKMTIvMzEvMjAyMwkAAAABMEqlzST/gd4ILhQoKP+B3ggrQ0lRLk5ZU0U6SUJNLklRX0FQSUMuOTk0LjA3LzAzLzIwMjYuLi5VU0QuSAEAAADetgEAAwAAAAAASqXNJP+B3gguFCgo/4HeCDJDSVEuTllTRTpJQk0uSVFfUFJFRl9FUVVJVFkuOTkyLjA3LzAzLzIwMjYuLi5VU0QuSAEAAADetgEAAwAAAAAASqXNJP+B3gguFCgo/4HeCDJDSVEuTllTRTpJQk0uSVFfUFJFRl9SRURFRU0uOTk3LjA3LzAzLzIwMjYuLi5VU0QuSAEAAADetgEAAwAAAAAASqXNJP+B3ghq2Sco/4HeCDRDSVEuTllTRTpJQk0uSVFfT1RIRVJfTElBQl9MVC45OTQuMDcvMDMvMjAyNi4uLlVTRC5IAQAAAN62AQACAAAABDkyOTYBCAAAAAUAAAABMQEAAAALLTIxMTA3NjkzNTUDAAAAAzE2MAIAAAAEMTA2MgQAAAABMAcAAAAIMy83LzIwMjYIAAAACjEyLzMxLzIwMTkJAAAAATBKpc0k/4HeCGrZJyj/gd4INkNJUS5OWVNFOklCTS5JUV9GSU5fRElWX0xJQUJfTFQuOTk4LjA3LzAzLzIwMjYuLi5VU0QuSAEAAADetgEAAwAAAAAASqXNJP+B3ghq2Sco/4HeCC5DSVEuTllTRTpJQk0uSVFfUlVB</t>
  </si>
  <si>
    <t>X05FVC45OTguMDcvMDMvMjAyNi4uLlVTRC5IAQAAAN62AQADAAAAAABKpc0k/4HeCGrZJyj/gd4IMENJUS5OWVNFOklCTS5JUV9SVUFfR1JPU1MuOTk3LjA3LzAzLzIwMjYuLi5VU0QuSAEAAADetgEAAwAAAAAASqXNJP+B3ghq2Sco/4HeCDNDSVEuTllTRTpJQk0uSVFfVE9UQUxfRVFVSVRZLjk5Ny4wNy8wMy8yMDI2Li4uVVNELkgBAAAA3rYBAAIAAAAFMjIwMjEBCAAAAAUAAAABMQEAAAALLTE5NTgyODEwOTYDAAAAAzE2MAIAAAAEMTI3NQQAAAABMAcAAAAIMy83LzIwMjYIAAAACjEyLzMxLzIwMjIJAAAAATBKpc0k/4HeCGrZJyj/gd4IOkNJUS5OWVNFOklCTS5JUV9UT1RBTF9DT01NT05fRVFVSVRZLjk5Ni4wNy8wMy8yMDI2Li4uVVNELkgBAAAA3rYBAAIAAAAFMTg5MDEBCAAAAAUAAAABMQEAAAALLTIwMDg2NDcxOTgDAAAAAzE2MAIAAAAEMTAwNgQAAAABMAcAAAAIMy83LzIwMjYIAAAACjEyLzMxLzIwMjEJAAAAATBKpc0k/4HeCGrZJyj/gd4IL0NJUS5OWVNFOklCTS5JUV9UUkVBU1VSWS45OTYuMDcvMDMvMjAyNi4uLlVTRC5IAQAAAN62AQACAAAABy0xNjkzOTIBCAAAAAUAAAABMQEAAAALLTIwMDg2NDcxOTgDAAAAAzE2MAIAAAAEMTI0OAQAAAABMAcAAAAIMy83LzIwMjYIAAAACjEyLzMxLzIwMjEJAAAAATBKpc0k/4HeCGrZJyj/gd4IPENJUS5OWVNFOklCTS5JUV9UT1RBTF9GSU5BTkNF</t>
  </si>
  <si>
    <t>X0xFQVNFUy4xMDAwLjA3LzAzLzIwMjYuLi5VU0QuSAEAAADetgEAAgAAAAQxMTUzAQgAAAAFAAAAATEBAAAACy0xOTA0ODYwNzQwAwAAAAMxNjACAAAABTQ5MDMxBAAAAAEwBwAAAAgzLzcvMjAyNggAAAAKMTIvMzEvMjAyNQkAAAABMEqlzST/gd4IatknKP+B3gg8Q0lRLk5ZU0U6SUJNLklRX05QUEVfRVhDTF9PUEVSX0xFQVNFUy45OTkuMDcvMDMvMjAyNi4uLlVTRC5IAQAAAN62AQACAAAABDU3MzIBCAAAAAUAAAABMQEAAAALLTE5MDQ4NjA3NDMDAAAAAzE2MAIAAAAFNDg5NzYEAAAAATAHAAAACDMvNy8yMDI2CAAAAAoxMi8zMS8yMDI0CQAAAAEwSqXNJP+B3ghq2Sco/4HeCDxDSVEuTllTRTpJQk0uSVFfR1BQRV9FWENMX09QRVJfTEVBU0VTLjk5My4wNy8wMy8yMDI2Li4uVVNELkgBAAAA3rYBAAIAAAAFMzI0NjABCAAAAAUAAAABMQEAAAAKMjA4MTUwNTQwMQMAAAADMTYwAgAAAAU0ODk3NAQAAAABMAcAAAAIMy83LzIwMjYIAAAACjEyLzMxLzIwMTgJAAAAATBKpc0k/4HeCJDFJyj/gd4IRENJUS5OWVNFOklCTS5JUV9SVUFfT1BFUkFUSU5HX0xFQVNFX0FDQ1VNX0RFUC45OTQuMDcvMDMvMjAyNi4uLlVTRC5IAQAAAN62AQADAAAAAABKpc0k/4HeCJDFJyj/gd4IQkNJUS5OWVNFOklCTS5JUV9SVUFfQ0FQSVRBTF9MRUFTRV9BQ0NVTV9ERVAuOTk5LjA3LzAzLzIwMjYuLi5VU0QuSAEAAADetgEA</t>
  </si>
  <si>
    <t>AwAAAAAASqXNJP+B3giQxSco/4HeCDFDSVEuTllTRTpJQk0uSVFfVE9UQUxfQ0FQLjEwMDAuMDcvMDMvMjAyNi4uLlVTRC5IAQAAAN62AQACAAAABTk3MzQ4AQgAAAAFAAAAATEBAAAACy0xOTA0ODYwNzQwAwAAAAMxNjACAAAABDQxNzUEAAAAATAHAAAACDMvNy8yMDI2CAAAAAoxMi8zMS8yMDI1CQAAAAEwSqXNJP+B3ghq2Sco/4HeCDlDSVEuTllTRTpJQk0uSVFfVE9UQUxfREVCVF9DVVJSRU5ULjk5NS4wNy8wMy8yMDI2Li4uVVNELkgBAAAA3rYBAAIAAAAEODE1MQEIAAAABQAAAAExAQAAAAstMjA1OTA3MzIwMgMAAAADMTYwAgAAAAUyNTIyMwQAAAABMAcAAAAIMy83LzIwMjYIAAAACjEyLzMxLzIwMjAJAAAAATBKpc0k/4HeCGrZJyj/gd4IPUNJUS5OWVNFOklCTS5JUV9UT1RBTF9ERUJUX0VYQ0xfTEVBU0VTLjk5Ni4wNy8wMy8yMDI2Li4uVVNELkgBAAAA3rYBAAIAAAAFNTE2MDUBCAAAAAUAAAABMQEAAAALLTIwMDg2NDcxOTgDAAAAAzE2MAIAAAAFNDg5OTIEAAAAATAHAAAACDMvNy8yMDI2CAAAAAoxMi8zMS8yMDIxCQAAAAEwSqXNJP+B3giFnico/4HeCFNDSVEuTllTRTpJQk0uSVFfRklOQU5DSU5HX09CTElHX05PTl9DVVJSRU5UX0VYQ0xfT1BFUl9MRUFTRVMuOTkyLjA3LzAzLzIwMjYuLi5VU0QuSAEAAADetgEAAgAAAAUzOTg3MQEIAAAABQAAAAExAQAAAAoyMDE3MTY0MjQ0AwAAAAMx</t>
  </si>
  <si>
    <t>NjACAAAABTQ4OTgxBAAAAAEwBwAAAAgzLzcvMjAyNggAAAAKMTIvMzEvMjAxNwkAAAABMEqlzST/gd4IhZ4nKP+B3gg4Q0lRLk5ZU0U6SUJNLklRX1RPVEFMX09QRVJfTEVBU0VTLjk5NC4wNy8wMy8yMDI2Li4uVVNELkgBAAAA3rYBAAIAAAAENTI1OQEIAAAABQAAAAExAQAAAAstMjExMDc2OTM1NQMAAAADMTYwAgAAAAU0ODk3OAQAAAABMAcAAAAIMy83LzIwMjYIAAAACjEyLzMxLzIwMTkJAAAAATBKpc0k/4HeCIWeJyj/gd4INUNJUS5OWVNFOklCTS5JUV9TVF9OT1RFX1JFQ0VJVi45OTUuMDcvMDMvMjAyNi4uLlVTRC5IAQAAAN62AQADAAAAAABKpc0k/4HeCJDFJyj/gd4ITUNJUS5OWVNFOklCTS5JUV9MSUFCSUxJVElFU19ORVRUSU5HX09USEVSX0FESlVTVE1FTlRTLjEwMDAuMDcvMDMvMjAyNi4uLlVTRC5IAQAAAN62AQADAAAAAABKpc0k/4HeCJDFJyj/gd4ISkNJUS5OWVNFOklCTS5JUV9MSVFVSURBVElPTl9WQUxVRV9QUkVGRVJSRURfQ09OVkVSVC45OTYuMDcvMDMvMjAyNi4uLlVTRC5IAQAAAN62AQADAAAAAABKpc0k/4HeCIWeJyj/gd4IMENJUS5OWVNFOklCTS5JUV9PVEhFUl9JTlYuOTkzLjA3LzAzLzIwMjYuLi5VU0QuSAEAAADetgEAAwAAAAAASqXNJP+B3giFnico/4HeCDJDSVEuTllTRTpJQk0uSVFfQVJfVU5CSUxMRUQuOTkyLjA3LzAzLzIwMjYuLi5VU0QuSAEAAADetgEAAgAA</t>
  </si>
  <si>
    <t>AAQyMjI3AQgAAAAFAAAAATEBAAAACjIwMTcxNjQyNDQDAAAAAzE2MAIAAAAFNDU0MjAEAAAAATAHAAAACDMvNy8yMDI2CAAAAAoxMi8zMS8yMDE3CQAAAAEwSqXNJP+B3giFnico/4HeCCtDSVEuTllTRTpJQk0uSVFfTlBQRS45OTQuMDcvMDMvMjAyNi4uLlVTRC5IAQAAAN62AQACAAAABTE1MDA2AQgAAAAFAAAAATEBAAAACy0yMTEwNzY5MzU1AwAAAAMxNjACAAAABDEwMDQEAAAAATAHAAAACDMvNy8yMDI2CAAAAAoxMi8zMS8yMDE5CQAAAAEwSqXNJP+B3giFnico/4HeCDVDSVEuTllTRTpJQk0uSVFfT1RIRVJfQ0FfU1VQUEwuOTk3LjA3LzAzLzIwMjYuLi5VU0QuSAEAAADetgEAAgAAAAQxMzc3AQgAAAAFAAAAATEBAAAACy0xOTU4MjgxMDk2AwAAAAMxNjACAAAABDEwNTUEAAAAATAHAAAACDMvNy8yMDI2CAAAAAoxMi8zMS8yMDIyCQAAAAEwSqXNJP+B3giFnico/4HeCDVDSVEuTllTRTpJQk0uSVFfTE9BTlNfRk9SX1NBTEUuOTk3LjA3LzAzLzIwMjYuLi5VU0QuSAEAAADetgEAAwAAAAAASqXNJP+B3giNdyco/4HeCDxDSVEuTllTRTpJQk0uSVFfRklOX0RJVl9MT0FOU19DVVJSRU5ULjk5My4wNy8wMy8yMDI2Li4uVVNELkgBAAAA3rYBAAIAAAAFMjIzODgBCAAAAAUAAAABMQEAAAAKMjA4MTUwNTQwMQMAAAADMTYwAgAAAAQxMDMyBAAAAAEwBwAAAAgzLzcvMjAyNggAAAAKMTIvMzEvMjAxOAkA</t>
  </si>
  <si>
    <t>AAABMEqlzST/gd4IjXcnKP+B3ggwQ0lRLk5ZU0U6SUJNLklRX0lOVkVOVE9SWS45OTkuMDcvMDMvMjAyNi4uLlVTRC5IAQAAAN62AQACAAAABDEyODkBCAAAAAUAAAABMQEAAAALLTE5MDQ4NjA3NDMDAAAAAzE2MAIAAAAEMTA0MwQAAAABMAcAAAAIMy83LzIwMjYIAAAACjEyLzMxLzIwMjQJAAAAATBKpc0k/4HeCI13Jyj/gd4IKUNJUS5OWVNFOklCTS5JUV9BUC45OTIuMDcvMDMvMjAyNi4uLlVTRC5IAQAAAN62AQACAAAABDY0NTEBCAAAAAUAAAABMQEAAAAKMjAxNzE2NDI0NAMAAAADMTYwAgAAAAQxMDE4BAAAAAEwBwAAAAgzLzcvMjAyNggAAAAKMTIvMzEvMjAxNwkAAAABMEqlzST/gd4IjXcnKP+B3gg4Q0lRLk5ZU0U6SUJNLklRX0RFRl9UQVhfQVNTRVRTX0xULjk5Ni4wNy8wMy8yMDI2Li4uVVNELkgBAAAA3rYBAAIAAAAENzM3MAEIAAAABQAAAAExAQAAAAstMjAwODY0NzE5OAMAAAADMTYwAgAAAAQxMDI2BAAAAAEwBwAAAAgzLzcvMjAyNggAAAAKMTIvMzEvMjAyMQkAAAABMEqlzST/gd4IhZ4nKP+B3ggsQ0lRLk5ZU0U6SUJNLklRX0FSX0xULjk5My4wNy8wMy8yMDI2Li4uVVNELkgBAAAA3rYBAAMAAAAAAEqlzST/gd4IX1AnKP+B3gg4Q0lRLk5ZU0U6SUJNLklRX0ZJTl9ESVZfTE9BTlNfTFQuMTAwMC4wNy8wMy8yMDI2Li4uVVNELkgBAAAA3rYBAAIAAAAENzcwOAEIAAAABQAAAAExAQAA</t>
  </si>
  <si>
    <t>AAstMTkwNDg2MDc0MAMAAAADMTYwAgAAAAQxMDMzBAAAAAEwBwAAAAgzLzcvMjAyNggAAAAKMTIvMzEvMjAyNQkAAAABMEqlzST/gd4IjXcnKP+B3ggpQ0lRLk5ZU0U6SUJNLklRX0dXLjk5Ny4wNy8wMy8yMDI2Li4uVVNELkgBAAAA3rYBAAIAAAAFNTU5NDkBCAAAAAUAAAABMQEAAAALLTE5NTgyODEwOTYDAAAAAzE2MAIAAAAEMTE3MQQAAAABMAcAAAAIMy83LzIwMjYIAAAACjEyLzMxLzIwMjIJAAAAATBKpc0k/4HeCI13Jyj/gd4IN0NJUS5OWVNFOklCTS5JUV9MT05HX1RFUk1fTEVBU0VTLjk5NC4wNy8wMy8yMDI2Li4uVVNELkgBAAAA3rYBAAIAAAAENDAzMAEIAAAABQAAAAExAQAAAAstMjExMDc2OTM1NQMAAAADMTYwAgAAAAQxMTgzBAAAAAEwBwAAAAgzLzcvMjAyNggAAAAKMTIvMzEvMjAxOQkAAAABMEqlzST/gd4IjXcnKP+B3gg7Q0lRLk5ZU0U6SUJNLklRX0RFRl9UQVhfTElBQl9DVVJSRU5ULjk5OC4wNy8wMy8yMDI2Li4uVVNELkgBAAAA3rYBAAMAAAAAAEqlzST/gd4IjXcnKP+B3gg6Q0lRLk5ZU0U6SUJNLklRX0lOQ19UQVhfUEFZX0NVUlJFTlQuOTk2LjA3LzAzLzIwMjYuLi5VU0QuSAEAAADetgEAAgAAAAQyMjg5AQgAAAAFAAAAATEBAAAACy0yMDA4NjQ3MTk4AwAAAAMxNjACAAAABDEwOTQEAAAAATAHAAAACDMvNy8yMDI2CAAAAAoxMi8zMS8yMDIxCQAAAAEwSqXNJP+B3ghfUCco</t>
  </si>
  <si>
    <t>/4HeCDlDSVEuTllTRTpJQk0uSVFfQ1VSUkVOVF9QT1JUX0RFQlQuMTAwMC4wNy8wMy8yMDI2Li4uVVNELkgBAAAA3rYBAAIAAAAENjE0NQEIAAAABQAAAAExAQAAAAstMTkwNDg2MDc0MAMAAAADMTYwAgAAAAQxMjk3BAAAAAEwBwAAAAgzLzcvMjAyNggAAAAKMTIvMzEvMjAyNQkAAAABMEqlzST/gd4IX1AnKP+B3gguQ0lRLk5ZU0U6SUJNLklRX1NUX0RFQlQuOTk1LjA3LzAzLzIwMjYuLi5VU0QuSAEAAADetgEAAgAAAAMxMzABCAAAAAUAAAABMQEAAAALLTIwNTkwNzMyMDIDAAAAAzE2MAIAAAAEMTA0NgQAAAABMAcAAAAIMy83LzIwMjYIAAAACjEyLzMxLzIwMjAJAAAAATBKpc0k/4HeCF9QJyj/gd4IK0NJUS5OWVNFOklCTS5JUV9BUElDLjk5My4wNy8wMy8yMDI2Li4uVVNELkgBAAAA3rYBAAMAAAAAAEqlzST/gd4IX1AnKP+B3ggyQ0lRLk5ZU0U6SUJNLklRX1BSRUZfUkVERUVNLjk5Ni4wNy8wMy8yMDI2Li4uVVNELkgBAAAA3rYBAAMAAAAAAEqlzST/gd4IX1AnKP+B3gg0Q0lRLk5ZU0U6SUJNLklRX09USEVSX0xJQUJfTFQuOTkzLjA3LzAzLzIwMjYuLi5VU0QuSAEAAADetgEAAgAAAAQ4NDc3AQgAAAAFAAAAATEBAAAACjIwODE1MDU0MDEDAAAAAzE2MAIAAAAEMTA2MgQAAAABMAcAAAAIMy83LzIwMjYIAAAACjEyLzMxLzIwMTgJAAAAATBKpc0k/4HeCFEpJyj/gd4IL0NJUS5OWVNFOklCTS5J</t>
  </si>
  <si>
    <t>UV9QRU5TSU9OLjEwMDAuMDcvMDMvMjAyNi4uLlVTRC5IAQAAAN62AQACAAAABDkwMTgBCAAAAAUAAAABMQEAAAALLTE5MDQ4NjA3NDADAAAAAzE2MAIAAAAEMTIxMwQAAAABMAcAAAAIMy83LzIwMjYIAAAACjEyLzMxLzIwMjUJAAAAATBKpc0k/4HeCFEpJyj/gd4INkNJUS5OWVNFOklCTS5JUV9GSU5fRElWX0xJQUJfTFQuOTk3LjA3LzAzLzIwMjYuLi5VU0QuSAEAAADetgEAAwAAAAAASqXNJP+B3ghRKSco/4HeCC5DSVEuTllTRTpJQk0uSVFfUlVBX05FVC45OTcuMDcvMDMvMjAyNi4uLlVTRC5IAQAAAN62AQADAAAAAABKpc0k/4HeCFEpJyj/gd4IMENJUS5OWVNFOklCTS5JUV9SVUFfR1JPU1MuOTk2LjA3LzAzLzIwMjYuLi5VU0QuSAEAAADetgEAAwAAAAAASqXNJP+B3ghfUCco/4HeCDNDSVEuTllTRTpJQk0uSVFfVE9UQUxfRVFVSVRZLjk5Ni4wNy8wMy8yMDI2Li4uVVNELkgBAAAA3rYBAAIAAAAFMTg5OTYBCAAAAAUAAAABMQEAAAALLTIwMDg2NDcxOTgDAAAAAzE2MAIAAAAEMTI3NQQAAAABMAcAAAAIMy83LzIwMjYIAAAACjEyLzMxLzIwMjEJAAAAATBKpc0k/4HeCEICJyj/gd4IOkNJUS5OWVNFOklCTS5JUV9UT1RBTF9DT01NT05fRVFVSVRZLjk5NS4wNy8wMy8yMDI2Li4uVVNELkgBAAAA3rYBAAIAAAAFMjA1OTcBCAAAAAUAAAABMQEAAAALLTIwNTkwNzMyMDIDAAAAAzE2MAIAAAAEMTAw</t>
  </si>
  <si>
    <t>NgQAAAABMAcAAAAIMy83LzIwMjYIAAAACjEyLzMxLzIwMjAJAAAAATBKpc0k/4HeCFEpJyj/gd4IL0NJUS5OWVNFOklCTS5JUV9UUkVBU1VSWS45OTQuMDcvMDMvMjAyNi4uLlVTRC5IAQAAAN62AQACAAAABy0xNjk0MTMBCAAAAAUAAAABMQEAAAALLTIxMTA3NjkzNTUDAAAAAzE2MAIAAAAEMTI0OAQAAAABMAcAAAAIMy83LzIwMjYIAAAACjEyLzMxLzIwMTkJAAAAATBKpc0k/4HeCFEpJyj/gd4IO0NJUS5OWVNFOklCTS5JUV9UT1RBTF9GSU5BTkNFX0xFQVNFUy45OTkuMDcvMDMvMjAyNi4uLlVTRC5IAQAAAN62AQACAAAABDEwMDEBCAAAAAUAAAABMQEAAAALLTE5MDQ4NjA3NDMDAAAAAzE2MAIAAAAFNDkwMzEEAAAAATAHAAAACDMvNy8yMDI2CAAAAAoxMi8zMS8yMDI0CQAAAAEwSqXNJP+B3ghRKSco/4HeCDxDSVEuTllTRTpJQk0uSVFfTlBQRV9FWENMX09QRVJfTEVBU0VTLjk5OC4wNy8wMy8yMDI2Li4uVVNELkgBAAAA3rYBAAIAAAAENTUwMQEIAAAABQAAAAExAQAAAAstMTkwNDg2MDc0NAMAAAADMTYwAgAAAAU0ODk3NgQAAAABMAcAAAAIMy83LzIwMjYIAAAACjEyLzMxLzIwMjMJAAAAATBKpc0k/4HeCFEpJyj/gd4IPENJUS5OWVNFOklCTS5JUV9HUFBFX0VYQ0xfT1BFUl9MRUFTRVMuOTkyLjA3LzAzLzIwMjYuLi5VU0QuSAEAAADetgEAAgAAAAUzMjMzMQEIAAAABQAAAAExAQAAAAoyMDE3</t>
  </si>
  <si>
    <t>MTY0MjQ0AwAAAAMxNjACAAAABTQ4OTc0BAAAAAEwBwAAAAgzLzcvMjAyNggAAAAKMTIvMzEvMjAxNwkAAAABMEqlzST/gd4IQgInKP+B3ghEQ0lRLk5ZU0U6SUJNLklRX1JVQV9PUEVSQVRJTkdfTEVBU0VfQUNDVU1fREVQLjk5My4wNy8wMy8yMDI2Li4uVVNELkgBAAAA3rYBAAMAAAAAAEqlzST/gd4IQgInKP+B3ghCQ0lRLk5ZU0U6SUJNLklRX1JVQV9DQVBJVEFMX0xFQVNFX0FDQ1VNX0RFUC45OTguMDcvMDMvMjAyNi4uLlVTRC5IAQAAAN62AQADAAAAAABKpc0k/4HeCEICJyj/gd4IK0NJUS5OWVNFOklCTS5JUV9MQU5ELjk5Ni4wNy8wMy8yMDI2Li4uVVNELkgBAAAA3rYBAAIAAAADMjI0AQgAAAAFAAAAATEBAAAACy0yMDA4NjQ3MTk4AwAAAAMxNjACAAAABDMwOTgEAAAAATAHAAAACDMvNy8yMDI2CAAAAAoxMi8zMS8yMDIxCQAAAAEwSqXNJP+B3ghCAico/4HeCDlDSVEuTllTRTpJQk0uSVFfVE9UQUxfREVCVF9DVVJSRU5ULjk5NC4wNy8wMy8yMDI2Li4uVVNELkgBAAAA3rYBAAIAAAAFMTAxNzcBCAAAAAUAAAABMQEAAAALLTIxMTA3NjkzNTUDAAAAAzE2MAIAAAAFMjUyMjMEAAAAATAHAAAACDMvNy8yMDI2CAAAAAoxMi8zMS8yMDE5CQAAAAEwSqXNJP+B3ghCAico/4HeCCtDSVEuTllTRTpJQk0uSVFfVEJWLjEwMDAuMDcvMDMvMjAyNi4uLlVTRC5IAQAAAN62AQACAAAABi00NjQ2MAEIAAAA</t>
  </si>
  <si>
    <t>BQAAAAExAQAAAAstMTkwNDg2MDc0MAMAAAADMTYwAgAAAAQxMzEwBAAAAAEwBwAAAAgzLzcvMjAyNggAAAAKMTIvMzEvMjAyNQkAAAABMEqlzST/gd4INtsmKP+B3gg4Q0lRLk5ZU0U6SUJNLklRX0JWX1NIQVJFX1JFUE9SVEVELjk5Ny4wNy8wMy8yMDI2Li4uVVNELkgBAAAA3rYBAAMAAAAAAEqlzST/gd4INtsmKP+B3gg4Q0lRLk5ZU0U6SUJNLklRX1RPVEFMX09QRVJfTEVBU0VTLjk5Mi4wNy8wMy8yMDI2Li4uVVNELkgBAAAA3rYBAAMAAAAAAEqlzST/gd4IQgInKP+B3gg7Q0lRLk5ZU0U6SUJNLklRX0RFRl9UQVhfTElBQl9DVVJSRU5ULjk5Ny4wNy8wMy8yMDI2Li4uVVNELkgBAAAA3rYBAAMAAAAAAEqlzST/gd4IQgInKP+B3gg5Q0lRLk5ZU0U6SUJNLklRX1VORUFSTl9SRVZfQ1VSUkVOVC45OTIuMDcvMDMvMjAyNi4uLlVTRC5IAQAAAN62AQACAAAABTExODI5AQgAAAAFAAAAATEBAAAACjIwMTcxNjQyNDQDAAAAAzE2MAIAAAAEMTA3NAQAAAABMAcAAAAIMy83LzIwMjYIAAAACjEyLzMxLzIwMTcJAAAAATBKpc0k/4HeCEICJyj/gd4IPUNJUS5OWVNFOklCTS5JUV9MSUFCSUxJVElFU19GQUlSX1ZBTFVFLjk5My4wNy8wMy8yMDI2Li4uVVNELkgBAAAA3rYBAAIAAAAFMzY5MzEASqXNJP+B3gg22yYo/4HeCE1DSVEuTllTRTpJQk0uSVFfTElRVUlEQVRJT05fVkFMVUVfUFJFRkVSUkVEX05PTl9S</t>
  </si>
  <si>
    <t>RURFRU0uOTkyLjA3LzAzLzIwMjYuLi5VU0QuSAEAAADetgEAAwAAAAAASqXNJP+B3gg22yYo/4HeCDpDSVEuTllTRTpJQk0uSVFfTUlOT1JJVFlfSU5UX1JFREVFTS45OTQuMDcvMDMvMjAyNi4uLlVTRC5IAQAAAN62AQADAAAAAABKpc0k/4HeCDbbJij/gd4IMkNJUS5OWVNFOklCTS5JUV9QUkVGX1JFREVFTS45OTUuMDcvMDMvMjAyNi4uLlVTRC5IAQAAAN62AQADAAAAAABKpc0k/4HeCDbbJij/gd4INENJUS5OWVNFOklCTS5JUV9PVEhFUl9MSUFCX0xULjk5Mi4wNy8wMy8yMDI2Li4uVVNELkgBAAAA3rYBAAIAAAAEOTM4NgEIAAAABQAAAAExAQAAAAoyMDE3MTY0MjQ0AwAAAAMxNjACAAAABDEwNjIEAAAAATAHAAAACDMvNy8yMDI2CAAAAAoxMi8zMS8yMDE3CQAAAAEwSqXNJP+B3gg22yYo/4HeCC5DSVEuTllTRTpJQk0uSVFfUEVOU0lPTi45OTkuMDcvMDMvMjAyNi4uLlVTRC5IAQAAAN62AQACAAAABDk0MzIBCAAAAAUAAAABMQEAAAALLTE5MDQ4NjA3NDMDAAAAAzE2MAIAAAAEMTIxMwQAAAABMAcAAAAIMy83LzIwMjYIAAAACjEyLzMxLzIwMjQJAAAAATBKpc0k/4HeCOezJij/gd4INkNJUS5OWVNFOklCTS5JUV9GSU5fRElWX0xJQUJfTFQuOTk2LjA3LzAzLzIwMjYuLi5VU0QuSAEAAADetgEAAwAAAAAASqXNJP+B3gjnsyYo/4HeCDBDSVEuTllTRTpJQk0uSVFfVE9UQUxfQ0wuMTAwMC4wNy8w</t>
  </si>
  <si>
    <t>My8yMDI2Li4uVVNELkgBAAAA3rYBAAIAAAAFMzg2NTgBCAAAAAUAAAABMQEAAAALLTE5MDQ4NjA3NDADAAAAAzE2MAIAAAAEMTAwOQQAAAABMAcAAAAIMy83LzIwMjYIAAAACjEyLzMxLzIwMjUJAAAAATBKpc0k/4HeCOezJij/gd4IM0NJUS5OWVNFOklCTS5JUV9UT1RBTF9FUVVJVFkuOTk0LjA3LzAzLzIwMjYuLi5VU0QuSAEAAADetgEAAgAAAAUyMDk4NQEIAAAABQAAAAExAQAAAAstMjExMDc2OTM1NQMAAAADMTYwAgAAAAQxMjc1BAAAAAEwBwAAAAgzLzcvMjAyNggAAAAKMTIvMzEvMjAxOQkAAAABMEqlzST/gd4INtsmKP+B3gg6Q0lRLk5ZU0U6SUJNLklRX1RPVEFMX0NPTU1PTl9FUVVJVFkuOTk0LjA3LzAzLzIwMjYuLi5VU0QuSAEAAADetgEAAgAAAAUyMDg0MQEIAAAABQAAAAExAQAAAAstMjExMDc2OTM1NQMAAAADMTYwAgAAAAQxMDA2BAAAAAEwBwAAAAgzLzcvMjAyNggAAAAKMTIvMzEvMjAxOQkAAAABMEqlzST/gd4INtsmKP+B3ggvQ0lRLk5ZU0U6SUJNLklRX1RSRUFTVVJZLjk5My4wNy8wMy8yMDI2Li4uVVNELkgBAAAA3rYBAAIAAAAHLTE2ODA3MQEIAAAABQAAAAExAQAAAAoyMDgxNTA1NDAxAwAAAAMxNjACAAAABDEyNDgEAAAAATAHAAAACDMvNy8yMDI2CAAAAAoxMi8zMS8yMDE4CQAAAAEwSqXNJP+B3gjnsyYo/4HeCCtDSVEuTllTRTpJQk0uSVFfQVBJQy45OTIuMDcvMDMvMjAy</t>
  </si>
  <si>
    <t>Ni4uLlVTRC5IAQAAAN62AQADAAAAAABKpc0k/4HeCOezJij/gd4IM0NJUS5OWVNFOklCTS5JUV9QUkVGX0NPTlZFUlQuOTk4LjA3LzAzLzIwMjYuLi5VU0QuSAEAAADetgEAAwAAAAAASqXNJP+B3gjnsyYo/4HeCD1DSVEuTllTRTpJQk0uSVFfR1BQRV9FWENMX09QRVJfTEVBU0VTLjEwMDAuMDcvMDMvMjAyNi4uLlVTRC5IAQAAAN62AQACAAAABTE3ODc0AQgAAAAFAAAAATEBAAAACy0xOTA0ODYwNzQwAwAAAAMxNjACAAAABTQ4OTc0BAAAAAEwBwAAAAgzLzcvMjAyNggAAAAKMTIvMzEvMjAyNQkAAAABMGbMzST/gd4I57MmKP+B3ghEQ0lRLk5ZU0U6SUJNLklRX1JVQV9PUEVSQVRJTkdfTEVBU0VfQUNDVU1fREVQLjk5Mi4wNy8wMy8yMDI2Li4uVVNELkgBAAAA3rYBAAMAAAAAAGbMzST/gd4I57MmKP+B3gg8Q0lRLk5ZU0U6SUJNLklRX1JVQV9DQVBJVEFMX0xFQVNFX05FVC45OTMuMDcvMDMvMjAyNi4uLlVTRC5IAQAAAN62AQADAAAAAABmzM0k/4HeCJx4Jij/gd4ILkNJUS5OWVNFOklCTS5JUV9SVUFfTkVULjk5Ni4wNy8wMy8yMDI2Li4uVVNELkgBAAAA3rYBAAMAAAAAAGbMzST/gd4InHgmKP+B3ggwQ0lRLk5ZU0U6SUJNLklRX1JVQV9HUk9TUy45OTUuMDcvMDMvMjAyNi4uLlVTRC5IAQAAAN62AQADAAAAAABmzM0k/4HeCJx4Jij/gd4IMkNJUS5OWVNFOklCTS5JUV9XT1JLSU5HX0NBUC45OTgu</t>
  </si>
  <si>
    <t>MDcvMDMvMjAyNi4uLlVTRC5IAQAAAN62AQACAAAABS0xMjE0AQgAAAAFAAAAATEBAAAACy0xOTA0ODYwNzQ0AwAAAAMxNjACAAAABDQxNjUEAAAAATAHAAAACDMvNy8yMDI2CAAAAAoxMi8zMS8yMDIzCQAAAAEwZszNJP+B3giceCYo/4HeCCpDSVEuTllTRTpJQk0uSVFfVEJWLjk5Ny4wNy8wMy8yMDI2Li4uVVNELkgBAAAA3rYBAAIAAAAGLTQ1MTg5AQgAAAAFAAAAATEBAAAACy0xOTU4MjgxMDk2AwAAAAMxNjACAAAABDEzMTAEAAAAATAHAAAACDMvNy8yMDI2CAAAAAoxMi8zMS8yMDIyCQAAAAEwZszNJP+B3gjnsyYo/4HeCDhDSVEuTllTRTpJQk0uSVFfQlZfU0hBUkVfUkVQT1JURUQuOTk2LjA3LzAzLzIwMjYuLi5VU0QuSAEAAADetgEAAwAAAAAAZszNJP+B3giceCYo/4HeCDtDSVEuTllTRTpJQk0uSVFfVE9UQUxfRklOQU5DRV9MRUFTRVMuOTk4LjA3LzAzLzIwMjYuLi5VU0QuSAEAAADetgEAAgAAAAM1MDABCAAAAAUAAAABMQEAAAALLTE5MDQ4NjA3NDQDAAAAAzE2MAIAAAAFNDkwMzEEAAAAATAHAAAACDMvNy8yMDI2CAAAAAoxMi8zMS8yMDIzCQAAAAEwZszNJP+B3giceCYo/4HeCD1DSVEuTllTRTpJQk0uSVFfRklOQU5DRV9MRUFTRVNfQ1VSUkVOVC45OTUuMDcvMDMvMjAyNi4uLlVTRC5IAQAAAN62AQACAAAAAjMwAQgAAAAFAAAAATEBAAAACy0yMDU5MDczMjAyAwAAAAMxNjACAAAABTQ4</t>
  </si>
  <si>
    <t>OTkwBAAAAAEwBwAAAAgzLzcvMjAyNggAAAAKMTIvMzEvMjAyMAkAAAABMPiEviT/gd4InHgmKP+B3ggxQ0lRLk5ZU0U6SUJNLklRX0NBU0hfVEFYRVMuOTkzLjA3LzAzLzIwMjYuLi5VU0QuSAEAAADetgEAAgAAAAQxNzQ1AQgAAAAFAAAAATEBAAAACjIwODE1MDU0MDEDAAAAAzE2MAIAAAAEMzA1MwQAAAABMAcAAAAIMy83LzIwMjYIAAAACjEyLzMxLzIwMTgJAAAAATD4hL4k/4HeCJx4Jij/gd4IO0NJUS5OWVNFOklCTS5JUV9DQVNIX0lOVEVSRVNUX0lOVkVTVC45OTkuMDcvMDMvMjAyNi4uLlVTRC5IAQAAAN62AQADAAAAAAD4hL4k/4HeCJx4Jij/gd4IOUNJUS5OWVNFOklCTS5JUV9DQVNIX0lOVEVSRVNUX09QRVIuOTkzLjA3LzAzLzIwMjYuLi5VU0QuSAEAAADetgEAAwAAAAAA+IS+JP+B3gjRZCYo/4HeCEZDSVEuTllTRTpJQk0uSVFfRkFJUl9WQUxVRV9DSEFOR0VfSU5DTF9FQVJOSU5HUy45OTQuMDcvMDMvMjAyNi4uLlVTRC5IAQAAAN62AQADAAAAAAD4hL4k/4HeCJx4Jij/gd4IK0NJUS5OWVNFOklCTS5JUV9MQU5ELjk5NC4wNy8wMy8yMDI2Li4uVVNELkgBAAAA3rYBAAIAAAADMzY1AQgAAAAFAAAAATEBAAAACy0yMTEwNzY5MzU1AwAAAAMxNjACAAAABDMwOTgEAAAAATAHAAAACDMvNy8yMDI2CAAAAAoxMi8zMS8yMDE5CQAAAAEw+IS+JP+B3giceCYo/4HeCD9DSVEuTllTRTpJQk0uSVFf</t>
  </si>
  <si>
    <t>T1BFUkFUSU5HX0xFQVNFX1BBWU1FTlRTLjk5My4wNy8wMy8yMDI2Li4uVVNELkgBAAAA3rYBAAMAAAAAAPiEviT/gd4InHgmKP+B3ggzQ0lRLk5ZU0U6SUJNLklRX0RPX0lOVkVTVF9DRi45OTkuMDcvMDMvMjAyNi4uLlVTRC5IAQAAAN62AQADAAAAAAD4hL4k/4HeCJx4Jij/gd4INkNJUS5OWVNFOklCTS5JUV9ORVRfREVCVF9JU1NVRUQuOTk1LjA3LzAzLzIwMjYuLi5VU0QuSAEAAADetgEAAgAAAAUtMzcxNAEIAAAABQAAAAExAQAAAAstMjA1OTA3MzIwMgMAAAADMTYwAgAAAAQyMDAzBAAAAAEwBwAAAAgzLzcvMjAyNggAAAAKMTIvMzEvMjAyMAkAAAABMPiEviT/gd4I0j0mKP+B3ggyQ0lRLk5ZU0U6SUJNLklRX0xFVkVSRURfRkNGLjk5NS4wNy8wMy8yMDI2Li4uVVNELkgBAAAA3rYBAAIAAAAIMTQ4NzkuNzUBCAAAAAUAAAABMQEAAAALLTIwNTkwNzMyMDIDAAAAAzE2MAIAAAAENDQyMgQAAAABMAcAAAAIMy83LzIwMjYIAAAACjEyLzMxLzIwMjAJAAAAATD4hL4k/4HeCNFkJij/gd4IOENJUS5OWVNFOklCTS5JUV9DQVNIX1RBWEVTX0lOVkVTVC45OTcuMDcvMDMvMjAyNi4uLlVTRC5IAQAAAN62AQADAAAAAAD4hL4k/4HeCNFkJij/gd4IKUNJUS5OWVNFOklCTS5JUV9BUi45OTkuMDcvMDMvMjAyNi4uLlVTRC5IAQAAAN62AQACAAAABDcyMzcBCAAAAAUAAAABMQEAAAALLTE5MDQ4NjA3NDMDAAAA</t>
  </si>
  <si>
    <t>AzE2MAIAAAAEMTAyMQQAAAABMAcAAAAIMy83LzIwMjYIAAAACjEyLzMxLzIwMjQJAAAAATD4hL4k/4HeCNFkJij/gd4INUNJUS5OWVNFOklCTS5JUV9DQVNIX1NUX0lOVkVTVC45OTMuMDcvMDMvMjAyNi4uLlVTRC5IAQAAAN62AQACAAAABTExOTk3AQgAAAAFAAAAATEBAAAACjIwODE1MDU0MDEDAAAAAzE2MAIAAAAEMTAwMgQAAAABMAcAAAAIMy83LzIwMjYIAAAACjEyLzMxLzIwMTgJAAAAATD4hL4k/4HeCNFkJij/gd4IMENJUS5OWVNFOklCTS5JUV9TVF9JTlZFU1QuOTk5LjA3LzAzLzIwMjYuLi5VU0QuSAEAAADetgEAAgAAAAM2NDQBCAAAAAUAAAABMQEAAAALLTE5MDQ4NjA3NDMDAAAAAzE2MAIAAAAEMTA2OQQAAAABMAcAAAAIMy83LzIwMjYIAAAACjEyLzMxLzIwMjQJAAAAATD4hL4k/4HeCNI9Jij/gd4IOkNJUS5OWVNFOklCTS5JUV9HQUlOX0JBUkdBSU5fQUNRX0NGLjk5Ny4wNy8wMy8yMDI2Li4uVVNELkgBAAAA3rYBAAMAAAAAAPiEviT/gd4I0j0mKP+B3ghKQ0lRLk5ZU0U6SUJNLklRX09QRVJBVElOR19MRUFTRV9MSUFCSUxJVElFU19OT05DQVNILjk5Ny4wNy8wMy8yMDI2Li4uVVNELkgBAAAA3rYBAAMAAAAAAPiEviT/gd4I0j0mKP+B3ggpQ0lRLk5ZU0U6SUJNLklRX0dXLjk5NS4wNy8wMy8yMDI2Li4uVVNELkgBAAAA3rYBAAIAAAAFNTM3NjUBCAAAAAUAAAABMQEAAAALLTIwNTkw</t>
  </si>
  <si>
    <t>NzMyMDIDAAAAAzE2MAIAAAAEMTE3MQQAAAABMAcAAAAIMy83LzIwMjYIAAAACjEyLzMxLzIwMjAJAAAAATD4hL4k/4HeCNI9Jij/gd4IK0NJUS5OWVNFOklCTS5JUV9HUFBFLjk5OS4wNy8wMy8yMDI2Li4uVVNELkgBAAAA3rYBAAIAAAAFMjA4ODgBCAAAAAUAAAABMQEAAAALLTE5MDQ4NjA3NDMDAAAAAzE2MAIAAAAEMTE2OQQAAAABMAcAAAAIMy83LzIwMjYIAAAACjEyLzMxLzIwMjQJAAAAATD4hL4k/4HeCNI9Jij/gd4IL0NJUS5OWVNFOklCTS5JUV9UT1RBTF9DQS45OTMuMDcvMDMvMjAyNi4uLlVTRC5IAQAAAN62AQACAAAABTQ5MTQ2AQgAAAAFAAAAATEBAAAACjIwODE1MDU0MDEDAAAAAzE2MAIAAAAEMTAwOAQAAAABMAcAAAAIMy83LzIwMjYIAAAACjEyLzMxLzIwMTgJAAAAATD4hL4k/4HeCGYWJij/gd4INUNJUS5OWVNFOklCTS5JUV9MT0FOU19GT1JfU0FMRS45OTUuMDcvMDMvMjAyNi4uLlVTRC5IAQAAAN62AQADAAAAAAD4hL4k/4HeCGYWJij/gd4IMENJUS5OWVNFOklCTS5JUV9JTlZFTlRPUlkuOTk3LjA3LzAzLzIwMjYuLi5VU0QuSAEAAADetgEAAgAAAAQxNTUyAQgAAAAFAAAAATEBAAAACy0xOTU4MjgxMDk2AwAAAAMxNjACAAAABDEwNDMEAAAAATAHAAAACDMvNy8yMDI2CAAAAAoxMi8zMS8yMDIyCQAAAAEw+IS+JP+B3gjSPSYo/4HeCDpDSVEuTllTRTpJQk0uSVFfQ1VSUkVOVF9Q</t>
  </si>
  <si>
    <t>T1JUX0xFQVNFUy45OTYuMDcvMDMvMjAyNi4uLlVTRC5IAQAAAN62AQACAAAABDEwMTABCAAAAAUAAAABMQEAAAALLTIwMDg2NDcxOTgDAAAAAzE2MAIAAAAEMTA5MAQAAAABMAcAAAAIMy83LzIwMjYIAAAACjEyLzMxLzIwMjEJAAAAATD4hL4k/4HeCNI9Jij/gd4ILkNJUS5OWVNFOklCTS5JUV9TVF9ERUJULjk5My4wNy8wMy8yMDI2Li4uVVNELkgBAAAA3rYBAAIAAAAEMzE1NgEIAAAABQAAAAExAQAAAAoyMDgxNTA1NDAxAwAAAAMxNjACAAAABDEwNDYEAAAAATAHAAAACDMvNy8yMDI2CAAAAAoxMi8zMS8yMDE4CQAAAAEw+IS+JP+B3gjSPSYo/4HeCDZDSVEuTllTRTpJQk0uSVFfT1RIRVJfTFRfQVNTRVRTLjk5Ny4wNy8wMy8yMDI2Li4uVVNELkgBAAAA3rYBAAIAAAAEODI0MgEIAAAABQAAAAExAQAAAAstMTk1ODI4MTA5NgMAAAADMTYwAgAAAAQxMDYwBAAAAAEwBwAAAAgzLzcvMjAyNggAAAAKMTIvMzEvMjAyMgkAAAABMPiEviT/gd4IZhYmKP+B3gg4Q0lRLk5ZU0U6SUJNLklRX0RFRl9UQVhfQVNTRVRTX0xULjk5NC4wNy8wMy8yMDI2Li4uVVNELkgBAAAA3rYBAAIAAAAENTE4MgEIAAAABQAAAAExAQAAAAstMjExMDc2OTM1NQMAAAADMTYwAgAAAAQxMDI2BAAAAAEwBwAAAAgzLzcvMjAyNggAAAAKMTIvMzEvMjAxOQkAAAABMPiEviT/gd4IZhYmKP+B3gg3Q0lRLk5ZU0U6SUJNLklRX0ZJTl9E</t>
  </si>
  <si>
    <t>SVZfTE9BTlNfTFQuOTk4LjA3LzAzLzIwMjYuLi5VU0QuSAEAAADetgEAAgAAAAQ1NzY2AQgAAAAFAAAAATEBAAAACy0xOTA0ODYwNzQ0AwAAAAMxNjACAAAABDEwMzMEAAAAATAHAAAACDMvNy8yMDI2CAAAAAoxMi8zMS8yMDIzCQAAAAEw+IS+JP+B3ghmFiYo/4HeCC5DSVEuTllTRTpJQk0uSVFfUEVOU0lPTi45OTguMDcvMDMvMjAyNi4uLlVTRC5IAQAAAN62AQACAAAABTEwODA4AQgAAAAFAAAAATEBAAAACy0xOTA0ODYwNzQ0AwAAAAMxNjACAAAABDEyMTMEAAAAATAHAAAACDMvNy8yMDI2CAAAAAoxMi8zMS8yMDIzCQAAAAEw+IS+JP+B3ghmFiYo/4HeCDZDSVEuTllTRTpJQk0uSVFfRklOX0RJVl9MSUFCX0xULjk5NS4wNy8wMy8yMDI2Li4uVVNELkgBAAAA3rYBAAMAAAAAAPiEviT/gd4IZhYmKP+B3ggvQ0lRLk5ZU0U6SUJNLklRX1RPVEFMX0NMLjk5OS4wNy8wMy8yMDI2Li4uVVNELkgBAAAA3rYBAAIAAAAFMzMxNDIBCAAAAAUAAAABMQEAAAALLTE5MDQ4NjA3NDMDAAAAAzE2MAIAAAAEMTAwOQQAAAABMAcAAAAIMy83LzIwMjYIAAAACjEyLzMxLzIwMjQJAAAAATD4hL4k/4HeCAYBJij/gd4INUNJUS5OWVNFOklCTS5JUV9PVEhFUl9DTF9TVVBQTC45OTQuMDcvMDMvMjAyNi4uLlVTRC5IAQAAAN62AQACAAAAAzE2NwEIAAAABQAAAAExAQAAAAstMjExMDc2OTM1NQMAAAADMTYwAgAAAAQxMDU3</t>
  </si>
  <si>
    <t>BAAAAAEwBwAAAAgzLzcvMjAyNggAAAAKMTIvMzEvMjAxOQkAAAABMPiEviT/gd4IBgEmKP+B3gg8Q0lRLk5ZU0U6SUJNLklRX0ZJTl9ESVZfREVCVF9DVVJSRU5ULjEwMDAuMDcvMDMvMjAyNi4uLlVTRC5IAQAAAN62AQADAAAAAAD4hL4k/4HeCAYBJij/gd4IL0NJUS5OWVNFOklCTS5JUV9UUkVBU1VSWS45OTIuMDcvMDMvMjAyNi4uLlVTRC5IAQAAAN62AQACAAAABy0xNjM1MDcBCAAAAAUAAAABMQEAAAAKMjAxNzE2NDI0NAMAAAADMTYwAgAAAAQxMjQ4BAAAAAEwBwAAAAgzLzcvMjAyNggAAAAKMTIvMzEvMjAxNwkAAAABMPiEviT/gd4IBgEmKP+B3ggsQ0lRLk5ZU0U6SUJNLklRX0FQSUMuMTAwMC4wNy8wMy8yMDI2Li4uVVNELkgBAAAA3rYBAAMAAAAAAPiEviT/gd4IZhYmKP+B3ggyQ0lRLk5ZU0U6SUJNLklRX1BSRUZfRVFVSVRZLjk5OS4wNy8wMy8yMDI2Li4uVVNELkgBAAAA3rYBAAMAAAAAAPiEviT/gd4IGcYlKP+B3ggzQ0lRLk5ZU0U6SUJNLklRX1BSRUZfQ09OVkVSVC45OTcuMDcvMDMvMjAyNi4uLlVTRC5IAQAAAN62AQADAAAAAAD4hL4k/4HeCBnGJSj/gd4IMkNJUS5OWVNFOklCTS5JUV9QUkVGX1JFREVFTS45OTQuMDcvMDMvMjAyNi4uLlVTRC5IAQAAAN62AQADAAAAAAD4hL4k/4HeCBnGJSj/gd4IPENJUS5OWVNFOklCTS5JUV9HUFBFX0VYQ0xfT1BFUl9MRUFTRVMuOTk5LjA3LzAz</t>
  </si>
  <si>
    <t>LzIwMjYuLi5VU0QuSAEAAADetgEAAgAAAAUxNzY5MQEIAAAABQAAAAExAQAAAAstMTkwNDg2MDc0MwMAAAADMTYwAgAAAAU0ODk3NAQAAAABMAcAAAAIMy83LzIwMjYIAAAACjEyLzMxLzIwMjQJAAAAATD4hL4k/4HeCBnGJSj/gd4IPENJUS5OWVNFOklCTS5JUV9SVUFfQ0FQSVRBTF9MRUFTRV9ORVQuOTkyLjA3LzAzLzIwMjYuLi5VU0QuSAEAAADetgEAAwAAAAAA+IS+JP+B3ggGASYo/4HeCD5DSVEuTllTRTpJQk0uSVFfUlVBX0NBUElUQUxfTEVBU0VfR1JPU1MuOTkzLjA3LzAzLzIwMjYuLi5VU0QuSAEAAADetgEAAwAAAAAA+IS+JP+B3ggZxiUo/4HeCDRDSVEuTllTRTpJQk0uSVFfUlVBX0FDQ1VNX0RFUC45OTIuMDcvMDMvMjAyNi4uLlVTRC5IAQAAAN62AQADAAAAAAD4hL4k/4HeCBnGJSj/gd4IOkNJUS5OWVNFOklCTS5JUV9UT1RBTF9DT01NT05fRVFVSVRZLjk5My4wNy8wMy8yMDI2Li4uVVNELkgBAAAA3rYBAAIAAAAFMTY3OTYBCAAAAAUAAAABMQEAAAAKMjA4MTUwNTQwMQMAAAADMTYwAgAAAAQxMDA2BAAAAAEwBwAAAAgzLzcvMjAyNggAAAAKMTIvMzEvMjAxOAkAAAABMPiEviT/gd4IGcYlKP+B3gg4Q0lRLk5ZU0U6SUJNLklRX0JWX1NIQVJFX1JFUE9SVEVELjk5NC4wNy8wMy8yMDI2Li4uVVNELkgBAAAA3rYBAAMAAAAAAPiEviT/gd4IGcYlKP+B3ghTQ0lRLk5ZU0U6SUJNLklRX0ZJ</t>
  </si>
  <si>
    <t>TkFOQ0lOR19PQkxJR19OT05fQ1VSUkVOVF9FWENMX09QRVJfTEVBU0VTLjk5OS4wNy8wMy8yMDI2Li4uVVNELkgBAAAA3rYBAAIAAAAFNDk4ODQBCAAAAAUAAAABMQEAAAALLTE5MDQ4NjA3NDMDAAAAAzE2MAIAAAAFNDg5ODEEAAAAATAHAAAACDMvNy8yMDI2CAAAAAoxMi8zMS8yMDI0CQAAAAEw+IS+JP+B3ggZxiUo/4HeCDhDSVEuTllTRTpJQk0uSVFfVE9UQUxfT1BFUl9MRUFTRVMuOTk5LjA3LzAzLzIwMjYuLi5VU0QuSAEAAADetgEAAgAAAAQzNDIzAQgAAAAFAAAAATEBAAAACy0xOTA0ODYwNzQzAwAAAAMxNjACAAAABTQ4OTc4BAAAAAEwBwAAAAgzLzcvMjAyNggAAAAKMTIvMzEvMjAyNAkAAAABMPiEviT/gd4InJ4lKP+B3gg7Q0lRLk5ZU0U6SUJNLklRX1RPVEFMX0ZJTkFOQ0VfTEVBU0VTLjk5Ny4wNy8wMy8yMDI2Li4uVVNELkgBAAAA3rYBAAIAAAADMjM5AQgAAAAFAAAAATEBAAAACy0xOTU4MjgxMDk2AwAAAAMxNjACAAAABTQ5MDMxBAAAAAEwBwAAAAgzLzcvMjAyNggAAAAKMTIvMzEvMjAyMgkAAAABMPiEviT/gd4IGcYlKP+B3gg9Q0lRLk5ZU0U6SUJNLklRX0ZJTkFOQ0VfTEVBU0VTX0NVUlJFTlQuOTk0LjA3LzAzLzIwMjYuLi5VU0QuSAEAAADetgEAAgAAAAI1MgEIAAAABQAAAAExAQAAAAstMjExMDc2OTM1NQMAAAADMTYwAgAAAAU0ODk5MAQAAAABMAcAAAAIMy83LzIwMjYIAAAA</t>
  </si>
  <si>
    <t>CjEyLzMxLzIwMTkJAAAAATD4hL4k/4HeCBnGJSj/gd4ITUNJUS5OWVNFOklCTS5JUV9MSVFVSURBVElPTl9WQUxVRV9QUkVGRVJSRURfTk9OX1JFREVFTS45OTcuMDcvMDMvMjAyNi4uLlVTRC5IAQAAAN62AQADAAAAAAD4hL4k/4HeCBnGJSj/gd4IK0NJUS5OWVNFOklCTS5JUV9MQU5ELjk5My4wNy8wMy8yMDI2Li4uVVNELkgBAAAA3rYBAAIAAAADNDQ3AQgAAAAFAAAAATEBAAAACjIwODE1MDU0MDEDAAAAAzE2MAIAAAAEMzA5OAQAAAABMAcAAAAIMy83LzIwMjYIAAAACjEyLzMxLzIwMTgJAAAAATD4hL4k/4HeCBnGJSj/gd4IMkNJUS5OWVNFOklCTS5JUV9XT1JLSU5HX0NBUC45OTcuMDcvMDMvMjAyNi4uLlVTRC5IAQAAAN62AQACAAAABS0yMzg3AQgAAAAFAAAAATEBAAAACy0xOTU4MjgxMDk2AwAAAAMxNjACAAAABDQxNjUEAAAAATAHAAAACDMvNy8yMDI2CAAAAAoxMi8zMS8yMDIyCQAAAAEw+IS+JP+B3gicniUo/4HeCD1DSVEuTllTRTpJQk0uSVFfVE9UQUxfREVCVF9OT05fQ1VSUkVOVC45OTIuMDcvMDMvMjAyNi4uLlVTRC5IAQAAAN62AQACAAAABTM5ODcxAQgAAAAFAAAAATEBAAAACjIwMTcxNjQyNDQDAAAAAzE2MAIAAAAFMjUyMjQEAAAAATAHAAAACDMvNy8yMDI2CAAAAAoxMi8zMS8yMDE3CQAAAAEw+IS+JP+B3gicniUo/4HeCC9DSVEuTllTRTpJQk0uSVFfR1dfSU5UQU4uOTk0LjA3</t>
  </si>
  <si>
    <t>LzAzLzIwMjYuLi5VU0QuSAEAAADetgEAAgAAAAU3MzQ1NwEIAAAABQAAAAExAQAAAAstMjExMDc2OTM1NQMAAAADMTYwAgAAAAUzNTM4MQQAAAABMAcAAAAIMy83LzIwMjYIAAAACjEyLzMxLzIwMTkJAAAAATD4hL4k/4HeCJyeJSj/gd4IOENJUS5OWVNFOklCTS5JUV9ERUZfVEFYX0FTU0VUU19MVC45OTMuMDcvMDMvMjAyNi4uLlVTRC5IAQAAAN62AQACAAAABDUyMTYBCAAAAAUAAAABMQEAAAAKMjA4MTUwNTQwMQMAAAADMTYwAgAAAAQxMDI2BAAAAAEwBwAAAAgzLzcvMjAyNggAAAAKMTIvMzEvMjAxOAkAAAABMPiEviT/gd4InJ4lKP+B3ggtQ0lRLk5ZU0U6SUJNLklRX0FSX0xULjEwMDAuMDcvMDMvMjAyNi4uLlVTRC5IAQAAAN62AQADAAAAAAD4hL4k/4HeCJyeJSj/gd4IN0NJUS5OWVNFOklCTS5JUV9GSU5fRElWX0xPQU5TX0xULjk5Ny4wNy8wMy8yMDI2Li4uVVNELkgBAAAA3rYBAAIAAAAENTgwNgEIAAAABQAAAAExAQAAAAstMTk1ODI4MTA5NgMAAAADMTYwAgAAAAQxMDMzBAAAAAEwBwAAAAgzLzcvMjAyNggAAAAKMTIvMzEvMjAyMgkAAAABMPiEviT/gd4Iv4olKP+B3ggyQ0lRLk5ZU0U6SUJNLklRX09USEVSX0lOVEFOLjk5Mi4wNy8wMy8yMDI2Li4uVVNELkgBAAAA3rYBAAIAAAAEMzc0MgEIAAAABQAAAAExAQAAAAoyMDE3MTY0MjQ0AwAAAAMxNjACAAAABDEwNDAEAAAAATAHAAAACDMv</t>
  </si>
  <si>
    <t>Ny8yMDI2CAAAAAoxMi8zMS8yMDE3CQAAAAEw+IS+JP+B3gi/iiUo/4HeCEZDSVEuTllTRTpJQk0uSVFfRkFJUl9WQUxVRV9DSEFOR0VfSU5DTF9FQVJOSU5HUy45OTkuMDcvMDMvMjAyNi4uLlVTRC5IAQAAAN62AQADAAAAAAD4hL4k/4HeCJyeJSj/gd4IO0NJUS5OWVNFOklCTS5JUV9GSU5fRElWX0xJQUJfQ1VSUkVOVC45OTcuMDcvMDMvMjAyNi4uLlVTRC5IAQAAAN62AQADAAAAAAD4hL4k/4HeCJyeJSj/gd4IOkNJUS5OWVNFOklCTS5JUV9DVVJSRU5UX1BPUlRfTEVBU0VTLjk5NC4wNy8wMy8yMDI2Li4uVVNELkgBAAAA3rYBAAIAAAAEMTQzMgEIAAAABQAAAAExAQAAAAstMjExMDc2OTM1NQMAAAADMTYwAgAAAAQxMDkwBAAAAAEwBwAAAAgzLzcvMjAyNggAAAAKMTIvMzEvMjAxOQkAAAABMPiEviT/gd4InJ4lKP+B3gguQ0lRLk5ZU0U6SUJNLklRX1NUX0RFQlQuOTkyLjA3LzAzLzIwMjYuLi5VU0QuSAEAAADetgEAAgAAAAQxNzcyAQgAAAAFAAAAATEBAAAACjIwMTcxNjQyNDQDAAAAAzE2MAIAAAAEMTA0NgQAAAABMAcAAAAIMy83LzIwMjYIAAAACjEyLzMxLzIwMTcJAAAAATD4hL4k/4HeCIdgJSj/gd4IKUNJUS5OWVNFOklCTS5JUV9BUC45OTkuMDcvMDMvMjAyNi4uLlVTRC5IAQAAAN62AQACAAAABDQwMzIBCAAAAAUAAAABMQEAAAALLTE5MDQ4NjA3NDMDAAAAAzE2MAIAAAAEMTAxOAQAAAAB</t>
  </si>
  <si>
    <t>MAcAAAAIMy83LzIwMjYIAAAACjEyLzMxLzIwMjQJAAAAATD4hL4k/4HeCIdgJSj/gd4INkNJUS5OWVNFOklCTS5JUV9PVEhFUl9MVF9BU1NFVFMuOTk2LjA3LzAzLzIwMjYuLi5VU0QuSAEAAADetgEAAgAAAAQ5ODkwAQgAAAAFAAAAATEBAAAACy0yMDA4NjQ3MTk4AwAAAAMxNjACAAAABDEwNjAEAAAAATAHAAAACDMvNy8yMDI2CAAAAAoxMi8zMS8yMDIxCQAAAAEw+IS+JP+B3giHYCUo/4HeCDVDSVEuTllTRTpJQk0uSVFfT1RIRVJfTElBQl9MVC4xMDAwLjA3LzAzLzIwMjYuLi5VU0QuSAEAAADetgEAAgAAAAQ5MDI4AQgAAAAFAAAAATEBAAAACy0xOTA0ODYwNzQwAwAAAAMxNjACAAAABDEwNjIEAAAAATAHAAAACDMvNy8yMDI2CAAAAAoxMi8zMS8yMDI1CQAAAAEw+IS+JP+B3gi/iiUo/4HeCC5DSVEuTllTRTpJQk0uSVFfUEVOU0lPTi45OTcuMDcvMDMvMjAyNi4uLlVTRC5IAQAAAN62AQACAAAABDk1OTYBCAAAAAUAAAABMQEAAAALLTE5NTgyODEwOTYDAAAAAzE2MAIAAAAEMTIxMwQAAAABMAcAAAAIMy83LzIwMjYIAAAACjEyLzMxLzIwMjIJAAAAATD4hL4k/4HeCL+KJSj/gd4INENJUS5OWVNFOklCTS5JUV9VTkVBUk5fUkVWX0xULjk5Mi4wNy8wMy8yMDI2Li4uVVNELkgBAAAA3rYBAAIAAAAEMzc0NgEIAAAABQAAAAExAQAAAAoyMDE3MTY0MjQ0AwAAAAMxNjACAAAABDEyNTYEAAAAATAHAAAA</t>
  </si>
  <si>
    <t>CDMvNy8yMDI2CAAAAAoxMi8zMS8yMDE3CQAAAAEw+IS+JP+B3giDOSUo/4HeCC9DSVEuTllTRTpJQk0uSVFfVE9UQUxfQ0wuOTk4LjA3LzAzLzIwMjYuLi5VU0QuSAEAAADetgEAAgAAAAUzNDEyMgEIAAAABQAAAAExAQAAAAstMTkwNDg2MDc0NAMAAAADMTYwAgAAAAQxMDA5BAAAAAEwBwAAAAgzLzcvMjAyNggAAAAKMTIvMzEvMjAyMwkAAAABMPiEviT/gd4Ih2AlKP+B3gg1Q0lRLk5ZU0U6SUJNLklRX09USEVSX0NMX1NVUFBMLjk5My4wNy8wMy8yMDI2Li4uVVNELkgBAAAA3rYBAAIAAAADMTc3AQgAAAAFAAAAATEBAAAACjIwODE1MDU0MDEDAAAAAzE2MAIAAAAEMTA1NwQAAAABMAcAAAAIMy83LzIwMjYIAAAACjEyLzMxLzIwMTgJAAAAATD4hL4k/4HeCIdgJSj/gd4IPkNJUS5OWVNFOklCTS5JUV9SVUFfQ0FQSVRBTF9MRUFTRV9HUk9TUy45OTIuMDcvMDMvMjAyNi4uLlVTRC5IAQAAAN62AQADAAAAAAD4hL4k/4HeCIdgJSj/gd4IK0NJUS5OWVNFOklCTS5JUV9BUElDLjk5OS4wNy8wMy8yMDI2Li4uVVNELkgBAAAA3rYBAAMAAAAAAPiEviT/gd4Ih2AlKP+B3ggyQ0lRLk5ZU0U6SUJNLklRX1BSRUZfRVFVSVRZLjk5OC4wNy8wMy8yMDI2Li4uVVNELkgBAAAA3rYBAAMAAAAAAPiEviT/gd4IgzklKP+B3ggzQ0lRLk5ZU0U6SUJNLklRX1BSRUZfQ09OVkVSVC45OTYuMDcvMDMvMjAyNi4uLlVTRC5I</t>
  </si>
  <si>
    <t>AQAAAN62AQADAAAAAAD4hL4k/4HeCIM5JSj/gd4IMkNJUS5OWVNFOklCTS5JUV9QUkVGX1JFREVFTS45OTMuMDcvMDMvMjAyNi4uLlVTRC5IAQAAAN62AQADAAAAAAD4hL4k/4HeCIM5JSj/gd4IOENJUS5OWVNFOklCTS5JUV9UT1RBTF9PUEVSX0xFQVNFUy45OTguMDcvMDMvMjAyNi4uLlVTRC5IAQAAAN62AQACAAAABDMzODgBCAAAAAUAAAABMQEAAAALLTE5MDQ4NjA3NDQDAAAAAzE2MAIAAAAFNDg5NzgEAAAAATAHAAAACDMvNy8yMDI2CAAAAAoxMi8zMS8yMDIzCQAAAAEw+IS+JP+B3giDOSUo/4HeCE1DSVEuTllTRTpJQk0uSVFfQ1VSUkVOVF9QT1JUSU9OX09QRVJfTEVBU0VfTElBQklMSVRJRVMuOTk0LjA3LzAzLzIwMjYuLi5VU0QuSAEAAADetgEAAgAAAAQxMzgwAQgAAAAFAAAAATEBAAAACy0yMTEwNzY5MzU1AwAAAAMxNjACAAAABTQ4Mzg1BAAAAAEwBwAAAAgzLzcvMjAyNggAAAAKMTIvMzEvMjAxOQkAAAABMPiEviT/gd4IgzklKP+B3gg+Q0lRLk5ZU0U6SUJNLklRX0ZJTkFOQ0VfTEVBU0VTX0NVUlJFTlQuMTAwMC4wNy8wMy8yMDI2Li4uVVNELkgBAAAA3rYBAAIAAAADMjc5AQgAAAAFAAAAATEBAAAACy0xOTA0ODYwNzQwAwAAAAMxNjACAAAABTQ4OTkwBAAAAAEwBwAAAAgzLzcvMjAyNggAAAAKMTIvMzEvMjAyNQkAAAABMPiEviT/gd4IjxIlKP+B3gg8Q0lRLk5ZU0U6SUJNLklRX0dQ</t>
  </si>
  <si>
    <t>UEVfRVhDTF9PUEVSX0xFQVNFUy45OTguMDcvMDMvMjAyNi4uLlVTRC5IAQAAAN62AQACAAAABTE4MTIyAQgAAAAFAAAAATEBAAAACy0xOTA0ODYwNzQ0AwAAAAMxNjACAAAABTQ4OTc0BAAAAAEwBwAAAAgzLzcvMjAyNggAAAAKMTIvMzEvMjAyMwkAAAABMPiEviT/gd4IjxIlKP+B3ghFQ0lRLk5ZU0U6SUJNLklRX1JVQV9PUEVSQVRJTkdfTEVBU0VfQUNDVU1fREVQLjEwMDAuMDcvMDMvMjAyNi4uLlVTRC5IAQAAAN62AQADAAAAAAD4hL4k/4HeCI8SJSj/gd4IMkNJUS5OWVNFOklCTS5JUV9XT1JLSU5HX0NBUC45OTYuMDcvMDMvMjAyNi4uLlVTRC5IAQAAAN62AQACAAAABS00MDgwAQgAAAAFAAAAATEBAAAACy0yMDA4NjQ3MTk4AwAAAAMxNjACAAAABDQxNjUEAAAAATAHAAAACDMvNy8yMDI2CAAAAAoxMi8zMS8yMDIxCQAAAAEw+IS+JP+B3giPEiUo/4HeCD5DSVEuTllTRTpJQk0uSVFfVE9UQUxfREVCVF9OT05fQ1VSUkVOVC4xMDAwLjA3LzAzLzIwMjYuLi5VU0QuSAEAAADetgEAAgAAAAU1NzM4MwEIAAAABQAAAAExAQAAAAstMTkwNDg2MDc0MAMAAAADMTYwAgAAAAUyNTIyNAQAAAABMAcAAAAIMy83LzIwMjYIAAAACjEyLzMxLzIwMjUJAAAAATD4hL4k/4HeCIM5JSj/gd4IL0NJUS5OWVNFOklCTS5JUV9HV19JTlRBTi45OTIuMDcvMDMvMjAyNi4uLlVTRC5IAQAAAN62AQACAAAABTQwNTMwAQgA</t>
  </si>
  <si>
    <t>AAAFAAAAATEBAAAACjIwMTcxNjQyNDQDAAAAAzE2MAIAAAAFMzUzODEEAAAAATAHAAAACDMvNy8yMDI2CAAAAAoxMi8zMS8yMDE3CQAAAAEw+IS+JP+B3ghV6yQo/4HeCDlDSVEuTllTRTpJQk0uSVFfQlZfU0hBUkVfUkVQT1JURUQuMTAwMC4wNy8wMy8yMDI2Li4uVVNELkgBAAAA3rYBAAMAAAAAAPiEviT/gd4IVeskKP+B3ghTQ0lRLk5ZU0U6SUJNLklRX0ZJTkFOQ0lOR19PQkxJR19OT05fQ1VSUkVOVF9FWENMX09QRVJfTEVBU0VTLjk5OC4wNy8wMy8yMDI2Li4uVVNELkgBAAAA3rYBAAIAAAAFNTAxMjEBCAAAAAUAAAABMQEAAAALLTE5MDQ4NjA3NDQDAAAAAzE2MAIAAAAFNDg5ODEEAAAAATAHAAAACDMvNy8yMDI2CAAAAAoxMi8zMS8yMDIzCQAAAAEw+IS+JP+B3giPEiUo/4HeCDxDSVEuTllTRTpJQk0uSVFfRklOX0RJVl9MT0FOU19DVVJSRU5ULjk5OS4wNy8wMy8yMDI2Li4uVVNELkgBAAAA3rYBAAIAAAAENjI1OQEIAAAABQAAAAExAQAAAAstMTkwNDg2MDc0MwMAAAADMTYwAgAAAAQxMDMyBAAAAAEwBwAAAAgzLzcvMjAyNggAAAAKMTIvMzEvMjAyNAkAAAABMPiEviT/gd4IjxIlKP+B3ggyQ0lRLk5ZU0U6SUJNLklRX1BSRVBBSURfRVhQLjk5My4wNy8wMy8yMDI2Li4uVVNELkgBAAAA3rYBAAIAAAAEMTUyMwEIAAAABQAAAAExAQAAAAoyMDgxNTA1NDAxAwAAAAMxNjACAAAABDEyMTIEAAAA</t>
  </si>
  <si>
    <t>ATAHAAAACDMvNy8yMDI2CAAAAAoxMi8zMS8yMDE4CQAAAAEw+IS+JP+B3giPEiUo/4HeCEpDSVEuTllTRTpJQk0uSVFfTElRVUlEQVRJT05fVkFMVUVfUFJFRkVSUkVEX1JFREVFTS4xMDAwLjA3LzAzLzIwMjYuLi5VU0QuSAEAAADetgEAAwAAAAAA+IS+JP+B3ghExCQo/4HeCDtDSVEuTllTRTpJQk0uSVFfTUlOT1JJVFlfSU5UX1JFREVFTS4xMDAwLjA3LzAzLzIwMjYuLi5VU0QuSAEAAADetgEAAwAAAAAA+IS+JP+B3ghV6yQo/4HeCCtDSVEuTllTRTpJQk0uSVFfTEFORC45OTIuMDcvMDMvMjAyNi4uLlVTRC5IAQAAAN62AQACAAAAAzQ4MAEIAAAABQAAAAExAQAAAAoyMDE3MTY0MjQ0AwAAAAMxNjACAAAABDMwOTgEAAAAATAHAAAACDMvNy8yMDI2CAAAAAoxMi8zMS8yMDE3CQAAAAEw+IS+JP+B3ghV6yQo/4HeCDdDSVEuTllTRTpJQk0uSVFfRklOX0RJVl9MT0FOU19MVC45OTYuMDcvMDMvMjAyNi4uLlVTRC5IAQAAAN62AQACAAAABDU0MjUBCAAAAAUAAAABMQEAAAALLTIwMDg2NDcxOTgDAAAAAzE2MAIAAAAEMTAzMwQAAAABMAcAAAAIMy83LzIwMjYIAAAACjEyLzMxLzIwMjEJAAAAATD4hL4k/4HeCFXrJCj/gd4ILENJUS5OWVNFOklCTS5JUV9OUFBFLjEwMDAuMDcvMDMvMjAyNi4uLlVTRC5IAQAAAN62AQACAAAABDkwMjgBCAAAAAUAAAABMQEAAAALLTE5MDQ4NjA3NDADAAAAAzE2MAIAAAAE</t>
  </si>
  <si>
    <t>MTAwNAQAAAABMAcAAAAIMy83LzIwMjYIAAAACjEyLzMxLzIwMjUJAAAAATD4hL4k/4HeCFXrJCj/gd4IKUNJUS5OWVNFOklCTS5JUV9BRC45OTUuMDcvMDMvMjAyNi4uLlVTRC5IAQAAAN62AQACAAAABi0xMzg5NgEIAAAABQAAAAExAQAAAAstMjA1OTA3MzIwMgMAAAADMTYwAgAAAAQxMDc1BAAAAAEwBwAAAAgzLzcvMjAyNggAAAAKMTIvMzEvMjAyMAkAAAABMPiEviT/gd4IRMQkKP+B3gg2Q0lRLk5ZU0U6SUJNLklRX1JFU1RSSUNURURfQ0FTSC45OTcuMDcvMDMvMjAyNi4uLlVTRC5IAQAAAN62AQACAAAAAzEwMwEIAAAABQAAAAExAQAAAAstMTk1ODI4MTA5NgMAAAADMTYwAgAAAAQxMTA0BAAAAAEwBwAAAAgzLzcvMjAyNggAAAAKMTIvMzEvMjAyMgkAAAABMPiEviT/gd4IRMQkKP+B3gg1Q0lRLk5ZU0U6SUJNLklRX0xPQU5TX0ZPUl9TQUxFLjk5My4wNy8wMy8yMDI2Li4uVVNELkgBAAAA3rYBAAMAAAAAAPiEviT/gd4IRMQkKP+B3gg6Q0lRLk5ZU0U6SUJNLklRX0NVUlJFTlRfUE9SVF9MRUFTRVMuOTkzLjA3LzAzLzIwMjYuLi5VU0QuSAEAAADetgEAAgAAAAEzAQgAAAAFAAAAATEBAAAACjIwODE1MDU0MDEDAAAAAzE2MAIAAAAEMTA5MAQAAAABMAcAAAAIMy83LzIwMjYIAAAACjEyLzMxLzIwMTgJAAAAATD4hL4k/4HeCETEJCj/gd4IL0NJUS5OWVNFOklCTS5JUV9TVF9ERUJULjEwMDAuMDcv</t>
  </si>
  <si>
    <t>MDMvMjAyNi4uLlVTRC5IAQAAAN62AQADAAAAAAD4hL4k/4HeCETEJCj/gd4IKUNJUS5OWVNFOklCTS5JUV9BUC45OTguMDcvMDMvMjAyNi4uLlVTRC5IAQAAAN62AQACAAAABDQxMzIBCAAAAAUAAAABMQEAAAALLTE5MDQ4NjA3NDQDAAAAAzE2MAIAAAAEMTAxOAQAAAABMAcAAAAIMy83LzIwMjYIAAAACjEyLzMxLzIwMjMJAAAAATD4hL4k/4HeCDSdJCj/gd4INkNJUS5OWVNFOklCTS5JUV9PVEhFUl9MVF9BU1NFVFMuOTk1LjA3LzAzLzIwMjYuLi5VU0QuSAEAAADetgEAAgAAAAUyMjY3NQEIAAAABQAAAAExAQAAAAstMjA1OTA3MzIwMgMAAAADMTYwAgAAAAQxMDYwBAAAAAEwBwAAAAgzLzcvMjAyNggAAAAKMTIvMzEvMjAyMAkAAAABMPiEviT/gd4INJ0kKP+B3ggsQ0lRLk5ZU0U6SUJNLklRX0FSX0xULjk5OS4wNy8wMy8yMDI2Li4uVVNELkgBAAAA3rYBAAMAAAAAAPiEviT/gd4INJ0kKP+B3gguQ0lRLk5ZU0U6SUJNLklRX1BFTlNJT04uOTk2LjA3LzAzLzIwMjYuLi5VU0QuSAEAAADetgEAAgAAAAUxNDQzNQEIAAAABQAAAAExAQAAAAstMjAwODY0NzE5OAMAAAADMTYwAgAAAAQxMjEzBAAAAAEwBwAAAAgzLzcvMjAyNggAAAAKMTIvMzEvMjAyMQkAAAABMPiEviT/gd4IRMQkKP+B3gg4Q0lRLk5ZU0U6SUJNLklRX0xPTkdfVEVSTV9MRUFTRVMuMTAwMC4wNy8wMy8yMDI2Li4uVVNELkgBAAAA3rYB</t>
  </si>
  <si>
    <t>AAIAAAAEMzQyMQEIAAAABQAAAAExAQAAAAstMTkwNDg2MDc0MAMAAAADMTYwAgAAAAQxMTgzBAAAAAEwBwAAAAgzLzcvMjAyNggAAAAKMTIvMzEvMjAyNQkAAAABMPiEviT/gd4IRMQkKP+B3gguQ0lRLk5ZU0U6SUJNLklRX0xUX0RFQlQuOTk1LjA3LzAzLzIwMjYuLi5VU0QuSAEAAADetgEAAgAAAAU1NDE1NwEIAAAABQAAAAExAQAAAAstMjA1OTA3MzIwMgMAAAADMTYwAgAAAAQxMDQ5BAAAAAEwBwAAAAgzLzcvMjAyNggAAAAKMTIvMzEvMjAyMAkAAAABMPiEviT/gd4INJ0kKP+B3gg1Q0lRLk5ZU0U6SUJNLklRX09USEVSX0NMX1NVUFBMLjk5Mi4wNy8wMy8yMDI2Li4uVVNELkgBAAAA3rYBAAIAAAADNDAzAQgAAAAFAAAAATEBAAAACjIwMTcxNjQyNDQDAAAAAzE2MAIAAAAEMTA1NwQAAAABMAcAAAAIMy83LzIwMjYIAAAACjEyLzMxLzIwMTcJAAAAATD4hL4k/4HeCDSdJCj/gd4IO0NJUS5OWVNFOklCTS5JUV9GSU5fRElWX0xJQUJfQ1VSUkVOVC45OTYuMDcvMDMvMjAyNi4uLlVTRC5IAQAAAN62AQADAAAAAAD4hL4k/4HeCDSdJCj/gd4IMENJUS5OWVNFOklCTS5JUV9UUkVBU1VSWS4xMDAwLjA3LzAzLzIwMjYuLi5VU0QuSAEAAADetgEAAgAAAActMTcwNjA1AQgAAAAFAAAAATEBAAAACy0xOTA0ODYwNzQwAwAAAAMxNjACAAAABDEyNDgEAAAAATAHAAAACDMvNy8yMDI2CAAAAAoxMi8zMS8yMDI1</t>
  </si>
  <si>
    <t>CQAAAAEw+IS+JP+B3gg0nSQo/4HeCCtDSVEuTllTRTpJQk0uSVFfQVBJQy45OTguMDcvMDMvMjAyNi4uLlVTRC5IAQAAAN62AQADAAAAAAD4hL4k/4HeCDSdJCj/gd4IMkNJUS5OWVNFOklCTS5JUV9QUkVGX0VRVUlUWS45OTYuMDcvMDMvMjAyNi4uLlVTRC5IAQAAAN62AQADAAAAAAD4hL4k/4HeCCR2JCj/gd4IM0NJUS5OWVNFOklCTS5JUV9QUkVGX0NPTlZFUlQuOTk1LjA3LzAzLzIwMjYuLi5VU0QuSAEAAADetgEAAwAAAAAA+IS+JP+B3ggkdiQo/4HeCDRDSVEuTllTRTpJQk0uSVFfT1RIRVJfTElBQl9MVC45OTkuMDcvMDMvMjAyNi4uLlVTRC5IAQAAAN62AQACAAAABTEwMjMyAQgAAAAFAAAAATEBAAAACy0xOTA0ODYwNzQzAwAAAAMxNjACAAAABDEwNjIEAAAAATAHAAAACDMvNy8yMDI2CAAAAAoxMi8zMS8yMDI0CQAAAAEw+IS+JP+B3ggkdiQo/4HeCD1DSVEuTllTRTpJQk0uSVFfRklOQU5DRV9MRUFTRVNfQ1VSUkVOVC45OTguMDcvMDMvMjAyNi4uLlVTRC5IAQAAAN62AQACAAAAAzEyMQEIAAAABQAAAAExAQAAAAstMTkwNDg2MDc0NAMAAAADMTYwAgAAAAU0ODk5MAQAAAABMAcAAAAIMy83LzIwMjYIAAAACjEyLzMxLzIwMjMJAAAAATD4hL4k/4HeCCR2JCj/gd4IOkNJUS5OWVNFOklCTS5JUV9BRF9FWENMX09QRVJfTEVBU0VTLjk5NC4wNy8wMy8yMDI2Li4uVVNELkgBAAAA3rYBAAIAAAAG</t>
  </si>
  <si>
    <t>LTIyMDE4AQgAAAAFAAAAATEBAAAACy0yMTEwNzY5MzU1AwAAAAMxNjACAAAABTQ4OTc1BAAAAAEwBwAAAAgzLzcvMjAyNggAAAAKMTIvMzEvMjAxOQkAAAABMPiEviT/gd4IJHYkKP+B3ghEQ0lRLk5ZU0U6SUJNLklRX1JVQV9PUEVSQVRJTkdfTEVBU0VfQUNDVU1fREVQLjk5OS4wNy8wMy8yMDI2Li4uVVNELkgBAAAA3rYBAAMAAAAAAPiEviT/gd4IE08kKP+B3gg8Q0lRLk5ZU0U6SUJNLklRX1JVQV9DQVBJVEFMX0xFQVNFX05FVC45OTkuMDcvMDMvMjAyNi4uLlVTRC5IAQAAAN62AQADAAAAAAD4hL4k/4HeCBNPJCj/gd4IO0NJUS5OWVNFOklCTS5JUV9UT1RBTF9DT01NT05fRVFVSVRZLjEwMDAuMDcvMDMvMjAyNi4uLlVTRC5IAQAAAN62AQACAAAABTMyNjQ4AQgAAAAFAAAAATEBAAAACy0xOTA0ODYwNzQwAwAAAAMxNjACAAAABDEwMDYEAAAAATAHAAAACDMvNy8yMDI2CAAAAAoxMi8zMS8yMDI1CQAAAAEw+IS+JP+B3ggTTyQo/4HeCDFDSVEuTllTRTpJQk0uSVFfQ0FTSF9TSEFSRS45OTIuMDcvMDMvMjAyNi4uLlVTRC5IAQAAAN62AQACAAAACTEyLjk4MjI5MgEIAAAABQAAAAExAQAAAAoyMDE3MTY0MjQ0AwAAAAMxNjACAAAABDQzODEEAAAAATAHAAAACDMvNy8yMDI2CAAAAAoxMi8zMS8yMDE3CQAAAAEw+IS+JP+B3ggkdiQo/4HeCDBDSVEuTllTRTpJQk0uSVFfVEJWX1NIQVJFLjk5NC4wNy8w</t>
  </si>
  <si>
    <t>My8yMDI2Li4uVVNELkgBAAAA3rYBAAIAAAAKLTU5LjMxMTY2NwEIAAAABQAAAAExAQAAAAstMjExMDc2OTM1NQMAAAADMTYwAgAAAAQ0MTU2BAAAAAEwBwAAAAgzLzcvMjAyNggAAAAKMTIvMzEvMjAxOQkAAAABMPiEviT/gd4IJHYkKP+B3ghTQ0lRLk5ZU0U6SUJNLklRX0ZJTkFOQ0lOR19PQkxJR19OT05fQ1VSUkVOVF9FWENMX09QRVJfTEVBU0VTLjk5Ni4wNy8wMy8yMDI2Li4uVVNELkgBAAAA3rYBAAIAAAAFNDQ5MTcBCAAAAAUAAAABMQEAAAALLTIwMDg2NDcxOTgDAAAAAzE2MAIAAAAFNDg5ODEEAAAAATAHAAAACDMvNy8yMDI2CAAAAAoxMi8zMS8yMDIxCQAAAAEw+IS+JP+B3ggTTyQo/4HeCDNDSVEuTllTRTpJQk0uSVFfVE9UQUxfTEVBU0VTLjk5Mi4wNy8wMy8yMDI2Li4uVVNELkgBAAAA3rYBAAMAAAAAAPiEviT/gd4IE08kKP+B3ghNQ0lRLk5ZU0U6SUJNLklRX0NVUlJFTlRfUE9SVElPTl9PUEVSX0xFQVNFX0xJQUJJTElUSUVTLjk5Mi4wNy8wMy8yMDI2Li4uVVNELkgBAAAA3rYBAAMAAAAAAPiEviT/gd4IE08kKP+B3gg2Q0lRLk5ZU0U6SUJNLklRX09USEVSX0xUX0FTU0VUUy45OTQuMDcvMDMvMjAyNi4uLlVTRC5IAQAAAN62AQACAAAABDg3MTUBCAAAAAUAAAABMQEAAAALLTIxMTA3NjkzNTUDAAAAAzE2MAIAAAAEMTA2MAQAAAABMAcAAAAIMy83LzIwMjYIAAAACjEyLzMxLzIwMTkJ</t>
  </si>
  <si>
    <t>AAAAATD4hL4k/4HeCBNPJCj/gd4ISUNJUS5OWVNFOklCTS5JUV9MSVFVSURBVElPTl9WQUxVRV9QUkVGRVJSRURfUkVERUVNLjk5OC4wNy8wMy8yMDI2Li4uVVNELkgBAAAA3rYBAAMAAAAAAPiEviT/gd4IE08kKP+B3ghCQ0lRLk5ZU0U6SUJNLklRX0ZJTl9ESVZfTUlOT1JJVFlfSU5UX1JFREVFTS45OTUuMDcvMDMvMjAyNi4uLlVTRC5IAQAAAN62AQADAAAAAAD4hL4k/4HeCAQoJCj/gd4IMkNJUS5OWVNFOklCTS5JUV9XT1JLSU5HX0NBUC45OTUuMDcvMDMvMjAyNi4uLlVTRC5IAQAAAN62AQACAAAABC03MDQBCAAAAAUAAAABMQEAAAALLTIwNTkwNzMyMDIDAAAAAzE2MAIAAAAENDE2NQQAAAABMAcAAAAIMy83LzIwMjYIAAAACjEyLzMxLzIwMjAJAAAAATD4hL4k/4HeCAQoJCj/gd4IPUNJUS5OWVNFOklCTS5JUV9UT1RBTF9ERUJUX05PTl9DVVJSRU5ULjk5OS4wNy8wMy8yMDI2Li4uVVNELkgBAAAA3rYBAAIAAAAFNTI1MzkBCAAAAAUAAAABMQEAAAALLTE5MDQ4NjA3NDMDAAAAAzE2MAIAAAAFMjUyMjQEAAAAATAHAAAACDMvNy8yMDI2CAAAAAoxMi8zMS8yMDI0CQAAAAEw+IS+JP+B3ggEKCQo/4HeCDlDSVEuTllTRTpJQk0uSVFfVU5FQVJOX1JFVl9DVVJSRU5ULjk5OC4wNy8wMy8yMDI2Li4uVVNELkgBAAAA3rYBAAIAAAAFMTM0NTEBCAAAAAUAAAABMQEAAAALLTE5MDQ4NjA3NDQDAAAAAzE2</t>
  </si>
  <si>
    <t>MAIAAAAEMTA3NAQAAAABMAcAAAAIMy83LzIwMjYIAAAACjEyLzMxLzIwMjMJAAAAATD4hL4k/4HeCAQoJCj/gd4IO0NJUS5OWVNFOklCTS5JUV9GSU5fRElWX0xJQUJfQ1VSUkVOVC45OTUuMDcvMDMvMjAyNi4uLlVTRC5IAQAAAN62AQADAAAAAAD4hL4k/4HeCAQoJCj/gd4IOkNJUS5OWVNFOklCTS5JUV9DVVJSRU5UX1BPUlRfTEVBU0VTLjk5Mi4wNy8wMy8yMDI2Li4uVVNELkgBAAAA3rYBAAMAAAAAAPiEviT/gd4I+AAkKP+B3gguQ0lRLk5ZU0U6SUJNLklRX1NUX0RFQlQuOTk5LjA3LzAzLzIwMjYuLi5VU0QuSAEAAADetgEAAgAAAAIzMAEIAAAABQAAAAExAQAAAAstMTkwNDg2MDc0MwMAAAADMTYwAgAAAAQxMDQ2BAAAAAEwBwAAAAgzLzcvMjAyNggAAAAKMTIvMzEvMjAyNAkAAAABMPiEviT/gd4I+AAkKP+B3ggpQ0lRLk5ZU0U6SUJNLklRX0FQLjk5Ni4wNy8wMy8yMDI2Li4uVVNELkgBAAAA3rYBAAIAAAAEMzk1NQEIAAAABQAAAAExAQAAAAstMjAwODY0NzE5OAMAAAADMTYwAgAAAAQxMDE4BAAAAAEwBwAAAAgzLzcvMjAyNggAAAAKMTIvMzEvMjAyMQkAAAABMPiEviT/gd4IBCgkKP+B3ggzQ0lRLk5ZU0U6SUJNLklRX1BSRUZfQ09OVkVSVC45OTQuMDcvMDMvMjAyNi4uLlVTRC5IAQAAAN62AQADAAAAAAD4hL4k/4HeCAQoJCj/gd4INENJUS5OWVNFOklCTS5JUV9PVEhFUl9MSUFCX0xULjk5</t>
  </si>
  <si>
    <t>OC4wNy8wMy8yMDI2Li4uVVNELkgBAAAA3rYBAAIAAAAFMTAzMzABCAAAAAUAAAABMQEAAAALLTE5MDQ4NjA3NDQDAAAAAzE2MAIAAAAEMTA2MgQAAAABMAcAAAAIMy83LzIwMjYIAAAACjEyLzMxLzIwMjMJAAAAATD4hL4k/4HeCAQoJCj/gd4INkNJUS5OWVNFOklCTS5JUV9ERUZfVEFYX0xJQUJfTFQuOTkzLjA3LzAzLzIwMjYuLi5VU0QuSAEAAADetgEAAgAAAAQzNjk2AQgAAAAFAAAAATEBAAAACjIwODE1MDU0MDEDAAAAAzE2MAIAAAAEMTAyNwQAAAABMAcAAAAIMy83LzIwMjYIAAAACjEyLzMxLzIwMTgJAAAAATD4hL4k/4HeCPgAJCj/gd4IN0NJUS5OWVNFOklCTS5JUV9MT05HX1RFUk1fTEVBU0VTLjk5OS4wNy8wMy8yMDI2Li4uVVNELkgBAAAA3rYBAAIAAAAEMzQ1OAEIAAAABQAAAAExAQAAAAstMTkwNDg2MDc0MwMAAAADMTYwAgAAAAQxMTgzBAAAAAEwBwAAAAgzLzcvMjAyNggAAAAKMTIvMzEvMjAyNAkAAAABMPiEviT/gd4I+AAkKP+B3gguQ0lRLk5ZU0U6SUJNLklRX0xUX0RFQlQuOTk0LjA3LzAzLzIwMjYuLi5VU0QuSAEAAADetgEAAgAAAAU1Mzk1MQEIAAAABQAAAAExAQAAAAstMjExMDc2OTM1NQMAAAADMTYwAgAAAAQxMDQ5BAAAAAEwBwAAAAgzLzcvMjAyNggAAAAKMTIvMzEvMjAxOQkAAAABMPiEviT/gd4I+AAkKP+B3gg0Q0lRLk5ZU0U6SUJNLklRX1RPVEFMX0VRVUlUWS4xMDAw</t>
  </si>
  <si>
    <t>LjA3LzAzLzIwMjYuLi5VU0QuSAEAAADetgEAAgAAAAUzMjc0MQEIAAAABQAAAAExAQAAAAstMTkwNDg2MDc0MAMAAAADMTYwAgAAAAQxMjc1BAAAAAEwBwAAAAgzLzcvMjAyNggAAAAKMTIvMzEvMjAyNQkAAAABMPiEviT/gd4I+AAkKP+B3gg6Q0lRLk5ZU0U6SUJNLklRX1RPVEFMX0NPTU1PTl9FUVVJVFkuOTk5LjA3LzAzLzIwMjYuLi5VU0QuSAEAAADetgEAAgAAAAUyNzMwNwEIAAAABQAAAAExAQAAAAstMTkwNDg2MDc0MwMAAAADMTYwAgAAAAQxMDA2BAAAAAEwBwAAAAgzLzcvMjAyNggAAAAKMTIvMzEvMjAyNAkAAAABMPiEviT/gd4I+AAkKP+B3ggvQ0lRLk5ZU0U6SUJNLklRX1RSRUFTVVJZLjk5OS4wNy8wMy8yMDI2Li4uVVNELkgBAAAA3rYBAAIAAAAHLTE2OTk2OAEIAAAABQAAAAExAQAAAAstMTkwNDg2MDc0MwMAAAADMTYwAgAAAAQxMjQ4BAAAAAEwBwAAAAgzLzcvMjAyNggAAAAKMTIvMzEvMjAyNAkAAAABMPiEviT/gd4IrdkjKP+B3ggrQ0lRLk5ZU0U6SUJNLklRX0FQSUMuOTk3LjA3LzAzLzIwMjYuLi5VU0QuSAEAAADetgEAAwAAAAAA+IS+JP+B3git2SMo/4HeCDJDSVEuTllTRTpJQk0uSVFfUFJFRl9FUVVJVFkuOTk1LjA3LzAzLzIwMjYuLi5VU0QuSAEAAADetgEAAwAAAAAA+IS+JP+B3git2SMo/4HeCFNDSVEuTllTRTpJQk0uSVFfRklOQU5DSU5HX09CTElHX05PTl9DVVJSRU5U</t>
  </si>
  <si>
    <t>X0VYQ0xfT1BFUl9MRUFTRVMuOTk1LjA3LzAzLzIwMjYuLi5VU0QuSAEAAADetgEAAgAAAAU1NDIxNwEIAAAABQAAAAExAQAAAAstMjA1OTA3MzIwMgMAAAADMTYwAgAAAAU0ODk4MQQAAAABMAcAAAAIMy83LzIwMjYIAAAACjEyLzMxLzIwMjAJAAAAATD4hL4k/4HeCK3ZIyj/gd4IPUNJUS5OWVNFOklCTS5JUV9GSU5BTkNFX0xFQVNFU19DVVJSRU5ULjk5Ny4wNy8wMy8yMDI2Li4uVVNELkgBAAAA3rYBAAIAAAACNzUBCAAAAAUAAAABMQEAAAALLTE5NTgyODEwOTYDAAAAAzE2MAIAAAAFNDg5OTAEAAAAATAHAAAACDMvNy8yMDI2CAAAAAoxMi8zMS8yMDIyCQAAAAEw+IS+JP+B3gj4ACQo/4HeCDpDSVEuTllTRTpJQk0uSVFfQURfRVhDTF9PUEVSX0xFQVNFUy45OTMuMDcvMDMvMjAyNi4uLlVTRC5IAQAAAN62AQACAAAABi0yMTY2OAEIAAAABQAAAAExAQAAAAoyMDgxNTA1NDAxAwAAAAMxNjACAAAABTQ4OTc1BAAAAAEwBwAAAAgzLzcvMjAyNggAAAAKMTIvMzEvMjAxOAkAAAABMPiEviT/gd4IOZkjKP+B3ghEQ0lRLk5ZU0U6SUJNLklRX1JVQV9PUEVSQVRJTkdfTEVBU0VfQUNDVU1fREVQLjk5OC4wNy8wMy8yMDI2Li4uVVNELkgBAAAA3rYBAAMAAAAAAPiEviT/gd4IOZkjKP+B3gg8Q0lRLk5ZU0U6SUJNLklRX1JVQV9DQVBJVEFMX0xFQVNFX05FVC45OTguMDcvMDMvMjAyNi4uLlVTRC5IAQAAAN62</t>
  </si>
  <si>
    <t>AQADAAAAAAD4hL4k/4HeCK3ZIyj/gd4IPkNJUS5OWVNFOklCTS5JUV9NSU5PUklUWV9JTlRfUkVERUVNX1RPVC45OTguMDcvMDMvMjAyNi4uLlVTRC5IAQAAAN62AQADAAAAAAD4hL4k/4HeCK3ZIyj/gd4ILENJUS5OWVNFOklCTS5JUV9MQU5ELjEwMDAuMDcvMDMvMjAyNi4uLlVTRC5IAQAAAN62AQACAAAAAzE4MgEIAAAABQAAAAExAQAAAAstMTkwNDg2MDc0MAMAAAADMTYwAgAAAAQzMDk4BAAAAAEwBwAAAAgzLzcvMjAyNggAAAAKMTIvMzEvMjAyNQkAAAABMPiEviT/gd4IrdkjKP+B3ggyQ0lRLk5ZU0U6SUJNLklRX1dPUktJTkdfQ0FQLjk5NC4wNy8wMy8yMDI2Li4uVVNELkgBAAAA3rYBAAIAAAADNzE5AQgAAAAFAAAAATEBAAAACy0yMTEwNzY5MzU1AwAAAAMxNjACAAAABDQxNjUEAAAAATAHAAAACDMvNy8yMDI2CAAAAAoxMi8zMS8yMDE5CQAAAAEw+IS+JP+B3gg5mSMo/4HeCD1DSVEuTllTRTpJQk0uSVFfVE9UQUxfREVCVF9OT05fQ1VSUkVOVC45OTguMDcvMDMvMjAyNi4uLlVTRC5IAQAAAN62AQACAAAABTUyNjg5AQgAAAAFAAAAATEBAAAACy0xOTA0ODYwNzQ0AwAAAAMxNjACAAAABTI1MjI0BAAAAAEwBwAAAAgzLzcvMjAyNggAAAAKMTIvMzEvMjAyMwkAAAABMPiEviT/gd4IOZkjKP+B3ggwQ0lRLk5ZU0U6SUJNLklRX1RCVl9TSEFSRS45OTIuMDcvMDMvMjAyNi4uLlVTRC5IAQAAAN62</t>
  </si>
  <si>
    <t>AQACAAAACi0yNC44NzE1MjEBCAAAAAUAAAABMQEAAAAKMjAxNzE2NDI0NAMAAAADMTYwAgAAAAQ0MTU2BAAAAAEwBwAAAAgzLzcvMjAyNggAAAAKMTIvMzEvMjAxNwkAAAABMPiEviT/gd4IOZkjKP+B3gg8Q0lRLk5ZU0U6SUJNLklRX1JFU1RSSUNURURfQ0FTSF9UT1RBTC45OTIuMDcvMDMvMjAyNi4uLlVTRC5IAQAAAN62AQACAAAAAzI2MgEIAAAABQAAAAExAQAAAAoyMDE3MTY0MjQ0AwAAAAMxNjACAAAABTI0MTkyBAAAAAEwBwAAAAgzLzcvMjAyNggAAAAKMTIvMzEvMjAxNwkAAAABMPiEviT/gd4IOZkjKP+B3gg5Q0lRLk5ZU0U6SUJNLklRX0RFQlRfRVFVSVZfTkVUX1BCTy45OTQuMDcvMDMvMjAyNi4uLlVTRC5IAQAAAN62AQACAAAABDY0NTMBCAAAAAUAAAABMQEAAAALLTIxMTA3NjkzNTUDAAAAAzE2MAIAAAAFMjE2NzkEAAAAATAHAAAACDMvNy8yMDI2CAAAAAoxMi8zMS8yMDE5CQAAAAEw+IS+JP+B3gg5mSMo/4HeCDpDSVEuTllTRTpJQk0uSVFfRklOX0RJVl9DQVNIX0VRVUlWLjEwMDAuMDcvMDMvMjAyNi4uLlVTRC5IAQAAAN62AQADAAAAAAD4hL4k/4HeCDmZIyj/gd4IPENJUS5OWVNFOklCTS5JUV9GSU5fRElWX1NUX0RFQlRfVE9UQUwuOTk2LjA3LzAzLzIwMjYuLi5VU0QuSAEAAADetgEAAwAAAAAA+IS+JP+B3gg5mSMo/4HeCElDSVEuTllTRTpJQk0uSVFfTElRVUlEQVRJT05fVkFM</t>
  </si>
  <si>
    <t>VUVfUFJFRkVSUkVEX1JFREVFTS45OTYuMDcvMDMvMjAyNi4uLlVTRC5IAQAAAN62AQADAAAAAAD4hL4k/4HeCDmZIyj/gd4IQUNJUS5OWVNFOklCTS5JUV9ERVJJVkFUSVZFX1RSQURJTkdfQVNTRVRTLjEwMDAuMDcvMDMvMjAyNi4uLlVTRC5IAQAAAN62AQADAAAAAAD4hL4k/4HeCDmZIyj/gd4IQkNJUS5OWVNFOklCTS5JUV9ERVJJVkFUSVZFX0xJQUJfTk9OX0NVUlJFTlQuOTk0LjA3LzAzLzIwMjYuLi5VU0QuSAEAAADetgEAAgAAAAM1MDYBCAAAAAUAAAABMQEAAAALLTIxMTA3NjkzNTUDAAAAAzE2MAIAAAAFNDA0MTkEAAAAATAHAAAACDMvNy8yMDI2CAAAAAoxMi8zMS8yMDE5CQAAAAEw+IS+JP+B3gg5mSMo/4HeCDtDSVEuTllTRTpJQk0uSVFfTFRfREVCVF9ERVJJVkFUSVZFUy4xMDAwLjA3LzAzLzIwMjYuLi5VU0QuSAEAAADetgEAAwAAAAAA+IS+JP+B3gguciMo/4HeCDpDSVEuTllTRTpJQk0uSVFfU1RfREVCVF9ERVJJVkFUSVZFUy45OTYuMDcvMDMvMjAyNi4uLlVTRC5IAQAAAN62AQADAAAAAAD4hL4k/4HeCC5yIyj/gd4IOkNJUS5OWVNFOklCTS5JUV9UT1RBTF9ERUJUX0VYQ0xfRklOLjk5OC4wNy8wMy8yMDI2Li4uVVNELkgBAAAA3rYBAAIAAAAFNTk5MzUBCAAAAAUAAAABMQEAAAALLTE5MDQ4NjA3NDQDAAAAAzE2MAIAAAAFMjE4NjAEAAAAATAHAAAACDMvNy8yMDI2CAAAAAoxMi8z</t>
  </si>
  <si>
    <t>MS8yMDIzCQAAAAEw+IS+JP+B3gguciMo/4HeCDtDSVEuTllTRTpJQk0uSVFfSU5URVJDT01QQU5ZX05PTl9DQS4xMDAwLjA3LzAzLzIwMjYuLi5VU0QuSAEAAADetgEAAwAAAAAA+IS+JP+B3gguciMo/4HeCDZDSVEuTllTRTpJQk0uSVFfSU5URVJDT01QQU5ZX0NBLjk5NC4wNy8wMy8yMDI2Li4uVVNELkgBAAAA3rYBAAMAAAAAAPiEviT/gd4IOZkjKP+B3gg8Q0lRLk5ZU0U6SUJNLklRX0FEVkFOQ0VTX0ZPUl9TVVBQTElFUy45OTYuMDcvMDMvMjAyNi4uLlVTRC5IAQAAAN62AQADAAAAAAD4hL4k/4HeCOBKIyj/gd4IP0NJUS5OWVNFOklCTS5JUV9BQ0NVTV9BTU9SVF9JTlRBTl9BU1NFVFMuOTk4LjA3LzAzLzIwMjYuLi5VU0QuSAEAAADetgEAAgAAAAUtNjQ2NgEIAAAABQAAAAExAQAAAAstMTkwNDg2MDc0NAMAAAADMTYwAgAAAAUyNDMzMQQAAAABMAcAAAAIMy83LzIwMjYIAAAACjEyLzMxLzIwMjMJAAAAATD4hL4k/4HeCC5yIyj/gd4IOUNJUS5OWVNFOklCTS5JUV9HUk9TU19JTlRBTl9BU1NFVFMuOTkyLjA3LzAzLzIwMjYuLi5VU0QuSAEAAADetgEAAgAAAAQ1NjYwAQgAAAAFAAAAATEBAAAACjIwMTcxNjQyNDQDAAAAAzE2MAIAAAAFMjQyOTMEAAAAATAHAAAACDMvNy8yMDI2CAAAAAoxMi8zMS8yMDE3CQAAAAEw+IS+JP+B3gguciMo/4HeCEhDSVEuTllTRTpJQk0uSVFfR0VORVJBTF9QQVJU</t>
  </si>
  <si>
    <t>TkVSX01JTk9SSVRZX0lOVEVSRVNULjk5OS4wNy8wMy8yMDI2Li4uVVNELkgBAAAA3rYBAAMAAAAAAPiEviT/gd4ILnIjKP+B3ghCQ0lRLk5ZU0U6SUJNLklRX0dFTkVSQUxfUEFSVE5FUl9QUkVGX0VRVUlUWS45OTMuMDcvMDMvMjAyNi4uLlVTRC5IAQAAAN62AQADAAAAAAD4hL4k/4HeCC5yIyj/gd4IQkNJUS5OWVNFOklCTS5JUV9ERUZfVEFYX1ZBTFVBVElPTl9BTExPV0FOQ0UuOTk5LjA3LzAzLzIwMjYuLi5VU0QuSAEAAADetgEAAgAAAAQxMjIzAQgAAAAFAAAAATEBAAAACy0xOTA0ODYwNzQzAwAAAAMxNjACAAAABTQ2MDQ1BAAAAAEwBwAAAAgzLzcvMjAyNggAAAAKMTIvMzEvMjAyNAkAAAABMPiEviT/gd4I4EojKP+B3gg+Q0lRLk5ZU0U6SUJNLklRX01JTk9SSVRZX0lOVF9SRURFRU1fVE9ULjk5NS4wNy8wMy8yMDI2Li4uVVNELkgBAAAA3rYBAAMAAAAAAPiEviT/gd4I4EojKP+B3gg5Q0lRLk5ZU0U6SUJNLklRX1RPVEFMX1JFVl9FTVBMT1lFRS45OTguMDcvMDMvMjAyNi4uLlVTRC5IAQAAAN62AQACAAAABzIxOS4yMDYBCAAAAAUAAAABMQEAAAALLTE5MDQ4NjA3NDQDAAAAAzE2MAIAAAAENDEyMwQAAAABMAcAAAAIMy83LzIwMjYIAAAACjEyLzMxLzIwMjMJAAAAATD4hL4k/4HeCOBKIyj/gd4IOUNJUS5OWVNFOklCTS5JUV9GSU5fRElWX0RFQlRfVE9UQUwuOTkzLjA3LzAzLzIwMjYuLi5V</t>
  </si>
  <si>
    <t>U0QuSAEAAADetgEAAgAAAAUzMTIyNwEIAAAABQAAAAExAQAAAAoyMDgxNTA1NDAxAwAAAAMxNjACAAAABTI0NTE2BAAAAAEwBwAAAAgzLzcvMjAyNggAAAAKMTIvMzEvMjAxOAkAAAABMPiEviT/gd4I4EojKP+B3ghMQ0lRLk5ZU0U6SUJNLklRX0xJQUJJTElUSUVTX05FVFRJTkdfT1RIRVJfQURKVVNUTUVOVFMuOTk5LjA3LzAzLzIwMjYuLi5VU0QuSAEAAADetgEAAwAAAAAA+IS+JP+B3gjgSiMo/4HeCDpDSVEuTllTRTpJQk0uSVFfTElBQklMSVRJRVNfTEVWRUxfMy45OTMuMDcvMDMvMjAyNi4uLlVTRC5IAQAAAN62AQADAAAAAAD4hL4k/4HeCBoQIyj/gd4IR0NJUS5OWVNFOklCTS5JUV9BU1NFVFNfTkVUVElOR19PVEhFUl9BREpVU1RNRU5UUy45OTUuMDcvMDMvMjAyNi4uLlVTRC5IAQAAAN62AQADAAAAAAD4hL4k/4HeCBoQIyj/gd4ISUNJUS5OWVNFOklCTS5JUV9MSVFVSURBVElPTl9WQUxVRV9QUkVGRVJSRURfUkVERUVNLjk5Ny4wNy8wMy8yMDI2Li4uVVNELkgBAAAA3rYBAAMAAAAAAPiEviT/gd4IGhAjKP+B3gg6Q0lRLk5ZU0U6SUJNLklRX0xUX0RFQlRfREVSSVZBVElWRVMuOTk5LjA3LzAzLzIwMjYuLi5VU0QuSAEAAADetgEAAwAAAAAA+IS+JP+B3gjgSiMo/4HeCDpDSVEuTllTRTpJQk0uSVFfU1RfREVCVF9ERVJJVkFUSVZFUy45OTUuMDcvMDMvMjAyNi4uLlVTRC5IAQAAAN62AQAD</t>
  </si>
  <si>
    <t>AAAAAAD4hL4k/4HeCOBKIyj/gd4INENJUS5OWVNFOklCTS5JUV9PUkRFUl9CQUNLTE9HLjk5NS4wNy8wMy8yMDI2Li4uVVNELkgBAAAA3rYBAAMAAAAAAPiEviT/gd4IGhAjKP+B3gg5Q0lRLk5ZU0U6SUJNLklRX0RFQlRfRVFVSVZfTkVUX1BCTy45OTMuMDcvMDMvMjAyNi4uLlVTRC5IAQAAAN62AQACAAAABDg2MTEBCAAAAAUAAAABMQEAAAAKMjA4MTUwNTQwMQMAAAADMTYwAgAAAAUyMTY3OQQAAAABMAcAAAAIMy83LzIwMjYIAAAACjEyLzMxLzIwMTgJAAAAATD4hL4k/4HeCBoQIyj/gd4IOUNJUS5OWVNFOklCTS5JUV9GSU5fRElWX0NBU0hfRVFVSVYuOTk5LjA3LzAzLzIwMjYuLi5VU0QuSAEAAADetgEAAwAAAAAA+IS+JP+B3ggaECMo/4HeCC1DSVEuTllTRTpJQk0uSVFfR1dfTkVULjk5OS4wNy8wMy8yMDI2Li4uVVNELkgBAAAA3rYBAAIAAAAFNjA3MDYBCAAAAAUAAAABMQEAAAALLTE5MDQ4NjA3NDMDAAAAAzE2MAIAAAAFNDg5NjAEAAAAATAHAAAACDMvNy8yMDI2CAAAAAoxMi8zMS8yMDI0CQAAAAEw+IS+JP+B3ggaECMo/4HeCDxDSVEuTllTRTpJQk0uSVFfQURWQU5DRVNfRk9SX1NVUFBMSUVTLjk5NS4wNy8wMy8yMDI2Li4uVVNELkgBAAAA3rYBAAMAAAAAAPiEviT/gd4IGhAjKP+B3gg/Q0lRLk5ZU0U6SUJNLklRX0FDQ1VNX0FNT1JUX0lOVEFOX0FTU0VUUy45OTcuMDcvMDMvMjAyNi4u</t>
  </si>
  <si>
    <t>LlVTRC5IAQAAAN62AQACAAAABS01Njk5AQgAAAAFAAAAATEBAAAACy0xOTU4MjgxMDk2AwAAAAMxNjACAAAABTI0MzMxBAAAAAEwBwAAAAgzLzcvMjAyNggAAAAKMTIvMzEvMjAyMgkAAAABMPiEviT/gd4IE+kiKP+B3ghAQ0lRLk5ZU0U6SUJNLklRX0RFUklWQVRJVkVfQVNTRVRTX0NVUlJFTlQuOTk3LjA3LzAzLzIwMjYuLi5VU0QuSAEAAADetgEAAgAAAAMyNzEBCAAAAAUAAAABMQEAAAALLTE5NTgyODEwOTYDAAAAAzE2MAIAAAAEMTEwOQQAAAABMAcAAAAIMy83LzIwMjYIAAAACjEyLzMxLzIwMjIJAAAAATD4hL4k/4HeCBPpIij/gd4IQkNJUS5OWVNFOklCTS5JUV9ERVJJVkFUSVZFX0xJQUJfTk9OX0NVUlJFTlQuOTkzLjA3LzAzLzIwMjYuLi5VU0QuSAEAAADetgEAAgAAAAMyMDYBCAAAAAUAAAABMQEAAAAKMjA4MTUwNTQwMQMAAAADMTYwAgAAAAU0MDQxOQQAAAABMAcAAAAIMy83LzIwMjYIAAAACjEyLzMxLzIwMTgJAAAAATD4hL4k/4HeCBoQIyj/gd4IOUNJUS5OWVNFOklCTS5JUV9GSU5fRElWX0RFQlRfVE9UQUwuOTkyLjA3LzAzLzIwMjYuLi5VU0QuSAEAAADetgEAAgAAAAUzMTQzNAEIAAAABQAAAAExAQAAAAoyMDE3MTY0MjQ0AwAAAAMxNjACAAAABTI0NTE2BAAAAAEwBwAAAAgzLzcvMjAyNggAAAAKMTIvMzEvMjAxNwkAAAABMPiEviT/gd4IGhAjKP+B3ghMQ0lRLk5ZU0U6SUJNLklR</t>
  </si>
  <si>
    <t>X0xJQUJJTElUSUVTX05FVFRJTkdfT1RIRVJfQURKVVNUTUVOVFMuOTk4LjA3LzAzLzIwMjYuLi5VU0QuSAEAAADetgEAAwAAAAAA+IS+JP+B3ggaECMo/4HeCDlDSVEuTllTRTpJQk0uSVFfVE9UQUxfUkVWX0VNUExPWUVFLjk5Ny4wNy8wMy8yMDI2Li4uVVNELkgBAAAA3rYBAAIAAAAHMjA5Ljk1NAEIAAAABQAAAAExAQAAAAstMTk1ODI4MTA5NgMAAAADMTYwAgAAAAQ0MTIzBAAAAAEwBwAAAAgzLzcvMjAyNggAAAAKMTIvMzEvMjAyMgkAAAABMPiEviT/gd4IE+kiKP+B3gg6Q0lRLk5ZU0U6SUJNLklRX0lOVEVSQ09NUEFOWV9OT05fQ0EuOTk5LjA3LzAzLzIwMjYuLi5VU0QuSAEAAADetgEAAwAAAAAA+IS+JP+B3ggT6SIo/4HeCDZDSVEuTllTRTpJQk0uSVFfSU5URVJDT01QQU5ZX0NBLjk5My4wNy8wMy8yMDI2Li4uVVNELkgBAAAA3rYBAAMAAAAAABasviT/gd4IE+kiKP+B3gg6Q0lRLk5ZU0U6SUJNLklRX0xUX0RFQlRfREVSSVZBVElWRVMuOTk4LjA3LzAzLzIwMjYuLi5VU0QuSAEAAADetgEAAwAAAAAAFqy+JP+B3ggT6SIo/4HeCERDSVEuTllTRTpJQk0uSVFfQ1VSUkVOVF9QT1JUX0RFQlRfREVSSVZBVElWRVMuOTkyLjA3LzAzLzIwMjYuLi5VU0QuSAEAAADetgEAAwAAAAAAFqy+JP+B3ggT6SIo/4HeCD5DSVEuTllTRTpJQk0uSVFfQ09OVElOR0VOVF9MSUFCSUxJVElFUy4xMDAwLjA3LzAz</t>
  </si>
  <si>
    <t>LzIwMjYuLi5VU0QuSAEAAADetgEAAwAAAAAAFqy+JP+B3gjimiIo/4HeCDRDSVEuTllTRTpJQk0uSVFfT1JERVJfQkFDS0xPRy45OTQuMDcvMDMvMjAyNi4uLlVTRC5IAQAAAN62AQADAAAAAAAWrL4k/4HeCOKaIij/gd4IOUNJUS5OWVNFOklCTS5JUV9GSU5fRElWX0NBU0hfRVFVSVYuOTk4LjA3LzAzLzIwMjYuLi5VU0QuSAEAAADetgEAAwAAAAAAFqy+JP+B3gjvwSIo/4HeCDxDSVEuTllTRTpJQk0uSVFfQURWQU5DRVNfRk9SX1NVUFBMSUVTLjk5NC4wNy8wMy8yMDI2Li4uVVNELkgBAAAA3rYBAAMAAAAAABasviT/gd4I78EiKP+B3gg2Q0lRLk5ZU0U6SUJNLklRX0FDQ1VNX0FNT1JUX0dXLjEwMDAuMDcvMDMvMjAyNi4uLlVTRC5IAQAAAN62AQADAAAAAAAWrL4k/4HeCO/BIij/gd4IL0NJUS5OWVNFOklCTS5JUV9HUk9TU19HVy45OTQuMDcvMDMvMjAyNi4uLlVTRC5IAQAAAN62AQADAAAAAAAWrL4k/4HeCNNzIij/gd4IQENJUS5OWVNFOklCTS5JUV9ERVJJVkFUSVZFX0FTU0VUU19DVVJSRU5ULjk5Ni4wNy8wMy8yMDI2Li4uVVNELkgBAAAA3rYBAAIAAAADMzU4AQgAAAAFAAAAATEBAAAACy0yMDA4NjQ3MTk4AwAAAAMxNjACAAAABDExMDkEAAAAATAHAAAACDMvNy8yMDI2CAAAAAoxMi8zMS8yMDIxCQAAAAEwFqy+JP+B3gjTcyIo/4HeCEJDSVEuTllTRTpJQk0uSVFfREVSSVZBVElWRV9MSUFC</t>
  </si>
  <si>
    <t>X05PTl9DVVJSRU5ULjk5Mi4wNy8wMy8yMDI2Li4uVVNELkgBAAAA3rYBAAIAAAABNAEIAAAABQAAAAExAQAAAAoyMDE3MTY0MjQ0AwAAAAMxNjACAAAABTQwNDE5BAAAAAEwBwAAAAgzLzcvMjAyNggAAAAKMTIvMzEvMjAxNwkAAAABMBasviT/gd4I03MiKP+B3gg8Q0lRLk5ZU0U6SUJNLklRX0xFQVNFSE9MRF9JTVBST1ZFTUVOVC45OTMuMDcvMDMvMjAyNi4uLlVTRC5IAQAAAN62AQADAAAAAAAWrL4k/4HeCOKaIij/gd4IMENJUS5OWVNFOklCTS5JUV9NQUNISU5FUlkuOTk1LjA3LzAzLzIwMjYuLi5VU0QuSAEAAADetgEAAgAAAAUxMzQ2MAEIAAAABQAAAAExAQAAAAstMjA1OTA3MzIwMgMAAAADMTYwAgAAAAQzMTE0BAAAAAEwBwAAAAgzLzcvMjAyNggAAAAKMTIvMzEvMjAyMAkAAAABMBasviT/gd4I4poiKP+B3gg2Q0lRLk5ZU0U6SUJNLklRX0lOVEVSQ09NUEFOWV9DTC45OTYuMDcvMDMvMjAyNi4uLlVTRC5IAQAAAN62AQADAAAAAAAWrL4k/4HeCMJMIij/gd4INkNJUS5OWVNFOklCTS5JUV9JTlRFUkNPTVBBTllfQ0EuOTkyLjA3LzAzLzIwMjYuLi5VU0QuSAEAAADetgEAAwAAAAAAFqy+JP+B3gjCTCIo/4HeCC1DSVEuTllTRTpJQk0uSVFfR1dfTkVULjk5OC4wNy8wMy8yMDI2Li4uVVNELkgBAAAA3rYBAAIAAAAFNjAxNzgBCAAAAAUAAAABMQEAAAALLTE5MDQ4NjA3NDQDAAAAAzE2MAIAAAAF</t>
  </si>
  <si>
    <t>NDg5NjAEAAAAATAHAAAACDMvNy8yMDI2CAAAAAoxMi8zMS8yMDIzCQAAAAEwFqy+JP+B3gjCTCIo/4HeCDVDSVEuTllTRTpJQk0uSVFfQVNTRVRTX0xFVkVMXzIuOTk5LjA3LzAzLzIwMjYuLi5VU0QuSAEAAADetgEAAgAAAAQ3OTc4ABasviT/gd4IwkwiKP+B3gg1Q0lRLk5ZU0U6SUJNLklRX0FTU0VUU19MRVZFTF8xLjk5My4wNy8wMy8yMDI2Li4uVVNELkgBAAAA3rYBAAIAAAACMjUAFqy+JP+B3gjTcyIo/4HeCEVDSVEuTllTRTpJQk0uSVFfVE9UQUxfR0VORVJBTF9QQVJUTkVSX0lOVEVSRVNULjk5NS4wNy8wMy8yMDI2Li4uVVNELkgBAAAA3rYBAAMAAAAAABasviT/gd4IsyUiKP+B3ghCQ0lRLk5ZU0U6SUJNLklRX0RFRl9UQVhfVkFMVUFUSU9OX0FMTE9XQU5DRS45OTcuMDcvMDMvMjAyNi4uLlVTRC5IAQAAAN62AQACAAAAAzc3MAEIAAAABQAAAAExAQAAAAstMTk1ODI4MTA5NgMAAAADMTYwAgAAAAU0NjA0NQQAAAABMAcAAAAIMy83LzIwMjYIAAAACjEyLzMxLzIwMjIJAAAAATAWrL4k/4HeCLMlIij/gd4IOkNJUS5OWVNFOklCTS5JUV9NSU5PUklUWV9JTlRfUkVERUVNLjk5OS4wNy8wMy8yMDI2Li4uVVNELkgBAAAA3rYBAAMAAAAAABasviT/gd4IsyUiKP+B3gg5Q0lRLk5ZU0U6SUJNLklRX0ZJTl9ESVZfQ0FTSF9FUVVJVi45OTcuMDcvMDMvMjAyNi4uLlVTRC5IAQAAAN62AQADAAAAAAAW</t>
  </si>
  <si>
    <t>rL4k/4HeCLMlIij/gd4IPENJUS5OWVNFOklCTS5JUV9GSU5fRElWX0xUX0RFQlRfVE9UQUwuOTk3LjA3LzAzLzIwMjYuLi5VU0QuSAEAAADetgEAAgAAAAUxMjg3MgEIAAAABQAAAAExAQAAAAstMTk1ODI4MTA5NgMAAAADMTYwAgAAAAUyNDUxNQQAAAABMAcAAAAIMy83LzIwMjYIAAAACjEyLzMxLzIwMjIJAAAAATAWrL4k/4HeCLMlIij/gd4IPUNJUS5OWVNFOklCTS5JUV9MSUFCSUxJVElFU19GQUlSX1ZBTFVFLjk5NS4wNy8wMy8yMDI2Li4uVVNELkgBAAAA3rYBAAIAAAAFNjIwODcAFqy+JP+B3ghb1yEo/4HeCDpDSVEuTllTRTpJQk0uSVFfTElBQklMSVRJRVNfTEVWRUxfMS45OTcuMDcvMDMvMjAyNi4uLlVTRC5IAQAAAN62AQADAAAAAAAWrL4k/4HeCKb+ISj/gd4IR0NJUS5OWVNFOklCTS5JUV9BU1NFVFNfTkVUVElOR19PVEhFUl9BREpVU1RNRU5UUy45OTMuMDcvMDMvMjAyNi4uLlVTRC5IAQAAAN62AQADAAAAAAAWrL4k/4HeCKb+ISj/gd4IQENJUS5OWVNFOklCTS5JUV9ERVJJVkFUSVZFX0FTU0VUU19DVVJSRU5ULjk5NS4wNy8wMy8yMDI2Li4uVVNELkgBAAAA3rYBAAIAAAACODUBCAAAAAUAAAABMQEAAAALLTIwNTkwNzMyMDIDAAAAAzE2MAIAAAAEMTEwOQQAAAABMAcAAAAIMy83LzIwMjYIAAAACjEyLzMxLzIwMjAJAAAAATAWrL4k/4HeCKb+ISj/gd4IOkNJUS5OWVNFOklCTS5JUV9M</t>
  </si>
  <si>
    <t>VF9ERUJUX0RFUklWQVRJVkVTLjk5Ny4wNy8wMy8yMDI2Li4uVVNELkgBAAAA3rYBAAMAAAAAABasviT/gd4Ipv4hKP+B3gg9Q0lRLk5ZU0U6SUJNLklRX0NPTlRJTkdFTlRfTElBQklMSVRJRVMuOTk5LjA3LzAzLzIwMjYuLi5VU0QuSAEAAADetgEAAwAAAAAAFqy+JP+B3ghWwyEo/4HeCDRDSVEuTllTRTpJQk0uSVFfT1JERVJfQkFDS0xPRy45OTMuMDcvMDMvMjAyNi4uLlVTRC5IAQAAAN62AQADAAAAAAAWrL4k/4HeCFvXISj/gd4IPENJUS5OWVNFOklCTS5JUV9SRVNUUklDVEVEX0NBU0hfVE9UQUwuOTk5LjA3LzAzLzIwMjYuLi5VU0QuSAEAAADetgEAAgAAAAMyMTQBCAAAAAUAAAABMQEAAAALLTE5MDQ4NjA3NDMDAAAAAzE2MAIAAAAFMjQxOTIEAAAAATAHAAAACDMvNy8yMDI2CAAAAAoxMi8zMS8yMDI0CQAAAAEwFqy+JP+B3ghb1yEo/4HeCDBDSVEuTllTRTpJQk0uSVFfTUFDSElORVJZLjk5NC4wNy8wMy8yMDI2Li4uVVNELkgBAAAA3rYBAAIAAAAFMTg1NzgBCAAAAAUAAAABMQEAAAALLTIxMTA3NjkzNTUDAAAAAzE2MAIAAAAEMzExNAQAAAABMAcAAAAIMy83LzIwMjYIAAAACjEyLzMxLzIwMTkJAAAAATAWrL4k/4HeCFvXISj/gd4INkNJUS5OWVNFOklCTS5JUV9JTlRFUkNPTVBBTllfQ0wuOTk1LjA3LzAzLzIwMjYuLi5VU0QuSAEAAADetgEAAwAAAAAAFqy+JP+B3ghb1yEo/4HeCC1DSVEu</t>
  </si>
  <si>
    <t>TllTRTpJQk0uSVFfR1dfTkVULjk5Ny4wNy8wMy8yMDI2Li4uVVNELkgBAAAA3rYBAAIAAAAFNTU5NDkBCAAAAAUAAAABMQEAAAALLTE5NTgyODEwOTYDAAAAAzE2MAIAAAAFNDg5NjAEAAAAATAHAAAACDMvNy8yMDI2CAAAAAoxMi8zMS8yMDIyCQAAAAEwFqy+JP+B3giRiCEo/4HeCDVDSVEuTllTRTpJQk0uSVFfQUNDVU1fQU1PUlRfR1cuOTk5LjA3LzAzLzIwMjYuLi5VU0QuSAEAAADetgEAAwAAAAAAFqy+JP+B3giRiCEo/4HeCC9DSVEuTllTRTpJQk0uSVFfR1JPU1NfR1cuOTkzLjA3LzAzLzIwMjYuLi5VU0QuSAEAAADetgEAAwAAAAAAFqy+JP+B3giRiCEo/4HeCENDSVEuTllTRTpJQk0uSVFfR0VORVJBTF9QQVJUTkVSX1BSRUZfRVFVSVRZLjEwMDAuMDcvMDMvMjAyNi4uLlVTRC5IAQAAAN62AQADAAAAAAAWrL4k/4HeCJGIISj/gd4IQkNJUS5OWVNFOklCTS5JUV9ERUZfVEFYX1ZBTFVBVElPTl9BTExPV0FOQ0UuOTk2LjA3LzAzLzIwMjYuLi5VU0QuSAEAAADetgEAAgAAAAM4ODMBCAAAAAUAAAABMQEAAAALLTIwMDg2NDcxOTgDAAAAAzE2MAIAAAAFNDYwNDUEAAAAATAHAAAACDMvNy8yMDI2CAAAAAoxMi8zMS8yMDIxCQAAAAEwFqy+JP+B3ghWwyEo/4HeCDpDSVEuTllTRTpJQk0uSVFfTUlOT1JJVFlfSU5UX1JFREVFTS45OTguMDcvMDMvMjAyNi4uLlVTRC5IAQAAAN62AQADAAAAAAAWrL4k</t>
  </si>
  <si>
    <t>/4HeCH5hISj/gd4IPENJUS5OWVNFOklCTS5JUV9MRUFTRUhPTERfSU1QUk9WRU1FTlQuOTkyLjA3LzAzLzIwMjYuLi5VU0QuSAEAAADetgEAAwAAAAAAFqy+JP+B3gh+YSEo/4HeCD1DSVEuTllTRTpJQk0uSVFfTkFUVVJBTF9SRVNPVVJDRVNfQ09TVC45OTguMDcvMDMvMjAyNi4uLlVTRC5IAQAAAN62AQADAAAAAAAWrL4k/4HeCJGIISj/gd4IOkNJUS5OWVNFOklCTS5JUV9MSUFCSUxJVElFU19MRVZFTF8xLjk5Ni4wNy8wMy8yMDI2Li4uVVNELkgBAAAA3rYBAAMAAAAAABasviT/gd4IkYghKP+B3gg1Q0lRLk5ZU0U6SUJNLklRX0FTU0VUU19MRVZFTF8yLjk5OC4wNy8wMy8yMDI2Li4uVVNELkgBAAAA3rYBAAIAAAAENzkyMAAWrL4k/4HeCJGIISj/gd4INUNJUS5OWVNFOklCTS5JUV9BU1NFVFNfTEVWRUxfMS45OTIuMDcvMDMvMjAyNi4uLlVTRC5IAQAAAN62AQACAAAAAjM0ABasviT/gd4IcTohKP+B3ghLQ0lRLk5ZU0U6SUJNLklRX0xJUVVJREFUSU9OX1ZBTFVFX1BSRUZFUlJFRF9DT05WRVJULjEwMDAuMDcvMDMvMjAyNi4uLlVTRC5IAQAAAN62AQADAAAAAAAWrL4k/4HeCHE6ISj/gd4IRUNJUS5OWVNFOklCTS5JUV9UT1RBTF9HRU5FUkFMX1BBUlRORVJfSU5URVJFU1QuOTk0LjA3LzAzLzIwMjYuLi5VU0QuSAEAAADetgEAAwAAAAAAFqy+JP+B3ghxOiEo/4HeCDpDSVEuTllTRTpJQk0uSVFf</t>
  </si>
  <si>
    <t>REVCVF9FUVVJVl9ORVRfUEJPLjEwMDAuMDcvMDMvMjAyNi4uLlVTRC5IAQAAAN62AQACAAAABC00NzQBCAAAAAUAAAABMQEAAAALLTE5MDQ4NjA3NDADAAAAAzE2MAIAAAAFMjE2NzkEAAAAATAHAAAACDMvNy8yMDI2CAAAAAoxMi8zMS8yMDI1CQAAAAEwFqy+JP+B3gh+YSEo/4HeCDhDSVEuTllTRTpJQk0uSVFfRklOX0RJVl9TVF9JTlZFU1QuOTk0LjA3LzAzLzIwMjYuLi5VU0QuSAEAAADetgEAAwAAAAAAFqy+JP+B3gh+YSEo/4HeCDxDSVEuTllTRTpJQk0uSVFfRklOX0RJVl9MVF9ERUJUX1RPVEFMLjk5Ni4wNy8wMy8yMDI2Li4uVVNELkgBAAAA3rYBAAIAAAAFMTM5MjkBCAAAAAUAAAABMQEAAAALLTIwMDg2NDcxOTgDAAAAAzE2MAIAAAAFMjQ1MTUEAAAAATAHAAAACDMvNy8yMDI2CAAAAAoxMi8zMS8yMDIxCQAAAAEwFqy+JP+B3ghnEyEo/4HeCEdDSVEuTllTRTpJQk0uSVFfRkFJUl9WQUxVRV9DSEFOR0VfSU5DTF9FQVJOSU5HUy4xMDAwLjA3LzAzLzIwMjYuLi5VU0QuSAEAAADetgEAAwAAAAAAFqy+JP+B3ghnEyEo/4HeCD1DSVEuTllTRTpJQk0uSVFfTElBQklMSVRJRVNfRkFJUl9WQUxVRS45OTQuMDcvMDMvMjAyNi4uLlVTRC5IAQAAAN62AQACAAAABTU5MDk5ABasviT/gd4IZxMhKP+B3ghDQ0lRLk5ZU0U6SUJNLklRX0RFUklWQVRJVkVfTElBQl9OT05fQ1VSUkVOVC4xMDAwLjA3LzAz</t>
  </si>
  <si>
    <t>LzIwMjYuLi5VU0QuSAEAAADetgEAAgAAAAMyNTkBCAAAAAUAAAABMQEAAAALLTE5MDQ4NjA3NDADAAAAAzE2MAIAAAAFNDA0MTkEAAAAATAHAAAACDMvNy8yMDI2CAAAAAoxMi8zMS8yMDI1CQAAAAEwFqy+JP+B3ghnEyEo/4HeCDpDSVEuTllTRTpJQk0uSVFfTFRfREVCVF9ERVJJVkFUSVZFUy45OTYuMDcvMDMvMjAyNi4uLlVTRC5IAQAAAN62AQADAAAAAAAWrL4k/4HeCHE6ISj/gd4IO0NJUS5OWVNFOklCTS5JUV9XQVJSQU5UWV9MSUFCSUxJVElFUy45OTYuMDcvMDMvMjAyNi4uLlVTRC5IAQAAAN62AQADAAAAAAAWrL4k/4HeCG/sICj/gd4INENJUS5OWVNFOklCTS5JUV9PUkRFUl9CQUNLTE9HLjk5Mi4wNy8wMy8yMDI2Li4uVVNELkgBAAAA3rYBAAMAAAAAABasviT/gd4Ib+wgKP+B3gg8Q0lRLk5ZU0U6SUJNLklRX1JFU1RSSUNURURfQ0FTSF9UT1RBTC45OTguMDcvMDMvMjAyNi4uLlVTRC5IAQAAAN62AQACAAAAAjIxAQgAAAAFAAAAATEBAAAACy0xOTA0ODYwNzQ0AwAAAAMxNjACAAAABTI0MTkyBAAAAAEwBwAAAAgzLzcvMjAyNggAAAAKMTIvMzEvMjAyMwkAAAABMBasviT/gd4Ib+wgKP+B3ggtQ0lRLk5ZU0U6SUJNLklRX0dXX05FVC45OTYuMDcvMDMvMjAyNi4uLlVTRC5IAQAAAN62AQACAAAABTU1NjQzAQgAAAAFAAAAATEBAAAACy0yMDA4NjQ3MTk4AwAAAAMxNjACAAAABTQ4OTYwBAAA</t>
  </si>
  <si>
    <t>AAEwBwAAAAgzLzcvMjAyNggAAAAKMTIvMzEvMjAyMQkAAAABMBasviT/gd4Ib+wgKP+B3gg1Q0lRLk5ZU0U6SUJNLklRX0FDQ1VNX0FNT1JUX0dXLjk5OC4wNy8wMy8yMDI2Li4uVVNELkgBAAAA3rYBAAMAAAAAABasviT/gd4IZxMhKP+B3ggvQ0lRLk5ZU0U6SUJNLklRX0dST1NTX0dXLjk5Mi4wNy8wMy8yMDI2Li4uVVNELkgBAAAA3rYBAAMAAAAAABasviT/gd4IjJ4gKP+B3gg5Q0lRLk5ZU0U6SUJNLklRX0dST1NTX0lOVEFOX0FTU0VUUy45OTguMDcvMDMvMjAyNi4uLlVTRC5IAQAAAN62AQACAAAABTE2NjI4AQgAAAAFAAAAATEBAAAACy0xOTA0ODYwNzQ0AwAAAAMxNjACAAAABTI0MjkzBAAAAAEwBwAAAAgzLzcvMjAyNggAAAAKMTIvMzEvMjAyMwkAAAABMBasviT/gd4IasUgKP+B3ghAQ0lRLk5ZU0U6SUJNLklRX0RFUklWQVRJVkVfQVNTRVRTX0NVUlJFTlQuOTk0LjA3LzAzLzIwMjYuLi5VU0QuSAEAAADetgEAAgAAAAMxNDkBCAAAAAUAAAABMQEAAAALLTIxMTA3NjkzNTUDAAAAAzE2MAIAAAAEMTEwOQQAAAABMAcAAAAIMy83LzIwMjYIAAAACjEyLzMxLzIwMTkJAAAAATAWrL4k/4HeCGrFICj/gd4IOENJUS5OWVNFOklCTS5JUV9GSU5fRElWX1NUX0lOVkVTVC45OTMuMDcvMDMvMjAyNi4uLlVTRC5IAQAAAN62AQADAAAAAAAWrL4k/4HeCGrFICj/gd4IPENJUS5OWVNFOklCTS5JUV9GSU5f</t>
  </si>
  <si>
    <t>RElWX0xUX0RFQlRfVE9UQUwuOTk1LjA3LzAzLzIwMjYuLi5VU0QuSAEAAADetgEAAgAAAAUyMTA5OAEIAAAABQAAAAExAQAAAAstMjA1OTA3MzIwMgMAAAADMTYwAgAAAAUyNDUxNQQAAAABMAcAAAAIMy83LzIwMjYIAAAACjEyLzMxLzIwMjAJAAAAATAWrL4k/4HeCGrFICj/gd4IO0NJUS5OWVNFOklCTS5JUV9JTlRFUkNPTVBBTllfTk9OX0NMLjEwMDAuMDcvMDMvMjAyNi4uLlVTRC5IAQAAAN62AQADAAAAAAAWrL4k/4HeCOx2ICj/gd4INkNJUS5OWVNFOklCTS5JUV9JTlRFUkNPTVBBTllfQ0wuOTk0LjA3LzAzLzIwMjYuLi5VU0QuSAEAAADetgEAAwAAAAAAFqy+JP+B3gjsdiAo/4HeCDdDSVEuTllTRTpJQk0uSVFfSU5URVJDT01QQU5ZX0NBLjEwMDAuMDcvMDMvMjAyNi4uLlVTRC5IAQAAAN62AQADAAAAAAAWrL4k/4HeCOx2ICj/gd4IQkNJUS5OWVNFOklCTS5JUV9ERVJJVkFUSVZFX0xJQUJfTk9OX0NVUlJFTlQuOTk5LjA3LzAzLzIwMjYuLi5VU0QuSAEAAADetgEAAgAAAAM0NjMBCAAAAAUAAAABMQEAAAALLTE5MDQ4NjA3NDMDAAAAAzE2MAIAAAAFNDA0MTkEAAAAATAHAAAACDMvNy8yMDI2CAAAAAoxMi8zMS8yMDI0CQAAAAEwFqy+JP+B3giMniAo/4HeCD5DSVEuTllTRTpJQk0uSVFfREVSSVZBVElWRV9MSUFCX0NVUlJFTlQuOTkzLjA3LzAzLzIwMjYuLi5VU0QuSAEAAADetgEAAgAAAAMx</t>
  </si>
  <si>
    <t>NzcBCAAAAAUAAAABMQEAAAAKMjA4MTUwNTQwMQMAAAADMTYwAgAAAAU0MDQxNwQAAAABMAcAAAAIMy83LzIwMjYIAAAACjEyLzMxLzIwMTgJAAAAATAWrL4k/4HeCIyeICj/gd4IO0NJUS5OWVNFOklCTS5JUV9XQVJSQU5UWV9MSUFCSUxJVElFUy45OTUuMDcvMDMvMjAyNi4uLlVTRC5IAQAAAN62AQADAAAAAAAWrL4k/4HeCGNPICj/gd4IPENJUS5OWVNFOklCTS5JUV9SRVNUUklDVEVEX0NBU0hfVE9UQUwuOTk3LjA3LzAzLzIwMjYuLi5VU0QuSAEAAADetgEAAgAAAAMxMDMBCAAAAAUAAAABMQEAAAALLTE5NTgyODEwOTYDAAAAAzE2MAIAAAAFMjQxOTIEAAAAATAHAAAACDMvNy8yMDI2CAAAAAoxMi8zMS8yMDIyCQAAAAEwFqy+JP+B3ghjTyAo/4HeCDlDSVEuTllTRTpJQk0uSVFfREVCVF9FUVVJVl9ORVRfUEJPLjk5OS4wNy8wMy8yMDI2Li4uVVNELkgBAAAA3rYBAAIAAAADLTg3AQgAAAAFAAAAATEBAAAACy0xOTA0ODYwNzQzAwAAAAMxNjACAAAABTIxNjc5BAAAAAEwBwAAAAgzLzcvMjAyNggAAAAKMTIvMzEvMjAyNAkAAAABMBasviT/gd4IY08gKP+B3gg2Q0lRLk5ZU0U6SUJNLklRX0lOVEVSQ09NUEFOWV9DQS45OTkuMDcvMDMvMjAyNi4uLlVTRC5IAQAAAN62AQADAAAAAAAWrL4k/4HeCGNPICj/gd4ILUNJUS5OWVNFOklCTS5JUV9HV19ORVQuOTk1LjA3LzAzLzIwMjYuLi5VU0QuSAEAAADe</t>
  </si>
  <si>
    <t>tgEAAgAAAAU1Mzc2NQEIAAAABQAAAAExAQAAAAstMjA1OTA3MzIwMgMAAAADMTYwAgAAAAU0ODk2MAQAAAABMAcAAAAIMy83LzIwMjYIAAAACjEyLzMxLzIwMjAJAAAAATAWrL4k/4HeCOx2ICj/gd4IOUNJUS5OWVNFOklCTS5JUV9MVF9NQVJLX1NFQ1VSSVRJRVMuOTk1LjA3LzAzLzIwMjYuLi5VU0QuSAEAAADetgEAAwAAAAAAFqy+JP+B3ggUKCAo/4HeCDlDSVEuTllTRTpJQk0uSVFfR1JPU1NfSU5UQU5fQVNTRVRTLjk5Ny4wNy8wMy8yMDI2Li4uVVNELkgBAAAA3rYBAAIAAAAFMTU5MzgBCAAAAAUAAAABMQEAAAALLTE5NTgyODEwOTYDAAAAAzE2MAIAAAAFMjQyOTMEAAAAATAHAAAACDMvNy8yMDI2CAAAAAoxMi8zMS8yMDIyCQAAAAEwFqy+JP+B3ggUKCAo/4HeCEBDSVEuTllTRTpJQk0uSVFfREVSSVZBVElWRV9BU1NFVFNfQ1VSUkVOVC45OTMuMDcvMDMvMjAyNi4uLlVTRC5IAQAAAN62AQACAAAAAzM4NQEIAAAABQAAAAExAQAAAAoyMDgxNTA1NDAxAwAAAAMxNjACAAAABDExMDkEAAAAATAHAAAACDMvNy8yMDI2CAAAAAoxMi8zMS8yMDE4CQAAAAEwFqy+JP+B3ggUKCAo/4HeCD5DSVEuTllTRTpJQk0uSVFfTUlOT1JJVFlfSU5URVJFU1RfVE9UQUwuOTk4LjA3LzAzLzIwMjYuLi5VU0QuSAEAAADetgEAAgAAAAI4MAEIAAAABQAAAAExAQAAAAstMTkwNDg2MDc0NAMAAAADMTYwAgAAAAQxMzEy</t>
  </si>
  <si>
    <t>BAAAAAEwBwAAAAgzLzcvMjAyNggAAAAKMTIvMzEvMjAyMwkAAAABMBasviT/gd4IFCggKP+B3ggvQ0lRLk5ZU0U6SUJNLklRX05FVF9ERUJULjk5Mi4wNy8wMy8yMDI2Li4uVVNELkgBAAAA3rYBAAIAAAAFMzQyNzYBCAAAAAUAAAABMQEAAAAKMjAxNzE2NDI0NAMAAAADMTYwAgAAAAQ0MzY0BAAAAAEwBwAAAAgzLzcvMjAyNggAAAAKMTIvMzEvMjAxNwkAAAABMBasviT/gd4IFCggKP+B3gg5Q0lRLk5ZU0U6SUJNLklRX1RPVEFMX0RFQlRfQ1VSUkVOVC45OTguMDcvMDMvMjAyNi4uLlVTRC5IAQAAAN62AQACAAAABDcyNDYBCAAAAAUAAAABMQEAAAALLTE5MDQ4NjA3NDQDAAAAAzE2MAIAAAAFMjUyMjMEAAAAATAHAAAACDMvNy8yMDI2CAAAAAoxMi8zMS8yMDIzCQAAAAEwFqy+JP+B3ghR7R8o/4HeCDFDSVEuTllTRTpJQk0uSVFfQ0FTSF9TSEFSRS45OTQuMDcvMDMvMjAyNi4uLlVTRC5IAQAAAN62AQACAAAABzkuMjExOTMBCAAAAAUAAAABMQEAAAALLTIxMTA3NjkzNTUDAAAAAzE2MAIAAAAENDM4MQQAAAABMAcAAAAIMy83LzIwMjYIAAAACjEyLzMxLzIwMTkJAAAAATAWrL4k/4HeCFHtHyj/gd4INkNJUS5OWVNFOklCTS5JUV9JTlRFUkNPTVBBTllfQ0wuOTkzLjA3LzAzLzIwMjYuLi5VU0QuSAEAAADetgEAAwAAAAAAFqy+JP+B3ggUKCAo/4HeCDBDSVEuTllTRTpJQk0uSVFfT1RIRVJfSU5WLjk5</t>
  </si>
  <si>
    <t>Mi4wNy8wMy8yMDI2Li4uVVNELkgBAAAA3rYBAAMAAAAAABasviT/gd4IFCggKP+B3ggvQ0lRLk5ZU0U6SUJNLklRX1JBV19JTlYuMTAwMC4wNy8wMy8yMDI2Li4uVVNELkgBAAAA3rYBAAMAAAAAABasviT/gd4IFCggKP+B3ggsQ0lRLk5ZU0U6SUJNLklRX0xJRk9SLjk5NC4wNy8wMy8yMDI2Li4uVVNELkgBAAAA3rYBAAMAAAAAABasviT/gd4IUe0fKP+B3ggzQ0lRLk5ZU0U6SUJNLklRX0FSX1VOQklMTEVELjEwMDAuMDcvMDMvMjAyNi4uLlVTRC5IAQAAAN62AQACAAAAAzQ4MgEIAAAABQAAAAExAQAAAAstMTkwNDg2MDc0MAMAAAADMTYwAgAAAAU0NTQyMAQAAAABMAcAAAAIMy83LzIwMjYIAAAACjEyLzMxLzIwMjUJAAAAATAWrL4k/4HeCFHtHyj/gd4IN0NJUS5OWVNFOklCTS5JUV9BTExPV19ET1VCVF9BQ0NULjk5Ni4wNy8wMy8yMDI2Li4uVVNELkgBAAAA3rYBAAIAAAADMjE4AQgAAAAFAAAAATEBAAAACy0yMDA4NjQ3MTk4AwAAAAMxNjACAAAABDMwMTIEAAAAATAHAAAACDMvNy8yMDI2CAAAAAoxMi8zMS8yMDIxCQAAAAEwFqy+JP+B3ghR7R8o/4HeCERDSVEuTllTRTpJQk0uSVFfR0VORVJBTF9QQVJUTkVSX0NPTU1PTl9FUVVJVFkuOTkyLjA3LzAzLzIwMjYuLi5VU0QuSAEAAADetgEAAwAAAAAAFqy+JP+B3ghR7R8o/4HeCD9DSVEuTllTRTpJQk0uSVFfTUlOT1JJVFlfSU5UX1JFREVFTV9U</t>
  </si>
  <si>
    <t>T1QuMTAwMC4wNy8wMy8yMDI2Li4uVVNELkgBAAAA3rYBAAMAAAAAABasviT/gd4IUe0fKP+B3ghCQ0lRLk5ZU0U6SUJNLklRX0ZJTl9ESVZfTUlOT1JJVFlfSU5UX1JFREVFTS45OTQuMDcvMDMvMjAyNi4uLlVTRC5IAQAAAN62AQADAAAAAAAWrL4k/4HeCFHtHyj/gd4IPUNJUS5OWVNFOklCTS5JUV9OQVRVUkFMX1JFU09VUkNFU19DT1NULjk5Ni4wNy8wMy8yMDI2Li4uVVNELkgBAAAA3rYBAAMAAAAAABasviT/gd4IUe0fKP+B3ggrQ0lRLk5ZU0U6SUJNLklRX0xBTkQuOTk4LjA3LzAzLzIwMjYuLi5VU0QuSAEAAADetgEAAgAAAAMxODIBCAAAAAUAAAABMQEAAAALLTE5MDQ4NjA3NDQDAAAAAzE2MAIAAAAEMzA5OAQAAAABMAcAAAAIMy83LzIwMjYIAAAACjEyLzMxLzIwMjMJAAAAATAWrL4k/4HeCFHtHyj/gd4ISENJUS5OWVNFOklCTS5JUV9BU1NFVFNfTkVUVElOR19PVEhFUl9BREpVU1RNRU5UUy4xMDAwLjA3LzAzLzIwMjYuLi5VU0QuSAEAAADetgEAAwAAAAAAFqy+JP+B3ghR7R8o/4HeCDVDSVEuTllTRTpJQk0uSVFfQVNTRVRTX0xFVkVMXzMuOTk0LjA3LzAzLzIwMjYuLi5VU0QuSAEAAADetgEAAwAAAAAAFqy+JP+B3ghR7R8o/4HeCE1DSVEuTllTRTpJQk0uSVFfTElRVUlEQVRJT05fVkFMVUVfUFJFRkVSUkVEX05PTl9SRURFRU0uOTk2LjA3LzAzLzIwMjYuLi5VU0QuSAEAAADetgEAAwAA</t>
  </si>
  <si>
    <t>AAAAFqy+JP+B3ghAxh8o/4HeCEVDSVEuTllTRTpJQk0uSVFfVE9UQUxfR0VORVJBTF9QQVJUTkVSX0lOVEVSRVNULjk5Mi4wNy8wMy8yMDI2Li4uVVNELkgBAAAA3rYBAAMAAAAAABasviT/gd4IQMYfKP+B3ghCQ0lRLk5ZU0U6SUJNLklRX0dFTkVSQUxfUEFSVE5FUl9QUkVGX0VRVUlUWS45OTguMDcvMDMvMjAyNi4uLlVTRC5IAQAAAN62AQADAAAAAAAWrL4k/4HeCEDGHyj/gd4IOUNJUS5OWVNFOklCTS5JUV9GSU5fRElWX0RFQlRfVE9UQUwuOTk4LjA3LzAzLzIwMjYuLi5VU0QuSAEAAADetgEAAgAAAAUxMTg3OQEIAAAABQAAAAExAQAAAAstMTkwNDg2MDc0NAMAAAADMTYwAgAAAAUyNDUxNgQAAAABMAcAAAAIMy83LzIwMjYIAAAACjEyLzMxLzIwMjMJAAAAATAWrL4k/4HeCEDGHyj/gd4IPENJUS5OWVNFOklCTS5JUV9GSU5fRElWX0xUX0RFQlRfVE9UQUwuOTk0LjA3LzAzLzIwMjYuLi5VU0QuSAEAAADetgEAAgAAAAUyNDcyNwEIAAAABQAAAAExAQAAAAstMjExMDc2OTM1NQMAAAADMTYwAgAAAAUyNDUxNQQAAAABMAcAAAAIMy83LzIwMjYIAAAACjEyLzMxLzIwMTkJAAAAATAWrL4k/4HeCFHtHyj/gd4IPUNJUS5OWVNFOklCTS5JUV9MSUFCSUxJVElFU19GQUlSX1ZBTFVFLjk5Mi4wNy8wMy8yMDI2Li4uVVNELkgBAAAA3rYBAAIAAAAFNDI2NzkAFqy+JP+B3ghAxh8o/4HeCDpDSVEuTllTRTpJ</t>
  </si>
  <si>
    <t>Qk0uSVFfTElBQklMSVRJRVNfTEVWRUxfMy45OTguMDcvMDMvMjAyNi4uLlVTRC5IAQAAAN62AQADAAAAAAAWrL4k/4HeCEDGHyj/gd4IOkNJUS5OWVNFOklCTS5JUV9MSUFCSUxJVElFU19MRVZFTF8xLjk5NC4wNy8wMy8yMDI2Li4uVVNELkgBAAAA3rYBAAMAAAAAABasviT/gd4IQMYfKP+B3gg7Q0lRLk5ZU0U6SUJNLklRX1dBUlJBTlRZX0xJQUJJTElUSUVTLjk5NC4wNy8wMy8yMDI2Li4uVVNELkgBAAAA3rYBAAMAAAAAABasviT/gd4IQMYfKP+B3gg1Q0lRLk5ZU0U6SUJNLklRX09SREVSX0JBQ0tMT0cuMTAwMC4wNy8wMy8yMDI2Li4uVVNELkgBAAAA3rYBAAIAAAAFMzE5MDABCAAAAAUAAAABMQEAAAALLTE5MDQ4NjA3NDADAAAAAzE2MAIAAAAEMzEyNQQAAAABMAcAAAAIMy83LzIwMjYIAAAACjEyLzMxLzIwMjUJAAAAATAWrL4k/4HeCEDGHyj/gd4IPENJUS5OWVNFOklCTS5JUV9SRVNUUklDVEVEX0NBU0hfVE9UQUwuOTk2LjA3LzAzLzIwMjYuLi5VU0QuSAEAAADetgEAAgAAAAMzMDcBCAAAAAUAAAABMQEAAAALLTIwMDg2NDcxOTgDAAAAAzE2MAIAAAAFMjQxOTIEAAAAATAHAAAACDMvNy8yMDI2CAAAAAoxMi8zMS8yMDIxCQAAAAEwFqy+JP+B3ggynx8o/4HeCDlDSVEuTllTRTpJQk0uSVFfREVCVF9FUVVJVl9ORVRfUEJPLjk5OC4wNy8wMy8yMDI2Li4uVVNELkgBAAAA3rYBAAIAAAAEMTIx</t>
  </si>
  <si>
    <t>OAEIAAAABQAAAAExAQAAAAstMTkwNDg2MDc0NAMAAAADMTYwAgAAAAUyMTY3OQQAAAABMAcAAAAIMy83LzIwMjYIAAAACjEyLzMxLzIwMjMJAAAAATAWrL4k/4HeCDKfHyj/gd4IOENJUS5OWVNFOklCTS5JUV9GSU5fRElWX1NUX0lOVkVTVC45OTIuMDcvMDMvMjAyNi4uLlVTRC5IAQAAAN62AQADAAAAAAAWrL4k/4HeCDKfHyj/gd4IOUNJUS5OWVNFOklCTS5JUV9MVF9NQVJLX1NFQ1VSSVRJRVMuOTk0LjA3LzAzLzIwMjYuLi5VU0QuSAEAAADetgEAAwAAAAAAFqy+JP+B3ggynx8o/4HeCDlDSVEuTllTRTpJQk0uSVFfR1JPU1NfSU5UQU5fQVNTRVRTLjk5Ni4wNy8wMy8yMDI2Li4uVVNELkgBAAAA3rYBAAIAAAAFMTczMzUBCAAAAAUAAAABMQEAAAALLTIwMDg2NDcxOTgDAAAAAzE2MAIAAAAFMjQyOTMEAAAAATAHAAAACDMvNy8yMDI2CAAAAAoxMi8zMS8yMDIxCQAAAAEwFqy+JP+B3ghAxh8o/4HeCEJDSVEuTllTRTpJQk0uSVFfREVSSVZBVElWRV9MSUFCX05PTl9DVVJSRU5ULjk5OC4wNy8wMy8yMDI2Li4uVVNELkgBAAAA3rYBAAIAAAADMjk5AQgAAAAFAAAAATEBAAAACy0xOTA0ODYwNzQ0AwAAAAMxNjACAAAABTQwNDE5BAAAAAEwBwAAAAgzLzcvMjAyNggAAAAKMTIvMzEvMjAyMwkAAAABMBasviT/gd4IEHgfKP+B3gg+Q0lRLk5ZU0U6SUJNLklRX0RFUklWQVRJVkVfTElBQl9DVVJSRU5ULjk5</t>
  </si>
  <si>
    <t>Mi4wNy8wMy8yMDI2Li4uVVNELkgBAAAA3rYBAAIAAAADMzc4AQgAAAAFAAAAATEBAAAACjIwMTcxNjQyNDQDAAAAAzE2MAIAAAAFNDA0MTcEAAAAATAHAAAACDMvNy8yMDI2CAAAAAoxMi8zMS8yMDE3CQAAAAEwFqy+JP+B3ggynx8o/4HeCDtDSVEuTllTRTpJQk0uSVFfU1RfREVCVF9ERVJJVkFUSVZFUy4xMDAwLjA3LzAzLzIwMjYuLi5VU0QuSAEAAADetgEAAwAAAAAAFqy+JP+B3ggynx8o/4HeCClDSVEuTllTRTpJQk0uSVFfQUQuOTk3LjA3LzAzLzIwMjYuLi5VU0QuSAEAAADetgEAAgAAAAYtMTMzNjEBCAAAAAUAAAABMQEAAAALLTE5NTgyODEwOTYDAAAAAzE2MAIAAAAEMTA3NQQAAAABMAcAAAAIMy83LzIwMjYIAAAACjEyLzMxLzIwMjIJAAAAATAWrL4k/4HeCDKfHyj/gd4INkNJUS5OWVNFOklCTS5JUV9JTlRFUkNPTVBBTllfQ0wuOTkyLjA3LzAzLzIwMjYuLi5VU0QuSAEAAADetgEAAwAAAAAAFqy+JP+B3ggynx8o/4HeCDZDSVEuTllTRTpJQk0uSVFfSU5URVJDT01QQU5ZX0NBLjk5OC4wNy8wMy8yMDI2Li4uVVNELkgBAAAA3rYBAAMAAAAAABasviT/gd4IEHgfKP+B3ggwQ0lRLk5ZU0U6SUJNLklRX0lOVEFOX05FVC45OTIuMDcvMDMvMjAyNi4uLlVTRC5IAQAAAN62AQADAAAAAAAWrL4k/4HeCBB4Hyj/gd4IPUNJUS5OWVNFOklCTS5JUV9BRFZBTkNFU19GT1JfU1VQUExJRVMuMTAwMC4w</t>
  </si>
  <si>
    <t>Ny8wMy8yMDI2Li4uVVNELkgBAAAA3rYBAAMAAAAAABasviT/gd4IEHgfKP+B3gg6Q0lRLk5ZU0U6SUJNLklRX0NVUlJFTlRfUE9SVF9MRUFTRVMuOTk1LjA3LzAzLzIwMjYuLi5VU0QuSAEAAADetgEAAgAAAAQxMDY1AQgAAAAFAAAAATEBAAAACy0yMDU5MDczMjAyAwAAAAMxNjACAAAABDEwOTAEAAAAATAHAAAACDMvNy8yMDI2CAAAAAoxMi8zMS8yMDIwCQAAAAEwFqy+JP+B3ggQeB8o/4HeCClDSVEuTllTRTpJQk0uSVFfQVAuOTk3LjA3LzAzLzIwMjYuLi5VU0QuSAEAAADetgEAAgAAAAQ0MDUxAQgAAAAFAAAAATEBAAAACy0xOTU4MjgxMDk2AwAAAAMxNjACAAAABDEwMTgEAAAAATAHAAAACDMvNy8yMDI2CAAAAAoxMi8zMS8yMDIyCQAAAAEwFqy+JP+B3ggQeB8o/4HeCDhDSVEuTllTRTpJQk0uSVFfREVGX1RBWF9BU1NFVFNfTFQuOTk5LjA3LzAzLzIwMjYuLi5VU0QuSAEAAADetgEAAgAAAAQ2OTc4AQgAAAAFAAAAATEBAAAACy0xOTA0ODYwNzQzAwAAAAMxNjACAAAABDEwMjYEAAAAATAHAAAACDMvNy8yMDI2CAAAAAoxMi8zMS8yMDI0CQAAAAEwFqy+JP+B3ghBZB8o/4HeCDZDSVEuTllTRTpJQk0uSVFfTE9BTlNfUkVDRUlWX0xULjk5My4wNy8wMy8yMDI2Li4uVVNELkgBAAAA3rYBAAMAAAAAABasviT/gd4IEHgfKP+B3ggyQ0lRLk5ZU0U6SUJNLklRX09USEVSX0lOVEFOLjk5NS4wNy8wMy8y</t>
  </si>
  <si>
    <t>MDI2Li4uVVNELkgBAAAA3rYBAAIAAAAFMTM3MzkBCAAAAAUAAAABMQEAAAALLTIwNTkwNzMyMDIDAAAAAzE2MAIAAAAEMTA0MAQAAAABMAcAAAAIMy83LzIwMjYIAAAACjEyLzMxLzIwMjAJAAAAATAWrL4k/4HeCBB4Hyj/gd4ILkNJUS5OWVNFOklCTS5JUV9QRU5TSU9OLjk5NS4wNy8wMy8yMDI2Li4uVVNELkgBAAAA3rYBAAIAAAAFMTcxODQBCAAAAAUAAAABMQEAAAALLTIwNTkwNzMyMDIDAAAAAzE2MAIAAAAEMTIxMwQAAAABMAcAAAAIMy83LzIwMjYIAAAACjEyLzMxLzIwMjAJAAAAATAWrL4k/4HeCBB4Hyj/gd4IN0NJUS5OWVNFOklCTS5JUV9MT05HX1RFUk1fTEVBU0VTLjk5Ny4wNy8wMy8yMDI2Li4uVVNELkgBAAAA3rYBAAIAAAAEMjM1NAEIAAAABQAAAAExAQAAAAstMTk1ODI4MTA5NgMAAAADMTYwAgAAAAQxMTgzBAAAAAEwBwAAAAgzLzcvMjAyNggAAAAKMTIvMzEvMjAyMgkAAAABMBasviT/gd4IEHgfKP+B3ggvQ0lRLk5ZU0U6SUJNLklRX1RPVEFMX0NMLjk5My4wNy8wMy8yMDI2Li4uVVNELkgBAAAA3rYBAAIAAAAFMzgyMjcBCAAAAAUAAAABMQEAAAAKMjA4MTUwNTQwMQMAAAADMTYwAgAAAAQxMDA5BAAAAAEwBwAAAAgzLzcvMjAyNggAAAAKMTIvMzEvMjAxOAkAAAABMBasviT/gd4INz0fKP+B3gg7Q0lRLk5ZU0U6SUJNLklRX0RFRl9UQVhfTElBQl9DVVJSRU5ULjk5OS4wNy8wMy8y</t>
  </si>
  <si>
    <t>MDI2Li4uVVNELkgBAAAA3rYBAAMAAAAAABasviT/gd4INz0fKP+B3gg5Q0lRLk5ZU0U6SUJNLklRX1VORUFSTl9SRVZfQ1VSUkVOVC45OTMuMDcvMDMvMjAyNi4uLlVTRC5IAQAAAN62AQACAAAABTExNDM2AQgAAAAFAAAAATEBAAAACjIwODE1MDU0MDEDAAAAAzE2MAIAAAAEMTA3NAQAAAABMAcAAAAIMy83LzIwMjYIAAAACjEyLzMxLzIwMTgJAAAAATAWrL4k/4HeCEFkHyj/gd4IL0NJUS5OWVNFOklCTS5JUV9UUkVBU1VSWS45OTcuMDcvMDMvMjAyNi4uLlVTRC5IAQAAAN62AQACAAAABy0xNjk0ODQBCAAAAAUAAAABMQEAAAALLTE5NTgyODEwOTYDAAAAAzE2MAIAAAAEMTI0OAQAAAABMAcAAAAIMy83LzIwMjYIAAAACjEyLzMxLzIwMjIJAAAAATAWrL4k/4HeCEFkHyj/gd4ILUNJUS5OWVNFOklCTS5JUV9DT01NT04uOTk3LjA3LzAzLzIwMjYuLi5VU0QuSAEAAADetgEAAgAAAAU1ODM0MwEIAAAABQAAAAExAQAAAAstMTk1ODI4MTA5NgMAAAADMTYwAgAAAAQxMTAzBAAAAAEwBwAAAAgzLzcvMjAyNggAAAAKMTIvMzEvMjAyMgkAAAABMBasviT/gd4IQWQfKP+B3ggxQ0lRLk5ZU0U6SUJNLklRX1BSRUZfT1RIRVIuOTkzLjA3LzAzLzIwMjYuLi5VU0QuSAEAAADetgEAAwAAAAAAFqy+JP+B3gg3PR8o/4HeCDZDSVEuTllTRTpJQk0uSVFfUFJFRl9OT05fUkVERUVNLjk5OS4wNy8wMy8yMDI2Li4uVVNE</t>
  </si>
  <si>
    <t>LkgBAAAA3rYBAAMAAAAAABasviT/gd4INz0fKP+B3ggxQ0lRLk5ZU0U6SUJNLklRX1RPVEFMX0xJQUIuOTk1LjA3LzAzLzIwMjYuLi5VU0QuSAEAAADetgEAAgAAAAYxMzUyNDUBCAAAAAUAAAABMQEAAAALLTIwNTkwNzMyMDIDAAAAAzE2MAIAAAAEMTI3NgQAAAABMAcAAAAIMy83LzIwMjYIAAAACjEyLzMxLzIwMjAJAAAAATAWrL4k/4HeCDc9Hyj/gd4IRENJUS5OWVNFOklCTS5JUV9SVUFfT1BFUkFUSU5HX0xFQVNFX0FDQ1VNX0RFUC45OTcuMDcvMDMvMjAyNi4uLlVTRC5IAQAAAN62AQADAAAAAAAWrL4k/4HeCDc9Hyj/gd4IPkNJUS5OWVNFOklCTS5JUV9SVUFfQ0FQSVRBTF9MRUFTRV9HUk9TUy45OTkuMDcvMDMvMjAyNi4uLlVTRC5IAQAAAN62AQADAAAAAAAWrL4k/4HeCDc9Hyj/gd4ILkNJUS5OWVNFOklCTS5JUV9SVUFfTkVULjk5My4wNy8wMy8yMDI2Li4uVVNELkgBAAAA3rYBAAMAAAAAABasviT/gd4I6RUfKP+B3ggwQ0lRLk5ZU0U6SUJNLklRX1JVQV9HUk9TUy45OTkuMDcvMDMvMjAyNi4uLlVTRC5IAQAAAN62AQADAAAAAAAWrL4k/4HeCOkVHyj/gd4IM0NJUS5OWVNFOklCTS5JUV9UT1RBTF9FUVVJVFkuOTk1LjA3LzAzLzIwMjYuLi5VU0QuSAEAAADetgEAAgAAAAUyMDcyNgEIAAAABQAAAAExAQAAAAstMjA1OTA3MzIwMgMAAAADMTYwAgAAAAQxMjc1BAAAAAEwBwAAAAgzLzcvMjAy</t>
  </si>
  <si>
    <t>NggAAAAKMTIvMzEvMjAyMAkAAAABMBasviT/gd4I6RUfKP+B3gg5Q0lRLk5ZU0U6SUJNLklRX1RCVl9TSEFSRV9SRVBPUlRFRC45OTMuMDcvMDMvMjAyNi4uLlVTRC5IAQAAAN62AQADAAAAAAAWrL4k/4HeCDc9Hyj/gd4IU0NJUS5OWVNFOklCTS5JUV9GSU5BTkNJTkdfT0JMSUdfTk9OX0NVUlJFTlRfRVhDTF9PUEVSX0xFQVNFUy45OTcuMDcvMDMvMjAyNi4uLlVTRC5IAQAAAN62AQACAAAABTQ2MTg5AQgAAAAFAAAAATEBAAAACy0xOTU4MjgxMDk2AwAAAAMxNjACAAAABTQ4OTgxBAAAAAEwBwAAAAgzLzcvMjAyNggAAAAKMTIvMzEvMjAyMgkAAAABMBasviT/gd4INz0fKP+B3ghIQ0lRLk5ZU0U6SUJNLklRX0xUX1BPUlRJT05fT1BFUl9MRUFTRV9MSUFCSUxJVElFUy45OTkuMDcvMDMvMjAyNi4uLlVTRC5IAQAAAN62AQACAAAABDI2NTUBCAAAAAUAAAABMQEAAAALLTE5MDQ4NjA3NDMDAAAAAzE2MAIAAAAFNDgzODMEAAAAATAHAAAACDMvNy8yMDI2CAAAAAoxMi8zMS8yMDI0CQAAAAEwFqy+JP+B3gjpFR8o/4HeCE1DSVEuTllTRTpJQk0uSVFfQ1VSUkVOVF9QT1JUSU9OX09QRVJfTEVBU0VfTElBQklMSVRJRVMuOTkzLjA3LzAzLzIwMjYuLi5VU0QuSAEAAADetgEAAwAAAAAAFqy+JP+B3gjpFR8o/4HeCDxDSVEuTllTRTpJQk0uSVFfTlBQRV9FWENMX09QRVJfTEVBU0VTLjk5NS4wNy8wMy8yMDI2</t>
  </si>
  <si>
    <t>Li4uVVNELkgBAAAA3rYBAAIAAAAENjIwNQEIAAAABQAAAAExAQAAAAstMjA1OTA3MzIwMgMAAAADMTYwAgAAAAU0ODk3NgQAAAABMAcAAAAIMy83LzIwMjYIAAAACjEyLzMxLzIwMjAJAAAAATAWrL4k/4HeCOkVHyj/gd4IN0NJUS5OWVNFOklCTS5JUV9BTExPV19ET1VCVF9BQ0NULjk5NS4wNy8wMy8yMDI2Li4uVVNELkgBAAAA3rYBAAIAAAADMjYwAQgAAAAFAAAAATEBAAAACy0yMDU5MDczMjAyAwAAAAMxNjACAAAABDMwMTIEAAAAATAHAAAACDMvNy8yMDI2CAAAAAoxMi8zMS8yMDIwCQAAAAEwFqy+JP+B3gjpFR8o/4HeCDBDSVEuTllTRTpJQk0uSVFfVE9UQUxfQ0FQLjk5NS4wNy8wMy8yMDI2Li4uVVNELkgBAAAA3rYBAAIAAAAFODU4MTQBCAAAAAUAAAABMQEAAAALLTIwNTkwNzMyMDIDAAAAAzE2MAIAAAAENDE3NQQAAAABMAcAAAAIMy83LzIwMjYIAAAACjEyLzMxLzIwMjAJAAAAATAWrL4k/4HeCOkVHyj/gd4IOUNJUS5OWVNFOklCTS5JUV9UT1RBTF9ERUJUX0NVUlJFTlQuOTk3LjA3LzAzLzIwMjYuLi5VU0QuSAEAAADetgEAAgAAAAQ1NjM0AQgAAAAFAAAAATEBAAAACy0xOTU4MjgxMDk2AwAAAAMxNjACAAAABTI1MjIzBAAAAAEwBwAAAAgzLzcvMjAyNggAAAAKMTIvMzEvMjAyMgkAAAABMBasviT/gd4IJdseKP+B3ggxQ0lRLk5ZU0U6SUJNLklRX0NBU0hfU0hBUkUuOTkzLjA3LzAzLzIw</t>
  </si>
  <si>
    <t>MjYuLi5VU0QuSAEAAADetgEAAgAAAAkxMi43NDk4NzMBCAAAAAUAAAABMQEAAAAKMjA4MTUwNTQwMQMAAAADMTYwAgAAAAQ0MzgxBAAAAAEwBwAAAAgzLzcvMjAyNggAAAAKMTIvMzEvMjAxOAkAAAABMBasviT/gd4IJdseKP+B3ggqQ0lRLk5ZU0U6SUJNLklRX1RCVi45OTkuMDcvMDMvMjAyNi4uLlVTRC5IAQAAAN62AQACAAAABi00NDA1OQEIAAAABQAAAAExAQAAAAstMTkwNDg2MDc0MwMAAAADMTYwAgAAAAQxMzEwBAAAAAEwBwAAAAgzLzcvMjAyNggAAAAKMTIvMzEvMjAyNAkAAAABMBasviT/gd4IJdseKP+B3gg9Q0lRLk5ZU0U6SUJNLklRX05BVFVSQUxfUkVTT1VSQ0VTX0NPU1QuOTk1LjA3LzAzLzIwMjYuLi5VU0QuSAEAAADetgEAAwAAAAAAFqy+JP+B3ggl2x4o/4HeCCtDSVEuTllTRTpJQk0uSVFfTEFORC45OTcuMDcvMDMvMjAyNi4uLlVTRC5IAQAAAN62AQACAAAAAzIxMwEIAAAABQAAAAExAQAAAAstMTk1ODI4MTA5NgMAAAADMTYwAgAAAAQzMDk4BAAAAAEwBwAAAAgzLzcvMjAyNggAAAAKMTIvMzEvMjAyMgkAAAABMBasviT/gd4I6RUfKP+B3gguQ0lRLk5ZU0U6SUJNLklRX1dJUF9JTlYuOTk3LjA3LzAzLzIwMjYuLi5VU0QuSAEAAADetgEAAgAAAAQxMzk0AQgAAAAFAAAAATEBAAAACy0xOTU4MjgxMDk2AwAAAAMxNjACAAAABDMyMTkEAAAAATAHAAAACDMvNy8yMDI2CAAAAAoxMi8z</t>
  </si>
  <si>
    <t>MS8yMDIyCQAAAAEwFqy+JP+B3ggl2x4o/4HeCCxDSVEuTllTRTpJQk0uSVFfTElGT1IuOTkzLjA3LzAzLzIwMjYuLi5VU0QuSAEAAADetgEAAwAAAAAAFqy+JP+B3ggl2x4o/4HeCDJDSVEuTllTRTpJQk0uSVFfQVJfVU5CSUxMRUQuOTk5LjA3LzAzLzIwMjYuLi5VU0QuSAEAAADetgEAAgAAAAM0MzMBCAAAAAUAAAABMQEAAAALLTE5MDQ4NjA3NDMDAAAAAzE2MAIAAAAFNDU0MjAEAAAAATAHAAAACDMvNy8yMDI2CAAAAAoxMi8zMS8yMDI0CQAAAAEwFqy+JP+B3ggl2x4o/4HeCE1DSVEuTllTRTpJQk0uSVFfTElRVUlEQVRJT05fVkFMVUVfUFJFRkVSUkVEX05PTl9SRURFRU0uOTk1LjA3LzAzLzIwMjYuLi5VU0QuSAEAAADetgEAAwAAAAAAFqy+JP+B3ggl2x4o/4HeCEJDSVEuTllTRTpJQk0uSVFfR0VORVJBTF9QQVJUTkVSX1BSRUZfRVFVSVRZLjk5Ny4wNy8wMy8yMDI2Li4uVVNELkgBAAAA3rYBAAMAAAAAABasviT/gd4IJdseKP+B3gg+Q0lRLk5ZU0U6SUJNLklRX01JTk9SSVRZX0lOVF9SRURFRU1fVE9ULjk5OS4wNy8wMy8yMDI2Li4uVVNELkgBAAAA3rYBAAMAAAAAABasviT/gd4IGbQeKP+B3ghCQ0lRLk5ZU0U6SUJNLklRX0ZJTl9ESVZfTUlOT1JJVFlfSU5UX1JFREVFTS45OTMuMDcvMDMvMjAyNi4uLlVTRC5IAQAAAN62AQADAAAAAAAWrL4k/4HeCCXbHij/gd4IPENJUS5OWVNFOklCTS5J</t>
  </si>
  <si>
    <t>UV9MRUFTRUhPTERfSU1QUk9WRU1FTlQuOTk5LjA3LzAzLzIwMjYuLi5VU0QuSAEAAADetgEAAwAAAAAAFqy+JP+B3ggl2x4o/4HeCDlDSVEuTllTRTpJQk0uSVFfRklOX0RJVl9ERUJUX1RPVEFMLjk5Ny4wNy8wMy8yMDI2Li4uVVNELkgBAAAA3rYBAAIAAAAFMTI4NzIBCAAAAAUAAAABMQEAAAALLTE5NTgyODEwOTYDAAAAAzE2MAIAAAAFMjQ1MTYEAAAAATAHAAAACDMvNy8yMDI2CAAAAAoxMi8zMS8yMDIyCQAAAAEwFqy+JP+B3ggl2x4o/4HeCDxDSVEuTllTRTpJQk0uSVFfRklOX0RJVl9MVF9ERUJUX1RPVEFMLjk5My4wNy8wMy8yMDI2Li4uVVNELkgBAAAA3rYBAAIAAAAFMzEyMjcBCAAAAAUAAAABMQEAAAAKMjA4MTUwNTQwMQMAAAADMTYwAgAAAAUyNDUxNQQAAAABMAcAAAAIMy83LzIwMjYIAAAACjEyLzMxLzIwMTgJAAAAATAWrL4k/4HeCCXbHij/gd4IOkNJUS5OWVNFOklCTS5JUV9MSUFCSUxJVElFU19MRVZFTF8zLjk5Ny4wNy8wMy8yMDI2Li4uVVNELkgBAAAA3rYBAAMAAAAAABasviT/gd4IGbQeKP+B3ghHQ0lRLk5ZU0U6SUJNLklRX0FTU0VUU19ORVRUSU5HX09USEVSX0FESlVTVE1FTlRTLjk5OS4wNy8wMy8yMDI2Li4uVVNELkgBAAAA3rYBAAMAAAAAABasviT/gd4IGbQeKP+B3gg1Q0lRLk5ZU0U6SUJNLklRX0FTU0VUU19MRVZFTF8zLjk5My4wNy8wMy8yMDI2Li4uVVNELkgBAAAA</t>
  </si>
  <si>
    <t>3rYBAAMAAAAAABasviT/gd4IGbQeKP+B3ghEQ0lRLk5ZU0U6SUJNLklRX0NVUlJFTlRfUE9SVF9ERUJUX0RFUklWQVRJVkVTLjk5Ny4wNy8wMy8yMDI2Li4uVVNELkgBAAAA3rYBAAMAAAAAABasviT/gd4IGbQeKP+B3gg7Q0lRLk5ZU0U6SUJNLklRX1dBUlJBTlRZX0xJQUJJTElUSUVTLjk5My4wNy8wMy8yMDI2Li4uVVNELkgBAAAA3rYBAAMAAAAAABasviT/gd4IGbQeKP+B3gg0Q0lRLk5ZU0U6SUJNLklRX09SREVSX0JBQ0tMT0cuOTk5LjA3LzAzLzIwMjYuLi5VU0QuSAEAAADetgEAAwAAAAAAFqy+JP+B3ggUjR4o/4HeCDxDSVEuTllTRTpJQk0uSVFfUkVTVFJJQ1RFRF9DQVNIX1RPVEFMLjk5NS4wNy8wMy8yMDI2Li4uVVNELkgBAAAA3rYBAAIAAAADNDYzAQgAAAAFAAAAATEBAAAACy0yMDU5MDczMjAyAwAAAAMxNjACAAAABTI0MTkyBAAAAAEwBwAAAAgzLzcvMjAyNggAAAAKMTIvMzEvMjAyMAkAAAABMBasviT/gd4IFI0eKP+B3gg8Q0lRLk5ZU0U6SUJNLklRX0RFQlRfRVFVSVZfT1BFUl9MRUFTRS45OTUuMDcvMDMvMjAyNi4uLlVTRC5IAQAAAN62AQACAAAABTEyMTkyAQgAAAAFAAAAATEBAAAACy0yMDU5MDczMjAyAwAAAAMxNjACAAAABTIxNjcxBAAAAAEwBwAAAAgzLzcvMjAyNggAAAAKMTIvMzEvMjAyMAkAAAABMBasviT/gd4IFI0eKP+B3gg8Q0lRLk5ZU0U6SUJNLklRX0FEVkFOQ0VT</t>
  </si>
  <si>
    <t>X0ZPUl9TVVBQTElFUy45OTkuMDcvMDMvMjAyNi4uLlVTRC5IAQAAAN62AQADAAAAAAAWrL4k/4HeCBm0Hij/gd4IOUNJUS5OWVNFOklCTS5JUV9MVF9NQVJLX1NFQ1VSSVRJRVMuOTkzLjA3LzAzLzIwMjYuLi5VU0QuSAEAAADetgEAAwAAAAAAFqy+JP+B3ggZtB4o/4HeCC9DSVEuTllTRTpJQk0uSVFfR1JPU1NfR1cuOTk5LjA3LzAzLzIwMjYuLi5VU0QuSAEAAADetgEAAwAAAAAAFqy+JP+B3ggUjR4o/4HeCDlDSVEuTllTRTpJQk0uSVFfR1JPU1NfSU5UQU5fQVNTRVRTLjk5NS4wNy8wMy8yMDI2Li4uVVNELkgBAAAA3rYBAAIAAAAFMTY5NDUBCAAAAAUAAAABMQEAAAALLTIwNTkwNzMyMDIDAAAAAzE2MAIAAAAFMjQyOTMEAAAAATAHAAAACDMvNy8yMDI2CAAAAAoxMi8zMS8yMDIwCQAAAAEwFqy+JP+B3ggUjR4o/4HeCEJDSVEuTllTRTpJQk0uSVFfREVSSVZBVElWRV9MSUFCX05PTl9DVVJSRU5ULjk5Ny4wNy8wMy8yMDI2Li4uVVNELkgBAAAA3rYBAAIAAAADNDg4AQgAAAAFAAAAATEBAAAACy0xOTU4MjgxMDk2AwAAAAMxNjACAAAABTQwNDE5BAAAAAEwBwAAAAgzLzcvMjAyNggAAAAKMTIvMzEvMjAyMgkAAAABMBasviT/gd4IFI0eKP+B3gg5Q0lRLk5ZU0U6SUJNLklRX1RPVEFMX0RFQlRfQ1VSUkVOVC45OTYuMDcvMDMvMjAyNi4uLlVTRC5IAQAAAN62AQACAAAABDc3NjEBCAAAAAUAAAABMQEA</t>
  </si>
  <si>
    <t>AAALLTIwMDg2NDcxOTgDAAAAAzE2MAIAAAAFMjUyMjMEAAAAATAHAAAACDMvNy8yMDI2CAAAAAoxMi8zMS8yMDIxCQAAAAEwFqy+JP+B3ggUjR4o/4HeCCpDSVEuTllTRTpJQk0uSVFfVEJWLjk5OC4wNy8wMy8yMDI2Li4uVVNELkgBAAAA3rYBAAIAAAAGLTQ4NjgxAQgAAAAFAAAAATEBAAAACy0xOTA0ODYwNzQ0AwAAAAMxNjACAAAABDEzMTAEAAAAATAHAAAACDMvNy8yMDI2CAAAAAoxMi8zMS8yMDIzCQAAAAEwFqy+JP+B3ggUjR4o/4HeCDlDSVEuTllTRTpJQk0uSVFfVEJWX1NIQVJFX1JFUE9SVEVELjk5Mi4wNy8wMy8yMDI2Li4uVVNELkgBAAAA3rYBAAMAAAAAABasviT/gd4ItWUeKP+B3ggwQ0lRLk5ZU0U6SUJNLklRX0JWX1NIQVJFLjEwMDAuMDcvMDMvMjAyNi4uLlVTRC5IAQAAAN62AQACAAAACTM0Ljg0NDg5NgEIAAAABQAAAAExAQAAAAstMTkwNDg2MDc0MAMAAAADMTYwAgAAAAQ0MDIwBAAAAAEwBwAAAAgzLzcvMjAyNggAAAAKMTIvMzEvMjAyNQkAAAABMBasviT/gd4ItWUeKP+B3gg2Q0lRLk5ZU0U6SUJNLklRX0lOVEVSQ09NUEFOWV9DQS45OTcuMDcvMDMvMjAyNi4uLlVTRC5IAQAAAN62AQADAAAAAAAWrL4k/4HeCLVlHij/gd4ILENJUS5OWVNFOklCTS5JUV9MSUZPUi45OTIuMDcvMDMvMjAyNi4uLlVTRC5IAQAAAN62AQADAAAAAAAWrL4k/4HeCLVlHij/gd4IMkNJUS5OWVNFOklC</t>
  </si>
  <si>
    <t>TS5JUV9BUl9VTkJJTExFRC45OTguMDcvMDMvMjAyNi4uLlVTRC5IAQAAAN62AQACAAAABDEzMjEBCAAAAAUAAAABMQEAAAALLTE5MDQ4NjA3NDQDAAAAAzE2MAIAAAAFNDU0MjAEAAAAATAHAAAACDMvNy8yMDI2CAAAAAoxMi8zMS8yMDIzCQAAAAEwFqy+JP+B3ggUjR4o/4HeCDRDSVEuTllTRTpJQk0uSVFfRVFVSVRZX01FVEhPRC45OTIuMDcvMDMvMjAyNi4uLlVTRC5IAQAAAN62AQACAAAAAjkwAQgAAAAFAAAAATEBAAAACjIwMTcxNjQyNDQDAAAAAzE2MAIAAAAEMzA2MwQAAAABMAcAAAAIMy83LzIwMjYIAAAACjEyLzMxLzIwMTcJAAAAATAWrL4k/4HeCNoqHij/gd4IM0NJUS5OWVNFOklCTS5JUV9XT1JLSU5HX0NBUC4xMDAwLjA3LzAzLzIwMjYuLi5VU0QuSAEAAADetgEAAgAAAAUtMTcxNAEIAAAABQAAAAExAQAAAAstMTkwNDg2MDc0MAMAAAADMTYwAgAAAAQ0MTY1BAAAAAEwBwAAAAgzLzcvMjAyNggAAAAKMTIvMzEvMjAyNQkAAAABMBasviT/gd4I2ioeKP+B3ggwQ0lRLk5ZU0U6SUJNLklRX1RPVEFMX0NBUC45OTQuMDcvMDMvMjAyNi4uLlVTRC5IAQAAAN62AQACAAAABTg5MTQzAQgAAAAFAAAAATEBAAAACy0yMTEwNzY5MzU1AwAAAAMxNjACAAAABDQxNzUEAAAAATAHAAAACDMvNy8yMDI2CAAAAAoxMi8zMS8yMDE5CQAAAAEwFqy+JP+B3gi1ZR4o/4HeCDxDSVEuTllTRTpJQk0uSVFfTEVB</t>
  </si>
  <si>
    <t>U0VIT0xEX0lNUFJPVkVNRU5ULjk5OC4wNy8wMy8yMDI2Li4uVVNELkgBAAAA3rYBAAMAAAAAABasviT/gd4ItWUeKP+B3gg9Q0lRLk5ZU0U6SUJNLklRX05BVFVSQUxfUkVTT1VSQ0VTX0NPU1QuOTk0LjA3LzAzLzIwMjYuLi5VU0QuSAEAAADetgEAAwAAAAAAFqy+JP+B3gi1ZR4o/4HeCDFDSVEuTllTRTpJQk0uSVFfTUFDSElORVJZLjEwMDAuMDcvMDMvMjAyNi4uLlVTRC5IAQAAAN62AQACAAAABTEyODg1AQgAAAAFAAAAATEBAAAACy0xOTA0ODYwNzQwAwAAAAMxNjACAAAABDMxMTQEAAAAATAHAAAACDMvNy8yMDI2CAAAAAoxMi8zMS8yMDI1CQAAAAEwFqy+JP+B3gjaKh4o/4HeCDBDSVEuTllTRTpJQk0uSVFfQlVJTERJTkdTLjk5NC4wNy8wMy8yMDI2Li4uVVNELkgBAAAA3rYBAAIAAAAEOTM2NAEIAAAABQAAAAExAQAAAAstMjExMDc2OTM1NQMAAAADMTYwAgAAAAQzMDIzBAAAAAEwBwAAAAgzLzcvMjAyNggAAAAKMTIvMzEvMjAxOQkAAAABMBasviT/gd4I2ioeKP+B3gguQ0lRLk5ZU0U6SUJNLklRX1dJUF9JTlYuOTk2LjA3LzAzLzIwMjYuLi5VU0QuSAEAAADetgEAAgAAAAQxNDQxAQgAAAAFAAAAATEBAAAACy0yMDA4NjQ3MTk4AwAAAAMxNjACAAAABDMyMTkEAAAAATAHAAAACDMvNy8yMDI2CAAAAAoxMi8zMS8yMDIxCQAAAAEwFqy+JP+B3gjaKh4o/4HeCE1DSVEuTllTRTpJQk0uSVFfTElR</t>
  </si>
  <si>
    <t>VUlEQVRJT05fVkFMVUVfUFJFRkVSUkVEX05PTl9SRURFRU0uOTk0LjA3LzAzLzIwMjYuLi5VU0QuSAEAAADetgEAAwAAAAAAFqy+JP+B3gjaKh4o/4HeCEZDSVEuTllTRTpJQk0uSVFfVE9UQUxfR0VORVJBTF9QQVJUTkVSX0lOVEVSRVNULjEwMDAuMDcvMDMvMjAyNi4uLlVTRC5IAQAAAN62AQADAAAAAAAWrL4k/4HeCNoqHij/gd4IQkNJUS5OWVNFOklCTS5JUV9HRU5FUkFMX1BBUlRORVJfUFJFRl9FUVVJVFkuOTk2LjA3LzAzLzIwMjYuLi5VU0QuSAEAAADetgEAAwAAAAAAFqy+JP+B3gg66h0o/4HeCEBDSVEuTllTRTpJQk0uSVFfRklOX0RJVl9NSU5PUklUWV9JTlRFUkVTVC45OTYuMDcvMDMvMjAyNi4uLlVTRC5IAQAAAN62AQADAAAAAAAWrL4k/4HeCJIDHij/gd4IQkNJUS5OWVNFOklCTS5JUV9GSU5fRElWX01JTk9SSVRZX0lOVF9SRURFRU0uOTkyLjA3LzAzLzIwMjYuLi5VU0QuSAEAAADetgEAAwAAAAAAFqy+JP+B3giSAx4o/4HeCD5DSVEuTllTRTpJQk0uSVFfTElBQklMSVRJRVNfRkFJUl9WQUxVRS4xMDAwLjA3LzAzLzIwMjYuLi5VU0QuSAEAAADetgEAAgAAAAM1MTMAFqy+JP+B3giSAx4o/4HeCDpDSVEuTllTRTpJQk0uSVFfTElBQklMSVRJRVNfTEVWRUxfMy45OTYuMDcvMDMvMjAyNi4uLlVTRC5IAQAAAN62AQADAAAAAAAWrL4k/4HeCJIDHij/gd4IR0NJUS5OWVNFOklCTS5JUV9B</t>
  </si>
  <si>
    <t>U1NFVFNfTkVUVElOR19PVEhFUl9BREpVU1RNRU5UUy45OTguMDcvMDMvMjAyNi4uLlVTRC5IAQAAAN62AQADAAAAAAAWrL4k/4HeCI/CHSj/gd4INUNJUS5OWVNFOklCTS5JUV9BU1NFVFNfTEVWRUxfMy45OTIuMDcvMDMvMjAyNi4uLlVTRC5IAQAAAN62AQADAAAAAAAWrL4k/4HeCI/CHSj/gd4INUNJUS5OWVNFOklCTS5JUV9BU1NFVFNfTEVWRUxfMS45OTguMDcvMDMvMjAyNi4uLlVTRC5IAQAAAN62AQACAAAAAzUxOQAWrL4k/4HeCI/CHSj/gd4IO0NJUS5OWVNFOklCTS5JUV9XQVJSQU5UWV9MSUFCSUxJVElFUy45OTIuMDcvMDMvMjAyNi4uLlVTRC5IAQAAAN62AQADAAAAAAAWrL4k/4HeCH7WHSj/gd4INENJUS5OWVNFOklCTS5JUV9PUkRFUl9CQUNLTE9HLjk5OC4wNy8wMy8yMDI2Li4uVVNELkgBAAAA3rYBAAMAAAAAABasviT/gd4IftYdKP+B3gg6Q0lRLk5ZU0U6SUJNLklRX1RPVEFMX0RFQlRfRVhDTF9GSU4uOTkyLjA3LzAzLzIwMjYuLi5VU0QuSAEAAADetgEAAgAAAAU0Njg1OAEIAAAABQAAAAExAQAAAAoyMDE3MTY0MjQ0AwAAAAMxNjACAAAABTIxODYwBAAAAAEwBwAAAAgzLzcvMjAyNggAAAAKMTIvMzEvMjAxNwkAAAABMBasviT/gd4IfpsdKP+B3gg8Q0lRLk5ZU0U6SUJNLklRX0RFQlRfRVFVSVZfT1BFUl9MRUFTRS45OTQuMDcvMDMvMjAyNi4uLlVTRC5IAQAAAN62AQACAAAABTEy</t>
  </si>
  <si>
    <t>OTg0AQgAAAAFAAAAATEBAAAACy0yMTEwNzY5MzU1AwAAAAMxNjACAAAABTIxNjcxBAAAAAEwBwAAAAgzLzcvMjAyNggAAAAKMTIvMzEvMjAxOQkAAAABMBasviT/gd4IfpsdKP+B3gg5Q0lRLk5ZU0U6SUJNLklRX0ZJTl9ESVZfREVCVF9UT1RBTC45OTYuMDcvMDMvMjAyNi4uLlVTRC5IAQAAAN62AQACAAAABTEzOTI5AQgAAAAFAAAAATEBAAAACy0yMDA4NjQ3MTk4AwAAAAMxNjACAAAABTI0NTE2BAAAAAEwBwAAAAgzLzcvMjAyNggAAAAKMTIvMzEvMjAyMQkAAAABMBasviT/gd4IfpsdKP+B3ggvQ0lRLk5ZU0U6SUJNLklRX0dST1NTX0dXLjk5OC4wNy8wMy8yMDI2Li4uVVNELkgBAAAA3rYBAAMAAAAAABasviT/gd4Ij8IdKP+B3gg5Q0lRLk5ZU0U6SUJNLklRX0dST1NTX0lOVEFOX0FTU0VUUy45OTQuMDcvMDMvMjAyNi4uLlVTRC5IAQAAAN62AQACAAAABTE3NTM4AQgAAAAFAAAAATEBAAAACy0yMTEwNzY5MzU1AwAAAAMxNjACAAAABTI0MjkzBAAAAAEwBwAAAAgzLzcvMjAyNggAAAAKMTIvMzEvMjAxOQkAAAABMBasviT/gd4Ij8IdKP+B3ghBQ0lRLk5ZU0U6SUJNLklRX0RFUklWQVRJVkVfQVNTRVRTX0NVUlJFTlQuMTAwMC4wNy8wMy8yMDI2Li4uVVNELkgBAAAA3rYBAAIAAAADMjMyAQgAAAAFAAAAATEBAAAACy0xOTA0ODYwNzQwAwAAAAMxNjACAAAABDExMDkEAAAAATAHAAAACDMvNy8yMDI2</t>
  </si>
  <si>
    <t>CAAAAAoxMi8zMS8yMDI1CQAAAAEwFqy+JP+B3gh+mx0o/4HeCEBDSVEuTllTRTpJQk0uSVFfREVSSVZBVElWRV9UUkFESU5HX0FTU0VUUy45OTQuMDcvMDMvMjAyNi4uLlVTRC5IAQAAAN62AQADAAAAAAAWrL4k/4HeCH6bHSj/gd4IRENJUS5OWVNFOklCTS5JUV9DVVJSRU5UX1BPUlRfREVCVF9ERVJJVkFUSVZFUy45OTYuMDcvMDMvMjAyNi4uLlVTRC5IAQAAAN62AQADAAAAAAAWrL4k/4HeCH6bHSj/gd4IMkNJUS5OWVNFOklCTS5JUV9BUl9VTkJJTExFRC45OTcuMDcvMDMvMjAyNi4uLlVTRC5IAQAAAN62AQACAAAABDEyNTIBCAAAAAUAAAABMQEAAAALLTE5NTgyODEwOTYDAAAAAzE2MAIAAAAFNDU0MjAEAAAAATAHAAAACDMvNy8yMDI2CAAAAAoxMi8zMS8yMDIyCQAAAAEwFqy+JP+B3gh+mx0o/4HeCDdDSVEuTllTRTpJQk0uSVFfSU5URVJDT01QQU5ZX0NMLjEwMDAuMDcvMDMvMjAyNi4uLlVTRC5IAQAAAN62AQADAAAAAAAWrL4k/4HeCH6bHSj/gd4INkNJUS5OWVNFOklCTS5JUV9JTlRFUkNPTVBBTllfQ0EuOTk2LjA3LzAzLzIwMjYuLi5VU0QuSAEAAADetgEAAwAAAAAAFqy+JP+B3ghtdB0o/4HeCDNDSVEuTllTRTpJQk0uSVFfR1dfSU5UQU5fTkVULjk5Ni4wNy8wMy8yMDI2Li4uVVNELkgBAAAA3rYBAAMAAAAAABasviT/gd4IbXQdKP+B3gg5Q0lRLk5ZU0U6SUJNLklRX0xUX01BUktfU0VD</t>
  </si>
  <si>
    <t>VVJJVElFUy45OTIuMDcvMDMvMjAyNi4uLlVTRC5IAQAAAN62AQADAAAAAAAWrL4k/4HeCG10HSj/gd4IQENJUS5OWVNFOklCTS5JUV9GSU5fRElWX01JTk9SSVRZX0lOVEVSRVNULjk5NS4wNy8wMy8yMDI2Li4uVVNELkgBAAAA3rYBAAMAAAAAABasviT/gd4IbXQdKP+B3gg8Q0lRLk5ZU0U6SUJNLklRX0xFQVNFSE9MRF9JTVBST1ZFTUVOVC45OTcuMDcvMDMvMjAyNi4uLlVTRC5IAQAAAN62AQADAAAAAAAh074k/4HeCH6bHSj/gd4IMENJUS5OWVNFOklCTS5JUV9NQUNISU5FUlkuOTk5LjA3LzAzLzIwMjYuLi5VU0QuSAEAAADetgEAAgAAAAUxMjY4NwEIAAAABQAAAAExAQAAAAstMTkwNDg2MDc0MwMAAAADMTYwAgAAAAQzMTE0BAAAAAEwBwAAAAgzLzcvMjAyNggAAAAKMTIvMzEvMjAyNAkAAAABMCHTviT/gd4IbXQdKP+B3ggwQ0lRLk5ZU0U6SUJNLklRX0JVSUxESU5HUy45OTMuMDcvMDMvMjAyNi4uLlVTRC5IAQAAAN62AQACAAAABDk2NDABCAAAAAUAAAABMQEAAAAKMjA4MTUwNTQwMQMAAAADMTYwAgAAAAQzMDIzBAAAAAEwBwAAAAgzLzcvMjAyNggAAAAKMTIvMzEvMjAxOAkAAAABMCHTviT/gd4IbXQdKP+B3gguQ0lRLk5ZU0U6SUJNLklRX1dJUF9JTlYuOTk1LjA3LzAzLzIwMjYuLi5VU0QuSAEAAADetgEAAgAAAAQxNjQ5AQgAAAAFAAAAATEBAAAACy0yMDU5MDczMjAyAwAAAAMxNjACAAAA</t>
  </si>
  <si>
    <t>BDMyMTkEAAAAATAHAAAACDMvNy8yMDI2CAAAAAoxMi8zMS8yMDIwCQAAAAEwIdO+JP+B3ghtdB0o/4HeCDhDSVEuTllTRTpJQk0uSVFfQVNTRVRTX0ZBSVJfVkFMVUUuOTk1LjA3LzAzLzIwMjYuLi5VU0QuSAEAAADetgEAAgAAAAQ5MTMyACHTviT/gd4IbXQdKP+B3gg1Q0lRLk5ZU0U6SUJNLklRX0FTU0VUU19MRVZFTF8xLjk5Ny4wNy8wMy8yMDI2Li4uVVNELkgBAAAA3rYBAAIAAAADMzA2ACHTviT/gd4IbXQdKP+B3ghNQ0lRLk5ZU0U6SUJNLklRX0xJUVVJREFUSU9OX1ZBTFVFX1BSRUZFUlJFRF9OT05fUkVERUVNLjk5My4wNy8wMy8yMDI2Li4uVVNELkgBAAAA3rYBAAMAAAAAACHTviT/gd4IXk0dKP+B3ghFQ0lRLk5ZU0U6SUJNLklRX1RPVEFMX0dFTkVSQUxfUEFSVE5FUl9JTlRFUkVTVC45OTkuMDcvMDMvMjAyNi4uLlVTRC5IAQAAAN62AQADAAAAAAAh074k/4HeCF5NHSj/gd4ISENJUS5OWVNFOklCTS5JUV9HRU5FUkFMX1BBUlRORVJfTUlOT1JJVFlfSU5URVJFU1QuOTkzLjA3LzAzLzIwMjYuLi5VU0QuSAEAAADetgEAAwAAAAAAIdO+JP+B3gheTR0o/4HeCDxDSVEuTllTRTpJQk0uSVFfREVCVF9FUVVJVl9PUEVSX0xFQVNFLjk5My4wNy8wMy8yMDI2Li4uVVNELkgBAAAA3rYBAAMAAAAAACHTviT/gd4IXk0dKP+B3gg4Q0lRLk5ZU0U6SUJNLklRX0ZJTl9ESVZfU1RfSU5WRVNULjk5OS4w</t>
  </si>
  <si>
    <t>Ny8wMy8yMDI2Li4uVVNELkgBAAAA3rYBAAMAAAAAACHTviT/gd4IbXQdKP+B3gg5Q0lRLk5ZU0U6SUJNLklRX0ZJTl9ESVZfREVCVF9UT1RBTC45OTUuMDcvMDMvMjAyNi4uLlVTRC5IAQAAAN62AQACAAAABTIxMDk4AQgAAAAFAAAAATEBAAAACy0yMDU5MDczMjAyAwAAAAMxNjACAAAABTI0NTE2BAAAAAEwBwAAAAgzLzcvMjAyNggAAAAKMTIvMzEvMjAyMAkAAAABMCHTviT/gd4IXk0dKP+B3gg9Q0lRLk5ZU0U6SUJNLklRX0xJQUJJTElUSUVTX0ZBSVJfVkFMVUUuOTk5LjA3LzAzLzIwMjYuLi5VU0QuSAEAAADetgEAAgAAAAM3MjYAIdO+JP+B3gheTR0o/4HeCDpDSVEuTllTRTpJQk0uSVFfTElBQklMSVRJRVNfTEVWRUxfMy45OTUuMDcvMDMvMjAyNi4uLlVTRC5IAQAAAN62AQADAAAAAAAh074k/4HeCF5NHSj/gd4IL0NJUS5OWVNFOklCTS5JUV9HUk9TU19HVy45OTcuMDcvMDMvMjAyNi4uLlVTRC5IAQAAAN62AQADAAAAAAAh074k/4HeCF5NHSj/gd4IQENJUS5OWVNFOklCTS5JUV9ERVJJVkFUSVZFX0FTU0VUU19DVVJSRU5ULjk5OS4wNy8wMy8yMDI2Li4uVVNELkgBAAAA3rYBAAIAAAADNTc1AQgAAAAFAAAAATEBAAAACy0xOTA0ODYwNzQzAwAAAAMxNjACAAAABDExMDkEAAAAATAHAAAACDMvNy8yMDI2CAAAAAoxMi8zMS8yMDI0CQAAAAEwIdO+JP+B3gheTR0o/4HeCEBDSVEuTllTRTpJQk0u</t>
  </si>
  <si>
    <t>SVFfREVSSVZBVElWRV9UUkFESU5HX0FTU0VUUy45OTMuMDcvMDMvMjAyNi4uLlVTRC5IAQAAAN62AQADAAAAAAAh074k/4HeCE0mHSj/gd4IRENJUS5OWVNFOklCTS5JUV9DVVJSRU5UX1BPUlRfREVCVF9ERVJJVkFUSVZFUy45OTUuMDcvMDMvMjAyNi4uLlVTRC5IAQAAAN62AQADAAAAAAAh074k/4HeCE0mHSj/gd4INENJUS5OWVNFOklCTS5JUV9PUkRFUl9CQUNLTE9HLjk5Ny4wNy8wMy8yMDI2Li4uVVNELkgBAAAA3rYBAAMAAAAAACHTviT/gd4ITSYdKP+B3ggyQ0lRLk5ZU0U6SUJNLklRX0FSX1VOQklMTEVELjk5Ni4wNy8wMy8yMDI2Li4uVVNELkgBAAAA3rYBAAIAAAAEMTE5NAEIAAAABQAAAAExAQAAAAstMjAwODY0NzE5OAMAAAADMTYwAgAAAAU0NTQyMAQAAAABMAcAAAAIMy83LzIwMjYIAAAACjEyLzMxLzIwMjEJAAAAATAh074k/4HeCE0mHSj/gd4INkNJUS5OWVNFOklCTS5JUV9ORVRfV09SS0lOR19DQVAuOTk2LjA3LzAzLzIwMjYuLi5VU0QuSAEAAADetgEAAgAAAAUtMzU2OQEIAAAABQAAAAExAQAAAAstMjAwODY0NzE5OAMAAAADMTYwAgAAAAQxMzExBAAAAAEwBwAAAAgzLzcvMjAyNggAAAAKMTIvMzEvMjAyMQkAAAABMCHTviT/gd4ITSYdKP+B3gg2Q0lRLk5ZU0U6SUJNLklRX0lOVEVSQ09NUEFOWV9DTC45OTkuMDcvMDMvMjAyNi4uLlVTRC5IAQAAAN62AQADAAAAAAAh074k/4He</t>
  </si>
  <si>
    <t>CD//HCj/gd4IOkNJUS5OWVNFOklCTS5JUV9JTlRFUkNPTVBBTllfTk9OX0NBLjk5My4wNy8wMy8yMDI2Li4uVVNELkgBAAAA3rYBAAMAAAAAACHTviT/gd4ITSYdKP+B3ggzQ0lRLk5ZU0U6SUJNLklRX0dXX0lOVEFOX05FVC45OTUuMDcvMDMvMjAyNi4uLlVTRC5IAQAAAN62AQADAAAAAAAh074k/4HeCE0mHSj/gd4IMENJUS5OWVNFOklCTS5JUV9NQUNISU5FUlkuOTk4LjA3LzAzLzIwMjYuLi5VU0QuSAEAAADetgEAAgAAAAUxMjYwNwEIAAAABQAAAAExAQAAAAstMTkwNDg2MDc0NAMAAAADMTYwAgAAAAQzMTE0BAAAAAEwBwAAAAgzLzcvMjAyNggAAAAKMTIvMzEvMjAyMwkAAAABMCHTviT/gd4ITSYdKP+B3ggwQ0lRLk5ZU0U6SUJNLklRX0JVSUxESU5HUy45OTIuMDcvMDMvMjAyNi4uLlVTRC5IAQAAAN62AQACAAAABTEwMDczAQgAAAAFAAAAATEBAAAACjIwMTcxNjQyNDQDAAAAAzE2MAIAAAAEMzAyMwQAAAABMAcAAAAIMy83LzIwMjYIAAAACjEyLzMxLzIwMTcJAAAAATAh074k/4HeCE0mHSj/gd4IMENJUS5OWVNFOklCTS5JUV9PVEhFUl9JTlYuOTk4LjA3LzAzLzIwMjYuLi5VU0QuSAEAAADetgEAAwAAAAAAIdO+JP+B3gg//xwo/4HeCC5DSVEuTllTRTpJQk0uSVFfV0lQX0lOVi45OTQuMDcvMDMvMjAyNi4uLlVTRC5IAQAAAN62AQACAAAABDEzOTkBCAAAAAUAAAABMQEAAAALLTIxMTA3Njkz</t>
  </si>
  <si>
    <t>NTUDAAAAAzE2MAIAAAAEMzIxOQQAAAABMAcAAAAIMy83LzIwMjYIAAAACjEyLzMxLzIwMTkJAAAAATAh074k/4HeCD//HCj/gd4ILUNJUS5OWVNFOklCTS5JUV9MSUZPUi4xMDAwLjA3LzAzLzIwMjYuLi5VU0QuSAEAAADetgEAAwAAAAAAIdO+JP+B3gg//xwo/4HeCEhDSVEuTllTRTpJQk0uSVFfR0VORVJBTF9QQVJUTkVSX01JTk9SSVRZX0lOVEVSRVNULjk5Mi4wNy8wMy8yMDI2Li4uVVNELkgBAAAA3rYBAAMAAAAAACHTviT/gd4IP/8cKP+B3ghDQ0lRLk5ZU0U6SUJNLklRX0RFRl9UQVhfVkFMVUFUSU9OX0FMTE9XQU5DRS4xMDAwLjA3LzAzLzIwMjYuLi5VU0QuSAEAAADetgEAAgAAAAQxMTQzAQgAAAAFAAAAATEBAAAACy0xOTA0ODYwNzQwAwAAAAMxNjACAAAABTQ2MDQ1BAAAAAEwBwAAAAgzLzcvMjAyNggAAAAKMTIvMzEvMjAyNQkAAAABMCHTviT/gd4IP/8cKP+B3ghAQ0lRLk5ZU0U6SUJNLklRX0ZJTl9ESVZfTUlOT1JJVFlfSU5URVJFU1QuOTk0LjA3LzAzLzIwMjYuLi5VU0QuSAEAAADetgEAAwAAAAAAIdO+JP+B3ggw2Bwo/4HeCENDSVEuTllTRTpJQk0uSVFfRklOX0RJVl9NSU5PUklUWV9JTlRfUkVERUVNLjEwMDAuMDcvMDMvMjAyNi4uLlVTRC5IAQAAAN62AQADAAAAAAAh074k/4HeCD//HCj/gd4IPENJUS5OWVNFOklCTS5JUV9MRUFTRUhPTERfSU1QUk9WRU1FTlQuOTk2LjA3LzAz</t>
  </si>
  <si>
    <t>LzIwMjYuLi5VU0QuSAEAAADetgEAAwAAAAAAIdO+JP+B3gg//xwo/4HeCExDSVEuTllTRTpJQk0uSVFfTElBQklMSVRJRVNfTkVUVElOR19PVEhFUl9BREpVU1RNRU5UUy45OTIuMDcvMDMvMjAyNi4uLlVTRC5IAQAAAN62AQADAAAAAAAh074k/4HeCD//HCj/gd4IO0NJUS5OWVNFOklCTS5JUV9MSUFCSUxJVElFU19MRVZFTF8xLjEwMDAuMDcvMDMvMjAyNi4uLlVTRC5IAQAAAN62AQADAAAAAAAh074k/4HeCD//HCj/gd4IOENJUS5OWVNFOklCTS5JUV9BU1NFVFNfRkFJUl9WQUxVRS45OTQuMDcvMDMvMjAyNi4uLlVTRC5IAQAAAN62AQACAAAABDU4MjEAIdO+JP+B3ggw2Bwo/4HeCDVDSVEuTllTRTpJQk0uSVFfQVNTRVRTX0xFVkVMXzEuOTk2LjA3LzAzLzIwMjYuLi5VU0QuSAEAAADetgEAAgAAAAQxMDcwACHTviT/gd4IMNgcKP+B3ghFQ0lRLk5ZU0U6SUJNLklRX1RPVEFMX0dFTkVSQUxfUEFSVE5FUl9JTlRFUkVTVC45OTguMDcvMDMvMjAyNi4uLlVTRC5IAQAAAN62AQADAAAAAAAh074k/4HeCDDYHCj/gd4IPENJUS5OWVNFOklCTS5JUV9ERUJUX0VRVUlWX09QRVJfTEVBU0UuOTkyLjA3LzAzLzIwMjYuLi5VU0QuSAEAAADetgEAAwAAAAAAIdO+JP+B3ggw2Bwo/4HeCDhDSVEuTllTRTpJQk0uSVFfRklOX0RJVl9TVF9JTlZFU1QuOTk4LjA3LzAzLzIwMjYuLi5VU0QuSAEAAADetgEAAwAAAAAA</t>
  </si>
  <si>
    <t>IdO+JP+B3ggw2Bwo/4HeCDlDSVEuTllTRTpJQk0uSVFfRklOX0RJVl9ERUJUX1RPVEFMLjk5NC4wNy8wMy8yMDI2Li4uVVNELkgBAAAA3rYBAAIAAAAFMjQ3MjcBCAAAAAUAAAABMQEAAAALLTIxMTA3NjkzNTUDAAAAAzE2MAIAAAAFMjQ1MTYEAAAAATAHAAAACDMvNy8yMDI2CAAAAAoxMi8zMS8yMDE5CQAAAAEwIdO+JP+B3ggcsRwo/4HeCD1DSVEuTllTRTpJQk0uSVFfRklOX0RJVl9MVF9ERUJUX1RPVEFMLjEwMDAuMDcvMDMvMjAyNi4uLlVTRC5IAQAAAN62AQACAAAABTE1MDkzAQgAAAAFAAAAATEBAAAACy0xOTA0ODYwNzQwAwAAAAMxNjACAAAABTI0NTE1BAAAAAEwBwAAAAgzLzcvMjAyNggAAAAKMTIvMzEvMjAyNQkAAAABMCHTviT/gd4IHLEcKP+B3gg9Q0lRLk5ZU0U6SUJNLklRX0xJQUJJTElUSUVTX0ZBSVJfVkFMVUUuOTk4LjA3LzAzLzIwMjYuLi5VU0QuSAEAAADetgEAAgAAAAU0ODg3NwAh074k/4HeCDDYHCj/gd4IPkNJUS5OWVNFOklCTS5JUV9ERVJJVkFUSVZFX0xJQUJfQ1VSUkVOVC45OTguMDcvMDMvMjAyNi4uLlVTRC5IAQAAAN62AQACAAAAAzI5NAEIAAAABQAAAAExAQAAAAstMTkwNDg2MDc0NAMAAAADMTYwAgAAAAU0MDQxNwQAAAABMAcAAAAIMy83LzIwMjYIAAAACjEyLzMxLzIwMjMJAAAAATAh074k/4HeCDDYHCj/gd4IRENJUS5OWVNFOklCTS5JUV9DVVJSRU5UX1BPUlRf</t>
  </si>
  <si>
    <t>REVCVF9ERVJJVkFUSVZFUy45OTQuMDcvMDMvMjAyNi4uLlVTRC5IAQAAAN62AQADAAAAAAAh074k/4HeCDDYHCj/gd4IPENJUS5OWVNFOklCTS5JUV9XQVJSQU5UWV9MSUFCSUxJVElFUy4xMDAwLjA3LzAzLzIwMjYuLi5VU0QuSAEAAADetgEAAwAAAAAAIdO+JP+B3ggcsRwo/4HeCDRDSVEuTllTRTpJQk0uSVFfT1JERVJfQkFDS0xPRy45OTYuMDcvMDMvMjAyNi4uLlVTRC5IAQAAAN62AQADAAAAAAAh074k/4HeCByxHCj/gd4IQkNJUS5OWVNFOklCTS5JUV9SRVNUUklDVEVEX0NBU0hfTk9OX0NVUlJFTlQuOTk2LjA3LzAzLzIwMjYuLi5VU0QuSAEAAADetgEAAwAAAAAAIdO+JP+B3ggcsRwo/4HeCDNDSVEuTllTRTpJQk0uSVFfR1dfSU5UQU5fTkVULjk5NC4wNy8wMy8yMDI2Li4uVVNELkgBAAAA3rYBAAMAAAAAACHTviT/gd4IHLEcKP+B3gg6Q0lRLk5ZU0U6SUJNLklRX0xUX01BUktfU0VDVVJJVElFUy4xMDAwLjA3LzAzLzIwMjYuLi5VU0QuSAEAAADetgEAAwAAAAAAIdO+JP+B3ggcsRwo/4HeCC9DSVEuTllTRTpJQk0uSVFfR1JPU1NfR1cuOTk2LjA3LzAzLzIwMjYuLi5VU0QuSAEAAADetgEAAwAAAAAAIdO+JP+B3ggPihwo/4HeCEBDSVEuTllTRTpJQk0uSVFfREVSSVZBVElWRV9BU1NFVFNfQ1VSUkVOVC45OTguMDcvMDMvMjAyNi4uLlVTRC5IAQAAAN62AQACAAAAAzMwNAEIAAAABQAAAAEx</t>
  </si>
  <si>
    <t>AQAAAAstMTkwNDg2MDc0NAMAAAADMTYwAgAAAAQxMTA5BAAAAAEwBwAAAAgzLzcvMjAyNggAAAAKMTIvMzEvMjAyMwkAAAABMCHTviT/gd4ID4ocKP+B3ghAQ0lRLk5ZU0U6SUJNLklRX0RFUklWQVRJVkVfVFJBRElOR19BU1NFVFMuOTkyLjA3LzAzLzIwMjYuLi5VU0QuSAEAAADetgEAAgAAAAEyAQgAAAAFAAAAATEBAAAACjIwMTcxNjQyNDQDAAAAAzE2MAIAAAAFNDA0MTUEAAAAATAHAAAACDMvNy8yMDI2CAAAAAoxMi8zMS8yMDE3CQAAAAEwIdO+JP+B3ggPihwo/4HeCD9DSVEuTllTRTpJQk0uSVFfRklOQU5DRV9MRUFTRVNfTE9OR19URVJNLjk5NS4wNy8wMy8yMDI2Li4uVVNELkgBAAAA3rYBAAIAAAACNjABCAAAAAUAAAABMQEAAAALLTIwNTkwNzMyMDIDAAAAAzE2MAIAAAAFNDg5OTEEAAAAATAHAAAACDMvNy8yMDI2CAAAAAoxMi8zMS8yMDIwCQAAAAEwIdO+JP+B3ggcsRwo/4HeCDxDSVEuTllTRTpJQk0uSVFfR1BQRV9FWENMX09QRVJfTEVBU0VTLjk5Ny4wNy8wMy8yMDI2Li4uVVNELkgBAAAA3rYBAAIAAAAFMTg2OTUBCAAAAAUAAAABMQEAAAALLTE5NTgyODEwOTYDAAAAAzE2MAIAAAAFNDg5NzQEAAAAATAHAAAACDMvNy8yMDI2CAAAAAoxMi8zMS8yMDIyCQAAAAEwIdO+JP+B3ggcsRwo/4HeCDZDSVEuTllTRTpJQk0uSVFfSU5URVJDT01QQU5ZX0NMLjk5OC4wNy8wMy8yMDI2Li4uVVNE</t>
  </si>
  <si>
    <t>LkgBAAAA3rYBAAMAAAAAACHTviT/gd4ID4ocKP+B3gg6Q0lRLk5ZU0U6SUJNLklRX0lOVEVSQ09NUEFOWV9OT05fQ0EuOTkyLjA3LzAzLzIwMjYuLi5VU0QuSAEAAADetgEAAwAAAAAAIdO+JP+B3ggPihwo/4HeCC5DSVEuTllTRTpJQk0uSVFfR1dfTkVULjEwMDAuMDcvMDMvMjAyNi4uLlVTRC5IAQAAAN62AQACAAAABTY3NzE3AQgAAAAFAAAAATEBAAAACy0xOTA0ODYwNzQwAwAAAAMxNjACAAAABTQ4OTYwBAAAAAEwBwAAAAgzLzcvMjAyNggAAAAKMTIvMzEvMjAyNQkAAAABMCHTviT/gd4ID4ocKP+B3gg4Q0lRLk5ZU0U6SUJNLklRX0JWX1NIQVJFX1JFUE9SVEVELjk5NS4wNy8wMy8yMDI2Li4uVVNELkgBAAAA3rYBAAMAAAAAACHTviT/gd4ID4ocKP+B3gg9Q0lRLk5ZU0U6SUJNLklRX1RPVEFMX0RFQlRfRVhDTF9MRUFTRVMuOTk3LjA3LzAzLzIwMjYuLi5VU0QuSAEAAADetgEAAgAAAAU1MDcxMAEIAAAABQAAAAExAQAAAAstMTk1ODI4MTA5NgMAAAADMTYwAgAAAAU0ODk5MgQAAAABMAcAAAAIMy83LzIwMjYIAAAACjEyLzMxLzIwMjIJAAAAATAh074k/4HeCA+KHCj/gd4IM0NJUS5OWVNFOklCTS5JUV9UT1RBTF9MRUFTRVMuOTk5LjA3LzAzLzIwMjYuLi5VU0QuSAEAAADetgEAAgAAAAQ0NDI0AQgAAAAFAAAAATEBAAAACy0xOTA0ODYwNzQzAwAAAAMxNjACAAAABTQ4OTc5BAAAAAEwBwAAAAgz</t>
  </si>
  <si>
    <t>LzcvMjAyNggAAAAKMTIvMzEvMjAyNAkAAAABMCHTviT/gd4I/2IcKP+B3gg4Q0lRLk5ZU0U6SUJNLklRX1RPVEFMX09QRVJfTEVBU0VTLjk5My4wNy8wMy8yMDI2Li4uVVNELkgBAAAA3rYBAAMAAAAAACHTviT/gd4I/2IcKP+B3ghNQ0lRLk5ZU0U6SUJNLklRX0NVUlJFTlRfUE9SVElPTl9PUEVSX0xFQVNFX0xJQUJJTElUSUVTLjk5OS4wNy8wMy8yMDI2Li4uVVNELkgBAAAA3rYBAAIAAAADNzY4AQgAAAAFAAAAATEBAAAACy0xOTA0ODYwNzQzAwAAAAMxNjACAAAABTQ4Mzg1BAAAAAEwBwAAAAgzLzcvMjAyNggAAAAKMTIvMzEvMjAyNAkAAAABMCHTviT/gd4I/2IcKP+B3ggsQ0lRLk5ZU0U6SUJNLklRX0xJRk9SLjk5OS4wNy8wMy8yMDI2Li4uVVNELkgBAAAA3rYBAAMAAAAAACHTviT/gd4I/2IcKP+B3gg2Q0lRLk5ZU0U6SUJNLklRX05FVF9XT1JLSU5HX0NBUC45OTUuMDcvMDMvMjAyNi4uLlVTRC5IAQAAAN62AQACAAAABS02MzQxAQgAAAAFAAAAATEBAAAACy0yMDU5MDczMjAyAwAAAAMxNjACAAAABDEzMTEEAAAAATAHAAAACDMvNy8yMDI2CAAAAAoxMi8zMS8yMDIwCQAAAAEwIdO+JP+B3ggPihwo/4HeCC9DSVEuTllTRTpJQk0uSVFfTkVUX0RFQlQuOTk3LjA3LzAzLzIwMjYuLi5VU0QuSAEAAADetgEAAgAAAAU0NTI3NQEIAAAABQAAAAExAQAAAAstMTk1ODI4MTA5NgMAAAADMTYwAgAAAAQ0</t>
  </si>
  <si>
    <t>MzY0BAAAAAEwBwAAAAgzLzcvMjAyNggAAAAKMTIvMzEvMjAyMgkAAAABMCHTviT/gd4I/2IcKP+B3ggxQ0lRLk5ZU0U6SUJNLklRX0NBU0hfU0hBUkUuOTk5LjA3LzAzLzIwMjYuLi5VU0QuSAEAAADetgEAAgAAAAkxNS4wNTY4MzgBCAAAAAUAAAABMQEAAAALLTE5MDQ4NjA3NDMDAAAAAzE2MAIAAAAENDM4MQQAAAABMAcAAAAIMy83LzIwMjYIAAAACjEyLzMxLzIwMjQJAAAAATAh074k/4HeCP9iHCj/gd4IL0NJUS5OWVNFOklCTS5JUV9HV19JTlRBTi45OTMuMDcvMDMvMjAyNi4uLlVTRC5IAQAAAN62AQACAAAABTM5MzUyAQgAAAAFAAAAATEBAAAACjIwODE1MDU0MDEDAAAAAzE2MAIAAAAFMzUzODEEAAAAATAHAAAACDMvNy8yMDI2CAAAAAoxMi8zMS8yMDE4CQAAAAEwIdO+JP+B3gj/Yhwo/4HeCEJDSVEuTllTRTpJQk0uSVFfRklOX0RJVl9NSU5PUklUWV9JTlRfUkVERUVNLjk5OS4wNy8wMy8yMDI2Li4uVVNELkgBAAAA3rYBAAMAAAAAACHTviT/gd4I/2IcKP+B3gg8Q0lRLk5ZU0U6SUJNLklRX0xFQVNFSE9MRF9JTVBST1ZFTUVOVC45OTUuMDcvMDMvMjAyNi4uLlVTRC5IAQAAAN62AQADAAAAAAAh074k/4HeCP9iHCj/gd4IL0NJUS5OWVNFOklCTS5JUV9TT0ZUV0FSRS45OTUuMDcvMDMvMjAyNi4uLlVTRC5IAQAAAN62AQADAAAAAAAh074k/4HeCI47HCj/gd4IMENJUS5OWVNFOklCTS5JUV9P</t>
  </si>
  <si>
    <t>VEhFUl9JTlYuOTk3LjA3LzAzLzIwMjYuLi5VU0QuSAEAAADetgEAAwAAAAAAIdO+JP+B3giOOxwo/4HeCC5DSVEuTllTRTpJQk0uSVFfV0lQX0lOVi45OTMuMDcvMDMvMjAyNi4uLlVTRC5IAQAAAN62AQACAAAABDE0MTUBCAAAAAUAAAABMQEAAAAKMjA4MTUwNTQwMQMAAAADMTYwAgAAAAQzMjE5BAAAAAEwBwAAAAgzLzcvMjAyNggAAAAKMTIvMzEvMjAxOAkAAAABMCHTviT/gd4IjjscKP+B3gg1Q0lRLk5ZU0U6SUJNLklRX0FTU0VUU19MRVZFTF8zLjk5OS4wNy8wMy8yMDI2Li4uVVNELkgBAAAA3rYBAAMAAAAAACHTviT/gd4IjjscKP+B3gg1Q0lRLk5ZU0U6SUJNLklRX0FTU0VUU19MRVZFTF8xLjk5NS4wNy8wMy8yMDI2Li4uVVNELkgBAAAA3rYBAAIAAAADMTUwACHTviT/gd4IjjscKP+B3ghFQ0lRLk5ZU0U6SUJNLklRX1RPVEFMX0dFTkVSQUxfUEFSVE5FUl9JTlRFUkVTVC45OTcuMDcvMDMvMjAyNi4uLlVTRC5IAQAAAN62AQADAAAAAAAh074k/4HeCI47HCj/gd4IRENJUS5OWVNFOklCTS5JUV9HRU5FUkFMX1BBUlRORVJfQ09NTU9OX0VRVUlUWS45OTcuMDcvMDMvMjAyNi4uLlVTRC5IAQAAAN62AQADAAAAAAAh074k/4HeCI47HCj/gd4IQENJUS5OWVNFOklCTS5JUV9GSU5fRElWX01JTk9SSVRZX0lOVEVSRVNULjk5My4wNy8wMy8yMDI2Li4uVVNELkgBAAAA3rYBAAMAAAAAACHTviT/gd4I</t>
  </si>
  <si>
    <t>jjscKP+B3gg4Q0lRLk5ZU0U6SUJNLklRX0ZJTl9ESVZfU1RfSU5WRVNULjk5Ny4wNy8wMy8yMDI2Li4uVVNELkgBAAAA3rYBAAMAAAAAACHTviT/gd4IjjscKP+B3gg8Q0lRLk5ZU0U6SUJNLklRX0ZJTl9ESVZfTFRfREVCVF9UT1RBTC45OTkuMDcvMDMvMjAyNi4uLlVTRC5IAQAAAN62AQACAAAABTEyMTE2AQgAAAAFAAAAATEBAAAACy0xOTA0ODYwNzQzAwAAAAMxNjACAAAABTI0NTE1BAAAAAEwBwAAAAgzLzcvMjAyNggAAAAKMTIvMzEvMjAyNAkAAAABMCHTviT/gd4IjjscKP+B3gg9Q0lRLk5ZU0U6SUJNLklRX0xJQUJJTElUSUVTX0ZBSVJfVkFMVUUuOTk3LjA3LzAzLzIwMjYuLi5VU0QuSAEAAADetgEAAgAAAAU0MzU0OAAh074k/4HeCPz5Gyj/gd4IOkNJUS5OWVNFOklCTS5JUV9MSUFCSUxJVElFU19MRVZFTF8xLjk5OS4wNy8wMy8yMDI2Li4uVVNELkgBAAAA3rYBAAMAAAAAACHTviT/gd4I/PkbKP+B3gg4Q0lRLk5ZU0U6SUJNLklRX0FTU0VUU19GQUlSX1ZBTFVFLjk5My4wNy8wMy8yMDI2Li4uVVNELkgBAAAA3rYBAAIAAAAEOTA1MQAh074k/4HeCPz5Gyj/gd4IPkNJUS5OWVNFOklCTS5JUV9ERVJJVkFUSVZFX0xJQUJfQ1VSUkVOVC45OTcuMDcvMDMvMjAyNi4uLlVTRC5IAQAAAN62AQACAAAAAzU0NgEIAAAABQAAAAExAQAAAAstMTk1ODI4MTA5NgMAAAADMTYwAgAAAAU0MDQxNwQAAAAB</t>
  </si>
  <si>
    <t>MAcAAAAIMy83LzIwMjYIAAAACjEyLzMxLzIwMjIJAAAAATAh074k/4HeCPz5Gyj/gd4IRENJUS5OWVNFOklCTS5JUV9DVVJSRU5UX1BPUlRfREVCVF9ERVJJVkFUSVZFUy45OTMuMDcvMDMvMjAyNi4uLlVTRC5IAQAAAN62AQADAAAAAAAh074k/4HeCPz5Gyj/gd4IO0NJUS5OWVNFOklCTS5JUV9XQVJSQU5UWV9MSUFCSUxJVElFUy45OTkuMDcvMDMvMjAyNi4uLlVTRC5IAQAAAN62AQADAAAAAAAh074k/4HeCPz5Gyj/gd4IPUNJUS5OWVNFOklCTS5JUV9DT05USU5HRU5UX0xJQUJJTElUSUVTLjk5My4wNy8wMy8yMDI2Li4uVVNELkgBAAAA3rYBAAMAAAAAACHTviT/gd4I/PkbKP+B3ghCQ0lRLk5ZU0U6SUJNLklRX1JFU1RSSUNURURfQ0FTSF9OT05fQ1VSUkVOVC45OTUuMDcvMDMvMjAyNi4uLlVTRC5IAQAAAN62AQADAAAAAAAh074k/4HeCPz5Gyj/gd4IMENJUS5OWVNFOklCTS5JUV9JTlRBTl9ORVQuOTk3LjA3LzAzLzIwMjYuLi5VU0QuSAEAAADetgEAAgAAAAUxMTE4NAEIAAAABQAAAAExAQAAAAstMTk1ODI4MTA5NgMAAAADMTYwAgAAAAU0ODk2MgQAAAABMAcAAAAIMy83LzIwMjYIAAAACjEyLzMxLzIwMjIJAAAAATAh074k/4HeCPz5Gyj/gd4IM0NJUS5OWVNFOklCTS5JUV9HV19JTlRBTl9ORVQuOTkzLjA3LzAzLzIwMjYuLi5VU0QuSAEAAADetgEAAwAAAAAAIdO+JP+B3gj8+Rso/4HeCDlD</t>
  </si>
  <si>
    <t>SVEuTllTRTpJQk0uSVFfTFRfTUFSS19TRUNVUklUSUVTLjk5OS4wNy8wMy8yMDI2Li4uVVNELkgBAAAA3rYBAAMAAAAAACHTviT/gd4I/PkbKP+B3ggvQ0lRLk5ZU0U6SUJNLklRX0dST1NTX0dXLjk5NS4wNy8wMy8yMDI2Li4uVVNELkgBAAAA3rYBAAMAAAAAACHTviT/gd4I/PkbKP+B3gg7Q0lRLk5ZU0U6SUJNLklRX0RFUklWQVRJVkVfQVNTRVRTX0xULjk5NS4wNy8wMy8yMDI2Li4uVVNELkgBAAAA3rYBAAIAAAADMTUxAQgAAAAFAAAAATEBAAAACy0yMDU5MDczMjAyAwAAAAMxNjACAAAABDExMTAEAAAAATAHAAAACDMvNy8yMDI2CAAAAAoxMi8zMS8yMDIwCQAAAAEwIdO+JP+B3gj8+Rso/4HeCC9DSVEuTllTRTpJQk0uSVFfU09GVFdBUkUuOTk0LjA3LzAzLzIwMjYuLi5VU0QuSAEAAADetgEAAwAAAAAAIdO+JP+B3gj8+Rso/4HeCDBDSVEuTllTRTpJQk0uSVFfT1RIRVJfSU5WLjk5Ni4wNy8wMy8yMDI2Li4uVVNELkgBAAAA3rYBAAMAAAAAACHTviT/gd4I/PkbKP+B3ggsQ0lRLk5ZU0U6SUJNLklRX0xJRk9SLjk5OC4wNy8wMy8yMDI2Li4uVVNELkgBAAAA3rYBAAMAAAAAACHTviT/gd4Igr4bKP+B3gg4Q0lRLk5ZU0U6SUJNLklRX0FMTE9XX0RPVUJUX0FDQ1QuMTAwMC4wNy8wMy8yMDI2Li4uVVNELkgBAAAA3rYBAAIAAAACOTkBCAAAAAUAAAABMQEAAAALLTE5MDQ4NjA3NDADAAAAAzE2MAIA</t>
  </si>
  <si>
    <t>AAAEMzAxMgQAAAABMAcAAAAIMy83LzIwMjYIAAAACjEyLzMxLzIwMjUJAAAAATAh074k/4HeCIK+Gyj/gd4INkNJUS5OWVNFOklCTS5JUV9JTlRFUkNPTVBBTllfQ0wuOTk3LjA3LzAzLzIwMjYuLi5VU0QuSAEAAADetgEAAwAAAAAAIdO+JP+B3giCvhso/4HeCERDSVEuTllTRTpJQk0uSVFfR0VORVJBTF9QQVJUTkVSX0NPTU1PTl9FUVVJVFkuOTk2LjA3LzAzLzIwMjYuLi5VU0QuSAEAAADetgEAAwAAAAAAIdO+JP+B3giCvhso/4HeCEBDSVEuTllTRTpJQk0uSVFfRklOX0RJVl9NSU5PUklUWV9JTlRFUkVTVC45OTIuMDcvMDMvMjAyNi4uLlVTRC5IAQAAAN62AQADAAAAAAAh074k/4HeCIK+Gyj/gd4IQkNJUS5OWVNFOklCTS5JUV9GSU5fRElWX01JTk9SSVRZX0lOVF9SRURFRU0uOTk4LjA3LzAzLzIwMjYuLi5VU0QuSAEAAADetgEAAwAAAAAAIdO+JP+B3giCvhso/4HeCDpDSVEuTllTRTpJQk0uSVFfTUlOT1JJVFlfSU5UX1JFREVFTS45OTIuMDcvMDMvMjAyNi4uLlVTRC5IAQAAAN62AQADAAAAAAAh074k/4HeCIK+Gyj/gd4IPkNJUS5OWVNFOklCTS5JUV9OQVRVUkFMX1JFU09VUkNFU19DT1NULjEwMDAuMDcvMDMvMjAyNi4uLlVTRC5IAQAAAN62AQADAAAAAAAh074k/4HeCIK+Gyj/gd4IOENJUS5OWVNFOklCTS5JUV9BU1NFVFNfRkFJUl9WQUxVRS45OTIuMDcvMDMvMjAyNi4uLlVTRC5IAQAA</t>
  </si>
  <si>
    <t>AN62AQACAAAABTEwMTUxACHTviT/gd4Igr4bKP+B3gg1Q0lRLk5ZU0U6SUJNLklRX0FTU0VUU19MRVZFTF8zLjk5OC4wNy8wMy8yMDI2Li4uVVNELkgBAAAA3rYBAAMAAAAAACHTviT/gd4Igr4bKP+B3gg1Q0lRLk5ZU0U6SUJNLklRX0FTU0VUU19MRVZFTF8xLjk5NC4wNy8wMy8yMDI2Li4uVVNELkgBAAAA3rYBAAIAAAADNDI3ACHTviT/gd4IqqobKP+B3ghOQ0lRLk5ZU0U6SUJNLklRX0xJUVVJREFUSU9OX1ZBTFVFX1BSRUZFUlJFRF9OT05fUkVERUVNLjEwMDAuMDcvMDMvMjAyNi4uLlVTRC5IAQAAAN62AQADAAAAAAAh074k/4HeCIK+Gyj/gd4ISkNJUS5OWVNFOklCTS5JUV9MSVFVSURBVElPTl9WQUxVRV9QUkVGRVJSRURfQ09OVkVSVC45OTQuMDcvMDMvMjAyNi4uLlVTRC5IAQAAAN62AQADAAAAAAAh074k/4HeCIK+Gyj/gd4IPUNJUS5OWVNFOklCTS5JUV9ERUJUX0VRVUlWX09QRVJfTEVBU0UuMTAwMC4wNy8wMy8yMDI2Li4uVVNELkgBAAAA3rYBAAIAAAAFMTA0NjQBCAAAAAUAAAABMQEAAAALLTE5MDQ4NjA3NDADAAAAAzE2MAIAAAAFMjE2NzEEAAAAATAHAAAACDMvNy8yMDI2CAAAAAoxMi8zMS8yMDI1CQAAAAEwIdO+JP+B3giCvhso/4HeCDhDSVEuTllTRTpJQk0uSVFfRklOX0RJVl9TVF9JTlZFU1QuOTk2LjA3LzAzLzIwMjYuLi5VU0QuSAEAAADetgEAAwAAAAAAIdO+JP+B3giCvhso</t>
  </si>
  <si>
    <t>/4HeCDxDSVEuTllTRTpJQk0uSVFfRklOX0RJVl9MVF9ERUJUX1RPVEFMLjk5OC4wNy8wMy8yMDI2Li4uVVNELkgBAAAA3rYBAAIAAAAFMTE4NzkBCAAAAAUAAAABMQEAAAALLTE5MDQ4NjA3NDQDAAAAAzE2MAIAAAAFMjQ1MTUEAAAAATAHAAAACDMvNy8yMDI2CAAAAAoxMi8zMS8yMDIzCQAAAAEwIdO+JP+B3ghffBso/4HeCD1DSVEuTllTRTpJQk0uSVFfTElBQklMSVRJRVNfRkFJUl9WQUxVRS45OTYuMDcvMDMvMjAyNi4uLlVTRC5IAQAAAN62AQACAAAABTQ5NjI0ACHTviT/gd4IqqobKP+B3gg6Q0lRLk5ZU0U6SUJNLklRX0xJQUJJTElUSUVTX0xFVkVMXzIuOTk2LjA3LzAzLzIwMjYuLi5VU0QuSAEAAADetgEAAgAAAAU0OTYyNAAh074k/4HeCKqqGyj/gd4IPkNJUS5OWVNFOklCTS5JUV9ERVJJVkFUSVZFX0xJQUJfQ1VSUkVOVC45OTYuMDcvMDMvMjAyNi4uLlVTRC5IAQAAAN62AQACAAAAAjYwAQgAAAAFAAAAATEBAAAACy0yMDA4NjQ3MTk4AwAAAAMxNjACAAAABTQwNDE3BAAAAAEwBwAAAAgzLzcvMjAyNggAAAAKMTIvMzEvMjAyMQkAAAABMCHTviT/gd4IqqobKP+B3gg7Q0lRLk5ZU0U6SUJNLklRX1dBUlJBTlRZX0xJQUJJTElUSUVTLjk5OC4wNy8wMy8yMDI2Li4uVVNELkgBAAAA3rYBAAMAAAAAACHTviT/gd4IqqobKP+B3gg9Q0lRLk5ZU0U6SUJNLklRX0NPTlRJTkdFTlRfTElBQklMSVRJ</t>
  </si>
  <si>
    <t>RVMuOTkyLjA3LzAzLzIwMjYuLi5VU0QuSAEAAADetgEAAwAAAAAAIdO+JP+B3ghffBso/4HeCD1DSVEuTllTRTpJQk0uSVFfUkVTVFJJQ1RFRF9DQVNIX1RPVEFMLjEwMDAuMDcvMDMvMjAyNi4uLlVTRC5IAQAAAN62AQACAAAAAjU0AQgAAAAFAAAAATEBAAAACy0xOTA0ODYwNzQwAwAAAAMxNjACAAAABTI0MTkyBAAAAAEwBwAAAAgzLzcvMjAyNggAAAAKMTIvMzEvMjAyNQkAAAABMCHTviT/gd4IX3wbKP+B3ghCQ0lRLk5ZU0U6SUJNLklRX1JFU1RSSUNURURfQ0FTSF9OT05fQ1VSUkVOVC45OTQuMDcvMDMvMjAyNi4uLlVTRC5IAQAAAN62AQADAAAAAAAh074k/4HeCF98Gyj/gd4IM0NJUS5OWVNFOklCTS5JUV9HV19JTlRBTl9ORVQuOTkyLjA3LzAzLzIwMjYuLi5VU0QuSAEAAADetgEAAwAAAAAAIdO+JP+B3ghffBso/4HeCDlDSVEuTllTRTpJQk0uSVFfTFRfTUFSS19TRUNVUklUSUVTLjk5OC4wNy8wMy8yMDI2Li4uVVNELkgBAAAA3rYBAAMAAAAAACHTviT/gd4IX3wbKP+B3gg1Q0lRLk5ZU0U6SUJNLklRX0FDQ1VNX0FNT1JUX0dXLjk5Mi4wNy8wMy8yMDI2Li4uVVNELkgBAAAA3rYBAAMAAAAAACHTviT/gd4IPlUbKP+B3gg6Q0lRLk5ZU0U6SUJNLklRX0dST1NTX0lOVEFOX0FTU0VUUy4xMDAwLjA3LzAzLzIwMjYuLi5VU0QuSAEAAADetgEAAgAAAAUyMDgzMAEIAAAABQAAAAExAQAAAAstMTkw</t>
  </si>
  <si>
    <t>NDg2MDc0MAMAAAADMTYwAgAAAAUyNDI5MwQAAAABMAcAAAAIMy83LzIwMjYIAAAACjEyLzMxLzIwMjUJAAAAATAh074k/4HeCD5VGyj/gd4IO0NJUS5OWVNFOklCTS5JUV9ERVJJVkFUSVZFX0FTU0VUU19MVC45OTQuMDcvMDMvMjAyNi4uLlVTRC5IAQAAAN62AQACAAAAAjk0AQgAAAAFAAAAATEBAAAACy0yMTEwNzY5MzU1AwAAAAMxNjACAAAABDExMTAEAAAAATAHAAAACDMvNy8yMDI2CAAAAAoxMi8zMS8yMDE5CQAAAAEwIdO+JP+B3gg+VRso/4HeCDFDSVEuTllTRTpJQk0uSVFfVE9UQUxfREVCVC45OTUuMDcvMDMvMjAyNi4uLlVTRC5IAQAAAN62AQACAAAABTY1MDg4AQgAAAAFAAAAATEBAAAACy0yMDU5MDczMjAyAwAAAAMxNjACAAAABDQxNzMEAAAAATAHAAAACDMvNy8yMDI2CAAAAAoxMi8zMS8yMDIwCQAAAAEwIdO+JP+B3ghffBso/4HeCDlDSVEuTllTRTpJQk0uSVFfVEJWX1NIQVJFX1JFUE9SVEVELjk5Ny4wNy8wMy8yMDI2Li4uVVNELkgBAAAA3rYBAAMAAAAAACHTviT/gd4IX3wbKP+B3gg4Q0lRLk5ZU0U6SUJNLklRX0JWX1NIQVJFX1JFUE9SVEVELjk5My4wNy8wMy8yMDI2Li4uVVNELkgBAAAA3rYBAAMAAAAAACHTviT/gd4IPlUbKP+B3gg6Q0lRLk5ZU0U6SUJNLklRX0lOVEVSQ09NUEFOWV9OT05fQ0wuOTk0LjA3LzAzLzIwMjYuLi5VU0QuSAEAAADetgEAAwAAAAAAIdO+JP+B3gg+</t>
  </si>
  <si>
    <t>VRso/4HeCDBDSVEuTllTRTpJQk0uSVFfSU5UQU5fTkVULjk5Ni4wNy8wMy8yMDI2Li4uVVNELkgBAAAA3rYBAAIAAAAFMTI1MTEBCAAAAAUAAAABMQEAAAALLTIwMDg2NDcxOTgDAAAAAzE2MAIAAAAFNDg5NjIEAAAAATAHAAAACDMvNy8yMDI2CAAAAAoxMi8zMS8yMDIxCQAAAAEwIdO+JP+B3gg+VRso/4HeCCxDSVEuTllTRTpJQk0uSVFfTElGT1IuOTk3LjA3LzAzLzIwMjYuLi5VU0QuSAEAAADetgEAAwAAAAAAIdO+JP+B3gg+VRso/4HeCDRDSVEuTllTRTpJQk0uSVFfRVFVSVRZX01FVEhPRC45OTcuMDcvMDMvMjAyNi4uLlVTRC5IAQAAAN62AQACAAAAAzE0MgEIAAAABQAAAAExAQAAAAstMTk1ODI4MTA5NgMAAAADMTYwAgAAAAQzMDYzBAAAAAEwBwAAAAgzLzcvMjAyNggAAAAKMTIvMzEvMjAyMgkAAAABMCHTviT/gd4IPlUbKP+B3gg2Q0lRLk5ZU0U6SUJNLklRX05FVF9XT1JLSU5HX0NBUC45OTMuMDcvMDMvMjAyNi4uLlVTRC5IAQAAAN62AQACAAAABDkxMjkBCAAAAAUAAAABMQEAAAAKMjA4MTUwNTQwMQMAAAADMTYwAgAAAAQxMzExBAAAAAEwBwAAAAgzLzcvMjAyNggAAAAKMTIvMzEvMjAxOAkAAAABMCHTviT/gd4IOS4bKP+B3ggwQ0lRLk5ZU0U6SUJNLklRX1RPVEFMX0NBUC45OTkuMDcvMDMvMjAyNi4uLlVTRC5IAQAAAN62AQACAAAABTg1Nzg5AQgAAAAFAAAAATEBAAAACy0xOTA0ODYw</t>
  </si>
  <si>
    <t>NzQzAwAAAAMxNjACAAAABDQxNzUEAAAAATAHAAAACDMvNy8yMDI2CAAAAAoxMi8zMS8yMDI0CQAAAAEwIdO+JP+B3gg5Lhso/4HeCC9DSVEuTllTRTpJQk0uSVFfTkVUX0RFQlQuOTk1LjA3LzAzLzIwMjYuLi5VU0QuSAEAAADetgEAAgAAAAU1MTMwMAEIAAAABQAAAAExAQAAAAstMjA1OTA3MzIwMgMAAAADMTYwAgAAAAQ0MzY0BAAAAAEwBwAAAAgzLzcvMjAyNggAAAAKMTIvMzEvMjAyMAkAAAABMCHTviT/gd4IOS4bKP+B3ghCQ0lRLk5ZU0U6SUJNLklRX0ZJTl9ESVZfTUlOT1JJVFlfSU5UX1JFREVFTS45OTcuMDcvMDMvMjAyNi4uLlVTRC5IAQAAAN62AQADAAAAAAAh074k/4HeCDkuGyj/gd4IPUNJUS5OWVNFOklCTS5JUV9OQVRVUkFMX1JFU09VUkNFU19DT1NULjk5OS4wNy8wMy8yMDI2Li4uVVNELkgBAAAA3rYBAAMAAAAAACHTviT/gd4IOS4bKP+B3ggvQ0lRLk5ZU0U6SUJNLklRX1NPRlRXQVJFLjk5My4wNy8wMy8yMDI2Li4uVVNELkgBAAAA3rYBAAMAAAAAACHTviT/gd4IOS4bKP+B3ggwQ0lRLk5ZU0U6SUJNLklRX0JVSUxESU5HUy45OTkuMDcvMDMvMjAyNi4uLlVTRC5IAQAAAN62AQACAAAABDQ4MjUBCAAAAAUAAAABMQEAAAALLTE5MDQ4NjA3NDMDAAAAAzE2MAIAAAAEMzAyMwQAAAABMAcAAAAIMy83LzIwMjYIAAAACjEyLzMxLzIwMjQJAAAAATAh074k/4HeCDkuGyj/gd4IMENJUS5O</t>
  </si>
  <si>
    <t>WVNFOklCTS5JUV9PVEhFUl9JTlYuOTk1LjA3LzAzLzIwMjYuLi5VU0QuSAEAAADetgEAAwAAAAAAIdO+JP+B3gg5Lhso/4HeCDpDSVEuTllTRTpJQk0uSVFfTElBQklMSVRJRVNfTEVWRUxfMi45OTUuMDcvMDMvMjAyNi4uLlVTRC5IAQAAAN62AQACAAAABTYyMDg3ACHTviT/gd4IOS4bKP+B3gg1Q0lRLk5ZU0U6SUJNLklRX0FTU0VUU19MRVZFTF8zLjk5Ny4wNy8wMy8yMDI2Li4uVVNELkgBAAAA3rYBAAMAAAAAACHTviT/gd4IOS4bKP+B3ghNQ0lRLk5ZU0U6SUJNLklRX0xJUVVJREFUSU9OX1ZBTFVFX1BSRUZFUlJFRF9OT05fUkVERUVNLjk5OS4wNy8wMy8yMDI2Li4uVVNELkgBAAAA3rYBAAMAAAAAACHTviT/gd4IFwcbKP+B3ghKQ0lRLk5ZU0U6SUJNLklRX0xJUVVJREFUSU9OX1ZBTFVFX1BSRUZFUlJFRF9DT05WRVJULjk5My4wNy8wMy8yMDI2Li4uVVNELkgBAAAA3rYBAAMAAAAAACHTviT/gd4IFwcbKP+B3ghEQ0lRLk5ZU0U6SUJNLklRX0dFTkVSQUxfUEFSVE5FUl9DT01NT05fRVFVSVRZLjk5NS4wNy8wMy8yMDI2Li4uVVNELkgBAAAA3rYBAAMAAAAAACHTviT/gd4IFwcbKP+B3ghCQ0lRLk5ZU0U6SUJNLklRX1JFU1RSSUNURURfQ0FTSF9OT05fQ1VSUkVOVC45OTMuMDcvMDMvMjAyNi4uLlVTRC5IAQAAAN62AQADAAAAAAAh074k/4HeCBcHGyj/gd4IPENJUS5OWVNFOklCTS5JUV9ERUJU</t>
  </si>
  <si>
    <t>X0VRVUlWX09QRVJfTEVBU0UuOTk5LjA3LzAzLzIwMjYuLi5VU0QuSAEAAADetgEAAgAAAAUxMDQ3MgEIAAAABQAAAAExAQAAAAstMTkwNDg2MDc0MwMAAAADMTYwAgAAAAUyMTY3MQQAAAABMAcAAAAIMy83LzIwMjYIAAAACjEyLzMxLzIwMjQJAAAAATAh074k/4HeCBcHGyj/gd4IOENJUS5OWVNFOklCTS5JUV9GSU5fRElWX1NUX0lOVkVTVC45OTUuMDcvMDMvMjAyNi4uLlVTRC5IAQAAAN62AQADAAAAAAAh074k/4HeCAzgGij/gd4IPENJUS5OWVNFOklCTS5JUV9GSU5fRElWX1NUX0RFQlRfVE9UQUwuOTk1LjA3LzAzLzIwMjYuLi5VU0QuSAEAAADetgEAAwAAAAAAIdO+JP+B3ggM4Boo/4HeCEZDSVEuTllTRTpJQk0uSVFfRkFJUl9WQUxVRV9DSEFOR0VfSU5DTF9FQVJOSU5HUy45OTMuMDcvMDMvMjAyNi4uLlVTRC5IAQAAAN62AQADAAAAAAAh074k/4HeCBcHGyj/gd4IO0NJUS5OWVNFOklCTS5JUV9ERVJJVkFUSVZFX0FTU0VUU19MVC45OTMuMDcvMDMvMjAyNi4uLlVTRC5IAQAAAN62AQACAAAAAzM0NwEIAAAABQAAAAExAQAAAAoyMDgxNTA1NDAxAwAAAAMxNjACAAAABDExMTAEAAAAATAHAAAACDMvNy8yMDI2CAAAAAoxMi8zMS8yMDE4CQAAAAEwIdO+JP+B3ggXBxso/4HeCEBDSVEuTllTRTpJQk0uSVFfREVSSVZBVElWRV9UUkFESU5HX0FTU0VUUy45OTkuMDcvMDMvMjAyNi4uLlVTRC5IAQAA</t>
  </si>
  <si>
    <t>AN62AQADAAAAAAAh074k/4HeCBcHGyj/gd4IPkNJUS5OWVNFOklCTS5JUV9ERVJJVkFUSVZFX0xJQUJfQ1VSUkVOVC45OTUuMDcvMDMvMjAyNi4uLlVTRC5IAQAAAN62AQACAAAAAzU4NwEIAAAABQAAAAExAQAAAAstMjA1OTA3MzIwMgMAAAADMTYwAgAAAAU0MDQxNwQAAAABMAcAAAAIMy83LzIwMjYIAAAACjEyLzMxLzIwMjAJAAAAATAh074k/4HeCAzgGij/gd4IO0NJUS5OWVNFOklCTS5JUV9XQVJSQU5UWV9MSUFCSUxJVElFUy45OTcuMDcvMDMvMjAyNi4uLlVTRC5IAQAAAN62AQADAAAAAAAh074k/4HeCAzgGij/gd4IOkNJUS5OWVNFOklCTS5JUV9UT1RBTF9ERUJUX0VYQ0xfRklOLjk5Ny4wNy8wMy8yMDI2Li4uVVNELkgBAAAA3rYBAAIAAAAFNTQwMTMBCAAAAAUAAAABMQEAAAALLTE5NTgyODEwOTYDAAAAAzE2MAIAAAAFMjE4NjAEAAAAATAHAAAACDMvNy8yMDI2CAAAAAoxMi8zMS8yMDIyCQAAAAEwIdO+JP+B3ggM4Boo/4HeCE1DSVEuTllTRTpJQk0uSVFfQ1VSUkVOVF9QT1JUSU9OX09QRVJfTEVBU0VfTElBQklMSVRJRVMuOTk2LjA3LzAzLzIwMjYuLi5VU0QuSAEAAADetgEAAgAAAAM5NzQBCAAAAAUAAAABMQEAAAALLTIwMDg2NDcxOTgDAAAAAzE2MAIAAAAFNDgzODUEAAAAATAHAAAACDMvNy8yMDI2CAAAAAoxMi8zMS8yMDIxCQAAAAEwIdO+JP+B3ggM4Boo/4HeCDpDSVEuTllTRTpJ</t>
  </si>
  <si>
    <t>Qk0uSVFfSU5URVJDT01QQU5ZX05PTl9DTC45OTMuMDcvMDMvMjAyNi4uLlVTRC5IAQAAAN62AQADAAAAAAAh074k/4HeCAzgGij/gd4IMENJUS5OWVNFOklCTS5JUV9JTlRBTl9ORVQuOTk1LjA3LzAzLzIwMjYuLi5VU0QuSAEAAADetgEAAgAAAAUxMzczOQEIAAAABQAAAAExAQAAAAstMjA1OTA3MzIwMgMAAAADMTYwAgAAAAU0ODk2MgQAAAABMAcAAAAIMy83LzIwMjYIAAAACjEyLzMxLzIwMjAJAAAAATAh074k/4HeCPq4Gij/gd4IOUNJUS5OWVNFOklCTS5JUV9MVF9NQVJLX1NFQ1VSSVRJRVMuOTk3LjA3LzAzLzIwMjYuLi5VU0QuSAEAAADetgEAAwAAAAAAIdO+JP+B3gj6uBoo/4HeCDlDSVEuTllTRTpJQk0uSVFfR1JPU1NfSU5UQU5fQVNTRVRTLjk5OS4wNy8wMy8yMDI2Li4uVVNELkgBAAAA3rYBAAIAAAAFMTc5NjQBCAAAAAUAAAABMQEAAAALLTE5MDQ4NjA3NDMDAAAAAzE2MAIAAAAFMjQyOTMEAAAAATAHAAAACDMvNy8yMDI2CAAAAAoxMi8zMS8yMDI0CQAAAAEwIdO+JP+B3gj6uBoo/4HeCDFDSVEuTllTRTpJQk0uSVFfVE9UQUxfREVCVC45OTQuMDcvMDMvMjAyNi4uLlVTRC5IAQAAAN62AQACAAAABTY4MTU4AQgAAAAFAAAAATEBAAAACy0yMTEwNzY5MzU1AwAAAAMxNjACAAAABDQxNzMEAAAAATAHAAAACDMvNy8yMDI2CAAAAAoxMi8zMS8yMDE5CQAAAAEwIdO+JP+B3gj6uBoo/4HeCDlD</t>
  </si>
  <si>
    <t>SVEuTllTRTpJQk0uSVFfVEJWX1NIQVJFX1JFUE9SVEVELjk5Ni4wNy8wMy8yMDI2Li4uVVNELkgBAAAA3rYBAAMAAAAAACHTviT/gd4IDOAaKP+B3ghUQ0lRLk5ZU0U6SUJNLklRX0ZJTkFOQ0lOR19PQkxJR19OT05fQ1VSUkVOVF9FWENMX09QRVJfTEVBU0VTLjEwMDAuMDcvMDMvMjAyNi4uLlVTRC5IAQAAAN62AQACAAAABTU0ODM2AQgAAAAFAAAAATEBAAAACy0xOTA0ODYwNzQwAwAAAAMxNjACAAAABTQ4OTgxBAAAAAEwBwAAAAgzLzcvMjAyNggAAAAKMTIvMzEvMjAyNQkAAAABMCHTviT/gd4I+rgaKP+B3ghPQ0lRLk5ZU0U6SUJNLklRX0ZJTkFOQ0lOR19PQkxJR19DVVJSRU5UX0VYQ0xfT1BFUl9MRUFTRVMuOTk0LjA3LzAzLzIwMjYuLi5VU0QuSAEAAADetgEAAgAAAAQ4Nzk3AQgAAAAFAAAAATEBAAAACy0yMTEwNzY5MzU1AwAAAAMxNjACAAAABTQ4OTgwBAAAAAEwBwAAAAgzLzcvMjAyNggAAAAKMTIvMzEvMjAxOQkAAAABMCHTviT/gd4I+rgaKP+B3gg5Q0lRLk5ZU0U6SUJNLklRX1RPVEFMX09QRVJfTEVBU0VTLjEwMDAuMDcvMDMvMjAyNi4uLlVTRC5IAQAAAN62AQACAAAABDMzNDcBCAAAAAUAAAABMQEAAAALLTE5MDQ4NjA3NDADAAAAAzE2MAIAAAAFNDg5NzgEAAAAATAHAAAACDMvNy8yMDI2CAAAAAoxMi8zMS8yMDI1CQAAAAEwIdO+JP+B3gj6uBoo/4HeCDRDSVEuTllTRTpJQk0uSVFf</t>
  </si>
  <si>
    <t>RVFVSVRZX01FVEhPRC45OTYuMDcvMDMvMjAyNi4uLlVTRC5IAQAAAN62AQACAAAAAzE1OQEIAAAABQAAAAExAQAAAAstMjAwODY0NzE5OAMAAAADMTYwAgAAAAQzMDYzBAAAAAEwBwAAAAgzLzcvMjAyNggAAAAKMTIvMzEvMjAyMQkAAAABMCHTviT/gd4I+rgaKP+B3gg2Q0lRLk5ZU0U6SUJNLklRX05FVF9XT1JLSU5HX0NBUC45OTIuMDcvMDMvMjAyNi4uLlVTRC5IAQAAAN62AQACAAAABDY3NzcBCAAAAAUAAAABMQEAAAAKMjAxNzE2NDI0NAMAAAADMTYwAgAAAAQxMzExBAAAAAEwBwAAAAgzLzcvMjAyNggAAAAKMTIvMzEvMjAxNwkAAAABMCHTviT/gd4I+rgaKP+B3ggwQ0lRLk5ZU0U6SUJNLklRX1RPVEFMX0NBUC45OTguMDcvMDMvMjAyNi4uLlVTRC5IAQAAAN62AQACAAAABTgyNTQ4AQgAAAAFAAAAATEBAAAACy0xOTA0ODYwNzQ0AwAAAAMxNjACAAAABDQxNzUEAAAAATAHAAAACDMvNy8yMDI2CAAAAAoxMi8zMS8yMDIzCQAAAAEwIdO+JP+B3gjxkRoo/4HeCD5DSVEuTllTRTpJQk0uSVFfTUlOT1JJVFlfSU5URVJFU1RfVE9UQUwuOTkyLjA3LzAzLzIwMjYuLi5VU0QuSAEAAADetgEAAgAAAAMxMzEBCAAAAAUAAAABMQEAAAAKMjAxNzE2NDI0NAMAAAADMTYwAgAAAAQxMzEyBAAAAAEwBwAAAAgzLzcvMjAyNggAAAAKMTIvMzEvMjAxNwkAAAABMCHTviT/gd4I8ZEaKP+B3gg6Q0lRLk5ZU0U6SUJN</t>
  </si>
  <si>
    <t>LklRX1RPVEFMX0RFQlRfQ1VSUkVOVC4xMDAwLjA3LzAzLzIwMjYuLi5VU0QuSAEAAADetgEAAgAAAAQ3MjI0AQgAAAAFAAAAATEBAAAACy0xOTA0ODYwNzQwAwAAAAMxNjACAAAABTI1MjIzBAAAAAEwBwAAAAgzLzcvMjAyNggAAAAKMTIvMzEvMjAyNQkAAAABMCHTviT/gd4I8ZEaKP+B3ggvQ0lRLk5ZU0U6SUJNLklRX1NPRlRXQVJFLjk5Mi4wNy8wMy8yMDI2Li4uVVNELkgBAAAA3rYBAAMAAAAAACHTviT/gd4I8ZEaKP+B3ggwQ0lRLk5ZU0U6SUJNLklRX0JVSUxESU5HUy45OTguMDcvMDMvMjAyNi4uLlVTRC5IAQAAAN62AQACAAAABDUzMzMBCAAAAAUAAAABMQEAAAALLTE5MDQ4NjA3NDQDAAAAAzE2MAIAAAAEMzAyMwQAAAABMAcAAAAIMy83LzIwMjYIAAAACjEyLzMxLzIwMjMJAAAAATAh074k/4HeCPq4Gij/gd4IMENJUS5OWVNFOklCTS5JUV9PVEhFUl9JTlYuOTk0LjA3LzAzLzIwMjYuLi5VU0QuSAEAAADetgEAAwAAAAAAIdO+JP+B3gjxkRoo/4HeCC9DSVEuTllTRTpJQk0uSVFfV0lQX0lOVi4xMDAwLjA3LzAzLzIwMjYuLi5VU0QuSAEAAADetgEAAgAAAAM5OTABCAAAAAUAAAABMQEAAAALLTE5MDQ4NjA3NDADAAAAAzE2MAIAAAAEMzIxOQQAAAABMAcAAAAIMy83LzIwMjYIAAAACjEyLzMxLzIwMjUJAAAAATAh074k/4HeCPGRGij/gd4ILkNJUS5OWVNFOklCTS5JUV9SQVdfSU5WLjk5NC4w</t>
  </si>
  <si>
    <t>Ny8wMy8yMDI2Li4uVVNELkgBAAAA3rYBAAMAAAAAACHTviT/gd4I8ZEaKP+B3ghIQ0lRLk5ZU0U6SUJNLklRX0dFTkVSQUxfUEFSVE5FUl9NSU5PUklUWV9JTlRFUkVTVC45OTguMDcvMDMvMjAyNi4uLlVTRC5IAQAAAN62AQADAAAAAAAh074k/4HeCPGRGij/gd4IRENJUS5OWVNFOklCTS5JUV9HRU5FUkFMX1BBUlRORVJfQ09NTU9OX0VRVUlUWS45OTQuMDcvMDMvMjAyNi4uLlVTRC5IAQAAAN62AQADAAAAAAAh074k/4HeCPGRGij/gd4ILUNJUS5OWVNFOklCTS5JUV9NRVJHRVIuOTk1LjA3LzAzLzIwMjYuLi5VU0QuSAEAAADetgEAAwAAAAAAn61LJf+B3gjMj2Yo/4HeCDZDSVEuTllTRTpJQk0uSVFfRElMVVRfRVBTX0VYQ0wuMTAwMC4wNy8wMy8yMDI2Li4uVVNELkgBAAAA3rYBAAIAAAAFMTEuMTQBCAAAAAUAAAABMQEAAAALLTE5MDQ4NjA3NDADAAAAAzE2MAIAAAADMTQyBAAAAAEwBwAAAAgzLzcvMjAyNggAAAAKMTIvMzEvMjAyNQkAAAABMJ+tSyX/gd4IzI9mKP+B3gg1Q0lRLk5ZU0U6SUJNLklRX0RJTFVUX0VQU19JTkNMLjk5NS4wNy8wMy8yMDI2Li4uVVNELkgBAAAA3rYBAAIAAAAINi4yMzI2ODQBCAAAAAUAAAABMQEAAAALLTIwNTkwNzMyMDIDAAAAAzE2MAIAAAABOAQAAAABMAcAAAAIMy83LzIwMjYIAAAACjEyLzMxLzIwMjAJAAAAATCfrUsl/4HeCMyPZij/gd4INUNJUS5OWVNFOklC</t>
  </si>
  <si>
    <t>TS5JUV9CQVNJQ19FUFNfRVhDTC45OTIuMDcvMDMvMjAyNi4uLlVTRC5IAQAAAN62AQACAAAACDYuMTcyNjI1AQgAAAAFAAAAATEBAAAACjIwMTcxNjQyNDQDAAAAAzE2MAIAAAAEMzA2NAQAAAABMAcAAAAIMy83LzIwMjYIAAAACjEyLzMxLzIwMTcJAAAAATCfrUsl/4HeCGZoZij/gd4INUNJUS5OWVNFOklCTS5JUV9QUkVGX0RJVl9PVEhFUi45OTcuMDcvMDMvMjAyNi4uLlVTRC5IAQAAAN62AQADAAAAAACfrUsl/4HeCGZoZij/gd4IO0NJUS5OWVNFOklCTS5JUV9NSU5PUklUWV9JTlRFUkVTVF9JUy45OTQuMDcvMDMvMjAyNi4uLlVTRC5IAQAAAN62AQADAAAAAACfrUsl/4HeCGZoZij/gd4IPUNJUS5OWVNFOklCTS5JUV9FQklUREFfTEVBU0VfQURKVVNURUQuMTAwMC4wNy8wMy8yMDI2Li4uVVNELkgBAAAA3rYBAAIAAAAFMTc0MjYBCAAAAAUAAAABMQEAAAALLTE5MDQ4NjA3NDADAAAAAzE2MAIAAAAFNDg5OTMEAAAAATAHAAAACDMvNy8yMDI2CAAAAAoxMi8zMS8yMDI1CQAAAAEwn61LJf+B3ghmaGYo/4HeCD1DSVEuTllTRTpJQk0uSVFfRUJJVERBX0VRX0lOQ19FWENMX1NCQy45OTkuMDcvMDMvMjAyNi4uLlVTRC5IAQAAAN62AQACAAAABTE0MTk3AQgAAAAFAAAAATEBAAAACy0xOTA0ODYwNzQzAwAAAAMxNjACAAAABTI0MTMxBAAAAAEwBwAAAAgzLzcvMjAyNggAAAAKMTIvMzEvMjAyNAkAAAAB</t>
  </si>
  <si>
    <t>MJ+tSyX/gd4IZmhmKP+B3ggtQ0lRLk5ZU0U6SUJNLklRX0VCSVREQS45OTguMDcvMDMvMjAyNi4uLlVTRC5IAQAAAN62AQACAAAABTEyMjU3AQgAAAAFAAAAATEBAAAACy0xOTA0ODYwNzQ0AwAAAAMxNjACAAAABDQwNTEEAAAAATAHAAAACDMvNy8yMDI2CAAAAAoxMi8zMS8yMDIzCQAAAAEwn61LJf+B3gibLWYo/4HeCD9DSVEuTllTRTpJQk0uSVFfRElTVFJJQlVUQUJMRV9DQVNIX1NIQVJFLjk5NS4wNy8wMy8yMDI2Li4uVVNELkgBAAAA3rYBAAMAAAAAAJ+tSyX/gd4Imy1mKP+B3ghLQ0lRLk5ZU0U6SUJNLklRX0RJU1RSSUJVVEFCTEVfQ0FTSF9QRVJfU0hBUkVfRElMVVRFRC45OTYuMDcvMDMvMjAyNi4uLlVTRC5IAQAAAN62AQADAAAAAACfrUsl/4HeCJstZij/gd4ISUNJUS5OWVNFOklCTS5JUV9QUk9WX0JBRF9ERUJUU19QQVRJRU5UX1NFUlZJQ0VfUkVWLjk5Ni4wNy8wMy8yMDI2Li4uVVNELkgBAAAA3rYBAAMAAAAAAJ+tSyX/gd4Imy1mKP+B3ggvQ0lRLk5ZU0U6SUJNLklRX0VCSVREQVIuMTAwMC4wNy8wMy8yMDI2Li4uVVNELkgBAAAA3rYBAAIAAAAFMTc0MjYBCAAAAAUAAAABMQEAAAALLTE5MDQ4NjA3NDADAAAAAzE2MAIAAAAFMjE2NzQEAAAAATAHAAAACDMvNy8yMDI2CAAAAAoxMi8zMS8yMDI1CQAAAAEwn61LJf+B3ghmaGYo/4HeCDxDSVEuTllTRTpJQk0uSVFfRUJJVEFfRVFfSU5D</t>
  </si>
  <si>
    <t>X0VYQ0xfU0JDLjk5OS4wNy8wMy8yMDI2Li4uVVNELkgBAAAA3rYBAAIAAAAFMTI5MjkBCAAAAAUAAAABMQEAAAALLTE5MDQ4NjA3NDMDAAAAAzE2MAIAAAAFMjQxMzIEAAAAATAHAAAACDMvNy8yMDI2CAAAAAoxMi8zMS8yMDI0CQAAAAEwn61LJf+B3gibLWYo/4HeCDNDSVEuTllTRTpJQk0uSVFfRUJJVF9FUV9JTkMuMTAwMC4wNy8wMy8yMDI2Li4uVVNELkgBAAAA3rYBAAIAAAAFMTI1NjgBCAAAAAUAAAABMQEAAAALLTE5MDQ4NjA3NDADAAAAAzE2MAIAAAAFMjE2NzUEAAAAATAHAAAACDMvNy8yMDI2CAAAAAoxMi8zMS8yMDI1CQAAAAEwn61LJf+B3gibLWYo/4HeCElDSVEuTllTRTpJQk0uSVFfRUJJVERBX0VRX0lOQ19FWENMX09QRVJfTEVBU0VfQURKLjEwMDAuMDcvMDMvMjAyNi4uLlVTRC5IAQAAAN62AQACAAAABTE2MTE4AQgAAAAFAAAAATEBAAAACy0xOTA0ODYwNzQwAwAAAAMxNjACAAAABTQ4OTg3BAAAAAEwBwAAAAgzLzcvMjAyNggAAAAKMTIvMzEvMjAyNQkAAAABMJ+tSyX/gd4Imy1mKP+B3ghBQ0lRLk5ZU0U6SUJNLklRX05PTlJFQ1VSUklOR19JTkNPTUVfVEFYRVMuMTAwMC4wNy8wMy8yMDI2Li4uVVNELkgBAAAA3rYBAAIAAAAFLTExNjEBCAAAAAUAAAABMQEAAAALLTE5MDQ4NjA3NDADAAAAAzE2MAIAAAAFNDg4MzkEAAAAATAHAAAACDMvNy8yMDI2CAAAAAoxMi8zMS8yMDI1CQAA</t>
  </si>
  <si>
    <t>AAEwn61LJf+B3gibLWYo/4HeCD5DSVEuTllTRTpJQk0uSVFfREVGRVJSRURfRk9SRUlHTl9UQVhFUy4xMDAwLjA3LzAzLzIwMjYuLi5VU0QuSAEAAADetgEAAgAAAAQtNzA4AQgAAAAFAAAAATEBAAAACy0xOTA0ODYwNzQwAwAAAAMxNjACAAAABDMwNTUEAAAAATAHAAAACDMvNy8yMDI2CAAAAAoxMi8zMS8yMDI1CQAAAAEwn61LJf+B3gibLWYo/4HeCDpDSVEuTllTRTpJQk0uSVFfQ1VSUl9ET01FU1RJQ19UQVhFUy45OTIuMDcvMDMvMjAyNi4uLlVTRC5IAQAAAN62AQACAAAABDI0NDMBCAAAAAUAAAABMQEAAAAKMjAxNzE2NDI0NAMAAAADMTYwAgAAAAQzMDI3BAAAAAEwBwAAAAgzLzcvMjAyNggAAAAKMTIvMzEvMjAxNwkAAAABMJ+tSyX/gd4Idd9lKP+B3gg4Q0lRLk5ZU0U6SUJNLklRX0lOVkVTVE1FTlRfSU5DT01FLjk5Ni4wNy8wMy8yMDI2Li4uVVNELkgBAAAA3rYBAAMAAAAAAJ+tSyX/gd4Idd9lKP+B3gguQ0lRLk5ZU0U6SUJNLklRX05JX1NGQVMuOTk2LjA3LzAzLzIwMjYuLi5VU0QuSAEAAADetgEAAwAAAAAAn61LJf+B3gh132Uo/4HeCDJDSVEuTllTRTpJQk0uSVFfQURWRVJUSVNJTkcuOTkzLjA3LzAzLzIwMjYuLi5VU0QuSAEAAADetgEAAgAAAAQxNDY2AQgAAAAFAAAAATEBAAAACjIwODE1MDU0MDEDAAAAAzE2MAIAAAAEMzAxMwQAAAABMAcAAAAIMy83LzIwMjYIAAAACjEyLzMxLzIw</t>
  </si>
  <si>
    <t>MTgJAAAAATCfrUsl/4HeCI8GZij/gd4IOUNJUS5OWVNFOklCTS5JUV9ESVNUUklCVVRBQkxFX0NBU0guOTk0LjA3LzAzLzIwMjYuLi5VU0QuSAEAAADetgEAAwAAAAAAn61LJf+B3giPBmYo/4HeCDpDSVEuTllTRTpJQk0uSVFfTk9OQ0FTSF9QRU5TSU9OX0VYUC45OTQuMDcvMDMvMjAyNi4uLlVTRC5IAQAAAN62AQACAAAAAzM5NgEIAAAABQAAAAExAQAAAAstMjExMDc2OTM1NQMAAAADMTYwAgAAAAUyMTY3OAQAAAABMAcAAAAIMy83LzIwMjYIAAAACjEyLzMxLzIwMTkJAAAAATCfrUsl/4HeCGe4ZSj/gd4ISENJUS5OWVNFOklCTS5JUV9JTlRFUkVTVF9FWFBfTEVBU0VfTElBQklMSVRZX0RFQlQuOTk1LjA3LzAzLzIwMjYuLi5VU0QuSAEAAADetgEAAwAAAAAAn61LJf+B3ghnuGUo/4HeCC9DSVEuTllTRTpJQk0uSVFfRElMVVRfTkkuOTk5LjA3LzAzLzIwMjYuLi5VU0QuSAEAAADetgEAAgAAAAs2MDE2LjU3NTA1OAEIAAAABQAAAAExAQAAAAstMTkwNDg2MDc0MwMAAAADMTYwAgAAAAQzNTIyBAAAAAEwBwAAAAgzLzcvMjAyNggAAAAKMTIvMzEvMjAyNAkAAAABMJ+tSyX/gd4IZ7hlKP+B3gg4Q0lRLk5ZU0U6SUJNLklRX0lOU19TRVRUTEVfU1VQUExFLjk5OS4wNy8wMy8yMDI2Li4uVVNELkgBAAAA3rYBAAMAAAAAAJ+tSyX/gd4IZ7hlKP+B3gg+Q0lRLk5ZU0U6SUJNLklRX1NBTEFSSUVTX09USEVS</t>
  </si>
  <si>
    <t>X0JFTkVGSVRTLjk5OC4wNy8wMy8yMDI2Li4uVVNELkgBAAAA3rYBAAMAAAAAAJ+tSyX/gd4Idd9lKP+B3ggzQ0lRLk5ZU0U6SUJNLklRX09USEVSX1JFTlRBTC45OTMuMDcvMDMvMjAyNi4uLlVTRC5IAQAAAN62AQADAAAAAACfrUsl/4HeCFuRZSj/gd4INUNJUS5OWVNFOklCTS5JUV9ORVRfUkVOVEFMX0VYUC45OTUuMDcvMDMvMjAyNi4uLlVTRC5IAQAAAN62AQADAAAAAACfrUsl/4HeCFuRZSj/gd4ILUNJUS5OWVNFOklCTS5JUV9HQV9FWFAuOTkyLjA3LzAzLzIwMjYuLi5VU0QuSAEAAADetgEAAwAAAAAAn61LJf+B3ghnuGUo/4HeCDRDSVEuTllTRTpJQk0uSVFfUFJFX09QRU5fQ09TVC45OTYuMDcvMDMvMjAyNi4uLlVTRC5IAQAAAN62AQADAAAAAACfrUsl/4HeCGe4ZSj/gd4IOENJUS5OWVNFOklCTS5JUV9QUk9WX0JBRF9ERUJUU19DRi45OTMuMDcvMDMvMjAyNi4uLlVTRC5IAQAAAN62AQADAAAAAACfrUsl/4HeCGe4ZSj/gd4IP0NJUS5OWVNFOklCTS5JUV9TVE9DS19CQVNFRF9DT01QX1BSRVRBWC4xMDAwLjA3LzAzLzIwMjYuLi5VU0QuSAEAAADetgEAAgAAAAQxNzE1AJ+tSyX/gd4IS2plKP+B3gg1Q0lRLk5ZU0U6SUJNLklRX1NUT0NLX0JBU0VEX1NNLjk5Ny4wNy8wMy8yMDI2Li4uVVNELkgBAAAA3rYBAAMAAAAAAJ+tSyX/gd4IS2plKP+B3gg4Q0lRLk5ZU0U6SUJNLklRX05FR0FUSVZF</t>
  </si>
  <si>
    <t>X0dXX0FNT1JULjk5My4wNy8wMy8yMDI2Li4uVVNELkgBAAAA3rYBAAMAAAAAAJ+tSyX/gd4IS2plKP+B3gg2Q0lRLk5ZU0U6SUJNLklRX09USEVSX1JFVl9TVVBQTC45OTcuMDcvMDMvMjAyNi4uLlVTRC5IAQAAAN62AQADAAAAAACfrUsl/4HeCEtqZSj/gd4IMUNJUS5OWVNFOklCTS5JUV9OSV9DT01QQU5ZLjk5Ny4wNy8wMy8yMDI2Li4uVVNELkgBAAAA3rYBAAIAAAAEMTYzOQEIAAAABQAAAAExAQAAAAstMTk1ODI4MTA5NgMAAAADMTYwAgAAAAU0MTU3MQQAAAABMAcAAAAIMy83LzIwMjYIAAAACjEyLzMxLzIwMjIJAAAAATCfrUsl/4HeCFuRZSj/gd4INENJUS5OWVNFOklCTS5JUV9JTVBBSVJNRU5UX0dXLjk5My4wNy8wMy8yMDI2Li4uVVNELkgBAAAA3rYBAAMAAAAAAJ+tSyX/gd4IP0NlKP+B3gg2Q0lRLk5ZU0U6SUJNLklRX0dBSU5fSU5WRVNUX1JFVi45OTUuMDcvMDMvMjAyNi4uLlVTRC5IAQAAAN62AQADAAAAAACfrUsl/4HeCD9DZSj/gd4IO0NJUS5OWVNFOklCTS5JUV9PVEhFUl9VTlVTVUFMX1NVUFBMLjEwMDAuMDcvMDMvMjAyNi4uLlVTRC5IAQAAAN62AQADAAAAAACfrUsl/4HeCD9DZSj/gd4IN0NJUS5OWVNFOklCTS5JUV9UT1RBTF9PVEhFUl9PUEVSLjk5OS4wNy8wMy8yMDI2Li4uVVNELkgBAAAA3rYBAAIAAAAFMjU3NjQBCAAAAAUAAAABMQEAAAALLTE5MDQ4NjA3NDMDAAAAAzE2</t>
  </si>
  <si>
    <t>MAIAAAADMzgwBAAAAAEwBwAAAAgzLzcvMjAyNggAAAAKMTIvMzEvMjAyNAkAAAABMJ+tSyX/gd4IP0NlKP+B3ggtQ0lRLk5ZU0U6SUJNLklRX1JEX0VYUC45OTUuMDcvMDMvMjAyNi4uLlVTRC5IAQAAAN62AQACAAAABDYyNjIBCAAAAAUAAAABMQEAAAALLTIwNTkwNzMyMDIDAAAAAzE2MAIAAAADMTAwBAAAAAEwBwAAAAgzLzcvMjAyNggAAAAKMTIvMzEvMjAyMAkAAAABMJ+tSyX/gd4IP0NlKP+B3ggyQ0lRLk5ZU0U6SUJNLklRX0lOU19ESVZfRVhQLjk5OS4wNy8wMy8yMDI2Li4uVVNELkgBAAAA3rYBAAMAAAAAAJ+tSyX/gd4Ir/RkKP+B3gg3Q0lRLk5ZU0U6SUJNLklRX1RPVEFMX09USEVSX09QRVIuOTkyLjA3LzAzLzIwMjYuLi5VU0QuSAEAAADetgEAAgAAAAUyNTI2MQEIAAAABQAAAAExAQAAAAoyMDE3MTY0MjQ0AwAAAAMxNjACAAAAAzM4MAQAAAABMAcAAAAIMy83LzIwMjYIAAAACjEyLzMxLzIwMTcJAAAAATCfrUsl/4HeCPEbZSj/gd4IN0NJUS5OWVNFOklCTS5JUV9HQUlOX0lOVkVTVF9SRVYuMTAwMC4wNy8wMy8yMDI2Li4uVVNELkgBAAAA3rYBAAMAAAAAAJ+tSyX/gd4I8RtlKP+B3gg2Q0lRLk5ZU0U6SUJNLklRX0ZJTl9ESVZfSU5UX0VYUC45OTIuMDcvMDMvMjAyNi4uLlVTRC5IAQAAAN62AQADAAAAAACfrUsl/4HeCPEbZSj/gd4IMkNJUS5OWVNFOklCTS5JUV9GSU5fRElWX0VYUC45</t>
  </si>
  <si>
    <t>OTguMDcvMDMvMjAyNi4uLlVTRC5IAQAAAN62AQACAAAAAzM4MgEIAAAABQAAAAExAQAAAAstMTkwNDg2MDc0NAMAAAADMTYwAgAAAAI1MQQAAAABMAcAAAAIMy83LzIwMjYIAAAACjEyLzMxLzIwMjMJAAAAATCfrUsl/4HeCPEbZSj/gd4IM0NJUS5OWVNFOklCTS5JUV9JTlRfSU5WX0lOQy4xMDAwLjA3LzAzLzIwMjYuLi5VU0QuSAEAAADetgEAAwAAAAAAn61LJf+B3gjd4GQo/4HeCCpDSVEuTllTRTpJQk0uSVFfUkVWLjk5Ni4wNy8wMy8yMDI2Li4uVVNELkgBAAAA3rYBAAIAAAAFNTY1NzEBCAAAAAUAAAABMQEAAAALLTIwMDg2NDcxOTgDAAAAAzE2MAIAAAADMTEyBAAAAAEwBwAAAAgzLzcvMjAyNggAAAAKMTIvMzEvMjAyMQkAAAABMJ+tSyX/gd4I3eBkKP+B3gg0Q0lRLk5ZU0U6SUJNLklRX0VYUExPUkVfRFJJTEwuOTk1LjA3LzAzLzIwMjYuLi5VU0QuSAEAAADetgEAAwAAAAAAn61LJf+B3giv9GQo/4HeCDBDSVEuTllTRTpJQk0uSVFfRUJUX0VYQ0wuMTAwMC4wNy8wMy8yMDI2Li4uVVNELkgBAAAA3rYBAAIAAAAFMTExNTkBCAAAAAUAAAABMQEAAAALLTE5MDQ4NjA3NDADAAAAAzE2MAIAAAABNAQAAAABMAcAAAAIMy83LzIwMjYIAAAACjEyLzMxLzIwMjUJAAAAATCfrUsl/4HeCK/0ZCj/gd4IM0NJUS5OWVNFOklCTS5JUV9JTlRFUkVTVF9FWFAuOTk4LjA3LzAzLzIwMjYuLi5VU0QuSAEAAADe</t>
  </si>
  <si>
    <t>tgEAAgAAAAUtMTYwNwEIAAAABQAAAAExAQAAAAstMTkwNDg2MDc0NAMAAAADMTYwAgAAAAI4MgQAAAABMAcAAAAIMy83LzIwMjYIAAAACjEyLzMxLzIwMjMJAAAAATCfrUsl/4HeCK/0ZCj/gd4IL0NJUS5OWVNFOklCTS5JUV9PUEVSX0lOQy45OTIuMDcvMDMvMjAyNi4uLlVTRC5IAQAAAN62AQACAAAABTExNjgyAQgAAAAFAAAAATEBAAAACjIwMTcxNjQyNDQDAAAAAzE2MAIAAAACMjEEAAAAATAHAAAACDMvNy8yMDI2CAAAAAoxMi8zMS8yMDE3CQAAAAEwn61LJf+B3gjKfmQo/4HeCDFDSVEuTllTRTpJQk0uSVFfT1RIRVJfT1BFUi45OTguMDcvMDMvMjAyNi4uLlVTRC5IAQAAAN62AQACAAAABC04NjABCAAAAAUAAAABMQEAAAALLTE5MDQ4NjA3NDQDAAAAAzE2MAIAAAADMjYwBAAAAAEwBwAAAAgzLzcvMjAyNggAAAAKMTIvMzEvMjAyMwkAAAABMJ+tSyX/gd4Ij7lkKP+B3gg1Q0lRLk5ZU0U6SUJNLklRX0dXX0lOVEFOX0FNT1JULjk5NC4wNy8wMy8yMDI2Li4uVVNELkgBAAAA3rYBAAMAAAAAAJ+tSyX/gd4Ij7lkKP+B3gg0Q0lRLk5ZU0U6SUJNLklRX05JX0FWQUlMX0VYQ0wuOTk4LjA3LzAzLzIwMjYuLi5VU0QuSAEAAADetgEAAgAAAAQ3NTE0AQgAAAAFAAAAATEBAAAACy0xOTA0ODYwNzQ0AwAAAAMxNjACAAAAAzM3OQQAAAABMAcAAAAIMy83LzIwMjYIAAAACjEyLzMxLzIwMjMJAAAAATCfrUsl</t>
  </si>
  <si>
    <t>/4HeCI+5ZCj/gd4INUNJUS5OWVNFOklCTS5JUV9QUkVGX0RJVl9PVEhFUi45OTUuMDcvMDMvMjAyNi4uLlVTRC5IAQAAAN62AQADAAAAAACfrUsl/4HeCI+5ZCj/gd4IO0NJUS5OWVNFOklCTS5JUV9NSU5PUklUWV9JTlRFUkVTVF9JUy45OTMuMDcvMDMvMjAyNi4uLlVTRC5IAQAAAN62AQADAAAAAACfrUsl/4HeCMp+ZCj/gd4IKkNJUS5OWVNFOklCTS5JUV9FQlQuOTk0LjA3LzAzLzIwMjYuLi5VU0QuSAEAAADetgEAAgAAAAQ3MjA2AQgAAAAFAAAAATEBAAAACy0yMTEwNzY5MzU1AwAAAAMxNjACAAAAAzEzOQQAAAABMAcAAAAIMy83LzIwMjYIAAAACjEyLzMxLzIwMTkJAAAAATCfrUsl/4HeCMp+ZCj/gd4INUNJUS5OWVNFOklCTS5JUV9JTVBBSVJNRU5UX0dXLjEwMDAuMDcvMDMvMjAyNi4uLlVTRC5IAQAAAN62AQADAAAAAACfrUsl/4HeCMp+ZCj/gd4IPENJUS5OWVNFOklCTS5JUV9FQklUREFfTEVBU0VfQURKVVNURUQuOTk5LjA3LzAzLzIwMjYuLi5VU0QuSAEAAADetgEAAgAAAAUxNDE5NQEIAAAABQAAAAExAQAAAAstMTkwNDg2MDc0MwMAAAADMTYwAgAAAAU0ODk5MwQAAAABMAcAAAAIMy83LzIwMjYIAAAACjEyLzMxLzIwMjQJAAAAATCfrUsl/4HeCMp+ZCj/gd4IPUNJUS5OWVNFOklCTS5JUV9FQklUREFfRVFfSU5DX0VYQ0xfU0JDLjk5OC4wNy8wMy8yMDI2Li4uVVNELkgBAAAA3rYBAAIA</t>
  </si>
  <si>
    <t>AAAFMTMzOTEBCAAAAAUAAAABMQEAAAALLTE5MDQ4NjA3NDQDAAAAAzE2MAIAAAAFMjQxMzEEAAAAATAHAAAACDMvNy8yMDI2CAAAAAoxMi8zMS8yMDIzCQAAAAEwn61LJf+B3gjKfmQo/4HeCC1DSVEuTllTRTpJQk0uSVFfRUJJVERBLjk5Ny4wNy8wMy8yMDI2Li4uVVNELkgBAAAA3rYBAAIAAAAFMTA3NzUBCAAAAAUAAAABMQEAAAALLTE5NTgyODEwOTYDAAAAAzE2MAIAAAAENDA1MQQAAAABMAcAAAAIMy83LzIwMjYIAAAACjEyLzMxLzIwMjIJAAAAATCfrUsl/4HeCPQwZCj/gd4INUNJUS5OWVNFOklCTS5JUV9ESUxVVF9FUFNfRVhDTC45OTkuMDcvMDMvMjAyNi4uLlVTRC5IAQAAAN62AQACAAAACDYuNDE5OTk5AQgAAAAFAAAAATEBAAAACy0xOTA0ODYwNzQzAwAAAAMxNjACAAAAAzE0MgQAAAABMAcAAAAIMy83LzIwMjYIAAAACjEyLzMxLzIwMjQJAAAAATCfrUsl/4HeCMlXZCj/gd4INUNJUS5OWVNFOklCTS5JUV9ESUxVVF9FUFNfSU5DTC45OTQuMDcvMDMvMjAyNi4uLlVTRC5IAQAAAN62AQACAAAACTEwLjU1OTMyNQEIAAAABQAAAAExAQAAAAstMjExMDc2OTM1NQMAAAADMTYwAgAAAAE4BAAAAAEwBwAAAAgzLzcvMjAyNggAAAAKMTIvMzEvMjAxOQkAAAABMJ+tSyX/gd4IyVdkKP+B3gguQ0lRLk5ZU0U6SUJNLklRX0VCSVREQVIuOTk5LjA3LzAzLzIwMjYuLi5VU0QuSAEAAADetgEAAgAAAAUx</t>
  </si>
  <si>
    <t>NDE5NQEIAAAABQAAAAExAQAAAAstMTkwNDg2MDc0MwMAAAADMTYwAgAAAAUyMTY3NAQAAAABMAcAAAAIMy83LzIwMjYIAAAACjEyLzMxLzIwMjQJAAAAATCfrUsl/4HeCMlXZCj/gd4IPENJUS5OWVNFOklCTS5JUV9FQklUQV9FUV9JTkNfRVhDTF9TQkMuOTk4LjA3LzAzLzIwMjYuLi5VU0QuSAEAAADetgEAAgAAAAUxMjE4MgEIAAAABQAAAAExAQAAAAstMTkwNDg2MDc0NAMAAAADMTYwAgAAAAUyNDEzMgQAAAABMAcAAAAIMy83LzIwMjYIAAAACjEyLzMxLzIwMjMJAAAAATCfrUsl/4HeCMlXZCj/gd4ILENJUS5OWVNFOklCTS5JUV9FQklUQS45OTcuMDcvMDMvMjAyNi4uLlVTRC5IAQAAAN62AQACAAAABDkyNjgBCAAAAAUAAAABMQEAAAALLTE5NTgyODEwOTYDAAAAAzE2MAIAAAAGMTAwNjg5BAAAAAEwBwAAAAgzLzcvMjAyNggAAAAKMTIvMzEvMjAyMgkAAAABMJ+tSyX/gd4ImglkKP+B3gg7Q0lRLk5ZU0U6SUJNLklRX0VCSVRfRVFfSU5DX0VYQ0xfU0JDLjk5Ny4wNy8wMy8yMDI2Li4uVVNELkgBAAAA3rYBAAIAAAAEODUwOQEIAAAABQAAAAExAQAAAAstMTk1ODI4MTA5NgMAAAADMTYwAgAAAAUyNDEzMAQAAAABMAcAAAAIMy83LzIwMjYIAAAACjEyLzMxLzIwMjIJAAAAATCfrUsl/4HeCJoJZCj/gd4ISENJUS5OWVNFOklCTS5JUV9FQklUREFfRVFfSU5DX0VYQ0xfT1BFUl9MRUFTRV9BREouOTk5</t>
  </si>
  <si>
    <t>LjA3LzAzLzIwMjYuLi5VU0QuSAEAAADetgEAAgAAAAUxMjg4NgEIAAAABQAAAAExAQAAAAstMTkwNDg2MDc0MwMAAAADMTYwAgAAAAU0ODk4NwQAAAABMAcAAAAIMy83LzIwMjYIAAAACjEyLzMxLzIwMjQJAAAAATCfrUsl/4HeCPQwZCj/gd4ILkNJUS5OWVNFOklCTS5JUV9OSV9TRkFTLjk5NS4wNy8wMy8yMDI2Li4uVVNELkgBAAAA3rYBAAMAAAAAAJ+tSyX/gd4I9DBkKP+B3ghJQ0lRLk5ZU0U6SUJNLklRX1BST1ZfQkFEX0RFQlRTX1BBVElFTlRfU0VSVklDRV9SRVYuOTk1LjA3LzAzLzIwMjYuLi5VU0QuSAEAAADetgEAAwAAAAAAn61LJf+B3gj0MGQo/4HeCDxDSVEuTllTRTpJQk0uSVFfVE9UQUxfUkVWX0FTX1JFUE9SVEVELjk5Ni4wNy8wMy8yMDI2Li4uVVNELkgBAAAA3rYBAAIAAAAFNTczNTABCAAAAAUAAAABMQEAAAALLTIwMDg2NDcxOTgDAAAAAzE2MAIAAAADMzM5BAAAAAEwBwAAAAgzLzcvMjAyNggAAAAKMTIvMzEvMjAyMQkAAAABMJ+tSyX/gd4ITOJjKP+B3ggzQ0lRLk5ZU0U6SUJNLklRX0VCSVREQV9DQVBFWC45OTkuMDcvMDMvMjAyNi4uLlVTRC5IAQAAAN62AQACAAAABTExODM4AQgAAAAFAAAAATEBAAAACy0xOTA0ODYwNzQzAwAAAAMxNjACAAAABTM1Mzc5BAAAAAEwBwAAAAgzLzcvMjAyNggAAAAKMTIvMzEvMjAyNAkAAAABMJ+tSyX/gd4ITOJjKP+B3gg/Q0lRLk5ZU0U6SUJN</t>
  </si>
  <si>
    <t>LklRX0VCSVREQVJfRVFfSU5DX0VYQ0xfU0JDLjEwMDAuMDcvMDMvMjAyNi4uLlVTRC5IAQAAAN62AQACAAAABTE5MTQxAQgAAAAFAAAAATEBAAAACy0xOTA0ODYwNzQwAwAAAAMxNjACAAAABTI0MTMzBAAAAAEwBwAAAAgzLzcvMjAyNggAAAAKMTIvMzEvMjAyNQkAAAABMGfBSyX/gd4ITOJjKP+B3gg7Q0lRLk5ZU0U6SUJNLklRX0NBUElUQUxJWkVEX0lOVEVSRVNULjk5NS4wNy8wMy8yMDI2Li4uVVNELkgBAAAA3rYBAAIAAAABNQEIAAAABQAAAAExAQAAAAstMjA1OTA3MzIwMgMAAAADMTYwAgAAAAQzMDMyBAAAAAEwBwAAAAgzLzcvMjAyNggAAAAKMTIvMzEvMjAyMAkAAAABMGfBSyX/gd4ImglkKP+B3ghAQ0lRLk5ZU0U6SUJNLklRX05PTlJFQ1VSUklOR19JTkNPTUVfVEFYRVMuOTk5LjA3LzAzLzIwMjYuLi5VU0QuSAEAAADetgEAAgAAAAQtNDU1AQgAAAAFAAAAATEBAAAACy0xOTA0ODYwNzQzAwAAAAMxNjACAAAABTQ4ODM5BAAAAAEwBwAAAAgzLzcvMjAyNggAAAAKMTIvMzEvMjAyNAkAAAABMGfBSyX/gd4ImglkKP+B3gg9Q0lRLk5ZU0U6SUJNLklRX0RFRkVSUkVEX0ZPUkVJR05fVEFYRVMuOTk5LjA3LzAzLzIwMjYuLi5VU0QuSAEAAADetgEAAgAAAAMyMDMBCAAAAAUAAAABMQEAAAALLTE5MDQ4NjA3NDMDAAAAAzE2MAIAAAAEMzA1NQQAAAABMAcAAAAIMy83LzIwMjYIAAAACjEyLzMxLzIw</t>
  </si>
  <si>
    <t>MjQJAAAAATBnwUsl/4HeCIanYyj/gd4IMUNJUS5OWVNFOklCTS5JUV9DVVJSX1RBWEVTLjk5OS4wNy8wMy8yMDI2Li4uVVNELkgBAAAA3rYBAAIAAAAEMjExOAEIAAAABQAAAAExAQAAAAstMTkwNDg2MDc0MwMAAAADMTYwAgAAAAUzNTM4MwQAAAABMAcAAAAIMy83LzIwMjYIAAAACjEyLzMxLzIwMjQJAAAAATBnwUsl/4HeCIanYyj/gd4IOENJUS5OWVNFOklCTS5JUV9JTlZFU1RNRU5UX0lOQ09NRS45OTUuMDcvMDMvMjAyNi4uLlVTRC5IAQAAAN62AQADAAAAAABnwUsl/4HeCJXOYyj/gd4IM0NJUS5OWVNFOklCTS5JUV9PVEhFUl9SRU5UQUwuOTkyLjA3LzAzLzIwMjYuLi5VU0QuSAEAAADetgEAAwAAAAAAZ8FLJf+B3giVzmMo/4HeCDVDSVEuTllTRTpJQk0uSVFfTkVUX1JFTlRBTF9FWFAuOTk0LjA3LzAzLzIwMjYuLi5VU0QuSAEAAADetgEAAwAAAAAAZ8FLJf+B3ghM4mMo/4HeCDJDSVEuTllTRTpJQk0uSVFfQURWRVJUSVNJTkcuOTkyLjA3LzAzLzIwMjYuLi5VU0QuSAEAAADetgEAAgAAAAQxNDQ1AQgAAAAFAAAAATEBAAAACjIwMTcxNjQyNDQDAAAAAzE2MAIAAAAEMzAxMwQAAAABMAcAAAAIMy83LzIwMjYIAAAACjEyLzMxLzIwMTcJAAAAATBnwUsl/4HeCHtFYyj/gd4IOkNJUS5OWVNFOklCTS5JUV9OT05DQVNIX1BFTlNJT05fRVhQLjk5My4wNy8wMy8yMDI2Li4uVVNELkgBAAAA3rYBAAIA</t>
  </si>
  <si>
    <t>AAAEMTQzMAEIAAAABQAAAAExAQAAAAoyMDgxNTA1NDAxAwAAAAMxNjACAAAABTIxNjc4BAAAAAEwBwAAAAgzLzcvMjAyNggAAAAKMTIvMzEvMjAxOAkAAAABMGfBSyX/gd4IP4BjKP+B3ghIQ0lRLk5ZU0U6SUJNLklRX0lOVEVSRVNUX0VYUF9MRUFTRV9MSUFCSUxJVFlfREVCVC45OTQuMDcvMDMvMjAyNi4uLlVTRC5IAQAAAN62AQADAAAAAABnwUsl/4HeCD+AYyj/gd4IO0NJUS5OWVNFOklCTS5JUV9TVE9DS19CQVNFRF9DT01QX1RBWC45OTUuMDcvMDMvMjAyNi4uLlVTRC5IAQAAAN62AQACAAAABC0xOTgAZ8FLJf+B3gg/gGMo/4HeCDhDSVEuTllTRTpJQk0uSVFfU1RPQ0tfQkFTRURfVE9UQUwuOTk3LjA3LzAzLzIwMjYuLi5VU0QuSAEAAADetgEAAgAAAAM5ODgBCAAAAAUAAAABMQEAAAALLTE5NTgyODEwOTYDAAAAAzE2MAIAAAAFMjQwMzQEAAAAATAHAAAACDMvNy8yMDI2CAAAAAoxMi8zMS8yMDIyCQAAAAEwZ8FLJf+B3giGp2Mo/4HeCDVDSVEuTllTRTpJQk0uSVFfU1RPQ0tfQkFTRURfU00uOTk1LjA3LzAzLzIwMjYuLi5VU0QuSAEAAADetgEAAwAAAAAAZ8FLJf+B3ggHHmMo/4HeCDhDSVEuTllTRTpJQk0uSVFfSU5TX1NFVFRMRV9TVVBQTEUuOTk4LjA3LzAzLzIwMjYuLi5VU0QuSAEAAADetgEAAwAAAAAAZ8FLJf+B3ggHHmMo/4HeCD5DSVEuTllTRTpJQk0uSVFfU0FMQVJJRVNfT1RIRVJf</t>
  </si>
  <si>
    <t>QkVORUZJVFMuOTk3LjA3LzAzLzIwMjYuLi5VU0QuSAEAAADetgEAAwAAAAAAZ8FLJf+B3gh7RWMo/4HeCDRDSVEuTllTRTpJQk0uSVFfTklfQVZBSUxfSU5DTC45OTMuMDcvMDMvMjAyNi4uLlVTRC5IAQAAAN62AQACAAAABDg3MjgBCAAAAAUAAAABMQEAAAAKMjA4MTUwNTQwMQMAAAADMTYwAgAAAAIxNgQAAAABMAcAAAAIMy83LzIwMjYIAAAACjEyLzMxLzIwMTgJAAAAATBnwUsl/4HeCHtFYyj/gd4IMkNJUS5OWVNFOklCTS5JUV9HQUlOX0lOVkVTVC45OTguMDcvMDMvMjAyNi4uLlVTRC5IAQAAAN62AQACAAAAAjM5AQgAAAAFAAAAATEBAAAACy0xOTA0ODYwNzQ0AwAAAAMxNjACAAAAAjYyBAAAAAEwBwAAAAgzLzcvMjAyNggAAAAKMTIvMzEvMjAyMwkAAAABMGfBSyX/gd4Ie0VjKP+B3gg6Q0lRLk5ZU0U6SUJNLklRX0lOVEVSRVNUX0lOVkVTVF9JTkMuOTk2LjA3LzAzLzIwMjYuLi5VU0QuSAEAAADetgEAAgAAAAI1MgEIAAAABQAAAAExAQAAAAstMjAwODY0NzE5OAMAAAADMTYwAgAAAAI2NQQAAAABMAcAAAAIMy83LzIwMjYIAAAACjEyLzMxLzIwMjEJAAAAATBnwUsl/4HeCHkIYyj/gd4IMkNJUS5OWVNFOklCTS5JUV9HQUlOX0lOVkVTVC45OTkuMDcvMDMvMjAyNi4uLlVTRC5IAQAAAN62AQACAAAAAjIwAQgAAAAFAAAAATEBAAAACy0xOTA0ODYwNzQzAwAAAAMxNjACAAAAAjYyBAAAAAEwBwAA</t>
  </si>
  <si>
    <t>AAgzLzcvMjAyNggAAAAKMTIvMzEvMjAyNAkAAAABMGfBSyX/gd4IeQhjKP+B3gg1Q0lRLk5ZU0U6SUJNLklRX09USEVSX09QRVJfQUNULjk5Ni4wNy8wMy8yMDI2Li4uVVNELkgBAAAA3rYBAAIAAAAFLTIwMDEBCAAAAAUAAAABMQEAAAALLTIwMDg2NDcxOTgDAAAAAzE2MAIAAAAEMjA0NwQAAAABMAcAAAAIMy83LzIwMjYIAAAACjEyLzMxLzIwMjEJAAAAATBnwUsl/4HeCHkIYyj/gd4IM0NJUS5OWVNFOklCTS5JUV9JTlRFUkVTVF9FWFAuOTk1LjA3LzAzLzIwMjYuLi5VU0QuSAEAAADetgEAAgAAAAUtMTI4OAEIAAAABQAAAAExAQAAAAstMjA1OTA3MzIwMgMAAAADMTYwAgAAAAI4MgQAAAABMAcAAAAIMy83LzIwMjYIAAAACjEyLzMxLzIwMjAJAAAAATBnwUsl/4HeCHkIYyj/gd4IMUNJUS5OWVNFOklCTS5JUV9JTVBBSVJfT0lMLjk5Ny4wNy8wMy8yMDI2Li4uVVNELkgBAAAA3rYBAAMAAAAAAGfBSyX/gd4IBx5jKP+B3gg0Q0lRLk5ZU0U6SUJNLklRX1BSRV9PUEVOX0NPU1QuOTk5LjA3LzAzLzIwMjYuLi5VU0QuSAEAAADetgEAAwAAAAAAZ8FLJf+B3giwzWIo/4HeCClDSVEuTllTRTpJQk0uSVFfR1AuOTk1LjA3LzAzLzIwMjYuLi5VU0QuSAEAAADetgEAAgAAAAUzMDg2NQEIAAAABQAAAAExAQAAAAstMjA1OTA3MzIwMgMAAAADMTYwAgAAAAIxMAQAAAABMAcAAAAIMy83LzIwMjYIAAAACjEyLzMx</t>
  </si>
  <si>
    <t>LzIwMjAJAAAAATBnwUsl/4HeCLDNYij/gd4INENJUS5OWVNFOklCTS5JUV9DVVJSRU5DWV9HQUlOLjk5NC4wNy8wMy8yMDI2Li4uVVNELkgBAAAA3rYBAAIAAAADLTE0AQgAAAAFAAAAATEBAAAACy0yMTEwNzY5MzU1AwAAAAMxNjACAAAAAjM4BAAAAAEwBwAAAAgzLzcvMjAyNggAAAAKMTIvMzEvMjAxOQkAAAABMGfBSyX/gd4IsM1iKP+B3ggyQ0lRLk5ZU0U6SUJNLklRX0lOU19TRVRUTEUuMTAwMC4wNy8wMy8yMDI2Li4uVVNELkgBAAAA3rYBAAMAAAAAAGfBSyX/gd4IsM1iKP+B3ggrQ0lRLk5ZU0U6SUJNLklRX0lQUkQuOTk1LjA3LzAzLzIwMjYuLi5VU0QuSAEAAADetgEAAwAAAAAAZ8FLJf+B3gh5CGMo/4HeCDRDSVEuTllTRTpJQk0uSVFfSU1QQUlSTUVOVF9HVy45OTcuMDcvMDMvMjAyNi4uLlVTRC5IAQAAAN62AQADAAAAAABnwUsl/4HeCLDNYij/gd4IP0NJUS5OWVNFOklCTS5JUV9PVEhFUl9OT05fT1BFUl9FWFBfU1VQUEwuOTk5LjA3LzAzLzIwMjYuLi5VU0QuSAEAAADetgEAAgAAAAMyNzQBCAAAAAUAAAABMQEAAAALLTE5MDQ4NjA3NDMDAAAAAzE2MAIAAAACODUEAAAAATAHAAAACDMvNy8yMDI2CAAAAAoxMi8zMS8yMDI0CQAAAAEwZ8FLJf+B3giwzWIo/4HeCDRDSVEuTllTRTpJQk0uSVFfQ1VSUkVOQ1lfR0FJTi45OTMuMDcvMDMvMjAyNi4uLlVTRC5IAQAAAN62AQACAAAABC00MzQB</t>
  </si>
  <si>
    <t>CAAAAAUAAAABMQEAAAAKMjA4MTUwNTQwMQMAAAADMTYwAgAAAAIzOAQAAAABMAcAAAAIMy83LzIwMjYIAAAACjEyLzMxLzIwMTgJAAAAATBnwUsl/4HeCLDNYij/gd4IMkNJUS5OWVNFOklCTS5JUV9JTlRfSU5WX0lOQy45OTUuMDcvMDMvMjAyNi4uLlVTRC5IAQAAAN62AQADAAAAAABnwUsl/4HeCLDNYij/gd4INENJUS5OWVNFOklCTS5JUV9DVVJSRU5DWV9HQUlOLjk5Mi4wNy8wMy8yMDI2Li4uVVNELkgBAAAA3rYBAAMAAAAAAGfBSyX/gd4IsM1iKP+B3ggxQ0lRLk5ZU0U6SUJNLklRX0lNUEFJUl9PSUwuOTk2LjA3LzAzLzIwMjYuLi5VU0QuSAEAAADetgEAAwAAAAAAZ8FLJf+B3giwzWIo/4HeCClDSVEuTllTRTpJQk0uSVFfRE8uOTk5LjA3LzAzLzIwMjYuLi5VU0QuSAEAAADetgEAAgAAAAE4AQgAAAAFAAAAATEBAAAACy0xOTA0ODYwNzQzAwAAAAMxNjACAAAAAjQwBAAAAAEwBwAAAAgzLzcvMjAyNggAAAAKMTIvMzEvMjAyNAkAAAABMGfBSyX/gd4IsM1iKP+B3ggxQ0lRLk5ZU0U6SUJNLklRX0VBUk5JTkdfQ08uOTk0LjA3LzAzLzIwMjYuLi5VU0QuSAEAAADetgEAAgAAAAQ3MTQ2AQgAAAAFAAAAATEBAAAACy0yMTEwNzY5MzU1AwAAAAMxNjACAAAAATcEAAAAATAHAAAACDMvNy8yMDI2CAAAAAoxMi8zMS8yMDE5CQAAAAEwZ8FLJf+B3giwzWIo/4HeCDVDSVEuTllTRTpJQk0uSVFfR1dfSU5U</t>
  </si>
  <si>
    <t>QU5fQU1PUlQuOTkzLjA3LzAzLzIwMjYuLi5VU0QuSAEAAADetgEAAwAAAAAAZ8FLJf+B3giwzWIo/4HeCC1DSVEuTllTRTpJQk0uSVFfUkRfRVhQLjk5OS4wNy8wMy8yMDI2Li4uVVNELkgBAAAA3rYBAAIAAAAENzQ3OQEIAAAABQAAAAExAQAAAAstMTkwNDg2MDc0MwMAAAADMTYwAgAAAAMxMDAEAAAAATAHAAAACDMvNy8yMDI2CAAAAAoxMi8zMS8yMDI0CQAAAAEwZ8FLJf+B3giwzWIo/4HeCDRDSVEuTllTRTpJQk0uSVFfUFJFX09QRU5fQ09TVC45OTMuMDcvMDMvMjAyNi4uLlVTRC5IAQAAAN62AQADAAAAAABnwUsl/4HeCGKmYij/gd4IMkNJUS5OWVNFOklCTS5JUV9GSU5fRElWX0VYUC45OTcuMDcvMDMvMjAyNi4uLlVTRC5IAQAAAN62AQACAAAAAzQwNgEIAAAABQAAAAExAQAAAAstMTk1ODI4MTA5NgMAAAADMTYwAgAAAAI1MQQAAAABMAcAAAAIMy83LzIwMjYIAAAACjEyLzMxLzIwMjIJAAAAATBnwUsl/4HeCGKmYij/gd4INkNJUS5OWVNFOklCTS5JUV9HQUlOX0lOVkVTVF9SRVYuOTkzLjA3LzAzLzIwMjYuLi5VU0QuSAEAAADetgEAAwAAAAAAZ8FLJf+B3ghipmIo/4HeCCtDSVEuTllTRTpJQk0uSVFfSVBSRC45OTcuMDcvMDMvMjAyNi4uLlVTRC5IAQAAAN62AQADAAAAAABnwUsl/4HeCGKmYij/gd4IMkNJUS5OWVNFOklCTS5JUV9HQUlOX0lOVkVTVC45OTcuMDcvMDMvMjAyNi4uLlVTRC5I</t>
  </si>
  <si>
    <t>AQAAAN62AQACAAAABC0yNzgBCAAAAAUAAAABMQEAAAALLTE5NTgyODEwOTYDAAAAAzE2MAIAAAACNjIEAAAAATAHAAAACDMvNy8yMDI2CAAAAAoxMi8zMS8yMDIyCQAAAAEwZ8FLJf+B3ghipmIo/4HeCC1DSVEuTllTRTpJQk0uSVFfTUVSR0VSLjk5My4wNy8wMy8yMDI2Li4uVVNELkgBAAAA3rYBAAMAAAAAAGfBSyX/gd4IqJJiKP+B3gg0Q0lRLk5ZU0U6SUJNLklRX0NVUlJFTkNZX0dBSU4uOTk1LjA3LzAzLzIwMjYuLi5VU0QuSAEAAADetgEAAgAAAAMtMTIBCAAAAAUAAAABMQEAAAALLTIwNTkwNzMyMDIDAAAAAzE2MAIAAAACMzgEAAAAATAHAAAACDMvNy8yMDI2CAAAAAoxMi8zMS8yMDIwCQAAAAEwZ8FLJf+B3ghipmIo/4HeCDFDSVEuTllTRTpJQk0uSVFfT1RIRVJfT1BFUi45OTcuMDcvMDMvMjAyNi4uLlVTRC5IAQAAAN62AQACAAAABC02NjMBCAAAAAUAAAABMQEAAAALLTE5NTgyODEwOTYDAAAAAzE2MAIAAAADMjYwBAAAAAEwBwAAAAgzLzcvMjAyNggAAAAKMTIvMzEvMjAyMgkAAAABMGfBSyX/gd4IYqZiKP+B3gg9Q0lRLk5ZU0U6SUJNLklRX0VCSVREQV9FUV9JTkNfRVhDTF9TQkMuOTk3LjA3LzAzLzIwMjYuLi5VU0QuSAEAAADetgEAAgAAAAUxMTc2MwEIAAAABQAAAAExAQAAAAstMTk1ODI4MTA5NgMAAAADMTYwAgAAAAUyNDEzMQQAAAABMAcAAAAIMy83LzIwMjYIAAAACjEyLzMxLzIw</t>
  </si>
  <si>
    <t>MjIJAAAAATBnwUsl/4HeCGKmYij/gd4ILUNJUS5OWVNFOklCTS5JUV9FQklUREEuOTk2LjA3LzAzLzIwMjYuLi5VU0QuSAEAAADetgEAAgAAAAUxMTMwOQEIAAAABQAAAAExAQAAAAstMjAwODY0NzE5OAMAAAADMTYwAgAAAAQ0MDUxBAAAAAEwBwAAAAgzLzcvMjAyNggAAAAKMTIvMzEvMjAyMQkAAAABMGfBSyX/gd4IYqZiKP+B3gg0Q0lRLk5ZU0U6SUJNLklRX05JX0FWQUlMX0VYQ0wuOTk3LjA3LzAzLzIwMjYuLi5VU0QuSAEAAADetgEAAgAAAAQxNzgyAQgAAAAFAAAAATEBAAAACy0xOTU4MjgxMDk2AwAAAAMxNjACAAAAAzM3OQQAAAABMAcAAAAIMy83LzIwMjYIAAAACjEyLzMxLzIwMjIJAAAAATBnwUsl/4HeCFdrYij/gd4INUNJUS5OWVNFOklCTS5JUV9QUkVGX0RJVl9PVEhFUi45OTQuMDcvMDMvMjAyNi4uLlVTRC5IAQAAAN62AQADAAAAAABnwUsl/4HeCKiSYij/gd4INENJUS5OWVNFOklCTS5JUV9MRUdBTF9TRVRUTEUuMTAwMC4wNy8wMy8yMDI2Li4uVVNELkgBAAAA3rYBAAMAAAAAAGfBSyX/gd4IqJJiKP+B3gg8Q0lRLk5ZU0U6SUJNLklRX0VCSVRBX0VRX0lOQ19FWENMX1NCQy45OTcuMDcvMDMvMjAyNi4uLlVTRC5IAQAAAN62AQACAAAABTEwMjU2AQgAAAAFAAAAATEBAAAACy0xOTU4MjgxMDk2AwAAAAMxNjACAAAABTI0MTMyBAAAAAEwBwAAAAgzLzcvMjAyNggAAAAKMTIvMzEvMjAy</t>
  </si>
  <si>
    <t>MgkAAAABMGfBSyX/gd4IqJJiKP+B3ggsQ0lRLk5ZU0U6SUJNLklRX0VCSVRBLjk5Ni4wNy8wMy8yMDI2Li4uVVNELkgBAAAA3rYBAAIAAAAENzQyMQEIAAAABQAAAAExAQAAAAstMjAwODY0NzE5OAMAAAADMTYwAgAAAAYxMDA2ODkEAAAAATAHAAAACDMvNy8yMDI2CAAAAAoxMi8zMS8yMDIxCQAAAAEwZ8FLJf+B3giokmIo/4HeCDtDSVEuTllTRTpJQk0uSVFfRUJJVF9FUV9JTkNfRVhDTF9TQkMuOTk2LjA3LzAzLzIwMjYuLi5VU0QuSAEAAADetgEAAgAAAAQ2NTY1AQgAAAAFAAAAATEBAAAACy0yMDA4NjQ3MTk4AwAAAAMxNjACAAAABTI0MTMwBAAAAAEwBwAAAAgzLzcvMjAyNggAAAAKMTIvMzEvMjAyMQkAAAABMGfBSyX/gd4IV2tiKP+B3ggrQ0lRLk5ZU0U6SUJNLklRX0VCSVQuOTk2LjA3LzAzLzIwMjYuLi5VU0QuSAEAAADetgEAAgAAAAQ1NTgzAQgAAAAFAAAAATEBAAAACy0yMDA4NjQ3MTk4AwAAAAMxNjACAAAAAzQwMAQAAAABMAcAAAAIMy83LzIwMjYIAAAACjEyLzMxLzIwMjEJAAAAATBnwUsl/4HeCFdrYij/gd4IPkNJUS5OWVNFOklCTS5JUV9MRUFTRV9BREpVU1RNRU5UX0VCSVREQS45OTUuMDcvMDMvMjAyNi4uLlVTRC5IAQAAAN62AQACAAAABDE1MjQAZ8FLJf+B3ghXa2Io/4HeCElDSVEuTllTRTpJQk0uSVFfUFJPVl9CQURfREVCVFNfUEFUSUVOVF9TRVJWSUNFX1JFVi45OTQuMDcv</t>
  </si>
  <si>
    <t>MDMvMjAyNi4uLlVTRC5IAQAAAN62AQADAAAAAABnwUsl/4HeCFdrYij/gd4IPENJUS5OWVNFOklCTS5JUV9UT1RBTF9SRVZfQVNfUkVQT1JURUQuOTk1LjA3LzAzLzIwMjYuLi5VU0QuSAEAAADetgEAAgAAAAU1NTE3OQEIAAAABQAAAAExAQAAAAstMjA1OTA3MzIwMgMAAAADMTYwAgAAAAMzMzkEAAAAATAHAAAACDMvNy8yMDI2CAAAAAoxMi8zMS8yMDIwCQAAAAEwZ8FLJf+B3ghXa2Io/4HeCDNDSVEuTllTRTpJQk0uSVFfRUJJVERBX0NBUEVYLjk5OC4wNy8wMy8yMDI2Li4uVVNELkgBAAAA3rYBAAIAAAAFMTEwMTIBCAAAAAUAAAABMQEAAAALLTE5MDQ4NjA3NDQDAAAAAzE2MAIAAAAFMzUzNzkEAAAAATAHAAAACDMvNy8yMDI2CAAAAAoxMi8zMS8yMDIzCQAAAAEwZ8FLJf+B3gicV2Io/4HeCD5DSVEuTllTRTpJQk0uSVFfRUJJVERBUl9FUV9JTkNfRVhDTF9TQkMuOTk5LjA3LzAzLzIwMjYuLi5VU0QuSAEAAADetgEAAgAAAAUxNTUwNgEIAAAABQAAAAExAQAAAAstMTkwNDg2MDc0MwMAAAADMTYwAgAAAAUyNDEzMwQAAAABMAcAAAAIMy83LzIwMjYIAAAACjEyLzMxLzIwMjQJAAAAATBnwUsl/4HeCJxXYij/gd4ILkNJUS5OWVNFOklCTS5JUV9FQklUREFSLjk5OC4wNy8wMy8yMDI2Li4uVVNELkgBAAAA3rYBAAIAAAAFMTM1NDkBCAAAAAUAAAABMQEAAAALLTE5MDQ4NjA3NDQDAAAAAzE2MAIAAAAF</t>
  </si>
  <si>
    <t>MjE2NzQEAAAAATAHAAAACDMvNy8yMDI2CAAAAAoxMi8zMS8yMDIzCQAAAAEwZ8FLJf+B3ghXa2Io/4HeCDtDSVEuTllTRTpJQk0uSVFfQ0FQSVRBTElaRURfSU5URVJFU1QuOTk0LjA3LzAzLzIwMjYuLi5VU0QuSAEAAADetgEAAgAAAAE0AQgAAAAFAAAAATEBAAAACy0yMTEwNzY5MzU1AwAAAAMxNjACAAAABDMwMzIEAAAAATAHAAAACDMvNy8yMDI2CAAAAAoxMi8zMS8yMDE5CQAAAAEwZ8FLJf+B3ghXa2Io/4HeCEBDSVEuTllTRTpJQk0uSVFfTk9OUkVDVVJSSU5HX0lOQ09NRV9UQVhFUy45OTguMDcvMDMvMjAyNi4uLlVTRC5IAQAAAN62AQADAAAAAABnwUsl/4HeCFdrYij/gd4IPUNJUS5OWVNFOklCTS5JUV9ERUZFUlJFRF9GT1JFSUdOX1RBWEVTLjk5OC4wNy8wMy8yMDI2Li4uVVNELkgBAAAA3rYBAAIAAAADNDI4AQgAAAAFAAAAATEBAAAACy0xOTA0ODYwNzQ0AwAAAAMxNjACAAAABDMwNTUEAAAAATAHAAAACDMvNy8yMDI2CAAAAAoxMi8zMS8yMDIzCQAAAAEwZ8FLJf+B3giLMGIo/4HeCDFDSVEuTllTRTpJQk0uSVFfQ1VSUl9UQVhFUy45OTguMDcvMDMvMjAyNi4uLlVTRC5IAQAAAN62AQACAAAABDIyODEBCAAAAAUAAAABMQEAAAALLTE5MDQ4NjA3NDQDAAAAAzE2MAIAAAAFMzUzODMEAAAAATAHAAAACDMvNy8yMDI2CAAAAAoxMi8zMS8yMDIzCQAAAAEwZ8FLJf+B3giLMGIo/4HeCC5DSVEu</t>
  </si>
  <si>
    <t>TllTRTpJQk0uSVFfTklfU0ZBUy45OTQuMDcvMDMvMjAyNi4uLlVTRC5IAQAAAN62AQADAAAAAABnwUsl/4HeCIswYij/gd4IOENJUS5OWVNFOklCTS5JUV9JTlNfU0VUVExFX1NVUFBMRS45OTcuMDcvMDMvMjAyNi4uLlVTRC5IAQAAAN62AQADAAAAAABnwUsl/4HeCJxXYij/gd4IOUNJUS5OWVNFOklCTS5JUV9SRVNUUlVDVFVSRV9TVVBQTEUuOTkzLjA3LzAzLzIwMjYuLi5VU0QuSAEAAADetgEAAwAAAAAAZ8FLJf+B3gicV2Io/4HeCD9DSVEuTllTRTpJQk0uSVFfRVhQTE9SRV9EUklMTF9FWFBfVE9UQUwuMTAwMC4wNy8wMy8yMDI2Li4uVVNELkgBAAAA3rYBAAMAAAAAAGfBSyX/gd4IizBiKP+B3ggzQ0lRLk5ZU0U6SUJNLklRX0FEVkVSVElTSU5HLjEwMDAuMDcvMDMvMjAyNi4uLlVTRC5IAQAAAN62AQACAAAABDExMjkBCAAAAAUAAAABMQEAAAALLTE5MDQ4NjA3NDADAAAAAzE2MAIAAAAEMzAxMwQAAAABMAcAAAAIMy83LzIwMjYIAAAACjEyLzMxLzIwMjUJAAAAATBnwUsl/4HeCIswYij/gd4ISENJUS5OWVNFOklCTS5JUV9JTlRFUkVTVF9FWFBfTEVBU0VfTElBQklMSVRZX0RFQlQuOTkzLjA3LzAzLzIwMjYuLi5VU0QuSAEAAADetgEAAwAAAAAAZ8FLJf+B3giLMGIo/4HeCCtDSVEuTllTRTpJQk0uSVFfQ09HUy45OTMuMDcvMDMvMjAyNi4uLlVTRC5IAQAAAN62AQACAAAABTQxNTIyAQgAAAAF</t>
  </si>
  <si>
    <t>AAAAATEBAAAACjIwODE1MDU0MDEDAAAAAzE2MAIAAAACMzQEAAAAATAHAAAACDMvNy8yMDI2CAAAAAoxMi8zMS8yMDE4CQAAAAEwZ8FLJf+B3giLMGIo/4HeCDBDSVEuTllTRTpJQk0uSVFfQ0hBTkdFX0FSLjk5OS4wNy8wMy8yMDI2Li4uVVNELkgBAAAA3rYBAAIAAAAELTM3NAEIAAAABQAAAAExAQAAAAstMTkwNDg2MDc0MwMAAAADMTYwAgAAAAQyMDE4BAAAAAEwBwAAAAgzLzcvMjAyNggAAAAKMTIvMzEvMjAyNAkAAAABMGfBSyX/gd4IizBiKP+B3gg3Q0lRLk5ZU0U6SUJNLklRX1NUT0NLX0JBU0VEX0NPTVAuOTk2LjA3LzAzLzIwMjYuLi5VU0QuSAEAAADetgEAAgAAAAM2OTUAZ8FLJf+B3gh+CWIo/4HeCDhDSVEuTllTRTpJQk0uSVFfU1RPQ0tfQkFTRURfVE9UQUwuOTk2LjA3LzAzLzIwMjYuLi5VU0QuSAEAAADetgEAAgAAAAM5ODIBCAAAAAUAAAABMQEAAAALLTIwMDg2NDcxOTgDAAAAAzE2MAIAAAAFMjQwMzQEAAAAATAHAAAACDMvNy8yMDI2CAAAAAoxMi8zMS8yMDIxCQAAAAEwZ8FLJf+B3gh+CWIo/4HeCDVDSVEuTllTRTpJQk0uSVFfU1RPQ0tfQkFTRURfR0EuOTkyLjA3LzAzLzIwMjYuLi5VU0QuSAEAAADetgEAAwAAAAAAZ8FLJf+B3gh+CWIo/4HeCDJDSVEuTllTRTpJQk0uSVFfSU5UX0lOVl9JTkMuOTkzLjA3LzAzLzIwMjYuLi5VU0QuSAEAAADetgEAAwAAAAAAZ8FLJf+B3gh+CWIo</t>
  </si>
  <si>
    <t>/4HeCDdDSVEuTllTRTpJQk0uSVFfTkVUX0lOVEVSRVNUX0VYUC45OTcuMDcvMDMvMjAyNi4uLlVTRC5IAQAAAN62AQACAAAABS0xMDU0AQgAAAAFAAAAATEBAAAACy0xOTU4MjgxMDk2AwAAAAMxNjACAAAAAzM2OAQAAAABMAcAAAAIMy83LzIwMjYIAAAACjEyLzMxLzIwMjIJAAAAATBnwUsl/4HeCIswYij/gd4IMkNJUS5OWVNFOklCTS5JUV9JTlNfRElWX0VYUC45OTUuMDcvMDMvMjAyNi4uLlVTRC5IAQAAAN62AQADAAAAAABnwUsl/4HeCH4JYij/gd4IOkNJUS5OWVNFOklCTS5JUV9PVEhFUl9VTlVTVUFMX1NVUFBMLjk5OC4wNy8wMy8yMDI2Li4uVVNELkgBAAAA3rYBAAMAAAAAAGfBSyX/gd4IfgliKP+B3ggyQ0lRLk5ZU0U6SUJNLklRX1JFU1RSVUNUVVJFLjk5OC4wNy8wMy8yMDI2Li4uVVNELkgBAAAA3rYBAAMAAAAAAGfBSyX/gd4IfgliKP+B3ggrQ0lRLk5ZU0U6SUJNLklRX0lQUkQuOTk4LjA3LzAzLzIwMjYuLi5VU0QuSAEAAADetgEAAwAAAAAAZ8FLJf+B3gh+CWIo/4HeCDZDSVEuTllTRTpJQk0uSVFfQVNTRVRfV1JJVEVET1dOLjk5Mi4wNy8wMy8yMDI2Li4uVVNELkgBAAAA3rYBAAMAAAAAAGfBSyX/gd4IfgliKP+B3gg0Q0lRLk5ZU0U6SUJNLklRX0NVUlJFTkNZX0dBSU4uOTk2LjA3LzAzLzIwMjYuLi5VU0QuSAEAAADetgEAAgAAAAItMQEIAAAABQAAAAExAQAAAAstMjAwODY0NzE5</t>
  </si>
  <si>
    <t>OAMAAAADMTYwAgAAAAIzOAQAAAABMAcAAAAIMy83LzIwMjYIAAAACjEyLzMxLzIwMjEJAAAAATBnwUsl/4HeCHXiYSj/gd4INkNJUS5OWVNFOklCTS5JUV9HQUlOX0FTU0VUU19SRVYuOTk3LjA3LzAzLzIwMjYuLi5VU0QuSAEAAADetgEAAwAAAAAAZ8FLJf+B3gh14mEo/4HeCC9DSVEuTllTRTpJQk0uSVFfRUJUX0VYQ0wuOTkzLjA3LzAzLzIwMjYuLi5VU0QuSAEAAADetgEAAgAAAAUxMTM0MgEIAAAABQAAAAExAQAAAAoyMDgxNTA1NDAxAwAAAAMxNjACAAAAATQEAAAAATAHAAAACDMvNy8yMDI2CAAAAAoxMi8zMS8yMDE4CQAAAAEwZ8FLJf+B3gh14mEo/4HeCC9DSVEuTllTRTpJQk0uSVFfRUJUX0VYQ0wuOTk5LjA3LzAzLzIwMjYuLi5VU0QuSAEAAADetgEAAgAAAAQ5MTE3AQgAAAAFAAAAATEBAAAACy0xOTA0ODYwNzQzAwAAAAMxNjACAAAAATQEAAAAATAHAAAACDMvNy8yMDI2CAAAAAoxMi8zMS8yMDI0CQAAAAEwZ8FLJf+B3gh14mEo/4HeCDpDSVEuTllTRTpJQk0uSVFfSU5URVJFU1RfSU5WRVNUX0lOQy45OTUuMDcvMDMvMjAyNi4uLlVTRC5IAQAAAN62AQADAAAAAABnwUsl/4HeCH4JYij/gd4IMENJUS5OWVNFOklCTS5JUV9TR0FfU1VQUEwuOTk1LjA3LzAzLzIwMjYuLi5VU0QuSAEAAADetgEAAgAAAAUyMDU2MQEIAAAABQAAAAExAQAAAAstMjA1OTA3MzIwMgMAAAADMTYwAgAAAAMxMDIE</t>
  </si>
  <si>
    <t>AAAAATAHAAAACDMvNy8yMDI2CAAAAAoxMi8zMS8yMDIwCQAAAAEwZ8FLJf+B3gh14mEo/4HeCDJDSVEuTllTRTpJQk0uSVFfSU5UX0lOVl9JTkMuOTk5LjA3LzAzLzIwMjYuLi5VU0QuSAEAAADetgEAAwAAAAAAZ8FLJf+B3gh14mEo/4HeCDFDSVEuTllTRTpJQk0uSVFfRUFSTklOR19DTy45OTcuMDcvMDMvMjAyNi4uLlVTRC5IAQAAAN62AQACAAAABDE3ODIBCAAAAAUAAAABMQEAAAALLTE5NTgyODEwOTYDAAAAAzE2MAIAAAABNwQAAAABMAcAAAAIMy83LzIwMjYIAAAACjEyLzMxLzIwMjIJAAAAATBnwUsl/4HeCHXiYSj/gd4IMkNJUS5OWVNFOklCTS5JUV9JTlNfRElWX1JFVi45OTguMDcvMDMvMjAyNi4uLlVTRC5IAQAAAN62AQADAAAAAABnwUsl/4HeCHXiYSj/gd4IKkNJUS5OWVNFOklCTS5JUV9SRVYuOTk0LjA3LzAzLzIwMjYuLi5VU0QuSAEAAADetgEAAgAAAAU1NjQ5OAEIAAAABQAAAAExAQAAAAstMjExMDc2OTM1NQMAAAADMTYwAgAAAAMxMTIEAAAAATAHAAAACDMvNy8yMDI2CAAAAAoxMi8zMS8yMDE5CQAAAAEwZ8FLJf+B3gh14mEo/4HeCDVDSVEuTllTRTpJQk0uSVFfRElMVVRfRVBTX0lOQ0wuOTkzLjA3LzAzLzIwMjYuLi5VU0QuSAEAAADetgEAAgAAAAg5LjUxOTY0NAEIAAAABQAAAAExAQAAAAoyMDgxNTA1NDAxAwAAAAMxNjACAAAAATgEAAAAATAHAAAACDMvNy8yMDI2CAAAAAox</t>
  </si>
  <si>
    <t>Mi8zMS8yMDE4CQAAAAEwZ8FLJf+B3ghhu2Eo/4HeCDZDSVEuTllTRTpJQk0uSVFfRVhUUkFfQUNDX0lURU1TLjk5OS4wNy8wMy8yMDI2Li4uVVNELkgBAAAA3rYBAAMAAAAAAGfBSyX/gd4IYbthKP+B3ggxQ0lRLk5ZU0U6SUJNLklRX0VBUk5JTkdfQ08uOTk2LjA3LzAzLzIwMjYuLi5VU0QuSAEAAADetgEAAgAAAAQ0NzEzAQgAAAAFAAAAATEBAAAACy0yMDA4NjQ3MTk4AwAAAAMxNjACAAAAATcEAAAAATAHAAAACDMvNy8yMDI2CAAAAAoxMi8zMS8yMDIxCQAAAAEwZ8FLJf+B3ghhu2Eo/4HeCDBDSVEuTllTRTpJQk0uSVFfU0dBX1NVUFBMLjk5NC4wNy8wMy8yMDI2Li4uVVNELkgBAAAA3rYBAAIAAAAFMTg3MjQBCAAAAAUAAAABMQEAAAALLTIxMTA3NjkzNTUDAAAAAzE2MAIAAAADMTAyBAAAAAEwBwAAAAgzLzcvMjAyNggAAAAKMTIvMzEvMjAxOQkAAAABMGfBSyX/gd4IYbthKP+B3gg3Q0lRLk5ZU0U6SUJNLklRX0ZJTl9ESVZfSU5UX0VYUC4xMDAwLjA3LzAzLzIwMjYuLi5VU0QuSAEAAADetgEAAwAAAAAAZ8FLJf+B3ghhu2Eo/4HeCDJDSVEuTllTRTpJQk0uSVFfRklOX0RJVl9FWFAuOTk2LjA3LzAzLzIwMjYuLi5VU0QuSAEAAADetgEAAgAAAAM1MzQBCAAAAAUAAAABMQEAAAALLTIwMDg2NDcxOTgDAAAAAzE2MAIAAAACNTEEAAAAATAHAAAACDMvNy8yMDI2CAAAAAoxMi8zMS8yMDIxCQAAAAEw</t>
  </si>
  <si>
    <t>Z8FLJf+B3gg7lGEo/4HeCDJDSVEuTllTRTpJQk0uSVFfSU5UX0lOVl9JTkMuOTk4LjA3LzAzLzIwMjYuLi5VU0QuSAEAAADetgEAAwAAAAAAZ8FLJf+B3ghhu2Eo/4HeCDZDSVEuTllTRTpJQk0uSVFfR0FJTl9JTlZFU1RfUkVWLjk5Mi4wNy8wMy8yMDI2Li4uVVNELkgBAAAA3rYBAAMAAAAAAGfBSyX/gd4IYbthKP+B3gg6Q0lRLk5ZU0U6SUJNLklRX0lOVEVSRVNUX0lOVkVTVF9JTkMuOTk0LjA3LzAzLzIwMjYuLi5VU0QuSAEAAADetgEAAwAAAAAAZ8FLJf+B3ghhu2Eo/4HeCDFDSVEuTllTRTpJQk0uSVFfT1RIRVJfT1BFUi45OTYuMDcvMDMvMjAyNi4uLlVTRC5IAQAAAN62AQACAAAABC02MTIBCAAAAAUAAAABMQEAAAALLTIwMDg2NDcxOTgDAAAAAzE2MAIAAAADMjYwBAAAAAEwBwAAAAgzLzcvMjAyNggAAAAKMTIvMzEvMjAyMQkAAAABMGfBSyX/gd4IYbthKP+B3ggtQ0lRLk5ZU0U6SUJNLklRX1JEX0VYUC45OTguMDcvMDMvMjAyNi4uLlVTRC5IAQAAAN62AQACAAAABDY3NzUBCAAAAAUAAAABMQEAAAALLTE5MDQ4NjA3NDQDAAAAAzE2MAIAAAADMTAwBAAAAAEwBwAAAAgzLzcvMjAyNggAAAAKMTIvMzEvMjAyMwkAAAABMGfBSyX/gd4ILG1hKP+B3gg0Q0lRLk5ZU0U6SUJNLklRX1BSRV9PUEVOX0NPU1QuOTkyLjA3LzAzLzIwMjYuLi5VU0QuSAEAAADetgEAAwAAAAAAZ8FLJf+B3ggsbWEo/4He</t>
  </si>
  <si>
    <t>CDVDSVEuTllTRTpJQk0uSVFfRVhQTE9SRV9EUklMTC4xMDAwLjA3LzAzLzIwMjYuLi5VU0QuSAEAAADetgEAAwAAAAAAZ8FLJf+B3ggsbWEo/4HeCDJDSVEuTllTRTpJQk0uSVFfR0FJTl9JTlZFU1QuOTk2LjA3LzAzLzIwMjYuLi5VU0QuSAEAAADetgEAAgAAAAMxMzMBCAAAAAUAAAABMQEAAAALLTIwMDg2NDcxOTgDAAAAAzE2MAIAAAACNjIEAAAAATAHAAAACDMvNy8yMDI2CAAAAAoxMi8zMS8yMDIxCQAAAAEwZ8FLJf+B3gg7lGEo/4HeCC1DSVEuTllTRTpJQk0uSVFfTUVSR0VSLjk5Mi4wNy8wMy8yMDI2Li4uVVNELkgBAAAA3rYBAAMAAAAAAGfBSyX/gd4IO5RhKP+B3ggvQ0lRLk5ZU0U6SUJNLklRX0VCVF9FWENMLjk5OC4wNy8wMy8yMDI2Li4uVVNELkgBAAAA3rYBAAIAAAAEODY1MQEIAAAABQAAAAExAQAAAAstMTkwNDg2MDc0NAMAAAADMTYwAgAAAAE0BAAAAAEwBwAAAAgzLzcvMjAyNggAAAAKMTIvMzEvMjAyMwkAAAABMGfBSyX/gd4IQx9hKP+B3gg/Q0lRLk5ZU0U6SUJNLklRX09USEVSX05PTl9PUEVSX0VYUF9TVVBQTC45OTIuMDcvMDMvMjAyNi4uLlVTRC5IAQAAAN62AQACAAAAAzMzMwEIAAAABQAAAAExAQAAAAoyMDE3MTY0MjQ0AwAAAAMxNjACAAAAAjg1BAAAAAEwBwAAAAgzLzcvMjAyNggAAAAKMTIvMzEvMjAxNwkAAAABMGfBSyX/gd4IIEZhKP+B3gg4Q0lRLk5ZU0U6SUJNLklR</t>
  </si>
  <si>
    <t>X05FVF9JTlRFUkVTVF9FWFAuMTAwMC4wNy8wMy8yMDI2Li4uVVNELkgBAAAA3rYBAAIAAAAFLTEyOTABCAAAAAUAAAABMQEAAAALLTE5MDQ4NjA3NDADAAAAAzE2MAIAAAADMzY4BAAAAAEwBwAAAAgzLzcvMjAyNggAAAAKMTIvMzEvMjAyNQkAAAABMGfBSyX/gd4IIEZhKP+B3gg8Q0lRLk5ZU0U6SUJNLklRX01JTk9SSVRZX0lOVEVSRVNUX0lTLjEwMDAuMDcvMDMvMjAyNi4uLlVTRC5IAQAAAN62AQADAAAAAABnwUsl/4HeCCBGYSj/gd4INkNJUS5OWVNFOklCTS5JUV9FWFRSQV9BQ0NfSVRFTVMuOTk3LjA3LzAzLzIwMjYuLi5VU0QuSAEAAADetgEAAwAAAAAAZ8FLJf+B3gggRmEo/4HeCDFDSVEuTllTRTpJQk0uSVFfRUFSTklOR19DTy45OTUuMDcvMDMvMjAyNi4uLlVTRC5IAQAAAN62AQACAAAABDM5MzIBCAAAAAUAAAABMQEAAAALLTIwNTkwNzMyMDIDAAAAAzE2MAIAAAABNwQAAAABMAcAAAAIMy83LzIwMjYIAAAACjEyLzMxLzIwMjAJAAAAATBnwUsl/4HeCBf4YCj/gd4IM0NJUS5OWVNFOklCTS5JUV9MRUdBTF9TRVRUTEUuOTk5LjA3LzAzLzIwMjYuLi5VU0QuSAEAAADetgEAAwAAAAAAZ8FLJf+B3ggX+GAo/4HeCDFDSVEuTllTRTpJQk0uSVFfSU5TX1NFVFRMRS45OTQuMDcvMDMvMjAyNi4uLlVTRC5IAQAAAN62AQADAAAAAABnwUsl/4HeCBf4YCj/gd4IMENJUS5OWVNFOklCTS5JUV9FUFNf</t>
  </si>
  <si>
    <t>Tk9STS4xMDAwLjA3LzAzLzIwMjYuLi5VU0QuSAEAAADetgEAAgAAAAg3LjQ4MDg3NQEIAAAABQAAAAExAQAAAAstMTkwNDg2MDc0MAMAAAADMTYwAgAAAAQ0Mzc5BAAAAAEwBwAAAAgzLzcvMjAyNggAAAAKMTIvMzEvMjAyNQkAAAABMGfBSyX/gd4IQx9hKP+B3gg1Q0lRLk5ZU0U6SUJNLklRX0RJTFVUX0VQU19JTkNMLjk5Mi4wNy8wMy8yMDI2Li4uVVNELkgBAAAA3rYBAAIAAAAINi4xMzUxNDgBCAAAAAUAAAABMQEAAAAKMjAxNzE2NDI0NAMAAAADMTYwAgAAAAE4BAAAAAEwBwAAAAgzLzcvMjAyNggAAAAKMTIvMzEvMjAxNwkAAAABMGfBSyX/gd4IQx9hKP+B3gg1Q0lRLk5ZU0U6SUJNLklRX0JBU0lDX0VQU19FWENMLjk5OS4wNy8wMy8yMDI2Li4uVVNELkgBAAAA3rYBAAIAAAAINi41MjU1MDQBCAAAAAUAAAABMQEAAAALLTE5MDQ4NjA3NDMDAAAAAzE2MAIAAAAEMzA2NAQAAAABMAcAAAAIMy83LzIwMjYIAAAACjEyLzMxLzIwMjQJAAAAATBnwUsl/4HeCKzQYCj/gd4INENJUS5OWVNFOklCTS5JUV9OSV9BVkFJTF9FWENMLjk5Ni4wNy8wMy8yMDI2Li4uVVNELkgBAAAA3rYBAAIAAAAENDcxMwEIAAAABQAAAAExAQAAAAstMjAwODY0NzE5OAMAAAADMTYwAgAAAAMzNzkEAAAAATAHAAAACDMvNy8yMDI2CAAAAAoxMi8zMS8yMDIxCQAAAAEwZ8FLJf+B3gis0GAo/4HeCDVDSVEuTllTRTpJQk0uSVFf</t>
  </si>
  <si>
    <t>UFJFRl9ESVZfT1RIRVIuOTkzLjA3LzAzLzIwMjYuLi5VU0QuSAEAAADetgEAAwAAAAAAZ8FLJf+B3gis0GAo/4HeCCtDSVEuTllTRTpJQk0uSVFfRUJJVC45OTQuMDcvMDMvMjAyNi4uLlVTRC5IAQAAAN62AQACAAAABDc1MzkBCAAAAAUAAAABMQEAAAALLTIxMTA3NjkzNTUDAAAAAzE2MAIAAAADNDAwBAAAAAEwBwAAAAgzLzcvMjAyNggAAAAKMTIvMzEvMjAxOQkAAAABMGfBSyX/gd4IrNBgKP+B3gg+Q0lRLk5ZU0U6SUJNLklRX0xFQVNFX0FESlVTVE1FTlRfRUJJVERBLjk5NC4wNy8wMy8yMDI2Li4uVVNELkgBAAAA3rYBAAIAAAAEMTYyMwBnwUsl/4HeCBf4YCj/gd4INkNJUS5OWVNFOklCTS5JUV9FQklUREFfRVhDTF9TQkMuOTk0LjA3LzAzLzIwMjYuLi5VU0QuSAEAAADetgEAAgAAAAUxNDI3NwEIAAAABQAAAAExAQAAAAstMjExMDc2OTM1NQMAAAADMTYwAgAAAAUyNDEzNQQAAAABMAcAAAAIMy83LzIwMjYIAAAACjEyLzMxLzIwMTkJAAAAATBnwUsl/4HeCPGoYCj/gd4INENJUS5OWVNFOklCTS5JUV9FQklUREFfRVFfSU5DLjk5My4wNy8wMy8yMDI2Li4uVVNELkgBAAAA3rYBAAIAAAAFMTc2OTgBCAAAAAUAAAABMQEAAAAKMjA4MTUwNTQwMQMAAAADMTYwAgAAAAUyMTY3NwQAAAABMAcAAAAIMy83LzIwMjYIAAAACjEyLzMxLzIwMTgJAAAAATBnwUsl/4HeCNW8YCj/gd4IMENJUS5OWVNFOklC</t>
  </si>
  <si>
    <t>TS5JUV9ESVZfU0hBUkUuOTk0LjA3LzAzLzIwMjYuLi5VU0QuSAEAAADetgEAAgAAAAQ2LjQzAQgAAAAFAAAAATEBAAAACy0yMTEwNzY5MzU1AwAAAAMxNjACAAAABDMwNTgEAAAAATAHAAAACDMvNy8yMDI2CAAAAAoxMi8zMS8yMDE5CQAAAAEwZ8FLJf+B3gjVvGAo/4HeCD5DSVEuTllTRTpJQk0uSVFfRUJJVERBUl9FUV9JTkNfRVhDTF9TQkMuOTk3LjA3LzAzLzIwMjYuLi5VU0QuSAEAAADetgEAAgAAAAUxMzAxMAEIAAAABQAAAAExAQAAAAstMTk1ODI4MTA5NgMAAAADMTYwAgAAAAUyNDEzMwQAAAABMAcAAAAIMy83LzIwMjYIAAAACjEyLzMxLzIwMjIJAAAAATBnwUsl/4HeCKzQYCj/gd4ILkNJUS5OWVNFOklCTS5JUV9FQklUREFSLjk5Ny4wNy8wMy8yMDI2Li4uVVNELkgBAAAA3rYBAAIAAAAFMTIwMjIBCAAAAAUAAAABMQEAAAALLTE5NTgyODEwOTYDAAAAAzE2MAIAAAAFMjE2NzQEAAAAATAHAAAACDMvNy8yMDI2CAAAAAoxMi8zMS8yMDIyCQAAAAEwZ8FLJf+B3gis0GAo/4HeCDxDSVEuTllTRTpJQk0uSVFfRUJJVEFfRVFfSU5DX0VYQ0xfU0JDLjk5Ni4wNy8wMy8yMDI2Li4uVVNELkgBAAAA3rYBAAIAAAAEODQwMwEIAAAABQAAAAExAQAAAAstMjAwODY0NzE5OAMAAAADMTYwAgAAAAUyNDEzMgQAAAABMAcAAAAIMy83LzIwMjYIAAAACjEyLzMxLzIwMjEJAAAAATBnwUsl/4HeCOiBYCj/gd4I</t>
  </si>
  <si>
    <t>LENJUS5OWVNFOklCTS5JUV9FQklUQS45OTUuMDcvMDMvMjAyNi4uLlVTRC5IAQAAAN62AQACAAAABDcxMzABCAAAAAUAAAABMQEAAAALLTIwNTkwNzMyMDIDAAAAAzE2MAIAAAAGMTAwNjg5BAAAAAEwBwAAAAgzLzcvMjAyNggAAAAKMTIvMzEvMjAyMAkAAAABMGfBSyX/gd4I6IFgKP+B3gg7Q0lRLk5ZU0U6SUJNLklRX0VCSVRfRVFfSU5DX0VYQ0xfU0JDLjk5NS4wNy8wMy8yMDI2Li4uVVNELkgBAAAA3rYBAAIAAAAENTU5OQEIAAAABQAAAAExAQAAAAstMjA1OTA3MzIwMgMAAAADMTYwAgAAAAUyNDEzMAQAAAABMAcAAAAIMy83LzIwMjYIAAAACjEyLzMxLzIwMjAJAAAAATBnwUsl/4HeCOiBYCj/gd4IMUNJUS5OWVNFOklCTS5JUV9DVVJSX1RBWEVTLjk5Ny4wNy8wMy8yMDI2Li4uVVNELkgBAAAA3rYBAAIAAAAEMjI1MQEIAAAABQAAAAExAQAAAAstMTk1ODI4MTA5NgMAAAADMTYwAgAAAAUzNTM4MwQAAAABMAcAAAAIMy83LzIwMjYIAAAACjEyLzMxLzIwMjIJAAAAATBnwUsl/4HeCOiBYCj/gd4IOkNJUS5OWVNFOklCTS5JUV9DVVJSX0RPTUVTVElDX1RBWEVTLjk5OC4wNy8wMy8yMDI2Li4uVVNELkgBAAAA3rYBAAIAAAADNjg3AQgAAAAFAAAAATEBAAAACy0xOTA0ODYwNzQ0AwAAAAMxNjACAAAABDMwMjcEAAAAATAHAAAACDMvNy8yMDI2CAAAAAoxMi8zMS8yMDIzCQAAAAEwZ8FLJf+B3gjxqGAo</t>
  </si>
  <si>
    <t>/4HeCElDSVEuTllTRTpJQk0uSVFfUFJPVl9CQURfREVCVFNfUEFUSUVOVF9TRVJWSUNFX1JFVi45OTMuMDcvMDMvMjAyNi4uLlVTRC5IAQAAAN62AQADAAAAAABnwUsl/4HeCMdaYCj/gd4IPENJUS5OWVNFOklCTS5JUV9UT1RBTF9SRVZfQVNfUkVQT1JURUQuOTkzLjA3LzAzLzIwMjYuLi5VU0QuSAEAAADetgEAAgAAAAU3OTU5MQEIAAAABQAAAAExAQAAAAoyMDgxNTA1NDAxAwAAAAMxNjACAAAAAzMzOQQAAAABMAcAAAAIMy83LzIwMjYIAAAACjEyLzMxLzIwMTgJAAAAATBnwUsl/4HeCMdaYCj/gd4IOENJUS5OWVNFOklCTS5JUV9GRUVTX09USEVSX0lOQ09NRS45OTQuMDcvMDMvMjAyNi4uLlVTRC5IAQAAAN62AQADAAAAAABnwUsl/4HeCMdaYCj/gd4ILUNJUS5OWVNFOklCTS5JUV9HQV9FWFAuOTk5LjA3LzAzLzIwMjYuLi5VU0QuSAEAAADetgEAAwAAAAAAZ8FLJf+B3gjHWmAo/4HeCDJDSVEuTllTRTpJQk0uSVFfQURWRVJUSVNJTkcuOTk5LjA3LzAzLzIwMjYuLi5VU0QuSAEAAADetgEAAgAAAAQxMTczAQgAAAAFAAAAATEBAAAACy0xOTA0ODYwNzQzAwAAAAMxNjACAAAABDMwMTMEAAAAATAHAAAACDMvNy8yMDI2CAAAAAoxMi8zMS8yMDI0CQAAAAEwZ8FLJf+B3gjogWAo/4HeCDtDSVEuTllTRTpJQk0uSVFfQ0FQSVRBTElaRURfSU5URVJFU1QuOTkyLjA3LzAzLzIwMjYuLi5VU0QuSAEAAADe</t>
  </si>
  <si>
    <t>tgEAAgAAAAE1AQgAAAAFAAAAATEBAAAACjIwMTcxNjQyNDQDAAAAAzE2MAIAAAAEMzAzMgQAAAABMAcAAAAIMy83LzIwMjYIAAAACjEyLzMxLzIwMTcJAAAAATBnwUsl/4HeCMYzYCj/gd4IQENJUS5OWVNFOklCTS5JUV9OT05SRUNVUlJJTkdfSU5DT01FX1RBWEVTLjk5Ny4wNy8wMy8yMDI2Li4uVVNELkgBAAAA3rYBAAMAAAAAAGfBSyX/gd4IxjNgKP+B3gg9Q0lRLk5ZU0U6SUJNLklRX0RFRkVSUkVEX0ZPUkVJR05fVEFYRVMuOTk3LjA3LzAzLzIwMjYuLi5VU0QuSAEAAADetgEAAgAAAAMyNTIBCAAAAAUAAAABMQEAAAALLTE5NTgyODEwOTYDAAAAAzE2MAIAAAAEMzA1NQQAAAABMAcAAAAIMy83LzIwMjYIAAAACjEyLzMxLzIwMjIJAAAAATBnwUsl/4HeCMYzYCj/gd4IOENJUS5OWVNFOklCTS5JUV9JTlNfU0VUVExFX1NVUFBMRS45OTYuMDcvMDMvMjAyNi4uLlVTRC5IAQAAAN62AQADAAAAAABnwUsl/4HeCMYzYCj/gd4IPkNJUS5OWVNFOklCTS5JUV9BU1NFVF9XUklURURPV05fU1VQUExFLjEwMDAuMDcvMDMvMjAyNi4uLlVTRC5IAQAAAN62AQADAAAAAABnwUsl/4HeCMdaYCj/gd4IOUNJUS5OWVNFOklCTS5JUV9SRVNUUlVDVFVSRV9TVVBQTEUuOTkyLjA3LzAzLzIwMjYuLi5VU0QuSAEAAADetgEAAwAAAAAAZ8FLJf+B3ghIDGAo/4HeCDNDSVEuTllTRTpJQk0uSVFfTUFJTlRfUkVQQUlSLjk5</t>
  </si>
  <si>
    <t>Ny4wNy8wMy8yMDI2Li4uVVNELkgBAAAA3rYBAAMAAAAAAGfBSyX/gd4ISAxgKP+B3gg0Q0lRLk5ZU0U6SUJNLklRX09USEVSX1JFTlRBTC4xMDAwLjA3LzAzLzIwMjYuLi5VU0QuSAEAAADetgEAAwAAAAAAZ8FLJf+B3ghIDGAo/4HeCDBDSVEuTllTRTpJQk0uSVFfQ0hBTkdFX0FQLjk5Mi4wNy8wMy8yMDI2Li4uVVNELkgBAAAA3rYBAAIAAAACNDcBCAAAAAUAAAABMQEAAAAKMjAxNzE2NDI0NAMAAAADMTYwAgAAAAQyMDE3BAAAAAEwBwAAAAgzLzcvMjAyNggAAAAKMTIvMzEvMjAxNwkAAAABMGfBSyX/gd4ISAxgKP+B3ggsQ0lRLk5ZU0U6SUJNLklRX05JX0NGLjk5Mi4wNy8wMy8yMDI2Li4uVVNELkgBAAAA3rYBAAIAAAAENTc1MwEIAAAABQAAAAExAQAAAAoyMDE3MTY0MjQ0AwAAAAMxNjACAAAABDIxNTAEAAAAATAHAAAACDMvNy8yMDI2CAAAAAoxMi8zMS8yMDE3CQAAAAEwZ8FLJf+B3ghIDGAo/4HeCDhDSVEuTllTRTpJQk0uSVFfU1RPQ0tfQkFTRURfVE9UQUwuOTkzLjA3LzAzLzIwMjYuLi5VU0QuSAEAAADetgEAAgAAAAM1MTABCAAAAAUAAAABMQEAAAAKMjA4MTUwNTQwMQMAAAADMTYwAgAAAAUyNDAzNAQAAAABMAcAAAAIMy83LzIwMjYIAAAACjEyLzMxLzIwMTgJAAAAATBnwUsl/4HeCFrRXyj/gd4INUNJUS5OWVNFOklCTS5JUV9TVE9DS19CQVNFRF9HQS45OTcuMDcvMDMvMjAyNi4uLlVT</t>
  </si>
  <si>
    <t>RC5IAQAAAN62AQADAAAAAABnwUsl/4HeCFrRXyj/gd4IOENJUS5OWVNFOklCTS5JUV9ORUdBVElWRV9HV19BTU9SVC45OTkuMDcvMDMvMjAyNi4uLlVTRC5IAQAAAN62AQADAAAAAABnwUsl/4HeCFrRXyj/gd4IN0NJUS5OWVNFOklCTS5JUV9UT1RBTF9PVEhFUl9PUEVSLjk5NS4wNy8wMy8yMDI2Li4uVVNELkgBAAAA3rYBAAIAAAAFMjYyMDMBCAAAAAUAAAABMQEAAAALLTIwNTkwNzMyMDIDAAAAAzE2MAIAAAADMzgwBAAAAAEwBwAAAAgzLzcvMjAyNggAAAAKMTIvMzEvMjAyMAkAAAABMGfBSyX/gd4IZ/hfKP+B3ggyQ0lRLk5ZU0U6SUJNLklRX0lOU19ESVZfUkVWLjk5OS4wNy8wMy8yMDI2Li4uVVNELkgBAAAA3rYBAAMAAAAAAGfBSyX/gd4IZ/hfKP+B3gg0Q0lRLk5ZU0U6SUJNLklRX1BSRV9PUEVOX0NPU1QuOTk0LjA3LzAzLzIwMjYuLi5VU0QuSAEAAADetgEAAwAAAAAAZ8FLJf+B3ghIql8o/4HeCDNDSVEuTllTRTpJQk0uSVFfSU5TX0RJVl9SRVYuMTAwMC4wNy8wMy8yMDI2Li4uVVNELkgBAAAA3rYBAAMAAAAAAGfBSyX/gd4ISKpfKP+B3ggxQ0lRLk5ZU0U6SUJNLklRX05JX0NPTVBBTlkuOTk4LjA3LzAzLzIwMjYuLi5VU0QuSAEAAADetgEAAgAAAAQ3NTAyAQgAAAAFAAAAATEBAAAACy0xOTA0ODYwNzQ0AwAAAAMxNjACAAAABTQxNTcxBAAAAAEwBwAAAAgzLzcvMjAyNggAAAAKMTIvMzEv</t>
  </si>
  <si>
    <t>MjAyMwkAAAABMGfBSyX/gd4ISKpfKP+B3gg2Q0lRLk5ZU0U6SUJNLklRX0dBSU5fQVNTRVRTX1JFVi45OTMuMDcvMDMvMjAyNi4uLlVTRC5IAQAAAN62AQADAAAAAABnwUsl/4HeCFrRXyj/gd4IQENJUS5OWVNFOklCTS5JUV9PVEhFUl9OT05fT1BFUl9FWFBfU1VQUEwuMTAwMC4wNy8wMy8yMDI2Li4uVVNELkgBAAAA3rYBAAIAAAADMTI1AQgAAAAFAAAAATEBAAAACy0xOTA0ODYwNzQwAwAAAAMxNjACAAAAAjg1BAAAAAEwBwAAAAgzLzcvMjAyNggAAAAKMTIvMzEvMjAyNQkAAAABMGfBSyX/gd4IWtFfKP+B3ggyQ0lRLk5ZU0U6SUJNLklRX1JFU1RSVUNUVVJFLjk5Ny4wNy8wMy8yMDI2Li4uVVNELkgBAAAA3rYBAAMAAAAAAGfBSyX/gd4IN4NfKP+B3gg/Q0lRLk5ZU0U6SUJNLklRX09USEVSX05PTl9PUEVSX0VYUF9TVVBQTC45OTMuMDcvMDMvMjAyNi4uLlVTRC5IAQAAAN62AQACAAAABC03MTkBCAAAAAUAAAABMQEAAAAKMjA4MTUwNTQwMQMAAAADMTYwAgAAAAI4NQQAAAABMAcAAAAIMy83LzIwMjYIAAAACjEyLzMxLzIwMTgJAAAAATBnwUsl/4HeCDeDXyj/gd4IN0NJUS5OWVNFOklCTS5JUV9ORVRfSU5URVJFU1RfRVhQLjk5My4wNy8wMy8yMDI2Li4uVVNELkgBAAAA3rYBAAIAAAAELTcyMwEIAAAABQAAAAExAQAAAAoyMDgxNTA1NDAxAwAAAAMxNjACAAAAAzM2OAQAAAABMAcAAAAIMy83LzIw</t>
  </si>
  <si>
    <t>MjYIAAAACjEyLzMxLzIwMTgJAAAAATBnwUsl/4HeCDeDXyj/gd4IMkNJUS5OWVNFOklCTS5JUV9JTlRfSU5WX0lOQy45OTYuMDcvMDMvMjAyNi4uLlVTRC5IAQAAAN62AQADAAAAAABnwUsl/4HeCEiqXyj/gd4INkNJUS5OWVNFOklCTS5JUV9HQUlOX0FTU0VUU19SRVYuOTkyLjA3LzAzLzIwMjYuLi5VU0QuSAEAAADetgEAAwAAAAAAZ8FLJf+B3ghIql8o/4HeCEtDSVEuTllTRTpJQk0uSVFfRElTVFJJQlVUQUJMRV9DQVNIX1BFUl9TSEFSRV9ESUxVVEVELjk5My4wNy8wMy8yMDI2Li4uVVNELkgBAAAA3rYBAAMAAAAAAGfBSyX/gd4IJ1xfKP+B3gg0Q0lRLk5ZU0U6SUJNLklRX05JX0FWQUlMX0lOQ0wuOTk4LjA3LzAzLzIwMjYuLi5VU0QuSAEAAADetgEAAgAAAAQ3NTAyAQgAAAAFAAAAATEBAAAACy0xOTA0ODYwNzQ0AwAAAAMxNjACAAAAAjE2BAAAAAEwBwAAAAgzLzcvMjAyNggAAAAKMTIvMzEvMjAyMwkAAAABMGfBSyX/gd4IJ1xfKP+B3ggyQ0lRLk5ZU0U6SUJNLklRX0lOVF9JTlZfSU5DLjk5Ny4wNy8wMy8yMDI2Li4uVVNELkgBAAAA3rYBAAMAAAAAAGfBSyX/gd4IJ1xfKP+B3ggyQ0lRLk5ZU0U6SUJNLklRX1NUT0NLX0JBU0VELjk5Ni4wNy8wMy8yMDI2Li4uVVNELkgBAAAA3rYBAAMAAAAAAGfBSyX/gd4IN4NfKP+B3ggwQ0lRLk5ZU0U6SUJNLklRX1NHQV9TVVBQTC45OTYuMDcvMDMvMjAy</t>
  </si>
  <si>
    <t>Ni4uLlVTRC5IAQAAAN62AQACAAAABTIwMDI3AQgAAAAFAAAAATEBAAAACy0yMDA4NjQ3MTk4AwAAAAMxNjACAAAAAzEwMgQAAAABMAcAAAAIMy83LzIwMjYIAAAACjEyLzMxLzIwMjEJAAAAATBnwUsl/4HeCDeDXyj/gd4IMENJUS5OWVNFOklCTS5JUV9UT1RBTF9SRVYuOTk0LjA3LzAzLzIwMjYuLi5VU0QuSAEAAADetgEAAgAAAAU1NzcxNAEIAAAABQAAAAExAQAAAAstMjExMDc2OTM1NQMAAAADMTYwAgAAAAIyOAQAAAABMAcAAAAIMy83LzIwMjYIAAAACjEyLzMxLzIwMTkJAAAAATBnwUsl/4HeCBk1Xyj/gd4INkNJUS5OWVNFOklCTS5JUV9HQUlOX0lOVkVTVF9SRVYuOTk0LjA3LzAzLzIwMjYuLi5VU0QuSAEAAADetgEAAwAAAAAAZ8FLJf+B3ggZNV8o/4HeCDJDSVEuTllTRTpJQk0uSVFfRklOX0RJVl9SRVYuOTk3LjA3LzAzLzIwMjYuLi5VU0QuSAEAAADetgEAAgAAAAM2NTEBCAAAAAUAAAABMQEAAAALLTE5NTgyODEwOTYDAAAAAzE2MAIAAAACNTIEAAAAATAHAAAACDMvNy8yMDI2CAAAAAoxMi8zMS8yMDIyCQAAAAEwZ8FLJf+B3ggZNV8o/4HeCCpDSVEuTllTRTpJQk0uSVFfUkVWLjk5My4wNy8wMy8yMDI2Li4uVVNELkgBAAAA3rYBAAIAAAAFNzc5OTIBCAAAAAUAAAABMQEAAAAKMjA4MTUwNTQwMQMAAAADMTYwAgAAAAMxMTIEAAAAATAHAAAACDMvNy8yMDI2CAAAAAoxMi8zMS8yMDE4CQAA</t>
  </si>
  <si>
    <t>AAEwZ8FLJf+B3ggnXF8o/4HeCCpDSVEuTllTRTpJQk0uSVFfUkVWLjk5NS4wNy8wMy8yMDI2Li4uVVNELkgBAAAA3rYBAAIAAAAFNTQxOTUBCAAAAAUAAAABMQEAAAALLTIwNTkwNzMyMDIDAAAAAzE2MAIAAAADMTEyBAAAAAEwBwAAAAgzLzcvMjAyNggAAAAKMTIvMzEvMjAyMAkAAAABMGfBSyX/gd4IJ1xfKP+B3gg3Q0lRLk5ZU0U6SUJNLklRX0VYVFJBX0FDQ19JVEVNUy4xMDAwLjA3LzAzLzIwMjYuLi5VU0QuSAEAAADetgEAAwAAAAAAZ8FLJf+B3gjzDV8o/4HeCC1DSVEuTllTRTpJQk0uSVFfTUVSR0VSLjk5NC4wNy8wMy8yMDI2Li4uVVNELkgBAAAA3rYBAAMAAAAAAGfBSyX/gd4I8w1fKP+B3gguQ0lRLk5ZU0U6SUJNLklRX1JEX0VYUC4xMDAwLjA3LzAzLzIwMjYuLi5VU0QuSAEAAADetgEAAgAAAAQ4MzEyAQgAAAAFAAAAATEBAAAACy0xOTA0ODYwNzQwAwAAAAMxNjACAAAAAzEwMAQAAAABMAcAAAAIMy83LzIwMjYIAAAACjEyLzMxLzIwMjUJAAAAATBnwUsl/4HeCPMNXyj/gd4IMENJUS5OWVNFOklCTS5JUV9TR0FfU1VQUEwuOTkzLjA3LzAzLzIwMjYuLi5VU0QuSAEAAADetgEAAgAAAAUxOTM2NgEIAAAABQAAAAExAQAAAAoyMDgxNTA1NDAxAwAAAAMxNjACAAAAAzEwMgQAAAABMAcAAAAIMy83LzIwMjYIAAAACjEyLzMxLzIwMTgJAAAAATBnwUsl/4HeCBk1Xyj/gd4INkNJUS5OWVNFOklC</t>
  </si>
  <si>
    <t>TS5JUV9GSU5fRElWX0lOVF9FWFAuOTk5LjA3LzAzLzIwMjYuLi5VU0QuSAEAAADetgEAAwAAAAAAZ8FLJf+B3ggZNV8o/4HeCDJDSVEuTllTRTpJQk0uSVFfRklOX0RJVl9FWFAuOTk1LjA3LzAzLzIwMjYuLi5VU0QuSAEAAADetgEAAgAAAAM1NzcBCAAAAAUAAAABMQEAAAALLTIwNTkwNzMyMDIDAAAAAzE2MAIAAAACNTEEAAAAATAHAAAACDMvNy8yMDI2CAAAAAoxMi8zMS8yMDIwCQAAAAEwZ8FLJf+B3giQ5l4o/4HeCDZDSVEuTllTRTpJQk0uSVFfT1RIRVJfUkVWX1NVUFBMLjk5NS4wNy8wMy8yMDI2Li4uVVNELkgBAAAA3rYBAAMAAAAAAGfBSyX/gd4IkOZeKP+B3ggyQ0lRLk5ZU0U6SUJNLklRX0lOU19ESVZfUkVWLjk5Ny4wNy8wMy8yMDI2Li4uVVNELkgBAAAA3rYBAAMAAAAAAGfBSyX/gd4IkOZeKP+B3gg6Q0lRLk5ZU0U6SUJNLklRX0lOVEVSRVNUX0lOVkVTVF9JTkMuOTkzLjA3LzAzLzIwMjYuLi5VU0QuSAEAAADetgEAAwAAAAAAZ8FLJf+B3giQ5l4o/4HeCC9DSVEuTllTRTpJQk0uSVFfT1BFUl9JTkMuOTk5LjA3LzAzLzIwMjYuLi5VU0QuSAEAAADetgEAAgAAAAQ5Nzg4AQgAAAAFAAAAATEBAAAACy0xOTA0ODYwNzQzAwAAAAMxNjACAAAAAjIxBAAAAAEwBwAAAAgzLzcvMjAyNggAAAAKMTIvMzEvMjAyNAkAAAABMGfBSyX/gd4I8w1fKP+B3ggxQ0lRLk5ZU0U6SUJNLklRX09USEVSX09Q</t>
  </si>
  <si>
    <t>RVIuOTk1LjA3LzAzLzIwMjYuLi5VU0QuSAEAAADetgEAAgAAAAQtNjIwAQgAAAAFAAAAATEBAAAACy0yMDU5MDczMjAyAwAAAAMxNjACAAAAAzI2MAQAAAABMAcAAAAIMy83LzIwMjYIAAAACjEyLzMxLzIwMjAJAAAAATBnwUsl/4HeCKarXij/gd4ILUNJUS5OWVNFOklCTS5JUV9SRF9FWFAuOTk3LjA3LzAzLzIwMjYuLi5VU0QuSAEAAADetgEAAgAAAAQ2NTY3AQgAAAAFAAAAATEBAAAACy0xOTU4MjgxMDk2AwAAAAMxNjACAAAAAzEwMAQAAAABMAcAAAAIMy83LzIwMjYIAAAACjEyLzMxLzIwMjIJAAAAATBnwUsl/4HeCJDmXij/gd4INUNJUS5OWVNFOklCTS5JUV9QUk9WX0JBRF9ERUJUUy45OTcuMDcvMDMvMjAyNi4uLlVTRC5IAQAAAN62AQADAAAAAABnwUsl/4HeCJDmXij/gd4IM0NJUS5OWVNFOklCTS5JUV9MRUdBTF9TRVRUTEUuOTk4LjA3LzAzLzIwMjYuLi5VU0QuSAEAAADetgEAAwAAAAAAZ8FLJf+B3giQ5l4o/4HeCDFDSVEuTllTRTpJQk0uSVFfSU5TX1NFVFRMRS45OTMuMDcvMDMvMjAyNi4uLlVTRC5IAQAAAN62AQADAAAAAABnwUsl/4HeCJDmXij/gd4IMkNJUS5OWVNFOklCTS5JUV9HQUlOX0lOVkVTVC45OTUuMDcvMDMvMjAyNi4uLlVTRC5IAQAAAN62AQADAAAAAABnwUsl/4HeCKarXij/gd4IL0NJUS5OWVNFOklCTS5JUV9FQlRfRVhDTC45OTcuMDcvMDMvMjAyNi4uLlVTRC5IAQAA</t>
  </si>
  <si>
    <t>AN62AQACAAAABDcwNzABCAAAAAUAAAABMQEAAAALLTE5NTgyODEwOTYDAAAAAzE2MAIAAAABNAQAAAABMAcAAAAIMy83LzIwMjYIAAAACjEyLzMxLzIwMjIJAAAAATBnwUsl/4HeCKarXij/gd4IN0NJUS5OWVNFOklCTS5JUV9ORVRfSU5URVJFU1RfRVhQLjk5OS4wNy8wMy8yMDI2Li4uVVNELkgBAAAA3rYBAAIAAAAELTk2NQEIAAAABQAAAAExAQAAAAstMTkwNDg2MDc0MwMAAAADMTYwAgAAAAMzNjgEAAAAATAHAAAACDMvNy8yMDI2CAAAAAoxMi8zMS8yMDI0CQAAAAEwZ8FLJf+B3gimq14o/4HeCDVDSVEuTllTRTpJQk0uSVFfRElMVVRfRVBTX05PUk0uOTk3LjA3LzAzLzIwMjYuLi5VU0QuSAEAAADetgEAAgAAAAg0Ljg0MzY5MQEIAAAABQAAAAExAQAAAAstMTk1ODI4MTA5NgMAAAADMTYwAgAAAAQ0MzgwBAAAAAEwBwAAAAgzLzcvMjAyNggAAAAKMTIvMzEvMjAyMgkAAAABMGfBSyX/gd4IpqteKP+B3gg1Q0lRLk5ZU0U6SUJNLklRX0JBU0lDX0VQU19FWENMLjk5OC4wNy8wMy8yMDI2Li4uVVNELkgBAAAA3rYBAAIAAAAIOC4yNDYxNzUBCAAAAAUAAAABMQEAAAALLTE5MDQ4NjA3NDQDAAAAAzE2MAIAAAAEMzA2NAQAAAABMAcAAAAIMy83LzIwMjYIAAAACjEyLzMxLzIwMjMJAAAAATBnwUsl/4HeCKarXij/gd4INENJUS5OWVNFOklCTS5JUV9OSV9BVkFJTF9FWENMLjk5NS4wNy8wMy8yMDI2Li4u</t>
  </si>
  <si>
    <t>VVNELkgBAAAA3rYBAAIAAAAEMzkzMgEIAAAABQAAAAExAQAAAAstMjA1OTA3MzIwMgMAAAADMTYwAgAAAAMzNzkEAAAAATAHAAAACDMvNy8yMDI2CAAAAAoxMi8zMS8yMDIwCQAAAAEwZ8FLJf+B3gimq14o/4HeCDtDSVEuTllTRTpJQk0uSVFfTUlOT1JJVFlfSU5URVJFU1RfSVMuOTk5LjA3LzAzLzIwMjYuLi5VU0QuSAEAAADetgEAAwAAAAAAZ8FLJf+B3gimq14o/4HeCDZDSVEuTllTRTpJQk0uSVFfRVhUUkFfQUNDX0lURU1TLjk5Ni4wNy8wMy8yMDI2Li4uVVNELkgBAAAA3rYBAAMAAAAAAGfBSyX/gd4IpqteKP+B3gg+Q0lRLk5ZU0U6SUJNLklRX0xFQVNFX0FESlVTVE1FTlRfRUJJVERBLjk5My4wNy8wMy8yMDI2Li4uVVNELkgBAAAA3rYBAAMAAAAAAGfBSyX/gd4IpqteKP+B3gg2Q0lRLk5ZU0U6SUJNLklRX0VCSVREQV9FWENMX1NCQy45OTMuMDcvMDMvMjAyNi4uLlVTRC5IAQAAAN62AQACAAAABTE4MjA4AQgAAAAFAAAAATEBAAAACjIwODE1MDU0MDEDAAAAAzE2MAIAAAAFMjQxMzUEAAAAATAHAAAACDMvNy8yMDI2CAAAAAoxMi8zMS8yMDE4CQAAAAEwZ8FLJf+B3gimq14o/4HeCDRDSVEuTllTRTpJQk0uSVFfRUJJVERBX0VRX0lOQy45OTIuMDcvMDMvMjAyNi4uLlVTRC5IAQAAAN62AQACAAAABTE2MjIzAQgAAAAFAAAAATEBAAAACjIwMTcxNjQyNDQDAAAAAzE2MAIAAAAFMjE2NzcEAAAA</t>
  </si>
  <si>
    <t>ATAHAAAACDMvNy8yMDI2CAAAAAoxMi8zMS8yMDE3CQAAAAEwZ8FLJf+B3ghthF4o/4HeCEBDSVEuTllTRTpJQk0uSVFfRElTVFJJQlVUQUJMRV9DQVNIX1NIQVJFLjEwMDAuMDcvMDMvMjAyNi4uLlVTRC5IAQAAAN62AQADAAAAAABnwUsl/4HeCG2EXij/gd4IMENJUS5OWVNFOklCTS5JUV9ESVZfU0hBUkUuOTkzLjA3LzAzLzIwMjYuLi5VU0QuSAEAAADetgEAAgAAAAQ2LjIxAQgAAAAFAAAAATEBAAAACjIwODE1MDU0MDEDAAAAAzE2MAIAAAAEMzA1OAQAAAABMAcAAAAIMy83LzIwMjYIAAAACjEyLzMxLzIwMTgJAAAAATBnwUsl/4HeCG2EXij/gd4ILkNJUS5OWVNFOklCTS5JUV9FQklUREFSLjk5Ni4wNy8wMy8yMDI2Li4uVVNELkgBAAAA3rYBAAIAAAAFMTI3NDYBCAAAAAUAAAABMQEAAAALLTIwMDg2NDcxOTgDAAAAAzE2MAIAAAAFMjE2NzQEAAAAATAHAAAACDMvNy8yMDI2CAAAAAoxMi8zMS8yMDIxCQAAAAEwZ8FLJf+B3gimq14o/4HeCDxDSVEuTllTRTpJQk0uSVFfRUJJVEFfRVFfSU5DX0VYQ0xfU0JDLjk5NS4wNy8wMy8yMDI2Li4uVVNELkgBAAAA3rYBAAIAAAAEODA2NwEIAAAABQAAAAExAQAAAAstMjA1OTA3MzIwMgMAAAADMTYwAgAAAAUyNDEzMgQAAAABMAcAAAAIMy83LzIwMjYIAAAACjEyLzMxLzIwMjAJAAAAATBnwUsl/4HeCKarXij/gd4ILENJUS5OWVNFOklCTS5JUV9FQklUQS45</t>
  </si>
  <si>
    <t>OTQuMDcvMDMvMjAyNi4uLlVTRC5IAQAAAN62AQACAAAABDkzODkBCAAAAAUAAAABMQEAAAALLTIxMTA3NjkzNTUDAAAAAzE2MAIAAAAGMTAwNjg5BAAAAAEwBwAAAAgzLzcvMjAyNggAAAAKMTIvMzEvMjAxOQkAAAABMGfBSyX/gd4IbYReKP+B3gg7Q0lRLk5ZU0U6SUJNLklRX0VCSVRfRVFfSU5DX0VYQ0xfU0JDLjk5My4wNy8wMy8yMDI2Li4uVVNELkgBAAAA3rYBAAIAAAAFMTM3MjgBCAAAAAUAAAABMQEAAAAKMjA4MTUwNTQwMQMAAAADMTYwAgAAAAUyNDEzMAQAAAABMAcAAAAIMy83LzIwMjYIAAAACjEyLzMxLzIwMTgJAAAAATBnwUsl/4HeCG2EXij/gd4IK0NJUS5OWVNFOklCTS5JUV9FQklULjk5My4wNy8wMy8yMDI2Li4uVVNELkgBAAAA3rYBAAIAAAAFMTMyMTgBCAAAAAUAAAABMQEAAAAKMjA4MTUwNTQwMQMAAAADMTYwAgAAAAM0MDAEAAAAATAHAAAACDMvNy8yMDI2CAAAAAoxMi8zMS8yMDE4CQAAAAEwZ8FLJf+B3ghthF4o/4HeCDpDSVEuTllTRTpJQk0uSVFfQ1VSUl9ET01FU1RJQ19UQVhFUy45OTcuMDcvMDMvMjAyNi4uLlVTRC5IAQAAAN62AQACAAAAAzU3NQEIAAAABQAAAAExAQAAAAstMTk1ODI4MTA5NgMAAAADMTYwAgAAAAQzMDI3BAAAAAEwBwAAAAgzLzcvMjAyNggAAAAKMTIvMzEvMjAyMgkAAAABMGfBSyX/gd4IbYReKP+B3gg5Q0lRLk5ZU0U6SUJNLklRX0lOVkVTVE1FTlRf</t>
  </si>
  <si>
    <t>SU5DT01FLjEwMDAuMDcvMDMvMjAyNi4uLlVTRC5IAQAAAN62AQADAAAAAABnwUsl/4HeCG2EXij/gd4IPENJUS5OWVNFOklCTS5JUV9UT1RBTF9SRVZfQVNfUkVQT1JURUQuOTkyLjA3LzAzLzIwMjYuLi5VU0QuSAEAAADetgEAAgAAAAU3OTEzOQEIAAAABQAAAAExAQAAAAoyMDE3MTY0MjQ0AwAAAAMxNjACAAAAAzMzOQQAAAABMAcAAAAIMy83LzIwMjYIAAAACjEyLzMxLzIwMTcJAAAAATBnwUsl/4HeCHpdXij/gd4IOENJUS5OWVNFOklCTS5JUV9GRUVTX09USEVSX0lOQ09NRS45OTMuMDcvMDMvMjAyNi4uLlVTRC5IAQAAAN62AQADAAAAAABnwUsl/4HeCHpdXij/gd4IN0NJUS5OWVNFOklCTS5JUV9FQklUREFSX0VYQ0xfU0JDLjk5NC4wNy8wMy8yMDI2Li4uVVNELkgBAAAA3rYBAAIAAAAFMTU5MDABCAAAAAUAAAABMQEAAAALLTIxMTA3NjkzNTUDAAAAAzE2MAIAAAAFMjQxMzcEAAAAATAHAAAACDMvNy8yMDI2CAAAAAoxMi8zMS8yMDE5CQAAAAEwZ8FLJf+B3gh6XV4o/4HeCDtDSVEuTllTRTpJQk0uSVFfTk9OQ0FTSF9QRU5TSU9OX0VYUC4xMDAwLjA3LzAzLzIwMjYuLi5VU0QuSAEAAADetgEAAgAAAAMtNDkBCAAAAAUAAAABMQEAAAALLTE5MDQ4NjA3NDADAAAAAzE2MAIAAAAFMjE2NzgEAAAAATAHAAAACDMvNy8yMDI2CAAAAAoxMi8zMS8yMDI1CQAAAAEwZ8FLJf+B3gh6XV4o/4HeCElDSVEu</t>
  </si>
  <si>
    <t>TllTRTpJQk0uSVFfSU5URVJFU1RfRVhQX0xFQVNFX0xJQUJJTElUWV9ERUJULjEwMDAuMDcvMDMvMjAyNi4uLlVTRC5IAQAAAN62AQADAAAAAABnwUsl/4HeCHpdXij/gd4ILkNJUS5OWVNFOklCTS5JUV9OSV9OT1JNLjk5My4wNy8wMy8yMDI2Li4uVVNELkgBAAAA3rYBAAIAAAAHNzA4OC43NQEIAAAABQAAAAExAQAAAAoyMDgxNTA1NDAxAwAAAAMxNjACAAAABDQzNzgEAAAAATAHAAAACDMvNy8yMDI2CAAAAAoxMi8zMS8yMDE4CQAAAAEwZ8FLJf+B3ghGNl4o/4HeCD1DSVEuTllTRTpJQk0uSVFfREVGRVJSRURfRk9SRUlHTl9UQVhFUy45OTYuMDcvMDMvMjAyNi4uLlVTRC5IAQAAAN62AQACAAAAAy0yNQEIAAAABQAAAAExAQAAAAstMjAwODY0NzE5OAMAAAADMTYwAgAAAAQzMDU1BAAAAAEwBwAAAAgzLzcvMjAyNggAAAAKMTIvMzEvMjAyMQkAAAABMGfBSyX/gd4IRjZeKP+B3ggxQ0lRLk5ZU0U6SUJNLklRX0NVUlJfVEFYRVMuOTk2LjA3LzAzLzIwMjYuLi5VU0QuSAEAAADetgEAAgAAAAQxODc3AQgAAAAFAAAAATEBAAAACy0yMDA4NjQ3MTk4AwAAAAMxNjACAAAABTM1MzgzBAAAAAEwBwAAAAgzLzcvMjAyNggAAAAKMTIvMzEvMjAyMQkAAAABMGfBSyX/gd4IRjZeKP+B3ggzQ0lRLk5ZU0U6SUJNLklRX01BSU5UX1JFUEFJUi45OTUuMDcvMDMvMjAyNi4uLlVTRC5IAQAAAN62AQADAAAAAABnwUsl</t>
  </si>
  <si>
    <t>/4HeCEY2Xij/gd4IM0NJUS5OWVNFOklCTS5JUV9PVEhFUl9SRU5UQUwuOTk5LjA3LzAzLzIwMjYuLi5VU0QuSAEAAADetgEAAwAAAAAAZ8FLJf+B3ghGNl4o/4HeCC1DSVEuTllTRTpJQk0uSVFfR0FfRVhQLjk5OC4wNy8wMy8yMDI2Li4uVVNELkgBAAAA3rYBAAMAAAAAAGfBSyX/gd4IPw9eKP+B3ggwQ0lRLk5ZU0U6SUJNLklRX01BUktFVElORy45OTMuMDcvMDMvMjAyNi4uLlVTRC5IAQAAAN62AQADAAAAAABnwUsl/4HeCD8PXij/gd4IOkNJUS5OWVNFOklCTS5JUV9ESVNUUklCVVRBQkxFX0NBU0guMTAwMC4wNy8wMy8yMDI2Li4uVVNELkgBAAAA3rYBAAMAAAAAAGfBSyX/gd4IPw9eKP+B3gg+Q0lRLk5ZU0U6SUJNLklRX1JFU1RSX1NUT0NLX0NPTVBfUFJFVEFYLjk5NS4wNy8wMy8yMDI2Li4uVVNELkgBAAAA3rYBAAMAAAAAAGfBSyX/gd4IRjZeKP+B3gg1Q0lRLk5ZU0U6SUJNLklRX1NUT0NLX0JBU0VEX0dBLjk5Ni4wNy8wMy8yMDI2Li4uVVNELkgBAAAA3rYBAAMAAAAAAGfBSyX/gd4IRjZeKP+B3gg4Q0lRLk5ZU0U6SUJNLklRX05FR0FUSVZFX0dXX0FNT1JULjk5OC4wNy8wMy8yMDI2Li4uVVNELkgBAAAA3rYBAAMAAAAAAGfBSyX/gd4ILOhdKP+B3gg6Q0lRLk5ZU0U6SUJNLklRX0xFR0FMX1NFVFRMRV9TVVBQTEUuOTkzLjA3LzAzLzIwMjYuLi5VU0QuSAEAAADetgEAAwAAAAAAZ8FLJf+B</t>
  </si>
  <si>
    <t>3ggs6F0o/4HeCD1DSVEuTllTRTpJQk0uSVFfQVNTRVRfV1JJVEVET1dOX1NVUFBMRS45OTkuMDcvMDMvMjAyNi4uLlVTRC5IAQAAAN62AQADAAAAAABnwUsl/4HeCCzoXSj/gd4IN0NJUS5OWVNFOklCTS5JUV9UT1RBTF9PVEhFUl9PUEVSLjk5NC4wNy8wMy8yMDI2Li4uVVNELkgBAAAA3rYBAAIAAAAFMjM5OTUBCAAAAAUAAAABMQEAAAALLTIxMTA3NjkzNTUDAAAAAzE2MAIAAAADMzgwBAAAAAEwBwAAAAgzLzcvMjAyNggAAAAKMTIvMzEvMjAxOQkAAAABMGfBSyX/gd4ILOhdKP+B3ggvQ0lRLk5ZU0U6SUJNLklRX0RBX1NVUFBMLjk5Ni4wNy8wMy8yMDI2Li4uVVNELkgBAAAA3rYBAAMAAAAAAGfBSyX/gd4ILOhdKP+B3gg1Q0lRLk5ZU0U6SUJNLklRX1BST1ZfQkFEX0RFQlRTLjk5OC4wNy8wMy8yMDI2Li4uVVNELkgBAAAA3rYBAAMAAAAAAGfBSyX/gd4IHMFdKP+B3gg0Q0lRLk5ZU0U6SUJNLklRX0lNUEFJUk1FTlRfR1cuOTkyLjA3LzAzLzIwMjYuLi5VU0QuSAEAAADetgEAAwAAAAAAZ8FLJf+B3ggcwV0o/4HeCDVDSVEuTllTRTpJQk0uSVFfQ0hBTkdFX0lOQ19UQVguOTk1LjA3LzAzLzIwMjYuLi5VU0QuSAEAAADetgEAAwAAAAAAZ8FLJf+B3ggcwV0o/4HeCDNDSVEuTllTRTpJQk0uSVFfSU5URVJFU1RfRVhQLjk5Ni4wNy8wMy8yMDI2Li4uVVNELkgBAAAA3rYBAAIAAAAFLTExNTUBCAAAAAUA</t>
  </si>
  <si>
    <t>AAABMQEAAAALLTIwMDg2NDcxOTgDAAAAAzE2MAIAAAACODIEAAAAATAHAAAACDMvNy8yMDI2CAAAAAoxMi8zMS8yMDIxCQAAAAEwjehLJf+B3ggcwV0o/4HeCDJDSVEuTllTRTpJQk0uSVFfU1RPQ0tfQkFTRUQuOTk0LjA3LzAzLzIwMjYuLi5VU0QuSAEAAADetgEAAwAAAAAAjehLJf+B3ggcwV0o/4HeCDBDSVEuTllTRTpJQk0uSVFfVE9UQUxfUkVWLjk5Mi4wNy8wMy8yMDI2Li4uVVNELkgBAAAA3rYBAAIAAAAFNzkxMzkBCAAAAAUAAAABMQEAAAAKMjAxNzE2NDI0NAMAAAADMTYwAgAAAAIyOAQAAAABMAcAAAAIMy83LzIwMjYIAAAACjEyLzMxLzIwMTcJAAAAATCN6Esl/4HeCDd9XSj/gd4IOkNJUS5OWVNFOklCTS5JUV9PVEhFUl9VTlVTVUFMX1NVUFBMLjk5Ni4wNy8wMy8yMDI2Li4uVVNELkgBAAAA3rYBAAMAAAAAAI3oSyX/gd4IvpldKP+B3gg3Q0lRLk5ZU0U6SUJNLklRX0FTU0VUX1dSSVRFRE9XTi4xMDAwLjA3LzAzLzIwMjYuLi5VU0QuSAEAAADetgEAAwAAAAAAjehLJf+B3gi+mV0o/4HeCDZDSVEuTllTRTpJQk0uSVFfRklOX0RJVl9JTlRfRVhQLjk5OC4wNy8wMy8yMDI2Li4uVVNELkgBAAAA3rYBAAMAAAAAAI3oSyX/gd4IvpldKP+B3ggyQ0lRLk5ZU0U6SUJNLklRX0lOU19ESVZfRVhQLjk5Mi4wNy8wMy8yMDI2Li4uVVNELkgBAAAA3rYBAAMAAAAAAI3oSyX/gd4IvpldKP+B3ggxQ0lR</t>
  </si>
  <si>
    <t>Lk5ZU0U6SUJNLklRX1RPVEFMX1JFVi4xMDAwLjA3LzAzLzIwMjYuLi5VU0QuSAEAAADetgEAAgAAAAU2NzUzNQEIAAAABQAAAAExAQAAAAstMTkwNDg2MDc0MAMAAAADMTYwAgAAAAIyOAQAAAABMAcAAAAIMy83LzIwMjYIAAAACjEyLzMxLzIwMjUJAAAAATCN6Esl/4HeCNFVXSj/gd4INkNJUS5OWVNFOklCTS5JUV9PVEhFUl9SRVZfU1VQUEwuOTk0LjA3LzAzLzIwMjYuLi5VU0QuSAEAAADetgEAAwAAAAAAjehLJf+B3gjRVV0o/4HeCDJDSVEuTllTRTpJQk0uSVFfSU5TX0RJVl9SRVYuOTk2LjA3LzAzLzIwMjYuLi5VU0QuSAEAAADetgEAAwAAAAAAjehLJf+B3gg3fV0o/4HeCDFDSVEuTllTRTpJQk0uSVFfT1RIRVJfT1BFUi45OTQuMDcvMDMvMjAyNi4uLlVTRC5IAQAAAN62AQACAAAABC02MzkBCAAAAAUAAAABMQEAAAALLTIxMTA3NjkzNTUDAAAAAzE2MAIAAAADMjYwBAAAAAEwBwAAAAgzLzcvMjAyNggAAAAKMTIvMzEvMjAxOQkAAAABMI3oSyX/gd4IN31dKP+B3gg2Q0lRLk5ZU0U6SUJNLklRX0dXX0lOVEFOX0FNT1JULjEwMDAuMDcvMDMvMjAyNi4uLlVTRC5IAQAAAN62AQADAAAAAACN6Esl/4HeCDd9XSj/gd4IL0NJUS5OWVNFOklCTS5JUV9EQV9TVVBQTC45OTQuMDcvMDMvMjAyNi4uLlVTRC5IAQAAAN62AQADAAAAAACN6Esl/4HeCPsaXSj/gd4INUNJUS5OWVNFOklCTS5JUV9QUk9WX0JB</t>
  </si>
  <si>
    <t>RF9ERUJUUy45OTYuMDcvMDMvMjAyNi4uLlVTRC5IAQAAAN62AQADAAAAAACN6Esl/4HeCPsaXSj/gd4IMENJUS5OWVNFOklCTS5JUV9TR0FfU1VQUEwuOTkyLjA3LzAzLzIwMjYuLi5VU0QuSAEAAADetgEAAgAAAAUyMTEzNwEIAAAABQAAAAExAQAAAAoyMDE3MTY0MjQ0AwAAAAMxNjACAAAAAzEwMgQAAAABMAcAAAAIMy83LzIwMjYIAAAACjEyLzMxLzIwMTcJAAAAATCN6Esl/4HeCNFVXSj/gd4ILkNJUS5OWVNFOklCTS5JUV9NRVJHRVIuMTAwMC4wNy8wMy8yMDI2Li4uVVNELkgBAAAA3rYBAAIAAAAELTE1MwEIAAAABQAAAAExAQAAAAstMTkwNDg2MDc0MAMAAAADMTYwAgAAAAI4MAQAAAABMAcAAAAIMy83LzIwMjYIAAAACjEyLzMxLzIwMjUJAAAAATCN6Esl/4HeCNFVXSj/gd4IL0NJUS5OWVNFOklCTS5JUV9FQlRfRVhDTC45OTYuMDcvMDMvMjAyNi4uLlVTRC5IAQAAAN62AQACAAAABDQ3MDQBCAAAAAUAAAABMQEAAAALLTIwMDg2NDcxOTgDAAAAAzE2MAIAAAABNAQAAAABMAcAAAAIMy83LzIwMjYIAAAACjEyLzMxLzIwMjEJAAAAATCN6Esl/4HeCNFVXSj/gd4IMUNJUS5OWVNFOklCTS5JUV9JTkNfRVFVSVRZLjk5Ni4wNy8wMy8yMDI2Li4uVVNELkgBAAAA3rYBAAMAAAAAAI3oSyX/gd4ImfNcKP+B3gg6Q0lRLk5ZU0U6SUJNLklRX0lOVEVSRVNUX0lOVkVTVF9JTkMuOTkyLjA3LzAzLzIwMjYu</t>
  </si>
  <si>
    <t>Li5VU0QuSAEAAADetgEAAwAAAAAAjehLJf+B3gj7Gl0o/4HeCC9DSVEuTllTRTpJQk0uSVFfT1BFUl9JTkMuOTk4LjA3LzAzLzIwMjYuLi5VU0QuSAEAAADetgEAAgAAAAQ5NDIxAQgAAAAFAAAAATEBAAAACy0xOTA0ODYwNzQ0AwAAAAMxNjACAAAAAjIxBAAAAAEwBwAAAAgzLzcvMjAyNggAAAAKMTIvMzEvMjAyMwkAAAABMI3oSyX/gd4I+xpdKP+B3ggqQ0lRLk5ZU0U6SUJNLklRX0VCVC45OTkuMDcvMDMvMjAyNi4uLlVTRC5IAQAAAN62AQACAAAABDU3OTcBCAAAAAUAAAABMQEAAAALLTE5MDQ4NjA3NDMDAAAAAzE2MAIAAAADMTM5BAAAAAEwBwAAAAgzLzcvMjAyNggAAAAKMTIvMzEvMjAyNAkAAAABMI3oSyX/gd4I+xpdKP+B3gg6Q0lRLk5ZU0U6SUJNLklRX09USEVSX1VOVVNVQUxfU1VQUEwuOTk1LjA3LzAzLzIwMjYuLi5VU0QuSAEAAADetgEAAwAAAAAAjehLJf+B3gj7Gl0o/4HeCDFDSVEuTllTRTpJQk0uSVFfSU5TX1NFVFRMRS45OTIuMDcvMDMvMjAyNi4uLlVTRC5IAQAAAN62AQADAAAAAACN6Esl/4HeCNXfXCj/gd4INkNJUS5OWVNFOklCTS5JUV9BU1NFVF9XUklURURPV04uOTk4LjA3LzAzLzIwMjYuLi5VU0QuSAEAAADetgEAAwAAAAAAjehLJf+B3giZ81wo/4HeCDJDSVEuTllTRTpJQk0uSVFfR0FJTl9JTlZFU1QuOTk0LjA3LzAzLzIwMjYuLi5VU0QuSAEAAADetgEAAwAAAAAAjehL</t>
  </si>
  <si>
    <t>Jf+B3giZ81wo/4HeCDZDSVEuTllTRTpJQk0uSVFfRElMVVRfRVBTX0lOQ0wuMTAwMC4wNy8wMy8yMDI2Li4uVVNELkgBAAAA3rYBAAIAAAAIMTEuMTYzMTkBCAAAAAUAAAABMQEAAAALLTE5MDQ4NjA3NDADAAAAAzE2MAIAAAABOAQAAAABMAcAAAAIMy83LzIwMjYIAAAACjEyLzMxLzIwMjUJAAAAATCN6Esl/4HeCJnzXCj/gd4INUNJUS5OWVNFOklCTS5JUV9CQVNJQ19FUFNfRVhDTC45OTcuMDcvMDMvMjAyNi4uLlVTRC5IAQAAAN62AQACAAAACDEuOTc0MTU2AQgAAAAFAAAAATEBAAAACy0xOTU4MjgxMDk2AwAAAAMxNjACAAAABDMwNjQEAAAAATAHAAAACDMvNy8yMDI2CAAAAAoxMi8zMS8yMDIyCQAAAAEwjehLJf+B3giZ81wo/4HeCDRDSVEuTllTRTpJQk0uSVFfTklfQVZBSUxfRVhDTC45OTQuMDcvMDMvMjAyNi4uLlVTRC5IAQAAAN62AQACAAAABDcxNDYBCAAAAAUAAAABMQEAAAALLTIxMTA3NjkzNTUDAAAAAzE2MAIAAAADMzc5BAAAAAEwBwAAAAgzLzcvMjAyNggAAAAKMTIvMzEvMjAxOQkAAAABMI3oSyX/gd4Iw7hcKP+B3gg7Q0lRLk5ZU0U6SUJNLklRX01JTk9SSVRZX0lOVEVSRVNUX0lTLjk5OC4wNy8wMy8yMDI2Li4uVVNELkgBAAAA3rYBAAMAAAAAAI3oSyX/gd4Iw7hcKP+B3ggxQ0lRLk5ZU0U6SUJNLklRX05JX0NPTVBBTlkuOTkzLjA3LzAzLzIwMjYuLi5VU0QuSAEAAADetgEAAgAA</t>
  </si>
  <si>
    <t>AAQ4NzI4AQgAAAAFAAAAATEBAAAACjIwODE1MDU0MDEDAAAAAzE2MAIAAAAFNDE1NzEEAAAAATAHAAAACDMvNy8yMDI2CAAAAAoxMi8zMS8yMDE4CQAAAAEwjehLJf+B3gjDuFwo/4HeCD5DSVEuTllTRTpJQk0uSVFfTEVBU0VfQURKVVNUTUVOVF9FQklUREEuOTkyLjA3LzAzLzIwMjYuLi5VU0QuSAEAAADetgEAAwAAAAAAjehLJf+B3gjDuFwo/4HeCD9DSVEuTllTRTpJQk0uSVFfRElTVFJJQlVUQUJMRV9DQVNIX1NIQVJFLjk5OS4wNy8wMy8yMDI2Li4uVVNELkgBAAAA3rYBAAMAAAAAAI3oSyX/gd4I1d9cKP+B3gg2Q0lRLk5ZU0U6SUJNLklRX1RPVEFMX1JFVl9TSEFSRS45OTUuMDcvMDMvMjAyNi4uLlVTRC5IAQAAAN62AQACAAAACTYxLjk3NDU5NgEIAAAABQAAAAExAQAAAAstMjA1OTA3MzIwMgMAAAADMTYwAgAAAAQ0MzgyBAAAAAEwBwAAAAgzLzcvMjAyNggAAAAKMTIvMzEvMjAyMAkAAAABMI3oSyX/gd4IupFcKP+B3ggwQ0lRLk5ZU0U6SUJNLklRX0RJVl9TSEFSRS45OTIuMDcvMDMvMjAyNi4uLlVTRC5IAQAAAN62AQACAAAAAzUuOQEIAAAABQAAAAExAQAAAAoyMDE3MTY0MjQ0AwAAAAMxNjACAAAABDMwNTgEAAAAATAHAAAACDMvNy8yMDI2CAAAAAoxMi8zMS8yMDE3CQAAAAEwjehLJf+B3gi6kVwo/4HeCDVDSVEuTllTRTpJQk0uSVFfRElMVVRfRVBTX05PUk0uOTk2LjA3LzAzLzIwMjYu</t>
  </si>
  <si>
    <t>Li5VU0QuSAEAAADetgEAAgAAAAgzLjI0OTkwNwEIAAAABQAAAAExAQAAAAstMjAwODY0NzE5OAMAAAADMTYwAgAAAAQ0MzgwBAAAAAEwBwAAAAgzLzcvMjAyNggAAAAKMTIvMzEvMjAyMQkAAAABMI3oSyX/gd4IupFcKP+B3gg4Q0lRLk5ZU0U6SUJNLklRX0ZFRVNfT1RIRVJfSU5DT01FLjk5Mi4wNy8wMy8yMDI2Li4uVVNELkgBAAAA3rYBAAMAAAAAAI3oSyX/gd4IupFcKP+B3gg3Q0lRLk5ZU0U6SUJNLklRX0VCSVREQVJfRVhDTF9TQkMuOTkzLjA3LzAzLzIwMjYuLi5VU0QuSAEAAADetgEAAwAAAAAAjehLJf+B3gjDuFwo/4HeCDVDSVEuTllTRTpJQk0uSVFfRUJJVERBUl9FUV9JTkMuOTkzLjA3LzAzLzIwMjYuLi5VU0QuSAEAAADetgEAAwAAAAAAjehLJf+B3ggpQ1wo/4HeCDVDSVEuTllTRTpJQk0uSVFfRUJJVEFfRVhDTF9TQkMuOTkyLjA3LzAzLzIwMjYuLi5VU0QuSAEAAADetgEAAgAAAAUxMzczNgEIAAAABQAAAAExAQAAAAoyMDE3MTY0MjQ0AwAAAAMxNjACAAAABTI0MTM2BAAAAAEwBwAAAAgzLzcvMjAyNggAAAAKMTIvMzEvMjAxNwkAAAABMI3oSyX/gd4IrmpcKP+B3ggrQ0lRLk5ZU0U6SUJNLklRX0VCSVQuOTkyLjA3LzAzLzIwMjYuLi5VU0QuSAEAAADetgEAAgAAAAUxMTY4MgEIAAAABQAAAAExAQAAAAoyMDE3MTY0MjQ0AwAAAAMxNjACAAAAAzQwMAQAAAABMAcAAAAIMy83LzIwMjYI</t>
  </si>
  <si>
    <t>AAAACjEyLzMxLzIwMTcJAAAAATCN6Esl/4HeCK5qXCj/gd4IPENJUS5OWVNFOklCTS5JUV9DQVBJVEFMSVpFRF9JTlRFUkVTVC4xMDAwLjA3LzAzLzIwMjYuLi5VU0QuSAEAAADetgEAAgAAAAE0AQgAAAAFAAAAATEBAAAACy0xOTA0ODYwNzQwAwAAAAMxNjACAAAABDMwMzIEAAAAATAHAAAACDMvNy8yMDI2CAAAAAoxMi8zMS8yMDI1CQAAAAEwjehLJf+B3giualwo/4HeCDtDSVEuTllTRTpJQk0uSVFfREVGRVJSRURfVEFYRVNfVE9UQUwuOTkzLjA3LzAzLzIwMjYuLi5VU0QuSAEAAADetgEAAgAAAAM2OTkBCAAAAAUAAAABMQEAAAAKMjA4MTUwNTQwMQMAAAADMTYwAgAAAAUzNTM4NQQAAAABMAcAAAAIMy83LzIwMjYIAAAACjEyLzMxLzIwMTgJAAAAATCN6Esl/4HeCLqRXCj/gd4IMUNJUS5OWVNFOklCTS5JUV9DVVJSX1RBWEVTLjk5NS4wNy8wMy8yMDI2Li4uVVNELkgBAAAA3rYBAAIAAAAEMTg2NQEIAAAABQAAAAExAQAAAAstMjA1OTA3MzIwMgMAAAADMTYwAgAAAAUzNTM4MwQAAAABMAcAAAAIMy83LzIwMjYIAAAACjEyLzMxLzIwMjAJAAAAATCN6Esl/4HeCGsvXCj/gd4IOkNJUS5OWVNFOklCTS5JUV9DVVJSX0RPTUVTVElDX1RBWEVTLjk5NS4wNy8wMy8yMDI2Li4uVVNELkgBAAAA3rYBAAIAAAADNjU3AQgAAAAFAAAAATEBAAAACy0yMDU5MDczMjAyAwAAAAMxNjACAAAABDMwMjcEAAAAATAH</t>
  </si>
  <si>
    <t>AAAACDMvNy8yMDI2CAAAAAoxMi8zMS8yMDIwCQAAAAEwjehLJf+B3ggpQ1wo/4HeCD5DSVEuTllTRTpJQk0uSVFfRVhDSVNFX1RBWEVTX0VYQ0xfU0FMRVMuOTk2LjA3LzAzLzIwMjYuLi5VU0QuSAEAAADetgEAAwAAAAAAjehLJf+B3ggpQ1wo/4HeCCpDSVEuTllTRTpJQk0uSVFfRElDLjk5NS4wNy8wMy8yMDI2Li4uVVNELkgBAAAA3rYBAAMAAAAAAI3oSyX/gd4IKUNcKP+B3ggxQ0lRLk5ZU0U6SUJNLklRX0NPTU1PTl9ESVYuOTk2LjA3LzAzLzIwMjYuLi5VU0QuSAEAAADetgEAAgAAAAQ1ODY5AI3oSyX/gd4IKUNcKP+B3gg5Q0lRLk5ZU0U6SUJNLklRX0RJU1RSSUJVVEFCTEVfQ0FTSC45OTkuMDcvMDMvMjAyNi4uLlVTRC5IAQAAAN62AQADAAAAAACN6Esl/4HeCHn0Wyj/gd4IOkNJUS5OWVNFOklCTS5JUV9OT05DQVNIX1BFTlNJT05fRVhQLjk5OS4wNy8wMy8yMDI2Li4uVVNELkgBAAAA3rYBAAIAAAAEMzM1MwEIAAAABQAAAAExAQAAAAstMTkwNDg2MDc0MwMAAAADMTYwAgAAAAUyMTY3OAQAAAABMAcAAAAIMy83LzIwMjYIAAAACjEyLzMxLzIwMjQJAAAAATCN6Esl/4HeCHn0Wyj/gd4ISENJUS5OWVNFOklCTS5JUV9JTlRFUkVTVF9FWFBfTEVBU0VfTElBQklMSVRZX0RFQlQuOTk5LjA3LzAzLzIwMjYuLi5VU0QuSAEAAADetgEAAwAAAAAAjehLJf+B3giVG1wo/4HeCDlDSVEuTllTRTpJQk0u</t>
  </si>
  <si>
    <t>SVFfUkVTVFJVQ1RVUkVfU1VQUExFLjk5OS4wNy8wMy8yMDI2Li4uVVNELkgBAAAA3rYBAAMAAAAAAI3oSyX/gd4IlRtcKP+B3ggzQ0lRLk5ZU0U6SUJNLklRX01BSU5UX1JFUEFJUi45OTMuMDcvMDMvMjAyNi4uLlVTRC5IAQAAAN62AQADAAAAAACN6Esl/4HeCGsvXCj/gd4IM0NJUS5OWVNFOklCTS5JUV9PVEhFUl9SRU5UQUwuOTk3LjA3LzAzLzIwMjYuLi5VU0QuSAEAAADetgEAAwAAAAAAjehLJf+B3ghrzVso/4HeCDVDSVEuTllTRTpJQk0uSVFfTkVUX1JFTlRBTF9FWFAuOTk5LjA3LzAzLzIwMjYuLi5VU0QuSAEAAADetgEAAwAAAAAAjehLJf+B3ghrzVso/4HeCDBDSVEuTllTRTpJQk0uSVFfTUFSS0VUSU5HLjk5Mi4wNy8wMy8yMDI2Li4uVVNELkgBAAAA3rYBAAMAAAAAAI3oSyX/gd4IefRbKP+B3gg6Q0lRLk5ZU0U6SUJNLklRX09USEVSX1VOVVNVQUxfU1VQUEwuOTk5LjA3LzAzLzIwMjYuLi5VU0QuSAEAAADetgEAAgAAAAUtMzExMwEIAAAABQAAAAExAQAAAAstMTkwNDg2MDc0MwMAAAADMTYwAgAAAAI4NwQAAAABMAcAAAAIMy83LzIwMjYIAAAACjEyLzMxLzIwMjQJAAAAATCN6Esl/4HeCHn0Wyj/gd4IMUNJUS5OWVNFOklCTS5JUV9JTVBBSVJfT0lMLjk5NC4wNy8wMy8yMDI2Li4uVVNELkgBAAAA3rYBAAMAAAAAAI3oSyX/gd4IefRbKP+B3gg2Q0lRLk5ZU0U6SUJNLklRX0NIQU5HRV9E</t>
  </si>
  <si>
    <t>RUZfVEFYLjEwMDAuMDcvMDMvMjAyNi4uLlVTRC5IAQAAAN62AQADAAAAAACN6Esl/4HeCGvNWyj/gd4ILENJUS5OWVNFOklCTS5JUV9OSV9DRi45OTcuMDcvMDMvMjAyNi4uLlVTRC5IAQAAAN62AQACAAAABDE2MzkBCAAAAAUAAAABMQEAAAALLTE5NTgyODEwOTYDAAAAAzE2MAIAAAAEMjE1MAQAAAABMAcAAAAIMy83LzIwMjYIAAAACjEyLzMxLzIwMjIJAAAAATCN6Esl/4HeCGvNWyj/gd4IMkNJUS5OWVNFOklCTS5JUV9JUFJEX1NVUFBMRS45OTUuMDcvMDMvMjAyNi4uLlVTRC5IAQAAAN62AQADAAAAAACN6Esl/4HeCGvNWyj/gd4INENJUS5OWVNFOklCTS5JUV9FWFBMT1JFX0RSSUxMLjk5My4wNy8wMy8yMDI2Li4uVVNELkgBAAAA3rYBAAMAAAAAAI3oSyX/gd4Ia81bKP+B3gg1Q0lRLk5ZU0U6SUJNLklRX0RJTFVUX0VQU19FWENMLjk5Mi4wNy8wMy8yMDI2Li4uVVNELkgBAAAA3rYBAAIAAAAINi4xNDA0ODIBCAAAAAUAAAABMQEAAAAKMjAxNzE2NDI0NAMAAAADMTYwAgAAAAMxNDIEAAAAATAHAAAACDMvNy8yMDI2CAAAAAoxMi8zMS8yMDE3CQAAAAEwjehLJf+B3ghrzVso/4HeCDFDSVEuTllTRTpJQk0uSVFfSU5TX1NFVFRMRS45OTUuMDcvMDMvMjAyNi4uLlVTRC5IAQAAAN62AQADAAAAAACN6Esl/4HeCF6mWyj/gd4IP0NJUS5OWVNFOklCTS5JUV9PVEhFUl9OT05fT1BFUl9FWFBfU1VQUEwu</t>
  </si>
  <si>
    <t>OTk0LjA3LzAzLzIwMjYuLi5VU0QuSAEAAADetgEAAgAAAAMyNjMBCAAAAAUAAAABMQEAAAALLTIxMTA3NjkzNTUDAAAAAzE2MAIAAAACODUEAAAAATAHAAAACDMvNy8yMDI2CAAAAAoxMi8zMS8yMDE5CQAAAAEwjehLJf+B3gheplso/4HeCDdDSVEuTllTRTpJQk0uSVFfVE9UQUxfT1RIRVJfT1BFUi45OTYuMDcvMDMvMjAyNi4uLlVTRC5IAQAAAN62AQACAAAABTI1OTAzAQgAAAAFAAAAATEBAAAACy0yMDA4NjQ3MTk4AwAAAAMxNjACAAAAAzM4MAQAAAABMAcAAAAIMy83LzIwMjYIAAAACjEyLzMxLzIwMjEJAAAAATCN6Esl/4HeCF6mWyj/gd4IMkNJUS5OWVNFOklCTS5JUV9GSU5fRElWX0VYUC45OTQuMDcvMDMvMjAyNi4uLlVTRC5IAQAAAN62AQACAAAAAzcwNAEIAAAABQAAAAExAQAAAAstMjExMDc2OTM1NQMAAAADMTYwAgAAAAI1MQQAAAABMAcAAAAIMy83LzIwMjYIAAAACjEyLzMxLzIwMTkJAAAAATCN6Esl/4HeCF6mWyj/gd4IKkNJUS5OWVNFOklCTS5JUV9SRVYuOTkyLjA3LzAzLzIwMjYuLi5VU0QuSAEAAADetgEAAgAAAAU3NzQyNAEIAAAABQAAAAExAQAAAAoyMDE3MTY0MjQ0AwAAAAMxNjACAAAAAzExMgQAAAABMAcAAAAIMy83LzIwMjYIAAAACjEyLzMxLzIwMTcJAAAAATCN6Esl/4HeCF6mWyj/gd4INUNJUS5OWVNFOklCTS5JUV9FQklUREFSX0VRX0lOQy45OTkuMDcvMDMvMjAyNi4u</t>
  </si>
  <si>
    <t>LlVTRC5IAQAAAN62AQACAAAABTE1NTA0AQgAAAAFAAAAATEBAAAACy0xOTA0ODYwNzQzAwAAAAMxNjACAAAABTI0MTI5BAAAAAEwBwAAAAgzLzcvMjAyNggAAAAKMTIvMzEvMjAyNAkAAAABMI3oSyX/gd4ICX9bKP+B3ggvQ0lRLk5ZU0U6SUJNLklRX0VQU19OT1JNLjk5My4wNy8wMy8yMDI2Li4uVVNELkgBAAAA3rYBAAIAAAAINy43NzIzNDIBCAAAAAUAAAABMQEAAAAKMjA4MTUwNTQwMQMAAAADMTYwAgAAAAQ0Mzc5BAAAAAEwBwAAAAgzLzcvMjAyNggAAAAKMTIvMzEvMjAxOAkAAAABMI3oSyX/gd4ICX9bKP+B3ggpQ0lRLk5ZU0U6SUJNLklRX05JLjk5OC4wNy8wMy8yMDI2Li4uVVNELkgBAAAA3rYBAAIAAAAENzUwMgEIAAAABQAAAAExAQAAAAstMTkwNDg2MDc0NAMAAAADMTYwAgAAAAIxNQQAAAABMAcAAAAIMy83LzIwMjYIAAAACjEyLzMxLzIwMjMJAAAAATCN6Esl/4HeCF6mWyj/gd4INkNJUS5OWVNFOklCTS5JUV9PVEhFUl9SRVZfU1VQUEwuOTkzLjA3LzAzLzIwMjYuLi5VU0QuSAEAAADetgEAAwAAAAAAjehLJf+B3gheplso/4HeCDZDSVEuTllTRTpJQk0uSVFfR0FJTl9JTlZFU1RfUkVWLjk5OS4wNy8wMy8yMDI2Li4uVVNELkgBAAAA3rYBAAMAAAAAAI3oSyX/gd4IXqZbKP+B3ggyQ0lRLk5ZU0U6SUJNLklRX0lOU19ESVZfUkVWLjk5NS4wNy8wMy8yMDI2Li4uVVNELkgBAAAA3rYBAAMA</t>
  </si>
  <si>
    <t>AAAAAI3oSyX/gd4ICX9bKP+B3gg0Q0lRLk5ZU0U6SUJNLklRX0VYUExPUkVfRFJJTEwuOTk3LjA3LzAzLzIwMjYuLi5VU0QuSAEAAADetgEAAwAAAAAAjehLJf+B3ggJf1so/4HeCDJDSVEuTllTRTpJQk0uSVFfU1RPQ0tfQkFTRUQuOTkyLjA3LzAzLzIwMjYuLi5VU0QuSAEAAADetgEAAwAAAAAAjehLJf+B3ggJf1so/4HeCDVDSVEuTllTRTpJQk0uSVFfR1dfSU5UQU5fQU1PUlQuOTk5LjA3LzAzLzIwMjYuLi5VU0QuSAEAAADetgEAAwAAAAAAjehLJf+B3ggJf1so/4HeCC9DSVEuTllTRTpJQk0uSVFfREFfU1VQUEwuOTkzLjA3LzAzLzIwMjYuLi5VU0QuSAEAAADetgEAAwAAAAAAjehLJf+B3ggJf1so/4HeCDVDSVEuTllTRTpJQk0uSVFfUFJPVl9CQURfREVCVFMuOTk1LjA3LzAzLzIwMjYuLi5VU0QuSAEAAADetgEAAwAAAAAAjehLJf+B3ggTaVso/4HeCDZDSVEuTllTRTpJQk0uSVFfRklOX0RJVl9JTlRfRVhQLjk5Ny4wNy8wMy8yMDI2Li4uVVNELkgBAAAA3rYBAAMAAAAAAI3oSyX/gd4IE2lbKP+B3ggwQ0lRLk5ZU0U6SUJNLklRX1RPVEFMX1JFVi45OTkuMDcvMDMvMjAyNi4uLlVTRC5IAQAAAN62AQACAAAABTYyNzUzAQgAAAAFAAAAATEBAAAACy0xOTA0ODYwNzQzAwAAAAMxNjACAAAAAjI4BAAAAAEwBwAAAAgzLzcvMjAyNggAAAAKMTIvMzEvMjAyNAkAAAABMI3oSyX/gd4IE2lbKP+B3ggy</t>
  </si>
  <si>
    <t>Q0lRLk5ZU0U6SUJNLklRX0dBSU5fSU5WRVNULjk5My4wNy8wMy8yMDI2Li4uVVNELkgBAAAA3rYBAAMAAAAAAI3oSyX/gd4IE2lbKP+B3ggtQ0lRLk5ZU0U6SUJNLklRX01FUkdFUi45OTkuMDcvMDMvMjAyNi4uLlVTRC5IAQAAAN62AQACAAAABC0xMjMBCAAAAAUAAAABMQEAAAALLTE5MDQ4NjA3NDMDAAAAAzE2MAIAAAACODAEAAAAATAHAAAACDMvNy8yMDI2CAAAAAoxMi8zMS8yMDI0CQAAAAEwjehLJf+B3ggJf1so/4HeCDJDSVEuTllTRTpJQk0uSVFfUkVTVFJVQ1RVUkUuOTkzLjA3LzAzLzIwMjYuLi5VU0QuSAEAAADetgEAAwAAAAAAjehLJf+B3gjPAVso/4HeCDFDSVEuTllTRTpJQk0uSVFfSU5DX0VRVUlUWS45OTUuMDcvMDMvMjAyNi4uLlVTRC5IAQAAAN62AQADAAAAAACN6Esl/4HeCH1SWyj/gd4IL0NJUS5OWVNFOklCTS5JUV9PUEVSX0lOQy45OTcuMDcvMDMvMjAyNi4uLlVTRC5IAQAAAN62AQACAAAABDc1MjEBCAAAAAUAAAABMQEAAAALLTE5NTgyODEwOTYDAAAAAzE2MAIAAAACMjEEAAAAATAHAAAACDMvNy8yMDI2CAAAAAoxMi8zMS8yMDIyCQAAAAEwjehLJf+B3gh9Ulso/4HeCDtDSVEuTllTRTpJQk0uSVFfTUlOT1JJVFlfSU5URVJFU1RfSVMuOTk3LjA3LzAzLzIwMjYuLi5VU0QuSAEAAADetgEAAwAAAAAAjehLJf+B3gh9Ulso/4HeCDFDSVEuTllTRTpJQk0uSVFfTklfQ09NUEFO</t>
  </si>
  <si>
    <t>WS45OTIuMDcvMDMvMjAyNi4uLlVTRC5IAQAAAN62AQACAAAABDU3NTMBCAAAAAUAAAABMQEAAAAKMjAxNzE2NDI0NAMAAAADMTYwAgAAAAU0MTU3MQQAAAABMAcAAAAIMy83LzIwMjYIAAAACjEyLzMxLzIwMTcJAAAAATCN6Esl/4HeCH1SWyj/gd4ILkNJUS5OWVNFOklCTS5JUV9JTkNfVEFYLjk5Ni4wNy8wMy8yMDI2Li4uVVNELkgBAAAA3rYBAAIAAAADMTI0AQgAAAAFAAAAATEBAAAACy0yMDA4NjQ3MTk4AwAAAAMxNjACAAAAAjc1BAAAAAEwBwAAAAgzLzcvMjAyNggAAAAKMTIvMzEvMjAyMQkAAAABMI3oSyX/gd4IzwFbKP+B3gg6Q0lRLk5ZU0U6SUJNLklRX09USEVSX1VOVVNVQUxfU1VQUEwuOTkzLjA3LzAzLzIwMjYuLi5VU0QuSAEAAADetgEAAwAAAAAAjehLJf+B3gjPAVso/4HeCDZDSVEuTllTRTpJQk0uSVFfQVNTRVRfV1JJVEVET1dOLjk5Ny4wNy8wMy8yMDI2Li4uVVNELkgBAAAA3rYBAAMAAAAAAI3oSyX/gd4IzwFbKP+B3gg2Q0lRLk5ZU0U6SUJNLklRX1RPVEFMX1JFVl9TSEFSRS45OTQuMDcvMDMvMjAyNi4uLlVTRC5IAQAAAN62AQACAAAACTY1LjA0OTI3NAEIAAAABQAAAAExAQAAAAstMjExMDc2OTM1NQMAAAADMTYwAgAAAAQ0MzgyBAAAAAEwBwAAAAgzLzcvMjAyNggAAAAKMTIvMzEvMjAxOQkAAAABMI3oSyX/gd4IzwFbKP+B3gg1Q0lRLk5ZU0U6SUJNLklRX0RJTFVUX0VQU19O</t>
  </si>
  <si>
    <t>T1JNLjk5NS4wNy8wMy8yMDI2Li4uVVNELkgBAAAA3rYBAAIAAAAIMS43OTI5NTYBCAAAAAUAAAABMQEAAAALLTIwNTkwNzMyMDIDAAAAAzE2MAIAAAAENDM4MAQAAAABMAcAAAAIMy83LzIwMjYIAAAACjEyLzMxLzIwMjAJAAAAATCN6Esl/4HeCM8BWyj/gd4INUNJUS5OWVNFOklCTS5JUV9ESUxVVF9FUFNfSU5DTC45OTkuMDcvMDMvMjAyNi4uLlVTRC5IAQAAAN62AQACAAAACDYuNDI4NTM2AQgAAAAFAAAAATEBAAAACy0xOTA0ODYwNzQzAwAAAAMxNjACAAAAATgEAAAAATAHAAAACDMvNy8yMDI2CAAAAAoxMi8zMS8yMDI0CQAAAAEwjehLJf+B3ggV7loo/4HeCDVDSVEuTllTRTpJQk0uSVFfQkFTSUNfRVBTX0VYQ0wuOTk2LjA3LzAzLzIwMjYuLi5VU0QuSAEAAADetgEAAgAAAAg1LjI2MDA5OAEIAAAABQAAAAExAQAAAAstMjAwODY0NzE5OAMAAAADMTYwAgAAAAQzMDY0BAAAAAEwBwAAAAgzLzcvMjAyNggAAAAKMTIvMzEvMjAyMQkAAAABMI3oSyX/gd4IFe5aKP+B3gg2Q0lRLk5ZU0U6SUJNLklRX1BSRUZfRElWX09USEVSLjEwMDAuMDcvMDMvMjAyNi4uLlVTRC5IAQAAAN62AQADAAAAAACN6Esl/4HeCM8BWyj/gd4ISkNJUS5OWVNFOklCTS5JUV9QUk9WX0JBRF9ERUJUU19QQVRJRU5UX1NFUlZJQ0VfUkVWLjEwMDAuMDcvMDMvMjAyNi4uLlVTRC5IAQAAAN62AQADAAAAAACN6Esl/4HeCM8BWyj/</t>
  </si>
  <si>
    <t>gd4IPUNJUS5OWVNFOklCTS5JUV9UT1RBTF9SRVZfQVNfUkVQT1JURUQuMTAwMC4wNy8wMy8yMDI2Li4uVVNELkgBAAAA3rYBAAIAAAAFNjc1MzUBCAAAAAUAAAABMQEAAAALLTE5MDQ4NjA3NDADAAAAAzE2MAIAAAADMzM5BAAAAAEwBwAAAAgzLzcvMjAyNggAAAAKMTIvMzEvMjAyNQkAAAABMI3oSyX/gd4IzwFbKP+B3gg3Q0lRLk5ZU0U6SUJNLklRX0VCSVREQVJfRVhDTF9TQkMuOTkyLjA3LzAzLzIwMjYuLi5VU0QuSAEAAADetgEAAwAAAAAAjehLJf+B3gjNxloo/4HeCD9DSVEuTllTRTpJQk0uSVFfTEVBU0VfQURKVVNUTUVOVF9FQklUREEuMTAwMC4wNy8wMy8yMDI2Li4uVVNELkgBAAAA3rYBAAIAAAAEMTMwOACN6Esl/4HeCM3GWij/gd4IOENJUS5OWVNFOklCTS5JUV9TUEVDSUFMX0RJVl9TSEFSRS45OTYuMDcvMDMvMjAyNi4uLlVTRC5IAQAAAN62AQADAAAAAACN6Esl/4HeCM3GWij/gd4IO0NJUS5OWVNFOklCTS5JUV9ERUZFUlJFRF9UQVhFU19UT1RBTC45OTIuMDcvMDMvMjAyNi4uLlVTRC5IAQAAAN62AQACAAAABC02OTIBCAAAAAUAAAABMQEAAAAKMjAxNzE2NDI0NAMAAAADMTYwAgAAAAUzNTM4NQQAAAABMAcAAAAIMy83LzIwMjYIAAAACjEyLzMxLzIwMTcJAAAAATCN6Esl/4HeCM3GWij/gd4IPkNJUS5OWVNFOklCTS5JUV9ERUZFUlJFRF9ET01FU1RJQ19UQVhFUy45OTIuMDcvMDMv</t>
  </si>
  <si>
    <t>MjAyNi4uLlVTRC5IAQAAAN62AQACAAAAAzEwNQEIAAAABQAAAAExAQAAAAoyMDE3MTY0MjQ0AwAAAAMxNjACAAAABDMwNTQEAAAAATAHAAAACDMvNy8yMDI2CAAAAAoxMi8zMS8yMDE3CQAAAAEwjehLJf+B3gjNxloo/4HeCDpDSVEuTllTRTpJQk0uSVFfQ1VSUl9ET01FU1RJQ19UQVhFUy45OTQuMDcvMDMvMjAyNi4uLlVTRC5IAQAAAN62AQACAAAAAzI3MgEIAAAABQAAAAExAQAAAAstMjExMDc2OTM1NQMAAAADMTYwAgAAAAQzMDI3BAAAAAEwBwAAAAgzLzcvMjAyNggAAAAKMTIvMzEvMjAxOQkAAAABMI3oSyX/gd4I+ItaKP+B3gg+Q0lRLk5ZU0U6SUJNLklRX0VYQ0lTRV9UQVhFU19FWENMX1NBTEVTLjk5NS4wNy8wMy8yMDI2Li4uVVNELkgBAAAA3rYBAAMAAAAAAI3oSyX/gd4I+ItaKP+B3gguQ0lRLk5ZU0U6SUJNLklRX05JX1NGQVMuOTk5LjA3LzAzLzIwMjYuLi5VU0QuSAEAAADetgEAAwAAAAAAjehLJf+B3gj4i1oo/4HeCDFDSVEuTllTRTpJQk0uSVFfQ09NTU9OX0RJVi45OTUuMDcvMDMvMjAyNi4uLlVTRC5IAQAAAN62AQACAAAABDU3OTcAjehLJf+B3gj4i1oo/4HeCEZDSVEuTllTRTpJQk0uSVFfRElTVFJJQlVUQUJMRV9DQVNIX1NUQU5EQVJESVpFRC45OTMuMDcvMDMvMjAyNi4uLlVTRC5IAQAAAN62AQADAAAAAACN6Esl/4HeCPiLWij/gd4IOkNJUS5OWVNFOklCTS5JUV9OT05DQVNI</t>
  </si>
  <si>
    <t>X1BFTlNJT05fRVhQLjk5OC4wNy8wMy8yMDI2Li4uVVNELkgBAAAA3rYBAAIAAAAELTE0NwEIAAAABQAAAAExAQAAAAstMTkwNDg2MDc0NAMAAAADMTYwAgAAAAUyMTY3OAQAAAABMAcAAAAIMy83LzIwMjYIAAAACjEyLzMxLzIwMjMJAAAAATCN6Esl/4HeCPdkWij/gd4ISENJUS5OWVNFOklCTS5JUV9JTlRFUkVTVF9FWFBfTEVBU0VfTElBQklMSVRZX0RFQlQuOTk4LjA3LzAzLzIwMjYuLi5VU0QuSAEAAADetgEAAwAAAAAAjehLJf+B3gj3ZFoo/4HeCDtDSVEuTllTRTpJQk0uSVFfQ0FQSVRBTElaRURfSU5URVJFU1QuOTk5LjA3LzAzLzIwMjYuLi5VU0QuSAEAAADetgEAAgAAAAIxMgEIAAAABQAAAAExAQAAAAstMTkwNDg2MDc0MwMAAAADMTYwAgAAAAQzMDMyBAAAAAEwBwAAAAgzLzcvMjAyNggAAAAKMTIvMzEvMjAyNAkAAAABMI3oSyX/gd4I92RaKP+B3gg8Q0lRLk5ZU0U6SUJNLklRX05FR0FUSVZFX0dXX0FNT1JUX0FULjEwMDAuMDcvMDMvMjAyNi4uLlVTRC5IAQAAAN62AQADAAAAAACN6Esl/4HeCPdkWij/gd4IMkNJUS5OWVNFOklCTS5JUV9JUFJEX1NVUFBMRS45OTQuMDcvMDMvMjAyNi4uLlVTRC5IAQAAAN62AQADAAAAAACN6Esl/4HeCPiLWij/gd4IOUNJUS5OWVNFOklCTS5JUV9SRVNUUlVDVFVSRV9TVVBQTEUuOTk4LjA3LzAzLzIwMjYuLi5VU0QuSAEAAADetgEAAwAAAAAAjehLJf+B</t>
  </si>
  <si>
    <t>3giOFloo/4HeCDNDSVEuTllTRTpJQk0uSVFfT1RIRVJfUkVOVEFMLjk5Ni4wNy8wMy8yMDI2Li4uVVNELkgBAAAA3rYBAAMAAAAAAI3oSyX/gd4Isz1aKP+B3gg8Q0lRLk5ZU0U6SUJNLklRX05FVF9SRU5UQUxfRVhQX1NVUFBMRS45OTYuMDcvMDMvMjAyNi4uLlVTRC5IAQAAAN62AQACAAAABDE0MzcBCAAAAAUAAAABMQEAAAALLTIwMDg2NDcxOTgDAAAAAzE2MAIAAAAFMjQyNjMEAAAAATAHAAAACDMvNy8yMDI2CAAAAAoxMi8zMS8yMDIxCQAAAAEwjehLJf+B3gizPVoo/4HeCCtDSVEuTllTRTpJQk0uSVFfUkVWLjEwMDAuMDcvMDMvMjAyNi4uLlVTRC5IAQAAAN62AQACAAAABTY2Nzk5AQgAAAAFAAAAATEBAAAACy0xOTA0ODYwNzQwAwAAAAMxNjACAAAAAzExMgQAAAABMAcAAAAIMy83LzIwMjYIAAAACjEyLzMxLzIwMjUJAAAAATCN6Esl/4HeCLM9Wij/gd4IMUNJUS5OWVNFOklCTS5JUV9JTkNfRVFVSVRZLjk5OS4wNy8wMy8yMDI2Li4uVVNELkgBAAAA3rYBAAMAAAAAAI3oSyX/gd4Isz1aKP+B3ggyQ0lRLk5ZU0U6SUJNLklRX0RBX1NVUFBMX0NGLjk5Ny4wNy8wMy8yMDI2Li4uVVNELkgBAAAA3rYBAAIAAAAEMjQwNwEIAAAABQAAAAExAQAAAAstMTk1ODI4MTA5NgMAAAADMTYwAgAAAAQyMTcxBAAAAAEwBwAAAAgzLzcvMjAyNggAAAAKMTIvMzEvMjAyMgkAAAABMI3oSyX/gd4Ire9ZKP+B3gg7</t>
  </si>
  <si>
    <t>Q0lRLk5ZU0U6SUJNLklRX1JFU1RSX1NUT0NLX0NPTVBfVEFYLjk5Mi4wNy8wMy8yMDI2Li4uVVNELkgBAAAA3rYBAAMAAAAAAI3oSyX/gd4Ire9ZKP+B3gg2Q0lRLk5ZU0U6SUJNLklRX1NUT0NLX0JBU0VEX1NHQS45OTQuMDcvMDMvMjAyNi4uLlVTRC5IAQAAAN62AQACAAAAAzQxOQEIAAAABQAAAAExAQAAAAstMjExMDc2OTM1NQMAAAADMTYwAgAAAAUyMjY3OQQAAAABMAcAAAAIMy83LzIwMjYIAAAACjEyLzMxLzIwMTkJAAAAATCN6Esl/4HeCI4WWij/gd4INkNJUS5OWVNFOklCTS5JUV9GSU5fRElWX0lOVF9FWFAuOTk2LjA3LzAzLzIwMjYuLi5VU0QuSAEAAADetgEAAwAAAAAAjehLJf+B3giOFloo/4HeCCtDSVEuTllTRTpJQk0uSVFfQ09HUy45OTYuMDcvMDMvMjAyNi4uLlVTRC5IAQAAAN62AQACAAAABTI1MzMxAQgAAAAFAAAAATEBAAAACy0yMDA4NjQ3MTk4AwAAAAMxNjACAAAAAjM0BAAAAAEwBwAAAAgzLzcvMjAyNggAAAAKMTIvMzEvMjAyMQkAAAABMI3oSyX/gd4IjhZaKP+B3gg2Q0lRLk5ZU0U6SUJNLklRX09USEVSX1JFVl9TVVBQTC45OTIuMDcvMDMvMjAyNi4uLlVTRC5IAQAAAN62AQADAAAAAABXZOYk/4HeCMrIWSj/gd4INkNJUS5OWVNFOklCTS5JUV9HQUlOX0lOVkVTVF9SRVYuOTk4LjA3LzAzLzIwMjYuLi5VU0QuSAEAAADetgEAAwAAAAAAV2TmJP+B3gjKyFko/4HeCDJDSVEu</t>
  </si>
  <si>
    <t>TllTRTpJQk0uSVFfSU5TX0RJVl9SRVYuOTk0LjA3LzAzLzIwMjYuLi5VU0QuSAEAAADetgEAAwAAAAAAV2TmJP+B3gjKyFko/4HeCC9DSVEuTllTRTpJQk0uSVFfT1BFUl9JTkMuOTk2LjA3LzAzLzIwMjYuLi5VU0QuSAEAAADetgEAAgAAAAQ1NTgzAQgAAAAFAAAAATEBAAAACy0yMDA4NjQ3MTk4AwAAAAMxNjACAAAAAjIxBAAAAAEwBwAAAAgzLzcvMjAyNggAAAAKMTIvMzEvMjAyMQkAAAABMFdk5iT/gd4IyshZKP+B3gg1Q0lRLk5ZU0U6SUJNLklRX0dXX0lOVEFOX0FNT1JULjk5OC4wNy8wMy8yMDI2Li4uVVNELkgBAAAA3rYBAAMAAAAAAFdk5iT/gd4Ire9ZKP+B3ggvQ0lRLk5ZU0U6SUJNLklRX0RBX1NVUFBMLjk5Mi4wNy8wMy8yMDI2Li4uVVNELkgBAAAA3rYBAAMAAAAAAFdk5iT/gd4IjaFZKP+B3gg0Q0lRLk5ZU0U6SUJNLklRX1BSRV9PUEVOX0NPU1QuOTk4LjA3LzAzLzIwMjYuLi5VU0QuSAEAAADetgEAAwAAAAAAV2TmJP+B3giNoVko/4HeCDVDSVEuTllTRTpJQk0uSVFfUFJPVl9CQURfREVCVFMuOTk0LjA3LzAzLzIwMjYuLi5VU0QuSAEAAADetgEAAwAAAAAAV2TmJP+B3giNoVko/4HeCC1DSVEuTllTRTpJQk0uSVFfTUVSR0VSLjk5OC4wNy8wMy8yMDI2Li4uVVNELkgBAAAA3rYBAAMAAAAAAFdk5iT/gd4IyshZKP+B3ggyQ0lRLk5ZU0U6SUJNLklRX1JFU1RSVUNUVVJFLjk5Mi4wNy8w</t>
  </si>
  <si>
    <t>My8yMDI2Li4uVVNELkgBAAAA3rYBAAMAAAAAAFdk5iT/gd4IyshZKP+B3gg1Q0lRLk5ZU0U6SUJNLklRX0NVUlJFTkNZX0dBSU4uMTAwMC4wNy8wMy8yMDI2Li4uVVNELkgBAAAA3rYBAAIAAAAELTI0NAEIAAAABQAAAAExAQAAAAstMTkwNDg2MDc0MAMAAAADMTYwAgAAAAIzOAQAAAABMAcAAAAIMy83LzIwMjYIAAAACjEyLzMxLzIwMjUJAAAAATBXZOYk/4HeCHt6WSj/gd4IMUNJUS5OWVNFOklCTS5JUV9JTkNfRVFVSVRZLjk5NC4wNy8wMy8yMDI2Li4uVVNELkgBAAAA3rYBAAMAAAAAAFdk5iT/gd4Ie3pZKP+B3gg7Q0lRLk5ZU0U6SUJNLklRX0lOVEVSRVNUX0lOVkVTVF9JTkMuMTAwMC4wNy8wMy8yMDI2Li4uVVNELkgBAAAA3rYBAAIAAAADNjQ1AQgAAAAFAAAAATEBAAAACy0xOTA0ODYwNzQwAwAAAAMxNjACAAAAAjY1BAAAAAEwBwAAAAgzLzcvMjAyNggAAAAKMTIvMzEvMjAyNQkAAAABMFdk5iT/gd4Ie3pZKP+B3ggyQ0lRLk5ZU0U6SUJNLklRX0VBUk5JTkdfQ08uMTAwMC4wNy8wMy8yMDI2Li4uVVNELkgBAAAA3rYBAAIAAAAFMTA1NzEBCAAAAAUAAAABMQEAAAALLTE5MDQ4NjA3NDADAAAAAzE2MAIAAAABNwQAAAABMAcAAAAIMy83LzIwMjYIAAAACjEyLzMxLzIwMjUJAAAAATBXZOYk/4HeCI2hWSj/gd4ILkNJUS5OWVNFOklCTS5JUV9JTkNfVEFYLjk5NS4wNy8wMy8yMDI2Li4uVVNELkgB</t>
  </si>
  <si>
    <t>AAAA3rYBAAIAAAAFLTEzNjABCAAAAAUAAAABMQEAAAALLTIwNTkwNzMyMDIDAAAAAzE2MAIAAAACNzUEAAAAATAHAAAACDMvNy8yMDI2CAAAAAoxMi8zMS8yMDIwCQAAAAEwV2TmJP+B3giNoVko/4HeCDpDSVEuTllTRTpJQk0uSVFfT1RIRVJfVU5VU1VBTF9TVVBQTC45OTIuMDcvMDMvMjAyNi4uLlVTRC5IAQAAAN62AQADAAAAAABXZOYk/4HeCHt6WSj/gd4IMUNJUS5OWVNFOklCTS5JUV9JTlNfU0VUVExFLjk5OS4wNy8wMy8yMDI2Li4uVVNELkgBAAAA3rYBAAMAAAAAAFdk5iT/gd4Ie3pZKP+B3gg2Q0lRLk5ZU0U6SUJNLklRX0FTU0VUX1dSSVRFRE9XTi45OTYuMDcvMDMvMjAyNi4uLlVTRC5IAQAAAN62AQADAAAAAABXZOYk/4HeCHt6WSj/gd4INkNJUS5OWVNFOklCTS5JUV9UT1RBTF9SRVZfU0hBUkUuOTkzLjA3LzAzLzIwMjYuLi5VU0QuSAEAAADetgEAAgAAAAk4Ny4yNjYyMzMBCAAAAAUAAAABMQEAAAAKMjA4MTUwNTQwMQMAAAADMTYwAgAAAAQ0MzgyBAAAAAEwBwAAAAgzLzcvMjAyNggAAAAKMTIvMzEvMjAxOAkAAAABMFdk5iT/gd4Ie3pZKP+B3gg1Q0lRLk5ZU0U6SUJNLklRX0RJTFVUX0VQU19OT1JNLjk5NC4wNy8wMy8yMDI2Li4uVVNELkgBAAAA3rYBAAIAAAAINC41MTEwMjEBCAAAAAUAAAABMQEAAAALLTIxMTA3NjkzNTUDAAAAAzE2MAIAAAAENDM4MAQAAAABMAcAAAAIMy83LzIw</t>
  </si>
  <si>
    <t>MjYIAAAACjEyLzMxLzIwMTkJAAAAATBXZOYk/4HeCHt6WSj/gd4INUNJUS5OWVNFOklCTS5JUV9CQVNJQ19FUFNfRVhDTC45OTUuMDcvMDMvMjAyNi4uLlVTRC5IAQAAAN62AQACAAAACDQuNDE2MjQ3AQgAAAAFAAAAATEBAAAACy0yMDU5MDczMjAyAwAAAAMxNjACAAAABDMwNjQEAAAAATAHAAAACDMvNy8yMDI2CAAAAAoxMi8zMS8yMDIwCQAAAAEwV2TmJP+B3gh+U1ko/4HeCDVDSVEuTllTRTpJQk0uSVFfUFJFRl9ESVZfT1RIRVIuOTk5LjA3LzAzLzIwMjYuLi5VU0QuSAEAAADetgEAAwAAAAAAV2TmJP+B3gh+U1ko/4HeCClDSVEuTllTRTpJQk0uSVFfTkkuOTk0LjA3LzAzLzIwMjYuLi5VU0QuSAEAAADetgEAAgAAAAQ5NDMxAQgAAAAFAAAAATEBAAAACy0yMTEwNzY5MzU1AwAAAAMxNjACAAAAAjE1BAAAAAEwBwAAAAgzLzcvMjAyNggAAAAKMTIvMzEvMjAxOQkAAAABMFdk5iT/gd4IflNZKP+B3gg8Q0lRLk5ZU0U6SUJNLklRX0VCSVRfRVFfSU5DX0VYQ0xfU0JDLjEwMDAuMDcvMDMvMjAyNi4uLlVTRC5IAQAAAN62AQACAAAABTE0MjgzAQgAAAAFAAAAATEBAAAACy0xOTA0ODYwNzQwAwAAAAMxNjACAAAABTI0MTMwBAAAAAEwBwAAAAgzLzcvMjAyNggAAAAKMTIvMzEvMjAyNQkAAAABMFdk5iT/gd4IflNZKP+B3ggrQ0lRLk5ZU0U6SUJNLklRX0VCSVQuOTk5LjA3LzAzLzIwMjYuLi5VU0QuSAEA</t>
  </si>
  <si>
    <t>AADetgEAAgAAAAQ5Nzg4AQgAAAAFAAAAATEBAAAACy0xOTA0ODYwNzQzAwAAAAMxNjACAAAAAzQwMAQAAAABMAcAAAAIMy83LzIwMjYIAAAACjEyLzMxLzIwMjQJAAAAATBXZOYk/4HeCHt6WSj/gd4IPkNJUS5OWVNFOklCTS5JUV9MRUFTRV9BREpVU1RNRU5UX0VCSVREQS45OTkuMDcvMDMvMjAyNi4uLlVTRC5IAQAAAN62AQACAAAABDEzMDkAV2TmJP+B3gh+U1ko/4HeCDZDSVEuTllTRTpJQk0uSVFfRUJJVERBX0VYQ0xfU0JDLjk5OS4wNy8wMy8yMDI2Li4uVVNELkgBAAAA3rYBAAIAAAAFMTQxOTcBCAAAAAUAAAABMQEAAAALLTE5MDQ4NjA3NDMDAAAAAzE2MAIAAAAFMjQxMzUEAAAAATAHAAAACDMvNy8yMDI2CAAAAAoxMi8zMS8yMDI0CQAAAAEwV2TmJP+B3gh+U1ko/4HeCDhDSVEuTllTRTpJQk0uSVFfU1BFQ0lBTF9ESVZfU0hBUkUuOTk1LjA3LzAzLzIwMjYuLi5VU0QuSAEAAADetgEAAwAAAAAAV2TmJP+B3gh+U1ko/4HeCC5DSVEuTllTRTpJQk0uSVFfTklfTk9STS45OTguMDcvMDMvMjAyNi4uLlVTRC5IAQAAAN62AQACAAAACDU0MDYuODc1AQgAAAAFAAAAATEBAAAACy0xOTA0ODYwNzQ0AwAAAAMxNjACAAAABDQzNzgEAAAAATAHAAAACDMvNy8yMDI2CAAAAAoxMi8zMS8yMDIzCQAAAAEwV2TmJP+B3gh+U1ko/4HeCD5DSVEuTllTRTpJQk0uSVFfRVhDSVNFX1RBWEVTX0VYQ0xfU0FMRVMu</t>
  </si>
  <si>
    <t>OTk0LjA3LzAzLzIwMjYuLi5VU0QuSAEAAADetgEAAwAAAAAAV2TmJP+B3gh+U1ko/4HeCDZDSVEuTllTRTpJQk0uSVFfSU5URVJFU1RfSU5DT01FLjk5NS4wNy8wMy8yMDI2Li4uVVNELkgBAAAA3rYBAAMAAAAAAFdk5iT/gd4I9StZKP+B3ghJQ0lRLk5ZU0U6SUJNLklRX1BST1ZfQkFEX0RFQlRTX1BBVElFTlRfU0VSVklDRV9SRVYuOTk5LjA3LzAzLzIwMjYuLi5VU0QuSAEAAADetgEAAwAAAAAAV2TmJP+B3gj1K1ko/4HeCDxDSVEuTllTRTpJQk0uSVFfVE9UQUxfUkVWX0FTX1JFUE9SVEVELjk5OS4wNy8wMy8yMDI2Li4uVVNELkgBAAAA3rYBAAIAAAAFNjI3NTMBCAAAAAUAAAABMQEAAAALLTE5MDQ4NjA3NDMDAAAAAzE2MAIAAAADMzM5BAAAAAEwBwAAAAgzLzcvMjAyNggAAAAKMTIvMzEvMjAyNAkAAAABMFdk5iT/gd4I9StZKP+B3ggxQ0lRLk5ZU0U6SUJNLklRX0NPTU1PTl9ESVYuOTk0LjA3LzAzLzIwMjYuLi5VU0QuSAEAAADetgEAAgAAAAQ1NzA3AFdk5iT/gd4I9StZKP+B3ghGQ0lRLk5ZU0U6SUJNLklRX0RJU1RSSUJVVEFCTEVfQ0FTSF9TVEFOREFSRElaRUQuOTkyLjA3LzAzLzIwMjYuLi5VU0QuSAEAAADetgEAAwAAAAAAV2TmJP+B3gj1K1ko/4HeCDBDSVEuTllTRTpJQk0uSVFfREFfRUJJVERBLjk5NS4wNy8wMy8yMDI2Li4uVVNELkgBAAAA3rYBAAIAAAAENjY5NQEIAAAABQAAAAEx</t>
  </si>
  <si>
    <t>AQAAAAstMjA1OTA3MzIwMgMAAAADMTYwAgAAAAQyMjA2BAAAAAEwBwAAAAgzLzcvMjAyNggAAAAKMTIvMzEvMjAyMAkAAAABMFdk5iT/gd4I6xVZKP+B3ghIQ0lRLk5ZU0U6SUJNLklRX0lOVEVSRVNUX0VYUF9MRUFTRV9MSUFCSUxJVFlfREVCVC45OTcuMDcvMDMvMjAyNi4uLlVTRC5IAQAAAN62AQADAAAAAABXZOYk/4HeCOsVWSj/gd4IO0NJUS5OWVNFOklCTS5JUV9DQVBJVEFMSVpFRF9JTlRFUkVTVC45OTcuMDcvMDMvMjAyNi4uLlVTRC5IAQAAAN62AQACAAAAATUBCAAAAAUAAAABMQEAAAALLTE5NTgyODEwOTYDAAAAAzE2MAIAAAAEMzAzMgQAAAABMAcAAAAIMy83LzIwMjYIAAAACjEyLzMxLzIwMjIJAAAAATBXZOYk/4HeCPUrWSj/gd4IOkNJUS5OWVNFOklCTS5JUV9MRUdBTF9TRVRUTEVfU1VQUExFLjk5NS4wNy8wMy8yMDI2Li4uVVNELkgBAAAA3rYBAAMAAAAAAFdk5iT/gd4I9StZKP+B3ggyQ0lRLk5ZU0U6SUJNLklRX0lQUkRfU1VQUExFLjk5OS4wNy8wMy8yMDI2Li4uVVNELkgBAAAA3rYBAAMAAAAAAFdk5iT/gd4I9StZKP+B3gg/Q0lRLk5ZU0U6SUJNLklRX0lNUFVUX09QRVJfTEVBU0VfSU5UX0VYUC45OTUuMDcvMDMvMjAyNi4uLlVTRC5IAQAAAN62AQACAAAACjIzNi42MTAxNDQBCAAAAAUAAAABMQEAAAALLTIwNTkwNzMyMDIDAAAAAzE2MAIAAAAFMjE2NzIEAAAAATAHAAAACDMv</t>
  </si>
  <si>
    <t>Ny8yMDI2CAAAAAoxMi8zMS8yMDIwCQAAAAEwV2TmJP+B3gjx2lgo/4HeCDBDSVEuTllTRTpJQk0uSVFfUkRfRVhQX0ZOLjk5Ny4wNy8wMy8yMDI2Li4uVVNELkgBAAAA3rYBAAIAAAAENjU2NwEIAAAABQAAAAExAQAAAAstMTk1ODI4MTA5NgMAAAADMTYwAgAAAAQzMTY4BAAAAAEwBwAAAAgzLzcvMjAyNggAAAAKMTIvMzEvMjAyMgkAAAABMFdk5iT/gd4I8dpYKP+B3ggrQ0lRLk5ZU0U6SUJNLklRX0RJQy4xMDAwLjA3LzAzLzIwMjYuLi5VU0QuSAEAAADetgEAAwAAAAAAV2TmJP+B3gjrFVko/4HeCDZDSVEuTllTRTpJQk0uSVFfQVNTRVRfV1JJVEVET1dOLjk5NC4wNy8wMy8yMDI2Li4uVVNELkgBAAAA3rYBAAMAAAAAAFdk5iT/gd4I6xVZKP+B3gg2Q0lRLk5ZU0U6SUJNLklRX0NBU0hfQUNRVUlSRV9DRi45OTQuMDcvMDMvMjAyNi4uLlVTRC5IAQAAAN62AQACAAAABi0zMjYzMAEIAAAABQAAAAExAQAAAAstMjExMDc2OTM1NQMAAAADMTYwAgAAAAQyMDU3BAAAAAEwBwAAAAgzLzcvMjAyNggAAAAKMTIvMzEvMjAxOQkAAAABMFdk5iT/gd4I6xVZKP+B3ggyQ0lRLk5ZU0U6SUJNLklRX0RBX1NVUFBMX0NGLjk5Ni4wNy8wMy8yMDI2Li4uVVNELkgBAAAA3rYBAAIAAAAEMzg4OAEIAAAABQAAAAExAQAAAAstMjAwODY0NzE5OAMAAAADMTYwAgAAAAQyMTcxBAAAAAEwBwAAAAgzLzcvMjAyNggAAAAKMTIv</t>
  </si>
  <si>
    <t>MzEvMjAyMQkAAAABMFdk5iT/gd4I8dpYKP+B3gg2Q0lRLk5ZU0U6SUJNLklRX1NUT0NLX0JBU0VEX1NHQS45OTMuMDcvMDMvMjAyNi4uLlVTRC5IAQAAAN62AQACAAAAAzM2MQEIAAAABQAAAAExAQAAAAoyMDgxNTA1NDAxAwAAAAMxNjACAAAABTIyNjc5BAAAAAEwBwAAAAgzLzcvMjAyNggAAAAKMTIvMzEvMjAxOAkAAAABMFdk5iT/gd4I8dpYKP+B3gg7Q0lRLk5ZU0U6SUJNLklRX05FR0FUSVZFX0dXX0FNT1JUX0FULjk5Ny4wNy8wMy8yMDI2Li4uVVNELkgBAAAA3rYBAAMAAAAAAFdk5iT/gd4I8dpYKP+B3gg8Q0lRLk5ZU0U6SUJNLklRX0VCSVREQV9MRUFTRV9BREpVU1RFRC45OTYuMDcvMDMvMjAyNi4uLlVTRC5IAQAAAN62AQACAAAABTEyNzQ2AQgAAAAFAAAAATEBAAAACy0yMDA4NjQ3MTk4AwAAAAMxNjACAAAABTQ4OTkzBAAAAAEwBwAAAAgzLzcvMjAyNggAAAAKMTIvMzEvMjAyMQkAAAABMFdk5iT/gd4I8dpYKP+B3ggxQ0lRLk5ZU0U6SUJNLklRX0RJVl9TSEFSRS4xMDAwLjA3LzAzLzIwMjYuLi5VU0QuSAEAAADetgEAAgAAAAQ2LjcxAQgAAAAFAAAAATEBAAAACy0xOTA0ODYwNzQwAwAAAAMxNjACAAAABDMwNTgEAAAAATAHAAAACDMvNy8yMDI2CAAAAAoxMi8zMS8yMDI1CQAAAAEwV2TmJP+B3gjx2lgo/4HeCDVDSVEuTllTRTpJQk0uSVFfRElMVVRfRVBTX0VYQ0wuOTk3LjA3LzAzLzIw</t>
  </si>
  <si>
    <t>MjYuLi5VU0QuSAEAAADetgEAAgAAAAQxLjk1AQgAAAAFAAAAATEBAAAACy0xOTU4MjgxMDk2AwAAAAMxNjACAAAAAzE0MgQAAAABMAcAAAAIMy83LzIwMjYIAAAACjEyLzMxLzIwMjIJAAAAATBXZOYk/4HeCPHaWCj/gd4ILkNJUS5OWVNFOklCTS5JUV9JTkNfVEFYLjk5Mi4wNy8wMy8yMDI2Li4uVVNELkgBAAAA3rYBAAIAAAAENTY0MgEIAAAABQAAAAExAQAAAAoyMDE3MTY0MjQ0AwAAAAMxNjACAAAAAjc1BAAAAAEwBwAAAAgzLzcvMjAyNggAAAAKMTIvMzEvMjAxNwkAAAABMFdk5iT/gd4I8dpYKP+B3ggxQ0lRLk5ZU0U6SUJNLklRX0lOU19TRVRUTEUuOTk3LjA3LzAzLzIwMjYuLi5VU0QuSAEAAADetgEAAwAAAAAAV2TmJP+B3gjx2lgo/4HeCCpDSVEuTllTRTpJQk0uSVFfUkVWLjk5OS4wNy8wMy8yMDI2Li4uVVNELkgBAAAA3rYBAAIAAAAFNjIwNDQBCAAAAAUAAAABMQEAAAALLTE5MDQ4NjA3NDMDAAAAAzE2MAIAAAADMTEyBAAAAAEwBwAAAAgzLzcvMjAyNggAAAAKMTIvMzEvMjAyNAkAAAABMFdk5iT/gd4I8dpYKP+B3gg4Q0lRLk5ZU0U6SUJNLklRX0ZFRVNfT1RIRVJfSU5DT01FLjk5OS4wNy8wMy8yMDI2Li4uVVNELkgBAAAA3rYBAAMAAAAAAFdk5iT/gd4I8dpYKP+B3gg1Q0lRLk5ZU0U6SUJNLklRX0RJTFVUX0VQU19JTkNMLjk5OC4wNy8wMy8yMDI2Li4uVVNELkgBAAAA3rYBAAIAAAAI</t>
  </si>
  <si>
    <t>OC4xMzY5ODUBCAAAAAUAAAABMQEAAAALLTE5MDQ4NjA3NDQDAAAAAzE2MAIAAAABOAQAAAABMAcAAAAIMy83LzIwMjYIAAAACjEyLzMxLzIwMjMJAAAAATBXZOYk/4HeCDPHWCj/gd4IMUNJUS5OWVNFOklCTS5JUV9TR0FfU1VQUEwuMTAwMC4wNy8wMy8yMDI2Li4uVVNELkgBAAAA3rYBAAIAAAAFMTkzODABCAAAAAUAAAABMQEAAAALLTE5MDQ4NjA3NDADAAAAAzE2MAIAAAADMTAyBAAAAAEwBwAAAAgzLzcvMjAyNggAAAAKMTIvMzEvMjAyNQkAAAABMFdk5iT/gd4IM8dYKP+B3gg4Q0lRLk5ZU0U6SUJNLklRX0lOVkVTVE1FTlRfSU5DT01FLjk5Mi4wNy8wMy8yMDI2Li4uVVNELkgBAAAA3rYBAAMAAAAAAFdk5iT/gd4IM8dYKP+B3gg1Q0lRLk5ZU0U6SUJNLklRX1BST1ZfQkFEX0RFQlRTLjk5My4wNy8wMy8yMDI2Li4uVVNELkgBAAAA3rYBAAMAAAAAAFdk5iT/gd4IM8dYKP+B3ggwQ0lRLk5ZU0U6SUJNLklRX1NHQV9TVVBQTC45OTkuMDcvMDMvMjAyNi4uLlVTRC5IAQAAAN62AQACAAAABTE5MjgxAQgAAAAFAAAAATEBAAAACy0xOTA0ODYwNzQzAwAAAAMxNjACAAAAAzEwMgQAAAABMAcAAAAIMy83LzIwMjYIAAAACjEyLzMxLzIwMjQJAAAAATBXZOYk/4HeCDPHWCj/gd4IKUNJUS5OWVNFOklCTS5JUV9HUC45OTMuMDcvMDMvMjAyNi4uLlVTRC5IAQAAAN62AQACAAAABTM2OTM3AQgAAAAFAAAAATEB</t>
  </si>
  <si>
    <t>AAAACjIwODE1MDU0MDEDAAAAAzE2MAIAAAACMTAEAAAAATAHAAAACDMvNy8yMDI2CAAAAAoxMi8zMS8yMDE4CQAAAAEwV2TmJP+B3ggloFgo/4HeCCtDSVEuTllTRTpJQk0uSVFfQ09HUy45OTUuMDcvMDMvMjAyNi4uLlVTRC5IAQAAAN62AQACAAAABTIzNzM3AQgAAAAFAAAAATEBAAAACy0yMDU5MDczMjAyAwAAAAMxNjACAAAAAjM0BAAAAAEwBwAAAAgzLzcvMjAyNggAAAAKMTIvMzEvMjAyMAkAAAABMFdk5iT/gd4IJaBYKP+B3gg2Q0lRLk5ZU0U6SUJNLklRX0dBSU5fSU5WRVNUX1JFVi45OTcuMDcvMDMvMjAyNi4uLlVTRC5IAQAAAN62AQADAAAAAABXZOYk/4HeCCWgWCj/gd4IMUNJUS5OWVNFOklCTS5JUV9JTkNfRVFVSVRZLjk5My4wNy8wMy8yMDI2Li4uVVNELkgBAAAA3rYBAAMAAAAAAFdk5iT/gd4IJaBYKP+B3gg6Q0lRLk5ZU0U6SUJNLklRX0lOVEVSRVNUX0lOVkVTVF9JTkMuOTk5LjA3LzAzLzIwMjYuLi5VU0QuSAEAAADetgEAAgAAAAM3NDcBCAAAAAUAAAABMQEAAAALLTE5MDQ4NjA3NDMDAAAAAzE2MAIAAAACNjUEAAAAATAHAAAACDMvNy8yMDI2CAAAAAoxMi8zMS8yMDI0CQAAAAEwV2TmJP+B3ggloFgo/4HeCC9DSVEuTllTRTpJQk0uSVFfT1BFUl9JTkMuOTk1LjA3LzAzLzIwMjYuLi5VU0QuSAEAAADetgEAAgAAAAQ0NjYyAQgAAAAFAAAAATEBAAAACy0yMDU5MDczMjAyAwAAAAMx</t>
  </si>
  <si>
    <t>NjACAAAAAjIxBAAAAAEwBwAAAAgzLzcvMjAyNggAAAAKMTIvMzEvMjAyMAkAAAABMFdk5iT/gd4IEXlYKP+B3ggxQ0lRLk5ZU0U6SUJNLklRX0lNUEFJUl9PSUwuOTk1LjA3LzAzLzIwMjYuLi5VU0QuSAEAAADetgEAAwAAAAAAV2TmJP+B3ggReVgo/4HeCDRDSVEuTllTRTpJQk0uSVFfUFJFX09QRU5fQ09TVC45OTcuMDcvMDMvMjAyNi4uLlVTRC5IAQAAAN62AQADAAAAAABXZOYk/4HeCCWgWCj/gd4ILkNJUS5OWVNFOklCTS5JUV9JTkNfVEFYLjk5NC4wNy8wMy8yMDI2Li4uVVNELkgBAAAA3rYBAAIAAAACNjABCAAAAAUAAAABMQEAAAALLTIxMTA3NjkzNTUDAAAAAzE2MAIAAAACNzUEAAAAATAHAAAACDMvNy8yMDI2CAAAAAoxMi8zMS8yMDE5CQAAAAEwV2TmJP+B3ggloFgo/4HeCDFDSVEuTllTRTpJQk0uSVFfSU5TX1NFVFRMRS45OTguMDcvMDMvMjAyNi4uLlVTRC5IAQAAAN62AQADAAAAAABXZOYk/4HeCCWgWCj/gd4INkNJUS5OWVNFOklCTS5JUV9BU1NFVF9XUklURURPV04uOTk1LjA3LzAzLzIwMjYuLi5VU0QuSAEAAADetgEAAwAAAAAAV2TmJP+B3ggReVgo/4HeCC1DSVEuTllTRTpJQk0uSVFfTUVSR0VSLjk5Ny4wNy8wMy8yMDI2Li4uVVNELkgBAAAA3rYBAAMAAAAAAFdk5iT/gd4IEXlYKP+B3gg/Q0lRLk5ZU0U6SUJNLklRX09USEVSX05PTl9PUEVSX0VYUF9TVVBQTC45OTcuMDcvMDMv</t>
  </si>
  <si>
    <t>MjAyNi4uLlVTRC5IAQAAAN62AQACAAAAAzEwMwEIAAAABQAAAAExAQAAAAstMTk1ODI4MTA5NgMAAAADMTYwAgAAAAI4NQQAAAABMAcAAAAIMy83LzIwMjYIAAAACjEyLzMxLzIwMjIJAAAAATBXZOYk/4HeCBF5WCj/gd4INUNJUS5OWVNFOklCTS5JUV9ESUxVVF9FUFNfTk9STS45OTMuMDcvMDMvMjAyNi4uLlVTRC5IAQAAAN62AQACAAAACDcuNzM2MTQzAQgAAAAFAAAAATEBAAAACjIwODE1MDU0MDEDAAAAAzE2MAIAAAAENDM4MAQAAAABMAcAAAAIMy83LzIwMjYIAAAACjEyLzMxLzIwMTgJAAAAATBXZOYk/4HeCBF5WCj/gd4INUNJUS5OWVNFOklCTS5JUV9ESUxVVF9FUFNfSU5DTC45OTcuMDcvMDMvMjAyNi4uLlVTRC5IAQAAAN62AQACAAAACDEuNzkzMjQ4AQgAAAAFAAAAATEBAAAACy0xOTU4MjgxMDk2AwAAAAMxNjACAAAAATgEAAAAATAHAAAACDMvNy8yMDI2CAAAAAoxMi8zMS8yMDIyCQAAAAEwV2TmJP+B3ggReVgo/4HeCDVDSVEuTllTRTpJQk0uSVFfUFJFRl9ESVZfT1RIRVIuOTk4LjA3LzAzLzIwMjYuLi5VU0QuSAEAAADetgEAAwAAAAAAV2TmJP+B3ggBUlgo/4HeCClDSVEuTllTRTpJQk0uSVFfTkkuOTkzLjA3LzAzLzIwMjYuLi5VU0QuSAEAAADetgEAAgAAAAQ4NzI4AQgAAAAFAAAAATEBAAAACjIwODE1MDU0MDEDAAAAAzE2MAIAAAACMTUEAAAAATAHAAAACDMvNy8yMDI2CAAAAAox</t>
  </si>
  <si>
    <t>Mi8zMS8yMDE4CQAAAAEwV2TmJP+B3ggBUlgo/4HeCClDSVEuTllTRTpJQk0uSVFfRE8uOTk3LjA3LzAzLzIwMjYuLi5VU0QuSAEAAADetgEAAgAAAAQtMTQzAQgAAAAFAAAAATEBAAAACy0xOTU4MjgxMDk2AwAAAAMxNjACAAAAAjQwBAAAAAEwBwAAAAgzLzcvMjAyNggAAAAKMTIvMzEvMjAyMgkAAAABMFdk5iT/gd4IEXlYKP+B3gg2Q0lRLk5ZU0U6SUJNLklRX0VCSVREQV9FWENMX1NCQy45OTguMDcvMDMvMjAyNi4uLlVTRC5IAQAAAN62AQACAAAABTEzMzkxAQgAAAAFAAAAATEBAAAACy0xOTA0ODYwNzQ0AwAAAAMxNjACAAAABTI0MTM1BAAAAAEwBwAAAAgzLzcvMjAyNggAAAAKMTIvMzEvMjAyMwkAAAABMFdk5iT/gd4IEXlYKP+B3gg0Q0lRLk5ZU0U6SUJNLklRX0VCSVREQV9FUV9JTkMuOTk3LjA3LzAzLzIwMjYuLi5VU0QuSAEAAADetgEAAgAAAAUxMjAyMgEIAAAABQAAAAExAQAAAAstMTk1ODI4MTA5NgMAAAADMTYwAgAAAAUyMTY3NwQAAAABMAcAAAAIMy83LzIwMjYIAAAACjEyLzMxLzIwMjIJAAAAATBXZOYk/4HeCBF5WCj/gd4IOENJUS5OWVNFOklCTS5JUV9TUEVDSUFMX0RJVl9TSEFSRS45OTQuMDcvMDMvMjAyNi4uLlVTRC5IAQAAAN62AQADAAAAAABXZOYk/4HeCAFSWCj/gd4INkNJUS5OWVNFOklCTS5JUV9UT1RBTF9SRVZfU0hBUkUuOTkyLjA3LzAzLzIwMjYuLi5VU0QuSAEAAADe</t>
  </si>
  <si>
    <t>tgEAAgAAAAk4NC44Mzc2OTIBCAAAAAUAAAABMQEAAAAKMjAxNzE2NDI0NAMAAAADMTYwAgAAAAQ0MzgyBAAAAAEwBwAAAAgzLzcvMjAyNggAAAAKMTIvMzEvMjAxNwkAAAABMFdk5iT/gd4IAVJYKP+B3ggwQ0lRLk5ZU0U6SUJNLklRX0RJVl9TSEFSRS45OTkuMDcvMDMvMjAyNi4uLlVTRC5IAQAAAN62AQACAAAABDYuNjcBCAAAAAUAAAABMQEAAAALLTE5MDQ4NjA3NDMDAAAAAzE2MAIAAAAEMzA1OAQAAAABMAcAAAAIMy83LzIwMjYIAAAACjEyLzMxLzIwMjQJAAAAATBXZOYk/4HeCAFSWCj/gd4IN0NJUS5OWVNFOklCTS5JUV9FQklUREFSX0VYQ0xfU0JDLjk5OS4wNy8wMy8yMDI2Li4uVVNELkgBAAAA3rYBAAIAAAAFMTU1MDYBCAAAAAUAAAABMQEAAAALLTE5MDQ4NjA3NDMDAAAAAzE2MAIAAAAFMjQxMzcEAAAAATAHAAAACDMvNy8yMDI2CAAAAAoxMi8zMS8yMDI0CQAAAAEwV2TmJP+B3ggBUlgo/4HeCC1DSVEuTllTRTpJQk0uSVFfRUJJVEEuMTAwMC4wNy8wMy8yMDI2Li4uVVNELkgBAAAA3rYBAAIAAAAFMTQ3MzQBCAAAAAUAAAABMQEAAAALLTE5MDQ4NjA3NDADAAAAAzE2MAIAAAAGMTAwNjg5BAAAAAEwBwAAAAgzLzcvMjAyNggAAAAKMTIvMzEvMjAyNQkAAAABMFdk5iT/gd4IAVJYKP+B3gg7Q0lRLk5ZU0U6SUJNLklRX0VCSVRfRVFfSU5DX0VYQ0xfU0JDLjk5OS4wNy8wMy8yMDI2Li4uVVNE</t>
  </si>
  <si>
    <t>LkgBAAAA3rYBAAIAAAAFMTEwOTkBCAAAAAUAAAABMQEAAAALLTE5MDQ4NjA3NDMDAAAAAzE2MAIAAAAFMjQxMzAEAAAAATAHAAAACDMvNy8yMDI2CAAAAAoxMi8zMS8yMDI0CQAAAAEwV2TmJP+B3gjzKlgo/4HeCCtDSVEuTllTRTpJQk0uSVFfRUJJVC45OTguMDcvMDMvMjAyNi4uLlVTRC5IAQAAAN62AQACAAAABDk0MjEBCAAAAAUAAAABMQEAAAALLTE5MDQ4NjA3NDQDAAAAAzE2MAIAAAADNDAwBAAAAAEwBwAAAAgzLzcvMjAyNggAAAAKMTIvMzEvMjAyMwkAAAABMFdk5iT/gd4I8ypYKP+B3gg+Q0lRLk5ZU0U6SUJNLklRX0xFQVNFX0FESlVTVE1FTlRfRUJJVERBLjk5OC4wNy8wMy8yMDI2Li4uVVNELkgBAAAA3rYBAAIAAAAEMTI5MgBXZOYk/4HeCPMqWCj/gd4IPkNJUS5OWVNFOklCTS5JUV9FWENJU0VfVEFYRVNfRVhDTF9TQUxFUy45OTMuMDcvMDMvMjAyNi4uLlVTRC5IAQAAAN62AQADAAAAAABXZOYk/4HeCPMqWCj/gd4INkNJUS5OWVNFOklCTS5JUV9JTlRFUkVTVF9JTkNPTUUuOTk0LjA3LzAzLzIwMjYuLi5VU0QuSAEAAADetgEAAwAAAAAAV2TmJP+B3ggBUlgo/4HeCElDSVEuTllTRTpJQk0uSVFfUFJPVl9CQURfREVCVFNfUEFUSUVOVF9TRVJWSUNFX1JFVi45OTguMDcvMDMvMjAyNi4uLlVTRC5IAQAAAN62AQADAAAAAABXZOYk/4HeCPEDWCj/gd4IPENJUS5OWVNFOklCTS5JUV9UT1RB</t>
  </si>
  <si>
    <t>TF9SRVZfQVNfUkVQT1JURUQuOTk4LjA3LzAzLzIwMjYuLi5VU0QuSAEAAADetgEAAgAAAAU2MTg2MAEIAAAABQAAAAExAQAAAAstMTkwNDg2MDc0NAMAAAADMTYwAgAAAAMzMzkEAAAAATAHAAAACDMvNy8yMDI2CAAAAAoxMi8zMS8yMDIzCQAAAAEwV2TmJP+B3gjzKlgo/4HeCDhDSVEuTllTRTpJQk0uSVFfRkVFU19PVEhFUl9JTkNPTUUuOTk4LjA3LzAzLzIwMjYuLi5VU0QuSAEAAADetgEAAwAAAAAAV2TmJP+B3gjzKlgo/4HeCEdDSVEuTllTRTpJQk0uSVFfRElTVFJJQlVUQUJMRV9DQVNIX1NUQU5EQVJESVpFRC4xMDAwLjA3LzAzLzIwMjYuLi5VU0QuSAEAAADetgEAAwAAAAAAV2TmJP+B3gjzKlgo/4HeCDBDSVEuTllTRTpJQk0uSVFfREFfRUJJVERBLjk5NC4wNy8wMy8yMDI2Li4uVVNELkgBAAAA3rYBAAIAAAAENjA1OQEIAAAABQAAAAExAQAAAAstMjExMDc2OTM1NQMAAAADMTYwAgAAAAQyMjA2BAAAAAEwBwAAAAgzLzcvMjAyNggAAAAKMTIvMzEvMjAxOQkAAAABMFdk5iT/gd4I8ypYKP+B3gg3Q0lRLk5ZU0U6SUJNLklRX0lOVF9FWFBfSU5DTF9DQVAuOTk0LjA3LzAzLzIwMjYuLi5VU0QuSAEAAADetgEAAgAAAAQxMzQ4AQgAAAAFAAAAATEBAAAACy0yMTEwNzY5MzU1AwAAAAMxNjACAAAABTIxODYxBAAAAAEwBwAAAAgzLzcvMjAyNggAAAAKMTIvMzEvMjAxOQkAAAABMFdk5iT/gd4I8QNY</t>
  </si>
  <si>
    <t>KP+B3gg7Q0lRLk5ZU0U6SUJNLklRX0NBUElUQUxJWkVEX0lOVEVSRVNULjk5Ni4wNy8wMy8yMDI2Li4uVVNELkgBAAAA3rYBAAIAAAABMwEIAAAABQAAAAExAQAAAAstMjAwODY0NzE5OAMAAAADMTYwAgAAAAQzMDMyBAAAAAEwBwAAAAgzLzcvMjAyNggAAAAKMTIvMzEvMjAyMQkAAAABMFdk5iT/gd4I8QNYKP+B3gguQ0lRLk5ZU0U6SUJNLklRX05JX05PUk0uOTk3LjA3LzAzLzIwMjYuLi5VU0QuSAEAAADetgEAAgAAAAc0NDE4Ljc1AQgAAAAFAAAAATEBAAAACy0xOTU4MjgxMDk2AwAAAAMxNjACAAAABDQzNzgEAAAAATAHAAAACDMvNy8yMDI2CAAAAAoxMi8zMS8yMDIyCQAAAAEwV2TmJP+B3gjxA1go/4HeCD1DSVEuTllTRTpJQk0uSVFfTkVUX1JFTlRBTF9FWFBfU1VQUExFLjEwMDAuMDcvMDMvMjAyNi4uLlVTRC5IAQAAAN62AQACAAAABDEzMDgBCAAAAAUAAAABMQEAAAALLTE5MDQ4NjA3NDADAAAAAzE2MAIAAAAFMjQyNjMEAAAAATAHAAAACDMvNy8yMDI2CAAAAAoxMi8zMS8yMDI1CQAAAAEwV2TmJP+B3gjxA1go/4HeCDBDSVEuTllTRTpJQk0uSVFfUkRfRVhQX0ZOLjk5My4wNy8wMy8yMDI2Li4uVVNELkgBAAAA3rYBAAIAAAAENTM3OQEIAAAABQAAAAExAQAAAAoyMDgxNTA1NDAxAwAAAAMxNjACAAAABDMxNjgEAAAAATAHAAAACDMvNy8yMDI2CAAAAAoxMi8zMS8yMDE4CQAAAAEwV2TmJP+B</t>
  </si>
  <si>
    <t>3gjxA1go/4HeCCpDSVEuTllTRTpJQk0uSVFfRElDLjk5OS4wNy8wMy8yMDI2Li4uVVNELkgBAAAA3rYBAAMAAAAAAFdk5iT/gd4IC91XKP+B3ggxQ0lRLk5ZU0U6SUJNLklRX0NPTU1PTl9ESVYuOTkzLjA3LzAzLzIwMjYuLi5VU0QuSAEAAADetgEAAgAAAAQ1NjY2AFdk5iT/gd4IC91XKP+B3gg9Q0lRLk5ZU0U6SUJNLklRX0FOTlVfRElTVFJJQlVUSU9OX1VOSVQuOTk1LjA3LzAzLzIwMjYuLi5VU0QuSAEAAADetgEAAwAAAAAAV2TmJP+B3ggL3Vco/4HeCDdDSVEuTllTRTpJQk0uSVFfU1RPQ0tfQkFTRURfQ09HUy45OTguMDcvMDMvMjAyNi4uLlVTRC5IAQAAAN62AQACAAAAAzE5MAEIAAAABQAAAAExAQAAAAstMTkwNDg2MDc0NAMAAAADMTYwAgAAAAUyMjY3NAQAAAABMAcAAAAIMy83LzIwMjYIAAAACjEyLzMxLzIwMjMJAAAAATBXZOYk/4HeCAvdVyj/gd4IOkNJUS5OWVNFOklCTS5JUV9MRUdBTF9TRVRUTEVfU1VQUExFLjk5NC4wNy8wMy8yMDI2Li4uVVNELkgBAAAA3rYBAAMAAAAAAFdk5iT/gd4I8QNYKP+B3ggyQ0lRLk5ZU0U6SUJNLklRX0lQUkRfU1VQUExFLjk5OC4wNy8wMy8yMDI2Li4uVVNELkgBAAAA3rYBAAMAAAAAAFdk5iT/gd4IB7ZXKP+B3gg/Q0lRLk5ZU0U6SUJNLklRX0lNUFVUX09QRVJfTEVBU0VfSU5UX0VYUC45OTQuMDcvMDMvMjAyNi4uLlVTRC5IAQAAAN62AQACAAAACTMw</t>
  </si>
  <si>
    <t>Ny4xMzY1MgEIAAAABQAAAAExAQAAAAstMjExMDc2OTM1NQMAAAADMTYwAgAAAAUyMTY3MgQAAAABMAcAAAAIMy83LzIwMjYIAAAACjEyLzMxLzIwMTkJAAAAATBXZOYk/4HeCAvdVyj/gd4INENJUS5OWVNFOklCTS5JUV9BSVJDUkFGVF9SRU5ULjk5OC4wNy8wMy8yMDI2Li4uVVNELkgBAAAA3rYBAAMAAAAAAFdk5iT/gd4IC91XKP+B3ggyQ0lRLk5ZU0U6SUJNLklRX09USEVSX0FNT1JULjk5NS4wNy8wMy8yMDI2Li4uVVNELkgBAAAA3rYBAAMAAAAAAFdk5iT/gd4IC91XKP+B3ggxQ0lRLk5ZU0U6SUJNLklRX09JTF9JTVBBSVIuOTkyLjA3LzAzLzIwMjYuLi5VU0QuSAEAAADetgEAAwAAAAAAV2TmJP+B3ggL3Vco/4HeCDJDSVEuTllTRTpJQk0uSVFfREFfU1VQUExfQ0YuOTk5LjA3LzAzLzIwMjYuLi5VU0QuSAEAAADetgEAAgAAAAQyMTY4AQgAAAAFAAAAATEBAAAACy0xOTA0ODYwNzQzAwAAAAMxNjACAAAABDIxNzEEAAAAATAHAAAACDMvNy8yMDI2CAAAAAoxMi8zMS8yMDI0CQAAAAEwV2TmJP+B3ggHtlco/4HeCDBDSVEuTllTRTpJQk0uSVFfRElWRVNUX0NGLjk5OS4wNy8wMy8yMDI2Li4uVVNELkgBAAAA3rYBAAIAAAADNjk4AQgAAAAFAAAAATEBAAAACy0xOTA0ODYwNzQzAwAAAAMxNjACAAAABDIwNzcEAAAAATAHAAAACDMvNy8yMDI2CAAAAAoxMi8zMS8yMDI0CQAAAAEwV2TmJP+B3ggHtlco</t>
  </si>
  <si>
    <t>/4HeCDZDSVEuTllTRTpJQk0uSVFfU1RPQ0tfQkFTRURfU0dBLjk5Mi4wNy8wMy8yMDI2Li4uVVNELkgBAAAA3rYBAAIAAAADMzg0AQgAAAAFAAAAATEBAAAACjIwMTcxNjQyNDQDAAAAAzE2MAIAAAAFMjI2NzkEAAAAATAHAAAACDMvNy8yMDI2CAAAAAoxMi8zMS8yMDE3CQAAAAEwV2TmJP+B3ggHtlco/4HeCDxDSVEuTllTRTpJQk0uSVFfQ0hBTkdFX1RSQURJTkdfQVNTRVRTLjk5Ny4wNy8wMy8yMDI2Li4uVVNELkgBAAAA3rYBAAMAAAAAAFdk5iT/gd4IB7ZXKP+B3gg1Q0lRLk5ZU0U6SUJNLklRX09USEVSX09QRVJfQUNULjk5Mi4wNy8wMy8yMDI2Li4uVVNELkgBAAAA3rYBAAIAAAAELTkzMQEIAAAABQAAAAExAQAAAAoyMDE3MTY0MjQ0AwAAAAMxNjACAAAABDIwNDcEAAAAATAHAAAACDMvNy8yMDI2CAAAAAoxMi8zMS8yMDE3CQAAAAEwV2TmJP+B3ggHtlco/4HeCDVDSVEuTllTRTpJQk0uSVFfU1RPQ0tfQkFTRURfQ0YuOTk2LjA3LzAzLzIwMjYuLi5VU0QuSAEAAADetgEAAgAAAAM5ODIBCAAAAAUAAAABMQEAAAALLTIwMDg2NDcxOTgDAAAAAzE2MAIAAAAEMjEyNwQAAAABMAcAAAAIMy83LzIwMjYIAAAACjEyLzMxLzIwMjEJAAAAATBXZOYk/4HeCA2PVyj/gd4INUNJUS5OWVNFOklCTS5JUV9DUkVESVRfTE9TU19DRi45OTMuMDcvMDMvMjAyNi4uLlVTRC5IAQAAAN62AQADAAAAAABXZOYk/4He</t>
  </si>
  <si>
    <t>CA2PVyj/gd4INUNJUS5OWVNFOklCTS5JUV9HQUlOX0FTU0VUU19DRi45OTguMDcvMDMvMjAyNi4uLlVTRC5IAQAAAN62AQACAAAABC0xNzABCAAAAAUAAAABMQEAAAALLTE5MDQ4NjA3NDQDAAAAAzE2MAIAAAAEMjAyNgQAAAABMAcAAAAIMy83LzIwMjYIAAAACjEyLzMxLzIwMjMJAAAAATBXZOYk/4HeCA2PVyj/gd4IMENJUS5OWVNFOklCTS5JUV9ESVZFU1RfQ0YuOTk1LjA3LzAzLzIwMjYuLi5VU0QuSAEAAADetgEAAgAAAAM1MDMBCAAAAAUAAAABMQEAAAALLTIwNTkwNzMyMDIDAAAAAzE2MAIAAAAEMjA3NwQAAAABMAcAAAAIMy83LzIwMjYIAAAACjEyLzMxLzIwMjAJAAAAATBXZOYk/4HeCAe2Vyj/gd4IMkNJUS5OWVNFOklCTS5JUV9TQUxFX1BQRV9DRi45OTIuMDcvMDMvMjAyNi4uLlVTRC5IAQAAAN62AQACAAAAAzQ2MAEIAAAABQAAAAExAQAAAAoyMDE3MTY0MjQ0AwAAAAMxNjACAAAABDIwNDIEAAAAATAHAAAACDMvNy8yMDI2CAAAAAoxMi8zMS8yMDE3CQAAAAEwV2TmJP+B3ggHtlco/4HeCDBDSVEuTllTRTpJQk0uSVFfQ0FTSF9PUEVSLjk5OS4wNy8wMy8yMDI2Li4uVVNELkgBAAAA3rYBAAIAAAAFMTM0NDUBCAAAAAUAAAABMQEAAAALLTE5MDQ4NjA3NDMDAAAAAzE2MAIAAAAEMjAwNgQAAAABMAcAAAAIMy83LzIwMjYIAAAACjEyLzMxLzIwMjQJAAAAATBXZOYk/4HeCCRoVyj/gd4INUNJ</t>
  </si>
  <si>
    <t>US5OWVNFOklCTS5JUV9DSEFOR0VfREVGX1RBWC45OTYuMDcvMDMvMjAyNi4uLlVTRC5IAQAAAN62AQADAAAAAABXZOYk/4HeCCRoVyj/gd4IOENJUS5OWVNFOklCTS5JUV9DSEFOR0VfSU5WRU5UT1JZLjEwMDAuMDcvMDMvMjAyNi4uLlVTRC5IAQAAAN62AQACAAAAAjcwAQgAAAAFAAAAATEBAAAACy0xOTA0ODYwNzQwAwAAAAMxNjACAAAABDIwOTkEAAAAATAHAAAACDMvNy8yMDI2CAAAAAoxMi8zMS8yMDI1CQAAAAEwV2TmJP+B3ggNj1co/4HeCDhDSVEuTllTRTpJQk0uSVFfVE9UQUxfREVCVF9SRVBBSUQuOTk1LjA3LzAzLzIwMjYuLi5VU0QuSAEAAADetgEAAgAAAAYtMTQyMTgBCAAAAAUAAAABMQEAAAALLTIwNTkwNzMyMDIDAAAAAzE2MAIAAAAEMjE2NgQAAAABMAcAAAAIMy83LzIwMjYIAAAACjEyLzMxLzIwMjAJAAAAATBXZOYk/4HeCA2PVyj/gd4INUNJUS5OWVNFOklCTS5JUV9TVF9ERUJUX1JFUEFJRC45OTUuMDcvMDMvMjAyNi4uLlVTRC5IAQAAAN62AQACAAAABC04NTMBCAAAAAUAAAABMQEAAAALLTIwNTkwNzMyMDIDAAAAAzE2MAIAAAAEMjA0NAQAAAABMAcAAAAIMy83LzIwMjYIAAAACjEyLzMxLzIwMjAJAAAAATBXZOYk/4HeCA2PVyj/gd4INUNJUS5OWVNFOklCTS5JUV9MVF9ERUJUX0lTU1VFRC45OTUuMDcvMDMvMjAyNi4uLlVTRC5IAQAAAN62AQACAAAABTEwNTA0AQgAAAAFAAAA</t>
  </si>
  <si>
    <t>ATEBAAAACy0yMDU5MDczMjAyAwAAAAMxNjACAAAABDIwMzQEAAAAATAHAAAACDMvNy8yMDI2CAAAAAoxMi8zMS8yMDIwCQAAAAEwV2TmJP+B3ghZQFco/4HeCDJDSVEuTllTRTpJQk0uSVFfQ0FTSF9JTlZFU1QuOTkzLjA3LzAzLzIwMjYuLi5VU0QuSAEAAADetgEAAgAAAAUtNDkxMwEIAAAABQAAAAExAQAAAAoyMDgxNTA1NDAxAwAAAAMxNjACAAAABDIwMDUEAAAAATAHAAAACDMvNy8yMDI2CAAAAAoxMi8zMS8yMDE4CQAAAAEwV2TmJP+B3ghZQFco/4HeCDRDSVEuTllTRTpJQk0uSVFfU0FMRV9JTlRBTl9DRi45OTguMDcvMDMvMjAyNi4uLlVTRC5IAQAAAN62AQACAAAABC01NjUBCAAAAAUAAAABMQEAAAALLTE5MDQ4NjA3NDQDAAAAAzE2MAIAAAAEMjAyOQQAAAABMAcAAAAIMy83LzIwMjYIAAAACjEyLzMxLzIwMjMJAAAAATBXZOYk/4HeCCRoVyj/gd4IMUNJUS5OWVNFOklCTS5JUV9DQVNIX0ZJTkFOLjk5My4wNy8wMy8yMDI2Li4uVVNELkgBAAAA3rYBAAIAAAAGLTEwNDY5AQgAAAAFAAAAATEBAAAACjIwODE1MDU0MDEDAAAAAzE2MAIAAAAEMjAwNAQAAAABMAcAAAAIMy83LzIwMjYIAAAACjEyLzMxLzIwMTgJAAAAATBXZOYk/4HeCCRoVyj/gd4IOENJUS5OWVNFOklCTS5JUV9UT1RBTF9ESVZfUEFJRF9DRi45OTguMDcvMDMvMjAyNi4uLlVTRC5IAQAAAN62AQACAAAABS02MDQwAQgAAAAFAAAA</t>
  </si>
  <si>
    <t>ATEBAAAACy0xOTA0ODYwNzQ0AwAAAAMxNjACAAAABDIwMjIEAAAAATAHAAAACDMvNy8yMDI2CAAAAAoxMi8zMS8yMDIzCQAAAAEwV2TmJP+B3ggkaFco/4HeCDJDSVEuTllTRTpJQk0uSVFfUFJFRl9ESVZfQ0YuOTk3LjA3LzAzLzIwMjYuLi5VU0QuSAEAAADetgEAAwAAAAAAV2TmJP+B3ghwBVco/4HeCC9DSVEuTllTRTpJQk0uSVFfUFJFRl9SRVAuOTk3LjA3LzAzLzIwMjYuLi5VU0QuSAEAAADetgEAAwAAAAAAV2TmJP+B3ghwBVco/4HeCDFDSVEuTllTRTpJQk0uSVFfQ09NTU9OX1JFUC45OTYuMDcvMDMvMjAyNi4uLlVTRC5IAQAAAN62AQACAAAABC0zMTkBCAAAAAUAAAABMQEAAAALLTIwMDg2NDcxOTgDAAAAAzE2MAIAAAAEMjE2NAQAAAABMAcAAAAIMy83LzIwMjYIAAAACjEyLzMxLzIwMjEJAAAAATBXZOYk/4HeCHAFVyj/gd4IQUNJUS5OWVNFOklCTS5JUV9DSEFOR0VfTkVUX1dPUktJTkdfQ0FQSVRBTC45OTcuMDcvMDMvMjAyNi4uLlVTRC5IAQAAAN62AQACAAAABS0xOTIyAQgAAAAFAAAAATEBAAAACy0xOTU4MjgxMDk2AwAAAAMxNjACAAAABDQ0MjEEAAAAATAHAAAACDMvNy8yMDI2CAAAAAoxMi8zMS8yMDIyCQAAAAEwV2TmJP+B3giNLFco/4HeCDhDSVEuTllTRTpJQk0uSVFfQ0FTSF9UQVhFU19JTlZFU1QuOTk0LjA3LzAzLzIwMjYuLi5VU0QuSAEAAADetgEAAwAAAAAAV2TmJP+B3giN</t>
  </si>
  <si>
    <t>LFco/4HeCDRDSVEuTllTRTpJQk0uSVFfQ0FTSF9JTlRFUkVTVC45OTUuMDcvMDMvMjAyNi4uLlVTRC5IAQAAAN62AQACAAAABDE4MzABCAAAAAUAAAABMQEAAAALLTIwNTkwNzMyMDIDAAAAAzE2MAIAAAAEMzAyOAQAAAABMAcAAAAIMy83LzIwMjYIAAAACjEyLzMxLzIwMjAJAAAAATBXZOYk/4HeCHAFVyj/gd4IPUNJUS5OWVNFOklCTS5JUV9EQV9DRl9FWENMX09QRVJfTEVBU0VTLjk5Ni4wNy8wMy8yMDI2Li4uVVNELkgBAAAA3rYBAAIAAAAENTcyNgEIAAAABQAAAAExAQAAAAstMjAwODY0NzE5OAMAAAADMTYwAgAAAAU0ODk4NQQAAAABMAcAAAAIMy83LzIwMjYIAAAACjEyLzMxLzIwMjEJAAAAATBXZOYk/4HeCHAFVyj/gd4INUNJUS5OWVNFOklCTS5JUV9NSVNDX0FESlVTVF9DRi45OTMuMDcvMDMvMjAyNi4uLlVTRC5IAQAAAN62AQADAAAAAABXZOYk/4HeCHAFVyj/gd4INUNJUS5OWVNFOklCTS5JUV9PVEhFUl9DQV9TVVBQTC45OTYuMDcvMDMvMjAyNi4uLlVTRC5IAQAAAN62AQACAAAABDIyNjQBCAAAAAUAAAABMQEAAAALLTIwMDg2NDcxOTgDAAAAAzE2MAIAAAAEMTA1NQQAAAABMAcAAAAIMy83LzIwMjYIAAAACjEyLzMxLzIwMjEJAAAAATBXZOYk/4HeCHAFVyj/gd4IPENJUS5OWVNFOklCTS5JUV9GSU5fRElWX0xPQU5TX0NVUlJFTlQuOTk4LjA3LzAzLzIwMjYuLi5VU0QuSAEAAADetgEA</t>
  </si>
  <si>
    <t>AgAAAAQ2MTAyAQgAAAAFAAAAATEBAAAACy0xOTA0ODYwNzQ0AwAAAAMxNjACAAAABDEwMzIEAAAAATAHAAAACDMvNy8yMDI2CAAAAAoxMi8zMS8yMDIzCQAAAAEwV2TmJP+B3ghwBVco/4HeCDVDSVEuTllTRTpJQk0uSVFfQ0FTSF9TVF9JTlZFU1QuOTk1LjA3LzAzLzIwMjYuLi5VU0QuSAEAAADetgEAAgAAAAUxMzc4OAEIAAAABQAAAAExAQAAAAstMjA1OTA3MzIwMgMAAAADMTYwAgAAAAQxMDAyBAAAAAEwBwAAAAgzLzcvMjAyNggAAAAKMTIvMzEvMjAyMAkAAAABMFdk5iT/gd4IWt5WKP+B3ghIQ0lRLk5ZU0U6SUJNLklRX0xPTkdfVEVSTV9ERUJUX1JFUEFJRF9FWENMX0xFQVNFUy45OTMuMDcvMDMvMjAyNi4uLlVTRC5IAQAAAN62AQACAAAABS04NTMzAQgAAAAFAAAAATEBAAAACjIwODE1MDU0MDEDAAAAAzE2MAIAAAAFNDg5ODQEAAAAATAHAAAACDMvNy8yMDI2CAAAAAoxMi8zMS8yMDE4CQAAAAEwV2TmJP+B3gha3lYo/4HeCDRDSVEuTllTRTpJQk0uSVFfVU5MRVZFUkVEX0ZDRi45OTkuMDcvMDMvMjAyNi4uLlVTRC5IAQAAAN62AQACAAAABzEwMzk1LjUBCAAAAAUAAAABMQEAAAALLTE5MDQ4NjA3NDMDAAAAAzE2MAIAAAAENDQyMwQAAAABMAcAAAAIMy83LzIwMjYIAAAACjEyLzMxLzIwMjQJAAAAATBXZOYk/4HeCFreVij/gd4IPUNJUS5OWVNFOklCTS5JUV9TVE9DS19PUFRJT05TX0NPTVBf</t>
  </si>
  <si>
    <t>VEFYLjk5OS4wNy8wMy8yMDI2Li4uVVNELkgBAAAA3rYBAAMAAAAAAFdk5iT/gd4IWt5WKP+B3ghAQ0lRLk5ZU0U6SUJNLklRX1NUT0NLX09QVElPTlNfQ09NUF9QUkVUQVguOTk0LjA3LzAzLzIwMjYuLi5VU0QuSAEAAADetgEAAwAAAAAAV2TmJP+B3ghwBVco/4HeCDZDSVEuTllTRTpJQk0uSVFfU1RPQ0tfQkFTRURfQVQuMTAwMC4wNy8wMy8yMDI2Li4uVVNELkgBAAAA3rYBAAMAAAAAAFdk5iT/gd4IWt5WKP+B3gg4Q0lRLk5ZU0U6SUJNLklRX1NUT0NLX0JBU0VEX09USEVSLjk5NS4wNy8wMy8yMDI2Li4uVVNELkgBAAAA3rYBAAIAAAACNjQBCAAAAAUAAAABMQEAAAALLTIwNTkwNzMyMDIDAAAAAzE2MAIAAAAFMjI2NzYEAAAAATAHAAAACDMvNy8yMDI2CAAAAAoxMi8zMS8yMDIwCQAAAAEwV2TmJP+B3gha3lYo/4HeCDBDSVEuTllTRTpJQk0uSVFfTFRfSU5WRVNULjk5Ni4wNy8wMy8yMDI2Li4uVVNELkgBAAAA3rYBAAIAAAAEMTc4MwEIAAAABQAAAAExAQAAAAstMjAwODY0NzE5OAMAAAADMTYwAgAAAAQxMDU0BAAAAAEwBwAAAAgzLzcvMjAyNggAAAAKMTIvMzEvMjAyMQkAAAABMFdk5iT/gd4IWt5WKP+B3gg5Q0lRLk5ZU0U6SUJNLklRX0FTU0VUX1dSSVRFRE9XTl9DRi45OTkuMDcvMDMvMjAyNi4uLlVTRC5IAQAAAN62AQADAAAAAABXZOYk/4HeCFreVij/gd4INUNJUS5OWVNFOklCTS5JUV9H</t>
  </si>
  <si>
    <t>QUlOX0FTU0VUU19DRi45OTcuMDcvMDMvMjAyNi4uLlVTRC5IAQAAAN62AQACAAAABC0zNjMBCAAAAAUAAAABMQEAAAALLTE5NTgyODEwOTYDAAAAAzE2MAIAAAAEMjAyNgQAAAABMAcAAAAIMy83LzIwMjYIAAAACjEyLzMxLzIwMjIJAAAAATBXZOYk/4HeCFreVij/gd4IMkNJUS5OWVNFOklCTS5JUV9PVEhFUl9BTU9SVC45OTQuMDcvMDMvMjAyNi4uLlVTRC5IAQAAAN62AQADAAAAAABXZOYk/4HeCEe3Vij/gd4IMkNJUS5OWVNFOklCTS5JUV9EQV9TVVBQTF9DRi45OTguMDcvMDMvMjAyNi4uLlVTRC5IAQAAAN62AQACAAAABDIxMDkBCAAAAAUAAAABMQEAAAALLTE5MDQ4NjA3NDQDAAAAAzE2MAIAAAAEMjE3MQQAAAABMAcAAAAIMy83LzIwMjYIAAAACjEyLzMxLzIwMjMJAAAAATBXZOYk/4HeCEe3Vij/gd4IN0NJUS5OWVNFOklCTS5JUV9TVE9DS19CQVNFRF9DT01QLjk5NS4wNy8wMy8yMDI2Li4uVVNELkgBAAAA3rYBAAIAAAADNjc1AFdk5iT/gd4IR7dWKP+B3gg3Q0lRLk5ZU0U6SUJNLklRX0NIQU5HRV9JTlZFTlRPUlkuOTk5LjA3LzAzLzIwMjYuLi5VU0QuSAEAAADetgEAAgAAAAQtMTY2AQgAAAAFAAAAATEBAAAACy0xOTA0ODYwNzQzAwAAAAMxNjACAAAABDIwOTkEAAAAATAHAAAACDMvNy8yMDI2CAAAAAoxMi8zMS8yMDI0CQAAAAEwV2TmJP+B3ghHt1Yo/4HeCDBDSVEuTllTRTpJQk0uSVFf</t>
  </si>
  <si>
    <t>Q0hBTkdFX0FSLjk5NC4wNy8wMy8yMDI2Li4uVVNELkgBAAAA3rYBAAIAAAADNTAyAQgAAAAFAAAAATEBAAAACy0yMTEwNzY5MzU1AwAAAAMxNjACAAAABDIwMTgEAAAAATAHAAAACDMvNy8yMDI2CAAAAAoxMi8zMS8yMDE5CQAAAAEwV2TmJP+B3gha3lYo/4HeCDtDSVEuTllTRTpJQk0uSVFfVEFYX0JFTkVGSVRfT1BUSU9OUy4xMDAwLjA3LzAzLzIwMjYuLi5VU0QuSAEAAADetgEAAwAAAAAAV2TmJP+B3ghHt1Yo/4HeCDVDSVEuTllTRTpJQk0uSVFfU1RPQ0tfQkFTRURfQ0YuOTk1LjA3LzAzLzIwMjYuLi5VU0QuSAEAAADetgEAAgAAAAM5MzcBCAAAAAUAAAABMQEAAAALLTIwNTkwNzMyMDIDAAAAAzE2MAIAAAAEMjEyNwQAAAABMAcAAAAIMy83LzIwMjYIAAAACjEyLzMxLzIwMjAJAAAAATBXZOYk/4HeCEe3Vij/gd4INUNJUS5OWVNFOklCTS5JUV9DUkVESVRfTE9TU19DRi45OTIuMDcvMDMvMjAyNi4uLlVTRC5IAQAAAN62AQADAAAAAABXZOYk/4HeCEe3Vij/gd4IMkNJUS5OWVNFOklCTS5JUV9DQVNIX0lOVkVTVC45OTIuMDcvMDMvMjAyNi4uLlVTRC5IAQAAAN62AQACAAAABS03MDgxAQgAAAAFAAAAATEBAAAACjIwMTcxNjQyNDQDAAAAAzE2MAIAAAAEMjAwNQQAAAABMAcAAAAIMy83LzIwMjYIAAAACjEyLzMxLzIwMTcJAAAAATBXZOYk/4HeCEe3Vij/gd4INENJUS5OWVNFOklCTS5JUV9TQUxF</t>
  </si>
  <si>
    <t>X0lOVEFOX0NGLjk5Ny4wNy8wMy8yMDI2Li4uVVNELkgBAAAA3rYBAAIAAAAELTYyNgEIAAAABQAAAAExAQAAAAstMTk1ODI4MTA5NgMAAAADMTYwAgAAAAQyMDI5BAAAAAEwBwAAAAgzLzcvMjAyNggAAAAKMTIvMzEvMjAyMgkAAAABMFdk5iT/gd4IR7dWKP+B3ggwQ0lRLk5ZU0U6SUJNLklRX0RJVkVTVF9DRi45OTQuMDcvMDMvMjAyNi4uLlVTRC5IAQAAAN62AQACAAAABDEwNzYBCAAAAAUAAAABMQEAAAALLTIxMTA3NjkzNTUDAAAAAzE2MAIAAAAEMjA3NwQAAAABMAcAAAAIMy83LzIwMjYIAAAACjEyLzMxLzIwMTkJAAAAATBXZOYk/4HeCDqQVij/gd4IMENJUS5OWVNFOklCTS5JUV9DQVNIX09QRVIuOTk4LjA3LzAzLzIwMjYuLi5VU0QuSAEAAADetgEAAgAAAAUxMzkzMQEIAAAABQAAAAExAQAAAAstMTkwNDg2MDc0NAMAAAADMTYwAgAAAAQyMDA2BAAAAAEwBwAAAAgzLzcvMjAyNggAAAAKMTIvMzEvMjAyMwkAAAABMFdk5iT/gd4IOpBWKP+B3gg1Q0lRLk5ZU0U6SUJNLklRX0NIQU5HRV9ERUZfVEFYLjk5NS4wNy8wMy8yMDI2Li4uVVNELkgBAAAA3rYBAAMAAAAAAFdk5iT/gd4IOpBWKP+B3ggvQ0lRLk5ZU0U6SUJNLklRX1BSRUZfUkVQLjk5Ni4wNy8wMy8yMDI2Li4uVVNELkgBAAAA3rYBAAMAAAAAAFdk5iT/gd4IOpBWKP+B3ggxQ0lRLk5ZU0U6SUJNLklRX0NPTU1PTl9SRVAuOTk1LjA3LzAz</t>
  </si>
  <si>
    <t>LzIwMjYuLi5VU0QuSAEAAADetgEAAgAAAAQtMzAyAQgAAAAFAAAAATEBAAAACy0yMDU5MDczMjAyAwAAAAMxNjACAAAABDIxNjQEAAAAATAHAAAACDMvNy8yMDI2CAAAAAoxMi8zMS8yMDIwCQAAAAEwV2TmJP+B3gg6kFYo/4HeCDhDSVEuTllTRTpJQk0uSVFfVE9UQUxfREVCVF9SRVBBSUQuOTk0LjA3LzAzLzIwMjYuLi5VU0QuSAEAAADetgEAAgAAAAYtMTU1NDEBCAAAAAUAAAABMQEAAAALLTIxMTA3NjkzNTUDAAAAAzE2MAIAAAAEMjE2NgQAAAABMAcAAAAIMy83LzIwMjYIAAAACjEyLzMxLzIwMTkJAAAAATBXZOYk/4HeCMZoVij/gd4INUNJUS5OWVNFOklCTS5JUV9TVF9ERUJUX1JFUEFJRC45OTMuMDcvMDMvMjAyNi4uLlVTRC5IAQAAAN62AQADAAAAAABXZOYk/4HeCDqQVij/gd4INUNJUS5OWVNFOklCTS5JUV9MVF9ERUJUX0lTU1VFRC45OTQuMDcvMDMvMjAyNi4uLlVTRC5IAQAAAN62AQACAAAABTMxODI1AQgAAAAFAAAAATEBAAAACy0yMTEwNzY5MzU1AwAAAAMxNjACAAAABDIwMzQEAAAAATAHAAAACDMvNy8yMDI2CAAAAAoxMi8zMS8yMDE5CQAAAAEwV2TmJP+B3gg6kFYo/4HeCD1DSVEuTllTRTpJQk0uSVFfREFfQ0ZfRVhDTF9PUEVSX0xFQVNFUy45OTUuMDcvMDMvMjAyNi4uLlVTRC5IAQAAAN62AQACAAAABDY2OTUBCAAAAAUAAAABMQEAAAALLTIwNTkwNzMyMDIDAAAAAzE2MAIAAAAF</t>
  </si>
  <si>
    <t>NDg5ODUEAAAAATAHAAAACDMvNy8yMDI2CAAAAAoxMi8zMS8yMDIwCQAAAAEwV2TmJP+B3gg6kFYo/4HeCC5DSVEuTllTRTpJQk0uSVFfREVQX1JVQS45OTcuMDcvMDMvMjAyNi4uLlVTRC5IAQAAAN62AQACAAAAAzkwMAEIAAAABQAAAAExAQAAAAstMTk1ODI4MTA5NgMAAAADMTYwAgAAAAU0ODM1NwQAAAABMAcAAAAIMy83LzIwMjYIAAAACjEyLzMxLzIwMjIJAAAAATBZjeYk/4HeCDqQVij/gd4IMUNJUS5OWVNFOklCTS5JUV9DQVNIX0ZJTkFOLjk5Mi4wNy8wMy8yMDI2Li4uVVNELkgBAAAA3rYBAAIAAAAFLTY0MTgBCAAAAAUAAAABMQEAAAAKMjAxNzE2NDI0NAMAAAADMTYwAgAAAAQyMDA0BAAAAAEwBwAAAAgzLzcvMjAyNggAAAAKMTIvMzEvMjAxNwkAAAABMFmN5iT/gd4IxmhWKP+B3gg1Q0lRLk5ZU0U6SUJNLklRX1NQRUNJQUxfRElWX0NGLjk5NC4wNy8wMy8yMDI2Li4uVVNELkgBAAAA3rYBAAMAAAAAAFmN5iT/gd4IxmhWKP+B3gg5Q0lRLk5ZU0U6SUJNLklRX0NPTU1PTl9QUkVGX0RJVl9DRi45OTQuMDcvMDMvMjAyNi4uLlVTRC5IAQAAAN62AQADAAAAAABZjeYk/4HeCMZoVij/gd4ISUNJUS5OWVNFOklCTS5JUV9MT05HX1RFUk1fREVCVF9SRVBBSURfRVhDTF9MRUFTRVMuMTAwMC4wNy8wMy8yMDI2Li4uVVNELkgBAAAA3rYBAAIAAAAFLTU0ODkBCAAAAAUAAAABMQEAAAALLTE5MDQ4NjA3</t>
  </si>
  <si>
    <t>NDADAAAAAzE2MAIAAAAFNDg5ODQEAAAAATAHAAAACDMvNy8yMDI2CAAAAAoxMi8zMS8yMDI1CQAAAAEwWY3mJP+B3gjGaFYo/4HeCEBDSVEuTllTRTpJQk0uSVFfT1BFUkFUSU5HX0xFQVNFX1BBWU1FTlRTLjEwMDAuMDcvMDMvMjAyNi4uLlVTRC5IAQAAAN62AQADAAAAAABZjeYk/4HeCMZoVij/gd4IL0NJUS5OWVNFOklCTS5JUV9DRl9TSEFSRS45OTYuMDcvMDMvMjAyNi4uLlVTRC5IAQAAAN62AQACAAAACTExLjE5MjA3OQEIAAAABQAAAAExAQAAAAstMjAwODY0NzE5OAMAAAADMTYwAgAAAAU0MzkyMwQAAAABMAcAAAAIMy83LzIwMjYIAAAACjEyLzMxLzIwMjEJAAAAATBZjeYk/4HeCNYtVij/gd4IQUNJUS5OWVNFOklCTS5JUV9DSEFOR0VfTkVUX1dPUktJTkdfQ0FQSVRBTC45OTQuMDcvMDMvMjAyNi4uLlVTRC5IAQAAAN62AQACAAAABS03MTAxAQgAAAAFAAAAATEBAAAACy0yMTEwNzY5MzU1AwAAAAMxNjACAAAABDQ0MjEEAAAAATAHAAAACDMvNy8yMDI2CAAAAAoxMi8zMS8yMDE5CQAAAAEwWY3mJP+B3gjWLVYo/4HeCDlDSVEuTllTRTpJQk0uSVFfQ0FTSF9JTlRFUkVTVF9PUEVSLjk5Ny4wNy8wMy8yMDI2Li4uVVNELkgBAAAA3rYBAAMAAAAAAFmN5iT/gd4IxmhWKP+B3ggxQ0lRLk5ZU0U6SUJNLklRX0xUX0lOVkVTVC4xMDAwLjA3LzAzLzIwMjYuLi5VU0QuSAEAAADetgEAAgAAAAQxNzUx</t>
  </si>
  <si>
    <t>AQgAAAAFAAAAATEBAAAACy0xOTA0ODYwNzQwAwAAAAMxNjACAAAABDEwNTQEAAAAATAHAAAACDMvNy8yMDI2CAAAAAoxMi8zMS8yMDI1CQAAAAEwWY3mJP+B3gjGaFYo/4HeCDVDSVEuTllTRTpJQk0uSVFfT1RIRVJfQ0FfU1VQUEwuOTk1LjA3LzAzLzIwMjYuLi5VU0QuSAEAAADetgEAAgAAAAQzNzIxAQgAAAAFAAAAATEBAAAACy0yMDU5MDczMjAyAwAAAAMxNjACAAAABDEwNTUEAAAAATAHAAAACDMvNy8yMDI2CAAAAAoxMi8zMS8yMDIwCQAAAAEwWY3mJP+B3gjGaFYo/4HeCDxDSVEuTllTRTpJQk0uSVFfRklOX0RJVl9MT0FOU19DVVJSRU5ULjk5Ny4wNy8wMy8yMDI2Li4uVVNELkgBAAAA3rYBAAIAAAAENjg1MQEIAAAABQAAAAExAQAAAAstMTk1ODI4MTA5NgMAAAADMTYwAgAAAAQxMDMyBAAAAAEwBwAAAAgzLzcvMjAyNggAAAAKMTIvMzEvMjAyMgkAAAABMFmN5iT/gd4I1i1WKP+B3ggzQ0lRLk5ZU0U6SUJNLklRX1RPVEFMX1JFQ0VJVi45OTIuMDcvMDMvMjAyNi4uLlVTRC5IAQAAAN62AQACAAAABTEwMzgwAQgAAAAFAAAAATEBAAAACjIwMTcxNjQyNDQDAAAAAzE2MAIAAAAEMTAwMQQAAAABMAcAAAAIMy83LzIwMjYIAAAACjEyLzMxLzIwMTcJAAAAATBZjeYk/4HeCNYtVij/gd4INUNJUS5OWVNFOklCTS5JUV9DQVNIX1NUX0lOVkVTVC45OTQuMDcvMDMvMjAyNi4uLlVTRC5IAQAAAN62AQAC</t>
  </si>
  <si>
    <t>AAAABDg4NjgBCAAAAAUAAAABMQEAAAALLTIxMTA3NjkzNTUDAAAAAzE2MAIAAAAEMTAwMgQAAAABMAcAAAAIMy83LzIwMjYIAAAACjEyLzMxLzIwMTkJAAAAATBZjeYk/4HeCNYtVij/gd4IOENJUS5OWVNFOklCTS5JUV9QUk9WX0JBRF9ERUJUU19DRi45OTcuMDcvMDMvMjAyNi4uLlVTRC5IAQAAAN62AQADAAAAAABZjeYk/4HeCNYtVij/gd4INUNJUS5OWVNFOklCTS5JUV9TVE9DS19CQVNFRF9DRi45OTQuMDcvMDMvMjAyNi4uLlVTRC5IAQAAAN62AQACAAAAAzY3OQEIAAAABQAAAAExAQAAAAstMjExMDc2OTM1NQMAAAADMTYwAgAAAAQyMTI3BAAAAAEwBwAAAAgzLzcvMjAyNggAAAAKMTIvMzEvMjAxOQkAAAABMFmN5iT/gd4I1i1WKP+B3gg5Q0lRLk5ZU0U6SUJNLklRX0FTU0VUX1dSSVRFRE9XTl9DRi45OTguMDcvMDMvMjAyNi4uLlVTRC5IAQAAAN62AQADAAAAAABZjeYk/4HeCNYtVij/gd4INUNJUS5OWVNFOklCTS5JUV9HQUlOX0FTU0VUU19DRi45OTUuMDcvMDMvMjAyNi4uLlVTRC5IAQAAAN62AQACAAAAAy03MAEIAAAABQAAAAExAQAAAAstMjA1OTA3MzIwMgMAAAADMTYwAgAAAAQyMDI2BAAAAAEwBwAAAAgzLzcvMjAyNggAAAAKMTIvMzEvMjAyMAkAAAABMFmN5iT/gd4I1i1WKP+B3gg4Q0lRLk5ZU0U6SUJNLklRX0RFRl9UQVhfQVNTRVRTX0xULjk5NS4wNy8wMy8yMDI2Li4uVVNELkgB</t>
  </si>
  <si>
    <t>AAAA3rYBAAIAAAAEODQwNAEIAAAABQAAAAExAQAAAAstMjA1OTA3MzIwMgMAAAADMTYwAgAAAAQxMDI2BAAAAAEwBwAAAAgzLzcvMjAyNggAAAAKMTIvMzEvMjAyMAkAAAABMFmN5iT/gd4I1i1WKP+B3ggzQ0lRLk5ZU0U6SUJNLklRX1NBTEVfUFBFX0NGLjEwMDAuMDcvMDMvMjAyNi4uLlVTRC5IAQAAAN62AQACAAAAAzEyMQEIAAAABQAAAAExAQAAAAstMTkwNDg2MDc0MAMAAAADMTYwAgAAAAQyMDQyBAAAAAEwBwAAAAgzLzcvMjAyNggAAAAKMTIvMzEvMjAyNQkAAAABMFmN5iT/gd4I1i1WKP+B3ggwQ0lRLk5ZU0U6SUJNLklRX0NBU0hfT1BFUi45OTcuMDcvMDMvMjAyNi4uLlVTRC5IAQAAAN62AQACAAAABTEwNDM1AQgAAAAFAAAAATEBAAAACy0xOTU4MjgxMDk2AwAAAAMxNjACAAAABDIwMDYEAAAAATAHAAAACDMvNy8yMDI2CAAAAAoxMi8zMS8yMDIyCQAAAAEwWY3mJP+B3gjWLVYo/4HeCENDSVEuTllTRTpJQk0uSVFfQ0hBTkdFX09USEVSX05FVF9PUEVSX0FTU0VUUy45OTIuMDcvMDMvMjAyNi4uLlVTRC5IAQAAAN62AQACAAAABDU0NTEBCAAAAAUAAAABMQEAAAAKMjAxNzE2NDI0NAMAAAADMTYwAgAAAAQyMDQ1BAAAAAEwBwAAAAgzLzcvMjAyNggAAAAKMTIvMzEvMjAxNwkAAAABMFmN5iT/gd4I0wZWKP+B3gg3Q0lRLk5ZU0U6SUJNLklRX0NIQU5HRV9JTlZFTlRPUlkuOTk4LjA3LzAzLzIw</t>
  </si>
  <si>
    <t>MjYuLi5VU0QuSAEAAADetgEAAgAAAAMzOTABCAAAAAUAAAABMQEAAAALLTE5MDQ4NjA3NDQDAAAAAzE2MAIAAAAEMjA5OQQAAAABMAcAAAAIMy83LzIwMjYIAAAACjEyLzMxLzIwMjMJAAAAATBZjeYk/4HeCNMGVij/gd4IMENJUS5OWVNFOklCTS5JUV9DSEFOR0VfQVIuOTkzLjA3LzAzLzIwMjYuLi5VU0QuSAEAAADetgEAAgAAAAQxMDA2AQgAAAAFAAAAATEBAAAACjIwODE1MDU0MDEDAAAAAzE2MAIAAAAEMjAxOAQAAAABMAcAAAAIMy83LzIwMjYIAAAACjEyLzMxLzIwMTgJAAAAATBZjeYk/4HeCNYtVij/gd4IMkNJUS5OWVNFOklCTS5JUV9QUkVGX0lTU1VFRC45OTIuMDcvMDMvMjAyNi4uLlVTRC5IAQAAAN62AQADAAAAAABZjeYk/4HeCNYtVij/gd4INUNJUS5OWVNFOklCTS5JUV9MVF9ERUJUX0lTU1VFRC45OTMuMDcvMDMvMjAyNi4uLlVTRC5IAQAAAN62AQACAAAABDY4OTEBCAAAAAUAAAABMQEAAAAKMjA4MTUwNTQwMQMAAAADMTYwAgAAAAQyMDM0BAAAAAEwBwAAAAgzLzcvMjAyNggAAAAKMTIvMzEvMjAxOAkAAAABMFmN5iT/gd4I1i1WKP+B3gg2Q0lRLk5ZU0U6SUJNLklRX0lOVkVTVF9MT0FOU19DRi45OTkuMDcvMDMvMjAyNi4uLlVTRC5IAQAAAN62AQADAAAAAABZjeYk/4HeCNMGVij/gd4INENJUS5OWVNFOklCTS5JUV9TQUxFX0lOVEFOX0NGLjk5Ni4wNy8wMy8yMDI2Li4uVVNELkgB</t>
  </si>
  <si>
    <t>AAAA3rYBAAIAAAAELTcwNgEIAAAABQAAAAExAQAAAAstMjAwODY0NzE5OAMAAAADMTYwAgAAAAQyMDI5BAAAAAEwBwAAAAgzLzcvMjAyNggAAAAKMTIvMzEvMjAyMQkAAAABMFmN5iT/gd4I0wZWKP+B3ggwQ0lRLk5ZU0U6SUJNLklRX0RJVkVTVF9DRi45OTMuMDcvMDMvMjAyNi4uLlVTRC5IAQAAAN62AQADAAAAAABZjeYk/4HeCNMGVij/gd4ILkNJUS5OWVNFOklCTS5JUV9ERVBfUlVBLjk5NS4wNy8wMy8yMDI2Li4uVVNELkgBAAAA3rYBAAMAAAAAAFmN5iT/gd4I0wZWKP+B3ghBQ0lRLk5ZU0U6SUJNLklRX0dXX0lOVEFOX0FNT1JUX1BBUlRJQUxfQ0YuMTAwMC4wNy8wMy8yMDI2Li4uVVNELkgBAAAA3rYBAAMAAAAAAFmN5iT/gd4I0wZWKP+B3gg1Q0lRLk5ZU0U6SUJNLklRX1NQRUNJQUxfRElWX0NGLjk5My4wNy8wMy8yMDI2Li4uVVNELkgBAAAA3rYBAAMAAAAAAFmN5iT/gd4IUN9VKP+B3gg5Q0lRLk5ZU0U6SUJNLklRX0NPTU1PTl9QUkVGX0RJVl9DRi45OTMuMDcvMDMvMjAyNi4uLlVTRC5IAQAAAN62AQADAAAAAABZjeYk/4HeCFDfVSj/gd4INENJUS5OWVNFOklCTS5JUV9DT01NT05fRElWX0NGLjk5Mi4wNy8wMy8yMDI2Li4uVVNELkgBAAAA3rYBAAIAAAAFLTU1MDYBCAAAAAUAAAABMQEAAAAKMjAxNzE2NDI0NAMAAAADMTYwAgAAAAQyMDc0BAAAAAEwBwAAAAgzLzcvMjAyNggAAAAKMTIv</t>
  </si>
  <si>
    <t>MzEvMjAxNwkAAAABMFmN5iT/gd4IUN9VKP+B3ghBQ0lRLk5ZU0U6SUJNLklRX0NIQU5HRV9ORVRfV09SS0lOR19DQVBJVEFMLjk5My4wNy8wMy8yMDI2Li4uVVNELkgBAAAA3rYBAAIAAAAEMjM1MgEIAAAABQAAAAExAQAAAAoyMDgxNTA1NDAxAwAAAAMxNjACAAAABDQ0MjEEAAAAATAHAAAACDMvNy8yMDI2CAAAAAoxMi8zMS8yMDE4CQAAAAEwWY3mJP+B3gjTBlYo/4HeCDFDSVEuTllTRTpJQk0uSVFfQ0FTSF9UQVhFUy45OTcuMDcvMDMvMjAyNi4uLlVTRC5IAQAAAN62AQACAAAABDE4NjUBCAAAAAUAAAABMQEAAAALLTE5NTgyODEwOTYDAAAAAzE2MAIAAAAEMzA1MwQAAAABMAcAAAAIMy83LzIwMjYIAAAACjEyLzMxLzIwMjIJAAAAATBZjeYk/4HeCNMGVij/gd4IOUNJUS5OWVNFOklCTS5JUV9DQVNIX0lOVEVSRVNUX09QRVIuOTk2LjA3LzAzLzIwMjYuLi5VU0QuSAEAAADetgEAAwAAAAAAWY3mJP+B3ghQ31Uo/4HeCD9DSVEuTllTRTpJQk0uSVFfQU1PUlRfU09GVFdBUkVfQVNTRVRTX0NGLjk5OC4wNy8wMy8yMDI2Li4uVVNELkgBAAAA3rYBAAIAAAADNjYwAQgAAAAFAAAAATEBAAAACy0xOTA0ODYwNzQ0AwAAAAMxNjACAAAABTQ2MDExBAAAAAEwBwAAAAgzLzcvMjAyNggAAAAKMTIvMzEvMjAyMwkAAAABMFmN5iT/gd4IUN9VKP+B3gg7Q0lRLk5ZU0U6SUJNLklRX05FR0FUSVZFX0dXX0FNT1JU</t>
  </si>
  <si>
    <t>X0NGLjk5Mi4wNy8wMy8yMDI2Li4uVVNELkgBAAAA3rYBAAMAAAAAAFmN5iT/gd4IUN9VKP+B3gg1Q0lRLk5ZU0U6SUJNLklRX0NBU0hfU1RfSU5WRVNULjk5Mi4wNy8wMy8yMDI2Li4uVVNELkgBAAAA3rYBAAIAAAAFMTI1ODIBCAAAAAUAAAABMQEAAAAKMjAxNzE2NDI0NAMAAAADMTYwAgAAAAQxMDAyBAAAAAEwBwAAAAgzLzcvMjAyNggAAAAKMTIvMzEvMjAxNwkAAAABMFmN5iT/gd4IUN9VKP+B3ghEQ0lRLk5ZU0U6SUJNLklRX1RPVEFMX0RFQlRfUkVQQUlEX0VYQ0xfTEVBU0VTLjk5My4wNy8wMy8yMDI2Li4uVVNELkgBAAAA3rYBAAIAAAAFLTg1MzMBCAAAAAUAAAABMQEAAAAKMjA4MTUwNTQwMQMAAAADMTYwAgAAAAU0ODk4NgQAAAABMAcAAAAIMy83LzIwMjYIAAAACjEyLzMxLzIwMTgJAAAAATBZjeYk/4HeCFDfVSj/gd4IP0NJUS5OWVNFOklCTS5JUV9PUEVSQVRJTkdfTEVBU0VfUEFZTUVOVFMuOTk5LjA3LzAzLzIwMjYuLi5VU0QuSAEAAADetgEAAwAAAAAAWY3mJP+B3ghgpFUo/4HeCDJDSVEuTllTRTpJQk0uSVFfTUFJTlRfQ0FQRVguOTk4LjA3LzAzLzIwMjYuLi5VU0QuSAEAAADetgEAAwAAAAAAWY3mJP+B3ghgpFUo/4HeCC9DSVEuTllTRTpJQk0uSVFfQ0ZfU0hBUkUuOTk1LjA3LzAzLzIwMjYuLi5VU0QuSAEAAADetgEAAgAAAAkxNi44MTAyNjgBCAAAAAUAAAABMQEAAAALLTIwNTkw</t>
  </si>
  <si>
    <t>NzMyMDIDAAAAAzE2MAIAAAAFNDM5MjMEAAAAATAHAAAACDMvNy8yMDI2CAAAAAoxMi8zMS8yMDIwCQAAAAEwWY3mJP+B3ghgpFUo/4HeCDhDSVEuTllTRTpJQk0uSVFfUFJPVl9CQURfREVCVFNfQ0YuOTk2LjA3LzAzLzIwMjYuLi5VU0QuSAEAAADetgEAAwAAAAAAWY3mJP+B3ghgpFUo/4HeCDVDSVEuTllTRTpJQk0uSVFfU1RPQ0tfQkFTRURfQ0YuOTkzLjA3LzAzLzIwMjYuLi5VU0QuSAEAAADetgEAAgAAAAM1MTABCAAAAAUAAAABMQEAAAAKMjA4MTUwNTQwMQMAAAADMTYwAgAAAAQyMTI3BAAAAAEwBwAAAAgzLzcvMjAyNggAAAAKMTIvMzEvMjAxOAkAAAABMFmN5iT/gd4IUN9VKP+B3gg5Q0lRLk5ZU0U6SUJNLklRX0RFRl9UQVhfQVNTRVRTX0xULjEwMDAuMDcvMDMvMjAyNi4uLlVTRC5IAQAAAN62AQACAAAABDg2MTABCAAAAAUAAAABMQEAAAALLTE5MDQ4NjA3NDADAAAAAzE2MAIAAAAEMTAyNgQAAAABMAcAAAAIMy83LzIwMjYIAAAACjEyLzMxLzIwMjUJAAAAATBZjeYk/4HeCGCkVSj/gd4IMENJUS5OWVNFOklCTS5JUV9MVF9JTlZFU1QuOTk5LjA3LzAzLzIwMjYuLi5VU0QuSAEAAADetgEAAgAAAAQxNjkxAQgAAAAFAAAAATEBAAAACy0xOTA0ODYwNzQzAwAAAAMxNjACAAAABDEwNTQEAAAAATAHAAAACDMvNy8yMDI2CAAAAAoxMi8zMS8yMDI0CQAAAAEwWY3mJP+B3ghgpFUo/4HeCDVDSVEu</t>
  </si>
  <si>
    <t>TllTRTpJQk0uSVFfT1RIRVJfQ0FfU1VQUEwuOTkyLjA3LzAzLzIwMjYuLi5VU0QuSAEAAADetgEAAgAAAAQyMDA0AQgAAAAFAAAAATEBAAAACjIwMTcxNjQyNDQDAAAAAzE2MAIAAAAEMTA1NQQAAAABMAcAAAAIMy83LzIwMjYIAAAACjEyLzMxLzIwMTcJAAAAATBZjeYk/4HeCGCkVSj/gd4IMkNJUS5OWVNFOklCTS5JUV9TQUxFX1BQRV9DRi45OTkuMDcvMDMvMjAyNi4uLlVTRC5IAQAAAN62AQACAAAAAzU1NwEIAAAABQAAAAExAQAAAAstMTkwNDg2MDc0MwMAAAADMTYwAgAAAAQyMDQyBAAAAAEwBwAAAAgzLzcvMjAyNggAAAAKMTIvMzEvMjAyNAkAAAABMFmN5iT/gd4IYKRVKP+B3ggwQ0lRLk5ZU0U6SUJNLklRX0NBU0hfT1BFUi45OTYuMDcvMDMvMjAyNi4uLlVTRC5IAQAAAN62AQACAAAABTEyNzk2AQgAAAAFAAAAATEBAAAACy0yMDA4NjQ3MTk4AwAAAAMxNjACAAAABDIwMDYEAAAAATAHAAAACDMvNy8yMDI2CAAAAAoxMi8zMS8yMDIxCQAAAAEwWY3mJP+B3ghgpFUo/4HeCDlDSVEuTllTRTpJQk0uSVFfQ0hBTkdFX1VORUFSTl9SRVYuMTAwMC4wNy8wMy8yMDI2Li4uVVNELkgBAAAA3rYBAAMAAAAAAFmN5iT/gd4IYKRVKP+B3ggwQ0lRLk5ZU0U6SUJNLklRX0NIQU5HRV9BUC45OTUuMDcvMDMvMjAyNi4uLlVTRC5IAQAAAN62AQACAAAAAzEzOAEIAAAABQAAAAExAQAAAAstMjA1OTA3MzIwMgMA</t>
  </si>
  <si>
    <t>AAADMTYwAgAAAAQyMDE3BAAAAAEwBwAAAAgzLzcvMjAyNggAAAAKMTIvMzEvMjAyMAkAAAABMFmN5iT/gd4IYKRVKP+B3ggwQ0lRLk5ZU0U6SUJNLklRX0NIQU5HRV9BUi45OTIuMDcvMDMvMjAyNi4uLlVTRC5IAQAAAN62AQACAAAABDEyOTcBCAAAAAUAAAABMQEAAAAKMjAxNzE2NDI0NAMAAAADMTYwAgAAAAQyMDE4BAAAAAEwBwAAAAgzLzcvMjAyNggAAAAKMTIvMzEvMjAxNwkAAAABMFmN5iT/gd4IYKRVKP+B3ggyQ0lRLk5ZU0U6SUJNLklRX0NBU0hfRklOQU4uMTAwMC4wNy8wMy8yMDI2Li4uVVNELkgBAAAA3rYBAAIAAAAFLTM4MjkBCAAAAAUAAAABMQEAAAALLTE5MDQ4NjA3NDADAAAAAzE2MAIAAAAEMjAwNAQAAAABMAcAAAAIMy83LzIwMjYIAAAACjEyLzMxLzIwMjUJAAAAATBZjeYk/4HeCGCkVSj/gd4IOUNJUS5OWVNFOklCTS5JUV9DT01NT05fUFJFRl9ESVZfQ0YuOTkyLjA3LzAzLzIwMjYuLi5VU0QuSAEAAADetgEAAwAAAAAAWY3mJP+B3ghgpFUo/4HeCDNDSVEuTllTRTpJQk0uSVFfQ0FTSF9JTlZFU1QuMTAwMC4wNy8wMy8yMDI2Li4uVVNELkgBAAAA3rYBAAIAAAAGLTEwMzAyAQgAAAAFAAAAATEBAAAACy0xOTA0ODYwNzQwAwAAAAMxNjACAAAABDIwMDUEAAAAATAHAAAACDMvNy8yMDI2CAAAAAoxMi8zMS8yMDI1CQAAAAEwWY3mJP+B3ghxaVUo/4HeCDZDSVEuTllTRTpJQk0uSVFf</t>
  </si>
  <si>
    <t>SU5WRVNUX0xPQU5TX0NGLjk5OC4wNy8wMy8yMDI2Li4uVVNELkgBAAAA3rYBAAMAAAAAAFmN5iT/gd4IYZBVKP+B3gg0Q0lRLk5ZU0U6SUJNLklRX1NBTEVfSU5UQU5fQ0YuOTk1LjA3LzAzLzIwMjYuLi5VU0QuSAEAAADetgEAAgAAAAQtNjEyAQgAAAAFAAAAATEBAAAACy0yMDU5MDczMjAyAwAAAAMxNjACAAAABDIwMjkEAAAAATAHAAAACDMvNy8yMDI2CAAAAAoxMi8zMS8yMDIwCQAAAAEwWY3mJP+B3ghhkFUo/4HeCDlDSVEuTllTRTpJQk0uSVFfQ0FTSF9JTlRFUkVTVF9PUEVSLjk5NC4wNy8wMy8yMDI2Li4uVVNELkgBAAAA3rYBAAMAAAAAAFmN5iT/gd4IYZBVKP+B3gg/Q0lRLk5ZU0U6SUJNLklRX0FNT1JUX1NPRlRXQVJFX0FTU0VUU19DRi45OTcuMDcvMDMvMjAyNi4uLlVTRC5IAQAAAN62AQACAAAAAzY0OAEIAAAABQAAAAExAQAAAAstMTk1ODI4MTA5NgMAAAADMTYwAgAAAAU0NjAxMQQAAAABMAcAAAAIMy83LzIwMjYIAAAACjEyLzMxLzIwMjIJAAAAATBZjeYk/4HeCGGQVSj/gd4ILkNJUS5OWVNFOklCTS5JUV9ERVBfUlVBLjk5NC4wNy8wMy8yMDI2Li4uVVNELkgBAAAA3rYBAAMAAAAAAFmN5iT/gd4IcWlVKP+B3ggxQ0lRLk5ZU0U6SUJNLklRX0RFUFJFX1NVUFAuOTk2LjA3LzAzLzIwMjYuLi5VU0QuSAEAAADetgEAAwAAAAAAWY3mJP+B3ghxaVUo/4HeCDZDSVEuTllTRTpJQk0uSVFf</t>
  </si>
  <si>
    <t>TUlTQ19BREpVU1RfQ0YuMTAwMC4wNy8wMy8yMDI2Li4uVVNELkgBAAAA3rYBAAMAAAAAAFmN5iT/gd4IcWlVKP+B3gg/Q0lRLk5ZU0U6SUJNLklRX09QRVJBVElOR19MRUFTRV9QQVlNRU5UUy45OTcuMDcvMDMvMjAyNi4uLlVTRC5IAQAAAN62AQADAAAAAABZjeYk/4HeCHFpVSj/gd4IM0NJUS5OWVNFOklCTS5JUV9ET19JTlZFU1RfQ0YuOTk1LjA3LzAzLzIwMjYuLi5VU0QuSAEAAADetgEAAwAAAAAAWY3mJP+B3ghxaVUo/4HeCC9DSVEuTllTRTpJQk0uSVFfQ0ZfU0hBUkUuOTkzLjA3LzAzLzIwMjYuLi5VU0QuSAEAAADetgEAAgAAAAkxMi4zNzEwNTgBCAAAAAUAAAABMQEAAAAKMjA4MTUwNTQwMQMAAAADMTYwAgAAAAU0MzkyMwQAAAABMAcAAAAIMy83LzIwMjYIAAAACjEyLzMxLzIwMTgJAAAAATBZjeYk/4HeCDBCVSj/gd4IOUNJUS5OWVNFOklCTS5JUV9DQVNIX1RBWEVTX0lOVkVTVC4xMDAwLjA3LzAzLzIwMjYuLi5VU0QuSAEAAADetgEAAwAAAAAAWY3mJP+B3ggwQlUo/4HeCDFDSVEuTllTRTpJQk0uSVFfQ0FTSF9UQVhFUy45OTUuMDcvMDMvMjAyNi4uLlVTRC5IAQAAAN62AQACAAAABDIyNTMBCAAAAAUAAAABMQEAAAALLTIwNTkwNzMyMDIDAAAAAzE2MAIAAAAEMzA1MwQAAAABMAcAAAAIMy83LzIwMjYIAAAACjEyLzMxLzIwMjAJAAAAATBZjeYk/4HeCHFpVSj/gd4IMENJUS5OWVNFOklC</t>
  </si>
  <si>
    <t>TS5JUV9MVF9JTlZFU1QuOTk4LjA3LzAzLzIwMjYuLi5VU0QuSAEAAADetgEAAgAAAAQxNTg5AQgAAAAFAAAAATEBAAAACy0xOTA0ODYwNzQ0AwAAAAMxNjACAAAABDEwNTQEAAAAATAHAAAACDMvNy8yMDI2CAAAAAoxMi8zMS8yMDIzCQAAAAEwWY3mJP+B3ghxaVUo/4HeCC9DSVEuTllTRTpJQk0uSVFfVE9UQUxfQ0EuOTk0LjA3LzAzLzIwMjYuLi5VU0QuSAEAAADetgEAAgAAAAUzODQyMAEIAAAABQAAAAExAQAAAAstMjExMDc2OTM1NQMAAAADMTYwAgAAAAQxMDA4BAAAAAEwBwAAAAgzLzcvMjAyNggAAAAKMTIvMzEvMjAxOQkAAAABMFmN5iT/gd4IcWlVKP+B3gg9Q0lRLk5ZU0U6SUJNLklRX0ZJTl9ESVZfQVNTRVRTX0NVUlJFTlQuOTk5LjA3LzAzLzIwMjYuLi5VU0QuSAEAAADetgEAAgAAAAM5MDABCAAAAAUAAAABMQEAAAALLTE5MDQ4NjA3NDMDAAAAAzE2MAIAAAAEMTAyOQQAAAABMAcAAAAIMy83LzIwMjYIAAAACjEyLzMxLzIwMjQJAAAAATBZjeYk/4HeCDBCVSj/gd4INkNJUS5OWVNFOklCTS5JUV9TVF9OT1RFX1JFQ0VJVi4xMDAwLjA3LzAzLzIwMjYuLi5VU0QuSAEAAADetgEAAwAAAAAAWY3mJP+B3ggwQlUo/4HeCERDSVEuTllTRTpJQk0uSVFfVE9UQUxfREVCVF9SRVBBSURfRVhDTF9MRUFTRVMuOTkyLjA3LzAzLzIwMjYuLi5VU0QuSAEAAADetgEAAgAAAAUtNjgxNgEIAAAABQAAAAEx</t>
  </si>
  <si>
    <t>AQAAAAoyMDE3MTY0MjQ0AwAAAAMxNjACAAAABTQ4OTg2BAAAAAEwBwAAAAgzLzcvMjAyNggAAAAKMTIvMzEvMjAxNwkAAAABMFmN5iT/gd4IMEJVKP+B3ggzQ0lRLk5ZU0U6SUJNLklRX01BSU5UX1JFUEFJUi45OTQuMDcvMDMvMjAyNi4uLlVTRC5IAQAAAN62AQADAAAAAABZjeYk/4HeCDBCVSj/gd4IM0NJUS5OWVNFOklCTS5JUV9PVEhFUl9SRU5UQUwuOTk4LjA3LzAzLzIwMjYuLi5VU0QuSAEAAADetgEAAwAAAAAAWY3mJP+B3ggwQlUo/4HeCDVDSVEuTllTRTpJQk0uSVFfTUlOSU1VTV9SRU5UQUwuOTkyLjA3LzAzLzIwMjYuLi5VU0QuSAEAAADetgEAAwAAAAAAWY3mJP+B3gg3G1Uo/4HeCDZDSVEuTllTRTpJQk0uSVFfTkVUX1JFTlRBTF9FWFAuMTAwMC4wNy8wMy8yMDI2Li4uVVNELkgBAAAA3rYBAAMAAAAAAFmN5iT/gd4INxtVKP+B3gg2Q0lRLk5ZU0U6SUJNLklRX0RFRl9DSEFSR0VTX0xULjEwMDAuMDcvMDMvMjAyNi4uLlVTRC5IAQAAAN62AQACAAAAAzgyNQEIAAAABQAAAAExAQAAAAstMTkwNDg2MDc0MAMAAAADMTYwAgAAAAQxMDI1BAAAAAEwBwAAAAgzLzcvMjAyNggAAAAKMTIvMzEvMjAyNQkAAAABMFmN5iT/gd4INxtVKP+B3gg7Q0lRLk5ZU0U6SUJNLklRX09USEVSX1VOVVNVQUxfU1VQUExFLjk5Ny4wNy8wMy8yMDI2Li4uVVNELkgBAAAA3rYBAAMAAAAAAFmN5iT/gd4INxtVKP+B</t>
  </si>
  <si>
    <t>3gg6Q0lRLk5ZU0U6SUJNLklRX0xFR0FMX1NFVFRMRV9TVVBQTEUuOTkyLjA3LzAzLzIwMjYuLi5VU0QuSAEAAADetgEAAgAAAAI5MQEIAAAABQAAAAExAQAAAAoyMDE3MTY0MjQ0AwAAAAMxNjACAAAABTI0NDUxBAAAAAEwBwAAAAgzLzcvMjAyNggAAAAKMTIvMzEvMjAxNwkAAAABMFmN5iT/gd4IMEJVKP+B3ggyQ0lRLk5ZU0U6SUJNLklRX0lQUkRfU1VQUExFLjk5Ni4wNy8wMy8yMDI2Li4uVVNELkgBAAAA3rYBAAMAAAAAAFmN5iT/gd4IG/RUKP+B3gg7Q0lRLk5ZU0U6SUJNLklRX0lNUEFJUk1FTlRfR1dfU1VQUExFLjk5My4wNy8wMy8yMDI2Li4uVVNELkgBAAAA3rYBAAMAAAAAAFmN5iT/gd4INxtVKP+B3gg8Q0lRLk5ZU0U6SUJNLklRX0lNUFVUX09QRVJfTEVBU0VfREVQUi45OTcuMDcvMDMvMjAyNi4uLlVTRC5IAQAAAN62AQACAAAACzEwMjMuODE2OTI4AQgAAAAFAAAAATEBAAAACy0xOTU4MjgxMDk2AwAAAAMxNjACAAAABTIxNjczBAAAAAEwBwAAAAgzLzcvMjAyNggAAAAKMTIvMzEvMjAyMgkAAAABMFmN5iT/gd4INxtVKP+B3gg4Q0lRLk5ZU0U6SUJNLklRX1NUT0NLX0JBU0VEX1RPVEFMLjk5NS4wNy8wMy8yMDI2Li4uVVNELkgBAAAA3rYBAAIAAAADOTM3AQgAAAAFAAAAATEBAAAACy0yMDU5MDczMjAyAwAAAAMxNjACAAAABTI0MDM0BAAAAAEwBwAAAAgzLzcvMjAyNggAAAAKMTIvMzEv</t>
  </si>
  <si>
    <t>MjAyMAkAAAABMFmN5iT/gd4INxtVKP+B3gg4Q0lRLk5ZU0U6SUJNLklRX1NUT0NLX0JBU0VEX09USEVSLjk5Mi4wNy8wMy8yMDI2Li4uVVNELkgBAAAA3rYBAAMAAAAAAFmN5iT/gd4INxtVKP+B3gg2Q0lRLk5ZU0U6SUJNLklRX1NUT0NLX0JBU0VEX1NHQS45OTkuMDcvMDMvMjAyNi4uLlVTRC5IAQAAAN62AQACAAAAAzY5MAEIAAAABQAAAAExAQAAAAstMTkwNDg2MDc0MwMAAAADMTYwAgAAAAUyMjY3OQQAAAABMAcAAAAIMy83LzIwMjYIAAAACjEyLzMxLzIwMjQJAAAAATBZjeYk/4HeCBv0VCj/gd4INUNJUS5OWVNFOklCTS5JUV9TVE9DS19CQVNFRF9TTS45OTYuMDcvMDMvMjAyNi4uLlVTRC5IAQAAAN62AQADAAAAAABZjeYk/4HeCBv0VCj/gd4IOUNJUS5OWVNFOklCTS5JUV9ORUdBVElWRV9HV19BTU9SVC4xMDAwLjA3LzAzLzIwMjYuLi5VU0QuSAEAAADetgEAAwAAAAAAWY3mJP+B3ggb9FQo/4HeCDFDSVEuTllTRTpJQk0uSVFfT0lMX0lNUEFJUi45OTcuMDcvMDMvMjAyNi4uLlVTRC5IAQAAAN62AQADAAAAAABZjeYk/4HeCBv0VCj/gd4IOENJUS5OWVNFOklCTS5JUV9HV19JTlRBTl9BTU9SVF9DRi45OTMuMDcvMDMvMjAyNi4uLlVTRC5IAQAAAN62AQACAAAABDEzNTMBCAAAAAUAAAABMQEAAAAKMjA4MTUwNTQwMQMAAAADMTYwAgAAAAQyMTgyBAAAAAEwBwAAAAgzLzcvMjAyNggAAAAKMTIv</t>
  </si>
  <si>
    <t>MzEvMjAxOAkAAAABMFmN5iT/gd4IG/RUKP+B3gg+Q0lRLk5ZU0U6SUJNLklRX1NUT0NLX0JBU0VEX0NPTVBfUFJFVEFYLjk5OS4wNy8wMy8yMDI2Li4uVVNELkgBAAAA3rYBAAIAAAAEMTMxMQBZjeYk/4HeCA/NVCj/gd4IOUNJUS5OWVNFOklCTS5JUV9TVE9DS19PUFRJT05TX0NPTVAuOTk0LjA3LzAzLzIwMjYuLi5VU0QuSAEAAADetgEAAwAAAAAAWY3mJP+B3ggPzVQo/4HeCDtDSVEuTllTRTpJQk0uSVFfUkVTVFJfU1RPQ0tfQ09NUF9UQVguOTk4LjA3LzAzLzIwMjYuLi5VU0QuSAEAAADetgEAAwAAAAAAWY3mJP+B3ggPzVQo/4HeCDhDSVEuTllTRTpJQk0uSVFfUFJPVl9CQURfREVCVFNfQ0YuOTk1LjA3LzAzLzIwMjYuLi5VU0QuSAEAAADetgEAAwAAAAAAWY3mJP+B3ggPzVQo/4HeCDVDSVEuTllTRTpJQk0uSVFfU1RPQ0tfQkFTRURfQ0YuOTkyLjA3LzAzLzIwMjYuLi5VU0QuSAEAAADetgEAAgAAAAM1MzQBCAAAAAUAAAABMQEAAAAKMjAxNzE2NDI0NAMAAAADMTYwAgAAAAQyMTI3BAAAAAEwBwAAAAgzLzcvMjAyNggAAAAKMTIvMzEvMjAxNwkAAAABMFmN5iT/gd4ID81UKP+B3gg1Q0lRLk5ZU0U6SUJNLklRX0NSRURJVF9MT1NTX0NGLjk5OS4wNy8wMy8yMDI2Li4uVVNELkgBAAAA3rYBAAMAAAAAAFmN5iT/gd4IGaZUKP+B3gg5Q0lRLk5ZU0U6SUJNLklRX0FTU0VUX1dSSVRFRE9XTl9DRi45</t>
  </si>
  <si>
    <t>OTYuMDcvMDMvMjAyNi4uLlVTRC5IAQAAAN62AQADAAAAAABZjeYk/4HeCBmmVCj/gd4IM0NJUS5OWVNFOklCTS5JUV9PVEhFUl9BTU9SVC4xMDAwLjA3LzAzLzIwMjYuLi5VU0QuSAEAAADetgEAAgAAAAM1NzEBCAAAAAUAAAABMQEAAAALLTE5MDQ4NjA3NDADAAAAAzE2MAIAAAAEMjAxNAQAAAABMAcAAAAIMy83LzIwMjYIAAAACjEyLzMxLzIwMjUJAAAAATBZjeYk/4HeCA/NVCj/gd4IMkNJUS5OWVNFOklCTS5JUV9TQUxFX1BQRV9DRi45OTguMDcvMDMvMjAyNi4uLlVTRC5IAQAAAN62AQACAAAAAzMyMQEIAAAABQAAAAExAQAAAAstMTkwNDg2MDc0NAMAAAADMTYwAgAAAAQyMDQyBAAAAAEwBwAAAAgzLzcvMjAyNggAAAAKMTIvMzEvMjAyMwkAAAABMFmN5iT/gd4ID81UKP+B3ggsQ0lRLk5ZU0U6SUJNLklRX0NBUEVYLjk5My4wNy8wMy8yMDI2Li4uVVNELkgBAAAA3rYBAAIAAAAFLTMzOTUBCAAAAAUAAAABMQEAAAAKMjA4MTUwNTQwMQMAAAADMTYwAgAAAAQyMDIxBAAAAAEwBwAAAAgzLzcvMjAyNggAAAAKMTIvMzEvMjAxOAkAAAABMFmN5iT/gd4ID81UKP+B3gg4Q0lRLk5ZU0U6SUJNLklRX0NIQU5HRV9VTkVBUk5fUkVWLjk5OS4wNy8wMy8yMDI2Li4uVVNELkgBAAAA3rYBAAMAAAAAAFmN5iT/gd4IGaZUKP+B3ggwQ0lRLk5ZU0U6SUJNLklRX0NIQU5HRV9BUC45OTQuMDcvMDMvMjAyNi4uLlVT</t>
  </si>
  <si>
    <t>RC5IAQAAAN62AQACAAAABC01MDMBCAAAAAUAAAABMQEAAAALLTIxMTA3NjkzNTUDAAAAAzE2MAIAAAAEMjAxNwQAAAABMAcAAAAIMy83LzIwMjYIAAAACjEyLzMxLzIwMTkJAAAAATBZjeYk/4HeCBmmVCj/gd4INUNJUS5OWVNFOklCTS5JUV9PVEhFUl9PUEVSX0FDVC45OTguMDcvMDMvMjAyNi4uLlVTRC5IAQAAAN62AQACAAAABS0xMTE0AQgAAAAFAAAAATEBAAAACy0xOTA0ODYwNzQ0AwAAAAMxNjACAAAABDIwNDcEAAAAATAHAAAACDMvNy8yMDI2CAAAAAoxMi8zMS8yMDIzCQAAAAEwWY3mJP+B3ggZplQo/4HeCDZDSVEuTllTRTpJQk0uSVFfU1RfREVCVF9SRVBBSUQuMTAwMC4wNy8wMy8yMDI2Li4uVVNELkgBAAAA3rYBAAIAAAADLTI5AQgAAAAFAAAAATEBAAAACy0xOTA0ODYwNzQwAwAAAAMxNjACAAAABDIwNDQEAAAAATAHAAAACDMvNy8yMDI2CAAAAAoxMi8zMS8yMDI1CQAAAAEwWY3mJP+B3ggZplQo/4HeCDVDSVEuTllTRTpJQk0uSVFfTFRfREVCVF9JU1NVRUQuOTk5LjA3LzAzLzIwMjYuLi5VU0QuSAEAAADetgEAAgAAAAQ1NzA1AQgAAAAFAAAAATEBAAAACy0xOTA0ODYwNzQzAwAAAAMxNjACAAAABDIwMzQEAAAAATAHAAAACDMvNy8yMDI2CAAAAAoxMi8zMS8yMDI0CQAAAAEwWY3mJP+B3ggZplQo/4HeCDJDSVEuTllTRTpJQk0uSVFfQ0FTSF9JTlZFU1QuOTk5LjA3LzAzLzIwMjYuLi5V</t>
  </si>
  <si>
    <t>U0QuSAEAAADetgEAAgAAAAUtNDkzNwEIAAAABQAAAAExAQAAAAstMTkwNDg2MDc0MwMAAAADMTYwAgAAAAQyMDA1BAAAAAEwBwAAAAgzLzcvMjAyNggAAAAKMTIvMzEvMjAyNAkAAAABMFmN5iT/gd4Ig35UKP+B3gg2Q0lRLk5ZU0U6SUJNLklRX0lOVkVTVF9MT0FOU19DRi45OTcuMDcvMDMvMjAyNi4uLlVTRC5IAQAAAN62AQADAAAAAABZjeYk/4HeCIN+VCj/gd4INENJUS5OWVNFOklCTS5JUV9TQUxFX0lOVEFOX0NGLjk5NC4wNy8wMy8yMDI2Li4uVVNELkgBAAAA3rYBAAIAAAAELTYyMQEIAAAABQAAAAExAQAAAAstMjExMDc2OTM1NQMAAAADMTYwAgAAAAQyMDI5BAAAAAEwBwAAAAgzLzcvMjAyNggAAAAKMTIvMzEvMjAxOQkAAAABMFmN5iT/gd4Ig35UKP+B3ggxQ0lRLk5ZU0U6SUJNLklRX0RFUFJFX1NVUFAuOTk1LjA3LzAzLzIwMjYuLi5VU0QuSAEAAADetgEAAwAAAAAAWY3mJP+B3giDflQo/4HeCDpDSVEuTllTRTpJQk0uSVFfREFfU1VQUExfUEFSVElBTF9DRi45OTYuMDcvMDMvMjAyNi4uLlVTRC5IAQAAAN62AQADAAAAAABZjeYk/4HeCIN+VCj/gd4INUNJUS5OWVNFOklCTS5JUV9NSVNDX0FESlVTVF9DRi45OTkuMDcvMDMvMjAyNi4uLlVTRC5IAQAAAN62AQACAAAAATEBCAAAAAUAAAABMQEAAAALLTE5MDQ4NjA3NDMDAAAAAzE2MAIAAAAEMjE0OQQAAAABMAcAAAAIMy83LzIwMjYIAAAA</t>
  </si>
  <si>
    <t>CjEyLzMxLzIwMjQJAAAAATBZjeYk/4HeCOtCVCj/gd4IMUNJUS5OWVNFOklCTS5JUV9DQVNIX0ZJTkFOLjk5OS4wNy8wMy8yMDI2Li4uVVNELkgBAAAA3rYBAAIAAAAFLTcwNzkBCAAAAAUAAAABMQEAAAALLTE5MDQ4NjA3NDMDAAAAAzE2MAIAAAAEMjAwNAQAAAABMAcAAAAIMy83LzIwMjYIAAAACjEyLzMxLzIwMjQJAAAAATBZjeYk/4HeCOtCVCj/gd4INUNJUS5OWVNFOklCTS5JUV9TUEVDSUFMX0RJVl9DRi45OTkuMDcvMDMvMjAyNi4uLlVTRC5IAQAAAN62AQADAAAAAABZjeYk/4HeCOtCVCj/gd4IQUNJUS5OWVNFOklCTS5JUV9DSEFOR0VfTkVUX1dPUktJTkdfQ0FQSVRBTC45OTkuMDcvMDMvMjAyNi4uLlVTRC5IAQAAAN62AQACAAAAAjE1AQgAAAAFAAAAATEBAAAACy0xOTA0ODYwNzQzAwAAAAMxNjACAAAABDQ0MjEEAAAAATAHAAAACDMvNy8yMDI2CAAAAAoxMi8zMS8yMDI0CQAAAAEwWY3mJP+B3gjrQlQo/4HeCDdDSVEuTllTRTpJQk0uSVFfQ0FTSF9UQVhFU19GSU5BTi45OTYuMDcvMDMvMjAyNi4uLlVTRC5IAQAAAN62AQADAAAAAABZjeYk/4HeCIN+VCj/gd4IMUNJUS5OWVNFOklCTS5JUV9DQVNIX1RBWEVTLjk5NC4wNy8wMy8yMDI2Li4uVVNELkgBAAAA3rYBAAIAAAAEMjA5MQEIAAAABQAAAAExAQAAAAstMjExMDc2OTM1NQMAAAADMTYwAgAAAAQzMDUzBAAAAAEwBwAAAAgzLzcvMjAy</t>
  </si>
  <si>
    <t>NggAAAAKMTIvMzEvMjAxOQkAAAABMFmN5iT/gd4I60JUKP+B3gg1Q0lRLk5ZU0U6SUJNLklRX0NBU0hfSU5URVJFU1QuMTAwMC4wNy8wMy8yMDI2Li4uVVNELkgBAAAA3rYBAAIAAAAEMjA0MgEIAAAABQAAAAExAQAAAAstMTkwNDg2MDc0MAMAAAADMTYwAgAAAAQzMDI4BAAAAAEwBwAAAAgzLzcvMjAyNggAAAAKMTIvMzEvMjAyNQkAAAABMFmN5iT/gd4I60JUKP+B3gg/Q0lRLk5ZU0U6SUJNLklRX0FNT1JUX1NPRlRXQVJFX0FTU0VUU19DRi45OTQuMDcvMDMvMjAyNi4uLlVTRC5IAQAAAN62AQADAAAAAABZjeYk/4HeCOtCVCj/gd4INkNJUS5OWVNFOklCTS5JUV9DQVNIX1NUX0lOVkVTVC4xMDAwLjA3LzAzLzIwMjYuLi5VU0QuSAEAAADetgEAAgAAAAUxNDQxNwEIAAAABQAAAAExAQAAAAstMTkwNDg2MDc0MAMAAAADMTYwAgAAAAQxMDAyBAAAAAEwBwAAAAgzLzcvMjAyNggAAAAKMTIvMzEvMjAyNQkAAAABMFmN5iT/gd4I60JUKP+B3ggxQ0lRLk5ZU0U6SUJNLklRX0NBU0hfRVFVSVYuOTk2LjA3LzAzLzIwMjYuLi5VU0QuSAEAAADetgEAAgAAAAQ2NjUwAQgAAAAFAAAAATEBAAAACy0yMDA4NjQ3MTk4AwAAAAMxNjACAAAABDEwOTYEAAAAATAHAAAACDMvNy8yMDI2CAAAAAoxMi8zMS8yMDIxCQAAAAEwWY3mJP+B3gjrQlQo/4HeCEJDSVEuTllTRTpJQk0uSVFfT1BFUkFUSU5HX0xFQVNFX0xJQUJJ</t>
  </si>
  <si>
    <t>TElUSUVTLjk5NC4wNy8wMy8yMDI2Li4uVVNELkgBAAAA3rYBAAMAAAAAAFmN5iT/gd4IUwdUKP+B3ggzQ0lRLk5ZU0U6SUJNLklRX0RPX0lOVkVTVF9DRi45OTMuMDcvMDMvMjAyNi4uLlVTRC5IAQAAAN62AQADAAAAAABZjeYk/4HeCFMHVCj/gd4IL0NJUS5OWVNFOklCTS5JUV9DRl9TSEFSRS45OTIuMDcvMDMvMjAyNi4uLlVTRC5IAQAAAN62AQACAAAACTEzLjg4MzU4NAEIAAAABQAAAAExAQAAAAoyMDE3MTY0MjQ0AwAAAAMxNjACAAAABTQzOTIzBAAAAAEwBwAAAAgzLzcvMjAyNggAAAAKMTIvMzEvMjAxNwkAAAABMFmN5iT/gd4I60JUKP+B3gg1Q0lRLk5ZU0U6SUJNLklRX0RFRl9DSEFSR0VTX0xULjk5Ni4wNy8wMy8yMDI2Li4uVVNELkgBAAAA3rYBAAIAAAADOTI0AQgAAAAFAAAAATEBAAAACy0yMDA4NjQ3MTk4AwAAAAMxNjACAAAABDEwMjUEAAAAATAHAAAACDMvNy8yMDI2CAAAAAoxMi8zMS8yMDIxCQAAAAEwWY3mJP+B3gjrQlQo/4HeCClDSVEuTllTRTpJQk0uSVFfR1cuOTkyLjA3LzAzLzIwMjYuLi5VU0QuSAEAAADetgEAAgAAAAUzNjc4OAEIAAAABQAAAAExAQAAAAoyMDE3MTY0MjQ0AwAAAAMxNjACAAAABDExNzEEAAAAATAHAAAACDMvNy8yMDI2CAAAAAoxMi8zMS8yMDE3CQAAAAEwWY3mJP+B3gjrQlQo/4HeCC9DSVEuTllTRTpJQk0uSVFfVE9UQUxfQ0EuOTkyLjA3LzAzLzIwMjYu</t>
  </si>
  <si>
    <t>Li5VU0QuSAEAAADetgEAAgAAAAU0OTczNQEIAAAABQAAAAExAQAAAAoyMDE3MTY0MjQ0AwAAAAMxNjACAAAABDEwMDgEAAAAATAHAAAACDMvNy8yMDI2CAAAAAoxMi8zMS8yMDE3CQAAAAEwWY3mJP+B3ghTB1Qo/4HeCD1DSVEuTllTRTpJQk0uSVFfRklOX0RJVl9BU1NFVFNfQ1VSUkVOVC45OTguMDcvMDMvMjAyNi4uLlVTRC5IAQAAAN62AQACAAAAAzY5MgEIAAAABQAAAAExAQAAAAstMTkwNDg2MDc0NAMAAAADMTYwAgAAAAQxMDI5BAAAAAEwBwAAAAgzLzcvMjAyNggAAAAKMTIvMzEvMjAyMwkAAAABMFmN5iT/gd4IUwdUKP+B3ggzQ0lRLk5ZU0U6SUJNLklRX1RPVEFMX1JFQ0VJVi45OTcuMDcvMDMvMjAyNi4uLlVTRC5IAQAAAN62AQACAAAABDc2ODIBCAAAAAUAAAABMQEAAAALLTE5NTgyODEwOTYDAAAAAzE2MAIAAAAEMTAwMQQAAAABMAcAAAAIMy83LzIwMjYIAAAACjEyLzMxLzIwMjIJAAAAATBZjeYk/4HeCFMHVCj/gd4ILENJUS5OWVNFOklCTS5JUV9EQV9DRi45OTQuMDcvMDMvMjAyNi4uLlVTRC5IAQAAAN62AQACAAAABDYwNTkBCAAAAAUAAAABMQEAAAALLTIxMTA3NjkzNTUDAAAAAzE2MAIAAAAEMjE2MAQAAAABMAcAAAAIMy83LzIwMjYIAAAACjEyLzMxLzIwMTkJAAAAATBZjeYk/4HeCFMHVCj/gd4IO0NJUS5OWVNFOklCTS5JUV9TVE9DS19CQVNFRF9DT01QX1RBWC45OTYuMDcvMDMv</t>
  </si>
  <si>
    <t>MjAyNi4uLlVTRC5IAQAAAN62AQACAAAABC0yMjMAWY3mJP+B3ghTB1Qo/4HeCDlDSVEuTllTRTpJQk0uSVFfU1RPQ0tfT1BUSU9OU19DT01QLjk5My4wNy8wMy8yMDI2Li4uVVNELkgBAAAA3rYBAAMAAAAAAFmN5iT/gd4IUwdUKP+B3gg7Q0lRLk5ZU0U6SUJNLklRX1JFU1RSX1NUT0NLX0NPTVBfVEFYLjk5Ny4wNy8wMy8yMDI2Li4uVVNELkgBAAAA3rYBAAMAAAAAAFmN5iT/gd4IUwdUKP+B3gg4Q0lRLk5ZU0U6SUJNLklRX1NUT0NLX0JBU0VEX1RPVEFMLjk5NC4wNy8wMy8yMDI2Li4uVVNELkgBAAAA3rYBAAIAAAADNjc5AQgAAAAFAAAAATEBAAAACy0yMTEwNzY5MzU1AwAAAAMxNjACAAAABTI0MDM0BAAAAAEwBwAAAAgzLzcvMjAyNggAAAAKMTIvMzEvMjAxOQkAAAABMFmN5iT/gd4IUwdUKP+B3gg1Q0lRLk5ZU0U6SUJNLklRX09USEVSX09QRVJfQUNULjk5Ny4wNy8wMy8yMDI2Li4uVVNELkgBAAAA3rYBAAIAAAAEMzE2OAEIAAAABQAAAAExAQAAAAstMTk1ODI4MTA5NgMAAAADMTYwAgAAAAQyMDQ3BAAAAAEwBwAAAAgzLzcvMjAyNggAAAAKMTIvMzEvMjAyMgkAAAABMFmN5iT/gd4IUwdUKP+B3gg4Q0lRLk5ZU0U6SUJNLklRX1BST1ZfQkFEX0RFQlRTX0NGLjk5NC4wNy8wMy8yMDI2Li4uVVNELkgBAAAA3rYBAAMAAAAAAFmN5iT/gd4IUwdUKP+B3gg1Q0lRLk5ZU0U6SUJNLklRX0NSRURJVF9M</t>
  </si>
  <si>
    <t>T1NTX0NGLjk5OC4wNy8wMy8yMDI2Li4uVVNELkgBAAAA3rYBAAMAAAAAAFmN5iT/gd4I8N9TKP+B3gg5Q0lRLk5ZU0U6SUJNLklRX0FTU0VUX1dSSVRFRE9XTl9DRi45OTUuMDcvMDMvMjAyNi4uLlVTRC5IAQAAAN62AQADAAAAAABZjeYk/4HeCPDfUyj/gd4IMkNJUS5OWVNFOklCTS5JUV9PVEhFUl9BTU9SVC45OTkuMDcvMDMvMjAyNi4uLlVTRC5IAQAAAN62AQACAAAAAzY2OQEIAAAABQAAAAExAQAAAAstMTkwNDg2MDc0MwMAAAADMTYwAgAAAAQyMDE0BAAAAAEwBwAAAAgzLzcvMjAyNggAAAAKMTIvMzEvMjAyNAkAAAABMFmN5iT/gd4I8N9TKP+B3ggxQ0lRLk5ZU0U6SUJNLklRX0RJVkVTVF9DRi4xMDAwLjA3LzAzLzIwMjYuLi5VU0QuSAEAAADetgEAAgAAAAItMQEIAAAABQAAAAExAQAAAAstMTkwNDg2MDc0MAMAAAADMTYwAgAAAAQyMDc3BAAAAAEwBwAAAAgzLzcvMjAyNggAAAAKMTIvMzEvMjAyNQkAAAABMFmN5iT/gd4I8N9TKP+B3ggyQ0lRLk5ZU0U6SUJNLklRX1NBTEVfUFBFX0NGLjk5Ny4wNy8wMy8yMDI2Li4uVVNELkgBAAAA3rYBAAIAAAADMTExAQgAAAAFAAAAATEBAAAACy0xOTU4MjgxMDk2AwAAAAMxNjACAAAABDIwNDIEAAAAATAHAAAACDMvNy8yMDI2CAAAAAoxMi8zMS8yMDIyCQAAAAEwWY3mJP+B3ghTB1Qo/4HeCCxDSVEuTllTRTpJQk0uSVFfQ0FQRVguOTkyLjA3LzAzLzIw</t>
  </si>
  <si>
    <t>MjYuLi5VU0QuSAEAAADetgEAAgAAAAUtMzIyOQEIAAAABQAAAAExAQAAAAoyMDE3MTY0MjQ0AwAAAAMxNjACAAAABDIwMjEEAAAAATAHAAAACDMvNy8yMDI2CAAAAAoxMi8zMS8yMDE3CQAAAAEwWY3mJP+B3ghjy1Mo/4HeCDVDSVEuTllTRTpJQk0uSVFfQ0hBTkdFX0lOQ19UQVguOTk2LjA3LzAzLzIwMjYuLi5VU0QuSAEAAADetgEAAwAAAAAAWY3mJP+B3gjw31Mo/4HeCDBDSVEuTllTRTpJQk0uSVFfQ0hBTkdFX0FQLjk5My4wNy8wMy8yMDI2Li4uVVNELkgBAAAA3rYBAAIAAAADMTI2AQgAAAAFAAAAATEBAAAACjIwODE1MDU0MDEDAAAAAzE2MAIAAAAEMjAxNwQAAAABMAcAAAAIMy83LzIwMjYIAAAACjEyLzMxLzIwMTgJAAAAATBZjeYk/4HeCPDfUyj/gd4IOUNJUS5OWVNFOklCTS5JUV9UT1RBTF9ERUJUX1JFUEFJRC4xMDAwLjA3LzAzLzIwMjYuLi5VU0QuSAEAAADetgEAAgAAAAUtNTUxOAEIAAAABQAAAAExAQAAAAstMTkwNDg2MDc0MAMAAAADMTYwAgAAAAQyMTY2BAAAAAEwBwAAAAgzLzcvMjAyNggAAAAKMTIvMzEvMjAyNQkAAAABMFmN5iT/gd4I8N9TKP+B3gg1Q0lRLk5ZU0U6SUJNLklRX1NUX0RFQlRfUkVQQUlELjk5OS4wNy8wMy8yMDI2Li4uVVNELkgBAAAA3rYBAAMAAAAAAFmN5iT/gd4I8N9TKP+B3gg1Q0lRLk5ZU0U6SUJNLklRX0xUX0RFQlRfSVNTVUVELjk5OC4wNy8wMy8yMDI2</t>
  </si>
  <si>
    <t>Li4uVVNELkgBAAAA3rYBAAIAAAAEOTU4NgEIAAAABQAAAAExAQAAAAstMTkwNDg2MDc0NAMAAAADMTYwAgAAAAQyMDM0BAAAAAEwBwAAAAgzLzcvMjAyNggAAAAKMTIvMzEvMjAyMwkAAAABMFmN5iT/gd4I3aRTKP+B3ggyQ0lRLk5ZU0U6SUJNLklRX0NBU0hfSU5WRVNULjk5OC4wNy8wMy8yMDI2Li4uVVNELkgBAAAA3rYBAAIAAAAFLTcwNzABCAAAAAUAAAABMQEAAAALLTE5MDQ4NjA3NDQDAAAAAzE2MAIAAAAEMjAwNQQAAAABMAcAAAAIMy83LzIwMjYIAAAACjEyLzMxLzIwMjMJAAAAATBZjeYk/4HeCGPLUyj/gd4INkNJUS5OWVNFOklCTS5JUV9JTlZFU1RfTE9BTlNfQ0YuOTk2LjA3LzAzLzIwMjYuLi5VU0QuSAEAAADetgEAAwAAAAAAWY3mJP+B3ghjy1Mo/4HeCDpDSVEuTllTRTpJQk0uSVFfREFfU1VQUExfUEFSVElBTF9DRi45OTUuMDcvMDMvMjAyNi4uLlVTRC5IAQAAAN62AQADAAAAAABZjeYk/4HeCGPLUyj/gd4INUNJUS5OWVNFOklCTS5JUV9NSVNDX0FESlVTVF9DRi45OTguMDcvMDMvMjAyNi4uLlVTRC5IAQAAAN62AQADAAAAAABZjeYk/4HeCGPLUyj/gd4IMUNJUS5OWVNFOklCTS5JUV9DQVNIX0ZJTkFOLjk5OC4wNy8wMy8yMDI2Li4uVVNELkgBAAAA3rYBAAIAAAAFLTE3NjkBCAAAAAUAAAABMQEAAAALLTE5MDQ4NjA3NDQDAAAAAzE2MAIAAAAEMjAwNAQAAAABMAcAAAAIMy83LzIw</t>
  </si>
  <si>
    <t>MjYIAAAACjEyLzMxLzIwMjMJAAAAATBZjeYk/4HeCN2kUyj/gd4INUNJUS5OWVNFOklCTS5JUV9TUEVDSUFMX0RJVl9DRi45OTguMDcvMDMvMjAyNi4uLlVTRC5IAQAAAN62AQADAAAAAABZjeYk/4HeCN2kUyj/gd4IMkNJUS5OWVNFOklCTS5JUV9DT01NT05fUkVQLjEwMDAuMDcvMDMvMjAyNi4uLlVTRC5IAQAAAN62AQACAAAABS0xMDE4AQgAAAAFAAAAATEBAAAACy0xOTA0ODYwNzQwAwAAAAMxNjACAAAABDIxNjQEAAAAATAHAAAACDMvNy8yMDI2CAAAAAoxMi8zMS8yMDI1CQAAAAEwWY3mJP+B3gjdpFMo/4HeCEFDSVEuTllTRTpJQk0uSVFfQ0hBTkdFX05FVF9XT1JLSU5HX0NBUElUQUwuOTk4LjA3LzAzLzIwMjYuLi5VU0QuSAEAAADetgEAAgAAAAUtMTkxOAEIAAAABQAAAAExAQAAAAstMTkwNDg2MDc0NAMAAAADMTYwAgAAAAQ0NDIxBAAAAAEwBwAAAAgzLzcvMjAyNggAAAAKMTIvMzEvMjAyMwkAAAABMFmN5iT/gd4I3aRTKP+B3gg3Q0lRLk5ZU0U6SUJNLklRX0NBU0hfVEFYRVNfRklOQU4uOTk1LjA3LzAzLzIwMjYuLi5VU0QuSAEAAADetgEAAwAAAAAAWY3mJP+B3gjdpFMo/4HeCDhDSVEuTllTRTpJQk0uSVFfQ0FTSF9JTlRFUkVTVF9ORVQuOTk3LjA3LzAzLzIwMjYuLi5VU0QuSAEAAADetgEAAwAAAAAAWY3mJP+B3ghrfFMo/4HeCD5DSVEuTllTRTpJQk0uSVFfREFfQ0ZfRVhDTF9PUEVS</t>
  </si>
  <si>
    <t>X0xFQVNFUy4xMDAwLjA3LzAzLzIwMjYuLi5VU0QuSAEAAADetgEAAgAAAAQzNTUwAQgAAAAFAAAAATEBAAAACy0xOTA0ODYwNzQwAwAAAAMxNjACAAAABTQ4OTg1BAAAAAEwBwAAAAgzLzcvMjAyNggAAAAKMTIvMzEvMjAyNQkAAAABMFmN5iT/gd4Ia3xTKP+B3ggxQ0lRLk5ZU0U6SUJNLklRX0RFUFJFX1NVUFAuOTkzLjA3LzAzLzIwMjYuLi5VU0QuSAEAAADetgEAAwAAAAAAWY3mJP+B3ghrfFMo/4HeCDNDSVEuTllTRTpJQk0uSVFfVE9UQUxfUkVDRUlWLjk5NC4wNy8wMy8yMDI2Li4uVVNELkgBAAAA3rYBAAIAAAAFMTAwNjkBCAAAAAUAAAABMQEAAAALLTIxMTA3NjkzNTUDAAAAAzE2MAIAAAAEMTAwMQQAAAABMAcAAAAIMy83LzIwMjYIAAAACjEyLzMxLzIwMTkJAAAAATBZjeYk/4HeCN2kUyj/gd4INUNJUS5OWVNFOklCTS5JUV9DQVNIX1NUX0lOVkVTVC45OTkuMDcvMDMvMjAyNi4uLlVTRC5IAQAAAN62AQACAAAABTE0NTkxAQgAAAAFAAAAATEBAAAACy0xOTA0ODYwNzQzAwAAAAMxNjACAAAABDEwMDIEAAAAATAHAAAACDMvNy8yMDI2CAAAAAoxMi8zMS8yMDI0CQAAAAEwWY3mJP+B3gjdpFMo/4HeCDFDSVEuTllTRTpJQk0uSVFfQ0FTSF9FUVVJVi45OTQuMDcvMDMvMjAyNi4uLlVTRC5IAQAAAN62AQACAAAABDgxNzIBCAAAAAUAAAABMQEAAAALLTIxMTA3NjkzNTUDAAAAAzE2MAIAAAAEMTA5</t>
  </si>
  <si>
    <t>NgQAAAABMAcAAAAIMy83LzIwMjYIAAAACjEyLzMxLzIwMTkJAAAAATBZjeYk/4HeCGt8Uyj/gd4IQkNJUS5OWVNFOklCTS5JUV9PUEVSQVRJTkdfTEVBU0VfTElBQklMSVRJRVMuOTkyLjA3LzAzLzIwMjYuLi5VU0QuSAEAAADetgEAAwAAAAAAWY3mJP+B3ghrfFMo/4HeCDBDSVEuTllTRTpJQk0uSVFfQ0ZfU0hBUkUuMTAwMC4wNy8wMy8yMDI2Li4uVVNELkgBAAAA3rYBAAIAAAAJMTIuMjg2ODk3AQgAAAAFAAAAATEBAAAACy0xOTA0ODYwNzQwAwAAAAMxNjACAAAABTQzOTIzBAAAAAEwBwAAAAgzLzcvMjAyNggAAAAKMTIvMzEvMjAyNQkAAAABMFmN5iT/gd4Ia3xTKP+B3ggyQ0lRLk5ZU0U6SUJNLklRX0NBU0hfSU5WRVNULjk5Ny4wNy8wMy8yMDI2Li4uVVNELkgBAAAA3rYBAAIAAAAFLTQyMDIBCAAAAAUAAAABMQEAAAALLTE5NTgyODEwOTYDAAAAAzE2MAIAAAAEMjAwNQQAAAABMAcAAAAIMy83LzIwMjYIAAAACjEyLzMxLzIwMjIJAAAAATBZjeYk/4HeCGt8Uyj/gd4INkNJUS5OWVNFOklCTS5JUV9JTlZFU1RfTE9BTlNfQ0YuOTk1LjA3LzAzLzIwMjYuLi5VU0QuSAEAAADetgEAAgAAAAM0NzUBCAAAAAUAAAABMQEAAAALLTIwNTkwNzMyMDIDAAAAAzE2MAIAAAAEMjAzMgQAAAABMAcAAAAIMy83LzIwMjYIAAAACjEyLzMxLzIwMjAJAAAAATBZjeYk/4HeCGt8Uyj/gd4INkNJUS5OWVNFOklCTS5J</t>
  </si>
  <si>
    <t>UV9PVEhFUl9MVF9BU1NFVFMuOTk4LjA3LzAzLzIwMjYuLi5VU0QuSAEAAADetgEAAgAAAAQ3NTQ1AQgAAAAFAAAAATEBAAAACy0xOTA0ODYwNzQ0AwAAAAMxNjACAAAABDEwNjAEAAAAATAHAAAACDMvNy8yMDI2CAAAAAoxMi8zMS8yMDIzCQAAAAEwWY3mJP+B3giOaFMo/4HeCClDSVEuTllTRTpJQk0uSVFfR1cuOTk2LjA3LzAzLzIwMjYuLi5VU0QuSAEAAADetgEAAgAAAAU1NTY0MwEIAAAABQAAAAExAQAAAAstMjAwODY0NzE5OAMAAAADMTYwAgAAAAQxMTcxBAAAAAEwBwAAAAgzLzcvMjAyNggAAAAKMTIvMzEvMjAyMQkAAAABMFmN5iT/gd4IjmhTKP+B3gg9Q0lRLk5ZU0U6SUJNLklRX0ZJTl9ESVZfQVNTRVRTX0NVUlJFTlQuOTk3LjA3LzAzLzIwMjYuLi5VU0QuSAEAAADetgEAAgAAAAM5MzkBCAAAAAUAAAABMQEAAAALLTE5NTgyODEwOTYDAAAAAzE2MAIAAAAEMTAyOQQAAAABMAcAAAAIMy83LzIwMjYIAAAACjEyLzMxLzIwMjIJAAAAATBZjeYk/4HeCI5oUyj/gd4INENJUS5OWVNFOklCTS5JUV9DT01NT05fRElWX0NGLjk5OC4wNy8wMy8yMDI2Li4uVVNELkgBAAAA3rYBAAIAAAAFLTYwNDABCAAAAAUAAAABMQEAAAALLTE5MDQ4NjA3NDQDAAAAAzE2MAIAAAAEMjA3NAQAAAABMAcAAAAIMy83LzIwMjYIAAAACjEyLzMxLzIwMjMJAAAAATBZjeYk/4HeCI5oUyj/gd4IMkNJUS5OWVNFOklCTS5J</t>
  </si>
  <si>
    <t>UV9QUkVGX0lTU1VFRC45OTcuMDcvMDMvMjAyNi4uLlVTRC5IAQAAAN62AQADAAAAAABZjeYk/4HeCGt8Uyj/gd4IOENJUS5OWVNFOklCTS5JUV9UT1RBTF9ERUJUX1JFUEFJRC45OTkuMDcvMDMvMjAyNi4uLlVTRC5IAQAAAN62AQACAAAABS02NjE1AQgAAAAFAAAAATEBAAAACy0xOTA0ODYwNzQzAwAAAAMxNjACAAAABDIxNjYEAAAAATAHAAAACDMvNy8yMDI2CAAAAAoxMi8zMS8yMDI0CQAAAAEwWY3mJP+B3ggDQVMo/4HeCDVDSVEuTllTRTpJQk0uSVFfU1RfREVCVF9SRVBBSUQuOTk4LjA3LzAzLzIwMjYuLi5VU0QuSAEAAADetgEAAgAAAAItNwEIAAAABQAAAAExAQAAAAstMTkwNDg2MDc0NAMAAAADMTYwAgAAAAQyMDQ0BAAAAAEwBwAAAAgzLzcvMjAyNggAAAAKMTIvMzEvMjAyMwkAAAABMFmN5iT/gd4IA0FTKP+B3gg1Q0lRLk5ZU0U6SUJNLklRX0xUX0RFQlRfSVNTVUVELjk5Ny4wNy8wMy8yMDI2Li4uVVNELkgBAAAA3rYBAAIAAAAENzgwNAEIAAAABQAAAAExAQAAAAstMTk1ODI4MTA5NgMAAAADMTYwAgAAAAQyMDM0BAAAAAEwBwAAAAgzLzcvMjAyNggAAAAKMTIvMzEvMjAyMgkAAAABMFmN5iT/gd4IA0FTKP+B3gg6Q0lRLk5ZU0U6SUJNLklRX0RBX1NVUFBMX1BBUlRJQUxfQ0YuOTk0LjA3LzAzLzIwMjYuLi5VU0QuSAEAAADetgEAAwAAAAAAWY3mJP+B3ggDQVMo/4HeCDFDSVEuTllTRTpJ</t>
  </si>
  <si>
    <t>Qk0uSVFfTkVUX0NIQU5HRS45OTQuMDcvMDMvMjAyNi4uLlVTRC5IAQAAAN62AQACAAAABS0zMjkwAQgAAAAFAAAAATEBAAAACy0yMTEwNzY5MzU1AwAAAAMxNjACAAAABDIwOTMEAAAAATAHAAAACDMvNy8yMDI2CAAAAAoxMi8zMS8yMDE5CQAAAAEwWY3mJP+B3ggDQVMo/4HeCDFDSVEuTllTRTpJQk0uSVFfQ0FTSF9GSU5BTi45OTcuMDcvMDMvMjAyNi4uLlVTRC5IAQAAAN62AQACAAAABS00OTU4AQgAAAAFAAAAATEBAAAACy0xOTU4MjgxMDk2AwAAAAMxNjACAAAABDIwMDQEAAAAATAHAAAACDMvNy8yMDI2CAAAAAoxMi8zMS8yMDIyCQAAAAEwWY3mJP+B3ghxK1Mo/4HeCDVDSVEuTllTRTpJQk0uSVFfU1BFQ0lBTF9ESVZfQ0YuOTk3LjA3LzAzLzIwMjYuLi5VU0QuSAEAAADetgEAAwAAAAAAWY3mJP+B3ghxK1Mo/4HeCDlDSVEuTllTRTpJQk0uSVFfQ09NTU9OX1BSRUZfRElWX0NGLjk5OS4wNy8wMy8yMDI2Li4uVVNELkgBAAAA3rYBAAMAAAAAAFmN5iT/gd4IcStTKP+B3ggvQ0lRLk5ZU0U6SUJNLklRX0NGX1NIQVJFLjk5OS4wNy8wMy8yMDI2Li4uVVNELkgBAAAA3rYBAAIAAAAJMTIuNzU4MDkzAQgAAAAFAAAAATEBAAAACy0xOTA0ODYwNzQzAwAAAAMxNjACAAAABTQzOTIzBAAAAAEwBwAAAAgzLzcvMjAyNggAAAAKMTIvMzEvMjAyNAkAAAABMFmN5iT/gd4IA0FTKP+B3ggyQ0lRLk5ZU0U6SUJN</t>
  </si>
  <si>
    <t>LklRX0xFVkVSRURfRkNGLjk5NC4wNy8wMy8yMDI2Li4uVVNELkgBAAAA3rYBAAIAAAAJMTQ4MDMuODc1AQgAAAAFAAAAATEBAAAACy0yMTEwNzY5MzU1AwAAAAMxNjACAAAABDQ0MjIEAAAAATAHAAAACDMvNy8yMDI2CAAAAAoxMi8zMS8yMDE5CQAAAAEwWY3mJP+B3ggDQVMo/4HeCDdDSVEuTllTRTpJQk0uSVFfQ0FTSF9UQVhFU19GSU5BTi45OTQuMDcvMDMvMjAyNi4uLlVTRC5IAQAAAN62AQADAAAAAABZjeYk/4HeCJvwUij/gd4IOENJUS5OWVNFOklCTS5JUV9DQVNIX0lOVEVSRVNUX05FVC45OTYuMDcvMDMvMjAyNi4uLlVTRC5IAQAAAN62AQADAAAAAABZjeYk/4HeCJvwUij/gd4IO0NJUS5OWVNFOklCTS5JUV9ORUdBVElWRV9HV19BTU9SVF9DRi45OTYuMDcvMDMvMjAyNi4uLlVTRC5IAQAAAN62AQADAAAAAABZjeYk/4HeCJvwUij/gd4INUNJUS5OWVNFOklCTS5JUV9MT0FOU19GT1JfU0FMRS45OTIuMDcvMDMvMjAyNi4uLlVTRC5IAQAAAN62AQADAAAAAABZjeYk/4HeCHErUyj/gd4INUNJUS5OWVNFOklCTS5JUV9DQVNIX1NUX0lOVkVTVC45OTYuMDcvMDMvMjAyNi4uLlVTRC5IAQAAAN62AQACAAAABDcyNTABCAAAAAUAAAABMQEAAAALLTIwMDg2NDcxOTgDAAAAAzE2MAIAAAAEMTAwMgQAAAABMAcAAAAIMy83LzIwMjYIAAAACjEyLzMxLzIwMjEJAAAAATBZjeYk/4HeCHErUyj/gd4IMUNJ</t>
  </si>
  <si>
    <t>US5OWVNFOklCTS5JUV9DQVNIX0VRVUlWLjk5My4wNy8wMy8yMDI2Li4uVVNELkgBAAAA3rYBAAIAAAAFMTEzNzkBCAAAAAUAAAABMQEAAAAKMjA4MTUwNTQwMQMAAAADMTYwAgAAAAQxMDk2BAAAAAEwBwAAAAgzLzcvMjAyNggAAAAKMTIvMzEvMjAxOAkAAAABMFmN5iT/gd4Im/BSKP+B3ghEQ0lRLk5ZU0U6SUJNLklRX1RPVEFMX0RFQlRfUkVQQUlEX0VYQ0xfTEVBU0VTLjk5OC4wNy8wMy8yMDI2Li4uVVNELkgBAAAA3rYBAAIAAAAFLTUwODkBCAAAAAUAAAABMQEAAAALLTE5MDQ4NjA3NDQDAAAAAzE2MAIAAAAFNDg5ODYEAAAAATAHAAAACDMvNy8yMDI2CAAAAAoxMi8zMS8yMDIzCQAAAAEwWY3mJP+B3gib8FIo/4HeCDRDSVEuTllTRTpJQk0uSVFfRE9fSU5WRVNUX0NGLjEwMDAuMDcvMDMvMjAyNi4uLlVTRC5IAQAAAN62AQADAAAAAABZjeYk/4HeCJvwUij/gd4IQUNJUS5OWVNFOklCTS5JUV9ERVBSRUNJQVRJT05fUkVOVEFMX0FTU0VUUy45OTguMDcvMDMvMjAyNi4uLlVTRC5IAQAAAN62AQADAAAAAABZjeYk/4HeCJvwUij/gd4INENJUS5OWVNFOklCTS5JUV9BSVJDUkFGVF9SRU5ULjk5My4wNy8wMy8yMDI2Li4uVVNELkgBAAAA3rYBAAMAAAAAAFmN5iT/gd4Im/BSKP+B3gg8Q0lRLk5ZU0U6SUJNLklRX05FVF9SRU5UQUxfRVhQX1NVUFBMRS45OTUuMDcvMDMvMjAyNi4uLlVTRC5IAQAAAN62</t>
  </si>
  <si>
    <t>AQACAAAABDE1MjQBCAAAAAUAAAABMQEAAAALLTIwNTkwNzMyMDIDAAAAAzE2MAIAAAAFMjQyNjMEAAAAATAHAAAACDMvNy8yMDI2CAAAAAoxMi8zMS8yMDIwCQAAAAEwWY3mJP+B3gib8FIo/4HeCC1DSVEuTllTRTpJQk0uSVFfR0FfRVhQLjk5Ny4wNy8wMy8yMDI2Li4uVVNELkgBAAAA3rYBAAMAAAAAAFmN5iT/gd4Im/BSKP+B3ggvQ0lRLk5ZU0U6SUJNLklRX1RPVEFMX0NBLjk5OS4wNy8wMy8yMDI2Li4uVVNELkgBAAAA3rYBAAIAAAAFMzQ0ODIBCAAAAAUAAAABMQEAAAALLTE5MDQ4NjA3NDMDAAAAAzE2MAIAAAAEMTAwOAQAAAABMAcAAAAIMy83LzIwMjYIAAAACjEyLzMxLzIwMjQJAAAAATBZjeYk/4HeCJvwUij/gd4IPkNJUS5OWVNFOklCTS5JUV9HQUlOX0JBUkdBSU5fQUNRX1NVUFBMRS45OTYuMDcvMDMvMjAyNi4uLlVTRC5IAQAAAN62AQADAAAAAABZjeYk/4HeCJvwUij/gd4IMkNJUS5OWVNFOklCTS5JUV9JUFJEX1NVUFBMRS45OTMuMDcvMDMvMjAyNi4uLlVTRC5IAQAAAN62AQADAAAAAABZjeYk/4HeCJvwUij/gd4IPENJUS5OWVNFOklCTS5JUV9JTVBBSVJNRU5UX0dXX1NVUFBMRS4xMDAwLjA3LzAzLzIwMjYuLi5VU0QuSAEAAADetgEAAwAAAAAAWY3mJP+B3giFyVIo/4HeCDlDSVEuTllTRTpJQk0uSVFfUkVTVFJVQ1RVUkVfU1VQUExFLjk5Ny4wNy8wMy8yMDI2Li4uVVNELkgBAAAA</t>
  </si>
  <si>
    <t>3rYBAAMAAAAAAFmN5iT/gd4IhclSKP+B3gg8Q0lRLk5ZU0U6SUJNLklRX0lNUFVUX09QRVJfTEVBU0VfREVQUi45OTQuMDcvMDMvMjAyNi4uLlVTRC5IAQAAAN62AQACAAAACjEzMTUuODYzNDgBCAAAAAUAAAABMQEAAAALLTIxMTA3NjkzNTUDAAAAAzE2MAIAAAAFMjE2NzMEAAAAATAHAAAACDMvNy8yMDI2CAAAAAoxMi8zMS8yMDE5CQAAAAEwWY3mJP+B3giFyVIo/4HeCDhDSVEuTllTRTpJQk0uSVFfU1RPQ0tfQkFTRURfT1RIRVIuOTk5LjA3LzAzLzIwMjYuLi5VU0QuSAEAAADetgEAAwAAAAAAWY3mJP+B3giFyVIo/4HeCDZDSVEuTllTRTpJQk0uSVFfU1RPQ0tfQkFTRURfU0dBLjk5Ni4wNy8wMy8yMDI2Li4uVVNELkgBAAAA3rYBAAIAAAADNTU1AQgAAAAFAAAAATEBAAAACy0yMDA4NjQ3MTk4AwAAAAMxNjACAAAABTIyNjc5BAAAAAEwBwAAAAgzLzcvMjAyNggAAAAKMTIvMzEvMjAyMQkAAAABMFmN5iT/gd4IhclSKP+B3gg4Q0lRLk5ZU0U6SUJNLklRX1NUT0NLX0JBU0VEX0NPR1MuMTAwMC4wNy8wMy8yMDI2Li4uVVNELkgBAAAA3rYBAAIAAAADMjY5AQgAAAAFAAAAATEBAAAACy0xOTA0ODYwNzQwAwAAAAMxNjACAAAABTIyNjc0BAAAAAEwBwAAAAgzLzcvMjAyNggAAAAKMTIvMzEvMjAyNQkAAAABMFmN5iT/gd4Ij6JSKP+B3gg7Q0lRLk5ZU0U6SUJNLklRX05FR0FUSVZFX0dXX0FNT1JUX0FU</t>
  </si>
  <si>
    <t>Ljk5NS4wNy8wMy8yMDI2Li4uVVNELkgBAAAA3rYBAAMAAAAAAFmN5iT/gd4Ij6JSKP+B3gg7Q0lRLk5ZU0U6SUJNLklRX1RPVEFMX1VOVVNVQUxfU1VQUExFLjk5Mi4wNy8wMy8yMDI2Li4uVVNELkgBAAAA3rYBAAIAAAACOTEBCAAAAAUAAAABMQEAAAAKMjAxNzE2NDI0NAMAAAADMTYwAgAAAAUzMzM5MAQAAAABMAcAAAAIMy83LzIwMjYIAAAACjEyLzMxLzIwMTcJAAAAATBZjeYk/4HeCIXJUij/gd4ILENJUS5OWVNFOklCTS5JUV9EQV9DRi45OTIuMDcvMDMvMjAyNi4uLlVTRC5IAQAAAN62AQACAAAABDQ1NDEBCAAAAAUAAAABMQEAAAAKMjAxNzE2NDI0NAMAAAADMTYwAgAAAAQyMTYwBAAAAAEwBwAAAAgzLzcvMjAyNggAAAAKMTIvMzEvMjAxNwkAAAABMFmN5iT/gd4IhclSKP+B3ggsQ0lRLk5ZU0U6SUJNLklRX05JX0NGLjk5Ni4wNy8wMy8yMDI2Li4uVVNELkgBAAAA3rYBAAIAAAAENTc0MwEIAAAABQAAAAExAQAAAAstMjAwODY0NzE5OAMAAAADMTYwAgAAAAQyMTUwBAAAAAEwBwAAAAgzLzcvMjAyNggAAAAKMTIvMzEvMjAyMQkAAAABMFmN5iT/gd4IhclSKP+B3gg7Q0lRLk5ZU0U6SUJNLklRX1NUT0NLX0JBU0VEX0NPTVBfVEFYLjk5My4wNy8wMy8yMDI2Li4uVVNELkgBAAAA3rYBAAIAAAAELTExNgBZjeYk/4HeCI+iUij/gd4IQENJUS5OWVNFOklCTS5JUV9TVE9DS19PUFRJT05TX0NPTVBf</t>
  </si>
  <si>
    <t>UFJFVEFYLjk5OC4wNy8wMy8yMDI2Li4uVVNELkgBAAAA3rYBAAMAAAAAAFmN5iT/gd4Ij6JSKP+B3gg7Q0lRLk5ZU0U6SUJNLklRX1JFU1RSX1NUT0NLX0NPTVBfVEFYLjk5NS4wNy8wMy8yMDI2Li4uVVNELkgBAAAA3rYBAAMAAAAAAFmN5iT/gd4Ij6JSKP+B3gg1Q0lRLk5ZU0U6SUJNLklRX09USEVSX09QRVJfQUNULjk5NS4wNy8wMy8yMDI2Li4uVVNELkgBAAAA3rYBAAIAAAAFLTMyMDQBCAAAAAUAAAABMQEAAAALLTIwNTkwNzMyMDIDAAAAAzE2MAIAAAAEMjA0NwQAAAABMAcAAAAIMy83LzIwMjYIAAAACjEyLzMxLzIwMjAJAAAAATBZjeYk/4HeCI+iUij/gd4INUNJUS5OWVNFOklCTS5JUV9TVE9DS19CQVNFRF9DRi45OTkuMDcvMDMvMjAyNi4uLlVTRC5IAQAAAN62AQACAAAABDEzMTEBCAAAAAUAAAABMQEAAAALLTE5MDQ4NjA3NDMDAAAAAzE2MAIAAAAEMjEyNwQAAAABMAcAAAAIMy83LzIwMjYIAAAACjEyLzMxLzIwMjQJAAAAATBZjeYk/4HeCI+iUij/gd4INUNJUS5OWVNFOklCTS5JUV9DUkVESVRfTE9TU19DRi45OTYuMDcvMDMvMjAyNi4uLlVTRC5IAQAAAN62AQADAAAAAABZjeYk/4HeCF97Uij/gd4INkNJUS5OWVNFOklCTS5JUV9HQUlOX0FTU0VUU19DRi4xMDAwLjA3LzAzLzIwMjYuLi5VU0QuSAEAAADetgEAAgAAAAMtMzkBCAAAAAUAAAABMQEAAAALLTE5MDQ4NjA3NDADAAAAAzE2</t>
  </si>
  <si>
    <t>MAIAAAAEMjAyNgQAAAABMAcAAAAIMy83LzIwMjYIAAAACjEyLzMxLzIwMjUJAAAAATBZjeYk/4HeCF97Uij/gd4IO0NJUS5OWVNFOklCTS5JUV9NSU5PUklUWV9JTlRFUkVTVF9DRi45OTUuMDcvMDMvMjAyNi4uLlVTRC5IAQAAAN62AQADAAAAAABZjeYk/4HeCF97Uij/gd4IMENJUS5OWVNFOklCTS5JUV9ESVZFU1RfQ0YuOTk4LjA3LzAzLzIwMjYuLi5VU0QuSAEAAADetgEAAgAAAAItNAEIAAAABQAAAAExAQAAAAstMTkwNDg2MDc0NAMAAAADMTYwAgAAAAQyMDc3BAAAAAEwBwAAAAgzLzcvMjAyNggAAAAKMTIvMzEvMjAyMwkAAAABMFmN5iT/gd4Ij6JSKP+B3gg2Q0lRLk5ZU0U6SUJNLklRX0NBU0hfQUNRVUlSRV9DRi45OTMuMDcvMDMvMjAyNi4uLlVTRC5IAQAAAN62AQACAAAABC0xMzkBCAAAAAUAAAABMQEAAAAKMjA4MTUwNTQwMQMAAAADMTYwAgAAAAQyMDU3BAAAAAEwBwAAAAgzLzcvMjAyNggAAAAKMTIvMzEvMjAxOAkAAAABMFmN5iT/gd4Ij6JSKP+B3ghDQ0lRLk5ZU0U6SUJNLklRX0NIQU5HRV9PVEhFUl9ORVRfT1BFUl9BU1NFVFMuOTk3LjA3LzAzLzIwMjYuLi5VU0QuSAEAAADetgEAAgAAAAM0NTcBCAAAAAUAAAABMQEAAAALLTE5NTgyODEwOTYDAAAAAzE2MAIAAAAEMjA0NQQAAAABMAcAAAAIMy83LzIwMjYIAAAACjEyLzMxLzIwMjIJAAAAATBZjeYk/4HeCEhUUij/gd4INUNJUS5O</t>
  </si>
  <si>
    <t>WVNFOklCTS5JUV9DSEFOR0VfSU5DX1RBWC45OTQuMDcvMDMvMjAyNi4uLlVTRC5IAQAAAN62AQADAAAAAACBtOYk/4HeCEhUUij/gd4IMENJUS5OWVNFOklCTS5JUV9DSEFOR0VfQVIuOTk4LjA3LzAzLzIwMjYuLi5VU0QuSAEAAADetgEAAgAAAAM3MjUBCAAAAAUAAAABMQEAAAALLTE5MDQ4NjA3NDQDAAAAAzE2MAIAAAAEMjAxOAQAAAABMAcAAAAIMy83LzIwMjYIAAAACjEyLzMxLzIwMjMJAAAAATCBtOYk/4HeCF97Uij/gd4INENJUS5OWVNFOklCTS5JUV9DT01NT05fSVNTVUVELjk5Ni4wNy8wMy8yMDI2Li4uVVNELkgBAAAA3rYBAAMAAAAAAIG05iT/gd4IX3tSKP+B3gg1Q0lRLk5ZU0U6SUJNLklRX0xUX0RFQlRfUkVQQUlELjk5NS4wNy8wMy8yMDI2Li4uVVNELkgBAAAA3rYBAAIAAAAGLTEzMzY1AQgAAAAFAAAAATEBAAAACy0yMDU5MDczMjAyAwAAAAMxNjACAAAABDIwMzYEAAAAATAHAAAACDMvNy8yMDI2CAAAAAoxMi8zMS8yMDIwCQAAAAEwgbTmJP+B3ghfe1Io/4HeCDhDSVEuTllTRTpJQk0uSVFfVE9UQUxfREVCVF9JU1NVRUQuOTk0LjA3LzAzLzIwMjYuLi5VU0QuSAEAAADetgEAAgAAAAUzMTgyNQEIAAAABQAAAAExAQAAAAstMjExMDc2OTM1NQMAAAADMTYwAgAAAAQyMTYxBAAAAAEwBwAAAAgzLzcvMjAyNggAAAAKMTIvMzEvMjAxOQkAAAABMIG05iT/gd4ISFRSKP+B3gg1Q0lRLk5Z</t>
  </si>
  <si>
    <t>U0U6SUJNLklRX1NUX0RFQlRfSVNTVUVELjk5My4wNy8wMy8yMDI2Li4uVVNELkgBAAAA3rYBAAIAAAAEMTM0MQEIAAAABQAAAAExAQAAAAoyMDgxNTA1NDAxAwAAAAMxNjACAAAABDIwNDMEAAAAATAHAAAACDMvNy8yMDI2CAAAAAoxMi8zMS8yMDE4CQAAAAEwgbTmJP+B3ghIVFIo/4HeCD1DSVEuTllTRTpJQk0uSVFfT1RIRVJfSU5WRVNUX0FDVF9TVVBQTC45OTIuMDcvMDMvMjAyNi4uLlVTRC5IAQAAAN62AQADAAAAAACBtOYk/4HeCEhUUij/gd4IKUNJUS5OWVNFOklCTS5JUV9GWC45OTQuMDcvMDMvMjAyNi4uLlVTRC5IAQAAAN62AQACAAAABC0xNjcBCAAAAAUAAAABMQEAAAALLTIxMTA3NjkzNTUDAAAAAzE2MAIAAAAEMjE0NAQAAAABMAcAAAAIMy83LzIwMjYIAAAACjEyLzMxLzIwMTkJAAAAATCBtOYk/4HeCEhUUij/gd4INUNJUS5OWVNFOklCTS5JUV9TUEVDSUFMX0RJVl9DRi45OTYuMDcvMDMvMjAyNi4uLlVTRC5IAQAAAN62AQADAAAAAACBtOYk/4HeCEhUUij/gd4IOUNJUS5OWVNFOklCTS5JUV9DT01NT05fUFJFRl9ESVZfQ0YuOTk3LjA3LzAzLzIwMjYuLi5VU0QuSAEAAADetgEAAwAAAAAAgbTmJP+B3ggXLVIo/4HeCDRDSVEuTllTRTpJQk0uSVFfQ09NTU9OX0RJVl9DRi45OTcuMDcvMDMvMjAyNi4uLlVTRC5IAQAAAN62AQACAAAABS01OTQ4AQgAAAAFAAAAATEBAAAACy0xOTU4Mjgx</t>
  </si>
  <si>
    <t>MDk2AwAAAAMxNjACAAAABDIwNzQEAAAAATAHAAAACDMvNy8yMDI2CAAAAAoxMi8zMS8yMDIyCQAAAAEwgbTmJP+B3ggXLVIo/4HeCDJDSVEuTllTRTpJQk0uSVFfUFJFRl9JU1NVRUQuOTk2LjA3LzAzLzIwMjYuLi5VU0QuSAEAAADetgEAAwAAAAAAgbTmJP+B3ggXLVIo/4HeCDtDSVEuTllTRTpJQk0uSVFfTkVHQVRJVkVfR1dfQU1PUlRfQ0YuOTk1LjA3LzAzLzIwMjYuLi5VU0QuSAEAAADetgEAAwAAAAAAgbTmJP+B3ggXLVIo/4HeCC9DSVEuTllTRTpJQk0uSVFfREVQX1JVQS4xMDAwLjA3LzAzLzIwMjYuLi5VU0QuSAEAAADetgEAAgAAAAM5MDABCAAAAAUAAAABMQEAAAALLTE5MDQ4NjA3NDADAAAAAzE2MAIAAAAFNDgzNTcEAAAAATAHAAAACDMvNy8yMDI2CAAAAAoxMi8zMS8yMDI1CQAAAAEwgbTmJP+B3ghIVFIo/4HeCDJDSVEuTllTRTpJQk0uSVFfREVQUkVfU1VQUC4xMDAwLjA3LzAzLzIwMjYuLi5VU0QuSAEAAADetgEAAwAAAAAAgbTmJP+B3ghk8lEo/4HeCDpDSVEuTllTRTpJQk0uSVFfREFfU1VQUExfUEFSVElBTF9DRi45OTIuMDcvMDMvMjAyNi4uLlVTRC5IAQAAAN62AQADAAAAAACBtOYk/4HeCBctUij/gd4IMUNJUS5OWVNFOklCTS5JUV9ORVRfQ0hBTkdFLjk5My4wNy8wMy8yMDI2Li4uVVNELkgBAAAA3rYBAAIAAAAELTYzMAEIAAAABQAAAAExAQAAAAoyMDgxNTA1NDAxAwAAAAMx</t>
  </si>
  <si>
    <t>NjACAAAABDIwOTMEAAAAATAHAAAACDMvNy8yMDI2CAAAAAoxMi8zMS8yMDE4CQAAAAEwgbTmJP+B3ggXLVIo/4HeCDdDSVEuTllTRTpJQk0uSVFfQ0FTSF9UQVhFU19GSU5BTi45OTMuMDcvMDMvMjAyNi4uLlVTRC5IAQAAAN62AQADAAAAAACBtOYk/4HeCBctUij/gd4IMkNJUS5OWVNFOklCTS5JUV9DQVNIX1RBWEVTLjEwMDAuMDcvMDMvMjAyNi4uLlVTRC5IAQAAAN62AQACAAAABDE5NDgBCAAAAAUAAAABMQEAAAALLTE5MDQ4NjA3NDADAAAAAzE2MAIAAAAEMzA1MwQAAAABMAcAAAAIMy83LzIwMjYIAAAACjEyLzMxLzIwMjUJAAAAATCBtOYk/4HeCBctUij/gd4IO0NJUS5OWVNFOklCTS5JUV9DQVNIX0lOVEVSRVNUX0lOVkVTVC45OTYuMDcvMDMvMjAyNi4uLlVTRC5IAQAAAN62AQADAAAAAACBtOYk/4HeCGTyUSj/gd4IOENJUS5OWVNFOklCTS5JUV9DQVNIX0lOVEVSRVNUX05FVC45OTUuMDcvMDMvMjAyNi4uLlVTRC5IAQAAAN62AQADAAAAAACBtOYk/4HeCGTyUSj/gd4IP0NJUS5OWVNFOklCTS5JUV9BTU9SVF9TT0ZUV0FSRV9BU1NFVFNfQ0YuOTk5LjA3LzAzLzIwMjYuLi5VU0QuSAEAAADetgEAAgAAAAM2NjkBCAAAAAUAAAABMQEAAAALLTE5MDQ4NjA3NDMDAAAAAzE2MAIAAAAFNDYwMTEEAAAAATAHAAAACDMvNy8yMDI2CAAAAAoxMi8zMS8yMDI0CQAAAAEwgbTmJP+B3ghk8lEo/4HeCDFD</t>
  </si>
  <si>
    <t>SVEuTllTRTpJQk0uSVFfQ0FTSF9FUVVJVi45OTIuMDcvMDMvMjAyNi4uLlVTRC5IAQAAAN62AQACAAAABTExOTcyAQgAAAAFAAAAATEBAAAACjIwMTcxNjQyNDQDAAAAAzE2MAIAAAAEMTA5NgQAAAABMAcAAAAIMy83LzIwMjYIAAAACjEyLzMxLzIwMTcJAAAAATCBtOYk/4HeCGTyUSj/gd4IRENJUS5OWVNFOklCTS5JUV9UT1RBTF9ERUJUX1JFUEFJRF9FWENMX0xFQVNFUy45OTcuMDcvMDMvMjAyNi4uLlVTRC5IAQAAAN62AQACAAAABS02ODAwAQgAAAAFAAAAATEBAAAACy0xOTU4MjgxMDk2AwAAAAMxNjACAAAABTQ4OTg2BAAAAAEwBwAAAAgzLzcvMjAyNggAAAAKMTIvMzEvMjAyMgkAAAABMIG05iT/gd4IZPJRKP+B3ggzQ0lRLk5ZU0U6SUJNLklRX0RPX0lOVkVTVF9DRi45OTguMDcvMDMvMjAyNi4uLlVTRC5IAQAAAN62AQADAAAAAACBtOYk/4HeCGTyUSj/gd4IL0NJUS5OWVNFOklCTS5JUV9DRl9TSEFSRS45OTguMDcvMDMvMjAyNi4uLlVTRC5IAQAAAN62AQACAAAACTEzLjMwMjA4OAEIAAAABQAAAAExAQAAAAstMTkwNDg2MDc0NAMAAAADMTYwAgAAAAU0MzkyMwQAAAABMAcAAAAIMy83LzIwMjYIAAAACjEyLzMxLzIwMjMJAAAAATCBtOYk/4HeCGTyUSj/gd4IMkNJUS5OWVNFOklCTS5JUV9MRVZFUkVEX0ZDRi45OTMuMDcvMDMvMjAyNi4uLlVTRC5IAQAAAN62AQACAAAACDY0ODMuMzc1AQgA</t>
  </si>
  <si>
    <t>AAAFAAAAATEBAAAACjIwODE1MDU0MDEDAAAAAzE2MAIAAAAENDQyMgQAAAABMAcAAAAIMy83LzIwMjYIAAAACjEyLzMxLzIwMTgJAAAAATCBtOYk/4HeCGTyUSj/gd4IOkNJUS5OWVNFOklCTS5JUV9PVEhFUl9VTlVTVUFMX1NVUFBMLjk5NC4wNy8wMy8yMDI2Li4uVVNELkgBAAAA3rYBAAMAAAAAAIG05iT/gd4IZPJRKP+B3ggzQ0lRLk5ZU0U6SUJNLklRX1RPVEFMX0FTU0VUUy45OTMuMDcvMDMvMjAyNi4uLlVTRC5IAQAAAN62AQACAAAABjEyMzM4MgEIAAAABQAAAAExAQAAAAoyMDgxNTA1NDAxAwAAAAMxNjACAAAABDEwMDcEAAAAATAHAAAACDMvNy8yMDI2CAAAAAoxMi8zMS8yMDE4CQAAAAEwgbTmJP+B3ghk8lEo/4HeCCtDSVEuTllTRTpJQk0uSVFfR1BQRS45OTIuMDcvMDMvMjAyNi4uLlVTRC5IAQAAAN62AQACAAAABTMyMzMxAQgAAAAFAAAAATEBAAAACjIwMTcxNjQyNDQDAAAAAzE2MAIAAAAEMTE2OQQAAAABMAcAAAAIMy83LzIwMjYIAAAACjEyLzMxLzIwMTcJAAAAATCBtOYk/4HeCFjLUSj/gd4INUNJUS5OWVNFOklCTS5JUV9MT0FOU19GT1JfU0FMRS45OTYuMDcvMDMvMjAyNi4uLlVTRC5IAQAAAN62AQADAAAAAACBtOYk/4HeCFjLUSj/gd4IKUNJUS5OWVNFOklCTS5JUV9BUi45OTIuMDcvMDMvMjAyNi4uLlVTRC5IAQAAAN62AQACAAAABDkzOTkBCAAAAAUAAAABMQEAAAAKMjAxNzE2</t>
  </si>
  <si>
    <t>NDI0NAMAAAADMTYwAgAAAAQxMDIxBAAAAAEwBwAAAAgzLzcvMjAyNggAAAAKMTIvMzEvMjAxNwkAAAABMIG05iT/gd4IWMtRKP+B3gg1Q0lRLk5ZU0U6SUJNLklRX1BSRUZfRElWX09USEVSLjk5Ni4wNy8wMy8yMDI2Li4uVVNELkgBAAAA3rYBAAMAAAAAAIG05iT/gd4IZPJRKP+B3gg7Q0lRLk5ZU0U6SUJNLklRX01JTk9SSVRZX0lOVEVSRVNUX0lTLjk5Mi4wNy8wMy8yMDI2Li4uVVNELkgBAAAA3rYBAAMAAAAAAIG05iT/gd4IZPJRKP+B3gg2Q0lRLk5ZU0U6SUJNLklRX0VYVFJBX0FDQ19JVEVNUy45OTguMDcvMDMvMjAyNi4uLlVTRC5IAQAAAN62AQADAAAAAACBtOYk/4HeCFjLUSj/gd4IKUNJUS5OWVNFOklCTS5JUV9ETy45OTIuMDcvMDMvMjAyNi4uLlVTRC5IAQAAAN62AQACAAAAAi01AQgAAAAFAAAAATEBAAAACjIwMTcxNjQyNDQDAAAAAzE2MAIAAAACNDAEAAAAATAHAAAACDMvNy8yMDI2CAAAAAoxMi8zMS8yMDE3CQAAAAEwgbTmJP+B3ghYy1Eo/4HeCCtDSVEuTllTRTpJQk0uSVFfRUJULjEwMDAuMDcvMDMvMjAyNi4uLlVTRC5IAQAAAN62AQACAAAABTEwMzI5AQgAAAAFAAAAATEBAAAACy0xOTA0ODYwNzQwAwAAAAMxNjACAAAAAzEzOQQAAAABMAcAAAAIMy83LzIwMjYIAAAACjEyLzMxLzIwMjUJAAAAATCBtOYk/4HeCFjLUSj/gd4INkNJUS5OWVNFOklCTS5JUV9UT1RBTF9SRVZfU0hB</t>
  </si>
  <si>
    <t>UkUuOTk2LjA3LzAzLzIwMjYuLi5VU0QuSAEAAADetgEAAgAAAAk2NC4wMDg0NzEBCAAAAAUAAAABMQEAAAALLTIwMDg2NDcxOTgDAAAAAzE2MAIAAAAENDM4MgQAAAABMAcAAAAIMy83LzIwMjYIAAAACjEyLzMxLzIwMjEJAAAAATCBtOYk/4HeCFjLUSj/gd4IS0NJUS5OWVNFOklCTS5JUV9ESVNUUklCVVRBQkxFX0NBU0hfUEVSX1NIQVJFX0RJTFVURUQuOTkyLjA3LzAzLzIwMjYuLi5VU0QuSAEAAADetgEAAwAAAAAAgbTmJP+B3ghYy1Eo/4HeCC9DSVEuTllTRTpJQk0uSVFfRVBTX05PUk0uOTk4LjA3LzAzLzIwMjYuLi5VU0QuSAEAAADetgEAAgAAAAg1LjkzMzcyOAEIAAAABQAAAAExAQAAAAstMTkwNDg2MDc0NAMAAAADMTYwAgAAAAQ0Mzc5BAAAAAEwBwAAAAgzLzcvMjAyNggAAAAKMTIvMzEvMjAyMwkAAAABMIG05iT/gd4II6RRKP+B3gg1Q0lRLk5ZU0U6SUJNLklRX0RJTFVUX0VQU19FWENMLjk5NC4wNy8wMy8yMDI2Li4uVVNELkgBAAAA3rYBAAIAAAABOAEIAAAABQAAAAExAQAAAAstMjExMDc2OTM1NQMAAAADMTYwAgAAAAMxNDIEAAAAATAHAAAACDMvNy8yMDI2CAAAAAoxMi8zMS8yMDE5CQAAAAEwgbTmJP+B3ggjpFEo/4HeCDVDSVEuTllTRTpJQk0uSVFfQkFTSUNfRVBTX0VYQ0wuOTk0LjA3LzAzLzIwMjYuLi5VU0QuSAEAAADetgEAAgAAAAg4LjA1NDIzNAEIAAAABQAAAAExAQAAAAst</t>
  </si>
  <si>
    <t>MjExMDc2OTM1NQMAAAADMTYwAgAAAAQzMDY0BAAAAAEwBwAAAAgzLzcvMjAyNggAAAAKMTIvMzEvMjAxOQkAAAABMIG05iT/gd4II6RRKP+B3ggyQ0lRLk5ZU0U6SUJNLklRX0VCSVRfRVFfSU5DLjk5Ni4wNy8wMy8yMDI2Li4uVVNELkgBAAAA3rYBAAIAAAAENTU4MwEIAAAABQAAAAExAQAAAAstMjAwODY0NzE5OAMAAAADMTYwAgAAAAUyMTY3NQQAAAABMAcAAAAIMy83LzIwMjYIAAAACjEyLzMxLzIwMjEJAAAAATCBtOYk/4HeCCOkUSj/gd4IPENJUS5OWVNFOklCTS5JUV9FQklUREFfTEVBU0VfQURKVVNURUQuOTk4LjA3LzAzLzIwMjYuLi5VU0QuSAEAAADetgEAAgAAAAUxMzU0OQEIAAAABQAAAAExAQAAAAstMTkwNDg2MDc0NAMAAAADMTYwAgAAAAU0ODk5MwQAAAABMAcAAAAIMy83LzIwMjYIAAAACjEyLzMxLzIwMjMJAAAAATCBtOYk/4HeCFjLUSj/gd4INkNJUS5OWVNFOklCTS5JUV9FQklUREFfRVhDTF9TQkMuOTkyLjA3LzAzLzIwMjYuLi5VU0QuSAEAAADetgEAAgAAAAUxNjc1NwEIAAAABQAAAAExAQAAAAoyMDE3MTY0MjQ0AwAAAAMxNjACAAAABTI0MTM1BAAAAAEwBwAAAAgzLzcvMjAyNggAAAAKMTIvMzEvMjAxNwkAAAABMIG05iT/gd4IN5BRKP+B3gg0Q0lRLk5ZU0U6SUJNLklRX0VCSVREQV9FUV9JTkMuOTk4LjA3LzAzLzIwMjYuLi5VU0QuSAEAAADetgEAAgAAAAUxMzU0OQEIAAAA</t>
  </si>
  <si>
    <t>BQAAAAExAQAAAAstMTkwNDg2MDc0NAMAAAADMTYwAgAAAAUyMTY3NwQAAAABMAcAAAAIMy83LzIwMjYIAAAACjEyLzMxLzIwMjMJAAAAATCBtOYk/4HeCCOkUSj/gd4IOUNJUS5OWVNFOklCTS5JUV9TUEVDSUFMX0RJVl9TSEFSRS4xMDAwLjA3LzAzLzIwMjYuLi5VU0QuSAEAAADetgEAAwAAAAAAgbTmJP+B3ggjpFEo/4HeCD5DSVEuTllTRTpJQk0uSVFfRUJJVERBUl9FUV9JTkNfRVhDTF9TQkMuOTk4LjA3LzAzLzIwMjYuLi5VU0QuSAEAAADetgEAAgAAAAUxNDY4MwEIAAAABQAAAAExAQAAAAstMTkwNDg2MDc0NAMAAAADMTYwAgAAAAUyNDEzMwQAAAABMAcAAAAIMy83LzIwMjYIAAAACjEyLzMxLzIwMjMJAAAAATCBtOYk/4HeCCOkUSj/gd4INUNJUS5OWVNFOklCTS5JUV9FQklUREFSX0VRX0lOQy45OTIuMDcvMDMvMjAyNi4uLlVTRC5IAQAAAN62AQADAAAAAACBtOYk/4HeCCOkUSj/gd4IPUNJUS5OWVNFOklCTS5JUV9FQklUQV9FUV9JTkNfRVhDTF9TQkMuMTAwMC4wNy8wMy8yMDI2Li4uVVNELkgBAAAA3rYBAAIAAAAFMTY0NDkBCAAAAAUAAAABMQEAAAALLTE5MDQ4NjA3NDADAAAAAzE2MAIAAAAFMjQxMzIEAAAAATAHAAAACDMvNy8yMDI2CAAAAAoxMi8zMS8yMDI1CQAAAAEwgbTmJP+B3giXfFEo/4HeCDNDSVEuTllTRTpJQk0uSVFfRUJJVEFfRVFfSU5DLjk5NC4wNy8wMy8yMDI2Li4uVVNE</t>
  </si>
  <si>
    <t>LkgBAAAA3rYBAAIAAAAEOTM4OQEIAAAABQAAAAExAQAAAAstMjExMDc2OTM1NQMAAAADMTYwAgAAAAUyMTY3NgQAAAABMAcAAAAIMy83LzIwMjYIAAAACjEyLzMxLzIwMTkJAAAAATCBtOYk/4HeCJd8USj/gd4INUNJUS5OWVNFOklCTS5JUV9FQklUX0VYQ0xfU0JDLjEwMDAuMDcvMDMvMjAyNi4uLlVTRC5IAQAAAN62AQACAAAABTE0MjgzAQgAAAAFAAAAATEBAAAACy0xOTA0ODYwNzQwAwAAAAMxNjACAAAABTI0MTM0BAAAAAEwBwAAAAgzLzcvMjAyNggAAAAKMTIvMzEvMjAyNQkAAAABMIG05iT/gd4IN5BRKP+B3gg5Q0lRLk5ZU0U6SUJNLklRX0NVUlJfRk9SRUlHTl9UQVhFUy45OTIuMDcvMDMvMjAyNi4uLlVTRC5IAQAAAN62AQACAAAABDM4OTEBCAAAAAUAAAABMQEAAAAKMjAxNzE2NDI0NAMAAAADMTYwAgAAAAQzMDMwBAAAAAEwBwAAAAgzLzcvMjAyNggAAAAKMTIvMzEvMjAxNwkAAAABMIG05iT/gd4IN5BRKP+B3gg+Q0lRLk5ZU0U6SUJNLklRX0VYQ0lTRV9UQVhFU19JTkNMX1NBTEVTLjk5OC4wNy8wMy8yMDI2Li4uVVNELkgBAAAA3rYBAAMAAAAAAIG05iT/gd4IN5BRKP+B3gg+Q0lRLk5ZU0U6SUJNLklRX0VYQ0lTRV9UQVhFU19FWENMX1NBTEVTLjk5Mi4wNy8wMy8yMDI2Li4uVVNELkgBAAAA3rYBAAMAAAAAAIG05iT/gd4I82hRKP+B3ggvQ0lRLk5ZU0U6SUJNLklRX05JX1NGQVMuMTAw</t>
  </si>
  <si>
    <t>MC4wNy8wMy8yMDI2Li4uVVNELkgBAAAA3rYBAAMAAAAAAIG05iT/gd4I82hRKP+B3ghAQ0lRLk5ZU0U6SUJNLklRX0VBUk5JTkdfUEFSRU5UX0VYQ0xfRVhUUkEuOTk0LjA3LzAzLzIwMjYuLi5VU0QuSAEAAADetgEAAgAAAAQ3MTQ2AQgAAAAFAAAAATEBAAAACy0yMTEwNzY5MzU1AwAAAAMxNjACAAAABTQxNTk2BAAAAAEwBwAAAAgzLzcvMjAyNggAAAAKMTIvMzEvMjAxOQkAAAABMIG05iT/gd4Il3xRKP+B3gg3Q0lRLk5ZU0U6SUJNLklRX0lOVF9FWFBfSU5DTF9DQVAuOTk4LjA3LzAzLzIwMjYuLi5VU0QuSAEAAADetgEAAgAAAAQxNjE2AQgAAAAFAAAAATEBAAAACy0xOTA0ODYwNzQ0AwAAAAMxNjACAAAABTIxODYxBAAAAAEwBwAAAAgzLzcvMjAyNggAAAAKMTIvMzEvMjAyMwkAAAABMIG05iT/gd4Il3xRKP+B3ggyQ0lRLk5ZU0U6SUJNLklRX0lOVF9FWFBfTFRELjk5NC4wNy8wMy8yMDI2Li4uVVNELkgBAAAA3rYBAAMAAAAAAIG05iT/gd4Il3xRKP+B3ggwQ0lRLk5ZU0U6SUJNLklRX0RJTFVUX05JLjEwMDAuMDcvMDMvMjAyNi4uLlVTRC5IAQAAAN62AQACAAAACzEwNTY4LjI0MjA0AQgAAAAFAAAAATEBAAAACy0xOTA0ODYwNzQwAwAAAAMxNjACAAAABDM1MjIEAAAAATAHAAAACDMvNy8yMDI2CAAAAAoxMi8zMS8yMDI1CQAAAAEwgbTmJP+B3gjlQVEo/4HeCC5DSVEuTllTRTpJQk0uSVFfTklf</t>
  </si>
  <si>
    <t>Tk9STS45OTQuMDcvMDMvMjAyNi4uLlVTRC5IAQAAAN62AQACAAAABjQwMjcuNQEIAAAABQAAAAExAQAAAAstMjExMDc2OTM1NQMAAAADMTYwAgAAAAQ0Mzc4BAAAAAEwBwAAAAgzLzcvMjAyNggAAAAKMTIvMzEvMjAxOQkAAAABMIG05iT/gd4I5UFRKP+B3gg+Q0lRLk5ZU0U6SUJNLklRX0RFRkVSUkVEX0RPTUVTVElDX1RBWEVTLjk5Ni4wNy8wMy8yMDI2Li4uVVNELkgBAAAA3rYBAAIAAAAFLTE3MjgBCAAAAAUAAAABMQEAAAALLTIwMDg2NDcxOTgDAAAAAzE2MAIAAAAEMzA1NAQAAAABMAcAAAAIMy83LzIwMjYIAAAACjEyLzMxLzIwMjEJAAAAATCBtOYk/4HeCOVBUSj/gd4ILUNJUS5OWVNFOklCTS5JUV9HQV9FWFAuOTk2LjA3LzAzLzIwMjYuLi5VU0QuSAEAAADetgEAAwAAAAAAgbTmJP+B3gjzaFEo/4HeCDJDSVEuTllTRTpJQk0uSVFfQ09NTU9OX0RJVi4xMDAwLjA3LzAzLzIwMjYuLi5VU0QuSAEAAADetgEAAgAAAAQ2MjU1AIG05iT/gd4I82hRKP+B3gg9Q0lRLk5ZU0U6SUJNLklRX0FOTlVfRElTVFJJQlVUSU9OX1VOSVQuOTk2LjA3LzAzLzIwMjYuLi5VU0QuSAEAAADetgEAAwAAAAAAgbTmJP+B3gjlQVEo/4HeCEZDSVEuTllTRTpJQk0uSVFfRElTVFJJQlVUQUJMRV9DQVNIX1NUQU5EQVJESVpFRC45OTYuMDcvMDMvMjAyNi4uLlVTRC5IAQAAAN62AQADAAAAAACBtOYk/4HeCOVBUSj/gd4I</t>
  </si>
  <si>
    <t>MENJUS5OWVNFOklCTS5JUV9EQV9FQklUREEuOTkyLjA3LzAzLzIwMjYuLi5VU0QuSAEAAADetgEAAgAAAAQ0NTQxAQgAAAAFAAAAATEBAAAACjIwMTcxNjQyNDQDAAAAAzE2MAIAAAAEMjIwNgQAAAABMAcAAAAIMy83LzIwMjYIAAAACjEyLzMxLzIwMTcJAAAAATCBtOYk/4HeCOVBUSj/gd4IQUNJUS5OWVNFOklCTS5JUV9ERVBSRUNJQVRJT05fUkVOVEFMX0FTU0VUUy45OTcuMDcvMDMvMjAyNi4uLlVTRC5IAQAAAN62AQADAAAAAACBtOYk/4HeCOVBUSj/gd4INENJUS5OWVNFOklCTS5JUV9BSVJDUkFGVF9SRU5ULjk5Mi4wNy8wMy8yMDI2Li4uVVNELkgBAAAA3rYBAAMAAAAAAIG05iT/gd4I5UFRKP+B3gg5Q0lRLk5ZU0U6SUJNLklRX0NPTlRJTkdFTlRfUkVOVEFMLjEwMDAuMDcvMDMvMjAyNi4uLlVTRC5IAQAAAN62AQACAAAAAzMwMACBtOYk/4HeCNEaUSj/gd4IPENJUS5OWVNFOklCTS5JUV9ORVRfUkVOVEFMX0VYUF9TVVBQTEUuOTk0LjA3LzAzLzIwMjYuLi5VU0QuSAEAAADetgEAAgAAAAQxNjIzAQgAAAAFAAAAATEBAAAACy0yMTEwNzY5MzU1AwAAAAMxNjACAAAABTI0MjYzBAAAAAEwBwAAAAgzLzcvMjAyNggAAAAKMTIvMzEvMjAxOQkAAAABMIG05iT/gd4I0RpRKP+B3gg5Q0lRLk5ZU0U6SUJNLklRX05FVF9SRU5UQUxfRVhQX0ZOLjEwMDAuMDcvMDMvMjAyNi4uLlVTRC5IAQAAAN62AQAC</t>
  </si>
  <si>
    <t>AAAABDEzMDgBCAAAAAUAAAABMQEAAAALLTE5MDQ4NjA3NDADAAAAAzE2MAIAAAAEMzE3MAQAAAABMAcAAAAIMy83LzIwMjYIAAAACjEyLzMxLzIwMjUJAAAAATCBtOYk/4HeCNEaUSj/gd4IPkNJUS5OWVNFOklCTS5JUV9HQUlOX0JBUkdBSU5fQUNRX1NVUFBMRS45OTUuMDcvMDMvMjAyNi4uLlVTRC5IAQAAAN62AQADAAAAAACBtOYk/4HeCNEaUSj/gd4IMkNJUS5OWVNFOklCTS5JUV9JUFJEX1NVUFBMRS45OTIuMDcvMDMvMjAyNi4uLlVTRC5IAQAAAN62AQADAAAAAACBtOYk/4HeCNEaUSj/gd4IO0NJUS5OWVNFOklCTS5JUV9JTVBBSVJNRU5UX0dXX1NVUFBMRS45OTkuMDcvMDMvMjAyNi4uLlVTRC5IAQAAAN62AQADAAAAAACBtOYk/4HeCLvzUCj/gd4IOUNJUS5OWVNFOklCTS5JUV9SRVNUUlVDVFVSRV9TVVBQTEUuOTk2LjA3LzAzLzIwMjYuLi5VU0QuSAEAAADetgEAAwAAAAAAgbTmJP+B3gjRGlEo/4HeCDRDSVEuTllTRTpJQk0uSVFfTUFJTlRfUkVQQUlSLjEwMDAuMDcvMDMvMjAyNi4uLlVTRC5IAQAAAN62AQADAAAAAACBtOYk/4HeCNEaUSj/gd4IOENJUS5OWVNFOklCTS5JUV9TVE9DS19CQVNFRF9PVEhFUi45OTguMDcvMDMvMjAyNi4uLlVTRC5IAQAAAN62AQADAAAAAACBtOYk/4HeCNEaUSj/gd4IQENJUS5OWVNFOklCTS5JUV9TVE9DS19CQVNFRF9FWFBMT1JFX0RSSUxMLjk5My4wNy8w</t>
  </si>
  <si>
    <t>My8yMDI2Li4uVVNELkgBAAAA3rYBAAMAAAAAAIG05iT/gd4I0RpRKP+B3gg3Q0lRLk5ZU0U6SUJNLklRX1NUT0NLX0JBU0VEX0NPR1MuOTk5LjA3LzAzLzIwMjYuLi5VU0QuSAEAAADetgEAAgAAAAMyMjMBCAAAAAUAAAABMQEAAAALLTE5MDQ4NjA3NDMDAAAAAzE2MAIAAAAFMjI2NzQEAAAAATAHAAAACDMvNy8yMDI2CAAAAAoxMi8zMS8yMDI0CQAAAAEwgbTmJP+B3gi781Ao/4HeCDtDSVEuTllTRTpJQk0uSVFfTkVHQVRJVkVfR1dfQU1PUlRfQVQuOTk0LjA3LzAzLzIwMjYuLi5VU0QuSAEAAADetgEAAwAAAAAAgbTmJP+B3gi781Ao/4HeCDpDSVEuTllTRTpJQk0uSVFfTEVHQUxfU0VUVExFX1NVUFBMRS45OTguMDcvMDMvMjAyNi4uLlVTRC5IAQAAAN62AQADAAAAAACBtOYk/4HeCLvzUCj/gd4ILENJUS5OWVNFOklCTS5JUV9OSV9DRi45OTUuMDcvMDMvMjAyNi4uLlVTRC5IAQAAAN62AQACAAAABDU1OTABCAAAAAUAAAABMQEAAAALLTIwNTkwNzMyMDIDAAAAAzE2MAIAAAAEMjE1MAQAAAABMAcAAAAIMy83LzIwMjYIAAAACjEyLzMxLzIwMjAJAAAAATCBtOYk/4HeCLvzUCj/gd4IO0NJUS5OWVNFOklCTS5JUV9TVE9DS19CQVNFRF9DT01QX1RBWC45OTIuMDcvMDMvMjAyNi4uLlVTRC5IAQAAAN62AQACAAAABC0xMzEAgbTmJP+B3gi781Ao/4HeCDlDSVEuTllTRTpJQk0uSVFfU1RPQ0tfT1BUSU9O</t>
  </si>
  <si>
    <t>U19DT01QLjk5OS4wNy8wMy8yMDI2Li4uVVNELkgBAAAA3rYBAAMAAAAAAIG05iT/gd4IrsxQKP+B3ghAQ0lRLk5ZU0U6SUJNLklRX1NUT0NLX09QVElPTlNfQ09NUF9QUkVUQVguOTk3LjA3LzAzLzIwMjYuLi5VU0QuSAEAAADetgEAAwAAAAAAgbTmJP+B3giuzFAo/4HeCDtDSVEuTllTRTpJQk0uSVFfUkVTVFJfU1RPQ0tfQ09NUF9UQVguOTk0LjA3LzAzLzIwMjYuLi5VU0QuSAEAAADetgEAAwAAAAAAgbTmJP+B3giuzFAo/4HeCDVDSVEuTllTRTpJQk0uSVFfU1RPQ0tfQkFTRURfQ0YuOTk4LjA3LzAzLzIwMjYuLi5VU0QuSAEAAADetgEAAgAAAAQxMTMzAQgAAAAFAAAAATEBAAAACy0xOTA0ODYwNzQ0AwAAAAMxNjACAAAABDIxMjcEAAAAATAHAAAACDMvNy8yMDI2CAAAAAoxMi8zMS8yMDIzCQAAAAEwgbTmJP+B3gi781Ao/4HeCDRDSVEuTllTRTpJQk0uSVFfSU5DX0VRVUlUWV9DRi45OTMuMDcvMDMvMjAyNi4uLlVTRC5IAQAAAN62AQADAAAAAACBtOYk/4HeCLvzUCj/gd4INUNJUS5OWVNFOklCTS5JUV9HQUlOX0FTU0VUU19DRi45OTkuMDcvMDMvMjAyNi4uLlVTRC5IAQAAAN62AQACAAAABC02NTIBCAAAAAUAAAABMQEAAAALLTE5MDQ4NjA3NDMDAAAAAzE2MAIAAAAEMjAyNgQAAAABMAcAAAAIMy83LzIwMjYIAAAACjEyLzMxLzIwMjQJAAAAATCBtOYk/4HeCK7MUCj/gd4IO0NJUS5OWVNFOklC</t>
  </si>
  <si>
    <t>TS5JUV9NSU5PUklUWV9JTlRFUkVTVF9DRi45OTQuMDcvMDMvMjAyNi4uLlVTRC5IAQAAAN62AQADAAAAAACBtOYk/4HeCK7MUCj/gd4IOENJUS5OWVNFOklCTS5JUV9HV19JTlRBTl9BTU9SVF9DRi45OTguMDcvMDMvMjAyNi4uLlVTRC5IAQAAAN62AQACAAAABDE2MjcBCAAAAAUAAAABMQEAAAALLTE5MDQ4NjA3NDQDAAAAAzE2MAIAAAAEMjE4MgQAAAABMAcAAAAIMy83LzIwMjYIAAAACjEyLzMxLzIwMjMJAAAAATCBtOYk/4HeCK7MUCj/gd4IQ0NJUS5OWVNFOklCTS5JUV9DSEFOR0VfT1RIRVJfTkVUX09QRVJfQVNTRVRTLjk5Ni4wNy8wMy8yMDI2Li4uVVNELkgBAAAA3rYBAAIAAAADMTk2AQgAAAAFAAAAATEBAAAACy0yMDA4NjQ3MTk4AwAAAAMxNjACAAAABDIwNDUEAAAAATAHAAAACDMvNy8yMDI2CAAAAAoxMi8zMS8yMDIxCQAAAAEwgbTmJP+B3giuzFAo/4HeCDVDSVEuTllTRTpJQk0uSVFfQ0hBTkdFX0lOQ19UQVguOTkzLjA3LzAzLzIwMjYuLi5VU0QuSAEAAADetgEAAwAAAAAAgbTmJP+B3giuzFAo/4HeCDFDSVEuTllTRTpJQk0uSVFfQ0hBTkdFX0FQLjEwMDAuMDcvMDMvMjAyNi4uLlVTRC5IAQAAAN62AQACAAAAAzYyNAEIAAAABQAAAAExAQAAAAstMTkwNDg2MDc0MAMAAAADMTYwAgAAAAQyMDE3BAAAAAEwBwAAAAgzLzcvMjAyNggAAAAKMTIvMzEvMjAyNQkAAAABMIG05iT/gd4In6VQ</t>
  </si>
  <si>
    <t>KP+B3ggwQ0lRLk5ZU0U6SUJNLklRX0NIQU5HRV9BUi45OTcuMDcvMDMvMjAyNi4uLlVTRC5IAQAAAN62AQACAAAABC01MzkBCAAAAAUAAAABMQEAAAALLTE5NTgyODEwOTYDAAAAAzE2MAIAAAAEMjAxOAQAAAABMAcAAAAIMy83LzIwMjYIAAAACjEyLzMxLzIwMjIJAAAAATCBtOYk/4HeCJ+lUCj/gd4INUNJUS5OWVNFOklCTS5JUV9PVEhFUl9PUEVSX0FDVC45OTQuMDcvMDMvMjAyNi4uLlVTRC5IAQAAAN62AQACAAAABS0xNTI4AQgAAAAFAAAAATEBAAAACy0yMTEwNzY5MzU1AwAAAAMxNjACAAAABDIwNDcEAAAAATAHAAAACDMvNy8yMDI2CAAAAAoxMi8zMS8yMDE5CQAAAAEwgbTmJP+B3gifpVAo/4HeCDhDSVEuTllTRTpJQk0uSVFfVE9UQUxfREVCVF9JU1NVRUQuOTkzLjA3LzAzLzIwMjYuLi5VU0QuSAEAAADetgEAAgAAAAQ4MjMyAQgAAAAFAAAAATEBAAAACjIwODE1MDU0MDEDAAAAAzE2MAIAAAAEMjE2MQQAAAABMAcAAAAIMy83LzIwMjYIAAAACjEyLzMxLzIwMTgJAAAAATCBtOYk/4HeCJ+lUCj/gd4INUNJUS5OWVNFOklCTS5JUV9TVF9ERUJUX0lTU1VFRC45OTIuMDcvMDMvMjAyNi4uLlVTRC5IAQAAAN62AQACAAAAAzYyMAEIAAAABQAAAAExAQAAAAoyMDE3MTY0MjQ0AwAAAAMxNjACAAAABDIwNDMEAAAAATAHAAAACDMvNy8yMDI2CAAAAAoxMi8zMS8yMDE3CQAAAAEwgbTmJP+B3gifpVAo</t>
  </si>
  <si>
    <t>/4HeCDVDSVEuTllTRTpJQk0uSVFfU0FMRV9JTlRBTl9DRi4xMDAwLjA3LzAzLzIwMjYuLi5VU0QuSAEAAADetgEAAgAAAAQtNjQ3AQgAAAAFAAAAATEBAAAACy0xOTA0ODYwNzQwAwAAAAMxNjACAAAABDIwMjkEAAAAATAHAAAACDMvNy8yMDI2CAAAAAoxMi8zMS8yMDI1CQAAAAEwgbTmJP+B3giOflAo/4HeCDpDSVEuTllTRTpJQk0uSVFfU0FMRV9SRUFMX0VTVEFURV9DRi45OTUuMDcvMDMvMjAyNi4uLlVTRC5IAQAAAN62AQADAAAAAACBtOYk/4HeCI5+UCj/gd4INkNJUS5OWVNFOklCTS5JUV9DQVNIX0FDUVVJUkVfQ0YuOTkyLjA3LzAzLzIwMjYuLi5VU0QuSAEAAADetgEAAgAAAAQtNDk2AQgAAAAFAAAAATEBAAAACjIwMTcxNjQyNDQDAAAAAzE2MAIAAAAEMjA1NwQAAAABMAcAAAAIMy83LzIwMjYIAAAACjEyLzMxLzIwMTcJAAAAATCBtOYk/4HeCJ+lUCj/gd4IOUNJUS5OWVNFOklCTS5JUV9DT01NT05fUFJFRl9ESVZfQ0YuOTk1LjA3LzAzLzIwMjYuLi5VU0QuSAEAAADetgEAAwAAAAAAgbTmJP+B3gifpVAo/4HeCDRDSVEuTllTRTpJQk0uSVFfQ09NTU9OX0RJVl9DRi45OTYuMDcvMDMvMjAyNi4uLlVTRC5IAQAAAN62AQACAAAABS01ODY5AQgAAAAFAAAAATEBAAAACy0yMDA4NjQ3MTk4AwAAAAMxNjACAAAABDIwNzQEAAAAATAHAAAACDMvNy8yMDI2CAAAAAoxMi8zMS8yMDIxCQAAAAEwgbTm</t>
  </si>
  <si>
    <t>JP+B3gifpVAo/4HeCDJDSVEuTllTRTpJQk0uSVFfUFJFRl9JU1NVRUQuOTk1LjA3LzAzLzIwMjYuLi5VU0QuSAEAAADetgEAAwAAAAAAgbTmJP+B3giOflAo/4HeCDRDSVEuTllTRTpJQk0uSVFfQ09NTU9OX0lTU1VFRC45OTQuMDcvMDMvMjAyNi4uLlVTRC5IAQAAAN62AQADAAAAAACBtOYk/4HeCI5+UCj/gd4INUNJUS5OWVNFOklCTS5JUV9MVF9ERUJUX1JFUEFJRC45OTQuMDcvMDMvMjAyNi4uLlVTRC5IAQAAAN62AQACAAAABi0xMjk0NAEIAAAABQAAAAExAQAAAAstMjExMDc2OTM1NQMAAAADMTYwAgAAAAQyMDM2BAAAAAEwBwAAAAgzLzcvMjAyNggAAAAKMTIvMzEvMjAxOQkAAAABMIG05iT/gd4Ijn5QKP+B3gguQ0lRLk5ZU0U6SUJNLklRX0RFUF9SVUEuOTk5LjA3LzAzLzIwMjYuLi5VU0QuSAEAAADetgEAAgAAAAM5MDABCAAAAAUAAAABMQEAAAALLTE5MDQ4NjA3NDMDAAAAAzE2MAIAAAAFNDgzNTcEAAAAATAHAAAACDMvNy8yMDI2CAAAAAoxMi8zMS8yMDI0CQAAAAEwgbTmJP+B3giOflAo/4HeCDFDSVEuTllTRTpJQk0uSVFfREVQUkVfU1VQUC45OTkuMDcvMDMvMjAyNi4uLlVTRC5IAQAAAN62AQADAAAAAACBtOYk/4HeCI5+UCj/gd4IMUNJUS5OWVNFOklCTS5JUV9ORVRfQ0hBTkdFLjk5Mi4wNy8wMy8yMDI2Li4uVVNELkgBAAAA3rYBAAIAAAAENDE2MQEIAAAABQAAAAExAQAAAAoyMDE3</t>
  </si>
  <si>
    <t>MTY0MjQ0AwAAAAMxNjACAAAABDIwOTMEAAAAATAHAAAACDMvNy8yMDI2CAAAAAoxMi8zMS8yMDE3CQAAAAEwgbTmJP+B3giEV1Ao/4HeCClDSVEuTllTRTpJQk0uSVFfRlguOTkzLjA3LzAzLzIwMjYuLi5VU0QuSAEAAADetgEAAgAAAAQtNDk1AQgAAAAFAAAAATEBAAAACjIwODE1MDU0MDEDAAAAAzE2MAIAAAAEMjE0NAQAAAABMAcAAAAIMy83LzIwMjYIAAAACjEyLzMxLzIwMTgJAAAAATCBtOYk/4HeCIRXUCj/gd4IPkNJUS5OWVNFOklCTS5JUV9PVEhFUl9GSU5BTkNFX0FDVF9TVVBQTC45OTMuMDcvMDMvMjAyNi4uLlVTRC5IAQAAAN62AQACAAAAAzExMgEIAAAABQAAAAExAQAAAAoyMDgxNTA1NDAxAwAAAAMxNjACAAAABDIwNTAEAAAAATAHAAAACDMvNy8yMDI2CAAAAAoxMi8zMS8yMDE4CQAAAAEwgbTmJP+B3giEV1Ao/4HeCDFDSVEuTllTRTpJQk0uSVFfQ0FTSF9UQVhFUy45OTkuMDcvMDMvMjAyNi4uLlVTRC5IAQAAAN62AQACAAAABDE3MjMBCAAAAAUAAAABMQEAAAALLTE5MDQ4NjA3NDMDAAAAAzE2MAIAAAAEMzA1MwQAAAABMAcAAAAIMy83LzIwMjYIAAAACjEyLzMxLzIwMjQJAAAAATCBtOYk/4HeCI5+UCj/gd4IO0NJUS5OWVNFOklCTS5JUV9DQVNIX0lOVEVSRVNUX0lOVkVTVC45OTUuMDcvMDMvMjAyNi4uLlVTRC5IAQAAAN62AQADAAAAAACBtOYk/4HeCI5+UCj/gd4IOENJUS5OWVNF</t>
  </si>
  <si>
    <t>OklCTS5JUV9DQVNIX0lOVEVSRVNUX05FVC45OTMuMDcvMDMvMjAyNi4uLlVTRC5IAQAAAN62AQADAAAAAACBtOYk/4HeCIcwUCj/gd4IQkNJUS5OWVNFOklCTS5JUV9TQUxFX1BST0NFRURTX1JFTlRBTF9BU1NFVFMuOTk2LjA3LzAzLzIwMjYuLi5VU0QuSAEAAADetgEAAwAAAAAAgbTmJP+B3giEV1Ao/4HeCDtDSVEuTllTRTpJQk0uSVFfTkVHQVRJVkVfR1dfQU1PUlRfQ0YuOTk0LjA3LzAzLzIwMjYuLi5VU0QuSAEAAADetgEAAwAAAAAAgbTmJP+B3giEV1Ao/4HeCEJDSVEuTllTRTpJQk0uSVFfT1BFUkFUSU5HX0xFQVNFX0xJQUJJTElUSUVTLjk5OS4wNy8wMy8yMDI2Li4uVVNELkgBAAAA3rYBAAMAAAAAAIG05iT/gd4IhFdQKP+B3ggzQ0lRLk5ZU0U6SUJNLklRX0RPX0lOVkVTVF9DRi45OTcuMDcvMDMvMjAyNi4uLlVTRC5IAQAAAN62AQADAAAAAACBtOYk/4HeCIRXUCj/gd4IL0NJUS5OWVNFOklCTS5JUV9DRl9TSEFSRS45OTcuMDcvMDMvMjAyNi4uLlVTRC5IAQAAAN62AQACAAAACDkuMzc1NTc5AQgAAAAFAAAAATEBAAAACy0xOTU4MjgxMDk2AwAAAAMxNjACAAAABTQzOTIzBAAAAAEwBwAAAAgzLzcvMjAyNggAAAAKMTIvMzEvMjAyMgkAAAABMIG05iT/gd4IhzBQKP+B3ggyQ0lRLk5ZU0U6SUJNLklRX0xFVkVSRURfRkNGLjk5Mi4wNy8wMy8yMDI2Li4uVVNELkgBAAAA3rYBAAIAAAAIODA0</t>
  </si>
  <si>
    <t>MS44NzUBCAAAAAUAAAABMQEAAAAKMjAxNzE2NDI0NAMAAAADMTYwAgAAAAQ0NDIyBAAAAAEwBwAAAAgzLzcvMjAyNggAAAAKMTIvMzEvMjAxNwkAAAABMIG05iT/gd4IhzBQKP+B3gg4Q0lRLk5ZU0U6SUJNLklRX0NBU0hfVEFYRVNfRklOQU4uMTAwMC4wNy8wMy8yMDI2Li4uVVNELkgBAAAA3rYBAAMAAAAAAIG05iT/gd4IhzBQKP+B3ggzQ0lRLk5ZU0U6SUJNLklRX1RPVEFMX0FTU0VUUy45OTkuMDcvMDMvMjAyNi4uLlVTRC5IAQAAAN62AQACAAAABjEzNzE3NQEIAAAABQAAAAExAQAAAAstMTkwNDg2MDc0MwMAAAADMTYwAgAAAAQxMDA3BAAAAAEwBwAAAAgzLzcvMjAyNggAAAAKMTIvMzEvMjAyNAkAAAABMIG05iT/gd4IhzBQKP+B3ggyQ0lRLk5ZU0U6SUJNLklRX09USEVSX0lOVEFOLjk5My4wNy8wMy8yMDI2Li4uVVNELkgBAAAA3rYBAAIAAAAEMzA4NwEIAAAABQAAAAExAQAAAAoyMDgxNTA1NDAxAwAAAAMxNjACAAAABDEwNDAEAAAAATAHAAAACDMvNy8yMDI2CAAAAAoxMi8zMS8yMDE4CQAAAAEwgbTmJP+B3giHMFAo/4HeCDVDSVEuTllTRTpJQk0uSVFfTE9BTlNfRk9SX1NBTEUuOTk0LjA3LzAzLzIwMjYuLi5VU0QuSAEAAADetgEAAwAAAAAAgbTmJP+B3ghpCVAo/4HeCDRDSVEuTllTRTpJQk0uSVFfVE9UQUxfUkVDRUlWLjEwMDAuMDcvMDMvMjAyNi4uLlVTRC5IAQAAAN62AQACAAAABDk2</t>
  </si>
  <si>
    <t>NDYBCAAAAAUAAAABMQEAAAALLTE5MDQ4NjA3NDADAAAAAzE2MAIAAAAEMTAwMQQAAAABMAcAAAAIMy83LzIwMjYIAAAACjEyLzMxLzIwMjUJAAAAATCBtOYk/4HeCGkJUCj/gd4IRENJUS5OWVNFOklCTS5JUV9UT1RBTF9ERUJUX1JFUEFJRF9FWENMX0xFQVNFUy45OTUuMDcvMDMvMjAyNi4uLlVTRC5IAQAAAN62AQACAAAABi0xNDIxOAEIAAAABQAAAAExAQAAAAstMjA1OTA3MzIwMgMAAAADMTYwAgAAAAU0ODk4NgQAAAABMAcAAAAIMy83LzIwMjYIAAAACjEyLzMxLzIwMjAJAAAAATCBtOYk/4HeCGkJUCj/gd4IOENJUS5OWVNFOklCTS5JUV9ORVRfUkVOVEFMX0VYUF9GTi45OTkuMDcvMDMvMjAyNi4uLlVTRC5IAQAAAN62AQACAAAABDEzMDkBCAAAAAUAAAABMQEAAAALLTE5MDQ4NjA3NDMDAAAAAzE2MAIAAAAEMzE3MAQAAAABMAcAAAAIMy83LzIwMjYIAAAACjEyLzMxLzIwMjQJAAAAATCBtOYk/4HeCIcwUCj/gd4ILUNJUS5OWVNFOklCTS5JUV9HQV9FWFAuOTk1LjA3LzAzLzIwMjYuLi5VU0QuSAEAAADetgEAAwAAAAAAgbTmJP+B3giHMFAo/4HeCDJDSVEuTllTRTpJQk0uSVFfQURWRVJUSVNJTkcuOTk1LjA3LzAzLzIwMjYuLi5VU0QuSAEAAADetgEAAgAAAAQxNTA5AQgAAAAFAAAAATEBAAAACy0yMDU5MDczMjAyAwAAAAMxNjACAAAABDMwMTMEAAAAATAHAAAACDMvNy8yMDI2CAAAAAoxMi8z</t>
  </si>
  <si>
    <t>MS8yMDIwCQAAAAEwgbTmJP+B3ghN4k8o/4HeCDFDSVEuTllTRTpJQk0uSVFfQ09NTU9OX0RJVi45OTkuMDcvMDMvMjAyNi4uLlVTRC5IAQAAAN62AQACAAAABDYxNDcAgbTmJP+B3ghN4k8o/4HeCEZDSVEuTllTRTpJQk0uSVFfRElTVFJJQlVUQUJMRV9DQVNIX1NUQU5EQVJESVpFRC45OTUuMDcvMDMvMjAyNi4uLlVTRC5IAQAAAN62AQADAAAAAACBtOYk/4HeCGkJUCj/gd4IOUNJUS5OWVNFOklCTS5JUV9SRVNUUlVDVFVSRV9TVVBQTEUuOTk1LjA3LzAzLzIwMjYuLi5VU0QuSAEAAADetgEAAwAAAAAAgbTmJP+B3ghpCVAo/4HeCDNDSVEuTllTRTpJQk0uSVFfTUFJTlRfUkVQQUlSLjk5OS4wNy8wMy8yMDI2Li4uVVNELkgBAAAA3rYBAAMAAAAAAIG05iT/gd4IaQlQKP+B3gg+Q0lRLk5ZU0U6SUJNLklRX0VYUExPUkVfRFJJTExfRVhQX1RPVEFMLjk5NC4wNy8wMy8yMDI2Li4uVVNELkgBAAAA3rYBAAMAAAAAAIG05iT/gd4ITeJPKP+B3gg1Q0lRLk5ZU0U6SUJNLklRX01JTklNVU1fUkVOVEFMLjk5Ny4wNy8wMy8yMDI2Li4uVVNELkgBAAAA3rYBAAMAAAAAAIG05iT/gd4ITeJPKP+B3gg8Q0lRLk5ZU0U6SUJNLklRX05FVF9SRU5UQUxfRVhQX1NVUFBMRS45OTMuMDcvMDMvMjAyNi4uLlVTRC5IAQAAAN62AQADAAAAAACBtOYk/4HeCE3iTyj/gd4INUNJUS5OWVNFOklCTS5JUV9TVE9DS19CQVNFRF9S</t>
  </si>
  <si>
    <t>RC45OTYuMDcvMDMvMjAyNi4uLlVTRC5IAQAAAN62AQACAAAAAzIxOAEIAAAABQAAAAExAQAAAAstMjAwODY0NzE5OAMAAAADMTYwAgAAAAUyMjY3OAQAAAABMAcAAAAIMy83LzIwMjYIAAAACjEyLzMxLzIwMjEJAAAAATCBtOYk/4HeCE3iTyj/gd4IO0NJUS5OWVNFOklCTS5JUV9ORUdBVElWRV9HV19BTU9SVF9BVC45OTMuMDcvMDMvMjAyNi4uLlVTRC5IAQAAAN62AQADAAAAAACBtOYk/4HeCE3iTyj/gd4IOkNJUS5OWVNFOklCTS5JUV9MRUdBTF9TRVRUTEVfU1VQUExFLjk5Ny4wNy8wMy8yMDI2Li4uVVNELkgBAAAA3rYBAAMAAAAAAIG05iT/gd4IP7tPKP+B3gg+Q0lRLk5ZU0U6SUJNLklRX0dBSU5fQkFSR0FJTl9BQ1FfU1VQUExFLjk5NC4wNy8wMy8yMDI2Li4uVVNELkgBAAAA3rYBAAMAAAAAAIG05iT/gd4IP7tPKP+B3gg7Q0lRLk5ZU0U6SUJNLklRX0lNUEFJUk1FTlRfR1dfU1VQUExFLjk5OC4wNy8wMy8yMDI2Li4uVVNELkgBAAAA3rYBAAMAAAAAAIG05iT/gd4IP7tPKP+B3gg5Q0lRLk5ZU0U6SUJNLklRX1NUT0NLX09QVElPTlNfQ09NUC45OTguMDcvMDMvMjAyNi4uLlVTRC5IAQAAAN62AQADAAAAAACBtOYk/4HeCE3iTyj/gd4IQENJUS5OWVNFOklCTS5JUV9TVE9DS19PUFRJT05TX0NPTVBfUFJFVEFYLjk5NS4wNy8wMy8yMDI2Li4uVVNELkgBAAAA3rYBAAMAAAAAAIG05iT/gd4ITeJP</t>
  </si>
  <si>
    <t>KP+B3gg5Q0lRLk5ZU0U6SUJNLklRX1NUT0NLX0JBU0VEX1RPVEFMLjEwMDAuMDcvMDMvMjAyNi4uLlVTRC5IAQAAAN62AQACAAAABDE3MTUBCAAAAAUAAAABMQEAAAALLTE5MDQ4NjA3NDADAAAAAzE2MAIAAAAFMjQwMzQEAAAAATAHAAAACDMvNy8yMDI2CAAAAAoxMi8zMS8yMDI1CQAAAAEwgbTmJP+B3gg/u08o/4HeCDhDSVEuTllTRTpJQk0uSVFfU1RPQ0tfQkFTRURfT1RIRVIuOTk3LjA3LzAzLzIwMjYuLi5VU0QuSAEAAADetgEAAwAAAAAAgbTmJP+B3gg/u08o/4HeCEBDSVEuTllTRTpJQk0uSVFfU1RPQ0tfQkFTRURfRVhQTE9SRV9EUklMTC45OTIuMDcvMDMvMjAyNi4uLlVTRC5IAQAAAN62AQADAAAAAACBtOYk/4HeCD+7Tyj/gd4INENJUS5OWVNFOklCTS5JUV9JTkNfRVFVSVRZX0NGLjk5Mi4wNy8wMy8yMDI2Li4uVVNELkgBAAAA3rYBAAMAAAAAAIG05iT/gd4IP7tPKP+B3gg1Q0lRLk5ZU0U6SUJNLklRX0dBSU5fSU5WRVNUX0NGLjk5Ni4wNy8wMy8yMDI2Li4uVVNELkgBAAAA3rYBAAMAAAAAAIG05iT/gd4IP7tPKP+B3gg7Q0lRLk5ZU0U6SUJNLklRX01JTk9SSVRZX0lOVEVSRVNUX0NGLjk5My4wNy8wMy8yMDI2Li4uVVNELkgBAAAA3rYBAAMAAAAAAIG05iT/gd4IB5RPKP+B3gg4Q0lRLk5ZU0U6SUJNLklRX0dXX0lOVEFOX0FNT1JUX0NGLjk5Ny4wNy8wMy8yMDI2Li4uVVNELkgBAAAA</t>
  </si>
  <si>
    <t>3rYBAAIAAAAEMTc0NwEIAAAABQAAAAExAQAAAAstMTk1ODI4MTA5NgMAAAADMTYwAgAAAAQyMTgyBAAAAAEwBwAAAAgzLzcvMjAyNggAAAAKMTIvMzEvMjAyMgkAAAABMIG05iT/gd4IB5RPKP+B3ggsQ0lRLk5ZU0U6SUJNLklRX05JX0NGLjk5NC4wNy8wMy8yMDI2Li4uVVNELkgBAAAA3rYBAAIAAAAEOTQzMQEIAAAABQAAAAExAQAAAAstMjExMDc2OTM1NQMAAAADMTYwAgAAAAQyMTUwBAAAAAEwBwAAAAgzLzcvMjAyNggAAAAKMTIvMzEvMjAxOQkAAAABMIG05iT/gd4IB5RPKP+B3gg1Q0lRLk5ZU0U6SUJNLklRX0NIQU5HRV9JTkNfVEFYLjk5Mi4wNy8wMy8yMDI2Li4uVVNELkgBAAAA3rYBAAMAAAAAAIG05iT/gd4IB5RPKP+B3ggwQ0lRLk5ZU0U6SUJNLklRX0NIQU5HRV9BUC45OTkuMDcvMDMvMjAyNi4uLlVTRC5IAQAAAN62AQACAAAAAy0xMwEIAAAABQAAAAExAQAAAAstMTkwNDg2MDc0MwMAAAADMTYwAgAAAAQyMDE3BAAAAAEwBwAAAAgzLzcvMjAyNggAAAAKMTIvMzEvMjAyNAkAAAABMIG05iT/gd4IB5RPKP+B3ggwQ0lRLk5ZU0U6SUJNLklRX0NIQU5HRV9BUi45OTYuMDcvMDMvMjAyNi4uLlVTRC5IAQAAAN62AQACAAAABDEzNzIBCAAAAAUAAAABMQEAAAALLTIwMDg2NDcxOTgDAAAAAzE2MAIAAAAEMjAxOAQAAAABMAcAAAAIMy83LzIwMjYIAAAACjEyLzMxLzIwMjEJAAAAATCBtOYk/4He</t>
  </si>
  <si>
    <t>CFRZTyj/gd4IOUNJUS5OWVNFOklCTS5JUV9QUk9WX0JBRF9ERUJUU19DRi4xMDAwLjA3LzAzLzIwMjYuLi5VU0QuSAEAAADetgEAAwAAAAAAgbTmJP+B3ggHlE8o/4HeCDVDSVEuTllTRTpJQk0uSVFfU1RPQ0tfQkFTRURfQ0YuOTk3LjA3LzAzLzIwMjYuLi5VU0QuSAEAAADetgEAAgAAAAM5ODcBCAAAAAUAAAABMQEAAAALLTE5NTgyODEwOTYDAAAAAzE2MAIAAAAEMjEyNwQAAAABMAcAAAAIMy83LzIwMjYIAAAACjEyLzMxLzIwMjIJAAAAATCBtOYk/4HeCAeUTyj/gd4IOENJUS5OWVNFOklCTS5JUV9UT1RBTF9ERUJUX0lTU1VFRC45OTIuMDcvMDMvMjAyNi4uLlVTRC5IAQAAAN62AQACAAAABTEwMjYzAQgAAAAFAAAAATEBAAAACjIwMTcxNjQyNDQDAAAAAzE2MAIAAAAEMjE2MQQAAAABMAcAAAAIMy83LzIwMjYIAAAACjEyLzMxLzIwMTcJAAAAATCBtOYk/4HeCAeUTyj/gd4INENJUS5OWVNFOklCTS5JUV9TQUxFX0lOVEFOX0NGLjk5OS4wNy8wMy8yMDI2Li4uVVNELkgBAAAA3rYBAAIAAAAELTYzNwEIAAAABQAAAAExAQAAAAstMTkwNDg2MDc0MwMAAAADMTYwAgAAAAQyMDI5BAAAAAEwBwAAAAgzLzcvMjAyNggAAAAKMTIvMzEvMjAyNAkAAAABMIG05iT/gd4IB5RPKP+B3gg6Q0lRLk5ZU0U6SUJNLklRX1NBTEVfUkVBTF9FU1RBVEVfQ0YuOTk0LjA3LzAzLzIwMjYuLi5VU0QuSAEAAADetgEAAwAA</t>
  </si>
  <si>
    <t>AAAAgbTmJP+B3ghUWU8o/4HeCCxDSVEuTllTRTpJQk0uSVFfQ0FQRVguOTk4LjA3LzAzLzIwMjYuLi5VU0QuSAEAAADetgEAAgAAAAUtMTI0NQEIAAAABQAAAAExAQAAAAstMTkwNDg2MDc0NAMAAAADMTYwAgAAAAQyMDIxBAAAAAEwBwAAAAgzLzcvMjAyNggAAAAKMTIvMzEvMjAyMwkAAAABMIG05iT/gd4IVFlPKP+B3ghDQ0lRLk5ZU0U6SUJNLklRX0NIQU5HRV9PVEhFUl9ORVRfT1BFUl9BU1NFVFMuOTk1LjA3LzAzLzIwMjYuLi5VU0QuSAEAAADetgEAAgAAAAQzMDIzAQgAAAAFAAAAATEBAAAACy0yMDU5MDczMjAyAwAAAAMxNjACAAAABDIwNDUEAAAAATAHAAAACDMvNy8yMDI2CAAAAAoxMi8zMS8yMDIwCQAAAAEwgbTmJP+B3ghUWU8o/4HeCDhDSVEuTllTRTpJQk0uSVFfVE9UQUxfRElWX1BBSURfQ0YuOTkyLjA3LzAzLzIwMjYuLi5VU0QuSAEAAADetgEAAgAAAAUtNTUwNgEIAAAABQAAAAExAQAAAAoyMDE3MTY0MjQ0AwAAAAMxNjACAAAABDIwMjIEAAAAATAHAAAACDMvNy8yMDI2CAAAAAoxMi8zMS8yMDE3CQAAAAEwgbTmJP+B3ghUWU8o/4HeCDRDSVEuTllTRTpJQk0uSVFfQ09NTU9OX0RJVl9DRi45OTUuMDcvMDMvMjAyNi4uLlVTRC5IAQAAAN62AQACAAAABS01Nzk3AQgAAAAFAAAAATEBAAAACy0yMDU5MDczMjAyAwAAAAMxNjACAAAABDIwNzQEAAAAATAHAAAACDMvNy8yMDI2CAAAAAox</t>
  </si>
  <si>
    <t>Mi8zMS8yMDIwCQAAAAEwgbTmJP+B3ghUWU8o/4HeCDJDSVEuTllTRTpJQk0uSVFfUFJFRl9JU1NVRUQuOTk0LjA3LzAzLzIwMjYuLi5VU0QuSAEAAADetgEAAwAAAAAAgbTmJP+B3ghUWU8o/4HeCDRDSVEuTllTRTpJQk0uSVFfQ09NTU9OX0lTU1VFRC45OTMuMDcvMDMvMjAyNi4uLlVTRC5IAQAAAN62AQADAAAAAACBtOYk/4HeCFRZTyj/gd4INUNJUS5OWVNFOklCTS5JUV9MVF9ERUJUX1JFUEFJRC45OTMuMDcvMDMvMjAyNi4uLlVTRC5IAQAAAN62AQACAAAABS04NTMzAQgAAAAFAAAAATEBAAAACjIwODE1MDU0MDEDAAAAAzE2MAIAAAAEMjAzNgQAAAABMAcAAAAIMy83LzIwMjYIAAAACjEyLzMxLzIwMTgJAAAAATCBtOYk/4HeCFRZTyj/gd4IQ0NJUS5OWVNFOklCTS5JUV9EQV9TVVBQTF9DRl9FWENMX09QRVJfTEVBU0VTLjk5NS4wNy8wMy8yMDI2Li4uVVNELkgBAAAA3rYBAAIAAAAENDIyNwEIAAAABQAAAAExAQAAAAstMjA1OTA3MzIwMgMAAAADMTYwAgAAAAU0ODk4MwQAAAABMAcAAAAIMy83LzIwMjYIAAAACjEyLzMxLzIwMjAJAAAAATCBtOYk/4HeCFRZTyj/gd4IMUNJUS5OWVNFOklCTS5JUV9ERVBSRV9TVVBQLjk5OC4wNy8wMy8yMDI2Li4uVVNELkgBAAAA3rYBAAMAAAAAAIG05iT/gd4IVFlPKP+B3gg6Q0lRLk5ZU0U6SUJNLklRX0RBX1NVUFBMX1BBUlRJQUxfQ0YuOTk5LjA3LzAzLzIw</t>
  </si>
  <si>
    <t>MjYuLi5VU0QuSAEAAADetgEAAwAAAAAAgbTmJP+B3ghFMk8o/4HeCClDSVEuTllTRTpJQk0uSVFfRlguOTkyLjA3LzAzLzIwMjYuLi5VU0QuSAEAAADetgEAAgAAAAM5MzcBCAAAAAUAAAABMQEAAAAKMjAxNzE2NDI0NAMAAAADMTYwAgAAAAQyMTQ0BAAAAAEwBwAAAAgzLzcvMjAyNggAAAAKMTIvMzEvMjAxNwkAAAABMIG05iT/gd4IRTJPKP+B3gg+Q0lRLk5ZU0U6SUJNLklRX09USEVSX0ZJTkFOQ0VfQUNUX1NVUFBMLjk5Mi4wNy8wMy8yMDI2Li4uVVNELkgBAAAA3rYBAAIAAAADMTc0AQgAAAAFAAAAATEBAAAACjIwMTcxNjQyNDQDAAAAAzE2MAIAAAAEMjA1MAQAAAABMAcAAAAIMy83LzIwMjYIAAAACjEyLzMxLzIwMTcJAAAAATCBtOYk/4HeCEUyTyj/gd4IN0NJUS5OWVNFOklCTS5JUV9DQVNIX1RBWEVTX0ZJTkFOLjk5OS4wNy8wMy8yMDI2Li4uVVNELkgBAAAA3rYBAAMAAAAAAIG05iT/gd4IRTJPKP+B3gg2Q0lRLk5ZU0U6SUJNLklRX0NBU0hfVEFYRVNfT1BFUi45OTUuMDcvMDMvMjAyNi4uLlVTRC5IAQAAAN62AQADAAAAAACBtOYk/4HeCFRZTyj/gd4IO0NJUS5OWVNFOklCTS5JUV9DQVNIX0lOVEVSRVNUX0lOVkVTVC45OTMuMDcvMDMvMjAyNi4uLlVTRC5IAQAAAN62AQADAAAAAACBtOYk/4HeCEUyTyj/gd4IQkNJUS5OWVNFOklCTS5JUV9TQUxFX1BST0NFRURTX1JFTlRBTF9BU1NFVFMu</t>
  </si>
  <si>
    <t>OTk1LjA3LzAzLzIwMjYuLi5VU0QuSAEAAADetgEAAwAAAAAAgbTmJP+B3ghFMk8o/4HeCDtDSVEuTllTRTpJQk0uSVFfTkVHQVRJVkVfR1dfQU1PUlRfQ0YuOTkzLjA3LzAzLzIwMjYuLi5VU0QuSAEAAADetgEAAwAAAAAAgbTmJP+B3ghFMk8o/4HeCDFDSVEuTllTRTpJQk0uSVFfQ0FTSF9FUVVJVi45OTguMDcvMDMvMjAyNi4uLlVTRC5IAQAAAN62AQACAAAABTEzMDY4AQgAAAAFAAAAATEBAAAACy0xOTA0ODYwNzQ0AwAAAAMxNjACAAAABDEwOTYEAAAAATAHAAAACDMvNy8yMDI2CAAAAAoxMi8zMS8yMDIzCQAAAAEwgbTmJP+B3ghFMk8o/4HeCERDSVEuTllTRTpJQk0uSVFfVE9UQUxfREVCVF9SRVBBSURfRVhDTF9MRUFTRVMuOTk0LjA3LzAzLzIwMjYuLi5VU0QuSAEAAADetgEAAgAAAAYtMTU1NDEBCAAAAAUAAAABMQEAAAALLTIxMTA3NjkzNTUDAAAAAzE2MAIAAAAFNDg5ODYEAAAAATAHAAAACDMvNy8yMDI2CAAAAAoxMi8zMS8yMDE5CQAAAAEwgbTmJP+B3ghFMk8o/4HeCEJDSVEuTllTRTpJQk0uSVFfT1BFUkFUSU5HX0xFQVNFX0xJQUJJTElUSUVTLjk5Ni4wNy8wMy8yMDI2Li4uVVNELkgBAAAA3rYBAAMAAAAAAIG05iT/gd4INQtPKP+B3ggzQ0lRLk5ZU0U6SUJNLklRX0RPX0lOVkVTVF9DRi45OTYuMDcvMDMvMjAyNi4uLlVTRC5IAQAAAN62AQADAAAAAACBtOYk/4HeCDULTyj/gd4INkNJ</t>
  </si>
  <si>
    <t>US5OWVNFOklCTS5JUV9ORVRfREVCVF9JU1NVRUQuOTkyLjA3LzAzLzIwMjYuLi5VU0QuSAEAAADetgEAAgAAAAQzNDQ3AQgAAAAFAAAAATEBAAAACjIwMTcxNjQyNDQDAAAAAzE2MAIAAAAEMjAwMwQAAAABMAcAAAAIMy83LzIwMjYIAAAACjEyLzMxLzIwMTcJAAAAATCBtOYk/4HeCDULTyj/gd4INkNJUS5OWVNFOklCTS5JUV9JTlRFUkVTVF9JTkNPTUUuOTk2LjA3LzAzLzIwMjYuLi5VU0QuSAEAAADetgEAAgAAAAI1MgEIAAAABQAAAAExAQAAAAstMjAwODY0NzE5OAMAAAADMTYwAgAAAAMyMTAEAAAAATAHAAAACDMvNy8yMDI2CAAAAAoxMi8zMS8yMDIxCQAAAAEwgbTmJP+B3gg1C08o/4HeCEBDSVEuTllTRTpJQk0uSVFfRUFSTklOR19QQVJFTlRfRVhDTF9FWFRSQS45OTIuMDcvMDMvMjAyNi4uLlVTRC5IAQAAAN62AQACAAAABDU3NTgBCAAAAAUAAAABMQEAAAAKMjAxNzE2NDI0NAMAAAADMTYwAgAAAAU0MTU5NgQAAAABMAcAAAAIMy83LzIwMjYIAAAACjEyLzMxLzIwMTcJAAAAATCBtOYk/4HeCDULTyj/gd4IOUNJUS5OWVNFOklCTS5JUV9BU19SRVBPUlRFRF9FQklUREEuOTk4LjA3LzAzLzIwMjYuLi5VU0QuSAEAAADetgEAAwAAAAAAgbTmJP+B3ggs5E4o/4HeCDRDSVEuTllTRTpJQk0uSVFfRUJJVERBX0NBUEVYLjEwMDAuMDcvMDMvMjAyNi4uLlVTRC5IAQAAAN62AQACAAAABTE1MDI3AQgA</t>
  </si>
  <si>
    <t>AAAFAAAAATEBAAAACy0xOTA0ODYwNzQwAwAAAAMxNjACAAAABTM1Mzc5BAAAAAEwBwAAAAgzLzcvMjAyNggAAAAKMTIvMzEvMjAyNQkAAAABMIG05iT/gd4ILOROKP+B3ggzQ0lRLk5ZU0U6SUJNLklRX1RPVEFMX1JFQ0VJVi45OTkuMDcvMDMvMjAyNi4uLlVTRC5IAQAAAN62AQACAAAABDgxODQBCAAAAAUAAAABMQEAAAALLTE5MDQ4NjA3NDMDAAAAAzE2MAIAAAAEMTAwMQQAAAABMAcAAAAIMy83LzIwMjYIAAAACjEyLzMxLzIwMjQJAAAAATCBtOYk/4HeCDULTyj/gd4INENJUS5OWVNFOklCTS5JUV9BTU9SVF9ESUNfQ0YuMjAwMC4wNy8wMy8yMDI2Li4uVVNELkgBAAAA3rYBAAMAAAAAAMgEVSX/gd4Iwc6BKP+B3gg4Q0lRLk5ZU0U6SUJNLklRX0NBU0hfSU5URVJFU1RfTkVULjk5MS4wNy8wMy8yMDI2Li4uVVNELkgBAAAA3rYBAAMAAAAAAMgEVSX/gd4Iwc6BKP+B3gg6Q0lRLk5ZU0U6SUJNLklRX0RBX1NVUFBMX1BBUlRJQUxfQ0YuOTkwLjA3LzAzLzIwMjYuLi5VU0QuSAEAAADetgEAAwAAAAAAyARVJf+B3gjBzoEo/4HeCEFDSVEuTllTRTpJQk0uSVFfR1dfSU5UQU5fQU1PUlRfUEFSVElBTF9DRi4yMDAwLjA3LzAzLzIwMjYuLi5VU0QuSAEAAADetgEAAwAAAAAAyARVJf+B3gjBzoEo/4HeCDNDSVEuTllTRTpJQk0uSVFfU0FMRV9QUEVfQ0YuMjAwMC4wNy8wMy8yMDI2Li4uVVNELkgBAAAA3rYB</t>
  </si>
  <si>
    <t>AAIAAAADMTIxAQgAAAAFAAAAATEBAAAACy0xOTA0ODYwNjU3AwAAAAMxNjACAAAABDIwNDIEAAAAATAHAAAACDMvNy8yMDI2CAAAAAoxMi8zMS8yMDI1CQAAAAEwyARVJf+B3giNp4Eo/4HeCDZDSVEuTllTRTpJQk0uSVFfSU5WRVNUX0xPQU5TX0NGLjk5MC4wNy8wMy8yMDI2Li4uVVNELkgBAAAA3rYBAAIAAAAELTM5OAEIAAAABQAAAAExAQAAAAoxODc2NDMyODcyAwAAAAMxNjACAAAABDIwMzIEAAAAATAHAAAACDMvNy8yMDI2CAAAAAoxMi8zMS8yMDE1CQAAAAEwyARVJf+B3giNp4Eo/4HeCDVDSVEuTllTRTpJQk0uSVFfQ0hBTkdFX0lOQ19UQVguOTkwLjA3LzAzLzIwMjYuLi5VU0QuSAEAAADetgEAAwAAAAAAyARVJf+B3giNp4Eo/4HeCDVDSVEuTllTRTpJQk0uSVFfT1RIRVJfT1BFUl9BQ1QuOTkxLjA3LzAzLzIwMjYuLi5VU0QuSAEAAADetgEAAgAAAAUtMTEzMgEIAAAABQAAAAExAQAAAAoxOTQ3MTc5NTgzAwAAAAMxNjACAAAABDIwNDcEAAAAATAHAAAACDMvNy8yMDI2CAAAAAoxMi8zMS8yMDE2CQAAAAEwyARVJf+B3giNp4Eo/4HeCDtDSVEuTllTRTpJQk0uSVFfU1RPQ0tfQkFTRURfQ09NUF9UQVguOTkwLjA3LzAzLzIwMjYuLi5VU0QuSAEAAADetgEAAgAAAAQtMTU2AMgEVSX/gd4Iwc6BKP+B3gg7Q0lRLk5ZU0U6SUJNLklRX1JFU1RSX1NUT0NLX0NPTVBfVEFYLjk5MS4wNy8wMy8yMDI2</t>
  </si>
  <si>
    <t>Li4uVVNELkgBAAAA3rYBAAMAAAAAAMgEVSX/gd4IvZOBKP+B3gg4Q0lRLk5ZU0U6SUJNLklRX0RFRl9UQVhfQVNTRVRTX0xULjk5MS4wNy8wMy8yMDI2Li4uVVNELkgBAAAA3rYBAAIAAAAENTIyNAEIAAAABQAAAAExAQAAAAoxOTQ3MTc5NTgzAwAAAAMxNjACAAAABDEwMjYEAAAAATAHAAAACDMvNy8yMDI2CAAAAAoxMi8zMS8yMDE2CQAAAAEwyARVJf+B3giNp4Eo/4HeCDNDSVEuTllTRTpJQk0uSVFfRE9fSU5WRVNUX0NGLjk5MC4wNy8wMy8yMDI2Li4uVVNELkgBAAAA3rYBAAMAAAAAAMgEVSX/gd4IjaeBKP+B3ggxQ0lRLk5ZU0U6SUJNLklRX0NBU0hfRVFVSVYuOTkxLjA3LzAzLzIwMjYuLi5VU0QuSAEAAADetgEAAgAAAAQ3ODI2AQgAAAAFAAAAATEBAAAACjE5NDcxNzk1ODMDAAAAAzE2MAIAAAAEMTA5NgQAAAABMAcAAAAIMy83LzIwMjYIAAAACjEyLzMxLzIwMTYJAAAAATDIBFUl/4HeCI2ngSj/gd4IP0NJUS5OWVNFOklCTS5JUV9BTU9SVF9TT0ZUV0FSRV9BU1NFVFNfQ0YuOTkwLjA3LzAzLzIwMjYuLi5VU0QuSAEAAADetgEAAwAAAAAAyARVJf+B3giNp4Eo/4HeCDpDSVEuTllTRTpJQk0uSVFfREFfU1VQUExfUEFSVElBTF9DRi45OTEuMDcvMDMvMjAyNi4uLlVTRC5IAQAAAN62AQADAAAAAADIBFUl/4HeCLNsgSj/gd4IMUNJUS5OWVNFOklCTS5JUV9ERVBSRV9TVVBQLjk5MC4wNy8wMy8y</t>
  </si>
  <si>
    <t>MDI2Li4uVVNELkgBAAAA3rYBAAMAAAAAAMgEVSX/gd4Is2yBKP+B3gg2Q0lRLk5ZU0U6SUJNLklRX0lOVkVTVF9MT0FOU19DRi45OTEuMDcvMDMvMjAyNi4uLlVTRC5IAQAAAN62AQACAAAABC04OTEBCAAAAAUAAAABMQEAAAAKMTk0NzE3OTU4MwMAAAADMTYwAgAAAAQyMDMyBAAAAAEwBwAAAAgzLzcvMjAyNggAAAAKMTIvMzEvMjAxNgkAAAABMMgEVSX/gd4IvZOBKP+B3gg1Q0lRLk5ZU0U6SUJNLklRX0NIQU5HRV9JTkNfVEFYLjk5MS4wNy8wMy8yMDI2Li4uVVNELkgBAAAA3rYBAAMAAAAAAMgEVSX/gd4IvZOBKP+B3gg7Q0lRLk5ZU0U6SUJNLklRX1RBWF9CRU5FRklUX09QVElPTlMuMjAwMC4wNy8wMy8yMDI2Li4uVVNELkgBAAAA3rYBAAMAAAAAAMgEVSX/gd4IvZOBKP+B3gg5Q0lRLk5ZU0U6SUJNLklRX0FTU0VUX1dSSVRFRE9XTl9DRi45OTEuMDcvMDMvMjAyNi4uLlVTRC5IAQAAAN62AQADAAAAAADIBFUl/4HeCLNsgSj/gd4IP0NJUS5OWVNFOklCTS5JUV9SRVNUUl9TVE9DS19DT01QX1BSRVRBWC4yMDAwLjA3LzAzLzIwMjYuLi5VU0QuSAEAAADetgEAAwAAAAAAyARVJf+B3gizbIEo/4HeCDhDSVEuTllTRTpJQk0uSVFfR1dfSU5UQU5fQU1PUlRfQ0YuOTkwLjA3LzAzLzIwMjYuLi5VU0QuSAEAAADetgEAAgAAAAQxMTkzAQgAAAAFAAAAATEBAAAACjE4NzY0MzI4NzIDAAAAAzE2MAIAAAAE</t>
  </si>
  <si>
    <t>MjE4MgQAAAABMAcAAAAIMy83LzIwMjYIAAAACjEyLzMxLzIwMTUJAAAAATDIBFUl/4HeCLNsgSj/gd4INENJUS5OWVNFOklCTS5JUV9NRVJHRVJfU1VQUExFLjk5MC4wNy8wMy8yMDI2Li4uVVNELkgBAAAA3rYBAAMAAAAAAMgEVSX/gd4Is2yBKP+B3ggzQ0lRLk5ZU0U6SUJNLklRX0FEVkVSVElTSU5HLjIwMDAuMDcvMDMvMjAyNi4uLlVTRC5IAQAAAN62AQACAAAABDExMjkBCAAAAAUAAAABMQEAAAALLTE5MDQ4NjA2NTcDAAAAAzE2MAIAAAAEMzAxMwQAAAABMAcAAAAIMy83LzIwMjYIAAAACjEyLzMxLzIwMjUJAAAAATDIBFUl/4HeCLNsgSj/gd4IOUNJUS5OWVNFOklCTS5JUV9DVVJSX0ZPUkVJR05fVEFYRVMuOTkwLjA3LzAzLzIwMjYuLi5VU0QuSAEAAADetgEAAgAAAAQyMTAxAQgAAAAFAAAAATEBAAAACjE4NzY0MzI4NzIDAAAAAzE2MAIAAAAEMzAzMAQAAAABMAcAAAAIMy83LzIwMjYIAAAACjEyLzMxLzIwMTUJAAAAATDIBFUl/4HeCIhFgSj/gd4IPkNJUS5OWVNFOklCTS5JUV9ERUZFUlJFRF9ET01FU1RJQ19UQVhFUy45OTAuMDcvMDMvMjAyNi4uLlVTRC5IAQAAAN62AQACAAAAAzY2OQEIAAAABQAAAAExAQAAAAoxODc2NDMyODcyAwAAAAMxNjACAAAABDMwNTQEAAAAATAHAAAACDMvNy8yMDI2CAAAAAoxMi8zMS8yMDE1CQAAAAEwyARVJf+B3giIRYEo/4HeCD5DSVEuTllTRTpJQk0uSVFf</t>
  </si>
  <si>
    <t>REVGRVJSRURfRk9SRUlHTl9UQVhFUy4yMDAwLjA3LzAzLzIwMjYuLi5VU0QuSAEAAADetgEAAgAAAAQtNzA4AQgAAAAFAAAAATEBAAAACy0xOTA0ODYwNjU3AwAAAAMxNjACAAAABDMwNTUEAAAAATAHAAAACDMvNy8yMDI2CAAAAAoxMi8zMS8yMDI1CQAAAAEwyARVJf+B3giIRYEo/4HeCD1DSVEuTllTRTpJQk0uSVFfRUJJVEFfRVFfSU5DX0VYQ0xfU0JDLjIwMDAuMDcvMDMvMjAyNi4uLlVTRC5IAQAAAN62AQACAAAABTE2NDQ5AQgAAAAFAAAAATEBAAAACy0xOTA0ODYwNjU3AwAAAAMxNjACAAAABTI0MTMyBAAAAAEwBwAAAAgzLzcvMjAyNggAAAAKMTIvMzEvMjAyNQkAAAABMMgEVSX/gd4IiEWBKP+B3ggvQ0lRLk5ZU0U6SUJNLklRX0VCSVREQVIuMjAwMC4wNy8wMy8yMDI2Li4uVVNELkgBAAAA3rYBAAIAAAAFMTc0MjYBCAAAAAUAAAABMQEAAAALLTE5MDQ4NjA2NTcDAAAAAzE2MAIAAAAFMjE2NzQEAAAAATAHAAAACDMvNy8yMDI2CAAAAAoxMi8zMS8yMDI1CQAAAAEwyARVJf+B3gizbIEo/4HeCDVDSVEuTllTRTpJQk0uSVFfTklfQVZBSUxfRVhDTC4yMDAwLjA3LzAzLzIwMjYuLi5VU0QuSAEAAADetgEAAgAAAAUxMDU3MQEIAAAABQAAAAExAQAAAAstMTkwNDg2MDY1NwMAAAADMTYwAgAAAAMzNzkEAAAAATAHAAAACDMvNy8yMDI2CAAAAAoxMi8zMS8yMDI1CQAAAAEwyARVJf+B3giyMYEo/4He</t>
  </si>
  <si>
    <t>CDpDSVEuTllTRTpJQk0uSVFfT1RIRVJfVU5VU1VBTF9TVVBQTC45OTEuMDcvMDMvMjAyNi4uLlVTRC5IAQAAAN62AQADAAAAAADIBFUl/4HeCIhFgSj/gd4IMUNJUS5OWVNFOklCTS5JUV9OSV9DT01QQU5ZLjk5MC4wNy8wMy8yMDI2Li4uVVNELkgBAAAA3rYBAAIAAAAFMTMxOTABCAAAAAUAAAABMQEAAAAKMTg3NjQzMjg3MgMAAAADMTYwAgAAAAU0MTU3MQQAAAABMAcAAAAIMy83LzIwMjYIAAAACjEyLzMxLzIwMTUJAAAAATDIBFUl/4HeCIhFgSj/gd4IMkNJUS5OWVNFOklCTS5JUV9SRVNUUlVDVFVSRS45OTEuMDcvMDMvMjAyNi4uLlVTRC5IAQAAAN62AQACAAAABS0xMDM4AQgAAAAFAAAAATEBAAAACjE5NDcxNzk1ODMDAAAAAzE2MAIAAAACOTgEAAAAATAHAAAACDMvNy8yMDI2CAAAAAoxMi8zMS8yMDE2CQAAAAEwyARVJf+B3giIRYEo/4HeCDNDSVEuTllTRTpJQk0uSVFfR0FJTl9JTlZFU1QuMjAwMC4wNy8wMy8yMDI2Li4uVVNELkgBAAAA3rYBAAIAAAACLTcBCAAAAAUAAAABMQEAAAALLTE5MDQ4NjA2NTcDAAAAAzE2MAIAAAACNjIEAAAAATAHAAAACDMvNy8yMDI2CAAAAAoxMi8zMS8yMDI1CQAAAAEwyARVJf+B3giIRYEo/4HeCDJDSVEuTllTRTpJQk0uSVFfT1RIRVJfT1BFUi4yMDAwLjA3LzAzLzIwMjYuLi5VU0QuSAEAAADetgEAAgAAAAQtOTY0AQgAAAAFAAAAATEBAAAACy0xOTA0ODYw</t>
  </si>
  <si>
    <t>NjU3AwAAAAMxNjACAAAAAzI2MAQAAAABMAcAAAAIMy83LzIwMjYIAAAACjEyLzMxLzIwMjUJAAAAATDIBFUl/4HeCFoKgSj/gd4IL0NJUS5OWVNFOklCTS5JUV9EQV9TVVBQTC45OTEuMDcvMDMvMjAyNi4uLlVTRC5IAQAAAN62AQADAAAAAADIBFUl/4HeCFoKgSj/gd4INkNJUS5OWVNFOklCTS5JUV9PVEhFUl9SRVZfU1VQUEwuOTkxLjA3LzAzLzIwMjYuLi5VU0QuSAEAAADetgEAAgAAAAItMQEIAAAABQAAAAExAQAAAAoxOTQ3MTc5NTgzAwAAAAMxNjACAAAAAjkwBAAAAAEwBwAAAAgzLzcvMjAyNggAAAAKMTIvMzEvMjAxNgkAAAABMMgEVSX/gd4IsjGBKP+B3ggzQ0lRLk5ZU0U6SUJNLklRX0ZJTl9ESVZfRVhQLjIwMDAuMDcvMDMvMjAyNi4uLlVTRC5IAQAAAN62AQACAAAAAzQwMwEIAAAABQAAAAExAQAAAAstMTkwNDg2MDY1NwMAAAADMTYwAgAAAAI1MQQAAAABMAcAAAAIMy83LzIwMjYIAAAACjEyLzMxLzIwMjUJAAAAATDIBFUl/4HeCLIxgSj/gd4IOUNJUS5OWVNFOklCTS5JUV9DVVJSX0ZPUkVJR05fVEFYRVMuOTkxLjA3LzAzLzIwMjYuLi5VU0QuSAEAAADetgEAAgAAAAM5ODgBCAAAAAUAAAABMQEAAAAKMTk0NzE3OTU4MwMAAAADMTYwAgAAAAQzMDMwBAAAAAEwBwAAAAgzLzcvMjAyNggAAAAKMTIvMzEvMjAxNgkAAAABMMgEVSX/gd4IsjGBKP+B3gg2Q0lRLk5ZU0U6SUJNLklRX0dBSU5f</t>
  </si>
  <si>
    <t>QVNTRVRTX1JFVi45OTEuMDcvMDMvMjAyNi4uLlVTRC5IAQAAAN62AQADAAAAAADIBFUl/4HeCIj2gCj/gd4IMkNJUS5OWVNFOklCTS5JUV9JTlNfRElWX0VYUC45OTAuMDcvMDMvMjAyNi4uLlVTRC5IAQAAAN62AQADAAAAAADIBFUl/4HeCFoKgSj/gd4INUNJUS5OWVNFOklCTS5JUV9FQklUQV9FWENMX1NCQy45OTAuMDcvMDMvMjAyNi4uLlVTRC5IAQAAAN62AQACAAAABTE4MTc4AQgAAAAFAAAAATEBAAAACjE4NzY0MzI4NzIDAAAAAzE2MAIAAAAFMjQxMzYEAAAAATAHAAAACDMvNy8yMDI2CAAAAAoxMi8zMS8yMDE1CQAAAAEwyARVJf+B3ghaCoEo/4HeCDdDSVEuTllTRTpJQk0uSVFfRUJJVERBUl9FWENMX1NCQy45OTAuMDcvMDMvMjAyNi4uLlVTRC5IAQAAAN62AQACAAAABTIyMjg1AQgAAAAFAAAAATEBAAAACjE4NzY0MzI4NzIDAAAAAzE2MAIAAAAFMjQxMzcEAAAAATAHAAAACDMvNy8yMDI2CAAAAAoxMi8zMS8yMDE1CQAAAAEwyARVJf+B3ghaCoEo/4HeCDZDSVEuTllTRTpJQk0uSVFfRVhUUkFfQUNDX0lURU1TLjk5MC4wNy8wMy8yMDI2Li4uVVNELkgBAAAA3rYBAAMAAAAAAMgEVSX/gd4IWgqBKP+B3ggyQ0lRLk5ZU0U6SUJNLklRX1JFU1RSVUNUVVJFLjk5MC4wNy8wMy8yMDI2Li4uVVNELkgBAAAA3rYBAAIAAAAELTU4NwEIAAAABQAAAAExAQAAAAoxODc2NDMyODcyAwAAAAMxNjACAAAA</t>
  </si>
  <si>
    <t>Ajk4BAAAAAEwBwAAAAgzLzcvMjAyNggAAAAKMTIvMzEvMjAxNQkAAAABMMgEVSX/gd4ImqiAKP+B3gg7Q0lRLk5ZU0U6SUJNLklRX1JFU1RSX1NUT0NLX0NPTVBfVEFYLjk5MC4wNy8wMy8yMDI2Li4uVVNELkgBAAAA3rYBAAMAAAAAAJkYVSX/gd4ImqiAKP+B3gg9Q0lRLk5ZU0U6SUJNLklRX05FVF9SRU5UQUxfRVhQX1NVUFBMRS4yMDAwLjA3LzAzLzIwMjYuLi5VU0QuSAEAAADetgEAAgAAAAQxMzA4AQgAAAAFAAAAATEBAAAACy0xOTA0ODYwNjU3AwAAAAMxNjACAAAABTI0MjYzBAAAAAEwBwAAAAgzLzcvMjAyNggAAAAKMTIvMzEvMjAyNQkAAAABMJkYVSX/gd4IlM+AKP+B3gg0Q0lRLk5ZU0U6SUJNLklRX09USEVSX1JFTlRBTC4yMDAwLjA3LzAzLzIwMjYuLi5VU0QuSAEAAADetgEAAwAAAAAAmRhVJf+B3giUz4Ao/4HeCDRDSVEuTllTRTpJQk0uSVFfTUVSR0VSX1NVUFBMRS45OTEuMDcvMDMvMjAyNi4uLlVTRC5IAQAAAN62AQADAAAAAACZGFUl/4HeCJTPgCj/gd4IMENJUS5OWVNFOklCTS5JUV9NQVJLRVRJTkcuOTkwLjA3LzAzLzIwMjYuLi5VU0QuSAEAAADetgEAAwAAAAAAmRhVJf+B3giOgYAo/4HeCD5DSVEuTllTRTpJQk0uSVFfREVGRVJSRURfRE9NRVNUSUNfVEFYRVMuOTkxLjA3LzAzLzIwMjYuLi5VU0QuSAEAAADetgEAAgAAAAQtNzkwAQgAAAAFAAAAATEBAAAACjE5NDcxNzk1ODMD</t>
  </si>
  <si>
    <t>AAAAAzE2MAIAAAAEMzA1NAQAAAABMAcAAAAIMy83LzIwMjYIAAAACjEyLzMxLzIwMTYJAAAAATCZGFUl/4HeCI6BgCj/gd4IO0NJUS5OWVNFOklCTS5JUV9ERUZFUlJFRF9UQVhFU19UT1RBTC45OTEuMDcvMDMvMjAyNi4uLlVTRC5IAQAAAN62AQACAAAABC05NjkBCAAAAAUAAAABMQEAAAAKMTk0NzE3OTU4MwMAAAADMTYwAgAAAAUzNTM4NQQAAAABMAcAAAAIMy83LzIwMjYIAAAACjEyLzMxLzIwMTYJAAAAATCZGFUl/4HeCJqogCj/gd4ILUNJUS5OWVNFOklCTS5JUV9FQklUQS4yMDAwLjA3LzAzLzIwMjYuLi5VU0QuSAEAAADetgEAAgAAAAUxNDczNAEIAAAABQAAAAExAQAAAAstMTkwNDg2MDY1NwMAAAADMTYwAgAAAAYxMDA2ODkEAAAAATAHAAAACDMvNy8yMDI2CAAAAAoxMi8zMS8yMDI1CQAAAAEwmRhVJf+B3giaqIAo/4HeCDVDSVEuTllTRTpJQk0uSVFfRUJJVERBUl9FUV9JTkMuOTkwLjA3LzAzLzIwMjYuLi5VU0QuSAEAAADetgEAAgAAAAUyMTgxNwEIAAAABQAAAAExAQAAAAoxODc2NDMyODcyAwAAAAMxNjACAAAABTI0MTI5BAAAAAEwBwAAAAgzLzcvMjAyNggAAAAKMTIvMzEvMjAxNQkAAAABMJkYVSX/gd4ImqiAKP+B3ggwQ0lRLk5ZU0U6SUJNLklRX0RJVl9TSEFSRS45OTAuMDcvMDMvMjAyNi4uLlVTRC5IAQAAAN62AQACAAAAATUBCAAAAAUAAAABMQEAAAAKMTg3NjQzMjg3MgMAAAAD</t>
  </si>
  <si>
    <t>MTYwAgAAAAQzMDU4BAAAAAEwBwAAAAgzLzcvMjAyNggAAAAKMTIvMzEvMjAxNQkAAAABMJkYVSX/gd4IjoGAKP+B3ggxQ0lRLk5ZU0U6SUJNLklRX05JX0NPTVBBTlkuOTkxLjA3LzAzLzIwMjYuLi5VU0QuSAEAAADetgEAAgAAAAUxMTg3MgEIAAAABQAAAAExAQAAAAoxOTQ3MTc5NTgzAwAAAAMxNjACAAAABTQxNTcxBAAAAAEwBwAAAAgzLzcvMjAyNggAAAAKMTIvMzEvMjAxNgkAAAABMJkYVSX/gd4IjoGAKP+B3gg1Q0lRLk5ZU0U6SUJNLklRX0JBU0lDX0VQU19JTkNMLjk5MC4wNy8wMy8yMDI2Li4uVVNELkgBAAAA3rYBAAIAAAAJMTMuNDc2NDQ4AQgAAAAFAAAAATEBAAAACjE4NzY0MzI4NzIDAAAAAzE2MAIAAAABOQQAAAABMAcAAAAIMy83LzIwMjYIAAAACjEyLzMxLzIwMTUJAAAAATCZGFUl/4HeCI6BgCj/gd4IMkNJUS5OWVNFOklCTS5JUV9HQUlOX0FTU0VUUy45OTAuMDcvMDMvMjAyNi4uLlVTRC5IAQAAAN62AQACAAAAAjEzAQgAAAAFAAAAATEBAAAACjE4NzY0MzI4NzIDAAAAAzE2MAIAAAACNTYEAAAAATAHAAAACDMvNy8yMDI2CAAAAAoxMi8zMS8yMDE1CQAAAAEwmRhVJf+B3giOgYAo/4HeCDdDSVEuTllTRTpJQk0uSVFfVE9UQUxfT1RIRVJfT1BFUi45OTAuMDcvMDMvMjAyNi4uLlVTRC5IAQAAAN62AQACAAAABTI0MTY3AQgAAAAFAAAAATEBAAAACjE4NzY0MzI4NzIDAAAAAzE2MAIA</t>
  </si>
  <si>
    <t>AAADMzgwBAAAAAEwBwAAAAgzLzcvMjAyNggAAAAKMTIvMzEvMjAxNQkAAAABMJkYVSX/gd4IjoGAKP+B3ggyQ0lRLk5ZU0U6SUJNLklRX0ZJTl9ESVZfUkVWLjk5MC4wNy8wMy8yMDI2Li4uVVNELkgBAAAA3rYBAAIAAAAEMTg2NAEIAAAABQAAAAExAQAAAAoxODc2NDMyODcyAwAAAAMxNjACAAAAAjUyBAAAAAEwBwAAAAgzLzcvMjAyNggAAAAKMTIvMzEvMjAxNQkAAAABMJkYVSX/gd4Id1qAKP+B3ggsQ0lRLk5ZU0U6SUJNLklRX0NBUEVYLjk5MS4wNy8wMy8yMDI2Li4uVVNELkgBAAAA3rYBAAIAAAAFLTM1NjcBCAAAAAUAAAABMQEAAAAKMTk0NzE3OTU4MwMAAAADMTYwAgAAAAQyMDIxBAAAAAEwBwAAAAgzLzcvMjAyNggAAAAKMTIvMzEvMjAxNgkAAAABMJkYVSX/gd4Id1qAKP+B3gg2Q0lRLk5ZU0U6SUJNLklRX1BST1ZfQkFEX0RFQlRTLjIwMDAuMDcvMDMvMjAyNi4uLlVTRC5IAQAAAN62AQADAAAAAACZGFUl/4HeCHdagCj/gd4ILUNJUS5OWVNFOklCTS5JUV9SRF9FWFAuOTkxLjA3LzAzLzIwMjYuLi5VU0QuSAEAAADetgEAAgAAAAQ1NzI2AQgAAAAFAAAAATEBAAAACjE5NDcxNzk1ODMDAAAAAzE2MAIAAAADMTAwBAAAAAEwBwAAAAgzLzcvMjAyNggAAAAKMTIvMzEvMjAxNgkAAAABMJkYVSX/gd4Id1qAKP+B3ggqQ0lRLk5ZU0U6SUJNLklRX1JFVi45OTEuMDcvMDMvMjAyNi4uLlVTRC5IAQAA</t>
  </si>
  <si>
    <t>AN62AQACAAAABTc4MjEwAQgAAAAFAAAAATEBAAAACjE5NDcxNzk1ODMDAAAAAzE2MAIAAAADMTEyBAAAAAEwBwAAAAgzLzcvMjAyNggAAAAKMTIvMzEvMjAxNgkAAAABMJkYVSX/gd4IjoGAKP+B3gg6Q0lRLk5ZU0U6SUJNLklRX0xFR0FMX1NFVFRMRV9TVVBQTEUuOTkwLjA3LzAzLzIwMjYuLi5VU0QuSAEAAADetgEAAwAAAAAAmRhVJf+B3gh1M4Ao/4HeCD9DSVEuTllTRTpJQk0uSVFfSU1QVVRfT1BFUl9MRUFTRV9JTlRfRVhQLjk5MC4wNy8wMy8yMDI2Li4uVVNELkgBAAAA3rYBAAIAAAAIMTM0LjIxMTYBCAAAAAUAAAABMQEAAAAKMTg3NjQzMjg3MgMAAAADMTYwAgAAAAUyMTY3MgQAAAABMAcAAAAIMy83LzIwMjYIAAAACjEyLzMxLzIwMTUJAAAAATCZGFUl/4HeCHdagCj/gd4IKkNJUS5OWVNFOklCTS5JUV9ESUMuOTkxLjA3LzAzLzIwMjYuLi5VU0QuSAEAAADetgEAAwAAAAAAmRhVJf+B3gh3WoAo/4HeCDBDSVEuTllTRTpJQk0uSVFfTUFSS0VUSU5HLjk5MS4wNy8wMy8yMDI2Li4uVVNELkgBAAAA3rYBAAMAAAAAAJkYVSX/gd4Id1qAKP+B3ggwQ0lRLk5ZU0U6SUJNLklRX1JEX0VYUF9GTi45OTAuMDcvMDMvMjAyNi4uLlVTRC5IAQAAAN62AQACAAAABDUyNDcBCAAAAAUAAAABMQEAAAAKMTg3NjQzMjg3MgMAAAADMTYwAgAAAAQzMTY4BAAAAAEwBwAAAAgzLzcvMjAyNggAAAAKMTIvMzEvMjAx</t>
  </si>
  <si>
    <t>NQkAAAABMJkYVSX/gd4Id1qAKP+B3gguQ0lRLk5ZU0U6SUJNLklRX05JX05PUk0uOTkwLjA3LzAzLzIwMjYuLi5VU0QuSAEAAADetgEAAgAAAAkxMDUxMS44NzUBCAAAAAUAAAABMQEAAAAKMTg3NjQzMjg3MgMAAAADMTYwAgAAAAQ0Mzc4BAAAAAEwBwAAAAgzLzcvMjAyNggAAAAKMTIvMzEvMjAxNQkAAAABMJkYVSX/gd4IdTOAKP+B3gg4Q0lRLk5ZU0U6SUJNLklRX0ZFRVNfT1RIRVJfSU5DT01FLjk5MS4wNy8wMy8yMDI2Li4uVVNELkgBAAAA3rYBAAMAAAAAAJkYVSX/gd4IdTOAKP+B3ggsQ0lRLk5ZU0U6SUJNLklRX0VCSVQuMjAwMC4wNy8wMy8yMDI2Li4uVVNELkgBAAAA3rYBAAIAAAAFMTI1NjgBCAAAAAUAAAABMQEAAAALLTE5MDQ4NjA2NTcDAAAAAzE2MAIAAAADNDAwBAAAAAEwBwAAAAgzLzcvMjAyNggAAAAKMTIvMzEvMjAyNQkAAAABMJkYVSX/gd4IdTOAKP+B3gg8Q0lRLk5ZU0U6SUJNLklRX0VCSVRfRVFfSU5DX0VYQ0xfU0JDLjIwMDAuMDcvMDMvMjAyNi4uLlVTRC5IAQAAAN62AQACAAAABTE0MjgzAQgAAAAFAAAAATEBAAAACy0xOTA0ODYwNjU3AwAAAAMxNjACAAAABTI0MTMwBAAAAAEwBwAAAAgzLzcvMjAyNggAAAAKMTIvMzEvMjAyNQkAAAABMJkYVSX/gd4IdTOAKP+B3ggzQ0lRLk5ZU0U6SUJNLklRX0VCSVRBX0VRX0lOQy45OTAuMDcvMDMvMjAyNi4uLlVTRC5IAQAAAN62AQAC</t>
  </si>
  <si>
    <t>AAAABTE3NzEwAQgAAAAFAAAAATEBAAAACjE4NzY0MzI4NzIDAAAAAzE2MAIAAAAFMjE2NzYEAAAAATAHAAAACDMvNy8yMDI2CAAAAAoxMi8zMS8yMDE1CQAAAAEwmRhVJf+B3gh1M4Ao/4HeCDVDSVEuTllTRTpJQk0uSVFfRUJJVEFfRVhDTF9TQkMuOTkxLjA3LzAzLzIwMjYuLi5VU0QuSAEAAADetgEAAgAAAAUxNjI1OAEIAAAABQAAAAExAQAAAAoxOTQ3MTc5NTgzAwAAAAMxNjACAAAABTI0MTM2BAAAAAEwBwAAAAgzLzcvMjAyNggAAAAKMTIvMzEvMjAxNgkAAAABMJkYVSX/gd4ISAyAKP+B3gg1Q0lRLk5ZU0U6SUJNLklRX0VCSVREQVJfRVFfSU5DLjk5MS4wNy8wMy8yMDI2Li4uVVNELkgBAAAA3rYBAAMAAAAAAJkYVSX/gd4ISAyAKP+B3gg0Q0lRLk5ZU0U6SUJNLklRX0VCSVREQV9FUV9JTkMuOTkwLjA3LzAzLzIwMjYuLi5VU0QuSAEAAADetgEAAgAAAAUyMDM3MgEIAAAABQAAAAExAQAAAAoxODc2NDMyODcyAwAAAAMxNjACAAAABTIxNjc3BAAAAAEwBwAAAAgzLzcvMjAyNggAAAAKMTIvMzEvMjAxNQkAAAABMJkYVSX/gd4IdTOAKP+B3gg2Q0lRLk5ZU0U6SUJNLklRX0VCSVREQV9FWENMX1NCQy45OTAuMDcvMDMvMjAyNi4uLlVTRC5IAQAAAN62AQACAAAABTIwODQwAQgAAAAFAAAAATEBAAAACjE4NzY0MzI4NzIDAAAAAzE2MAIAAAAFMjQxMzUEAAAAATAHAAAACDMvNy8yMDI2CAAAAAoxMi8z</t>
  </si>
  <si>
    <t>MS8yMDE1CQAAAAEwmRhVJf+B3gh1M4Ao/4HeCDBDSVEuTllTRTpJQk0uSVFfRElWX1NIQVJFLjk5MS4wNy8wMy8yMDI2Li4uVVNELkgBAAAA3rYBAAIAAAADNS41AQgAAAAFAAAAATEBAAAACjE5NDcxNzk1ODMDAAAAAzE2MAIAAAAEMzA1OAQAAAABMAcAAAAIMy83LzIwMjYIAAAACjEyLzMxLzIwMTYJAAAAATCZGFUl/4HeCHUzgCj/gd4INUNJUS5OWVNFOklCTS5JUV9CQVNJQ19FUFNfSU5DTC45OTEuMDcvMDMvMjAyNi4uLlVTRC5IAQAAAN62AQACAAAACTEyLjQyNTkxNQEIAAAABQAAAAExAQAAAAoxOTQ3MTc5NTgzAwAAAAMxNjACAAAAATkEAAAAATAHAAAACDMvNy8yMDI2CAAAAAoxMi8zMS8yMDE2CQAAAAEwmRhVJf+B3ghIDIAo/4HeCDFDSVEuTllTRTpJQk0uSVFfSU5TX1NFVFRMRS45OTEuMDcvMDMvMjAyNi4uLlVTRC5IAQAAAN62AQADAAAAAACZGFUl/4HeCEgMgCj/gd4IMkNJUS5OWVNFOklCTS5JUV9FQVJOSU5HX0NPLjIwMDAuMDcvMDMvMjAyNi4uLlVTRC5IAQAAAN62AQACAAAABTEwNTcxAQgAAAAFAAAAATEBAAAACy0xOTA0ODYwNjU3AwAAAAMxNjACAAAAATcEAAAAATAHAAAACDMvNy8yMDI2CAAAAAoxMi8zMS8yMDI1CQAAAAEwmRhVJf+B3ghIDIAo/4HeCDVDSVEuTllTRTpJQk0uSVFfQ1VSUkVOQ1lfR0FJTi4yMDAwLjA3LzAzLzIwMjYuLi5VU0QuSAEAAADetgEAAgAAAAQtMjQ0</t>
  </si>
  <si>
    <t>AQgAAAAFAAAAATEBAAAACy0xOTA0ODYwNjU3AwAAAAMxNjACAAAAAjM4BAAAAAEwBwAAAAgzLzcvMjAyNggAAAAKMTIvMzEvMjAyNQkAAAABMJkYVSX/gd4ISAyAKP+B3gg3Q0lRLk5ZU0U6SUJNLklRX1RPVEFMX09USEVSX09QRVIuOTkxLjA3LzAzLzIwMjYuLi5VU0QuSAEAAADetgEAAgAAAAUyNDM0NwEIAAAABQAAAAExAQAAAAoxOTQ3MTc5NTgzAwAAAAMxNjACAAAAAzM4MAQAAAABMAcAAAAIMy83LzIwMjYIAAAACjEyLzMxLzIwMTYJAAAAATCZGFUl/4HeCEgMgCj/gd4IOkNJUS5OWVNFOklCTS5JUV9JTlRFUkVTVF9JTlZFU1RfSU5DLjk5MS4wNy8wMy8yMDI2Li4uVVNELkgBAAAA3rYBAAIAAAADMTA4AQgAAAAFAAAAATEBAAAACjE5NDcxNzk1ODMDAAAAAzE2MAIAAAACNjUEAAAAATAHAAAACDMvNy8yMDI2CAAAAAoxMi8zMS8yMDE2CQAAAAEwmRhVJf+B3gjo5H8o/4HeCDFDSVEuTllTRTpJQk0uSVFfU0dBX1NVUFBMLjIwMDAuMDcvMDMvMjAyNi4uLlVTRC5IAQAAAN62AQACAAAABTE5MzgwAQgAAAAFAAAAATEBAAAACy0xOTA0ODYwNjU3AwAAAAMxNjACAAAAAzEwMgQAAAABMAcAAAAIMy83LzIwMjYIAAAACjEyLzMxLzIwMjUJAAAAATCZGFUl/4HeCOjkfyj/gd4IM0NJUS5OWVNFOklCTS5JUV9TVE9DS19CQVNFRC4yMDAwLjA3LzAzLzIwMjYuLi5VU0QuSAEAAADetgEAAwAAAAAAmRhVJf+B</t>
  </si>
  <si>
    <t>3gjo5H8o/4HeCDJDSVEuTllTRTpJQk0uSVFfSU5TX0RJVl9FWFAuOTkxLjA3LzAzLzIwMjYuLi5VU0QuSAEAAADetgEAAwAAAAAAmRhVJf+B3gjo5H8o/4HeCDdDSVEuTllTRTpJQk0uSVFfR0FJTl9BU1NFVFNfUkVWLjIwMDAuMDcvMDMvMjAyNi4uLlVTRC5IAQAAAN62AQADAAAAAACZGFUl/4HeCEgMgCj/gd4IK0NJUS5OWVNFOklCTS5JUV9SRVYuMjAwMC4wNy8wMy8yMDI2Li4uVVNELkgBAAAA3rYBAAIAAAAFNjY3OTkBCAAAAAUAAAABMQEAAAALLTE5MDQ4NjA2NTcDAAAAAzE2MAIAAAADMTEyBAAAAAEwBwAAAAgzLzcvMjAyNggAAAAKMTIvMzEvMjAyNQkAAAABMJkYVSX/gd4Ih85/KP+B3gg6Q0lRLk5ZU0U6SUJNLklRX0xFR0FMX1NFVFRMRV9TVVBQTEUuOTkxLjA3LzAzLzIwMjYuLi5VU0QuSAEAAADetgEAAwAAAAAAmRhVJf+B3gjo5H8o/4HeCDtDSVEuTllTRTpJQk0uSVFfTkVHQVRJVkVfR1dfQU1PUlRfQVQuOTkxLjA3LzAzLzIwMjYuLi5VU0QuSAEAAADetgEAAwAAAAAAmRhVJf+B3gjo5H8o/4HeCDZDSVEuTllTRTpJQk0uSVFfU1RPQ0tfQkFTRURfU0dBLjk5MC4wNy8wMy8yMDI2Li4uVVNELkgBAAAA3rYBAAIAAAADMzIyAQgAAAAFAAAAATEBAAAACjE4NzY0MzI4NzIDAAAAAzE2MAIAAAAFMjI2NzkEAAAAATAHAAAACDMvNy8yMDI2CAAAAAoxMi8zMS8yMDE1CQAAAAEwmRhVJf+B3gjo</t>
  </si>
  <si>
    <t>5H8o/4HeCD5DSVEuTllTRTpJQk0uSVFfUkVTVFJfU1RPQ0tfQ09NUF9QUkVUQVguOTkxLjA3LzAzLzIwMjYuLi5VU0QuSAEAAADetgEAAwAAAAAAmRhVJf+B3gjo5H8o/4HeCDBDSVEuTllTRTpJQk0uSVFfUkRfRVhQX0ZOLjk5MS4wNy8wMy8yMDI2Li4uVVNELkgBAAAA3rYBAAIAAAAENTcyNgEIAAAABQAAAAExAQAAAAoxOTQ3MTc5NTgzAwAAAAMxNjACAAAABDMxNjgEAAAAATAHAAAACDMvNy8yMDI2CAAAAAoxMi8zMS8yMDE2CQAAAAEwmRhVJf+B3gh4p38o/4HeCD1DSVEuTllTRTpJQk0uSVFfQU5OVV9ESVNUUklCVVRJT05fVU5JVC45OTAuMDcvMDMvMjAyNi4uLlVTRC5IAQAAAN62AQADAAAAAACZGFUl/4HeCHinfyj/gd4ILkNJUS5OWVNFOklCTS5JUV9OSV9OT1JNLjk5MS4wNy8wMy8yMDI2Li4uVVNELkgBAAAA3rYBAAIAAAAIODM5MC42MjUBCAAAAAUAAAABMQEAAAAKMTk0NzE3OTU4MwMAAAADMTYwAgAAAAQ0Mzc4BAAAAAEwBwAAAAgzLzcvMjAyNggAAAAKMTIvMzEvMjAxNgkAAAABMJkYVSX/gd4IeKd/KP+B3gg9Q0lRLk5ZU0U6SUJNLklRX1RPVEFMX1JFVl9BU19SRVBPUlRFRC4yMDAwLjA3LzAzLzIwMjYuLi5VU0QuSAEAAADetgEAAgAAAAU2NzUzNQEIAAAABQAAAAExAQAAAAstMTkwNDg2MDY1NwMAAAADMTYwAgAAAAMzMzkEAAAAATAHAAAACDMvNy8yMDI2CAAAAAoxMi8zMS8yMDI1</t>
  </si>
  <si>
    <t>CQAAAAEwmRhVJf+B3giHzn8o/4HeCEpDSVEuTllTRTpJQk0uSVFfUFJPVl9CQURfREVCVFNfUEFUSUVOVF9TRVJWSUNFX1JFVi4yMDAwLjA3LzAzLzIwMjYuLi5VU0QuSAEAAADetgEAAwAAAAAAmRhVJf+B3giHzn8o/4HeCC9DSVEuTllTRTpJQk0uSVFfTklfU0ZBUy4yMDAwLjA3LzAzLzIwMjYuLi5VU0QuSAEAAADetgEAAwAAAAAAmRhVJf+B3ghpgH8o/4HeCDRDSVEuTllTRTpJQk0uSVFfRUJJVF9FWENMX1NCQy45OTAuMDcvMDMvMjAyNi4uLlVTRC5IAQAAAN62AQACAAAABTE2OTg1AQgAAAAFAAAAATEBAAAACjE4NzY0MzI4NzIDAAAAAzE2MAIAAAAFMjQxMzQEAAAAATAHAAAACDMvNy8yMDI2CAAAAAoxMi8zMS8yMDE1CQAAAAEwmRhVJf+B3ghpgH8o/4HeCDNDSVEuTllTRTpJQk0uSVFfRUJJVEFfRVFfSU5DLjk5MS4wNy8wMy8yMDI2Li4uVVNELkgBAAAA3rYBAAIAAAAFMTU3MTQBCAAAAAUAAAABMQEAAAAKMTk0NzE3OTU4MwMAAAADMTYwAgAAAAUyMTY3NgQAAAABMAcAAAAIMy83LzIwMjYIAAAACjEyLzMxLzIwMTYJAAAAATCZGFUl/4HeCGmAfyj/gd4INENJUS5OWVNFOklCTS5JUV9FQklUREFfRVFfSU5DLjk5MS4wNy8wMy8yMDI2Li4uVVNELkgBAAAA3rYBAAIAAAAFMTg1NTEBCAAAAAUAAAABMQEAAAAKMTk0NzE3OTU4MwMAAAADMTYwAgAAAAUyMTY3NwQAAAABMAcAAAAIMy83LzIwMjYI</t>
  </si>
  <si>
    <t>AAAACjEyLzMxLzIwMTYJAAAAATCZGFUl/4HeCGmAfyj/gd4INkNJUS5OWVNFOklCTS5JUV9FQklUREFfRVhDTF9TQkMuOTkxLjA3LzAzLzIwMjYuLi5VU0QuSAEAAADetgEAAgAAAAUxOTA5NQEIAAAABQAAAAExAQAAAAoxOTQ3MTc5NTgzAwAAAAMxNjACAAAABTI0MTM1BAAAAAEwBwAAAAgzLzcvMjAyNggAAAAKMTIvMzEvMjAxNgkAAAABMJkYVSX/gd4IeKd/KP+B3ghMQ0lRLk5ZU0U6SUJNLklRX0RJU1RSSUJVVEFCTEVfQ0FTSF9QRVJfU0hBUkVfRElMVVRFRC4yMDAwLjA3LzAzLzIwMjYuLi5VU0QuSAEAAADetgEAAwAAAAAAmRhVJf+B3gg4WX8o/4HeCDZDSVEuTllTRTpJQk0uSVFfUFJFRl9ESVZfT1RIRVIuMjAwMC4wNy8wMy8yMDI2Li4uVVNELkgBAAAA3rYBAAMAAAAAAJkYVSX/gd4IOFl/KP+B3ggpQ0lRLk5ZU0U6SUJNLklRX0RPLjk5MC4wNy8wMy8yMDI2Li4uVVNELkgBAAAA3rYBAAIAAAAELTE3NAEIAAAABQAAAAExAQAAAAoxODc2NDMyODcyAwAAAAMxNjACAAAAAjQwBAAAAAEwBwAAAAgzLzcvMjAyNggAAAAKMTIvMzEvMjAxNQkAAAABMJkYVSX/gd4IOFl/KP+B3gg/Q0lRLk5ZU0U6SUJNLklRX09USEVSX05PTl9PUEVSX0VYUF9TVVBQTC45OTAuMDcvMDMvMjAyNi4uLlVTRC5IAQAAAN62AQACAAAAAzI0OQEIAAAABQAAAAExAQAAAAoxODc2NDMyODcyAwAAAAMxNjACAAAAAjg1BAAA</t>
  </si>
  <si>
    <t>AAEwBwAAAAgzLzcvMjAyNggAAAAKMTIvMzEvMjAxNQkAAAABMJkYVSX/gd4IOFl/KP+B3gg0Q0lRLk5ZU0U6SUJNLklRX1BSRV9PUEVOX0NPU1QuOTkwLjA3LzAzLzIwMjYuLi5VU0QuSAEAAADetgEAAwAAAAAAmRhVJf+B3gg4WX8o/4HeCDZDSVEuTllTRTpJQk0uSVFfR0FJTl9JTlZFU1RfUkVWLjk5MC4wNy8wMy8yMDI2Li4uVVNELkgBAAAA3rYBAAMAAAAAAJkYVSX/gd4I5wp/KP+B3ggvQ0lRLk5ZU0U6SUJNLklRX0VQU19OT1JNLjk5MC4wNy8wMy8yMDI2Li4uVVNELkgBAAAA3rYBAAIAAAAJMTAuNzQwMTYyAQgAAAAFAAAAATEBAAAACjE4NzY0MzI4NzIDAAAAAzE2MAIAAAAENDM3OQQAAAABMAcAAAAIMy83LzIwMjYIAAAACjEyLzMxLzIwMTUJAAAAATCZGFUl/4HeCPcxfyj/gd4IN0NJUS5OWVNFOklCTS5JUV9PVEhFUl9SRVZfU1VQUEwuMjAwMC4wNy8wMy8yMDI2Li4uVVNELkgBAAAA3rYBAAIAAAACLTEBCAAAAAUAAAABMQEAAAALLTE5MDQ4NjA2NTcDAAAAAzE2MAIAAAACOTAEAAAAATAHAAAACDMvNy8yMDI2CAAAAAoxMi8zMS8yMDI1CQAAAAEwmRhVJf+B3gj3MX8o/4HeCDRDSVEuTllTRTpJQk0uSVFfTklfQVZBSUxfSU5DTC45OTEuMDcvMDMvMjAyNi4uLlVTRC5IAQAAAN62AQACAAAABTExODcyAQgAAAAFAAAAATEBAAAACjE5NDcxNzk1ODMDAAAAAzE2MAIAAAACMTYEAAAAATAHAAAA</t>
  </si>
  <si>
    <t>CDMvNy8yMDI2CAAAAAoxMi8zMS8yMDE2CQAAAAEwmRhVJf+B3giZRX8o/4HeCDVDSVEuTllTRTpJQk0uSVFfRElMVVRfRVBTX0VYQ0wuOTkwLjA3LzAzLzIwMjYuLi5VU0QuSAEAAADetgEAAgAAAAkxMy41OTgyNDYBCAAAAAUAAAABMQEAAAAKMTg3NjQzMjg3MgMAAAADMTYwAgAAAAMxNDIEAAAAATAHAAAACDMvNy8yMDI2CAAAAAoxMi8zMS8yMDE1CQAAAAEwmRhVJf+B3giZRX8o/4HeCC9DSVEuTllTRTpJQk0uSVFfRUJUX0VYQ0wuOTkwLjA3LzAzLzIwMjYuLi5VU0QuSAEAAADetgEAAgAAAAUxNjgxOQEIAAAABQAAAAExAQAAAAoxODc2NDMyODcyAwAAAAMxNjACAAAAATQEAAAAATAHAAAACDMvNy8yMDI2CAAAAAoxMi8zMS8yMDE1CQAAAAEwmRhVJf+B3gjW434o/4HeCDRDSVEuTllTRTpJQk0uSVFfSU1QQUlSTUVOVF9HVy45OTAuMDcvMDMvMjAyNi4uLlVTRC5IAQAAAN62AQADAAAAAACZGFUl/4HeCNbjfij/gd4ILENJUS5OWVNFOklCTS5JUV9OSV9DRi45OTEuMDcvMDMvMjAyNi4uLlVTRC5IAQAAAN62AQACAAAABTExODcyAQgAAAAFAAAAATEBAAAACjE5NDcxNzk1ODMDAAAAAzE2MAIAAAAEMjE1MAQAAAABMAcAAAAIMy83LzIwMjYIAAAACjEyLzMxLzIwMTYJAAAAATCZGFUl/4HeCOcKfyj/gd4IOUNJUS5OWVNFOklCTS5JUV9SRVNUUlVDVFVSRV9TVVBQTEUuOTkxLjA3LzAzLzIwMjYuLi5V</t>
  </si>
  <si>
    <t>U0QuSAEAAADetgEAAwAAAAAAmRhVJf+B3gjnCn8o/4HeCDZDSVEuTllTRTpJQk0uSVFfTkVUX1JFTlRBTF9FWFAuMjAwMC4wNy8wMy8yMDI2Li4uVVNELkgBAAAA3rYBAAMAAAAAAJkYVSX/gd4I5wp/KP+B3gg7Q0lRLk5ZU0U6SUJNLklRX0NBUElUQUxJWkVEX0lOVEVSRVNULjk5MS4wNy8wMy8yMDI2Li4uVVNELkgBAAAA3rYBAAIAAAABMgEIAAAABQAAAAExAQAAAAoxOTQ3MTc5NTgzAwAAAAMxNjACAAAABDMwMzIEAAAAATAHAAAACDMvNy8yMDI2CAAAAAoxMi8zMS8yMDE2CQAAAAEwmRhVJf+B3gjFvH4o/4HeCEBDSVEuTllTRTpJQk0uSVFfRUFSTklOR19QQVJFTlRfRVhDTF9FWFRSQS45OTAuMDcvMDMvMjAyNi4uLlVTRC5IAQAAAN62AQACAAAABTEzMzY0AQgAAAAFAAAAATEBAAAACjE4NzY0MzI4NzIDAAAAAzE2MAIAAAAFNDE1OTYEAAAAATAHAAAACDMvNy8yMDI2CAAAAAoxMi8zMS8yMDE1CQAAAAEwmRhVJf+B3gjFvH4o/4HeCDZDSVEuTllTRTpJQk0uSVFfSU5URVJFU1RfSU5DT01FLjk5MC4wNy8wMy8yMDI2Li4uVVNELkgBAAAA3rYBAAIAAAACNzIBCAAAAAUAAAABMQEAAAAKMTg3NjQzMjg3MgMAAAADMTYwAgAAAAMyMTAEAAAAATAHAAAACDMvNy8yMDI2CAAAAAoxMi8zMS8yMDE1CQAAAAEwmRhVJf+B3gjFvH4o/4HeCDVDSVEuTllTRTpJQk0uSVFfRElMVVRfRVBTX0lOQ0wuOTkxLjA3</t>
  </si>
  <si>
    <t>LzAzLzIwMjYuLi5VU0QuSAEAAADetgEAAgAAAAkxMi4zODA2MTIBCAAAAAUAAAABMQEAAAAKMTk0NzE3OTU4MwMAAAADMTYwAgAAAAE4BAAAAAEwBwAAAAgzLzcvMjAyNggAAAAKMTIvMzEvMjAxNgkAAAABMJkYVSX/gd4I1uN+KP+B3ggrQ0lRLk5ZU0U6SUJNLklRX0VCVC4yMDAwLjA3LzAzLzIwMjYuLi5VU0QuSAEAAADetgEAAgAAAAUxMDMyOQEIAAAABQAAAAExAQAAAAstMTkwNDg2MDY1NwMAAAADMTYwAgAAAAMxMzkEAAAAATAHAAAACDMvNy8yMDI2CAAAAAoxMi8zMS8yMDI1CQAAAAEwmRhVJf+B3gjW434o/4HeCClDSVEuTllTRTpJQk0uSVFfRE8uOTkxLjA3LzAzLzIwMjYuLi5VU0QuSAEAAADetgEAAgAAAAItOQEIAAAABQAAAAExAQAAAAoxOTQ3MTc5NTgzAwAAAAMxNjACAAAAAjQwBAAAAAEwBwAAAAgzLzcvMjAyNggAAAAKMTIvMzEvMjAxNgkAAAABMJkYVSX/gd4It5V+KP+B3gg0Q0lRLk5ZU0U6SUJNLklRX05JX0FWQUlMX0lOQ0wuOTkwLjA3LzAzLzIwMjYuLi5VU0QuSAEAAADetgEAAgAAAAUxMzE5MAEIAAAABQAAAAExAQAAAAoxODc2NDMyODcyAwAAAAMxNjACAAAAAjE2BAAAAAEwBwAAAAgzLzcvMjAyNggAAAAKMTIvMzEvMjAxNQkAAAABMJkYVSX/gd4It5V+KP+B3gguQ0lRLk5ZU0U6SUJNLklRX01FUkdFUi4yMDAwLjA3LzAzLzIwMjYuLi5VU0QuSAEAAADetgEAAgAAAAQtMTUz</t>
  </si>
  <si>
    <t>AQgAAAAFAAAAATEBAAAACy0xOTA0ODYwNjU3AwAAAAMxNjACAAAAAjgwBAAAAAEwBwAAAAgzLzcvMjAyNggAAAAKMTIvMzEvMjAyNQkAAAABMJkYVSX/gd4It5V+KP+B3ggzQ0lRLk5ZU0U6SUJNLklRX0dBSU5fQVNTRVRTLjIwMDAuMDcvMDMvMjAyNi4uLlVTRC5IAQAAAN62AQADAAAAAACZGFUl/4HeCMW8fij/gd4IP0NJUS5OWVNFOklCTS5JUV9PVEhFUl9OT05fT1BFUl9FWFBfU1VQUEwuOTkxLjA3LzAzLzIwMjYuLi5VU0QuSAEAAADetgEAAgAAAAMtNzkBCAAAAAUAAAABMQEAAAAKMTk0NzE3OTU4MwMAAAADMTYwAgAAAAI4NQQAAAABMAcAAAAIMy83LzIwMjYIAAAACjEyLzMxLzIwMTYJAAAAATCZGFUl/4HeCMW8fij/gd4INENJUS5OWVNFOklCTS5JUV9QUkVfT1BFTl9DT1NULjk5MS4wNy8wMy8yMDI2Li4uVVNELkgBAAAA3rYBAAMAAAAAAJkYVSX/gd4Ipm5+KP+B3gg2Q0lRLk5ZU0U6SUJNLklRX0dXX0lOVEFOX0FNT1JULjIwMDAuMDcvMDMvMjAyNi4uLlVTRC5IAQAAAN62AQADAAAAAACZGFUl/4HeCKZufij/gd4INkNJUS5OWVNFOklCTS5JUV9HQUlOX0lOVkVTVF9SRVYuOTkxLjA3LzAzLzIwMjYuLi5VU0QuSAEAAADetgEAAwAAAAAAmRhVJf+B3gimbn4o/4HeCDNDSVEuTllTRTpJQk0uSVFfRklOX0RJVl9SRVYuMjAwMC4wNy8wMy8yMDI2Li4uVVNELkgBAAAA3rYBAAIAAAADNzM3AQgA</t>
  </si>
  <si>
    <t>AAAFAAAAATEBAAAACy0xOTA0ODYwNjU3AwAAAAMxNjACAAAAAjUyBAAAAAEwBwAAAAgzLzcvMjAyNggAAAAKMTIvMzEvMjAyNQkAAAABMJkYVSX/gd4Ipm5+KP+B3ggwQ0lRLk5ZU0U6SUJNLklRX1RPVEFMX1JFVi45OTAuMDcvMDMvMjAyNi4uLlVTRC5IAQAAAN62AQACAAAABTgxNzQxAQgAAAAFAAAAATEBAAAACjE4NzY0MzI4NzIDAAAAAzE2MAIAAAACMjgEAAAAATAHAAAACDMvNy8yMDI2CAAAAAoxMi8zMS8yMDE1CQAAAAEwmRhVJf+B3gi3lX4o/4HeCDFDSVEuTllTRTpJQk0uSVFfT1RIRVJfT1BFUi45OTEuMDcvMDMvMjAyNi4uLlVTRC5IAQAAAN62AQACAAAABS0xNjA0AQgAAAAFAAAAATEBAAAACjE5NDcxNzk1ODMDAAAAAzE2MAIAAAADMjYwBAAAAAEwBwAAAAgzLzcvMjAyNggAAAAKMTIvMzEvMjAxNgkAAAABMJkYVSX/gd4Ilkd+KP+B3ggwQ0lRLk5ZU0U6SUJNLklRX1RPVEFMX1JFVi45OTEuMDcvMDMvMjAyNi4uLlVTRC5IAQAAAN62AQACAAAABTc5OTE5AQgAAAAFAAAAATEBAAAACjE5NDcxNzk1ODMDAAAAAzE2MAIAAAACMjgEAAAAATAHAAAACDMvNy8yMDI2CAAAAAoxMi8zMS8yMDE2CQAAAAEwmRhVJf+B3giWR34o/4HeCClDSVEuTllTRTpJQk0uSVFfTkkuOTkwLjA3LzAzLzIwMjYuLi5VU0QuSAEAAADetgEAAgAAAAUxMzE5MAEIAAAABQAAAAExAQAAAAoxODc2NDMyODcyAwAAAAMx</t>
  </si>
  <si>
    <t>NjACAAAAAjE1BAAAAAEwBwAAAAgzLzcvMjAyNggAAAAKMTIvMzEvMjAxNQkAAAABMJkYVSX/gd4Ilkd+KP+B3ggxQ0lRLk5ZU0U6SUJNLklRX0lNUEFJUl9PSUwuOTkxLjA3LzAzLzIwMjYuLi5VU0QuSAEAAADetgEAAwAAAAAAmRhVJf+B3giWR34o/4HeCCtDSVEuTllTRTpJQk0uSVFfSVBSRC45OTEuMDcvMDMvMjAyNi4uLlVTRC5IAQAAAN62AQADAAAAAACZGFUl/4HeCJZHfij/gd4IKUNJUS5OWVNFOklCTS5JUV9HUC45OTAuMDcvMDMvMjAyNi4uLlVTRC5IAQAAAN62AQACAAAABTQwNjg0AQgAAAAFAAAAATEBAAAACjE4NzY0MzI4NzIDAAAAAzE2MAIAAAACMTAEAAAAATAHAAAACDMvNy8yMDI2CAAAAAoxMi8zMS8yMDE1CQAAAAEwmRhVJf+B3gh3+X0o/4HeCDJDSVEuTllTRTpJQk0uSVFfU1RPQ0tfQkFTRUQuOTkwLjA3LzAzLzIwMjYuLi5VU0QuSAEAAADetgEAAwAAAAAAmRhVJf+B3giGIH4o/4HeCDxDSVEuTllTRTpJQk0uSVFfTkVUX1JFTlRBTF9FWFBfU1VQUExFLjk5MC4wNy8wMy8yMDI2Li4uVVNELkgBAAAA3rYBAAMAAAAAAJkYVSX/gd4IhiB+KP+B3gg7Q0lRLk5ZU0U6SUJNLklRX05PTkNBU0hfUEVOU0lPTl9FWFAuMjAwMC4wNy8wMy8yMDI2Li4uVVNELkgBAAAA3rYBAAIAAAADLTQ5AQgAAAAFAAAAATEBAAAACy0xOTA0ODYwNjU3AwAAAAMxNjACAAAABTIxNjc4BAAAAAEwBwAAAAgz</t>
  </si>
  <si>
    <t>LzcvMjAyNggAAAAKMTIvMzEvMjAyNQkAAAABMJkYVSX/gd4IhiB+KP+B3gg6Q0lRLk5ZU0U6SUJNLklRX0RJU1RSSUJVVEFCTEVfQ0FTSC4yMDAwLjA3LzAzLzIwMjYuLi5VU0QuSAEAAADetgEAAwAAAAAAmRhVJf+B3giGIH4o/4HeCElDSVEuTllTRTpJQk0uSVFfSU5URVJFU1RfRVhQX0xFQVNFX0xJQUJJTElUWV9ERUJULjIwMDAuMDcvMDMvMjAyNi4uLlVTRC5IAQAAAN62AQADAAAAAACZGFUl/4HeCGfSfSj/gd4INkNJUS5OWVNFOklCTS5JUV9JTlRFUkVTVF9JTkNPTUUuOTkxLjA3LzAzLzIwMjYuLi5VU0QuSAEAAADetgEAAgAAAAMxMDgBCAAAAAUAAAABMQEAAAAKMTk0NzE3OTU4MwMAAAADMTYwAgAAAAMyMTAEAAAAATAHAAAACDMvNy8yMDI2CAAAAAoxMi8zMS8yMDE2CQAAAAEwmRhVJf+B3ghn0n0o/4HeCDlDSVEuTllTRTpJQk0uSVFfSU5WRVNUTUVOVF9JTkNPTUUuMjAwMC4wNy8wMy8yMDI2Li4uVVNELkgBAAAA3rYBAAMAAAAAAJkYVSX/gd4Id/l9KP+B3ghAQ0lRLk5ZU0U6SUJNLklRX0RJU1RSSUJVVEFCTEVfQ0FTSF9TSEFSRS4yMDAwLjA3LzAzLzIwMjYuLi5VU0QuSAEAAADetgEAAwAAAAAAmRhVJf+B3gh3+X0o/4HeCC5DSVEuTllTRTpJQk0uSVFfSU5DX1RBWC45OTAuMDcvMDMvMjAyNi4uLlVTRC5IAQAAAN62AQACAAAABDI1ODEBCAAAAAUAAAABMQEAAAAKMTg3NjQzMjg3MgMA</t>
  </si>
  <si>
    <t>AAADMTYwAgAAAAI3NQQAAAABMAcAAAAIMy83LzIwMjYIAAAACjEyLzMxLzIwMTUJAAAAATCZGFUl/4HeCHf5fSj/gd4INkNJUS5OWVNFOklCTS5JUV9BU1NFVF9XUklURURPV04uOTkwLjA3LzAzLzIwMjYuLi5VU0QuSAEAAADetgEAAwAAAAAAmRhVJf+B3ghZq30o/4HeCC9DSVEuTllTRTpJQk0uSVFfT1BFUl9JTkMuOTkwLjA3LzAzLzIwMjYuLi5VU0QuSAEAAADetgEAAgAAAAUxNjUxNwEIAAAABQAAAAExAQAAAAoxODc2NDMyODcyAwAAAAMxNjACAAAAAjIxBAAAAAEwBwAAAAgzLzcvMjAyNggAAAAKMTIvMzEvMjAxNQkAAAABMJkYVSX/gd4IWat9KP+B3ggxQ0lRLk5ZU0U6SUJNLklRX0lNUEFJUl9PSUwuOTkwLjA3LzAzLzIwMjYuLi5VU0QuSAEAAADetgEAAwAAAAAAmRhVJf+B3ghZq30o/4HeCCtDSVEuTllTRTpJQk0uSVFfQ09HUy45OTAuMDcvMDMvMjAyNi4uLlVTRC5IAQAAAN62AQACAAAABTQwMDQ2AQgAAAAFAAAAATEBAAAACjE4NzY0MzI4NzIDAAAAAzE2MAIAAAACMzQEAAAAATAHAAAACDMvNy8yMDI2CAAAAAoxMi8zMS8yMDE1CQAAAAEwmRhVJf+B3ghn0n0o/4HeCC5DSVEuTllTRTpJQk0uSVFfSU5DX1RBWC45OTEuMDcvMDMvMjAyNi4uLlVTRC5IAQAAAN62AQACAAAAAzQ0OQEIAAAABQAAAAExAQAAAAoxOTQ3MTc5NTgzAwAAAAMxNjACAAAAAjc1BAAAAAEwBwAAAAgzLzcvMjAyNggA</t>
  </si>
  <si>
    <t>AAAKMTIvMzEvMjAxNgkAAAABMJkYVSX/gd4IZ9J9KP+B3gg8Q0lRLk5ZU0U6SUJNLklRX01JTk9SSVRZX0lOVEVSRVNUX0lTLjIwMDAuMDcvMDMvMjAyNi4uLlVTRC5IAQAAAN62AQADAAAAAACZGFUl/4HeCCGEfSj/gd4INUNJUS5OWVNFOklCTS5JUV9CQVNJQ19FUFNfRVhDTC45OTAuMDcvMDMvMjAyNi4uLlVTRC5IAQAAAN62AQACAAAACTEzLjY1NDIyNwEIAAAABQAAAAExAQAAAAoxODc2NDMyODcyAwAAAAMxNjACAAAABDMwNjQEAAAAATAHAAAACDMvNy8yMDI2CAAAAAoxMi8zMS8yMDE1CQAAAAEwmRhVJf+B3gghhH0o/4HeCC9DSVEuTllTRTpJQk0uSVFfT1BFUl9JTkMuOTkxLjA3LzAzLzIwMjYuLi5VU0QuSAEAAADetgEAAgAAAAUxNDE3MAEIAAAABQAAAAExAQAAAAoxOTQ3MTc5NTgzAwAAAAMxNjACAAAAAjIxBAAAAAEwBwAAAAgzLzcvMjAyNggAAAAKMTIvMzEvMjAxNgkAAAABMJkYVSX/gd4IIYR9KP+B3gg4Q0lRLk5ZU0U6SUJNLklRX05FVF9JTlRFUkVTVF9FWFAuMjAwMC4wNy8wMy8yMDI2Li4uVVNELkgBAAAA3rYBAAIAAAAFLTEyOTABCAAAAAUAAAABMQEAAAALLTE5MDQ4NjA2NTcDAAAAAzE2MAIAAAADMzY4BAAAAAEwBwAAAAgzLzcvMjAyNggAAAAKMTIvMzEvMjAyNQkAAAABMJkYVSX/gd4IIYR9KP+B3gg0Q0lRLk5ZU0U6SUJNLklRX0xFR0FMX1NFVFRMRS4yMDAwLjA3LzAzLzIw</t>
  </si>
  <si>
    <t>MjYuLi5VU0QuSAEAAADetgEAAwAAAAAAmRhVJf+B3ghZq30o/4HeCDZDSVEuTllTRTpJQk0uSVFfRklOX0RJVl9JTlRfRVhQLjk5MS4wNy8wMy8yMDI2Li4uVVNELkgBAAAA3rYBAAMAAAAAAJkYVSX/gd4ISW99KP+B3ggyQ0lRLk5ZU0U6SUJNLklRX0dBSU5fSU5WRVNULjk5MS4wNy8wMy8yMDI2Li4uVVNELkgBAAAA3rYBAAIAAAADLTIzAQgAAAAFAAAAATEBAAAACjE5NDcxNzk1ODMDAAAAAzE2MAIAAAACNjIEAAAAATAHAAAACDMvNy8yMDI2CAAAAAoxMi8zMS8yMDE2CQAAAAEwmRhVJf+B3gghhH0o/4HeCDRDSVEuTllTRTpJQk0uSVFfSU1QQUlSTUVOVF9HVy45OTEuMDcvMDMvMjAyNi4uLlVTRC5IAQAAAN62AQADAAAAAACZGFUl/4HeCCGEfSj/gd4IM0NJUS5OWVNFOklCTS5JUV9JTlNfRElWX0VYUC4yMDAwLjA3LzAzLzIwMjYuLi5VU0QuSAEAAADetgEAAwAAAAAAmRhVJf+B3gghhH0o/4HeCDNDSVEuTllTRTpJQk0uSVFfSU5URVJFU1RfRVhQLjk5MC4wNy8wMy8yMDI2Li4uVVNELkgBAAAA3rYBAAIAAAAELTQ2OAEIAAAABQAAAAExAQAAAAoxODc2NDMyODcyAwAAAAMxNjACAAAAAjgyBAAAAAEwBwAAAAgzLzcvMjAyNggAAAAKMTIvMzEvMjAxNQkAAAABMJkYVSX/gd4IIYR9KP+B3gg+Q0lRLk5ZU0U6SUJNLklRX0FTU0VUX1dSSVRFRE9XTl9TVVBQTEUuMjAwMC4wNy8wMy8yMDI2Li4uVVNE</t>
  </si>
  <si>
    <t>LkgBAAAA3rYBAAMAAAAAAJkYVSX/gd4IlzR9KP+B3gg5Q0lRLk5ZU0U6SUJNLklRX05FR0FUSVZFX0dXX0FNT1JULjIwMDAuMDcvMDMvMjAyNi4uLlVTRC5IAQAAAN62AQADAAAAAACZGFUl/4HeCKdbfSj/gd4ILUNJUS5OWVNFOklCTS5JUV9HQV9FWFAuOTkwLjA3LzAzLzIwMjYuLi5VU0QuSAEAAADetgEAAwAAAAAAmRhVJf+B3ginW30o/4HeCDxDSVEuTllTRTpJQk0uSVFfTkVUX1JFTlRBTF9FWFBfU1VQUExFLjk5MS4wNy8wMy8yMDI2Li4uVVNELkgBAAAA3rYBAAMAAAAAAJkYVSX/gd4ISW99KP+B3ggzQ0lRLk5ZU0U6SUJNLklRX09USEVSX1JFTlRBTC45OTEuMDcvMDMvMjAyNi4uLlVTRC5IAQAAAN62AQADAAAAAACZGFUl/4HeCElvfSj/gd4IMENJUS5OWVNFOklCTS5JUV9EQV9FQklUREEuOTkwLjA3LzAzLzIwMjYuLi5VU0QuSAEAAADetgEAAgAAAAQzODU1AQgAAAAFAAAAATEBAAAACjE4NzY0MzI4NzIDAAAAAzE2MAIAAAAEMjIwNgQAAAABMAcAAAAIMy83LzIwMjYIAAAACjEyLzMxLzIwMTUJAAAAATCZGFUl/4HeCIcNfSj/gd4IRkNJUS5OWVNFOklCTS5JUV9ESVNUUklCVVRBQkxFX0NBU0hfU1RBTkRBUkRJWkVELjk5MC4wNy8wMy8yMDI2Li4uVVNELkgBAAAA3rYBAAMAAAAAAJkYVSX/gd4Ihw19KP+B3gg+Q0lRLk5ZU0U6SUJNLklRX0VYQ0lTRV9UQVhFU19FWENMX1NBTEVTLjk5MS4w</t>
  </si>
  <si>
    <t>Ny8wMy8yMDI2Li4uVVNELkgBAAAA3rYBAAMAAAAAAJkYVSX/gd4IlzR9KP+B3gg/Q0lRLk5ZU0U6SUJNLklRX0VYQ0lTRV9UQVhFU19JTkNMX1NBTEVTLjIwMDAuMDcvMDMvMjAyNi4uLlVTRC5IAQAAAN62AQADAAAAAACZGFUl/4HeCJc0fSj/gd4IMENJUS5OWVNFOklCTS5JUV9FUFNfTk9STS4yMDAwLjA3LzAzLzIwMjYuLi5VU0QuSAEAAADetgEAAgAAAAg3LjQ4MDg3NQEIAAAABQAAAAExAQAAAAstMTkwNDg2MDY1NwMAAAADMTYwAgAAAAQ0Mzc5BAAAAAEwBwAAAAgzLzcvMjAyNggAAAAKMTIvMzEvMjAyNQkAAAABMJkYVSX/gd4IlzR9KP+B3gg4Q0lRLk5ZU0U6SUJNLklRX1NQRUNJQUxfRElWX1NIQVJFLjk5MC4wNy8wMy8yMDI2Li4uVVNELkgBAAAA3rYBAAMAAAAAAJkYVSX/gd4IduZ8KP+B3gg2Q0lRLk5ZU0U6SUJNLklRX0FTU0VUX1dSSVRFRE9XTi45OTEuMDcvMDMvMjAyNi4uLlVTRC5IAQAAAN62AQADAAAAAACZGFUl/4HeCHbmfCj/gd4INUNJUS5OWVNFOklCTS5JUV9FWFBMT1JFX0RSSUxMLjIwMDAuMDcvMDMvMjAyNi4uLlVTRC5IAQAAAN62AQADAAAAAACZGFUl/4HeCHbmfCj/gd4IKkNJUS5OWVNFOklCTS5JUV9HUC4yMDAwLjA3LzAzLzIwMjYuLi5VU0QuSAEAAADetgEAAgAAAAUzOTI5NgEIAAAABQAAAAExAQAAAAstMTkwNDg2MDY1NwMAAAADMTYwAgAAAAIxMAQAAAABMAcAAAAI</t>
  </si>
  <si>
    <t>My83LzIwMjYIAAAACjEyLzMxLzIwMjUJAAAAATCZGFUl/4HeCIcNfSj/gd4IM0NJUS5OWVNFOklCTS5JUV9JTlRfSU5WX0lOQy4yMDAwLjA3LzAzLzIwMjYuLi5VU0QuSAEAAADetgEAAwAAAAAAmRhVJf+B3giHDX0o/4HeCCtDSVEuTllTRTpJQk0uSVFfQ09HUy45OTEuMDcvMDMvMjAyNi4uLlVTRC5IAQAAAN62AQACAAAABTQwMzU4AQgAAAAFAAAAATEBAAAACjE5NDcxNzk1ODMDAAAAAzE2MAIAAAACMzQEAAAAATAHAAAACDMvNy8yMDI2CAAAAAoxMi8zMS8yMDE2CQAAAAEwmRhVJf+B3ghnv3wo/4HeCDtDSVEuTllTRTpJQk0uSVFfTUlOT1JJVFlfSU5URVJFU1RfSVMuOTkwLjA3LzAzLzIwMjYuLi5VU0QuSAEAAADetgEAAwAAAAAAmRhVJf+B3ghnv3wo/4HeCDJDSVEuTllTRTpJQk0uSVFfR0FJTl9BU1NFVFMuOTkxLjA3LzAzLzIwMjYuLi5VU0QuSAEAAADetgEAAgAAAAIyNwEIAAAABQAAAAExAQAAAAoxOTQ3MTc5NTgzAwAAAAMxNjACAAAAAjU2BAAAAAEwBwAAAAgzLzcvMjAyNggAAAAKMTIvMzEvMjAxNgkAAAABMJkYVSX/gd4IZ798KP+B3ggqQ0lRLk5ZU0U6SUJNLklRX0VCVC45OTEuMDcvMDMvMjAyNi4uLlVTRC5IAQAAAN62AQACAAAABTEyMzMwAQgAAAAFAAAAATEBAAAACjE5NDcxNzk1ODMDAAAAAzE2MAIAAAADMTM5BAAAAAEwBwAAAAgzLzcvMjAyNggAAAAKMTIvMzEvMjAxNgkAAAAB</t>
  </si>
  <si>
    <t>MJkYVSX/gd4IZ798KP+B3gg7Q0lRLk5ZU0U6SUJNLklRX0lOVEVSRVNUX0lOVkVTVF9JTkMuMjAwMC4wNy8wMy8yMDI2Li4uVVNELkgBAAAA3rYBAAIAAAADNjQ1AQgAAAAFAAAAATEBAAAACy0xOTA0ODYwNjU3AwAAAAMxNjACAAAAAjY1BAAAAAEwBwAAAAgzLzcvMjAyNggAAAAKMTIvMzEvMjAyNQkAAAABMJkYVSX/gd4IduZ8KP+B3ggtQ0lRLk5ZU0U6SUJNLklRX01FUkdFUi45OTEuMDcvMDMvMjAyNi4uLlVTRC5IAQAAAN62AQACAAAAAi01AQgAAAAFAAAAATEBAAAACjE5NDcxNzk1ODMDAAAAAzE2MAIAAAACODAEAAAAATAHAAAACDMvNy8yMDI2CAAAAAoxMi8zMS8yMDE2CQAAAAEwmRhVJf+B3ghGcXwo/4HeCDVDSVEuTllTRTpJQk0uSVFfR1dfSU5UQU5fQU1PUlQuOTkxLjA3LzAzLzIwMjYuLi5VU0QuSAEAAADetgEAAwAAAAAAmRhVJf+B3ghXmHwo/4HeCDhDSVEuTllTRTpJQk0uSVFfVE9UQUxfT1RIRVJfT1BFUi4yMDAwLjA3LzAzLzIwMjYuLi5VU0QuSAEAAADetgEAAgAAAAUyNjcyOAEIAAAABQAAAAExAQAAAAstMTkwNDg2MDY1NwMAAAADMTYwAgAAAAMzODAEAAAAATAHAAAACDMvNy8yMDI2CAAAAAoxMi8zMS8yMDI1CQAAAAEwmRhVJf+B3ghXmHwo/4HeCDJDSVEuTllTRTpJQk0uSVFfSU5UX0lOVl9JTkMuOTkxLjA3LzAzLzIwMjYuLi5VU0QuSAEAAADetgEAAwAAAAAAmRhVJf+B3ghX</t>
  </si>
  <si>
    <t>mHwo/4HeCDdDSVEuTllTRTpJQk0uSVFfRklOX0RJVl9JTlRfRVhQLjIwMDAuMDcvMDMvMjAyNi4uLlVTRC5IAQAAAN62AQADAAAAAACZGFUl/4HeCFeYfCj/gd4INENJUS5OWVNFOklCTS5JUV9FWFBMT1JFX0RSSUxMLjk5MC4wNy8wMy8yMDI2Li4uVVNELkgBAAAA3rYBAAMAAAAAAJkYVSX/gd4IOEp8KP+B3gg7Q0lRLk5ZU0U6SUJNLklRX05FR0FUSVZFX0dXX0FNT1JUX0FULjk5MC4wNy8wMy8yMDI2Li4uVVNELkgBAAAA3rYBAAMAAAAAAJkYVSX/gd4IOEp8KP+B3gg/Q0lRLk5ZU0U6SUJNLklRX0VYUExPUkVfRFJJTExfRVhQX1RPVEFMLjIwMDAuMDcvMDMvMjAyNi4uLlVTRC5IAQAAAN62AQADAAAAAACZGFUl/4HeCEZxfCj/gd4IMkNJUS5OWVNFOklCTS5JUV9JUFJEX1NVUFBMRS45OTAuMDcvMDMvMjAyNi4uLlVTRC5IAQAAAN62AQADAAAAAACZGFUl/4HeCEZxfCj/gd4IMUNJUS5OWVNFOklCTS5JUV9DT01NT05fRElWLjk5MC4wNy8wMy8yMDI2Li4uVVNELkgBAAAA3rYBAAIAAAAENDg5NwCZGFUl/4HeCEZxfCj/gd4ILUNJUS5OWVNFOklCTS5JUV9HQV9FWFAuOTkxLjA3LzAzLzIwMjYuLi5VU0QuSAEAAADetgEAAwAAAAAAmRhVJf+B3ggoI3wo/4HeCEZDSVEuTllTRTpJQk0uSVFfRElTVFJJQlVUQUJMRV9DQVNIX1NUQU5EQVJESVpFRC45OTEuMDcvMDMvMjAyNi4uLlVTRC5IAQAAAN62AQAD</t>
  </si>
  <si>
    <t>AAAAAACZGFUl/4HeCCgjfCj/gd4IOkNJUS5OWVNFOklCTS5JUV9DVVJSX0RPTUVTVElDX1RBWEVTLjk5MC4wNy8wMy8yMDI2Li4uVVNELkgBAAAA3rYBAAIAAAAELTE5MwEIAAAABQAAAAExAQAAAAoxODc2NDMyODcyAwAAAAMxNjACAAAABDMwMjcEAAAAATAHAAAACDMvNy8yMDI2CAAAAAoxMi8zMS8yMDE1CQAAAAEwmRhVJf+B3ggoI3wo/4HeCDhDSVEuTllTRTpJQk0uSVFfU1BFQ0lBTF9ESVZfU0hBUkUuOTkxLjA3LzAzLzIwMjYuLi5VU0QuSAEAAADetgEAAwAAAAAAmRhVJf+B3gg4Snwo/4HeCDVDSVEuTllTRTpJQk0uSVFfRElMVVRfRVBTX05PUk0uOTkwLjA3LzAzLzIwMjYuLi5VU0QuSAEAAADetgEAAgAAAAkxMC42OTY5MjkBCAAAAAUAAAABMQEAAAAKMTg3NjQzMjg3MgMAAAADMTYwAgAAAAQ0MzgwBAAAAAEwBwAAAAgzLzcvMjAyNggAAAAKMTIvMzEvMjAxNQkAAAABMJkYVSX/gd4IOEp8KP+B3gg1Q0lRLk5ZU0U6SUJNLklRX0JBU0lDX0VQU19FWENMLjk5MS4wNy8wMy8yMDI2Li4uVVNELkgBAAAA3rYBAAIAAAAJMTIuNDM1MzM1AQgAAAAFAAAAATEBAAAACjE5NDcxNzk1ODMDAAAAAzE2MAIAAAAEMzA2NAQAAAABMAcAAAAIMy83LzIwMjYIAAAACjEyLzMxLzIwMTYJAAAAATCZGFUl/4HeCPT7eyj/gd4IMUNJUS5OWVNFOklCTS5JUV9JTkNfRVFVSVRZLjk5MC4wNy8wMy8yMDI2Li4uVVNE</t>
  </si>
  <si>
    <t>LkgBAAAA3rYBAAMAAAAAAJkYVSX/gd4I9Pt7KP+B3gg1Q0lRLk5ZU0U6SUJNLklRX1BST1ZfQkFEX0RFQlRTLjk5MC4wNy8wMy8yMDI2Li4uVVNELkgBAAAA3rYBAAMAAAAAAJkYVSX/gd4I9Pt7KP+B3ggyQ0lRLk5ZU0U6SUJNLklRX0lOU19ESVZfUkVWLjk5MC4wNy8wMy8yMDI2Li4uVVNELkgBAAAA3rYBAAMAAAAAAJkYVSX/gd4I9Pt7KP+B3gg1Q0lRLk5ZU0U6SUJNLklRX0dXX0lOVEFOX0FNT1JULjk5MC4wNy8wMy8yMDI2Li4uVVNELkgBAAAA3rYBAAMAAAAAAJkYVSX/gd4IKCN8KP+B3gg2Q0lRLk5ZU0U6SUJNLklRX1RPVEFMX1JFVl9TSEFSRS45OTEuMDcvMDMvMjAyNi4uLlVTRC5IAQAAAN62AQACAAAACTgzLjY0NzgwNwEIAAAABQAAAAExAQAAAAoxOTQ3MTc5NTgzAwAAAAMxNjACAAAABDQzODIEAAAAATAHAAAACDMvNy8yMDI2CAAAAAoxMi8zMS8yMDE2CQAAAAEwmRhVJf+B3ggcv3so/4HeCDJDSVEuTllTRTpJQk0uSVFfSVBSRF9TVVBQTEUuOTkxLjA3LzAzLzIwMjYuLi5VU0QuSAEAAADetgEAAwAAAAAAmRhVJf+B3ggcv3so/4HeCDZDSVEuTllTRTpJQk0uSVFfU1RPQ0tfQkFTRURfQVQuMjAwMC4wNy8wMy8yMDI2Li4uVVNELkgBAAAA3rYBAAMAAAAAAJkYVSX/gd4IHL97KP+B3ggzQ0lRLk5ZU0U6SUJNLklRX01BSU5UX1JFUEFJUi45OTAuMDcvMDMvMjAyNi4uLlVTRC5IAQAAAN62</t>
  </si>
  <si>
    <t>AQADAAAAAACZGFUl/4HeCBy/eyj/gd4IMUNJUS5OWVNFOklCTS5JUV9DT01NT05fRElWLjk5MS4wNy8wMy8yMDI2Li4uVVNELkgBAAAA3rYBAAIAAAAENTI1NgCZGFUl/4HeCBy/eyj/gd4IMUNJUS5OWVNFOklCTS5JUV9DVVJSX1RBWEVTLjk5MS4wNy8wMy8yMDI2Li4uVVNELkgBAAAA3rYBAAIAAAAEMTQxOAEIAAAABQAAAAExAQAAAAoxOTQ3MTc5NTgzAwAAAAMxNjACAAAABTM1MzgzBAAAAAEwBwAAAAgzLzcvMjAyNggAAAAKMTIvMzEvMjAxNgkAAAABMJkYVSX/gd4IZ4R7KP+B3gg/Q0lRLk5ZU0U6SUJNLklRX0VCSVREQVJfRVFfSU5DX0VYQ0xfU0JDLjIwMDAuMDcvMDMvMjAyNi4uLlVTRC5IAQAAAN62AQACAAAABTE5MTQxAQgAAAAFAAAAATEBAAAACy0xOTA0ODYwNjU3AwAAAAMxNjACAAAABTI0MTMzBAAAAAEwBwAAAAgzLzcvMjAyNggAAAAKMTIvMzEvMjAyNQkAAAABMJkYVSX/gd4IZ4R7KP+B3gg0Q0lRLk5ZU0U6SUJNLklRX0VCSVREQV9DQVBFWC4yMDAwLjA3LzAzLzIwMjYuLi5VU0QuSAEAAADetgEAAgAAAAUxNTAyNwEIAAAABQAAAAExAQAAAAstMTkwNDg2MDY1NwMAAAADMTYwAgAAAAUzNTM3OQQAAAABMAcAAAAIMy83LzIwMjYIAAAACjEyLzMxLzIwMjUJAAAAATCZGFUl/4HeCGeEeyj/gd4INUNJUS5OWVNFOklCTS5JUV9FQklUX0VYQ0xfU0JDLjIwMDAuMDcvMDMvMjAyNi4uLlVT</t>
  </si>
  <si>
    <t>RC5IAQAAAN62AQACAAAABTE0MjgzAQgAAAAFAAAAATEBAAAACy0xOTA0ODYwNjU3AwAAAAMxNjACAAAABTI0MTM0BAAAAAEwBwAAAAgzLzcvMjAyNggAAAAKMTIvMzEvMjAyNQkAAAABMJkYVSX/gd4IZ4R7KP+B3gg2Q0lRLk5ZU0U6SUJNLklRX1RPVEFMX1JFVl9TSEFSRS45OTAuMDcvMDMvMjAyNi4uLlVTRC5IAQAAAN62AQACAAAACTgzLjUxNjE3NgEIAAAABQAAAAExAQAAAAoxODc2NDMyODcyAwAAAAMxNjACAAAABDQzODIEAAAAATAHAAAACDMvNy8yMDI2CAAAAAoxMi8zMS8yMDE1CQAAAAEwmRhVJf+B3ggcv3so/4HeCDVDSVEuTllTRTpJQk0uSVFfRElMVVRfRVBTX05PUk0uOTkxLjA3LzAzLzIwMjYuLi5VU0QuSAEAAADetgEAAgAAAAg4Ljc1MTk1NwEIAAAABQAAAAExAQAAAAoxOTQ3MTc5NTgzAwAAAAMxNjACAAAABDQzODAEAAAAATAHAAAACDMvNy8yMDI2CAAAAAoxMi8zMS8yMDE2CQAAAAEwmRhVJf+B3giZXXso/4HeCDZDSVEuTllTRTpJQk0uSVFfRVhUUkFfQUNDX0lURU1TLjk5MS4wNy8wMy8yMDI2Li4uVVNELkgBAAAA3rYBAAMAAAAAAJkYVSX/gd4ImV17KP+B3gg1Q0lRLk5ZU0U6SUJNLklRX05JX0FWQUlMX0lOQ0wuMjAwMC4wNy8wMy8yMDI2Li4uVVNELkgBAAAA3rYBAAIAAAAFMTA1OTMBCAAAAAUAAAABMQEAAAALLTE5MDQ4NjA2NTcDAAAAAzE2MAIAAAACMTYEAAAAATAHAAAA</t>
  </si>
  <si>
    <t>CDMvNy8yMDI2CAAAAAoxMi8zMS8yMDI1CQAAAAEwmRhVJf+B3ghnhHso/4HeCDpDSVEuTllTRTpJQk0uSVFfT1RIRVJfVU5VU1VBTF9TVVBQTC45OTAuMDcvMDMvMjAyNi4uLlVTRC5IAQAAAN62AQACAAAAATYBCAAAAAUAAAABMQEAAAAKMTg3NjQzMjg3MgMAAAADMTYwAgAAAAI4NwQAAAABMAcAAAAIMy83LzIwMjYIAAAACjEyLzMxLzIwMTUJAAAAATCZGFUl/4HeCGeEeyj/gd4IMUNJUS5OWVNFOklCTS5JUV9JTkNfRVFVSVRZLjk5MS4wNy8wMy8yMDI2Li4uVVNELkgBAAAA3rYBAAMAAAAAAJkYVSX/gd4IZ4R7KP+B3ggvQ0lRLk5ZU0U6SUJNLklRX0VCVF9FWENMLjk5MS4wNy8wMy8yMDI2Li4uVVNELkgBAAAA3rYBAAIAAAAFMTM0MjUBCAAAAAUAAAABMQEAAAAKMTk0NzE3OTU4MwMAAAADMTYwAgAAAAE0BAAAAAEwBwAAAAgzLzcvMjAyNggAAAAKMTIvMzEvMjAxNgkAAAABMJkYVSX/gd4IDTZ7KP+B3gg1Q0lRLk5ZU0U6SUJNLklRX0lNUEFJUk1FTlRfR1cuMjAwMC4wNy8wMy8yMDI2Li4uVVNELkgBAAAA3rYBAAMAAAAAAJkYVSX/gd4IDTZ7KP+B3gguQ0lRLk5ZU0U6SUJNLklRX1JEX0VYUC4yMDAwLjA3LzAzLzIwMjYuLi5VU0QuSAEAAADetgEAAgAAAAQ4MzEyAQgAAAAFAAAAATEBAAAACy0xOTA0ODYwNjU3AwAAAAMxNjACAAAAAzEwMAQAAAABMAcAAAAIMy83LzIwMjYIAAAACjEyLzMxLzIw</t>
  </si>
  <si>
    <t>MjUJAAAAATCZGFUl/4HeCA02eyj/gd4IMkNJUS5OWVNFOklCTS5JUV9JTVBBSVJfT0lMLjIwMDAuMDcvMDMvMjAyNi4uLlVTRC5IAQAAAN62AQADAAAAAACZGFUl/4HeCJldeyj/gd4INUNJUS5OWVNFOklCTS5JUV9QUk9WX0JBRF9ERUJUUy45OTEuMDcvMDMvMjAyNi4uLlVTRC5IAQAAAN62AQADAAAAAACZGFUl/4HeCJldeyj/gd4IMkNJUS5OWVNFOklCTS5JUV9JTlNfRElWX1JFVi45OTEuMDcvMDMvMjAyNi4uLlVTRC5IAQAAAN62AQADAAAAAACZGFUl/4HeCM73eij/gd4INENJUS5OWVNFOklCTS5JUV9JTlRFUkVTVF9FWFAuMjAwMC4wNy8wMy8yMDI2Li4uVVNELkgBAAAA3rYBAAIAAAAFLTE5MzUBCAAAAAUAAAABMQEAAAALLTE5MDQ4NjA2NTcDAAAAAzE2MAIAAAACODIEAAAAATAHAAAACDMvNy8yMDI2CAAAAAoxMi8zMS8yMDI1CQAAAAEwmRhVJf+B3gjO93oo/4HeCDBDSVEuTllTRTpJQk0uSVFfREFfU1VQUEwuMjAwMC4wNy8wMy8yMDI2Li4uVVNELkgBAAAA3rYBAAMAAAAAAJkYVSX/gd4IBx97KP+B3ggyQ0lRLk5ZU0U6SUJNLklRX0lOVF9JTlZfSU5DLjk5MC4wNy8wMy8yMDI2Li4uVVNELkgBAAAA3rYBAAMAAAAAAJkYVSX/gd4IBx97KP+B3gg/Q0lRLk5ZU0U6SUJNLklRX1NUT0NLX0JBU0VEX0NPTVBfUFJFVEFYLjIwMDAuMDcvMDMvMjAyNi4uLlVTRC5IAQAAAN62AQACAAAABDE3MTUA</t>
  </si>
  <si>
    <t>mRhVJf+B3ggNNnso/4HeCDNDSVEuTllTRTpJQk0uSVFfTUFJTlRfUkVQQUlSLjk5MS4wNy8wMy8yMDI2Li4uVVNELkgBAAAA3rYBAAMAAAAAAJkYVSX/gd4It9B6KP+B3gg9Q0lRLk5ZU0U6SUJNLklRX0RFRkVSUkVEX0ZPUkVJR05fVEFYRVMuOTkxLjA3LzAzLzIwMjYuLi5VU0QuSAEAAADetgEAAgAAAAQtMTc5AQgAAAAFAAAAATEBAAAACjE5NDcxNzk1ODMDAAAAAzE2MAIAAAAEMzA1NQQAAAABMAcAAAAIMy83LzIwMjYIAAAACjEyLzMxLzIwMTYJAAAAATCZGFUl/4HeCLfQeij/gd4IQUNJUS5OWVNFOklCTS5JUV9OT05SRUNVUlJJTkdfSU5DT01FX1RBWEVTLjIwMDAuMDcvMDMvMjAyNi4uLlVTRC5IAQAAAN62AQACAAAABS0xMTYxAQgAAAAFAAAAATEBAAAACy0xOTA0ODYwNjU3AwAAAAMxNjACAAAABTQ4ODM5BAAAAAEwBwAAAAgzLzcvMjAyNggAAAAKMTIvMzEvMjAyNQkAAAABMJkYVSX/gd4It9B6KP+B3ggwQ0lRLk5ZU0U6SUJNLklRX0RJTFVUX05JLjIwMDAuMDcvMDMvMjAyNi4uLlVTRC5IAQAAAN62AQACAAAACzEwNTY4LjI0MjA0AQgAAAAFAAAAATEBAAAACy0xOTA0ODYwNjU3AwAAAAMxNjACAAAABDM1MjIEAAAAATAHAAAACDMvNy8yMDI2CAAAAAoxMi8zMS8yMDI1CQAAAAEwmRhVJf+B3gjO93oo/4HeCCxDSVEuTllTRTpJQk0uSVFfRUJJVEEuOTkwLjA3LzAzLzIwMjYuLi5VU0QuSAEA</t>
  </si>
  <si>
    <t>AADetgEAAgAAAAUxNzcxMAEIAAAABQAAAAExAQAAAAoxODc2NDMyODcyAwAAAAMxNjACAAAABjEwMDY4OQQAAAABMAcAAAAIMy83LzIwMjYIAAAACjEyLzMxLzIwMTUJAAAAATCZGFUl/4HeCM73eij/gd4IPENJUS5OWVNFOklCTS5JUV9FQklUQV9FUV9JTkNfRVhDTF9TQkMuOTkwLjA3LzAzLzIwMjYuLi5VU0QuSAEAAADetgEAAgAAAAUxODE3OAEIAAAABQAAAAExAQAAAAoxODc2NDMyODcyAwAAAAMxNjACAAAABTI0MTMyBAAAAAEwBwAAAAgzLzcvMjAyNggAAAAKMTIvMzEvMjAxNQkAAAABMJkYVSX/gd4IWql6KP+B3gguQ0lRLk5ZU0U6SUJNLklRX0VCSVREQVIuOTkxLjA3LzAzLzIwMjYuLi5VU0QuSAEAAADetgEAAwAAAAAAmRhVJf+B3ghaqXoo/4HeCD1DSVEuTllTRTpJQk0uSVFfRUJJVERBX0xFQVNFX0FESlVTVEVELjIwMDAuMDcvMDMvMjAyNi4uLlVTRC5IAQAAAN62AQACAAAABTE3NDI2AQgAAAAFAAAAATEBAAAACy0xOTA0ODYwNjU3AwAAAAMxNjACAAAABTQ4OTkzBAAAAAEwBwAAAAgzLzcvMjAyNggAAAAKMTIvMzEvMjAyNQkAAAABMJkYVSX/gd4IWql6KP+B3ghJQ0lRLk5ZU0U6SUJNLklRX0VCSVREQV9FUV9JTkNfRVhDTF9PUEVSX0xFQVNFX0FESi4yMDAwLjA3LzAzLzIwMjYuLi5VU0QuSAEAAADetgEAAgAAAAUxNjExOAEIAAAABQAAAAExAQAAAAstMTkwNDg2MDY1NwMAAAADMTYw</t>
  </si>
  <si>
    <t>AgAAAAU0ODk4NwQAAAABMAcAAAAIMy83LzIwMjYIAAAACjEyLzMxLzIwMjUJAAAAATCZGFUl/4HeCFqpeij/gd4IO0NJUS5OWVNFOklCTS5JUV9FQklUX0VRX0lOQ19FWENMX1NCQy45OTAuMDcvMDMvMjAyNi4uLlVTRC5IAQAAAN62AQACAAAABTE2OTg1AQgAAAAFAAAAATEBAAAACjE4NzY0MzI4NzIDAAAAAzE2MAIAAAAFMjQxMzAEAAAAATAHAAAACDMvNy8yMDI2CAAAAAoxMi8zMS8yMDE1CQAAAAEwmRhVJf+B3gi30Hoo/4HeCDRDSVEuTllTRTpJQk0uSVFfTklfQVZBSUxfRVhDTC45OTEuMDcvMDMvMjAyNi4uLlVTRC5IAQAAAN62AQACAAAABTExODgxAQgAAAAFAAAAATEBAAAACjE5NDcxNzk1ODMDAAAAAzE2MAIAAAADMzc5BAAAAAEwBwAAAAgzLzcvMjAyNggAAAAKMTIvMzEvMjAxNgkAAAABMJkYVSX/gd4IfG56KP+B3ggyQ0lRLk5ZU0U6SUJNLklRX0dBSU5fSU5WRVNULjk5MC4wNy8wMy8yMDI2Li4uVVNELkgBAAAA3rYBAAIAAAADLTQ3AQgAAAAFAAAAATEBAAAACjE4NzY0MzI4NzIDAAAAAzE2MAIAAAACNjIEAAAAATAHAAAACDMvNy8yMDI2CAAAAAoxMi8zMS8yMDE1CQAAAAEwmRhVJf+B3gh8bnoo/4HeCDFDSVEuTllTRTpJQk0uSVFfT1RIRVJfT1BFUi45OTAuMDcvMDMvMjAyNi4uLlVTRC5IAQAAAN62AQACAAAABC02NjkBCAAAAAUAAAABMQEAAAAKMTg3NjQzMjg3MgMAAAADMTYwAgAA</t>
  </si>
  <si>
    <t>AAMyNjAEAAAAATAHAAAACDMvNy8yMDI2CAAAAAoxMi8zMS8yMDE1CQAAAAEwmRhVJf+B3gh8bnoo/4HeCDZDSVEuTllTRTpJQk0uSVFfT1RIRVJfUkVWX1NVUFBMLjk5MC4wNy8wMy8yMDI2Li4uVVNELkgBAAAA3rYBAAIAAAACLTEBCAAAAAUAAAABMQEAAAAKMTg3NjQzMjg3MgMAAAADMTYwAgAAAAI5MAQAAAABMAcAAAAIMy83LzIwMjYIAAAACjEyLzMxLzIwMTUJAAAAATCZGFUl/4HeCHxueij/gd4IMkNJUS5OWVNFOklCTS5JUV9GSU5fRElWX0VYUC45OTAuMDcvMDMvMjAyNi4uLlVTRC5IAQAAAN62AQACAAAABDEwMTEBCAAAAAUAAAABMQEAAAAKMTg3NjQzMjg3MgMAAAADMTYwAgAAAAI1MQQAAAABMAcAAAAIMy83LzIwMjYIAAAACjEyLzMxLzIwMTUJAAAAATCZGFUl/4HeCHxueij/gd4ILENJUS5OWVNFOklCTS5JUV9JUFJELjIwMDAuMDcvMDMvMjAyNi4uLlVTRC5IAQAAAN62AQADAAAAAACZGFUl/4HeCHJHeij/gd4IM0NJUS5OWVNFOklCTS5JUV9MRUdBTF9TRVRUTEUuOTkxLjA3LzAzLzIwMjYuLi5VU0QuSAEAAADetgEAAgAAAAMtNTYBCAAAAAUAAAABMQEAAAAKMTk0NzE3OTU4MwMAAAADMTYwAgAAAAI3NwQAAAABMAcAAAAIMy83LzIwMjYIAAAACjEyLzMxLzIwMTYJAAAAATCZGFUl/4HeCHJHeij/gd4IMkNJUS5OWVNFOklCTS5JUV9JTkNfRVFVSVRZLjIwMDAuMDcvMDMvMjAyNi4uLlVT</t>
  </si>
  <si>
    <t>RC5IAQAAAN62AQADAAAAAACZGFUl/4HeCHJHeij/gd4ILENJUS5OWVNFOklCTS5JUV9DT0dTLjIwMDAuMDcvMDMvMjAyNi4uLlVTRC5IAQAAAN62AQACAAAABTI3ODM2AQgAAAAFAAAAATEBAAAACy0xOTA0ODYwNjU3AwAAAAMxNjACAAAAAjM0BAAAAAEwBwAAAAgzLzcvMjAyNggAAAAKMTIvMzEvMjAyNQkAAAABMJkYVSX/gd4Ickd6KP+B3gg7Q0lRLk5ZU0U6SUJNLklRX1NUT0NLX0JBU0VEX0NPTVBfVEFYLjk5MS4wNy8wMy8yMDI2Li4uVVNELkgBAAAA3rYBAAIAAAAELTE3OQCZGFUl/4HeCHxueij/gd4IPUNJUS5OWVNFOklCTS5JUV9BU1NFVF9XUklURURPV05fU1VQUExFLjk5MC4wNy8wMy8yMDI2Li4uVVNELkgBAAAA3rYBAAMAAAAAAJkYVSX/gd4IDvl5KP+B3gg1Q0lRLk5ZU0U6SUJNLklRX05FVF9SRU5UQUxfRVhQLjk5MS4wNy8wMy8yMDI2Li4uVVNELkgBAAAA3rYBAAMAAAAAAJkYVSX/gd4IYyB6KP+B3gg2Q0lRLk5ZU0U6SUJNLklRX01JTklNVU1fUkVOVEFMLjIwMDAuMDcvMDMvMjAyNi4uLlVTRC5IAQAAAN62AQADAAAAAACZGFUl/4HeCGMgeij/gd4IO0NJUS5OWVNFOklCTS5JUV9DQVBJVEFMSVpFRF9JTlRFUkVTVC45OTAuMDcvMDMvMjAyNi4uLlVTRC5IAQAAAN62AQADAAAAAACZGFUl/4HeCGMgeij/gd4IPENJUS5OWVNFOklCTS5JUV9UT1RBTF9SRVZfQVNfUkVQT1JURUQuOTkw</t>
  </si>
  <si>
    <t>LjA3LzAzLzIwMjYuLi5VU0QuSAEAAADetgEAAgAAAAU4MTc0MQEIAAAABQAAAAExAQAAAAoxODc2NDMyODcyAwAAAAMxNjACAAAAAzMzOQQAAAABMAcAAAAIMy83LzIwMjYIAAAACjEyLzMxLzIwMTUJAAAAATCZGFUl/4HeCGMgeij/gd4IOkNJUS5OWVNFOklCTS5JUV9BU19SRVBPUlRFRF9FQklUREEuMjAwMC4wNy8wMy8yMDI2Li4uVVNELkgBAAAA3rYBAAMAAAAAAJkYVSX/gd4I2eJ5KP+B3gg+Q0lRLk5ZU0U6SUJNLklRX0xFQVNFX0FESlVTVE1FTlRfRUJJVERBLjk5MC4wNy8wMy8yMDI2Li4uVVNELkgBAAAA3rYBAAMAAAAAAJkYVSX/gd4I2eJ5KP+B3ggrQ0lRLk5ZU0U6SUJNLklRX0VCSVQuOTkxLjA3LzAzLzIwMjYuLi5VU0QuSAEAAADetgEAAgAAAAUxNDE3MAEIAAAABQAAAAExAQAAAAoxOTQ3MTc5NTgzAwAAAAMxNjACAAAAAzQwMAQAAAABMAcAAAAIMy83LzIwMjYIAAAACjEyLzMxLzIwMTYJAAAAATCZGFUl/4HeCNnieSj/gd4IO0NJUS5OWVNFOklCTS5JUV9FQklUX0VRX0lOQ19FWENMX1NCQy45OTEuMDcvMDMvMjAyNi4uLlVTRC5IAQAAAN62AQACAAAABTE0NzE0AQgAAAAFAAAAATEBAAAACjE5NDcxNzk1ODMDAAAAAzE2MAIAAAAFMjQxMzAEAAAAATAHAAAACDMvNy8yMDI2CAAAAAoxMi8zMS8yMDE2CQAAAAEwmRhVJf+B3ggO+Xko/4HeCCxDSVEuTllTRTpJQk0uSVFfRUJJVEEuOTkx</t>
  </si>
  <si>
    <t>LjA3LzAzLzIwMjYuLi5VU0QuSAEAAADetgEAAgAAAAUxNTcxNAEIAAAABQAAAAExAQAAAAoxOTQ3MTc5NTgzAwAAAAMxNjACAAAABjEwMDY4OQQAAAABMAcAAAAIMy83LzIwMjYIAAAACjEyLzMxLzIwMTYJAAAAATCZGFUl/4HeCA75eSj/gd4IPENJUS5OWVNFOklCTS5JUV9FQklUQV9FUV9JTkNfRVhDTF9TQkMuOTkxLjA3LzAzLzIwMjYuLi5VU0QuSAEAAADetgEAAgAAAAUxNjI1OAEIAAAABQAAAAExAQAAAAoxOTQ3MTc5NTgzAwAAAAMxNjACAAAABTI0MTMyBAAAAAEwBwAAAAgzLzcvMjAyNggAAAAKMTIvMzEvMjAxNgkAAAABMJkYVSX/gd4I9Kd5KP+B3gg+Q0lRLk5ZU0U6SUJNLklRX0VCSVREQV9FUV9JTkNfRVhDTF9TQkMuMjAwMC4wNy8wMy8yMDI2Li4uVVNELkgBAAAA3rYBAAIAAAAFMTc4MzMBCAAAAAUAAAABMQEAAAALLTE5MDQ4NjA2NTcDAAAAAzE2MAIAAAAFMjQxMzEEAAAAATAHAAAACDMvNy8yMDI2CAAAAAoxMi8zMS8yMDI1CQAAAAEwmRhVJf+B3gj0p3ko/4HeCCpDSVEuTllTRTpJQk0uSVFfTkkuMjAwMC4wNy8wMy8yMDI2Li4uVVNELkgBAAAA3rYBAAIAAAAFMTA1OTMBCAAAAAUAAAABMQEAAAALLTE5MDQ4NjA2NTcDAAAAAzE2MAIAAAACMTUEAAAAATAHAAAACDMvNy8yMDI2CAAAAAoxMi8zMS8yMDI1CQAAAAEwmRhVJf+B3gj0p3ko/4HeCDFDSVEuTllTRTpJQk0uSVFfRUFSTklO</t>
  </si>
  <si>
    <t>R19DTy45OTAuMDcvMDMvMjAyNi4uLlVTRC5IAQAAAN62AQACAAAABTEzMzY0AQgAAAAFAAAAATEBAAAACjE4NzY0MzI4NzIDAAAAAzE2MAIAAAABNwQAAAABMAcAAAAIMy83LzIwMjYIAAAACjEyLzMxLzIwMTUJAAAAATCZGFUl/4HeCPSneSj/gd4IMkNJUS5OWVNFOklCTS5JUV9OSV9DT01QQU5ZLjIwMDAuMDcvMDMvMjAyNi4uLlVTRC5IAQAAAN62AQACAAAABTEwNTkzAQgAAAAFAAAAATEBAAAACy0xOTA0ODYwNjU3AwAAAAMxNjACAAAABTQxNTcxBAAAAAEwBwAAAAgzLzcvMjAyNggAAAAKMTIvMzEvMjAyNQkAAAABMJkYVSX/gd4I9Kd5KP+B3ggyQ0lRLk5ZU0U6SUJNLklRX0ZJTl9ESVZfRVhQLjk5MS4wNy8wMy8yMDI2Li4uVVNELkgBAAAA3rYBAAIAAAAEMTA0NAEIAAAABQAAAAExAQAAAAoxOTQ3MTc5NTgzAwAAAAMxNjACAAAAAjUxBAAAAAEwBwAAAAgzLzcvMjAyNggAAAAKMTIvMzEvMjAxNgkAAAABMJkYVSX/gd4IpoB5KP+B3gg2Q0lRLk5ZU0U6SUJNLklRX0ZJTl9ESVZfSU5UX0VYUC45OTAuMDcvMDMvMjAyNi4uLlVTRC5IAQAAAN62AQADAAAAAACZGFUl/4HeCKaAeSj/gd4IN0NJUS5OWVNFOklCTS5JUV9ORVRfSU5URVJFU1RfRVhQLjk5MC4wNy8wMy8yMDI2Li4uVVNELkgBAAAA3rYBAAIAAAAELTM5NgEIAAAABQAAAAExAQAAAAoxODc2NDMyODcyAwAAAAMxNjACAAAAAzM2OAQAAAAB</t>
  </si>
  <si>
    <t>MAcAAAAIMy83LzIwMjYIAAAACjEyLzMxLzIwMTUJAAAAATCZGFUl/4HeCKaAeSj/gd4IMENJUS5OWVNFOklCTS5JUV9FQlRfRVhDTC4yMDAwLjA3LzAzLzIwMjYuLi5VU0QuSAEAAADetgEAAgAAAAUxMTE1OQEIAAAABQAAAAExAQAAAAstMTkwNDg2MDY1NwMAAAADMTYwAgAAAAE0BAAAAAEwBwAAAAgzLzcvMjAyNggAAAAKMTIvMzEvMjAyNQkAAAABMJkYVSX/gd4IpoB5KP+B3gg/Q0lRLk5ZU0U6SUJNLklRX0dBSU5fQkFSR0FJTl9BQ1FfU1VQUExFLjIwMDAuMDcvMDMvMjAyNi4uLlVTRC5IAQAAAN62AQADAAAAAACZGFUl/4HeCPSneSj/gd4INUNJUS5OWVNFOklCTS5JUV9TVE9DS19CQVNFRF9TTS45OTAuMDcvMDMvMjAyNi4uLlVTRC5IAQAAAN62AQADAAAAAACZGFUl/4HeCBxWeSj/gd4IMkNJUS5OWVNFOklCTS5JUV9BRFZFUlRJU0lORy45OTAuMDcvMDMvMjAyNi4uLlVTRC5IAQAAAN62AQACAAAABDEyOTABCAAAAAUAAAABMQEAAAAKMTg3NjQzMjg3MgMAAAADMTYwAgAAAAQzMDEzBAAAAAEwBwAAAAgzLzcvMjAyNggAAAAKMTIvMzEvMjAxNQkAAAABMK4/VSX/gd4IHFZ5KP+B3gg+Q0lRLk5ZU0U6SUJNLklRX0VYUExPUkVfRFJJTExfRVhQX1RPVEFMLjk5MS4wNy8wMy8yMDI2Li4uVVNELkgBAAAA3rYBAAMAAAAAAK4/VSX/gd4IHFZ5KP+B3ggzQ0lRLk5ZU0U6SUJNLklRX0lOVF9FWFBfTFRE</t>
  </si>
  <si>
    <t>LjIwMDAuMDcvMDMvMjAyNi4uLlVTRC5IAQAAAN62AQADAAAAAACuP1Ul/4HeCEFreSj/gd4IPENJUS5OWVNFOklCTS5JUV9UT1RBTF9SRVZfQVNfUkVQT1JURUQuOTkxLjA3LzAzLzIwMjYuLi5VU0QuSAEAAADetgEAAgAAAAU3OTkxOQEIAAAABQAAAAExAQAAAAoxOTQ3MTc5NTgzAwAAAAMxNjACAAAAAzMzOQQAAAABMAcAAAAIMy83LzIwMjYIAAAACjEyLzMxLzIwMTYJAAAAATCuP1Ul/4HeCEFreSj/gd4ISUNJUS5OWVNFOklCTS5JUV9QUk9WX0JBRF9ERUJUU19QQVRJRU5UX1NFUlZJQ0VfUkVWLjk5MC4wNy8wMy8yMDI2Li4uVVNELkgBAAAA3rYBAAMAAAAAAK4/VSX/gd4IaRt5KP+B3ghBQ0lRLk5ZU0U6SUJNLklRX0VBUk5JTkdfUEFSRU5UX0VYQ0xfRVhUUkEuMjAwMC4wNy8wMy8yMDI2Li4uVVNELkgBAAAA3rYBAAIAAAAFMTA1NzEBCAAAAAUAAAABMQEAAAALLTE5MDQ4NjA2NTcDAAAAAzE2MAIAAAAFNDE1OTYEAAAAATAHAAAACDMvNy8yMDI2CAAAAAoxMi8zMS8yMDI1CQAAAAEwrj9VJf+B3ghpG3ko/4HeCC1DSVEuTllTRTpJQk0uSVFfRUJJVERBLjk5MS4wNy8wMy8yMDI2Li4uVVNELkgBAAAA3rYBAAIAAAAFMTg1NTEBCAAAAAUAAAABMQEAAAAKMTk0NzE3OTU4MwMAAAADMTYwAgAAAAQ0MDUxBAAAAAEwBwAAAAgzLzcvMjAyNggAAAAKMTIvMzEvMjAxNgkAAAABMK4/VSX/gd4IaRt5KP+B</t>
  </si>
  <si>
    <t>3ggxQ0lRLk5ZU0U6SUJNLklRX0VBUk5JTkdfQ08uOTkxLjA3LzAzLzIwMjYuLi5VU0QuSAEAAADetgEAAgAAAAUxMTg4MQEIAAAABQAAAAExAQAAAAoxOTQ3MTc5NTgzAwAAAAMxNjACAAAAATcEAAAAATAHAAAACDMvNy8yMDI2CAAAAAoxMi8zMS8yMDE2CQAAAAEwrj9VJf+B3ghpG3ko/4HeCDVDSVEuTllTRTpJQk0uSVFfUFJFRl9ESVZfT1RIRVIuOTkwLjA3LzAzLzIwMjYuLi5VU0QuSAEAAADetgEAAwAAAAAArj9VJf+B3ghpG3ko/4HeCDpDSVEuTllTRTpJQk0uSVFfSU5URVJFU1RfSU5WRVNUX0lOQy45OTAuMDcvMDMvMjAyNi4uLlVTRC5IAQAAAN62AQACAAAAAjcyAQgAAAAFAAAAATEBAAAACjE4NzY0MzI4NzIDAAAAAzE2MAIAAAACNjUEAAAAATAHAAAACDMvNy8yMDI2CAAAAAoxMi8zMS8yMDE1CQAAAAEwrj9VJf+B3ghb9Hgo/4HeCDRDSVEuTllTRTpJQk0uSVFfQ1VSUkVOQ1lfR0FJTi45OTAuMDcvMDMvMjAyNi4uLlVTRC5IAQAAAN62AQACAAAAAzQ0OQEIAAAABQAAAAExAQAAAAoxODc2NDMyODcyAwAAAAMxNjACAAAAAjM4BAAAAAEwBwAAAAgzLzcvMjAyNggAAAAKMTIvMzEvMjAxNQkAAAABMK4/VSX/gd4IW/R4KP+B3ggwQ0lRLk5ZU0U6SUJNLklRX1NHQV9TVVBQTC45OTAuMDcvMDMvMjAyNi4uLlVTRC5IAQAAAN62AQACAAAABTE5NTg5AQgAAAAFAAAAATEBAAAACjE4NzY0MzI4NzID</t>
  </si>
  <si>
    <t>AAAAAzE2MAIAAAADMTAyBAAAAAEwBwAAAAgzLzcvMjAyNggAAAAKMTIvMzEvMjAxNQkAAAABMK4/VSX/gd4IW/R4KP+B3gg0Q0lRLk5ZU0U6SUJNLklRX0NVUlJFTkNZX0dBSU4uOTkxLjA3LzAzLzIwMjYuLi5VU0QuSAEAAADetgEAAgAAAAQtMTQ0AQgAAAAFAAAAATEBAAAACjE5NDcxNzk1ODMDAAAAAzE2MAIAAAACMzgEAAAAATAHAAAACDMvNy8yMDI2CAAAAAoxMi8zMS8yMDE2CQAAAAEwrj9VJf+B3ghb9Hgo/4HeCDtDSVEuTllTRTpJQk0uSVFfT1RIRVJfVU5VU1VBTF9TVVBQTC4yMDAwLjA3LzAzLzIwMjYuLi5VU0QuSAEAAADetgEAAwAAAAAArj9VJf+B3ghpG3ko/4HeCCpDSVEuTllTRTpJQk0uSVFfUkVWLjk5MC4wNy8wMy8yMDI2Li4uVVNELkgBAAAA3rYBAAIAAAAFNzk4NzgBCAAAAAUAAAABMQEAAAAKMTg3NjQzMjg3MgMAAAADMTYwAgAAAAMxMTIEAAAAATAHAAAACDMvNy8yMDI2CAAAAAoxMi8zMS8yMDE1CQAAAAEwrj9VJf+B3ggmzXgo/4HeCC1DSVEuTllTRTpJQk0uSVFfTUVSR0VSLjk5MC4wNy8wMy8yMDI2Li4uVVNELkgBAAAA3rYBAAIAAAADLTI2AQgAAAAFAAAAATEBAAAACjE4NzY0MzI4NzIDAAAAAzE2MAIAAAACODAEAAAAATAHAAAACDMvNy8yMDI2CAAAAAoxMi8zMS8yMDE1CQAAAAEwrj9VJf+B3ggmzXgo/4HeCDJDSVEuTllTRTpJQk0uSVFfU1RPQ0tfQkFTRUQuOTkxLjA3</t>
  </si>
  <si>
    <t>LzAzLzIwMjYuLi5VU0QuSAEAAADetgEAAwAAAAAArj9VJf+B3ggmzXgo/4HeCDZDSVEuTllTRTpJQk0uSVFfQkFTSUNfRVBTX0lOQ0wuMjAwMC4wNy8wMy8yMDI2Li4uVVNELkgBAAAA3rYBAAIAAAAJMTEuMzYyMjk2AQgAAAAFAAAAATEBAAAACy0xOTA0ODYwNjU3AwAAAAMxNjACAAAAATkEAAAAATAHAAAACDMvNy8yMDI2CAAAAAoxMi8zMS8yMDI1CQAAAAEwrj9VJf+B3ghb9Hgo/4HeCD9DSVEuTllTRTpJQk0uSVFfRElTVFJJQlVUQUJMRV9DQVNIX1NIQVJFLjk5MS4wNy8wMy8yMDI2Li4uVVNELkgBAAAA3rYBAAMAAAAAAK4/VSX/gd4IW/R4KP+B3ggtQ0lRLk5ZU0U6SUJNLklRX1JEX0VYUC45OTAuMDcvMDMvMjAyNi4uLlVTRC5IAQAAAN62AQACAAAABDUyNDcBCAAAAAUAAAABMQEAAAAKMTg3NjQzMjg3MgMAAAADMTYwAgAAAAMxMDAEAAAAATAHAAAACDMvNy8yMDI2CAAAAAoxMi8zMS8yMDE1CQAAAAEwrj9VJf+B3ghetngo/4HeCCtDSVEuTllTRTpJQk0uSVFfSVBSRC45OTAuMDcvMDMvMjAyNi4uLlVTRC5IAQAAAN62AQADAAAAAACuP1Ul/4HeCF62eCj/gd4INUNJUS5OWVNFOklCTS5JUV9TVE9DS19CQVNFRF9TTS45OTEuMDcvMDMvMjAyNi4uLlVTRC5IAQAAAN62AQADAAAAAACuP1Ul/4HeCCbNeCj/gd4IN0NJUS5OWVNFOklCTS5JUV9FWFRSQV9BQ0NfSVRFTVMuMjAwMC4wNy8wMy8yMDI2</t>
  </si>
  <si>
    <t>Li4uVVNELkgBAAAA3rYBAAMAAAAAAK4/VSX/gd4IJs14KP+B3gg4Q0lRLk5ZU0U6SUJNLklRX0lOU19TRVRUTEVfU1VQUExFLjk5MC4wNy8wMy8yMDI2Li4uVVNELkgBAAAA3rYBAAMAAAAAAK4/VSX/gd4IJs14KP+B3gg4Q0lRLk5ZU0U6SUJNLklRX0lOVF9FWFBfSU5DTF9DQVAuMjAwMC4wNy8wMy8yMDI2Li4uVVNELkgBAAAA3rYBAAIAAAAEMTkzOQEIAAAABQAAAAExAQAAAAstMTkwNDg2MDY1NwMAAAADMTYwAgAAAAUyMTg2MQQAAAABMAcAAAAIMy83LzIwMjYIAAAACjEyLzMxLzIwMjUJAAAAATCuP1Ul/4HeCKd7eCj/gd4ISENJUS5OWVNFOklCTS5JUV9JTlRFUkVTVF9FWFBfTEVBU0VfTElBQklMSVRZX0RFQlQuOTkxLjA3LzAzLzIwMjYuLi5VU0QuSAEAAADetgEAAwAAAAAArj9VJf+B3gine3go/4HeCElDSVEuTllTRTpJQk0uSVFfUFJPVl9CQURfREVCVFNfUEFUSUVOVF9TRVJWSUNFX1JFVi45OTEuMDcvMDMvMjAyNi4uLlVTRC5IAQAAAN62AQADAAAAAACuP1Ul/4HeCKd7eCj/gd4ILkNJUS5OWVNFOklCTS5JUV9OSV9TRkFTLjk5MC4wNy8wMy8yMDI2Li4uVVNELkgBAAAA3rYBAAMAAAAAAK4/VSX/gd4Ip3t4KP+B3gg4Q0lRLk5ZU0U6SUJNLklRX0lOVkVTVE1FTlRfSU5DT01FLjk5MC4wNy8wMy8yMDI2Li4uVVNELkgBAAAA3rYBAAMAAAAAAK4/VSX/gd4IXrZ4KP+B3gg3Q0lRLk5ZU0U6</t>
  </si>
  <si>
    <t>SUJNLklRX1RPVEFMX1JFVl9TSEFSRS4yMDAwLjA3LzAzLzIwMjYuLi5VU0QuSAEAAADetgEAAgAAAAc3Mi40Mzk2AQgAAAAFAAAAATEBAAAACy0xOTA0ODYwNjU3AwAAAAMxNjACAAAABDQzODIEAAAAATAHAAAACDMvNy8yMDI2CAAAAAoxMi8zMS8yMDI1CQAAAAEwrj9VJf+B3giXVHgo/4HeCDVDSVEuTllTRTpJQk0uSVFfRElMVVRfRVBTX0lOQ0wuOTkwLjA3LzAzLzIwMjYuLi5VU0QuSAEAAADetgEAAgAAAAkxMy40MjExODIBCAAAAAUAAAABMQEAAAAKMTg3NjQzMjg3MgMAAAADMTYwAgAAAAE4BAAAAAEwBwAAAAgzLzcvMjAyNggAAAAKMTIvMzEvMjAxNQkAAAABMK4/VSX/gd4Ip3t4KP+B3gg1Q0lRLk5ZU0U6SUJNLklRX1BSRUZfRElWX09USEVSLjk5MS4wNy8wMy8yMDI2Li4uVVNELkgBAAAA3rYBAAMAAAAAAK4/VSX/gd4Ip3t4KP+B3ggzQ0lRLk5ZU0U6SUJNLklRX1JFU1RSVUNUVVJFLjIwMDAuMDcvMDMvMjAyNi4uLlVTRC5IAQAAAN62AQACAAAABC02NzABCAAAAAUAAAABMQEAAAALLTE5MDQ4NjA2NTcDAAAAAzE2MAIAAAACOTgEAAAAATAHAAAACDMvNy8yMDI2CAAAAAoxMi8zMS8yMDI1CQAAAAEwrj9VJf+B3gine3go/4HeCCpDSVEuTllTRTpJQk0uSVFfRUJULjk5MC4wNy8wMy8yMDI2Li4uVVNELkgBAAAA3rYBAAIAAAAFMTU5NDUBCAAAAAUAAAABMQEAAAAKMTg3NjQzMjg3MgMAAAAD</t>
  </si>
  <si>
    <t>MTYwAgAAAAMxMzkEAAAAATAHAAAACDMvNy8yMDI2CAAAAAoxMi8zMS8yMDE1CQAAAAEwrj9VJf+B3gine3go/4HeCDBDSVEuTllTRTpJQk0uSVFfU0dBX1NVUFBMLjk5MS4wNy8wMy8yMDI2Li4uVVNELkgBAAAA3rYBAAIAAAAFMjAyMjUBCAAAAAUAAAABMQEAAAAKMTk0NzE3OTU4MwMAAAADMTYwAgAAAAMxMDIEAAAAATAHAAAACDMvNy8yMDI2CAAAAAoxMi8zMS8yMDE2CQAAAAEwrj9VJf+B3giHLXgo/4HeCClDSVEuTllTRTpJQk0uSVFfR1AuOTkxLjA3LzAzLzIwMjYuLi5VU0QuSAEAAADetgEAAgAAAAUzODUxNwEIAAAABQAAAAExAQAAAAoxOTQ3MTc5NTgzAwAAAAMxNjACAAAAAjEwBAAAAAEwBwAAAAgzLzcvMjAyNggAAAAKMTIvMzEvMjAxNgkAAAABMK4/VSX/gd4Il1R4KP+B3gg7Q0lRLk5ZU0U6SUJNLklRX0lNUEFJUk1FTlRfR1dfU1VQUExFLjk5MS4wNy8wMy8yMDI2Li4uVVNELkgBAAAA3rYBAAMAAAAAAK4/VSX/gd4Il1R4KP+B3gg1Q0lRLk5ZU0U6SUJNLklRX01JTklNVU1fUkVOVEFMLjk5MC4wNy8wMy8yMDI2Li4uVVNELkgBAAAA3rYBAAMAAAAAAK4/VSX/gd4Il1R4KP+B3gg6Q0lRLk5ZU0U6SUJNLklRX05PTkNBU0hfUEVOU0lPTl9FWFAuOTkwLjA3LzAzLzIwMjYuLi5VU0QuSAEAAADetgEAAgAAAAM3MDYBCAAAAAUAAAABMQEAAAAKMTg3NjQzMjg3MgMAAAADMTYwAgAAAAUyMTY3</t>
  </si>
  <si>
    <t>OAQAAAABMAcAAAAIMy83LzIwMjYIAAAACjEyLzMxLzIwMTUJAAAAATCuP1Ul/4HeCJdUeCj/gd4IMUNJUS5OWVNFOklCTS5JUV9EQV9FQklUREEuMjAwMC4wNy8wMy8yMDI2Li4uVVNELkgBAAAA3rYBAAIAAAAEMzU1MAEIAAAABQAAAAExAQAAAAstMTkwNDg2MDY1NwMAAAADMTYwAgAAAAQyMjA2BAAAAAEwBwAAAAgzLzcvMjAyNggAAAAKMTIvMzEvMjAyNQkAAAABMK4/VSX/gd4IfAZ4KP+B3gguQ0lRLk5ZU0U6SUJNLklRX05JX1NGQVMuOTkxLjA3LzAzLzIwMjYuLi5VU0QuSAEAAADetgEAAwAAAAAArj9VJf+B3gh8Bngo/4HeCDhDSVEuTllTRTpJQk0uSVFfSU5WRVNUTUVOVF9JTkNPTUUuOTkxLjA3LzAzLzIwMjYuLi5VU0QuSAEAAADetgEAAwAAAAAArj9VJf+B3giHLXgo/4HeCD5DSVEuTllTRTpJQk0uSVFfRVhDSVNFX1RBWEVTX0lOQ0xfU0FMRVMuOTkxLjA3LzAzLzIwMjYuLi5VU0QuSAEAAADetgEAAwAAAAAArj9VJf+B3giHLXgo/4HeCEtDSVEuTllTRTpJQk0uSVFfRElTVFJJQlVUQUJMRV9DQVNIX1BFUl9TSEFSRV9ESUxVVEVELjk5MS4wNy8wMy8yMDI2Li4uVVNELkgBAAAA3rYBAAMAAAAAAK4/VSX/gd4Ihy14KP+B3gg/Q0lRLk5ZU0U6SUJNLklRX0RJU1RSSUJVVEFCTEVfQ0FTSF9TSEFSRS45OTAuMDcvMDMvMjAyNi4uLlVTRC5IAQAAAN62AQADAAAAAACuP1Ul/4HeCDXfdyj/gd4I</t>
  </si>
  <si>
    <t>MkNJUS5OWVNFOklCTS5JUV9GSU5fRElWX1JFVi45OTEuMDcvMDMvMjAyNi4uLlVTRC5IAQAAAN62AQACAAAABDE3MTABCAAAAAUAAAABMQEAAAAKMTk0NzE3OTU4MwMAAAADMTYwAgAAAAI1MgQAAAABMAcAAAAIMy83LzIwMjYIAAAACjEyLzMxLzIwMTYJAAAAATCuP1Ul/4HeCDXfdyj/gd4IM0NJUS5OWVNFOklCTS5JUV9JTlNfRElWX1JFVi4yMDAwLjA3LzAzLzIwMjYuLi5VU0QuSAEAAADetgEAAwAAAAAArj9VJf+B3gh8Bngo/4HeCDZDSVEuTllTRTpJQk0uSVFfR0FJTl9BU1NFVFNfQ0YuMjAwMC4wNy8wMy8yMDI2Li4uVVNELkgBAAAA3rYBAAIAAAADLTM5AQgAAAAFAAAAATEBAAAACy0xOTA0ODYwNjU3AwAAAAMxNjACAAAABDIwMjYEAAAAATAHAAAACDMvNy8yMDI2CAAAAAoxMi8zMS8yMDI1CQAAAAEwrj9VJf+B3gh8Bngo/4HeCDVDSVEuTllTRTpJQk0uSVFfTUlOSU1VTV9SRU5UQUwuOTkxLjA3LzAzLzIwMjYuLi5VU0QuSAEAAADetgEAAwAAAAAArj9VJf+B3gh8Bngo/4HeCDlDSVEuTllTRTpJQk0uSVFfRElTVFJJQlVUQUJMRV9DQVNILjk5MS4wNy8wMy8yMDI2Li4uVVNELkgBAAAA3rYBAAMAAAAAAK4/VSX/gd4IeKR3KP+B3gg6Q0lRLk5ZU0U6SUJNLklRX0NVUlJfRk9SRUlHTl9UQVhFUy4yMDAwLjA3LzAzLzIwMjYuLi5VU0QuSAEAAADetgEAAgAAAAQyMzAzAQgAAAAFAAAAATEBAAAA</t>
  </si>
  <si>
    <t>Cy0xOTA0ODYwNjU3AwAAAAMxNjACAAAABDMwMzAEAAAAATAHAAAACDMvNy8yMDI2CAAAAAoxMi8zMS8yMDI1CQAAAAEwrj9VJf+B3gh4pHco/4HeCDNDSVEuTllTRTpJQk0uSVFfSU5URVJFU1RfRVhQLjk5MS4wNy8wMy8yMDI2Li4uVVNELkgBAAAA3rYBAAIAAAAELTYzMAEIAAAABQAAAAExAQAAAAoxOTQ3MTc5NTgzAwAAAAMxNjACAAAAAjgyBAAAAAEwBwAAAAgzLzcvMjAyNggAAAAKMTIvMzEvMjAxNgkAAAABMK4/VSX/gd4IeKR3KP+B3ggvQ0lRLk5ZU0U6SUJNLklRX0RBX1NVUFBMLjk5MC4wNy8wMy8yMDI2Li4uVVNELkgBAAAA3rYBAAMAAAAAAK4/VSX/gd4INd93KP+B3ghLQ0lRLk5ZU0U6SUJNLklRX0RJU1RSSUJVVEFCTEVfQ0FTSF9QRVJfU0hBUkVfRElMVVRFRC45OTAuMDcvMDMvMjAyNi4uLlVTRC5IAQAAAN62AQADAAAAAACuP1Ul/4HeCDXfdyj/gd4IPUNJUS5OWVNFOklCTS5JUV9TVE9DS19PUFRJT05TX0NPTVBfVEFYLjk5MS4wNy8wMy8yMDI2Li4uVVNELkgBAAAA3rYBAAMAAAAAAK4/VSX/gd4IeKR3KP+B3gg+Q0lRLk5ZU0U6SUJNLklRX0dBSU5fQkFSR0FJTl9BQ1FfU1VQUExFLjk5MC4wNy8wMy8yMDI2Li4uVVNELkgBAAAA3rYBAAMAAAAAAK4/VSX/gd4IeKR3KP+B3gg4Q0lRLk5ZU0U6SUJNLklRX0VCSVREQVJfRVhDTF9TQkMuMjAwMC4wNy8wMy8yMDI2Li4uVVNELkgBAAAA</t>
  </si>
  <si>
    <t>3rYBAAIAAAAFMTkxNDEBCAAAAAUAAAABMQEAAAALLTE5MDQ4NjA2NTcDAAAAAzE2MAIAAAAFMjQxMzcEAAAAATAHAAAACDMvNy8yMDI2CAAAAAoxMi8zMS8yMDI1CQAAAAEwrj9VJf+B3gh4pHco/4HeCDlDSVEuTllTRTpJQk0uSVFfRkVFU19PVEhFUl9JTkNPTUUuMjAwMC4wNy8wMy8yMDI2Li4uVVNELkgBAAAA3rYBAAMAAAAAAK4/VSX/gd4IeKR3KP+B3ggxQ0lRLk5ZU0U6SUJNLklRX0RJVl9TSEFSRS4yMDAwLjA3LzAzLzIwMjYuLi5VU0QuSAEAAADetgEAAgAAAAQ2LjcxAQgAAAAFAAAAATEBAAAACy0xOTA0ODYwNjU3AwAAAAMxNjACAAAABDMwNTgEAAAAATAHAAAACDMvNy8yMDI2CAAAAAoxMi8zMS8yMDI1CQAAAAEwrj9VJf+B3gh4pHco/4HeCC9DSVEuTllTRTpJQk0uSVFfRVBTX05PUk0uOTkxLjA3LzAzLzIwMjYuLi5VU0QuSAEAAADetgEAAgAAAAg4Ljc4MjEwOQEIAAAABQAAAAExAQAAAAoxOTQ3MTc5NTgzAwAAAAMxNjACAAAABDQzNzkEAAAAATAHAAAACDMvNy8yMDI2CAAAAAoxMi8zMS8yMDE2CQAAAAEwrj9VJf+B3ggPgXco/4HeCDtDSVEuTllTRTpJQk0uSVFfTUlOT1JJVFlfSU5URVJFU1RfSVMuOTkxLjA3LzAzLzIwMjYuLi5VU0QuSAEAAADetgEAAwAAAAAArj9VJf+B3ggPgXco/4HeCDJDSVEuTllTRTpJQk0uSVFfSU5TX1NFVFRMRS4yMDAwLjA3LzAzLzIwMjYuLi5VU0QuSAEA</t>
  </si>
  <si>
    <t>AADetgEAAwAAAAAArj9VJf+B3ggPgXco/4HeCDhDSVEuTllTRTpJQk0uSVFfU1RPQ0tfQkFTRURfQ09HUy4yMDAwLjA3LzAzLzIwMjYuLi5VU0QuSAEAAADetgEAAgAAAAMyNjkBCAAAAAUAAAABMQEAAAALLTE5MDQ4NjA2NTcDAAAAAzE2MAIAAAAFMjI2NzQEAAAAATAHAAAACDMvNy8yMDI2CAAAAAoxMi8zMS8yMDI1CQAAAAEwrj9VJf+B3ggPgXco/4HeCEBDSVEuTllTRTpJQk0uSVFfSU1QVVRfT1BFUl9MRUFTRV9JTlRfRVhQLjIwMDAuMDcvMDMvMjAyNi4uLlVTRC5IAQAAAN62AQACAAAACjMyOS44OTg1MjgBCAAAAAUAAAABMQEAAAALLTE5MDQ4NjA2NTcDAAAAAzE2MAIAAAAFMjE2NzIEAAAAATAHAAAACDMvNy8yMDI2CAAAAAoxMi8zMS8yMDI1CQAAAAEwrj9VJf+B3gh4pHco/4HeCD5DSVEuTllTRTpJQk0uSVFfR0FJTl9CQVJHQUlOX0FDUV9TVVBQTEUuOTkxLjA3LzAzLzIwMjYuLi5VU0QuSAEAAADetgEAAwAAAAAArj9VJf+B3girWXco/4HeCD1DSVEuTllTRTpJQk0uSVFfREVGRVJSRURfRk9SRUlHTl9UQVhFUy45OTAuMDcvMDMvMjAyNi4uLlVTRC5IAQAAAN62AQACAAAAATQBCAAAAAUAAAABMQEAAAAKMTg3NjQzMjg3MgMAAAADMTYwAgAAAAQzMDU1BAAAAAEwBwAAAAgzLzcvMjAyNggAAAAKMTIvMzEvMjAxNQkAAAABMK4/VSX/gd4IZm13KP+B3gg8Q0lRLk5ZU0U6SUJNLklRX0RFRkVS</t>
  </si>
  <si>
    <t>UkVEX1RBWEVTX1RPVEFMLjIwMDAuMDcvMDMvMjAyNi4uLlVTRC5IAQAAAN62AQACAAAABC05NTcBCAAAAAUAAAABMQEAAAALLTE5MDQ4NjA2NTcDAAAAAzE2MAIAAAAFMzUzODUEAAAAATAHAAAACDMvNy8yMDI2CAAAAAoxMi8zMS8yMDI1CQAAAAEwrj9VJf+B3ghmbXco/4HeCDNDSVEuTllTRTpJQk0uSVFfRUJJVERBX0NBUEVYLjk5MC4wNy8wMy8yMDI2Li4uVVNELkgBAAAA3rYBAAIAAAAFMTY3OTMBCAAAAAUAAAABMQEAAAAKMTg3NjQzMjg3MgMAAAADMTYwAgAAAAUzNTM3OQQAAAABMAcAAAAIMy83LzIwMjYIAAAACjEyLzMxLzIwMTUJAAAAATCuP1Ul/4HeCGZtdyj/gd4IMkNJUS5OWVNFOklCTS5JUV9FQklUX0VRX0lOQy45OTAuMDcvMDMvMjAyNi4uLlVTRC5IAQAAAN62AQACAAAABTE2NTE3AQgAAAAFAAAAATEBAAAACjE4NzY0MzI4NzIDAAAAAzE2MAIAAAAFMjE2NzUEAAAAATAHAAAACDMvNy8yMDI2CAAAAAoxMi8zMS8yMDE1CQAAAAEwrj9VJf+B3ggPgXco/4HeCDRDSVEuTllTRTpJQk0uSVFfRUJJVF9FWENMX1NCQy45OTEuMDcvMDMvMjAyNi4uLlVTRC5IAQAAAN62AQACAAAABTE0NzE0AQgAAAAFAAAAATEBAAAACjE5NDcxNzk1ODMDAAAAAzE2MAIAAAAFMjQxMzQEAAAAATAHAAAACDMvNy8yMDI2CAAAAAoxMi8zMS8yMDE2CQAAAAEwrj9VJf+B3ghNMnco/4HeCDRDSVEuTllTRTpJQk0u</t>
  </si>
  <si>
    <t>SVFfRUJJVEFfRVFfSU5DLjIwMDAuMDcvMDMvMjAyNi4uLlVTRC5IAQAAAN62AQACAAAABTE0NzM0AQgAAAAFAAAAATEBAAAACy0xOTA0ODYwNjU3AwAAAAMxNjACAAAABTIxNjc2BAAAAAEwBwAAAAgzLzcvMjAyNggAAAAKMTIvMzEvMjAyNQkAAAABMK4/VSX/gd4ITTJ3KP+B3gg2Q0lRLk5ZU0U6SUJNLklRX0VCSVRBX0VYQ0xfU0JDLjIwMDAuMDcvMDMvMjAyNi4uLlVTRC5IAQAAAN62AQACAAAABTE2NDQ5AQgAAAAFAAAAATEBAAAACy0xOTA0ODYwNjU3AwAAAAMxNjACAAAABTI0MTM2BAAAAAEwBwAAAAgzLzcvMjAyNggAAAAKMTIvMzEvMjAyNQkAAAABMK4/VSX/gd4Iq1l3KP+B3gg2Q0lRLk5ZU0U6SUJNLklRX0VCSVREQVJfRVFfSU5DLjIwMDAuMDcvMDMvMjAyNi4uLlVTRC5IAQAAAN62AQACAAAABTE4NzM0AQgAAAAFAAAAATEBAAAACy0xOTA0ODYwNjU3AwAAAAMxNjACAAAABTI0MTI5BAAAAAEwBwAAAAgzLzcvMjAyNggAAAAKMTIvMzEvMjAyNQkAAAABMK4/VSX/gd4Iq1l3KP+B3gg/Q0lRLk5ZU0U6SUJNLklRX0xFQVNFX0FESlVTVE1FTlRfRUJJVERBLjIwMDAuMDcvMDMvMjAyNi4uLlVTRC5IAQAAAN62AQACAAAABDEzMDgArj9VJf+B3girWXco/4HeCDZDSVEuTllTRTpJQk0uSVFfRElMVVRfRVBTX0lOQ0wuMjAwMC4wNy8wMy8yMDI2Li4uVVNELkgBAAAA3rYBAAIAAAAIMTEuMTYzMTkB</t>
  </si>
  <si>
    <t>CAAAAAUAAAABMQEAAAALLTE5MDQ4NjA2NTcDAAAAAzE2MAIAAAABOAQAAAABMAcAAAAIMy83LzIwMjYIAAAACjEyLzMxLzIwMjUJAAAAATCuP1Ul/4HeCHQedyj/gd4IM0NJUS5OWVNFOklCTS5JUV9MRUdBTF9TRVRUTEUuOTkwLjA3LzAzLzIwMjYuLi5VU0QuSAEAAADetgEAAgAAAAQtMjMzAQgAAAAFAAAAATEBAAAACjE4NzY0MzI4NzIDAAAAAzE2MAIAAAACNzcEAAAAATAHAAAACDMvNy8yMDI2CAAAAAoxMi8zMS8yMDE1CQAAAAEwrj9VJf+B3ghNMnco/4HeCCpDSVEuTllTRTpJQk0uSVFfRE8uMjAwMC4wNy8wMy8yMDI2Li4uVVNELkgBAAAA3rYBAAIAAAACMjIBCAAAAAUAAAABMQEAAAALLTE5MDQ4NjA2NTcDAAAAAzE2MAIAAAACNDAEAAAAATAHAAAACDMvNy8yMDI2CAAAAAoxMi8zMS8yMDI1CQAAAAEwrj9VJf+B3ghNMnco/4HeCEBDSVEuTllTRTpJQk0uSVFfT1RIRVJfTk9OX09QRVJfRVhQX1NVUFBMLjIwMDAuMDcvMDMvMjAyNi4uLlVTRC5IAQAAAN62AQACAAAAAzEyNQEIAAAABQAAAAExAQAAAAstMTkwNDg2MDY1NwMAAAADMTYwAgAAAAI4NQQAAAABMAcAAAAIMy83LzIwMjYIAAAACjEyLzMxLzIwMjUJAAAAATCuP1Ul/4HeCE0ydyj/gd4IN0NJUS5OWVNFOklCTS5JUV9ORVRfSU5URVJFU1RfRVhQLjk5MS4wNy8wMy8yMDI2Li4uVVNELkgBAAAA3rYBAAIAAAAELTUyMgEIAAAABQAAAAEx</t>
  </si>
  <si>
    <t>AQAAAAoxOTQ3MTc5NTgzAwAAAAMxNjACAAAAAzM2OAQAAAABMAcAAAAIMy83LzIwMjYIAAAACjEyLzMxLzIwMTYJAAAAATCuP1Ul/4HeCE0ydyj/gd4INENJUS5OWVNFOklCTS5JUV9FWFBMT1JFX0RSSUxMLjk5MS4wNy8wMy8yMDI2Li4uVVNELkgBAAAA3rYBAAMAAAAAAK4/VSX/gd4Ig/l2KP+B3gg1Q0lRLk5ZU0U6SUJNLklRX1BSRV9PUEVOX0NPU1QuMjAwMC4wNy8wMy8yMDI2Li4uVVNELkgBAAAA3rYBAAMAAAAAAK4/VSX/gd4Ig/l2KP+B3gg3Q0lRLk5ZU0U6SUJNLklRX0dBSU5fSU5WRVNUX1JFVi4yMDAwLjA3LzAzLzIwMjYuLi5VU0QuSAEAAADetgEAAwAAAAAArj9VJf+B3giD+XYo/4HeCDNDSVEuTllTRTpJQk0uSVFfT1RIRVJfQU1PUlQuMjAwMC4wNy8wMy8yMDI2Li4uVVNELkgBAAAA3rYBAAIAAAADNTcxAQgAAAAFAAAAATEBAAAACy0xOTA0ODYwNjU3AwAAAAMxNjACAAAABDIwMTQEAAAAATAHAAAACDMvNy8yMDI2CAAAAAoxMi8zMS8yMDI1CQAAAAEwrj9VJf+B3giD+XYo/4HeCDZDSVEuTllTRTpJQk0uSVFfR0FJTl9BU1NFVFNfUkVWLjk5MC4wNy8wMy8yMDI2Li4uVVNELkgBAAAA3rYBAAMAAAAAAK4/VSX/gd4IdB53KP+B3ggwQ0lRLk5ZU0U6SUJNLklRX09QRVJfSU5DLjIwMDAuMDcvMDMvMjAyNi4uLlVTRC5IAQAAAN62AQACAAAABTEyNTY4AQgAAAAFAAAAATEBAAAACy0xOTA0</t>
  </si>
  <si>
    <t>ODYwNjU3AwAAAAMxNjACAAAAAjIxBAAAAAEwBwAAAAgzLzcvMjAyNggAAAAKMTIvMzEvMjAyNQkAAAABMK4/VSX/gd4Ic9J2KP+B3gg1Q0lRLk5ZU0U6SUJNLklRX1NUT0NLX0JBU0VEX1JELjk5MC4wNy8wMy8yMDI2Li4uVVNELkgBAAAA3rYBAAIAAAACNTEBCAAAAAUAAAABMQEAAAAKMTg3NjQzMjg3MgMAAAADMTYwAgAAAAUyMjY3OAQAAAABMAcAAAAIMy83LzIwMjYIAAAACjEyLzMxLzIwMTUJAAAAATCuP1Ul/4HeCHPSdij/gd4IPENJUS5OWVNFOklCTS5JUV9JTVBVVF9PUEVSX0xFQVNFX0RFUFIuOTkxLjA3LzAzLzIwMjYuLi5VU0QuSAEAAADetgEAAwAAAAAArj9VJf+B3ghz0nYo/4HeCEBDSVEuTllTRTpJQk0uSVFfTk9OUkVDVVJSSU5HX0lOQ09NRV9UQVhFUy45OTAuMDcvMDMvMjAyNi4uLlVTRC5IAQAAAN62AQADAAAAAACuP1Ul/4HeCHPSdij/gd4IL0NJUS5OWVNFOklCTS5JUV9OSV9OT1JNLjIwMDAuMDcvMDMvMjAyNi4uLlVTRC5IAQAAAN62AQACAAAACDY5NzQuMzc1AQgAAAAFAAAAATEBAAAACy0xOTA0ODYwNjU3AwAAAAMxNjACAAAABDQzNzgEAAAAATAHAAAACDMvNy8yMDI2CAAAAAoxMi8zMS8yMDI1CQAAAAEwrj9VJf+B3giD+XYo/4HeCDxDSVEuTllTRTpJQk0uSVFfQ0FQSVRBTElaRURfSU5URVJFU1QuMjAwMC4wNy8wMy8yMDI2Li4uVVNELkgBAAAA3rYBAAIAAAABNAEIAAAA</t>
  </si>
  <si>
    <t>BQAAAAExAQAAAAstMTkwNDg2MDY1NwMAAAADMTYwAgAAAAQzMDMyBAAAAAEwBwAAAAgzLzcvMjAyNggAAAAKMTIvMzEvMjAyNQkAAAABMK4/VSX/gd4IXat2KP+B3gguQ0lRLk5ZU0U6SUJNLklRX0VCSVREQVIuOTkwLjA3LzAzLzIwMjYuLi5VU0QuSAEAAADetgEAAgAAAAUyMTgxNwEIAAAABQAAAAExAQAAAAoxODc2NDMyODcyAwAAAAMxNjACAAAABTIxNjc0BAAAAAEwBwAAAAgzLzcvMjAyNggAAAAKMTIvMzEvMjAxNQkAAAABMK4/VSX/gd4IXat2KP+B3gg+Q0lRLk5ZU0U6SUJNLklRX0VCSVREQVJfRVFfSU5DX0VYQ0xfU0JDLjk5MS4wNy8wMy8yMDI2Li4uVVNELkgBAAAA3rYBAAMAAAAAAK4/VSX/gd4IXat2KP+B3ggzQ0lRLk5ZU0U6SUJNLklRX0VCSVREQV9DQVBFWC45OTEuMDcvMDMvMjAyNi4uLlVTRC5IAQAAAN62AQACAAAABTE0OTg0AQgAAAAFAAAAATEBAAAACjE5NDcxNzk1ODMDAAAAAzE2MAIAAAAFMzUzNzkEAAAAATAHAAAACDMvNy8yMDI2CAAAAAoxMi8zMS8yMDE2CQAAAAEwrj9VJf+B3ghdq3Yo/4HeCDlDSVEuTllTRTpJQk0uSVFfQVNfUkVQT1JURURfRUJJVERBLjk5MS4wNy8wMy8yMDI2Li4uVVNELkgBAAAA3rYBAAMAAAAAAK4/VSX/gd4IXat2KP+B3gg3Q0lRLk5ZU0U6SUJNLklRX0VCSVREQV9FWENMX1NCQy4yMDAwLjA3LzAzLzIwMjYuLi5VU0QuSAEAAADetgEAAgAAAAUx</t>
  </si>
  <si>
    <t>NzgzMwEIAAAABQAAAAExAQAAAAstMTkwNDg2MDY1NwMAAAADMTYwAgAAAAUyNDEzNQQAAAABMAcAAAAIMy83LzIwMjYIAAAACjEyLzMxLzIwMjUJAAAAATCuP1Ul/4HeCDpddij/gd4ISENJUS5OWVNFOklCTS5JUV9FQklUREFfRVFfSU5DX0VYQ0xfT1BFUl9MRUFTRV9BREouOTkwLjA3LzAzLzIwMjYuLi5VU0QuSAEAAADetgEAAgAAAAUyMDM3MgEIAAAABQAAAAExAQAAAAoxODc2NDMyODcyAwAAAAMxNjACAAAABTQ4OTg3BAAAAAEwBwAAAAgzLzcvMjAyNggAAAAKMTIvMzEvMjAxNQkAAAABMK4/VSX/gd4IW4R2KP+B3ggyQ0lRLk5ZU0U6SUJNLklRX0VCSVRfRVFfSU5DLjk5MS4wNy8wMy8yMDI2Li4uVVNELkgBAAAA3rYBAAIAAAAFMTQxNzABCAAAAAUAAAABMQEAAAAKMTk0NzE3OTU4MwMAAAADMTYwAgAAAAUyMTY3NQQAAAABMAcAAAAIMy83LzIwMjYIAAAACjEyLzMxLzIwMTYJAAAAATCuP1Ul/4HeCFuEdij/gd4INUNJUS5OWVNFOklCTS5JUV9FQklUREFfRVFfSU5DLjIwMDAuMDcvMDMvMjAyNi4uLlVTRC5IAQAAAN62AQACAAAABTE3NDI2AQgAAAAFAAAAATEBAAAACy0xOTA0ODYwNjU3AwAAAAMxNjACAAAABTIxNjc3BAAAAAEwBwAAAAgzLzcvMjAyNggAAAAKMTIvMzEvMjAyNQkAAAABMK4/VSX/gd4IW4R2KP+B3gg9Q0lRLk5ZU0U6SUJNLklRX0FOTlVfRElTVFJJQlVUSU9OX1VOSVQuOTkx</t>
  </si>
  <si>
    <t>LjA3LzAzLzIwMjYuLi5VU0QuSAEAAADetgEAAwAAAAAArj9VJf+B3ghbhHYo/4HeCEBDSVEuTllTRTpJQk0uSVFfTk9OUkVDVVJSSU5HX0lOQ09NRV9UQVhFUy45OTEuMDcvMDMvMjAyNi4uLlVTRC5IAQAAAN62AQADAAAAAACuP1Ul/4HeCDY2dij/gd4IL0NJUS5OWVNFOklCTS5JUV9ESUxVVF9OSS45OTAuMDcvMDMvMjAyNi4uLlVTRC5IAQAAAN62AQACAAAABTEzMzYzAQgAAAAFAAAAATEBAAAACjE4NzY0MzI4NzIDAAAAAzE2MAIAAAAEMzUyMgQAAAABMAcAAAAIMy83LzIwMjYIAAAACjEyLzMxLzIwMTUJAAAAATCuP1Ul/4HeCDpddij/gd4IMkNJUS5OWVNFOklCTS5JUV9JTlRfRVhQX0xURC45OTAuMDcvMDMvMjAyNi4uLlVTRC5IAQAAAN62AQADAAAAAACuP1Ul/4HeCDpddij/gd4IN0NJUS5OWVNFOklCTS5JUV9JTlRfRVhQX0lOQ0xfQ0FQLjk5MC4wNy8wMy8yMDI2Li4uVVNELkgBAAAA3rYBAAIAAAADNDY4AQgAAAAFAAAAATEBAAAACjE4NzY0MzI4NzIDAAAAAzE2MAIAAAAFMjE4NjEEAAAAATAHAAAACDMvNy8yMDI2CAAAAAoxMi8zMS8yMDE1CQAAAAEwrj9VJf+B3gg6XXYo/4HeCD1DSVEuTllTRTpJQk0uSVFfRUJJVERBX0VRX0lOQ19FWENMX1NCQy45OTAuMDcvMDMvMjAyNi4uLlVTRC5IAQAAAN62AQACAAAABTIwODQwAQgAAAAFAAAAATEBAAAACjE4NzY0MzI4NzIDAAAAAzE2MAIAAAAF</t>
  </si>
  <si>
    <t>MjQxMzEEAAAAATAHAAAACDMvNy8yMDI2CAAAAAoxMi8zMS8yMDE1CQAAAAEwrj9VJf+B3gg6XXYo/4HeCDxDSVEuTllTRTpJQk0uSVFfRUJJVERBX0xFQVNFX0FESlVTVEVELjk5MS4wNy8wMy8yMDI2Li4uVVNELkgBAAAA3rYBAAIAAAAFMTg1NTEBCAAAAAUAAAABMQEAAAAKMTk0NzE3OTU4MwMAAAADMTYwAgAAAAU0ODk5MwQAAAABMAcAAAAIMy83LzIwMjYIAAAACjEyLzMxLzIwMTYJAAAAATCuP1Ul/4HeCBQPdij/gd4ISENJUS5OWVNFOklCTS5JUV9FQklUREFfRVFfSU5DX0VYQ0xfT1BFUl9MRUFTRV9BREouOTkxLjA3LzAzLzIwMjYuLi5VU0QuSAEAAADetgEAAgAAAAUxODU1MQEIAAAABQAAAAExAQAAAAoxOTQ3MTc5NTgzAwAAAAMxNjACAAAABTQ4OTg3BAAAAAEwBwAAAAgzLzcvMjAyNggAAAAKMTIvMzEvMjAxNgkAAAABMK4/VSX/gd4IFA92KP+B3gg1Q0lRLk5ZU0U6SUJNLklRX0RJTFVUX0VQU19FWENMLjk5MS4wNy8wMy8yMDI2Li4uVVNELkgBAAAA3rYBAAIAAAAFMTIuMzkBCAAAAAUAAAABMQEAAAAKMTk0NzE3OTU4MwMAAAADMTYwAgAAAAMxNDIEAAAAATAHAAAACDMvNy8yMDI2CAAAAAoxMi8zMS8yMDE2CQAAAAEwrj9VJf+B3gg2NnYo/4HeCDdDSVEuTllTRTpJQk0uSVFfQVNTRVRfV1JJVEVET1dOLjIwMDAuMDcvMDMvMjAyNi4uLlVTRC5IAQAAAN62AQADAAAAAACuP1Ul/4HeCDY2</t>
  </si>
  <si>
    <t>dij/gd4IPENJUS5OWVNFOklCTS5JUV9PVEhFUl9VTlVTVUFMX1NVUFBMRS4yMDAwLjA3LzAzLzIwMjYuLi5VU0QuSAEAAADetgEAAwAAAAAArj9VJf+B3gg2NnYo/4HeCDVDSVEuTllTRTpJQk0uSVFfTUVSR0VSX1NVUFBMRS4yMDAwLjA3LzAzLzIwMjYuLi5VU0QuSAEAAADetgEAAwAAAAAArj9VJf+B3ggU6HUo/4HeCC9DSVEuTllTRTpJQk0uSVFfRElMVVRfTkkuOTkxLjA3LzAzLzIwMjYuLi5VU0QuSAEAAADetgEAAgAAAAwxMTg3OC40Njc2NjIBCAAAAAUAAAABMQEAAAAKMTk0NzE3OTU4MwMAAAADMTYwAgAAAAQzNTIyBAAAAAEwBwAAAAgzLzcvMjAyNggAAAAKMTIvMzEvMjAxNgkAAAABMK4/VSX/gd4IFOh1KP+B3ggyQ0lRLk5ZU0U6SUJNLklRX0lOVF9FWFBfTFRELjk5MS4wNy8wMy8yMDI2Li4uVVNELkgBAAAA3rYBAAMAAAAAAK4/VSX/gd4IFA92KP+B3gg3Q0lRLk5ZU0U6SUJNLklRX0lOVF9FWFBfSU5DTF9DQVAuOTkxLjA3LzAzLzIwMjYuLi5VU0QuSAEAAADetgEAAgAAAAM2MzIBCAAAAAUAAAABMQEAAAAKMTk0NzE3OTU4MwMAAAADMTYwAgAAAAUyMTg2MQQAAAABMAcAAAAIMy83LzIwMjYIAAAACjEyLzMxLzIwMTYJAAAAATCuP1Ul/4HeCBQPdij/gd4IQENJUS5OWVNFOklCTS5JUV9FQVJOSU5HX1BBUkVOVF9FWENMX0VYVFJBLjk5MS4wNy8wMy8yMDI2Li4uVVNELkgBAAAA3rYBAAIA</t>
  </si>
  <si>
    <t>AAAFMTE4ODEBCAAAAAUAAAABMQEAAAAKMTk0NzE3OTU4MwMAAAADMTYwAgAAAAU0MTU5NgQAAAABMAcAAAAIMy83LzIwMjYIAAAACjEyLzMxLzIwMTYJAAAAATCuP1Ul/4HeCBQPdij/gd4IOUNJUS5OWVNFOklCTS5JUV9TUEVDSUFMX0RJVl9TSEFSRS4yMDAwLjA3LzAzLzIwMjYuLi5VU0QuSAEAAADetgEAAwAAAAAArj9VJf+B3gi/tnUo/4HeCC1DSVEuTllTRTpJQk0uSVFfRUJJVERBLjk5MC4wNy8wMy8yMDI2Li4uVVNELkgBAAAA3rYBAAIAAAAFMjAzNzIBCAAAAAUAAAABMQEAAAAKMTg3NjQzMjg3MgMAAAADMTYwAgAAAAQ0MDUxBAAAAAEwBwAAAAgzLzcvMjAyNggAAAAKMTIvMzEvMjAxNQkAAAABMK4/VSX/gd4Iv7Z1KP+B3ggvQ0lRLk5ZU0U6SUJNLklRX0lOQ19UQVguMjAwMC4wNy8wMy8yMDI2Li4uVVNELkgBAAAA3rYBAAIAAAAELTI0MgEIAAAABQAAAAExAQAAAAstMTkwNDg2MDY1NwMAAAADMTYwAgAAAAI3NQQAAAABMAcAAAAIMy83LzIwMjYIAAAACjEyLzMxLzIwMjUJAAAAATCuP1Ul/4HeCL+2dSj/gd4INkNJUS5OWVNFOklCTS5JUV9CQVNJQ19FUFNfRVhDTC4yMDAwLjA3LzAzLzIwMjYuLi5VU0QuSAEAAADetgEAAgAAAAkxMS4zMzg2OTgBCAAAAAUAAAABMQEAAAALLTE5MDQ4NjA2NTcDAAAAAzE2MAIAAAAEMzA2NAQAAAABMAcAAAAIMy83LzIwMjYIAAAACjEyLzMxLzIwMjUJAAAA</t>
  </si>
  <si>
    <t>ATCuP1Ul/4HeCBTodSj/gd4IOENJUS5OWVNFOklCTS5JUV9DT05USU5HRU5UX1JFTlRBTC45OTAuMDcvMDMvMjAyNi4uLlVTRC5IAQAAAN62AQADAAAAAACuP1Ul/4HeCBTodSj/gd4IO0NJUS5OWVNFOklCTS5JUV9JTVBBSVJNRU5UX0dXX1NVUFBMRS45OTAuMDcvMDMvMjAyNi4uLlVTRC5IAQAAAN62AQADAAAAAACuP1Ul/4HeCKaPdSj/gd4IMUNJUS5OWVNFOklCTS5JUV9SRF9FWFBfRk4uMjAwMC4wNy8wMy8yMDI2Li4uVVNELkgBAAAA3rYBAAIAAAAEODMxMgEIAAAABQAAAAExAQAAAAstMTkwNDg2MDY1NwMAAAADMTYwAgAAAAQzMTY4BAAAAAEwBwAAAAgzLzcvMjAyNggAAAAKMTIvMzEvMjAyNQkAAAABMK4/VSX/gd4Ipo91KP+B3ggwQ0lRLk5ZU0U6SUJNLklRX0RBX0VCSVREQS45OTEuMDcvMDMvMjAyNi4uLlVTRC5IAQAAAN62AQACAAAABDQzODEBCAAAAAUAAAABMQEAAAAKMTk0NzE3OTU4MwMAAAADMTYwAgAAAAQyMjA2BAAAAAEwBwAAAAgzLzcvMjAyNggAAAAKMTIvMzEvMjAxNgkAAAABMK4/VSX/gd4Iv7Z1KP+B3gg3Q0lRLk5ZU0U6SUJNLklRX0lOVEVSRVNUX0lOQ09NRS4yMDAwLjA3LzAzLzIwMjYuLi5VU0QuSAEAAADetgEAAgAAAAM2NDUBCAAAAAUAAAABMQEAAAALLTE5MDQ4NjA2NTcDAAAAAzE2MAIAAAADMjEwBAAAAAEwBwAAAAgzLzcvMjAyNggAAAAKMTIvMzEvMjAyNQkAAAAB</t>
  </si>
  <si>
    <t>MK4/VSX/gd4Iv7Z1KP+B3gg2Q0lRLk5ZU0U6SUJNLklRX0RJTFVUX0VQU19OT1JNLjIwMDAuMDcvMDMvMjAyNi4uLlVTRC5IAQAAAN62AQACAAAACDcuMzUxNjk5AQgAAAAFAAAAATEBAAAACy0xOTA0ODYwNjU3AwAAAAMxNjACAAAABDQzODAEAAAAATAHAAAACDMvNy8yMDI2CAAAAAoxMi8zMS8yMDI1CQAAAAEwrj9VJf+B3gi/tnUo/4HeCClDSVEuTllTRTpJQk0uSVFfTkkuOTkxLjA3LzAzLzIwMjYuLi5VU0QuSAEAAADetgEAAgAAAAUxMTg3MgEIAAAABQAAAAExAQAAAAoxOTQ3MTc5NTgzAwAAAAMxNjACAAAAAjE1BAAAAAEwBwAAAAgzLzcvMjAyNggAAAAKMTIvMzEvMjAxNgkAAAABMK4/VSX/gd4Im2h1KP+B3gg2Q0lRLk5ZU0U6SUJNLklRX1NUT0NLX0JBU0VEX1NHQS45OTEuMDcvMDMvMjAyNi4uLlVTRC5IAQAAAN62AQACAAAAAzQwMQEIAAAABQAAAAExAQAAAAoxOTQ3MTc5NTgzAwAAAAMxNjACAAAABTIyNjc5BAAAAAEwBwAAAAgzLzcvMjAyNggAAAAKMTIvMzEvMjAxNgkAAAABMK4/VSX/gd4Im2h1KP+B3gg/Q0lRLk5ZU0U6SUJNLklRX0lNUFVUX09QRVJfTEVBU0VfSU5UX0VYUC45OTEuMDcvMDMvMjAyNi4uLlVTRC5IAQAAAN62AQADAAAAAACuP1Ul/4HeCKaPdSj/gd4IO0NJUS5OWVNFOklCTS5JUV9MRUdBTF9TRVRUTEVfU1VQUExFLjIwMDAuMDcvMDMvMjAyNi4uLlVTRC5IAQAAAN62</t>
  </si>
  <si>
    <t>AQADAAAAAACuP1Ul/4HeCKaPdSj/gd4IOENJUS5OWVNFOklCTS5JUV9ORVRfUkVOVEFMX0VYUF9GTi45OTAuMDcvMDMvMjAyNi4uLlVTRC5IAQAAAN62AQACAAAABDE0NDUBCAAAAAUAAAABMQEAAAAKMTg3NjQzMjg3MgMAAAADMTYwAgAAAAQzMTcwBAAAAAEwBwAAAAgzLzcvMjAyNggAAAAKMTIvMzEvMjAxNQkAAAABMK4/VSX/gd4Ipo91KP+B3gg7Q0lRLk5ZU0U6SUJNLklRX0NVUlJfRE9NRVNUSUNfVEFYRVMuMjAwMC4wNy8wMy8yMDI2Li4uVVNELkgBAAAA3rYBAAIAAAAFLTE1ODcBCAAAAAUAAAABMQEAAAALLTE5MDQ4NjA2NTcDAAAAAzE2MAIAAAAEMzAyNwQAAAABMAcAAAAIMy83LzIwMjYIAAAACjEyLzMxLzIwMjUJAAAAATCuP1Ul/4HeCIdBdSj/gd4IMkNJUS5OWVNFOklCTS5JUV9DVVJSX1RBWEVTLjIwMDAuMDcvMDMvMjAyNi4uLlVTRC5IAQAAAN62AQACAAAAAzcxNgEIAAAABQAAAAExAQAAAAstMTkwNDg2MDY1NwMAAAADMTYwAgAAAAUzNTM4MwQAAAABMAcAAAAIMy83LzIwMjYIAAAACjEyLzMxLzIwMjUJAAAAATCuP1Ul/4HeCJtodSj/gd4IP0NJUS5OWVNFOklCTS5JUV9FWENJU0VfVEFYRVNfRVhDTF9TQUxFUy4yMDAwLjA3LzAzLzIwMjYuLi5VU0QuSAEAAADetgEAAwAAAAAArj9VJf+B3gibaHUo/4HeCDtDSVEuTllTRTpJQk0uSVFfRUJJVF9FUV9JTkNfRVhDTF9TQkMuOTk4LjA3</t>
  </si>
  <si>
    <t>LzAzLzIwMjYuLi5VU0QuSAEAAADetgEAAgAAAAUxMDU1NQEIAAAABQAAAAExAQAAAAstMTkwNDg2MDc0NAMAAAADMTYwAgAAAAUyNDEzMAQAAAABMAcAAAAIMy83LzIwMjYIAAAACjEyLzMxLzIwMjMJAAAAATCuP1Ul/4HeCJtodSj/gd4IK0NJUS5OWVNFOklCTS5JUV9FQklULjk5Ny4wNy8wMy8yMDI2Li4uVVNELkgBAAAA3rYBAAIAAAAENzUyMQEIAAAABQAAAAExAQAAAAstMTk1ODI4MTA5NgMAAAADMTYwAgAAAAM0MDAEAAAAATAHAAAACDMvNy8yMDI2CAAAAAoxMi8zMS8yMDIyCQAAAAEwrj9VJf+B3gibaHUo/4HeCD5DSVEuTllTRTpJQk0uSVFfTEVBU0VfQURKVVNUTUVOVF9FQklUREEuOTk3LjA3LzAzLzIwMjYuLi5VU0QuSAEAAADetgEAAgAAAAQxMjQ3AK4/VSX/gd4Ichp1KP+B3gg2Q0lRLk5ZU0U6SUJNLklRX0VCSVREQV9FWENMX1NCQy45OTYuMDcvMDMvMjAyNi4uLlVTRC5IAQAAAN62AQACAAAABTEyMjkxAQgAAAAFAAAAATEBAAAACy0yMDA4NjQ3MTk4AwAAAAMxNjACAAAABTI0MTM1BAAAAAEwBwAAAAgzLzcvMjAyNggAAAAKMTIvMzEvMjAyMQkAAAABMK4/VSX/gd4Ih0F1KP+B3gg0Q0lRLk5ZU0U6SUJNLklRX0VCSVREQV9FUV9JTkMuOTk2LjA3LzAzLzIwMjYuLi5VU0QuSAEAAADetgEAAgAAAAUxMjc0NgEIAAAABQAAAAExAQAAAAstMjAwODY0NzE5OAMAAAADMTYwAgAAAAUyMTY3</t>
  </si>
  <si>
    <t>NwQAAAABMAcAAAAIMy83LzIwMjYIAAAACjEyLzMxLzIwMjEJAAAAATCuP1Ul/4HeCIdBdSj/gd4IOENJUS5OWVNFOklCTS5JUV9GRUVTX09USEVSX0lOQ09NRS45OTcuMDcvMDMvMjAyNi4uLlVTRC5IAQAAAN62AQADAAAAAACuP1Ul/4HeCIdBdSj/gd4IN0NJUS5OWVNFOklCTS5JUV9FQklUREFSX0VYQ0xfU0JDLjk5OC4wNy8wMy8yMDI2Li4uVVNELkgBAAAA3rYBAAIAAAAFMTQ2ODMBCAAAAAUAAAABMQEAAAALLTE5MDQ4NjA3NDQDAAAAAzE2MAIAAAAFMjQxMzcEAAAAATAHAAAACDMvNy8yMDI2CAAAAAoxMi8zMS8yMDIzCQAAAAEwrj9VJf+B3giHQXUo/4HeCDVDSVEuTllTRTpJQk0uSVFfRUJJVERBUl9FUV9JTkMuOTk4LjA3LzAzLzIwMjYuLi5VU0QuSAEAAADetgEAAgAAAAUxNDg0MQEIAAAABQAAAAExAQAAAAstMTkwNDg2MDc0NAMAAAADMTYwAgAAAAUyNDEyOQQAAAABMAcAAAAIMy83LzIwMjYIAAAACjEyLzMxLzIwMjMJAAAAATCuP1Ul/4HeCHIadSj/gd4INUNJUS5OWVNFOklCTS5JUV9FQklUQV9FWENMX1NCQy45OTcuMDcvMDMvMjAyNi4uLlVTRC5IAQAAAN62AQACAAAABTEwMjU2AQgAAAAFAAAAATEBAAAACy0xOTU4MjgxMDk2AwAAAAMxNjACAAAABTI0MTM2BAAAAAEwBwAAAAgzLzcvMjAyNggAAAAKMTIvMzEvMjAyMgkAAAABMK4/VSX/gd4Ichp1KP+B3ggsQ0lRLk5ZU0U6SUJNLklR</t>
  </si>
  <si>
    <t>X0VCSVRBLjk5OS4wNy8wMy8yMDI2Li4uVVNELkgBAAAA3rYBAAIAAAAFMTE2MTgBCAAAAAUAAAABMQEAAAALLTE5MDQ4NjA3NDMDAAAAAzE2MAIAAAAGMTAwNjg5BAAAAAEwBwAAAAgzLzcvMjAyNggAAAAKMTIvMzEvMjAyNAkAAAABMK4/VSX/gd4Ichp1KP+B3gguQ0lRLk5ZU0U6SUJNLklRX05JX05PUk0uOTk2LjA3LzAzLzIwMjYuLi5VU0QuSAEAAADetgEAAgAAAAQyOTQwAQgAAAAFAAAAATEBAAAACy0yMDA4NjQ3MTk4AwAAAAMxNjACAAAABDQzNzgEAAAAATAHAAAACDMvNy8yMDI2CAAAAAoxMi8zMS8yMDIxCQAAAAEwrj9VJf+B3ghyGnUo/4HeCDtDSVEuTllTRTpJQk0uSVFfREVGRVJSRURfVEFYRVNfVE9UQUwuOTk3LjA3LzAzLzIwMjYuLi5VU0QuSAEAAADetgEAAgAAAAUtMjg3OQEIAAAABQAAAAExAQAAAAstMTk1ODI4MTA5NgMAAAADMTYwAgAAAAUzNTM4NQQAAAABMAcAAAAIMy83LzIwMjYIAAAACjEyLzMxLzIwMjIJAAAAATCuP1Ul/4HeCHIadSj/gd4INkNJUS5OWVNFOklCTS5JUV9JTlRFUkVTVF9JTkNPTUUuOTkyLjA3LzAzLzIwMjYuLi5VU0QuSAEAAADetgEAAwAAAAAArj9VJf+B3ghe83Qo/4HeCEBDSVEuTllTRTpJQk0uSVFfRUFSTklOR19QQVJFTlRfRVhDTF9FWFRSQS45OTUuMDcvMDMvMjAyNi4uLlVTRC5IAQAAAN62AQACAAAABDM5MzIBCAAAAAUAAAABMQEAAAALLTIwNTkw</t>
  </si>
  <si>
    <t>NzMyMDIDAAAAAzE2MAIAAAAFNDE1OTYEAAAAATAHAAAACDMvNy8yMDI2CAAAAAoxMi8zMS8yMDIwCQAAAAEwrj9VJf+B3ghe83Qo/4HeCDxDSVEuTllTRTpJQk0uSVFfVE9UQUxfUkVWX0FTX1JFUE9SVEVELjk5Ny4wNy8wMy8yMDI2Li4uVVNELkgBAAAA3rYBAAIAAAAFNjA1MzABCAAAAAUAAAABMQEAAAALLTE5NTgyODEwOTYDAAAAAzE2MAIAAAADMzM5BAAAAAEwBwAAAAgzLzcvMjAyNggAAAAKMTIvMzEvMjAyMgkAAAABMK4/VSX/gd4IXvN0KP+B3gg9Q0lRLk5ZU0U6SUJNLklRX0FOTlVfRElTVFJJQlVUSU9OX1VOSVQuOTk0LjA3LzAzLzIwMjYuLi5VU0QuSAEAAADetgEAAwAAAAAArj9VJf+B3ghe83Qo/4HeCEZDSVEuTllTRTpJQk0uSVFfRElTVFJJQlVUQUJMRV9DQVNIX1NUQU5EQVJESVpFRC45OTkuMDcvMDMvMjAyNi4uLlVTRC5IAQAAAN62AQADAAAAAACuP1Ul/4HeCF7zdCj/gd4IMENJUS5OWVNFOklCTS5JUV9EQV9FQklUREEuOTkzLjA3LzAzLzIwMjYuLi5VU0QuSAEAAADetgEAAgAAAAQ0NDgwAQgAAAAFAAAAATEBAAAACjIwODE1MDU0MDEDAAAAAzE2MAIAAAAEMjIwNgQAAAABMAcAAAAIMy83LzIwMjYIAAAACjEyLzMxLzIwMTgJAAAAATCuP1Ul/4HeCFbMdCj/gd4IN0NJUS5OWVNFOklCTS5JUV9JTlRfRVhQX0lOQ0xfQ0FQLjk5My4wNy8wMy8yMDI2Li4uVVNELkgBAAAA3rYBAAIA</t>
  </si>
  <si>
    <t>AAADNzI2AQgAAAAFAAAAATEBAAAACjIwODE1MDU0MDEDAAAAAzE2MAIAAAAFMjE4NjEEAAAAATAHAAAACDMvNy8yMDI2CAAAAAoxMi8zMS8yMDE4CQAAAAEwrj9VJf+B3ghWzHQo/4HeCDJDSVEuTllTRTpJQk0uSVFfSU5UX0VYUF9MVEQuOTkzLjA3LzAzLzIwMjYuLi5VU0QuSAEAAADetgEAAwAAAAAArj9VJf+B3ghWzHQo/4HeCDRDSVEuTllTRTpJQk0uSVFfQUlSQ1JBRlRfUkVOVC45OTUuMDcvMDMvMjAyNi4uLlVTRC5IAQAAAN62AQADAAAAAACuP1Ul/4HeCFbMdCj/gd4IPENJUS5OWVNFOklCTS5JUV9ORVRfUkVOVEFMX0VYUF9TVVBQTEUuOTk3LjA3LzAzLzIwMjYuLi5VU0QuSAEAAADetgEAAgAAAAQxMjQ3AQgAAAAFAAAAATEBAAAACy0xOTU4MjgxMDk2AwAAAAMxNjACAAAABTI0MjYzBAAAAAEwBwAAAAgzLzcvMjAyNggAAAAKMTIvMzEvMjAyMgkAAAABMK4/VSX/gd4IXvN0KP+B3ggwQ0lRLk5ZU0U6SUJNLklRX01BUktFVElORy45OTguMDcvMDMvMjAyNi4uLlVTRC5IAQAAAN62AQADAAAAAACuP1Ul/4HeCESldCj/gd4IKkNJUS5OWVNFOklCTS5JUV9ESUMuOTk4LjA3LzAzLzIwMjYuLi5VU0QuSAEAAADetgEAAwAAAAAArj9VJf+B3ghEpXQo/4HeCDFDSVEuTllTRTpJQk0uSVFfQ09NTU9OX0RJVi45OTIuMDcvMDMvMjAyNi4uLlVTRC5IAQAAAN62AQACAAAABDU1MDYArj9VJf+B3ghEpXQo</t>
  </si>
  <si>
    <t>/4HeCDJDSVEuTllTRTpJQk0uSVFfT0lMX0lNUEFJUi4xMDAwLjA3LzAzLzIwMjYuLi5VU0QuSAEAAADetgEAAwAAAAAArj9VJf+B3ghWzHQo/4HeCDtDSVEuTllTRTpJQk0uSVFfUkVTVFJfU1RPQ0tfQ09NUF9UQVguOTk2LjA3LzAzLzIwMjYuLi5VU0QuSAEAAADetgEAAwAAAAAA1zdLJf+B3ghWzHQo/4HeCDdDSVEuTllTRTpJQk0uSVFfU1RPQ0tfQkFTRURfQ09HUy45OTcuMDcvMDMvMjAyNi4uLlVTRC5IAQAAAN62AQACAAAAAzE2NAEIAAAABQAAAAExAQAAAAstMTk1ODI4MTA5NgMAAAADMTYwAgAAAAUyMjY3NAQAAAABMAcAAAAIMy83LzIwMjYIAAAACjEyLzMxLzIwMjIJAAAAATDXN0sl/4HeCB5+dCj/gd4IN0NJUS5OWVNFOklCTS5JUV9HQUlOX0JBUkdBSU5fQUNRLjk5My4wNy8wMy8yMDI2Li4uVVNELkgBAAAA3rYBAAMAAAAAANc3SyX/gd4IHn50KP+B3gg0Q0lRLk5ZU0U6SUJNLklRX01FUkdFUl9TVVBQTEUuOTk3LjA3LzAzLzIwMjYuLi5VU0QuSAEAAADetgEAAwAAAAAA1zdLJf+B3ghEpXQo/4HeCDBDSVEuTllTRTpJQk0uSVFfRElWX1NIQVJFLjk5Ny4wNy8wMy8yMDI2Li4uVVNELkgBAAAA3rYBAAIAAAAENi41OQEIAAAABQAAAAExAQAAAAstMTk1ODI4MTA5NgMAAAADMTYwAgAAAAQzMDU4BAAAAAEwBwAAAAgzLzcvMjAyNggAAAAKMTIvMzEvMjAyMgkAAAABMNc3SyX/gd4IRKV0KP+B</t>
  </si>
  <si>
    <t>3gg1Q0lRLk5ZU0U6SUJNLklRX0RJTFVUX0VQU19FWENMLjk5My4wNy8wMy8yMDI2Li4uVVNELkgBAAAA3rYBAAIAAAAIOS41MTQxODgBCAAAAAUAAAABMQEAAAAKMjA4MTUwNTQwMQMAAAADMTYwAgAAAAMxNDIEAAAAATAHAAAACDMvNy8yMDI2CAAAAAoxMi8zMS8yMDE4CQAAAAEw1zdLJf+B3ghEpXQo/4HeCDRDSVEuTllTRTpJQk0uSVFfTklfQVZBSUxfRVhDTC45OTkuMDcvMDMvMjAyNi4uLlVTRC5IAQAAAN62AQACAAAABDYwMTUBCAAAAAUAAAABMQEAAAALLTE5MDQ4NjA3NDMDAAAAAzE2MAIAAAADMzc5BAAAAAEwBwAAAAgzLzcvMjAyNggAAAAKMTIvMzEvMjAyNAkAAAABMNc3SyX/gd4IU2p0KP+B3gg0Q0lRLk5ZU0U6SUJNLklRX05JX0FWQUlMX0lOQ0wuOTk0LjA3LzAzLzIwMjYuLi5VU0QuSAEAAADetgEAAgAAAAQ5NDMxAQgAAAAFAAAAATEBAAAACy0yMTEwNzY5MzU1AwAAAAMxNjACAAAAAjE2BAAAAAEwBwAAAAgzLzcvMjAyNggAAAAKMTIvMzEvMjAxOQkAAAABMNc3SyX/gd4IHn50KP+B3ggxQ0lRLk5ZU0U6SUJNLklRX0lOQ19FUVVJVFkuOTkyLjA3LzAzLzIwMjYuLi5VU0QuSAEAAADetgEAAwAAAAAA1zdLJf+B3ggefnQo/4HeCEhDSVEuTllTRTpJQk0uSVFfRUJJVERBX0VRX0lOQ19FWENMX09QRVJfTEVBU0VfQURKLjk5My4wNy8wMy8yMDI2Li4uVVNELkgBAAAA3rYBAAIAAAAFMTc2</t>
  </si>
  <si>
    <t>OTgBCAAAAAUAAAABMQEAAAAKMjA4MTUwNTQwMQMAAAADMTYwAgAAAAU0ODk4NwQAAAABMAcAAAAIMy83LzIwMjYIAAAACjEyLzMxLzIwMTgJAAAAATDXN0sl/4HeCB5+dCj/gd4INkNJUS5OWVNFOklCTS5JUV9FQklUREFfRVhDTF9TQkMuOTk1LjA3LzAzLzIwMjYuLi5VU0QuSAEAAADetgEAAgAAAAUxMjI5NAEIAAAABQAAAAExAQAAAAstMjA1OTA3MzIwMgMAAAADMTYwAgAAAAUyNDEzNQQAAAABMAcAAAAIMy83LzIwMjYIAAAACjEyLzMxLzIwMjAJAAAAATDXN0sl/4HeCB5+dCj/gd4INENJUS5OWVNFOklCTS5JUV9FQklUREFfRVFfSU5DLjk5NS4wNy8wMy8yMDI2Li4uVVNELkgBAAAA3rYBAAIAAAAFMTI4ODEBCAAAAAUAAAABMQEAAAALLTIwNTkwNzMyMDIDAAAAAzE2MAIAAAAFMjE2NzcEAAAAATAHAAAACDMvNy8yMDI2CAAAAAoxMi8zMS8yMDIwCQAAAAEw1zdLJf+B3ghCQ3Qo/4HeCDhDSVEuTllTRTpJQk0uSVFfU1BFQ0lBTF9ESVZfU0hBUkUuOTkyLjA3LzAzLzIwMjYuLi5VU0QuSAEAAADetgEAAwAAAAAA1zdLJf+B3ghCQ3Qo/4HeCDdDSVEuTllTRTpJQk0uSVFfVE9UQUxfUkVWX1NIQVJFLjEwMDAuMDcvMDMvMjAyNi4uLlVTRC5IAQAAAN62AQACAAAABzcyLjQzOTYBCAAAAAUAAAABMQEAAAALLTE5MDQ4NjA3NDADAAAAAzE2MAIAAAAENDM4MgQAAAABMAcAAAAIMy83LzIwMjYIAAAACjEy</t>
  </si>
  <si>
    <t>LzMxLzIwMjUJAAAAATDXN0sl/4HeCEJDdCj/gd4INUNJUS5OWVNFOklCTS5JUV9FQklUREFSX0VRX0lOQy45OTYuMDcvMDMvMjAyNi4uLlVTRC5IAQAAAN62AQACAAAABTE0MTgzAQgAAAAFAAAAATEBAAAACy0yMDA4NjQ3MTk4AwAAAAMxNjACAAAABTI0MTI5BAAAAAEwBwAAAAgzLzcvMjAyNggAAAAKMTIvMzEvMjAyMQkAAAABMNc3SyX/gd4IU2p0KP+B3gg1Q0lRLk5ZU0U6SUJNLklRX0VCSVRBX0VYQ0xfU0JDLjk5Ni4wNy8wMy8yMDI2Li4uVVNELkgBAAAA3rYBAAIAAAAEODQwMwEIAAAABQAAAAExAQAAAAstMjAwODY0NzE5OAMAAAADMTYwAgAAAAUyNDEzNgQAAAABMAcAAAAIMy83LzIwMjYIAAAACjEyLzMxLzIwMjEJAAAAATDXN0sl/4HeCFNqdCj/gd4IM0NJUS5OWVNFOklCTS5JUV9FQklUQV9FUV9JTkMuOTk2LjA3LzAzLzIwMjYuLi5VU0QuSAEAAADetgEAAgAAAAQ3NDIxAQgAAAAFAAAAATEBAAAACy0yMDA4NjQ3MTk4AwAAAAMxNjACAAAABTIxNjc2BAAAAAEwBwAAAAgzLzcvMjAyNggAAAAKMTIvMzEvMjAyMQkAAAABMNc3SyX/gd4I+ht0KP+B3gg0Q0lRLk5ZU0U6SUJNLklRX0VCSVRfRVhDTF9TQkMuOTk1LjA3LzAzLzIwMjYuLi5VU0QuSAEAAADetgEAAgAAAAQ1NTk5AQgAAAAFAAAAATEBAAAACy0yMDU5MDczMjAyAwAAAAMxNjACAAAABTI0MTM0BAAAAAEwBwAAAAgzLzcvMjAyNggA</t>
  </si>
  <si>
    <t>AAAKMTIvMzEvMjAyMAkAAAABMNc3SyX/gd4I+ht0KP+B3ggyQ0lRLk5ZU0U6SUJNLklRX0VCSVRfRVFfSU5DLjk5NC4wNy8wMy8yMDI2Li4uVVNELkgBAAAA3rYBAAIAAAAENzUzOQEIAAAABQAAAAExAQAAAAstMjExMDc2OTM1NQMAAAADMTYwAgAAAAUyMTY3NQQAAAABMAcAAAAIMy83LzIwMjYIAAAACjEyLzMxLzIwMTkJAAAAATDXN0sl/4HeCEJDdCj/gd4IP0NJUS5OWVNFOklCTS5JUV9FWENJU0VfVEFYRVNfRVhDTF9TQUxFUy4xMDAwLjA3LzAzLzIwMjYuLi5VU0QuSAEAAADetgEAAwAAAAAA1zdLJf+B3ghCQ3Qo/4HeCEBDSVEuTllTRTpJQk0uSVFfRUFSTklOR19QQVJFTlRfRVhDTF9FWFRSQS45OTMuMDcvMDMvMjAyNi4uLlVTRC5IAQAAAN62AQACAAAABDg3MjMBCAAAAAUAAAABMQEAAAAKMjA4MTUwNTQwMQMAAAADMTYwAgAAAAU0MTU5NgQAAAABMAcAAAAIMy83LzIwMjYIAAAACjEyLzMxLzIwMTgJAAAAATDXN0sl/4HeCEJDdCj/gd4IOUNJUS5OWVNFOklCTS5JUV9BU19SRVBPUlRFRF9FQklUREEuOTk0LjA3LzAzLzIwMjYuLi5VU0QuSAEAAADetgEAAwAAAAAA1zdLJf+B3gjnB3Qo/4HeCDhDSVEuTllTRTpJQk0uSVFfRkVFU19PVEhFUl9JTkNPTUUuOTk2LjA3LzAzLzIwMjYuLi5VU0QuSAEAAADetgEAAwAAAAAA1zdLJf+B3gj6G3Qo/4HeCDdDSVEuTllTRTpJQk0uSVFfRUJJVERBUl9F</t>
  </si>
  <si>
    <t>WENMX1NCQy45OTcuMDcvMDMvMjAyNi4uLlVTRC5IAQAAAN62AQACAAAABTEzMDEwAQgAAAAFAAAAATEBAAAACy0xOTU4MjgxMDk2AwAAAAMxNjACAAAABTI0MTM3BAAAAAEwBwAAAAgzLzcvMjAyNggAAAAKMTIvMzEvMjAyMgkAAAABMNc3SyX/gd4I+ht0KP+B3ggyQ0lRLk5ZU0U6SUJNLklRX0lOVF9FWFBfTFRELjk5Mi4wNy8wMy8yMDI2Li4uVVNELkgBAAAA3rYBAAMAAAAAANc3SyX/gd4I+ht0KP+B3gguQ0lRLk5ZU0U6SUJNLklRX05JX05PUk0uOTk1LjA3LzAzLzIwMjYuLi5VU0QuSAEAAADetgEAAgAAAAYxNjA3LjUBCAAAAAUAAAABMQEAAAALLTIwNTkwNzMyMDIDAAAAAzE2MAIAAAAENDM3OAQAAAABMAcAAAAIMy83LzIwMjYIAAAACjEyLzMxLzIwMjAJAAAAATDXN0sl/4HeCPobdCj/gd4IO0NJUS5OWVNFOklCTS5JUV9ERUZFUlJFRF9UQVhFU19UT1RBTC45OTYuMDcvMDMvMjAyNi4uLlVTRC5IAQAAAN62AQACAAAABS0xNzUzAQgAAAAFAAAAATEBAAAACy0yMDA4NjQ3MTk4AwAAAAMxNjACAAAABTM1Mzg1BAAAAAEwBwAAAAgzLzcvMjAyNggAAAAKMTIvMzEvMjAyMQkAAAABMNc3SyX/gd4IOO9zKP+B3ggyQ0lRLk5ZU0U6SUJNLklRX0NVUlJfVEFYRVMuMTAwMC4wNy8wMy8yMDI2Li4uVVNELkgBAAAA3rYBAAIAAAADNzE2AQgAAAAFAAAAATEBAAAACy0xOTA0ODYwNzQwAwAAAAMxNjACAAAA</t>
  </si>
  <si>
    <t>BTM1MzgzBAAAAAEwBwAAAAgzLzcvMjAyNggAAAAKMTIvMzEvMjAyNQkAAAABMNc3SyX/gd4IOO9zKP+B3gg7Q0lRLk5ZU0U6SUJNLklRX0NVUlJfRE9NRVNUSUNfVEFYRVMuMTAwMC4wNy8wMy8yMDI2Li4uVVNELkgBAAAA3rYBAAIAAAAFLTE1ODcBCAAAAAUAAAABMQEAAAALLTE5MDQ4NjA3NDADAAAAAzE2MAIAAAAEMzAyNwQAAAABMAcAAAAIMy83LzIwMjYIAAAACjEyLzMxLzIwMjUJAAAAATDXN0sl/4HeCDjvcyj/gd4IKkNJUS5OWVNFOklCTS5JUV9ESUMuOTk3LjA3LzAzLzIwMjYuLi5VU0QuSAEAAADetgEAAwAAAAAA1zdLJf+B3gjnB3Qo/4HeCDFDSVEuTllTRTpJQk0uSVFfQ09NTU9OX0RJVi45OTcuMDcvMDMvMjAyNi4uLlVTRC5IAQAAAN62AQACAAAABDU5NDgA1zdLJf+B3gjnB3Qo/4HeCD1DSVEuTllTRTpJQk0uSVFfQU5OVV9ESVNUUklCVVRJT05fVU5JVC45OTMuMDcvMDMvMjAyNi4uLlVTRC5IAQAAAN62AQADAAAAAADXN0sl/4HeCBqhcyj/gd4IRkNJUS5OWVNFOklCTS5JUV9ESVNUUklCVVRBQkxFX0NBU0hfU1RBTkRBUkRJWkVELjk5OC4wNy8wMy8yMDI2Li4uVVNELkgBAAAA3rYBAAMAAAAAANc3SyX/gd4IJ8hzKP+B3gg3Q0lRLk5ZU0U6SUJNLklRX0lOVF9FWFBfSU5DTF9DQVAuOTkyLjA3LzAzLzIwMjYuLi5VU0QuSAEAAADetgEAAgAAAAM2MjABCAAAAAUAAAABMQEAAAAKMjAx</t>
  </si>
  <si>
    <t>NzE2NDI0NAMAAAADMTYwAgAAAAUyMTg2MQQAAAABMAcAAAAIMy83LzIwMjYIAAAACjEyLzMxLzIwMTcJAAAAATDXN0sl/4HeCCfIcyj/gd4IO0NJUS5OWVNFOklCTS5JUV9PVEhFUl9VTlVTVUFMX1NVUFBMRS45OTIuMDcvMDMvMjAyNi4uLlVTRC5IAQAAAN62AQADAAAAAADXN0sl/4HeCCfIcyj/gd4IN0NJUS5OWVNFOklCTS5JUV9HQUlOX0JBUkdBSU5fQUNRLjk5Ny4wNy8wMy8yMDI2Li4uVVNELkgBAAAA3rYBAAMAAAAAANc3SyX/gd4IJ8hzKP+B3gg/Q0lRLk5ZU0U6SUJNLklRX0lNUFVUX09QRVJfTEVBU0VfSU5UX0VYUC45OTYuMDcvMDMvMjAyNi4uLlVTRC5IAQAAAN62AQACAAAACjIyMS40NDc0NDgBCAAAAAUAAAABMQEAAAALLTIwMDg2NDcxOTgDAAAAAzE2MAIAAAAFMjE2NzIEAAAAATAHAAAACDMvNy8yMDI2CAAAAAoxMi8zMS8yMDIxCQAAAAEw1zdLJf+B3ggLenMo/4HeCDVDSVEuTllTRTpJQk0uSVFfQUlSQ1JBRlRfUkVOVC4xMDAwLjA3LzAzLzIwMjYuLi5VU0QuSAEAAADetgEAAwAAAAAA1zdLJf+B3ggLenMo/4HeCDBDSVEuTllTRTpJQk0uSVFfTUFSS0VUSU5HLjk5Ny4wNy8wMy8yMDI2Li4uVVNELkgBAAAA3rYBAAMAAAAAANc3SyX/gd4IC3pzKP+B3ggvQ0lRLk5ZU0U6SUJNLklRX0RBX1NVUFBMLjk5OC4wNy8wMy8yMDI2Li4uVVNELkgBAAAA3rYBAAMAAAAAANc3SyX/gd4IGqFz</t>
  </si>
  <si>
    <t>KP+B3ggxQ0lRLk5ZU0U6SUJNLklRX09JTF9JTVBBSVIuOTk5LjA3LzAzLzIwMjYuLi5VU0QuSAEAAADetgEAAwAAAAAA1zdLJf+B3ggaoXMo/4HeCDxDSVEuTllTRTpJQk0uSVFfUkVTVFJfU1RPQ0tfQ09NUF9UQVguMTAwMC4wNy8wMy8yMDI2Li4uVVNELkgBAAAA3rYBAAMAAAAAANc3SyX/gd4IC3pzKP+B3gg3Q0lRLk5ZU0U6SUJNLklRX1NUT0NLX0JBU0VEX1NHQS4xMDAwLjA3LzAzLzIwMjYuLi5VU0QuSAEAAADetgEAAgAAAAM5MDQBCAAAAAUAAAABMQEAAAALLTE5MDQ4NjA3NDADAAAAAzE2MAIAAAAFMjI2NzkEAAAAATAHAAAACDMvNy8yMDI2CAAAAAoxMi8zMS8yMDI1CQAAAAEw1zdLJf+B3ggLenMo/4HeCDdDSVEuTllTRTpJQk0uSVFfU1RPQ0tfQkFTRURfQ09HUy45OTYuMDcvMDMvMjAyNi4uLlVTRC5IAQAAAN62AQACAAAAAzE0NQEIAAAABQAAAAExAQAAAAstMjAwODY0NzE5OAMAAAADMTYwAgAAAAUyMjY3NAQAAAABMAcAAAAIMy83LzIwMjYIAAAACjEyLzMxLzIwMjEJAAAAATDXN0sl/4HeCAt6cyj/gd4ISENJUS5OWVNFOklCTS5JUV9FQklUREFfRVFfSU5DX0VYQ0xfT1BFUl9MRUFTRV9BREouOTkyLjA3LzAzLzIwMjYuLi5VU0QuSAEAAADetgEAAgAAAAUxNjIyMwEIAAAABQAAAAExAQAAAAoyMDE3MTY0MjQ0AwAAAAMxNjACAAAABTQ4OTg3BAAAAAEwBwAAAAgzLzcvMjAyNggAAAAK</t>
  </si>
  <si>
    <t>MTIvMzEvMjAxNwkAAAABMNc3SyX/gd4IC3pzKP+B3gg8Q0lRLk5ZU0U6SUJNLklRX0VCSVREQV9MRUFTRV9BREpVU1RFRC45OTIuMDcvMDMvMjAyNi4uLlVTRC5IAQAAAN62AQACAAAABTE2MjIzAQgAAAAFAAAAATEBAAAACjIwMTcxNjQyNDQDAAAAAzE2MAIAAAAFNDg5OTMEAAAAATAHAAAACDMvNy8yMDI2CAAAAAoxMi8zMS8yMDE3CQAAAAEw1zdLJf+B3ggLenMo/4HeCDRDSVEuTllTRTpJQk0uSVFfRUJJVERBX0VRX0lOQy45OTQuMDcvMDMvMjAyNi4uLlVTRC5IAQAAAN62AQACAAAABTE1MjIxAQgAAAAFAAAAATEBAAAACy0yMTEwNzY5MzU1AwAAAAMxNjACAAAABTIxNjc3BAAAAAEwBwAAAAgzLzcvMjAyNggAAAAKMTIvMzEvMjAxOQkAAAABMNc3SyX/gd4ICFNzKP+B3gg2Q0lRLk5ZU0U6SUJNLklRX1RPVEFMX1JFVl9TSEFSRS45OTkuMDcvMDMvMjAyNi4uLlVTRC5IAQAAAN62AQACAAAACTY4LjA3ODk2NAEIAAAABQAAAAExAQAAAAstMTkwNDg2MDc0MwMAAAADMTYwAgAAAAQ0MzgyBAAAAAEwBwAAAAgzLzcvMjAyNggAAAAKMTIvMzEvMjAyNAkAAAABMNc3SyX/gd4ICFNzKP+B3ggwQ0lRLk5ZU0U6SUJNLklRX0RJVl9TSEFSRS45OTYuMDcvMDMvMjAyNi4uLlVTRC5IAQAAAN62AQACAAAABDYuNTUBCAAAAAUAAAABMQEAAAALLTIwMDg2NDcxOTgDAAAAAzE2MAIAAAAEMzA1OAQAAAABMAcAAAAI</t>
  </si>
  <si>
    <t>My83LzIwMjYIAAAACjEyLzMxLzIwMjEJAAAAATDXN0sl/4HeCAhTcyj/gd4INUNJUS5OWVNFOklCTS5JUV9FQklUREFSX0VRX0lOQy45OTUuMDcvMDMvMjAyNi4uLlVTRC5IAQAAAN62AQACAAAABTE0NDA1AQgAAAAFAAAAATEBAAAACy0yMDU5MDczMjAyAwAAAAMxNjACAAAABTI0MTI5BAAAAAEwBwAAAAgzLzcvMjAyNggAAAAKMTIvMzEvMjAyMAkAAAABMNc3SyX/gd4ICFNzKP+B3gg1Q0lRLk5ZU0U6SUJNLklRX0VCSVRBX0VYQ0xfU0JDLjk5NS4wNy8wMy8yMDI2Li4uVVNELkgBAAAA3rYBAAIAAAAEODA2NwEIAAAABQAAAAExAQAAAAstMjA1OTA3MzIwMgMAAAADMTYwAgAAAAUyNDEzNgQAAAABMAcAAAAIMy83LzIwMjYIAAAACjEyLzMxLzIwMjAJAAAAATDXN0sl/4HeCAhTcyj/gd4IM0NJUS5OWVNFOklCTS5JUV9FQklUQV9FUV9JTkMuOTk1LjA3LzAzLzIwMjYuLi5VU0QuSAEAAADetgEAAgAAAAQ3MTMwAQgAAAAFAAAAATEBAAAACy0yMDU5MDczMjAyAwAAAAMxNjACAAAABTIxNjc2BAAAAAEwBwAAAAgzLzcvMjAyNggAAAAKMTIvMzEvMjAyMAkAAAABMNc3SyX/gd4I6itzKP+B3gg0Q0lRLk5ZU0U6SUJNLklRX0VCSVRfRVhDTF9TQkMuOTk0LjA3LzAzLzIwMjYuLi5VU0QuSAEAAADetgEAAgAAAAQ4MjE4AQgAAAAFAAAAATEBAAAACy0yMTEwNzY5MzU1AwAAAAMxNjACAAAABTI0MTM0BAAAAAEw</t>
  </si>
  <si>
    <t>BwAAAAgzLzcvMjAyNggAAAAKMTIvMzEvMjAxOQkAAAABMNc3SyX/gd4I6itzKP+B3ggyQ0lRLk5ZU0U6SUJNLklRX0VCSVRfRVFfSU5DLjk5My4wNy8wMy8yMDI2Li4uVVNELkgBAAAA3rYBAAIAAAAFMTMyMTgBCAAAAAUAAAABMQEAAAAKMjA4MTUwNTQwMQMAAAADMTYwAgAAAAUyMTY3NQQAAAABMAcAAAAIMy83LzIwMjYIAAAACjEyLzMxLzIwMTgJAAAAATDXN0sl/4HeCOorcyj/gd4IOkNJUS5OWVNFOklCTS5JUV9DVVJSX0RPTUVTVElDX1RBWEVTLjk5OS4wNy8wMy8yMDI2Li4uVVNELkgBAAAA3rYBAAIAAAAELTE4MwEIAAAABQAAAAExAQAAAAstMTkwNDg2MDc0MwMAAAADMTYwAgAAAAQzMDI3BAAAAAEwBwAAAAgzLzcvMjAyNggAAAAKMTIvMzEvMjAyNAkAAAABMNc3SyX/gd4ICFNzKP+B3gg+Q0lRLk5ZU0U6SUJNLklRX0VYQ0lTRV9UQVhFU19FWENMX1NBTEVTLjk5OS4wNy8wMy8yMDI2Li4uVVNELkgBAAAA3rYBAAMAAAAAANc3SyX/gd4ICFNzKP+B3gg3Q0lRLk5ZU0U6SUJNLklRX0lOVEVSRVNUX0lOQ09NRS4xMDAwLjA3LzAzLzIwMjYuLi5VU0QuSAEAAADetgEAAgAAAAM2NDUBCAAAAAUAAAABMQEAAAALLTE5MDQ4NjA3NDADAAAAAzE2MAIAAAADMjEwBAAAAAEwBwAAAAgzLzcvMjAyNggAAAAKMTIvMzEvMjAyNQkAAAABMNc3SyX/gd4IowRzKP+B3gg5Q0lRLk5ZU0U6SUJNLklRX0FTX1JF</t>
  </si>
  <si>
    <t>UE9SVEVEX0VCSVREQS45OTMuMDcvMDMvMjAyNi4uLlVTRC5IAQAAAN62AQADAAAAAADXN0sl/4HeCOorcyj/gd4IN0NJUS5OWVNFOklCTS5JUV9FQklUREFSX0VYQ0xfU0JDLjk5NS4wNy8wMy8yMDI2Li4uVVNELkgBAAAA3rYBAAIAAAAFMTM4MTgBCAAAAAUAAAABMQEAAAALLTIwNTkwNzMyMDIDAAAAAzE2MAIAAAAFMjQxMzcEAAAAATAHAAAACDMvNy8yMDI2CAAAAAoxMi8zMS8yMDIwCQAAAAEw1zdLJf+B3gjqK3Mo/4HeCD1DSVEuTllTRTpJQk0uSVFfQU5OVV9ESVNUUklCVVRJT05fVU5JVC45OTIuMDcvMDMvMjAyNi4uLlVTRC5IAQAAAN62AQADAAAAAADXN0sl/4HeCOorcyj/gd4IRkNJUS5OWVNFOklCTS5JUV9ESVNUUklCVVRBQkxFX0NBU0hfU1RBTkRBUkRJWkVELjk5Ny4wNy8wMy8yMDI2Li4uVVNELkgBAAAA3rYBAAMAAAAAANc3SyX/gd4I6itzKP+B3ggwQ0lRLk5ZU0U6SUJNLklRX0RBX0VCSVREQS45OTkuMDcvMDMvMjAyNi4uLlVTRC5IAQAAAN62AQACAAAABDMwOTgBCAAAAAUAAAABMQEAAAALLTE5MDQ4NjA3NDMDAAAAAzE2MAIAAAAEMjIwNgQAAAABMAcAAAAIMy83LzIwMjYIAAAACjEyLzMxLzIwMjQJAAAAATDXN0sl/4HeCKMEcyj/gd4IO0NJUS5OWVNFOklCTS5JUV9ERUZFUlJFRF9UQVhFU19UT1RBTC45OTQuMDcvMDMvMjAyNi4uLlVTRC5IAQAAAN62AQACAAAABS0xNTg4AQgA</t>
  </si>
  <si>
    <t>AAAFAAAAATEBAAAACy0yMTEwNzY5MzU1AwAAAAMxNjACAAAABTM1Mzg1BAAAAAEwBwAAAAgzLzcvMjAyNggAAAAKMTIvMzEvMjAxOQkAAAABMNc3SyX/gd4IowRzKP+B3gg+Q0lRLk5ZU0U6SUJNLklRX0RFRkVSUkVEX0RPTUVTVElDX1RBWEVTLjk5Ny4wNy8wMy8yMDI2Li4uVVNELkgBAAAA3rYBAAIAAAAFLTMxMzEBCAAAAAUAAAABMQEAAAALLTE5NTgyODEwOTYDAAAAAzE2MAIAAAAEMzA1NAQAAAABMAcAAAAIMy83LzIwMjYIAAAACjEyLzMxLzIwMjIJAAAAATDXN0sl/4HeCKMEcyj/gd4INENJUS5OWVNFOklCTS5JUV9BSVJDUkFGVF9SRU5ULjk5OS4wNy8wMy8yMDI2Li4uVVNELkgBAAAA3rYBAAMAAAAAANc3SyX/gd4IowRzKP+B3gg4Q0lRLk5ZU0U6SUJNLklRX0NPTlRJTkdFTlRfUkVOVEFMLjk5OS4wNy8wMy8yMDI2Li4uVVNELkgBAAAA3rYBAAIAAAADMzIxANc3SyX/gd4IowRzKP+B3ggxQ0lRLk5ZU0U6SUJNLklRX1JEX0VYUF9GTi4xMDAwLjA3LzAzLzIwMjYuLi5VU0QuSAEAAADetgEAAgAAAAQ4MzEyAQgAAAAFAAAAATEBAAAACy0xOTA0ODYwNzQwAwAAAAMxNjACAAAABDMxNjgEAAAAATAHAAAACDMvNy8yMDI2CAAAAAoxMi8zMS8yMDI1CQAAAAEw1zdLJf+B3ghkyXIo/4HeCDBDSVEuTllTRTpJQk0uSVFfTUFSS0VUSU5HLjk5Ni4wNy8wMy8yMDI2Li4uVVNELkgBAAAA3rYBAAMAAAAA</t>
  </si>
  <si>
    <t>ANc3SyX/gd4IZMlyKP+B3ggqQ0lRLk5ZU0U6SUJNLklRX0RJQy45OTYuMDcvMDMvMjAyNi4uLlVTRC5IAQAAAN62AQADAAAAAADXN0sl/4HeCKMEcyj/gd4IN0NJUS5OWVNFOklCTS5JUV9SRVNUUl9TVE9DS19DT01QLjk5Ny4wNy8wMy8yMDI2Li4uVVNELkgBAAAA3rYBAAMAAAAAANc3SyX/gd4IowRzKP+B3gg2Q0lRLk5ZU0U6SUJNLklRX1NUT0NLX0JBU0VEX1NHQS45OTguMDcvMDMvMjAyNi4uLlVTRC5IAQAAAN62AQACAAAAAzYxNgEIAAAABQAAAAExAQAAAAstMTkwNDg2MDc0NAMAAAADMTYwAgAAAAUyMjY3OQQAAAABMAcAAAAIMy83LzIwMjYIAAAACjEyLzMxLzIwMjMJAAAAATDXN0sl/4HeCKMEcyj/gd4IN0NJUS5OWVNFOklCTS5JUV9TVE9DS19CQVNFRF9DT0dTLjk5NS4wNy8wMy8yMDI2Li4uVVNELkgBAAAA3rYBAAIAAAADMTI2AQgAAAAFAAAAATEBAAAACy0yMDU5MDczMjAyAwAAAAMxNjACAAAABTIyNjc0BAAAAAEwBwAAAAgzLzcvMjAyNggAAAAKMTIvMzEvMjAyMAkAAAABMNc3SyX/gd4IZMlyKP+B3gg3Q0lRLk5ZU0U6SUJNLklRX0dBSU5fQkFSR0FJTl9BQ1EuOTk2LjA3LzAzLzIwMjYuLi5VU0QuSAEAAADetgEAAwAAAAAA1zdLJf+B3ghkyXIo/4HeCDxDSVEuTllTRTpJQk0uSVFfSU1QVVRfT1BFUl9MRUFTRV9ERVBSLjk5My4wNy8wMy8yMDI2Li4uVVNELkgBAAAA3rYBAAMAAAAA</t>
  </si>
  <si>
    <t>ANc3SyX/gd4IZMlyKP+B3ggvQ0lRLk5ZU0U6SUJNLklRX0lOQ19UQVguMTAwMC4wNy8wMy8yMDI2Li4uVVNELkgBAAAA3rYBAAIAAAAELTI0MgEIAAAABQAAAAExAQAAAAstMTkwNDg2MDc0MAMAAAADMTYwAgAAAAI3NQQAAAABMAcAAAAIMy83LzIwMjYIAAAACjEyLzMxLzIwMjUJAAAAATDXN0sl/4HeCGTJcij/gd4IOkNJUS5OWVNFOklCTS5JUV9PVEhFUl9VTlVTVUFMX1NVUFBMLjk5Ny4wNy8wMy8yMDI2Li4uVVNELkgBAAAA3rYBAAIAAAAFLTU4OTQBCAAAAAUAAAABMQEAAAALLTE5NTgyODEwOTYDAAAAAzE2MAIAAAACODcEAAAAATAHAAAACDMvNy8yMDI2CAAAAAoxMi8zMS8yMDIyCQAAAAEw1zdLJf+B3ghkyXIo/4HeCDNDSVEuTllTRTpJQk0uSVFfTEVHQUxfU0VUVExFLjk5Mi4wNy8wMy8yMDI2Li4uVVNELkgBAAAA3rYBAAMAAAAAANleSyX/gd4Igo5yKP+B3ggyQ0lRLk5ZU0U6SUJNLklRX0dBSU5fQVNTRVRTLjk5NS4wNy8wMy8yMDI2Li4uVVNELkgBAAAA3rYBAAMAAAAAANleSyX/gd4Igo5yKP+B3ggsQ0lRLk5ZU0U6SUJNLklRX0RBX0NGLjk5My4wNy8wMy8yMDI2Li4uVVNELkgBAAAA3rYBAAIAAAAENDQ4MAEIAAAABQAAAAExAQAAAAoyMDgxNTA1NDAxAwAAAAMxNjACAAAABDIxNjAEAAAAATAHAAAACDMvNy8yMDI2CAAAAAoxMi8zMS8yMDE4CQAAAAEw2V5LJf+B3giCjnIo/4HeCDVD</t>
  </si>
  <si>
    <t>SVEuTllTRTpJQk0uSVFfQkFTSUNfRVBTX0lOQ0wuOTk1LjA3LzAzLzIwMjYuLi5VU0QuSAEAAADetgEAAgAAAAg2LjI3ODQzOQEIAAAABQAAAAExAQAAAAstMjA1OTA3MzIwMgMAAAADMTYwAgAAAAE5BAAAAAEwBwAAAAgzLzcvMjAyNggAAAAKMTIvMzEvMjAyMAkAAAABMNleSyX/gd4Igo5yKP+B3gg0Q0lRLk5ZU0U6SUJNLklRX05JX0FWQUlMX0lOQ0wuOTkyLjA3LzAzLzIwMjYuLi5VU0QuSAEAAADetgEAAgAAAAQ1NzUzAQgAAAAFAAAAATEBAAAACjIwMTcxNjQyNDQDAAAAAzE2MAIAAAACMTYEAAAAATAHAAAACDMvNy8yMDI2CAAAAAoxMi8zMS8yMDE3CQAAAAEw2V5LJf+B3giCjnIo/4HeCClDSVEuTllTRTpJQk0uSVFfTkkuOTk5LjA3LzAzLzIwMjYuLi5VU0QuSAEAAADetgEAAgAAAAQ2MDIzAQgAAAAFAAAAATEBAAAACy0xOTA0ODYwNzQzAwAAAAMxNjACAAAAAjE1BAAAAAEwBwAAAAgzLzcvMjAyNggAAAAKMTIvMzEvMjAyNAkAAAABMNleSyX/gd4IF2dyKP+B3ggxQ0lRLk5ZU0U6SUJNLklRX05JX0NPTVBBTlkuOTk2LjA3LzAzLzIwMjYuLi5VU0QuSAEAAADetgEAAgAAAAQ1NzQzAQgAAAAFAAAAATEBAAAACy0yMDA4NjQ3MTk4AwAAAAMxNjACAAAABTQxNTcxBAAAAAEwBwAAAAgzLzcvMjAyNggAAAAKMTIvMzEvMjAyMQkAAAABMNleSyX/gd4Igo5yKP+B3ggpQ0lRLk5ZU0U6SUJNLklRX0RP</t>
  </si>
  <si>
    <t>Ljk5My4wNy8wMy8yMDI2Li4uVVNELkgBAAAA3rYBAAIAAAABNQEIAAAABQAAAAExAQAAAAoyMDgxNTA1NDAxAwAAAAMxNjACAAAAAjQwBAAAAAEwBwAAAAgzLzcvMjAyNggAAAAKMTIvMzEvMjAxOAkAAAABMNleSyX/gd4Igo5yKP+B3gg2Q0lRLk5ZU0U6SUJNLklRX1RPVEFMX1JFVl9TSEFSRS45OTguMDcvMDMvMjAyNi4uLlVTRC5IAQAAAN62AQACAAAACTY3Ljg4NzcyOQEIAAAABQAAAAExAQAAAAstMTkwNDg2MDc0NAMAAAADMTYwAgAAAAQ0MzgyBAAAAAEwBwAAAAgzLzcvMjAyNggAAAAKMTIvMzEvMjAyMwkAAAABMNleSyX/gd4Igo5yKP+B3ggwQ0lRLk5ZU0U6SUJNLklRX0RJVl9TSEFSRS45OTUuMDcvMDMvMjAyNi4uLlVTRC5IAQAAAN62AQACAAAABDYuNTEBCAAAAAUAAAABMQEAAAALLTIwNTkwNzMyMDIDAAAAAzE2MAIAAAAEMzA1OAQAAAABMAcAAAAIMy83LzIwMjYIAAAACjEyLzMxLzIwMjAJAAAAATDZXksl/4HeCIKOcij/gd4INUNJUS5OWVNFOklCTS5JUV9ESUxVVF9FUFNfTk9STS45OTkuMDcvMDMvMjAyNi4uLlVTRC5IAQAAAN62AQACAAAACDYuMDgwMTk3AQgAAAAFAAAAATEBAAAACy0xOTA0ODYwNzQzAwAAAAMxNjACAAAABDQzODAEAAAAATAHAAAACDMvNy8yMDI2CAAAAAoxMi8zMS8yMDI0CQAAAAEw2V5LJf+B3ghPU3Io/4HeCC9DSVEuTllTRTpJQk0uSVFfRVBTX05PUk0uOTk0</t>
  </si>
  <si>
    <t>LjA3LzAzLzIwMjYuLi5VU0QuSAEAAADetgEAAgAAAAg0LjUzOTM4MwEIAAAABQAAAAExAQAAAAstMjExMDc2OTM1NQMAAAADMTYwAgAAAAQ0Mzc5BAAAAAEwBwAAAAgzLzcvMjAyNggAAAAKMTIvMzEvMjAxOQkAAAABMNleSyX/gd4IF2dyKP+B3gg2Q0lRLk5ZU0U6SUJNLklRX0JBU0lDX0VQU19FWENMLjEwMDAuMDcvMDMvMjAyNi4uLlVTRC5IAQAAAN62AQACAAAACTExLjMzODY5OAEIAAAABQAAAAExAQAAAAstMTkwNDg2MDc0MAMAAAADMTYwAgAAAAQzMDY0BAAAAAEwBwAAAAgzLzcvMjAyNggAAAAKMTIvMzEvMjAyNQkAAAABMNleSyX/gd4IF2dyKP+B3gg1Q0lRLk5ZU0U6SUJNLklRX0VCSVRBX0VYQ0xfU0JDLjk5NC4wNy8wMy8yMDI2Li4uVVNELkgBAAAA3rYBAAIAAAAFMTAwNjgBCAAAAAUAAAABMQEAAAALLTIxMTA3NjkzNTUDAAAAAzE2MAIAAAAFMjQxMzYEAAAAATAHAAAACDMvNy8yMDI2CAAAAAoxMi8zMS8yMDE5CQAAAAEw2V5LJf+B3ggXZ3Io/4HeCDNDSVEuTllTRTpJQk0uSVFfRUJJVEFfRVFfSU5DLjk5My4wNy8wMy8yMDI2Li4uVVNELkgBAAAA3rYBAAIAAAAFMTQ1NzEBCAAAAAUAAAABMQEAAAAKMjA4MTUwNTQwMQMAAAADMTYwAgAAAAUyMTY3NgQAAAABMAcAAAAIMy83LzIwMjYIAAAACjEyLzMxLzIwMTgJAAAAATDZXksl/4HeCBdncij/gd4INENJUS5OWVNFOklCTS5JUV9FQklU</t>
  </si>
  <si>
    <t>X0VYQ0xfU0JDLjk5My4wNy8wMy8yMDI2Li4uVVNELkgBAAAA3rYBAAIAAAAFMTM3MjgBCAAAAAUAAAABMQEAAAAKMjA4MTUwNTQwMQMAAAADMTYwAgAAAAUyNDEzNAQAAAABMAcAAAAIMy83LzIwMjYIAAAACjEyLzMxLzIwMTgJAAAAATDZXksl/4HeCEIscij/gd4IMkNJUS5OWVNFOklCTS5JUV9FQklUX0VRX0lOQy45OTIuMDcvMDMvMjAyNi4uLlVTRC5IAQAAAN62AQACAAAABTExNjgyAQgAAAAFAAAAATEBAAAACjIwMTcxNjQyNDQDAAAAAzE2MAIAAAAFMjE2NzUEAAAAATAHAAAACDMvNy8yMDI2CAAAAAoxMi8zMS8yMDE3CQAAAAEw2V5LJf+B3ghCLHIo/4HeCDhDSVEuTllTRTpJQk0uSVFfU1BFQ0lBTF9ESVZfU0hBUkUuOTk5LjA3LzAzLzIwMjYuLi5VU0QuSAEAAADetgEAAwAAAAAA2V5LJf+B3ghCLHIo/4HeCDZDSVEuTllTRTpJQk0uSVFfSU5URVJFU1RfSU5DT01FLjk5OS4wNy8wMy8yMDI2Li4uVVNELkgBAAAA3rYBAAIAAAADNzQ3AQgAAAAFAAAAATEBAAAACy0xOTA0ODYwNzQzAwAAAAMxNjACAAAAAzIxMAQAAAABMAcAAAAIMy83LzIwMjYIAAAACjEyLzMxLzIwMjQJAAAAATDZXksl/4HeCEIscij/gd4IQUNJUS5OWVNFOklCTS5JUV9FQVJOSU5HX1BBUkVOVF9FWENMX0VYVFJBLjEwMDAuMDcvMDMvMjAyNi4uLlVTRC5IAQAAAN62AQACAAAABTEwNTcxAQgAAAAFAAAAATEBAAAACy0xOTA0</t>
  </si>
  <si>
    <t>ODYwNzQwAwAAAAMxNjACAAAABTQxNTk2BAAAAAEwBwAAAAgzLzcvMjAyNggAAAAKMTIvMzEvMjAyNQkAAAABMNleSyX/gd4IT1NyKP+B3gg5Q0lRLk5ZU0U6SUJNLklRX0FTX1JFUE9SVEVEX0VCSVREQS45OTIuMDcvMDMvMjAyNi4uLlVTRC5IAQAAAN62AQADAAAAAADZXksl/4HeCMHdcSj/gd4IM0NJUS5OWVNFOklCTS5JUV9FQklUREFfQ0FQRVguOTkyLjA3LzAzLzIwMjYuLi5VU0QuSAEAAADetgEAAgAAAAUxMjk5NAEIAAAABQAAAAExAQAAAAoyMDE3MTY0MjQ0AwAAAAMxNjACAAAABTM1Mzc5BAAAAAEwBwAAAAgzLzcvMjAyNggAAAAKMTIvMzEvMjAxNwkAAAABMNleSyX/gd4ILAVyKP+B3gg1Q0lRLk5ZU0U6SUJNLklRX0VCSVREQVJfRVFfSU5DLjk5NC4wNy8wMy8yMDI2Li4uVVNELkgBAAAA3rYBAAIAAAAFMTY4NDQBCAAAAAUAAAABMQEAAAALLTIxMTA3NjkzNTUDAAAAAzE2MAIAAAAFMjQxMjkEAAAAATAHAAAACDMvNy8yMDI2CAAAAAoxMi8zMS8yMDE5CQAAAAEw2V5LJf+B3ggsBXIo/4HeCDBDSVEuTllTRTpJQk0uSVFfTUFSS0VUSU5HLjk5NS4wNy8wMy8yMDI2Li4uVVNELkgBAAAA3rYBAAMAAAAAANleSyX/gd4ILAVyKP+B3ggwQ0lRLk5ZU0U6SUJNLklRX0RBX0VCSVREQS45OTguMDcvMDMvMjAyNi4uLlVTRC5IAQAAAN62AQACAAAABDI4MzYBCAAAAAUAAAABMQEAAAALLTE5MDQ4NjA3</t>
  </si>
  <si>
    <t>NDQDAAAAAzE2MAIAAAAEMjIwNgQAAAABMAcAAAAIMy83LzIwMjYIAAAACjEyLzMxLzIwMjMJAAAAATDZXksl/4HeCCwFcij/gd4IPkNJUS5OWVNFOklCTS5JUV9ERUZFUlJFRF9ET01FU1RJQ19UQVhFUy45OTUuMDcvMDMvMjAyNi4uLlVTRC5IAQAAAN62AQACAAAAAzc0NAEIAAAABQAAAAExAQAAAAstMjA1OTA3MzIwMgMAAAADMTYwAgAAAAQzMDU0BAAAAAEwBwAAAAgzLzcvMjAyNggAAAAKMTIvMzEvMjAyMAkAAAABMNleSyX/gd4I/MdxKP+B3gg5Q0lRLk5ZU0U6SUJNLklRX0NVUlJfRk9SRUlHTl9UQVhFUy45OTYuMDcvMDMvMjAyNi4uLlVTRC5IAQAAAN62AQACAAAABDEzNDIBCAAAAAUAAAABMQEAAAALLTIwMDg2NDcxOTgDAAAAAzE2MAIAAAAEMzAzMAQAAAABMAcAAAAIMy83LzIwMjYIAAAACjEyLzMxLzIwMjEJAAAAATDZXksl/4HeCPzHcSj/gd4IPkNJUS5OWVNFOklCTS5JUV9FWENJU0VfVEFYRVNfRVhDTF9TQUxFUy45OTguMDcvMDMvMjAyNi4uLlVTRC5IAQAAAN62AQADAAAAAADZXksl/4HeCMHdcSj/gd4INENJUS5OWVNFOklCTS5JUV9NRVJHRVJfU1VQUExFLjk5OS4wNy8wMy8yMDI2Li4uVVNELkgBAAAA3rYBAAMAAAAAANleSyX/gd4Iwd1xKP+B3gg8Q0lRLk5ZU0U6SUJNLklRX0lNUFVUX09QRVJfTEVBU0VfREVQUi45OTIuMDcvMDMvMjAyNi4uLlVTRC5IAQAAAN62AQADAAAAAADZ</t>
  </si>
  <si>
    <t>Xksl/4HeCMHdcSj/gd4IQUNJUS5OWVNFOklCTS5JUV9ERVBSRUNJQVRJT05fUkVOVEFMX0FTU0VUUy45OTYuMDcvMDMvMjAyNi4uLlVTRC5IAQAAAN62AQADAAAAAADZXksl/4HeCBqxcSj/gd4IOENJUS5OWVNFOklCTS5JUV9DT05USU5HRU5UX1JFTlRBTC45OTguMDcvMDMvMjAyNi4uLlVTRC5IAQAAAN62AQACAAAAAzMzMQDZXksl/4HeCBqxcSj/gd4IMENJUS5OWVNFOklCTS5JUV9SRF9FWFBfRk4uOTk5LjA3LzAzLzIwMjYuLi5VU0QuSAEAAADetgEAAgAAAAQ3NDc5AQgAAAAFAAAAATEBAAAACy0xOTA0ODYwNzQzAwAAAAMxNjACAAAABDMxNjgEAAAAATAHAAAACDMvNy8yMDI2CAAAAAoxMi8zMS8yMDI0CQAAAAEw2V5LJf+B3ggasXEo/4HeCEBDSVEuTllTRTpJQk0uSVFfU1RPQ0tfT1BUSU9OU19DT01QX1BSRVRBWC45OTMuMDcvMDMvMjAyNi4uLlVTRC5IAQAAAN62AQADAAAAAADZXksl/4HeCBqxcSj/gd4INkNJUS5OWVNFOklCTS5JUV9TVE9DS19CQVNFRF9TR0EuOTk3LjA3LzAzLzIwMjYuLi5VU0QuSAEAAADetgEAAgAAAAM1NjYBCAAAAAUAAAABMQEAAAALLTE5NTgyODEwOTYDAAAAAzE2MAIAAAAFMjI2NzkEAAAAATAHAAAACDMvNy8yMDI2CAAAAAoxMi8zMS8yMDIyCQAAAAEw2V5LJf+B3gj8x3Eo/4HeCDdDSVEuTllTRTpJQk0uSVFfU1RPQ0tfQkFTRURfQ09HUy45OTQuMDcvMDMvMjAy</t>
  </si>
  <si>
    <t>Ni4uLlVTRC5IAQAAAN62AQACAAAAAjg1AQgAAAAFAAAAATEBAAAACy0yMTEwNzY5MzU1AwAAAAMxNjACAAAABTIyNjc0BAAAAAEwBwAAAAgzLzcvMjAyNggAAAAKMTIvMzEvMjAxOQkAAAABMNleSyX/gd4IX4NxKP+B3gg8Q0lRLk5ZU0U6SUJNLklRX09USEVSX1VOVVNVQUxfU1VQUExFLjEwMDAuMDcvMDMvMjAyNi4uLlVTRC5IAQAAAN62AQADAAAAAADZXksl/4HeCMWccSj/gd4IN0NJUS5OWVNFOklCTS5JUV9HQUlOX0JBUkdBSU5fQUNRLjk5NS4wNy8wMy8yMDI2Li4uVVNELkgBAAAA3rYBAAMAAAAAANleSyX/gd4IxZxxKP+B3gg1Q0lRLk5ZU0U6SUJNLklRX0JBU0lDX0VQU19JTkNMLjk5NC4wNy8wMy8yMDI2Li4uVVNELkgBAAAA3rYBAAIAAAAJMTAuNjI5NjUxAQgAAAAFAAAAATEBAAAACy0yMTEwNzY5MzU1AwAAAAMxNjACAAAAATkEAAAAATAHAAAACDMvNy8yMDI2CAAAAAoxMi8zMS8yMDE5CQAAAAEw2V5LJf+B3gjFnHEo/4HeCDJDSVEuTllTRTpJQk0uSVFfUkVTVFJVQ1RVUkUuOTk2LjA3LzAzLzIwMjYuLi5VU0QuSAEAAADetgEAAwAAAAAA2V5LJf+B3ggasXEo/4HeCCxDSVEuTllTRTpJQk0uSVFfQ09HUy4xMDAwLjA3LzAzLzIwMjYuLi5VU0QuSAEAAADetgEAAgAAAAUyNzgzNgEIAAAABQAAAAExAQAAAAstMTkwNDg2MDc0MAMAAAADMTYwAgAAAAIzNAQAAAABMAcAAAAIMy83LzIwMjYI</t>
  </si>
  <si>
    <t>AAAACjEyLzMxLzIwMjUJAAAAATDZXksl/4HeCH9ccSj/gd4IM0NJUS5OWVNFOklCTS5JUV9GSU5fRElWX0VYUC4xMDAwLjA3LzAzLzIwMjYuLi5VU0QuSAEAAADetgEAAgAAAAM0MDMBCAAAAAUAAAABMQEAAAALLTE5MDQ4NjA3NDADAAAAAzE2MAIAAAACNTEEAAAAATAHAAAACDMvNy8yMDI2CAAAAAoxMi8zMS8yMDI1CQAAAAEw2V5LJf+B3gh/XHEo/4HeCDJDSVEuTllTRTpJQk0uSVFfT1RIRVJfQU1PUlQuOTkzLjA3LzAzLzIwMjYuLi5VU0QuSAEAAADetgEAAwAAAAAA2V5LJf+B3gh/XHEo/4HeCDZDSVEuTllTRTpJQk0uSVFfSU5URVJFU1RfSU5DT01FLjk5Ny4wNy8wMy8yMDI2Li4uVVNELkgBAAAA3rYBAAIAAAADMTYyAQgAAAAFAAAAATEBAAAACy0xOTU4MjgxMDk2AwAAAAMxNjACAAAAAzIxMAQAAAABMAcAAAAIMy83LzIwMjYIAAAACjEyLzMxLzIwMjIJAAAAATDZXksl/4HeCH9ccSj/gd4IQENJUS5OWVNFOklCTS5JUV9FQVJOSU5HX1BBUkVOVF9FWENMX0VYVFJBLjk5OC4wNy8wMy8yMDI2Li4uVVNELkgBAAAA3rYBAAIAAAAENzUxNAEIAAAABQAAAAExAQAAAAstMTkwNDg2MDc0NAMAAAADMTYwAgAAAAU0MTU5NgQAAAABMAcAAAAIMy83LzIwMjYIAAAACjEyLzMxLzIwMjMJAAAAATDZXksl/4HeCF+DcSj/gd4IM0NJUS5OWVNFOklCTS5JUV9FQklUQV9FUV9JTkMuOTkyLjA3LzAzLzIwMjYu</t>
  </si>
  <si>
    <t>Li5VU0QuSAEAAADetgEAAgAAAAUxMzIwMgEIAAAABQAAAAExAQAAAAoyMDE3MTY0MjQ0AwAAAAMxNjACAAAABTIxNjc2BAAAAAEwBwAAAAgzLzcvMjAyNggAAAAKMTIvMzEvMjAxNwkAAAABMNleSyX/gd4IajVxKP+B3gg0Q0lRLk5ZU0U6SUJNLklRX0VCSVRfRVhDTF9TQkMuOTkyLjA3LzAzLzIwMjYuLi5VU0QuSAEAAADetgEAAgAAAAUxMjIxNgEIAAAABQAAAAExAQAAAAoyMDE3MTY0MjQ0AwAAAAMxNjACAAAABTI0MTM0BAAAAAEwBwAAAAgzLzcvMjAyNggAAAAKMTIvMzEvMjAxNwkAAAABMNleSyX/gd4IajVxKP+B3gg4Q0lRLk5ZU0U6SUJNLklRX1NQRUNJQUxfRElWX1NIQVJFLjk5OC4wNy8wMy8yMDI2Li4uVVNELkgBAAAA3rYBAAMAAAAAANleSyX/gd4If1xxKP+B3ggwQ0lRLk5ZU0U6SUJNLklRX0RBX0VCSVREQS45OTYuMDcvMDMvMjAyNi4uLlVTRC5IAQAAAN62AQACAAAABDU3MjYBCAAAAAUAAAABMQEAAAALLTIwMDg2NDcxOTgDAAAAAzE2MAIAAAAEMjIwNgQAAAABMAcAAAAIMy83LzIwMjYIAAAACjEyLzMxLzIwMjEJAAAAATDZXksl/4HeCH9ccSj/gd4IN0NJUS5OWVNFOklCTS5JUV9JTlRfRVhQX0lOQ0xfQ0FQLjk5OS4wNy8wMy8yMDI2Li4uVVNELkgBAAAA3rYBAAIAAAAEMTcyNAEIAAAABQAAAAExAQAAAAstMTkwNDg2MDc0MwMAAAADMTYwAgAAAAUyMTg2MQQAAAABMAcAAAAIMy83</t>
  </si>
  <si>
    <t>LzIwMjYIAAAACjEyLzMxLzIwMjQJAAAAATDZXksl/4HeCH9ccSj/gd4IPkNJUS5OWVNFOklCTS5JUV9ERUZFUlJFRF9ET01FU1RJQ19UQVhFUy45OTMuMDcvMDMvMjAyNi4uLlVTRC5IAQAAAN62AQACAAAABDEwODUBCAAAAAUAAAABMQEAAAAKMjA4MTUwNTQwMQMAAAADMTYwAgAAAAQzMDU0BAAAAAEwBwAAAAgzLzcvMjAyNggAAAAKMTIvMzEvMjAxOAkAAAABMNleSyX/gd4IOQ5xKP+B3gg5Q0lRLk5ZU0U6SUJNLklRX0NVUlJfRk9SRUlHTl9UQVhFUy45OTUuMDcvMDMvMjAyNi4uLlVTRC5IAQAAAN62AQACAAAABDEyMDgBCAAAAAUAAAABMQEAAAALLTIwNTkwNzMyMDIDAAAAAzE2MAIAAAAEMzAzMAQAAAABMAcAAAAIMy83LzIwMjYIAAAACjEyLzMxLzIwMjAJAAAAATDZXksl/4HeCGo1cSj/gd4IPkNJUS5OWVNFOklCTS5JUV9FWENJU0VfVEFYRVNfSU5DTF9TQUxFUy45OTUuMDcvMDMvMjAyNi4uLlVTRC5IAQAAAN62AQADAAAAAADZXksl/4HeCGo1cSj/gd4IQUNJUS5OWVNFOklCTS5JUV9ERVBSRUNJQVRJT05fUkVOVEFMX0FTU0VUUy45OTUuMDcvMDMvMjAyNi4uLlVTRC5IAQAAAN62AQADAAAAAADZXksl/4HeCGo1cSj/gd4IOENJUS5OWVNFOklCTS5JUV9DT05USU5HRU5UX1JFTlRBTC45OTcuMDcvMDMvMjAyNi4uLlVTRC5IAQAAAN62AQACAAAAAzI2MgDZXksl/4HeCGo1cSj/gd4IMENJUS5O</t>
  </si>
  <si>
    <t>WVNFOklCTS5JUV9SRF9FWFBfRk4uOTk4LjA3LzAzLzIwMjYuLi5VU0QuSAEAAADetgEAAgAAAAQ2Nzc1AQgAAAAFAAAAATEBAAAACy0xOTA0ODYwNzQ0AwAAAAMxNjACAAAABDMxNjgEAAAAATAHAAAACDMvNy8yMDI2CAAAAAoxMi8zMS8yMDIzCQAAAAEw2V5LJf+B3gg5DnEo/4HeCDBDSVEuTllTRTpJQk0uSVFfTUFSS0VUSU5HLjk5NC4wNy8wMy8yMDI2Li4uVVNELkgBAAAA3rYBAAMAAAAAANleSyX/gd4IOQ5xKP+B3gg+Q0lRLk5ZU0U6SUJNLklRX0FOTlVfRElTVFJJQlVUSU9OX1VOSVQuMTAwMC4wNy8wMy8yMDI2Li4uVVNELkgBAAAA3rYBAAMAAAAAANleSyX/gd4IOQ5xKP+B3ggwQ0lRLk5ZU0U6SUJNLklRX0RJVl9TSEFSRS45OTguMDcvMDMvMjAyNi4uLlVTRC5IAQAAAN62AQACAAAABDYuNjMBCAAAAAUAAAABMQEAAAALLTE5MDQ4NjA3NDQDAAAAAzE2MAIAAAAEMzA1OAQAAAABMAcAAAAIMy83LzIwMjYIAAAACjEyLzMxLzIwMjMJAAAAATDZXksl/4HeCDkOcSj/gd4IQENJUS5OWVNFOklCTS5JUV9TVE9DS19PUFRJT05TX0NPTVBfUFJFVEFYLjk5Mi4wNy8wMy8yMDI2Li4uVVNELkgBAAAA3rYBAAMAAAAAANleSyX/gd4IOQ5xKP+B3gg7Q0lRLk5ZU0U6SUJNLklRX09USEVSX1VOVVNVQUxfU1VQUExFLjk5OS4wNy8wMy8yMDI2Li4uVVNELkgBAAAA3rYBAAMAAAAAANleSyX/gd4IRedwKP+B</t>
  </si>
  <si>
    <t>3gg+Q0lRLk5ZU0U6SUJNLklRX0dBSU5fQkFSR0FJTl9BQ1FfU1VQUExFLjk5Mi4wNy8wMy8yMDI2Li4uVVNELkgBAAAA3rYBAAMAAAAAANleSyX/gd4IRedwKP+B3gg0Q0lRLk5ZU0U6SUJNLklRX01FUkdFUl9TVVBQTEUuOTk4LjA3LzAzLzIwMjYuLi5VU0QuSAEAAADetgEAAwAAAAAA2V5LJf+B3ghF53Ao/4HeCDJDSVEuTllTRTpJQk0uSVFfSU5TX0RJVl9FWFAuOTkzLjA3LzAzLzIwMjYuLi5VU0QuSAEAAADetgEAAwAAAAAA2V5LJf+B3ghF53Ao/4HeCCtDSVEuTllTRTpJQk0uSVFfQ09HUy45OTkuMDcvMDMvMjAyNi4uLlVTRC5IAQAAAN62AQACAAAABTI2ODMyAQgAAAAFAAAAATEBAAAACy0xOTA0ODYwNzQzAwAAAAMxNjACAAAAAjM0BAAAAAEwBwAAAAgzLzcvMjAyNggAAAAKMTIvMzEvMjAyNAkAAAABMNleSyX/gd4IRedwKP+B3ggwQ0lRLk5ZU0U6SUJNLklRX1RPVEFMX1JFVi45OTMuMDcvMDMvMjAyNi4uLlVTRC5IAQAAAN62AQACAAAABTc5NTkxAQgAAAAFAAAAATEBAAAACjIwODE1MDU0MDEDAAAAAzE2MAIAAAACMjgEAAAAATAHAAAACDMvNy8yMDI2CAAAAAoxMi8zMS8yMDE4CQAAAAEw2V5LJf+B3ggTwHAo/4HeCDZDSVEuTllTRTpJQk0uSVFfR0FJTl9BU1NFVFNfUkVWLjk5NS4wNy8wMy8yMDI2Li4uVVNELkgBAAAA3rYBAAMAAAAAANleSyX/gd4IE8BwKP+B3gg/Q0lRLk5ZU0U6SUJN</t>
  </si>
  <si>
    <t>LklRX09USEVSX05PTl9PUEVSX0VYUF9TVVBQTC45OTUuMDcvMDMvMjAyNi4uLlVTRC5IAQAAAN62AQACAAAABC03OTABCAAAAAUAAAABMQEAAAALLTIwNTkwNzMyMDIDAAAAAzE2MAIAAAACODUEAAAAATAHAAAACDMvNy8yMDI2CAAAAAoxMi8zMS8yMDIwCQAAAAEw2V5LJf+B3ggTwHAo/4HeCDdDSVEuTllTRTpJQk0uSVFfVE9UQUxfT1RIRVJfT1BFUi45OTMuMDcvMDMvMjAyNi4uLlVTRC5IAQAAAN62AQACAAAABTIzNzE5AQgAAAAFAAAAATEBAAAACjIwODE1MDU0MDEDAAAAAzE2MAIAAAADMzgwBAAAAAEwBwAAAAgzLzcvMjAyNggAAAAKMTIvMzEvMjAxOAkAAAABMNleSyX/gd4IE8BwKP+B3ggxQ0lRLk5ZU0U6SUJNLklRX0lNUEFJUl9PSUwuOTk5LjA3LzAzLzIwMjYuLi5VU0QuSAEAAADetgEAAwAAAAAA2V5LJf+B3ghF53Ao/4HeCC9DSVEuTllTRTpJQk0uSVFfREFfU1VQUEwuOTk1LjA3LzAzLzIwMjYuLi5VU0QuSAEAAADetgEAAwAAAAAA2V5LJf+B3ghBmXAo/4HeCDJDSVEuTllTRTpJQk0uSVFfU1RPQ0tfQkFTRUQuOTk1LjA3LzAzLzIwMjYuLi5VU0QuSAEAAADetgEAAwAAAAAA2V5LJf+B3ghBmXAo/4HeCClDSVEuTllTRTpJQk0uSVFfR1AuOTk3LjA3LzAzLzIwMjYuLi5VU0QuSAEAAADetgEAAgAAAAUzMjY4OAEIAAAABQAAAAExAQAAAAstMTk1ODI4MTA5NgMAAAADMTYwAgAAAAIxMAQA</t>
  </si>
  <si>
    <t>AAABMAcAAAAIMy83LzIwMjYIAAAACjEyLzMxLzIwMjIJAAAAATDZXksl/4HeCEGZcCj/gd4IMkNJUS5OWVNFOklCTS5JUV9HQUlOX0FTU0VUUy45OTMuMDcvMDMvMjAyNi4uLlVTRC5IAQAAAN62AQADAAAAAADZXksl/4HeCBPAcCj/gd4INENJUS5OWVNFOklCTS5JUV9JTVBBSVJNRU5UX0dXLjk5OS4wNy8wMy8yMDI2Li4uVVNELkgBAAAA3rYBAAMAAAAAANleSyX/gd4IE8BwKP+B3ggyQ0lRLk5ZU0U6SUJNLklRX1JFU1RSVUNUVVJFLjk5NS4wNy8wMy8yMDI2Li4uVVNELkgBAAAA3rYBAAMAAAAAANleSyX/gd4IE3JwKP+B3ggxQ0lRLk5ZU0U6SUJNLklRX0lOQ19FUVVJVFkuOTk3LjA3LzAzLzIwMjYuLi5VU0QuSAEAAADetgEAAwAAAAAA2V5LJf+B3ggTcnAo/4HeCDNDSVEuTllTRTpJQk0uSVFfSU5URVJFU1RfRVhQLjk5Ny4wNy8wMy8yMDI2Li4uVVNELkgBAAAA3rYBAAIAAAAFLTEyMTYBCAAAAAUAAAABMQEAAAALLTE5NTgyODEwOTYDAAAAAzE2MAIAAAACODIEAAAAATAHAAAACDMvNy8yMDI2CAAAAAoxMi8zMS8yMDIyCQAAAAEw2V5LJf+B3ggTcnAo/4HeCClDSVEuTllTRTpJQk0uSVFfTkkuOTk3LjA3LzAzLzIwMjYuLi5VU0QuSAEAAADetgEAAgAAAAQxNjM5AQgAAAAFAAAAATEBAAAACy0xOTU4MjgxMDk2AwAAAAMxNjACAAAAAjE1BAAAAAEwBwAAAAgzLzcvMjAyNggAAAAKMTIvMzEvMjAy</t>
  </si>
  <si>
    <t>MgkAAAABMNleSyX/gd4IQZlwKP+B3ggxQ0lRLk5ZU0U6SUJNLklRX05JX0NPTVBBTlkuOTk0LjA3LzAzLzIwMjYuLi5VU0QuSAEAAADetgEAAgAAAAQ5NDMxAQgAAAAFAAAAATEBAAAACy0yMTEwNzY5MzU1AwAAAAMxNjACAAAABTQxNTcxBAAAAAEwBwAAAAgzLzcvMjAyNggAAAAKMTIvMzEvMjAxOQkAAAABMNleSyX/gd4IQZlwKP+B3gguQ0lRLk5ZU0U6SUJNLklRX0lOQ19UQVguOTk4LjA3LzAzLzIwMjYuLi5VU0QuSAEAAADetgEAAgAAAAQxMTc2AQgAAAAFAAAAATEBAAAACy0xOTA0ODYwNzQ0AwAAAAMxNjACAAAAAjc1BAAAAAEwBwAAAAgzLzcvMjAyNggAAAAKMTIvMzEvMjAyMwkAAAABMNleSyX/gd4IC0twKP+B3ggqQ0lRLk5ZU0U6SUJNLklRX0VCVC45OTMuMDcvMDMvMjAyNi4uLlVTRC5IAQAAAN62AQACAAAABTExMzQyAQgAAAAFAAAAATEBAAAACjIwODE1MDU0MDEDAAAAAzE2MAIAAAADMTM5BAAAAAEwBwAAAAgzLzcvMjAyNggAAAAKMTIvMzEvMjAxOAkAAAABMNleSyX/gd4IC0twKP+B3gg2Q0lRLk5ZU0U6SUJNLklRX0FTU0VUX1dSSVRFRE9XTi45OTkuMDcvMDMvMjAyNi4uLlVTRC5IAQAAAN62AQADAAAAAADZXksl/4HeCBNycCj/gd4IP0NJUS5OWVNFOklCTS5JUV9ESVNUUklCVVRBQkxFX0NBU0hfU0hBUkUuOTkzLjA3LzAzLzIwMjYuLi5VU0QuSAEAAADetgEAAwAAAAAA2V5LJf+B</t>
  </si>
  <si>
    <t>3ggTcnAo/4HeCEtDSVEuTllTRTpJQk0uSVFfRElTVFJJQlVUQUJMRV9DQVNIX1BFUl9TSEFSRV9ESUxVVEVELjk5NS4wNy8wMy8yMDI2Li4uVVNELkgBAAAA3rYBAAMAAAAAANleSyX/gd4IE3JwKP+B3ggvQ0lRLk5ZU0U6SUJNLklRX0VQU19OT1JNLjk5Mi4wNy8wMy8yMDI2Li4uVVNELkgBAAAA3rYBAAIAAAAINy42MzgwNjEBCAAAAAUAAAABMQEAAAAKMjAxNzE2NDI0NAMAAAADMTYwAgAAAAQ0Mzc5BAAAAAEwBwAAAAgzLzcvMjAyNggAAAAKMTIvMzEvMjAxNwkAAAABMNleSyX/gd4I2yBwKP+B3gg1Q0lRLk5ZU0U6SUJNLklRX0JBU0lDX0VQU19JTkNMLjk5My4wNy8wMy8yMDI2Li4uVVNELkgBAAAA3rYBAAIAAAAIOS41Njk2NzEBCAAAAAUAAAABMQEAAAAKMjA4MTUwNTQwMQMAAAADMTYwAgAAAAE5BAAAAAEwBwAAAAgzLzcvMjAyNggAAAAKMTIvMzEvMjAxOAkAAAABMNleSyX/gd4I2yBwKP+B3gg1Q0lRLk5ZU0U6SUJNLklRX05JX0FWQUlMX0lOQ0wuMTAwMC4wNy8wMy8yMDI2Li4uVVNELkgBAAAA3rYBAAIAAAAFMTA1OTMBCAAAAAUAAAABMQEAAAALLTE5MDQ4NjA3NDADAAAAAzE2MAIAAAACMTYEAAAAATAHAAAACDMvNy8yMDI2CAAAAAoxMi8zMS8yMDI1CQAAAAEw2V5LJf+B3ggLS3Ao/4HeCEBDSVEuTllTRTpJQk0uSVFfRUFSTklOR19QQVJFTlRfRVhDTF9FWFRSQS45OTcuMDcvMDMvMjAy</t>
  </si>
  <si>
    <t>Ni4uLlVTRC5IAQAAAN62AQACAAAABDE3ODIBCAAAAAUAAAABMQEAAAALLTE5NTgyODEwOTYDAAAAAzE2MAIAAAAFNDE1OTYEAAAAATAHAAAACDMvNy8yMDI2CAAAAAoxMi8zMS8yMDIyCQAAAAEw2V5LJf+B3ggLS3Ao/4HeCDlDSVEuTllTRTpJQk0uSVFfQVNfUkVQT1JURURfRUJJVERBLjk5OS4wNy8wMy8yMDI2Li4uVVNELkgBAAAA3rYBAAMAAAAAANleSyX/gd4IC0twKP+B3gg3Q0lRLk5ZU0U6SUJNLklRX0VCSVREQV9FWENMX1NCQy4xMDAwLjA3LzAzLzIwMjYuLi5VU0QuSAEAAADetgEAAgAAAAUxNzgzMwEIAAAABQAAAAExAQAAAAstMTkwNDg2MDc0MAMAAAADMTYwAgAAAAUyNDEzNQQAAAABMAcAAAAIMy83LzIwMjYIAAAACjEyLzMxLzIwMjUJAAAAATDZXksl/4HeCNsgcCj/gd4INUNJUS5OWVNFOklCTS5JUV9FQklUREFfRVFfSU5DLjEwMDAuMDcvMDMvMjAyNi4uLlVTRC5IAQAAAN62AQACAAAABTE3NDI2AQgAAAAFAAAAATEBAAAACy0xOTA0ODYwNzQwAwAAAAMxNjACAAAABTIxNjc3BAAAAAEwBwAAAAgzLzcvMjAyNggAAAAKMTIvMzEvMjAyNQkAAAABMNleSyX/gd4I2yBwKP+B3gg4Q0lRLk5ZU0U6SUJNLklRX1NQRUNJQUxfRElWX1NIQVJFLjk5Ny4wNy8wMy8yMDI2Li4uVVNELkgBAAAA3rYBAAMAAAAAANleSyX/gd4I2yBwKP+B3ggyQ0lRLk5ZU0U6SUJNLklRX0lOVF9FWFBfTFRELjk5</t>
  </si>
  <si>
    <t>OC4wNy8wMy8yMDI2Li4uVVNELkgBAAAA3rYBAAMAAAAAANleSyX/gd4I2yBwKP+B3ggvQ0lRLk5ZU0U6SUJNLklRX05JX05PUk0uMTAwMC4wNy8wMy8yMDI2Li4uVVNELkgBAAAA3rYBAAIAAAAINjk3NC4zNzUBCAAAAAUAAAABMQEAAAALLTE5MDQ4NjA3NDADAAAAAzE2MAIAAAAENDM3OAQAAAABMAcAAAAIMy83LzIwMjYIAAAACjEyLzMxLzIwMjUJAAAAATDZXksl/4HeCNsgcCj/gd4IOUNJUS5OWVNFOklCTS5JUV9DVVJSX0ZPUkVJR05fVEFYRVMuOTk0LjA3LzAzLzIwMjYuLi5VU0QuSAEAAADetgEAAgAAAAQxMzc2AQgAAAAFAAAAATEBAAAACy0yMTEwNzY5MzU1AwAAAAMxNjACAAAABDMwMzAEAAAAATAHAAAACDMvNy8yMDI2CAAAAAoxMi8zMS8yMDE5CQAAAAEw2V5LJf+B3ghR+W8o/4HeCD5DSVEuTllTRTpJQk0uSVFfRVhDSVNFX1RBWEVTX0lOQ0xfU0FMRVMuOTk0LjA3LzAzLzIwMjYuLi5VU0QuSAEAAADetgEAAwAAAAAA2V5LJf+B3ghR+W8o/4HeCDhDSVEuTllTRTpJQk0uSVFfSU5WRVNUTUVOVF9JTkNPTUUuOTk0LjA3LzAzLzIwMjYuLi5VU0QuSAEAAADetgEAAwAAAAAA2V5LJf+B3ghR+W8o/4HeCDhDSVEuTllTRTpJQk0uSVFfTkVUX1JFTlRBTF9FWFBfRk4uOTk1LjA3LzAzLzIwMjYuLi5VU0QuSAEAAADetgEAAgAAAAQxNTI0AQgAAAAFAAAAATEBAAAACy0yMDU5MDczMjAyAwAAAAMx</t>
  </si>
  <si>
    <t>NjACAAAABDMxNzAEAAAAATAHAAAACDMvNy8yMDI2CAAAAAoxMi8zMS8yMDIwCQAAAAEw2V5LJf+B3ghR+W8o/4HeCDBDSVEuTllTRTpJQk0uSVFfTUFSS0VUSU5HLjk5OS4wNy8wMy8yMDI2Li4uVVNELkgBAAAA3rYBAAMAAAAAANleSyX/gd4I2yBwKP+B3gg9Q0lRLk5ZU0U6SUJNLklRX0FOTlVfRElTVFJJQlVUSU9OX1VOSVQuOTk5LjA3LzAzLzIwMjYuLi5VU0QuSAEAAADetgEAAwAAAAAA2V5LJf+B3giQ5W8o/4HeCDlDSVEuTllTRTpJQk0uSVFfRElTVFJJQlVUQUJMRV9DQVNILjk5My4wNy8wMy8yMDI2Li4uVVNELkgBAAAA3rYBAAMAAAAAANleSyX/gd4IkOVvKP+B3gg3Q0lRLk5ZU0U6SUJNLklRX0lOVF9FWFBfSU5DTF9DQVAuOTk3LjA3LzAzLzIwMjYuLi5VU0QuSAEAAADetgEAAgAAAAQxMjIxAQgAAAAFAAAAATEBAAAACy0xOTU4MjgxMDk2AwAAAAMxNjACAAAABTIxODYxBAAAAAEwBwAAAAgzLzcvMjAyNggAAAAKMTIvMzEvMjAyMgkAAAABMNleSyX/gd4IkOVvKP+B3ghAQ0lRLk5ZU0U6SUJNLklRX1NUT0NLX09QVElPTlNfQ09NUF9QUkVUQVguOTk5LjA3LzAzLzIwMjYuLi5VU0QuSAEAAADetgEAAwAAAAAA2V5LJf+B3ghR+W8o/4HeCDtDSVEuTllTRTpJQk0uSVFfT1RIRVJfVU5VU1VBTF9TVVBQTEUuOTk4LjA3LzAzLzIwMjYuLi5VU0QuSAEAAADetgEAAwAAAAAA2V5LJf+B3ghR+W8o</t>
  </si>
  <si>
    <t>/4HeCDtDSVEuTllTRTpJQk0uSVFfSU1QQUlSTUVOVF9HV19TVVBQTEUuOTk1LjA3LzAzLzIwMjYuLi5VU0QuSAEAAADetgEAAwAAAAAA2V5LJf+B3gjzvW8o/4HeCEFDSVEuTllTRTpJQk0uSVFfREVQUkVDSUFUSU9OX1JFTlRBTF9BU1NFVFMuOTk0LjA3LzAzLzIwMjYuLi5VU0QuSAEAAADetgEAAwAAAAAA2V5LJf+B3gjzvW8o/4HeCDhDSVEuTllTRTpJQk0uSVFfQ09OVElOR0VOVF9SRU5UQUwuOTk2LjA3LzAzLzIwMjYuLi5VU0QuSAEAAADetgEAAgAAAAMzMzYA2V5LJf+B3gjzvW8o/4HeCDBDSVEuTllTRTpJQk0uSVFfU0dBX1NVUFBMLjk5Ny4wNy8wMy8yMDI2Li4uVVNELkgBAAAA3rYBAAIAAAAFMTkyNjMBCAAAAAUAAAABMQEAAAALLTE5NTgyODEwOTYDAAAAAzE2MAIAAAADMTAyBAAAAAEwBwAAAAgzLzcvMjAyNggAAAAKMTIvMzEvMjAyMgkAAAABMNleSyX/gd4I871vKP+B3gg1Q0lRLk5ZU0U6SUJNLklRX05JX0FWQUlMX0VYQ0wuMTAwMC4wNy8wMy8yMDI2Li4uVVNELkgBAAAA3rYBAAIAAAAFMTA1NzEBCAAAAAUAAAABMQEAAAALLTE5MDQ4NjA3NDADAAAAAzE2MAIAAAADMzc5BAAAAAEwBwAAAAgzLzcvMjAyNggAAAAKMTIvMzEvMjAyNQkAAAABMNleSyX/gd4IkOVvKP+B3ggzQ0lRLk5ZU0U6SUJNLklRX0lOVEVSRVNUX0VYUC45OTIuMDcvMDMvMjAyNi4uLlVTRC5IAQAAAN62AQACAAAA</t>
  </si>
  <si>
    <t>BC02MTUBCAAAAAUAAAABMQEAAAAKMjAxNzE2NDI0NAMAAAADMTYwAgAAAAI4MgQAAAABMAcAAAAIMy83LzIwMjYIAAAACjEyLzMxLzIwMTcJAAAAATDZXksl/4HeCAeqbyj/gd4IK0NJUS5OWVNFOklCTS5JUV9DT0dTLjk5NC4wNy8wMy8yMDI2Li4uVVNELkgBAAAA3rYBAAIAAAAFMjU0NzYBCAAAAAUAAAABMQEAAAALLTIxMTA3NjkzNTUDAAAAAzE2MAIAAAACMzQEAAAAATAHAAAACDMvNy8yMDI2CAAAAAoxMi8zMS8yMDE5CQAAAAEw2V5LJf+B3ggHqm8o/4HeCDJDSVEuTllTRTpJQk0uSVFfT1RIRVJfQU1PUlQuOTk4LjA3LzAzLzIwMjYuLi5VU0QuSAEAAADetgEAAgAAAAM2NjABCAAAAAUAAAABMQEAAAALLTE5MDQ4NjA3NDQDAAAAAzE2MAIAAAAEMjAxNAQAAAABMAcAAAAIMy83LzIwMjYIAAAACjEyLzMxLzIwMjMJAAAAATDZXksl/4HeCAeqbyj/gd4IK0NJUS5OWVNFOklCTS5JUV9DT0dTLjk5Mi4wNy8wMy8yMDI2Li4uVVNELkgBAAAA3rYBAAIAAAAFNDA5ODYBCAAAAAUAAAABMQEAAAAKMjAxNzE2NDI0NAMAAAADMTYwAgAAAAIzNAQAAAABMAcAAAAIMy83LzIwMjYIAAAACjEyLzMxLzIwMTcJAAAAATDZXksl/4HeCPO9byj/gd4IMUNJUS5OWVNFOklCTS5JUV9JTlNfU0VUVExFLjk5Ni4wNy8wMy8yMDI2Li4uVVNELkgBAAAA3rYBAAMAAAAAANleSyX/gd4I871vKP+B3gg6Q0lRLk5ZU0U6SUJN</t>
  </si>
  <si>
    <t>LklRX0lOVEVSRVNUX0lOVkVTVF9JTkMuOTk3LjA3LzAzLzIwMjYuLi5VU0QuSAEAAADetgEAAgAAAAMxNjIBCAAAAAUAAAABMQEAAAALLTE5NTgyODEwOTYDAAAAAzE2MAIAAAACNjUEAAAAATAHAAAACDMvNy8yMDI2CAAAAAoxMi8zMS8yMDIyCQAAAAEw2V5LJf+B3gheg28o/4HeCDFDSVEuTllTRTpJQk0uSVFfT1RIRVJfT1BFUi45OTkuMDcvMDMvMjAyNi4uLlVTRC5IAQAAAN62AQACAAAABC05OTYBCAAAAAUAAAABMQEAAAALLTE5MDQ4NjA3NDMDAAAAAzE2MAIAAAADMjYwBAAAAAEwBwAAAAgzLzcvMjAyNggAAAAKMTIvMzEvMjAyNAkAAAABMKdySyX/gd4IXoNvKP+B3ggvQ0lRLk5ZU0U6SUJNLklRX0RBX1NVUFBMLjk5OS4wNy8wMy8yMDI2Li4uVVNELkgBAAAA3rYBAAMAAAAAAKdySyX/gd4IXoNvKP+B3gg1Q0lRLk5ZU0U6SUJNLklRX1BSRV9PUEVOX0NPU1QuMTAwMC4wNy8wMy8yMDI2Li4uVVNELkgBAAAA3rYBAAMAAAAAAKdySyX/gd4IXoNvKP+B3gg2Q0lRLk5ZU0U6SUJNLklRX1RPVEFMX1JFVl9TSEFSRS45OTcuMDcvMDMvMjAyNi4uLlVTRC5IAQAAAN62AQACAAAACTY3LjA1NzA1MgEIAAAABQAAAAExAQAAAAstMTk1ODI4MTA5NgMAAAADMTYwAgAAAAQ0MzgyBAAAAAEwBwAAAAgzLzcvMjAyNggAAAAKMTIvMzEvMjAyMgkAAAABMKdySyX/gd4IB6pvKP+B3ggxQ0lRLk5ZU0U6SUJNLklR</t>
  </si>
  <si>
    <t>X05JX0NPTVBBTlkuOTk1LjA3LzAzLzIwMjYuLi5VU0QuSAEAAADetgEAAgAAAAQ1NTkwAQgAAAAFAAAAATEBAAAACy0yMDU5MDczMjAyAwAAAAMxNjACAAAABTQxNTcxBAAAAAEwBwAAAAgzLzcvMjAyNggAAAAKMTIvMzEvMjAyMAkAAAABMKdySyX/gd4IbVxvKP+B3gg1Q0lRLk5ZU0U6SUJNLklRX1BST1ZfQkFEX0RFQlRTLjk5OS4wNy8wMy8yMDI2Li4uVVNELkgBAAAA3rYBAAMAAAAAAKdySyX/gd4IXoNvKP+B3ggyQ0lRLk5ZU0U6SUJNLklRX0ZJTl9ESVZfUkVWLjk5My4wNy8wMy8yMDI2Li4uVVNELkgBAAAA3rYBAAIAAAAEMTU5OQEIAAAABQAAAAExAQAAAAoyMDgxNTA1NDAxAwAAAAMxNjACAAAAAjUyBAAAAAEwBwAAAAgzLzcvMjAyNggAAAAKMTIvMzEvMjAxOAkAAAABMKdySyX/gd4IXoNvKP+B3ggqQ0lRLk5ZU0U6SUJNLklRX0VCVC45OTIuMDcvMDMvMjAyNi4uLlVTRC5IAQAAAN62AQACAAAABTExNDAwAQgAAAAFAAAAATEBAAAACjIwMTcxNjQyNDQDAAAAAzE2MAIAAAADMTM5BAAAAAEwBwAAAAgzLzcvMjAyNggAAAAKMTIvMzEvMjAxNwkAAAABMKdySyX/gd4IXoNvKP+B3ggrQ0lRLk5ZU0U6SUJNLklRX0lQUkQuOTk2LjA3LzAzLzIwMjYuLi5VU0QuSAEAAADetgEAAwAAAAAAp3JLJf+B3gheg28o/4HeCDJDSVEuTllTRTpJQk0uSVFfR0FJTl9BU1NFVFMuOTkyLjA3LzAzLzIwMjYuLi5V</t>
  </si>
  <si>
    <t>U0QuSAEAAADetgEAAwAAAAAAp3JLJf+B3ghtXG8o/4HeCDRDSVEuTllTRTpJQk0uSVFfSU1QQUlSTUVOVF9HVy45OTguMDcvMDMvMjAyNi4uLlVTRC5IAQAAAN62AQADAAAAAACncksl/4HeCG1cbyj/gd4IMkNJUS5OWVNFOklCTS5JUV9SRVNUUlVDVFVSRS45OTQuMDcvMDMvMjAyNi4uLlVTRC5IAQAAAN62AQADAAAAAACncksl/4HeCG1cbyj/gd4INUNJUS5OWVNFOklCTS5JUV9CQVNJQ19FUFNfSU5DTC45OTIuMDcvMDMvMjAyNi4uLlVTRC5IAQAAAN62AQACAAAACDYuMTY3MjY1AQgAAAAFAAAAATEBAAAACjIwMTcxNjQyNDQDAAAAAzE2MAIAAAABOQQAAAABMAcAAAAIMy83LzIwMjYIAAAACjEyLzMxLzIwMTcJAAAAATCncksl/4HeCG1cbyj/gd4INENJUS5OWVNFOklCTS5JUV9OSV9BVkFJTF9JTkNMLjk5OS4wNy8wMy8yMDI2Li4uVVNELkgBAAAA3rYBAAIAAAAENjAyMwEIAAAABQAAAAExAQAAAAstMTkwNDg2MDc0MwMAAAADMTYwAgAAAAIxNgQAAAABMAcAAAAIMy83LzIwMjYIAAAACjEyLzMxLzIwMjQJAAAAATCncksl/4HeCG1cbyj/gd4IKUNJUS5OWVNFOklCTS5JUV9OSS45OTYuMDcvMDMvMjAyNi4uLlVTRC5IAQAAAN62AQACAAAABDU3NDMBCAAAAAUAAAABMQEAAAALLTIwMDg2NDcxOTgDAAAAAzE2MAIAAAACMTUEAAAAATAHAAAACDMvNy8yMDI2CAAAAAoxMi8zMS8yMDIxCQAAAAEwp3JL</t>
  </si>
  <si>
    <t>Jf+B3ggqNW8o/4HeCCpDSVEuTllTRTpJQk0uSVFfRE8uMTAwMC4wNy8wMy8yMDI2Li4uVVNELkgBAAAA3rYBAAIAAAACMjIBCAAAAAUAAAABMQEAAAALLTE5MDQ4NjA3NDADAAAAAzE2MAIAAAACNDAEAAAAATAHAAAACDMvNy8yMDI2CAAAAAoxMi8zMS8yMDI1CQAAAAEwp3JLJf+B3ggqNW8o/4HeCC5DSVEuTllTRTpJQk0uSVFfSU5DX1RBWC45OTcuMDcvMDMvMjAyNi4uLlVTRC5IAQAAAN62AQACAAAABC02MjYBCAAAAAUAAAABMQEAAAALLTE5NTgyODEwOTYDAAAAAzE2MAIAAAACNzUEAAAAATAHAAAACDMvNy8yMDI2CAAAAAoxMi8zMS8yMDIyCQAAAAEwp3JLJf+B3ggqNW8o/4HeCDxDSVEuTllTRTpJQk0uSVFfRUJJVERBX0xFQVNFX0FESlVTVEVELjk5Ny4wNy8wMy8yMDI2Li4uVVNELkgBAAAA3rYBAAIAAAAFMTIwMjIBCAAAAAUAAAABMQEAAAALLTE5NTgyODEwOTYDAAAAAzE2MAIAAAAFNDg5OTMEAAAAATAHAAAACDMvNy8yMDI2CAAAAAoxMi8zMS8yMDIyCQAAAAEwp3JLJf+B3ghtXG8o/4HeCDRDSVEuTllTRTpJQk0uSVFfRUJJVERBX0VRX0lOQy45OTkuMDcvMDMvMjAyNi4uLlVTRC5IAQAAAN62AQACAAAABTE0MTk1AQgAAAAFAAAAATEBAAAACy0xOTA0ODYwNzQzAwAAAAMxNjACAAAABTIxNjc3BAAAAAEwBwAAAAgzLzcvMjAyNggAAAAKMTIvMzEvMjAyNAkAAAABMKdySyX/gd4IbVxvKP+B</t>
  </si>
  <si>
    <t>3gg/Q0lRLk5ZU0U6SUJNLklRX0RJU1RSSUJVVEFCTEVfQ0FTSF9TSEFSRS45OTIuMDcvMDMvMjAyNi4uLlVTRC5IAQAAAN62AQADAAAAAACncksl/4HeCFMObyj/gd4IS0NJUS5OWVNFOklCTS5JUV9ESVNUUklCVVRBQkxFX0NBU0hfUEVSX1NIQVJFX0RJTFVURUQuOTk0LjA3LzAzLzIwMjYuLi5VU0QuSAEAAADetgEAAwAAAAAAp3JLJf+B3ghTDm8o/4HeCDVDSVEuTllTRTpJQk0uSVFfRElMVVRfRVBTX0VYQ0wuOTk4LjA3LzAzLzIwMjYuLi5VU0QuSAEAAADetgEAAgAAAAg4LjE0OTk5OQEIAAAABQAAAAExAQAAAAstMTkwNDg2MDc0NAMAAAADMTYwAgAAAAMxNDIEAAAAATAHAAAACDMvNy8yMDI2CAAAAAoxMi8zMS8yMDIzCQAAAAEwp3JLJf+B3ggqNW8o/4HeCDZDSVEuTllTRTpJQk0uSVFfRUJJVEFfRVhDTF9TQkMuMTAwMC4wNy8wMy8yMDI2Li4uVVNELkgBAAAA3rYBAAIAAAAFMTY0NDkBCAAAAAUAAAABMQEAAAALLTE5MDQ4NjA3NDADAAAAAzE2MAIAAAAFMjQxMzYEAAAAATAHAAAACDMvNy8yMDI2CAAAAAoxMi8zMS8yMDI1CQAAAAEwp3JLJf+B3ggqNW8o/4HeCDRDSVEuTllTRTpJQk0uSVFfRUJJVEFfRVFfSU5DLjEwMDAuMDcvMDMvMjAyNi4uLlVTRC5IAQAAAN62AQACAAAABTE0NzM0AQgAAAAFAAAAATEBAAAACy0xOTA0ODYwNzQwAwAAAAMxNjACAAAABTIxNjc2BAAAAAEwBwAAAAgzLzcv</t>
  </si>
  <si>
    <t>MjAyNggAAAAKMTIvMzEvMjAyNQkAAAABMKdySyX/gd4IKjVvKP+B3gg0Q0lRLk5ZU0U6SUJNLklRX0VCSVRfRVhDTF9TQkMuOTk5LjA3LzAzLzIwMjYuLi5VU0QuSAEAAADetgEAAgAAAAUxMTA5OQEIAAAABQAAAAExAQAAAAstMTkwNDg2MDc0MwMAAAADMTYwAgAAAAUyNDEzNAQAAAABMAcAAAAIMy83LzIwMjYIAAAACjEyLzMxLzIwMjQJAAAAATCncksl/4HeCFMObyj/gd4IMkNJUS5OWVNFOklCTS5JUV9FQklUX0VRX0lOQy45OTkuMDcvMDMvMjAyNi4uLlVTRC5IAQAAAN62AQACAAAABDk3ODgBCAAAAAUAAAABMQEAAAALLTE5MDQ4NjA3NDMDAAAAAzE2MAIAAAAFMjE2NzUEAAAAATAHAAAACDMvNy8yMDI2CAAAAAoxMi8zMS8yMDI0CQAAAAEwp3JLJf+B3ghTDm8o/4HeCEhDSVEuTllTRTpJQk0uSVFfRUJJVERBX0VRX0lOQ19FWENMX09QRVJfTEVBU0VfQURKLjk5OC4wNy8wMy8yMDI2Li4uVVNELkgBAAAA3rYBAAIAAAAFMTIyNTcBCAAAAAUAAAABMQEAAAALLTE5MDQ4NjA3NDQDAAAAAzE2MAIAAAAFNDg5ODcEAAAAATAHAAAACDMvNy8yMDI2CAAAAAoxMi8zMS8yMDIzCQAAAAEwp3JLJf+B3ghTDm8o/4HeCD5DSVEuTllTRTpJQk0uSVFfRVhDSVNFX1RBWEVTX0lOQ0xfU0FMRVMuOTkzLjA3LzAzLzIwMjYuLi5VU0QuSAEAAADetgEAAwAAAAAAp3JLJf+B3ghTDm8o/4HeCDhDSVEuTllTRTpJQk0u</t>
  </si>
  <si>
    <t>SVFfSU5WRVNUTUVOVF9JTkNPTUUuOTkzLjA3LzAzLzIwMjYuLi5VU0QuSAEAAADetgEAAwAAAAAAp3JLJf+B3ghTDm8o/4HeCEBDSVEuTllTRTpJQk0uSVFfRUFSTklOR19QQVJFTlRfRVhDTF9FWFRSQS45OTYuMDcvMDMvMjAyNi4uLlVTRC5IAQAAAN62AQACAAAABDQ3MTMBCAAAAAUAAAABMQEAAAALLTIwMDg2NDcxOTgDAAAAAzE2MAIAAAAFNDE1OTYEAAAAATAHAAAACDMvNy8yMDI2CAAAAAoxMi8zMS8yMDIxCQAAAAEwp3JLJf+B3ggl524o/4HeCDlDSVEuTllTRTpJQk0uSVFfQVNfUkVQT1JURURfRUJJVERBLjk5Ny4wNy8wMy8yMDI2Li4uVVNELkgBAAAA3rYBAAMAAAAAAKdySyX/gd4IJeduKP+B3gg2Q0lRLk5ZU0U6SUJNLklRX0VCSVREQVJfRVFfSU5DLjEwMDAuMDcvMDMvMjAyNi4uLlVTRC5IAQAAAN62AQACAAAABTE4NzM0AQgAAAAFAAAAATEBAAAACy0xOTA0ODYwNzQwAwAAAAMxNjACAAAABTI0MTI5BAAAAAEwBwAAAAgzLzcvMjAyNggAAAAKMTIvMzEvMjAyNQkAAAABMKdySyX/gd4IJeduKP+B3ggyQ0lRLk5ZU0U6SUJNLklRX0lOVF9FWFBfTFRELjk5Ny4wNy8wMy8yMDI2Li4uVVNELkgBAAAA3rYBAAMAAAAAAKdySyX/gd4IJeduKP+B3ggvQ0lRLk5ZU0U6SUJNLklRX0RJTFVUX05JLjk5Ny4wNy8wMy8yMDI2Li4uVVNELkgBAAAA3rYBAAIAAAALMTc3OC45MjQ2NzEBCAAAAAUAAAAB</t>
  </si>
  <si>
    <t>MQEAAAALLTE5NTgyODEwOTYDAAAAAzE2MAIAAAAEMzUyMgQAAAABMAcAAAAIMy83LzIwMjYIAAAACjEyLzMxLzIwMjIJAAAAATCncksl/4HeCCXnbij/gd4IO0NJUS5OWVNFOklCTS5JUV9ERUZFUlJFRF9UQVhFU19UT1RBTC45OTkuMDcvMDMvMjAyNi4uLlVTRC5IAQAAAN62AQACAAAABS0yMzM2AQgAAAAFAAAAATEBAAAACy0xOTA0ODYwNzQzAwAAAAMxNjACAAAABTM1Mzg1BAAAAAEwBwAAAAgzLzcvMjAyNggAAAAKMTIvMzEvMjAyNAkAAAABMKdySyX/gd4I979uKP+B3gg/Q0lRLk5ZU0U6SUJNLklRX0RFRkVSUkVEX0RPTUVTVElDX1RBWEVTLjEwMDAuMDcvMDMvMjAyNi4uLlVTRC5IAQAAAN62AQACAAAABC0yNDkBCAAAAAUAAAABMQEAAAALLTE5MDQ4NjA3NDADAAAAAzE2MAIAAAAEMzA1NAQAAAABMAcAAAAIMy83LzIwMjYIAAAACjEyLzMxLzIwMjUJAAAAATCncksl/4HeCPe/bij/gd4IOUNJUS5OWVNFOklCTS5JUV9DVVJSX0ZPUkVJR05fVEFYRVMuOTkzLjA3LzAzLzIwMjYuLi5VU0QuSAEAAADetgEAAgAAAAQyMTM1AQgAAAAFAAAAATEBAAAACjIwODE1MDU0MDEDAAAAAzE2MAIAAAAEMzAzMAQAAAABMAcAAAAIMy83LzIwMjYIAAAACjEyLzMxLzIwMTgJAAAAATCncksl/4HeCPe/bij/gd4IOENJUS5OWVNFOklCTS5JUV9ORVRfUkVOVEFMX0VYUF9GTi45OTQuMDcvMDMvMjAyNi4uLlVTRC5I</t>
  </si>
  <si>
    <t>AQAAAN62AQACAAAABDE2MjMBCAAAAAUAAAABMQEAAAALLTIxMTA3NjkzNTUDAAAAAzE2MAIAAAAEMzE3MAQAAAABMAcAAAAIMy83LzIwMjYIAAAACjEyLzMxLzIwMTkJAAAAATCncksl/4HeCCXnbij/gd4INkNJUS5OWVNFOklCTS5JUV9TQUxFU19NQVJLRVRJTkcuOTk2LjA3LzAzLzIwMjYuLi5VU0QuSAEAAADetgEAAgAAAAQxNDEzAQgAAAAFAAAAATEBAAAACy0yMDA4NjQ3MTk4AwAAAAMxNjACAAAABTIxNTYxBAAAAAEwBwAAAAgzLzcvMjAyNggAAAAKMTIvMzEvMjAyMQkAAAABMKdySyX/gd4IJeduKP+B3gg9Q0lRLk5ZU0U6SUJNLklRX0FOTlVfRElTVFJJQlVUSU9OX1VOSVQuOTk4LjA3LzAzLzIwMjYuLi5VU0QuSAEAAADetgEAAwAAAAAAp3JLJf+B3gj3v24o/4HeCDlDSVEuTllTRTpJQk0uSVFfRElTVFJJQlVUQUJMRV9DQVNILjk5Mi4wNy8wMy8yMDI2Li4uVVNELkgBAAAA3rYBAAMAAAAAAKdySyX/gd4I979uKP+B3gg3Q0lRLk5ZU0U6SUJNLklRX0lOVF9FWFBfSU5DTF9DQVAuOTk1LjA3LzAzLzIwMjYuLi5VU0QuSAEAAADetgEAAgAAAAQxMjkzAQgAAAAFAAAAATEBAAAACy0yMDU5MDczMjAyAwAAAAMxNjACAAAABTIxODYxBAAAAAEwBwAAAAgzLzcvMjAyNggAAAAKMTIvMzEvMjAyMAkAAAABMKdySyX/gd4I979uKP+B3gg7Q0lRLk5ZU0U6SUJNLklRX1RPVEFMX1VOVVNVQUxfU1VQUExF</t>
  </si>
  <si>
    <t>Ljk5NC4wNy8wMy8yMDI2Li4uVVNELkgBAAAA3rYBAAIAAAAELTQyMwEIAAAABQAAAAExAQAAAAstMjExMDc2OTM1NQMAAAADMTYwAgAAAAUzMzM5MAQAAAABMAcAAAAIMy83LzIwMjYIAAAACjEyLzMxLzIwMTkJAAAAATCncksl/4HeCPe/bij/gd4IO0NJUS5OWVNFOklCTS5JUV9JTVBBSVJNRU5UX0dXX1NVUFBMRS45OTQuMDcvMDMvMjAyNi4uLlVTRC5IAQAAAN62AQADAAAAAACncksl/4HeCPe/bij/gd4IPENJUS5OWVNFOklCTS5JUV9JTVBVVF9PUEVSX0xFQVNFX0RFUFIuOTk4LjA3LzAzLzIwMjYuLi5VU0QuSAEAAADetgEAAgAAAAo5OTguODQwMDMyAQgAAAAFAAAAATEBAAAACy0xOTA0ODYwNzQ0AwAAAAMxNjACAAAABTIxNjczBAAAAAEwBwAAAAgzLzcvMjAyNggAAAAKMTIvMzEvMjAyMwkAAAABMKdySyX/gd4I0ZhuKP+B3ghBQ0lRLk5ZU0U6SUJNLklRX0RFUFJFQ0lBVElPTl9SRU5UQUxfQVNTRVRTLjk5My4wNy8wMy8yMDI2Li4uVVNELkgBAAAA3rYBAAMAAAAAAKdySyX/gd4I0ZhuKP+B3gg4Q0lRLk5ZU0U6SUJNLklRX0NPTlRJTkdFTlRfUkVOVEFMLjk5NS4wNy8wMy8yMDI2Li4uVVNELkgBAAAA3rYBAAIAAAADMzQzAKdySyX/gd4I0ZhuKP+B3ggwQ0lRLk5ZU0U6SUJNLklRX1NHQV9TVVBQTC45OTguMDcvMDMvMjAyNi4uLlVTRC5IAQAAAN62AQACAAAABTE4OTY0AQgAAAAFAAAAATEB</t>
  </si>
  <si>
    <t>AAAACy0xOTA0ODYwNzQ0AwAAAAMxNjACAAAAAzEwMgQAAAABMAcAAAAIMy83LzIwMjYIAAAACjEyLzMxLzIwMjMJAAAAATCncksl/4HeCNGYbij/gd4IN0NJUS5OWVNFOklCTS5JUV9PVEhFUl9SRVZfU1VQUEwuMTAwMC4wNy8wMy8yMDI2Li4uVVNELkgBAAAA3rYBAAIAAAACLTEBCAAAAAUAAAABMQEAAAALLTE5MDQ4NjA3NDADAAAAAzE2MAIAAAACOTAEAAAAATAHAAAACDMvNy8yMDI2CAAAAAoxMi8zMS8yMDI1CQAAAAEwp3JLJf+B3gjRmG4o/4HeCDVDSVEuTllTRTpJQk0uSVFfR0FJTl9BU1NFVFNfQ0YuOTk0LjA3LzAzLzIwMjYuLi5VU0QuSAEAAADetgEAAgAAAAUtMTA5NgEIAAAABQAAAAExAQAAAAstMjExMDc2OTM1NQMAAAADMTYwAgAAAAQyMDI2BAAAAAEwBwAAAAgzLzcvMjAyNggAAAAKMTIvMzEvMjAxOQkAAAABMKdySyX/gd4Iq3FuKP+B3ghAQ0lRLk5ZU0U6SUJNLklRX1NUT0NLX0JBU0VEX0VYUExPUkVfRFJJTEwuOTk1LjA3LzAzLzIwMjYuLi5VU0QuSAEAAADetgEAAwAAAAAAp3JLJf+B3gircW4o/4HeCDVDSVEuTllTRTpJQk0uSVFfU1RPQ0tfQkFTRURfUkQuOTk0LjA3LzAzLzIwMjYuLi5VU0QuSAEAAADetgEAAgAAAAMxMjUBCAAAAAUAAAABMQEAAAALLTIxMTA3NjkzNTUDAAAAAzE2MAIAAAAFMjI2NzgEAAAAATAHAAAACDMvNy8yMDI2CAAAAAoxMi8zMS8yMDE5CQAAAAEwp3JL</t>
  </si>
  <si>
    <t>Jf+B3gjRmG4o/4HeCDVDSVEuTllTRTpJQk0uSVFfQkFTSUNfRVBTX0lOQ0wuOTk2LjA3LzAzLzIwMjYuLi5VU0QuSAEAAADetgEAAgAAAAg2LjQwOTY2NAEIAAAABQAAAAExAQAAAAstMjAwODY0NzE5OAMAAAADMTYwAgAAAAE5BAAAAAEwBwAAAAgzLzcvMjAyNggAAAAKMTIvMzEvMjAyMQkAAAABMKdySyX/gd4I0ZhuKP+B3ggxQ0lRLk5ZU0U6SUJNLklRX0lNUEFJUl9PSUwuOTkzLjA3LzAzLzIwMjYuLi5VU0QuSAEAAADetgEAAwAAAAAAp3JLJf+B3gjRmG4o/4HeCClDSVEuTllTRTpJQk0uSVFfRE8uOTk2LjA3LzAzLzIwMjYuLi5VU0QuSAEAAADetgEAAgAAAAQxMDMwAQgAAAAFAAAAATEBAAAACy0yMDA4NjQ3MTk4AwAAAAMxNjACAAAAAjQwBAAAAAEwBwAAAAgzLzcvMjAyNggAAAAKMTIvMzEvMjAyMQkAAAABMKdySyX/gd4Iq3FuKP+B3gg/Q0lRLk5ZU0U6SUJNLklRX09USEVSX05PTl9PUEVSX0VYUF9TVVBQTC45OTYuMDcvMDMvMjAyNi4uLlVTRC5IAQAAAN62AQACAAAAAzIyNQEIAAAABQAAAAExAQAAAAstMjAwODY0NzE5OAMAAAADMTYwAgAAAAI4NQQAAAABMAcAAAAIMy83LzIwMjYIAAAACjEyLzMxLzIwMjEJAAAAATCncksl/4HeCKtxbij/gd4IMkNJUS5OWVNFOklCTS5JUV9PVEhFUl9PUEVSLjEwMDAuMDcvMDMvMjAyNi4uLlVTRC5IAQAAAN62AQACAAAABC05NjQBCAAAAAUAAAABMQEA</t>
  </si>
  <si>
    <t>AAALLTE5MDQ4NjA3NDADAAAAAzE2MAIAAAADMjYwBAAAAAEwBwAAAAgzLzcvMjAyNggAAAAKMTIvMzEvMjAyNQkAAAABMKdySyX/gd4Iq3FuKP+B3gg4Q0lRLk5ZU0U6SUJNLklRX0VCSVREQVJfRVhDTF9TQkMuMTAwMC4wNy8wMy8yMDI2Li4uVVNELkgBAAAA3rYBAAIAAAAFMTkxNDEBCAAAAAUAAAABMQEAAAALLTE5MDQ4NjA3NDADAAAAAzE2MAIAAAAFMjQxMzcEAAAAATAHAAAACDMvNy8yMDI2CAAAAAoxMi8zMS8yMDI1CQAAAAEwp3JLJf+B3gircW4o/4HeCDNDSVEuTllTRTpJQk0uSVFfRUJJVEFfRVFfSU5DLjk5OC4wNy8wMy8yMDI2Li4uVVNELkgBAAAA3rYBAAIAAAAFMTEwNDgBCAAAAAUAAAABMQEAAAALLTE5MDQ4NjA3NDQDAAAAAzE2MAIAAAAFMjE2NzYEAAAAATAHAAAACDMvNy8yMDI2CAAAAAoxMi8zMS8yMDIzCQAAAAEwp3JLJf+B3gircW4o/4HeCCtDSVEuTllTRTpJQk0uSVFfQ09HUy45OTguMDcvMDMvMjAyNi4uLlVTRC5IAQAAAN62AQACAAAABTI3MTc4AQgAAAAFAAAAATEBAAAACy0xOTA0ODYwNzQ0AwAAAAMxNjACAAAAAjM0BAAAAAEwBwAAAAgzLzcvMjAyNggAAAAKMTIvMzEvMjAyMwkAAAABMKdySyX/gd4IyDZuKP+B3ggzQ0lRLk5ZU0U6SUJNLklRX0ZJTl9ESVZfUkVWLjEwMDAuMDcvMDMvMjAyNi4uLlVTRC5IAQAAAN62AQACAAAAAzczNwEIAAAABQAAAAExAQAAAAstMTkw</t>
  </si>
  <si>
    <t>NDg2MDc0MAMAAAADMTYwAgAAAAI1MgQAAAABMAcAAAAIMy83LzIwMjYIAAAACjEyLzMxLzIwMjUJAAAAATCncksl/4HeCOFdbij/gd4INUNJUS5OWVNFOklCTS5JUV9ESUxVVF9FUFNfTk9STS45OTguMDcvMDMvMjAyNi4uLlVTRC5IAQAAAN62AQACAAAABzUuODYzODIBCAAAAAUAAAABMQEAAAALLTE5MDQ4NjA3NDQDAAAAAzE2MAIAAAAENDM4MAQAAAABMAcAAAAIMy83LzIwMjYIAAAACjEyLzMxLzIwMjMJAAAAATCncksl/4HeCOFdbij/gd4IOkNJUS5OWVNFOklCTS5JUV9OT05DQVNIX1BFTlNJT05fRVhQLjk5Mi4wNy8wMy8yMDI2Li4uVVNELkgBAAAA3rYBAAIAAAAEMTE1OAEIAAAABQAAAAExAQAAAAoyMDE3MTY0MjQ0AwAAAAMxNjACAAAABTIxNjc4BAAAAAEwBwAAAAgzLzcvMjAyNggAAAAKMTIvMzEvMjAxNwkAAAABMKdySyX/gd4I4V1uKP+B3ggyQ0lRLk5ZU0U6SUJNLklRX0lOVF9FWFBfTFRELjk5Ni4wNy8wMy8yMDI2Li4uVVNELkgBAAAA3rYBAAMAAAAAAKdySyX/gd4I4V1uKP+B3ggvQ0lRLk5ZU0U6SUJNLklRX0RJTFVUX05JLjk5Ni4wNy8wMy8yMDI2Li4uVVNELkgBAAAA3rYBAAIAAAALNDcxMy4xNzk2MTUBCAAAAAUAAAABMQEAAAALLTIwMDg2NDcxOTgDAAAAAzE2MAIAAAAEMzUyMgQAAAABMAcAAAAIMy83LzIwMjYIAAAACjEyLzMxLzIwMjEJAAAAATCncksl/4HeCMg2bij/gd4I</t>
  </si>
  <si>
    <t>QENJUS5OWVNFOklCTS5JUV9OT05SRUNVUlJJTkdfSU5DT01FX1RBWEVTLjk5Ni4wNy8wMy8yMDI2Li4uVVNELkgBAAAA3rYBAAMAAAAAAKdySyX/gd4IyDZuKP+B3gg+Q0lRLk5ZU0U6SUJNLklRX0RFRkVSUkVEX0RPTUVTVElDX1RBWEVTLjk5OS4wNy8wMy8yMDI2Li4uVVNELkgBAAAA3rYBAAIAAAAFLTI1MzkBCAAAAAUAAAABMQEAAAALLTE5MDQ4NjA3NDMDAAAAAzE2MAIAAAAEMzA1NAQAAAABMAcAAAAIMy83LzIwMjYIAAAACjEyLzMxLzIwMjQJAAAAATCncksl/4HeCMg2bij/gd4IPENJUS5OWVNFOklCTS5JUV9JTVBVVF9PUEVSX0xFQVNFX0RFUFIuOTk2LjA3LzAzLzIwMjYuLi5VU0QuSAEAAADetgEAAgAAAAsxMjE1LjU1MjU1MgEIAAAABQAAAAExAQAAAAstMjAwODY0NzE5OAMAAAADMTYwAgAAAAUyMTY3MwQAAAABMAcAAAAIMy83LzIwMjYIAAAACjEyLzMxLzIwMjEJAAAAATCncksl/4HeCMg2bij/gd4IQkNJUS5OWVNFOklCTS5JUV9ERVBSRUNJQVRJT05fUkVOVEFMX0FTU0VUUy4xMDAwLjA3LzAzLzIwMjYuLi5VU0QuSAEAAADetgEAAwAAAAAAp3JLJf+B3gjINm4o/4HeCDhDSVEuTllTRTpJQk0uSVFfTkVUX1JFTlRBTF9FWFBfRk4uOTkzLjA3LzAzLzIwMjYuLi5VU0QuSAEAAADetgEAAwAAAAAAp3JLJf+B3gh/D24o/4HeCDZDSVEuTllTRTpJQk0uSVFfU0FMRVNfTUFSS0VUSU5HLjk5</t>
  </si>
  <si>
    <t>My4wNy8wMy8yMDI2Li4uVVNELkgBAAAA3rYBAAIAAAAEMTQ2NgEIAAAABQAAAAExAQAAAAoyMDgxNTA1NDAxAwAAAAMxNjACAAAABTIxNTYxBAAAAAEwBwAAAAgzLzcvMjAyNggAAAAKMTIvMzEvMjAxOAkAAAABMKdySyX/gd4Ifw9uKP+B3gg9Q0lRLk5ZU0U6SUJNLklRX0FOTlVfRElTVFJJQlVUSU9OX1VOSVQuOTk3LjA3LzAzLzIwMjYuLi5VU0QuSAEAAADetgEAAwAAAAAAp3JLJf+B3gh/D24o/4HeCDhDSVEuTllTRTpJQk0uSVFfU1RPQ0tfQkFTRURfT1RIRVIuOTk2LjA3LzAzLzIwMjYuLi5VU0QuSAEAAADetgEAAgAAAAI2NAEIAAAABQAAAAExAQAAAAstMjAwODY0NzE5OAMAAAADMTYwAgAAAAUyMjY3NgQAAAABMAcAAAAIMy83LzIwMjYIAAAACjEyLzMxLzIwMjEJAAAAATCncksl/4HeCH8Pbij/gd4INUNJUS5OWVNFOklCTS5JUV9TVE9DS19CQVNFRF9SRC45OTMuMDcvMDMvMjAyNi4uLlVTRC5IAQAAAN62AQACAAAAAjY3AQgAAAAFAAAAATEBAAAACjIwODE1MDU0MDEDAAAAAzE2MAIAAAAFMjI2NzgEAAAAATAHAAAACDMvNy8yMDI2CAAAAAoxMi8zMS8yMDE4CQAAAAEwp3JLJf+B3gjINm4o/4HeCDtDSVEuTllTRTpJQk0uSVFfVE9UQUxfVU5VU1VBTF9TVVBQTEUuOTkzLjA3LzAzLzIwMjYuLi5VU0QuSAEAAADetgEAAgAAAAMtMTYBCAAAAAUAAAABMQEAAAAKMjA4MTUwNTQwMQMAAAADMTYw</t>
  </si>
  <si>
    <t>AgAAAAUzMzM5MAQAAAABMAcAAAAIMy83LzIwMjYIAAAACjEyLzMxLzIwMTgJAAAAATCncksl/4HeCH8Pbij/gd4IOENJUS5OWVNFOklCTS5JUV9HQUlOX0JBUkdBSU5fQUNRLjEwMDAuMDcvMDMvMjAyNi4uLlVTRC5IAQAAAN62AQADAAAAAACncksl/4HeCH8Pbij/gd4IO0NJUS5OWVNFOklCTS5JUV9JTVBBSVJNRU5UX0dXX1NVUFBMRS45OTIuMDcvMDMvMjAyNi4uLlVTRC5IAQAAAN62AQADAAAAAACncksl/4HeCH8Pbij/gd4IMkNJUS5OWVNFOklCTS5JUV9GSU5fRElWX1JFVi45OTQuMDcvMDMvMjAyNi4uLlVTRC5IAQAAAN62AQACAAAABDEyMTYBCAAAAAUAAAABMQEAAAALLTIxMTA3NjkzNTUDAAAAAzE2MAIAAAACNTIEAAAAATAHAAAACDMvNy8yMDI2CAAAAAoxMi8zMS8yMDE5CQAAAAEwp3JLJf+B3gh/D24o/4HeCClDSVEuTllTRTpJQk0uSVFfRE8uOTk1LjA3LzAzLzIwMjYuLi5VU0QuSAEAAADetgEAAgAAAAQxNjU4AQgAAAAFAAAAATEBAAAACy0yMDU5MDczMjAyAwAAAAMxNjACAAAAAjQwBAAAAAEwBwAAAAgzLzcvMjAyNggAAAAKMTIvMzEvMjAyMAkAAAABMKdySyX/gd4Ifw9uKP+B3gg1Q0lRLk5ZU0U6SUJNLklRX0RJTFVUX0VQU19JTkNMLjk5Ni4wNy8wMy8yMDI2Li4uVVNELkgBAAAA3rYBAAIAAAAINi4zNDg1NzMBCAAAAAUAAAABMQEAAAALLTIwMDg2NDcxOTgDAAAAAzE2MAIAAAAB</t>
  </si>
  <si>
    <t>OAQAAAABMAcAAAAIMy83LzIwMjYIAAAACjEyLzMxLzIwMjEJAAAAATCncksl/4HeCLPUbSj/gd4IM0NJUS5OWVNFOklCTS5JUV9HQUlOX0lOVkVTVC4xMDAwLjA3LzAzLzIwMjYuLi5VU0QuSAEAAADetgEAAgAAAAItNwEIAAAABQAAAAExAQAAAAstMTkwNDg2MDc0MAMAAAADMTYwAgAAAAI2MgQAAAABMAcAAAAIMy83LzIwMjYIAAAACjEyLzMxLzIwMjUJAAAAATCncksl/4HeCLPUbSj/gd4IPkNJUS5OWVNFOklCTS5JUV9TVE9DS19PUFRJT05TX0NPTVBfVEFYLjEwMDAuMDcvMDMvMjAyNi4uLlVTRC5IAQAAAN62AQADAAAAAACncksl/4HeCLPUbSj/gd4INUNJUS5OWVNFOklCTS5JUV9HV19JTlRBTl9BTU9SVC45OTIuMDcvMDMvMjAyNi4uLlVTRC5IAQAAAN62AQADAAAAAACncksl/4HeCLPUbSj/gd4IKUNJUS5OWVNFOklCTS5JUV9HUC45OTYuMDcvMDMvMjAyNi4uLlVTRC5IAQAAAN62AQACAAAABTMxNDg2AQgAAAAFAAAAATEBAAAACy0yMDA4NjQ3MTk4AwAAAAMxNjACAAAAAjEwBAAAAAEwBwAAAAgzLzcvMjAyNggAAAAKMTIvMzEvMjAyMQkAAAABMKdySyX/gd4Is9RtKP+B3gg2Q0lRLk5ZU0U6SUJNLklRX0dBSU5fQVNTRVRTX1JFVi45OTQuMDcvMDMvMjAyNi4uLlVTRC5IAQAAAN62AQADAAAAAACncksl/4HeCLPUbSj/gd4IN0NJUS5OWVNFOklCTS5JUV9ORVRfSU5URVJFU1RfRVhQLjk5Mi4w</t>
  </si>
  <si>
    <t>Ny8wMy8yMDI2Li4uVVNELkgBAAAA3rYBAAIAAAAELTYxNQEIAAAABQAAAAExAQAAAAoyMDE3MTY0MjQ0AwAAAAMxNjACAAAAAzM2OAQAAAABMAcAAAAIMy83LzIwMjYIAAAACjEyLzMxLzIwMTcJAAAAATCncksl/4HeCLPUbSj/gd4IMkNJUS5OWVNFOklCTS5JUV9JTlRfSU5WX0lOQy45OTIuMDcvMDMvMjAyNi4uLlVTRC5IAQAAAN62AQADAAAAAACncksl/4HeCLPUbSj/gd4INkNJUS5OWVNFOklCTS5JUV9CQVNJQ19FUFNfSU5DTC4xMDAwLjA3LzAzLzIwMjYuLi5VU0QuSAEAAADetgEAAgAAAAkxMS4zNjIyOTYBCAAAAAUAAAABMQEAAAALLTE5MDQ4NjA3NDADAAAAAzE2MAIAAAABOQQAAAABMAcAAAAIMy83LzIwMjYIAAAACjEyLzMxLzIwMjUJAAAAATCncksl/4HeCLPUbSj/gd4INENJUS5OWVNFOklCTS5JUV9OSV9BVkFJTF9JTkNMLjk5Ny4wNy8wMy8yMDI2Li4uVVNELkgBAAAA3rYBAAIAAAAEMTYzOQEIAAAABQAAAAExAQAAAAstMTk1ODI4MTA5NgMAAAADMTYwAgAAAAIxNgQAAAABMAcAAAAIMy83LzIwMjYIAAAACjEyLzMxLzIwMjIJAAAAATCncksl/4HeCLPUbSj/gd4INUNJUS5OWVNFOklCTS5JUV9QUkVGX0RJVl9PVEhFUi45OTIuMDcvMDMvMjAyNi4uLlVTRC5IAQAAAN62AQADAAAAAACncksl/4HeCJCtbSj/gd4INUNJUS5OWVNFOklCTS5JUV9FQklUQV9FWENMX1NCQy45OTkuMDcvMDMv</t>
  </si>
  <si>
    <t>MjAyNi4uLlVTRC5IAQAAAN62AQACAAAABTEyOTI5AQgAAAAFAAAAATEBAAAACy0xOTA0ODYwNzQzAwAAAAMxNjACAAAABTI0MTM2BAAAAAEwBwAAAAgzLzcvMjAyNggAAAAKMTIvMzEvMjAyNAkAAAABMKdySyX/gd4IkK1tKP+B3ghIQ0lRLk5ZU0U6SUJNLklRX0VCSVREQV9FUV9JTkNfRVhDTF9PUEVSX0xFQVNFX0FESi45OTcuMDcvMDMvMjAyNi4uLlVTRC5IAQAAAN62AQACAAAABTEwNzc1AQgAAAAFAAAAATEBAAAACy0xOTU4MjgxMDk2AwAAAAMxNjACAAAABTQ4OTg3BAAAAAEwBwAAAAgzLzcvMjAyNggAAAAKMTIvMzEvMjAyMgkAAAABMKdySyX/gd4IkK1tKP+B3gg8Q0lRLk5ZU0U6SUJNLklRX0VCSVREQV9MRUFTRV9BREpVU1RFRC45OTUuMDcvMDMvMjAyNi4uLlVTRC5IAQAAAN62AQACAAAABTEyODgxAQgAAAAFAAAAATEBAAAACy0yMDU5MDczMjAyAwAAAAMxNjACAAAABTQ4OTkzBAAAAAEwBwAAAAgzLzcvMjAyNggAAAAKMTIvMzEvMjAyMAkAAAABMKdySyX/gd4IkK1tKP+B3gg9Q0lRLk5ZU0U6SUJNLklRX0VCSVREQV9FUV9JTkNfRVhDTF9TQkMuOTk0LjA3LzAzLzIwMjYuLi5VU0QuSAEAAADetgEAAgAAAAUxNDI3NwEIAAAABQAAAAExAQAAAAstMjExMDc2OTM1NQMAAAADMTYwAgAAAAUyNDEzMQQAAAABMAcAAAAIMy83LzIwMjYIAAAACjEyLzMxLzIwMTkJAAAAATCncksl/4HeCLPUbSj/</t>
  </si>
  <si>
    <t>gd4ILUNJUS5OWVNFOklCTS5JUV9FQklUREEuOTk0LjA3LzAzLzIwMjYuLi5VU0QuSAEAAADetgEAAgAAAAUxMzU5OAEIAAAABQAAAAExAQAAAAstMjExMDc2OTM1NQMAAAADMTYwAgAAAAQ0MDUxBAAAAAEwBwAAAAgzLzcvMjAyNggAAAAKMTIvMzEvMjAxOQkAAAABMKdySyX/gd4If4ZtKP+B3ggvQ0lRLk5ZU0U6SUJNLklRX0VQU19OT1JNLjk5OS4wNy8wMy8yMDI2Li4uVVNELkgBAAAA3rYBAAIAAAAINi4xODE3MzUBCAAAAAUAAAABMQEAAAALLTE5MDQ4NjA3NDMDAAAAAzE2MAIAAAAENDM3OQQAAAABMAcAAAAIMy83LzIwMjYIAAAACjEyLzMxLzIwMjQJAAAAATCncksl/4HeCJCtbSj/gd4INUNJUS5OWVNFOklCTS5JUV9ESUxVVF9FUFNfRVhDTC45OTYuMDcvMDMvMjAyNi4uLlVTRC5IAQAAAN62AQACAAAACDUuMjA5OTk5AQgAAAAFAAAAATEBAAAACy0yMDA4NjQ3MTk4AwAAAAMxNjACAAAAAzE0MgQAAAABMAcAAAAIMy83LzIwMjYIAAAACjEyLzMxLzIwMjEJAAAAATCncksl/4HeCJCtbSj/gd4ILkNJUS5OWVNFOklCTS5JUV9FQklUREFSLjk5NS4wNy8wMy8yMDI2Li4uVVNELkgBAAAA3rYBAAIAAAAFMTI4ODEBCAAAAAUAAAABMQEAAAALLTIwNTkwNzMyMDIDAAAAAzE2MAIAAAAFMjE2NzQEAAAAATAHAAAACDMvNy8yMDI2CAAAAAoxMi8zMS8yMDIwCQAAAAEwp3JLJf+B3giQrW0o/4HeCDNDSVEu</t>
  </si>
  <si>
    <t>TllTRTpJQk0uSVFfRUJJVEFfRVFfSU5DLjk5Ny4wNy8wMy8yMDI2Li4uVVNELkgBAAAA3rYBAAIAAAAEOTI2OAEIAAAABQAAAAExAQAAAAstMTk1ODI4MTA5NgMAAAADMTYwAgAAAAUyMTY3NgQAAAABMAcAAAAIMy83LzIwMjYIAAAACjEyLzMxLzIwMjIJAAAAATCncksl/4HeCJCtbSj/gd4INENJUS5OWVNFOklCTS5JUV9FQklUX0VYQ0xfU0JDLjk5Ny4wNy8wMy8yMDI2Li4uVVNELkgBAAAA3rYBAAIAAAAEODUwOQEIAAAABQAAAAExAQAAAAstMTk1ODI4MTA5NgMAAAADMTYwAgAAAAUyNDEzNAQAAAABMAcAAAAIMy83LzIwMjYIAAAACjEyLzMxLzIwMjIJAAAAATCncksl/4HeCH+GbSj/gd4IMkNJUS5OWVNFOklCTS5JUV9FQklUX0VRX0lOQy45OTcuMDcvMDMvMjAyNi4uLlVTRC5IAQAAAN62AQACAAAABDc1MjEBCAAAAAUAAAABMQEAAAALLTE5NTgyODEwOTYDAAAAAzE2MAIAAAAFMjE2NzUEAAAAATAHAAAACDMvNy8yMDI2CAAAAAoxMi8zMS8yMDIyCQAAAAEwp3JLJf+B3gh/hm0o/4HeCEhDSVEuTllTRTpJQk0uSVFfRUJJVERBX0VRX0lOQ19FWENMX09QRVJfTEVBU0VfQURKLjk5Ni4wNy8wMy8yMDI2Li4uVVNELkgBAAAA3rYBAAIAAAAFMTEzMDkBCAAAAAUAAAABMQEAAAALLTIwMDg2NDcxOTgDAAAAAzE2MAIAAAAFNDg5ODcEAAAAATAHAAAACDMvNy8yMDI2CAAAAAoxMi8zMS8yMDIxCQAAAAEw</t>
  </si>
  <si>
    <t>p3JLJf+B3gh/hm0o/4HeCD5DSVEuTllTRTpJQk0uSVFfREVGRVJSRURfRE9NRVNUSUNfVEFYRVMuOTk4LjA3LzAzLzIwMjYuLi5VU0QuSAEAAADetgEAAgAAAAUtMTUzMwEIAAAABQAAAAExAQAAAAstMTkwNDg2MDc0NAMAAAADMTYwAgAAAAQzMDU0BAAAAAEwBwAAAAgzLzcvMjAyNggAAAAKMTIvMzEvMjAyMwkAAAABMKdySyX/gd4If4ZtKP+B3gg5Q0lRLk5ZU0U6SUJNLklRX0NVUlJfRk9SRUlHTl9UQVhFUy45OTkuMDcvMDMvMjAyNi4uLlVTRC5IAQAAAN62AQACAAAABDIzMDEBCAAAAAUAAAABMQEAAAALLTE5MDQ4NjA3NDMDAAAAAzE2MAIAAAAEMzAzMAQAAAABMAcAAAAIMy83LzIwMjYIAAAACjEyLzMxLzIwMjQJAAAAATCncksl/4HeCH+GbSj/gd4ISUNJUS5OWVNFOklCTS5JUV9QUk9WX0JBRF9ERUJUU19QQVRJRU5UX1NFUlZJQ0VfUkVWLjk5Mi4wNy8wMy8yMDI2Li4uVVNELkgBAAAA3rYBAAMAAAAAAKdySyX/gd4Ic19tKP+B3ggzQ0lRLk5ZU0U6SUJNLklRX0VCSVREQV9DQVBFWC45OTcuMDcvMDMvMjAyNi4uLlVTRC5IAQAAAN62AQACAAAABDk0MjkBCAAAAAUAAAABMQEAAAALLTE5NTgyODEwOTYDAAAAAzE2MAIAAAAFMzUzNzkEAAAAATAHAAAACDMvNy8yMDI2CAAAAAoxMi8zMS8yMDIyCQAAAAEwp3JLJf+B3ghzX20o/4HeCD5DSVEuTllTRTpJQk0uSVFfRUJJVERBUl9FUV9JTkNfRVhD</t>
  </si>
  <si>
    <t>TF9TQkMuOTk2LjA3LzAzLzIwMjYuLi5VU0QuSAEAAADetgEAAgAAAAUxMzcyOAEIAAAABQAAAAExAQAAAAstMjAwODY0NzE5OAMAAAADMTYwAgAAAAUyNDEzMwQAAAABMAcAAAAIMy83LzIwMjYIAAAACjEyLzMxLzIwMjEJAAAAATCncksl/4HeCHNfbSj/gd4IOENJUS5OWVNFOklCTS5JUV9ORVRfUkVOVEFMX0VYUF9GTi45OTIuMDcvMDMvMjAyNi4uLlVTRC5IAQAAAN62AQADAAAAAACncksl/4HeCH+GbSj/gd4INkNJUS5OWVNFOklCTS5JUV9TQUxFU19NQVJLRVRJTkcuOTk5LjA3LzAzLzIwMjYuLi5VU0QuSAEAAADetgEAAgAAAAQxMTczAQgAAAAFAAAAATEBAAAACy0xOTA0ODYwNzQzAwAAAAMxNjACAAAABTIxNTYxBAAAAAEwBwAAAAgzLzcvMjAyNggAAAAKMTIvMzEvMjAyNAkAAAABMKdySyX/gd4If4ZtKP+B3ggyQ0lRLk5ZU0U6SUJNLklRX0lOVF9FWFBfTFRELjk5NS4wNy8wMy8yMDI2Li4uVVNELkgBAAAA3rYBAAMAAAAAAKdySyX/gd4Ic19tKP+B3ggvQ0lRLk5ZU0U6SUJNLklRX0RJTFVUX05JLjk5NS4wNy8wMy8yMDI2Li4uVVNELkgBAAAA3rYBAAIAAAAEMzkzMAEIAAAABQAAAAExAQAAAAstMjA1OTA3MzIwMgMAAAADMTYwAgAAAAQzNTIyBAAAAAEwBwAAAAgzLzcvMjAyNggAAAAKMTIvMzEvMjAyMAkAAAABMKdySyX/gd4Ic19tKP+B3ghAQ0lRLk5ZU0U6SUJNLklRX05PTlJFQ1VSUklO</t>
  </si>
  <si>
    <t>R19JTkNPTUVfVEFYRVMuOTk1LjA3LzAzLzIwMjYuLi5VU0QuSAEAAADetgEAAwAAAAAAp3JLJf+B3ghzX20o/4HeCDVDSVEuTllTRTpJQk0uSVFfU1RPQ0tfQkFTRURfUkQuOTk5LjA3LzAzLzIwMjYuLi5VU0QuSAEAAADetgEAAgAAAAMzOTgBCAAAAAUAAAABMQEAAAALLTE5MDQ4NjA3NDMDAAAAAzE2MAIAAAAFMjI2NzgEAAAAATAHAAAACDMvNy8yMDI2CAAAAAoxMi8zMS8yMDI0CQAAAAEwp3JLJf+B3ghzX20o/4HeCDtDSVEuTllTRTpJQk0uSVFfVE9UQUxfVU5VU1VBTF9TVVBQTEUuOTk4LjA3LzAzLzIwMjYuLi5VU0QuSAEAAADetgEAAwAAAAAAp3JLJf+B3ghzX20o/4HeCD5DSVEuTllTRTpJQk0uSVFfR0FJTl9CQVJHQUlOX0FDUV9TVVBQTEUuOTk3LjA3LzAzLzIwMjYuLi5VU0QuSAEAAADetgEAAwAAAAAAp3JLJf+B3ghgOG0o/4HeCDxDSVEuTllTRTpJQk0uSVFfSU1QVVRfT1BFUl9MRUFTRV9ERVBSLjk5NS4wNy8wMy8yMDI2Li4uVVNELkgBAAAA3rYBAAIAAAALMTI4Ny4zODk4NTYBCAAAAAUAAAABMQEAAAALLTIwNTkwNzMyMDIDAAAAAzE2MAIAAAAFMjE2NzMEAAAAATAHAAAACDMvNy8yMDI2CAAAAAoxMi8zMS8yMDIwCQAAAAEwp3JLJf+B3ghgOG0o/4HeCEFDSVEuTllTRTpJQk0uSVFfREVQUkVDSUFUSU9OX1JFTlRBTF9BU1NFVFMuOTk5LjA3LzAzLzIwMjYuLi5VU0QuSAEAAADetgEA</t>
  </si>
  <si>
    <t>AwAAAAAAp3JLJf+B3ghgOG0o/4HeCClDSVEuTllTRTpJQk0uSVFfR1AuOTkyLjA3LzAzLzIwMjYuLi5VU0QuSAEAAADetgEAAgAAAAUzNjk0MwEIAAAABQAAAAExAQAAAAoyMDE3MTY0MjQ0AwAAAAMxNjACAAAAAjEwBAAAAAEwBwAAAAgzLzcvMjAyNggAAAAKMTIvMzEvMjAxNwkAAAABMFaGSyX/gd4IYDhtKP+B3ggqQ0lRLk5ZU0U6SUJNLklRX1JFVi45OTguMDcvMDMvMjAyNi4uLlVTRC5IAQAAAN62AQACAAAABTYxMTIzAQgAAAAFAAAAATEBAAAACy0xOTA0ODYwNzQ0AwAAAAMxNjACAAAAAzExMgQAAAABMAcAAAAIMy83LzIwMjYIAAAACjEyLzMxLzIwMjMJAAAAATBWhksl/4HeCGA4bSj/gd4IOUNJUS5OWVNFOklCTS5JUV9BU1NFVF9XUklURURPV05fQ0YuOTk3LjA3LzAzLzIwMjYuLi5VU0QuSAEAAADetgEAAwAAAAAAVoZLJf+B3ghfEW0o/4HeCD1DSVEuTllTRTpJQk0uSVFfU1RPQ0tfT1BUSU9OU19DT01QX1RBWC45OTguMDcvMDMvMjAyNi4uLlVTRC5IAQAAAN62AQADAAAAAABWhksl/4HeCF8RbSj/gd4IOENJUS5OWVNFOklCTS5JUV9TVE9DS19CQVNFRF9PVEhFUi45OTQuMDcvMDMvMjAyNi4uLlVTRC5IAQAAAN62AQACAAAAAjUwAQgAAAAFAAAAATEBAAAACy0yMTEwNzY5MzU1AwAAAAMxNjACAAAABTIyNjc2BAAAAAEwBwAAAAgzLzcvMjAyNggAAAAKMTIvMzEvMjAxOQkAAAABMFaGSyX/</t>
  </si>
  <si>
    <t>gd4IYDhtKP+B3ggpQ0lRLk5ZU0U6SUJNLklRX05JLjk5NS4wNy8wMy8yMDI2Li4uVVNELkgBAAAA3rYBAAIAAAAENTU5MAEIAAAABQAAAAExAQAAAAstMjA1OTA3MzIwMgMAAAADMTYwAgAAAAIxNQQAAAABMAcAAAAIMy83LzIwMjYIAAAACjEyLzMxLzIwMjAJAAAAATBWhksl/4HeCGA4bSj/gd4IKUNJUS5OWVNFOklCTS5JUV9HUC45OTguMDcvMDMvMjAyNi4uLlVTRC5IAQAAAN62AQACAAAABTM0MzAwAQgAAAAFAAAAATEBAAAACy0xOTA0ODYwNzQ0AwAAAAMxNjACAAAAAjEwBAAAAAEwBwAAAAgzLzcvMjAyNggAAAAKMTIvMzEvMjAyMwkAAAABMFaGSyX/gd4IYDhtKP+B3gg2Q0lRLk5ZU0U6SUJNLklRX1BST1ZfQkFEX0RFQlRTLjEwMDAuMDcvMDMvMjAyNi4uLlVTRC5IAQAAAN62AQADAAAAAABWhksl/4HeCF8RbSj/gd4INENJUS5OWVNFOklCTS5JUV9OSV9BVkFJTF9JTkNMLjk5NS4wNy8wMy8yMDI2Li4uVVNELkgBAAAA3rYBAAIAAAAENTU5MAEIAAAABQAAAAExAQAAAAstMjA1OTA3MzIwMgMAAAADMTYwAgAAAAIxNgQAAAABMAcAAAAIMy83LzIwMjYIAAAACjEyLzMxLzIwMjAJAAAAATBWhksl/4HeCF8RbSj/gd4INENJUS5OWVNFOklCTS5JUV9JTVBBSVJNRU5UX0dXLjk5NC4wNy8wMy8yMDI2Li4uVVNELkgBAAAA3rYBAAMAAAAAAFaGSyX/gd4IXxFtKP+B3ggzQ0lRLk5ZU0U6SUJNLklRX0dB</t>
  </si>
  <si>
    <t>SU5fQVNTRVRTLjEwMDAuMDcvMDMvMjAyNi4uLlVTRC5IAQAAAN62AQADAAAAAABWhksl/4HeCF8RbSj/gd4IP0NJUS5OWVNFOklCTS5JUV9PVEhFUl9OT05fT1BFUl9FWFBfU1VQUEwuOTk4LjA3LzAzLzIwMjYuLi5VU0QuSAEAAADetgEAAgAAAAMyMzYBCAAAAAUAAAABMQEAAAALLTE5MDQ4NjA3NDQDAAAAAzE2MAIAAAACODUEAAAAATAHAAAACDMvNy8yMDI2CAAAAAoxMi8zMS8yMDIzCQAAAAEwVoZLJf+B3ghfEW0o/4HeCDhDSVEuTllTRTpJQk0uSVFfVE9UQUxfT1RIRVJfT1BFUi4xMDAwLjA3LzAzLzIwMjYuLi5VU0QuSAEAAADetgEAAgAAAAUyNjcyOAEIAAAABQAAAAExAQAAAAstMTkwNDg2MDc0MAMAAAADMTYwAgAAAAMzODAEAAAAATAHAAAACDMvNy8yMDI2CAAAAAoxMi8zMS8yMDI1CQAAAAEwVoZLJf+B3gh+6mwo/4HeCC1DSVEuTllTRTpJQk0uSVFfUkRfRVhQLjk5Ni4wNy8wMy8yMDI2Li4uVVNELkgBAAAA3rYBAAIAAAAENjQ4OAEIAAAABQAAAAExAQAAAAstMjAwODY0NzE5OAMAAAADMTYwAgAAAAMxMDAEAAAAATAHAAAACDMvNy8yMDI2CAAAAAoxMi8zMS8yMDIxCQAAAAEwVoZLJf+B3gh+6mwo/4HeCDRDSVEuTllTRTpJQk0uSVFfRVhQTE9SRV9EUklMTC45OTguMDcvMDMvMjAyNi4uLlVTRC5IAQAAAN62AQADAAAAAABWhksl/4HeCH7qbCj/gd4IM0NJUS5OWVNFOklCTS5JUV9MRUdB</t>
  </si>
  <si>
    <t>TF9TRVRUTEUuOTk2LjA3LzAzLzIwMjYuLi5VU0QuSAEAAADetgEAAwAAAAAAVoZLJf+B3gh+6mwo/4HeCCtDSVEuTllTRTpJQk0uSVFfSVBSRC45OTMuMDcvMDMvMjAyNi4uLlVTRC5IAQAAAN62AQADAAAAAABWhksl/4HeCF8RbSj/gd4IMkNJUS5OWVNFOklCTS5JUV9HQUlOX0FTU0VUUy45OTkuMDcvMDMvMjAyNi4uLlVTRC5IAQAAAN62AQACAAAAAzU5MgEIAAAABQAAAAExAQAAAAstMTkwNDg2MDc0MwMAAAADMTYwAgAAAAI1NgQAAAABMAcAAAAIMy83LzIwMjYIAAAACjEyLzMxLzIwMjQJAAAAATBWhksl/4HeCPvCbCj/gd4INENJUS5OWVNFOklCTS5JUV9JTVBBSVJNRU5UX0dXLjk5NS4wNy8wMy8yMDI2Li4uVVNELkgBAAAA3rYBAAMAAAAAAFaGSyX/gd4I+8JsKP+B3ggvQ0lRLk5ZU0U6SUJNLklRX0VCVF9FWENMLjk5NS4wNy8wMy8yMDI2Li4uVVNELkgBAAAA3rYBAAIAAAAEMjU3MgEIAAAABQAAAAExAQAAAAstMjA1OTA3MzIwMgMAAAADMTYwAgAAAAE0BAAAAAEwBwAAAAgzLzcvMjAyNggAAAAKMTIvMzEvMjAyMAkAAAABMFaGSyX/gd4I+8JsKP+B3gg1Q0lRLk5ZU0U6SUJNLklRX0JBU0lDX0VQU19JTkNMLjk5OS4wNy8wMy8yMDI2Li4uVVNELkgBAAAA3rYBAAIAAAAINi41MzQxODMBCAAAAAUAAAABMQEAAAALLTE5MDQ4NjA3NDMDAAAAAzE2MAIAAAABOQQAAAABMAcAAAAIMy83LzIwMjYI</t>
  </si>
  <si>
    <t>AAAACjEyLzMxLzIwMjQJAAAAATBWhksl/4HeCH7qbCj/gd4INENJUS5OWVNFOklCTS5JUV9OSV9BVkFJTF9JTkNMLjk5Ni4wNy8wMy8yMDI2Li4uVVNELkgBAAAA3rYBAAIAAAAENTc0MwEIAAAABQAAAAExAQAAAAstMjAwODY0NzE5OAMAAAADMTYwAgAAAAIxNgQAAAABMAcAAAAIMy83LzIwMjYIAAAACjEyLzMxLzIwMjEJAAAAATBWhksl/4HeCH7qbCj/gd4IMkNJUS5OWVNFOklCTS5JUV9OSV9DT01QQU5ZLjEwMDAuMDcvMDMvMjAyNi4uLlVTRC5IAQAAAN62AQACAAAABTEwNTkzAQgAAAAFAAAAATEBAAAACy0xOTA0ODYwNzQwAwAAAAMxNjACAAAABTQxNTcxBAAAAAEwBwAAAAgzLzcvMjAyNggAAAAKMTIvMzEvMjAyNQkAAAABMFaGSyX/gd4IPYhsKP+B3gg2Q0lRLk5ZU0U6SUJNLklRX0VYVFJBX0FDQ19JVEVNUy45OTUuMDcvMDMvMjAyNi4uLlVTRC5IAQAAAN62AQADAAAAAABWhksl/4HeCD2IbCj/gd4IMUNJUS5OWVNFOklCTS5JUV9FQVJOSU5HX0NPLjk5Mi4wNy8wMy8yMDI2Li4uVVNELkgBAAAA3rYBAAIAAAAENTc1OAEIAAAABQAAAAExAQAAAAoyMDE3MTY0MjQ0AwAAAAMxNjACAAAAATcEAAAAATAHAAAACDMvNy8yMDI2CAAAAAoxMi8zMS8yMDE3CQAAAAEwVoZLJf+B3gg9iGwo/4HeCD1DSVEuTllTRTpJQk0uSVFfRUJJVERBX0VRX0lOQ19FWENMX1NCQy45OTMuMDcvMDMvMjAyNi4uLlVT</t>
  </si>
  <si>
    <t>RC5IAQAAAN62AQACAAAABTE4MjA4AQgAAAAFAAAAATEBAAAACjIwODE1MDU0MDEDAAAAAzE2MAIAAAAFMjQxMzEEAAAAATAHAAAACDMvNy8yMDI2CAAAAAoxMi8zMS8yMDE4CQAAAAEwVoZLJf+B3gg9iGwo/4HeCC1DSVEuTllTRTpJQk0uSVFfRUJJVERBLjk5My4wNy8wMy8yMDI2Li4uVVNELkgBAAAA3rYBAAIAAAAFMTc2OTgBCAAAAAUAAAABMQEAAAAKMjA4MTUwNTQwMQMAAAADMTYwAgAAAAQ0MDUxBAAAAAEwBwAAAAgzLzcvMjAyNggAAAAKMTIvMzEvMjAxOAkAAAABMFaGSyX/gd4I+8JsKP+B3ghMQ0lRLk5ZU0U6SUJNLklRX0RJU1RSSUJVVEFCTEVfQ0FTSF9QRVJfU0hBUkVfRElMVVRFRC4xMDAwLjA3LzAzLzIwMjYuLi5VU0QuSAEAAADetgEAAwAAAAAAVoZLJf+B3gg9iGwo/4HeCC9DSVEuTllTRTpJQk0uSVFfRVBTX05PUk0uOTk3LjA3LzAzLzIwMjYuLi5VU0QuSAEAAADetgEAAgAAAAg0Ljg5NTIzMQEIAAAABQAAAAExAQAAAAstMTk1ODI4MTA5NgMAAAADMTYwAgAAAAQ0Mzc5BAAAAAEwBwAAAAgzLzcvMjAyNggAAAAKMTIvMzEvMjAyMgkAAAABMFaGSyX/gd4IPYhsKP+B3gg1Q0lRLk5ZU0U6SUJNLklRX0RJTFVUX0VQU19FWENMLjk5NS4wNy8wMy8yMDI2Li4uVVNELkgBAAAA3rYBAAIAAAAINC4zODM0MDEBCAAAAAUAAAABMQEAAAALLTIwNTkwNzMyMDIDAAAAAzE2MAIAAAADMTQyBAAA</t>
  </si>
  <si>
    <t>AAEwBwAAAAgzLzcvMjAyNggAAAAKMTIvMzEvMjAyMAkAAAABMFaGSyX/gd4IPYhsKP+B3gg8Q0lRLk5ZU0U6SUJNLklRX0VCSVRBX0VRX0lOQ19FWENMX1NCQy45OTQuMDcvMDMvMjAyNi4uLlVTRC5IAQAAAN62AQACAAAABTEwMDY4AQgAAAAFAAAAATEBAAAACy0yMTEwNzY5MzU1AwAAAAMxNjACAAAABTI0MTMyBAAAAAEwBwAAAAgzLzcvMjAyNggAAAAKMTIvMzEvMjAxOQkAAAABMFaGSyX/gd4IPYhsKP+B3gg0Q0lRLk5ZU0U6SUJNLklRX0VCSVRfRVhDTF9TQkMuOTk2LjA3LzAzLzIwMjYuLi5VU0QuSAEAAADetgEAAgAAAAQ2NTY1AQgAAAAFAAAAATEBAAAACy0yMDA4NjQ3MTk4AwAAAAMxNjACAAAABTI0MTM0BAAAAAEwBwAAAAgzLzcvMjAyNggAAAAKMTIvMzEvMjAyMQkAAAABMFaGSyX/gd4IPYhsKP+B3ggyQ0lRLk5ZU0U6SUJNLklRX0VCSVRfRVFfSU5DLjk5NS4wNy8wMy8yMDI2Li4uVVNELkgBAAAA3rYBAAIAAAAENDY2MgEIAAAABQAAAAExAQAAAAstMjA1OTA3MzIwMgMAAAADMTYwAgAAAAUyMTY3NQQAAAABMAcAAAAIMy83LzIwMjYIAAAACjEyLzMxLzIwMjAJAAAAATBWhksl/4HeCHh0bCj/gd4ISENJUS5OWVNFOklCTS5JUV9FQklUREFfRVFfSU5DX0VYQ0xfT1BFUl9MRUFTRV9BREouOTk1LjA3LzAzLzIwMjYuLi5VU0QuSAEAAADetgEAAgAAAAUxMTM1NwEIAAAABQAAAAExAQAAAAst</t>
  </si>
  <si>
    <t>MjA1OTA3MzIwMgMAAAADMTYwAgAAAAU0ODk4NwQAAAABMAcAAAAIMy83LzIwMjYIAAAACjEyLzMxLzIwMjAJAAAAATBWhksl/4HeCHh0bCj/gd4IPENJUS5OWVNFOklCTS5JUV9FQklUREFfTEVBU0VfQURKVVNURUQuOTk0LjA3LzAzLzIwMjYuLi5VU0QuSAEAAADetgEAAgAAAAUxNTIyMQEIAAAABQAAAAExAQAAAAstMjExMDc2OTM1NQMAAAADMTYwAgAAAAU0ODk5MwQAAAABMAcAAAAIMy83LzIwMjYIAAAACjEyLzMxLzIwMTkJAAAAATBWhksl/4HeCD2IbCj/gd4IOUNJUS5OWVNFOklCTS5JUV9DVVJSX0ZPUkVJR05fVEFYRVMuOTk4LjA3LzAzLzIwMjYuLi5VU0QuSAEAAADetgEAAgAAAAQxNTk0AQgAAAAFAAAAATEBAAAACy0xOTA0ODYwNzQ0AwAAAAMxNjACAAAABDMwMzAEAAAAATAHAAAACDMvNy8yMDI2CAAAAAoxMi8zMS8yMDIzCQAAAAEwVoZLJf+B3gg9iGwo/4HeCD9DSVEuTllTRTpJQk0uSVFfRVhDSVNFX1RBWEVTX0lOQ0xfU0FMRVMuMTAwMC4wNy8wMy8yMDI2Li4uVVNELkgBAAAA3rYBAAMAAAAAAFaGSyX/gd4IPYhsKP+B3ggzQ0lRLk5ZU0U6SUJNLklRX0VCSVREQV9DQVBFWC45OTYuMDcvMDMvMjAyNi4uLlVTRC5IAQAAAN62AQACAAAABDkyNDcBCAAAAAUAAAABMQEAAAALLTIwMDg2NDcxOTgDAAAAAzE2MAIAAAAFMzUzNzkEAAAAATAHAAAACDMvNy8yMDI2CAAAAAoxMi8zMS8yMDIx</t>
  </si>
  <si>
    <t>CQAAAAEwVoZLJf+B3ghnTWwo/4HeCD5DSVEuTllTRTpJQk0uSVFfRUJJVERBUl9FUV9JTkNfRVhDTF9TQkMuOTk1LjA3LzAzLzIwMjYuLi5VU0QuSAEAAADetgEAAgAAAAUxMzgxOAEIAAAABQAAAAExAQAAAAstMjA1OTA3MzIwMgMAAAADMTYwAgAAAAUyNDEzMwQAAAABMAcAAAAIMy83LzIwMjYIAAAACjEyLzMxLzIwMjAJAAAAATBWhksl/4HeCGdNbCj/gd4ILkNJUS5OWVNFOklCTS5JUV9FQklUREFSLjk5NC4wNy8wMy8yMDI2Li4uVVNELkgBAAAA3rYBAAIAAAAFMTUyMjEBCAAAAAUAAAABMQEAAAALLTIxMTA3NjkzNTUDAAAAAzE2MAIAAAAFMjE2NzQEAAAAATAHAAAACDMvNy8yMDI2CAAAAAoxMi8zMS8yMDE5CQAAAAEwVoZLJf+B3ghnTWwo/4HeCDZDSVEuTllTRTpJQk0uSVFfU0FMRVNfTUFSS0VUSU5HLjk5OC4wNy8wMy8yMDI2Li4uVVNELkgBAAAA3rYBAAIAAAAEMTIzNwEIAAAABQAAAAExAQAAAAstMTkwNDg2MDc0NAMAAAADMTYwAgAAAAUyMTU2MQQAAAABMAcAAAAIMy83LzIwMjYIAAAACjEyLzMxLzIwMjMJAAAAATBWhksl/4HeCHh0bCj/gd4IOUNJUS5OWVNFOklCTS5JUV9ESVNUUklCVVRBQkxFX0NBU0guOTk4LjA3LzAzLzIwMjYuLi5VU0QuSAEAAADetgEAAwAAAAAAVoZLJf+B3gh4dGwo/4HeCC9DSVEuTllTRTpJQk0uSVFfRElMVVRfTkkuOTk0LjA3LzAzLzIwMjYuLi5VU0QuSAEA</t>
  </si>
  <si>
    <t>AADetgEAAgAAAAs3MTQyLjUwNzAwOAEIAAAABQAAAAExAQAAAAstMjExMDc2OTM1NQMAAAADMTYwAgAAAAQzNTIyBAAAAAEwBwAAAAgzLzcvMjAyNggAAAAKMTIvMzEvMjAxOQkAAAABMFaGSyX/gd4IZ01sKP+B3ghAQ0lRLk5ZU0U6SUJNLklRX05PTlJFQ1VSUklOR19JTkNPTUVfVEFYRVMuOTk0LjA3LzAzLzIwMjYuLi5VU0QuSAEAAADetgEAAgAAAAMxNDYBCAAAAAUAAAABMQEAAAALLTIxMTA3NjkzNTUDAAAAAzE2MAIAAAAFNDg4MzkEAAAAATAHAAAACDMvNy8yMDI2CAAAAAoxMi8zMS8yMDE5CQAAAAEwVoZLJf+B3ghnTWwo/4HeCD1DSVEuTllTRTpJQk0uSVFfREVGRVJSRURfRk9SRUlHTl9UQVhFUy45OTUuMDcvMDMvMjAyNi4uLlVTRC5IAQAAAN62AQACAAAABS0zOTY5AQgAAAAFAAAAATEBAAAACy0yMDU5MDczMjAyAwAAAAMxNjACAAAABDMwNTUEAAAAATAHAAAACDMvNy8yMDI2CAAAAAoxMi8zMS8yMDIwCQAAAAEwVoZLJf+B3ghnTWwo/4HeCDtDSVEuTllTRTpJQk0uSVFfSU1QQUlSTUVOVF9HV19TVVBQTEUuOTk2LjA3LzAzLzIwMjYuLi5VU0QuSAEAAADetgEAAwAAAAAAVoZLJf+B3ghnTWwo/4HeCD1DSVEuTllTRTpJQk0uSVFfSU1QVVRfT1BFUl9MRUFTRV9ERVBSLjEwMDAuMDcvMDMvMjAyNi4uLlVTRC5IAQAAAN62AQACAAAACjk3OC4xMDE0NzIBCAAAAAUAAAABMQEAAAALLTE5MDQ4</t>
  </si>
  <si>
    <t>NjA3NDADAAAAAzE2MAIAAAAFMjE2NzMEAAAAATAHAAAACDMvNy8yMDI2CAAAAAoxMi8zMS8yMDI1CQAAAAEwVoZLJf+B3ghnTWwo/4HeCD5DSVEuTllTRTpJQk0uSVFfRVhQTE9SRV9EUklMTF9FWFBfVE9UQUwuOTkyLjA3LzAzLzIwMjYuLi5VU0QuSAEAAADetgEAAwAAAAAAVoZLJf+B3ghXJmwo/4HeCDVDSVEuTllTRTpJQk0uSVFfTUlOSU1VTV9SRU5UQUwuOTk1LjA3LzAzLzIwMjYuLi5VU0QuSAEAAADetgEAAwAAAAAAVoZLJf+B3ghXJmwo/4HeCDhDSVEuTllTRTpJQk0uSVFfTkVUX1JFTlRBTF9FWFBfRk4uOTk3LjA3LzAzLzIwMjYuLi5VU0QuSAEAAADetgEAAgAAAAQxMjQ3AQgAAAAFAAAAATEBAAAACy0xOTU4MjgxMDk2AwAAAAMxNjACAAAABDMxNzAEAAAAATAHAAAACDMvNy8yMDI2CAAAAAoxMi8zMS8yMDIyCQAAAAEwVoZLJf+B3ghXJmwo/4HeCDZDSVEuTllTRTpJQk0uSVFfT1RIRVJfUkVWX1NVUFBMLjk5OS4wNy8wMy8yMDI2Li4uVVNELkgBAAAA3rYBAAMAAAAAAFaGSyX/gd4IVyZsKP+B3ggvQ0lRLk5ZU0U6SUJNLklRX0xPQU5TX0NGLjk5Mi4wNy8wMy8yMDI2Li4uVVNELkgBAAAA3rYBAAMAAAAAAFaGSyX/gd4IVyZsKP+B3gg5Q0lRLk5ZU0U6SUJNLklRX1NUT0NLX09QVElPTlNfQ09NUC45OTUuMDcvMDMvMjAyNi4uLlVTRC5IAQAAAN62AQADAAAAAABWhksl/4HeCBL/ayj/gd4I</t>
  </si>
  <si>
    <t>OENJUS5OWVNFOklCTS5JUV9TVE9DS19CQVNFRF9PVEhFUi45OTMuMDcvMDMvMjAyNi4uLlVTRC5IAQAAAN62AQADAAAAAABWhksl/4HeCFcmbCj/gd4IO0NJUS5OWVNFOklCTS5JUV9UT1RBTF9VTlVTVUFMX1NVUFBMRS45OTcuMDcvMDMvMjAyNi4uLlVTRC5IAQAAAN62AQADAAAAAABWhksl/4HeCFcmbCj/gd4IMkNJUS5OWVNFOklCTS5JUV9GSU5fRElWX1JFVi45OTIuMDcvMDMvMjAyNi4uLlVTRC5IAQAAAN62AQACAAAABDE3MTUBCAAAAAUAAAABMQEAAAAKMjAxNzE2NDI0NAMAAAADMTYwAgAAAAI1MgQAAAABMAcAAAAIMy83LzIwMjYIAAAACjEyLzMxLzIwMTcJAAAAATBWhksl/4HeCFcmbCj/gd4IL0NJUS5OWVNFOklCTS5JUV9EQV9TVVBQTC45OTcuMDcvMDMvMjAyNi4uLlVTRC5IAQAAAN62AQADAAAAAABWhksl/4HeCFcmbCj/gd4INkNJUS5OWVNFOklCTS5JUV9ESUxVVF9FUFNfTk9STS4xMDAwLjA3LzAzLzIwMjYuLi5VU0QuSAEAAADetgEAAgAAAAg3LjM1MTY5OQEIAAAABQAAAAExAQAAAAstMTkwNDg2MDc0MAMAAAADMTYwAgAAAAQ0MzgwBAAAAAEwBwAAAAgzLzcvMjAyNggAAAAKMTIvMzEvMjAyNQkAAAABMFaGSyX/gd4IEv9rKP+B3ggyQ0lRLk5ZU0U6SUJNLklRX0lOQ19FUVVJVFkuMTAwMC4wNy8wMy8yMDI2Li4uVVNELkgBAAAA3rYBAAMAAAAAAFaGSyX/gd4IEv9rKP+B3ggxQ0lR</t>
  </si>
  <si>
    <t>Lk5ZU0U6SUJNLklRX0lNUEFJUl9PSUwuOTkyLjA3LzAzLzIwMjYuLi5VU0QuSAEAAADetgEAAwAAAAAAVoZLJf+B3ggS/2so/4HeCDdDSVEuTllTRTpJQk0uSVFfTkVUX0lOVEVSRVNUX0VYUC45OTguMDcvMDMvMjAyNi4uLlVTRC5IAQAAAN62AQACAAAABC05MzcBCAAAAAUAAAABMQEAAAALLTE5MDQ4NjA3NDQDAAAAAzE2MAIAAAADMzY4BAAAAAEwBwAAAAgzLzcvMjAyNggAAAAKMTIvMzEvMjAyMwkAAAABMFaGSyX/gd4IEv9rKP+B3ggpQ0lRLk5ZU0U6SUJNLklRX0dQLjk5NC4wNy8wMy8yMDI2Li4uVVNELkgBAAAA3rYBAAIAAAAFMzE1MzQBCAAAAAUAAAABMQEAAAALLTIxMTA3NjkzNTUDAAAAAzE2MAIAAAACMTAEAAAAATAHAAAACDMvNy8yMDI2CAAAAAoxMi8zMS8yMDE5CQAAAAEwVoZLJf+B3ggS/2so/4HeCDRDSVEuTllTRTpJQk0uSVFfRVhQTE9SRV9EUklMTC45OTkuMDcvMDMvMjAyNi4uLlVTRC5IAQAAAN62AQADAAAAAABWhksl/4HeCE/Eayj/gd4IMENJUS5OWVNFOklCTS5JUV9PUEVSX0lOQy4xMDAwLjA3LzAzLzIwMjYuLi5VU0QuSAEAAADetgEAAgAAAAUxMjU2OAEIAAAABQAAAAExAQAAAAstMTkwNDg2MDc0MAMAAAADMTYwAgAAAAIyMQQAAAABMAcAAAAIMy83LzIwMjYIAAAACjEyLzMxLzIwMjUJAAAAATBWhksl/4HeCE/Eayj/gd4IMkNJUS5OWVNFOklCTS5JUV9JTlNfRElWX0VY</t>
  </si>
  <si>
    <t>UC45OTQuMDcvMDMvMjAyNi4uLlVTRC5IAQAAAN62AQADAAAAAABWhksl/4HeCE/Eayj/gd4IMkNJUS5OWVNFOklCTS5JUV9JTlRfSU5WX0lOQy45OTQuMDcvMDMvMjAyNi4uLlVTRC5IAQAAAN62AQADAAAAAABWhksl/4HeCBL/ayj/gd4IN0NJUS5OWVNFOklCTS5JUV9HQUlOX0FTU0VUU19SRVYuMTAwMC4wNy8wMy8yMDI2Li4uVVNELkgBAAAA3rYBAAMAAAAAAFaGSyX/gd4IEv9rKP+B3ggyQ0lRLk5ZU0U6SUJNLklRX0ZJTl9ESVZfUkVWLjk5Ni4wNy8wMy8yMDI2Li4uVVNELkgBAAAA3rYBAAIAAAADNzgwAQgAAAAFAAAAATEBAAAACy0yMDA4NjQ3MTk4AwAAAAMxNjACAAAAAjUyBAAAAAEwBwAAAAgzLzcvMjAyNggAAAAKMTIvMzEvMjAyMQkAAAABMFaGSyX/gd4IT8RrKP+B3ggyQ0lRLk5ZU0U6SUJNLklRX0ZJTl9ESVZfRVhQLjk5My4wNy8wMy8yMDI2Li4uVVNELkgBAAAA3rYBAAIAAAAEMTEzMgEIAAAABQAAAAExAQAAAAoyMDgxNTA1NDAxAwAAAAMxNjACAAAAAjUxBAAAAAEwBwAAAAgzLzcvMjAyNggAAAAKMTIvMzEvMjAxOAkAAAABMFaGSyX/gd4IT8RrKP+B3ggrQ0lRLk5ZU0U6SUJNLklRX0lQUkQuOTk0LjA3LzAzLzIwMjYuLi5VU0QuSAEAAADetgEAAwAAAAAAVoZLJf+B3ghPxGso/4HeCDNDSVEuTllTRTpJQk0uSVFfU1RPQ0tfQkFTRUQuMTAwMC4wNy8wMy8yMDI2Li4uVVNELkgBAAAA</t>
  </si>
  <si>
    <t>3rYBAAMAAAAAAFaGSyX/gd4IT8RrKP+B3gg0Q0lRLk5ZU0U6SUJNLklRX0VYUExPUkVfRFJJTEwuOTk2LjA3LzAzLzIwMjYuLi5VU0QuSAEAAADetgEAAwAAAAAAVoZLJf+B3ghPxGso/4HeCDJDSVEuTllTRTpJQk0uSVFfSU5TX0RJVl9FWFAuOTk4LjA3LzAzLzIwMjYuLi5VU0QuSAEAAADetgEAAwAAAAAAVoZLJf+B3ghAnWso/4HeCDJDSVEuTllTRTpJQk0uSVFfRklOX0RJVl9FWFAuOTkyLjA3LzAzLzIwMjYuLi5VU0QuSAEAAADetgEAAgAAAAQxMjEwAQgAAAAFAAAAATEBAAAACjIwMTcxNjQyNDQDAAAAAzE2MAIAAAACNTEEAAAAATAHAAAACDMvNy8yMDI2CAAAAAoxMi8zMS8yMDE3CQAAAAEwVoZLJf+B3ghPxGso/4HeCDBDSVEuTllTRTpJQk0uSVFfVE9UQUxfUkVWLjk5OC4wNy8wMy8yMDI2Li4uVVNELkgBAAAA3rYBAAIAAAAFNjE4NjABCAAAAAUAAAABMQEAAAALLTE5MDQ4NjA3NDQDAAAAAzE2MAIAAAACMjgEAAAAATAHAAAACDMvNy8yMDI2CAAAAAoxMi8zMS8yMDIzCQAAAAEwVoZLJf+B3ghPxGso/4HeCDdDSVEuTllTRTpJQk0uSVFfTkVUX0lOVEVSRVNUX0VYUC45OTYuMDcvMDMvMjAyNi4uLlVTRC5IAQAAAN62AQACAAAABS0xMTAzAQgAAAAFAAAAATEBAAAACy0yMDA4NjQ3MTk4AwAAAAMxNjACAAAAAzM2OAQAAAABMAcAAAAIMy83LzIwMjYIAAAACjEyLzMxLzIwMjEJAAAAATBWhksl</t>
  </si>
  <si>
    <t>/4HeCE/Eayj/gd4IN0NJUS5OWVNFOklCTS5JUV9UT1RBTF9PVEhFUl9PUEVSLjk5OC4wNy8wMy8yMDI2Li4uVVNELkgBAAAA3rYBAAIAAAAFMjQ4NzkBCAAAAAUAAAABMQEAAAALLTE5MDQ4NjA3NDQDAAAAAzE2MAIAAAADMzgwBAAAAAEwBwAAAAgzLzcvMjAyNggAAAAKMTIvMzEvMjAyMwkAAAABMFaGSyX/gd4IT8RrKP+B3ggxQ0lRLk5ZU0U6SUJNLklRX09USEVSX09QRVIuOTkyLjA3LzAzLzIwMjYuLi5VU0QuSAEAAADetgEAAgAAAAUtMTQ2NgEIAAAABQAAAAExAQAAAAoyMDE3MTY0MjQ0AwAAAAMxNjACAAAAAzI2MAQAAAABMAcAAAAIMy83LzIwMjYIAAAACjEyLzMxLzIwMTcJAAAAATBWhksl/4HeCECdayj/gd4IMENJUS5OWVNFOklCTS5JUV9EQV9TVVBQTC4xMDAwLjA3LzAzLzIwMjYuLi5VU0QuSAEAAADetgEAAwAAAAAAVoZLJf+B3ghAnWso/4HeCC1DSVEuTllTRTpJQk0uSVFfUkRfRVhQLjk5NC4wNy8wMy8yMDI2Li4uVVNELkgBAAAA3rYBAAIAAAAENTkxMAEIAAAABQAAAAExAQAAAAstMjExMDc2OTM1NQMAAAADMTYwAgAAAAMxMDAEAAAAATAHAAAACDMvNy8yMDI2CAAAAAoxMi8zMS8yMDE5CQAAAAEwVoZLJf+B3ghAnWso/4HeCCtDSVEuTllTRTpJQk0uSVFfSVBSRC45OTIuMDcvMDMvMjAyNi4uLlVTRC5IAQAAAN62AQADAAAAAABWhksl/4HeCECdayj/gd4IMkNJUS5OWVNFOklCTS5J</t>
  </si>
  <si>
    <t>UV9HQUlOX0FTU0VUUy45OTguMDcvMDMvMjAyNi4uLlVTRC5IAQAAAN62AQADAAAAAABWhksl/4HeCECdayj/gd4IMkNJUS5OWVNFOklCTS5JUV9HQUlOX0lOVkVTVC45OTIuMDcvMDMvMjAyNi4uLlVTRC5IAQAAAN62AQADAAAAAABWhksl/4HeCCF2ayj/gd4IM0NJUS5OWVNFOklCTS5JUV9SRVNUUlVDVFVSRS4xMDAwLjA3LzAzLzIwMjYuLi5VU0QuSAEAAADetgEAAgAAAAQtNjcwAQgAAAAFAAAAATEBAAAACy0xOTA0ODYwNzQwAwAAAAMxNjACAAAAAjk4BAAAAAEwBwAAAAgzLzcvMjAyNggAAAAKMTIvMzEvMjAyNQkAAAABMFaGSyX/gd4IIXZrKP+B3ggvQ0lRLk5ZU0U6SUJNLklRX0VCVF9FWENMLjk5NC4wNy8wMy8yMDI2Li4uVVNELkgBAAAA3rYBAAIAAAAENjQ0NAEIAAAABQAAAAExAQAAAAstMjExMDc2OTM1NQMAAAADMTYwAgAAAAE0BAAAAAEwBwAAAAgzLzcvMjAyNggAAAAKMTIvMzEvMjAxOQkAAAABMFaGSyX/gd4IIXZrKP+B3gg0Q0lRLk5ZU0U6SUJNLklRX05JX0FWQUlMX0VYQ0wuOTkzLjA3LzAzLzIwMjYuLi5VU0QuSAEAAADetgEAAgAAAAQ4NzIzAQgAAAAFAAAAATEBAAAACjIwODE1MDU0MDEDAAAAAzE2MAIAAAADMzc5BAAAAAEwBwAAAAgzLzcvMjAyNggAAAAKMTIvMzEvMjAxOAkAAAABMFaGSyX/gd4IQJ1rKP+B3ggxQ0lRLk5ZU0U6SUJNLklRX05JX0NPTVBBTlkuOTk5LjA3LzAz</t>
  </si>
  <si>
    <t>LzIwMjYuLi5VU0QuSAEAAADetgEAAgAAAAQ2MDIzAQgAAAAFAAAAATEBAAAACy0xOTA0ODYwNzQzAwAAAAMxNjACAAAABTQxNTcxBAAAAAEwBwAAAAgzLzcvMjAyNggAAAAKMTIvMzEvMjAyNAkAAAABMFaGSyX/gd4IQJ1rKP+B3gg2Q0lRLk5ZU0U6SUJNLklRX0VYVFJBX0FDQ19JVEVNUy45OTQuMDcvMDMvMjAyNi4uLlVTRC5IAQAAAN62AQADAAAAAABWhksl/4HeCCF2ayj/gd4IKkNJUS5OWVNFOklCTS5JUV9FQlQuOTk4LjA3LzAzLzIwMjYuLi5VU0QuSAEAAADetgEAAgAAAAQ4NjkwAQgAAAAFAAAAATEBAAAACy0xOTA0ODYwNzQ0AwAAAAMxNjACAAAAAzEzOQQAAAABMAcAAAAIMy83LzIwMjYIAAAACjEyLzMxLzIwMjMJAAAAATBWhksl/4HeCCF2ayj/gd4IM0NJUS5OWVNFOklCTS5JUV9MRUdBTF9TRVRUTEUuOTk1LjA3LzAzLzIwMjYuLi5VU0QuSAEAAADetgEAAwAAAAAAVoZLJf+B3gghdmso/4HeCD1DSVEuTllTRTpJQk0uSVFfRUJJVERBX0VRX0lOQ19FWENMX1NCQy45OTIuMDcvMDMvMjAyNi4uLlVTRC5IAQAAAN62AQACAAAABTE2NzU3AQgAAAAFAAAAATEBAAAACjIwMTcxNjQyNDQDAAAAAzE2MAIAAAAFMjQxMzEEAAAAATAHAAAACDMvNy8yMDI2CAAAAAoxMi8zMS8yMDE3CQAAAAEwVoZLJf+B3gghdmso/4HeCD9DSVEuTllTRTpJQk0uSVFfRElTVFJJQlVUQUJMRV9DQVNIX1NIQVJFLjk5</t>
  </si>
  <si>
    <t>OC4wNy8wMy8yMDI2Li4uVVNELkgBAAAA3rYBAAMAAAAAAFaGSyX/gd4IIXZrKP+B3ghLQ0lRLk5ZU0U6SUJNLklRX0RJU1RSSUJVVEFCTEVfQ0FTSF9QRVJfU0hBUkVfRElMVVRFRC45OTkuMDcvMDMvMjAyNi4uLlVTRC5IAQAAAN62AQADAAAAAABWhksl/4HeCFhiayj/gd4IL0NJUS5OWVNFOklCTS5JUV9FUFNfTk9STS45OTYuMDcvMDMvMjAyNi4uLlVTRC5IAQAAAN62AQACAAAACDMuMjgxMjgzAQgAAAAFAAAAATEBAAAACy0yMDA4NjQ3MTk4AwAAAAMxNjACAAAABDQzNzkEAAAAATAHAAAACDMvNy8yMDI2CAAAAAoxMi8zMS8yMDIxCQAAAAEwVoZLJf+B3ghYYmso/4HeCDVDSVEuTllTRTpJQk0uSVFfQkFTSUNfRVBTX0lOQ0wuOTk4LjA3LzAzLzIwMjYuLi5VU0QuSAEAAADetgEAAgAAAAg4LjIzMzAwNQEIAAAABQAAAAExAQAAAAstMTkwNDg2MDc0NAMAAAADMTYwAgAAAAE5BAAAAAEwBwAAAAgzLzcvMjAyNggAAAAKMTIvMzEvMjAyMwkAAAABMFaGSyX/gd4IWGJrKP+B3gg8Q0lRLk5ZU0U6SUJNLklRX0VCSVRBX0VRX0lOQ19FWENMX1NCQy45OTMuMDcvMDMvMjAyNi4uLlVTRC5IAQAAAN62AQACAAAABTE1MDgxAQgAAAAFAAAAATEBAAAACjIwODE1MDU0MDEDAAAAAzE2MAIAAAAFMjQxMzIEAAAAATAHAAAACDMvNy8yMDI2CAAAAAoxMi8zMS8yMDE4CQAAAAEwVoZLJf+B3ghYYmso/4HeCCxDSVEu</t>
  </si>
  <si>
    <t>TllTRTpJQk0uSVFfRUJJVEEuOTkyLjA3LzAzLzIwMjYuLi5VU0QuSAEAAADetgEAAgAAAAUxMzIwMgEIAAAABQAAAAExAQAAAAoyMDE3MTY0MjQ0AwAAAAMxNjACAAAABjEwMDY4OQQAAAABMAcAAAAIMy83LzIwMjYIAAAACjEyLzMxLzIwMTcJAAAAATBWhksl/4HeCCF2ayj/gd4IO0NJUS5OWVNFOklCTS5JUV9FQklUX0VRX0lOQ19FWENMX1NCQy45OTIuMDcvMDMvMjAyNi4uLlVTRC5IAQAAAN62AQACAAAABTEyMjE2AQgAAAAFAAAAATEBAAAACjIwMTcxNjQyNDQDAAAAAzE2MAIAAAAFMjQxMzAEAAAAATAHAAAACDMvNy8yMDI2CAAAAAoxMi8zMS8yMDE3CQAAAAEwVoZLJf+B3ghFO2so/4HeCEhDSVEuTllTRTpJQk0uSVFfRUJJVERBX0VRX0lOQ19FWENMX09QRVJfTEVBU0VfQURKLjk5NC4wNy8wMy8yMDI2Li4uVVNELkgBAAAA3rYBAAIAAAAFMTM1OTgBCAAAAAUAAAABMQEAAAALLTIxMTA3NjkzNTUDAAAAAzE2MAIAAAAFNDg5ODcEAAAAATAHAAAACDMvNy8yMDI2CAAAAAoxMi8zMS8yMDE5CQAAAAEwVoZLJf+B3ghFO2so/4HeCDxDSVEuTllTRTpJQk0uSVFfRUJJVERBX0xFQVNFX0FESlVTVEVELjk5My4wNy8wMy8yMDI2Li4uVVNELkgBAAAA3rYBAAIAAAAFMTc2OTgBCAAAAAUAAAABMQEAAAAKMjA4MTUwNTQwMQMAAAADMTYwAgAAAAU0ODk5MwQAAAABMAcAAAAIMy83LzIwMjYIAAAACjEyLzMx</t>
  </si>
  <si>
    <t>LzIwMTgJAAAAATBWhksl/4HeCEU7ayj/gd4IPkNJUS5OWVNFOklCTS5JUV9FWENJU0VfVEFYRVNfSU5DTF9TQUxFUy45OTkuMDcvMDMvMjAyNi4uLlVTRC5IAQAAAN62AQADAAAAAABWhksl/4HeCEU7ayj/gd4IOENJUS5OWVNFOklCTS5JUV9JTlZFU1RNRU5UX0lOQ09NRS45OTkuMDcvMDMvMjAyNi4uLlVTRC5IAQAAAN62AQADAAAAAABWhksl/4HeCEU7ayj/gd4IM0NJUS5OWVNFOklCTS5JUV9FQklUREFfQ0FQRVguOTk1LjA3LzAzLzIwMjYuLi5VU0QuSAEAAADetgEAAgAAAAQ4NzM5AQgAAAAFAAAAATEBAAAACy0yMDU5MDczMjAyAwAAAAMxNjACAAAABTM1Mzc5BAAAAAEwBwAAAAgzLzcvMjAyNggAAAAKMTIvMzEvMjAyMAkAAAABMFaGSyX/gd4INRRrKP+B3gg+Q0lRLk5ZU0U6SUJNLklRX0VCSVREQVJfRVFfSU5DX0VYQ0xfU0JDLjk5NC4wNy8wMy8yMDI2Li4uVVNELkgBAAAA3rYBAAIAAAAFMTU5MDABCAAAAAUAAAABMQEAAAALLTIxMTA3NjkzNTUDAAAAAzE2MAIAAAAFMjQxMzMEAAAAATAHAAAACDMvNy8yMDI2CAAAAAoxMi8zMS8yMDE5CQAAAAEwVoZLJf+B3gg1FGso/4HeCC5DSVEuTllTRTpJQk0uSVFfRUJJVERBUi45OTMuMDcvMDMvMjAyNi4uLlVTRC5IAQAAAN62AQADAAAAAABWhksl/4HeCEU7ayj/gd4IOENJUS5OWVNFOklCTS5JUV9JTlRfRVhQX0lOQ0xfQ0FQLjEwMDAuMDcvMDMv</t>
  </si>
  <si>
    <t>MjAyNi4uLlVTRC5IAQAAAN62AQACAAAABDE5MzkBCAAAAAUAAAABMQEAAAALLTE5MDQ4NjA3NDADAAAAAzE2MAIAAAAFMjE4NjEEAAAAATAHAAAACDMvNy8yMDI2CAAAAAoxMi8zMS8yMDI1CQAAAAEwVoZLJf+B3ghFO2so/4HeCC9DSVEuTllTRTpJQk0uSVFfRElMVVRfTkkuOTkzLjA3LzAzLzIwMjYuLi5VU0QuSAEAAADetgEAAgAAAAQ4NzE4AQgAAAAFAAAAATEBAAAACjIwODE1MDU0MDEDAAAAAzE2MAIAAAAEMzUyMgQAAAABMAcAAAAIMy83LzIwMjYIAAAACjEyLzMxLzIwMTgJAAAAATBWhksl/4HeCEU7ayj/gd4IQENJUS5OWVNFOklCTS5JUV9OT05SRUNVUlJJTkdfSU5DT01FX1RBWEVTLjk5My4wNy8wMy8yMDI2Li4uVVNELkgBAAAA3rYBAAMAAAAAAFaGSyX/gd4INRRrKP+B3gg9Q0lRLk5ZU0U6SUJNLklRX0RFRkVSUkVEX0ZPUkVJR05fVEFYRVMuOTkzLjA3LzAzLzIwMjYuLi5VU0QuSAEAAADetgEAAgAAAAQtMzg2AQgAAAAFAAAAATEBAAAACjIwODE1MDU0MDEDAAAAAzE2MAIAAAAEMzA1NQQAAAABMAcAAAAIMy83LzIwMjYIAAAACjEyLzMxLzIwMTgJAAAAATBWhksl/4HeCDUUayj/gd4IMUNJUS5OWVNFOklCTS5JUV9DVVJSX1RBWEVTLjk5NC4wNy8wMy8yMDI2Li4uVVNELkgBAAAA3rYBAAIAAAAEMTY0OAEIAAAABQAAAAExAQAAAAstMjExMDc2OTM1NQMAAAADMTYwAgAAAAUzNTM4MwQA</t>
  </si>
  <si>
    <t>AAABMAcAAAAIMy83LzIwMjYIAAAACjEyLzMxLzIwMTkJAAAAATBWhksl/4HeCDUUayj/gd4IPENJUS5OWVNFOklCTS5JUV9JTVBVVF9PUEVSX0xFQVNFX0RFUFIuOTk5LjA3LzAzLzIwMjYuLi5VU0QuSAEAAADetgEAAgAAAAsxMDAzLjg2Njg2NAEIAAAABQAAAAExAQAAAAstMTkwNDg2MDc0MwMAAAADMTYwAgAAAAUyMTY3MwQAAAABMAcAAAAIMy83LzIwMjYIAAAACjEyLzMxLzIwMjQJAAAAATBWhksl/4HeCDUUayj/gd4INUNJUS5OWVNFOklCTS5JUV9NSU5JTVVNX1JFTlRBTC45OTQuMDcvMDMvMjAyNi4uLlVTRC5IAQAAAN62AQADAAAAAABWhksl/4HeCDUUayj/gd4IOENJUS5OWVNFOklCTS5JUV9ORVRfUkVOVEFMX0VYUF9GTi45OTYuMDcvMDMvMjAyNi4uLlVTRC5IAQAAAN62AQACAAAABDE0MzcBCAAAAAUAAAABMQEAAAALLTIwMDg2NDcxOTgDAAAAAzE2MAIAAAAEMzE3MAQAAAABMAcAAAAIMy83LzIwMjYIAAAACjEyLzMxLzIwMjEJAAAAATBWhksl/4HeCCTtaij/gd4INkNJUS5OWVNFOklCTS5JUV9TQUxFU19NQVJLRVRJTkcuOTk3LjA3LzAzLzIwMjYuLi5VU0QuSAEAAADetgEAAgAAAAQxMzMwAQgAAAAFAAAAATEBAAAACy0xOTU4MjgxMDk2AwAAAAMxNjACAAAABTIxNTYxBAAAAAEwBwAAAAgzLzcvMjAyNggAAAAKMTIvMzEvMjAyMgkAAAABMFaGSyX/gd4IJO1qKP+B3gg5Q0lRLk5ZU0U6</t>
  </si>
  <si>
    <t>SUJNLklRX0RJU1RSSUJVVEFCTEVfQ0FTSC45OTcuMDcvMDMvMjAyNi4uLlVTRC5IAQAAAN62AQADAAAAAABWhksl/4HeCCTtaij/gd4INkNJUS5OWVNFOklCTS5JUV9DUkVESVRfTE9TU19DRi4xMDAwLjA3LzAzLzIwMjYuLi5VU0QuSAEAAADetgEAAwAAAAAAVoZLJf+B3ggk7Woo/4HeCDlDSVEuTllTRTpJQk0uSVFfU1RPQ0tfT1BUSU9OU19DT01QLjk5Mi4wNy8wMy8yMDI2Li4uVVNELkgBAAAA3rYBAAMAAAAAAFaGSyX/gd4INRRrKP+B3gg5Q0lRLk5ZU0U6SUJNLklRX1NUT0NLX0JBU0VEX09USEVSLjEwMDAuMDcvMDMvMjAyNi4uLlVTRC5IAQAAAN62AQADAAAAAABWhksl/4HeCAbGaij/gd4IOENJUS5OWVNFOklCTS5JUV9ORUdBVElWRV9HV19BTU9SVC45OTIuMDcvMDMvMjAyNi4uLlVTRC5IAQAAAN62AQADAAAAAABWhksl/4HeCCTtaij/gd4IPUNJUS5OWVNFOklCTS5JUV9BU1NFVF9XUklURURPV05fU1VQUExFLjk5My4wNy8wMy8yMDI2Li4uVVNELkgBAAAA3rYBAAMAAAAAAFaGSyX/gd4IJO1qKP+B3gg0Q0lRLk5ZU0U6SUJNLklRX1BSRV9PUEVOX0NPU1QuOTk1LjA3LzAzLzIwMjYuLi5VU0QuSAEAAADetgEAAwAAAAAAVoZLJf+B3ggk7Woo/4HeCDJDSVEuTllTRTpJQk0uSVFfRklOX0RJVl9SRVYuOTk1LjA3LzAzLzIwMjYuLi5VU0QuSAEAAADetgEAAgAAAAM5ODQBCAAAAAUAAAABMQEA</t>
  </si>
  <si>
    <t>AAALLTIwNTkwNzMyMDIDAAAAAzE2MAIAAAACNTIEAAAAATAHAAAACDMvNy8yMDI2CAAAAAoxMi8zMS8yMDIwCQAAAAEwVoZLJf+B3ggk7Woo/4HeCDhDSVEuTllTRTpJQk0uSVFfU1BFQ0lBTF9ESVZfU0hBUkUuOTkzLjA3LzAzLzIwMjYuLi5VU0QuSAEAAADetgEAAwAAAAAAVoZLJf+B3ggGxmoo/4HeCClDSVEuTllTRTpJQk0uSVFfTkkuOTkyLjA3LzAzLzIwMjYuLi5VU0QuSAEAAADetgEAAgAAAAQ1NzUzAQgAAAAFAAAAATEBAAAACjIwMTcxNjQyNDQDAAAAAzE2MAIAAAACMTUEAAAAATAHAAAACDMvNy8yMDI2CAAAAAoxMi8zMS8yMDE3CQAAAAEwVoZLJf+B3ggGxmoo/4HeCC5DSVEuTllTRTpJQk0uSVFfSU5DX1RBWC45OTMuMDcvMDMvMjAyNi4uLlVTRC5IAQAAAN62AQACAAAABDI2MTkBCAAAAAUAAAABMQEAAAAKMjA4MTUwNTQwMQMAAAADMTYwAgAAAAI3NQQAAAABMAcAAAAIMy83LzIwMjYIAAAACjEyLzMxLzIwMTgJAAAAATBWhksl/4HeCAbGaij/gd4IMUNJUS5OWVNFOklCTS5JUV9JTVBBSVJfT0lMLjk5OC4wNy8wMy8yMDI2Li4uVVNELkgBAAAA3rYBAAMAAAAAAFaGSyX/gd4IBsZqKP+B3gguQ0lRLk5ZU0U6SUJNLklRX0lOQ19UQVguOTk5LjA3LzAzLzIwMjYuLi5VU0QuSAEAAADetgEAAgAAAAQtMjE4AQgAAAAFAAAAATEBAAAACy0xOTA0ODYwNzQzAwAAAAMxNjACAAAAAjc1BAAAAAEw</t>
  </si>
  <si>
    <t>BwAAAAgzLzcvMjAyNggAAAAKMTIvMzEvMjAyNAkAAAABMFaGSyX/gd4IBsZqKP+B3gg0Q0lRLk5ZU0U6SUJNLklRX0VYUExPUkVfRFJJTEwuOTkyLjA3LzAzLzIwMjYuLi5VU0QuSAEAAADetgEAAwAAAAAAVoZLJf+B3ggti2oo/4HeCDZDSVEuTllTRTpJQk0uSVFfT1RIRVJfUkVWX1NVUFBMLjk5Ni4wNy8wMy8yMDI2Li4uVVNELkgBAAAA3rYBAAMAAAAAAFaGSyX/gd4ILYtqKP+B3gg2Q0lRLk5ZU0U6SUJNLklRX09USEVSX1JFVl9TVVBQTC45OTguMDcvMDMvMjAyNi4uLlVTRC5IAQAAAN62AQADAAAAAABWhksl/4HeCC2Laij/gd4IM0NJUS5OWVNFOklCTS5JUV9JTlNfRElWX0VYUC4xMDAwLjA3LzAzLzIwMjYuLi5VU0QuSAEAAADetgEAAwAAAAAAVoZLJf+B3gg6smoo/4HeCC5DSVEuTllTRTpJQk0uSVFfTklfU0ZBUy45OTMuMDcvMDMvMjAyNi4uLlVTRC5IAQAAAN62AQADAAAAAABWhksl/4HeCDqyaij/gd4IMkNJUS5OWVNFOklCTS5JUV9TVE9DS19CQVNFRC45OTMuMDcvMDMvMjAyNi4uLlVTRC5IAQAAAN62AQADAAAAAABWhksl/4HeCBlkaij/gd4IK0NJUS5OWVNFOklCTS5JUV9DT0dTLjk5Ny4wNy8wMy8yMDI2Li4uVVNELkgBAAAA3rYBAAIAAAAFMjc0MzYBCAAAAAUAAAABMQEAAAALLTE5NTgyODEwOTYDAAAAAzE2MAIAAAACMzQEAAAAATAHAAAACDMvNy8yMDI2CAAAAAoxMi8zMS8yMDIy</t>
  </si>
  <si>
    <t>CQAAAAEwVoZLJf+B3ggti2oo/4HeCDJDSVEuTllTRTpJQk0uSVFfRklOX0RJVl9SRVYuOTk5LjA3LzAzLzIwMjYuLi5VU0QuSAEAAADetgEAAgAAAAM3MDkBCAAAAAUAAAABMQEAAAALLTE5MDQ4NjA3NDMDAAAAAzE2MAIAAAACNTIEAAAAATAHAAAACDMvNy8yMDI2CAAAAAoxMi8zMS8yMDI0CQAAAAEwVoZLJf+B3ggti2oo/4HeCClDSVEuTllTRTpJQk0uSVFfRE8uOTk4LjA3LzAzLzIwMjYuLi5VU0QuSAEAAADetgEAAgAAAAMtMTIBCAAAAAUAAAABMQEAAAALLTE5MDQ4NjA3NDQDAAAAAzE2MAIAAAACNDAEAAAAATAHAAAACDMvNy8yMDI2CAAAAAoxMi8zMS8yMDIzCQAAAAEwVoZLJf+B3ggti2oo/4HeCDFDSVEuTllTRTpJQk0uSVFfRUFSTklOR19DTy45OTMuMDcvMDMvMjAyNi4uLlVTRC5IAQAAAN62AQACAAAABDg3MjMBCAAAAAUAAAABMQEAAAAKMjA4MTUwNTQwMQMAAAADMTYwAgAAAAE3BAAAAAEwBwAAAAgzLzcvMjAyNggAAAAKMTIvMzEvMjAxOAkAAAABMFaGSyX/gd4ILYtqKP+B3ggzQ0lRLk5ZU0U6SUJNLklRX0xFR0FMX1NFVFRMRS45OTcuMDcvMDMvMjAyNi4uLlVTRC5IAQAAAN62AQADAAAAAABWhksl/4HeCBlkaij/gd4INENJUS5OWVNFOklCTS5JUV9JTVBBSVJNRU5UX0dXLjk5Ni4wNy8wMy8yMDI2Li4uVVNELkgBAAAA3rYBAAMAAAAAAFaGSyX/gd4IGWRqKP+B3ggzQ0lRLk5ZU0U6</t>
  </si>
  <si>
    <t>SUJNLklRX0lOVEVSRVNUX0VYUC45OTQuMDcvMDMvMjAyNi4uLlVTRC5IAQAAAN62AQACAAAABS0xMzQ0AQgAAAAFAAAAATEBAAAACy0yMTEwNzY5MzU1AwAAAAMxNjACAAAAAjgyBAAAAAEwBwAAAAgzLzcvMjAyNggAAAAKMTIvMzEvMjAxOQkAAAABMFaGSyX/gd4IGWRqKP+B3gg2Q0lRLk5ZU0U6SUJNLklRX0VYVFJBX0FDQ19JVEVNUy45OTMuMDcvMDMvMjAyNi4uLlVTRC5IAQAAAN62AQADAAAAAABWhksl/4HeCBlkaij/gd4IKkNJUS5OWVNFOklCTS5JUV9FQlQuOTk3LjA3LzAzLzIwMjYuLi5VU0QuSAEAAADetgEAAgAAAAQxMTU2AQgAAAAFAAAAATEBAAAACy0xOTU4MjgxMDk2AwAAAAMxNjACAAAAAzEzOQQAAAABMAcAAAAIMy83LzIwMjYIAAAACjEyLzMxLzIwMjIJAAAAATBWhksl/4HeCBlkaij/gd4IM0NJUS5OWVNFOklCTS5JUV9MRUdBTF9TRVRUTEUuOTk0LjA3LzAzLzIwMjYuLi5VU0QuSAEAAADetgEAAwAAAAAAVoZLJf+B3gjRPGoo/4HeCDJDSVEuTllTRTpJQk0uSVFfUkVTVFJVQ1RVUkUuOTk5LjA3LzAzLzIwMjYuLi5VU0QuSAEAAADetgEAAgAAAAQtNjk2AQgAAAAFAAAAATEBAAAACy0xOTA0ODYwNzQzAwAAAAMxNjACAAAAAjk4BAAAAAEwBwAAAAgzLzcvMjAyNggAAAAKMTIvMzEvMjAyNAkAAAABMFaGSyX/gd4I0TxqKP+B3gg2Q0lRLk5ZU0U6SUJNLklRX0ZJTl9ESVZfSU5UX0VY</t>
  </si>
  <si>
    <t>UC45OTUuMDcvMDMvMjAyNi4uLlVTRC5IAQAAAN62AQADAAAAAABWhksl/4HeCNE8aij/gd4IS0NJUS5OWVNFOklCTS5JUV9ESVNUUklCVVRBQkxFX0NBU0hfUEVSX1NIQVJFX0RJTFVURUQuOTk4LjA3LzAzLzIwMjYuLi5VU0QuSAEAAADetgEAAwAAAAAAVoZLJf+B3ggZZGoo/4HeCC9DSVEuTllTRTpJQk0uSVFfRVBTX05PUk0uOTk1LjA3LzAzLzIwMjYuLi5VU0QuSAEAAADetgEAAgAAAAgxLjgwNTQ3MgEIAAAABQAAAAExAQAAAAstMjA1OTA3MzIwMgMAAAADMTYwAgAAAAQ0Mzc5BAAAAAEwBwAAAAgzLzcvMjAyNggAAAAKMTIvMzEvMjAyMAkAAAABMFaGSyX/gd4IGWRqKP+B3gg1Q0lRLk5ZU0U6SUJNLklRX0JBU0lDX0VQU19JTkNMLjk5Ny4wNy8wMy8yMDI2Li4uVVNELkgBAAAA3rYBAAIAAAAIMS44MTU3MzYBCAAAAAUAAAABMQEAAAALLTE5NTgyODEwOTYDAAAAAzE2MAIAAAABOQQAAAABMAcAAAAIMy83LzIwMjYIAAAACjEyLzMxLzIwMjIJAAAAATBWhksl/4HeCNE8aij/gd4INENJUS5OWVNFOklCTS5JUV9OSV9BVkFJTF9FWENMLjk5Mi4wNy8wMy8yMDI2Li4uVVNELkgBAAAA3rYBAAIAAAAENTc1OAEIAAAABQAAAAExAQAAAAoyMDE3MTY0MjQ0AwAAAAMxNjACAAAAAzM3OQQAAAABMAcAAAAIMy83LzIwMjYIAAAACjEyLzMxLzIwMTcJAAAAATBWhksl/4HeCNE8aij/gd4IO0NJUS5OWVNFOklC</t>
  </si>
  <si>
    <t>TS5JUV9NSU5PUklUWV9JTlRFUkVTVF9JUy45OTYuMDcvMDMvMjAyNi4uLlVTRC5IAQAAAN62AQADAAAAAABWhksl/4HeCNE8aij/gd4IM0NJUS5OWVNFOklCTS5JUV9FQklUREFfQ0FQRVguOTk0LjA3LzAzLzIwMjYuLi5VU0QuSAEAAADetgEAAgAAAAUxMTMxMgEIAAAABQAAAAExAQAAAAstMjExMDc2OTM1NQMAAAADMTYwAgAAAAUzNTM3OQQAAAABMAcAAAAIMy83LzIwMjYIAAAACjEyLzMxLzIwMTkJAAAAATBWhksl/4HeCNE8aij/gd4IPkNJUS5OWVNFOklCTS5JUV9FQklUREFSX0VRX0lOQ19FWENMX1NCQy45OTMuMDcvMDMvMjAyNi4uLlVTRC5IAQAAAN62AQADAAAAAABWhksl/4HeCNE8aij/gd4ILkNJUS5OWVNFOklCTS5JUV9FQklUREFSLjk5Mi4wNy8wMy8yMDI2Li4uVVNELkgBAAAA3rYBAAMAAAAAAFaGSyX/gd4IpxNqKP+B3gguQ0lRLk5ZU0U6SUJNLklRX0VCSVREQS4xMDAwLjA3LzAzLzIwMjYuLi5VU0QuSAEAAADetgEAAgAAAAUxNjExOAEIAAAABQAAAAExAQAAAAstMTkwNDg2MDc0MAMAAAADMTYwAgAAAAQ0MDUxBAAAAAEwBwAAAAgzLzcvMjAyNggAAAAKMTIvMzEvMjAyNQkAAAABMFaGSyX/gd4IcSdqKP+B3gg/Q0lRLk5ZU0U6SUJNLklRX0RJU1RSSUJVVEFCTEVfQ0FTSF9TSEFSRS45OTcuMDcvMDMvMjAyNi4uLlVTRC5IAQAAAN62AQADAAAAAABWhksl/4HeCHEnaij/gd4IPUNJ</t>
  </si>
  <si>
    <t>US5OWVNFOklCTS5JUV9ERUZFUlJFRF9GT1JFSUdOX1RBWEVTLjk5Mi4wNy8wMy8yMDI2Li4uVVNELkgBAAAA3rYBAAIAAAAELTc5NwEIAAAABQAAAAExAQAAAAoyMDE3MTY0MjQ0AwAAAAMxNjACAAAABDMwNTUEAAAAATAHAAAACDMvNy8yMDI2CAAAAAoxMi8zMS8yMDE3CQAAAAEwVoZLJf+B3ghxJ2oo/4HeCDFDSVEuTllTRTpJQk0uSVFfQ1VSUl9UQVhFUy45OTMuMDcvMDMvMjAyNi4uLlVTRC5IAQAAAN62AQACAAAABDE5MjABCAAAAAUAAAABMQEAAAAKMjA4MTUwNTQwMQMAAAADMTYwAgAAAAUzNTM4MwQAAAABMAcAAAAIMy83LzIwMjYIAAAACjEyLzMxLzIwMTgJAAAAATBWhksl/4HeCHEnaij/gd4IPkNJUS5OWVNFOklCTS5JUV9FWENJU0VfVEFYRVNfSU5DTF9TQUxFUy45OTcuMDcvMDMvMjAyNi4uLlVTRC5IAQAAAN62AQADAAAAAABWhksl/4HeCJfsaSj/gd4IOENJUS5OWVNFOklCTS5JUV9JTlZFU1RNRU5UX0lOQ09NRS45OTguMDcvMDMvMjAyNi4uLlVTRC5IAQAAAN62AQADAAAAAABWhksl/4HeCJfsaSj/gd4ILkNJUS5OWVNFOklCTS5JUV9OSV9TRkFTLjk5OC4wNy8wMy8yMDI2Li4uVVNELkgBAAAA3rYBAAMAAAAAAFaGSyX/gd4Il+xpKP+B3ggtQ0lRLk5ZU0U6SUJNLklRX0dBX0VYUC45OTQuMDcvMDMvMjAyNi4uLlVTRC5IAQAAAN62AQADAAAAAABWhksl/4HeCKcTaij/gd4IOUNJUS5O</t>
  </si>
  <si>
    <t>WVNFOklCTS5JUV9ESVNUUklCVVRBQkxFX0NBU0guOTk2LjA3LzAzLzIwMjYuLi5VU0QuSAEAAADetgEAAwAAAAAAVoZLJf+B3ginE2oo/4HeCDpDSVEuTllTRTpJQk0uSVFfTk9OQ0FTSF9QRU5TSU9OX0VYUC45OTcuMDcvMDMvMjAyNi4uLlVTRC5IAQAAAN62AQACAAAABDY0NTYBCAAAAAUAAAABMQEAAAALLTE5NTgyODEwOTYDAAAAAzE2MAIAAAAFMjE2NzgEAAAAATAHAAAACDMvNy8yMDI2CAAAAAoxMi8zMS8yMDIyCQAAAAEwVoZLJf+B3giHxWko/4HeCDNDSVEuTllTRTpJQk0uSVFfSU5UX0VYUF9MVEQuMTAwMC4wNy8wMy8yMDI2Li4uVVNELkgBAAAA3rYBAAMAAAAAAFaGSyX/gd4Ih8VpKP+B3ghAQ0lRLk5ZU0U6SUJNLklRX05PTlJFQ1VSUklOR19JTkNPTUVfVEFYRVMuOTkyLjA3LzAzLzIwMjYuLi5VU0QuSAEAAADetgEAAgAAAAQ1NDc1AQgAAAAFAAAAATEBAAAACjIwMTcxNjQyNDQDAAAAAzE2MAIAAAAFNDg4MzkEAAAAATAHAAAACDMvNy8yMDI2CAAAAAoxMi8zMS8yMDE3CQAAAAEwVoZLJf+B3giHxWko/4HeCDVDSVEuTllTRTpJQk0uSVFfU1RPQ0tfQkFTRURfU00uOTk5LjA3LzAzLzIwMjYuLi5VU0QuSAEAAADetgEAAwAAAAAAVoZLJf+B3giHxWko/4HeCDhDSVEuTllTRTpJQk0uSVFfTkVHQVRJVkVfR1dfQU1PUlQuOTk1LjA3LzAzLzIwMjYuLi5VU0QuSAEAAADetgEAAwAAAAAAVoZL</t>
  </si>
  <si>
    <t>Jf+B3giX7Gko/4HeCD5DSVEuTllTRTpJQk0uSVFfR0FJTl9CQVJHQUlOX0FDUV9TVVBQTEUuOTk4LjA3LzAzLzIwMjYuLi5VU0QuSAEAAADetgEAAwAAAAAAVoZLJf+B3ghnd2ko/4HeCD5DSVEuTllTRTpJQk0uSVFfU0FMQVJJRVNfT1RIRVJfQkVORUZJVFMuOTk0LjA3LzAzLzIwMjYuLi5VU0QuSAEAAADetgEAAwAAAAAAVoZLJf+B3gh2nmko/4HeCD5DSVEuTllTRTpJQk0uSVFfRVhQTE9SRV9EUklMTF9FWFBfVE9UQUwuOTk4LjA3LzAzLzIwMjYuLi5VU0QuSAEAAADetgEAAwAAAAAAVoZLJf+B3gh2nmko/4HeCDZDSVEuTllTRTpJQk0uSVFfR0FJTl9BU1NFVFNfUkVWLjk5Ni4wNy8wMy8yMDI2Li4uVVNELkgBAAAA3rYBAAMAAAAAAFaGSyX/gd4Idp5pKP+B3ggpQ0lRLk5ZU0U6SUJNLklRX0RPLjk5NC4wNy8wMy8yMDI2Li4uVVNELkgBAAAA3rYBAAIAAAAEMjI4NQEIAAAABQAAAAExAQAAAAstMjExMDc2OTM1NQMAAAADMTYwAgAAAAI0MAQAAAABMAcAAAAIMy83LzIwMjYIAAAACjEyLzMxLzIwMTkJAAAAATBWhksl/4HeCHaeaSj/gd4IMkNJUS5OWVNFOklCTS5JUV9JTlNfRElWX0VYUC45OTcuMDcvMDMvMjAyNi4uLlVTRC5IAQAAAN62AQADAAAAAABWhksl/4HeCFdQaSj/gd4INUNJUS5OWVNFOklCTS5JUV9DUkVESVRfTE9TU19DRi45OTcuMDcvMDMvMjAyNi4uLlVTRC5IAQAAAN62AQADAAAA</t>
  </si>
  <si>
    <t>AABWhksl/4HeCFdQaSj/gd4INUNJUS5OWVNFOklCTS5JUV9TVE9DS19CQVNFRF9BVC45OTMuMDcvMDMvMjAyNi4uLlVTRC5IAQAAAN62AQADAAAAAABWhksl/4HeCGd3aSj/gd4INENJUS5OWVNFOklCTS5JUV9FQklUX0VYQ0xfU0JDLjk5OC4wNy8wMy8yMDI2Li4uVVNELkgBAAAA3rYBAAIAAAAFMTA1NTUBCAAAAAUAAAABMQEAAAALLTE5MDQ4NjA3NDQDAAAAAzE2MAIAAAAFMjQxMzQEAAAAATAHAAAACDMvNy8yMDI2CAAAAAoxMi8zMS8yMDIzCQAAAAEwVoZLJf+B3ghnd2ko/4HeCD1DSVEuTllTRTpJQk0uSVFfRUJJVERBX0VRX0lOQ19FWENMX1NCQy45OTUuMDcvMDMvMjAyNi4uLlVTRC5IAQAAAN62AQACAAAABTEyMjk0AQgAAAAFAAAAATEBAAAACy0yMDU5MDczMjAyAwAAAAMxNjACAAAABTI0MTMxBAAAAAEwBwAAAAgzLzcvMjAyNggAAAAKMTIvMzEvMjAyMAkAAAABMFaGSyX/gd4IZ3dpKP+B3ggyQ0lRLk5ZU0U6SUJNLklRX0dBSU5fQVNTRVRTLjk5NC4wNy8wMy8yMDI2Li4uVVNELkgBAAAA3rYBAAIAAAADNzYyAQgAAAAFAAAAATEBAAAACy0yMTEwNzY5MzU1AwAAAAMxNjACAAAAAjU2BAAAAAEwBwAAAAgzLzcvMjAyNggAAAAKMTIvMzEvMjAxOQkAAAABMFaGSyX/gd4IJilpKP+B3ggxQ0lRLk5ZU0U6SUJNLklRX0lOQ19FUVVJVFkuOTk4LjA3LzAzLzIwMjYuLi5VU0QuSAEAAADetgEAAwAA</t>
  </si>
  <si>
    <t>AAAAVoZLJf+B3ggmKWko/4HeCDJDSVEuTllTRTpJQk0uSVFfSU1QQUlSX09JTC4xMDAwLjA3LzAzLzIwMjYuLi5VU0QuSAEAAADetgEAAwAAAAAAVoZLJf+B3ghXUGko/4HeCC1DSVEuTllTRTpJQk0uSVFfUkRfRVhQLjk5My4wNy8wMy8yMDI2Li4uVVNELkgBAAAA3rYBAAIAAAAENTM3OQEIAAAABQAAAAExAQAAAAoyMDgxNTA1NDAxAwAAAAMxNjACAAAAAzEwMAQAAAABMAcAAAAIMy83LzIwMjYIAAAACjEyLzMxLzIwMTgJAAAAATBWhksl/4HeCFdQaSj/gd4IMENJUS5OWVNFOklCTS5JUV9UT1RBTF9SRVYuOTk3LjA3LzAzLzIwMjYuLi5VU0QuSAEAAADetgEAAgAAAAU2MDUzMAEIAAAABQAAAAExAQAAAAstMTk1ODI4MTA5NgMAAAADMTYwAgAAAAIyOAQAAAABMAcAAAAIMy83LzIwMjYIAAAACjEyLzMxLzIwMjIJAAAAATBWhksl/4HeCFdQaSj/gd4INkNJUS5OWVNFOklCTS5JUV9HQUlOX0FTU0VUU19SRVYuOTk5LjA3LzAzLzIwMjYuLi5VU0QuSAEAAADetgEAAwAAAAAAVoZLJf+B3ghz7mgo/4HeCDFDSVEuTllTRTpJQk0uSVFfT1RIRVJfT1BFUi45OTMuMDcvMDMvMjAyNi4uLlVTRC5IAQAAAN62AQACAAAABS0xMDI2AQgAAAAFAAAAATEBAAAACjIwODE1MDU0MDEDAAAAAzE2MAIAAAADMjYwBAAAAAEwBwAAAAgzLzcvMjAyNggAAAAKMTIvMzEvMjAxOAkAAAABMFaGSyX/gd4Ic+5oKP+B3gg+Q0lR</t>
  </si>
  <si>
    <t>Lk5ZU0U6SUJNLklRX0VYQ0lTRV9UQVhFU19JTkNMX1NBTEVTLjk5Mi4wNy8wMy8yMDI2Li4uVVNELkgBAAAA3rYBAAMAAAAAAFaGSyX/gd4Ic+5oKP+B3gg2Q0lRLk5ZU0U6SUJNLklRX0ZJTl9ESVZfSU5UX0VYUC45OTQuMDcvMDMvMjAyNi4uLlVTRC5IAQAAAN62AQADAAAAAABWhksl/4HeCCYpaSj/gd4IMENJUS5OWVNFOklCTS5JUV9UT1RBTF9SRVYuOTk2LjA3LzAzLzIwMjYuLi5VU0QuSAEAAADetgEAAgAAAAU1NzM1MQEIAAAABQAAAAExAQAAAAstMjAwODY0NzE5OAMAAAADMTYwAgAAAAIyOAQAAAABMAcAAAAIMy83LzIwMjYIAAAACjEyLzMxLzIwMjEJAAAAATBWhksl/4HeCCYpaSj/gd4INkNJUS5OWVNFOklCTS5JUV9HQUlOX0FTU0VUU19SRVYuOTk4LjA3LzAzLzIwMjYuLi5VU0QuSAEAAADetgEAAwAAAAAAVoZLJf+B3ghjx2go/4HeCDJDSVEuTllTRTpJQk0uSVFfSU5TX0RJVl9SRVYuOTkyLjA3LzAzLzIwMjYuLi5VU0QuSAEAAADetgEAAwAAAAAAVoZLJf+B3ghjx2go/4HeCDdDSVEuTllTRTpJQk0uSVFfTkVUX0lOVEVSRVNUX0VYUC45OTUuMDcvMDMvMjAyNi4uLlVTRC5IAQAAAN62AQACAAAABS0xMjg4AQgAAAAFAAAAATEBAAAACy0yMDU5MDczMjAyAwAAAAMxNjACAAAAAzM2OAQAAAABMAcAAAAIMy83LzIwMjYIAAAACjEyLzMxLzIwMjAJAAAAATBWhksl/4HeCHPuaCj/gd4INUNJ</t>
  </si>
  <si>
    <t>US5OWVNFOklCTS5JUV9HV19JTlRBTl9BTU9SVC45OTYuMDcvMDMvMjAyNi4uLlVTRC5IAQAAAN62AQADAAAAAABWhksl/4HeCHPuaCj/gd4ILUNJUS5OWVNFOklCTS5JUV9SRF9FWFAuOTkyLjA3LzAzLzIwMjYuLi5VU0QuSAEAAADetgEAAgAAAAQ1NTkwAQgAAAAFAAAAATEBAAAACjIwMTcxNjQyNDQDAAAAAzE2MAIAAAADMTAwBAAAAAEwBwAAAAgzLzcvMjAyNggAAAAKMTIvMzEvMjAxNwkAAAABMFaGSyX/gd4Ic+5oKP+B3ggyQ0lRLk5ZU0U6SUJNLklRX1NUT0NLX0JBU0VELjk5OC4wNy8wMy8yMDI2Li4uVVNELkgBAAAA3rYBAAMAAAAAAFaGSyX/gd4IVqBoKP+B3gg1Q0lRLk5ZU0U6SUJNLklRX1BST1ZfQkFEX0RFQlRTLjk5Mi4wNy8wMy8yMDI2Li4uVVNELkgBAAAA3rYBAAMAAAAAAFaGSyX/gd4IVqBoKP+B3ggqQ0lRLk5ZU0U6SUJNLklRX0dQLjEwMDAuMDcvMDMvMjAyNi4uLlVTRC5IAQAAAN62AQACAAAABTM5Mjk2AQgAAAAFAAAAATEBAAAACy0xOTA0ODYwNzQwAwAAAAMxNjACAAAAAjEwBAAAAAEwBwAAAAgzLzcvMjAyNggAAAAKMTIvMzEvMjAyNQkAAAABMFaGSyX/gd4IVqBoKP+B3ggvQ0lRLk5ZU0U6SUJNLklRX0VCVF9FWENMLjk5Mi4wNy8wMy8yMDI2Li4uVVNELkgBAAAA3rYBAAIAAAAFMTE0MDABCAAAAAUAAAABMQEAAAAKMjAxNzE2NDI0NAMAAAADMTYwAgAAAAE0BAAAAAEwBwAA</t>
  </si>
  <si>
    <t>AAgzLzcvMjAyNggAAAAKMTIvMzEvMjAxNwkAAAABMFaGSyX/gd4IY8doKP+B3gg0Q0lRLk5ZU0U6SUJNLklRX0NVUlJFTkNZX0dBSU4uOTk4LjA3LzAzLzIwMjYuLi5VU0QuSAEAAADetgEAAgAAAAMtNjkBCAAAAAUAAAABMQEAAAALLTE5MDQ4NjA3NDQDAAAAAzE2MAIAAAACMzgEAAAAATAHAAAACDMvNy8yMDI2CAAAAAoxMi8zMS8yMDIzCQAAAAEwVoZLJf+B3ghjx2go/4HeCDdDSVEuTllTRTpJQk0uSVFfTkVUX0lOVEVSRVNUX0VYUC45OTQuMDcvMDMvMjAyNi4uLlVTRC5IAQAAAN62AQACAAAABS0xMzQ0AQgAAAAFAAAAATEBAAAACy0yMTEwNzY5MzU1AwAAAAMxNjACAAAAAzM2OAQAAAABMAcAAAAIMy83LzIwMjYIAAAACjEyLzMxLzIwMTkJAAAAATBWhksl/4HeCCJ5aCj/gd4INENJUS5OWVNFOklCTS5JUV9JTlRFUkVTVF9FWFAuMTAwMC4wNy8wMy8yMDI2Li4uVVNELkgBAAAA3rYBAAIAAAAFLTE5MzUBCAAAAAUAAAABMQEAAAALLTE5MDQ4NjA3NDADAAAAAzE2MAIAAAACODIEAAAAATAHAAAACDMvNy8yMDI2CAAAAAoxMi8zMS8yMDI1CQAAAAEwVoZLJf+B3ggieWgo/4HeCC9DSVEuTllTRTpJQk0uSVFfT1BFUl9JTkMuOTk0LjA3LzAzLzIwMjYuLi5VU0QuSAEAAADetgEAAgAAAAQ3NTM5AQgAAAAFAAAAATEBAAAACy0yMTEwNzY5MzU1AwAAAAMxNjACAAAAAjIxBAAAAAEwBwAAAAgzLzcvMjAy</t>
  </si>
  <si>
    <t>NggAAAAKMTIvMzEvMjAxOQkAAAABMFaGSyX/gd4IInloKP+B3ggqQ0lRLk5ZU0U6SUJNLklRX0VCVC45OTYuMDcvMDMvMjAyNi4uLlVTRC5IAQAAAN62AQACAAAABDQ4MzcBCAAAAAUAAAABMQEAAAALLTIwMDg2NDcxOTgDAAAAAzE2MAIAAAADMTM5BAAAAAEwBwAAAAgzLzcvMjAyNggAAAAKMTIvMzEvMjAyMQkAAAABMFaGSyX/gd4IInloKP+B3ggzQ0lRLk5ZU0U6SUJNLklRX0xFR0FMX1NFVFRMRS45OTMuMDcvMDMvMjAyNi4uLlVTRC5IAQAAAN62AQADAAAAAABWhksl/4HeCFagaCj/gd4ILENJUS5OWVNFOklCTS5JUV9JUFJELjEwMDAuMDcvMDMvMjAyNi4uLlVTRC5IAQAAAN62AQADAAAAAABWhksl/4HeCPdRaCj/gd4IMkNJUS5OWVNFOklCTS5JUV9HQUlOX0FTU0VUUy45OTYuMDcvMDMvMjAyNi4uLlVTRC5IAQAAAN62AQADAAAAAABWhksl/4HeCPdRaCj/gd4ILUNJUS5OWVNFOklCTS5JUV9NRVJHRVIuOTk2LjA3LzAzLzIwMjYuLi5VU0QuSAEAAADetgEAAwAAAAAAVoZLJf+B3gj3UWgo/4HeCDVDSVEuTllTRTpJQk0uSVFfQkFTSUNfRVBTX0VYQ0wuOTkzLjA3LzAzLzIwMjYuLi5VU0QuSAEAAADetgEAAgAAAAg5LjU2NDE4OAEIAAAABQAAAAExAQAAAAoyMDgxNTA1NDAxAwAAAAMxNjACAAAABDMwNjQEAAAAATAHAAAACDMvNy8yMDI2CAAAAAoxMi8zMS8yMDE4CQAAAAEwVoZLJf+B3gj3UWgo</t>
  </si>
  <si>
    <t>/4HeCCpDSVEuTllTRTpJQk0uSVFfTkkuMTAwMC4wNy8wMy8yMDI2Li4uVVNELkgBAAAA3rYBAAIAAAAFMTA1OTMBCAAAAAUAAAABMQEAAAALLTE5MDQ4NjA3NDADAAAAAzE2MAIAAAACMTUEAAAAATAHAAAACDMvNy8yMDI2CAAAAAoxMi8zMS8yMDI1CQAAAAEwVoZLJf+B3gj3UWgo/4HeCDtDSVEuTllTRTpJQk0uSVFfTUlOT1JJVFlfSU5URVJFU1RfSVMuOTk1LjA3LzAzLzIwMjYuLi5VU0QuSAEAAADetgEAAwAAAAAAVoZLJf+B3ghhF2go/4HeCDZDSVEuTllTRTpJQk0uSVFfRVhUUkFfQUNDX0lURU1TLjk5Mi4wNy8wMy8yMDI2Li4uVVNELkgBAAAA3rYBAAMAAAAAAFaGSyX/gd4IYRdoKP+B3ggxQ0lRLk5ZU0U6SUJNLklRX0VBUk5JTkdfQ08uOTk5LjA3LzAzLzIwMjYuLi5VU0QuSAEAAADetgEAAgAAAAQ2MDE1AQgAAAAFAAAAATEBAAAACy0xOTA0ODYwNzQzAwAAAAMxNjACAAAAATcEAAAAATAHAAAACDMvNy8yMDI2CAAAAAoxMi8zMS8yMDI0CQAAAAEwVoZLJf+B3ghhF2go/4HeCD5DSVEuTllTRTpJQk0uSVFfRUJJVERBX0VRX0lOQ19FWENMX1NCQy4xMDAwLjA3LzAzLzIwMjYuLi5VU0QuSAEAAADetgEAAgAAAAUxNzgzMwEIAAAABQAAAAExAQAAAAstMTkwNDg2MDc0MAMAAAADMTYwAgAAAAUyNDEzMQQAAAABMAcAAAAIMy83LzIwMjYIAAAACjEyLzMxLzIwMjUJAAAAATBWhksl/4HeCE4+aCj/</t>
  </si>
  <si>
    <t>gd4ILUNJUS5OWVNFOklCTS5JUV9FQklUREEuOTk5LjA3LzAzLzIwMjYuLi5VU0QuSAEAAADetgEAAgAAAAUxMjg4NgEIAAAABQAAAAExAQAAAAstMTkwNDg2MDc0MwMAAAADMTYwAgAAAAQ0MDUxBAAAAAEwBwAAAAgzLzcvMjAyNggAAAAKMTIvMzEvMjAyNAkAAAABMFaGSyX/gd4ITj5oKP+B3gg/Q0lRLk5ZU0U6SUJNLklRX0RJU1RSSUJVVEFCTEVfQ0FTSF9TSEFSRS45OTYuMDcvMDMvMjAyNi4uLlVTRC5IAQAAAN62AQADAAAAAABWhksl/4HeCEDwZyj/gd4IS0NJUS5OWVNFOklCTS5JUV9ESVNUUklCVVRBQkxFX0NBU0hfUEVSX1NIQVJFX0RJTFVURUQuOTk3LjA3LzAzLzIwMjYuLi5VU0QuSAEAAADetgEAAwAAAAAAVoZLJf+B3ghA8Gco/4HeCDVDSVEuTllTRTpJQk0uSVFfRElMVVRfRVBTX05PUk0uOTkyLjA3LzAzLzIwMjYuLi5VU0QuSAEAAADetgEAAgAAAAg3LjYwMDkyNwEIAAAABQAAAAExAQAAAAoyMDE3MTY0MjQ0AwAAAAMxNjACAAAABDQzODAEAAAAATAHAAAACDMvNy8yMDI2CAAAAAoxMi8zMS8yMDE3CQAAAAEwVoZLJf+B3ghA8Gco/4HeCDhDSVEuTllTRTpJQk0uSVFfSU5WRVNUTUVOVF9JTkNPTUUuOTk3LjA3LzAzLzIwMjYuLi5VU0QuSAEAAADetgEAAwAAAAAAVoZLJf+B3ghhF2go/4HeCC5DSVEuTllTRTpJQk0uSVFfTklfU0ZBUy45OTcuMDcvMDMvMjAyNi4uLlVTRC5IAQAAAN62</t>
  </si>
  <si>
    <t>AQADAAAAAABWhksl/4HeCGEXaCj/gd4ISUNJUS5OWVNFOklCTS5JUV9QUk9WX0JBRF9ERUJUU19QQVRJRU5UX1NFUlZJQ0VfUkVWLjk5Ny4wNy8wMy8yMDI2Li4uVVNELkgBAAAA3rYBAAMAAAAAAFaGSyX/gd4I1aFnKP+B3ggzQ0lRLk5ZU0U6SUJNLklRX0VCSVREQV9DQVBFWC45OTMuMDcvMDMvMjAyNi4uLlVTRC5IAQAAAN62AQACAAAABTE0MzAzAQgAAAAFAAAAATEBAAAACjIwODE1MDU0MDEDAAAAAzE2MAIAAAAFMzUzNzkEAAAAATAHAAAACDMvNy8yMDI2CAAAAAoxMi8zMS8yMDE4CQAAAAEwVoZLJf+B3gg3yWco/4HeCD5DSVEuTllTRTpJQk0uSVFfRUJJVERBUl9FUV9JTkNfRVhDTF9TQkMuOTkyLjA3LzAzLzIwMjYuLi5VU0QuSAEAAADetgEAAwAAAAAAVoZLJf+B3gg3yWco/4HeCDlDSVEuTllTRTpJQk0uSVFfRElTVFJJQlVUQUJMRV9DQVNILjk5NS4wNy8wMy8yMDI2Li4uVVNELkgBAAAA3rYBAAMAAAAAAFaGSyX/gd4IN8lnKP+B3gg6Q0lRLk5ZU0U6SUJNLklRX05PTkNBU0hfUEVOU0lPTl9FWFAuOTk1LjA3LzAzLzIwMjYuLi5VU0QuSAEAAADetgEAAgAAAAM5MDcBCAAAAAUAAAABMQEAAAALLTIwNTkwNzMyMDIDAAAAAzE2MAIAAAAFMjE2NzgEAAAAATAHAAAACDMvNy8yMDI2CAAAAAoxMi8zMS8yMDIwCQAAAAEwVoZLJf+B3gg3yWco/4HeCEhDSVEuTllTRTpJQk0uSVFfSU5URVJFU1Rf</t>
  </si>
  <si>
    <t>RVhQX0xFQVNFX0xJQUJJTElUWV9ERUJULjk5Ni4wNy8wMy8yMDI2Li4uVVNELkgBAAAA3rYBAAMAAAAAAJ+tSyX/gd4IDI5nKP+B3ggxQ0lRLk5ZU0U6SUJNLklRX0NVUlJfVEFYRVMuOTkyLjA3LzAzLzIwMjYuLi5VU0QuSAEAAADetgEAAgAAAAQ2MzM0AQgAAAAFAAAAATEBAAAACjIwMTcxNjQyNDQDAAAAAzE2MAIAAAAFMzUzODMEAAAAATAHAAAACDMvNy8yMDI2CAAAAAoxMi8zMS8yMDE3CQAAAAEwn61LJf+B3gjVoWco/4HeCDpDSVEuTllTRTpJQk0uSVFfQ1VSUl9ET01FU1RJQ19UQVhFUy45OTMuMDcvMDMvMjAyNi4uLlVTRC5IAQAAAN62AQACAAAABC0yMTUBCAAAAAUAAAABMQEAAAAKMjA4MTUwNTQwMQMAAAADMTYwAgAAAAQzMDI3BAAAAAEwBwAAAAgzLzcvMjAyNggAAAAKMTIvMzEvMjAxOAkAAAABMJ+tSyX/gd4I1aFnKP+B3gg9Q0lRLk5ZU0U6SUJNLklRX0FTU0VUX1dSSVRFRE9XTl9TVVBQTEUuOTk1LjA3LzAzLzIwMjYuLi5VU0QuSAEAAADetgEAAwAAAAAAn61LJf+B3gjVoWco/4HeCD5DSVEuTllTRTpJQk0uSVFfU0FMQVJJRVNfT1RIRVJfQkVORUZJVFMuOTk5LjA3LzAzLzIwMjYuLi5VU0QuSAEAAADetgEAAwAAAAAAn61LJf+B3gjVoWco/4HeCDNDSVEuTllTRTpJQk0uSVFfT1RIRVJfUkVOVEFMLjk5NC4wNy8wMy8yMDI2Li4uVVNELkgBAAAA3rYBAAMAAAAAAJ+tSyX/gd4I/GZn</t>
  </si>
  <si>
    <t>KP+B3gg1Q0lRLk5ZU0U6SUJNLklRX05FVF9SRU5UQUxfRVhQLjk5Ni4wNy8wMy8yMDI2Li4uVVNELkgBAAAA3rYBAAMAAAAAAJ+tSyX/gd4I/GZnKP+B3ggtQ0lRLk5ZU0U6SUJNLklRX0dBX0VYUC45OTMuMDcvMDMvMjAyNi4uLlVTRC5IAQAAAN62AQADAAAAAACfrUsl/4HeCPxmZyj/gd4INkNJUS5OWVNFOklCTS5JUV9TVE9DS19CQVNFRF9DRi4xMDAwLjA3LzAzLzIwMjYuLi5VU0QuSAEAAADetgEAAgAAAAQxNzE1AQgAAAAFAAAAATEBAAAACy0xOTA0ODYwNzQwAwAAAAMxNjACAAAABDIxMjcEAAAAATAHAAAACDMvNy8yMDI2CAAAAAoxMi8zMS8yMDI1CQAAAAEwn61LJf+B3gj8Zmco/4HeCDVDSVEuTllTRTpJQk0uSVFfU1RPQ0tfQkFTRURfQVQuOTk4LjA3LzAzLzIwMjYuLi5VU0QuSAEAAADetgEAAwAAAAAAn61LJf+B3ggMjmco/4HeCDVDSVEuTllTRTpJQk0uSVFfU1RPQ0tfQkFTRURfU00uOTk4LjA3LzAzLzIwMjYuLi5VU0QuSAEAAADetgEAAwAAAAAAn61LJf+B3gifP2co/4HeCDhDSVEuTllTRTpJQk0uSVFfTkVHQVRJVkVfR1dfQU1PUlQuOTk0LjA3LzAzLzIwMjYuLi5VU0QuSAEAAADetgEAAwAAAAAAn61LJf+B3gifP2co/4HeCDlDSVEuTllTRTpJQk0uSVFfSU5TX1NFVFRMRV9TVVBQTEUuMTAwMC4wNy8wMy8yMDI2Li4uVVNELkgBAAAA3rYBAAMAAAAAAJ+tSyX/gd4Inz9nKP+B3ggt</t>
  </si>
  <si>
    <t>Q0lRLk5ZU0U6SUJNLklRX0VCSVREQS45OTUuMDcvMDMvMjAyNi4uLlVTRC5IAQAAAN62AQACAAAABTExMzU3AQgAAAAFAAAAATEBAAAACy0yMDU5MDczMjAyAwAAAAMxNjACAAAABDQwNTEEAAAAATAHAAAACDMvNy8yMDI2CAAAAAoxMi8zMS8yMDIwCQAAAAEwn61LJf+B3gifP2co/4HeCDRDSVEuTllTRTpJQk0uSVFfRVhQTE9SRV9EUklMTC45OTQuMDcvMDMvMjAyNi4uLlVTRC5IAQAAAN62AQADAAAAAACfrUsl/4HeCPxmZyj/gd4IMkNJUS5OWVNFOklCTS5JUV9JTlNfRElWX0VYUC45OTYuMDcvMDMvMjAyNi4uLlVTRC5IAQAAAN62AQADAAAAAACfrUsl/4HeCO0EZyj/gd4IOkNJUS5OWVNFOklCTS5JUV9JTlRFUkVTVF9JTlZFU1RfSU5DLjk5OC4wNy8wMy8yMDI2Li4uVVNELkgBAAAA3rYBAAIAAAADNjcwAQgAAAAFAAAAATEBAAAACy0xOTA0ODYwNzQ0AwAAAAMxNjACAAAAAjY1BAAAAAEwBwAAAAgzLzcvMjAyNggAAAAKMTIvMzEvMjAyMwkAAAABMJ+tSyX/gd4I7QRnKP+B3gg2Q0lRLk5ZU0U6SUJNLklRX0dBSU5fSU5WRVNUX1JFVi45OTYuMDcvMDMvMjAyNi4uLlVTRC5IAQAAAN62AQADAAAAAACfrUsl/4HeCOwrZyj/gd4IMkNJUS5OWVNFOklCTS5JUV9JTlNfRElWX1JFVi45OTMuMDcvMDMvMjAyNi4uLlVTRC5IAQAAAN62AQADAAAAAACfrUsl/4HeCOwrZyj/gd4IM0NJUS5OWVNFOklCTS5J</t>
  </si>
  <si>
    <t>UV9JTlRFUkVTVF9FWFAuOTkzLjA3LzAzLzIwMjYuLi5VU0QuSAEAAADetgEAAgAAAAQtNzIzAQgAAAAFAAAAATEBAAAACjIwODE1MDU0MDEDAAAAAzE2MAIAAAACODIEAAAAATAHAAAACDMvNy8yMDI2CAAAAAoxMi8zMS8yMDE4CQAAAAEwn61LJf+B3gjsK2co/4HeCDJDSVEuTllTRTpJQk0uSVFfRklOX0RJVl9SRVYuOTk4LjA3LzAzLzIwMjYuLi5VU0QuSAEAAADetgEAAgAAAAM3MzcBCAAAAAUAAAABMQEAAAALLTE5MDQ4NjA3NDQDAAAAAzE2MAIAAAACNTIEAAAAATAHAAAACDMvNy8yMDI2CAAAAAoxMi8zMS8yMDIzCQAAAAEwn61LJf+B3gjh3WYo/4HeCDlDSVEuTllTRTpJQk0uSVFfQVNfUkVQT1JURURfRUJJVERBLjk5Ni4wNy8wMy8yMDI2Li4uVVNELkgBAAAA3rYBAAMAAAAAAJ+tSyX/gd4I4d1mKP+B3ggyQ0lRLk5ZU0U6SUJNLklRX0VCSVRfRVFfSU5DLjk5OC4wNy8wMy8yMDI2Li4uVVNELkgBAAAA3rYBAAIAAAAEOTQyMQEIAAAABQAAAAExAQAAAAstMTkwNDg2MDc0NAMAAAADMTYwAgAAAAUyMTY3NQQAAAABMAcAAAAIMy83LzIwMjYIAAAACjEyLzMxLzIwMjMJAAAAATCfrUsl/4HeCOHdZij/gd4IMkNJUS5OWVNFOklCTS5JUV9HQUlOX0FTU0VUUy45OTcuMDcvMDMvMjAyNi4uLlVTRC5IAQAAAN62AQACAAAAAzI1OAEIAAAABQAAAAExAQAAAAstMTk1ODI4MTA5NgMAAAADMTYwAgAAAAI1</t>
  </si>
  <si>
    <t>NgQAAAABMAcAAAAIMy83LzIwMjYIAAAACjEyLzMxLzIwMjIJAAAAATCfrUsl/4HeCO0EZyj/gd4INENJUS5OWVNFOklCTS5JUV9DVVJSRU5DWV9HQUlOLjk5OS4wNy8wMy8yMDI2Li4uVVNELkgBAAAA3rYBAAIAAAACMjABCAAAAAUAAAABMQEAAAALLTE5MDQ4NjA3NDMDAAAAAzE2MAIAAAACMzgEAAAAATAHAAAACDMvNy8yMDI2CAAAAAoxMi8zMS8yMDI0CQAAAAEwn61LJf+B3gjtBGco/4HeCDdDSVEuTllTRTpJQk0uSVFfVE9UQUxfT1RIRVJfT1BFUi45OTcuMDcvMDMvMjAyNi4uLlVTRC5IAQAAAN62AQACAAAABTI1MTY3AQgAAAAFAAAAATEBAAAACy0xOTU4MjgxMDk2AwAAAAMxNjACAAAAAzM4MAQAAAABMAcAAAAIMy83LzIwMjYIAAAACjEyLzMxLzIwMjIJAAAAATCfrUsl/4HeCM+2Zij/gd4INUNJUS5OWVNFOklCTS5JUV9HV19JTlRBTl9BTU9SVC45OTcuMDcvMDMvMjAyNi4uLlVTRC5IAQAAAN62AQADAAAAAACfrUsl/4HeCM+2Zij/gd4IMkNJUS5OWVNFOklCTS5JUV9TVE9DS19CQVNFRC45OTkuMDcvMDMvMjAyNi4uLlVTRC5IAQAAAN62AQADAAAAAACfrUsl/4HeCOHdZij/gd4IKUNJUS5OWVNFOklCTS5JUV9HUC45OTkuMDcvMDMvMjAyNi4uLlVTRC5IAQAAAN62AQACAAAABTM1NTUyAQgAAAAFAAAAATEBAAAACy0xOTA0ODYwNzQzAwAAAAMxNjACAAAAAjEwBAAAAAEwBwAAAAgzLzcvMjAy</t>
  </si>
  <si>
    <t>NggAAAAKMTIvMzEvMjAyNAkAAAABMJ+tSyX/gd4I4d1mKP+B3gg2Q0lRLk5ZU0U6SUJNLklRX0ZJTl9ESVZfSU5UX0VYUC45OTMuMDcvMDMvMjAyNi4uLlVTRC5IAQAAAN62AQADAAAAAACfrUsl/4HeCOHdZij/gd4IMkNJUS5OWVNFOklCTS5JUV9GSU5fRElWX0VYUC45OTkuMDcvMDMvMjAyNi4uLlVTRC5IAQAAAN62AQACAAAAAzM2OQEIAAAABQAAAAExAQAAAAstMTkwNDg2MDc0MwMAAAADMTYwAgAAAAI1MQQAAAABMAcAAAAIMy83LzIwMjYIAAAACjEyLzMxLzIwMjQJAAAAATCfrUsl/4HeCM+2Zij/gd4IMENJUS5OWVNFOklCTS5JUV9UT1RBTF9SRVYuOTk1LjA3LzAzLzIwMjYuLi5VU0QuSAEAAADetgEAAgAAAAU1NTE3OQEIAAAABQAAAAExAQAAAAstMjA1OTA3MzIwMgMAAAADMTYwAgAAAAIyOAQAAAABMAcAAAAIMy83LzIwMjYIAAAACjEyLzMxLzIwMjAJAAAAATCfrUsl/4HeCM+2Zij/gd4IKkNJUS5OWVNFOklCTS5JUV9SRVYuOTk3LjA3LzAzLzIwMjYuLi5VU0QuSAEAAADetgEAAgAAAAU1OTg3OQEIAAAABQAAAAExAQAAAAstMTk1ODI4MTA5NgMAAAADMTYwAgAAAAMxMTIEAAAAATAHAAAACDMvNy8yMDI2CAAAAAoxMi8zMS8yMDIyCQAAAAEwn61LJf+B3gjPtmYo/4HeCDRDSVEuTllTRTpJQk0uSVFfQ1VSUkVOQ1lfR0FJTi45OTcuMDcvMDMvMjAyNi4uLlVTRC5IAQAAAN62AQACAAAAAzUw</t>
  </si>
  <si>
    <t>MAEIAAAABQAAAAExAQAAAAstMTk1ODI4MTA5NgMAAAADMTYwAgAAAAIzOAQAAAABMAcAAAAIMy83LzIwMjYIAAAACjEyLzMxLzIwMjIJAAAAATCfrUsl/4HeCM+2Zij/gd4IM0NJUS5OWVNFOklCTS5JUV9JTlRFUkVTVF9FWFAuOTk5LjA3LzAzLzIwMjYuLi5VU0QuSAEAAADetgEAAgAAAAUtMTcxMgEIAAAABQAAAAExAQAAAAstMTkwNDg2MDc0MwMAAAADMTYwAgAAAAI4MgQAAAABMAcAAAAIMy83LzIwMjYIAAAACjEyLzMxLzIwMjQJAAAAATCfrUsl/4HeCM+2Zij/gd4IL0NJUS5OWVNFOklCTS5JUV9PUEVSX0lOQy45OTMuMDcvMDMvMjAyNi4uLlVTRC5IAQAAAN62AQACAAAABTEzMjE4AQgAAAAFAAAAATEBAAAACjIwODE1MDU0MDEDAAAAAzE2MAIAAAACMjEEAAAAATAHAAAACDMvNy8yMDI2CAAAAAoxMi8zMS8yMDE4CQAAAAEwn61LJf+B3gjMj2Yo/4HeCDVDSVEuTllTRTpJQk0uSVFfR1dfSU5UQU5fQU1PUlQuOTk1LjA3LzAzLzIwMjYuLi5VU0QuSAEAAADetgEAAwAAAAAAn61LJf+B3gjMj2Yo/4HeCDJDSVEuTllTRTpJQk0uSVFfU1RPQ0tfQkFTRUQuOTk3LjA3LzAzLzIwMjYuLi5VU0QuSAEAAADetgEAAwAAAAAAn61LJf+B3gjMj2Yo/4HeCDFDSVEuTllTRTpJQk0uSVFfRUFSTklOR19DTy45OTguMDcvMDMvMjAyNi4uLlVTRC5IAQAAAN62AQACAAAABDc1MTQBCAAAAAUAAAABMQEAAAALLTE5</t>
  </si>
  <si>
    <t>MDQ4NjA3NDQDAAAAAzE2MAIAAAABNwQAAAABMAcAAAAIMy83LzIwMjYIAAAACjEyLzMxLzIwMjMJAAAAATCfrUsl/4HeCMyPZij/gd4IKkNJUS5OWVNFOklCTS5JUV9FQlQuOTk1LjA3LzAzLzIwMjYuLi5VU0QuSAEAAADetgEAAgAAAAQyNTcyAQgAAAAFAAAAATEBAAAACy0yMDU5MDczMjAyAwAAAAMxNjACAAAAAzEzOQQAAAABMAcAAAAIMy83LzIwMjYIAAAACjEyLzMxLzIwMjAJAAAAATCfrUsl/4HeCM+2Zij/gd4IK0NJUS5OWVNFOklCTS5JUV9JUFJELjk5OS4wNy8wMy8yMDI2Li4uVVNELkgBAAAA3rYBAAMAAAAAAJ+tSyX/gd4IZmhmKP+B3gg2Q0lRLk5ZU0U6SUJNLklRX0FTU0VUX1dSSVRFRE9XTi45OTMuMDcvMDMvMjAyNi4uLlVTRC5IAQAAAN62AQADAAAAAACfrUsl/4HeCMyPZij/gd4IHENJUS5OWVNFOklCTS5JUV9DT01QQU5ZX05BTUUBAAAA3rYBAAMAAAArSW50ZXJuYXRpb25hbCBCdXNpbmVzcyBNYWNoaW5lcyBDb3Jwb3JhdGlvbgBvj1Ql/4HeCBjDlij/gd4IIkNJUS5OWVNFOklCTS5JUV9TSEFSRVNPVVRTVEFORElORy4BAAAA3rYBAAIAAAAKOTM4LjQwOTA3MgBvj1Ql/4HeCC/qlij/gd4IGkNJUS5OWVNFOklCTS5JUV9QVEJWLjIwMDAuAQAAAN62AQADAAAAAk5NAQcAAAAFAAAAATEBAAAACy0xOTA0ODYwNjU3AwAAAAEwAgAAAAYxMDAwNjgEAAAAATAHAAAACTMvMTMvMjAyNggA</t>
  </si>
  <si>
    <t>AAAJMy8xMy8yMDI2b49UJf+B3ghVOJco/4HeCBlDSVEuTllTRTpJQk0uSVFfUEJWLjIwMDAuAQAAAN62AQACAAAAEDcuMDY3ODkzMDk5NzUyNjkBBwAAAAUAAAABMQEAAAALLTE5MDQ4NjA2NTcDAAAAATACAAAABjEwMDA2NwQAAAABMAcAAAAJMy8xMy8yMDI2CAAAAAkzLzEzLzIwMjZvj1Ql/4HeCFU4lyj/gd4IHUNJUS5OWVNFOklCTS5JUV9QRV9FWENMLjIwMDAuAQAAAN62AQACAAAAEDIyLjEwNzcxOTkyODE4NjcBBwAAAAUAAAABMQEAAAALLTE5MDQ4NjA2NTcDAAAAATACAAAABjEwMDA2NgQAAAABMAcAAAAJMy8xMy8yMDI2CAAAAAkzLzEzLzIwMjZvj1Ql/4HeCDoRlyj/gd4IIENJUS5OWVNFOklCTS5JUV9URVZfRUJJVERBLjIwMDAuAQAAAN62AQACAAAAEDE2LjE0Nzk2MjAyNTI1ODgBBwAAAAUAAAABMQEAAAALLTE5MDQ4NjA2NTcDAAAAATACAAAABjEwMDA2MwQAAAABMAcAAAAJMy8xMy8yMDI2CAAAAAkzLzEzLzIwMjZvj1Ql/4HeCFU4lyj/gd4II0NJUS5OWVNFOklCTS5JUV9URVZfVE9UQUxfUkVWLjIwMDAuAQAAAN62AQACAAAAEDQuMTY2NjQ1MjM5NTM3NDMBBwAAAAUAAAABMQEAAAALLTE5MDQ4NjA2NTcDAAAAATACAAAABjEwMDA2MQQAAAABMAcAAAAJMy8xMy8yMDI2CAAAAAkzLzEzLzIwMjZvj1Ql/4HeCC/qlij/gd4IIkNJUS5OWVNFOklCTS5JUV9QRV9FWENMX0ZXRC4xMDAwMi4B</t>
  </si>
  <si>
    <t>AAAA3rYBAAIAAAAQMTguMzU0MTQ4MzE0NzU0MQENAAAABQAAAAE5AQAAAAcyNjIxNjk3AgAAAAoxMDAyNTM2NjM1AwAAAAYxMDAzMDkEAAAAATIGAAAAATAHAAAAAzE2MAgAAAABMAkAAAABMQoAAAABMAsAAAALMTQ2OTc1NTc3MTAMAAAAATcNAAAACTMvMTUvMjAyNm+PVCX/gd4IVTiXKP+B3ggiQ0lRLk5ZU0U6SUJNLklRX1BFX0VYQ0xfRldELjEwMDAxLgEAAADetgEAAgAAABAxOS44Nzc2NTczMjkxMzk2AQ0AAAAFAAAAATkBAAAABzI2MjE2OTcCAAAACjEwMDI1MzY2MzQDAAAABjEwMDMwOQQAAAABMgYAAAABMAcAAAADMTYwCAAAAAEwCQAAAAExCgAAAAEwCwAAAAsxNDY5NzU1NzczMAwAAAABNw0AAAAJMy8xNS8yMDI2b49UJf+B3ghVOJco/4HeCCVDSVEuTllTRTpJQk0uSVFfVEVWX0VCSVREQV9GV0QuMTAwMDIuAQAAAN62AQACAAAAEDEyLjk1MTg3ODQ5MTkxNDkBDQAAAAUAAAABOQEAAAAHMjYyMTY5NwIAAAAKMTAwMjUzNjYzNQMAAAAGMTAwMzA4BAAAAAEyBgAAAAEwBwAAAAMxNjAIAAAAATAJAAAAATEKAAAAATALAAAACzE0NjkzNDY1NTM2DAAAAAE3DQAAAAkzLzE1LzIwMjZvj1Ql/4HeCDoRlyj/gd4IJUNJUS5OWVNFOklCTS5JUV9URVZfRUJJVERBX0ZXRC4xMDAwMS4BAAAA3rYBAAIAAAAQMTQuMTI3OTM4MzA3MDkzMwENAAAABQAAAAE5AQAAAAcyNjIxNjk3AgAAAAoxMDAyNTM2NjM0</t>
  </si>
  <si>
    <t>AwAAAAYxMDAzMDgEAAAAATIGAAAAATAHAAAAAzE2MAgAAAABMAkAAAABMQoAAAABMAsAAAALMTQ2OTM0NjU1NDIMAAAAATcNAAAACTMvMTUvMjAyNm+PVCX/gd4IOhGXKP+B3gglQ0lRLk5ZU0U6SUJNLklRX0NBU0hfQ09OVkVSU0lPTi4yMDAwLgEAAADetgEAAgAAAAgxLjk0MTQzNQEIAAAABQAAAAExAQAAAAstMTkwNDg2MDY1NwMAAAADMTYwAgAAAAQ0MTg0BAAAAAEwBwAAAAkzLzE0LzIwMjYIAAAACjEyLzMxLzIwMjUJAAAAATBvj1Ql/4HeCGbzlyj/gd4IJkNJUS5OWVNFOklCTS5JUV9EQVlTX1BBWUFCTEVfT1VULjIwMDAuAQAAAN62AQACAAAACTU3Ljc1OTQyNQEIAAAABQAAAAExAQAAAAstMTkwNDg2MDY1NwMAAAADMTYwAgAAAAQ0MTgzBAAAAAEwBwAAAAkzLzE0LzIwMjYIAAAACjEyLzMxLzIwMjUJAAAAATBvj1Ql/4HeCGbzlyj/gd4IKENJUS5OWVNFOklCTS5JUV9EQVlTX0lOVkVOVE9SWV9PVVQuMjAwMC4BAAAA3rYBAAIAAAAJMTYuNDQ5NDU1AQgAAAAFAAAAATEBAAAACy0xOTA0ODYwNjU3AwAAAAMxNjACAAAABDQwMzUEAAAAATAHAAAACTMvMTQvMjAyNggAAAAKMTIvMzEvMjAyNQkAAAABMG+PVCX/gd4IZvOXKP+B3gglQ0lRLk5ZU0U6SUJNLklRX0lOVkVOVE9SWV9UVVJOUy4yMDAwLgEAAADetgEAAgAAAAkyMi4xODg5MTkBCAAAAAUAAAABMQEAAAALLTE5MDQ4NjA2NTcDAAAAAzE2</t>
  </si>
  <si>
    <t>MAIAAAAENDA4MgQAAAABMAcAAAAJMy8xNC8yMDI2CAAAAAoxMi8zMS8yMDI1CQAAAAEwb49UJf+B3giACJgo/4HeCB5DSVEuTllTRTpJQk0uSVFfQVJfVFVSTlMuMjAwMC4BAAAA3rYBAAIAAAAIOC40MzkwMTIBCAAAAAUAAAABMQEAAAALLTE5MDQ4NjA2NTcDAAAAAzE2MAIAAAAENDAwMQQAAAABMAcAAAAJMy8xNC8yMDI2CAAAAAoxMi8zMS8yMDI1CQAAAAEwb49UJf+B3giACJgo/4HeCCJDSVEuTllTRTpJQk0uSVFfQ1VSUkVOVF9SQVRJTy41MDAuAQAAAN62AQACAAAACDAuOTU1NjYyAQgAAAAFAAAAATEBAAAACy0xOTA0ODYwNjU5AwAAAAMxNjACAAAABDQwMzAEAAAAATAHAAAACTMvMTQvMjAyNggAAAAKMTIvMzEvMjAyNQkAAAABMG+PVCX/gd4Iz9mXKP+B3ggtQ0lRLk5ZU0U6SUJNLklRX1JFVFVSTl9JTlZFU1RFRF9DQVBJVEFMLjIwMDAuAQAAAN62AQACAAAABjQuNzM3NABvj1Ql/4HeCM/Zlyj/gd4II0NJUS5OWVNFOklCTS5JUV9SRVRVUk5fQVNTRVRTLjIwMDAuAQAAAN62AQACAAAABjUuNDM0OQEIAAAABQAAAAExAQAAAAstMTkwNDg2MDY1NwMAAAADMTYwAgAAAAQ0MTc4BAAAAAEwBwAAAAkzLzE0LzIwMjYIAAAACjEyLzMxLzIwMjUJAAAAATBvj1Ql/4HeCM/Zlyj/gd4IJ0NJUS5OWVNFOklCTS5JUV9GSVhFRF9BU1NFVF9UVVJOUy4yMDAwLgEAAADetgEAAgAAAAg3LjUyMTg1NwEIAAAA</t>
  </si>
  <si>
    <t>BQAAAAExAQAAAAstMTkwNDg2MDY1NwMAAAADMTYwAgAAAAQ0MDY2BAAAAAEwBwAAAAkzLzE0LzIwMjYIAAAACjEyLzMxLzIwMjUJAAAAATBvj1Ql/4HeCM/Zlyj/gd4IIUNJUS5OWVNFOklCTS5JUV9BU1NFVF9UVVJOUy4yMDAwLgEAAADetgEAAgAAAAgwLjQ2NzI4MQEIAAAABQAAAAExAQAAAAstMTkwNDg2MDY1NwMAAAADMTYwAgAAAAQ0MTc3BAAAAAEwBwAAAAkzLzE0LzIwMjYIAAAACjEyLzMxLzIwMjUJAAAAATBvj1Ql/4HeCGbzlyj/gd4IJkNJUS5OWVNFOklCTS5JUV9UT1RBTF9ERUJUX0VRVUlUWS41MDAuAQAAAN62AQACAAAACDE5Ny4zMjc1AQgAAAAFAAAAATEBAAAACy0xOTA0ODYwNjU5AwAAAAMxNjACAAAABDQwMzQEAAAAATAHAAAACTMvMTQvMjAyNggAAAAKMTIvMzEvMjAyNQkAAAABMG+PVCX/gd4IuZ6XKP+B3ggmQ0lRLk5ZU0U6SUJNLklRX0VCSVREQV9DQVBFWF9JTlQuMjAwMC4BAAAA3rYBAAIAAAAHOC40NDE4NgEIAAAABQAAAAExAQAAAAstMTkwNDg2MDY1NwMAAAADMTYwAgAAAAQ0MTkxBAAAAAEwBwAAAAkzLzE0LzIwMjYIAAAACjEyLzMxLzIwMjUJAAAAATBvj1Ql/4HeCLmelyj/gd4IIENJUS5OWVNFOklCTS5JUV9FQklUREFfSU5ULjIwMDAuAQAAAN62AQACAAAACDkuMDA1Njg0AQgAAAAFAAAAATEBAAAACy0xOTA0ODYwNjU3AwAAAAMxNjACAAAABDQxOTAEAAAAATAHAAAA</t>
  </si>
  <si>
    <t>CTMvMTQvMjAyNggAAAAKMTIvMzEvMjAyNQkAAAABMG+PVCX/gd4IuZ6XKP+B3ggkQ0lRLk5ZU0U6SUJNLklRX0RBWVNfU0FMRVNfT1VULjIwMDAuAQAAAN62AQACAAAACTQzLjI1MTQwNQEIAAAABQAAAAExAQAAAAstMTkwNDg2MDY1NwMAAAADMTYwAgAAAAQ0MDQyBAAAAAEwBwAAAAkzLzE0LzIwMjYIAAAACjEyLzMxLzIwMjUJAAAAATBvj1Ql/4HeCLmelyj/gd4IIENJUS5OWVNFOklCTS5JUV9RVUlDS19SQVRJTy41MDAuAQAAAN62AQACAAAACDAuODEyNDMyAQgAAAAFAAAAATEBAAAACy0xOTA0ODYwNjU5AwAAAAMxNjACAAAABDQxMjEEAAAAATAHAAAACTMvMTQvMjAyNggAAAAKMTIvMzEvMjAyNQkAAAABMG+PVCX/gd4Iz9mXKP+B3ggnQ0lRLk5ZU0U6SUJNLklRX1RPVEFMX0RFQlRfRUJJVERBLjIwMDAuAQAAAN62AQACAAAACDMuNzA3NTA2AQgAAAAFAAAAATEBAAAACy0xOTA0ODYwNjU3AwAAAAMxNjACAAAABDQxOTIEAAAAATAHAAAACTMvMTQvMjAyNggAAAAKMTIvMzEvMjAyNQkAAAABMG+PVCX/gd4IuZ6XKP+B3ggoQ0lRLk5ZU0U6SUJNLklRX0VQU18xWVJfQU5OX0dST1dUSC4yMDAwLgEAAADetgEAAgAAAAc3My41MjAyAQgAAAAFAAAAATEBAAAACy0xOTA0ODYwNjU3AwAAAAMxNjACAAAABDQyMDAEAAAAATAHAAAACTMvMTQvMjAyNggAAAAKMTIvMzEvMjAyNQkAAAABMG+PVCX/gd4IuZ6X</t>
  </si>
  <si>
    <t>KP+B3ggmQ0lRLk5ZU0U6SUJNLklRX0VQU18zWVJfQU5OX0NBR1IuMjAwMC4BAAAA3rYBAAIAAAAHNzguNzY1NAEIAAAABQAAAAExAQAAAAstMTkwNDg2MDY1NwMAAAADMTYwAgAAAAQ0MjI2BAAAAAEwBwAAAAkzLzE0LzIwMjYIAAAACjEyLzMxLzIwMjUJAAAAATBvj1Ql/4HeCLmelyj/gd4II0NJUS5OWVNFOklCTS5JUV9SRVRVUk5fRVFVSVRZLjIwMDAuAQAAAN62AQACAAAABzM1LjE1ODEBCAAAAAUAAAABMQEAAAALLTE5MDQ4NjA2NTcDAAAAAzE2MAIAAAAENDEyOAQAAAABMAcAAAAJMy8xNC8yMDI2CAAAAAoxMi8zMS8yMDI1CQAAAAEwb49UJf+B3gi5npco/4HeCCdDSVEuTllTRTpJQk0uSVFfVE9UQUxfREVCVF9DQVBJVEFMLjUwMC4BAAAA3rYBAAIAAAAGNjYuMzY3AQgAAAAFAAAAATEBAAAACy0xOTA0ODYwNjU5AwAAAAMxNjACAAAABDQxODYEAAAAATAHAAAACTMvMTQvMjAyNggAAAAKMTIvMzEvMjAyNQkAAAABMG+PVCX/gd4IuZ6XKP+B3ggmQ0lRLk5ZU0U6SUJNLklRX0VQU181WVJfQU5OX0NBR1IuMjAwMC4BAAAA3rYBAAIAAAAHMjAuNTA3NwEIAAAABQAAAAExAQAAAAstMTkwNDg2MDY1NwMAAAADMTYwAgAAAAQ0MjM5BAAAAAEwBwAAAAkzLzE0LzIwMjYIAAAACjEyLzMxLzIwMjUJAAAAATBvj1Ql/4HeCG2Glyj/gd4IK0NJUS5OWVNFOklCTS5JUV9FQklUREFfMVlSX0FOTl9HUk9XVEgu</t>
  </si>
  <si>
    <t>MjAwMC4BAAAA3rYBAAIAAAAHMjUuMDgxNAEIAAAABQAAAAExAQAAAAstMTkwNDg2MDY1NwMAAAADMTYwAgAAAAQ0MTk2BAAAAAEwBwAAAAkzLzE0LzIwMjYIAAAACjEyLzMxLzIwMjUJAAAAATBvj1Ql/4HeCG2Glyj/gd4IKUNJUS5OWVNFOklCTS5JUV9FQklUREFfM1lSX0FOTl9DQUdSLjIwMDAuAQAAAN62AQACAAAABzE0LjM2NjMBCAAAAAUAAAABMQEAAAALLTE5MDQ4NjA2NTcDAAAAAzE2MAIAAAAENDIyMgQAAAABMAcAAAAJMy8xNC8yMDI2CAAAAAoxMi8zMS8yMDI1CQAAAAEwb49UJf+B3gi5npco/4HeCClDSVEuTllTRTpJQk0uSVFfRUJJVERBXzVZUl9BTk5fQ0FHUi4yMDAwLgEAAADetgEAAgAAAAU3LjI1MwEIAAAABQAAAAExAQAAAAstMTkwNDg2MDY1NwMAAAADMTYwAgAAAAQ0MjM1BAAAAAEwBwAAAAkzLzE0LzIwMjYIAAAACjEyLzMxLzIwMjUJAAAAATBvj1Ql/4HeCLmelyj/gd4IJUNJUS5OWVNFOklCTS5JUV9ORVRfREVCVF9FQklUREEuMjAwMC4BAAAA3rYBAAIAAAAIMi44ODAxNzkBCAAAAAUAAAABMQEAAAALLTE5MDQ4NjA2NTcDAAAAAzE2MAIAAAAENDE5MwQAAAABMAcAAAAJMy8xNC8yMDI2CAAAAAoxMi8zMS8yMDI1CQAAAAEwb49UJf+B3gi5npco/4HeCCNDSVEuTllTRTpJQk0uSVFfRUJJVERBX01BUkdJTi4yMDAwLgEAAADetgEAAgAAAAcyMy44NjYxAQgAAAAFAAAAATEBAAAA</t>
  </si>
  <si>
    <t>Cy0xOTA0ODYwNjU3AwAAAAMxNjACAAAABDQwNDcEAAAAATAHAAAACTMvMTQvMjAyNggAAAAKMTIvMzEvMjAyNQkAAAABMG+PVCX/gd4IWV+XKP+B3gguQ0lRLk5ZU0U6SUJNLklRX1RPVEFMX1JFVl8xWVJfQU5OX0dST1dUSC4yMDAwLgEAAADetgEAAgAAAAY3LjYyMDMBCAAAAAUAAAABMQEAAAALLTE5MDQ4NjA2NTcDAAAAAzE2MAIAAAAENDE5NAQAAAABMAcAAAAJMy8xNC8yMDI2CAAAAAoxMi8zMS8yMDI1CQAAAAEwb49UJf+B3ghZX5co/4HeCCxDSVEuTllTRTpJQk0uSVFfVE9UQUxfUkVWXzNZUl9BTk5fQ0FHUi4yMDAwLgEAAADetgEAAgAAAAYzLjcxNzYBCAAAAAUAAAABMQEAAAALLTE5MDQ4NjA2NTcDAAAAAzE2MAIAAAAENDIyMAQAAAABMAcAAAAJMy8xNC8yMDI2CAAAAAoxMi8zMS8yMDI1CQAAAAEwb49UJf+B3ghZX5co/4HeCCxDSVEuTllTRTpJQk0uSVFfVE9UQUxfUkVWXzVZUl9BTk5fQ0FHUi4yMDAwLgEAAADetgEAAgAAAAU0LjEyNAEIAAAABQAAAAExAQAAAAstMTkwNDg2MDY1NwMAAAADMTYwAgAAAAQ0MjMzBAAAAAEwBwAAAAkzLzE0LzIwMjYIAAAACjEyLzMxLzIwMjUJAAAAATBvj1Ql/4HeCFlflyj/gd4IH0NJUS5OWVNFOklCTS5JUV9OSV9NQVJHSU4uMjAwMC4BAAAA3rYBAAIAAAAHMTUuNjg1MgEIAAAABQAAAAExAQAAAAstMTkwNDg2MDY1NwMAAAADMTYwAgAAAAQ0MDk0BAAA</t>
  </si>
  <si>
    <t>AAEwBwAAAAkzLzE0LzIwMjYIAAAACjEyLzMxLzIwMjUJAAAAATBvj1Ql/4HeCG2Glyj/gd4IIkNJUS5OWVNFOklCTS5JUV9HUk9TU19NQVJHSU4uMjAwMC4BAAAA3rYBAAIAAAAHNTguMTg2MQEIAAAABQAAAAExAQAAAAstMTkwNDg2MDY1NwMAAAADMTYwAgAAAAQ0MDc0BAAAAAEwBwAAAAkzLzE0LzIwMjYIAAAACjEyLzMxLzIwMjUJAAAAATBvj1Ql/4HeCFlflyj/gd4IIENJUS5OWVNFOklCTS5JUV9QRVJJT0REQVRFLjEwMDAuAQAAAN62AQAFAAAACjMxLzEyLzIwMjUAb49UJf+B3ggv6pYo/4HeCCBDSVEuTllTRTpJQk0uSVFfUEVSSU9EREFURS4yMDAwLgEAAADetgEABQAAAAozMS8xMi8yMDI1AG+PVCX/gd4IGMOWKP+B3ggtQ0lRLk5ZU0U6SUJNLklRX0dXX05FVC45OTEuMDcvMDMvMjAyNi4uLlVTRC5IAQAAAN62AQADAAAAAABvj1Ql/4HeCBKclij/gd4IOkNJUS5OWVNFOklCTS5JUV9MVF9ERUJUX0RFUklWQVRJVkVTLjk5MS4wNy8wMy8yMDI2Li4uVVNELkgBAAAA3rYBAAIAAAAENzg1MgEIAAAABQAAAAExAQAAAAoxOTQ3MTc5NTgzAwAAAAMxNjACAAAABTMwOTE1BAAAAAEwBwAAAAgzLzcvMjAyNggAAAAKMTIvMzEvMjAxNgkAAAABMG+PVCX/gd4IEpyWKP+B3gg7Q0lRLk5ZU0U6SUJNLklRX1dBUlJBTlRZX0xJQUJJTElUSUVTLjk5MS4wNy8wMy8yMDI2Li4uVVNELkgBAAAA3rYBAAMAAAAA</t>
  </si>
  <si>
    <t>AG+PVCX/gd4IEpyWKP+B3gg8Q0lRLk5ZU0U6SUJNLklRX0ZJTl9ESVZfTFRfREVCVF9UT1RBTC45OTEuMDcvMDMvMjAyNi4uLlVTRC5IAQAAAN62AQACAAAABTI3ODU5AQgAAAAFAAAAATEBAAAACjE5NDcxNzk1ODMDAAAAAzE2MAIAAAAFMjQ1MTUEAAAAATAHAAAACDMvNy8yMDI2CAAAAAoxMi8zMS8yMDE2CQAAAAEwb49UJf+B3ggYw5Yo/4HeCDpDSVEuTllTRTpJQk0uSVFfTElBQklMSVRJRVNfTEVWRUxfMS45OTEuMDcvMDMvMjAyNi4uLlVTRC5IAQAAAN62AQADAAAAAABvj1Ql/4HeCBjDlij/gd4IQkNJUS5OWVNFOklCTS5JUV9ERUZfVEFYX1ZBTFVBVElPTl9BTExPV0FOQ0UuOTkxLjA3LzAzLzIwMjYuLi5VU0QuSAEAAADetgEAAgAAAAM5MTYBCAAAAAUAAAABMQEAAAAKMTk0NzE3OTU4MwMAAAADMTYwAgAAAAU0NjA0NQQAAAABMAcAAAAIMy83LzIwMjYIAAAACjEyLzMxLzIwMTYJAAAAATBvj1Ql/4HeCPt0lij/gd4IM0NJUS5OWVNFOklCTS5JUV9GSU5JU0hFRF9JTlYuOTkxLjA3LzAzLzIwMjYuLi5VU0QuSAEAAADetgEAAgAAAAMzNTgBCAAAAAUAAAABMQEAAAAKMTk0NzE3OTU4MwMAAAADMTYwAgAAAAQzMDc1BAAAAAEwBwAAAAgzLzcvMjAyNggAAAAKMTIvMzEvMjAxNgkAAAABMG+PVCX/gd4I+3SWKP+B3ggsQ0lRLk5ZU0U6SUJNLklRX0xJRk9SLjk5MS4wNy8wMy8yMDI2Li4uVVNELkgB</t>
  </si>
  <si>
    <t>AAAA3rYBAAMAAAAAAG+PVCX/gd4I+3SWKP+B3ggxQ0lRLk5ZU0U6SUJNLklRX0NBU0hfU0hBUkUuOTkxLjA3LzAzLzIwMjYuLi5VU0QuSAEAAADetgEAAgAAAAg4LjI3Mzg4NgEIAAAABQAAAAExAQAAAAoxOTQ3MTc5NTgzAwAAAAMxNjACAAAABDQzODEEAAAAATAHAAAACDMvNy8yMDI2CAAAAAoxMi8zMS8yMDE2CQAAAAEwb49UJf+B3gj7dJYo/4HeCDNDSVEuTllTRTpJQk0uSVFfVE9UQUxfTEVBU0VTLjk5MS4wNy8wMy8yMDI2Li4uVVNELkgBAAAA3rYBAAMAAAAAAG+PVCX/gd4IEpyWKP+B3ghDQ0lRLk5ZU0U6SUJNLklRX1RPVEFMX0RFQlRfRVhDTF9PUEVSX0xFQVNFUy4yMDAwLjA3LzAzLzIwMjYuLi5VU0QuSAEAAADetgEAAgAAAAU2MTI2MAEIAAAABQAAAAExAQAAAAstMTkwNDg2MDY1NwMAAAADMTYwAgAAAAU0ODk4MgQAAAABMAcAAAAIMy83LzIwMjYIAAAACjEyLzMxLzIwMjUJAAAAATBvj1Ql/4HeCN9Nlij/gd4IPENJUS5OWVNFOklCTS5JUV9SVUFfQ0FQSVRBTF9MRUFTRV9ORVQuOTkxLjA3LzAzLzIwMjYuLi5VU0QuSAEAAADetgEAAwAAAAAAb49UJf+B3gjfTZYo/4HeCDFDSVEuTllTRTpJQk0uSVFfUFJFRl9PVEhFUi45OTEuMDcvMDMvMjAyNi4uLlVTRC5IAQAAAN62AQADAAAAAABvj1Ql/4HeCN9Nlij/gd4IK0NJUS5OWVNFOklCTS5JUV9BUElDLjk5MS4wNy8wMy8yMDI2Li4uVVNE</t>
  </si>
  <si>
    <t>LkgBAAAA3rYBAAMAAAAAAG+PVCX/gd4I302WKP+B3gg2Q0lRLk5ZU0U6SUJNLklRX0lOVEVSQ09NUEFOWV9DTC45OTEuMDcvMDMvMjAyNi4uLlVTRC5IAQAAAN62AQADAAAAAABvj1Ql/4HeCPt0lij/gd4IQENJUS5OWVNFOklCTS5JUV9ERVJJVkFUSVZFX0FTU0VUU19DVVJSRU5ULjk5MS4wNy8wMy8yMDI2Li4uVVNELkgBAAAA3rYBAAIAAAADNTMyAQgAAAAFAAAAATEBAAAACjE5NDcxNzk1ODMDAAAAAzE2MAIAAAAEMTEwOQQAAAABMAcAAAAIMy83LzIwMjYIAAAACjEyLzMxLzIwMTYJAAAAATBvj1Ql/4HeCLESlij/gd4IRUNJUS5OWVNFOklCTS5JUV9UT1RBTF9HRU5FUkFMX1BBUlRORVJfSU5URVJFU1QuOTkxLjA3LzAzLzIwMjYuLi5VU0QuSAEAAADetgEAAwAAAAAAb49UJf+B3gixEpYo/4HeCElDSVEuTllTRTpJQk0uSVFfTElRVUlEQVRJT05fVkFMVUVfUFJFRkVSUkVEX1JFREVFTS45OTEuMDcvMDMvMjAyNi4uLlVTRC5IAQAAAN62AQADAAAAAABvj1Ql/4HeCLESlij/gd4IMENJUS5OWVNFOklCTS5JUV9NQUNISU5FUlkuOTkxLjA3LzAzLzIwMjYuLi5VU0QuSAEAAADetgEAAgAAAAUxNTk5NQEIAAAABQAAAAExAQAAAAoxOTQ3MTc5NTgzAwAAAAMxNjACAAAABDMxMTQEAAAAATAHAAAACDMvNy8yMDI2CAAAAAoxMi8zMS8yMDE2CQAAAAEwb49UJf+B3ggBOpYo/4HeCDJDSVEuTllTRTpJQk0u</t>
  </si>
  <si>
    <t>SVFfV09SS0lOR19DQVAuOTkxLjA3LzAzLzIwMjYuLi5VU0QuSAEAAADetgEAAgAAAAQ3NjE0AQgAAAAFAAAAATEBAAAACjE5NDcxNzk1ODMDAAAAAzE2MAIAAAAENDE2NQQAAAABMAcAAAAIMy83LzIwMjYIAAAACjEyLzMxLzIwMTYJAAAAATBvj1Ql/4HeCAE6lij/gd4IL0NJUS5OWVNFOklCTS5JUV9CVl9TSEFSRS45OTEuMDcvMDMvMjAyNi4uLlVTRC5IAQAAAN62AQACAAAACDE5LjI5MDIzAQgAAAAFAAAAATEBAAAACjE5NDcxNzk1ODMDAAAAAzE2MAIAAAAENDAyMAQAAAABMAcAAAAIMy83LzIwMjYIAAAACjEyLzMxLzIwMTYJAAAAATBvj1Ql/4HeCOzXlSj/gd4IPUNJUS5OWVNFOklCTS5JUV9GSU5BTkNFX0xFQVNFU19DVVJSRU5ULjk5MS4wNy8wMy8yMDI2Li4uVVNELkgBAAAA3rYBAAMAAAAAAG+PVCX/gd4I7NeVKP+B3ghOQ0lRLk5ZU0U6SUJNLklRX0NVUlJFTlRfUE9SVElPTl9PUEVSX0xFQVNFX0xJQUJJTElUSUVTLjIwMDAuMDcvMDMvMjAyNi4uLlVTRC5IAQAAAN62AQACAAAAAzgwMAEIAAAABQAAAAExAQAAAAstMTkwNDg2MDY1NwMAAAADMTYwAgAAAAU0ODM4NQQAAAABMAcAAAAIMy83LzIwMjYIAAAACjEyLzMxLzIwMjUJAAAAATBvj1Ql/4HeCOzXlSj/gd4IPENJUS5OWVNFOklCTS5JUV9HUFBFX0VYQ0xfT1BFUl9MRUFTRVMuOTkxLjA3LzAzLzIwMjYuLi5VU0QuSAEAAADetgEAAgAA</t>
  </si>
  <si>
    <t>AAUzMDEzMwEIAAAABQAAAAExAQAAAAoxOTQ3MTc5NTgzAwAAAAMxNjACAAAABTQ4OTc0BAAAAAEwBwAAAAgzLzcvMjAyNggAAAAKMTIvMzEvMjAxNgkAAAABMG+PVCX/gd4I7NeVKP+B3ghIQ0lRLk5ZU0U6SUJNLklRX0xUX1BPUlRJT05fT1BFUl9MRUFTRV9MSUFCSUxJVElFUy45OTAuMDcvMDMvMjAyNi4uLlVTRC5IAQAAAN62AQADAAAAAABvj1Ql/4HeCLESlij/gd4IPENJUS5OWVNFOklCTS5JUV9BRFZBTkNFU19GT1JfU1VQUExJRVMuOTkxLjA3LzAzLzIwMjYuLi5VU0QuSAEAAADetgEAAwAAAAAAb49UJf+B3gjdsJUo/4HeCDpDSVEuTllTRTpJQk0uSVFfU1RfREVCVF9ERVJJVkFUSVZFUy45OTEuMDcvMDMvMjAyNi4uLlVTRC5IAQAAAN62AQADAAAAAABvj1Ql/4HeCN2wlSj/gd4IPENJUS5OWVNFOklCTS5JUV9GSU5fRElWX1NUX0RFQlRfVE9UQUwuOTkxLjA3LzAzLzIwMjYuLi5VU0QuSAEAAADetgEAAwAAAAAAb49UJf+B3gjdsJUo/4HeCEdDSVEuTllTRTpJQk0uSVFfQVNTRVRTX05FVFRJTkdfT1RIRVJfQURKVVNUTUVOVFMuOTkxLjA3LzAzLzIwMjYuLi5VU0QuSAEAAADetgEAAwAAAAAAb49UJf+B3gjs15Uo/4HeCD5DSVEuTllTRTpJQk0uSVFfTUlOT1JJVFlfSU5UX1JFREVFTV9UT1QuOTkxLjA3LzAzLzIwMjYuLi5VU0QuSAEAAADetgEAAwAAAAAAb49UJf+B3gjs15Uo/4HeCC5DSVEu</t>
  </si>
  <si>
    <t>TllTRTpJQk0uSVFfUkFXX0lOVi45OTEuMDcvMDMvMjAyNi4uLlVTRC5IAQAAAN62AQADAAAAAABvj1Ql/4HeCMlilSj/gd4IKkNJUS5OWVNFOklCTS5JUV9UQlYuOTkxLjA3LzAzLzIwMjYuLi5VU0QuSAEAAADetgEAAgAAAAYtMjI2NDEBCAAAAAUAAAABMQEAAAAKMTk0NzE3OTU4MwMAAAADMTYwAgAAAAQxMzEwBAAAAAEwBwAAAAgzLzcvMjAyNggAAAAKMTIvMzEvMjAxNgkAAAABMMK2VCX/gd4I8omVKP+B3ggxQ0lRLk5ZU0U6SUJNLklRX1RPVEFMX0RFQlQuOTkxLjA3LzAzLzIwMjYuLi5VU0QuSAEAAADetgEAAgAAAAU0MjE3NgEIAAAABQAAAAExAQAAAAoxOTQ3MTc5NTgzAwAAAAMxNjACAAAABDQxNzMEAAAAATAHAAAACDMvNy8yMDI2CAAAAAoxMi8zMS8yMDE2CQAAAAEwwrZUJf+B3gjyiZUo/4HeCEhDSVEuTllTRTpJQk0uSVFfTFRfUE9SVElPTl9PUEVSX0xFQVNFX0xJQUJJTElUSUVTLjk5MS4wNy8wMy8yMDI2Li4uVVNELkgBAAAA3rYBAAMAAAAAAMK2VCX/gd4I8omVKP+B3gg6Q0lRLk5ZU0U6SUJNLklRX0lOVEVSQ09NUEFOWV9OT05fQ0wuOTkxLjA3LzAzLzIwMjYuLi5VU0QuSAEAAADetgEAAwAAAAAAwrZUJf+B3gjdsJUo/4HeCEJDSVEuTllTRTpJQk0uSVFfREVSSVZBVElWRV9MSUFCX05PTl9DVVJSRU5ULjk5MS4wNy8wMy8yMDI2Li4uVVNELkgBAAAA3rYBAAIAAAACNTMBCAAAAAUA</t>
  </si>
  <si>
    <t>AAABMQEAAAAKMTk0NzE3OTU4MwMAAAADMTYwAgAAAAU0MDQxOQQAAAABMAcAAAAIMy83LzIwMjYIAAAACjEyLzMxLzIwMTYJAAAAATDCtlQl/4HeCG87lSj/gd4IO0NJUS5OWVNFOklCTS5JUV9ERVJJVkFUSVZFX0FTU0VUU19MVC45OTEuMDcvMDMvMjAyNi4uLlVTRC5IAQAAAN62AQACAAAAAjM5AQgAAAAFAAAAATEBAAAACjE5NDcxNzk1ODMDAAAAAzE2MAIAAAAEMTExMAQAAAABMAcAAAAIMy83LzIwMjYIAAAACjEyLzMxLzIwMTYJAAAAATDCtlQl/4HeCG87lSj/gd4IOUNJUS5OWVNFOklCTS5JUV9ERUJUX0VRVUlWX05FVF9QQk8uOTkxLjA3LzAzLzIwMjYuLi5VU0QuSAEAAADetgEAAgAAAAQ5Nzc0AQgAAAAFAAAAATEBAAAACjE5NDcxNzk1ODMDAAAAAzE2MAIAAAAFMjE2NzkEAAAAATAHAAAACDMvNy8yMDI2CAAAAAoxMi8zMS8yMDE2CQAAAAEwwrZUJf+B3gjJYpUo/4HeCEZDSVEuTllTRTpJQk0uSVFfRkFJUl9WQUxVRV9DSEFOR0VfSU5DTF9FQVJOSU5HUy45OTEuMDcvMDMvMjAyNi4uLlVTRC5IAQAAAN62AQADAAAAAADCtlQl/4HeCMlilSj/gd4ISkNJUS5OWVNFOklCTS5JUV9MSVFVSURBVElPTl9WQUxVRV9QUkVGRVJSRURfQ09OVkVSVC45OTEuMDcvMDMvMjAyNi4uLlVTRC5IAQAAAN62AQADAAAAAADCtlQl/4HeCMlilSj/gd4IPUNJUS5OWVNFOklCTS5JUV9MRUFTRUhPTERfSU1QUk9W</t>
  </si>
  <si>
    <t>RU1FTlQuMjAwMC4wNy8wMy8yMDI2Li4uVVNELkgBAAAA3rYBAAMAAAAAAMK2VCX/gd4IJiSVKP+B3ggrQ0lRLk5ZU0U6SUJNLklRX0xBTkQuOTkxLjA3LzAzLzIwMjYuLi5VU0QuSAEAAADetgEAAgAAAAM1MDYBCAAAAAUAAAABMQEAAAAKMTk0NzE3OTU4MwMAAAADMTYwAgAAAAQzMDk4BAAAAAEwBwAAAAgzLzcvMjAyNggAAAAKMTIvMzEvMjAxNgkAAAABMMK2VCX/gd4IJiSVKP+B3ggvQ0lRLk5ZU0U6SUJNLklRX1NPRlRXQVJFLjk5MS4wNy8wMy8yMDI2Li4uVVNELkgBAAAA3rYBAAMAAAAAAMK2VCX/gd4IbzuVKP+B3gg+Q0lRLk5ZU0U6SUJNLklRX01JTk9SSVRZX0lOVEVSRVNUX1RPVEFMLjk5MS4wNy8wMy8yMDI2Li4uVVNELkgBAAAA3rYBAAIAAAADMTQ2AQgAAAAFAAAAATEBAAAACjE5NDcxNzk1ODMDAAAAAzE2MAIAAAAEMTMxMgQAAAABMAcAAAAIMy83LzIwMjYIAAAACjEyLzMxLzIwMTYJAAAAATDCtlQl/4HeCG87lSj/gd4IPUNJUS5OWVNFOklCTS5JUV9DT05USU5HRU5UX0xJQUJJTElUSUVTLjk5MC4wNy8wMy8yMDI2Li4uVVNELkgBAAAA3rYBAAMAAAAAAMK2VCX/gd4IbzuVKP+B3gg6Q0lRLk5ZU0U6SUJNLklRX01JTk9SSVRZX0lOVF9SRURFRU0uOTkwLjA3LzAzLzIwMjYuLi5VU0QuSAEAAADetgEAAwAAAAAAwrZUJf+B3ggC1pQo/4HeCC9DSVEuTllTRTpJQk0uSVFfR1dfSU5UQU4u</t>
  </si>
  <si>
    <t>OTkwLjA3LzAzLzIwMjYuLi5VU0QuSAEAAADetgEAAgAAAAUzNTUwOAEIAAAABQAAAAExAQAAAAoxODc2NDMyODcyAwAAAAMxNjACAAAABTM1MzgxBAAAAAEwBwAAAAgzLzcvMjAyNggAAAAKMTIvMzEvMjAxNQkAAAABMMK2VCX/gd4IDP2UKP+B3gg1Q0lRLk5ZU0U6SUJNLklRX0FDQ1VNX0FNT1JUX0dXLjk5MS4wNy8wMy8yMDI2Li4uVVNELkgBAAAA3rYBAAMAAAAAAMK2VCX/gd4IDP2UKP+B3gg9Q0lRLk5ZU0U6SUJNLklRX0NPTlRJTkdFTlRfTElBQklMSVRJRVMuOTkxLjA3LzAzLzIwMjYuLi5VU0QuSAEAAADetgEAAwAAAAAAwrZUJf+B3ggM/ZQo/4HeCDVDSVEuTllTRTpJQk0uSVFfQVNTRVRTX0xFVkVMXzIuOTkxLjA3LzAzLzIwMjYuLi5VU0QuSAEAAADetgEAAgAAAAQ1NDYwAMK2VCX/gd4IDP2UKP+B3gg4Q0lRLk5ZU0U6SUJNLklRX0FTU0VUU19GQUlSX1ZBTFVFLjk5MS4wNy8wMy8yMDI2Li4uVVNELkgBAAAA3rYBAAIAAAAENjY3MgDCtlQl/4HeCOyulCj/gd4IOkNJUS5OWVNFOklCTS5JUV9NSU5PUklUWV9JTlRfUkVERUVNLjk5MS4wNy8wMy8yMDI2Li4uVVNELkgBAAAA3rYBAAMAAAAAAMK2VCX/gd4I7K6UKP+B3ggvQ0lRLk5ZU0U6SUJNLklRX0dXX0lOVEFOLjk5MS4wNy8wMy8yMDI2Li4uVVNELkgBAAAA3rYBAAIAAAAFNDA4ODcBCAAAAAUAAAABMQEAAAAKMTk0NzE3OTU4MwMAAAAD</t>
  </si>
  <si>
    <t>MTYwAgAAAAUzNTM4MQQAAAABMAcAAAAIMy83LzIwMjYIAAAACjEyLzMxLzIwMTYJAAAAATDCtlQl/4HeCALWlCj/gd4IOkNJUS5OWVNFOklCTS5JUV9UT1RBTF9ERUJUX0NVUlJFTlQuMjAwMC4wNy8wMy8yMDI2Li4uVVNELkgBAAAA3rYBAAIAAAAENzIyNAEIAAAABQAAAAExAQAAAAstMTkwNDg2MDY1NwMAAAADMTYwAgAAAAUyNTIyMwQAAAABMAcAAAAIMy83LzIwMjYIAAAACjEyLzMxLzIwMjUJAAAAATDCtlQl/4HeCALWlCj/gd4IOkNJUS5OWVNFOklCTS5JUV9JTlRFUkNPTVBBTllfTk9OX0NBLjk5MS4wNy8wMy8yMDI2Li4uVVNELkgBAAAA3rYBAAMAAAAAAMK2VCX/gd4IAtaUKP+B3ghAQ0lRLk5ZU0U6SUJNLklRX0RFUklWQVRJVkVfVFJBRElOR19BU1NFVFMuOTkxLjA3LzAzLzIwMjYuLi5VU0QuSAEAAADetgEAAwAAAAAAwrZUJf+B3gjfh5Qo/4HeCDlDSVEuTllTRTpJQk0uSVFfRklOX0RJVl9DQVNIX0VRVUlWLjk5MS4wNy8wMy8yMDI2Li4uVVNELkgBAAAA3rYBAAMAAAAAAMK2VCX/gd4I34eUKP+B3gg8Q0lRLk5ZU0U6SUJNLklRX0RFQlRfRVFVSVZfT1BFUl9MRUFTRS45OTEuMDcvMDMvMjAyNi4uLlVTRC5IAQAAAN62AQADAAAAAADCtlQl/4HeCN+HlCj/gd4ITENJUS5OWVNFOklCTS5JUV9MSUFCSUxJVElFU19ORVRUSU5HX09USEVSX0FESlVTVE1FTlRTLjk5MS4wNy8wMy8yMDI2Li4u</t>
  </si>
  <si>
    <t>VVNELkgBAAAA3rYBAAMAAAAAAMK2VCX/gd4I7K6UKP+B3ghIQ0lRLk5ZU0U6SUJNLklRX0dFTkVSQUxfUEFSVE5FUl9NSU5PUklUWV9JTlRFUkVTVC45OTEuMDcvMDMvMjAyNi4uLlVTRC5IAQAAAN62AQADAAAAAADCtlQl/4HeCOyulCj/gd4IMENJUS5OWVNFOklCTS5JUV9CVUlMRElOR1MuOTkxLjA3LzAzLzIwMjYuLi5VU0QuSAEAAADetgEAAgAAAAQ5NzYzAQgAAAAFAAAAATEBAAAACjE5NDcxNzk1ODMDAAAAAzE2MAIAAAAEMzAyMwQAAAABMAcAAAAIMy83LzIwMjYIAAAACjEyLzMxLzIwMTYJAAAAATDCtlQl/4HeCN5glCj/gd4IPUNJUS5OWVNFOklCTS5JUV9UT1RBTF9ERUJUX05PTl9DVVJSRU5ULjk5MS4wNy8wMy8yMDI2Li4uVVNELkgBAAAA3rYBAAIAAAAFMzQ2NjMBCAAAAAUAAAABMQEAAAAKMTk0NzE3OTU4MwMAAAADMTYwAgAAAAUyNTIyNAQAAAABMAcAAAAIMy83LzIwMjYIAAAACjEyLzMxLzIwMTYJAAAAATDCtlQl/4HeCN5glCj/gd4IMENJUS5OWVNFOklCTS5JUV9UT1RBTF9DQVAuOTkxLjA3LzAzLzIwMjYuLi5VU0QuSAEAAADetgEAAgAAAAU2MDU2OAEIAAAABQAAAAExAQAAAAoxOTQ3MTc5NTgzAwAAAAMxNjACAAAABDQxNzUEAAAAATAHAAAACDMvNy8yMDI2CAAAAAoxMi8zMS8yMDE2CQAAAAEwwrZUJf+B3gjeYJQo/4HeCEJDSVEuTllTRTpJQk0uSVFfVE9UQUxfREVCVF9FWENM</t>
  </si>
  <si>
    <t>X09QRVJfTEVBU0VTLjk5MS4wNy8wMy8yMDI2Li4uVVNELkgBAAAA3rYBAAIAAAAFNDIxNzYBCAAAAAUAAAABMQEAAAAKMTk0NzE3OTU4MwMAAAADMTYwAgAAAAU0ODk4MgQAAAABMAcAAAAIMy83LzIwMjYIAAAACjEyLzMxLzIwMTYJAAAAATDCtlQl/4HeCN5glCj/gd4IOUNJUS5OWVNFOklCTS5JUV9UT1RBTF9SRVZfRU1QTE9ZRUUuOTkxLjA3LzAzLzIwMjYuLi5VU0QuSAEAAADetgEAAgAAAAcyMTAuMTQ3AQgAAAAFAAAAATEBAAAACjE5NDcxNzk1ODMDAAAAAzE2MAIAAAAENDEyMwQAAAABMAcAAAAIMy83LzIwMjYIAAAACjEyLzMxLzIwMTYJAAAAATDCtlQl/4HeCN+HlCj/gd4IOUNJUS5OWVNFOklCTS5JUV9MVF9NQVJLX1NFQ1VSSVRJRVMuOTkxLjA3LzAzLzIwMjYuLi5VU0QuSAEAAADetgEAAwAAAAAAwrZUJf+B3gi6/pMo/4HeCD9DSVEuTllTRTpJQk0uSVFfQUNDVU1fQU1PUlRfSU5UQU5fQVNTRVRTLjk5MS4wNy8wMy8yMDI2Li4uVVNELkgBAAAA3rYBAAIAAAAFLTMxMTYBCAAAAAUAAAABMQEAAAAKMTk0NzE3OTU4MwMAAAADMTYwAgAAAAUyNDMzMQQAAAABMAcAAAAIMy83LzIwMjYIAAAACjEyLzMxLzIwMTYJAAAAATDCtlQl/4HeCIU5lCj/gd4IOkNJUS5OWVNFOklCTS5JUV9UT1RBTF9ERUJUX0VYQ0xfRklOLjk5MS4wNy8wMy8yMDI2Li4uVVNELkgBAAAA3rYBAAIAAAAFNDIxNzYBCAAA</t>
  </si>
  <si>
    <t>AAUAAAABMQEAAAAKMTk0NzE3OTU4MwMAAAADMTYwAgAAAAUyMTg2MAQAAAABMAcAAAAIMy83LzIwMjYIAAAACjEyLzMxLzIwMTYJAAAAATDCtlQl/4HeCIU5lCj/gd4INUNJUS5OWVNFOklCTS5JUV9BU1NFVFNfTEVWRUxfMy45OTEuMDcvMDMvMjAyNi4uLlVTRC5IAQAAAN62AQADAAAAAADCtlQl/4HeCIU5lCj/gd4IQkNJUS5OWVNFOklCTS5JUV9GSU5fRElWX01JTk9SSVRZX0lOVF9SRURFRU0uOTkxLjA3LzAzLzIwMjYuLi5VU0QuSAEAAADetgEAAwAAAAAAwrZUJf+B3giFOZQo/4HeCCpDSVEuTllTRTpJQk0uSVFfQ0lQLjk5MS4wNy8wMy8yMDI2Li4uVVNELkgBAAAA3rYBAAMAAAAAAMK2VCX/gd4Iuv6TKP+B3gg0Q0lRLk5ZU0U6SUJNLklRX0VRVUlUWV9NRVRIT0QuOTkxLjA3LzAzLzIwMjYuLi5VU0QuSAEAAADetgEAAgAAAAI4NQEIAAAABQAAAAExAQAAAAoxOTQ3MTc5NTgzAwAAAAMxNjACAAAABDMwNjMEAAAAATAHAAAACDMvNy8yMDI2CAAAAAoxMi8zMS8yMDE2CQAAAAEwwrZUJf+B3gi6/pMo/4HeCDBDSVEuTllTRTpJQk0uSVFfT1RIRVJfSU5WLjk5MC4wNy8wMy8yMDI2Li4uVVNELkgBAAAA3rYBAAMAAAAAAMK2VCX/gd4Iuv6TKP+B3ggwQ0lRLk5ZU0U6SUJNLklRX0lOVEFOX05FVC45OTEuMDcvMDMvMjAyNi4uLlVTRC5IAQAAAN62AQADAAAAAADCtlQl/4HeCLr+kyj/gd4IPkNJUS5O</t>
  </si>
  <si>
    <t>WVNFOklCTS5JUV9ERVJJVkFUSVZFX0xJQUJfQ1VSUkVOVC45OTEuMDcvMDMvMjAyNi4uLlVTRC5IAQAAAN62AQACAAAAAzE0NQEIAAAABQAAAAExAQAAAAoxOTQ3MTc5NTgzAwAAAAMxNjACAAAABTQwNDE3BAAAAAEwBwAAAAgzLzcvMjAyNggAAAAKMTIvMzEvMjAxNgkAAAABMMK2VCX/gd4Iuv6TKP+B3gg4Q0lRLk5ZU0U6SUJNLklRX0ZJTl9ESVZfU1RfSU5WRVNULjk5MS4wNy8wMy8yMDI2Li4uVVNELkgBAAAA3rYBAAMAAAAAAMK2VCX/gd4I6bCTKP+B3gg6Q0lRLk5ZU0U6SUJNLklRX0xJQUJJTElUSUVTX0xFVkVMXzIuOTkxLjA3LzAzLzIwMjYuLi5VU0QuSAEAAADetgEAAgAAAAUzNzA0NADCtlQl/4HeCK/Xkyj/gd4IPUNJUS5OWVNFOklCTS5JUV9MSUFCSUxJVElFU19GQUlSX1ZBTFVFLjk5MS4wNy8wMy8yMDI2Li4uVVNELkgBAAAA3rYBAAIAAAAFMzcwNDQAwrZUJf+B3giv15Mo/4HeCERDSVEuTllTRTpJQk0uSVFfR0VORVJBTF9QQVJUTkVSX0NPTU1PTl9FUVVJVFkuOTkxLjA3LzAzLzIwMjYuLi5VU0QuSAEAAADetgEAAwAAAAAAwrZUJf+B3giv15Mo/4HeCDBDSVEuTllTRTpJQk0uSVFfT1RIRVJfSU5WLjk5MS4wNy8wMy8yMDI2Li4uVVNELkgBAAAA3rYBAAMAAAAAAMK2VCX/gd4Ir9eTKP+B3ggvQ0lRLk5ZU0U6SUJNLklRX05FVF9ERUJULjk5MS4wNy8wMy8yMDI2Li4uVVNELkgBAAAA</t>
  </si>
  <si>
    <t>3rYBAAIAAAAFMzM2NDkBCAAAAAUAAAABMQEAAAAKMTk0NzE3OTU4MwMAAAADMTYwAgAAAAQ0MzY0BAAAAAEwBwAAAAgzLzcvMjAyNggAAAAKMTIvMzEvMjAxNgkAAAABMMK2VCX/gd4ImImTKP+B3ghPQ0lRLk5ZU0U6SUJNLklRX0ZJTkFOQ0lOR19PQkxJR19DVVJSRU5UX0VYQ0xfT1BFUl9MRUFTRVMuOTkxLjA3LzAzLzIwMjYuLi5VU0QuSAEAAADetgEAAgAAAAQ3NTEzAQgAAAAFAAAAATEBAAAACjE5NDcxNzk1ODMDAAAAAzE2MAIAAAAFNDg5ODAEAAAAATAHAAAACDMvNy8yMDI2CAAAAAoxMi8zMS8yMDE2CQAAAAEwwrZUJf+B3giYiZMo/4HeCD1DSVEuTllTRTpJQk0uSVFfVE9UQUxfREVCVF9FWENMX0xFQVNFUy45OTEuMDcvMDMvMjAyNi4uLlVTRC5IAQAAAN62AQACAAAABTQyMTc2AQgAAAAFAAAAATEBAAAACjE5NDcxNzk1ODMDAAAAAzE2MAIAAAAFNDg5OTIEAAAAATAHAAAACDMvNy8yMDI2CAAAAAoxMi8zMS8yMDE2CQAAAAEwwrZUJf+B3gjpsJMo/4HeCEBDSVEuTllTRTpJQk0uSVFfUlVBX09QRVJBVElOR19MRUFTRV9HUk9TUy45OTEuMDcvMDMvMjAyNi4uLlVTRC5IAQAAAN62AQADAAAAAADCtlQl/4HeCOmwkyj/gd4IKUNJUS5OWVNFOklCTS5JUV9SRS45OTEuMDcvMDMvMjAyNi4uLlVTRC5IAQAAAN62AQACAAAABjE1Mjc1OQEIAAAABQAAAAExAQAAAAoxOTQ3MTc5NTgzAwAAAAMxNjAC</t>
  </si>
  <si>
    <t>AAAABDEyMjIEAAAAATAHAAAACDMvNy8yMDI2CAAAAAoxMi8zMS8yMDE2CQAAAAEwwrZUJf+B3gjpsJMo/4HeCDZDSVEuTllTRTpJQk0uSVFfRklOX0RJVl9MSUFCX0xULjk5MS4wNy8wMy8yMDI2Li4uVVNELkgBAAAA3rYBAAMAAAAAAMK2VCX/gd4Ii2KTKP+B3ggzQ0lRLk5ZU0U6SUJNLklRX1RPVEFMX0FTU0VUUy45OTEuMDcvMDMvMjAyNi4uLlVTRC5IAQAAAN62AQACAAAABjExNzQ3MAEIAAAABQAAAAExAQAAAAoxOTQ3MTc5NTgzAwAAAAMxNjACAAAABDEwMDcEAAAAATAHAAAACDMvNy8yMDI2CAAAAAoxMi8zMS8yMDE2CQAAAAEwwrZUJf+B3giLYpMo/4HeCC5DSVEuTllTRTpJQk0uSVFfU1RfREVCVC45OTEuMDcvMDMvMjAyNi4uLlVTRC5IAQAAAN62AQACAAAABDEyNzQBCAAAAAUAAAABMQEAAAAKMTk0NzE3OTU4MwMAAAADMTYwAgAAAAQxMDQ2BAAAAAEwBwAAAAgzLzcvMjAyNggAAAAKMTIvMzEvMjAxNgkAAAABMMK2VCX/gd4Ii2KTKP+B3gg8Q0lRLk5ZU0U6SUJNLklRX0ZJTl9ESVZfREVCVF9DVVJSRU5ULjIwMDAuMDcvMDMvMjAyNi4uLlVTRC5IAQAAAN62AQADAAAAAADCtlQl/4HeCJiJkyj/gd4IMUNJUS5OWVNFOklCTS5JUV9MVF9JTlZFU1QuMjAwMC4wNy8wMy8yMDI2Li4uVVNELkgBAAAA3rYBAAIAAAAEMTc1MQEIAAAABQAAAAExAQAAAAstMTkwNDg2MDY1NwMAAAADMTYwAgAAAAQx</t>
  </si>
  <si>
    <t>MDU0BAAAAAEwBwAAAAgzLzcvMjAyNggAAAAKMTIvMzEvMjAyNQkAAAABMMK2VCX/gd4ImImTKP+B3gg4Q0lRLk5ZU0U6SUJNLklRX0ZJTl9ESVZfTE9BTlNfTFQuMjAwMC4wNy8wMy8yMDI2Li4uVVNELkgBAAAA3rYBAAIAAAAENzcwOAEIAAAABQAAAAExAQAAAAstMTkwNDg2MDY1NwMAAAADMTYwAgAAAAQxMDMzBAAAAAEwBwAAAAgzLzcvMjAyNggAAAAKMTIvMzEvMjAyNQkAAAABMMK2VCX/gd4ICzyTKP+B3ggvQ0lRLk5ZU0U6SUJNLklRX0dST1NTX0dXLjk5MS4wNy8wMy8yMDI2Li4uVVNELkgBAAAA3rYBAAMAAAAAAMK2VCX/gd4ICzyTKP+B3ghCQ0lRLk5ZU0U6SUJNLklRX1JFU1RSSUNURURfQ0FTSF9OT05fQ1VSUkVOVC45OTEuMDcvMDMvMjAyNi4uLlVTRC5IAQAAAN62AQADAAAAAADCtlQl/4HeCAs8kyj/gd4INENJUS5OWVNFOklCTS5JUV9PUkRFUl9CQUNLTE9HLjk5MS4wNy8wMy8yMDI2Li4uVVNELkgBAAAA3rYBAAMAAAAAAMK2VCX/gd4Ii2KTKP+B3ggzQ0lRLk5ZU0U6SUJNLklRX0dXX0lOVEFOX05FVC45OTEuMDcvMDMvMjAyNi4uLlVTRC5IAQAAAN62AQADAAAAAADCtlQl/4HeCItikyj/gd4INkNJUS5OWVNFOklCTS5JUV9JTlRFUkNPTVBBTllfQ0EuOTkxLjA3LzAzLzIwMjYuLi5VU0QuSAEAAADetgEAAwAAAAAAwrZUJf+B3ggLPJMo/4HeCERDSVEuTllTRTpJQk0uSVFfQ1VSUkVO</t>
  </si>
  <si>
    <t>VF9QT1JUX0RFQlRfREVSSVZBVElWRVMuOTkxLjA3LzAzLzIwMjYuLi5VU0QuSAEAAADetgEAAgAAAAQxMTI1AQgAAAAFAAAAATEBAAAACjE5NDcxNzk1ODMDAAAAAzE2MAIAAAAFMzA5MTcEAAAAATAHAAAACDMvNy8yMDI2CAAAAAoxMi8zMS8yMDE2CQAAAAEwwrZUJf+B3ggLPJMo/4HeCDlDSVEuTllTRTpJQk0uSVFfRklOX0RJVl9ERUJUX1RPVEFMLjk5MS4wNy8wMy8yMDI2Li4uVVNELkgBAAAA3rYBAAIAAAAFMjc4NTkBCAAAAAUAAAABMQEAAAAKMTk0NzE3OTU4MwMAAAADMTYwAgAAAAUyNDUxNgQAAAABMAcAAAAIMy83LzIwMjYIAAAACjEyLzMxLzIwMTYJAAAAATDCtlQl/4HeCAs8kyj/gd4IOkNJUS5OWVNFOklCTS5JUV9MSUFCSUxJVElFU19MRVZFTF8zLjk5MS4wNy8wMy8yMDI2Li4uVVNELkgBAAAA3rYBAAMAAAAAAMK2VCX/gd4ICzyTKP+B3ghAQ0lRLk5ZU0U6SUJNLklRX0ZJTl9ESVZfTUlOT1JJVFlfSU5URVJFU1QuOTkxLjA3LzAzLzIwMjYuLi5VU0QuSAEAAADetgEAAwAAAAAAwrZUJf+B3ggLPJMo/4HeCEJDSVEuTllTRTpJQk0uSVFfR0VORVJBTF9QQVJUTkVSX1BSRUZfRVFVSVRZLjk5MS4wNy8wMy8yMDI2Li4uVVNELkgBAAAA3rYBAAMAAAAAAMK2VCX/gd4IhBSTKP+B3gg5Q0lRLk5ZU0U6SUJNLklRX0dST1NTX0lOVEFOX0FTU0VUUy45OTAuMDcvMDMvMjAyNi4uLlVTRC5IAQAA</t>
  </si>
  <si>
    <t>AN62AQACAAAABDUxOTYBCAAAAAUAAAABMQEAAAAKMTg3NjQzMjg3MgMAAAADMTYwAgAAAAUyNDI5MwQAAAABMAcAAAAIMy83LzIwMjYIAAAACjEyLzMxLzIwMTUJAAAAATDCtlQl/4HeCIQUkyj/gd4IOUNJUS5OWVNFOklCTS5JUV9HUk9TU19JTlRBTl9BU1NFVFMuOTkxLjA3LzAzLzIwMjYuLi5VU0QuSAEAAADetgEAAgAAAAQ2OTI4AQgAAAAFAAAAATEBAAAACjE5NDcxNzk1ODMDAAAAAzE2MAIAAAAFMjQyOTMEAAAAATAHAAAACDMvNy8yMDI2CAAAAAoxMi8zMS8yMDE2CQAAAAEwwrZUJf+B3giEFJMo/4HeCDxDSVEuTllTRTpJQk0uSVFfUkVTVFJJQ1RFRF9DQVNIX1RPVEFMLjk5MS4wNy8wMy8yMDI2Li4uVVNELkgBAAAA3rYBAAMAAAAAAMK2VCX/gd4IhBSTKP+B3ghNQ0lRLk5ZU0U6SUJNLklRX0xJUVVJREFUSU9OX1ZBTFVFX1BSRUZFUlJFRF9OT05fUkVERUVNLjk5MS4wNy8wMy8yMDI2Li4uVVNELkgBAAAA3rYBAAMAAAAAAMK2VCX/gd4IhBSTKP+B3ghNQ0lRLk5ZU0U6SUJNLklRX0NVUlJFTlRfUE9SVElPTl9PUEVSX0xFQVNFX0xJQUJJTElUSUVTLjk5MS4wNy8wMy8yMDI2Li4uVVNELkgBAAAA3rYBAAMAAAAAAMK2VCX/gd4IDO2SKP+B3ggxQ0lRLk5ZU0U6SUJNLklRX1JVQV9HUk9TUy4yMDAwLjA3LzAzLzIwMjYuLi5VU0QuSAEAAADetgEAAwAAAAAAwrZUJf+B3ggM7ZIo/4HeCDVDSVEu</t>
  </si>
  <si>
    <t>TllTRTpJQk0uSVFfT1RIRVJfQ0xfU1VQUEwuOTkxLjA3LzAzLzIwMjYuLi5VU0QuSAEAAADetgEAAgAAAAMxNTkBCAAAAAUAAAABMQEAAAAKMTk0NzE3OTU4MwMAAAADMTYwAgAAAAQxMDU3BAAAAAEwBwAAAAgzLzcvMjAyNggAAAAKMTIvMzEvMjAxNgkAAAABMMK2VCX/gd4IDO2SKP+B3gg+Q0lRLk5ZU0U6SUJNLklRX1JVQV9DQVBJVEFMX0xFQVNFX0dST1NTLjk5MS4wNy8wMy8yMDI2Li4uVVNELkgBAAAA3rYBAAMAAAAAAMK2VCX/gd4IDO2SKP+B3gg0Q0lRLk5ZU0U6SUJNLklRX1VORUFSTl9SRVZfTFQuOTkxLjA3LzAzLzIwMjYuLi5VU0QuSAEAAADetgEAAgAAAAQzNjAwAQgAAAAFAAAAATEBAAAACjE5NDcxNzk1ODMDAAAAAzE2MAIAAAAEMTI1NgQAAAABMAcAAAAIMy83LzIwMjYIAAAACjEyLzMxLzIwMTYJAAAAATDCtlQl/4HeCAztkij/gd4IMkNJUS5OWVNFOklCTS5JUV9PVEhFUl9JTlRBTi45OTEuMDcvMDMvMjAyNi4uLlVTRC5IAQAAAN62AQACAAAABDQ2ODgBCAAAAAUAAAABMQEAAAAKMTk0NzE3OTU4MwMAAAADMTYwAgAAAAQxMDQwBAAAAAEwBwAAAAgzLzcvMjAyNggAAAAKMTIvMzEvMjAxNgkAAAABMMK2VCX/gd4InKuSKP+B3ggvQ0lRLk5ZU0U6SUJNLklRX1RPVEFMX0NBLjk5MS4wNy8wMy8yMDI2Li4uVVNELkgBAAAA3rYBAAIAAAAFNDM4ODkBCAAAAAUAAAABMQEAAAAKMTk0NzE3</t>
  </si>
  <si>
    <t>OTU4MwMAAAADMTYwAgAAAAQxMDA4BAAAAAEwBwAAAAgzLzcvMjAyNggAAAAKMTIvMzEvMjAxNgkAAAABMMK2VCX/gd4I+7+SKP+B3gg0Q0lRLk5ZU0U6SUJNLklRX1JVQV9BQ0NVTV9ERVAuOTkxLjA3LzAzLzIwMjYuLi5VU0QuSAEAAADetgEAAwAAAAAAwrZUJf+B3gj7v5Io/4HeCDlDSVEuTllTRTpJQk0uSVFfVU5FQVJOX1JFVl9DVVJSRU5ULjk5MC4wNy8wMy8yMDI2Li4uVVNELkgBAAAA3rYBAAIAAAAFMTEyNTkBCAAAAAUAAAABMQEAAAAKMTg3NjQzMjg3MgMAAAADMTYwAgAAAAQxMDc0BAAAAAEwBwAAAAgzLzcvMjAyNggAAAAKMTIvMzEvMjAxNQkAAAABMMK2VCX/gd4ItdiSKP+B3gg4Q0lRLk5ZU0U6SUJNLklRX0xPTkdfVEVSTV9MRUFTRVMuMjAwMC4wNy8wMy8yMDI2Li4uVVNELkgBAAAA3rYBAAIAAAAEMzQyMQEIAAAABQAAAAExAQAAAAstMTkwNDg2MDY1NwMAAAADMTYwAgAAAAQxMTgzBAAAAAEwBwAAAAgzLzcvMjAyNggAAAAKMTIvMzEvMjAyNQkAAAABMMK2VCX/gd4ItdiSKP+B3ggsQ0lRLk5ZU0U6SUJNLklRX0xJRk9SLjk5MC4wNy8wMy8yMDI2Li4uVVNELkgBAAAA3rYBAAMAAAAAAMK2VCX/gd4IYoSSKP+B3ghEQ0lRLk5ZU0U6SUJNLklRX1JVQV9PUEVSQVRJTkdfTEVBU0VfQUNDVU1fREVQLjk5MS4wNy8wMy8yMDI2Li4uVVNELkgBAAAA3rYBAAMAAAAAAMK2VCX/gd4IYoSSKP+B</t>
  </si>
  <si>
    <t>3gg4Q0lRLk5ZU0U6SUJNLklRX1RPVEFMX0xJQUJfRVFVSVRZLjk5MS4wNy8wMy8yMDI2Li4uVVNELkgBAAAA3rYBAAIAAAAGMTE3NDcwAQgAAAAFAAAAATEBAAAACjE5NDcxNzk1ODMDAAAAAzE2MAIAAAAEMTAxMwQAAAABMAcAAAAIMy83LzIwMjYIAAAACjEyLzMxLzIwMTYJAAAAATDCtlQl/4HeCGKEkij/gd4IOUNJUS5OWVNFOklCTS5JUV9VTkVBUk5fUkVWX0NVUlJFTlQuOTkxLjA3LzAzLzIwMjYuLi5VU0QuSAEAAADetgEAAgAAAAUxMTI5OQEIAAAABQAAAAExAQAAAAoxOTQ3MTc5NTgzAwAAAAMxNjACAAAABDEwNzQEAAAAATAHAAAACDMvNy8yMDI2CAAAAAoxMi8zMS8yMDE2CQAAAAEwwrZUJf+B3gicq5Io/4HeCDZDSVEuTllTRTpJQk0uSVFfRklOX0RJVl9ERUJUX0xULjk5MC4wNy8wMy8yMDI2Li4uVVNELkgBAAAA3rYBAAMAAAAAAMK2VCX/gd4InKuSKP+B3ggzQ0lRLk5ZU0U6SUJNLklRX1RPVEFMX1JFQ0VJVi45OTEuMDcvMDMvMjAyNi4uLlVTRC5IAQAAAN62AQACAAAABTEwMjM5AQgAAAAFAAAAATEBAAAACjE5NDcxNzk1ODMDAAAAAzE2MAIAAAAEMTAwMQQAAAABMAcAAAAIMy83LzIwMjYIAAAACjEyLzMxLzIwMTYJAAAAATDCtlQl/4HeCPVckij/gd4IRENJUS5OWVNFOklCTS5JUV9UT1RBTF9ERUJUX1JFUEFJRF9FWENMX0xFQVNFUy45OTEuMDcvMDMvMjAyNi4uLlVTRC5IAQAAAN62</t>
  </si>
  <si>
    <t>AQACAAAABS02Mzk1AQgAAAAFAAAAATEBAAAACjE5NDcxNzk1ODMDAAAAAzE2MAIAAAAFNDg5ODYEAAAAATAHAAAACDMvNy8yMDI2CAAAAAoxMi8zMS8yMDE2CQAAAAEwwrZUJf+B3gj1XJIo/4HeCDtDSVEuTllTRTpJQk0uSVFfQ0hBTkdFX0RFRl9UQVhfVE9UQUwuOTkxLjA3LzAzLzIwMjYuLi5VU0QuSAEAAADetgEAAgAAAAUtMTEzMgEIAAAABQAAAAExAQAAAAoxOTQ3MTc5NTgzAwAAAAMxNjACAAAABTMwOTI0BAAAAAEwBwAAAAgzLzcvMjAyNggAAAAKMTIvMzEvMjAxNgkAAAABMMK2VCX/gd4I9VySKP+B3ghNQ0lRLk5ZU0U6SUJNLklRX0xJUVVJREFUSU9OX1ZBTFVFX1BSRUZFUlJFRF9OT05fUkVERUVNLjk5MC4wNy8wMy8yMDI2Li4uVVNELkgBAAAA3rYBAAMAAAAAAMK2VCX/gd4I9VySKP+B3gg4Q0lRLk5ZU0U6SUJNLklRX1RPVEFMX09QRVJfTEVBU0VTLjk5MS4wNy8wMy8yMDI2Li4uVVNELkgBAAAA3rYBAAMAAAAAAMK2VCX/gd4IYoSSKP+B3gg2Q0lRLk5ZU0U6SUJNLklRX0ZJTl9ESVZfREVCVF9MVC45OTEuMDcvMDMvMjAyNi4uLlVTRC5IAQAAAN62AQADAAAAAADCtlQl/4HeCJwdkij/gd4IMkNJUS5OWVNFOklCTS5JUV9BUl9VTkJJTExFRC45OTEuMDcvMDMvMjAyNi4uLlVTRC5IAQAAAN62AQACAAAABDE2MTEBCAAAAAUAAAABMQEAAAAKMTk0NzE3OTU4MwMAAAADMTYwAgAAAAU0NTQy</t>
  </si>
  <si>
    <t>MAQAAAABMAcAAAAIMy83LzIwMjYIAAAACjEyLzMxLzIwMTYJAAAAATDCtlQl/4HeCJwdkij/gd4IU0NJUS5OWVNFOklCTS5JUV9GSU5BTkNJTkdfT0JMSUdfTk9OX0NVUlJFTlRfRVhDTF9PUEVSX0xFQVNFUy45OTEuMDcvMDMvMjAyNi4uLlVTRC5IAQAAAN62AQACAAAABTM0NjYzAQgAAAAFAAAAATEBAAAACjE5NDcxNzk1ODMDAAAAAzE2MAIAAAAFNDg5ODEEAAAAATAHAAAACDMvNy8yMDI2CAAAAAoxMi8zMS8yMDE2CQAAAAEwwrZUJf+B3gikRJIo/4HeCDJDSVEuTllTRTpJQk0uSVFfUFJFRl9FUVVJVFkuOTkxLjA3LzAzLzIwMjYuLi5VU0QuSAEAAADetgEAAwAAAAAAwrZUJf+B3gikRJIo/4HeCDtDSVEuTllTRTpJQk0uSVFfRklOX0RJVl9MSUFCX0NVUlJFTlQuOTkxLjA3LzAzLzIwMjYuLi5VU0QuSAEAAADetgEAAwAAAAAAwrZUJf+B3gikRJIo/4HeCDZDSVEuTllTRTpJQk0uSVFfUkVTVFJJQ1RFRF9DQVNILjk5MS4wNy8wMy8yMDI2Li4uVVNELkgBAAAA3rYBAAMAAAAAAMK2VCX/gd4InPaRKP+B3gg8Q0lRLk5ZU0U6SUJNLklRX0xFQVNFSE9MRF9JTVBST1ZFTUVOVC45OTEuMDcvMDMvMjAyNi4uLlVTRC5IAQAAAN62AQADAAAAAADCtlQl/4HeCJz2kSj/gd4ILkNJUS5OWVNFOklCTS5JUV9QRU5TSU9OLjk5MS4wNy8wMy8yMDI2Li4uVVNELkgBAAAA3rYBAAIAAAAFMTcwNzABCAAAAAUAAAAB</t>
  </si>
  <si>
    <t>MQEAAAAKMTk0NzE3OTU4MwMAAAADMTYwAgAAAAQxMjEzBAAAAAEwBwAAAAgzLzcvMjAyNggAAAAKMTIvMzEvMjAxNgkAAAABMMK2VCX/gd4InPaRKP+B3gg5Q0lRLk5ZU0U6SUJNLklRX0NVUlJFTlRfUE9SVF9ERUJULjIwMDAuMDcvMDMvMjAyNi4uLlVTRC5IAQAAAN62AQACAAAABDYxNDUBCAAAAAUAAAABMQEAAAALLTE5MDQ4NjA2NTcDAAAAAzE2MAIAAAAEMTI5NwQAAAABMAcAAAAIMy83LzIwMjYIAAAACjEyLzMxLzIwMjUJAAAAATDCtlQl/4HeCJwdkij/gd4IN0NJUS5OWVNFOklCTS5JUV9GSU5fRElWX0xPQU5TX0xULjk5MS4wNy8wMy8yMDI2Li4uVVNELkgBAAAA3rYBAAIAAAAEOTAyMQEIAAAABQAAAAExAQAAAAoxOTQ3MTc5NTgzAwAAAAMxNjACAAAABDEwMzMEAAAAATAHAAAACDMvNy8yMDI2CAAAAAoxMi8zMS8yMDE2CQAAAAEwwrZUJf+B3gicHZIo/4HeCEpDSVEuTllTRTpJQk0uSVFfT1BFUkFUSU5HX0xFQVNFX0xJQUJJTElUSUVTX05PTkNBU0guOTkwLjA3LzAzLzIwMjYuLi5VU0QuSAEAAADetgEAAwAAAAAAwrZUJf+B3ghxz5Eo/4HeCDhDSVEuTllTRTpJQk0uSVFfQ0FTSF9UQVhFU19JTlZFU1QuOTkwLjA3LzAzLzIwMjYuLi5VU0QuSAEAAADetgEAAwAAAAAAwrZUJf+B3ghxz5Eo/4HeCD1DSVEuTllTRTpJQk0uSVFfREFfQ0ZfRVhDTF9PUEVSX0xFQVNFUy45OTAuMDcvMDMvMjAy</t>
  </si>
  <si>
    <t>Ni4uLlVTRC5IAQAAAN62AQACAAAABDM4NTUBCAAAAAUAAAABMQEAAAAKMTg3NjQzMjg3MgMAAAADMTYwAgAAAAU0ODk4NQQAAAABMAcAAAAIMy83LzIwMjYIAAAACjEyLzMxLzIwMTUJAAAAATDCtlQl/4HeCHHPkSj/gd4IRENJUS5OWVNFOklCTS5JUV9ERVBSRUNJQVRJT05fUkVOVEFMX0FTU0VUU19DRi45OTAuMDcvMDMvMjAyNi4uLlVTRC5IAQAAAN62AQADAAAAAADCtlQl/4HeCJz2kSj/gd4IMkNJUS5OWVNFOklCTS5JUV9QUkVGX0RJVl9DRi45OTAuMDcvMDMvMjAyNi4uLlVTRC5IAQAAAN62AQADAAAAAADCtlQl/4HeCJz2kSj/gd4IPUNJUS5OWVNFOklCTS5JUV9PVEhFUl9JTlZFU1RfQUNUX1NVUFBMLjk5MC4wNy8wMy8yMDI2Li4uVVNELkgBAAAA3rYBAAIAAAABMQEIAAAABQAAAAExAQAAAAoxODc2NDMyODcyAwAAAAMxNjACAAAABDIwNTEEAAAAATAHAAAACDMvNy8yMDI2CAAAAAoxMi8zMS8yMDE1CQAAAAEwwrZUJf+B3gj7p5Eo/4HeCDhDSVEuTllTRTpJQk0uSVFfQ0hBTkdFX1VORUFSTl9SRVYuOTkwLjA3LzAzLzIwMjYuLi5VU0QuSAEAAADetgEAAwAAAAAAwrZUJf+B3gj7p5Eo/4HeCDlDSVEuTllTRTpJQk0uSVFfQVNTRVRfV1JJVEVET1dOX0NGLjk5MC4wNy8wMy8yMDI2Li4uVVNELkgBAAAA3rYBAAMAAAAAAMK2VCX/gd4I+6eRKP+B3gg7Q0lRLk5ZU0U6SUJNLklRX01JTk9SSVRZ</t>
  </si>
  <si>
    <t>X0lOVEVSRVNUX0NGLjk5MC4wNy8wMy8yMDI2Li4uVVNELkgBAAAA3rYBAAMAAAAAAMK2VCX/gd4I+6eRKP+B3gg3Q0lRLk5ZU0U6SUJNLklRX1JFU1RSX1NUT0NLX0NPTVAuOTkwLjA3LzAzLzIwMjYuLi5VU0QuSAEAAADetgEAAwAAAAAAwrZUJf+B3ghxz5Eo/4HeCDhDSVEuTllTRTpJQk0uSVFfTkVHQVRJVkVfR1dfQU1PUlQuOTkwLjA3LzAzLzIwMjYuLi5VU0QuSAEAAADetgEAAwAAAAAAwrZUJf+B3ggYbZEo/4HeCDxDSVEuTllTRTpJQk0uSVFfSU1QVVRfT1BFUl9MRUFTRV9ERVBSLjk5MC4wNy8wMy8yMDI2Li4uVVNELkgBAAAA3rYBAAIAAAAJMTMxMC43ODg0AQgAAAAFAAAAATEBAAAACjE4NzY0MzI4NzIDAAAAAzE2MAIAAAAFMjE2NzMEAAAAATAHAAAACDMvNy8yMDI2CAAAAAoxMi8zMS8yMDE1CQAAAAEwwrZUJf+B3ggYbZEo/4HeCDhDSVEuTllTRTpJQk0uSVFfQlZfU0hBUkVfUkVQT1JURUQuOTkxLjA3LzAzLzIwMjYuLi5VU0QuSAEAAADetgEAAwAAAAAAwrZUJf+B3ggYbZEo/4HeCDNDSVEuTllTRTpJQk0uSVFfUFJFRl9DT05WRVJULjk5MS4wNy8wMy8yMDI2Li4uVVNELkgBAAAA3rYBAAMAAAAAAMK2VCX/gd4IGG2RKP+B3gg2Q0lRLk5ZU0U6SUJNLklRX09USEVSX0xUX0FTU0VUUy45OTEuMDcvMDMvMjAyNi4uLlVTRC5IAQAAAN62AQACAAAABDU0NjQBCAAAAAUAAAABMQEAAAAKMTk0</t>
  </si>
  <si>
    <t>NzE3OTU4MwMAAAADMTYwAgAAAAQxMDYwBAAAAAEwBwAAAAgzLzcvMjAyNggAAAAKMTIvMzEvMjAxNgkAAAABMMK2VCX/gd4I+6eRKP+B3gg6Q0lRLk5ZU0U6SUJNLklRX0NVUlJFTlRfUE9SVF9MRUFTRVMuOTkwLjA3LzAzLzIwMjYuLi5VU0QuSAEAAADetgEAAwAAAAAAwrZUJf+B3gi2RZEo/4HeCDBDSVEuTllTRTpJQk0uSVFfSU5WRU5UT1JZLjk5MS4wNy8wMy8yMDI2Li4uVVNELkgBAAAA3rYBAAIAAAAEMTU1MwEIAAAABQAAAAExAQAAAAoxOTQ3MTc5NTgzAwAAAAMxNjACAAAABDEwNDMEAAAAATAHAAAACDMvNy8yMDI2CAAAAAoxMi8zMS8yMDE2CQAAAAEwwrZUJf+B3gi2RZEo/4HeCDNDSVEuTllTRTpJQk0uSVFfT1RIRVJfUkVDRUlWLjk5MS4wNy8wMy8yMDI2Li4uVVNELkgBAAAA3rYBAAIAAAAEMTA1NwEIAAAABQAAAAExAQAAAAoxOTQ3MTc5NTgzAwAAAAMxNjACAAAABDEyMDYEAAAAATAHAAAACDMvNy8yMDI2CAAAAAoxMi8zMS8yMDE2CQAAAAEwwrZUJf+B3gi2RZEo/4HeCEpDSVEuTllTRTpJQk0uSVFfT1BFUkFUSU5HX0xFQVNFX0xJQUJJTElUSUVTX05PTkNBU0guOTkxLjA3LzAzLzIwMjYuLi5VU0QuSAEAAADetgEAAwAAAAAAwrZUJf+B3ggYbZEo/4HeCDdDSVEuTllTRTpJQk0uSVFfTE9BTlNfUkVDRUlWX0xULjIwMDAuMDcvMDMvMjAyNi4uLlVTRC5IAQAAAN62AQADAAAAAADCtlQl</t>
  </si>
  <si>
    <t>/4HeCBhtkSj/gd4IOkNJUS5OWVNFOklCTS5JUV9DVVJSRU5UX1BPUlRfTEVBU0VTLjk5MS4wNy8wMy8yMDI2Li4uVVNELkgBAAAA3rYBAAMAAAAAAMK2VCX/gd4IYRuRKP+B3gg5Q0lRLk5ZU0U6SUJNLklRX1RPVEFMX0RFQlRfQ1VSUkVOVC45OTEuMDcvMDMvMjAyNi4uLlVTRC5IAQAAAN62AQACAAAABDc1MTMBCAAAAAUAAAABMQEAAAAKMTk0NzE3OTU4MwMAAAADMTYwAgAAAAUyNTIyMwQAAAABMAcAAAAIMy83LzIwMjYIAAAACjEyLzMxLzIwMTYJAAAAATDCtlQl/4HeCHQxkSj/gd4IMENJUS5OWVNFOklCTS5JUV9SVUFfR1JPU1MuOTkxLjA3LzAzLzIwMjYuLi5VU0QuSAEAAADetgEAAwAAAAAAwrZUJf+B3gh0MZEo/4HeCC5DSVEuTllTRTpJQk0uSVFfUlVBX05FVC45OTEuMDcvMDMvMjAyNi4uLlVTRC5IAQAAAN62AQADAAAAAADCtlQl/4HeCLZFkSj/gd4IKkNJUS5OWVNFOklCTS5JUV9BRS4yMDAwLjA3LzAzLzIwMjYuLi5VU0QuSAEAAADetgEAAgAAAAQ3OTc2AQgAAAAFAAAAATEBAAAACy0xOTA0ODYwNjU3AwAAAAMxNjACAAAABDEwMTYEAAAAATAHAAAACDMvNy8yMDI2CAAAAAoxMi8zMS8yMDI1CQAAAAEwwrZUJf+B3gi2RZEo/4HeCClDSVEuTllTRTpJQk0uSVFfR1cuOTkxLjA3LzAzLzIwMjYuLi5VU0QuSAEAAADetgEAAgAAAAUzNjE5OQEIAAAABQAAAAExAQAAAAoxOTQ3MTc5NTgzAwAA</t>
  </si>
  <si>
    <t>AAMxNjACAAAABDExNzEEAAAAATAHAAAACDMvNy8yMDI2CAAAAAoxMi8zMS8yMDE2CQAAAAEwwrZUJf+B3gj885Ao/4HeCDhDSVEuTllTRTpJQk0uSVFfREVGX1RBWF9BU1NFVFNfTFQuOTkwLjA3LzAzLzIwMjYuLi5VU0QuSAEAAADetgEAAgAAAAQ0ODIyAQgAAAAFAAAAATEBAAAACjE4NzY0MzI4NzIDAAAAAzE2MAIAAAAEMTAyNgQAAAABMAcAAAAIMy83LzIwMjYIAAAACjEyLzMxLzIwMTUJAAAAATDCtlQl/4HeCPzzkCj/gd4INUNJUS5OWVNFOklCTS5JUV9MT0FOU19GT1JfU0FMRS45OTEuMDcvMDMvMjAyNi4uLlVTRC5IAQAAAN62AQADAAAAAADCtlQl/4HeCPzzkCj/gd4IOkNJUS5OWVNFOklCTS5JUV9UT1RBTF9DT01NT05fRVFVSVRZLjk5MS4wNy8wMy8yMDI2Li4uVVNELkgBAAAA3rYBAAIAAAAFMTgyNDYBCAAAAAUAAAABMQEAAAAKMTk0NzE3OTU4MwMAAAADMTYwAgAAAAQxMDA2BAAAAAEwBwAAAAgzLzcvMjAyNggAAAAKMTIvMzEvMjAxNgkAAAABMMK2VCX/gd4IYRuRKP+B3ggzQ0lRLk5ZU0U6SUJNLklRX1RPVEFMX0VRVUlUWS45OTEuMDcvMDMvMjAyNi4uLlVTRC5IAQAAAN62AQACAAAABTE4MzkyAQgAAAAFAAAAATEBAAAACjE5NDcxNzk1ODMDAAAAAzE2MAIAAAAEMTI3NQQAAAABMAcAAAAIMy83LzIwMjYIAAAACjEyLzMxLzIwMTYJAAAAATDCtlQl/4HeCGEbkSj/gd4IMkNJUS5OWVNF</t>
  </si>
  <si>
    <t>OklCTS5JUV9QUkVGX1JFREVFTS45OTEuMDcvMDMvMjAyNi4uLlVTRC5IAQAAAN62AQADAAAAAADCtlQl/4HeCH/UkCj/gd4IL0NJUS5OWVNFOklCTS5JUV9UUkVBU1VSWS45OTEuMDcvMDMvMjAyNi4uLlVTRC5IAQAAAN62AQACAAAABy0xNTkwNTABCAAAAAUAAAABMQEAAAAKMTk0NzE3OTU4MwMAAAADMTYwAgAAAAQxMjQ4BAAAAAEwBwAAAAgzLzcvMjAyNggAAAAKMTIvMzEvMjAxNgkAAAABMMK2VCX/gd4If9SQKP+B3gg3Q0lRLk5ZU0U6SUJNLklRX0xPTkdfVEVSTV9MRUFTRVMuOTkxLjA3LzAzLzIwMjYuLi5VU0QuSAEAAADetgEAAwAAAAAAwrZUJf+B3gh/1JAo/4HeCDlDSVEuTllTRTpJQk0uSVFfRklOX0RJVl9BU1NFVFNfTFQuMjAwMC4wNy8wMy8yMDI2Li4uVVNELkgBAAAA3rYBAAMAAAAAAMK2VCX/gd4I/POQKP+B3gg1Q0lRLk5ZU0U6SUJNLklRX1NUX05PVEVfUkVDRUlWLjk5MS4wNy8wMy8yMDI2Li4uVVNELkgBAAAA3rYBAAMAAAAAAMK2VCX/gd4I/POQKP+B3gg/Q0lRLk5ZU0U6SUJNLklRX09QRVJBVElOR19MRUFTRV9QQVlNRU5UUy45OTEuMDcvMDMvMjAyNi4uLlVTRC5IAQAAAN62AQADAAAAAADCtlQl/4HeCAutkCj/gd4ISENJUS5OWVNFOklCTS5JUV9MT05HX1RFUk1fREVCVF9SRVBBSURfRVhDTF9MRUFTRVMuOTkxLjA3LzAzLzIwMjYuLi5VU0QuSAEAAADetgEAAgAAAAUtNjM5</t>
  </si>
  <si>
    <t>NQEIAAAABQAAAAExAQAAAAoxOTQ3MTc5NTgzAwAAAAMxNjACAAAABTQ4OTg0BAAAAAEwBwAAAAgzLzcvMjAyNggAAAAKMTIvMzEvMjAxNgkAAAABMMK2VCX/gd4IC62QKP+B3gg4Q0lRLk5ZU0U6SUJNLklRX0NBU0hfVEFYRVNfRklOQU4uMjAwMC4wNy8wMy8yMDI2Li4uVVNELkgBAAAA3rYBAAMAAAAAAMK2VCX/gd4IC62QKP+B3ggzQ0lRLk5ZU0U6SUJNLklRX0xFVkVSRURfRkNGLjIwMDAuMDcvMDMvMjAyNi4uLlVTRC5IAQAAAN62AQACAAAACTEzMTU2LjYyNQEIAAAABQAAAAExAQAAAAstMTkwNDg2MDY1NwMAAAADMTYwAgAAAAQ0NDIyBAAAAAEwBwAAAAgzLzcvMjAyNggAAAAKMTIvMzEvMjAyNQkAAAABMMK2VCX/gd4IC62QKP+B3ggxQ0lRLk5ZU0U6SUJNLklRX0NBU0hfVEFYRVMuOTkxLjA3LzAzLzIwMjYuLi5VU0QuSAEAAADetgEAAgAAAAQxMDc4AQgAAAAFAAAAATEBAAAACjE5NDcxNzk1ODMDAAAAAzE2MAIAAAAEMzA1MwQAAAABMAcAAAAIMy83LzIwMjYIAAAACjEyLzMxLzIwMTYJAAAAATDCtlQl/4HeCAutkCj/gd4ILkNJUS5OWVNFOklCTS5JUV9ERVBfUlVBLjk5MS4wNy8wMy8yMDI2Li4uVVNELkgBAAAA3rYBAAMAAAAAAMK2VCX/gd4IEGCQKP+B3gg8Q0lRLk5ZU0U6SUJNLklRX05FR0FUSVZFX0dXX0FNT1JUX0NGLjIwMDAuMDcvMDMvMjAyNi4uLlVTRC5IAQAAAN62AQADAAAAAADC</t>
  </si>
  <si>
    <t>tlQl/4HeCBiHkCj/gd4IP0NJUS5OWVNFOklCTS5JUV9PVEhFUl9GSU5BTkNFX0FDVF9TVVBQTC4yMDAwLjA3LzAzLzIwMjYuLi5VU0QuSAEAAADetgEAAgAAAAQtMTM5AQgAAAAFAAAAATEBAAAACy0xOTA0ODYwNjU3AwAAAAMxNjACAAAABDIwNTAEAAAAATAHAAAACDMvNy8yMDI2CAAAAAoxMi8zMS8yMDI1CQAAAAEwwrZUJf+B3ggYh5Ao/4HeCDBDSVEuTllTRTpJQk0uSVFfVE9UQUxfQ0FQLjk5MC4wNy8wMy8yMDI2Li4uVVNELkgBAAAA3rYBAAIAAAAFNTQzMTYBCAAAAAUAAAABMQEAAAAKMTg3NjQzMjg3MgMAAAADMTYwAgAAAAQ0MTc1BAAAAAEwBwAAAAgzLzcvMjAyNggAAAAKMTIvMzEvMjAxNQkAAAABMMK2VCX/gd4INZmQKP+B3gg7Q0lRLk5ZU0U6SUJNLklRX1RPVEFMX0ZJTkFOQ0VfTEVBU0VTLjk5MS4wNy8wMy8yMDI2Li4uVVNELkgBAAAA3rYBAAMAAAAAAMK2VCX/gd4INZmQKP+B3gg0Q0lRLk5ZU0U6SUJNLklRX09USEVSX0xJQUJfTFQuOTkxLjA3LzAzLzIwMjYuLi5VU0QuSAEAAADetgEAAgAAAAQ3MDQ2AQgAAAAFAAAAATEBAAAACjE5NDcxNzk1ODMDAAAAAzE2MAIAAAAEMTA2MgQAAAABMAcAAAAIMy83LzIwMjYIAAAACjEyLzMxLzIwMTYJAAAAATDCtlQl/4HeCKc4kCj/gd4IK0NJUS5OWVNFOklCTS5JUV9OUFBFLjk5MS4wNy8wMy8yMDI2Li4uVVNELkgBAAAA3rYBAAIAAAAFMTA4</t>
  </si>
  <si>
    <t>MzABCAAAAAUAAAABMQEAAAAKMTk0NzE3OTU4MwMAAAADMTYwAgAAAAQxMDA0BAAAAAEwBwAAAAgzLzcvMjAyNggAAAAKMTIvMzEvMjAxNgkAAAABMMK2VCX/gd4IEGCQKP+B3ggsQ0lRLk5ZU0U6SUJNLklRX0FSX0xULjk5MC4wNy8wMy8yMDI2Li4uVVNELkgBAAAA3rYBAAMAAAAAAMK2VCX/gd4IEGCQKP+B3gg8Q0lRLk5ZU0U6SUJNLklRX0ZJTl9ESVZfTE9BTlNfQ1VSUkVOVC45OTAuMDcvMDMvMjAyNi4uLlVTRC5IAQAAAN62AQACAAAABTE5MDIwAQgAAAAFAAAAATEBAAAACjE4NzY0MzI4NzIDAAAAAzE2MAIAAAAEMTAzMgQAAAABMAcAAAAIMy83LzIwMjYIAAAACjEyLzMxLzIwMTUJAAAAATDCtlQl/4HeCBBgkCj/gd4INENJUS5OWVNFOklCTS5JUV9VTkxFVkVSRURfRkNGLjk5MC4wNy8wMy8yMDI2Li4uVVNELkgBAAAA3rYBAAIAAAAIOTAzOS4xMjUBCAAAAAUAAAABMQEAAAAKMTg3NjQzMjg3MgMAAAADMTYwAgAAAAQ0NDIzBAAAAAEwBwAAAAgzLzcvMjAyNggAAAAKMTIvMzEvMjAxNQkAAAABMMK2VCX/gd4IEGCQKP+B3gg9Q0lRLk5ZU0U6SUJNLklRX05BVFVSQUxfUkVTT1VSQ0VTX0NPU1QuOTkxLjA3LzAzLzIwMjYuLi5VU0QuSAEAAADetgEAAwAAAAAAwrZUJf+B3gjT/Y8o/4HeCDNDSVEuTllTRTpJQk0uSVFfQU1PUlRfRElDX0NGLjk5MC4wNy8wMy8yMDI2Li4uVVNELkgBAAAA3rYBAAMA</t>
  </si>
  <si>
    <t>AAAAAMK2VCX/gd4IpziQKP+B3gg0Q0lRLk5ZU0U6SUJNLklRX0NBU0hfSU5URVJFU1QuOTkwLjA3LzAzLzIwMjYuLi5VU0QuSAEAAADetgEAAgAAAAM5OTUBCAAAAAUAAAABMQEAAAAKMTg3NjQzMjg3MgMAAAADMTYwAgAAAAQzMDI4BAAAAAEwBwAAAAgzLzcvMjAyNggAAAAKMTIvMzEvMjAxNQkAAAABMMK2VCX/gd4IpziQKP+B3gg7Q0lRLk5ZU0U6SUJNLklRX0ZJTl9ESVZfREVCVF9DVVJSRU5ULjk5MS4wNy8wMy8yMDI2Li4uVVNELkgBAAAA3rYBAAMAAAAAAMK2VCX/gd4IpziQKP+B3ggsQ0lRLk5ZU0U6SUJNLklRX0FSX0xULjk5MS4wNy8wMy8yMDI2Li4uVVNELkgBAAAA3rYBAAMAAAAAAMK2VCX/gd4IpziQKP+B3ggwQ0lRLk5ZU0U6SUJNLklRX1RPVEFMX0NBLjIwMDAuMDcvMDMvMjAyNi4uLlVTRC5IAQAAAN62AQACAAAABTM2OTQ0AQgAAAAFAAAAATEBAAAACy0xOTA0ODYwNjU3AwAAAAMxNjACAAAABDEwMDgEAAAAATAHAAAACDMvNy8yMDI2CAAAAAoxMi8zMS8yMDI1CQAAAAEwwrZUJf+B3gjT/Y8o/4HeCDZDSVEuTllTRTpJQk0uSVFfUFJFRl9OT05fUkVERUVNLjk5MS4wNy8wMy8yMDI2Li4uVVNELkgBAAAA3rYBAAMAAAAAAMK2VCX/gd4I0/2PKP+B3ggvQ0lRLk5ZU0U6SUJNLklRX1RPVEFMX0NMLjk5MS4wNy8wMy8yMDI2Li4uVVNELkgBAAAA3rYBAAIAAAAFMzYyNzUBCAAAAAUAAAAB</t>
  </si>
  <si>
    <t>MQEAAAAKMTk0NzE3OTU4MwMAAAADMTYwAgAAAAQxMDA5BAAAAAEwBwAAAAgzLzcvMjAyNggAAAAKMTIvMzEvMjAxNgkAAAABMMK2VCX/gd4I0/2PKP+B3gguQ0lRLk5ZU0U6SUJNLklRX1dJUF9JTlYuOTkxLjA3LzAzLzIwMjYuLi5VU0QuSAEAAADetgEAAgAAAAQxMTk1AQgAAAAFAAAAATEBAAAACjE5NDcxNzk1ODMDAAAAAzE2MAIAAAAEMzIxOQQAAAABMAcAAAAIMy83LzIwMjYIAAAACjEyLzMxLzIwMTYJAAAAATDCtlQl/4HeCNP9jyj/gd4IOUNJUS5OWVNFOklCTS5JUV9UQlZfU0hBUkVfUkVQT1JURUQuOTkxLjA3LzAzLzIwMjYuLi5VU0QuSAEAAADetgEAAwAAAAAAwrZUJf+B3gjT/Y8o/4HeCDdDSVEuTllTRTpJQk0uSVFfQUxMT1dfRE9VQlRfQUNDVC45OTAuMDcvMDMvMjAyNi4uLlVTRC5IAQAAAN62AQACAAAAAzM2NwEIAAAABQAAAAExAQAAAAoxODc2NDMyODcyAwAAAAMxNjACAAAABDMwMTIEAAAAATAHAAAACDMvNy8yMDI2CAAAAAoxMi8zMS8yMDE1CQAAAAEwwrZUJf+B3gjA1o8o/4HeCE9DSVEuTllTRTpJQk0uSVFfRklOQU5DSU5HX09CTElHX0NVUlJFTlRfRVhDTF9PUEVSX0xFQVNFUy45OTAuMDcvMDMvMjAyNi4uLlVTRC5IAQAAAN62AQACAAAABDY0NjEBCAAAAAUAAAABMQEAAAAKMTg3NjQzMjg3MgMAAAADMTYwAgAAAAU0ODk4MAQAAAABMAcAAAAIMy83LzIwMjYIAAAACjEyLzMx</t>
  </si>
  <si>
    <t>LzIwMTUJAAAAATDCtlQl/4HeCMDWjyj/gd4INUNJUS5OWVNFOklCTS5JUV9ERUZfQ0hBUkdFU19MVC45OTEuMDcvMDMvMjAyNi4uLlVTRC5IAQAAAN62AQACAAAABDE0OTYBCAAAAAUAAAABMQEAAAAKMTk0NzE3OTU4MwMAAAADMTYwAgAAAAQxMDI1BAAAAAEwBwAAAAgzLzcvMjAyNggAAAAKMTIvMzEvMjAxNgkAAAABMMK2VCX/gd4IwNaPKP+B3gg3Q0lRLk5ZU0U6SUJNLklRX0FMTE9XX0RPVUJUX0FDQ1QuOTkxLjA3LzAzLzIwMjYuLi5VU0QuSAEAAADetgEAAgAAAAMyOTABCAAAAAUAAAABMQEAAAAKMTk0NzE3OTU4MwMAAAADMTYwAgAAAAQzMDEyBAAAAAEwBwAAAAgzLzcvMjAyNggAAAAKMTIvMzEvMjAxNgkAAAABMMK2VCX/gd4IwNaPKP+B3gg8Q0lRLk5ZU0U6SUJNLklRX05QUEVfRVhDTF9PUEVSX0xFQVNFUy45OTEuMDcvMDMvMjAyNi4uLlVTRC5IAQAAAN62AQACAAAABTEwODMwAQgAAAAFAAAAATEBAAAACjE5NDcxNzk1ODMDAAAAAzE2MAIAAAAFNDg5NzYEAAAAATAHAAAACDMvNy8yMDI2CAAAAAoxMi8zMS8yMDE2CQAAAAEwwrZUJf+B3gjA1o8o/4HeCDNDSVEuTllTRTpJQk0uSVFfT1RIRVJfRVFVSVRZLjk5MC4wNy8wMy8yMDI2Li4uVVNELkgBAAAA3rYBAAIAAAAGLTI5NjA2AQgAAAAFAAAAATEBAAAACjE4NzY0MzI4NzIDAAAAAzE2MAIAAAAEMTAyOAQAAAABMAcAAAAIMy83LzIwMjYI</t>
  </si>
  <si>
    <t>AAAACjEyLzMxLzIwMTUJAAAAATDCtlQl/4HeCKGIjyj/gd4IOENJUS5OWVNFOklCTS5JUV9NSU5PUklUWV9JTlRFUkVTVC45OTEuMDcvMDMvMjAyNi4uLlVTRC5IAQAAAN62AQACAAAAAzE0NgEIAAAABQAAAAExAQAAAAoxOTQ3MTc5NTgzAwAAAAMxNjACAAAABDEwNTIEAAAAATAHAAAACDMvNy8yMDI2CAAAAAoxMi8zMS8yMDE2CQAAAAEwwrZUJf+B3gi4r48o/4HeCEVDSVEuTllTRTpJQk0uSVFfUlVBX09QRVJBVElOR19MRUFTRV9BQ0NVTV9ERVAuMjAwMC4wNy8wMy8yMDI2Li4uVVNELkgBAAAA3rYBAAMAAAAAAMK2VCX/gd4IuK+PKP+B3gg4Q0lRLk5ZU0U6SUJNLklRX0NVUlJFTlRfUE9SVF9ERUJULjk5MS4wNy8wMy8yMDI2Li4uVVNELkgBAAAA3rYBAAIAAAAENjIzOQEIAAAABQAAAAExAQAAAAoxOTQ3MTc5NTgzAwAAAAMxNjACAAAABDEyOTcEAAAAATAHAAAACDMvNy8yMDI2CAAAAAoxMi8zMS8yMDE2CQAAAAEwwrZUJf+B3gi4r48o/4HeCD9DSVEuTllTRTpJQk0uSVFfRklOQU5DRV9MRUFTRVNfTE9OR19URVJNLjk5MC4wNy8wMy8yMDI2Li4uVVNELkgBAAAA3rYBAAMAAAAAAMK2VCX/gd4IuK+PKP+B3ggzQ0lRLk5ZU0U6SUJNLklRX09USEVSX0VRVUlUWS45OTEuMDcvMDMvMjAyNi4uLlVTRC5IAQAAAN62AQACAAAABi0yOTM5OAEIAAAABQAAAAExAQAAAAoxOTQ3MTc5NTgzAwAAAAMxNjAC</t>
  </si>
  <si>
    <t>AAAABDEwMjgEAAAAATAHAAAACDMvNy8yMDI2CAAAAAoxMi8zMS8yMDE2CQAAAAEwwrZUJf+B3giSYY8o/4HeCEJDSVEuTllTRTpJQk0uSVFfUlVBX0NBUElUQUxfTEVBU0VfQUNDVU1fREVQLjk5MS4wNy8wMy8yMDI2Li4uVVNELkgBAAAA3rYBAAMAAAAAAMK2VCX/gd4IoYiPKP+B3ghAQ0lRLk5ZU0U6SUJNLklRX1JVQV9PUEVSQVRJTkdfTEVBU0VfR1JPU1MuOTkwLjA3LzAzLzIwMjYuLi5VU0QuSAEAAADetgEAAwAAAAAAwrZUJf+B3gihiI8o/4HeCDFDSVEuTllTRTpJQk0uSVFfVE9UQUxfTElBQi45OTEuMDcvMDMvMjAyNi4uLlVTRC5IAQAAAN62AQACAAAABTk5MDc4AQgAAAAFAAAAATEBAAAACjE5NDcxNzk1ODMDAAAAAzE2MAIAAAAEMTI3NgQAAAABMAcAAAAIMy83LzIwMjYIAAAACjEyLzMxLzIwMTYJAAAAATDCtlQl/4HeCKGIjyj/gd4IO0NJUS5OWVNFOklCTS5JUV9ERUZfVEFYX0xJQUJfQ1VSUkVOVC45OTEuMDcvMDMvMjAyNi4uLlVTRC5IAQAAAN62AQADAAAAAADCtlQl/4HeCKGIjyj/gd4INkNJUS5OWVNFOklCTS5JUV9MT0FOU19SRUNFSVZfTFQuOTkwLjA3LzAzLzIwMjYuLi5VU0QuSAEAAADetgEAAwAAAAAAwrZUJf+B3giGOo8o/4HeCD1DSVEuTllTRTpJQk0uSVFfRklOX0RJVl9BU1NFVFNfQ1VSUkVOVC45OTEuMDcvMDMvMjAyNi4uLlVTRC5IAQAAAN62AQADAAAAAADCtlQl/4He</t>
  </si>
  <si>
    <t>CIY6jyj/gd4INENJUS5OWVNFOklCTS5JUV9ET19JTlZFU1RfQ0YuMjAwMC4wNy8wMy8yMDI2Li4uVVNELkgBAAAA3rYBAAMAAAAAAMK2VCX/gd4IkmGPKP+B3gg6Q0lRLk5ZU0U6SUJNLklRX0dBSU5fQkFSR0FJTl9BQ1FfQ0YuOTkxLjA3LzAzLzIwMjYuLi5VU0QuSAEAAADetgEAAwAAAAAAwrZUJf+B3giSYY8o/4HeCEFDSVEuTllTRTpJQk0uSVFfQ0hBTkdFX05FVF9XT1JLSU5HX0NBUElUQUwuOTkxLjA3LzAzLzIwMjYuLi5VU0QuSAEAAADetgEAAgAAAAI5OAEIAAAABQAAAAExAQAAAAoxOTQ3MTc5NTgzAwAAAAMxNjACAAAABDQ0MjEEAAAAATAHAAAACDMvNy8yMDI2CAAAAAoxMi8zMS8yMDE2CQAAAAEwwrZUJf+B3giSYY8o/4HeCDBDSVEuTllTRTpJQk0uSVFfQ0ZfU0hBUkUuMjAwMC4wNy8wMy8yMDI2Li4uVVNELkgBAAAA3rYBAAIAAAAJMTIuMjg2ODk3AQgAAAAFAAAAATEBAAAACy0xOTA0ODYwNjU3AwAAAAMxNjACAAAABTQzOTIzBAAAAAEwBwAAAAgzLzcvMjAyNggAAAAKMTIvMzEvMjAyNQkAAAABMMK2VCX/gd4IiBOPKP+B3gg/Q0lRLk5ZU0U6SUJNLklRX0FNT1JUX1NPRlRXQVJFX0FTU0VUU19DRi45OTEuMDcvMDMvMjAyNi4uLlVTRC5IAQAAAN62AQADAAAAAADCtlQl/4HeCIgTjyj/gd4IOUNJUS5OWVNFOklCTS5JUV9DQVNIX0lOVEVSRVNUX05FVC4yMDAwLjA3LzAzLzIwMjYuLi5V</t>
  </si>
  <si>
    <t>U0QuSAEAAADetgEAAwAAAAAAwrZUJf+B3giGOo8o/4HeCClDSVEuTllTRTpJQk0uSVFfRlguOTkxLjA3LzAzLzIwMjYuLi5VU0QuSAEAAADetgEAAgAAAAMtNTEBCAAAAAUAAAABMQEAAAAKMTk0NzE3OTU4MwMAAAADMTYwAgAAAAQyMTQ0BAAAAAEwBwAAAAgzLzcvMjAyNggAAAAKMTIvMzEvMjAxNgkAAAABMMK2VCX/gd4IhjqPKP+B3gg1Q0lRLk5ZU0U6SUJNLklRX0xUX0RFQlRfUkVQQUlELjk5MS4wNy8wMy8yMDI2Li4uVVNELkgBAAAA3rYBAAIAAAAFLTYzOTUBCAAAAAUAAAABMQEAAAAKMTk0NzE3OTU4MwMAAAADMTYwAgAAAAQyMDM2BAAAAAEwBwAAAAgzLzcvMjAyNggAAAAKMTIvMzEvMjAxNgkAAAABMMK2VCX/gd4IhjqPKP+B3ggyQ0lRLk5ZU0U6SUJNLklRX0NPTU1PTl9SRVAuMjAwMC4wNy8wMy8yMDI2Li4uVVNELkgBAAAA3rYBAAIAAAAFLTEwMTgBCAAAAAUAAAABMQEAAAALLTE5MDQ4NjA2NTcDAAAAAzE2MAIAAAAEMjE2NAQAAAABMAcAAAAIMy83LzIwMjYIAAAACjEyLzMxLzIwMjUJAAAAATDCtlQl/4HeCGTsjij/gd4INUNJUS5OWVNFOklCTS5JUV9MVF9ERUJUX0lTU1VFRC45OTEuMDcvMDMvMjAyNi4uLlVTRC5IAQAAAN62AQACAAAABDkxMzIBCAAAAAUAAAABMQEAAAAKMTk0NzE3OTU4MwMAAAADMTYwAgAAAAQyMDM0BAAAAAEwBwAAAAgzLzcvMjAyNggAAAAKMTIvMzEvMjAxNgkA</t>
  </si>
  <si>
    <t>AAABMMK2VCX/gd4IZOyOKP+B3gg/Q0lRLk5ZU0U6SUJNLklRX0ZJTkFOQ0VfTEVBU0VTX0xPTkdfVEVSTS45OTEuMDcvMDMvMjAyNi4uLlVTRC5IAQAAAN62AQADAAAAAADCtlQl/4HeCGTsjij/gd4IPkNJUS5OWVNFOklCTS5JUV9SVUFfT1BFUkFUSU5HX0xFQVNFX05FVC45OTEuMDcvMDMvMjAyNi4uLlVTRC5IAQAAAN62AQADAAAAAADCtlQl/4HeCIgTjyj/gd4IM0NJUS5OWVNFOklCTS5JUV9QUkVGX0VRVUlUWS4yMDAwLjA3LzAzLzIwMjYuLi5VU0QuSAEAAADetgEAAwAAAAAAwrZUJf+B3giIE48o/4HeCClDSVEuTllTRTpJQk0uSVFfUkUuOTkwLjA3LzAzLzIwMjYuLi5VU0QuSAEAAADetgEAAgAAAAYxNDYxMjQBCAAAAAUAAAABMQEAAAAKMTg3NjQzMjg3MgMAAAADMTYwAgAAAAQxMjIyBAAAAAEwBwAAAAgzLzcvMjAyNggAAAAKMTIvMzEvMjAxNQkAAAABMMK2VCX/gd4IZcWOKP+B3ggvQ0lRLk5ZU0U6SUJNLklRX1BFTlNJT04uMjAwMC4wNy8wMy8yMDI2Li4uVVNELkgBAAAA3rYBAAIAAAAEOTAxOAEIAAAABQAAAAExAQAAAAstMTkwNDg2MDY1NwMAAAADMTYwAgAAAAQxMjEzBAAAAAEwBwAAAAgzLzcvMjAyNggAAAAKMTIvMzEvMjAyNQkAAAABMMK2VCX/gd4IZcWOKP+B3gg2Q0lRLk5ZU0U6SUJNLklRX0xPQU5TX1JFQ0VJVl9MVC45OTEuMDcvMDMvMjAyNi4uLlVTRC5IAQAAAN62AQADAAAA</t>
  </si>
  <si>
    <t>AADCtlQl/4HeCGXFjij/gd4ILUNJUS5OWVNFOklCTS5JUV9DT01NT04uOTkwLjA3LzAzLzIwMjYuLi5VU0QuSAEAAADetgEAAgAAAAU1MzI2MgEIAAAABQAAAAExAQAAAAoxODc2NDMyODcyAwAAAAMxNjACAAAABDExMDMEAAAAATAHAAAACDMvNy8yMDI2CAAAAAoxMi8zMS8yMDE1CQAAAAEwwrZUJf+B3ghk7I4o/4HeCC5DSVEuTllTRTpJQk0uSVFfTFRfREVCVC45OTEuMDcvMDMvMjAyNi4uLlVTRC5IAQAAAN62AQACAAAABTM0NjYzAQgAAAAFAAAAATEBAAAACjE5NDcxNzk1ODMDAAAAAzE2MAIAAAAEMTA0OQQAAAABMAcAAAAIMy83LzIwMjYIAAAACjEyLzMxLzIwMTYJAAAAATDCtlQl/4HeCGTsjij/gd4INkNJUS5OWVNFOklCTS5JUV9ERUZfVEFYX0xJQUJfTFQuOTkwLjA3LzAzLzIwMjYuLi5VU0QuSAEAAADetgEAAgAAAAMyNTMBCAAAAAUAAAABMQEAAAAKMTg3NjQzMjg3MgMAAAADMTYwAgAAAAQxMDI3BAAAAAEwBwAAAAgzLzcvMjAyNggAAAAKMTIvMzEvMjAxNQkAAAABMMK2VCX/gd4IAp6OKP+B3ggpQ0lRLk5ZU0U6SUJNLklRX0FFLjk5MS4wNy8wMy8yMDI2Li4uVVNELkgBAAAA3rYBAAIAAAAENzg2MAEIAAAABQAAAAExAQAAAAoxOTQ3MTc5NTgzAwAAAAMxNjACAAAABDEwMTYEAAAAATAHAAAACDMvNy8yMDI2CAAAAAoxMi8zMS8yMDE2CQAAAAEwwrZUJf+B3ggCno4o/4HeCClDSVEuTllT</t>
  </si>
  <si>
    <t>RTpJQk0uSVFfQUQuOTkxLjA3LzAzLzIwMjYuLi5VU0QuSAEAAADetgEAAgAAAAYtMTkzMDMBCAAAAAUAAAABMQEAAAAKMTk0NzE3OTU4MwMAAAADMTYwAgAAAAQxMDc1BAAAAAEwBwAAAAgzLzcvMjAyNggAAAAKMTIvMzEvMjAxNgkAAAABMMK2VCX/gd4IAp6OKP+B3gg1Q0lRLk5ZU0U6SUJNLklRX09USEVSX0NBX1NVUFBMLjk5MS4wNy8wMy8yMDI2Li4uVVNELkgBAAAA3rYBAAIAAAADNTMyAQgAAAAFAAAAATEBAAAACjE5NDcxNzk1ODMDAAAAAzE2MAIAAAAEMTA1NQQAAAABMAcAAAAIMy83LzIwMjYIAAAACjEyLzMxLzIwMTYJAAAAATDCtlQl/4HeCAKejij/gd4INUNJUS5OWVNFOklCTS5JUV9UUkFESU5HX0FTU0VUUy45OTEuMDcvMDMvMjAyNi4uLlVTRC5IAQAAAN62AQADAAAAAADCtlQl/4HeCGXFjij/gd4IOkNJUS5OWVNFOklCTS5JUV9BRF9FWENMX09QRVJfTEVBU0VTLjk5MS4wNy8wMy8yMDI2Li4uVVNELkgBAAAA3rYBAAIAAAAGLTE5MzAzAQgAAAAFAAAAATEBAAAACjE5NDcxNzk1ODMDAAAAAzE2MAIAAAAFNDg5NzUEAAAAATAHAAAACDMvNy8yMDI2CAAAAAoxMi8zMS8yMDE2CQAAAAEwwrZUJf+B3ghMT44o/4HeCDRDSVEuTllTRTpJQk0uSVFfUFJFRl9DT05WRVJULjIwMDAuMDcvMDMvMjAyNi4uLlVTRC5IAQAAAN62AQADAAAAAADCtlQl/4HeCExPjij/gd4ILUNJUS5OWVNFOklCTS5J</t>
  </si>
  <si>
    <t>UV9DT01NT04uOTkxLjA3LzAzLzIwMjYuLi5VU0QuSAEAAADetgEAAgAAAAU1MzkzNQEIAAAABQAAAAExAQAAAAoxOTQ3MTc5NTgzAwAAAAMxNjACAAAABDExMDMEAAAAATAHAAAACDMvNy8yMDI2CAAAAAoxMi8zMS8yMDE2CQAAAAEwwrZUJf+B3ghido4o/4HeCDZDSVEuTllTRTpJQk0uSVFfREVGX1RBWF9MSUFCX0xULjk5MS4wNy8wMy8yMDI2Li4uVVNELkgBAAAA3rYBAAIAAAADNDI0AQgAAAAFAAAAATEBAAAACjE5NDcxNzk1ODMDAAAAAzE2MAIAAAAEMTAyNwQAAAABMAcAAAAIMy83LzIwMjYIAAAACjEyLzMxLzIwMTYJAAAAATDCtlQl/4HeCGJ2jij/gd4IOENJUS5OWVNFOklCTS5JUV9GSU5fRElWX0FTU0VUU19MVC45OTEuMDcvMDMvMjAyNi4uLlVTRC5IAQAAAN62AQADAAAAAADCtlQl/4HeCEKKjij/gd4IMkNJUS5OWVNFOklCTS5JUV9QUkVQQUlEX0VYUC45OTAuMDcvMDMvMjAyNi4uLlVTRC5IAQAAAN62AQACAAAABDM5MTIBCAAAAAUAAAABMQEAAAAKMTg3NjQzMjg3MgMAAAADMTYwAgAAAAQxMjEyBAAAAAEwBwAAAAgzLzcvMjAyNggAAAAKMTIvMzEvMjAxNQkAAAABMMK2VCX/gd4IAiiOKP+B3ghIQ0lRLk5ZU0U6SUJNLklRX0xPTkdfVEVSTV9ERUJUX1JFUEFJRF9FWENMX0xFQVNFUy45OTAuMDcvMDMvMjAyNi4uLlVTRC5IAQAAAN62AQACAAAABS01NjIyAQgAAAAFAAAAATEBAAAACjE4</t>
  </si>
  <si>
    <t>NzY0MzI4NzIDAAAAAzE2MAIAAAAFNDg5ODQEAAAAATAHAAAACDMvNy8yMDI2CAAAAAoxMi8zMS8yMDE1CQAAAAEwwrZUJf+B3ggCKI4o/4HeCDdDSVEuTllTRTpJQk0uSVFfQ0FTSF9UQVhFU19GSU5BTi45OTAuMDcvMDMvMjAyNi4uLlVTRC5IAQAAAN62AQADAAAAAADCtlQl/4HeCExPjij/gd4IO0NJUS5OWVNFOklCTS5JUV9ORUdBVElWRV9HV19BTU9SVF9DRi45OTAuMDcvMDMvMjAyNi4uLlVTRC5IAQAAAN62AQADAAAAAADCtlQl/4HeCExPjij/gd4INkNJUS5OWVNFOklCTS5JUV9ORVRfV09SS0lOR19DQVAuOTkxLjA3LzAzLzIwMjYuLi5VU0QuSAEAAADetgEAAgAAAAQ2NjAwAQgAAAAFAAAAATEBAAAACjE5NDcxNzk1ODMDAAAAAzE2MAIAAAAEMTMxMQQAAAABMAcAAAAIMy83LzIwMjYIAAAACjEyLzMxLzIwMTYJAAAAATDM3VQl/4HeCExPjij/gd4INUNJUS5OWVNFOklCTS5JUV9BU1NFVFNfTEVWRUxfMS45OTEuMDcvMDMvMjAyNi4uLlVTRC5IAQAAAN62AQACAAAABDEyMTIAzN1UJf+B3ggnEI4o/4HeCDlDSVEuTllTRTpJQk0uSVFfVE9UQUxfT1BFUl9MRUFTRVMuMjAwMC4wNy8wMy8yMDI2Li4uVVNELkgBAAAA3rYBAAIAAAAEMzM0NwEIAAAABQAAAAExAQAAAAstMTkwNDg2MDY1NwMAAAADMTYwAgAAAAU0ODk3OAQAAAABMAcAAAAIMy83LzIwMjYIAAAACjEyLzMxLzIwMjUJAAAAATDM3VQl</t>
  </si>
  <si>
    <t>/4HeCCcQjij/gd4IMENJUS5OWVNFOklCTS5JUV9UQlZfU0hBUkUuOTkxLjA3LzAzLzIwMjYuLi5VU0QuSAEAAADetgEAAgAAAAotMjMuOTM2NzU4AQgAAAAFAAAAATEBAAAACjE5NDcxNzk1ODMDAAAAAzE2MAIAAAAENDE1NgQAAAABMAcAAAAIMy83LzIwMjYIAAAACjEyLzMxLzIwMTYJAAAAATDM3VQl/4HeCCcQjij/gd4IN0NJUS5OWVNFOklCTS5JUV9GSU5fRElWX0xJQUJfTFQuMjAwMC4wNy8wMy8yMDI2Li4uVVNELkgBAAAA3rYBAAMAAAAAAMzdVCX/gd4IAiiOKP+B3ggxQ0lRLk5ZU0U6SUJNLklRX0RFUFJFX1NVUFAuOTkxLjA3LzAzLzIwMjYuLi5VU0QuSAEAAADetgEAAwAAAAAAzN1UJf+B3ggCKI4o/4HeCDtDSVEuTllTRTpJQk0uSVFfU0FMRV9SRUFMX0VTVEFURV9DRi4yMDAwLjA3LzAzLzIwMjYuLi5VU0QuSAEAAADetgEAAwAAAAAAzN1UJf+B3gj+wY0o/4HeCDhDSVEuTllTRTpJQk0uSVFfQ0hBTkdFX0lOVkVOVE9SWS4yMDAwLjA3LzAzLzIwMjYuLi5VU0QuSAEAAADetgEAAgAAAAI3MAEIAAAABQAAAAExAQAAAAstMTkwNDg2MDY1NwMAAAADMTYwAgAAAAQyMDk5BAAAAAEwBwAAAAgzLzcvMjAyNggAAAAKMTIvMzEvMjAyNQkAAAABMMzdVCX/gd4IH+mNKP+B3gg4Q0lRLk5ZU0U6SUJNLklRX1BST1ZfQkFEX0RFQlRTX0NGLjk5MC4wNy8wMy8yMDI2Li4uVVNELkgBAAAA3rYBAAMAAAAA</t>
  </si>
  <si>
    <t>AMzdVCX/gd4IH+mNKP+B3gg+Q0lRLk5ZU0U6SUJNLklRX1NUT0NLX09QVElPTlNfQ09NUF9UQVguMjAwMC4wNy8wMy8yMDI2Li4uVVNELkgBAAAA3rYBAAMAAAAAAMzdVCX/gd4IH+mNKP+B3gg4Q0lRLk5ZU0U6SUJNLklRX1NUT0NLX0JBU0VEX1RPVEFMLjk5MC4wNy8wMy8yMDI2Li4uVVNELkgBAAAA3rYBAAIAAAADNDY4AQgAAAAFAAAAATEBAAAACjE4NzY0MzI4NzIDAAAAAzE2MAIAAAAFMjQwMzQEAAAAATAHAAAACDMvNy8yMDI2CAAAAAoxMi8zMS8yMDE1CQAAAAEwzN1UJf+B3ggf6Y0o/4HeCDxDSVEuTllTRTpJQk0uSVFfQ0hBTkdFX0RFRl9UQVhfVE9UQUwuMjAwMC4wNy8wMy8yMDI2Li4uVVNELkgBAAAA3rYBAAIAAAAELTk1NwEIAAAABQAAAAExAQAAAAstMTkwNDg2MDY1NwMAAAADMTYwAgAAAAUzMDkyNAQAAAABMAcAAAAIMy83LzIwMjYIAAAACjEyLzMxLzIwMjUJAAAAATDM3VQl/4HeCO6ajSj/gd4IOUNJUS5OWVNFOklCTS5JUV9DQVNIX0lOVEVSRVNUX09QRVIuOTkxLjA3LzAzLzIwMjYuLi5VU0QuSAEAAADetgEAAwAAAAAAzN1UJf+B3gj+wY0o/4HeCDBDSVEuTllTRTpJQk0uSVFfQ0FTSF9PUEVSLjk5MS4wNy8wMy8yMDI2Li4uVVNELkgBAAAA3rYBAAIAAAAFMTcwODQBCAAAAAUAAAABMQEAAAAKMTk0NzE3OTU4MwMAAAADMTYwAgAAAAQyMDA2BAAAAAEwBwAAAAgzLzcvMjAyNggA</t>
  </si>
  <si>
    <t>AAAKMTIvMzEvMjAxNgkAAAABMMzdVCX/gd4I/sGNKP+B3gg0Q0lRLk5ZU0U6SUJNLklRX1NBTEVfSU5UQU5fQ0YuOTkwLjA3LzAzLzIwMjYuLi5VU0QuSAEAAADetgEAAgAAAAQtNTcyAQgAAAAFAAAAATEBAAAACjE4NzY0MzI4NzIDAAAAAzE2MAIAAAAEMjAyOQQAAAABMAcAAAAIMy83LzIwMjYIAAAACjEyLzMxLzIwMTUJAAAAATDM3VQl/4HeCP7BjSj/gd4IOENJUS5OWVNFOklCTS5JUV9QUk9WX0JBRF9ERUJUU19DRi45OTEuMDcvMDMvMjAyNi4uLlVTRC5IAQAAAN62AQADAAAAAADM3VQl/4HeCP7BjSj/gd4IMENJUS5OWVNFOklCTS5JUV9DSEFOR0VfQVAuOTkwLjA3LzAzLzIwMjYuLi5VU0QuSAEAAADetgEAAgAAAAI4MQEIAAAABQAAAAExAQAAAAoxODc2NDMyODcyAwAAAAMxNjACAAAABDIwMTcEAAAAATAHAAAACDMvNy8yMDI2CAAAAAoxMi8zMS8yMDE1CQAAAAEwzN1UJf+B3gjnc40o/4HeCDVDSVEuTllTRTpJQk0uSVFfR0FJTl9BU1NFVFNfQ0YuOTkwLjA3LzAzLzIwMjYuLi5VU0QuSAEAAADetgEAAgAAAAM0ODEBCAAAAAUAAAABMQEAAAAKMTg3NjQzMjg3MgMAAAADMTYwAgAAAAQyMDI2BAAAAAEwBwAAAAgzLzcvMjAyNggAAAAKMTIvMzEvMjAxNQkAAAABMMzdVCX/gd4I53ONKP+B3gg5Q0lRLk5ZU0U6SUJNLklRX1NUT0NLX09QVElPTlNfQ09NUC45OTAuMDcvMDMvMjAyNi4uLlVTRC5I</t>
  </si>
  <si>
    <t>AQAAAN62AQADAAAAAADM3VQl/4HeCO6ajSj/gd4IMkNJUS5OWVNFOklCTS5JUV9EQV9TVVBQTF9DRi45OTEuMDcvMDMvMjAyNi4uLlVTRC5IAQAAAN62AQACAAAABDI4MzcBCAAAAAUAAAABMQEAAAAKMTk0NzE3OTU4MwMAAAADMTYwAgAAAAQyMTcxBAAAAAEwBwAAAAgzLzcvMjAyNggAAAAKMTIvMzEvMjAxNgkAAAABMMzdVCX/gd4I7pqNKP+B3gg4Q0lRLk5ZU0U6SUJNLklRX1NUT0NLX0JBU0VEX1RPVEFMLjk5MS4wNy8wMy8yMDI2Li4uVVNELkgBAAAA3rYBAAIAAAADNTQ0AQgAAAAFAAAAATEBAAAACjE5NDcxNzk1ODMDAAAAAzE2MAIAAAAFMjQwMzQEAAAAATAHAAAACDMvNy8yMDI2CAAAAAoxMi8zMS8yMDE2CQAAAAEwzN1UJf+B3gjumo0o/4HeCDxDSVEuTllTRTpJQk0uSVFfTkVHQVRJVkVfR1dfQU1PUlRfQVQuMjAwMC4wNy8wMy8yMDI2Li4uVVNELkgBAAAA3rYBAAMAAAAAAMzdVCX/gd4InUyNKP+B3ggwQ0lRLk5ZU0U6SUJNLklRX0xUX0lOVkVTVC45OTEuMDcvMDMvMjAyNi4uLlVTRC5IAQAAAN62AQACAAAAAzY1OQEIAAAABQAAAAExAQAAAAoxOTQ3MTc5NTgzAwAAAAMxNjACAAAABDEwNTQEAAAAATAHAAAACDMvNy8yMDI2CAAAAAoxMi8zMS8yMDE2CQAAAAEwzN1UJf+B3gidTI0o/4HeCEFDSVEuTllTRTpJQk0uSVFfQ0hBTkdFX05FVF9XT1JLSU5HX0NBUElUQUwuOTkwLjA3LzAzLzIw</t>
  </si>
  <si>
    <t>MjYuLi5VU0QuSAEAAADetgEAAgAAAAQxNDU2AQgAAAAFAAAAATEBAAAACjE4NzY0MzI4NzIDAAAAAzE2MAIAAAAENDQyMQQAAAABMAcAAAAIMy83LzIwMjYIAAAACjEyLzMxLzIwMTUJAAAAATDM3VQl/4HeCJ1MjSj/gd4IL0NJUS5OWVNFOklCTS5JUV9DRl9TSEFSRS45OTEuMDcvMDMvMjAyNi4uLlVTRC5IAQAAAN62AQACAAAACTEzLjUzNzQ2NQEIAAAABQAAAAExAQAAAAoxOTQ3MTc5NTgzAwAAAAMxNjACAAAABTQzOTIzBAAAAAEwBwAAAAgzLzcvMjAyNggAAAAKMTIvMzEvMjAxNgkAAAABMMzdVCX/gd4I53ONKP+B3gg0Q0lRLk5ZU0U6SUJNLklRX0NBU0hfSU5URVJFU1QuOTkxLjA3LzAzLzIwMjYuLi5VU0QuSAEAAADetgEAAgAAAAQxMTU4AQgAAAAFAAAAATEBAAAACjE5NDcxNzk1ODMDAAAAAzE2MAIAAAAEMzAyOAQAAAABMAcAAAAIMy83LzIwMjYIAAAACjEyLzMxLzIwMTYJAAAAATDM3VQl/4HeCOdzjSj/gd4IM0NJUS5OWVNFOklCTS5JUV9QUkVGX0RJVl9DRi4yMDAwLjA3LzAzLzIwMjYuLi5VU0QuSAEAAADetgEAAwAAAAAAzN1UJf+B3giOJY0o/4HeCDlDSVEuTllTRTpJQk0uSVFfVE9UQUxfRElWX1BBSURfQ0YuMjAwMC4wNy8wMy8yMDI2Li4uVVNELkgBAAAA3rYBAAIAAAAFLTYyNTUBCAAAAAUAAAABMQEAAAALLTE5MDQ4NjA2NTcDAAAAAzE2MAIAAAAEMjAyMgQAAAABMAcAAAAIMy83</t>
  </si>
  <si>
    <t>LzIwMjYIAAAACjEyLzMxLzIwMjUJAAAAATDM3VQl/4HeCI4ljSj/gd4IOUNJUS5OWVNFOklCTS5JUV9UT1RBTF9ERUJUX0lTU1VFRC4yMDAwLjA3LzAzLzIwMjYuLi5VU0QuSAEAAADetgEAAgAAAAQ4MzkxAQgAAAAFAAAAATEBAAAACy0xOTA0ODYwNjU3AwAAAAMxNjACAAAABDIxNjEEAAAAATAHAAAACDMvNy8yMDI2CAAAAAoxMi8zMS8yMDI1CQAAAAEwzN1UJf+B3giOJY0o/4HeCDRDSVEuTllTRTpJQk0uSVFfU0FMRV9JTlRBTl9DRi45OTEuMDcvMDMvMjAyNi4uLlVTRC5IAQAAAN62AQACAAAABC01ODMBCAAAAAUAAAABMQEAAAAKMTk0NzE3OTU4MwMAAAADMTYwAgAAAAQyMDI5BAAAAAEwBwAAAAgzLzcvMjAyNggAAAAKMTIvMzEvMjAxNgkAAAABMMzdVCX/gd4InUyNKP+B3gg1Q0lRLk5ZU0U6SUJNLklRX0dBSU5fQVNTRVRTX0NGLjk5MS4wNy8wMy8yMDI2Li4uVVNELkgBAAAA3rYBAAIAAAACNjIBCAAAAAUAAAABMQEAAAAKMTk0NzE3OTU4MwMAAAADMTYwAgAAAAQyMDI2BAAAAAEwBwAAAAgzLzcvMjAyNggAAAAKMTIvMzEvMjAxNgkAAAABMMzdVCX/gd4InUyNKP+B3ghBQ0lRLk5ZU0U6SUJNLklRX1NUT0NLX0JBU0VEX0VYUExPUkVfRFJJTEwuMjAwMC4wNy8wMy8yMDI2Li4uVVNELkgBAAAA3rYBAAMAAAAAAMzdVCX/gd4Is/6MKP+B3gg4Q0lRLk5ZU0U6SUJNLklRX0lOU19TRVRUTEVfU1VQ</t>
  </si>
  <si>
    <t>UExFLjk5MS4wNy8wMy8yMDI2Li4uVVNELkgBAAAA3rYBAAMAAAAAAMzdVCX/gd4Is/6MKP+B3gg3Q0lRLk5ZU0U6SUJNLklRX1NUT0NLX0JBU0VEX0NPR1MuOTkwLjA3LzAzLzIwMjYuLi5VU0QuSAEAAADetgEAAgAAAAMxMDABCAAAAAUAAAABMQEAAAAKMTg3NjQzMjg3MgMAAAADMTYwAgAAAAUyMjY3NAQAAAABMAcAAAAIMy83LzIwMjYIAAAACjEyLzMxLzIwMTUJAAAAATDM3VQl/4HeCLP+jCj/gd4IOENJUS5OWVNFOklCTS5JUV9DT05USU5HRU5UX1JFTlRBTC45OTEuMDcvMDMvMjAyNi4uLlVTRC5IAQAAAN62AQADAAAAAADM3VQl/4HeCLP+jCj/gd4INUNJUS5OWVNFOklCTS5JUV9BSVJDUkFGVF9SRU5ULjIwMDAuMDcvMDMvMjAyNi4uLlVTRC5IAQAAAN62AQADAAAAAADM3VQl/4HeCI4ljSj/gd4IPENJUS5OWVNFOklCTS5JUV9GSU5fRElWX0xPQU5TX0NVUlJFTlQuOTkxLjA3LzAzLzIwMjYuLi5VU0QuSAEAAADetgEAAgAAAAUxOTAwNgEIAAAABQAAAAExAQAAAAoxOTQ3MTc5NTgzAwAAAAMxNjACAAAABDEwMzIEAAAAATAHAAAACDMvNy8yMDI2CAAAAAoxMi8zMS8yMDE2CQAAAAEwzN1UJf+B3ghp14wo/4HeCD1DSVEuTllTRTpJQk0uSVFfREFfQ0ZfRVhDTF9PUEVSX0xFQVNFUy45OTEuMDcvMDMvMjAyNi4uLlVTRC5IAQAAAN62AQACAAAABDQzODEBCAAAAAUAAAABMQEAAAAKMTk0NzE3OTU4</t>
  </si>
  <si>
    <t>MwMAAAADMTYwAgAAAAU0ODk4NQQAAAABMAcAAAAIMy83LzIwMjYIAAAACjEyLzMxLzIwMTYJAAAAATDM3VQl/4HeCGnXjCj/gd4IL0NJUS5OWVNFOklCTS5JUV9QUkVGX1JFUC45OTEuMDcvMDMvMjAyNi4uLlVTRC5IAQAAAN62AQADAAAAAADM3VQl/4HeCGnXjCj/gd4INUNJUS5OWVNFOklCTS5JUV9TUEVDSUFMX0RJVl9DRi45OTAuMDcvMDMvMjAyNi4uLlVTRC5IAQAAAN62AQADAAAAAADM3VQl/4HeCGnXjCj/gd4IMUNJUS5OWVNFOklCTS5JUV9DQVNIX0ZJTkFOLjk5MC4wNy8wMy8yMDI2Li4uVVNELkgBAAAA3rYBAAIAAAAFLTk0MTMBCAAAAAUAAAABMQEAAAAKMTg3NjQzMjg3MgMAAAADMTYwAgAAAAQyMDA0BAAAAAEwBwAAAAgzLzcvMjAyNggAAAAKMTIvMzEvMjAxNQkAAAABMMzdVCX/gd4IadeMKP+B3gg2Q0lRLk5ZU0U6SUJNLklRX1NUX0RFQlRfSVNTVUVELjIwMDAuMDcvMDMvMjAyNi4uLlVTRC5IAQAAAN62AQADAAAAAADM3VQl/4HeCEycjCj/gd4INUNJUS5OWVNFOklCTS5JUV9TVF9ERUJUX1JFUEFJRC45OTAuMDcvMDMvMjAyNi4uLlVTRC5IAQAAAN62AQADAAAAAADM3VQl/4HeCEOwjCj/gd4IOENJUS5OWVNFOklCTS5JUV9UT1RBTF9ERUJUX1JFUEFJRC45OTEuMDcvMDMvMjAyNi4uLlVTRC5IAQAAAN62AQACAAAABS02Mzk1AQgAAAAFAAAAATEBAAAACjE5NDcxNzk1ODMDAAAAAzE2</t>
  </si>
  <si>
    <t>MAIAAAAEMjE2NgQAAAABMAcAAAAIMy83LzIwMjYIAAAACjEyLzMxLzIwMTYJAAAAATDM3VQl/4HeCEOwjCj/gd4IMUNJUS5OWVNFOklCTS5JUV9DT01NT05fUkVQLjk5MC4wNy8wMy8yMDI2Li4uVVNELkgBAAAA3rYBAAIAAAAFLTQ4NTcBCAAAAAUAAAABMQEAAAAKMTg3NjQzMjg3MgMAAAADMTYwAgAAAAQyMTY0BAAAAAEwBwAAAAgzLzcvMjAyNggAAAAKMTIvMzEvMjAxNQkAAAABMMzdVCX/gd4IQ7CMKP+B3gg1Q0lRLk5ZU0U6SUJNLklRX0NIQU5HRV9ERUZfVEFYLjk5MC4wNy8wMy8yMDI2Li4uVVNELkgBAAAA3rYBAAMAAAAAAMzdVCX/gd4IQ7CMKP+B3gg9Q0lRLk5ZU0U6SUJNLklRX0NIQU5HRV9UUkFESU5HX0FTU0VUUy4yMDAwLjA3LzAzLzIwMjYuLi5VU0QuSAEAAADetgEAAwAAAAAAzN1UJf+B3gjvTYwo/4HeCC1DSVEuTllTRTpJQk0uSVFfREFfQ0YuMjAwMC4wNy8wMy8yMDI2Li4uVVNELkgBAAAA3rYBAAIAAAAENDQ1MAEIAAAABQAAAAExAQAAAAstMTkwNDg2MDY1NwMAAAADMTYwAgAAAAQyMTYwBAAAAAEwBwAAAAgzLzcvMjAyNggAAAAKMTIvMzEvMjAyNQkAAAABMMzdVCX/gd4IUHWMKP+B3gg1Q0lRLk5ZU0U6SUJNLklRX1NUT0NLX0JBU0VEX0NGLjk5MS4wNy8wMy8yMDI2Li4uVVNELkgBAAAA3rYBAAIAAAADNTQ0AQgAAAAFAAAAATEBAAAACjE5NDcxNzk1ODMDAAAAAzE2MAIAAAAE</t>
  </si>
  <si>
    <t>MjEyNwQAAAABMAcAAAAIMy83LzIwMjYIAAAACjEyLzMxLzIwMTYJAAAAATDM3VQl/4HeCFB1jCj/gd4IN0NJUS5OWVNFOklCTS5JUV9TVE9DS19CQVNFRF9DT01QLjk5MC4wNy8wMy8yMDI2Li4uVVNELkgBAAAA3rYBAAIAAAADMzEyAMzdVCX/gd4IUHWMKP+B3gg4Q0lRLk5ZU0U6SUJNLklRX1NUT0NLX0JBU0VEX09USEVSLjk5MC4wNy8wMy8yMDI2Li4uVVNELkgBAAAA3rYBAAIAAAACLTUBCAAAAAUAAAABMQEAAAAKMTg3NjQzMjg3MgMAAAADMTYwAgAAAAUyMjY3NgQAAAABMAcAAAAIMy83LzIwMjYIAAAACjEyLzMxLzIwMTUJAAAAATDM3VQl/4HeCEycjCj/gd4IOENJUS5OWVNFOklCTS5JUV9SRVNUUl9TVE9DS19DT01QLjIwMDAuMDcvMDMvMjAyNi4uLlVTRC5IAQAAAN62AQADAAAAAADM3VQl/4HeCJ8kjCj/gd4IN0NJUS5OWVNFOklCTS5JUV9TVE9DS19CQVNFRF9DT0dTLjk5MS4wNy8wMy8yMDI2Li4uVVNELkgBAAAA3rYBAAIAAAACODgBCAAAAAUAAAABMQEAAAAKMTk0NzE3OTU4MwMAAAADMTYwAgAAAAUyMjY3NAQAAAABMAcAAAAIMy83LzIwMjYIAAAACjEyLzMxLzIwMTYJAAAAATDM3VQl/4HeCJ8kjCj/gd4IP0NJUS5OWVNFOklCTS5JUV9TQUxBUklFU19PVEhFUl9CRU5FRklUUy4yMDAwLjA3LzAzLzIwMjYuLi5VU0QuSAEAAADetgEAAwAAAAAAzN1UJf+B3gjvTYwo/4HeCDdDSVEuTllT</t>
  </si>
  <si>
    <t>RTpJQk0uSVFfR0FJTl9CQVJHQUlOX0FDUS45OTAuMDcvMDMvMjAyNi4uLlVTRC5IAQAAAN62AQADAAAAAADM3VQl/4HeCO9NjCj/gd4IQUNJUS5OWVNFOklCTS5JUV9ERVBSRUNJQVRJT05fUkVOVEFMX0FTU0VUUy45OTAuMDcvMDMvMjAyNi4uLlVTRC5IAQAAAN62AQADAAAAAADM3VQl/4HeCO9NjCj/gd4IOUNJUS5OWVNFOklCTS5JUV9ESVNUUklCVVRBQkxFX0NBU0guOTkwLjA3LzAzLzIwMjYuLi5VU0QuSAEAAADetgEAAwAAAAAAzN1UJf+B3giI/Yso/4HeCD5DSVEuTllTRTpJQk0uSVFfRVhDSVNFX1RBWEVTX0lOQ0xfU0FMRVMuOTkwLjA3LzAzLzIwMjYuLi5VU0QuSAEAAADetgEAAwAAAAAAzN1UJf+B3giI/Yso/4HeCDFDSVEuTllTRTpJQk0uSVFfQ1VSUl9UQVhFUy45OTAuMDcvMDMvMjAyNi4uLlVTRC5IAQAAAN62AQACAAAABDE5MDgBCAAAAAUAAAABMQEAAAAKMTg3NjQzMjg3MgMAAAADMTYwAgAAAAUzNTM4MwQAAAABMAcAAAAIMy83LzIwMjYIAAAACjEyLzMxLzIwMTUJAAAAATDM3VQl/4HeCJ8kjCj/gd4IPkNJUS5OWVNFOklCTS5JUV9FQklUREFSX0VRX0lOQ19FWENMX1NCQy45OTAuMDcvMDMvMjAyNi4uLlVTRC5IAQAAAN62AQACAAAABTIyMjg1AQgAAAAFAAAAATEBAAAACjE4NzY0MzI4NzIDAAAAAzE2MAIAAAAFMjQxMzMEAAAAATAHAAAACDMvNy8yMDI2CAAAAAoxMi8zMS8yMDE1</t>
  </si>
  <si>
    <t>CQAAAAEwzN1UJf+B3gifJIwo/4HeCDxDSVEuTllTRTpJQk0uSVFfRUJJVERBX0xFQVNFX0FESlVTVEVELjk5MC4wNy8wMy8yMDI2Li4uVVNELkgBAAAA3rYBAAIAAAAFMjAzNzIBCAAAAAUAAAABMQEAAAAKMTg3NjQzMjg3MgMAAAADMTYwAgAAAAU0ODk5MwQAAAABMAcAAAAIMy83LzIwMjYIAAAACjEyLzMxLzIwMTUJAAAAATDM3VQl/4HeCJ8kjCj/gd4IOkNJUS5OWVNFOklCTS5JUV9JTkNfVEFYX1BBWV9DVVJSRU5ULjk5MS4wNy8wMy8yMDI2Li4uVVNELkgBAAAA3rYBAAIAAAAEMzIzNQEIAAAABQAAAAExAQAAAAoxOTQ3MTc5NTgzAwAAAAMxNjACAAAABDEwOTQEAAAAATAHAAAACDMvNy8yMDI2CAAAAAoxMi8zMS8yMDE2CQAAAAEwzN1UJf+B3ggz1oso/4HeCDhDSVEuTllTRTpJQk0uSVFfQ0FTSF9UQVhFU19JTlZFU1QuOTkxLjA3LzAzLzIwMjYuLi5VU0QuSAEAAADetgEAAwAAAAAAzN1UJf+B3ggz1oso/4HeCDFDSVEuTllTRTpJQk0uSVFfQ0FTSF9GSU5BTi45OTEuMDcvMDMvMjAyNi4uLlVTRC5IAQAAAN62AQACAAAABS01OTE3AQgAAAAFAAAAATEBAAAACjE5NDcxNzk1ODMDAAAAAzE2MAIAAAAEMjAwNAQAAAABMAcAAAAIMy83LzIwMjYIAAAACjEyLzMxLzIwMTYJAAAAATDM3VQl/4HeCDPWiyj/gd4INUNJUS5OWVNFOklCTS5JUV9MVF9ERUJUX0lTU1VFRC45OTAuMDcvMDMvMjAyNi4uLlVT</t>
  </si>
  <si>
    <t>RC5IAQAAAN62AQACAAAABDU1NDABCAAAAAUAAAABMQEAAAAKMTg3NjQzMjg3MgMAAAADMTYwAgAAAAQyMDM0BAAAAAEwBwAAAAgzLzcvMjAyNggAAAAKMTIvMzEvMjAxNQkAAAABMMzdVCX/gd4IiP2LKP+B3gg1Q0lRLk5ZU0U6SUJNLklRX1NUX0RFQlRfUkVQQUlELjk5MS4wNy8wMy8yMDI2Li4uVVNELkgBAAAA3rYBAAMAAAAAAMzdVCX/gd4IiP2LKP+B3ggxQ0lRLk5ZU0U6SUJNLklRX0NPTU1PTl9SRVAuOTkxLjA3LzAzLzIwMjYuLi5VU0QuSAEAAADetgEAAgAAAAUtMzYyOAEIAAAABQAAAAExAQAAAAoxOTQ3MTc5NTgzAwAAAAMxNjACAAAABDIxNjQEAAAAATAHAAAACDMvNy8yMDI2CAAAAAoxMi8zMS8yMDE2CQAAAAEwzN1UJf+B3gg6l4so/4HeCD5DSVEuTllTRTpJQk0uSVFfT1RIRVJfSU5WRVNUX0FDVF9TVVBQTC4yMDAwLjA3LzAzLzIwMjYuLi5VU0QuSAEAAADetgEAAgAAAAExAQgAAAAFAAAAATEBAAAACy0xOTA0ODYwNjU3AwAAAAMxNjACAAAABDIwNTEEAAAAATAHAAAACDMvNy8yMDI2CAAAAAoxMi8zMS8yMDI1CQAAAAEwzN1UJf+B3ghfvoso/4HeCDVDSVEuTllTRTpJQk0uSVFfQ0hBTkdFX0RFRl9UQVguOTkxLjA3LzAzLzIwMjYuLi5VU0QuSAEAAADetgEAAwAAAAAAzN1UJf+B3ghfvoso/4HeCDBDSVEuTllTRTpJQk0uSVFfTE9BTlNfQ0YuMjAwMC4wNy8wMy8yMDI2Li4uVVNELkgB</t>
  </si>
  <si>
    <t>AAAA3rYBAAMAAAAAAMzdVCX/gd4IX76LKP+B3gg3Q0lRLk5ZU0U6SUJNLklRX1NUT0NLX0JBU0VEX0NPTVAuOTkxLjA3LzAzLzIwMjYuLi5VU0QuSAEAAADetgEAAgAAAAMzNjQAzN1UJf+B3ggz1oso/4HeCDJDSVEuTllTRTpJQk0uSVFfT1RIRVJfQU1PUlQuOTkwLjA3LzAzLzIwMjYuLi5VU0QuSAEAAADetgEAAwAAAAAAzN1UJf+B3ghpcIso/4HeCDhDSVEuTllTRTpJQk0uSVFfU1RPQ0tfQkFTRURfT1RIRVIuOTkxLjA3LzAzLzIwMjYuLi5VU0QuSAEAAADetgEAAwAAAAAAzN1UJf+B3ghpcIso/4HeCDxDSVEuTllTRTpJQk0uSVFfVE9UQUxfVU5VU1VBTF9TVVBQTEUuMjAwMC4wNy8wMy8yMDI2Li4uVVNELkgBAAAA3rYBAAMAAAAAAMzdVCX/gd4IOpeLKP+B3gg3Q0lRLk5ZU0U6SUJNLklRX0dBSU5fQkFSR0FJTl9BQ1EuOTkxLjA3LzAzLzIwMjYuLi5VU0QuSAEAAADetgEAAwAAAAAAzN1UJf+B3gg6l4so/4HeCEFDSVEuTllTRTpJQk0uSVFfREVQUkVDSUFUSU9OX1JFTlRBTF9BU1NFVFMuOTkxLjA3LzAzLzIwMjYuLi5VU0QuSAEAAADetgEAAwAAAAAAzN1UJf+B3gg6l4so/4HeCDdDSVEuTllTRTpJQk0uSVFfU0FMRVNfTUFSS0VUSU5HLjIwMDAuMDcvMDMvMjAyNi4uLlVTRC5IAQAAAN62AQACAAAABDExMjkBCAAAAAUAAAABMQEAAAALLTE5MDQ4NjA2NTcDAAAAAzE2MAIAAAAFMjE1NjEEAAAA</t>
  </si>
  <si>
    <t>ATAHAAAACDMvNy8yMDI2CAAAAAoxMi8zMS8yMDI1CQAAAAEwzN1UJf+B3gjhSIso/4HeCDlDSVEuTllTRTpJQk0uSVFfTkVUX1JFTlRBTF9FWFBfRk4uMjAwMC4wNy8wMy8yMDI2Li4uVVNELkgBAAAA3rYBAAIAAAAEMTMwOAEIAAAABQAAAAExAQAAAAstMTkwNDg2MDY1NwMAAAADMTYwAgAAAAQzMTcwBAAAAAEwBwAAAAgzLzcvMjAyNggAAAAKMTIvMzEvMjAyNQkAAAABMMzdVCX/gd4I4UiLKP+B3gg7Q0lRLk5ZU0U6SUJNLklRX0ZJTl9ESVZfTElBQl9DVVJSRU5ULjk5MC4wNy8wMy8yMDI2Li4uVVNELkgBAAAA3rYBAAMAAAAAAMzdVCX/gd4I4UiLKP+B3gg6Q0lRLk5ZU0U6SUJNLklRX0NBU0hfSU5URVJFU1RfRklOQU4uOTkxLjA3LzAzLzIwMjYuLi5VU0QuSAEAAADetgEAAwAAAAAAzN1UJf+B3ghpcIso/4HeCDJDSVEuTllTRTpJQk0uSVFfTkVUX0NIQU5HRS4yMDAwLjA3LzAzLzIwMjYuLi5VU0QuSAEAAADetgEAAgAAAAQtNTIwAQgAAAAFAAAAATEBAAAACy0xOTA0ODYwNjU3AwAAAAMxNjACAAAABDIwOTMEAAAAATAHAAAACDMvNy8yMDI2CAAAAAoxMi8zMS8yMDI1CQAAAAEwzN1UJf+B3ghpcIso/4HeCDVDSVEuTllTRTpJQk0uSVFfTUlTQ19BREpVU1RfQ0YuOTkxLjA3LzAzLzIwMjYuLi5VU0QuSAEAAADetgEAAwAAAAAAzN1UJf+B3gjLDYso/4HeCDJDSVEuTllTRTpJQk0uSVFfQ0FTSF9J</t>
  </si>
  <si>
    <t>TlZFU1QuOTkwLjA3LzAzLzIwMjYuLi5VU0QuSAEAAADetgEAAgAAAAUtODE1OQEIAAAABQAAAAExAQAAAAoxODc2NDMyODcyAwAAAAMxNjACAAAABDIwMDUEAAAAATAHAAAACDMvNy8yMDI2CAAAAAoxMi8zMS8yMDE1CQAAAAEwzN1UJf+B3gjLDYso/4HeCDBDSVEuTllTRTpJQk0uSVFfRElWRVNUX0NGLjk5MS4wNy8wMy8yMDI2Li4uVVNELkgBAAAA3rYBAAIAAAAELTQ1NAEIAAAABQAAAAExAQAAAAoxOTQ3MTc5NTgzAwAAAAMxNjACAAAABDIwNzcEAAAAATAHAAAACDMvNy8yMDI2CAAAAAoxMi8zMS8yMDE2CQAAAAEwzN1UJf+B3gjLDYso/4HeCCxDSVEuTllTRTpJQk0uSVFfRE9fQ0YuOTkxLjA3LzAzLzIwMjYuLi5VU0QuSAEAAADetgEAAwAAAAAAzN1UJf+B3gjLDYso/4HeCDFDSVEuTllTRTpJQk0uSVFfQ0hBTkdFX0FQLjIwMDAuMDcvMDMvMjAyNi4uLlVTRC5IAQAAAN62AQACAAAAAzYyNAEIAAAABQAAAAExAQAAAAstMTkwNDg2MDY1NwMAAAADMTYwAgAAAAQyMDE3BAAAAAEwBwAAAAgzLzcvMjAyNggAAAAKMTIvMzEvMjAyNQkAAAABMMzdVCX/gd4I4UiLKP+B3gg1Q0lRLk5ZU0U6SUJNLklRX0NSRURJVF9MT1NTX0NGLjk5MC4wNy8wMy8yMDI2Li4uVVNELkgBAAAA3rYBAAMAAAAAAMzdVCX/gd4ItPmKKP+B3gg6Q0lRLk5ZU0U6SUJNLklRX1NUT0NLX09QVElPTlNfQ09NUC4yMDAwLjA3LzAz</t>
  </si>
  <si>
    <t>LzIwMjYuLi5VU0QuSAEAAADetgEAAwAAAAAAzN1UJf+B3gi0+Yoo/4HeCDJDSVEuTllTRTpJQk0uSVFfT1RIRVJfQU1PUlQuOTkxLjA3LzAzLzIwMjYuLi5VU0QuSAEAAADetgEAAwAAAAAAzN1UJf+B3gjLDYso/4HeCDhDSVEuTllTRTpJQk0uSVFfTkVHQVRJVkVfR1dfQU1PUlQuOTkxLjA3LzAzLzIwMjYuLi5VU0QuSAEAAADetgEAAwAAAAAAzN1UJf+B3gjLDYso/4HeCDZDSVEuTllTRTpJQk0uSVFfU1RPQ0tfQkFTRURfR0EuMjAwMC4wNy8wMy8yMDI2Li4uVVNELkgBAAAA3rYBAAMAAAAAAMzdVCX/gd4Iyw2LKP+B3gg8Q0lRLk5ZU0U6SUJNLklRX0lNUEFJUk1FTlRfR1dfU1VQUExFLjIwMDAuMDcvMDMvMjAyNi4uLlVTRC5IAQAAAN62AQADAAAAAADM3VQl/4HeCFiriij/gd4INUNJUS5OWVNFOklCTS5JUV9ORVRfUkVOVEFMX0VYUC45OTAuMDcvMDMvMjAyNi4uLlVTRC5IAQAAAN62AQACAAAABDE0NDUBCAAAAAUAAAABMQEAAAAKMTg3NjQzMjg3MgMAAAADMTYwAgAAAAUyNDI2MQQAAAABMAcAAAAIMy83LzIwMjYIAAAACjEyLzMxLzIwMTUJAAAAATDM3VQl/4HeCLDSiij/gd4IMkNJUS5OWVNFOklCTS5JUV9NQUlOVF9DQVBFWC45OTEuMDcvMDMvMjAyNi4uLlVTRC5IAQAAAN62AQADAAAAAADM3VQl/4HeCLDSiij/gd4IPUNJUS5OWVNFOklCTS5JUV9DQVNIX0lOVEVSRVNUX1JFQ0VJVkVELjk5</t>
  </si>
  <si>
    <t>MS4wNy8wMy8yMDI2Li4uVVNELkgBAAAA3rYBAAMAAAAAAMzdVCX/gd4IsNKKKP+B3gg0Q0lRLk5ZU0U6SUJNLklRX1VOTEVWRVJFRF9GQ0YuOTkxLjA3LzAzLzIwMjYuLi5VU0QuSAEAAADetgEAAgAAAAc5NTMzLjI1AQgAAAAFAAAAATEBAAAACjE5NDcxNzk1ODMDAAAAAzE2MAIAAAAENDQyMwQAAAABMAcAAAAIMy83LzIwMjYIAAAACjEyLzMxLzIwMTYJAAAAATDM3VQl/4HeCLDSiij/gd4IM0NJUS5OWVNFOklCTS5JUV9BTU9SVF9ESUNfQ0YuOTkxLjA3LzAzLzIwMjYuLi5VU0QuSAEAAADetgEAAwAAAAAAzN1UJf+B3ggthIoo/4HeCC1DSVEuTllTRTpJQk0uSVFfQ0FQRVguMjAwMC4wNy8wMy8yMDI2Li4uVVNELkgBAAAA3rYBAAIAAAAFLTEwOTEBCAAAAAUAAAABMQEAAAALLTE5MDQ4NjA2NTcDAAAAAzE2MAIAAAAEMjAyMQQAAAABMAcAAAAIMy83LzIwMjYIAAAACjEyLzMxLzIwMjUJAAAAATDM3VQl/4HeCC2Eiij/gd4IOENJUS5OWVNFOklCTS5JUV9DSEFOR0VfVU5FQVJOX1JFVi45OTEuMDcvMDMvMjAyNi4uLlVTRC5IAQAAAN62AQADAAAAAADM3VQl/4HeCFiriij/gd4IPkNJUS5OWVNFOklCTS5JUV9TVE9DS19CQVNFRF9DT01QX1BSRVRBWC45OTAuMDcvMDMvMjAyNi4uLlVTRC5IAQAAAN62AQACAAAAAzQ2OADM3VQl/4HeCFiriij/gd4IOUNJUS5OWVNFOklCTS5JUV9HV19JTlRBTl9BTU9S</t>
  </si>
  <si>
    <t>VF9DRi4yMDAwLjA3LzAzLzIwMjYuLi5VU0QuSAEAAADetgEAAgAAAAQyMTY2AQgAAAAFAAAAATEBAAAACy0xOTA0ODYwNjU3AwAAAAMxNjACAAAABDIxODIEAAAAATAHAAAACDMvNy8yMDI2CAAAAAoxMi8zMS8yMDI1CQAAAAEwzN1UJf+B3ghYq4oo/4HeCDJDSVEuTllTRTpJQk0uSVFfUFJFUEFJRF9FWFAuOTkxLjA3LzAzLzIwMjYuLi5VU0QuSAEAAADetgEAAgAAAAQ0MDMyAQgAAAAFAAAAATEBAAAACjE5NDcxNzk1ODMDAAAAAzE2MAIAAAAEMTIxMgQAAAABMAcAAAAIMy83LzIwMjYIAAAACjEyLzMxLzIwMTYJAAAAATDM3VQl/4HeCDxdiij/gd4IPUNJUS5OWVNFOklCTS5JUV9ERUZfVEFYX0FTU0VUU19DVVJSRU5ULjk5MS4wNy8wMy8yMDI2Li4uVVNELkgBAAAA3rYBAAMAAAAAAMzdVCX/gd4ILYSKKP+B3ghAQ0lRLk5ZU0U6SUJNLklRX0dXX0lOVEFOX0FNT1JUX1BBUlRJQUxfQ0YuOTkxLjA3LzAzLzIwMjYuLi5VU0QuSAEAAADetgEAAwAAAAAAzN1UJf+B3ggthIoo/4HeCERDSVEuTllTRTpJQk0uSVFfREVQUkVDSUFUSU9OX1JFTlRBTF9BU1NFVFNfQ0YuOTkxLjA3LzAzLzIwMjYuLi5VU0QuSAEAAADetgEAAwAAAAAAzN1UJf+B3ggthIoo/4HeCDJDSVEuTllTRTpJQk0uSVFfU0FMRV9QUEVfQ0YuOTkwLjA3LzAzLzIwMjYuLi5VU0QuSAEAAADetgEAAgAAAAMzNzABCAAAAAUAAAABMQEAAAAK</t>
  </si>
  <si>
    <t>MTg3NjQzMjg3MgMAAAADMTYwAgAAAAQyMDQyBAAAAAEwBwAAAAgzLzcvMjAyNggAAAAKMTIvMzEvMjAxNQkAAAABMMzdVCX/gd4ILYSKKP+B3gg6Q0lRLk5ZU0U6SUJNLklRX1RBWF9CRU5FRklUX09QVElPTlMuOTkwLjA3LzAzLzIwMjYuLi5VU0QuSAEAAADetgEAAwAAAAAAzN1UJf+B3ggmNooo/4HeCDFDSVEuTllTRTpJQk0uSVFfT0lMX0lNUEFJUi45OTAuMDcvMDMvMjAyNi4uLlVTRC5IAQAAAN62AQADAAAAAADM3VQl/4HeCDxdiij/gd4INkNJUS5OWVNFOklCTS5JUV9HQUlOX0lOVkVTVF9DRi4yMDAwLjA3LzAzLzIwMjYuLi5VU0QuSAEAAADetgEAAwAAAAAAzN1UJf+B3gg8XYoo/4HeCD5DSVEuTllTRTpJQk0uSVFfU1RPQ0tfQkFTRURfQ09NUF9QUkVUQVguOTkxLjA3LzAzLzIwMjYuLi5VU0QuSAEAAADetgEAAgAAAAM1NDQAzN1UJf+B3gg8XYoo/4HeCDZDSVEuTllTRTpJQk0uSVFfU1RPQ0tfQkFTRURfUkQuMjAwMC4wNy8wMy8yMDI2Li4uVVNELkgBAAAA3rYBAAIAAAADNTQyAQgAAAAFAAAAATEBAAAACy0xOTA0ODYwNjU3AwAAAAMxNjACAAAABTIyNjc4BAAAAAEwBwAAAAgzLzcvMjAyNggAAAAKMTIvMzEvMjAyNQkAAAABMMzdVCX/gd4IPF2KKP+B3gg7Q0lRLk5ZU0U6SUJNLklRX09USEVSX1VOVVNVQUxfU1VQUExFLjk5MC4wNy8wMy8yMDI2Li4uVVNELkgBAAAA3rYBAAMAAAAAAMzd</t>
  </si>
  <si>
    <t>VCX/gd4IDA+KKP+B3gg9Q0lRLk5ZU0U6SUJNLklRX0FTU0VUX1dSSVRFRE9XTl9TVVBQTEUuOTkxLjA3LzAzLzIwMjYuLi5VU0QuSAEAAADetgEAAwAAAAAAzN1UJf+B3ggMD4oo/4HeCDNDSVEuTllTRTpJQk0uSVFfT1RIRVJfUkVOVEFMLjk5MC4wNy8wMy8yMDI2Li4uVVNELkgBAAAA3rYBAAMAAAAAAMzdVCX/gd4IDA+KKP+B3gg7Q0lRLk5ZU0U6SUJNLklRX0NIQU5HRV9ERUZfVEFYX1RPVEFMLjk5MC4wNy8wMy8yMDI2Li4uVVNELkgBAAAA3rYBAAIAAAAEMTM4NwEIAAAABQAAAAExAQAAAAoxODc2NDMyODcyAwAAAAMxNjACAAAABTMwOTI0BAAAAAEwBwAAAAgzLzcvMjAyNggAAAAKMTIvMzEvMjAxNQkAAAABMMzdVCX/gd4IJjaKKP+B3gg3Q0lRLk5ZU0U6SUJNLklRX0NIQU5HRV9JTlZFTlRPUlkuOTkwLjA3LzAzLzIwMjYuLi5VU0QuSAEAAADetgEAAgAAAAMxMzMBCAAAAAUAAAABMQEAAAAKMTg3NjQzMjg3MgMAAAADMTYwAgAAAAQyMDk5BAAAAAEwBwAAAAgzLzcvMjAyNggAAAAKMTIvMzEvMjAxNQkAAAABMMzdVCX/gd4IJjaKKP+B3ggyQ0lRLk5ZU0U6SUJNLklRX1NBTEVfUFBFX0NGLjk5MS4wNy8wMy8yMDI2Li4uVVNELkgBAAAA3rYBAAIAAAADNDI0AQgAAAAFAAAAATEBAAAACjE5NDcxNzk1ODMDAAAAAzE2MAIAAAAEMjA0MgQAAAABMAcAAAAIMy83LzIwMjYIAAAACjEyLzMxLzIwMTYJ</t>
  </si>
  <si>
    <t>AAAAATDM3VQl/4HeCNysiSj/gd4IOkNJUS5OWVNFOklCTS5JUV9UQVhfQkVORUZJVF9PUFRJT05TLjk5MS4wNy8wMy8yMDI2Li4uVVNELkgBAAAA3rYBAAMAAAAAAMzdVCX/gd4IseeJKP+B3ggxQ0lRLk5ZU0U6SUJNLklRX09JTF9JTVBBSVIuOTkxLjA3LzAzLzIwMjYuLi5VU0QuSAEAAADetgEAAwAAAAAAzN1UJf+B3gix54ko/4HeCEFDSVEuTllTRTpJQk0uSVFfU1RPQ0tfT1BUSU9OU19DT01QX1BSRVRBWC4yMDAwLjA3LzAzLzIwMjYuLi5VU0QuSAEAAADetgEAAwAAAAAAzN1UJf+B3gix54ko/4HeCDVDSVEuTllTRTpJQk0uSVFfU1RPQ0tfQkFTRURfQVQuOTkwLjA3LzAzLzIwMjYuLi5VU0QuSAEAAADetgEAAwAAAAAAzN1UJf+B3gix54ko/4HeCDtDSVEuTllTRTpJQk0uSVFfT1RIRVJfVU5VU1VBTF9TVVBQTEUuOTkxLjA3LzAzLzIwMjYuLi5VU0QuSAEAAADetgEAAwAAAAAAzN1UJf+B3gjcrIko/4HeCD5DSVEuTllTRTpJQk0uSVFfRVhQTE9SRV9EUklMTF9FWFBfVE9UQUwuOTkwLjA3LzAzLzIwMjYuLi5VU0QuSAEAAADetgEAAwAAAAAAzN1UJf+B3gjcrIko/4HeCDpDSVEuTllTRTpJQk0uSVFfUkVTVFJVQ1RVUkVfU1VQUExFLjIwMDAuMDcvMDMvMjAyNi4uLlVTRC5IAQAAAN62AQADAAAAAADM3VQl/4HeCNysiSj/gd4ILkNJUS5OWVNFOklCTS5JUV9HQV9FWFAuMjAwMC4wNy8wMy8yMDI2</t>
  </si>
  <si>
    <t>Li4uVVNELkgBAAAA3rYBAAMAAAAAAMzdVCX/gd4I3KyJKP+B3ggyQ0lRLk5ZU0U6SUJNLklRX0FEVkVSVElTSU5HLjk5MS4wNy8wMy8yMDI2Li4uVVNELkgBAAAA3rYBAAIAAAAEMTMyNwEIAAAABQAAAAExAQAAAAoxOTQ3MTc5NTgzAwAAAAMxNjACAAAABDMwMTMEAAAAATAHAAAACDMvNy8yMDI2CAAAAAoxMi8zMS8yMDE2CQAAAAEwzN1UJf+B3gjcrIko/4HeCDpDSVEuTllTRTpJQk0uSVFfTk9OQ0FTSF9QRU5TSU9OX0VYUC45OTEuMDcvMDMvMjAyNi4uLlVTRC5IAQAAAN62AQACAAAAAzMwMgEIAAAABQAAAAExAQAAAAoxOTQ3MTc5NTgzAwAAAAMxNjACAAAABTIxNjc4BAAAAAEwBwAAAAgzLzcvMjAyNggAAAAKMTIvMzEvMjAxNgkAAAABMMzdVCX/gd4I82mJKP+B3ghHQ0lRLk5ZU0U6SUJNLklRX0RJU1RSSUJVVEFCTEVfQ0FTSF9TVEFOREFSRElaRUQuMjAwMC4wNy8wMy8yMDI2Li4uVVNELkgBAAAA3rYBAAMAAAAAAMzdVCX/gd4IiIWJKP+B3gg+Q0lRLk5ZU0U6SUJNLklRX0FOTlVfRElTVFJJQlVUSU9OX1VOSVQuMjAwMC4wNy8wMy8yMDI2Li4uVVNELkgBAAAA3rYBAAMAAAAAAMzdVCX/gd4IiIWJKP+B3gg/Q0lRLk5ZU0U6SUJNLklRX0RFRkVSUkVEX0RPTUVTVElDX1RBWEVTLjIwMDAuMDcvMDMvMjAyNi4uLlVTRC5IAQAAAN62AQACAAAABC0yNDkBCAAAAAUAAAABMQEAAAALLTE5MDQ4NjA2</t>
  </si>
  <si>
    <t>NTcDAAAAAzE2MAIAAAAEMzA1NAQAAAABMAcAAAAIMy83LzIwMjYIAAAACjEyLzMxLzIwMjUJAAAAATDM3VQl/4HeCIiFiSj/gd4IOkNJUS5OWVNFOklCTS5JUV9DVVJSX0RPTUVTVElDX1RBWEVTLjk5MS4wNy8wMy8yMDI2Li4uVVNELkgBAAAA3rYBAAIAAAADNDMwAQgAAAAFAAAAATEBAAAACjE5NDcxNzk1ODMDAAAAAzE2MAIAAAAEMzAyNwQAAAABMAcAAAAIMy83LzIwMjYIAAAACjEyLzMxLzIwMTYJAAAAATDM3VQl/4HeCIiFiSj/gd4IN0NJUS5OWVNFOklCTS5JUV9FQklUREFSX0VYQ0xfU0JDLjk5MS4wNy8wMy8yMDI2Li4uVVNELkgBAAAA3rYBAAMAAAAAAMzdVCX/gd4IuEKJKP+B3ggzQ0lRLk5ZU0U6SUJNLklRX0VCSVRfRVFfSU5DLjIwMDAuMDcvMDMvMjAyNi4uLlVTRC5IAQAAAN62AQACAAAABTEyNTY4AQgAAAAFAAAAATEBAAAACy0xOTA0ODYwNjU3AwAAAAMxNjACAAAABTIxNjc1BAAAAAEwBwAAAAgzLzcvMjAyNggAAAAKMTIvMzEvMjAyNQkAAAABMMzdVCX/gd4IuEKJKP+B3gg9Q0lRLk5ZU0U6SUJNLklRX0VCSVREQV9FUV9JTkNfRVhDTF9TQkMuOTkxLjA3LzAzLzIwMjYuLi5VU0QuSAEAAADetgEAAgAAAAUxOTA5NQEIAAAABQAAAAExAQAAAAoxOTQ3MTc5NTgzAwAAAAMxNjACAAAABTI0MTMxBAAAAAEwBwAAAAgzLzcvMjAyNggAAAAKMTIvMzEvMjAxNgkAAAABMMzdVCX/gd4IuEKJ</t>
  </si>
  <si>
    <t>KP+B3gg+Q0lRLk5ZU0U6SUJNLklRX0xFQVNFX0FESlVTVE1FTlRfRUJJVERBLjk5MS4wNy8wMy8yMDI2Li4uVVNELkgBAAAA3rYBAAMAAAAAAMzdVCX/gd4I82mJKP+B3gg2Q0lRLk5ZU0U6SUJNLklRX0NBU0hfVEFYRVNfT1BFUi45OTEuMDcvMDMvMjAyNi4uLlVTRC5IAQAAAN62AQADAAAAAADM3VQl/4HeCPNpiSj/gd4IRENJUS5OWVNFOklCTS5JUV9EQV9TVVBQTF9DRl9FWENMX09QRVJfTEVBU0VTLjIwMDAuMDcvMDMvMjAyNi4uLlVTRC5IAQAAAN62AQACAAAABDEzODQBCAAAAAUAAAABMQEAAAALLTE5MDQ4NjA2NTcDAAAAAzE2MAIAAAAFNDg5ODMEAAAAATAHAAAACDMvNy8yMDI2CAAAAAoxMi8zMS8yMDI1CQAAAAEwzN1UJf+B3giPLIko/4HeCDZDSVEuTllTRTpJQk0uSVFfU1BFQ0lBTF9ESVZfQ0YuMjAwMC4wNy8wMy8yMDI2Li4uVVNELkgBAAAA3rYBAAMAAAAAAMzdVCX/gd4IuEKJKP+B3gg3Q0lRLk5ZU0U6SUJNLklRX0NIQU5HRV9JTlZFTlRPUlkuOTkxLjA3LzAzLzIwMjYuLi5VU0QuSAEAAADetgEAAgAAAAMtMTQBCAAAAAUAAAABMQEAAAAKMTk0NzE3OTU4MwMAAAADMTYwAgAAAAQyMDk5BAAAAAEwBwAAAAgzLzcvMjAyNggAAAAKMTIvMzEvMjAxNgkAAAABMMzdVCX/gd4IuEKJKP+B3gg2Q0lRLk5ZU0U6SUJNLklRX0NSRURJVF9MT1NTX0NGLjIwMDAuMDcvMDMvMjAyNi4uLlVTRC5I</t>
  </si>
  <si>
    <t>AQAAAN62AQADAAAAAADM3VQl/4HeCLhCiSj/gd4INUNJUS5OWVNFOklCTS5JUV9TVE9DS19CQVNFRF9BVC45OTEuMDcvMDMvMjAyNi4uLlVTRC5IAQAAAN62AQADAAAAAADM3VQl/4HeCLhCiSj/gd4IPUNJUS5OWVNFOklCTS5JUV9TVE9DS19PUFRJT05TX0NPTVBfVEFYLjk5MC4wNy8wMy8yMDI2Li4uVVNELkgBAAAA3rYBAAMAAAAAAMzdVCX/gd4IyvGIKP+B3gg0Q0lRLk5ZU0U6SUJNLklRX0RPX0ZJTkFOQ0VfQ0YuOTkxLjA3LzAzLzIwMjYuLi5VU0QuSAEAAADetgEAAwAAAAAAzN1UJf+B3gjK8Ygo/4HeCEVDSVEuTllTRTpJQk0uSVFfVE9UQUxfREVCVF9SRVBBSURfRVhDTF9MRUFTRVMuMjAwMC4wNy8wMy8yMDI2Li4uVVNELkgBAAAA3rYBAAIAAAAFLTU1MTgBCAAAAAUAAAABMQEAAAALLTE5MDQ4NjA2NTcDAAAAAzE2MAIAAAAFNDg5ODYEAAAAATAHAAAACDMvNy8yMDI2CAAAAAoxMi8zMS8yMDI1CQAAAAEwzN1UJf+B3giPLIko/4HeCDVDSVEuTllTRTpJQk0uSVFfQ09NTU9OX0lTU1VFRC4yMDAwLjA3LzAzLzIwMjYuLi5VU0QuSAEAAADetgEAAgAAAAM3MTABCAAAAAUAAAABMQEAAAALLTE5MDQ4NjA2NTcDAAAAAzE2MAIAAAAEMjE2OQQAAAABMAcAAAAIMy83LzIwMjYIAAAACjEyLzMxLzIwMjUJAAAAATDM3VQl/4HeCI8siSj/gd4IL0NJUS5OWVNFOklCTS5JUV9QUkVGX1JFUC45OTAuMDcv</t>
  </si>
  <si>
    <t>MDMvMjAyNi4uLlVTRC5IAQAAAN62AQADAAAAAADM3VQl/4HeCI8siSj/gd4IOENJUS5OWVNFOklCTS5JUV9UT1RBTF9ESVZfUEFJRF9DRi45OTAuMDcvMDMvMjAyNi4uLlVTRC5IAQAAAN62AQACAAAABS00ODk3AQgAAAAFAAAAATEBAAAACjE4NzY0MzI4NzIDAAAAAzE2MAIAAAAEMjAyMgQAAAABMAcAAAAIMy83LzIwMjYIAAAACjEyLzMxLzIwMTUJAAAAATDM3VQl/4HeCIrKiCj/gd4IPkNJUS5OWVNFOklCTS5JUV9PVEhFUl9GSU5BTkNFX0FDVF9TVVBQTC45OTAuMDcvMDMvMjAyNi4uLlVTRC5IAQAAAN62AQADAAAAAADM3VQl/4HeCMrxiCj/gd4IOkNJUS5OWVNFOklCTS5JUV9TQUxFX1JFQUxfRVNUQVRFX0NGLjk5MS4wNy8wMy8yMDI2Li4uVVNELkgBAAAA3rYBAAMAAAAAAMzdVCX/gd4IyvGIKP+B3gg4Q0lRLk5ZU0U6SUJNLklRX1RPVEFMX0RFQlRfSVNTVUVELjk5MC4wNy8wMy8yMDI2Li4uVVNELkgBAAAA3rYBAAIAAAAENTY0MQEIAAAABQAAAAExAQAAAAoxODc2NDMyODcyAwAAAAMxNjACAAAABDIxNjEEAAAAATAHAAAACDMvNy8yMDI2CAAAAAoxMi8zMS8yMDE1CQAAAAEwzN1UJf+B3gjK8Ygo/4HeCDRDSVEuTllTRTpJQk0uSVFfSU5DX0VRVUlUWV9DRi45OTAuMDcvMDMvMjAyNi4uLlVTRC5IAQAAAN62AQADAAAAAADM3VQl/4HeCMrxiCj/gd4INkNJUS5OWVNFOklCTS5JUV9PVEhFUl9P</t>
  </si>
  <si>
    <t>UEVSX0FDVC4yMDAwLjA3LzAzLzIwMjYuLi5VU0QuSAEAAADetgEAAgAAAAQtOTU4AQgAAAAFAAAAATEBAAAACy0xOTA0ODYwNjU3AwAAAAMxNjACAAAABDIwNDcEAAAAATAHAAAACDMvNy8yMDI2CAAAAAoxMi8zMS8yMDI1CQAAAAEwzN1UJf+B3gh+r4go/4HeCDtDSVEuTllTRTpJQk0uSVFfTUlOT1JJVFlfSU5URVJFU1RfQ0YuOTkxLjA3LzAzLzIwMjYuLi5VU0QuSAEAAADetgEAAwAAAAAAzN1UJf+B3gh+r4go/4HeCDNDSVEuTllTRTpJQk0uSVFfT1RIRVJfSU5UQU4uMjAwMC4wNy8wMy8yMDI2Li4uVVNELkgBAAAA3rYBAAIAAAAFMTEzOTEBCAAAAAUAAAABMQEAAAALLTE5MDQ4NjA2NTcDAAAAAzE2MAIAAAAEMTA0MAQAAAABMAcAAAAIMy83LzIwMjYIAAAACjEyLzMxLzIwMjUJAAAAATDM3VQl/4HeCIrKiCj/gd4IMkNJUS5OWVNFOklCTS5JUV9EQV9TVVBQTF9DRi45OTAuMDcvMDMvMjAyNi4uLlVTRC5IAQAAAN62AQACAAAABDI2NjIBCAAAAAUAAAABMQEAAAAKMTg3NjQzMjg3MgMAAAADMTYwAgAAAAQyMTcxBAAAAAEwBwAAAAgzLzcvMjAyNggAAAAKMTIvMzEvMjAxNQkAAAABMMzdVCX/gd4IisqIKP+B3ggwQ0lRLk5ZU0U6SUJNLklRX1NUX0lOVkVTVC45OTEuMDcvMDMvMjAyNi4uLlVTRC5IAQAAAN62AQACAAAAAzcwMQEIAAAABQAAAAExAQAAAAoxOTQ3MTc5NTgzAwAAAAMxNjACAAAABDEw</t>
  </si>
  <si>
    <t>NjkEAAAAATAHAAAACDMvNy8yMDI2CAAAAAoxMi8zMS8yMDE2CQAAAAEwzN1UJf+B3giKyogo/4HeCDZDSVEuTllTRTpJQk0uSVFfQ0FTSF9TVF9JTlZFU1QuMjAwMC4wNy8wMy8yMDI2Li4uVVNELkgBAAAA3rYBAAIAAAAFMTQ0MTcBCAAAAAUAAAABMQEAAAALLTE5MDQ4NjA2NTcDAAAAAzE2MAIAAAAEMTAwMgQAAAABMAcAAAAIMy83LzIwMjYIAAAACjEyLzMxLzIwMjUJAAAAATDM3VQl/4HeCMB0iCj/gd4INkNJUS5OWVNFOklCTS5JUV9ORVRfREVCVF9JU1NVRUQuOTkxLjA3LzAzLzIwMjYuLi5VU0QuSAEAAADetgEAAgAAAAQyNzYzAQgAAAAFAAAAATEBAAAACjE5NDcxNzk1ODMDAAAAAzE2MAIAAAAEMjAwMwQAAAABMAcAAAAIMy83LzIwMjYIAAAACjEyLzMxLzIwMTYJAAAAATDM3VQl/4HeCMB0iCj/gd4IOkNJUS5OWVNFOklCTS5JUV9HQUlOX0JBUkdBSU5fQUNRX0NGLjk5MC4wNy8wMy8yMDI2Li4uVVNELkgBAAAA3rYBAAMAAAAAAMzdVCX/gd4IwHSIKP+B3ggpQ0lRLk5ZU0U6SUJNLklRX0ZYLjk5MC4wNy8wMy8yMDI2Li4uVVNELkgBAAAA3rYBAAIAAAAELTQ3MwEIAAAABQAAAAExAQAAAAoxODc2NDMyODcyAwAAAAMxNjACAAAABDIxNDQEAAAAATAHAAAACDMvNy8yMDI2CAAAAAoxMi8zMS8yMDE1CQAAAAEwzN1UJf+B3gjQm4go/4HeCDJDSVEuTllTRTpJQk0uSVFfUFJFRl9ESVZfQ0YuOTkx</t>
  </si>
  <si>
    <t>LjA3LzAzLzIwMjYuLi5VU0QuSAEAAADetgEAAwAAAAAAzN1UJf+B3gjQm4go/4HeCDhDSVEuTllTRTpJQk0uSVFfVE9UQUxfRElWX1BBSURfQ0YuOTkxLjA3LzAzLzIwMjYuLi5VU0QuSAEAAADetgEAAgAAAAUtNTI1NgEIAAAABQAAAAExAQAAAAoxOTQ3MTc5NTgzAwAAAAMxNjACAAAABDIwMjIEAAAAATAHAAAACDMvNy8yMDI2CAAAAAoxMi8zMS8yMDE2CQAAAAEwzN1UJf+B3gibJogo/4HeCD5DSVEuTllTRTpJQk0uSVFfT1RIRVJfRklOQU5DRV9BQ1RfU1VQUEwuOTkxLjA3LzAzLzIwMjYuLi5VU0QuSAEAAADetgEAAgAAAAMyMDQBCAAAAAUAAAABMQEAAAAKMTk0NzE3OTU4MwMAAAADMTYwAgAAAAQyMDUwBAAAAAEwBwAAAAgzLzcvMjAyNggAAAAKMTIvMzEvMjAxNgkAAAABMMzdVCX/gd4Ip02IKP+B3gg1Q0lRLk5ZU0U6SUJNLklRX1NUX0RFQlRfSVNTVUVELjk5MC4wNy8wMy8yMDI2Li4uVVNELkgBAAAA3rYBAAIAAAADMTAxAQgAAAAFAAAAATEBAAAACjE4NzY0MzI4NzIDAAAAAzE2MAIAAAAEMjA0MwQAAAABMAcAAAAIMy83LzIwMjYIAAAACjEyLzMxLzIwMTUJAAAAATDM3VQl/4HeCKdNiCj/gd4IOENJUS5OWVNFOklCTS5JUV9UT1RBTF9ERUJUX0lTU1VFRC45OTEuMDcvMDMvMjAyNi4uLlVTRC5IAQAAAN62AQACAAAABDkxNTgBCAAAAAUAAAABMQEAAAAKMTk0NzE3OTU4MwMAAAADMTYwAgAA</t>
  </si>
  <si>
    <t>AAQyMTYxBAAAAAEwBwAAAAgzLzcvMjAyNggAAAAKMTIvMzEvMjAxNgkAAAABMMzdVCX/gd4Ip02IKP+B3gg2Q0lRLk5ZU0U6SUJNLklRX0NIQU5HRV9JTkNfVEFYLjIwMDAuMDcvMDMvMjAyNi4uLlVTRC5IAQAAAN62AQADAAAAAADM3VQl/4HeCKdNiCj/gd4INENJUS5OWVNFOklCTS5JUV9JTkNfRVFVSVRZX0NGLjk5MS4wNy8wMy8yMDI2Li4uVVNELkgBAAAA3rYBAAMAAAAAAMzdVCX/gd4Ief+HKP+B3gg8Q0lRLk5ZU0U6SUJNLklRX0NIQU5HRV9UUkFESU5HX0FTU0VUUy45OTAuMDcvMDMvMjAyNi4uLlVTRC5IAQAAAN62AQADAAAAAADM3VQl/4HeCHn/hyj/gd4IPENJUS5OWVNFOklCTS5JUV9SRVNUUl9TVE9DS19DT01QX1RBWC4yMDAwLjA3LzAzLzIwMjYuLi5VU0QuSAEAAADetgEAAwAAAAAAzN1UJf+B3gibJogo/4HeCEBDSVEuTllTRTpJQk0uSVFfU1RPQ0tfQkFTRURfRVhQTE9SRV9EUklMTC45OTEuMDcvMDMvMjAyNi4uLlVTRC5IAQAAAN62AQADAAAAAADM3VQl/4HeCJsmiCj/gd4IPUNJUS5OWVNFOklCTS5JUV9JTVBVVF9PUEVSX0xFQVNFX0RFUFIuMjAwMC4wNy8wMy8yMDI2Li4uVVNELkgBAAAA3rYBAAIAAAAKOTc4LjEwMTQ3MgEIAAAABQAAAAExAQAAAAstMTkwNDg2MDY1NwMAAAADMTYwAgAAAAUyMTY3MwQAAAABMAcAAAAIMy83LzIwMjYIAAAACjEyLzMxLzIwMjUJAAAAATDM3VQl</t>
  </si>
  <si>
    <t>/4HeCJsmiCj/gd4INENJUS5OWVNFOklCTS5JUV9BSVJDUkFGVF9SRU5ULjk5MC4wNy8wMy8yMDI2Li4uVVNELkgBAAAA3rYBAAMAAAAAAMzdVCX/gd4INNiHKP+B3ggqQ0lRLk5ZU0U6SUJNLklRX0RJQy45OTAuMDcvMDMvMjAyNi4uLlVTRC5IAQAAAN62AQADAAAAAADM3VQl/4HeCDTYhyj/gd4ISENJUS5OWVNFOklCTS5JUV9JTlRFUkVTVF9FWFBfTEVBU0VfTElBQklMSVRZX0RFQlQuOTkwLjA3LzAzLzIwMjYuLi5VU0QuSAEAAADetgEAAwAAAAAAzN1UJf+B3gh5/4co/4HeCD5DSVEuTllTRTpJQk0uSVFfRVhDSVNFX1RBWEVTX0VYQ0xfU0FMRVMuOTkwLjA3LzAzLzIwMjYuLi5VU0QuSAEAAADetgEAAwAAAAAAzN1UJf+B3gh5/4co/4HeCClDSVEuTllTRTpJQk0uSVFfQVAuOTkxLjA3LzAzLzIwMjYuLi5VU0QuSAEAAADetgEAAgAAAAQ2MjA5AQgAAAAFAAAAATEBAAAACjE5NDcxNzk1ODMDAAAAAzE2MAIAAAAEMTAxOAQAAAABMAcAAAAIMy83LzIwMjYIAAAACjEyLzMxLzIwMTYJAAAAATDM3VQl/4HeCHn/hyj/gd4IKUNJUS5OWVNFOklCTS5JUV9BUi45OTAuMDcvMDMvMjAyNi4uLlVTRC5IAQAAAN62AQACAAAABDgzMzMBCAAAAAUAAAABMQEAAAAKMTg3NjQzMjg3MgMAAAADMTYwAgAAAAQxMDIxBAAAAAEwBwAAAAgzLzcvMjAyNggAAAAKMTIvMzEvMjAxNQkAAAABMMzdVCX/gd4Ib8SHKP+B3ggr</t>
  </si>
  <si>
    <t>Q0lRLk5ZU0U6SUJNLklRX0dQUEUuOTkwLjA3LzAzLzIwMjYuLi5VU0QuSAEAAADetgEAAgAAAAUyOTM0MwEIAAAABQAAAAExAQAAAAoxODc2NDMyODcyAwAAAAMxNjACAAAABDExNjkEAAAAATAHAAAACDMvNy8yMDI2CAAAAAoxMi8zMS8yMDE1CQAAAAEwzN1UJf+B3gg02Ico/4HeCDdDSVEuTllTRTpJQk0uSVFfRklOX0RJVl9MT0FOU19MVC45OTAuMDcvMDMvMjAyNi4uLlVTRC5IAQAAAN62AQACAAAABTEwMDEzAQgAAAAFAAAAATEBAAAACjE4NzY0MzI4NzIDAAAAAzE2MAIAAAAEMTAzMwQAAAABMAcAAAAIMy83LzIwMjYIAAAACjEyLzMxLzIwMTUJAAAAATDM3VQl/4HeCDTYhyj/gd4IMkNJUS5OWVNFOklCTS5JUV9MRVZFUkVEX0ZDRi45OTEuMDcvMDMvMjAyNi4uLlVTRC5IAQAAAN62AQACAAAABjkxMzkuNQEIAAAABQAAAAExAQAAAAoxOTQ3MTc5NTgzAwAAAAMxNjACAAAABDQ0MjIEAAAAATAHAAAACDMvNy8yMDI2CAAAAAoxMi8zMS8yMDE2CQAAAAEwzN1UJf+B3gg02Ico/4HeCDFDSVEuTllTRTpJQk0uSVFfTkVUX0NIQU5HRS45OTEuMDcvMDMvMjAyNi4uLlVTRC5IAQAAAN62AQACAAAAAzE4OAEIAAAABQAAAAExAQAAAAoxOTQ3MTc5NTgzAwAAAAMxNjACAAAABDIwOTMEAAAAATAHAAAACDMvNy8yMDI2CAAAAAoxMi8zMS8yMDE2CQAAAAEwzN1UJf+B3gg02Ico/4HeCDVDSVEuTllTRTpJQk0u</t>
  </si>
  <si>
    <t>SVFfU1RfREVCVF9JU1NVRUQuOTkxLjA3LzAzLzIwMjYuLi5VU0QuSAEAAADetgEAAgAAAAIyNgEIAAAABQAAAAExAQAAAAoxOTQ3MTc5NTgzAwAAAAMxNjACAAAABDIwNDMEAAAAATAHAAAACDMvNy8yMDI2CAAAAAoxMi8zMS8yMDE2CQAAAAEwzN1UJf+B3ggbn4co/4HeCDZDSVEuTllTRTpJQk0uSVFfQ0FTSF9BQ1FVSVJFX0NGLjk5MS4wNy8wMy8yMDI2Li4uVVNELkgBAAAA3rYBAAIAAAAFLTU2OTYBCAAAAAUAAAABMQEAAAAKMTk0NzE3OTU4MwMAAAADMTYwAgAAAAQyMDU3BAAAAAEwBwAAAAgzLzcvMjAyNggAAAAKMTIvMzEvMjAxNgkAAAABMMzdVCX/gd4IG5+HKP+B3gg8Q0lRLk5ZU0U6SUJNLklRX0NIQU5HRV9UUkFESU5HX0FTU0VUUy45OTEuMDcvMDMvMjAyNi4uLlVTRC5IAQAAAN62AQADAAAAAADM3VQl/4HeCBufhyj/gd4ILENJUS5OWVNFOklCTS5JUV9EQV9DRi45OTAuMDcvMDMvMjAyNi4uLlVTRC5IAQAAAN62AQACAAAABDM4NTUBCAAAAAUAAAABMQEAAAAKMTg3NjQzMjg3MgMAAAADMTYwAgAAAAQyMTYwBAAAAAEwBwAAAAgzLzcvMjAyNggAAAAKMTIvMzEvMjAxNQkAAAABMMzdVCX/gd4IG5+HKP+B3gg6Q0lRLk5ZU0U6SUJNLklRX0FTU0VUX1dSSVRFRE9XTl9DRi4yMDAwLjA3LzAzLzIwMjYuLi5VU0QuSAEAAADetgEAAwAAAAAAzN1UJf+B3ghvxIco/4HeCDxDSVEuTllTRTpJQk0u</t>
  </si>
  <si>
    <t>SVFfU1RPQ0tfQkFTRURfQ09NUF9UQVguMjAwMC4wNy8wMy8yMDI2Li4uVVNELkgBAAAA3rYBAAIAAAAELTc0MADM3VQl/4HeCEp2hyj/gd4INkNJUS5OWVNFOklCTS5JUV9TVE9DS19CQVNFRF9TTS4yMDAwLjA3LzAzLzIwMjYuLi5VU0QuSAEAAADetgEAAwAAAAAAzN1UJf+B3ghKdoco/4HeCDdDSVEuTllTRTpJQk0uSVFfUkVTVFJfU1RPQ0tfQ09NUC45OTEuMDcvMDMvMjAyNi4uLlVTRC5IAQAAAN62AQADAAAAAADM3VQl/4HeCEp2hyj/gd4IO0NJUS5OWVNFOklCTS5JUV9UT1RBTF9VTlVTVUFMX1NVUFBMRS45OTAuMDcvMDMvMjAyNi4uLlVTRC5IAQAAAN62AQADAAAAAADM3VQl/4HeCEp2hyj/gd4IPkNJUS5OWVNFOklCTS5JUV9TQUxBUklFU19PVEhFUl9CRU5FRklUUy45OTAuMDcvMDMvMjAyNi4uLlVTRC5IAQAAAN62AQADAAAAAADM3VQl/4HeCBufhyj/gd4IM0NJUS5OWVNFOklCTS5JUV9JUFJEX1NVUFBMRS4yMDAwLjA3LzAzLzIwMjYuLi5VU0QuSAEAAADetgEAAwAAAAAAzN1UJf+B3ghhT4co/4HeCDRDSVEuTllTRTpJQk0uSVFfQUlSQ1JBRlRfUkVOVC45OTEuMDcvMDMvMjAyNi4uLlVTRC5IAQAAAN62AQADAAAAAADM3VQl/4HeCGFPhyj/gd4IMUNJUS5OWVNFOklCTS5JUV9NQVJLRVRJTkcuMjAwMC4wNy8wMy8yMDI2Li4uVVNELkgBAAAA3rYBAAMAAAAAAMzdVCX/gd4IYU+HKP+B3ggr</t>
  </si>
  <si>
    <t>Q0lRLk5ZU0U6SUJNLklRX0dQUEUuOTkxLjA3LzAzLzIwMjYuLi5VU0QuSAEAAADetgEAAgAAAAUzMDEzMwEIAAAABQAAAAExAQAAAAoxOTQ3MTc5NTgzAwAAAAMxNjACAAAABDExNjkEAAAAATAHAAAACDMvNy8yMDI2CAAAAAoxMi8zMS8yMDE2CQAAAAEwzN1UJf+B3ghKdoco/4HeCDJDSVEuTllTRTpJQk0uSVFfQ0FTSF9FUVVJVi4yMDAwLjA3LzAzLzIwMjYuLi5VU0QuSAEAAADetgEAAgAAAAUxMzU4NwEIAAAABQAAAAExAQAAAAstMTkwNDg2MDY1NwMAAAADMTYwAgAAAAQxMDk2BAAAAAEwBwAAAAgzLzcvMjAyNggAAAAKMTIvMzEvMjAyNQkAAAABMMzdVCX/gd4ISnaHKP+B3ggpQ0lRLk5ZU0U6SUJNLklRX0FSLjk5MS4wNy8wMy8yMDI2Li4uVVNELkgBAAAA3rYBAAIAAAAEOTE4MgEIAAAABQAAAAExAQAAAAoxOTQ3MTc5NTgzAwAAAAMxNjACAAAABDEwMjEEAAAAATAHAAAACDMvNy8yMDI2CAAAAAoxMi8zMS8yMDE2CQAAAAEwzN1UJf+B3gjSJ4co/4HeCD1DSVEuTllTRTpJQk0uSVFfT1RIRVJfSU5WRVNUX0FDVF9TVVBQTC45OTEuMDcvMDMvMjAyNi4uLlVTRC5IAQAAAN62AQADAAAAAADM3VQl/4HeCNInhyj/gd4IMUNJUS5OWVNFOklCTS5JUV9DQVNIX09QRVIuMjAwMC4wNy8wMy8yMDI2Li4uVVNELkgBAAAA3rYBAAIAAAAFMTMxOTMBCAAAAAUAAAABMQEAAAALLTE5MDQ4NjA2NTcDAAAAAzE2</t>
  </si>
  <si>
    <t>MAIAAAAEMjAwNgQAAAABMAcAAAAIMy83LzIwMjYIAAAACjEyLzMxLzIwMjUJAAAAATDM3VQl/4HeCNInhyj/gd4IL0NJUS5OWVNFOklCTS5JUV9MT0FOU19DRi45OTAuMDcvMDMvMjAyNi4uLlVTRC5IAQAAAN62AQADAAAAAADM3VQl/4HeCGFPhyj/gd4IOUNJUS5OWVNFOklCTS5JUV9QUk9WX0JBRF9ERUJUU19DRi4yMDAwLjA3LzAzLzIwMjYuLi5VU0QuSAEAAADetgEAAwAAAAAAzN1UJf+B3ghhT4co/4HeCCxDSVEuTllTRTpJQk0uSVFfREFfQ0YuOTkxLjA3LzAzLzIwMjYuLi5VU0QuSAEAAADetgEAAgAAAAQ0MzgxAQgAAAAFAAAAATEBAAAACjE5NDcxNzk1ODMDAAAAAzE2MAIAAAAEMjE2MAQAAAABMAcAAAAIMy83LzIwMjYIAAAACjEyLzMxLzIwMTYJAAAAATDM3VQl/4HeCIUThyj/gd4IOUNJUS5OWVNFOklCTS5JUV9TVE9DS19CQVNFRF9UT1RBTC4yMDAwLjA3LzAzLzIwMjYuLi5VU0QuSAEAAADetgEAAgAAAAQxNzE1AQgAAAAFAAAAATEBAAAACy0xOTA0ODYwNjU3AwAAAAMxNjACAAAABTI0MDM0BAAAAAEwBwAAAAgzLzcvMjAyNggAAAAKMTIvMzEvMjAyNQkAAAABMMzdVCX/gd4IhROHKP+B3gg1Q0lRLk5ZU0U6SUJNLklRX1NUT0NLX0JBU0VEX0dBLjk5MC4wNy8wMy8yMDI2Li4uVVNELkgBAAAA3rYBAAMAAAAAAMzdVCX/gd4IhROHKP+B3gg7Q0lRLk5ZU0U6SUJNLklRX1RPVEFMX1VOVVNV</t>
  </si>
  <si>
    <t>QUxfU1VQUExFLjk5MS4wNy8wMy8yMDI2Li4uVVNELkgBAAAA3rYBAAMAAAAAAMzdVCX/gd4I0ieHKP+B3gg+Q0lRLk5ZU0U6SUJNLklRX1NBTEFSSUVTX09USEVSX0JFTkVGSVRTLjk5MS4wNy8wMy8yMDI2Li4uVVNELkgBAAAA3rYBAAMAAAAAAMzdVCX/gd4I0ieHKP+B3gg2Q0lRLk5ZU0U6SUJNLklRX1NBTEVTX01BUktFVElORy45OTAuMDcvMDMvMjAyNi4uLlVTRC5IAQAAAN62AQACAAAABDEyOTABCAAAAAUAAAABMQEAAAAKMTg3NjQzMjg3MgMAAAADMTYwAgAAAAUyMTU2MQQAAAABMAcAAAAIMy83LzIwMjYIAAAACjEyLzMxLzIwMTUJAAAAATDM3VQl/4HeCFzPhij/gd4IO0NJUS5OWVNFOklCTS5JUV9ERUZFUlJFRF9UQVhFU19UT1RBTC45OTAuMDcvMDMvMjAyNi4uLlVTRC5IAQAAAN62AQACAAAAAzY3MwEIAAAABQAAAAExAQAAAAoxODc2NDMyODcyAwAAAAMxNjACAAAABTM1Mzg1BAAAAAEwBwAAAAgzLzcvMjAyNggAAAAKMTIvMzEvMjAxNQkAAAABMMzdVCX/gd4I0PuGKP+B3gg4Q0lRLk5ZU0U6SUJNLklRX0ZFRVNfT1RIRVJfSU5DT01FLjk5MC4wNy8wMy8yMDI2Li4uVVNELkgBAAAA3rYBAAMAAAAAAMzdVCX/gd4I0PuGKP+B3gg5Q0lRLk5ZU0U6SUJNLklRX0FTX1JFUE9SVEVEX0VCSVREQS45OTAuMDcvMDMvMjAyNi4uLlVTRC5IAQAAAN62AQADAAAAAADM3VQl/4HeCND7hij/gd4IK0NJ</t>
  </si>
  <si>
    <t>US5OWVNFOklCTS5JUV9FQklULjk5MC4wNy8wMy8yMDI2Li4uVVNELkgBAAAA3rYBAAIAAAAFMTY1MTcBCAAAAAUAAAABMQEAAAAKMTg3NjQzMjg3MgMAAAADMTYwAgAAAAM0MDAEAAAAATAHAAAACDMvNy8yMDI2CAAAAAoxMi8zMS8yMDE1CQAAAAEwzN1UJf+B3giFE4co/4HeCDRDSVEuTllTRTpJQk0uSVFfTklfQVZBSUxfRVhDTC45OTAuMDcvMDMvMjAyNi4uLlVTRC5IAQAAAN62AQACAAAABTEzMzY0AQgAAAAFAAAAATEBAAAACjE4NzY0MzI4NzIDAAAAAzE2MAIAAAADMzc5BAAAAAEwBwAAAAgzLzcvMjAyNggAAAAKMTIvMzEvMjAxNQkAAAABMMzdVCX/gd4IFKiGKP+B3gg0Q0lRLk5ZU0U6SUJNLklRX1RPVEFMX1JFQ0VJVi4yMDAwLjA3LzAzLzIwMjYuLi5VU0QuSAEAAADetgEAAgAAAAQ5NjQ2AQgAAAAFAAAAATEBAAAACy0xOTA0ODYwNjU3AwAAAAMxNjACAAAABDEwMDEEAAAAATAHAAAACDMvNy8yMDI2CAAAAAoxMi8zMS8yMDI1CQAAAAEwzN1UJf+B3ggUqIYo/4HeCDFDSVEuTllTRTpJQk0uSVFfSU5TX1NFVFRMRS45OTAuMDcvMDMvMjAyNi4uLlVTRC5IAQAAAN62AQADAAAAAADM3VQl/4HeCFzPhij/gd4IQkNJUS5OWVNFOklCTS5JUV9PUEVSQVRJTkdfTEVBU0VfTElBQklMSVRJRVMuOTkwLjA3LzAzLzIwMjYuLi5VU0QuSAEAAADetgEAAwAAAAAAzN1UJf+B3ghcz4Yo/4HeCCxDSVEuTllT</t>
  </si>
  <si>
    <t>RTpJQk0uSVFfQ0FQRVguOTkwLjA3LzAzLzIwMjYuLi5VU0QuSAEAAADetgEAAgAAAAUtMzU3OQEIAAAABQAAAAExAQAAAAoxODc2NDMyODcyAwAAAAMxNjACAAAABDIwMjEEAAAAATAHAAAACDMvNy8yMDI2CAAAAAoxMi8zMS8yMDE1CQAAAAEwyARVJf+B3ghcz4Yo/4HeCDBDSVEuTllTRTpJQk0uSVFfQ0hBTkdFX0FQLjk5MS4wNy8wMy8yMDI2Li4uVVNELkgBAAAA3rYBAAIAAAADMTk3AQgAAAAFAAAAATEBAAAACjE5NDcxNzk1ODMDAAAAAzE2MAIAAAAEMjAxNwQAAAABMAcAAAAIMy83LzIwMjYIAAAACjEyLzMxLzIwMTYJAAAAATDIBFUl/4HeCBaBhij/gd4IL0NJUS5OWVNFOklCTS5JUV9MT0FOU19DRi45OTEuMDcvMDMvMjAyNi4uLlVTRC5IAQAAAN62AQADAAAAAADIBFUl/4HeCBaBhij/gd4ILENJUS5OWVNFOklCTS5JUV9ET19DRi45OTAuMDcvMDMvMjAyNi4uLlVTRC5IAQAAAN62AQACAAAAAjcxAQgAAAAFAAAAATEBAAAACjE4NzY0MzI4NzIDAAAAAzE2MAIAAAAEMjA4MQQAAAABMAcAAAAIMy83LzIwMjYIAAAACjEyLzMxLzIwMTUJAAAAATDIBFUl/4HeCBaBhij/gd4IM0NJUS5OWVNFOklCTS5JUV9EQV9TVVBQTF9DRi4yMDAwLjA3LzAzLzIwMjYuLi5VU0QuSAEAAADetgEAAgAAAAQyMjg0AQgAAAAFAAAAATEBAAAACy0xOTA0ODYwNjU3AwAAAAMxNjACAAAABDIxNzEEAAAAATAHAAAACDMv</t>
  </si>
  <si>
    <t>Ny8yMDI2CAAAAAoxMi8zMS8yMDI1CQAAAAEwyARVJf+B3ggUqIYo/4HeCD5DSVEuTllTRTpJQk0uSVFfUkVTVFJfU1RPQ0tfQ09NUF9QUkVUQVguOTkwLjA3LzAzLzIwMjYuLi5VU0QuSAEAAADetgEAAwAAAAAAyARVJf+B3ggUqIYo/4HeCDlDSVEuTllTRTpJQk0uSVFfU1RPQ0tfT1BUSU9OU19DT01QLjk5MS4wNy8wMy8yMDI2Li4uVVNELkgBAAAA3rYBAAMAAAAAAMgEVSX/gd4ImzKGKP+B3gg1Q0lRLk5ZU0U6SUJNLklRX1NUT0NLX0JBU0VEX0dBLjk5MS4wNy8wMy8yMDI2Li4uVVNELkgBAAAA3rYBAAMAAAAAAMgEVSX/gd4IAVqGKP+B3gg5Q0lRLk5ZU0U6SUJNLklRX0lOU19TRVRUTEVfU1VQUExFLjIwMDAuMDcvMDMvMjAyNi4uLlVTRC5IAQAAAN62AQADAAAAAADIBFUl/4HeCAFahij/gd4IOUNJUS5OWVNFOklCTS5JUV9DT05USU5HRU5UX1JFTlRBTC4yMDAwLjA3LzAzLzIwMjYuLi5VU0QuSAEAAADetgEAAgAAAAMzMDAAyARVJf+B3ggBWoYo/4HeCDRDSVEuTllTRTpJQk0uSVFfTUFJTlRfUkVQQUlSLjIwMDAuMDcvMDMvMjAyNi4uLlVTRC5IAQAAAN62AQADAAAAAADIBFUl/4HeCAFahij/gd4INkNJUS5OWVNFOklCTS5JUV9TQUxFU19NQVJLRVRJTkcuOTkxLjA3LzAzLzIwMjYuLi5VU0QuSAEAAADetgEAAgAAAAQxMzI3AQgAAAAFAAAAATEBAAAACjE5NDcxNzk1ODMDAAAAAzE2MAIAAAAF</t>
  </si>
  <si>
    <t>MjE1NjEEAAAAATAHAAAACDMvNy8yMDI2CAAAAAoxMi8zMS8yMDE2CQAAAAEwyARVJf+B3gjdHoYo/4HeCDhDSVEuTllTRTpJQk0uSVFfTkVUX1JFTlRBTF9FWFBfRk4uOTkxLjA3LzAzLzIwMjYuLi5VU0QuSAEAAADetgEAAwAAAAAAyARVJf+B3gjdHoYo/4HeCDJDSVEuTllTRTpJQk0uSVFfQ09NTU9OX0RJVi4yMDAwLjA3LzAzLzIwMjYuLi5VU0QuSAEAAADetgEAAgAAAAQ2MjU1AMgEVSX/gd4ImzKGKP+B3ggrQ0lRLk5ZU0U6SUJNLklRX0RJQy4yMDAwLjA3LzAzLzIwMjYuLi5VU0QuSAEAAADetgEAAwAAAAAAyARVJf+B3gibMoYo/4HeCDBDSVEuTllTRTpJQk0uSVFfSU5WRU5UT1JZLjk5MC4wNy8wMy8yMDI2Li4uVVNELkgBAAAA3rYBAAIAAAAEMTU1MQEIAAAABQAAAAExAQAAAAoxODc2NDMyODcyAwAAAAMxNjACAAAABDEwNDMEAAAAATAHAAAACDMvNy8yMDI2CAAAAAoxMi8zMS8yMDE1CQAAAAEwyARVJf+B3gibMoYo/4HeCEJDSVEuTllTRTpJQk0uSVFfT1BFUkFUSU5HX0xFQVNFX0xJQUJJTElUSUVTLjk5MS4wNy8wMy8yMDI2Li4uVVNELkgBAAAA3rYBAAMAAAAAAMgEVSX/gd4IvdCFKP+B3gg6Q0lRLk5ZU0U6SUJNLklRX0NBU0hfSU5URVJFU1RfT1BFUi4yMDAwLjA3LzAzLzIwMjYuLi5VU0QuSAEAAADetgEAAwAAAAAAyARVJf+B3gjb94Uo/4HeCDlDSVEuTllTRTpJQk0uSVFfSU5WRVNU</t>
  </si>
  <si>
    <t>X1NFQ1VSSVRZX0NGLjk5MC4wNy8wMy8yMDI2Li4uVVNELkgBAAAA3rYBAAIAAAAELTIzMQEIAAAABQAAAAExAQAAAAoxODc2NDMyODcyAwAAAAMxNjACAAAABDIwMjcEAAAAATAHAAAACDMvNy8yMDI2CAAAAAoxMi8zMS8yMDE1CQAAAAEwyARVJf+B3gjb94Uo/4HeCDZDSVEuTllTRTpJQk0uSVFfQ0FTSF9UQVhFU19PUEVSLjk5MC4wNy8wMy8yMDI2Li4uVVNELkgBAAAA3rYBAAMAAAAAAMgEVSX/gd4I2/eFKP+B3ggzQ0lRLk5ZU0U6SUJNLklRX0RPX0lOVkVTVF9DRi45OTEuMDcvMDMvMjAyNi4uLlVTRC5IAQAAAN62AQADAAAAAADIBFUl/4HeCNv3hSj/gd4IQ0NJUS5OWVNFOklCTS5JUV9EQV9TVVBQTF9DRl9FWENMX09QRVJfTEVBU0VTLjk5MC4wNy8wMy8yMDI2Li4uVVNELkgBAAAA3rYBAAIAAAAEMjY2MgEIAAAABQAAAAExAQAAAAoxODc2NDMyODcyAwAAAAMxNjACAAAABTQ4OTgzBAAAAAEwBwAAAAgzLzcvMjAyNggAAAAKMTIvMzEvMjAxNQkAAAABMMgEVSX/gd4In4KFKP+B3ghCQ0lRLk5ZU0U6SUJNLklRX1NBTEVfUFJPQ0VFRFNfUkVOVEFMX0FTU0VUUy45OTEuMDcvMDMvMjAyNi4uLlVTRC5IAQAAAN62AQADAAAAAADIBFUl/4HeCK+phSj/gd4IO0NJUS5OWVNFOklCTS5JUV9DQVNIX0lOVEVSRVNUX0lOVkVTVC45OTAuMDcvMDMvMjAyNi4uLlVTRC5IAQAAAN62AQADAAAAAADIBFUl/4He</t>
  </si>
  <si>
    <t>CK+phSj/gd4IMENJUS5OWVNFOklCTS5JUV9QUkVGX1JFUC4yMDAwLjA3LzAzLzIwMjYuLi5VU0QuSAEAAADetgEAAwAAAAAAyARVJf+B3givqYUo/4HeCDlDSVEuTllTRTpJQk0uSVFfQ09NTU9OX1BSRUZfRElWX0NGLjk5MC4wNy8wMy8yMDI2Li4uVVNELkgBAAAA3rYBAAMAAAAAAMgEVSX/gd4IvdCFKP+B3gg5Q0lRLk5ZU0U6SUJNLklRX0lOVkVTVF9TRUNVUklUWV9DRi45OTEuMDcvMDMvMjAyNi4uLlVTRC5IAQAAAN62AQACAAAABC0xNjEBCAAAAAUAAAABMQEAAAAKMTk0NzE3OTU4MwMAAAADMTYwAgAAAAQyMDI3BAAAAAEwBwAAAAgzLzcvMjAyNggAAAAKMTIvMzEvMjAxNgkAAAABMMgEVSX/gd4IbjSFKP+B3gg2Q0lRLk5ZU0U6SUJNLklRX0NIQU5HRV9ERUZfVEFYLjIwMDAuMDcvMDMvMjAyNi4uLlVTRC5IAQAAAN62AQADAAAAAADIBFUl/4HeCJ1bhSj/gd4IMENJUS5OWVNFOklCTS5JUV9DSEFOR0VfQVIuOTkwLjA3LzAzLzIwMjYuLi5VU0QuSAEAAADetgEAAgAAAAM4MTIBCAAAAAUAAAABMQEAAAAKMTg3NjQzMjg3MgMAAAADMTYwAgAAAAQyMDE4BAAAAAEwBwAAAAgzLzcvMjAyNggAAAAKMTIvMzEvMjAxNQkAAAABMMgEVSX/gd4InVuFKP+B3gg4Q0lRLk5ZU0U6SUJNLklRX0dXX0lOVEFOX0FNT1JUX0NGLjk5MS4wNy8wMy8yMDI2Li4uVVNELkgBAAAA3rYBAAIAAAAEMTU0NAEIAAAABQAA</t>
  </si>
  <si>
    <t>AAExAQAAAAoxOTQ3MTc5NTgzAwAAAAMxNjACAAAABDIxODIEAAAAATAHAAAACDMvNy8yMDI2CAAAAAoxMi8zMS8yMDE2CQAAAAEwyARVJf+B3gidW4Uo/4HeCDVDSVEuTllTRTpJQk0uSVFfR0FJTl9JTlZFU1RfQ0YuOTkwLjA3LzAzLzIwMjYuLi5VU0QuSAEAAADetgEAAwAAAAAAyARVJf+B3gifgoUo/4HeCDlDSVEuTllTRTpJQk0uSVFfU1RPQ0tfQkFTRURfT1RIRVIuMjAwMC4wNy8wMy8yMDI2Li4uVVNELkgBAAAA3rYBAAMAAAAAAMgEVSX/gd4IRKyCKP+B3ghAQ0lRLk5ZU0U6SUJNLklRX1NUT0NLX09QVElPTlNfQ09NUF9QUkVUQVguOTkwLjA3LzAzLzIwMjYuLi5VU0QuSAEAAADetgEAAwAAAAAAyARVJf+B3ghk04Io/4HeCERDSVEuTllTRTpJQk0uSVFfVE9UQUxfREVCVF9SRVBBSURfRVhDTF9MRUFTRVMuOTkwLjA3LzAzLzIwMjYuLi5VU0QuSAEAAADetgEAAgAAAAUtNTYyMgEIAAAABQAAAAExAQAAAAoxODc2NDMyODcyAwAAAAMxNjACAAAABTQ4OTg2BAAAAAEwBwAAAAgzLzcvMjAyNggAAAAKMTIvMzEvMjAxNQkAAAABMMgEVSX/gd4IvNeEKP+B3ghDQ0lRLk5ZU0U6SUJNLklRX0RBX1NVUFBMX0NGX0VYQ0xfT1BFUl9MRUFTRVMuOTkxLjA3LzAzLzIwMjYuLi5VU0QuSAEAAADetgEAAgAAAAQyODM3AQgAAAAFAAAAATEBAAAACjE5NDcxNzk1ODMDAAAAAzE2MAIAAAAFNDg5ODMEAAAAATAH</t>
  </si>
  <si>
    <t>AAAACDMvNy8yMDI2CAAAAAoxMi8zMS8yMDE2CQAAAAEwyARVJf+B3ghQ+YQo/4HeCDtDSVEuTllTRTpJQk0uSVFfQ0FTSF9JTlRFUkVTVF9JTlZFU1QuOTkxLjA3LzAzLzIwMjYuLi5VU0QuSAEAAADetgEAAwAAAAAAyARVJf+B3ghuNIUo/4HeCDlDSVEuTllTRTpJQk0uSVFfQ09NTU9OX1BSRUZfRElWX0NGLjk5MS4wNy8wMy8yMDI2Li4uVVNELkgBAAAA3rYBAAMAAAAAAMgEVSX/gd4IxV2CKP+B3ggyQ0lRLk5ZU0U6SUJNLklRX1BSRUZfSVNTVUVELjk5MC4wNy8wMy8yMDI2Li4uVVNELkgBAAAA3rYBAAMAAAAAAMgEVSX/gd4IJ4WCKP+B3gg0Q0lRLk5ZU0U6SUJNLklRX0NPTU1PTl9ESVZfQ0YuOTkwLjA3LzAzLzIwMjYuLi5VU0QuSAEAAADetgEAAgAAAAUtNDg5NwEIAAAABQAAAAExAQAAAAoxODc2NDMyODcyAwAAAAMxNjACAAAABDIwNzQEAAAAATAHAAAACDMvNy8yMDI2CAAAAAoxMi8zMS8yMDE1CQAAAAEwyARVJf+B3ggnhYIo/4HeCDFDSVEuTllTRTpJQk0uSVFfRElWRVNUX0NGLjIwMDAuMDcvMDMvMjAyNi4uLlVTRC5IAQAAAN62AQACAAAAAi0xAQgAAAAFAAAAATEBAAAACy0xOTA0ODYwNjU3AwAAAAMxNjACAAAABDIwNzcEAAAAATAHAAAACDMvNy8yMDI2CAAAAAoxMi8zMS8yMDI1CQAAAAEwyARVJf+B3ghErIIo/4HeCDBDSVEuTllTRTpJQk0uSVFfQ0hBTkdFX0FSLjk5MS4wNy8wMy8y</t>
  </si>
  <si>
    <t>MDI2Li4uVVNELkgBAAAA3rYBAAIAAAADNzEyAQgAAAAFAAAAATEBAAAACjE5NDcxNzk1ODMDAAAAAzE2MAIAAAAEMjAxOAQAAAABMAcAAAAIMy83LzIwMjYIAAAACjEyLzMxLzIwMTYJAAAAATDIBFUl/4HeCESsgij/gd4IQ0NJUS5OWVNFOklCTS5JUV9DSEFOR0VfT1RIRVJfTkVUX09QRVJfQVNTRVRTLjk5MC4wNy8wMy8yMDI2Li4uVVNELkgBAAAA3rYBAAIAAAAFLTMyMjIBCAAAAAUAAAABMQEAAAAKMTg3NjQzMjg3MgMAAAADMTYwAgAAAAQyMDQ1BAAAAAEwBwAAAAgzLzcvMjAyNggAAAAKMTIvMzEvMjAxNQkAAAABMMgEVSX/gd4I1USCKP+B3gg1Q0lRLk5ZU0U6SUJNLklRX0dBSU5fSU5WRVNUX0NGLjk5MS4wNy8wMy8yMDI2Li4uVVNELkgBAAAA3rYBAAMAAAAAAMgEVSX/gd4I1USCKP+B3ghAQ0lRLk5ZU0U6SUJNLklRX1NUT0NLX09QVElPTlNfQ09NUF9QUkVUQVguOTkxLjA3LzAzLzIwMjYuLi5VU0QuSAEAAADetgEAAwAAAAAAyARVJf+B3gjVRIIo/4HeCDVDSVEuTllTRTpJQk0uSVFfU1RPQ0tfQkFTRURfUkQuOTkxLjA3LzAzLzIwMjYuLi5VU0QuSAEAAADetgEAAgAAAAI1NQEIAAAABQAAAAExAQAAAAoxOTQ3MTc5NTgzAwAAAAMxNjACAAAABTIyNjc4BAAAAAEwBwAAAAgzLzcvMjAyNggAAAAKMTIvMzEvMjAxNgkAAAABMMgEVSX/gd4IxV2CKP+B3gg5Q0lRLk5ZU0U6SUJNLklRX1JFU1RS</t>
  </si>
  <si>
    <t>VUNUVVJFX1NVUFBMRS45OTAuMDcvMDMvMjAyNi4uLlVTRC5IAQAAAN62AQADAAAAAADIBFUl/4HeCMVdgij/gd4IOENJUS5OWVNFOklCTS5JUV9HQUlOX0JBUkdBSU5fQUNRLjIwMDAuMDcvMDMvMjAyNi4uLlVTRC5IAQAAAN62AQADAAAAAADIBFUl/4HeCIYJgij/gd4IQkNJUS5OWVNFOklCTS5JUV9ERVBSRUNJQVRJT05fUkVOVEFMX0FTU0VUUy4yMDAwLjA3LzAzLzIwMjYuLi5VU0QuSAEAAADetgEAAwAAAAAAyARVJf+B3giGCYIo/4HeCDVDSVEuTllTRTpJQk0uSVFfQ0FTSF9TVF9JTlZFU1QuOTkxLjA3LzAzLzIwMjYuLi5VU0QuSAEAAADetgEAAgAAAAQ4NTI3AQgAAAAFAAAAATEBAAAACjE5NDcxNzk1ODMDAAAAAzE2MAIAAAAEMTAwMgQAAAABMAcAAAAIMy83LzIwMjYIAAAACjEyLzMxLzIwMTYJAAAAATDIBFUl/4HeCIYJgij/gd4IO0NJUS5OWVNFOklCTS5JUV9ORUdBVElWRV9HV19BTU9SVF9DRi45OTEuMDcvMDMvMjAyNi4uLlVTRC5IAQAAAN62AQADAAAAAADIBFUl/4HeCIYJgij/gd4INENJUS5OWVNFOklCTS5JUV9DT01NT05fRElWX0NGLjk5MS4wNy8wMy8yMDI2Li4uVVNELkgBAAAA3rYBAAIAAAAFLTUyNTYBCAAAAAUAAAABMQEAAAAKMTk0NzE3OTU4MwMAAAADMTYwAgAAAAQyMDc0BAAAAAEwBwAAAAgzLzcvMjAyNggAAAAKMTIvMzEvMjAxNgkAAAABMMgEVSX/gd4I1USCKP+B3gg1</t>
  </si>
  <si>
    <t>Q0lRLk5ZU0U6SUJNLklRX1NQRUNJQUxfRElWX0NGLjk5MS4wNy8wMy8yMDI2Li4uVVNELkgBAAAA3rYBAAMAAAAAAMgEVSX/gd4IhgmCKP+B3gg2Q0lRLk5ZU0U6SUJNLklRX1NUX0RFQlRfUkVQQUlELjIwMDAuMDcvMDMvMjAyNi4uLlVTRC5IAQAAAN62AQACAAAAAy0yOQEIAAAABQAAAAExAQAAAAstMTkwNDg2MDY1NwMAAAADMTYwAgAAAAQyMDQ0BAAAAAEwBwAAAAgzLzcvMjAyNggAAAAKMTIvMzEvMjAyNQkAAAABMMgEVSX/gd4IhgmCKP+B3ggyQ0lRLk5ZU0U6SUJNLklRX1BSRUZfSVNTVUVELjk5MS4wNy8wMy8yMDI2Li4uVVNELkgBAAAA3rYBAAMAAAAAAMgEVSX/gd4IhgmCKP+B3ghDQ0lRLk5ZU0U6SUJNLklRX0NIQU5HRV9PVEhFUl9ORVRfT1BFUl9BU1NFVFMuOTkxLjA3LzAzLzIwMjYuLi5VU0QuSAEAAADetgEAAgAAAAM0NjIBCAAAAAUAAAABMQEAAAAKMTk0NzE3OTU4MwMAAAADMTYwAgAAAAQyMDQ1BAAAAAEwBwAAAAgzLzcvMjAyNggAAAAKMTIvMzEvMjAxNgkAAAABMMgEVSX/gd4IhgmCKP+B3gg6Q0lRLk5ZU0U6SUJNLklRX1NBTEVfUkVBTF9FU1RBVEVfQ0YuOTkwLjA3LzAzLzIwMjYuLi5VU0QuSAEAAADetgEAAwAAAAAAyARVJf+B3giGCYIo/4HeCDNDSVEuTllTRTpJQk0uSVFfVE9UQUxfUkVDRUlWLjk5MC4wNy8wMy8yMDI2Li4uVVNELkgBAAAA3rYBAAIAAAAEOTUzNAEIAAAA</t>
  </si>
  <si>
    <t>BQAAAAExAQAAAAoxODc2NDMyODcyAwAAAAMxNjACAAAABDEwMDEEAAAAATAHAAAACDMvNy8yMDI2CAAAAAoxMi8zMS8yMDE1CQAAAAEwyARVJf+B3gjBzoEo/4HeCD1DSVEuTllTRTpJQk0uSVFfRklOX0RJVl9BU1NFVFNfQ1VSUkVOVC45OTAuMDcvMDMvMjAyNi4uLlVTRC5IAQAAAN62AQADAAAAAADIBFUl/4HeCMHOgSj/gd4IOENJUS5OWVNFOklCTS5JUV9DQVNIX0lOVEVSRVNUX05FVC45OTAuMDcvMDMvMjAyNi4uLlVTRC5IAQAAAN62AQADAAAAAADIBFUl/4HeCIYJgij/gd4IMkNJUS5OWVNFOklCTS5JUV9DQVNIX0ZJTkFOLjIwMDAuMDcvMDMvMjAyNi4uLlVTRC5IAQAAAN62AQACAAAABS0zODI5AQgAAAAFAAAAATEBAAAACy0xOTA0ODYwNjU3AwAAAAMxNjACAAAABDIwMDQEAAAAATAHAAAACDMvNy8yMDI2CAAAAAoxMi8zMS8yMDI1CQAAAAEwyARVJf+B3giGCYIo/4HeCDRDSVEuTllTRTpJQk0uSVFfQ09NTU9OX0lTU1VFRC45OTEuMDcvMDMvMjAyNi4uLlVTRC5IAQAAAN62AQADAAAAAADIBFUl/4HeCIYJgij/gd4IMkNJUS5OWVNFOklCTS5JUV9DQVNIX0lOVkVTVC45OTEuMDcvMDMvMjAyNi4uLlVTRC5IAQAAAN62AQACAAAABi0xMDkyOAEIAAAABQAAAAExAQAAAAoxOTQ3MTc5NTgzAwAAAAMxNjACAAAABDIwMDUEAAAAATAHAAAACDMvNy8yMDI2CAAAAAoxMi8zMS8yMDE2CQAAAAEwyARV</t>
  </si>
  <si>
    <t>Jf+B3gjBzoEo/4HeCDVDSVEuTllTRTpJQk0uSVFfTFRfREVCVF9SRVBBSUQuOTkwLjA3LzAzLzIwMjYuLi5VU0QuSAEAAADetgEAAgAAAAUtNTYyMgEIAAAABQAAAAExAQAAAAoxODc2NDMyODcyAwAAAAMxNjACAAAABDIwMzYEAAAAATAHAAAACDMvNy8yMDI2CAAAAAoxMi8zMS8yMDE1CQAAAAEwyARVJf+B3gjBzoEo/4HeCDlDSVEuTllTRTpJQk0uSVFfQ0hBTkdFX1VORUFSTl9SRVYuMjAwMC4wNy8wMy8yMDI2Li4uVVNELkgBAAAA3rYBAAMAAAAAAMgEVSX/gd4Iwc6BKP+B3gg1Q0lRLk5ZU0U6SUJNLklRX0NSRURJVF9MT1NTX0NGLjk5MS4wNy8wMy8yMDI2Li4uVVNELkgBAAAA3rYBAAMAAAAAAMgEVSX/gd4Iwc6BKP+B3gg3Q0lRLk5ZU0U6SUJNLklRX0NBU0hfVEFYRVNfRklOQU4uOTkxLjA3LzAzLzIwMjYuLi5VU0QuSAEAAADetgEAAwAAAAAAyARVJf+B3gjBzoEo/4HeCDNDSVEuTllTRTpJQk0uSVFfTUFJTlRfQ0FQRVguMjAwMC4wNy8wMy8yMDI2Li4uVVNELkgBAAAA3rYBAAMAAAAAAMgEVSX/gd4Iwc6BKP+B3ggcQ0lRLk5ZU0U6U05YLklRX0NPTVBBTllfTkFNRQEAAADFZwYAAwAAABVURCBTWU5ORVggQ29ycG9yYXRpb24ANQMbKf+B3gicCrAp/4HeCBxDSVEuTllTRTpIUEUuSVFfQ09NUEFOWV9OQU1FAQAAAA6pVBADAAAAIkhld2xldHQgUGFja2FyZCBFbnRlcnByaXNlIENvbXBhbnkA</t>
  </si>
  <si>
    <t>NQMbKf+B3gg60q4p/4HeCBxDSVEuTllTRTpBQ04uSVFfQ09NUEFOWV9OQU1FAQAAAJ7VDgADAAAADUFjY2VudHVyZSBwbGMANQMbKf+B3gh6Sa0p/4HeCB1DSVEuTllTRTpPUkNMLklRX0NPTVBBTllfTkFNRQEAAADnVgAAAwAAABJPcmFjbGUgQ29ycG9yYXRpb24ANQMbKf+B3giWD6wp/4HeCCBDSVEuTkFTREFRR1M6SE9OLklRX0NPTVBBTllfTkFNRQEAAABEdRQAAwAAABxIb25leXdlbGwgSW50ZXJuYXRpb25hbCBJbmMuADUDGyn/gd4IFF2qKf+B3ggcQ0lRLk5ZU0U6RFhDLklRX0NPTVBBTllfTkFNRQEAAAC1AwQAAwAAABZEWEMgVGVjaG5vbG9neSBDb21wYW55ADUDGyn/gd4I8oqoKf+B3gghQ0lRLk5BU0RBUUdTOk1TRlQuSVFfQ09NUEFOWV9OQU1FAQAAAEtVAAADAAAAFU1pY3Jvc29mdCBDb3Jwb3JhdGlvbgA1Axsp/4HeCCNSpyn/gd4IIUNJUS5OQVNEQVFHUzpDVFNILklRX0NPTVBBTllfTkFNRQEAAADo4wUAAwAAACpDb2duaXphbnQgVGVjaG5vbG9neSBTb2x1dGlvbnMgQ29ycG9yYXRpb24ANQMbKf+B3gga3qUp/4HeCCRDSVEuTllTRTpTTlguSVFfTEFTVFNBTEVQUklDRS4uVVNELkgBAAAAxWcGAAIAAAAGMTUzLjE0ADUDGyn/gd4IDKm2Kf+B3ggeQ0lRLk5ZU0U6U05YLklRX1lFQVJMT1cuLlVTRC5IAQAAAMVnBgACAAAABTkyLjIzADUDGyn/gd4IDKm2Kf+B3ggfQ0lRLk5ZU0U6U05Y</t>
  </si>
  <si>
    <t>LklRX1lFQVJISUdILi5VU0QuSAEAAADFZwYAAgAAAAYxNzUuNTYANQMbKf+B3ggMqbYp/4HeCCRDSVEuTllTRTpIUEUuSVFfTEFTVFNBTEVQUklDRS4uVVNELkgBAAAADqlUEAIAAAAFMjEuNTgANQMbKf+B3gjDBrYp/4HeCB9DSVEuTllTRTpIUEUuSVFfWUVBUkhJR0guLlVTRC5IAQAAAA6pVBACAAAABTI2LjQ0ADUDGyn/gd4Iwwa2Kf+B3ggeQ0lRLk5ZU0U6SFBFLklRX1lFQVJMT1cuLlVTRC5IAQAAAA6pVBACAAAABjExLjk2NQA1Axsp/4HeCMMGtin/gd4IJENJUS5OWVNFOkFDTi5JUV9MQVNUU0FMRVBSSUNFLi5VU0QuSAEAAACe1Q4AAgAAAAYxOTYuNjUANQMbKf+B3giAarUp/4HeCB5DSVEuTllTRTpBQ04uSVFfWUVBUkxPVy4uVVNELkgBAAAAntUOAAIAAAAGMTg4LjczADUDGyn/gd4IgGq1Kf+B3ggfQ0lRLk5ZU0U6QUNOLklRX1lFQVJISUdILi5VU0QuSAEAAACe1Q4AAgAAAAYzMjYuNzMANQMbKf+B3giAarUp/4HeCCBDSVEuTllTRTpPUkNMLklRX1lFQVJISUdILi5VU0QuSAEAAADnVgAAAgAAAAYzNDUuNzIANQMbKf+B3gjqzbQp/4HeCB9DSVEuTllTRTpPUkNMLklRX1lFQVJMT1cuLlVTRC5IAQAAAOdWAAACAAAABjExOC44NgA1Axsp/4HeCOrNtCn/gd4IJUNJUS5OWVNFOk9SQ0wuSVFfTEFTVFNBTEVQUklDRS4uVVNELkgBAAAA51YAAAIAAAAGMTU1LjExADUDGyn/gd4IA5C0Kf+B3ggj</t>
  </si>
  <si>
    <t>Q0lRLk5BU0RBUUdTOkhPTi5JUV9ZRUFSSElHSC4uVVNELkgBAAAARHUUAAIAAAAGMjQ4LjE4ADUDGyn/gd4ISUG0Kf+B3ggoQ0lRLk5BU0RBUUdTOkhPTi5JUV9MQVNUU0FMRVBSSUNFLi5VU0QuSAEAAABEdRQAAgAAAAUyMzQuNQA1Axsp/4HeCEAatCn/gd4IIkNJUS5OQVNEQVFHUzpIT04uSVFfWUVBUkxPVy4uVVNELkgBAAAARHUUAAIAAAAGMTc5LjM2ADUDGyn/gd4IQBq0Kf+B3ggeQ0lRLk5ZU0U6RFhDLklRX1lFQVJMT1cuLlVTRC5IAQAAALUDBAACAAAABTExLjYxADUDGyn/gd4Iwi6zKf+B3ggkQ0lRLk5ZU0U6RFhDLklRX0xBU1RTQUxFUFJJQ0UuLlVTRC5IAQAAALUDBAACAAAABTExLjgzADUDGyn/gd4Iwi6zKf+B3ggfQ0lRLk5ZU0U6RFhDLklRX1lFQVJISUdILi5VU0QuSAEAAAC1AwQAAgAAAAUxNy44NgA1Axsp/4HeCMIusyn/gd4II0NJUS5OQVNEQVFHUzpNU0ZULklRX1lFQVJMT1cuLlVTRC5IAQAAAEtVAAACAAAABjM0NC43OQA1Axsp/4HeCIwbsin/gd4IKUNJUS5OQVNEQVFHUzpNU0ZULklRX0xBU1RTQUxFUFJJQ0UuLlVTRC5IAQAAAEtVAAACAAAABjM5NS41NQA1Axsp/4HeCIwbsin/gd4IJENJUS5OQVNEQVFHUzpNU0ZULklRX1lFQVJISUdILi5VU0QuSAEAAABLVQAAAgAAAAY1NTUuNDUANQMbKf+B3giMG7Ip/4HeCClDSVEuTkFTREFRR1M6Q1RTSC5JUV9MQVNUU0FMRVBSSUNF</t>
  </si>
  <si>
    <t>Li5VU0QuSAEAAADo4wUAAgAAAAU2MC4zNwA1Axsp/4HeCBn2sCn/gd4IJENJUS5OQVNEQVFHUzpDVFNILklRX1lFQVJISUdILi5VU0QuSAEAAADo4wUAAgAAAAU4Ny4wMwA1Axsp/4HeCCkdsSn/gd4II0NJUS5OQVNEQVFHUzpDVFNILklRX1lFQVJMT1cuLlVTRC5IAQAAAOjjBQACAAAABjYwLjAzNQA1Axsp/4HeCCkdsSn/gd4IIkNJUS5OWVNFOlNOWC5JUV9TSEFSRVNPVVRTVEFORElORy4BAAAAxWcGAAIAAAAIODAuNjI2MzkANQMbKf+B3gi9WLAp/4HeCCJDSVEuTllTRTpIUEUuSVFfU0hBUkVTT1VUU1RBTkRJTkcuAQAAAA6pVBACAAAACzEzMjYuODU0MDg5ADUDGyn/gd4IPauuKf+B3ggiQ0lRLk5ZU0U6QUNOLklRX1NIQVJFU09VVFNUQU5ESU5HLgEAAACe1Q4AAgAAAAo2MTUuMzA2NzU0ADUDGyn/gd4IH5itKf+B3ggjQ0lRLk5ZU0U6T1JDTC5JUV9TSEFSRVNPVVRTVEFORElORy4BAAAA51YAAAIAAAAIMjg3Ni4wNDYANQMbKf+B3ggG1Ksp/4HeCCZDSVEuTkFTREFRR1M6SE9OLklRX1NIQVJFU09VVFNUQU5ESU5HLgEAAABEdRQAAgAAAAo2MzUuNjc1NzAxADUDGyn/gd4I6CaqKf+B3ggiQ0lRLk5ZU0U6RFhDLklRX1NIQVJFU09VVFNUQU5ESU5HLgEAAAC1AwQAAgAAAAoxNjkuNzU5OTYzADUDGyn/gd4I8oqoKf+B3ggnQ0lRLk5BU0RBUUdTOk1TRlQuSVFfU0hBUkVTT1VUU1RBTkRJTkcuAQAA</t>
  </si>
  <si>
    <t>AEtVAAACAAAACzc0MjUuNjI5MDc2ADUDGyn/gd4I2AOnKf+B3ggnQ0lRLk5BU0RBUUdTOkNUU0guSVFfU0hBUkVTT1VUU1RBTkRJTkcuAQAAAOjjBQACAAAACTQ3OC4yNDY5MgA1Axsp/4HeCBrepSn/gd4IJUNJUS5OWVNFOlNOWC5JUV9URVZfRUJJVERBX0ZXRC4xMDAwMi4BAAAAxWcGAAIAAAAQNy4xMTA5MDcyMjYxNDgyMgENAAAABQAAAAE5AQAAAAc3OTA5NTYyAgAAAAoxMDA1MzczODIxAwAAAAYxMDAzMDgEAAAAATIGAAAAATAHAAAAAzE2MAgAAAABMAkAAAABMQoAAAABMAsAAAALMTQ2OTYyNDkyNDcMAAAAATcNAAAACTMvMTUvMjAyNjUDGyn/gd4InAqwKf+B3gglQ0lRLk5ZU0U6U05YLklRX1RFVl9FQklUREFfRldELjEwMDAxLgEAAADFZwYAAgAAABA3LjUxNDE5MjMyMDAwODQxAQ0AAAAFAAAAATkBAAAABzc5MDk1NjICAAAACjEwMDUzNzM4MjADAAAABjEwMDMwOAQAAAABMgYAAAABMAcAAAADMTYwCAAAAAEwCQAAAAExCgAAAAEwCwAAAAsxNDY5NjI0OTI1MwwAAAABNw0AAAAJMy8xNS8yMDI2NQMbKf+B3gitMbAp/4HeCCJDSVEuTllTRTpTTlguSVFfUEVfRVhDTF9GV0QuMTAwMDIuAQAAAMVnBgACAAAAEDkuNTE1MjQwOTEzMTc0ODMBDQAAAAUAAAABOQEAAAAHNzkwOTU2MgIAAAAKMTAwNTM3MzgyMQMAAAAGMTAwMzA5BAAAAAEyBgAAAAEwBwAAAAMxNjAIAAAAATAJAAAAATEKAAAAATAL</t>
  </si>
  <si>
    <t>AAAACzE0Njk2MjQ5NDQwDAAAAAE3DQAAAAkzLzE1LzIwMjY1Axsp/4HeCJwKsCn/gd4IIkNJUS5OWVNFOlNOWC5JUV9QRV9FWENMX0ZXRC4xMDAwMS4BAAAAxWcGAAIAAAAQMTAuNDcyNDE0MzQ0ODk2MwENAAAABQAAAAE5AQAAAAc3OTA5NTYyAgAAAAoxMDA1MzczODIwAwAAAAYxMDAzMDkEAAAAATIGAAAAATAHAAAAAzE2MAgAAAABMAkAAAABMQoAAAABMAsAAAALMTQ2OTYyNDk0NDYMAAAAATcNAAAACTMvMTUvMjAyNjUDGyn/gd4IhryvKf+B3gglQ0lRLk5ZU0U6SFBFLklRX1RFVl9FQklUREFfRldELjEwMDAyLgEAAAAOqVQQAgAAABA1Ljg3NjI5OTY4OTI2MzE0AQ0AAAAFAAAAATkBAAAACTMxMzA2NDUxNAIAAAAHMTI3NTEzNQMAAAAGMTAwMzA4BAAAAAEyBgAAAAEwBwAAAAMxNjAIAAAAATAJAAAAATEKAAAAATALAAAACzE0Njk3NTMwMjUzDAAAAAE3DQAAAAkzLzE1LzIwMjY1Axsp/4HeCD2rrin/gd4IJUNJUS5OWVNFOkhQRS5JUV9URVZfRUJJVERBX0ZXRC4xMDAwMS4BAAAADqlUEAIAAAAQNi41NDM5NTM5NTM3NjE1OAENAAAABQAAAAE5AQAAAAkzMTMwNjQ1MTQCAAAABzM4MzIyMDADAAAABjEwMDMwOAQAAAABMgYAAAABMAcAAAADMTYwCAAAAAEwCQAAAAExCgAAAAEwCwAAAAsxNDY5NTg4NjQ2OQwAAAABNw0AAAAJMy8xNS8yMDI2NQMbKf+B3ging64p/4HeCCJDSVEuTllTRTpIUEUuSVFf</t>
  </si>
  <si>
    <t>UEVfRVhDTF9GV0QuMTAwMDIuAQAAAA6pVBACAAAAEDcuNzYxMTk0MDI5ODUwNzUBDQAAAAUAAAABOQEAAAAJMzEzMDY0NTE0AgAAAAcxMjc1MTM1AwAAAAYxMDAzMDkEAAAAATIGAAAAATAHAAAAAzE2MAgAAAABMAkAAAABMQoAAAABMAsAAAALMTQ2OTcyNjk5NzUMAAAAATcNAAAACTMvMTUvMjAyNjUDGyn/gd4InkiuKf+B3ggiQ0lRLk5ZU0U6SFBFLklRX1BFX0VYQ0xfRldELjEwMDAxLgEAAAAOqVQQAgAAABA4Ljk1NTEwMDAwODI5OTQ0AQ0AAAAFAAAAATkBAAAACTMxMzA2NDUxNAIAAAAHMzgzMjIwMAMAAAAGMTAwMzA5BAAAAAEyBgAAAAEwBwAAAAMxNjAIAAAAATAJAAAAATEKAAAAATALAAAACzE0Njk3MjY5OTcxDAAAAAE3DQAAAAkzLzE1LzIwMjY1Axsp/4HeCJ5Irin/gd4IJUNJUS5OWVNFOkFDTi5JUV9URVZfRUJJVERBX0ZXRC4xMDAwMS4BAAAAntUOAAIAAAAQNy4xMjYwNDkwNjc1Njg2OAENAAAABQAAAAE5AQAAAAcyNjY1ODQ2AgAAAAk3MDM1MDY2ODEDAAAABjEwMDMwOAQAAAABMgYAAAABMAcAAAADMTYwCAAAAAEwCQAAAAExCgAAAAEwCwAAAAsxNDY5MTYyMDQ5NQwAAAABNw0AAAAJMy8xNS8yMDI2NQMbKf+B3ggFca0p/4HeCCJDSVEuTllTRTpBQ04uSVFfUEVfRVhDTF9GV0QuMTAwMDIuAQAAAJ7VDgACAAAAEDEyLjg2OTQyNzUwMTg5NzkBDQAAAAUAAAABOQEAAAAHMjY2NTg0NgIA</t>
  </si>
  <si>
    <t>AAAJNzAzNTA2NjgyAwAAAAYxMDAzMDkEAAAAATIGAAAAATAHAAAAAzE2MAgAAAABMAkAAAABMQoAAAABMAsAAAALMTQ2OTc5ODM0MDQMAAAAATcNAAAACTMvMTUvMjAyNjUDGyn/gd4IhDWtKf+B3ggiQ0lRLk5ZU0U6QUNOLklRX1BFX0VYQ0xfRldELjEwMDAxLgEAAACe1Q4AAgAAABAxNC4wNjYwMjA1Mjg1OTM0AQ0AAAAFAAAAATkBAAAABzI2NjU4NDYCAAAACTcwMzUwNjY4MQMAAAAGMTAwMzA5BAAAAAEyBgAAAAEwBwAAAAMxNjAIAAAAATAJAAAAATEKAAAAATALAAAACzE0Njk3OTgzMjMyDAAAAAE3DQAAAAkzLzE1LzIwMjY1Axsp/4HeCHpJrSn/gd4IJUNJUS5OWVNFOkFDTi5JUV9URVZfRUJJVERBX0ZXRC4xMDAwMi4BAAAAntUOAAIAAAAQNy45MTYyMzg5MjM4NTQ0OQENAAAABQAAAAE5AQAAAAcyNjY1ODQ2AgAAAAk3MDM1MDY2ODIDAAAABjEwMDMwOAQAAAABMgYAAAABMAcAAAADMTYwCAAAAAEwCQAAAAExCgAAAAEwCwAAAAsxNDY5MTYyMTQ2NAwAAAABNw0AAAAJMy8xNS8yMDI2NQMbKf+B3gjb5qwp/4HeCCZDSVEuTllTRTpPUkNMLklRX1RFVl9FQklUREFfRldELjEwMDAyLgEAAADnVgAAAgAAABAxMC42NjQxOTIzMTEzOTg3AQ0AAAAFAAAAATkBAAAABzI2MzYwNzcCAAAACTY1MTU3OTYxMwMAAAAGMTAwMzA4BAAAAAEyBgAAAAEwBwAAAAMxNjAIAAAAATAJAAAAATEKAAAAATALAAAACzE0</t>
  </si>
  <si>
    <t>Njk3MDIwNzI4DAAAAAE3DQAAAAkzLzE1LzIwMjY1Axsp/4HeCPnnqyn/gd4IJkNJUS5OWVNFOk9SQ0wuSVFfVEVWX0VCSVREQV9GV0QuMTAwMDEuAQAAAOdWAAACAAAAEDE0LjE0MjQ5NzYxMDA0MTEBDQAAAAUAAAABOQEAAAAHMjYzNjA3NwIAAAAJNjUxNTc5NjEyAwAAAAYxMDAzMDgEAAAAATIGAAAAATAHAAAAAzE2MAgAAAABMAkAAAABMQoAAAABMAsAAAALMTQ2OTcwMjA3NTIMAAAAATcNAAAACTMvMTUvMjAyNjUDGyn/gd4I44WrKf+B3ggjQ0lRLk5ZU0U6T1JDTC5JUV9QRV9FWENMX0ZXRC4xMDAwMi4BAAAA51YAAAIAAAAQMTcuMjI5ODQ5ODE3ODI2NAENAAAABQAAAAE5AQAAAAcyNjM2MDc3AgAAAAk2NTE1Nzk2MTMDAAAABjEwMDMwOQQAAAABMgYAAAABMAcAAAADMTYwCAAAAAEwCQAAAAExCgAAAAEwCwAAAAsxNDY5ODg2MDY4MQwAAAABNw0AAAAJMy8xNS8yMDI2NQMbKf+B3gj2rKsp/4HeCCNDSVEuTllTRTpPUkNMLklRX1BFX0VYQ0xfRldELjEwMDAxLgEAAADnVgAAAgAAABAyMS4zMjg4NzgwNzE1ODY3AQ0AAAAFAAAAATkBAAAABzI2MzYwNzcCAAAACTY1MTU3OTYxMgMAAAAGMTAwMzA5BAAAAAEyBgAAAAEwBwAAAAMxNjAIAAAAATAJAAAAATEKAAAAATALAAAACzE0Njk4ODYwNjczDAAAAAE3DQAAAAkzLzE1LzIwMjY1Axsp/4HeCNheqyn/gd4IKUNJUS5OQVNEQVFHUzpIT04uSVFfVEVW</t>
  </si>
  <si>
    <t>X0VCSVREQV9GV0QuMTAwMDIuAQAAAER1FAACAAAAEDE1LjkwMDE2NTcyMjI3NzcBDQAAAAUAAAABOQEAAAAHMjYxODk1MAIAAAAKMTAwNDI0MDIzNwMAAAAGMTAwMzA4BAAAAAEyBgAAAAEwBwAAAAMxNjAIAAAAATAJAAAAATEKAAAAATALAAAACzE0Njk3NjA4MTYwDAAAAAE3DQAAAAkzLzE1LzIwMjY1Axsp/4HeCGv/qSn/gd4IKUNJUS5OQVNEQVFHUzpIT04uSVFfVEVWX0VCSVREQV9GV0QuMTAwMDEuAQAAAER1FAACAAAAEDE3LjI2NzYyNTI5MzgwMTYBDQAAAAUAAAABOQEAAAAHMjYxODk1MAIAAAAKMTAwNDI0MDIzMgMAAAAGMTAwMzA4BAAAAAEyBgAAAAEwBwAAAAMxNjAIAAAAATAJAAAAATEKAAAAATALAAAACzE0Njk3NjA4MTkwDAAAAAE3DQAAAAkzLzE1LzIwMjY1Axsp/4HeCGv/qSn/gd4IJkNJUS5OQVNEQVFHUzpIT04uSVFfUEVfRVhDTF9GV0QuMTAwMDIuAQAAAER1FAACAAAAEDIwLjQxMzA4NDIyMTE2NDcBDQAAAAUAAAABOQEAAAAHMjYxODk1MAIAAAAKMTAwNDI0MDIzNwMAAAAGMTAwMzA5BAAAAAEyBgAAAAEwBwAAAAMxNjAIAAAAATAJAAAAATEKAAAAATALAAAACzE0Njk3NjA4NTU2DAAAAAE3DQAAAAkzLzE1LzIwMjY1Axsp/4HeCKDEqSn/gd4IJkNJUS5OQVNEQVFHUzpIT04uSVFfUEVfRVhDTF9GV0QuMTAwMDEuAQAAAER1FAACAAAAEDIyLjI0Mzk1NTAwMzY1NjcBDQAAAAUAAAAB</t>
  </si>
  <si>
    <t>OQEAAAAHMjYxODk1MAIAAAAKMTAwNDI0MDIzMgMAAAAGMTAwMzA5BAAAAAEyBgAAAAEwBwAAAAMxNjAIAAAAATAJAAAAATEKAAAAATALAAAACzE0Njk3NjA4NjEwDAAAAAE3DQAAAAkzLzE1LzIwMjY1Axsp/4HeCKDEqSn/gd4IJUNJUS5OWVNFOkRYQy5JUV9URVZfRUJJVERBX0ZXRC4xMDAwMS4BAAAAtQMEAAIAAAAQMi43MzQ3ODU2ODIwNjcyNwENAAAABQAAAAE5AQAAAAk0MjM2NTQ4NTkCAAAACTcwOTU1ODUwNgMAAAAGMTAwMzA4BAAAAAEyBgAAAAEwBwAAAAMxNjAIAAAAATAJAAAAATEKAAAAATALAAAACzE0NjM5ODEyNzQxDAAAAAE3DQAAAAkzLzE1LzIwMjY1Axsp/4HeCPKKqCn/gd4IIkNJUS5OWVNFOkRYQy5JUV9QRV9FWENMX0ZXRC4xMDAwMi4BAAAAtQMEAAIAAAAQMy42Mjg4MzQzNTU4MjgyMgENAAAABQAAAAE5AQAAAAk0MjM2NTQ4NTkCAAAACTcwOTU1ODUwNwMAAAAGMTAwMzA5BAAAAAEyBgAAAAEwBwAAAAMxNjAIAAAAATAJAAAAATEKAAAAATALAAAACzE0NjQ3NDMzODA1DAAAAAE3DQAAAAkzLzE1LzIwMjY1Axsp/4HeCORjqCn/gd4IIkNJUS5OWVNFOkRYQy5JUV9QRV9FWENMX0ZXRC4xMDAwMS4BAAAAtQMEAAIAAAAQMy43ODIwOTAyMjAyNzU1OAENAAAABQAAAAE5AQAAAAk0MjM2NTQ4NTkCAAAACTcwOTU1ODUwNgMAAAAGMTAwMzA5BAAAAAEyBgAAAAEwBwAAAAMxNjAIAAAAATAJ</t>
  </si>
  <si>
    <t>AAAAATEKAAAAATALAAAACzE0NjQ3NDMzNzk3DAAAAAE3DQAAAAkzLzE1LzIwMjY1Axsp/4HeCNM8qCn/gd4IJUNJUS5OWVNFOkRYQy5JUV9URVZfRUJJVERBX0ZXRC4xMDAwMi4BAAAAtQMEAAIAAAAQMi44NTE5ODEwNTU1NDU2MwENAAAABQAAAAE5AQAAAAk0MjM2NTQ4NTkCAAAACTcwOTU1ODUwNwMAAAAGMTAwMzA4BAAAAAEyBgAAAAEwBwAAAAMxNjAIAAAAATAJAAAAATEKAAAAATALAAAACzE0NjM4NDE2NDYzDAAAAAE3DQAAAAkzLzE1LzIwMjY1Axsp/4HeCNM8qCn/gd4IKkNJUS5OQVNEQVFHUzpNU0ZULklRX1RFVl9FQklUREFfRldELjEwMDAyLgEAAABLVQAAAgAAABAxMS44MDE1MzgwMzM3MTA4AQ0AAAAFAAAAATkBAAAABzI2MzA0MTMCAAAACTQ3NTUwMjM1MQMAAAAGMTAwMzA4BAAAAAEyBgAAAAEwBwAAAAMxNjAIAAAAATAJAAAAATEKAAAAATALAAAACzE0NjU3ODU0MzU3DAAAAAE3DQAAAAkzLzE1LzIwMjY1Axsp/4HeCDorpyn/gd4IKkNJUS5OQVNEQVFHUzpNU0ZULklRX1RFVl9FQklUREFfRldELjEwMDAxLgEAAABLVQAAAgAAABAxMy44ODU5Njg3ODU0Mjc1AQ0AAAAFAAAAATkBAAAABzI2MzA0MTMCAAAACTQ3NTUwMjM1MAMAAAAGMTAwMzA4BAAAAAEyBgAAAAEwBwAAAAMxNjAIAAAAATAJAAAAATEKAAAAATALAAAACzE0NjU3ODU0MzQxDAAAAAE3DQAAAAkzLzE1LzIwMjY1Axsp/4He</t>
  </si>
  <si>
    <t>CNgDpyn/gd4IJ0NJUS5OQVNEQVFHUzpNU0ZULklRX1BFX0VYQ0xfRldELjEwMDAyLgEAAABLVQAAAgAAABAxOS40ODMxMTAyMDQ4MDU0AQ0AAAAFAAAAATkBAAAABzI2MzA0MTMCAAAACTQ3NTUwMjM1MQMAAAAGMTAwMzA5BAAAAAEyBgAAAAEwBwAAAAMxNjAIAAAAATAJAAAAATEKAAAAATALAAAACzE0Njk0NDg3MDc4DAAAAAE3DQAAAAkzLzE1LzIwMjY1Axsp/4HeCOfIpin/gd4IJ0NJUS5OQVNEQVFHUzpNU0ZULklRX1BFX0VYQ0xfRldELjEwMDAxLgEAAABLVQAAAgAAABAyMi41MzU3NjQ5NTEyMDI0AQ0AAAAFAAAAATkBAAAABzI2MzA0MTMCAAAACTQ3NTUwMjM1MAMAAAAGMTAwMzA5BAAAAAEyBgAAAAEwBwAAAAMxNjAIAAAAATAJAAAAATEKAAAAATALAAAACzE0Njk0NDU0MTY3DAAAAAE3DQAAAAkzLzE1LzIwMjY1Axsp/4HeCOfIpin/gd4IJ0NJUS5OQVNEQVFHUzpDVFNILklRX1BFX0VYQ0xfRldELjEwMDAxLgEAAADo4wUAAgAAABAxMC42NjUwNzkwNjUwMzQ1AQ0AAAAFAAAAATkBAAAABzI2MDEyNzQCAAAACjEwMDM2MTk4NDgDAAAABjEwMDMwOQQAAAABMgYAAAABMAcAAAADMTYwCAAAAAEwCQAAAAExCgAAAAEwCwAAAAsxNDY5OTIwNTQyMQwAAAABNw0AAAAJMy8xNS8yMDI2NQMbKf+B3gga3qUp/4HeCCpDSVEuTkFTREFRR1M6Q1RTSC5JUV9URVZfRUJJVERBX0ZXRC4xMDAwMi4BAAAA6OMF</t>
  </si>
  <si>
    <t>AAIAAAAQNi4yOTI3OTQ2MzUxOTEwMwENAAAABQAAAAE5AQAAAAcyNjAxMjc0AgAAAAoxMDA0MDQzNDc5AwAAAAYxMDAzMDgEAAAAATIGAAAAATAHAAAAAzE2MAgAAAABMAkAAAABMQoAAAABMAsAAAALMTQ2OTkyMDUyNzEMAAAAATcNAAAACTMvMTUvMjAyNjUDGyn/gd4IwJulKf+B3ggqQ0lRLk5BU0RBUUdTOkNUU0guSVFfVEVWX0VCSVREQV9GV0QuMTAwMDEuAQAAAOjjBQACAAAAEDYuNzUwMTEzNTA0Mjk3MTkBDQAAAAUAAAABOQEAAAAHMjYwMTI3NAIAAAAKMTAwMzYxOTg0OAMAAAAGMTAwMzA4BAAAAAEyBgAAAAEwBwAAAAMxNjAIAAAAATAJAAAAATEKAAAAATALAAAACzE0Njk5MjA1MzY3DAAAAAE3DQAAAAkzLzE1LzIwMjY1Axsp/4HeCMCbpSn/gd4IJ0NJUS5OQVNEQVFHUzpDVFNILklRX1BFX0VYQ0xfRldELjEwMDAyLgEAAADo4wUAAgAAABA5LjgyMjk4NDUxNDYwMjY4AQ0AAAAFAAAAATkBAAAABzI2MDEyNzQCAAAACjEwMDQwNDM0NzkDAAAABjEwMDMwOQQAAAABMgYAAAABMAcAAAADMTYwCAAAAAEwCQAAAAExCgAAAAEwCwAAAAsxNDY5OTIwNTM5MQwAAAABNw0AAAAJMy8xNS8yMDI2NQMbKf+B3gjAm6Up/4HeCCxDSVEuTllTRTpTTlguSVFfQ0FTSF9TVF9JTlZFU1QuNTAwLi4uRi5VU0QuSAEAAADFZwYAAgAAAAgyNDM1LjM4OQEIAAAABQAAAAExAQAAAAstMTkwODgzMjc4NQMAAAADMTYw</t>
  </si>
  <si>
    <t>AgAAAAQxMDAyBAAAAAEwBwAAAAkzLzE0LzIwMjYIAAAACjExLzMwLzIwMjUJAAAAATA1Axsp/4HeCAyptin/gd4IKENJUS5OWVNFOlNOWC5JUV9UT1RBTF9ERUJULjUwMC4uLkYuVVNELkgBAAAAxWcGAAIAAAAINTA4MS45ODIBCAAAAAUAAAABMQEAAAALLTE5MDg4MzI3ODUDAAAAAzE2MAIAAAAENDE3MwQAAAABMAcAAAAJMy8xNC8yMDI2CAAAAAoxMS8zMC8yMDI1CQAAAAEwNQMbKf+B3ggMqbYp/4HeCClDSVEuTllTRTpTTlguSVFfUFJFRl9FUVVJVFkuNTAwLi4uRi5VU0QuSAEAAADFZwYAAwAAAAAANQMbKf+B3gj/gbYp/4HeCDVDSVEuTllTRTpTTlguSVFfTUlOT1JJVFlfSU5URVJFU1RfVE9UQUwuNTAwLi4uRi5VU0QuSAEAAADFZwYAAwAAAAAANQMbKf+B3gj/gbYp/4HeCCdDSVEuTllTRTpTTlguSVFfVE9UQUxfUkVWLjEwMDAuLi4uVVNELkgBAAAAxWcGAAIAAAAJNjI1MDguMDg2AQgAAAAFAAAAATEBAAAACy0xOTA4ODM2NTgxAwAAAAMxNjACAAAAAjI4BAAAAAEwBwAAAAkzLzE0LzIwMjYIAAAACjExLzMwLzIwMjUJAAAAATA1Axsp/4HeCP+Btin/gd4IJ0NJUS5OWVNFOlNOWC5JUV9UT1RBTF9SRVYuMjAwMC4uLi5VU0QuSAEAAADFZwYAAgAAAAk2MjUwOC4wODYBCAAAAAUAAAABMQEAAAALLTE5MDg4MzI3ODIDAAAAAzE2MAIAAAACMjgEAAAAATAHAAAACTMvMTQvMjAyNggAAAAKMTEvMzAv</t>
  </si>
  <si>
    <t>MjAyNQkAAAABMDUDGyn/gd4IDKm2Kf+B3ggkQ0lRLk5ZU0U6U05YLklRX0VCSVREQS4xMDAwLi4uLlVTRC5IAQAAAMVnBgACAAAACDE4MzYuNzQyAQgAAAAFAAAAATEBAAAACy0xOTA4ODM2NTgxAwAAAAMxNjACAAAABDQwNTEEAAAAATAHAAAACTMvMTQvMjAyNggAAAAKMTEvMzAvMjAyNQkAAAABMDUDGyn/gd4I/4G2Kf+B3ggkQ0lRLk5ZU0U6U05YLklRX0VCSVREQS4yMDAwLi4uLlVTRC5IAQAAAMVnBgACAAAACDE4MzYuNzQyAQgAAAAFAAAAATEBAAAACy0xOTA4ODMyNzgyAwAAAAMxNjACAAAABDQwNTEEAAAAATAHAAAACTMvMTQvMjAyNggAAAAKMTEvMzAvMjAyNQkAAAABMDUDGyn/gd4I/4G2Kf+B3ggsQ0lRLk5ZU0U6U05YLklRX0RJTFVUX0VQU19FWENMLjEwMDAuLi4uVVNELkgBAAAAxWcGAAIAAAAIOS45NTAxMjcBCAAAAAUAAAABMQEAAAALLTE5MDg4MzY1ODEDAAAAAzE2MAIAAAADMTQyBAAAAAEwBwAAAAkzLzE0LzIwMjYIAAAACjExLzMwLzIwMjUJAAAAATA1Axsp/4HeCPFatin/gd4ILENJUS5OWVNFOlNOWC5JUV9ESUxVVF9FUFNfRVhDTC4yMDAwLi4uLlVTRC5IAQAAAMVnBgACAAAACDkuOTUwMTI3AQgAAAAFAAAAATEBAAAACy0xOTA4ODMyNzgyAwAAAAMxNjACAAAAAzE0MgQAAAABMAcAAAAJMy8xNC8yMDI2CAAAAAoxMS8zMC8yMDI1CQAAAAEwNQMbKf+B3gjxWrYp/4HeCChDSVEu</t>
  </si>
  <si>
    <t>TllTRTpTTlguSVFfRVBTXzFZUl9BTk5fR1JPV1RILjEwMDAuAQAAAMVnBgACAAAABzI1LjEwMTgBCAAAAAUAAAABMQEAAAALLTE5MDg4MzY1ODEDAAAAAzE2MAIAAAAENDIwMAQAAAABMAcAAAAJMy8xNC8yMDI2CAAAAAoxMS8zMC8yMDI1CQAAAAEwNQMbKf+B3gjxWrYp/4HeCCtDSVEuTllTRTpTTlguSVFfRUJJVERBXzFZUl9BTk5fR1JPV1RILjEwMDAuAQAAAMVnBgACAAAABzEwLjE0NTYBCAAAAAUAAAABMQEAAAALLTE5MDg4MzY1ODEDAAAAAzE2MAIAAAAENDE5NgQAAAABMAcAAAAJMy8xNC8yMDI2CAAAAAoxMS8zMC8yMDI1CQAAAAEwNQMbKf+B3gjtLbYp/4HeCC5DSVEuTllTRTpTTlguSVFfVE9UQUxfUkVWXzFZUl9BTk5fR1JPV1RILjEwMDAuAQAAAMVnBgACAAAABjYuOTM4MwEIAAAABQAAAAExAQAAAAstMTkwODgzNjU4MQMAAAADMTYwAgAAAAQ0MTk0BAAAAAEwBwAAAAkzLzE0LzIwMjYIAAAACjExLzMwLzIwMjUJAAAAATA1Axsp/4HeCO0ttin/gd4IH0NJUS5OWVNFOlNOWC5JUV9OSV9NQVJHSU4uMTAwMC4BAAAAxWcGAAIAAAAFMS4zMjQBCAAAAAUAAAABMQEAAAALLTE5MDg4MzY1ODEDAAAAAzE2MAIAAAAENDA5NAQAAAABMAcAAAAJMy8xNC8yMDI2CAAAAAoxMS8zMC8yMDI1CQAAAAEwNQMbKf+B3gjxWrYp/4HeCB5DSVEuTllTRTpTTlguSVFfTklfTUFSR0lOLjk5OS4BAAAAxWcGAAIA</t>
  </si>
  <si>
    <t>AAAGMS4xNzg4AQgAAAAFAAAAATEBAAAACy0xOTA4ODM2NTQ3AwAAAAMxNjACAAAABDQwOTQEAAAAATAHAAAACTMvMTQvMjAyNggAAAAKMTEvMzAvMjAyNAkAAAABMDUDGyn/gd4I8Vq2Kf+B3ggeQ0lRLk5ZU0U6U05YLklRX05JX01BUkdJTi45OTguAQAAAMVnBgACAAAABjEuMDg5MgEIAAAABQAAAAExAQAAAAstMTkwODgzNjU1MwMAAAADMTYwAgAAAAQ0MDk0BAAAAAEwBwAAAAkzLzE0LzIwMjYIAAAACjExLzMwLzIwMjMJAAAAATA1Axsp/4HeCPFatin/gd4II0NJUS5OWVNFOlNOWC5JUV9FQklUREFfTUFSR0lOLjEwMDAuAQAAAMVnBgACAAAABjIuOTM4NAEIAAAABQAAAAExAQAAAAstMTkwODgzNjU4MQMAAAADMTYwAgAAAAQ0MDQ3BAAAAAEwBwAAAAkzLzE0LzIwMjYIAAAACjExLzMwLzIwMjUJAAAAATA1Axsp/4HeCO0ttin/gd4IIkNJUS5OWVNFOlNOWC5JUV9FQklUREFfTUFSR0lOLjk5OS4BAAAAxWcGAAIAAAAGMi44NTI4AQgAAAAFAAAAATEBAAAACy0xOTA4ODM2NTQ3AwAAAAMxNjACAAAABDQwNDcEAAAAATAHAAAACTMvMTQvMjAyNggAAAAKMTEvMzAvMjAyNAkAAAABMDUDGyn/gd4I7S22Kf+B3ggiQ0lRLk5ZU0U6U05YLklRX0VCSVREQV9NQVJHSU4uOTk4LgEAAADFZwYAAgAAAAYyLjkyNzkBCAAAAAUAAAABMQEAAAALLTE5MDg4MzY1NTMDAAAAAzE2MAIAAAAENDA0NwQAAAABMAcAAAAJ</t>
  </si>
  <si>
    <t>My8xNC8yMDI2CAAAAAoxMS8zMC8yMDIzCQAAAAEwNQMbKf+B3gjtLbYp/4HeCCJDSVEuTllTRTpTTlguSVFfR1JPU1NfTUFSR0lOLjEwMDAuAQAAAMVnBgACAAAABjYuOTg5NAEIAAAABQAAAAExAQAAAAstMTkwODgzNjU4MQMAAAADMTYwAgAAAAQ0MDc0BAAAAAEwBwAAAAkzLzE0LzIwMjYIAAAACjExLzMwLzIwMjUJAAAAATA1Axsp/4HeCO0ttin/gd4IIUNJUS5OWVNFOlNOWC5JUV9HUk9TU19NQVJHSU4uOTk5LgEAAADFZwYAAgAAAAY2LjgxMTEBCAAAAAUAAAABMQEAAAALLTE5MDg4MzY1NDcDAAAAAzE2MAIAAAAENDA3NAQAAAABMAcAAAAJMy8xNC8yMDI2CAAAAAoxMS8zMC8yMDI0CQAAAAEwNQMbKf+B3gjtLbYp/4HeCCFDSVEuTllTRTpTTlguSVFfR1JPU1NfTUFSR0lOLjk5OC4BAAAAxWcGAAIAAAAGNi44NzQ4AQgAAAAFAAAAATEBAAAACy0xOTA4ODM2NTUzAwAAAAMxNjACAAAABDQwNzQEAAAAATAHAAAACTMvMTQvMjAyNggAAAAKMTEvMzAvMjAyMwkAAAABMDUDGyn/gd4Is9+1Kf+B3ggsQ0lRLk5ZU0U6SFBFLklRX0NBU0hfU1RfSU5WRVNULjUwMC4uLkYuVVNELkgBAAAADqlUEAIAAAAENDg0MQEIAAAABQAAAAExAQAAAAstMTkwMjM3MzQ4NgMAAAADMTYwAgAAAAQxMDAyBAAAAAEwBwAAAAkzLzE0LzIwMjYIAAAACTEvMzEvMjAyNgkAAAABMDUDGyn/gd4Iwwa2Kf+B3ggoQ0lRLk5ZU0U6</t>
  </si>
  <si>
    <t>SFBFLklRX1RPVEFMX0RFQlQuNTAwLi4uRi5VU0QuSAEAAAAOqVQQAgAAAAUyMTY2MQEIAAAABQAAAAExAQAAAAstMTkwMjM3MzQ4NgMAAAADMTYwAgAAAAQ0MTczBAAAAAEwBwAAAAkzLzE0LzIwMjYIAAAACTEvMzEvMjAyNgkAAAABMDUDGyn/gd4Is9+1Kf+B3ggpQ0lRLk5ZU0U6SFBFLklRX1BSRUZfRVFVSVRZLjUwMC4uLkYuVVNELkgBAAAADqlUEAMAAAAAADUDGyn/gd4Is9+1Kf+B3gg1Q0lRLk5ZU0U6SFBFLklRX01JTk9SSVRZX0lOVEVSRVNUX1RPVEFMLjUwMC4uLkYuVVNELkgBAAAADqlUEAIAAAACNjABCAAAAAUAAAABMQEAAAALLTE5MDIzNzM0ODYDAAAAAzE2MAIAAAAEMTMxMgQAAAABMAcAAAAJMy8xNC8yMDI2CAAAAAkxLzMxLzIwMjYJAAAAATA1Axsp/4HeCLPftSn/gd4IJ0NJUS5OWVNFOkhQRS5JUV9UT1RBTF9SRVYuMTAwMC4uLi5VU0QuSAEAAAAOqVQQAgAAAAUzNDI5NgEIAAAABQAAAAExAQAAAAstMTkxMTY3Mjk5MgMAAAADMTYwAgAAAAIyOAQAAAABMAcAAAAJMy8xNC8yMDI2CAAAAAoxMC8zMS8yMDI1CQAAAAEwNQMbKf+B3giz37Up/4HeCCdDSVEuTllTRTpIUEUuSVFfVE9UQUxfUkVWLjIwMDAuLi4uVVNELkgBAAAADqlUEAIAAAAFMzU3NDMBCAAAAAUAAAABMQEAAAALLTE5MDIzNjc1OTUDAAAAAzE2MAIAAAACMjgEAAAAATAHAAAACTMvMTQvMjAyNggAAAAJMS8zMS8yMDI2</t>
  </si>
  <si>
    <t>CQAAAAEwNQMbKf+B3giz37Up/4HeCCRDSVEuTllTRTpIUEUuSVFfRUJJVERBLjEwMDAuLi4uVVNELkgBAAAADqlUEAIAAAAENDQ5MQEIAAAABQAAAAExAQAAAAstMTkxMTY3Mjk5MgMAAAADMTYwAgAAAAQ0MDUxBAAAAAEwBwAAAAkzLzE0LzIwMjYIAAAACjEwLzMxLzIwMjUJAAAAATA1Axsp/4HeCKq4tSn/gd4IJENJUS5OWVNFOkhQRS5JUV9FQklUREEuMjAwMC4uLi5VU0QuSAEAAAAOqVQQAgAAAAQ0ODkwAQgAAAAFAAAAATEBAAAACy0xOTAyMzY3NTk1AwAAAAMxNjACAAAABDQwNTEEAAAAATAHAAAACTMvMTQvMjAyNggAAAAJMS8zMS8yMDI2CQAAAAEwNQMbKf+B3giz37Up/4HeCCxDSVEuTllTRTpIUEUuSVFfRElMVVRfRVBTX0VYQ0wuMTAwMC4uLi5VU0QuSAEAAAAOqVQQAgAAAAktMC4wNDQ1NjEBCAAAAAUAAAABMQEAAAALLTE5MTE2NzI5OTIDAAAAAzE2MAIAAAADMTQyBAAAAAEwBwAAAAkzLzE0LzIwMjYIAAAACjEwLzMxLzIwMjUJAAAAATA1Axsp/4HeCKq4tSn/gd4ILENJUS5OWVNFOkhQRS5JUV9ESUxVVF9FUFNfRVhDTC4yMDAwLi4uLlVTRC5IAQAAAA6pVBACAAAACS0wLjE5NTQwOAEIAAAABQAAAAExAQAAAAstMTkwMjM2NzU5NQMAAAADMTYwAgAAAAMxNDIEAAAAATAHAAAACTMvMTQvMjAyNggAAAAJMS8zMS8yMDI2CQAAAAEwNQMbKf+B3giquLUp/4HeCChDSVEuTllTRTpIUEUuSVFf</t>
  </si>
  <si>
    <t>RVBTXzFZUl9BTk5fR1JPV1RILjEwMDAuAQAAAA6pVBADAAAAAk5NAQgAAAAFAAAAATEBAAAACy0xOTExNjcyOTkyAwAAAAMxNjACAAAABDQyMDAEAAAAATAHAAAACTMvMTQvMjAyNggAAAAKMTAvMzEvMjAyNQkAAAABMDUDGyn/gd4Ik5G1Kf+B3ggrQ0lRLk5ZU0U6SFBFLklRX0VCSVREQV8xWVJfQU5OX0dST1dUSC4xMDAwLgEAAAAOqVQQAgAAAAgtMTEuMjI3NgEIAAAABQAAAAExAQAAAAstMTkxMTY3Mjk5MgMAAAADMTYwAgAAAAQ0MTk2BAAAAAEwBwAAAAkzLzE0LzIwMjYIAAAACjEwLzMxLzIwMjUJAAAAATA1Axsp/4HeCJORtSn/gd4ILkNJUS5OWVNFOkhQRS5JUV9UT1RBTF9SRVZfMVlSX0FOTl9HUk9XVEguMTAwMC4BAAAADqlUEAIAAAAGMTMuODM4AQgAAAAFAAAAATEBAAAACy0xOTExNjcyOTkyAwAAAAMxNjACAAAABDQxOTQEAAAAATAHAAAACTMvMTQvMjAyNggAAAAKMTAvMzEvMjAyNQkAAAABMDUDGyn/gd4Ik5G1Kf+B3ggfQ0lRLk5ZU0U6SFBFLklRX05JX01BUkdJTi4xMDAwLgEAAAAOqVQQAgAAAAYwLjE2NjIBCAAAAAUAAAABMQEAAAALLTE5MTE2NzI5OTIDAAAAAzE2MAIAAAAENDA5NAQAAAABMAcAAAAJMy8xNC8yMDI2CAAAAAoxMC8zMS8yMDI1CQAAAAEwNQMbKf+B3giTkbUp/4HeCB5DSVEuTllTRTpIUEUuSVFfTklfTUFSR0lOLjk5OS4BAAAADqlUEAIAAAAGOC41NjA0AQgAAAAF</t>
  </si>
  <si>
    <t>AAAAATEBAAAACy0xOTExNjcyOTcxAwAAAAMxNjACAAAABDQwOTQEAAAAATAHAAAACTMvMTQvMjAyNggAAAAKMTAvMzEvMjAyNAkAAAABMDUDGyn/gd4Ik5G1Kf+B3ggeQ0lRLk5ZU0U6SFBFLklRX05JX01BUkdJTi45OTguAQAAAA6pVBACAAAABjYuOTUwNAEIAAAABQAAAAExAQAAAAstMTkxMTY3Mjk5NgMAAAADMTYwAgAAAAQ0MDk0BAAAAAEwBwAAAAkzLzE0LzIwMjYIAAAACjEwLzMxLzIwMjMJAAAAATA1Axsp/4HeCIBqtSn/gd4II0NJUS5OWVNFOkhQRS5JUV9FQklUREFfTUFSR0lOLjEwMDAuAQAAAA6pVBACAAAABzEzLjA5NDgBCAAAAAUAAAABMQEAAAALLTE5MTE2NzI5OTIDAAAAAzE2MAIAAAAENDA0NwQAAAABMAcAAAAJMy8xNC8yMDI2CAAAAAoxMC8zMS8yMDI1CQAAAAEwNQMbKf+B3giAarUp/4HeCCJDSVEuTllTRTpIUEUuSVFfRUJJVERBX01BUkdJTi45OTkuAQAAAA6pVBACAAAABzE2Ljc5MjIBCAAAAAUAAAABMQEAAAALLTE5MTE2NzI5NzEDAAAAAzE2MAIAAAAENDA0NwQAAAABMAcAAAAJMy8xNC8yMDI2CAAAAAoxMC8zMS8yMDI0CQAAAAEwNQMbKf+B3giAarUp/4HeCCJDSVEuTllTRTpIUEUuSVFfRUJJVERBX01BUkdJTi45OTguAQAAAA6pVBACAAAABzE3LjM3MDgBCAAAAAUAAAABMQEAAAALLTE5MTE2NzI5OTYDAAAAAzE2MAIAAAAENDA0NwQAAAABMAcAAAAJMy8xNC8yMDI2CAAA</t>
  </si>
  <si>
    <t>AAoxMC8zMS8yMDIzCQAAAAEwNQMbKf+B3giTkbUp/4HeCCJDSVEuTllTRTpIUEUuSVFfR1JPU1NfTUFSR0lOLjEwMDAuAQAAAA6pVBACAAAABzMwLjI1NzEBCAAAAAUAAAABMQEAAAALLTE5MTE2NzI5OTIDAAAAAzE2MAIAAAAENDA3NAQAAAABMAcAAAAJMy8xNC8yMDI2CAAAAAoxMC8zMS8yMDI1CQAAAAEwNQMbKf+B3giTkbUp/4HeCCFDSVEuTllTRTpIUEUuSVFfR1JPU1NfTUFSR0lOLjk5OS4BAAAADqlUEAIAAAAHMzIuNzg3OAEIAAAABQAAAAExAQAAAAstMTkxMTY3Mjk3MQMAAAADMTYwAgAAAAQ0MDc0BAAAAAEwBwAAAAkzLzE0LzIwMjYIAAAACjEwLzMxLzIwMjQJAAAAATA1Axsp/4HeCIBqtSn/gd4IIUNJUS5OWVNFOkhQRS5JUV9HUk9TU19NQVJHSU4uOTk4LgEAAAAOqVQQAgAAAAczNS4xNDMyAQgAAAAFAAAAATEBAAAACy0xOTExNjcyOTk2AwAAAAMxNjACAAAABDQwNzQEAAAAATAHAAAACTMvMTQvMjAyNggAAAAKMTAvMzEvMjAyMwkAAAABMDUDGyn/gd4IgGq1Kf+B3ggsQ0lRLk5ZU0U6QUNOLklRX0NBU0hfU1RfSU5WRVNULjUwMC4uLkYuVVNELkgBAAAAntUOAAIAAAAIOTY1NS4zMTEBCAAAAAUAAAABMQEAAAALLTE5MTE3MDA2MDUDAAAAAzE2MAIAAAAEMTAwMgQAAAABMAcAAAAJMy8xNC8yMDI2CAAAAAoxMS8zMC8yMDI1CQAAAAEwNQMbKf+B3ghuQ7Up/4HeCChDSVEuTllTRTpBQ04u</t>
  </si>
  <si>
    <t>SVFfVE9UQUxfREVCVC41MDAuLi5GLlVTRC5IAQAAAJ7VDgACAAAACDgyMDEuOTk5AQgAAAAFAAAAATEBAAAACy0xOTExNzAwNjA1AwAAAAMxNjACAAAABDQxNzMEAAAAATAHAAAACTMvMTQvMjAyNggAAAAKMTEvMzAvMjAyNQkAAAABMDUDGyn/gd4IbkO1Kf+B3ggpQ0lRLk5ZU0U6QUNOLklRX1BSRUZfRVFVSVRZLjUwMC4uLkYuVVNELkgBAAAAntUOAAMAAAAAADUDGyn/gd4IbkO1Kf+B3gg1Q0lRLk5ZU0U6QUNOLklRX01JTk9SSVRZX0lOVEVSRVNUX1RPVEFMLjUwMC4uLkYuVVNELkgBAAAAntUOAAIAAAAIMTA1NC43NzkBCAAAAAUAAAABMQEAAAALLTE5MTE3MDA2MDUDAAAAAzE2MAIAAAAEMTMxMgQAAAABMAcAAAAJMy8xNC8yMDI2CAAAAAoxMS8zMC8yMDI1CQAAAAEwNQMbKf+B3ghuQ7Up/4HeCCdDSVEuTllTRTpBQ04uSVFfVE9UQUxfUkVWLjEwMDAuLi4uVVNELkgBAAAAntUOAAIAAAAJNjk2NzIuOTc3AQgAAAAFAAAAATEBAAAACy0xOTIxOTU2MjU2AwAAAAMxNjACAAAAAjI4BAAAAAEwBwAAAAkzLzE0LzIwMjYIAAAACTgvMzEvMjAyNQkAAAABMDUDGyn/gd4IbkO1Kf+B3ggnQ0lRLk5ZU0U6QUNOLklRX1RPVEFMX1JFVi4yMDAwLi4uLlVTRC5IAQAAAJ7VDgACAAAACTcwNzI1LjU1NwEIAAAABQAAAAExAQAAAAstMTkxMTcwMDQ2OAMAAAADMTYwAgAAAAIyOAQAAAABMAcAAAAJMy8xNC8yMDI2</t>
  </si>
  <si>
    <t>CAAAAAoxMS8zMC8yMDI1CQAAAAEwNQMbKf+B3ghkHLUp/4HeCCRDSVEuTllTRTpBQ04uSVFfRUJJVERBLjEwMDAuLi4uVVNELkgBAAAAntUOAAIAAAAJMTIyMjIuNTMyAQgAAAAFAAAAATEBAAAACy0xOTIxOTU2MjU2AwAAAAMxNjACAAAABDQwNTEEAAAAATAHAAAACTMvMTQvMjAyNggAAAAJOC8zMS8yMDI1CQAAAAEwNQMbKf+B3ghuQ7Up/4HeCCRDSVEuTllTRTpBQ04uSVFfRUJJVERBLjIwMDAuLi4uVVNELkgBAAAAntUOAAIAAAAJMTI0NTguMDExAQgAAAAFAAAAATEBAAAACy0xOTExNzAwNDY4AwAAAAMxNjACAAAABDQwNTEEAAAAATAHAAAACTMvMTQvMjAyNggAAAAKMTEvMzAvMjAyNQkAAAABMDUDGyn/gd4IbkO1Kf+B3ggsQ0lRLk5ZU0U6QUNOLklRX0RJTFVUX0VQU19FWENMLjEwMDAuLi4uVVNELkgBAAAAntUOAAIAAAAJMTIuMTUyNTA4AQgAAAAFAAAAATEBAAAACy0xOTIxOTU2MjU2AwAAAAMxNjACAAAAAzE0MgQAAAABMAcAAAAJMy8xNC8yMDI2CAAAAAk4LzMxLzIwMjUJAAAAATA1Axsp/4HeCGQctSn/gd4ILENJUS5OWVNFOkFDTi5JUV9ESUxVVF9FUFNfRVhDTC4yMDAwLi4uLlVTRC5IAQAAAJ7VDgACAAAACTEyLjA4NzA1OQEIAAAABQAAAAExAQAAAAstMTkxMTcwMDQ2OAMAAAADMTYwAgAAAAMxNDIEAAAAATAHAAAACTMvMTQvMjAyNggAAAAKMTEvMzAvMjAyNQkAAAABMDUDGyn/gd4I</t>
  </si>
  <si>
    <t>ZBy1Kf+B3ggoQ0lRLk5ZU0U6QUNOLklRX0VQU18xWVJfQU5OX0dST1dUSC4xMDAwLgEAAACe1Q4AAgAAAAY2LjI3NDUBCAAAAAUAAAABMQEAAAALLTE5MjE5NTYyNTYDAAAAAzE2MAIAAAAENDIwMAQAAAABMAcAAAAJMy8xNC8yMDI2CAAAAAk4LzMxLzIwMjUJAAAAATA1Axsp/4HeCFn1tCn/gd4IK0NJUS5OWVNFOkFDTi5JUV9FQklUREFfMVlSX0FOTl9HUk9XVEguMTAwMC4BAAAAntUOAAIAAAAHMTAuNjM3NgEIAAAABQAAAAExAQAAAAstMTkyMTk1NjI1NgMAAAADMTYwAgAAAAQ0MTk2BAAAAAEwBwAAAAkzLzE0LzIwMjYIAAAACTgvMzEvMjAyNQkAAAABMDUDGyn/gd4IWfW0Kf+B3gguQ0lRLk5ZU0U6QUNOLklRX1RPVEFMX1JFVl8xWVJfQU5OX0dST1dUSC4xMDAwLgEAAACe1Q4AAgAAAAY3LjM2MDIBCAAAAAUAAAABMQEAAAALLTE5MjE5NTYyNTYDAAAAAzE2MAIAAAAENDE5NAQAAAABMAcAAAAJMy8xNC8yMDI2CAAAAAk4LzMxLzIwMjUJAAAAATA1Axsp/4HeCFn1tCn/gd4IH0NJUS5OWVNFOkFDTi5JUV9OSV9NQVJHSU4uMTAwMC4BAAAAntUOAAIAAAAHMTEuMDIwNgEIAAAABQAAAAExAQAAAAstMTkyMTk1NjI1NgMAAAADMTYwAgAAAAQ0MDk0BAAAAAEwBwAAAAkzLzE0LzIwMjYIAAAACTgvMzEvMjAyNQkAAAABMDUDGyn/gd4IWfW0Kf+B3ggeQ0lRLk5ZU0U6QUNOLklRX05JX01BUkdJTi45OTku</t>
  </si>
  <si>
    <t>AQAAAJ7VDgACAAAABzExLjE5NDQBCAAAAAUAAAABMQEAAAALLTE5MjE5NTYyNjYDAAAAAzE2MAIAAAAENDA5NAQAAAABMAcAAAAJMy8xNC8yMDI2CAAAAAk4LzMxLzIwMjQJAAAAATA1Axsp/4HeCOrNtCn/gd4IHkNJUS5OWVNFOkFDTi5JUV9OSV9NQVJHSU4uOTk4LgEAAACe1Q4AAgAAAAYxMC43MTgBCAAAAAUAAAABMQEAAAALLTE5MjE5NTYyNjgDAAAAAzE2MAIAAAAENDA5NAQAAAABMAcAAAAJMy8xNC8yMDI2CAAAAAk4LzMxLzIwMjMJAAAAATA1Axsp/4HeCOrNtCn/gd4II0NJUS5OWVNFOkFDTi5JUV9FQklUREFfTUFSR0lOLjEwMDAuAQAAAJ7VDgACAAAABzE3LjU0MjcBCAAAAAUAAAABMQEAAAALLTE5MjE5NTYyNTYDAAAAAzE2MAIAAAAENDA0NwQAAAABMAcAAAAJMy8xNC8yMDI2CAAAAAk4LzMxLzIwMjUJAAAAATA1Axsp/4HeCOrNtCn/gd4IIkNJUS5OWVNFOkFDTi5JUV9FQklUREFfTUFSR0lOLjk5OS4BAAAAntUOAAIAAAAGMTcuMDIzAQgAAAAFAAAAATEBAAAACy0xOTIxOTU2MjY2AwAAAAMxNjACAAAABDQwNDcEAAAAATAHAAAACTMvMTQvMjAyNggAAAAJOC8zMS8yMDI0CQAAAAEwNQMbKf+B3ghZ9bQp/4HeCCJDSVEuTllTRTpBQ04uSVFfRUJJVERBX01BUkdJTi45OTguAQAAAJ7VDgACAAAABzE3LjA1NTYBCAAAAAUAAAABMQEAAAALLTE5MjE5NTYyNjgDAAAAAzE2MAIAAAAENDA0NwQA</t>
  </si>
  <si>
    <t>AAABMAcAAAAJMy8xNC8yMDI2CAAAAAk4LzMxLzIwMjMJAAAAATA1Axsp/4HeCFn1tCn/gd4IIkNJUS5OWVNFOkFDTi5JUV9HUk9TU19NQVJHSU4uMTAwMC4BAAAAntUOAAIAAAAHMzEuOTEzOQEIAAAABQAAAAExAQAAAAstMTkyMTk1NjI1NgMAAAADMTYwAgAAAAQ0MDc0BAAAAAEwBwAAAAkzLzE0LzIwMjYIAAAACTgvMzEvMjAyNQkAAAABMDUDGyn/gd4I6s20Kf+B3gghQ0lRLk5ZU0U6QUNOLklRX0dST1NTX01BUkdJTi45OTkuAQAAAJ7VDgACAAAABzMyLjYwOTMBCAAAAAUAAAABMQEAAAALLTE5MjE5NTYyNjYDAAAAAzE2MAIAAAAENDA3NAQAAAABMAcAAAAJMy8xNC8yMDI2CAAAAAk4LzMxLzIwMjQJAAAAATA1Axsp/4HeCOrNtCn/gd4IIUNJUS5OWVNFOkFDTi5JUV9HUk9TU19NQVJHSU4uOTk4LgEAAACe1Q4AAgAAAAczMi4zMzY2AQgAAAAFAAAAATEBAAAACy0xOTIxOTU2MjY4AwAAAAMxNjACAAAABDQwNzQEAAAAATAHAAAACTMvMTQvMjAyNggAAAAJOC8zMS8yMDIzCQAAAAEwNQMbKf+B3gjqzbQp/4HeCC1DSVEuTllTRTpPUkNMLklRX0NBU0hfU1RfSU5WRVNULjUwMC4uLkYuVVNELkgBAAAA51YAAAIAAAAFMzkxMzIBCAAAAAUAAAABMQEAAAALLTE5MDIxNzY3MDcDAAAAAzE2MAIAAAAEMTAwMgQAAAABMAcAAAAJMy8xNC8yMDI2CAAAAAkyLzI4LzIwMjYJAAAAATA1Axsp/4HeCAOQtCn/gd4I</t>
  </si>
  <si>
    <t>KUNJUS5OWVNFOk9SQ0wuSVFfVE9UQUxfREVCVC41MDAuLi5GLlVTRC5IAQAAAOdWAAACAAAABjE2MjE2NQEIAAAABQAAAAExAQAAAAstMTkwMjE3NjcwNwMAAAADMTYwAgAAAAQ0MTczBAAAAAEwBwAAAAkzLzE0LzIwMjYIAAAACTIvMjgvMjAyNgkAAAABMDUDGyn/gd4IA5C0Kf+B3ggqQ0lRLk5ZU0U6T1JDTC5JUV9QUkVGX0VRVUlUWS41MDAuLi5GLlVTRC5IAQAAAOdWAAACAAAABDQ5NTQBCAAAAAUAAAABMQEAAAALLTE5MDIxNzY3MDcDAAAAAzE2MAIAAAAEMTAwNQQAAAABMAcAAAAJMy8xNC8yMDI2CAAAAAkyLzI4LzIwMjYJAAAAATA1Axsp/4HeCAOQtCn/gd4INkNJUS5OWVNFOk9SQ0wuSVFfTUlOT1JJVFlfSU5URVJFU1RfVE9UQUwuNTAwLi4uRi5VU0QuSAEAAADnVgAAAgAAAAM1NTYBCAAAAAUAAAABMQEAAAALLTE5MDIxNzY3MDcDAAAAAzE2MAIAAAAEMTMxMgQAAAABMAcAAAAJMy8xNC8yMDI2CAAAAAkyLzI4LzIwMjYJAAAAATA1Axsp/4HeCAOQtCn/gd4IKENJUS5OWVNFOk9SQ0wuSVFfVE9UQUxfUkVWLjEwMDAuLi4uVVNELkgBAAAA51YAAAIAAAAFNTczOTkBCAAAAAUAAAABMQEAAAALLTE5Mzc4ODkyMzEDAAAAAzE2MAIAAAACMjgEAAAAATAHAAAACTMvMTQvMjAyNggAAAAJNS8zMS8yMDI1CQAAAAEwNQMbKf+B3ggDkLQp/4HeCChDSVEuTllTRTpPUkNMLklRX1RPVEFMX1JFVi4yMDAw</t>
  </si>
  <si>
    <t>Li4uLlVTRC5IAQAAAOdWAAACAAAABTY0MDc2AQgAAAAFAAAAATEBAAAACy0xOTAyMTc2NDc3AwAAAAMxNjACAAAAAjI4BAAAAAEwBwAAAAkzLzE0LzIwMjYIAAAACTIvMjgvMjAyNgkAAAABMDUDGyn/gd4IA5C0Kf+B3gglQ0lRLk5ZU0U6T1JDTC5JUV9FQklUREEuMTAwMC4uLi5VU0QuSAEAAADnVgAAAgAAAAUyMzQ4NgEIAAAABQAAAAExAQAAAAstMTkzNzg4OTIzMQMAAAADMTYwAgAAAAQ0MDUxBAAAAAEwBwAAAAkzLzE0LzIwMjYIAAAACTUvMzEvMjAyNQkAAAABMDUDGyn/gd4IA5C0Kf+B3gglQ0lRLk5ZU0U6T1JDTC5JUV9FQklUREEuMjAwMC4uLi5VU0QuSAEAAADnVgAAAgAAAAUyODYxNwEIAAAABQAAAAExAQAAAAstMTkwMjE3NjQ3NwMAAAADMTYwAgAAAAQ0MDUxBAAAAAEwBwAAAAkzLzE0LzIwMjYIAAAACTIvMjgvMjAyNgkAAAABMDUDGyn/gd4IN3y0Kf+B3ggtQ0lRLk5ZU0U6T1JDTC5JUV9ESUxVVF9FUFNfRVhDTC4xMDAwLi4uLlVTRC5IAQAAAOdWAAACAAAABDQuMzQBCAAAAAUAAAABMQEAAAALLTE5Mzc4ODkyMzEDAAAAAzE2MAIAAAADMTQyBAAAAAEwBwAAAAkzLzE0LzIwMjYIAAAACTUvMzEvMjAyNQkAAAABMDUDGyn/gd4IA5C0Kf+B3ggtQ0lRLk5ZU0U6T1JDTC5JUV9ESUxVVF9FUFNfRVhDTC4yMDAwLi4uLlVTRC5IAQAAAOdWAAACAAAACDUuNTcyOTk0AQgAAAAFAAAAATEBAAAA</t>
  </si>
  <si>
    <t>Cy0xOTAyMTc2NDc3AwAAAAMxNjACAAAAAzE0MgQAAAABMAcAAAAJMy8xNC8yMDI2CAAAAAkyLzI4LzIwMjYJAAAAATA1Axsp/4HeCAOQtCn/gd4IKUNJUS5OWVNFOk9SQ0wuSVFfRVBTXzFZUl9BTk5fR1JPV1RILjEwMDAuAQAAAOdWAAACAAAABzE2Ljk4MTEBCAAAAAUAAAABMQEAAAALLTE5Mzc4ODkyMzEDAAAAAzE2MAIAAAAENDIwMAQAAAABMAcAAAAJMy8xNC8yMDI2CAAAAAk1LzMxLzIwMjUJAAAAATA1Axsp/4HeCFxotCn/gd4ILENJUS5OWVNFOk9SQ0wuSVFfRUJJVERBXzFZUl9BTk5fR1JPV1RILjEwMDAuAQAAAOdWAAACAAAABzEwLjY0MjEBCAAAAAUAAAABMQEAAAALLTE5Mzc4ODkyMzEDAAAAAzE2MAIAAAAENDE5NgQAAAABMAcAAAAJMy8xNC8yMDI2CAAAAAk1LzMxLzIwMjUJAAAAATA1Axsp/4HeCFxotCn/gd4IL0NJUS5OWVNFOk9SQ0wuSVFfVE9UQUxfUkVWXzFZUl9BTk5fR1JPV1RILjEwMDAuAQAAAOdWAAACAAAABjguMzc5NwEIAAAABQAAAAExAQAAAAstMTkzNzg4OTIzMQMAAAADMTYwAgAAAAQ0MTk0BAAAAAEwBwAAAAkzLzE0LzIwMjYIAAAACTUvMzEvMjAyNQkAAAABMDUDGyn/gd4IN3y0Kf+B3gggQ0lRLk5ZU0U6T1JDTC5JUV9OSV9NQVJHSU4uMTAwMC4BAAAA51YAAAIAAAAGMjEuNjc4AQgAAAAFAAAAATEBAAAACy0xOTM3ODg5MjMxAwAAAAMxNjACAAAABDQwOTQEAAAAATAH</t>
  </si>
  <si>
    <t>AAAACTMvMTQvMjAyNggAAAAJNS8zMS8yMDI1CQAAAAEwNQMbKf+B3ghJQbQp/4HeCB9DSVEuTllTRTpPUkNMLklRX05JX01BUkdJTi45OTkuAQAAAOdWAAACAAAABzE5Ljc2MzUBCAAAAAUAAAABMQEAAAALLTE5Mzc4ODkyMTUDAAAAAzE2MAIAAAAENDA5NAQAAAABMAcAAAAJMy8xNC8yMDI2CAAAAAk1LzMxLzIwMjQJAAAAATA1Axsp/4HeCElBtCn/gd4IH0NJUS5OWVNFOk9SQ0wuSVFfTklfTUFSR0lOLjk5OC4BAAAA51YAAAIAAAAHMTcuMDIxNgEIAAAABQAAAAExAQAAAAstMTkzNzg4OTIyOAMAAAADMTYwAgAAAAQ0MDk0BAAAAAEwBwAAAAkzLzE0LzIwMjYIAAAACTUvMzEvMjAyMwkAAAABMDUDGyn/gd4ISUG0Kf+B3ggkQ0lRLk5ZU0U6T1JDTC5JUV9FQklUREFfTUFSR0lOLjEwMDAuAQAAAOdWAAACAAAABjQwLjkxNwEIAAAABQAAAAExAQAAAAstMTkzNzg4OTIzMQMAAAADMTYwAgAAAAQ0MDQ3BAAAAAEwBwAAAAkzLzE0LzIwMjYIAAAACTUvMzEvMjAyNQkAAAABMDUDGyn/gd4ISUG0Kf+B3ggjQ0lRLk5ZU0U6T1JDTC5JUV9FQklUREFfTUFSR0lOLjk5OS4BAAAA51YAAAIAAAAHNDAuMDgwNAEIAAAABQAAAAExAQAAAAstMTkzNzg4OTIxNQMAAAADMTYwAgAAAAQ0MDQ3BAAAAAEwBwAAAAkzLzE0LzIwMjYIAAAACTUvMzEvMjAyNAkAAAABMDUDGyn/gd4ISUG0Kf+B3ggjQ0lRLk5ZU0U6T1JDTC5J</t>
  </si>
  <si>
    <t>UV9FQklUREFfTUFSR0lOLjk5OC4BAAAA51YAAAIAAAAHMzkuNTkyNAEIAAAABQAAAAExAQAAAAstMTkzNzg4OTIyOAMAAAADMTYwAgAAAAQ0MDQ3BAAAAAEwBwAAAAkzLzE0LzIwMjYIAAAACTUvMzEvMjAyMwkAAAABMDUDGyn/gd4IQBq0Kf+B3ggjQ0lRLk5ZU0U6T1JDTC5JUV9HUk9TU19NQVJHSU4uMTAwMC4BAAAA51YAAAIAAAAHNzAuNTA5OQEIAAAABQAAAAExAQAAAAstMTkzNzg4OTIzMQMAAAADMTYwAgAAAAQ0MDc0BAAAAAEwBwAAAAkzLzE0LzIwMjYIAAAACTUvMzEvMjAyNQkAAAABMDUDGyn/gd4IQBq0Kf+B3ggiQ0lRLk5ZU0U6T1JDTC5JUV9HUk9TU19NQVJHSU4uOTk5LgEAAADnVgAAAgAAAAc3MS40MDcyAQgAAAAFAAAAATEBAAAACy0xOTM3ODg5MjE1AwAAAAMxNjACAAAABDQwNzQEAAAAATAHAAAACTMvMTQvMjAyNggAAAAJNS8zMS8yMDI0CQAAAAEwNQMbKf+B3ghJQbQp/4HeCCJDSVEuTllTRTpPUkNMLklRX0dST1NTX01BUkdJTi45OTguAQAAAOdWAAACAAAABjcyLjg0NwEIAAAABQAAAAExAQAAAAstMTkzNzg4OTIyOAMAAAADMTYwAgAAAAQ0MDc0BAAAAAEwBwAAAAkzLzE0LzIwMjYIAAAACTUvMzEvMjAyMwkAAAABMDUDGyn/gd4ISUG0Kf+B3ggwQ0lRLk5BU0RBUUdTOkhPTi5JUV9DQVNIX1NUX0lOVkVTVC41MDAuLi5GLlVTRC5IAQAAAER1FAACAAAABTEyOTMwAQgAAAAFAAAA</t>
  </si>
  <si>
    <t>ATEBAAAACy0xOTA2MTE3NjU3AwAAAAMxNjACAAAABDEwMDIEAAAAATAHAAAACTMvMTQvMjAyNggAAAAKMTIvMzEvMjAyNQkAAAABMDUDGyn/gd4IQBq0Kf+B3ggsQ0lRLk5BU0RBUUdTOkhPTi5JUV9UT1RBTF9ERUJULjUwMC4uLkYuVVNELkgBAAAARHUUAAIAAAAFMzU1NjMBCAAAAAUAAAABMQEAAAALLTE5MDYxMTc2NTcDAAAAAzE2MAIAAAAENDE3MwQAAAABMAcAAAAJMy8xNC8yMDI2CAAAAAoxMi8zMS8yMDI1CQAAAAEwNQMbKf+B3ghAGrQp/4HeCC1DSVEuTkFTREFRR1M6SE9OLklRX1BSRUZfRVFVSVRZLjUwMC4uLkYuVVNELkgBAAAARHUUAAMAAAAAADUDGyn/gd4IQBq0Kf+B3gg5Q0lRLk5BU0RBUUdTOkhPTi5JUV9NSU5PUklUWV9JTlRFUkVTVF9UT1RBTC41MDAuLi5GLlVTRC5IAQAAAER1FAACAAAABDExMjYBCAAAAAUAAAABMQEAAAALLTE5MDYxMTc2NTcDAAAAAzE2MAIAAAAEMTMxMgQAAAABMAcAAAAJMy8xNC8yMDI2CAAAAAoxMi8zMS8yMDI1CQAAAAEwNQMbKf+B3gg887Mp/4HeCCtDSVEuTkFTREFRR1M6SE9OLklRX1RPVEFMX1JFVi4xMDAwLi4uLlVTRC5IAQAAAER1FAACAAAABTM3NDQyAQgAAAAFAAAAATEBAAAACy0xOTA2MTE5OTI2AwAAAAMxNjACAAAAAjI4BAAAAAEwBwAAAAkzLzE0LzIwMjYIAAAACjEyLzMxLzIwMjUJAAAAATA1Axsp/4HeCDzzsyn/gd4IK0NJUS5OQVNEQVFH</t>
  </si>
  <si>
    <t>UzpIT04uSVFfVE9UQUxfUkVWLjIwMDAuLi4uVVNELkgBAAAARHUUAAIAAAAFMzc0NDIBCAAAAAUAAAABMQEAAAALLTE5MDYxMTc2NDgDAAAAAzE2MAIAAAACMjgEAAAAATAHAAAACTMvMTQvMjAyNggAAAAKMTIvMzEvMjAyNQkAAAABMDUDGyn/gd4IPPOzKf+B3ggoQ0lRLk5BU0RBUUdTOkhPTi5JUV9FQklUREEuMTAwMC4uLi5VU0QuSAEAAABEdRQAAgAAAAQ4NDY4AQgAAAAFAAAAATEBAAAACy0xOTA2MTE5OTI2AwAAAAMxNjACAAAABDQwNTEEAAAAATAHAAAACTMvMTQvMjAyNggAAAAKMTIvMzEvMjAyNQkAAAABMDUDGyn/gd4IB8yzKf+B3ggoQ0lRLk5BU0RBUUdTOkhPTi5JUV9FQklUREEuMjAwMC4uLi5VU0QuSAEAAABEdRQAAgAAAAQ4NDY4AQgAAAAFAAAAATEBAAAACy0xOTA2MTE3NjQ4AwAAAAMxNjACAAAABDQwNTEEAAAAATAHAAAACTMvMTQvMjAyNggAAAAKMTIvMzEvMjAyNQkAAAABMDUDGyn/gd4IB8yzKf+B3ggwQ0lRLk5BU0RBUUdTOkhPTi5JUV9ESUxVVF9FUFNfRVhDTC4xMDAwLi4uLlVTRC5IAQAAAER1FAACAAAACDYuODg3MDY5AQgAAAAFAAAAATEBAAAACy0xOTA2MTE5OTI2AwAAAAMxNjACAAAAAzE0MgQAAAABMAcAAAAJMy8xNC8yMDI2CAAAAAoxMi8zMS8yMDI1CQAAAAEwNQMbKf+B3gg887Mp/4HeCDBDSVEuTkFTREFRR1M6SE9OLklRX0RJTFVUX0VQU19FWENMLjIwMDAuLi4u</t>
  </si>
  <si>
    <t>VVNELkgBAAAARHUUAAIAAAAINi44ODcwNjkBCAAAAAUAAAABMQEAAAALLTE5MDYxMTc2NDgDAAAAAzE2MAIAAAADMTQyBAAAAAEwBwAAAAkzLzE0LzIwMjYIAAAACjEyLzMxLzIwMjUJAAAAATA1Axsp/4HeCAfMsyn/gd4ILENJUS5OQVNEQVFHUzpIT04uSVFfRVBTXzFZUl9BTk5fR1JPV1RILjEwMDAuAQAAAER1FAACAAAABy04LjkzODgBCAAAAAUAAAABMQEAAAALLTE5MDYxMTk5MjYDAAAAAzE2MAIAAAAENDIwMAQAAAABMAcAAAAJMy8xNC8yMDI2CAAAAAoxMi8zMS8yMDI1CQAAAAEwNQMbKf+B3ggHzLMp/4HeCC9DSVEuTkFTREFRR1M6SE9OLklRX0VCSVREQV8xWVJfQU5OX0dST1dUSC4xMDAwLgEAAABEdRQAAgAAAAYwLjc0OTUBCAAAAAUAAAABMQEAAAALLTE5MDYxMTk5MjYDAAAAAzE2MAIAAAAENDE5NgQAAAABMAcAAAAJMy8xNC8yMDI2CAAAAAoxMi8zMS8yMDI1CQAAAAEwNQMbKf+B3ggHzLMp/4HeCDJDSVEuTkFTREFRR1M6SE9OLklRX1RPVEFMX1JFVl8xWVJfQU5OX0dST1dUSC4xMDAwLgEAAABEdRQAAgAAAAY3Ljg0OTEBCAAAAAUAAAABMQEAAAALLTE5MDYxMTk5MjYDAAAAAzE2MAIAAAAENDE5NAQAAAABMAcAAAAJMy8xNC8yMDI2CAAAAAoxMi8zMS8yMDI1CQAAAAEwNQMbKf+B3ginfbMp/4HeCCNDSVEuTkFTREFRR1M6SE9OLklRX05JX01BUkdJTi4xMDAwLgEAAABEdRQAAgAAAAcx</t>
  </si>
  <si>
    <t>Mi42MzAyAQgAAAAFAAAAATEBAAAACy0xOTA2MTE5OTI2AwAAAAMxNjACAAAABDQwOTQEAAAAATAHAAAACTMvMTQvMjAyNggAAAAKMTIvMzEvMjAyNQkAAAABMDUDGyn/gd4I/KSzKf+B3ggiQ0lRLk5BU0RBUUdTOkhPTi5JUV9OSV9NQVJHSU4uOTk5LgEAAABEdRQAAgAAAAcxNi40MzI4AQgAAAAFAAAAATEBAAAACy0xOTA2MTE5OTI1AwAAAAMxNjACAAAABDQwOTQEAAAAATAHAAAACTMvMTQvMjAyNggAAAAKMTIvMzEvMjAyNAkAAAABMDUDGyn/gd4I/KSzKf+B3ggiQ0lRLk5BU0RBUUdTOkhPTi5JUV9OSV9NQVJHSU4uOTk4LgEAAABEdRQAAgAAAAcxNy4xNDA3AQgAAAAFAAAAATEBAAAACy0xOTA2MTE5OTMyAwAAAAMxNjACAAAABDQwOTQEAAAAATAHAAAACTMvMTQvMjAyNggAAAAKMTIvMzEvMjAyMwkAAAABMDUDGyn/gd4I/KSzKf+B3ggnQ0lRLk5BU0RBUUdTOkhPTi5JUV9FQklUREFfTUFSR0lOLjEwMDAuAQAAAER1FAACAAAABzIyLjYxNjMBCAAAAAUAAAABMQEAAAALLTE5MDYxMTk5MjYDAAAAAzE2MAIAAAAENDA0NwQAAAABMAcAAAAJMy8xNC8yMDI2CAAAAAoxMi8zMS8yMDI1CQAAAAEwNQMbKf+B3gj8pLMp/4HeCCZDSVEuTkFTREFRR1M6SE9OLklRX0VCSVREQV9NQVJHSU4uOTk5LgEAAABEdRQAAgAAAAUyNC4yMQEIAAAABQAAAAExAQAAAAstMTkwNjExOTkyNQMAAAADMTYwAgAAAAQ0MDQ3</t>
  </si>
  <si>
    <t>BAAAAAEwBwAAAAkzLzE0LzIwMjYIAAAACjEyLzMxLzIwMjQJAAAAATA1Axsp/4HeCIdpsyn/gd4IJkNJUS5OQVNEQVFHUzpIT04uSVFfRUJJVERBX01BUkdJTi45OTguAQAAAER1FAACAAAABzIyLjk1NzMBCAAAAAUAAAABMQEAAAALLTE5MDYxMTk5MzIDAAAAAzE2MAIAAAAENDA0NwQAAAABMAcAAAAJMy8xNC8yMDI2CAAAAAoxMi8zMS8yMDIzCQAAAAEwNQMbKf+B3giHabMp/4HeCCZDSVEuTkFTREFRR1M6SE9OLklRX0dST1NTX01BUkdJTi4xMDAwLgEAAABEdRQAAgAAAAczNi45MzQ0AQgAAAAFAAAAATEBAAAACy0xOTA2MTE5OTI2AwAAAAMxNjACAAAABDQwNzQEAAAAATAHAAAACTMvMTQvMjAyNggAAAAKMTIvMzEvMjAyNQkAAAABMDUDGyn/gd4Ip32zKf+B3gglQ0lRLk5BU0RBUUdTOkhPTi5JUV9HUk9TU19NQVJHSU4uOTk5LgEAAABEdRQAAgAAAAczOC40NzM5AQgAAAAFAAAAATEBAAAACy0xOTA2MTE5OTI1AwAAAAMxNjACAAAABDQwNzQEAAAAATAHAAAACTMvMTQvMjAyNggAAAAKMTIvMzEvMjAyNAkAAAABMDUDGyn/gd4Ip32zKf+B3gglQ0lRLk5BU0RBUUdTOkhPTi5JUV9HUk9TU19NQVJHSU4uOTk4LgEAAABEdRQAAgAAAAczNy40ODA2AQgAAAAFAAAAATEBAAAACy0xOTA2MTE5OTMyAwAAAAMxNjACAAAABDQwNzQEAAAAATAHAAAACTMvMTQvMjAyNggAAAAKMTIvMzEvMjAyMwkAAAABMDUD</t>
  </si>
  <si>
    <t>Gyn/gd4Ip32zKf+B3ggsQ0lRLk5ZU0U6RFhDLklRX0NBU0hfU1RfSU5WRVNULjUwMC4uLkYuVVNELkgBAAAAtQMEAAIAAAAEMTczMQEIAAAABQAAAAExAQAAAAstMTkwODM0NDQ4MgMAAAADMTYwAgAAAAQxMDAyBAAAAAEwBwAAAAkzLzE0LzIwMjYIAAAACjEyLzMxLzIwMjUJAAAAATA1Axsp/4HeCMIusyn/gd4IKENJUS5OWVNFOkRYQy5JUV9UT1RBTF9ERUJULjUwMC4uLkYuVVNELkgBAAAAtQMEAAIAAAAENDMyMwEIAAAABQAAAAExAQAAAAstMTkwODM0NDQ4MgMAAAADMTYwAgAAAAQ0MTczBAAAAAEwBwAAAAkzLzE0LzIwMjYIAAAACjEyLzMxLzIwMjUJAAAAATA1Axsp/4HeCMIusyn/gd4IKUNJUS5OWVNFOkRYQy5JUV9QUkVGX0VRVUlUWS41MDAuLi5GLlVTRC5IAQAAALUDBAADAAAAAAA1Axsp/4HeCLoHsyn/gd4INUNJUS5OWVNFOkRYQy5JUV9NSU5PUklUWV9JTlRFUkVTVF9UT1RBTC41MDAuLi5GLlVTRC5IAQAAALUDBAACAAAAAzI2OAEIAAAABQAAAAExAQAAAAstMTkwODM0NDQ4MgMAAAADMTYwAgAAAAQxMzEyBAAAAAEwBwAAAAkzLzE0LzIwMjYIAAAACjEyLzMxLzIwMjUJAAAAATA1Axsp/4HeCLoHsyn/gd4IJ0NJUS5OWVNFOkRYQy5JUV9UT1RBTF9SRVYuMTAwMC4uLi5VU0QuSAEAAAC1AwQAAgAAAAUxMjg3MQEIAAAABQAAAAExAQAAAAstMTk0MzU0NzI3NAMAAAADMTYwAgAAAAIyOAQA</t>
  </si>
  <si>
    <t>AAABMAcAAAAJMy8xNC8yMDI2CAAAAAkzLzMxLzIwMjUJAAAAATA1Axsp/4HeCLoHsyn/gd4IJ0NJUS5OWVNFOkRYQy5JUV9UT1RBTF9SRVYuMjAwMC4uLi5VU0QuSAEAAAC1AwQAAgAAAAUxMjY4MwEIAAAABQAAAAExAQAAAAstMTkwODM0NDMwMQMAAAADMTYwAgAAAAIyOAQAAAABMAcAAAAJMy8xNC8yMDI2CAAAAAoxMi8zMS8yMDI1CQAAAAEwNQMbKf+B3gi6B7Mp/4HeCCRDSVEuTllTRTpEWEMuSVFfRUJJVERBLjEwMDAuLi4uVVNELkgBAAAAtQMEAAIAAAAEMTk5MwEIAAAABQAAAAExAQAAAAstMTk0MzU0NzI3NAMAAAADMTYwAgAAAAQ0MDUxBAAAAAEwBwAAAAkzLzE0LzIwMjYIAAAACTMvMzEvMjAyNQkAAAABMDUDGyn/gd4IZeCyKf+B3ggkQ0lRLk5ZU0U6RFhDLklRX0VCSVREQS4yMDAwLi4uLlVTRC5IAQAAALUDBAACAAAABDE5MTQBCAAAAAUAAAABMQEAAAALLTE5MDgzNDQzMDEDAAAAAzE2MAIAAAAENDA1MQQAAAABMAcAAAAJMy8xNC8yMDI2CAAAAAoxMi8zMS8yMDI1CQAAAAEwNQMbKf+B3ghl4LIp/4HeCCxDSVEuTllTRTpEWEMuSVFfRElMVVRfRVBTX0VYQ0wuMTAwMC4uLi5VU0QuSAEAAAC1AwQAAgAAAAMyLjEBCAAAAAUAAAABMQEAAAALLTE5NDM1NDcyNzQDAAAAAzE2MAIAAAADMTQyBAAAAAEwBwAAAAkzLzE0LzIwMjYIAAAACTMvMzEvMjAyNQkAAAABMDUDGyn/gd4IFX6yKf+B3ggs</t>
  </si>
  <si>
    <t>Q0lRLk5ZU0U6RFhDLklRX0RJTFVUX0VQU19FWENMLjIwMDAuLi4uVVNELkgBAAAAtQMEAAIAAAAGMi4zMjA2AQgAAAAFAAAAATEBAAAACy0xOTA4MzQ0MzAxAwAAAAMxNjACAAAAAzE0MgQAAAABMAcAAAAJMy8xNC8yMDI2CAAAAAoxMi8zMS8yMDI1CQAAAAEwNQMbKf+B3ggVfrIp/4HeCChDSVEuTllTRTpEWEMuSVFfRVBTXzFZUl9BTk5fR1JPV1RILjEwMDAuAQAAALUDBAACAAAACDM1Ni41MjE3AQgAAAAFAAAAATEBAAAACy0xOTQzNTQ3Mjc0AwAAAAMxNjACAAAABDQyMDAEAAAAATAHAAAACTMvMTQvMjAyNggAAAAJMy8zMS8yMDI1CQAAAAEwNQMbKf+B3gjluLIp/4HeCCtDSVEuTllTRTpEWEMuSVFfRUJJVERBXzFZUl9BTk5fR1JPV1RILjEwMDAuAQAAALUDBAACAAAABzQzLjY5MTQBCAAAAAUAAAABMQEAAAALLTE5NDM1NDcyNzQDAAAAAzE2MAIAAAAENDE5NgQAAAABMAcAAAAJMy8xNC8yMDI2CAAAAAkzLzMxLzIwMjUJAAAAATA1Axsp/4HeCLhWsin/gd4ILkNJUS5OWVNFOkRYQy5JUV9UT1RBTF9SRVZfMVlSX0FOTl9HUk9XVEguMTAwMC4BAAAAtQMEAAIAAAAHLTUuODI0MwEIAAAABQAAAAExAQAAAAstMTk0MzU0NzI3NAMAAAADMTYwAgAAAAQ0MTk0BAAAAAEwBwAAAAkzLzE0LzIwMjYIAAAACTMvMzEvMjAyNQkAAAABMDUDGyn/gd4IFX6yKf+B3ggfQ0lRLk5ZU0U6RFhDLklRX05JX01BUkdJ</t>
  </si>
  <si>
    <t>Ti4xMDAwLgEAAAC1AwQAAgAAAAYzLjAyMjIBCAAAAAUAAAABMQEAAAALLTE5NDM1NDcyNzQDAAAAAzE2MAIAAAAENDA5NAQAAAABMAcAAAAJMy8xNC8yMDI2CAAAAAkzLzMxLzIwMjUJAAAAATA1Axsp/4HeCBV+sin/gd4IHkNJUS5OWVNFOkRYQy5JUV9OSV9NQVJHSU4uOTk5LgEAAAC1AwQAAgAAAAYwLjY2NTgBCAAAAAUAAAABMQEAAAALLTE5NDM1NDcyODEDAAAAAzE2MAIAAAAENDA5NAQAAAABMAcAAAAJMy8xNC8yMDI2CAAAAAkzLzMxLzIwMjQJAAAAATA1Axsp/4HeCBV+sin/gd4IHkNJUS5OWVNFOkRYQy5JUV9OSV9NQVJHSU4uOTk4LgEAAAC1AwQAAgAAAActMy45MzYyAQgAAAAFAAAAATEBAAAACy0xOTQzNTQ3MjgyAwAAAAMxNjACAAAABDQwOTQEAAAAATAHAAAACTMvMTQvMjAyNggAAAAJMy8zMS8yMDIzCQAAAAEwNQMbKf+B3ggVfrIp/4HeCCNDSVEuTllTRTpEWEMuSVFfRUJJVERBX01BUkdJTi4xMDAwLgEAAAC1AwQAAgAAAAcxNS40ODQ0AQgAAAAFAAAAATEBAAAACy0xOTQzNTQ3Mjc0AwAAAAMxNjACAAAABDQwNDcEAAAAATAHAAAACTMvMTQvMjAyNggAAAAJMy8zMS8yMDI1CQAAAAEwNQMbKf+B3gj0QrIp/4HeCCJDSVEuTllTRTpEWEMuSVFfRUJJVERBX01BUkdJTi45OTkuAQAAALUDBAACAAAABzEwLjE0ODUBCAAAAAUAAAABMQEAAAALLTE5NDM1NDcyODEDAAAAAzE2MAIAAAAENDA0</t>
  </si>
  <si>
    <t>NwQAAAABMAcAAAAJMy8xNC8yMDI2CAAAAAkzLzMxLzIwMjQJAAAAATA1Axsp/4HeCPRCsin/gd4IIkNJUS5OWVNFOkRYQy5JUV9FQklUREFfTUFSR0lOLjk5OC4BAAAAtQMEAAIAAAAFMy44NTMBCAAAAAUAAAABMQEAAAALLTE5NDM1NDcyODIDAAAAAzE2MAIAAAAENDA0NwQAAAABMAcAAAAJMy8xNC8yMDI2CAAAAAkzLzMxLzIwMjMJAAAAATA1Axsp/4HeCLhWsin/gd4IIkNJUS5OWVNFOkRYQy5JUV9HUk9TU19NQVJHSU4uMTAwMC4BAAAAtQMEAAIAAAAHMjQuMDkyOQEIAAAABQAAAAExAQAAAAstMTk0MzU0NzI3NAMAAAADMTYwAgAAAAQ0MDc0BAAAAAEwBwAAAAkzLzE0LzIwMjYIAAAACTMvMzEvMjAyNQkAAAABMDUDGyn/gd4IuFayKf+B3gghQ0lRLk5ZU0U6RFhDLklRX0dST1NTX01BUkdJTi45OTkuAQAAALUDBAACAAAABzIyLjYxNjUBCAAAAAUAAAABMQEAAAALLTE5NDM1NDcyODEDAAAAAzE2MAIAAAAENDA3NAQAAAABMAcAAAAJMy8xNC8yMDI2CAAAAAkzLzMxLzIwMjQJAAAAATA1Axsp/4HeCLhWsin/gd4IIUNJUS5OWVNFOkRYQy5JUV9HUk9TU19NQVJHSU4uOTk4LgEAAAC1AwQAAgAAAAcyMi4wNjUxAQgAAAAFAAAAATEBAAAACy0xOTQzNTQ3MjgyAwAAAAMxNjACAAAABDQwNzQEAAAAATAHAAAACTMvMTQvMjAyNggAAAAJMy8zMS8yMDIzCQAAAAEwNQMbKf+B3gir4LEp/4HeCDFDSVEuTkFT</t>
  </si>
  <si>
    <t>REFRR1M6TVNGVC5JUV9DQVNIX1NUX0lOVkVTVC41MDAuLi5GLlVTRC5IAQAAAEtVAAACAAAABTg5NDYyAQgAAAAFAAAAATEBAAAACy0xOTA4NjcxNTMxAwAAAAMxNjACAAAABDEwMDIEAAAAATAHAAAACTMvMTQvMjAyNggAAAAKMTIvMzEvMjAyNQkAAAABMDUDGyn/gd4IjBuyKf+B3ggtQ0lRLk5BU0RBUUdTOk1TRlQuSVFfVE9UQUxfREVCVC41MDAuLi5GLlVTRC5IAQAAAEtVAAACAAAABjEyMzI3OAEIAAAABQAAAAExAQAAAAstMTkwODY3MTUzMQMAAAADMTYwAgAAAAQ0MTczBAAAAAEwBwAAAAkzLzE0LzIwMjYIAAAACjEyLzMxLzIwMjUJAAAAATA1Axsp/4HeCKvgsSn/gd4ILkNJUS5OQVNEQVFHUzpNU0ZULklRX1BSRUZfRVFVSVRZLjUwMC4uLkYuVVNELkgBAAAAS1UAAAMAAAAAADUDGyn/gd4Iq+CxKf+B3gg6Q0lRLk5BU0RBUUdTOk1TRlQuSVFfTUlOT1JJVFlfSU5URVJFU1RfVE9UQUwuNTAwLi4uRi5VU0QuSAEAAABLVQAAAwAAAAAANQMbKf+B3gir4LEp/4HeCCxDSVEuTkFTREFRR1M6TVNGVC5JUV9UT1RBTF9SRVYuMTAwMC4uLi5VU0QuSAEAAABLVQAAAgAAAAYyODE3MjQBCAAAAAUAAAABMQEAAAALLTE5MzQyNTQyMTYDAAAAAzE2MAIAAAACMjgEAAAAATAHAAAACTMvMTQvMjAyNggAAAAJNi8zMC8yMDI1CQAAAAEwNQMbKf+B3gir4LEp/4HeCCxDSVEuTkFTREFRR1M6TVNGVC5JUV9UT1RB</t>
  </si>
  <si>
    <t>TF9SRVYuMjAwMC4uLi5VU0QuSAEAAABLVQAAAgAAAAYzMDU0NTMBCAAAAAUAAAABMQEAAAALLTE5MDg2NzEyNzcDAAAAAzE2MAIAAAACMjgEAAAAATAHAAAACTMvMTQvMjAyNggAAAAKMTIvMzEvMjAyNQkAAAABMDUDGyn/gd4Iq+CxKf+B3ggpQ0lRLk5BU0RBUUdTOk1TRlQuSVFfRUJJVERBLjEwMDAuLi4uVVNELkgBAAAAS1UAAAIAAAAGMTU2NTI4AQgAAAAFAAAAATEBAAAACy0xOTM0MjU0MjE2AwAAAAMxNjACAAAABDQwNTEEAAAAATAHAAAACTMvMTQvMjAyNggAAAAJNi8zMC8yMDI1CQAAAAEwNQMbKf+B3giVubEp/4HeCClDSVEuTkFTREFRR1M6TVNGVC5JUV9FQklUREEuMjAwMC4uLi5VU0QuSAEAAABLVQAAAgAAAAYxNzUyNTkBCAAAAAUAAAABMQEAAAALLTE5MDg2NzEyNzcDAAAAAzE2MAIAAAAENDA1MQQAAAABMAcAAAAJMy8xNC8yMDI2CAAAAAoxMi8zMS8yMDI1CQAAAAEwNQMbKf+B3giVubEp/4HeCDFDSVEuTkFTREFRR1M6TVNGVC5JUV9ESUxVVF9FUFNfRVhDTC4xMDAwLi4uLlVTRC5IAQAAAEtVAAACAAAABTEzLjY0AQgAAAAFAAAAATEBAAAACy0xOTM0MjU0MjE2AwAAAAMxNjACAAAAAzE0MgQAAAABMAcAAAAJMy8xNC8yMDI2CAAAAAk2LzMwLzIwMjUJAAAAATA1Axsp/4HeCGVrsSn/gd4IMUNJUS5OQVNEQVFHUzpNU0ZULklRX0RJTFVUX0VQU19FWENMLjIwMDAuLi4uVVNELkgBAAAA</t>
  </si>
  <si>
    <t>S1UAAAIAAAAJMTUuOTgwNTQ2AQgAAAAFAAAAATEBAAAACy0xOTA4NjcxMjc3AwAAAAMxNjACAAAAAzE0MgQAAAABMAcAAAAJMy8xNC8yMDI2CAAAAAoxMi8zMS8yMDI1CQAAAAEwNQMbKf+B3ghla7Ep/4HeCC1DSVEuTkFTREFRR1M6TVNGVC5JUV9FUFNfMVlSX0FOTl9HUk9XVEguMTAwMC4BAAAAS1UAAAIAAAAHMTUuNTkzMgEIAAAABQAAAAExAQAAAAstMTkzNDI1NDIxNgMAAAADMTYwAgAAAAQ0MjAwBAAAAAEwBwAAAAkzLzE0LzIwMjYIAAAACTYvMzAvMjAyNQkAAAABMDUDGyn/gd4IN0SxKf+B3ggwQ0lRLk5BU0RBUUdTOk1TRlQuSVFfRUJJVERBXzFZUl9BTk5fR1JPV1RILjEwMDAuAQAAAEtVAAACAAAABzIwLjkzMzYBCAAAAAUAAAABMQEAAAALLTE5MzQyNTQyMTYDAAAAAzE2MAIAAAAENDE5NgQAAAABMAcAAAAJMy8xNC8yMDI2CAAAAAk2LzMwLzIwMjUJAAAAATA1Axsp/4HeCDdEsSn/gd4IM0NJUS5OQVNEQVFHUzpNU0ZULklRX1RPVEFMX1JFVl8xWVJfQU5OX0dST1dUSC4xMDAwLgEAAABLVQAAAgAAAAcxNC45MzIxAQgAAAAFAAAAATEBAAAACy0xOTM0MjU0MjE2AwAAAAMxNjACAAAABDQxOTQEAAAAATAHAAAACTMvMTQvMjAyNggAAAAJNi8zMC8yMDI1CQAAAAEwNQMbKf+B3gg3RLEp/4HeCCRDSVEuTkFTREFRR1M6TVNGVC5JUV9OSV9NQVJHSU4uMTAwMC4BAAAAS1UAAAIAAAAGMzYuMTQ2</t>
  </si>
  <si>
    <t>AQgAAAAFAAAAATEBAAAACy0xOTM0MjU0MjE2AwAAAAMxNjACAAAABDQwOTQEAAAAATAHAAAACTMvMTQvMjAyNggAAAAJNi8zMC8yMDI1CQAAAAEwNQMbKf+B3ghla7Ep/4HeCCNDSVEuTkFTREFRR1M6TVNGVC5JUV9OSV9NQVJHSU4uOTk5LgEAAABLVQAAAgAAAAczNS45NTU5AQgAAAAFAAAAATEBAAAACy0xOTM0MjU0MTg1AwAAAAMxNjACAAAABDQwOTQEAAAAATAHAAAACTMvMTQvMjAyNggAAAAJNi8zMC8yMDI0CQAAAAEwNQMbKf+B3ghla7Ep/4HeCCNDSVEuTkFTREFRR1M6TVNGVC5JUV9OSV9NQVJHSU4uOTk4LgEAAABLVQAAAgAAAAczNC4xNDYyAQgAAAAFAAAAATEBAAAACy0xOTM0MjU0MjUwAwAAAAMxNjACAAAABDQwOTQEAAAAATAHAAAACTMvMTQvMjAyNggAAAAJNi8zMC8yMDIzCQAAAAEwNQMbKf+B3ggpHbEp/4HeCChDSVEuTkFTREFRR1M6TVNGVC5JUV9FQklUREFfTUFSR0lOLjEwMDAuAQAAAEtVAAACAAAABzU1LjU2MDcBCAAAAAUAAAABMQEAAAALLTE5MzQyNTQyMTYDAAAAAzE2MAIAAAAENDA0NwQAAAABMAcAAAAJMy8xNC8yMDI2CAAAAAk2LzMwLzIwMjUJAAAAATA1Axsp/4HeCCkdsSn/gd4IJ0NJUS5OQVNEQVFHUzpNU0ZULklRX0VCSVREQV9NQVJHSU4uOTk5LgEAAABLVQAAAgAAAAc1Mi44MDM1AQgAAAAFAAAAATEBAAAACy0xOTM0MjU0MTg1AwAAAAMxNjACAAAABDQwNDcEAAAA</t>
  </si>
  <si>
    <t>ATAHAAAACTMvMTQvMjAyNggAAAAJNi8zMC8yMDI0CQAAAAEwNQMbKf+B3ggpHbEp/4HeCCdDSVEuTkFTREFRR1M6TVNGVC5JUV9FQklUREFfTUFSR0lOLjk5OC4BAAAAS1UAAAIAAAAHNDguMTQzMwEIAAAABQAAAAExAQAAAAstMTkzNDI1NDI1MAMAAAADMTYwAgAAAAQ0MDQ3BAAAAAEwBwAAAAkzLzE0LzIwMjYIAAAACTYvMzAvMjAyMwkAAAABMDUDGyn/gd4IN0SxKf+B3ggnQ0lRLk5BU0RBUUdTOk1TRlQuSVFfR1JPU1NfTUFSR0lOLjEwMDAuAQAAAEtVAAACAAAABzY4LjgyMzcBCAAAAAUAAAABMQEAAAALLTE5MzQyNTQyMTYDAAAAAzE2MAIAAAAENDA3NAQAAAABMAcAAAAJMy8xNC8yMDI2CAAAAAk2LzMwLzIwMjUJAAAAATA1Axsp/4HeCDdEsSn/gd4IJkNJUS5OQVNEQVFHUzpNU0ZULklRX0dST1NTX01BUkdJTi45OTkuAQAAAEtVAAACAAAABzY5Ljc2NDQBCAAAAAUAAAABMQEAAAALLTE5MzQyNTQxODUDAAAAAzE2MAIAAAAENDA3NAQAAAABMAcAAAAJMy8xNC8yMDI2CAAAAAk2LzMwLzIwMjQJAAAAATA1Axsp/4HeCBn2sCn/gd4IJkNJUS5OQVNEQVFHUzpNU0ZULklRX0dST1NTX01BUkdJTi45OTguAQAAAEtVAAACAAAABTY4LjkyAQgAAAAFAAAAATEBAAAACy0xOTM0MjU0MjUwAwAAAAMxNjACAAAABDQwNzQEAAAAATAHAAAACTMvMTQvMjAyNggAAAAJNi8zMC8yMDIzCQAAAAEwNQMbKf+B3ggZ</t>
  </si>
  <si>
    <t>9rAp/4HeCDFDSVEuTkFTREFRR1M6Q1RTSC5JUV9DQVNIX1NUX0lOVkVTVC41MDAuLi5GLlVTRC5IAQAAAOjjBQACAAAABDE5MTQBCAAAAAUAAAABMQEAAAALLTE5MDY5NjAzODQDAAAAAzE2MAIAAAAEMTAwMgQAAAABMAcAAAAJMy8xNC8yMDI2CAAAAAoxMi8zMS8yMDI1CQAAAAEwNQMbKf+B3ggLz7Ap/4HeCC1DSVEuTkFTREFRR1M6Q1RTSC5JUV9UT1RBTF9ERUJULjUwMC4uLkYuVVNELkgBAAAA6OMFAAIAAAAEMTE3NAEIAAAABQAAAAExAQAAAAstMTkwNjk2MDM4NAMAAAADMTYwAgAAAAQ0MTczBAAAAAEwBwAAAAkzLzE0LzIwMjYIAAAACjEyLzMxLzIwMjUJAAAAATA1Axsp/4HeCAvPsCn/gd4ILkNJUS5OQVNEQVFHUzpDVFNILklRX1BSRUZfRVFVSVRZLjUwMC4uLkYuVVNELkgBAAAA6OMFAAMAAAAAADUDGyn/gd4IC8+wKf+B3gg6Q0lRLk5BU0RBUUdTOkNUU0guSVFfTUlOT1JJVFlfSU5URVJFU1RfVE9UQUwuNTAwLi4uRi5VU0QuSAEAAADo4wUAAwAAAAAANQMbKf+B3ggZ9rAp/4HeCCxDSVEuTkFTREFRR1M6Q1RTSC5JUV9UT1RBTF9SRVYuMTAwMC4uLi5VU0QuSAEAAADo4wUAAgAAAAUyMTEwOAEIAAAABQAAAAExAQAAAAstMTkwNjk2MDcyMAMAAAADMTYwAgAAAAIyOAQAAAABMAcAAAAJMy8xNC8yMDI2CAAAAAoxMi8zMS8yMDI1CQAAAAEwNQMbKf+B3ggZ9rAp/4HeCCxDSVEuTkFTREFRR1M6</t>
  </si>
  <si>
    <t>Q1RTSC5JUV9UT1RBTF9SRVYuMjAwMC4uLi5VU0QuSAEAAADo4wUAAgAAAAUyMTEwOAEIAAAABQAAAAExAQAAAAstMTkwNjk2MDM4MgMAAAADMTYwAgAAAAIyOAQAAAABMAcAAAAJMy8xNC8yMDI2CAAAAAoxMi8zMS8yMDI1CQAAAAEwNQMbKf+B3gj+p7Ap/4HeCClDSVEuTkFTREFRR1M6Q1RTSC5JUV9FQklUREEuMTAwMC4uLi5VU0QuSAEAAADo4wUAAgAAAAQzODM0AQgAAAAFAAAAATEBAAAACy0xOTA2OTYwNzIwAwAAAAMxNjACAAAABDQwNTEEAAAAATAHAAAACTMvMTQvMjAyNggAAAAKMTIvMzEvMjAyNQkAAAABMDUDGyn/gd4IC8+wKf+B3ggpQ0lRLk5BU0RBUUdTOkNUU0guSVFfRUJJVERBLjIwMDAuLi4uVVNELkgBAAAA6OMFAAIAAAAEMzgzNAEIAAAABQAAAAExAQAAAAstMTkwNjk2MDM4MgMAAAADMTYwAgAAAAQ0MDUxBAAAAAEwBwAAAAkzLzE0LzIwMjYIAAAACjEyLzMxLzIwMjUJAAAAATA1Axsp/4HeCAvPsCn/gd4IMUNJUS5OQVNEQVFHUzpDVFNILklRX0RJTFVUX0VQU19FWENMLjEwMDAuLi4uVVNELkgBAAAA6OMFAAIAAAAENC41NgEIAAAABQAAAAExAQAAAAstMTkwNjk2MDcyMAMAAAADMTYwAgAAAAMxNDIEAAAAATAHAAAACTMvMTQvMjAyNggAAAAKMTIvMzEvMjAyNQkAAAABMDUDGyn/gd4I/qewKf+B3ggxQ0lRLk5BU0RBUUdTOkNUU0guSVFfRElMVVRfRVBTX0VYQ0wuMjAwMC4uLi5V</t>
  </si>
  <si>
    <t>U0QuSAEAAADo4wUAAgAAAAQ0LjU2AQgAAAAFAAAAATEBAAAACy0xOTA2OTYwMzgyAwAAAAMxNjACAAAAAzE0MgQAAAABMAcAAAAJMy8xNC8yMDI2CAAAAAoxMi8zMS8yMDI1CQAAAAEwNQMbKf+B3gj+p7Ap/4HeCC1DSVEuTkFTREFRR1M6Q1RTSC5JUV9FUFNfMVlSX0FOTl9HUk9XVEguMTAwMC4BAAAA6OMFAAIAAAAGMS4xMDg2AQgAAAAFAAAAATEBAAAACy0xOTA2OTYwNzIwAwAAAAMxNjACAAAABDQyMDAEAAAAATAHAAAACTMvMTQvMjAyNggAAAAKMTIvMzEvMjAyNQkAAAABMDUDGyn/gd4IsYCwKf+B3ggwQ0lRLk5BU0RBUUdTOkNUU0guSVFfRUJJVERBXzFZUl9BTk5fR1JPV1RILjEwMDAuAQAAAOjjBQACAAAABjguOTUxNAEIAAAABQAAAAExAQAAAAstMTkwNjk2MDcyMAMAAAADMTYwAgAAAAQ0MTk2BAAAAAEwBwAAAAkzLzE0LzIwMjYIAAAACjEyLzMxLzIwMjUJAAAAATA1Axsp/4HeCLGAsCn/gd4IM0NJUS5OQVNEQVFHUzpDVFNILklRX1RPVEFMX1JFVl8xWVJfQU5OX0dST1dUSC4xMDAwLgEAAADo4wUAAgAAAAY2Ljk1MTcBCAAAAAUAAAABMQEAAAALLTE5MDY5NjA3MjADAAAAAzE2MAIAAAAENDE5NAQAAAABMAcAAAAJMy8xNC8yMDI2CAAAAAoxMi8zMS8yMDI1CQAAAAEwNQMbKf+B3gixgLAp/4HeCCRDSVEuTkFTREFRR1M6Q1RTSC5JUV9OSV9NQVJHSU4uMTAwMC4BAAAA6OMFAAIAAAAHMTAu</t>
  </si>
  <si>
    <t>NTY0NwEIAAAABQAAAAExAQAAAAstMTkwNjk2MDcyMAMAAAADMTYwAgAAAAQ0MDk0BAAAAAEwBwAAAAkzLzE0LzIwMjYIAAAACjEyLzMxLzIwMjUJAAAAATA1Axsp/4HeCLGAsCn/gd4II0NJUS5OQVNEQVFHUzpDVFNILklRX05JX01BUkdJTi45OTkuAQAAAOjjBQACAAAABzExLjM0OTgBCAAAAAUAAAABMQEAAAALLTE5MDY5NjA3MTYDAAAAAzE2MAIAAAAENDA5NAQAAAABMAcAAAAJMy8xNC8yMDI2CAAAAAoxMi8zMS8yMDI0CQAAAAEwNQMbKf+B3gi9WLAp/4HeCCNDSVEuTkFTREFRR1M6Q1RTSC5JUV9OSV9NQVJHSU4uOTk4LgEAAADo4wUAAgAAAAcxMC45ODUzAQgAAAAFAAAAATEBAAAACy0xOTA2OTYwNzI0AwAAAAMxNjACAAAABDQwOTQEAAAAATAHAAAACTMvMTQvMjAyNggAAAAKMTIvMzEvMjAyMwkAAAABMDUDGyn/gd4IvViwKf+B3ggoQ0lRLk5BU0RBUUdTOkNUU0guSVFfRUJJVERBX01BUkdJTi4xMDAwLgEAAADo4wUAAgAAAAcxOC4xNjM3AQgAAAAFAAAAATEBAAAACy0xOTA2OTYwNzIwAwAAAAMxNjACAAAABDQwNDcEAAAAATAHAAAACTMvMTQvMjAyNggAAAAKMTIvMzEvMjAyNQkAAAABMDUDGyn/gd4Ig2ywKf+B3ggnQ0lRLk5BU0RBUUdTOkNUU0guSVFfRUJJVERBX01BUkdJTi45OTkuAQAAAOjjBQACAAAABzE3LjgzMDMBCAAAAAUAAAABMQEAAAALLTE5MDY5NjA3MTYDAAAAAzE2MAIAAAAE</t>
  </si>
  <si>
    <t>NDA0NwQAAAABMAcAAAAJMy8xNC8yMDI2CAAAAAoxMi8zMS8yMDI0CQAAAAEwNQMbKf+B3giDbLAp/4HeCCdDSVEuTkFTREFRR1M6Q1RTSC5JUV9FQklUREFfTUFSR0lOLjk5OC4BAAAA6OMFAAIAAAAHMTcuNTY4MwEIAAAABQAAAAExAQAAAAstMTkwNjk2MDcyNAMAAAADMTYwAgAAAAQ0MDQ3BAAAAAEwBwAAAAkzLzE0LzIwMjYIAAAACjEyLzMxLzIwMjMJAAAAATA1Axsp/4HeCINssCn/gd4IJ0NJUS5OQVNEQVFHUzpDVFNILklRX0dST1NTX01BUkdJTi4xMDAwLgEAAADo4wUAAgAAAAYzMy43MTcBCAAAAAUAAAABMQEAAAALLTE5MDY5NjA3MjADAAAAAzE2MAIAAAAENDA3NAQAAAABMAcAAAAJMy8xNC8yMDI2CAAAAAoxMi8zMS8yMDI1CQAAAAEwNQMbKf+B3gitMbAp/4HeCCZDSVEuTkFTREFRR1M6Q1RTSC5JUV9HUk9TU19NQVJHSU4uOTk5LgEAAADo4wUAAgAAAAczNC4zNDMzAQgAAAAFAAAAATEBAAAACy0xOTA2OTYwNzE2AwAAAAMxNjACAAAABDQwNzQEAAAAATAHAAAACTMvMTQvMjAyNggAAAAKMTIvMzEvMjAyNAkAAAABMDUDGyn/gd4IrTGwKf+B3ggmQ0lRLk5BU0RBUUdTOkNUU0guSVFfR1JPU1NfTUFSR0lOLjk5OC4BAAAA6OMFAAIAAAAHMzQuNTYzMQEIAAAABQAAAAExAQAAAAstMTkwNjk2MDcyNAMAAAADMTYwAgAAAAQ0MDc0BAAAAAEwBwAAAAkzLzE0LzIwMjYIAAAACjEyLzMxLzIwMjMJ</t>
  </si>
  <si>
    <t>AAAAATA1Axsp/4HeCK0xsCn/gd4IIENJUS5OWVNFOlNOWC5JUV9QRVJJT0REQVRFLjIwMDAuAQAAAMVnBgAFAAAACjMwLzExLzIwMjUANQMbKf+B3gicCrAp/4HeCCBDSVEuTllTRTpTTlguSVFfUEVSSU9EREFURS4xMDAwLgEAAADFZwYABQAAAAozMC8xMS8yMDI1ADUDGyn/gd4InAqwKf+B3ggsQ0lRLk5ZU0U6U05YLklRX1RPVEFMX1JFVl81WVJfQU5OX0NBR1IuMjAwMC4BAAAAxWcGAAIAAAAHMjUuNjI2MwEIAAAABQAAAAExAQAAAAstMTkwODgzMjc4MgMAAAADMTYwAgAAAAQ0MjMzBAAAAAEwBwAAAAkzLzE0LzIwMjYIAAAACjExLzMwLzIwMjUJAAAAATA1Axsp/4HeCI/jryn/gd4IH0NJUS5OWVNFOlNOWC5JUV9OSV9NQVJHSU4uMjAwMC4BAAAAxWcGAAIAAAAFMS4zMjQBCAAAAAUAAAABMQEAAAALLTE5MDg4MzI3ODIDAAAAAzE2MAIAAAAENDA5NAQAAAABMAcAAAAJMy8xNC8yMDI2CAAAAAoxMS8zMC8yMDI1CQAAAAEwNQMbKf+B3giP468p/4HeCCNDSVEuTllTRTpTTlguSVFfRUJJVERBX01BUkdJTi4yMDAwLgEAAADFZwYAAgAAAAYyLjkzODQBCAAAAAUAAAABMQEAAAALLTE5MDg4MzI3ODIDAAAAAzE2MAIAAAAENDA0NwQAAAABMAcAAAAJMy8xNC8yMDI2CAAAAAoxMS8zMC8yMDI1CQAAAAEwNQMbKf+B3gh+la8p/4HeCCJDSVEuTllTRTpTTlguSVFfR1JPU1NfTUFSR0lOLjIwMDAuAQAAAMVn</t>
  </si>
  <si>
    <t>BgACAAAABjYuOTg5NAEIAAAABQAAAAExAQAAAAstMTkwODgzMjc4MgMAAAADMTYwAgAAAAQ0MDc0BAAAAAEwBwAAAAkzLzE0LzIwMjYIAAAACjExLzMwLzIwMjUJAAAAATA1Axsp/4HeCH6Vryn/gd4IK0NJUS5OWVNFOlNOWC5JUV9FQklUREFfMVlSX0FOTl9HUk9XVEguMjAwMC4BAAAAxWcGAAIAAAAHMTAuMTQ1NgEIAAAABQAAAAExAQAAAAstMTkwODgzMjc4MgMAAAADMTYwAgAAAAQ0MTk2BAAAAAEwBwAAAAkzLzE0LzIwMjYIAAAACjExLzMwLzIwMjUJAAAAATA1Axsp/4HeCIa8ryn/gd4IKUNJUS5OWVNFOlNOWC5JUV9FQklUREFfM1lSX0FOTl9DQUdSLjIwMDAuAQAAAMVnBgACAAAABjEuODg3MgEIAAAABQAAAAExAQAAAAstMTkwODgzMjc4MgMAAAADMTYwAgAAAAQ0MjIyBAAAAAEwBwAAAAkzLzE0LzIwMjYIAAAACjExLzMwLzIwMjUJAAAAATA1Axsp/4HeCIa8ryn/gd4IKUNJUS5OWVNFOlNOWC5JUV9FQklUREFfNVlSX0FOTl9DQUdSLjIwMDAuAQAAAMVnBgACAAAABzI1LjMzNjUBCAAAAAUAAAABMQEAAAALLTE5MDg4MzI3ODIDAAAAAzE2MAIAAAAENDIzNQQAAAABMAcAAAAJMy8xNC8yMDI2CAAAAAoxMS8zMC8yMDI1CQAAAAEwNQMbKf+B3giAbq8p/4HeCC5DSVEuTllTRTpTTlguSVFfVE9UQUxfUkVWXzFZUl9BTk5fR1JPV1RILjIwMDAuAQAAAMVnBgACAAAABjYuOTM4MwEIAAAABQAAAAEx</t>
  </si>
  <si>
    <t>AQAAAAstMTkwODgzMjc4MgMAAAADMTYwAgAAAAQ0MTk0BAAAAAEwBwAAAAkzLzE0LzIwMjYIAAAACjExLzMwLzIwMjUJAAAAATA1Axsp/4HeCIBuryn/gd4ILENJUS5OWVNFOlNOWC5JUV9UT1RBTF9SRVZfM1lSX0FOTl9DQUdSLjIwMDAuAQAAAMVnBgACAAAABjAuMDg3OAEIAAAABQAAAAExAQAAAAstMTkwODgzMjc4MgMAAAADMTYwAgAAAAQ0MjIwBAAAAAEwBwAAAAkzLzE0LzIwMjYIAAAACjExLzMwLzIwMjUJAAAAATA1Axsp/4HeCIBuryn/gd4IJUNJUS5OWVNFOlNOWC5JUV9ORVRfREVCVF9FQklUREEuMjAwMC4BAAAAxWcGAAIAAAAIMS4zMzk5MjkBCAAAAAUAAAABMQEAAAALLTE5MDg4MzI3ODIDAAAAAzE2MAIAAAAENDE5MwQAAAABMAcAAAAJMy8xNC8yMDI2CAAAAAoxMS8zMC8yMDI1CQAAAAEwNQMbKf+B3gh+la8p/4HeCCdDSVEuTllTRTpTTlguSVFfVE9UQUxfREVCVF9FQklUREEuMjAwMC4BAAAAxWcGAAIAAAAHMi41NzI5MwEIAAAABQAAAAExAQAAAAstMTkwODgzMjc4MgMAAAADMTYwAgAAAAQ0MTkyBAAAAAEwBwAAAAkzLzE0LzIwMjYIAAAACjExLzMwLzIwMjUJAAAAATA1Axsp/4HeCH6Vryn/gd4IKENJUS5OWVNFOlNOWC5JUV9FUFNfMVlSX0FOTl9HUk9XVEguMjAwMC4BAAAAxWcGAAIAAAAHMjUuMTAxOAEIAAAABQAAAAExAQAAAAstMTkwODgzMjc4MgMAAAADMTYwAgAAAAQ0MjAw</t>
  </si>
  <si>
    <t>BAAAAAEwBwAAAAkzLzE0LzIwMjYIAAAACjExLzMwLzIwMjUJAAAAATA1Axsp/4HeCH1Hryn/gd4IJkNJUS5OWVNFOlNOWC5JUV9FUFNfM1lSX0FOTl9DQUdSLjIwMDAuAQAAAMVnBgACAAAABzEzLjY3NDIBCAAAAAUAAAABMQEAAAALLTE5MDg4MzI3ODIDAAAAAzE2MAIAAAAENDIyNgQAAAABMAcAAAAJMy8xNC8yMDI2CAAAAAoxMS8zMC8yMDI1CQAAAAEwNQMbKf+B3gh9R68p/4HeCCZDSVEuTllTRTpTTlguSVFfRVBTXzVZUl9BTk5fQ0FHUi4yMDAwLgEAAADFZwYAAgAAAAY5LjE3NTQBCAAAAAUAAAABMQEAAAALLTE5MDg4MzI3ODIDAAAAAzE2MAIAAAAENDIzOQQAAAABMAcAAAAJMy8xNC8yMDI2CAAAAAoxMS8zMC8yMDI1CQAAAAEwNQMbKf+B3giAbq8p/4HeCCNDSVEuTllTRTpTTlguSVFfUkVUVVJOX0VRVUlUWS4yMDAwLgEAAADFZwYAAgAAAAcxMC4wNDA4AQgAAAAFAAAAATEBAAAACy0xOTA4ODMyNzgyAwAAAAMxNjACAAAABDQxMjgEAAAAATAHAAAACTMvMTQvMjAyNggAAAAKMTEvMzAvMjAyNQkAAAABMDUDGyn/gd4IgG6vKf+B3ggnQ0lRLk5ZU0U6U05YLklRX1RPVEFMX0RFQlRfQ0FQSVRBTC41MDAuAQAAAMVnBgACAAAABzM3LjU1NDEBCAAAAAUAAAABMQEAAAALLTE5MDg4MzI3ODUDAAAAAzE2MAIAAAAENDE4NgQAAAABMAcAAAAJMy8xNC8yMDI2CAAAAAoxMS8zMC8yMDI1CQAAAAEwNQMb</t>
  </si>
  <si>
    <t>Kf+B3giAbq8p/4HeCCZDSVEuTllTRTpTTlguSVFfVE9UQUxfREVCVF9FUVVJVFkuNTAwLgEAAADFZwYAAgAAAAc2MC4xMzg3AQgAAAAFAAAAATEBAAAACy0xOTA4ODMyNzg1AwAAAAMxNjACAAAABDQwMzQEAAAAATAHAAAACTMvMTQvMjAyNggAAAAKMTEvMzAvMjAyNQkAAAABMDUDGyn/gd4InyCvKf+B3ggmQ0lRLk5ZU0U6U05YLklRX0VCSVREQV9DQVBFWF9JTlQuMjAwMC4BAAAAxWcGAAIAAAAINi4wMjg2NTEBCAAAAAUAAAABMQEAAAALLTE5MDg4MzI3ODIDAAAAAzE2MAIAAAAENDE5MQQAAAABMAcAAAAJMy8xNC8yMDI2CAAAAAoxMS8zMC8yMDI1CQAAAAEwNQMbKf+B3gh9R68p/4HeCCBDSVEuTllTRTpTTlguSVFfRUJJVERBX0lOVC4yMDAwLgEAAADFZwYAAgAAAAg2LjQ5NjYzOAEIAAAABQAAAAExAQAAAAstMTkwODgzMjc4MgMAAAADMTYwAgAAAAQ0MTkwBAAAAAEwBwAAAAkzLzE0LzIwMjYIAAAACjExLzMwLzIwMjUJAAAAATA1Axsp/4HeCH1Hryn/gd4IJENJUS5OWVNFOlNOWC5JUV9EQVlTX1NBTEVTX09VVC4yMDAwLgEAAADFZwYAAgAAAAg2NC4zNzUwNQEIAAAABQAAAAExAQAAAAstMTkwODgzMjc4MgMAAAADMTYwAgAAAAQ0MDQyBAAAAAEwBwAAAAkzLzE0LzIwMjYIAAAACjExLzMwLzIwMjUJAAAAATA1Axsp/4HeCH1Hryn/gd4IIENJUS5OWVNFOlNOWC5JUV9RVUlDS19SQVRJTy41MDAu</t>
  </si>
  <si>
    <t>AQAAAMVnBgACAAAACDAuNzIxMTM2AQgAAAAFAAAAATEBAAAACy0xOTA4ODMyNzg1AwAAAAMxNjACAAAABDQxMjEEAAAAATAHAAAACTMvMTQvMjAyNggAAAAKMTEvMzAvMjAyNQkAAAABMDUDGyn/gd4IfUevKf+B3ggiQ0lRLk5ZU0U6U05YLklRX0NVUlJFTlRfUkFUSU8uNTAwLgEAAADFZwYAAgAAAAgxLjIwNjUwOAEIAAAABQAAAAExAQAAAAstMTkwODgzMjc4NQMAAAADMTYwAgAAAAQ0MDMwBAAAAAEwBwAAAAkzLzE0LzIwMjYIAAAACjExLzMwLzIwMjUJAAAAATA1Axsp/4HeCEv5rin/gd4ILUNJUS5OWVNFOlNOWC5JUV9SRVRVUk5fSU5WRVNURURfQ0FQSVRBTC4yMDAwLgEAAADFZwYAAgAAAAY1LjI0NjYANQMbKf+B3ghL+a4p/4HeCCNDSVEuTllTRTpTTlguSVFfUkVUVVJOX0FTU0VUUy4yMDAwLgEAAADFZwYAAgAAAAYyLjc1NTcBCAAAAAUAAAABMQEAAAALLTE5MDg4MzI3ODIDAAAAAzE2MAIAAAAENDE3OAQAAAABMAcAAAAJMy8xNC8yMDI2CAAAAAoxMS8zMC8yMDI1CQAAAAEwNQMbKf+B3gifIK8p/4HeCCdDSVEuTllTRTpTTlguSVFfRklYRURfQVNTRVRfVFVSTlMuMjAwMC4BAAAAxWcGAAIAAAAJNjYuOTc3MjA3AQgAAAAFAAAAATEBAAAACy0xOTA4ODMyNzgyAwAAAAMxNjACAAAABDQwNjYEAAAAATAHAAAACTMvMTQvMjAyNggAAAAKMTEvMzAvMjAyNQkAAAABMDUDGyn/gd4InyCvKf+B3ggh</t>
  </si>
  <si>
    <t>Q0lRLk5ZU0U6U05YLklRX0FTU0VUX1RVUk5TLjIwMDAuAQAAAMVnBgACAAAACDEuOTM3NDcyAQgAAAAFAAAAATEBAAAACy0xOTA4ODMyNzgyAwAAAAMxNjACAAAABDQxNzcEAAAAATAHAAAACTMvMTQvMjAyNggAAAAKMTEvMzAvMjAyNQkAAAABMDUDGyn/gd4InyCvKf+B3gglQ0lRLk5ZU0U6U05YLklRX0NBU0hfQ09OVkVSU0lPTi4yMDAwLgEAAADFZwYAAgAAAAgxOS42NTU5OAEIAAAABQAAAAExAQAAAAstMTkwODgzMjc4MgMAAAADMTYwAgAAAAQ0MTg0BAAAAAEwBwAAAAkzLzE0LzIwMjYIAAAACjExLzMwLzIwMjUJAAAAATA1Axsp/4HeCDrSrin/gd4IJkNJUS5OWVNFOlNOWC5JUV9EQVlTX1BBWUFCTEVfT1VULjIwMDAuAQAAAMVnBgACAAAACjEwMC41NjY2MjUBCAAAAAUAAAABMQEAAAALLTE5MDg4MzI3ODIDAAAAAzE2MAIAAAAENDE4MwQAAAABMAcAAAAJMy8xNC8yMDI2CAAAAAoxMS8zMC8yMDI1CQAAAAEwNQMbKf+B3ghL+a4p/4HeCChDSVEuTllTRTpTTlguSVFfREFZU19JTlZFTlRPUllfT1VULjIwMDAuAQAAAMVnBgACAAAACTU1Ljg0NzU1NQEIAAAABQAAAAExAQAAAAstMTkwODgzMjc4MgMAAAADMTYwAgAAAAQ0MDM1BAAAAAEwBwAAAAkzLzE0LzIwMjYIAAAACjExLzMwLzIwMjUJAAAAATA1Axsp/4HeCEv5rin/gd4IJUNJUS5OWVNFOlNOWC5JUV9JTlZFTlRPUllfVFVSTlMuMjAwMC4B</t>
  </si>
  <si>
    <t>AAAAxWcGAAIAAAAINi41MzU2NDUBCAAAAAUAAAABMQEAAAALLTE5MDg4MzI3ODIDAAAAAzE2MAIAAAAENDA4MgQAAAABMAcAAAAJMy8xNC8yMDI2CAAAAAoxMS8zMC8yMDI1CQAAAAEwNQMbKf+B3ghL+a4p/4HeCB5DSVEuTllTRTpTTlguSVFfQVJfVFVSTlMuMjAwMC4BAAAAxWcGAAIAAAAINS42Njk4NzEBCAAAAAUAAAABMQEAAAALLTE5MDg4MzI3ODIDAAAAAzE2MAIAAAAENDAwMQQAAAABMAcAAAAJMy8xNC8yMDI2CAAAAAoxMS8zMC8yMDI1CQAAAAEwNQMbKf+B3ghL+a4p/4HeCCBDSVEuTllTRTpIUEUuSVFfUEVSSU9EREFURS4xMDAwLgEAAAAOqVQQBQAAAAozMS8xMC8yMDI1ADUDGyn/gd4IOtKuKf+B3gggQ0lRLk5ZU0U6SFBFLklRX1BFUklPRERBVEUuMjAwMC4BAAAADqlUEAUAAAAKMzEvMDEvMjAyNgA1Axsp/4HeCD2rrin/gd4IIkNJUS5OWVNFOkhQRS5JUV9HUk9TU19NQVJHSU4uMjAwMC4BAAAADqlUEAIAAAAHMzIuMDcwNgEIAAAABQAAAAExAQAAAAstMTkwMjM2NzU5NQMAAAADMTYwAgAAAAQ0MDc0BAAAAAEwBwAAAAkzLzE0LzIwMjYIAAAACTEvMzEvMjAyNgkAAAABMDUDGyn/gd4Ip4OuKf+B3gguQ0lRLk5ZU0U6SFBFLklRX1RPVEFMX1JFVl8xWVJfQU5OX0dST1dUSC4yMDAwLgEAAAAOqVQQAgAAAAcxNC40NjU1AQgAAAAFAAAAATEBAAAACy0xOTAyMzY3NTk1AwAAAAMxNjACAAAA</t>
  </si>
  <si>
    <t>BDQxOTQEAAAAATAHAAAACTMvMTQvMjAyNggAAAAJMS8zMS8yMDI2CQAAAAEwNQMbKf+B3gieSK4p/4HeCCxDSVEuTllTRTpIUEUuSVFfVE9UQUxfUkVWXzNZUl9BTk5fQ0FHUi4yMDAwLgEAAAAOqVQQAgAAAAY2Ljc5NjUBCAAAAAUAAAABMQEAAAALLTE5MDIzNjc1OTUDAAAAAzE2MAIAAAAENDIyMAQAAAABMAcAAAAJMy8xNC8yMDI2CAAAAAkxLzMxLzIwMjYJAAAAATA1Axsp/4HeCJ5Irin/gd4ILENJUS5OWVNFOkhQRS5JUV9UT1RBTF9SRVZfNVlSX0FOTl9DQUdSLjIwMDAuAQAAAA6pVBACAAAABTUuODc2AQgAAAAFAAAAATEBAAAACy0xOTAyMzY3NTk1AwAAAAMxNjACAAAABDQyMzMEAAAAATAHAAAACTMvMTQvMjAyNggAAAAJMS8zMS8yMDI2CQAAAAEwNQMbKf+B3ging64p/4HeCB9DSVEuTllTRTpIUEUuSVFfTklfTUFSR0lOLjIwMDAuAQAAAA6pVBACAAAABy0wLjMzMDEBCAAAAAUAAAABMQEAAAALLTE5MDIzNjc1OTUDAAAAAzE2MAIAAAAENDA5NAQAAAABMAcAAAAJMy8xNC8yMDI2CAAAAAkxLzMxLzIwMjYJAAAAATA1Axsp/4HeCJMhrin/gd4II0NJUS5OWVNFOkhQRS5JUV9FQklUREFfTUFSR0lOLjIwMDAuAQAAAA6pVBACAAAABjEzLjY4MQEIAAAABQAAAAExAQAAAAstMTkwMjM2NzU5NQMAAAADMTYwAgAAAAQ0MDQ3BAAAAAEwBwAAAAkzLzE0LzIwMjYIAAAACTEvMzEvMjAyNgkAAAABMDUD</t>
  </si>
  <si>
    <t>Gyn/gd4IkyGuKf+B3ggmQ0lRLk5ZU0U6SFBFLklRX0VQU18zWVJfQU5OX0NBR1IuMjAwMC4BAAAADqlUEAMAAAACTk0BCAAAAAUAAAABMQEAAAALLTE5MDIzNjc1OTUDAAAAAzE2MAIAAAAENDIyNgQAAAABMAcAAAAJMy8xNC8yMDI2CAAAAAkxLzMxLzIwMjYJAAAAATA1Axsp/4HeCJ5Irin/gd4IJkNJUS5OWVNFOkhQRS5JUV9FUFNfNVlSX0FOTl9DQUdSLjIwMDAuAQAAAA6pVBADAAAAAk5NAQgAAAAFAAAAATEBAAAACy0xOTAyMzY3NTk1AwAAAAMxNjACAAAABDQyMzkEAAAAATAHAAAACTMvMTQvMjAyNggAAAAJMS8zMS8yMDI2CQAAAAEwNQMbKf+B3gieSK4p/4HeCCtDSVEuTllTRTpIUEUuSVFfRUJJVERBXzFZUl9BTk5fR1JPV1RILjIwMDAuAQAAAA6pVBACAAAABy0yLjY2NzIBCAAAAAUAAAABMQEAAAALLTE5MDIzNjc1OTUDAAAAAzE2MAIAAAAENDE5NgQAAAABMAcAAAAJMy8xNC8yMDI2CAAAAAkxLzMxLzIwMjYJAAAAATA1Axsp/4HeCJ5Irin/gd4IKUNJUS5OWVNFOkhQRS5JUV9FQklUREFfM1lSX0FOTl9DQUdSLjIwMDAuAQAAAA6pVBACAAAABy0wLjMwNDkBCAAAAAUAAAABMQEAAAALLTE5MDIzNjc1OTUDAAAAAzE2MAIAAAAENDIyMgQAAAABMAcAAAAJMy8xNC8yMDI2CAAAAAkxLzMxLzIwMjYJAAAAATA1Axsp/4HeCAP6rSn/gd4IKUNJUS5OWVNFOkhQRS5JUV9FQklUREFfNVlSX0FOTl9D</t>
  </si>
  <si>
    <t>QUdSLjIwMDAuAQAAAA6pVBACAAAABjIuNjI4OAEIAAAABQAAAAExAQAAAAstMTkwMjM2NzU5NQMAAAADMTYwAgAAAAQ0MjM1BAAAAAEwBwAAAAkzLzE0LzIwMjYIAAAACTEvMzEvMjAyNgkAAAABMDUDGyn/gd4IA/qtKf+B3ggmQ0lRLk5ZU0U6SFBFLklRX0VCSVREQV9DQVBFWF9JTlQuMjAwMC4BAAAADqlUEAIAAAAINy41NDQ3MzYBCAAAAAUAAAABMQEAAAALLTE5MDIzNjc1OTUDAAAAAzE2MAIAAAAENDE5MQQAAAABMAcAAAAJMy8xNC8yMDI2CAAAAAkxLzMxLzIwMjYJAAAAATA1Axsp/4HeCJMhrin/gd4IIENJUS5OWVNFOkhQRS5JUV9FQklUREFfSU5ULjIwMDAuAQAAAA6pVBACAAAACDEzLjY4NDIxAQgAAAAFAAAAATEBAAAACy0xOTAyMzY3NTk1AwAAAAMxNjACAAAABDQxOTAEAAAAATAHAAAACTMvMTQvMjAyNggAAAAJMS8zMS8yMDI2CQAAAAEwICobKf+B3giTIa4p/4HeCCVDSVEuTllTRTpIUEUuSVFfTkVUX0RFQlRfRUJJVERBLjIwMDAuAQAAAA6pVBACAAAACDMuMjM0NjE1AQgAAAAFAAAAATEBAAAACy0xOTAyMzY3NTk1AwAAAAMxNjACAAAABDQxOTMEAAAAATAHAAAACTMvMTQvMjAyNggAAAAJMS8zMS8yMDI2CQAAAAEwICobKf+B3giTIa4p/4HeCCdDSVEuTllTRTpIUEUuSVFfVE9UQUxfREVCVF9FQklUREEuMjAwMC4BAAAADqlUEAIAAAAINC4xNjU1NzYBCAAAAAUAAAABMQEAAAALLTE5</t>
  </si>
  <si>
    <t>MDIzNjc1OTUDAAAAAzE2MAIAAAAENDE5MgQAAAABMAcAAAAJMy8xNC8yMDI2CAAAAAkxLzMxLzIwMjYJAAAAATAgKhsp/4HeCBa/rSn/gd4IKENJUS5OWVNFOkhQRS5JUV9FUFNfMVlSX0FOTl9HUk9XVEguMjAwMC4BAAAADqlUEAMAAAACTk0BCAAAAAUAAAABMQEAAAALLTE5MDIzNjc1OTUDAAAAAzE2MAIAAAAENDIwMAQAAAABMAcAAAAJMy8xNC8yMDI2CAAAAAkxLzMxLzIwMjYJAAAAATAgKhsp/4HeCBa/rSn/gd4ILUNJUS5OWVNFOkhQRS5JUV9SRVRVUk5fSU5WRVNURURfQ0FQSVRBTC4yMDAwLgEAAAAOqVQQAgAAAActMi4wODkyACAqGyn/gd4IA/qtKf+B3ggjQ0lRLk5ZU0U6SFBFLklRX1JFVFVSTl9BU1NFVFMuMjAwMC4BAAAADqlUEAIAAAAGMS42MDg1AQgAAAAFAAAAATEBAAAACy0xOTAyMzY3NTk1AwAAAAMxNjACAAAABDQxNzgEAAAAATAHAAAACTMvMTQvMjAyNggAAAAJMS8zMS8yMDI2CQAAAAEwICobKf+B3ggD+q0p/4HeCCNDSVEuTllTRTpIUEUuSVFfUkVUVVJOX0VRVUlUWS4yMDAwLgEAAAAOqVQQAgAAAActMC40NzA5AQgAAAAFAAAAATEBAAAACy0xOTAyMzY3NTk1AwAAAAMxNjACAAAABDQxMjgEAAAAATAHAAAACTMvMTQvMjAyNggAAAAJMS8zMS8yMDI2CQAAAAEwICobKf+B3ggD+q0p/4HeCCdDSVEuTllTRTpIUEUuSVFfVE9UQUxfREVCVF9DQVBJVEFMLjUwMC4BAAAADqlUEAIA</t>
  </si>
  <si>
    <t>AAAHNDYuNTg3OAEIAAAABQAAAAExAQAAAAstMTkwMjM3MzQ4NgMAAAADMTYwAgAAAAQ0MTg2BAAAAAEwBwAAAAkzLzE0LzIwMjYIAAAACTEvMzEvMjAyNgkAAAABMCAqGyn/gd4IFr+tKf+B3ggmQ0lRLk5ZU0U6SFBFLklRX1RPVEFMX0RFQlRfRVFVSVRZLjUwMC4BAAAADqlUEAIAAAAHODcuMjIzMQEIAAAABQAAAAExAQAAAAstMTkwMjM3MzQ4NgMAAAADMTYwAgAAAAQ0MDM0BAAAAAEwBwAAAAkzLzE0LzIwMjYIAAAACTEvMzEvMjAyNgkAAAABMCAqGyn/gd4IFr+tKf+B3ggmQ0lRLk5ZU0U6SFBFLklRX0RBWVNfUEFZQUJMRV9PVVQuMjAwMC4BAAAADqlUEAIAAAAJMTU3Ljc4MzY2AQgAAAAFAAAAATEBAAAACy0xOTAyMzY3NTk1AwAAAAMxNjACAAAABDQxODMEAAAAATAHAAAACTMvMTQvMjAyNggAAAAJMS8zMS8yMDI2CQAAAAEwICobKf+B3ggWv60p/4HeCChDSVEuTllTRTpIUEUuSVFfREFZU19JTlZFTlRPUllfT1VULjIwMDAuAQAAAA6pVBACAAAACjExOC44NDgwMTUBCAAAAAUAAAABMQEAAAALLTE5MDIzNjc1OTUDAAAAAzE2MAIAAAAENDAzNQQAAAABMAcAAAAJMy8xNC8yMDI2CAAAAAkxLzMxLzIwMjYJAAAAATAgKhsp/4HeCBa/rSn/gd4IJENJUS5OWVNFOkhQRS5JUV9EQVlTX1NBTEVTX09VVC4yMDAwLgEAAAAOqVQQAgAAAAk0My43NDE5NjUBCAAAAAUAAAABMQEAAAALLTE5MDIzNjc1OTUD</t>
  </si>
  <si>
    <t>AAAAAzE2MAIAAAAENDA0MgQAAAABMAcAAAAJMy8xNC8yMDI2CAAAAAkxLzMxLzIwMjYJAAAAATAgKhsp/4HeCBa/rSn/gd4IIENJUS5OWVNFOkhQRS5JUV9RVUlDS19SQVRJTy41MDAuAQAAAA6pVBACAAAACDAuNTU4NjQ4AQgAAAAFAAAAATEBAAAACy0xOTAyMzczNDg2AwAAAAMxNjACAAAABDQxMjEEAAAAATAHAAAACTMvMTQvMjAyNggAAAAJMS8zMS8yMDI2CQAAAAEwICobKf+B3ggWv60p/4HeCCJDSVEuTllTRTpIUEUuSVFfQ1VSUkVOVF9SQVRJTy41MDAuAQAAAA6pVBACAAAACDEuMDM0NzMzAQgAAAAFAAAAATEBAAAACy0xOTAyMzczNDg2AwAAAAMxNjACAAAABDQwMzAEAAAAATAHAAAACTMvMTQvMjAyNggAAAAJMS8zMS8yMDI2CQAAAAEwICobKf+B3ggWv60p/4HeCCVDSVEuTllTRTpIUEUuSVFfSU5WRU5UT1JZX1RVUk5TLjIwMDAuAQAAAA6pVBACAAAACDMuMDcxMTQyAQgAAAAFAAAAATEBAAAACy0xOTAyMzY3NTk1AwAAAAMxNjACAAAABDQwODIEAAAAATAHAAAACTMvMTQvMjAyNggAAAAJMS8zMS8yMDI2CQAAAAEwICobKf+B3ggWv60p/4HeCB5DSVEuTllTRTpIUEUuSVFfQVJfVFVSTlMuMjAwMC4BAAAADqlUEAIAAAAHOC4zNDQzNQEIAAAABQAAAAExAQAAAAstMTkwMjM2NzU5NQMAAAADMTYwAgAAAAQ0MDAxBAAAAAEwBwAAAAkzLzE0LzIwMjYIAAAACTEvMzEvMjAyNgkAAAABMCAqGyn/</t>
  </si>
  <si>
    <t>gd4IFr+tKf+B3ggnQ0lRLk5ZU0U6SFBFLklRX0ZJWEVEX0FTU0VUX1RVUk5TLjIwMDAuAQAAAA6pVBACAAAACDYuMzEzMzQ0AQgAAAAFAAAAATEBAAAACy0xOTAyMzY3NTk1AwAAAAMxNjACAAAABDQwNjYEAAAAATAHAAAACTMvMTQvMjAyNggAAAAJMS8zMS8yMDI2CQAAAAEwICobKf+B3ggWv60p/4HeCCFDSVEuTllTRTpIUEUuSVFfQVNTRVRfVFVSTlMuMjAwMC4BAAAADqlUEAIAAAAIMC40ODkzMTEBCAAAAAUAAAABMQEAAAALLTE5MDIzNjc1OTUDAAAAAzE2MAIAAAAENDE3NwQAAAABMAcAAAAJMy8xNC8yMDI2CAAAAAkxLzMxLzIwMjYJAAAAATAgKhsp/4HeCAVxrSn/gd4IJUNJUS5OWVNFOkhQRS5JUV9DQVNIX0NPTlZFUlNJT04uMjAwMC4BAAAADqlUEAIAAAAHNC44MDYzMgEIAAAABQAAAAExAQAAAAstMTkwMjM2NzU5NQMAAAADMTYwAgAAAAQ0MTg0BAAAAAEwBwAAAAkzLzE0LzIwMjYIAAAACTEvMzEvMjAyNgkAAAABMCAqGyn/gd4IH5itKf+B3gggQ0lRLk5ZU0U6QUNOLklRX1BFUklPRERBVEUuMjAwMC4BAAAAntUOAAUAAAAKMzAvMTEvMjAyNQAgKhsp/4HeCB+YrSn/gd4IIENJUS5OWVNFOkFDTi5JUV9QRVJJT0REQVRFLjEwMDAuAQAAAJ7VDgAFAAAACjMxLzA4LzIwMjUAICobKf+B3ggfmK0p/4HeCB9DSVEuTllTRTpBQ04uSVFfTklfTUFSR0lOLjIwMDAuAQAAAJ7VDgACAAAABzEwLjc2</t>
  </si>
  <si>
    <t>MTQBCAAAAAUAAAABMQEAAAALLTE5MTE3MDA0NjgDAAAAAzE2MAIAAAAENDA5NAQAAAABMAcAAAAJMy8xNC8yMDI2CAAAAAoxMS8zMC8yMDI1CQAAAAEwICobKf+B3gh6Dq0p/4HeCCNDSVEuTllTRTpBQ04uSVFfRUJJVERBX01BUkdJTi4yMDAwLgEAAACe1Q4AAgAAAAcxNy42MTQ1AQgAAAAFAAAAATEBAAAACy0xOTExNzAwNDY4AwAAAAMxNjACAAAABDQwNDcEAAAAATAHAAAACTMvMTQvMjAyNggAAAAKMTEvMzAvMjAyNQkAAAABMCAqGyn/gd4Ieg6tKf+B3ggiQ0lRLk5ZU0U6QUNOLklRX0dST1NTX01BUkdJTi4yMDAwLgEAAACe1Q4AAgAAAAczMS45NjgyAQgAAAAFAAAAATEBAAAACy0xOTExNzAwNDY4AwAAAAMxNjACAAAABDQwNzQEAAAAATAHAAAACTMvMTQvMjAyNggAAAAKMTEvMzAvMjAyNQkAAAABMCAqGyn/gd4Ieg6tKf+B3ggpQ0lRLk5ZU0U6QUNOLklRX0VCSVREQV8zWVJfQU5OX0NBR1IuMjAwMC4BAAAAntUOAAIAAAAGMy4zMzQ4AQgAAAAFAAAAATEBAAAACy0xOTExNzAwNDY4AwAAAAMxNjACAAAABDQyMjIEAAAAATAHAAAACTMvMTQvMjAyNggAAAAKMTEvMzAvMjAyNQkAAAABMCAqGyn/gd4IrKusKf+B3ggpQ0lRLk5ZU0U6QUNOLklRX0VCSVREQV81WVJfQU5OX0NBR1IuMjAwMC4BAAAAntUOAAIAAAAHMTAuOTQ2OQEIAAAABQAAAAExAQAAAAstMTkxMTcwMDQ2OAMAAAADMTYwAgAAAAQ0</t>
  </si>
  <si>
    <t>MjM1BAAAAAEwBwAAAAkzLzE0LzIwMjYIAAAACjExLzMwLzIwMjUJAAAAATAgKhsp/4HeCNvmrCn/gd4ILkNJUS5OWVNFOkFDTi5JUV9UT1RBTF9SRVZfMVlSX0FOTl9HUk9XVEguMjAwMC4BAAAAntUOAAIAAAAGNi41NzU4AQgAAAAFAAAAATEBAAAACy0xOTExNzAwNDY4AwAAAAMxNjACAAAABDQxOTQEAAAAATAHAAAACTMvMTQvMjAyNggAAAAKMTEvMzAvMjAyNQkAAAABMCAqGyn/gd4I2+asKf+B3ggsQ0lRLk5ZU0U6QUNOLklRX1RPVEFMX1JFVl8zWVJfQU5OX0NBR1IuMjAwMC4BAAAAntUOAAIAAAAGNC4yNzU5AQgAAAAFAAAAATEBAAAACy0xOTExNzAwNDY4AwAAAAMxNjACAAAABDQyMjAEAAAAATAHAAAACTMvMTQvMjAyNggAAAAKMTEvMzAvMjAyNQkAAAABMCAqGyn/gd4I2+asKf+B3ggsQ0lRLk5ZU0U6QUNOLklRX1RPVEFMX1JFVl81WVJfQU5OX0NBR1IuMjAwMC4BAAAAntUOAAIAAAAGOS41OTYxAQgAAAAFAAAAATEBAAAACy0xOTExNzAwNDY4AwAAAAMxNjACAAAABDQyMzMEAAAAATAHAAAACTMvMTQvMjAyNggAAAAKMTEvMzAvMjAyNQkAAAABMCAqGyn/gd4IsoSsKf+B3ggnQ0lRLk5ZU0U6QUNOLklRX1RPVEFMX0RFQlRfRUJJVERBLjIwMDAuAQAAAJ7VDgACAAAACDAuNjExMjY5AQgAAAAFAAAAATEBAAAACy0xOTExNzAwNDY4AwAAAAMxNjACAAAABDQxOTIEAAAAATAHAAAACTMvMTQvMjAy</t>
  </si>
  <si>
    <t>NggAAAAKMTEvMzAvMjAyNQkAAAABMCAqGyn/gd4IsoSsKf+B3ggoQ0lRLk5ZU0U6QUNOLklRX0VQU18xWVJfQU5OX0dST1dUSC4yMDAwLgEAAACe1Q4AAgAAAAYxLjMyOTgBCAAAAAUAAAABMQEAAAALLTE5MTE3MDA0NjgDAAAAAzE2MAIAAAAENDIwMAQAAAABMAcAAAAJMy8xNC8yMDI2CAAAAAoxMS8zMC8yMDI1CQAAAAEwICobKf+B3giyhKwp/4HeCCZDSVEuTllTRTpBQ04uSVFfRVBTXzNZUl9BTk5fQ0FHUi4yMDAwLgEAAACe1Q4AAgAAAAYzLjE3MDMBCAAAAAUAAAABMQEAAAALLTE5MTE3MDA0NjgDAAAAAzE2MAIAAAAENDIyNgQAAAABMAcAAAAJMy8xNC8yMDI2CAAAAAoxMS8zMC8yMDI1CQAAAAEwICobKf+B3gisq6wp/4HeCCZDSVEuTllTRTpBQ04uSVFfRVBTXzVZUl9BTk5fQ0FHUi4yMDAwLgEAAACe1Q4AAgAAAAY4LjI3MTIBCAAAAAUAAAABMQEAAAALLTE5MTE3MDA0NjgDAAAAAzE2MAIAAAAENDIzOQQAAAABMAcAAAAJMy8xNC8yMDI2CAAAAAoxMS8zMC8yMDI1CQAAAAEwICobKf+B3gisq6wp/4HeCCtDSVEuTllTRTpBQ04uSVFfRUJJVERBXzFZUl9BTk5fR1JPV1RILjIwMDAuAQAAAJ7VDgACAAAABjkuODYxNwEIAAAABQAAAAExAQAAAAstMTkxMTcwMDQ2OAMAAAADMTYwAgAAAAQ0MTk2BAAAAAEwBwAAAAkzLzE0LzIwMjYIAAAACjExLzMwLzIwMjUJAAAAATAgKhsp/4HeCLKErCn/gd4I</t>
  </si>
  <si>
    <t>J0NJUS5OWVNFOkFDTi5JUV9UT1RBTF9ERUJUX0NBUElUQUwuNTAwLgEAAACe1Q4AAgAAAAcyMC40NDE0AQgAAAAFAAAAATEBAAAACy0xOTExNzAwNjA1AwAAAAMxNjACAAAABDQxODYEAAAAATAHAAAACTMvMTQvMjAyNggAAAAKMTEvMzAvMjAyNQkAAAABMCAqGyn/gd4IsoSsKf+B3ggmQ0lRLk5ZU0U6QUNOLklRX1RPVEFMX0RFQlRfRVFVSVRZLjUwMC4BAAAAntUOAAIAAAAHMjUuNjkzNgEIAAAABQAAAAExAQAAAAstMTkxMTcwMDYwNQMAAAADMTYwAgAAAAQ0MDM0BAAAAAEwBwAAAAkzLzE0LzIwMjYIAAAACjExLzMwLzIwMjUJAAAAATAgKhsp/4HeCLKErCn/gd4IJkNJUS5OWVNFOkFDTi5JUV9FQklUREFfQ0FQRVhfSU5ULjIwMDAuAQAAAJ7VDgACAAAACTQ4LjU1ODY3NAEIAAAABQAAAAExAQAAAAstMTkxMTcwMDQ2OAMAAAADMTYwAgAAAAQ0MTkxBAAAAAEwBwAAAAkzLzE0LzIwMjYIAAAACjExLzMwLzIwMjUJAAAAATAgKhsp/4HeCLKErCn/gd4IIENJUS5OWVNFOkFDTi5JUV9FQklUREFfSU5ULjIwMDAuAQAAAJ7VDgACAAAACTUwLjg0OTE4NwEIAAAABQAAAAExAQAAAAstMTkxMTcwMDQ2OAMAAAADMTYwAgAAAAQ0MTkwBAAAAAEwBwAAAAkzLzE0LzIwMjYIAAAACjExLzMwLzIwMjUJAAAAATAgKhsp/4HeCLKErCn/gd4IJUNJUS5OWVNFOkFDTi5JUV9ORVRfREVCVF9FQklUREEuMjAwMC4BAAAA</t>
  </si>
  <si>
    <t>ntUOAAMAAAACTk0BCAAAAAUAAAABMQEAAAALLTE5MTE3MDA0NjgDAAAAAzE2MAIAAAAENDE5MwQAAAABMAcAAAAJMy8xNC8yMDI2CAAAAAoxMS8zMC8yMDI1CQAAAAEwICobKf+B3giuXawp/4HeCCBDSVEuTllTRTpBQ04uSVFfUVVJQ0tfUkFUSU8uNTAwLgEAAACe1Q4AAgAAAAgxLjI4OTc3NAEIAAAABQAAAAExAQAAAAstMTkxMTcwMDYwNQMAAAADMTYwAgAAAAQ0MTIxBAAAAAEwBwAAAAkzLzE0LzIwMjYIAAAACjExLzMwLzIwMjUJAAAAATAgKhsp/4HeCK5drCn/gd4IIkNJUS5OWVNFOkFDTi5JUV9DVVJSRU5UX1JBVElPLjUwMC4BAAAAntUOAAIAAAAIMS40MTA2MzMBCAAAAAUAAAABMQEAAAALLTE5MTE3MDA2MDUDAAAAAzE2MAIAAAAENDAzMAQAAAABMAcAAAAJMy8xNC8yMDI2CAAAAAoxMS8zMC8yMDI1CQAAAAEwICobKf+B3giuXawp/4HeCC1DSVEuTllTRTpBQ04uSVFfUkVUVVJOX0lOVkVTVEVEX0NBUElUQUwuMjAwMC4BAAAAntUOAAIAAAAGOS43NzQzACAqGyn/gd4Irl2sKf+B3ggjQ0lRLk5ZU0U6QUNOLklRX1JFVFVSTl9BU1NFVFMuMjAwMC4BAAAAntUOAAIAAAAHMTEuMTI1NAEIAAAABQAAAAExAQAAAAstMTkxMTcwMDQ2OAMAAAADMTYwAgAAAAQ0MTc4BAAAAAEwBwAAAAkzLzE0LzIwMjYIAAAACjExLzMwLzIwMjUJAAAAATAgKhsp/4HeCK5drCn/gd4II0NJUS5OWVNFOkFDTi5JUV9S</t>
  </si>
  <si>
    <t>RVRVUk5fRVFVSVRZLjIwMDAuAQAAAJ7VDgACAAAABzI1LjAxNjEBCAAAAAUAAAABMQEAAAALLTE5MTE3MDA0NjgDAAAAAzE2MAIAAAAENDEyOAQAAAABMAcAAAAJMy8xNC8yMDI2CAAAAAoxMS8zMC8yMDI1CQAAAAEwICobKf+B3giXNqwp/4HeCCFDSVEuTllTRTpBQ04uSVFfQVNTRVRfVFVSTlMuMjAwMC4BAAAAntUOAAIAAAAIMS4xMzU1NDYBCAAAAAUAAAABMQEAAAALLTE5MTE3MDA0NjgDAAAAAzE2MAIAAAAENDE3NwQAAAABMAcAAAAJMy8xNC8yMDI2CAAAAAoxMS8zMC8yMDI1CQAAAAEwICobKf+B3giXNqwp/4HeCCVDSVEuTllTRTpBQ04uSVFfQ0FTSF9DT05WRVJTSU9OLjIwMDAuAQAAAJ7VDgADAAAAAAAgKhsp/4HeCJc2rCn/gd4IJkNJUS5OWVNFOkFDTi5JUV9EQVlTX1BBWUFCTEVfT1VULjIwMDAuAQAAAJ7VDgACAAAACTIxLjA1MzU2NQEIAAAABQAAAAExAQAAAAstMTkxMTcwMDQ2OAMAAAADMTYwAgAAAAQ0MTgzBAAAAAEwBwAAAAkzLzE0LzIwMjYIAAAACjExLzMwLzIwMjUJAAAAATAgKhsp/4HeCJc2rCn/gd4IKENJUS5OWVNFOkFDTi5JUV9EQVlTX0lOVkVOVE9SWV9PVVQuMjAwMC4BAAAAntUOAAMAAAAAACAqGyn/gd4Irl2sKf+B3ggkQ0lRLk5ZU0U6QUNOLklRX0RBWVNfU0FMRVNfT1VULjIwMDAuAQAAAJ7VDgACAAAACTc4LjkxMTkwNQEIAAAABQAAAAExAQAAAAstMTkxMTcwMDQ2</t>
  </si>
  <si>
    <t>OAMAAAADMTYwAgAAAAQ0MDQyBAAAAAEwBwAAAAkzLzE0LzIwMjYIAAAACjExLzMwLzIwMjUJAAAAATAgKhsp/4HeCPnnqyn/gd4IJUNJUS5OWVNFOkFDTi5JUV9JTlZFTlRPUllfVFVSTlMuMjAwMC4BAAAAntUOAAMAAAAAACAqGyn/gd4Ilg+sKf+B3ggeQ0lRLk5ZU0U6QUNOLklRX0FSX1RVUk5TLjIwMDAuAQAAAJ7VDgACAAAACDQuNjI1NDA1AQgAAAAFAAAAATEBAAAACy0xOTExNzAwNDY4AwAAAAMxNjACAAAABDQwMDEEAAAAATAHAAAACTMvMTQvMjAyNggAAAAKMTEvMzAvMjAyNQkAAAABMCAqGyn/gd4Ilg+sKf+B3ggnQ0lRLk5ZU0U6QUNOLklRX0ZJWEVEX0FTU0VUX1RVUk5TLjIwMDAuAQAAAJ7VDgACAAAACTE2LjY1MjY0MwEIAAAABQAAAAExAQAAAAstMTkxMTcwMDQ2OAMAAAADMTYwAgAAAAQ0MDY2BAAAAAEwBwAAAAkzLzE0LzIwMjYIAAAACjExLzMwLzIwMjUJAAAAATAgKhsp/4HeCJYPrCn/gd4IIUNJUS5OWVNFOk9SQ0wuSVFfUEVSSU9EREFURS4yMDAwLgEAAADnVgAABQAAAAoyOC8wMi8yMDI2ACAqGyn/gd4I+eerKf+B3gghQ0lRLk5ZU0U6T1JDTC5JUV9QRVJJT0REQVRFLjEwMDAuAQAAAOdWAAAFAAAACjMxLzA1LzIwMjUAICobKf+B3gj556sp/4HeCC1DSVEuTllTRTpPUkNMLklRX1RPVEFMX1JFVl8zWVJfQU5OX0NBR1IuMjAwMC4BAAAA51YAAAIAAAAHMTAuMTM5OQEIAAAABQAA</t>
  </si>
  <si>
    <t>AAExAQAAAAstMTkwMjE3NjQ3NwMAAAADMTYwAgAAAAQ0MjIwBAAAAAEwBwAAAAkzLzE0LzIwMjYIAAAACTIvMjgvMjAyNgkAAAABMCAqGyn/gd4I44WrKf+B3ggtQ0lRLk5ZU0U6T1JDTC5JUV9UT1RBTF9SRVZfNVlSX0FOTl9DQUdSLjIwMDAuAQAAAOdWAAACAAAABzEwLjA1MjcBCAAAAAUAAAABMQEAAAALLTE5MDIxNzY0NzcDAAAAAzE2MAIAAAAENDIzMwQAAAABMAcAAAAJMy8xNC8yMDI2CAAAAAkyLzI4LzIwMjYJAAAAATAgKhsp/4HeCOOFqyn/gd4IIENJUS5OWVNFOk9SQ0wuSVFfTklfTUFSR0lOLjIwMDAuAQAAAOdWAAACAAAABjI1LjI5OAEIAAAABQAAAAExAQAAAAstMTkwMjE3NjQ3NwMAAAADMTYwAgAAAAQ0MDk0BAAAAAEwBwAAAAkzLzE0LzIwMjYIAAAACTIvMjgvMjAyNgkAAAABMCAqGyn/gd4I44WrKf+B3ggkQ0lRLk5ZU0U6T1JDTC5JUV9FQklUREFfTUFSR0lOLjIwMDAuAQAAAOdWAAACAAAABjQ0LjY2MQEIAAAABQAAAAExAQAAAAstMTkwMjE3NjQ3NwMAAAADMTYwAgAAAAQ0MDQ3BAAAAAEwBwAAAAkzLzE0LzIwMjYIAAAACTIvMjgvMjAyNgkAAAABMCAqGyn/gd4IODerKf+B3ggjQ0lRLk5ZU0U6T1JDTC5JUV9HUk9TU19NQVJHSU4uMjAwMC4BAAAA51YAAAIAAAAHNjcuMDg0MwEIAAAABQAAAAExAQAAAAstMTkwMjE3NjQ3NwMAAAADMTYwAgAAAAQ0MDc0BAAAAAEwBwAAAAkzLzE0</t>
  </si>
  <si>
    <t>LzIwMjYIAAAACTIvMjgvMjAyNgkAAAABMCAqGyn/gd4IODerKf+B3ggnQ0lRLk5ZU0U6T1JDTC5JUV9FUFNfNVlSX0FOTl9DQUdSLjIwMDAuAQAAAOdWAAACAAAABjUuOTI0MgEIAAAABQAAAAExAQAAAAstMTkwMjE3NjQ3NwMAAAADMTYwAgAAAAQ0MjM5BAAAAAEwBwAAAAkzLzE0LzIwMjYIAAAACTIvMjgvMjAyNgkAAAABMCAqGyn/gd4IODerKf+B3ggsQ0lRLk5ZU0U6T1JDTC5JUV9FQklUREFfMVlSX0FOTl9HUk9XVEguMjAwMC4BAAAA51YAAAIAAAAHMzAuMDA2MwEIAAAABQAAAAExAQAAAAstMTkwMjE3NjQ3NwMAAAADMTYwAgAAAAQ0MTk2BAAAAAEwBwAAAAkzLzE0LzIwMjYIAAAACTIvMjgvMjAyNgkAAAABMCAqGyn/gd4I2F6rKf+B3ggqQ0lRLk5ZU0U6T1JDTC5JUV9FQklUREFfM1lSX0FOTl9DQUdSLjIwMDAuAQAAAOdWAAACAAAABzE1LjQzNTUBCAAAAAUAAAABMQEAAAALLTE5MDIxNzY0NzcDAAAAAzE2MAIAAAAENDIyMgQAAAABMAcAAAAJMy8xNC8yMDI2CAAAAAkyLzI4LzIwMjYJAAAAATAgKhsp/4HeCNheqyn/gd4IKkNJUS5OWVNFOk9SQ0wuSVFfRUJJVERBXzVZUl9BTk5fQ0FHUi4yMDAwLgEAAADnVgAAAgAAAAcxMC4xODUzAQgAAAAFAAAAATEBAAAACy0xOTAyMTc2NDc3AwAAAAMxNjACAAAABDQyMzUEAAAAATAHAAAACTMvMTQvMjAyNggAAAAJMi8yOC8yMDI2CQAAAAEwICobKf+B</t>
  </si>
  <si>
    <t>3gge/Kop/4HeCC9DSVEuTllTRTpPUkNMLklRX1RPVEFMX1JFVl8xWVJfQU5OX0dST1dUSC4yMDAwLgEAAADnVgAAAgAAAAcxNC44NjY1AQgAAAAFAAAAATEBAAAACy0xOTAyMTc2NDc3AwAAAAMxNjACAAAABDQxOTQEAAAAATAHAAAACTMvMTQvMjAyNggAAAAJMi8yOC8yMDI2CQAAAAEwICobKf+B3gge/Kop/4HeCCFDSVEuTllTRTpPUkNMLklRX0VCSVREQV9JTlQuMjAwMC4BAAAA51YAAAIAAAAINy41MDUwNzQBCAAAAAUAAAABMQEAAAALLTE5MDIxNzY0NzcDAAAAAzE2MAIAAAAENDE5MAQAAAABMAcAAAAJMy8xNC8yMDI2CAAAAAkyLzI4LzIwMjYJAAAAATAgKhsp/4HeCEAjqyn/gd4IJkNJUS5OWVNFOk9SQ0wuSVFfTkVUX0RFQlRfRUJJVERBLjIwMDAuAQAAAOdWAAACAAAACDMuOTYxNjQ5AQgAAAAFAAAAATEBAAAACy0xOTAyMTc2NDc3AwAAAAMxNjACAAAABDQxOTMEAAAAATAHAAAACTMvMTQvMjAyNggAAAAJMi8yOC8yMDI2CQAAAAEwICobKf+B3ghAI6sp/4HeCChDSVEuTllTRTpPUkNMLklRX1RPVEFMX0RFQlRfRUJJVERBLjIwMDAuAQAAAOdWAAACAAAACDUuMjIxNjk2AQgAAAAFAAAAATEBAAAACy0xOTAyMTc2NDc3AwAAAAMxNjACAAAABDQxOTIEAAAAATAHAAAACTMvMTQvMjAyNggAAAAJMi8yOC8yMDI2CQAAAAEwICobKf+B3gg4N6sp/4HeCClDSVEuTllTRTpPUkNMLklRX0VQU18xWVJf</t>
  </si>
  <si>
    <t>QU5OX0dST1dUSC4yMDAwLgEAAADnVgAAAgAAAAczMC44NjA5AQgAAAAFAAAAATEBAAAACy0xOTAyMTc2NDc3AwAAAAMxNjACAAAABDQyMDAEAAAAATAHAAAACTMvMTQvMjAyNggAAAAJMi8yOC8yMDI2CQAAAAEwICobKf+B3ggg1aop/4HeCCdDSVEuTllTRTpPUkNMLklRX0VQU18zWVJfQU5OX0NBR1IuMjAwMC4BAAAA51YAAAIAAAAHMjIuMzk3NQEIAAAABQAAAAExAQAAAAstMTkwMjE3NjQ3NwMAAAADMTYwAgAAAAQ0MjI2BAAAAAEwBwAAAAkzLzE0LzIwMjYIAAAACTIvMjgvMjAyNgkAAAABMCAqGyn/gd4IINWqKf+B3ggkQ0lRLk5ZU0U6T1JDTC5JUV9SRVRVUk5fQVNTRVRTLjIwMDAuAQAAAOdWAAACAAAABjYuMzM0NQEIAAAABQAAAAExAQAAAAstMTkwMjE3NjQ3NwMAAAADMTYwAgAAAAQ0MTc4BAAAAAEwBwAAAAkzLzE0LzIwMjYIAAAACTIvMjgvMjAyNgkAAAABMCAqGyn/gd4IINWqKf+B3ggkQ0lRLk5ZU0U6T1JDTC5JUV9SRVRVUk5fRVFVSVRZLjIwMDAuAQAAAOdWAAACAAAABjU3LjU3MgEIAAAABQAAAAExAQAAAAstMTkwMjE3NjQ3NwMAAAADMTYwAgAAAAQ0MTI4BAAAAAEwBwAAAAkzLzE0LzIwMjYIAAAACTIvMjgvMjAyNgkAAAABMCAqGyn/gd4IHvyqKf+B3ggoQ0lRLk5ZU0U6T1JDTC5JUV9UT1RBTF9ERUJUX0NBUElUQUwuNTAwLgEAAADnVgAAAgAAAAc4MC41OTI0AQgAAAAFAAAAATEB</t>
  </si>
  <si>
    <t>AAAACy0xOTAyMTc2NzA3AwAAAAMxNjACAAAABDQxODYEAAAAATAHAAAACTMvMTQvMjAyNggAAAAJMi8yOC8yMDI2CQAAAAEwICobKf+B3gge/Kop/4HeCCdDSVEuTllTRTpPUkNMLklRX1RPVEFMX0RFQlRfRVFVSVRZLjUwMC4BAAAA51YAAAIAAAAINDE1LjI2NDYBCAAAAAUAAAABMQEAAAALLTE5MDIxNzY3MDcDAAAAAzE2MAIAAAAENDAzNAQAAAABMAcAAAAJMy8xNC8yMDI2CAAAAAkyLzI4LzIwMjYJAAAAATAgKhsp/4HeCH2tqin/gd4IJ0NJUS5OWVNFOk9SQ0wuSVFfRUJJVERBX0NBUEVYX0lOVC4yMDAwLgEAAADnVgAAAwAAAAJOTQEIAAAABQAAAAExAQAAAAstMTkwMjE3NjQ3NwMAAAADMTYwAgAAAAQ0MTkxBAAAAAEwBwAAAAkzLzE0LzIwMjYIAAAACTIvMjgvMjAyNgkAAAABMCAqGyn/gd4Ifa2qKf+B3ggpQ0lRLk5ZU0U6T1JDTC5JUV9EQVlTX0lOVkVOVE9SWV9PVVQuMjAwMC4BAAAA51YAAAMAAAAAACAqGyn/gd4Ifa2qKf+B3gglQ0lRLk5ZU0U6T1JDTC5JUV9EQVlTX1NBTEVTX09VVC4yMDAwLgEAAADnVgAAAgAAAAg1My40NjAwOQEIAAAABQAAAAExAQAAAAstMTkwMjE3NjQ3NwMAAAADMTYwAgAAAAQ0MDQyBAAAAAEwBwAAAAkzLzE0LzIwMjYIAAAACTIvMjgvMjAyNgkAAAABMCAqGyn/gd4Ifa2qKf+B3gghQ0lRLk5ZU0U6T1JDTC5JUV9RVUlDS19SQVRJTy41MDAuAQAAAOdWAAACAAAA</t>
  </si>
  <si>
    <t>CDEuMjIzNzI3AQgAAAAFAAAAATEBAAAACy0xOTAyMTc2NzA3AwAAAAMxNjACAAAABDQxMjEEAAAAATAHAAAACTMvMTQvMjAyNggAAAAJMi8yOC8yMDI2CQAAAAEwICobKf+B3ggg1aop/4HeCCNDSVEuTllTRTpPUkNMLklRX0NVUlJFTlRfUkFUSU8uNTAwLgEAAADnVgAAAgAAAAcxLjM0NzAzAQgAAAAFAAAAATEBAAAACy0xOTAyMTc2NzA3AwAAAAMxNjACAAAABDQwMzAEAAAAATAHAAAACTMvMTQvMjAyNggAAAAJMi8yOC8yMDI2CQAAAAEwICobKf+B3ggUXaop/4HeCC5DSVEuTllTRTpPUkNMLklRX1JFVFVSTl9JTlZFU1RFRF9DQVBJVEFMLjIwMDAuAQAAAOdWAAACAAAABjYuNDIyNgAgKhsp/4HeCDGEqin/gd4IH0NJUS5OWVNFOk9SQ0wuSVFfQVJfVFVSTlMuMjAwMC4BAAAA51YAAAIAAAAHNi44Mjc0OQEIAAAABQAAAAExAQAAAAstMTkwMjE3NjQ3NwMAAAADMTYwAgAAAAQ0MDAxBAAAAAEwBwAAAAkzLzE0LzIwMjYIAAAACTIvMjgvMjAyNgkAAAABMCAqGyn/gd4IMYSqKf+B3ggoQ0lRLk5ZU0U6T1JDTC5JUV9GSVhFRF9BU1NFVF9UVVJOUy4yMDAwLgEAAADnVgAAAgAAAAgxLjAwNjc5NQEIAAAABQAAAAExAQAAAAstMTkwMjE3NjQ3NwMAAAADMTYwAgAAAAQ0MDY2BAAAAAEwBwAAAAkzLzE0LzIwMjYIAAAACTIvMjgvMjAyNgkAAAABMCAqGyn/gd4IOJiqKf+B3ggiQ0lRLk5ZU0U6T1JDTC5JUV9B</t>
  </si>
  <si>
    <t>U1NFVF9UVVJOUy4yMDAwLgEAAADnVgAAAgAAAAgwLjMxNTE2NQEIAAAABQAAAAExAQAAAAstMTkwMjE3NjQ3NwMAAAADMTYwAgAAAAQ0MTc3BAAAAAEwBwAAAAkzLzE0LzIwMjYIAAAACTIvMjgvMjAyNgkAAAABMCAqGyn/gd4IOJiqKf+B3ggmQ0lRLk5ZU0U6T1JDTC5JUV9DQVNIX0NPTlZFUlNJT04uMjAwMC4BAAAA51YAAAMAAAAAACAqGyn/gd4I6CaqKf+B3ggnQ0lRLk5ZU0U6T1JDTC5JUV9EQVlTX1BBWUFCTEVfT1VULjIwMDAuAQAAAOdWAAACAAAACjEwMi45NDQyMzUBCAAAAAUAAAABMQEAAAALLTE5MDIxNzY0NzcDAAAAAzE2MAIAAAAENDE4MwQAAAABMAcAAAAJMy8xNC8yMDI2CAAAAAkyLzI4LzIwMjYJAAAAATAgKhsp/4HeCOgmqin/gd4IJkNJUS5OWVNFOk9SQ0wuSVFfSU5WRU5UT1JZX1RVUk5TLjIwMDAuAQAAAOdWAAADAAAAAAAgKhsp/4HeCOgmqin/gd4IJENJUS5OQVNEQVFHUzpIT04uSVFfUEVSSU9EREFURS4xMDAwLgEAAABEdRQABQAAAAozMS8xMi8yMDI1ACAqGyn/gd4IFF2qKf+B3ggkQ0lRLk5BU0RBUUdTOkhPTi5JUV9QRVJJT0REQVRFLjIwMDAuAQAAAER1FAAFAAAACjMxLzEyLzIwMjUAICobKf+B3gjoJqop/4HeCCZDSVEuTkFTREFRR1M6SE9OLklRX0dST1NTX01BUkdJTi4yMDAwLgEAAABEdRQAAgAAAAczNi45MzQ0AQgAAAAFAAAAATEBAAAACy0xOTA2MTE3NjQ4AwAA</t>
  </si>
  <si>
    <t>AAMxNjACAAAABDQwNzQEAAAAATAHAAAACTMvMTQvMjAyNggAAAAKMTIvMzEvMjAyNQkAAAABMCAqGyn/gd4IoMSpKf+B3ggyQ0lRLk5BU0RBUUdTOkhPTi5JUV9UT1RBTF9SRVZfMVlSX0FOTl9HUk9XVEguMjAwMC4BAAAARHUUAAIAAAAGNy44NDkxAQgAAAAFAAAAATEBAAAACy0xOTA2MTE3NjQ4AwAAAAMxNjACAAAABDQxOTQEAAAAATAHAAAACTMvMTQvMjAyNggAAAAKMTIvMzEvMjAyNQkAAAABMCAqGyn/gd4IkJ2pKf+B3ggwQ0lRLk5BU0RBUUdTOkhPTi5JUV9UT1RBTF9SRVZfM1lSX0FOTl9DQUdSLjIwMDAuAQAAAER1FAACAAAABjEuODIzNwEIAAAABQAAAAExAQAAAAstMTkwNjExNzY0OAMAAAADMTYwAgAAAAQ0MjIwBAAAAAEwBwAAAAkzLzE0LzIwMjYIAAAACjEyLzMxLzIwMjUJAAAAATAgKhsp/4HeCJCdqSn/gd4IMENJUS5OQVNEQVFHUzpIT04uSVFfVE9UQUxfUkVWXzVZUl9BTk5fQ0FHUi4yMDAwLgEAAABEdRQAAgAAAAUyLjc4NQEIAAAABQAAAAExAQAAAAstMTkwNjExNzY0OAMAAAADMTYwAgAAAAQ0MjMzBAAAAAEwBwAAAAkzLzE0LzIwMjYIAAAACjEyLzMxLzIwMjUJAAAAATAgKhsp/4HeCJCdqSn/gd4II0NJUS5OQVNEQVFHUzpIT04uSVFfTklfTUFSR0lOLjIwMDAuAQAAAER1FAACAAAABzEyLjYzMDIBCAAAAAUAAAABMQEAAAALLTE5MDYxMTc2NDgDAAAAAzE2MAIAAAAENDA5NAQA</t>
  </si>
  <si>
    <t>AAABMAcAAAAJMy8xNC8yMDI2CAAAAAoxMi8zMS8yMDI1CQAAAAEwICobKf+B3giQnakp/4HeCCdDSVEuTkFTREFRR1M6SE9OLklRX0VCSVREQV9NQVJHSU4uMjAwMC4BAAAARHUUAAIAAAAHMjIuNjE2MwEIAAAABQAAAAExAQAAAAstMTkwNjExNzY0OAMAAAADMTYwAgAAAAQ0MDQ3BAAAAAEwBwAAAAkzLzE0LzIwMjYIAAAACjEyLzMxLzIwMjUJAAAAATAgKhsp/4HeCJCdqSn/gd4IKkNJUS5OQVNEQVFHUzpIT04uSVFfRVBTXzNZUl9BTk5fQ0FHUi4yMDAwLgEAAABEdRQAAgAAAActMS43ODc1AQgAAAAFAAAAATEBAAAACy0xOTA2MTE3NjQ4AwAAAAMxNjACAAAABDQyMjYEAAAAATAHAAAACTMvMTQvMjAyNggAAAAKMTIvMzEvMjAyNQkAAAABMCAqGyn/gd4Ick+pKf+B3ggqQ0lRLk5BU0RBUUdTOkhPTi5JUV9FUFNfNVlSX0FOTl9DQUdSLjIwMDAuAQAAAER1FAACAAAABjAuNDkyMwEIAAAABQAAAAExAQAAAAstMTkwNjExNzY0OAMAAAADMTYwAgAAAAQ0MjM5BAAAAAEwBwAAAAkzLzE0LzIwMjYIAAAACjEyLzMxLzIwMjUJAAAAATAgKhsp/4HeCHJPqSn/gd4IL0NJUS5OQVNEQVFHUzpIT04uSVFfRUJJVERBXzFZUl9BTk5fR1JPV1RILjIwMDAuAQAAAER1FAACAAAABjAuNzQ5NQEIAAAABQAAAAExAQAAAAstMTkwNjExNzY0OAMAAAADMTYwAgAAAAQ0MTk2BAAAAAEwBwAAAAkzLzE0LzIwMjYIAAAACjEy</t>
  </si>
  <si>
    <t>LzMxLzIwMjUJAAAAATAgKhsp/4HeCH92qSn/gd4ILUNJUS5OQVNEQVFHUzpIT04uSVFfRUJJVERBXzNZUl9BTk5fQ0FHUi4yMDAwLgEAAABEdRQAAgAAAAYwLjc3NTUBCAAAAAUAAAABMQEAAAALLTE5MDYxMTc2NDgDAAAAAzE2MAIAAAAENDIyMgQAAAABMAcAAAAJMy8xNC8yMDI2CAAAAAoxMi8zMS8yMDI1CQAAAAEwICobKf+B3gh/dqkp/4HeCC1DSVEuTkFTREFRR1M6SE9OLklRX0VCSVREQV81WVJfQU5OX0NBR1IuMjAwMC4BAAAARHUUAAIAAAAGMi4wMzY1AQgAAAAFAAAAATEBAAAACy0xOTA2MTE3NjQ4AwAAAAMxNjACAAAABDQyMzUEAAAAATAHAAAACTMvMTQvMjAyNggAAAAKMTIvMzEvMjAyNQkAAAABMCAqGyn/gd4If3apKf+B3ggqQ0lRLk5BU0RBUUdTOkhPTi5JUV9FQklUREFfQ0FQRVhfSU5ULjIwMDAuAQAAAER1FAACAAAACDUuNzUwNzQ0AQgAAAAFAAAAATEBAAAACy0xOTA2MTE3NjQ4AwAAAAMxNjACAAAABDQxOTEEAAAAATAHAAAACTMvMTQvMjAyNggAAAAKMTIvMzEvMjAyNQkAAAABMCAqGyn/gd4IZSipKf+B3ggkQ0lRLk5BU0RBUUdTOkhPTi5JUV9FQklUREFfSU5ULjIwMDAuAQAAAER1FAACAAAACDYuNDg0Mzc1AQgAAAAFAAAAATEBAAAACy0xOTA2MTE3NjQ4AwAAAAMxNjACAAAABDQxOTAEAAAAATAHAAAACTMvMTQvMjAyNggAAAAKMTIvMzEvMjAyNQkAAAABMCAqGyn/gd4IZSip</t>
  </si>
  <si>
    <t>Kf+B3ggpQ0lRLk5BU0RBUUdTOkhPTi5JUV9ORVRfREVCVF9FQklUREEuMjAwMC4BAAAARHUUAAIAAAAIMi41OTcwMTYBCAAAAAUAAAABMQEAAAALLTE5MDYxMTc2NDgDAAAAAzE2MAIAAAAENDE5MwQAAAABMAcAAAAJMy8xNC8yMDI2CAAAAAoxMi8zMS8yMDI1CQAAAAEwICobKf+B3ghyT6kp/4HeCCtDSVEuTkFTREFRR1M6SE9OLklRX1RPVEFMX0RFQlRfRUJJVERBLjIwMDAuAQAAAER1FAACAAAACDQuMDgwNjY1AQgAAAAFAAAAATEBAAAACy0xOTA2MTE3NjQ4AwAAAAMxNjACAAAABDQxOTIEAAAAATAHAAAACTMvMTQvMjAyNggAAAAKMTIvMzEvMjAyNQkAAAABMCAqGyn/gd4Ick+pKf+B3ggsQ0lRLk5BU0RBUUdTOkhPTi5JUV9FUFNfMVlSX0FOTl9HUk9XVEguMjAwMC4BAAAARHUUAAIAAAAHLTguOTM4OAEIAAAABQAAAAExAQAAAAstMTkwNjExNzY0OAMAAAADMTYwAgAAAAQ0MjAwBAAAAAEwBwAAAAkzLzE0LzIwMjYIAAAACjEyLzMxLzIwMjUJAAAAATAgKhsp/4HeCHJPqSn/gd4IMUNJUS5OQVNEQVFHUzpIT04uSVFfUkVUVVJOX0lOVkVTVEVEX0NBUElUQUwuMjAwMC4BAAAARHUUAAIAAAAGMy40NDI5ACAqGyn/gd4IFgGpKf+B3ggnQ0lRLk5BU0RBUUdTOkhPTi5JUV9SRVRVUk5fQVNTRVRTLjIwMDAuAQAAAER1FAACAAAABjUuOTQ0NQEIAAAABQAAAAExAQAAAAstMTkwNjExNzY0OAMAAAADMTYw</t>
  </si>
  <si>
    <t>AgAAAAQ0MTc4BAAAAAEwBwAAAAkzLzE0LzIwMjYIAAAACjEyLzMxLzIwMjUJAAAAATAgKhsp/4HeCBYBqSn/gd4IJ0NJUS5OQVNEQVFHUzpIT04uSVFfUkVUVVJOX0VRVUlUWS4yMDAwLgEAAABEdRQAAgAAAAcyNi4xMzU1AQgAAAAFAAAAATEBAAAACy0xOTA2MTE3NjQ4AwAAAAMxNjACAAAABDQxMjgEAAAAATAHAAAACTMvMTQvMjAyNggAAAAKMTIvMzEvMjAyNQkAAAABMCAqGyn/gd4IFgGpKf+B3ggrQ0lRLk5BU0RBUUdTOkhPTi5JUV9UT1RBTF9ERUJUX0NBUElUQUwuNTAwLgEAAABEdRQAAgAAAAc3MC4yOTIzAQgAAAAFAAAAATEBAAAACy0xOTA2MTE3NjU3AwAAAAMxNjACAAAABDQxODYEAAAAATAHAAAACTMvMTQvMjAyNggAAAAKMTIvMzEvMjAyNQkAAAABMCAqGyn/gd4IZSipKf+B3ggqQ0lRLk5BU0RBUUdTOkhPTi5JUV9UT1RBTF9ERUJUX0VRVUlUWS41MDAuAQAAAER1FAACAAAACDIzNi42MTM0AQgAAAAFAAAAATEBAAAACy0xOTA2MTE3NjU3AwAAAAMxNjACAAAABDQwMzQEAAAAATAHAAAACTMvMTQvMjAyNggAAAAKMTIvMzEvMjAyNQkAAAABMCAqGyn/gd4IZSipKf+B3ggqQ0lRLk5BU0RBUUdTOkhPTi5JUV9EQVlTX1BBWUFCTEVfT1VULjIwMDAuAQAAAER1FAACAAAACDk0LjkwNTExAQgAAAAFAAAAATEBAAAACy0xOTA2MTE3NjQ4AwAAAAMxNjACAAAABDQxODMEAAAAATAHAAAACTMvMTQv</t>
  </si>
  <si>
    <t>MjAyNggAAAAKMTIvMzEvMjAyNQkAAAABMCAqGyn/gd4ICtmoKf+B3ggsQ0lRLk5BU0RBUUdTOkhPTi5JUV9EQVlTX0lOVkVOVE9SWV9PVVQuMjAwMC4BAAAARHUUAAIAAAAJOTMuMTAwOTE1AQgAAAAFAAAAATEBAAAACy0xOTA2MTE3NjQ4AwAAAAMxNjACAAAABDQwMzUEAAAAATAHAAAACTMvMTQvMjAyNggAAAAKMTIvMzEvMjAyNQkAAAABMCAqGyn/gd4ICtmoKf+B3ggoQ0lRLk5BU0RBUUdTOkhPTi5JUV9EQVlTX1NBTEVTX09VVC4yMDAwLgEAAABEdRQAAgAAAAk3Mi40Njk2NTUBCAAAAAUAAAABMQEAAAALLTE5MDYxMTc2NDgDAAAAAzE2MAIAAAAENDA0MgQAAAABMAcAAAAJMy8xNC8yMDI2CAAAAAoxMi8zMS8yMDI1CQAAAAEwICobKf+B3gjY7Kgp/4HeCCRDSVEuTkFTREFRR1M6SE9OLklRX1FVSUNLX1JBVElPLjUwMC4BAAAARHUUAAIAAAAIMC44Nzc5MzYBCAAAAAUAAAABMQEAAAALLTE5MDYxMTc2NTcDAAAAAzE2MAIAAAAENDEyMQQAAAABMAcAAAAJMy8xNC8yMDI2CAAAAAoxMi8zMS8yMDI1CQAAAAEwICobKf+B3gjY7Kgp/4HeCCZDSVEuTkFTREFRR1M6SE9OLklRX0NVUlJFTlRfUkFUSU8uNTAwLgEAAABEdRQAAgAAAAgxLjI5NzgxMwEIAAAABQAAAAExAQAAAAstMTkwNjExNzY1NwMAAAADMTYwAgAAAAQ0MDMwBAAAAAEwBwAAAAkzLzE0LzIwMjYIAAAACjEyLzMxLzIwMjUJAAAAATAgKhsp</t>
  </si>
  <si>
    <t>/4HeCBYBqSn/gd4IKUNJUS5OQVNEQVFHUzpIT04uSVFfSU5WRU5UT1JZX1RVUk5TLjIwMDAuAQAAAER1FAACAAAACDMuOTIwNDcxAQgAAAAFAAAAATEBAAAACy0xOTA2MTE3NjQ4AwAAAAMxNjACAAAABDQwODIEAAAAATAHAAAACTMvMTQvMjAyNggAAAAKMTIvMzEvMjAyNQkAAAABMCAqGyn/gd4I8oqoKf+B3ggiQ0lRLk5BU0RBUUdTOkhPTi5JUV9BUl9UVVJOUy4yMDAwLgEAAABEdRQAAgAAAAg1LjAzNjU4OAEIAAAABQAAAAExAQAAAAstMTkwNjExNzY0OAMAAAADMTYwAgAAAAQ0MDAxBAAAAAEwBwAAAAkzLzE0LzIwMjYIAAAACjEyLzMxLzIwMjUJAAAAATAgKhsp/4HeCAGyqCn/gd4IK0NJUS5OQVNEQVFHUzpIT04uSVFfRklYRURfQVNTRVRfVFVSTlMuMjAwMC4BAAAARHUUAAIAAAAINi44NzEzNTIBCAAAAAUAAAABMQEAAAALLTE5MDYxMTc2NDgDAAAAAzE2MAIAAAAENDA2NgQAAAABMAcAAAAJMy8xNC8yMDI2CAAAAAoxMi8zMS8yMDI1CQAAAAEwICobKf+B3ggBsqgp/4HeCCVDSVEuTkFTREFRR1M6SE9OLklRX0FTU0VUX1RVUk5TLjIwMDAuAQAAAER1FAACAAAACDAuNTAyOTkyAQgAAAAFAAAAATEBAAAACy0xOTA2MTE3NjQ4AwAAAAMxNjACAAAABDQxNzcEAAAAATAHAAAACTMvMTQvMjAyNggAAAAKMTIvMzEvMjAyNQkAAAABMCAqGyn/gd4IAbKoKf+B3ggpQ0lRLk5BU0RBUUdTOkhPTi5JUV9D</t>
  </si>
  <si>
    <t>QVNIX0NPTlZFUlNJT04uMjAwMC4BAAAARHUUAAIAAAAINzAuNjY1NDYBCAAAAAUAAAABMQEAAAALLTE5MDYxMTc2NDgDAAAAAzE2MAIAAAAENDE4NAQAAAABMAcAAAAJMy8xNC8yMDI2CAAAAAoxMi8zMS8yMDI1CQAAAAEwICobKf+B3ggBsqgp/4HeCCBDSVEuTllTRTpEWEMuSVFfUEVSSU9EREFURS4yMDAwLgEAAAC1AwQABQAAAAozMS8xMi8yMDI1ACAqGyn/gd4I8oqoKf+B3gggQ0lRLk5ZU0U6RFhDLklRX1BFUklPRERBVEUuMTAwMC4BAAAAtQMEAAUAAAAKMzEvMDMvMjAyNQAgKhsp/4HeCPKKqCn/gd4IH0NJUS5OWVNFOkRYQy5JUV9OSV9NQVJHSU4uMjAwMC4BAAAAtQMEAAIAAAAGMy4zMzUxAQgAAAAFAAAAATEBAAAACy0xOTA4MzQ0MzAxAwAAAAMxNjACAAAABDQwOTQEAAAAATAHAAAACTMvMTQvMjAyNggAAAAKMTIvMzEvMjAyNQkAAAABMCAqGyn/gd4I5GOoKf+B3ggjQ0lRLk5ZU0U6RFhDLklRX0VCSVREQV9NQVJHSU4uMjAwMC4BAAAAtQMEAAIAAAAGMTUuMDkxAQgAAAAFAAAAATEBAAAACy0xOTA4MzQ0MzAxAwAAAAMxNjACAAAABDQwNDcEAAAAATAHAAAACTMvMTQvMjAyNggAAAAKMTIvMzEvMjAyNQkAAAABMCAqGyn/gd4I0O6nKf+B3ggiQ0lRLk5ZU0U6RFhDLklRX0dST1NTX01BUkdJTi4yMDAwLgEAAAC1AwQAAgAAAAcyNC4yNTI5AQgAAAAFAAAAATEBAAAACy0xOTA4MzQ0MzAxAwAA</t>
  </si>
  <si>
    <t>AAMxNjACAAAABDQwNzQEAAAAATAHAAAACTMvMTQvMjAyNggAAAAKMTIvMzEvMjAyNQkAAAABMCAqGyn/gd4I0O6nKf+B3ggpQ0lRLk5ZU0U6RFhDLklRX0VCSVREQV8zWVJfQU5OX0NBR1IuMjAwMC4BAAAAtQMEAAIAAAAILTExLjAyMTcBCAAAAAUAAAABMQEAAAALLTE5MDgzNDQzMDEDAAAAAzE2MAIAAAAENDIyMgQAAAABMAcAAAAJMy8xNC8yMDI2CAAAAAoxMi8zMS8yMDI1CQAAAAEwICobKf+B3gjEFagp/4HeCClDSVEuTllTRTpEWEMuSVFfRUJJVERBXzVZUl9BTk5fQ0FHUi4yMDAwLgEAAAC1AwQAAgAAAActNS4zNjAyAQgAAAAFAAAAATEBAAAACy0xOTA4MzQ0MzAxAwAAAAMxNjACAAAABDQyMzUEAAAAATAHAAAACTMvMTQvMjAyNggAAAAKMTIvMzEvMjAyNQkAAAABMCAqGyn/gd4I08enKf+B3gguQ0lRLk5ZU0U6RFhDLklRX1RPVEFMX1JFVl8xWVJfQU5OX0dST1dUSC4yMDAwLgEAAAC1AwQAAgAAAActMy4wOTQ1AQgAAAAFAAAAATEBAAAACy0xOTA4MzQ0MzAxAwAAAAMxNjACAAAABDQxOTQEAAAAATAHAAAACTMvMTQvMjAyNggAAAAKMTIvMzEvMjAyNQkAAAABMCAqGyn/gd4I08enKf+B3ggsQ0lRLk5ZU0U6RFhDLklRX1RPVEFMX1JFVl8zWVJfQU5OX0NBR1IuMjAwMC4BAAAAtQMEAAIAAAAHLTUuMTE1NwEIAAAABQAAAAExAQAAAAstMTkwODM0NDMwMQMAAAADMTYwAgAAAAQ0MjIwBAAAAAEw</t>
  </si>
  <si>
    <t>BwAAAAkzLzE0LzIwMjYIAAAACjEyLzMxLzIwMjUJAAAAATAgKhsp/4HeCNDupyn/gd4ILENJUS5OWVNFOkRYQy5JUV9UT1RBTF9SRVZfNVlSX0FOTl9DQUdSLjIwMDAuAQAAALUDBAACAAAABy02LjkyNjUBCAAAAAUAAAABMQEAAAALLTE5MDgzNDQzMDEDAAAAAzE2MAIAAAAENDIzMwQAAAABMAcAAAAJMy8xNC8yMDI2CAAAAAoxMi8zMS8yMDI1CQAAAAEwICobKf+B3gjQ7qcp/4HeCCdDSVEuTllTRTpEWEMuSVFfVE9UQUxfREVCVF9FQklUREEuMjAwMC4BAAAAtQMEAAIAAAAIMS44ODk0MjMBCAAAAAUAAAABMQEAAAALLTE5MDgzNDQzMDEDAAAAAzE2MAIAAAAENDE5MgQAAAABMAcAAAAJMy8xNC8yMDI2CAAAAAoxMi8zMS8yMDI1CQAAAAEwICobKf+B3gjQ7qcp/4HeCChDSVEuTllTRTpEWEMuSVFfRVBTXzFZUl9BTk5fR1JPV1RILjIwMDAuAQAAALUDBAADAAAAAk5NAQgAAAAFAAAAATEBAAAACy0xOTA4MzQ0MzAxAwAAAAMxNjACAAAABDQyMDAEAAAAATAHAAAACTMvMTQvMjAyNggAAAAKMTIvMzEvMjAyNQkAAAABMCAqGyn/gd4Ix6CnKf+B3ggmQ0lRLk5ZU0U6RFhDLklRX0VQU18zWVJfQU5OX0NBR1IuMjAwMC4BAAAAtQMEAAIAAAAHLTguMzQwMQEIAAAABQAAAAExAQAAAAstMTkwODM0NDMwMQMAAAADMTYwAgAAAAQ0MjI2BAAAAAEwBwAAAAkzLzE0LzIwMjYIAAAACjEyLzMxLzIwMjUJAAAAATAg</t>
  </si>
  <si>
    <t>Khsp/4HeCNPHpyn/gd4IJkNJUS5OWVNFOkRYQy5JUV9FUFNfNVlSX0FOTl9DQUdSLjIwMDAuAQAAALUDBAADAAAAAk5NAQgAAAAFAAAAATEBAAAACy0xOTA4MzQ0MzAxAwAAAAMxNjACAAAABDQyMzkEAAAAATAHAAAACTMvMTQvMjAyNggAAAAKMTIvMzEvMjAyNQkAAAABMCAqGyn/gd4I08enKf+B3ggrQ0lRLk5ZU0U6RFhDLklRX0VCSVREQV8xWVJfQU5OX0dST1dUSC4yMDAwLgEAAAC1AwQAAgAAAAczNi4yMjc3AQgAAAAFAAAAATEBAAAACy0xOTA4MzQ0MzAxAwAAAAMxNjACAAAABDQxOTYEAAAAATAHAAAACTMvMTQvMjAyNggAAAAKMTIvMzEvMjAyNQkAAAABMCAqGyn/gd4I08enKf+B3ggnQ0lRLk5ZU0U6RFhDLklRX1RPVEFMX0RFQlRfQ0FQSVRBTC41MDAuAQAAALUDBAACAAAABzU1Ljg4MTUBCAAAAAUAAAABMQEAAAALLTE5MDgzNDQ0ODIDAAAAAzE2MAIAAAAENDE4NgQAAAABMAcAAAAJMy8xNC8yMDI2CAAAAAoxMi8zMS8yMDI1CQAAAAEwICobKf+B3gjTx6cp/4HeCCZDSVEuTllTRTpEWEMuSVFfVE9UQUxfREVCVF9FUVVJVFkuNTAwLgEAAAC1AwQAAgAAAAgxMjYuNjYyNwEIAAAABQAAAAExAQAAAAstMTkwODM0NDQ4MgMAAAADMTYwAgAAAAQ0MDM0BAAAAAEwBwAAAAkzLzE0LzIwMjYIAAAACjEyLzMxLzIwMjUJAAAAATAgKhsp/4HeCMegpyn/gd4IJkNJUS5OWVNFOkRYQy5JUV9FQklUREFf</t>
  </si>
  <si>
    <t>Q0FQRVhfSU5ULjIwMDAuAQAAALUDBAACAAAACDkuNDQ3NDg4AQgAAAAFAAAAATEBAAAACy0xOTA4MzQ0MzAxAwAAAAMxNjACAAAABDQxOTEEAAAAATAHAAAACTMvMTQvMjAyNggAAAAKMTIvMzEvMjAyNQkAAAABMCAqGyn/gd4Ix6CnKf+B3gggQ0lRLk5ZU0U6RFhDLklRX0VCSVREQV9JTlQuMjAwMC4BAAAAtQMEAAIAAAAJMTAuNDQ3NDg4AQgAAAAFAAAAATEBAAAACy0xOTA4MzQ0MzAxAwAAAAMxNjACAAAABDQxOTAEAAAAATAHAAAACTMvMTQvMjAyNggAAAAKMTIvMzEvMjAyNQkAAAABMCAqGyn/gd4Ix6CnKf+B3gglQ0lRLk5ZU0U6RFhDLklRX05FVF9ERUJUX0VCSVREQS4yMDAwLgEAAAC1AwQAAgAAAAgxLjEzMjg2NwEIAAAABQAAAAExAQAAAAstMTkwODM0NDMwMQMAAAADMTYwAgAAAAQ0MTkzBAAAAAEwBwAAAAkzLzE0LzIwMjYIAAAACjEyLzMxLzIwMjUJAAAAATAgKhsp/4HeCMegpyn/gd4IIENJUS5OWVNFOkRYQy5JUV9RVUlDS19SQVRJTy41MDAuAQAAALUDBAACAAAACDEuMTg2NzQ4AQgAAAAFAAAAATEBAAAACy0xOTA4MzQ0NDgyAwAAAAMxNjACAAAABDQxMjEEAAAAATAHAAAACTMvMTQvMjAyNggAAAAKMTIvMzEvMjAyNQkAAAABMCAqGyn/gd4Ix6CnKf+B3ggiQ0lRLk5ZU0U6RFhDLklRX0NVUlJFTlRfUkFUSU8uNTAwLgEAAAC1AwQAAgAAAAcxLjM0ODE3AQgAAAAFAAAAATEBAAAACy0x</t>
  </si>
  <si>
    <t>OTA4MzQ0NDgyAwAAAAMxNjACAAAABDQwMzAEAAAAATAHAAAACTMvMTQvMjAyNggAAAAKMTIvMzEvMjAyNQkAAAABMCAqGyn/gd4IpHmnKf+B3ggtQ0lRLk5ZU0U6RFhDLklRX1JFVFVSTl9JTlZFU1RFRF9DQVBJVEFMLjIwMDAuAQAAALUDBAACAAAABjUuNDYxOQAgKhsp/4HeCKR5pyn/gd4II0NJUS5OWVNFOkRYQy5JUV9SRVRVUk5fQVNTRVRTLjIwMDAuAQAAALUDBAACAAAABjQuMTkyMQEIAAAABQAAAAExAQAAAAstMTkwODM0NDMwMQMAAAADMTYwAgAAAAQ0MTc4BAAAAAEwBwAAAAkzLzE0LzIwMjYIAAAACjEyLzMxLzIwMjUJAAAAATAgKhsp/4HeCKR5pyn/gd4II0NJUS5OWVNFOkRYQy5JUV9SRVRVUk5fRVFVSVRZLjIwMDAuAQAAALUDBAACAAAABzEyLjkzMzIBCAAAAAUAAAABMQEAAAALLTE5MDgzNDQzMDEDAAAAAzE2MAIAAAAENDEyOAQAAAABMAcAAAAJMy8xNC8yMDI2CAAAAAoxMi8zMS8yMDI1CQAAAAEwICobKf+B3gikeacp/4HeCCFDSVEuTllTRTpEWEMuSVFfQVNTRVRfVFVSTlMuMjAwMC4BAAAAtQMEAAIAAAAIMC45Njc3OTgBCAAAAAUAAAABMQEAAAALLTE5MDgzNDQzMDEDAAAAAzE2MAIAAAAENDE3NwQAAAABMAcAAAAJMy8xNC8yMDI2CAAAAAoxMi8zMS8yMDI1CQAAAAEwICobKf+B3gikeacp/4HeCCVDSVEuTllTRTpEWEMuSVFfQ0FTSF9DT05WRVJTSU9OLjIwMDAuAQAAALUDBAAD</t>
  </si>
  <si>
    <t>AAAAAAAgKhsp/4HeCCNSpyn/gd4IJkNJUS5OWVNFOkRYQy5JUV9EQVlTX1BBWUFCTEVfT1VULjIwMDAuAQAAALUDBAACAAAACTIxLjc1MDcxNQEIAAAABQAAAAExAQAAAAstMTkwODM0NDMwMQMAAAADMTYwAgAAAAQ0MTgzBAAAAAEwBwAAAAkzLzE0LzIwMjYIAAAACjEyLzMxLzIwMjUJAAAAATAgKhsp/4HeCCNSpyn/gd4IKENJUS5OWVNFOkRYQy5JUV9EQVlTX0lOVkVOVE9SWV9PVVQuMjAwMC4BAAAAtQMEAAMAAAAAACAqGyn/gd4II1KnKf+B3ggkQ0lRLk5ZU0U6RFhDLklRX0RBWVNfU0FMRVNfT1VULjIwMDAuAQAAALUDBAACAAAACTY0LjU3OTA4NQEIAAAABQAAAAExAQAAAAstMTkwODM0NDMwMQMAAAADMTYwAgAAAAQ0MDQyBAAAAAEwBwAAAAkzLzE0LzIwMjYIAAAACjEyLzMxLzIwMjUJAAAAATAgKhsp/4HeCCNSpyn/gd4IJUNJUS5OWVNFOkRYQy5JUV9JTlZFTlRPUllfVFVSTlMuMjAwMC4BAAAAtQMEAAMAAAAAACAqGyn/gd4IpHmnKf+B3ggeQ0lRLk5ZU0U6RFhDLklRX0FSX1RVUk5TLjIwMDAuAQAAALUDBAACAAAABzUuNjUxOTYBCAAAAAUAAAABMQEAAAALLTE5MDgzNDQzMDEDAAAAAzE2MAIAAAAENDAwMQQAAAABMAcAAAAJMy8xNC8yMDI2CAAAAAoxMi8zMS8yMDI1CQAAAAEwICobKf+B3gg6K6cp/4HeCCdDSVEuTllTRTpEWEMuSVFfRklYRURfQVNTRVRfVFVSTlMuMjAwMC4BAAAAtQME</t>
  </si>
  <si>
    <t>AAIAAAAINi43NTUyNTkBCAAAAAUAAAABMQEAAAALLTE5MDgzNDQzMDEDAAAAAzE2MAIAAAAENDA2NgQAAAABMAcAAAAJMy8xNC8yMDI2CAAAAAoxMi8zMS8yMDI1CQAAAAEwICobKf+B3gg6K6cp/4HeCCVDSVEuTkFTREFRR1M6TVNGVC5JUV9QRVJJT0REQVRFLjIwMDAuAQAAAEtVAAAFAAAACjMxLzEyLzIwMjUAICobKf+B3gg6K6cp/4HeCCVDSVEuTkFTREFRR1M6TVNGVC5JUV9QRVJJT0REQVRFLjEwMDAuAQAAAEtVAAAFAAAACjMwLzA2LzIwMjUAICobKf+B3gg6K6cp/4HeCDFDSVEuTkFTREFRR1M6TVNGVC5JUV9UT1RBTF9SRVZfM1lSX0FOTl9DQUdSLjIwMDAuAQAAAEtVAAACAAAABzE0LjM4NTYBCAAAAAUAAAABMQEAAAALLTE5MDg2NzEyNzcDAAAAAzE2MAIAAAAENDIyMAQAAAABMAcAAAAJMy8xNC8yMDI2CAAAAAoxMi8zMS8yMDI1CQAAAAEwICobKf+B3gj+76Yp/4HeCDFDSVEuTkFTREFRR1M6TVNGVC5JUV9UT1RBTF9SRVZfNVlSX0FOTl9DQUdSLjIwMDAuAQAAAEtVAAACAAAABzE0Ljc4NjEBCAAAAAUAAAABMQEAAAALLTE5MDg2NzEyNzcDAAAAAzE2MAIAAAAENDIzMwQAAAABMAcAAAAJMy8xNC8yMDI2CAAAAAoxMi8zMS8yMDI1CQAAAAEwICobKf+B3gj+76Yp/4HeCCRDSVEuTkFTREFRR1M6TVNGVC5JUV9OSV9NQVJHSU4uMjAwMC4BAAAAS1UAAAIAAAAHMzkuMDQ0MwEIAAAABQAAAAEx</t>
  </si>
  <si>
    <t>AQAAAAstMTkwODY3MTI3NwMAAAADMTYwAgAAAAQ0MDk0BAAAAAEwBwAAAAkzLzE0LzIwMjYIAAAACjEyLzMxLzIwMjUJAAAAATAgKhsp/4HeCMShpin/gd4IKENJUS5OQVNEQVFHUzpNU0ZULklRX0VCSVREQV9NQVJHSU4uMjAwMC4BAAAAS1UAAAIAAAAHNTcuMzc2NwEIAAAABQAAAAExAQAAAAstMTkwODY3MTI3NwMAAAADMTYwAgAAAAQ0MDQ3BAAAAAEwBwAAAAkzLzE0LzIwMjYIAAAACjEyLzMxLzIwMjUJAAAAATAgKhsp/4HeCOfIpin/gd4IJ0NJUS5OQVNEQVFHUzpNU0ZULklRX0dST1NTX01BUkdJTi4yMDAwLgEAAABLVQAAAgAAAAc2OC41ODYzAQgAAAAFAAAAATEBAAAACy0xOTA4NjcxMjc3AwAAAAMxNjACAAAABDQwNzQEAAAAATAHAAAACTMvMTQvMjAyNggAAAAKMTIvMzEvMjAyNQkAAAABMCAqGyn/gd4I58imKf+B3ggrQ0lRLk5BU0RBUUdTOk1TRlQuSVFfRVBTXzVZUl9BTk5fQ0FHUi4yMDAwLgEAAABLVQAAAgAAAAcxOC45NjE2AQgAAAAFAAAAATEBAAAACy0xOTA4NjcxMjc3AwAAAAMxNjACAAAABDQyMzkEAAAAATAHAAAACTMvMTQvMjAyNggAAAAKMTIvMzEvMjAyNQkAAAABMCAqGyn/gd4I58imKf+B3ggwQ0lRLk5BU0RBUUdTOk1TRlQuSVFfRUJJVERBXzFZUl9BTk5fR1JPV1RILjIwMDAuAQAAAEtVAAACAAAABzI0LjUzNDcBCAAAAAUAAAABMQEAAAALLTE5MDg2NzEyNzcDAAAAAzE2</t>
  </si>
  <si>
    <t>MAIAAAAENDE5NgQAAAABMAcAAAAJMy8xNC8yMDI2CAAAAAoxMi8zMS8yMDI1CQAAAAEwICobKf+B3gjnyKYp/4HeCC5DSVEuTkFTREFRR1M6TVNGVC5JUV9FQklUREFfM1lSX0FOTl9DQUdSLjIwMDAuAQAAAEtVAAACAAAABzIxLjY3MjgBCAAAAAUAAAABMQEAAAALLTE5MDg2NzEyNzcDAAAAAzE2MAIAAAAENDIyMgQAAAABMAcAAAAJMy8xNC8yMDI2CAAAAAoxMi8zMS8yMDI1CQAAAAEwICobKf+B3gjEoaYp/4HeCC5DSVEuTkFTREFRR1M6TVNGVC5JUV9FQklUREFfNVlSX0FOTl9DQUdSLjIwMDAuAQAAAEtVAAACAAAABzE5LjUxNTEBCAAAAAUAAAABMQEAAAALLTE5MDg2NzEyNzcDAAAAAzE2MAIAAAAENDIzNQQAAAABMAcAAAAJMy8xNC8yMDI2CAAAAAoxMi8zMS8yMDI1CQAAAAEwICobKf+B3gjEoaYp/4HeCDNDSVEuTkFTREFRR1M6TVNGVC5JUV9UT1RBTF9SRVZfMVlSX0FOTl9HUk9XVEguMjAwMC4BAAAAS1UAAAIAAAAHMTYuNjczMgEIAAAABQAAAAExAQAAAAstMTkwODY3MTI3NwMAAAADMTYwAgAAAAQ0MTk0BAAAAAEwBwAAAAkzLzE0LzIwMjYIAAAACjEyLzMxLzIwMjUJAAAAATAgKhsp/4HeCMShpin/gd4IJUNJUS5OQVNEQVFHUzpNU0ZULklRX0VCSVREQV9JTlQuMjAwMC4BAAAAS1UAAAIAAAAJNjcuODU5MjIzAQgAAAAFAAAAATEBAAAACy0xOTA4NjcxMjc3AwAAAAMxNjACAAAABDQxOTAE</t>
  </si>
  <si>
    <t>AAAAATAHAAAACTMvMTQvMjAyNggAAAAKMTIvMzEvMjAyNQkAAAABMCAqGyn/gd4IxKGmKf+B3ggqQ0lRLk5BU0RBUUdTOk1TRlQuSVFfTkVUX0RFQlRfRUJJVERBLjIwMDAuAQAAAEtVAAACAAAACDAuMTg2MDgxAQgAAAAFAAAAATEBAAAACy0xOTA4NjcxMjc3AwAAAAMxNjACAAAABDQxOTMEAAAAATAHAAAACTMvMTQvMjAyNggAAAAKMTIvMzEvMjAyNQkAAAABMCAqGyn/gd4IxKGmKf+B3ggsQ0lRLk5BU0RBUUdTOk1TRlQuSVFfVE9UQUxfREVCVF9FQklUREEuMjAwMC4BAAAAS1UAAAIAAAAIMC42NzgzNjkBCAAAAAUAAAABMQEAAAALLTE5MDg2NzEyNzcDAAAAAzE2MAIAAAAENDE5MgQAAAABMAcAAAAJMy8xNC8yMDI2CAAAAAoxMi8zMS8yMDI1CQAAAAEwICobKf+B3gjBeqYp/4HeCC1DSVEuTkFTREFRR1M6TVNGVC5JUV9FUFNfMVlSX0FOTl9HUk9XVEguMjAwMC4BAAAAS1UAAAIAAAAHMjguNzczMQEIAAAABQAAAAExAQAAAAstMTkwODY3MTI3NwMAAAADMTYwAgAAAAQ0MjAwBAAAAAEwBwAAAAkzLzE0LzIwMjYIAAAACjEyLzMxLzIwMjUJAAAAATAgKhsp/4HeCMF6pin/gd4IK0NJUS5OQVNEQVFHUzpNU0ZULklRX0VQU18zWVJfQU5OX0NBR1IuMjAwMC4BAAAAS1UAAAIAAAAHMjEuMTAyNAEIAAAABQAAAAExAQAAAAstMTkwODY3MTI3NwMAAAADMTYwAgAAAAQ0MjI2BAAAAAEwBwAAAAkzLzE0LzIw</t>
  </si>
  <si>
    <t>MjYIAAAACjEyLzMxLzIwMjUJAAAAATAgKhsp/4HeCMF6pin/gd4IKENJUS5OQVNEQVFHUzpNU0ZULklRX1JFVFVSTl9BU1NFVFMuMjAwMC4BAAAAS1UAAAIAAAAHMTQuODU5OAEIAAAABQAAAAExAQAAAAstMTkwODY3MTI3NwMAAAADMTYwAgAAAAQ0MTc4BAAAAAEwBwAAAAkzLzE0LzIwMjYIAAAACjEyLzMxLzIwMjUJAAAAATAgKhsp/4HeCMF6pin/gd4IKENJUS5OQVNEQVFHUzpNU0ZULklRX1JFVFVSTl9FUVVJVFkuMjAwMC4BAAAAS1UAAAIAAAAHMzQuMzkwNwEIAAAABQAAAAExAQAAAAstMTkwODY3MTI3NwMAAAADMTYwAgAAAAQ0MTI4BAAAAAEwBwAAAAkzLzE0LzIwMjYIAAAACjEyLzMxLzIwMjUJAAAAATAgKhsp/4HeCMF6pin/gd4ILENJUS5OQVNEQVFHUzpNU0ZULklRX1RPVEFMX0RFQlRfQ0FQSVRBTC41MDAuAQAAAEtVAAACAAAABzIzLjk3NjkBCAAAAAUAAAABMQEAAAALLTE5MDg2NzE1MzEDAAAAAzE2MAIAAAAENDE4NgQAAAABMAcAAAAJMy8xNC8yMDI2CAAAAAoxMi8zMS8yMDI1CQAAAAEwICobKf+B3gisU6Yp/4HeCCtDSVEuTkFTREFRR1M6TVNGVC5JUV9UT1RBTF9ERUJUX0VRVUlUWS41MDAuAQAAAEtVAAACAAAABzMxLjUzODkBCAAAAAUAAAABMQEAAAALLTE5MDg2NzE1MzEDAAAAAzE2MAIAAAAENDAzNAQAAAABMAcAAAAJMy8xNC8yMDI2CAAAAAoxMi8zMS8yMDI1CQAAAAEwICob</t>
  </si>
  <si>
    <t>Kf+B3gisU6Yp/4HeCCtDSVEuTkFTREFRR1M6TVNGVC5JUV9FQklUREFfQ0FQRVhfSU5ULjIwMDAuAQAAAEtVAAACAAAACTM2LjgzMDg0MwEIAAAABQAAAAExAQAAAAstMTkwODY3MTI3NwMAAAADMTYwAgAAAAQ0MTkxBAAAAAEwBwAAAAkzLzE0LzIwMjYIAAAACjEyLzMxLzIwMjUJAAAAATAgKhsp/4HeCKxTpin/gd4ILUNJUS5OQVNEQVFHUzpNU0ZULklRX0RBWVNfSU5WRU5UT1JZX09VVC4yMDAwLgEAAABLVQAAAgAAAAczLjc0MjcxAQgAAAAFAAAAATEBAAAACy0xOTA4NjcxMjc3AwAAAAMxNjACAAAABDQwMzUEAAAAATAHAAAACTMvMTQvMjAyNggAAAAKMTIvMzEvMjAyNQkAAAABMCAqGyn/gd4IrFOmKf+B3ggpQ0lRLk5BU0RBUUdTOk1TRlQuSVFfREFZU19TQUxFU19PVVQuMjAwMC4BAAAAS1UAAAIAAAAINjIuNTY5MDMBCAAAAAUAAAABMQEAAAALLTE5MDg2NzEyNzcDAAAAAzE2MAIAAAAENDA0MgQAAAABMAcAAAAJMy8xNC8yMDI2CAAAAAoxMi8zMS8yMDI1CQAAAAEwICobKf+B3gjBeqYp/4HeCCVDSVEuTkFTREFRR1M6TVNGVC5JUV9RVUlDS19SQVRJTy41MDAuAQAAAEtVAAACAAAABzEuMjM5MTYBCAAAAAUAAAABMQEAAAALLTE5MDg2NzE1MzEDAAAAAzE2MAIAAAAENDEyMQQAAAABMAcAAAAJMy8xNC8yMDI2CAAAAAoxMi8zMS8yMDI1CQAAAAEwICobKf+B3gh4P6Yp/4HeCCdDSVEuTkFTREFR</t>
  </si>
  <si>
    <t>R1M6TVNGVC5JUV9DVVJSRU5UX1JBVElPLjUwMC4BAAAAS1UAAAIAAAAIMS4zODYwMjMBCAAAAAUAAAABMQEAAAALLTE5MDg2NzE1MzEDAAAAAzE2MAIAAAAENDAzMAQAAAABMAcAAAAJMy8xNC8yMDI2CAAAAAoxMi8zMS8yMDI1CQAAAAEwICobKf+B3gh4P6Yp/4HeCDJDSVEuTkFTREFRR1M6TVNGVC5JUV9SRVRVUk5fSU5WRVNURURfQ0FQSVRBTC4yMDAwLgEAAABLVQAAAgAAAAcyMC40Mzg2ACAqGyn/gd4IeD+mKf+B3ggjQ0lRLk5BU0RBUUdTOk1TRlQuSVFfQVJfVFVSTlMuMjAwMC4BAAAAS1UAAAIAAAAINS44MzM1NDEBCAAAAAUAAAABMQEAAAALLTE5MDg2NzEyNzcDAAAAAzE2MAIAAAAENDAwMQQAAAABMAcAAAAJMy8xNC8yMDI2CAAAAAoxMi8zMS8yMDI1CQAAAAEwICobKf+B3gisU6Yp/4HeCCxDSVEuTkFTREFRR1M6TVNGVC5JUV9GSVhFRF9BU1NFVF9UVVJOUy4yMDAwLgEAAABLVQAAAgAAAAgxLjI4MzU1OAEIAAAABQAAAAExAQAAAAstMTkwODY3MTI3NwMAAAADMTYwAgAAAAQ0MDY2BAAAAAEwBwAAAAkzLzE0LzIwMjYIAAAACjEyLzMxLzIwMjUJAAAAATAgKhsp/4HeCKxTpin/gd4IJkNJUS5OQVNEQVFHUzpNU0ZULklRX0FTU0VUX1RVUk5TLjIwMDAuAQAAAEtVAAACAAAACDAuNTA5NDI3AQgAAAAFAAAAATEBAAAACy0xOTA4NjcxMjc3AwAAAAMxNjACAAAABDQxNzcEAAAAATAHAAAACTMv</t>
  </si>
  <si>
    <t>MTQvMjAyNggAAAAKMTIvMzEvMjAyNQkAAAABMCAqGyn/gd4IlAWmKf+B3ggqQ0lRLk5BU0RBUUdTOk1TRlQuSVFfQ0FTSF9DT05WRVJTSU9OLjIwMDAuAQAAAEtVAAACAAAACS00Ny41MDU0OAEIAAAABQAAAAExAQAAAAstMTkwODY3MTI3NwMAAAADMTYwAgAAAAQ0MTg0BAAAAAEwBwAAAAkzLzE0LzIwMjYIAAAACjEyLzMxLzIwMjUJAAAAATAgKhsp/4HeCJQFpin/gd4IK0NJUS5OQVNEQVFHUzpNU0ZULklRX0RBWVNfUEFZQUJMRV9PVVQuMjAwMC4BAAAAS1UAAAIAAAAJMTEzLjgxNzIyAQgAAAAFAAAAATEBAAAACy0xOTA4NjcxMjc3AwAAAAMxNjACAAAABDQxODMEAAAAATAHAAAACTMvMTQvMjAyNggAAAAKMTIvMzEvMjAyNQkAAAABMCAqGyn/gd4IlSymKf+B3ggqQ0lRLk5BU0RBUUdTOk1TRlQuSVFfSU5WRU5UT1JZX1RVUk5TLjIwMDAuAQAAAEtVAAACAAAACTk3LjUxNDIyNwEIAAAABQAAAAExAQAAAAstMTkwODY3MTI3NwMAAAADMTYwAgAAAAQ0MDgyBAAAAAEwBwAAAAkzLzE0LzIwMjYIAAAACjEyLzMxLzIwMjUJAAAAATAgKhsp/4HeCJUspin/gd4IJUNJUS5OQVNEQVFHUzpDVFNILklRX1BFUklPRERBVEUuMjAwMC4BAAAA6OMFAAUAAAAKMzEvMTIvMjAyNQAgKhsp/4HeCJUspin/gd4IJUNJUS5OQVNEQVFHUzpDVFNILklRX1BFUklPRERBVEUuMTAwMC4BAAAA6OMFAAUAAAAKMzEvMTIvMjAy</t>
  </si>
  <si>
    <t>NQAgKhsp/4HeCBrepSn/gd4IKENJUS5OQVNEQVFHUzpDVFNILklRX0VCSVREQV9NQVJHSU4uMjAwMC4BAAAA6OMFAAIAAAAHMTguMTYzNwEIAAAABQAAAAExAQAAAAstMTkwNjk2MDM4MgMAAAADMTYwAgAAAAQ0MDQ3BAAAAAEwBwAAAAkzLzE0LzIwMjYIAAAACjEyLzMxLzIwMjUJAAAAATAgKhsp/4HeCMCbpSn/gd4IJ0NJUS5OQVNEQVFHUzpDVFNILklRX0dST1NTX01BUkdJTi4yMDAwLgEAAADo4wUAAgAAAAYzMy43MTcBCAAAAAUAAAABMQEAAAALLTE5MDY5NjAzODIDAAAAAzE2MAIAAAAENDA3NAQAAAABMAcAAAAJMy8xNC8yMDI2CAAAAAoxMi8zMS8yMDI1CQAAAAEwICobKf+B3ghJyqUp/4HeCC5DSVEuTkFTREFRR1M6Q1RTSC5JUV9FQklUREFfNVlSX0FOTl9DQUdSLjIwMDAuAQAAAOjjBQACAAAABjYuMDUxOAEIAAAABQAAAAExAQAAAAstMTkwNjk2MDM4MgMAAAADMTYwAgAAAAQ0MjM1BAAAAAEwBwAAAAkzLzE0LzIwMjYIAAAACjEyLzMxLzIwMjUJAAAAATAgKhsp/4HeCMCbpSn/gd4IM0NJUS5OQVNEQVFHUzpDVFNILklRX1RPVEFMX1JFVl8xWVJfQU5OX0dST1dUSC4yMDAwLgEAAADo4wUAAgAAAAY2Ljk1MTcBCAAAAAUAAAABMQEAAAALLTE5MDY5NjAzODIDAAAAAzE2MAIAAAAENDE5NAQAAAABMAcAAAAJMy8xNC8yMDI2CAAAAAoxMi8zMS8yMDI1CQAAAAEwICobKf+B3gjAm6Up/4HeCDFD</t>
  </si>
  <si>
    <t>SVEuTkFTREFRR1M6Q1RTSC5JUV9UT1RBTF9SRVZfM1lSX0FOTl9DQUdSLjIwMDAuAQAAAOjjBQACAAAABjIuODAzMQEIAAAABQAAAAExAQAAAAstMTkwNjk2MDM4MgMAAAADMTYwAgAAAAQ0MjIwBAAAAAEwBwAAAAkzLzE0LzIwMjYIAAAACjEyLzMxLzIwMjUJAAAAATAgKhsp/4HeCMCbpSn/gd4IMUNJUS5OQVNEQVFHUzpDVFNILklRX1RPVEFMX1JFVl81WVJfQU5OX0NBR1IuMjAwMC4BAAAA6OMFAAIAAAAGNC44NTY3AQgAAAAFAAAAATEBAAAACy0xOTA2OTYwMzgyAwAAAAMxNjACAAAABDQyMzMEAAAAATAHAAAACTMvMTQvMjAyNggAAAAKMTIvMzEvMjAyNQkAAAABMCAqGyn/gd4IPnSlKf+B3ggkQ0lRLk5BU0RBUUdTOkNUU0guSVFfTklfTUFSR0lOLjIwMDAuAQAAAOjjBQACAAAABzEwLjU2NDcBCAAAAAUAAAABMQEAAAALLTE5MDY5NjAzODIDAAAAAzE2MAIAAAAENDA5NAQAAAABMAcAAAAJMy8xNC8yMDI2CAAAAAoxMi8zMS8yMDI1CQAAAAEwICobKf+B3gg+dKUp/4HeCC1DSVEuTkFTREFRR1M6Q1RTSC5JUV9FUFNfMVlSX0FOTl9HUk9XVEguMjAwMC4BAAAA6OMFAAIAAAAGMS4xMDg2AQgAAAAFAAAAATEBAAAACy0xOTA2OTYwMzgyAwAAAAMxNjACAAAABDQyMDAEAAAAATAHAAAACTMvMTQvMjAyNggAAAAKMTIvMzEvMjAyNQkAAAABMCAqGyn/gd4IPnSlKf+B3ggrQ0lRLk5BU0RBUUdTOkNUU0gu</t>
  </si>
  <si>
    <t>SVFfRVBTXzNZUl9BTk5fQ0FHUi4yMDAwLgEAAADo4wUAAgAAAAYxLjEyMTEBCAAAAAUAAAABMQEAAAALLTE5MDY5NjAzODIDAAAAAzE2MAIAAAAENDIyNgQAAAABMAcAAAAJMy8xNC8yMDI2CAAAAAoxMi8zMS8yMDI1CQAAAAEwICobKf+B3gg+dKUp/4HeCCtDSVEuTkFTREFRR1M6Q1RTSC5JUV9FUFNfNVlSX0FOTl9DQUdSLjIwMDAuAQAAAOjjBQACAAAABzEyLjE1MTgBCAAAAAUAAAABMQEAAAALLTE5MDY5NjAzODIDAAAAAzE2MAIAAAAENDIzOQQAAAABMAcAAAAJMy8xNC8yMDI2CAAAAAoxMi8zMS8yMDI1CQAAAAEwICobKf+B3gg+dKUp/4HeCDBDSVEuTkFTREFRR1M6Q1RTSC5JUV9FQklUREFfMVlSX0FOTl9HUk9XVEguMjAwMC4BAAAA6OMFAAIAAAAGOC45NTE0AQgAAAAFAAAAATEBAAAACy0xOTA2OTYwMzgyAwAAAAMxNjACAAAABDQxOTYEAAAAATAHAAAACTMvMTQvMjAyNggAAAAKMTIvMzEvMjAyNQkAAAABMCAqGyn/gd4IZkylKf+B3gguQ0lRLk5BU0RBUUdTOkNUU0guSVFfRUJJVERBXzNZUl9BTk5fQ0FHUi4yMDAwLgEAAADo4wUAAgAAAAYzLjA4NDgBCAAAAAUAAAABMQEAAAALLTE5MDY5NjAzODIDAAAAAzE2MAIAAAAENDIyMgQAAAABMAcAAAAJMy8xNC8yMDI2CAAAAAoxMi8zMS8yMDI1CQAAAAEwICobKf+B3ghmTKUp/4HeCCtDSVEuTkFTREFRR1M6Q1RTSC5JUV9UT1RBTF9ERUJUX0VR</t>
  </si>
  <si>
    <t>VUlUWS41MDAuAQAAAOjjBQACAAAABjcuODE4OAEIAAAABQAAAAExAQAAAAstMTkwNjk2MDM4NAMAAAADMTYwAgAAAAQ0MDM0BAAAAAEwBwAAAAkzLzE0LzIwMjYIAAAACjEyLzMxLzIwMjUJAAAAATAgKhsp/4HeCFtgpSn/gd4IK0NJUS5OQVNEQVFHUzpDVFNILklRX0VCSVREQV9DQVBFWF9JTlQuMjAwMC4BAAAA6OMFAAIAAAAKMTAxLjU5NDU5NAEIAAAABQAAAAExAQAAAAstMTkwNjk2MDM4MgMAAAADMTYwAgAAAAQ0MTkxBAAAAAEwBwAAAAkzLzE0LzIwMjYIAAAACjEyLzMxLzIwMjUJAAAAATAgKhsp/4HeCFtgpSn/gd4IJUNJUS5OQVNEQVFHUzpDVFNILklRX0VCSVREQV9JTlQuMjAwMC4BAAAA6OMFAAIAAAAKMTA5LjM3ODM3OAEIAAAABQAAAAExAQAAAAstMTkwNjk2MDM4MgMAAAADMTYwAgAAAAQ0MTkwBAAAAAEwBwAAAAkzLzE0LzIwMjYIAAAACjEyLzMxLzIwMjUJAAAAATAgKhsp/4HeCFtgpSn/gd4IKkNJUS5OQVNEQVFHUzpDVFNILklRX05FVF9ERUJUX0VCSVREQS4yMDAwLgEAAADo4wUAAwAAAAJOTQEIAAAABQAAAAExAQAAAAstMTkwNjk2MDM4MgMAAAADMTYwAgAAAAQ0MTkzBAAAAAEwBwAAAAkzLzE0LzIwMjYIAAAACjEyLzMxLzIwMjUJAAAAATAgKhsp/4HeCGYlpSn/gd4ILENJUS5OQVNEQVFHUzpDVFNILklRX1RPVEFMX0RFQlRfRUJJVERBLjIwMDAuAQAAAOjjBQACAAAACDAuMjkw</t>
  </si>
  <si>
    <t>MDkxAQgAAAAFAAAAATEBAAAACy0xOTA2OTYwMzgyAwAAAAMxNjACAAAABDQxOTIEAAAAATAHAAAACTMvMTQvMjAyNggAAAAKMTIvMzEvMjAyNQkAAAABMCAqGyn/gd4IZiWlKf+B3ggnQ0lRLk5BU0RBUUdTOkNUU0guSVFfQ1VSUkVOVF9SQVRJTy41MDAuAQAAAOjjBQACAAAACDIuMTM2NjQ5AQgAAAAFAAAAATEBAAAACy0xOTA2OTYwMzg0AwAAAAMxNjACAAAABDQwMzAEAAAAATAHAAAACTMvMTQvMjAyNggAAAAKMTIvMzEvMjAyNQkAAAABMCAqGyn/gd4IZiWlKf+B3ggyQ0lRLk5BU0RBUUdTOkNUU0guSVFfUkVUVVJOX0lOVkVTVEVEX0NBUElUQUwuMjAwMC4BAAAA6OMFAAIAAAAHMTAuMDkzNAAgKhsp/4HeCGYlpSn/gd4IKENJUS5OQVNEQVFHUzpDVFNILklRX1JFVFVSTl9BU1NFVFMuMjAwMC4BAAAA6OMFAAIAAAAHMTAuMjI4NgEIAAAABQAAAAExAQAAAAstMTkwNjk2MDM4MgMAAAADMTYwAgAAAAQ0MTc4BAAAAAEwBwAAAAkzLzE0LzIwMjYIAAAACjEyLzMxLzIwMjUJAAAAATAgKhsp/4HeCGZMpSn/gd4IKENJUS5OQVNEQVFHUzpDVFNILklRX1JFVFVSTl9FUVVJVFkuMjAwMC4BAAAA6OMFAAIAAAAHMTUuMTU4MgEIAAAABQAAAAExAQAAAAstMTkwNjk2MDM4MgMAAAADMTYwAgAAAAQ0MTI4BAAAAAEwBwAAAAkzLzE0LzIwMjYIAAAACjEyLzMxLzIwMjUJAAAAATAgKhsp/4HeCNb9pCn/gd4ILENJ</t>
  </si>
  <si>
    <t>US5OQVNEQVFHUzpDVFNILklRX1RPVEFMX0RFQlRfQ0FQSVRBTC41MDAuAQAAAOjjBQACAAAABjcuMjUxOAEIAAAABQAAAAExAQAAAAstMTkwNjk2MDM4NAMAAAADMTYwAgAAAAQ0MTg2BAAAAAEwBwAAAAkzLzE0LzIwMjYIAAAACjEyLzMxLzIwMjUJAAAAATAgKhsp/4HeCNb9pCn/gd4IKkNJUS5OQVNEQVFHUzpDVFNILklRX0NBU0hfQ09OVkVSU0lPTi4yMDAwLgEAAADo4wUAAwAAAAAAICobKf+B3gjW/aQp/4HeCCtDSVEuTkFTREFRR1M6Q1RTSC5JUV9EQVlTX1BBWUFCTEVfT1VULjIwMDAuAQAAAOjjBQACAAAACDguNDUyMzA1AQgAAAAFAAAAATEBAAAACy0xOTA2OTYwMzgyAwAAAAMxNjACAAAABDQxODMEAAAAATAHAAAACTMvMTQvMjAyNggAAAAKMTIvMzEvMjAyNQkAAAABMCAqGyn/gd4I1v2kKf+B3ggtQ0lRLk5BU0RBUUdTOkNUU0guSVFfREFZU19JTlZFTlRPUllfT1VULjIwMDAuAQAAAOjjBQADAAAAAAAgKhsp/4HeCGYlpSn/gd4IKUNJUS5OQVNEQVFHUzpDVFNILklRX0RBWVNfU0FMRVNfT1VULjIwMDAuAQAAAOjjBQACAAAACDczLjQ3Mzc3AQgAAAAFAAAAATEBAAAACy0xOTA2OTYwMzgyAwAAAAMxNjACAAAABDQwNDIEAAAAATAHAAAACTMvMTQvMjAyNggAAAAKMTIvMzEvMjAyNQkAAAABMCAqGyn/gd4IvcSkKf+B3gglQ0lRLk5BU0RBUUdTOkNUU0guSVFfUVVJQ0tfUkFUSU8uNTAwLgEA</t>
  </si>
  <si>
    <t>AADo4wUAAgAAAAgxLjczNjI2NgEIAAAABQAAAAExAQAAAAstMTkwNjk2MDM4NAMAAAADMTYwAgAAAAQ0MTIxBAAAAAEwBwAAAAkzLzE0LzIwMjYIAAAACjEyLzMxLzIwMjUJAAAAATAgKhsp/4HeCL3EpCn/gd4IKkNJUS5OQVNEQVFHUzpDVFNILklRX0lOVkVOVE9SWV9UVVJOUy4yMDAwLgEAAADo4wUAAwAAAAAAICobKf+B3gi9xKQp/4HeCCNDSVEuTkFTREFRR1M6Q1RTSC5JUV9BUl9UVVJOUy4yMDAwLgEAAADo4wUAAgAAAAg0Ljk2Nzc1NwEIAAAABQAAAAExAQAAAAstMTkwNjk2MDM4MgMAAAADMTYwAgAAAAQ0MDAxBAAAAAEwBwAAAAkzLzE0LzIwMjYIAAAACjEyLzMxLzIwMjUJAAAAATAgKhsp/4HeCNb9pCn/gd4ILENJUS5OQVNEQVFHUzpDVFNILklRX0ZJWEVEX0FTU0VUX1RVUk5TLjIwMDAuAQAAAOjjBQACAAAACTEzLjgzMjI0MQEIAAAABQAAAAExAQAAAAstMTkwNjk2MDM4MgMAAAADMTYwAgAAAAQ0MDY2BAAAAAEwBwAAAAkzLzE0LzIwMjYIAAAACjEyLzMxLzIwMjUJAAAAATAgKhsp/4HeCNb9pCn/gd4IJkNJUS5OQVNEQVFHUzpDVFNILklRX0FTU0VUX1RVUk5TLjIwMDAuAQAAAOjjBQACAAAACDEuMDM4MzE5AQgAAAAFAAAAATEBAAAACy0xOTA2OTYwMzgyAwAAAAMxNjACAAAABDQxNzcEAAAAATAHAAAACTMvMTQvMjAyNggAAAAKMTIvMzEvMjAyNQkAAAABMCAqGyn/gd4IvcSkKf+B3ggy</t>
  </si>
  <si>
    <t>Q0lRQVZHLk5ZU0U6SUJNLklRX1BUQlYuMjAwMC4zMS8xMi8yMDE1LjMxLzEyLzIwMTYBAAAA3rYBAAMAAAACTk0AICobKf+B3ghxbLcp/4HeCDFDSVFBVkcuTllTRTpJQk0uSVFfUEJWLjIwMDAuMzEvMTIvMjAxNS4zMS8xMi8yMDE2AQAAAN62AQACAAAAEDkuNDE3OTMwMjQ4NTM5MDIAICobKf+B3ghxbLcp/4HeCDVDSVFBVkcuTllTRTpJQk0uSVFfUEVfRVhDTC4yMDAwLjMxLzEyLzIwMTUuMzEvMTIvMjAxNgEAAADetgEAAgAAABAxMS42NzcyMzc0Njc1OTcxACAqGyn/gd4IcWy3Kf+B3gg2Q0lRQVZHLk5ZU0U6SUJNLklRX1RFVl9FQklULjIwMDAuMzEvMTIvMjAxNS4zMS8xMi8yMDE2AQAAAN62AQACAAAAEDEyLjA3NjA1NTAyODAzMTEAICobKf+B3ghxbLcp/4HeCDhDSVFBVkcuTllTRTpJQk0uSVFfVEVWX0VCSVREQS4yMDAwLjMxLzEyLzIwMTUuMzEvMTIvMjAxNgEAAADetgEAAgAAABA5LjQ1NzU3ODIzMDEwMzU4ACAqGyn/gd4IcWy3Kf+B3gg7Q0lRQVZHLk5ZU0U6SUJNLklRX1RFVl9UT1RBTF9SRVYuMjAwMC4zMS8xMi8yMDE1LjMxLzEyLzIwMTYBAAAA3rYBAAIAAAAQMi4xODE0NTM4MTgzMDA3OAAgKhsp/4HeCFRFtyn/gd4IMkNJUUFWRy5OWVNFOklCTS5JUV9QVEJWLjIwMDAuMzAvMDkvMjAyNS4zMS8xMi8yMDI1AQAAAN62AQADAAAAAk5NACAqGyn/gd4IVEW3Kf+B3ggxQ0lRQVZHLk5Z</t>
  </si>
  <si>
    <t>U0U6SUJNLklRX1BCVi4yMDAwLjMwLzA5LzIwMjUuMzEvMTIvMjAyNQEAAADetgEAAgAAABAxMC4wNDg0NDQ4MDk3NTE1ACAqGyn/gd4IVEW3Kf+B3gg1Q0lRQVZHLk5ZU0U6SUJNLklRX1BFX0VYQ0wuMjAwMC4zMC8wOS8yMDI1LjMxLzEyLzIwMjUBAAAA3rYBAAIAAAAQMzguNjQ5Mjk5MjQ3NTg0NAAgKhsp/4HeCFRFtyn/gd4INkNJUUFWRy5OWVNFOklCTS5JUV9URVZfRUJJVC4yMDAwLjMwLzA5LzIwMjUuMzEvMTIvMjAyNQEAAADetgEAAgAAABAyOS4xMzQ0NjM5MDg4OTcyACAqGyn/gd4IcWy3Kf+B3gg4Q0lRQVZHLk5ZU0U6SUJNLklRX1RFVl9FQklUREEuMjAwMC4zMC8wOS8yMDI1LjMxLzEyLzIwMjUBAAAA3rYBAAIAAAAPMjAuNTE2NTAxNDE3MjQ5ACAqGyn/gd4IKve2Kf+B3gg7Q0lRQVZHLk5ZU0U6SUJNLklRX1RFVl9UT1RBTF9SRVYuMjAwMC4zMC8wOS8yMDI1LjMxLzEyLzIwMjUBAAAA3rYBAAIAAAAQNS4wOTIzMTA3MTI1MTIxNQAgKhsp/4HeCCr3tin/gd4IMkNJUUFWRy5OWVNFOklCTS5JUV9QVEJWLjIwMDAuMzEvMTIvMjAxNC4zMS8xMi8yMDE1AQAAAN62AQADAAAAAk5NACAqGyn/gd4IPB63Kf+B3ggxQ0lRQVZHLk5ZU0U6SUJNLklRX1BCVi4yMDAwLjMxLzEyLzIwMTQuMzEvMTIvMjAxNQEAAADetgEAAgAAABAxMi4wMTE1ODY1NTQ4OTU0ACAqGyn/gd4IPB63Kf+B3gg1Q0lRQVZH</t>
  </si>
  <si>
    <t>Lk5ZU0U6SUJNLklRX1BFX0VYQ0wuMjAwMC4zMS8xMi8yMDE0LjMxLzEyLzIwMTUBAAAA3rYBAAIAAAAQMTAuMTcwMDYwNTA1MzQ4MgAgKhsp/4HeCDwetyn/gd4INkNJUUFWRy5OWVNFOklCTS5JUV9URVZfRUJJVC4yMDAwLjMxLzEyLzIwMTQuMzEvMTIvMjAxNQEAAADetgEAAgAAABA5Ljc5OTMzNjAyNTg4NTM1ACAqGyn/gd4IDKm2Kf+B3gg4Q0lRQVZHLk5ZU0U6SUJNLklRX1RFVl9FQklUREEuMjAwMC4zMS8xMi8yMDE0LjMxLzEyLzIwMTUBAAAA3rYBAAIAAAAQNy45ODgyNDUyMzgzNDA3MQAgKhsp/4HeCCnQtin/gd4IO0NJUUFWRy5OWVNFOklCTS5JUV9URVZfVE9UQUxfUkVWLjIwMDAuMzEvMTIvMjAxNC4zMS8xMi8yMDE1AQAAAN62AQACAAAAEDIuMDYxNjM2ODUxNjc5NDMAICobKf+B3ggp0LYp/4HeCCNDSVEuTllTRTpTTlguSVFfVEVWX1RPVEFMX1JFVi4yMDAwLgEAAADFZwYAAgAAABAwLjIzOTg2ODQ2MDYxMTY0AQcAAAAFAAAAATEBAAAACy0xOTA4ODMyNzgyAwAAAAEwAgAAAAYxMDAwNjEEAAAAATAHAAAACTMvMTMvMjAyNggAAAAJMy8xMy8yMDI2ICobKf+B3gitMbAp/4HeCCBDSVEuTllTRTpTTlguSVFfVEVWX0VCSVREQS4yMDAwLgEAAADFZwYAAgAAAA83LjU5MTA5MTE5MjgyMjEBBwAAAAUAAAABMQEAAAALLTE5MDg4MzI3ODIDAAAAATACAAAABjEwMDA2MwQAAAABMAcAAAAJMy8x</t>
  </si>
  <si>
    <t>My8yMDI2CAAAAAkzLzEzLzIwMjYgKhsp/4HeCI/jryn/gd4IGUNJUS5OWVNFOlNOWC5JUV9QQlYuMjAwMC4BAAAAxWcGAAIAAAAQMS40NTE1ODQ3NzEwMzg3NgEHAAAABQAAAAExAQAAAAstMTkwODgzMjc4MgMAAAABMAIAAAAGMTAwMDY3BAAAAAEwBwAAAAkzLzEzLzIwMjYIAAAACTMvMTMvMjAyNiAqGyn/gd4InAqwKf+B3ggdQ0lRLk5ZU0U6U05YLklRX1BFX0VYQ0wuMjAwMC4BAAAAxWcGAAIAAAAQMTUuMzkwNzU4MzI5MDE0MwEHAAAABQAAAAExAQAAAAstMTkwODgzMjc4MgMAAAABMAIAAAAGMTAwMDY2BAAAAAEwBwAAAAkzLzEzLzIwMjYIAAAACTMvMTMvMjAyNiAqGyn/gd4Ij+OvKf+B3ggaQ0lRLk5ZU0U6U05YLklRX1BUQlYuMjAwMC4BAAAAxWcGAAIAAAAQMjEuMjg5Mzc5NTgyOTM3MgEHAAAABQAAAAExAQAAAAstMTkwODgzMjc4MgMAAAABMAIAAAAGMTAwMDY4BAAAAAEwBwAAAAkzLzEzLzIwMjYIAAAACTMvMTMvMjAyNiAqGyn/gd4IhryvKf+B3gggQ0lRLk5ZU0U6SFBFLklRX1RFVl9FQklUREEuMjAwMC4BAAAADqlUEAIAAAAQOC42MjE2MTYwNzEzNDMwNgEHAAAABQAAAAExAQAAAAstMTkwMjM2NzU5NQMAAAABMAIAAAAGMTAwMDYzBAAAAAEwBwAAAAkzLzEzLzIwMjYIAAAACTMvMTMvMjAyNiAqGyn/gd4IOtKuKf+B3ggjQ0lRLk5ZU0U6SFBFLklRX1RFVl9UT1RBTF9SRVYuMjAwMC4B</t>
  </si>
  <si>
    <t>AAAADqlUEAIAAAAQMS4yNzMzNTQ1Mzc2ODkwNgEHAAAABQAAAAExAQAAAAstMTkwMjM2NzU5NQMAAAABMAIAAAAGMTAwMDYxBAAAAAEwBwAAAAkzLzEzLzIwMjYIAAAACTMvMTMvMjAyNiAqGyn/gd4IOtKuKf+B3ggdQ0lRLk5ZU0U6SFBFLklRX1BFX0VYQ0wuMjAwMC4BAAAADqlUEAMAAAACTk0BBwAAAAUAAAABMQEAAAALLTE5MDIzNjc1OTUDAAAAATACAAAABjEwMDA2NgQAAAABMAcAAAAJMy8xMy8yMDI2CAAAAAkzLzEzLzIwMjYgKhsp/4HeCD2rrin/gd4IGkNJUS5OWVNFOkhQRS5JUV9QVEJWLjIwMDAuAQAAAA6pVBADAAAAAk5NAQcAAAAFAAAAATEBAAAACy0xOTAyMzY3NTk1AwAAAAEwAgAAAAYxMDAwNjgEAAAAATAHAAAACTMvMTMvMjAyNggAAAAJMy8xMy8yMDI2ICobKf+B3ging64p/4HeCBlDSVEuTllTRTpIUEUuSVFfUEJWLjIwMDAuAQAAAA6pVBACAAAAEDEuMTU3NTkwMTg2ODk2NjQBBwAAAAUAAAABMQEAAAALLTE5MDIzNjc1OTUDAAAAATACAAAABjEwMDA2NwQAAAABMAcAAAAJMy8xMy8yMDI2CAAAAAkzLzEzLzIwMjYgKhsp/4HeCD2rrin/gd4IIENJUS5OWVNFOkFDTi5JUV9URVZfRUJJVERBLjIwMDAuAQAAAJ7VDgACAAAAEDguOTg4MDUzNTA3MTU5MjcBBwAAAAUAAAABMQEAAAALLTE5MTE3MDA0NjgDAAAAATACAAAABjEwMDA2MwQAAAABMAcAAAAJMy8xMy8yMDI2CAAAAAkzLzEz</t>
  </si>
  <si>
    <t>LzIwMjYgKhsp/4HeCAVxrSn/gd4II0NJUS5OWVNFOkFDTi5JUV9URVZfVE9UQUxfUkVWLjIwMDAuAQAAAJ7VDgACAAAAEDEuNzA1MjA0NTI5ODcxNzEBBwAAAAUAAAABMQEAAAALLTE5MTE3MDA0NjgDAAAAATACAAAABjEwMDA2MQQAAAABMAcAAAAJMy8xMy8yMDI2CAAAAAkzLzEzLzIwMjYgKhsp/4HeCAVxrSn/gd4IHUNJUS5OWVNFOkFDTi5JUV9QRV9FWENMLjIwMDAuAQAAAJ7VDgACAAAAEDE2LjI2OTQ2NjM3NzIyMjEBBwAAAAUAAAABMQEAAAALLTE5MTE3MDA0NjgDAAAAATACAAAABjEwMDA2NgQAAAABMAcAAAAJMy8xMy8yMDI2CAAAAAkzLzEzLzIwMjYgKhsp/4HeCHpJrSn/gd4IGkNJUS5OWVNFOkFDTi5JUV9QVEJWLjIwMDAuAQAAAJ7VDgACAAAAEDIwLjQ2MDc4MzI5MDU5OTYBBwAAAAUAAAABMQEAAAALLTE5MTE3MDA0NjgDAAAAATACAAAABjEwMDA2OAQAAAABMAcAAAAJMy8xMy8yMDI2CAAAAAkzLzEzLzIwMjYgKhsp/4HeCHoOrSn/gd4IGUNJUS5OWVNFOkFDTi5JUV9QQlYuMjAwMC4BAAAAntUOAAIAAAAQMy45MjAyOTMzODgyNTgyNAEHAAAABQAAAAExAQAAAAstMTkxMTcwMDQ2OAMAAAABMAIAAAAGMTAwMDY3BAAAAAEwBwAAAAkzLzEzLzIwMjYIAAAACTMvMTMvMjAyNiAqGyn/gd4IrKusKf+B3ggkQ0lRLk5ZU0U6T1JDTC5JUV9URVZfVE9UQUxfUkVWLjIwMDAuAQAAAOdWAAACAAAA</t>
  </si>
  <si>
    <t>EDguOTY4MjAxNzQ1NzM5NDQBBwAAAAUAAAABMQEAAAALLTE5MDIxNzY0NzcDAAAAATACAAAABjEwMDA2MQQAAAABMAcAAAAJMy8xMy8yMDI2CAAAAAkzLzEzLzIwMjYgKhsp/4HeCAbUqyn/gd4IIUNJUS5OWVNFOk9SQ0wuSVFfVEVWX0VCSVREQS4yMDAwLgEAAADnVgAAAgAAABAxOC41MDM1NTc5Mjk1NDY2AQcAAAAFAAAAATEBAAAACy0xOTAyMTc2NDc3AwAAAAEwAgAAAAYxMDAwNjMEAAAAATAHAAAACTMvMTMvMjAyNggAAAAJMy8xMy8yMDI2ICobKf+B3gj2rKsp/4HeCBtDSVEuTllTRTpPUkNMLklRX1BUQlYuMjAwMC4BAAAA51YAAAMAAAACTk0BBwAAAAUAAAABMQEAAAALLTE5MDIxNzY0NzcDAAAAATACAAAABjEwMDA2OAQAAAABMAcAAAAJMy8xMy8yMDI2CAAAAAkzLzEzLzIwMjYgKhsp/4HeCPasqyn/gd4IGkNJUS5OWVNFOk9SQ0wuSVFfUEJWLjIwMDAuAQAAAOdWAAACAAAAEDEzLjI5NTQwODAwNTU2NTQBBwAAAAUAAAABMQEAAAALLTE5MDIxNzY0NzcDAAAAATACAAAABjEwMDA2NwQAAAABMAcAAAAJMy8xMy8yMDI2CAAAAAkzLzEzLzIwMjYgKhsp/4HeCPasqyn/gd4IHkNJUS5OWVNFOk9SQ0wuSVFfUEVfRVhDTC4yMDAwLgEAAADnVgAAAgAAABAyNy44MzI0MzYyMDkzMzM4AQcAAAAFAAAAATEBAAAACy0xOTAyMTc2NDc3AwAAAAEwAgAAAAYxMDAwNjYEAAAAATAHAAAACTMvMTMvMjAyNggA</t>
  </si>
  <si>
    <t>AAAJMy8xMy8yMDI2ICobKf+B3gjYXqsp/4HeCCRDSVEuTkFTREFRR1M6SE9OLklRX1RFVl9FQklUREEuMjAwMC4BAAAARHUUAAIAAAAQMTkuNzMxMTI4MTk3Nzk2NgEHAAAABQAAAAExAQAAAAstMTkwNjExNzY0OAMAAAABMAIAAAAGMTAwMDYzBAAAAAEwBwAAAAkzLzEzLzIwMjYIAAAACTMvMTMvMjAyNiAqGyn/gd4Ia/+pKf+B3ggnQ0lRLk5BU0RBUUdTOkhPTi5JUV9URVZfVE9UQUxfUkVWLjIwMDAuAQAAAER1FAACAAAAEDQuNjE1ODA0NDk0NTM4MjIBBwAAAAUAAAABMQEAAAALLTE5MDYxMTc2NDgDAAAAATACAAAABjEwMDA2MQQAAAABMAcAAAAJMy8xMy8yMDI2CAAAAAkzLzEzLzIwMjYgKhsp/4HeCOgmqin/gd4IIUNJUS5OQVNEQVFHUzpIT04uSVFfUEVfRVhDTC4yMDAwLgEAAABEdRQAAgAAABAzNC4wNDkzMTc2NDE1MTA1AQcAAAAFAAAAATEBAAAACy0xOTA2MTE3NjQ4AwAAAAEwAgAAAAYxMDAwNjYEAAAAATAHAAAACTMvMTMvMjAyNggAAAAJMy8xMy8yMDI2ICobKf+B3ghr/6kp/4HeCB5DSVEuTkFTREFRR1M6SE9OLklRX1BUQlYuMjAwMC4BAAAARHUUAAMAAAACTk0BBwAAAAUAAAABMQEAAAALLTE5MDYxMTc2NDgDAAAAATACAAAABjEwMDA2OAQAAAABMAcAAAAJMy8xMy8yMDI2CAAAAAkzLzEzLzIwMjYgKhsp/4HeCKDEqSn/gd4IHUNJUS5OQVNEQVFHUzpIT04uSVFfUEJWLjIwMDAuAQAA</t>
  </si>
  <si>
    <t>AER1FAACAAAAEDEwLjcxNDc0NzY5MTkwODYBBwAAAAUAAAABMQEAAAALLTE5MDYxMTc2NDgDAAAAATACAAAABjEwMDA2NwQAAAABMAcAAAAJMy8xMy8yMDI2CAAAAAkzLzEzLzIwMjYgKhsp/4HeCKDEqSn/gd4IIENJUS5OWVNFOkRYQy5JUV9URVZfRUJJVERBLjIwMDAuAQAAALUDBAACAAAAEDIuMTI3NzM2MTcyMzI5NTUBBwAAAAUAAAABMQEAAAALLTE5MDgzNDQzMDEDAAAAATACAAAABjEwMDA2MwQAAAABMAcAAAAJMy8xMy8yMDI2CAAAAAkzLzEzLzIwMjYgKhsp/4HeCORjqCn/gd4II0NJUS5OWVNFOkRYQy5JUV9URVZfVE9UQUxfUkVWLjIwMDAuAQAAALUDBAACAAAAETAuMzgzODQxMzkxMDE4Njg2AQcAAAAFAAAAATEBAAAACy0xOTA4MzQ0MzAxAwAAAAEwAgAAAAYxMDAwNjEEAAAAATAHAAAACTMvMTMvMjAyNggAAAAJMy8xMy8yMDI2ICobKf+B3gjkY6gp/4HeCB1DSVEuTllTRTpEWEMuSVFfUEVfRVhDTC4yMDAwLgEAAAC1AwQAAgAAABA1LjA5NzgxOTUyOTQzMjA0AQcAAAAFAAAAATEBAAAACy0xOTA4MzQ0MzAxAwAAAAEwAgAAAAYxMDAwNjYEAAAAATAHAAAACTMvMTMvMjAyNggAAAAJMy8xMy8yMDI2ICobKf+B3gjTPKgp/4HeCBpDSVEuTllTRTpEWEMuSVFfUFRCVi4yMDAwLgEAAAC1AwQAAgAAABAyLjM3MjA5Njc2MzEwMDUyAQcAAAAFAAAAATEBAAAACy0xOTA4MzQ0MzAxAwAAAAEwAgAA</t>
  </si>
  <si>
    <t>AAYxMDAwNjgEAAAAATAHAAAACTMvMTMvMjAyNggAAAAJMy8xMy8yMDI2ICobKf+B3gjQ7qcp/4HeCBlDSVEuTllTRTpEWEMuSVFfUEJWLjIwMDAuAQAAALUDBAACAAAAETAuNjM5NTk4Njg0NTM1Mjc3AQcAAAAFAAAAATEBAAAACy0xOTA4MzQ0MzAxAwAAAAEwAgAAAAYxMDAwNjcEAAAAATAHAAAACTMvMTMvMjAyNggAAAAJMy8xMy8yMDI2ICobKf+B3gjEFagp/4HeCChDSVEuTkFTREFRR1M6TVNGVC5JUV9URVZfVE9UQUxfUkVWLjIwMDAuAQAAAEtVAAACAAAAEDkuNzI2NjE0NTA3MDE2NzkBBwAAAAUAAAABMQEAAAALLTE5MDg2NzEyNzcDAAAAATACAAAABjEwMDA2MQQAAAABMAcAAAAJMy8xMy8yMDI2CAAAAAkzLzEzLzIwMjYgKhsp/4HeCCNSpyn/gd4IIkNJUS5OQVNEQVFHUzpNU0ZULklRX1BFX0VYQ0wuMjAwMC4BAAAAS1UAAAIAAAAQMjQuNzUxOTcwMzAxODkwOAEHAAAABQAAAAExAQAAAAstMTkwODY3MTI3NwMAAAABMAIAAAAGMTAwMDY2BAAAAAEwBwAAAAkzLzEzLzIwMjYIAAAACTMvMTMvMjAyNiAqGyn/gd4IOiunKf+B3gglQ0lRLk5BU0RBUUdTOk1TRlQuSVFfVEVWX0VCSVREQS4yMDAwLgEAAABLVQAAAgAAABAxNS43ODcxMDk5NDAzODk5AQcAAAAFAAAAATEBAAAACy0xOTA4NjcxMjc3AwAAAAEwAgAAAAYxMDAwNjMEAAAAATAHAAAACTMvMTMvMjAyNggAAAAJMy8xMy8yMDI2ICobKf+B</t>
  </si>
  <si>
    <t>3gjYA6cp/4HeCB9DSVEuTkFTREFRR1M6TVNGVC5JUV9QVEJWLjIwMDAuAQAAAEtVAAACAAAADzExLjcwOTAxMzk5NTkzNQEHAAAABQAAAAExAQAAAAstMTkwODY3MTI3NwMAAAABMAIAAAAGMTAwMDY4BAAAAAEwBwAAAAkzLzEzLzIwMjYIAAAACTMvMTMvMjAyNiAqGyn/gd4I2AOnKf+B3ggeQ0lRLk5BU0RBUUdTOk1TRlQuSVFfUEJWLjIwMDAuAQAAAEtVAAACAAAAEDcuNTE3ODUzNTQ3OTkzNTQBBwAAAAUAAAABMQEAAAALLTE5MDg2NzEyNzcDAAAAATACAAAABjEwMDA2NwQAAAABMAcAAAAJMy8xMy8yMDI2CAAAAAkzLzEzLzIwMjYgKhsp/4HeCNgDpyn/gd4IJUNJUS5OQVNEQVFHUzpDVFNILklRX1RFVl9FQklUREEuMjAwMC4BAAAA6OMFAAIAAAAQNi45MzU4Mzk4ODE3NTU0MgEHAAAABQAAAAExAQAAAAstMTkwNjk2MDM4MgMAAAABMAIAAAAGMTAwMDYzBAAAAAEwBwAAAAkzLzEzLzIwMjYIAAAACTMvMTMvMjAyNiAqGyn/gd4IlAWmKf+B3ggoQ0lRLk5BU0RBUUdTOkNUU0guSVFfVEVWX1RPVEFMX1JFVi4yMDAwLgEAAADo4wUAAgAAABAxLjMzMjc1Mzc2OTIwNTk5AQcAAAAFAAAAATEBAAAACy0xOTA2OTYwMzgyAwAAAAEwAgAAAAYxMDAwNjEEAAAAATAHAAAACTMvMTMvMjAyNggAAAAJMy8xMy8yMDI2ICobKf+B3giUBaYp/4HeCCJDSVEuTkFTREFRR1M6Q1RTSC5JUV9QRV9FWENMLjIwMDAuAQAA</t>
  </si>
  <si>
    <t>AOjjBQACAAAAEDEzLjIzOTAzNTA4NzcxOTMBBwAAAAUAAAABMQEAAAALLTE5MDY5NjAzODIDAAAAATACAAAABjEwMDA2NgQAAAABMAcAAAAJMy8xMy8yMDI2CAAAAAkzLzEzLzIwMjYgKhsp/4HeCBrepSn/gd4IH0NJUS5OQVNEQVFHUzpDVFNILklRX1BUQlYuMjAwMC4BAAAA6OMFAAIAAAAQNC40NTQyODcxMTMwMDI5MQEHAAAABQAAAAExAQAAAAstMTkwNjk2MDM4MgMAAAABMAIAAAAGMTAwMDY4BAAAAAEwBwAAAAkzLzEzLzIwMjYIAAAACTMvMTMvMjAyNiAqGyn/gd4IScqlKf+B3ggeQ0lRLk5BU0RBUUdTOkNUU0guSVFfUEJWLjIwMDAuAQAAAOjjBQACAAAAEDEuOTI1ODg5NDYzNzcwNDIBBwAAAAUAAAABMQEAAAALLTE5MDY5NjAzODIDAAAAATACAAAABjEwMDA2NwQAAAABMAcAAAAJMy8xMy8yMDI2CAAAAAkzLzEzLzIwMjYgKhsp/4HeCD50pSn/gd4IMkNJUUFWRy5OWVNFOklCTS5JUV9QVEJWLjIwMDAuMzEvMTIvMjAxNi4zMS8xMi8yMDE3AQAAAN62AQADAAAAAk5NACAqGyn/gd4ImZ2kKf+B3ggxQ0lRQVZHLk5ZU0U6SUJNLklRX1BCVi4yMDAwLjMxLzEyLzIwMTYuMzEvMTIvMjAxNwEAAADetgEAAgAAABA3Ljk5MTMwNzE3MTg2OTg1ACAqGyn/gd4IvcSkKf+B3gg1Q0lRQVZHLk5ZU0U6SUJNLklRX1BFX0VYQ0wuMjAwMC4zMS8xMi8yMDE2LjMxLzEyLzIwMTcBAAAA3rYBAAIAAAAQMTIuOTUy</t>
  </si>
  <si>
    <t>OTIxOTk3MDgyMwAgKhsp/4HeCL3EpCn/gd4INkNJUUFWRy5OWVNFOklCTS5JUV9URVZfRUJJVC4yMDAwLjMxLzEyLzIwMTYuMzEvMTIvMjAxNwEAAADetgEAAgAAABAxMy43Njk2NzgyODQ5MTI1ACAqGyn/gd4IvcSkKf+B3gg4Q0lRQVZHLk5ZU0U6SUJNLklRX1RFVl9FQklUREEuMjAwMC4zMS8xMi8yMDE2LjMxLzEyLzIwMTcBAAAA3rYBAAIAAAAQMTAuMjg5MjYxNTQ0MzMyNAAgKhsp/4HeCL3EpCn/gd4IO0NJUUFWRy5OWVNFOklCTS5JUV9URVZfVE9UQUxfUkVWLjIwMDAuMzEvMTIvMjAxNi4zMS8xMi8yMDE3AQAAAN62AQACAAAAEDIuMjg5Njg3NzY3Mjc3MjMAICobKf+B3giZnaQp/4HeCDFDSVFBVkcuTllTRTpJQk0uSVFfUEJWLjIwMDAuMzEvMTIvMjAxNy4zMS8xMi8yMDE4AQAAAN62AQACAAAAEDcuMTU5OTQzMDI5ODE5NDQAICobKf+B3giZnaQp/4HeCDJDSVFBVkcuTllTRTpJQk0uSVFfUFRCVi4yMDAwLjMxLzEyLzIwMTcuMzEvMTIvMjAxOAEAAADetgEAAwAAAAJOTQAgKhsp/4HeCJmdpCn/gd4INUNJUUFWRy5OWVNFOklCTS5JUV9QRV9FWENMLjIwMDAuMzEvMTIvMjAxNy4zMS8xMi8yMDE4AQAAAN62AQACAAAAEDIyLjgwNTcxNzgyNzg0NTUAICobKf+B3giZnaQp/4HeCDZDSVFBVkcuTllTRTpJQk0uSVFfVEVWX0VCSVQuMjAwMC4zMS8xMi8yMDE3LjMxLzEyLzIwMTgBAAAA3rYBAAIA</t>
  </si>
  <si>
    <t>AAAQMTMuNjM2MzExMjg0NzU2NQAgKhsp/4HeCJmdpCn/gd4IOENJUUFWRy5OWVNFOklCTS5JUV9URVZfRUJJVERBLjIwMDAuMzEvMTIvMjAxNy4zMS8xMi8yMDE4AQAAAN62AQACAAAAEDkuOTI0NzI4NDI0NTkyMjkAICobKf+B3gg7dqQp/4HeCDtDSVFBVkcuTllTRTpJQk0uSVFfVEVWX1RPVEFMX1JFVi4yMDAwLjMxLzEyLzIwMTcuMzEvMTIvMjAxOAEAAADetgEAAgAAABAyLjA3MjMxMzM1MjM5MzA3ACAqGyn/gd4IO3akKf+B3ggyQ0lRQVZHLk5ZU0U6SUJNLklRX1BUQlYuMjAwMC4zMS8xMi8yMDE4LjMxLzEyLzIwMTkBAAAA3rYBAAMAAAACTk0AICobKf+B3gg7dqQp/4HeCDtDSVFBVkcuTllTRTpJQk0uSVFfVEVWX1RPVEFMX1JFVi4yMDAwLjMxLzEyLzIwMTguMzEvMTIvMjAxOQEAAADetgEAAgAAABAyLjA2MjY2MjY4MDk4OTM0ACAqGyn/gd4IO3akKf+B3ggxQ0lRQVZHLk5ZU0U6SUJNLklRX1BCVi4yMDAwLjMxLzEyLzIwMTguMzEvMTIvMjAxOQEAAADetgEAAgAAABA3LjA0NDgzNTg4OTI4NDIzACAqGyn/gd4IO3akKf+B3gg1Q0lRQVZHLk5ZU0U6SUJNLklRX1BFX0VYQ0wuMjAwMC4zMS8xMi8yMDE4LjMxLzEyLzIwMTkBAAAA3rYBAAIAAAAQMTUuMDA3MDU2ODQ4NjQwMwAgKhsp/4HeCG86pCn/gd4INkNJUUFWRy5OWVNFOklCTS5JUV9URVZfRUJJVC4yMDAwLjMxLzEyLzIwMTguMzEvMTIv</t>
  </si>
  <si>
    <t>MjAxOQEAAADetgEAAgAAABAxMy40ODIzNDAwNjYxNDIyACAqGyn/gd4IbzqkKf+B3gg4Q0lRQVZHLk5ZU0U6SUJNLklRX1RFVl9FQklUREEuMjAwMC4zMS8xMi8yMDE4LjMxLzEyLzIwMTkBAAAA3rYBAAIAAAAQOC43OTY4MzEzNzUwNDIyNgAgKhsp/4HeCG86pCn/gd4IOENJUUFWRy5OWVNFOklCTS5JUV9URVZfRUJJVERBLjIwMDAuMzEvMTIvMjAxOS4zMS8xMi8yMDIwAQAAAN62AQACAAAAEDkuMjAyMzgyNzAzNDc2NzYAICobKf+B3ghvOqQp/4HeCDJDSVFBVkcuTllTRTpJQk0uSVFfUFRCVi4yMDAwLjMxLzEyLzIwMTkuMzEvMTIvMjAyMAEAAADetgEAAwAAAAJOTQAgKhsp/4HeCDt2pCn/gd4IMUNJUUFWRy5OWVNFOklCTS5JUV9QQlYuMjAwMC4zMS8xMi8yMDE5LjMxLzEyLzIwMjABAAAA3rYBAAIAAAAONS40MDk3MTI3OTkyMTQAICobKf+B3ghvOqQp/4HeCDVDSVFBVkcuTllTRTpJQk0uSVFfUEVfRVhDTC4yMDAwLjMxLzEyLzIwMTkuMzEvMTIvMjAyMAEAAADetgEAAgAAABAxMy4xMDI4MjE1MTU2NzY4ACAqGyn/gd4IbzqkKf+B3gg2Q0lRQVZHLk5ZU0U6SUJNLklRX1RFVl9FQklULjIwMDAuMzEvMTIvMjAxOS4zMS8xMi8yMDIwAQAAAN62AQACAAAAEDE3LjM4NDczMzAwODM1ODIAICobKf+B3ghvOqQp/4HeCDtDSVFBVkcuTllTRTpJQk0uSVFfVEVWX1RPVEFMX1JFVi4yMDAwLjMxLzEyLzIw</t>
  </si>
  <si>
    <t>MTkuMzEvMTIvMjAyMAEAAADetgEAAgAAABAyLjIwMzg1MjM3MzY3MDczACAqGyn/gd4IbzqkKf+B3gg2Q0lRQVZHLk5ZU0U6SUJNLklRX1RFVl9FQklULjIwMDAuMzEvMTIvMjAyMC4zMS8xMi8yMDIxAQAAAN62AQACAAAAEDE5LjQxMzY1NjI5Mjg5NDQAICobKf+B3ghvOqQp/4HeCDJDSVFBVkcuTllTRTpJQk0uSVFfUFRCVi4yMDAwLjMxLzEyLzIwMjAuMzEvMTIvMjAyMQEAAADetgEAAwAAAAJOTQAgKhsp/4HeCIz/oyn/gd4IMUNJUUFWRy5OWVNFOklCTS5JUV9QQlYuMjAwMC4zMS8xMi8yMDIwLjMxLzEyLzIwMjEBAAAA3rYBAAIAAAAQNS41NzUwMjEzOTYzOTU5OAAgKhsp/4HeCIkmpCn/gd4INUNJUUFWRy5OWVNFOklCTS5JUV9QRV9FWENMLjIwMDAuMzEvMTIvMjAyMC4zMS8xMi8yMDIxAQAAAN62AQACAAAAEDIyLjgzOTA2MjI3NTY5NTUAICobKf+B3giJJqQp/4HeCDhDSVFBVkcuTllTRTpJQk0uSVFfVEVWX0VCSVREQS4yMDAwLjMxLzEyLzIwMjAuMzEvMTIvMjAyMQEAAADetgEAAgAAAA85LjcyNDI3MjUxMDIxOTMAICobKf+B3giJJqQp/4HeCDtDSVFBVkcuTllTRTpJQk0uSVFfVEVWX1RPVEFMX1JFVi4yMDAwLjMxLzEyLzIwMjAuMzEvMTIvMjAyMQEAAADetgEAAgAAABAyLjMxNDMzNzA0NjY4ODY5ACAqGyn/gd4IiSakKf+B3gg1Q0lRQVZHLk5ZU0U6SUJNLklRX1BFX0VYQ0wuMjAwMC4z</t>
  </si>
  <si>
    <t>MS8xMi8yMDIxLjMxLzEyLzIwMjIBAAAA3rYBAAIAAAAQMzcuNzA1NzI1MDg0OTQxMwAgKhsp/4HeCIz/oyn/gd4IMkNJUUFWRy5OWVNFOklCTS5JUV9QVEJWLjIwMDAuMzEvMTIvMjAyMS4zMS8xMi8yMDIyAQAAAN62AQADAAAAAk5NACAqGyn/gd4IjP+jKf+B3ggxQ0lRQVZHLk5ZU0U6SUJNLklRX1BCVi4yMDAwLjMxLzEyLzIwMjEuMzEvMTIvMjAyMgEAAADetgEAAgAAABA2LjE3ODI4MTQwMDY1OTc2ACAqGyn/gd4IjP+jKf+B3gg2Q0lRQVZHLk5ZU0U6SUJNLklRX1RFVl9FQklULjIwMDAuMzEvMTIvMjAyMS4zMS8xMi8yMDIyAQAAAN62AQACAAAADzI2LjAzNzk2OTY3OTQ1NAAgKhsp/4HeCIz/oyn/gd4IOENJUUFWRy5OWVNFOklCTS5JUV9URVZfRUJJVERBLjIwMDAuMzEvMTIvMjAyMS4zMS8xMi8yMDIyAQAAAN62AQACAAAAEDEyLjE0MTQ3NTIxMTI4NjcAICobKf+B3giM/6Mp/4HeCDtDSVFBVkcuTllTRTpJQk0uSVFfVEVWX1RPVEFMX1JFVi4yMDAwLjMxLzEyLzIwMjEuMzEvMTIvMjAyMgEAAADetgEAAgAAABAyLjc5ODg5NDg1MjY2ODkzACAqGyn/gd4IXtijKf+B3ggxQ0lRQVZHLk5ZU0U6SUJNLklRX1BCVi4yMDAwLjMxLzEyLzIwMjIuMzEvMTIvMjAyMwEAAADetgEAAgAAABA1Ljc0MDQwMzYwNDgxMDU0ACAqGyn/gd4IXtijKf+B3ggyQ0lRQVZHLk5ZU0U6SUJNLklRX1BUQlYuMjAwMC4z</t>
  </si>
  <si>
    <t>MS8xMi8yMDIyLjMxLzEyLzIwMjMBAAAA3rYBAAMAAAACTk0AICobKf+B3ghe2KMp/4HeCDVDSVFBVkcuTllTRTpJQk0uSVFfUEVfRVhDTC4yMDAwLjMxLzEyLzIwMjIuMzEvMTIvMjAyMwEAAADetgEAAgAAABA1NS45NzM4NTMwMzY5OTg0ACAqGyn/gd4IXtijKf+B3gg2Q0lRQVZHLk5ZU0U6SUJNLklRX1RFVl9FQklULjIwMDAuMzEvMTIvMjAyMi4zMS8xMi8yMDIzAQAAAN62AQACAAAAEDIwLjk2ODM1MzMyNjQ1MzIAICobKf+B3giM/6Mp/4HeCDhDSVFBVkcuTllTRTpJQk0uSVFfVEVWX0VCSVREQS4yMDAwLjMxLzEyLzIwMjIuMzEvMTIvMjAyMwEAAADetgEAAgAAAA8xMi4yMzc4NDA1NTYyOTkAICobKf+B3ghJsaMp/4HeCDtDSVFBVkcuTllTRTpJQk0uSVFfVEVWX1RPVEFMX1JFVi4yMDAwLjMxLzEyLzIwMjIuMzEvMTIvMjAyMwEAAADetgEAAgAAABAyLjgyODA5NjI1MjMxNzExACpRGyn/gd4ISbGjKf+B3ggyQ0lRQVZHLk5ZU0U6SUJNLklRX1BUQlYuMjAwMC4zMS8xMi8yMDIzLjMxLzEyLzIwMjQBAAAA3rYBAAMAAAACTk0AKlEbKf+B3ghe2KMp/4HeCDtDSVFBVkcuTllTRTpJQk0uSVFfVEVWX1RPVEFMX1JFVi4yMDAwLjMxLzEyLzIwMjMuMzEvMTIvMjAyNAEAAADetgEAAgAAABAzLjYwNzIzNTA3NjcxMTcxACpRGyn/gd4IXtijKf+B3ggxQ0lRQVZHLk5ZU0U6SUJNLklRX1BCVi4yMDAwLjMx</t>
  </si>
  <si>
    <t>LzEyLzIwMjMuMzEvMTIvMjAyNAEAAADetgEAAgAAABA3LjU4MDg2OTk0ODc1NjE0ACpRGyn/gd4IXtijKf+B3gg1Q0lRQVZHLk5ZU0U6SUJNLklRX1BFX0VYQ0wuMjAwMC4zMS8xMi8yMDIzLjMxLzEyLzIwMjQBAAAA3rYBAAIAAAAQMjMuODM5MzE3OTAwOTE2MwAqURsp/4HeCEmxoyn/gd4INkNJUUFWRy5OWVNFOklCTS5JUV9URVZfRUJJVC4yMDAwLjMxLzEyLzIwMjMuMzEvMTIvMjAyNAEAAADetgEAAgAAABAyMi43NDg5NDMwMTc0ODY5ACpRGyn/gd4ISbGjKf+B3gg4Q0lRQVZHLk5ZU0U6SUJNLklRX1RFVl9FQklUREEuMjAwMC4zMS8xMi8yMDIzLjMxLzEyLzIwMjQBAAAA3rYBAAIAAAAQMTQuODQ1MDkwNTc0MTgyMQAqURsp/4HeCEmxoyn/gd4IOENJUUFWRy5OWVNFOklCTS5JUV9URVZfRUJJVERBLjIwMDAuMzEvMTIvMjAyNC4zMS8xMi8yMDI1AQAAAN62AQACAAAAEDE5LjUzMTUxMTU1NTIxMTgAKlEbKf+B3ghJsaMp/4HeCDtDSVFBVkcuTllTRTpJQk0uSVFfVEVWX1RPVEFMX1JFVi4yMDAwLjMxLzEyLzIwMjQuMzEvMTIvMjAyNQEAAADetgEAAgAAABA0LjY2MDIyNzA2OTQwOTE5ACpRGyn/gd4ISbGjKf+B3ggyQ0lRQVZHLk5ZU0U6SUJNLklRX1BUQlYuMjAwMC4zMS8xMi8yMDI0LjMxLzEyLzIwMjUBAAAA3rYBAAMAAAACTk0AKlEbKf+B3gi+iaMp/4HeCDFDSVFBVkcuTllTRTpJQk0uSVFf</t>
  </si>
  <si>
    <t>UEJWLjIwMDAuMzEvMTIvMjAyNC4zMS8xMi8yMDI1AQAAAN62AQACAAAAEDkuMTAyNTQ4MzM5OTcxMzgAKlEbKf+B3gi+iaMp/4HeCDVDSVFBVkcuTllTRTpJQk0uSVFfUEVfRVhDTC4yMDAwLjMxLzEyLzIwMjQuMzEvMTIvMjAyNQEAAADetgEAAgAAABA0MC41MTI4NTE3NjkzNjk3ACpRGyn/gd4IvomjKf+B3gg2Q0lRQVZHLk5ZU0U6SUJNLklRX1RFVl9FQklULjIwMDAuMzEvMTIvMjAyNC4zMS8xMi8yMDI1AQAAAN62AQACAAAAEDI4LjQxNzUwMzc4OTU4MTMAKlEbKf+B3gi+iaMp/4HeCCpDSVEuTllTRTpTTlguSVFfUkVWRU5VRV9FU1QuMTAwMDEuLi4uVVNELkgBAAAAxWcGAAIAAAALNjQ5NDYuNjQ3NDUBDgAAAAUAAAACMTEBAAAAATACAAAACjEwMDUzNzM4MjADAAAABjEwMDE4MAQAAAABMgYAAAABMAcAAAADMTYwCAAAAAEwCQAAAAExCgAAAAEwCwAAAAsxNDY5NjI0OTM0OQwAAAABNw0AAAAJMy8xNS8yMDI2EAAAAAkzLzE0LzIwMjYqURsp/4HeCAyptin/gd4IKkNJUS5OWVNFOlNOWC5JUV9SRVZFTlVFX0VTVC4xMDAwMi4uLi5VU0QuSAEAAADFZwYAAgAAAAs2NzY0OC42NzM1OQEOAAAABQAAAAIxMQEAAAABMAIAAAAKMTAwNTM3MzgyMQMAAAAGMTAwMTgwBAAAAAEyBgAAAAEwBwAAAAMxNjAIAAAAATAJAAAAATEKAAAAATALAAAACzE0Njk2MjQ5MzQzDAAAAAE3DQAAAAkzLzE1LzIwMjYQAAAA</t>
  </si>
  <si>
    <t>CTMvMTQvMjAyNipRGyn/gd4I/4G2Kf+B3ggpQ0lRLk5ZU0U6U05YLklRX0VCSVREQV9FU1QuMTAwMDEuLi4uVVNELkgBAAAAxWcGAAIAAAAKMTk5NS4zODY1NgEOAAAABQAAAAIxMQEAAAABMAIAAAAKMTAwNTM3MzgyMAMAAAAGMTAwMTg3BAAAAAEyBgAAAAEwBwAAAAMxNjAIAAAAATAJAAAAATEKAAAAATALAAAACzE0Njk2MjQ5MjUzDAAAAAE3DQAAAAkzLzE1LzIwMjYQAAAACTMvMTQvMjAyNipRGyn/gd4I/4G2Kf+B3ggpQ0lRLk5ZU0U6U05YLklRX0VCSVREQV9FU1QuMTAwMDIuLi4uVVNELkgBAAAAxWcGAAIAAAAJMjEwOC41NTIxAQ4AAAAFAAAAAjExAQAAAAEwAgAAAAoxMDA1MzczODIxAwAAAAYxMDAxODcEAAAAATIGAAAAATAHAAAAAzE2MAgAAAABMAkAAAABMQoAAAABMAsAAAALMTQ2OTYyNDkyNDcMAAAAATcNAAAACTMvMTUvMjAyNhAAAAAJMy8xNC8yMDI2KlEbKf+B3gj/gbYp/4HeCCZDSVEuTllTRTpTTlguSVFfRVBTX0VTVC4xMDAwMS4uLi5VU0QuSAEAAADFZwYAAgAAAAgxNC42MjMxOAEOAAAABQAAAAIxMQEAAAAHNzkwOTU2MgIAAAAKMTAwNTM3MzgyMAMAAAAGMTAwMTczBAAAAAEyBgAAAAEwBwAAAAMxNjAIAAAAATAJAAAAATEKAAAAATALAAAACzE0Njk2MjQ5NDQ2DAAAAAE3DQAAAAkzLzE1LzIwMjYQAAAACTMvMTQvMjAyNipRGyn/gd4I8Vq2Kf+B3ggmQ0lRLk5ZU0U6U05YLklR</t>
  </si>
  <si>
    <t>X0VQU19FU1QuMTAwMDIuLi4uVVNELkgBAAAAxWcGAAIAAAAIMTYuMDk0MTgBDgAAAAUAAAACMTEBAAAABzc5MDk1NjICAAAACjEwMDUzNzM4MjEDAAAABjEwMDE3MwQAAAABMgYAAAABMAcAAAADMTYwCAAAAAEwCQAAAAExCgAAAAEwCwAAAAsxNDY5NjI0OTQ0MAwAAAABNw0AAAAJMy8xNS8yMDI2EAAAAAkzLzE0LzIwMjYqURsp/4HeCPFatin/gd4IKkNJUS5OWVNFOkhQRS5JUV9SRVZFTlVFX0VTVC4xMDAwMS4uLi5VU0QuSAEAAAAOqVQQAgAAAAo0MTczOC4xMjQ5AQ4AAAAFAAAAAjExAQAAAAEwAgAAAAczODMyMjAwAwAAAAYxMDAxODAEAAAAATIGAAAAATAHAAAAAzE2MAgAAAABMAkAAAABMQoAAAABMAsAAAALMTQ2OTc1MzAyMzcMAAAAATcNAAAACTMvMTUvMjAyNhAAAAAJMy8xNC8yMDI2KlEbKf+B3giquLUp/4HeCCpDSVEuTllTRTpIUEUuSVFfUkVWRU5VRV9FU1QuMTAwMDIuLi4uVVNELkgBAAAADqlUEAIAAAAKNDM1ODcuNjU3MwEOAAAABQAAAAIxMQEAAAABMAIAAAAHMTI3NTEzNQMAAAAGMTAwMTgwBAAAAAEyBgAAAAEwBwAAAAMxNjAIAAAAATAJAAAAATEKAAAAATALAAAACzE0Njk3NTMwMjQ5DAAAAAE3DQAAAAkzLzE1LzIwMjYQAAAACTMvMTQvMjAyNipRGyn/gd4Iqri1Kf+B3ggpQ0lRLk5ZU0U6SFBFLklRX0VCSVREQV9FU1QuMTAwMDEuLi4uVVNELkgBAAAADqlUEAIAAAAJNjk1NS4w</t>
  </si>
  <si>
    <t>NDc2AQ4AAAAFAAAAAjExAQAAAAEwAgAAAAczODMyMjAwAwAAAAYxMDAxODcEAAAAATIGAAAAATAHAAAAAzE2MAgAAAABMAkAAAABMQoAAAABMAsAAAALMTQ2OTU4ODY0NjkMAAAAATcNAAAACTMvMTUvMjAyNhAAAAAJMy8xNC8yMDI2KlEbKf+B3giz37Up/4HeCClDSVEuTllTRTpIUEUuSVFfRUJJVERBX0VTVC4xMDAwMi4uLi5VU0QuSAEAAAAOqVQQAgAAAAk3NzQ1LjI2NzIBDgAAAAUAAAACMTEBAAAAATACAAAABzEyNzUxMzUDAAAABjEwMDE4NwQAAAABMgYAAAABMAcAAAADMTYwCAAAAAEwCQAAAAExCgAAAAEwCwAAAAsxNDY5NzUzMDI1MwwAAAABNw0AAAAJMy8xNS8yMDI2EAAAAAkzLzE0LzIwMjYqURsp/4HeCKq4tSn/gd4IJkNJUS5OWVNFOkhQRS5JUV9FUFNfRVNULjEwMDAxLi4uLlVTRC5IAQAAAA6pVBACAAAABjIuNDA5OAEOAAAABQAAAAIxMQEAAAAJMzEzMDY0NTE0AgAAAAczODMyMjAwAwAAAAYxMDAxNzMEAAAAATIGAAAAATAHAAAAAzE2MAgAAAABMAkAAAABMQoAAAABMAsAAAALMTQ2OTcyNjk5NzEMAAAAATcNAAAACTMvMTUvMjAyNhAAAAAJMy8xNC8yMDI2KlEbKf+B3giquLUp/4HeCCZDSVEuTllTRTpIUEUuSVFfRVBTX0VTVC4xMDAwMi4uLi5VU0QuSAEAAAAOqVQQAgAAAAYyLjc4MDUBDgAAAAUAAAACMTEBAAAACTMxMzA2NDUxNAIAAAAHMTI3NTEzNQMAAAAGMTAwMTczBAAAAAEy</t>
  </si>
  <si>
    <t>BgAAAAEwBwAAAAMxNjAIAAAAATAJAAAAATEKAAAAATALAAAACzE0Njk3MjY5OTc1DAAAAAE3DQAAAAkzLzE1LzIwMjYQAAAACTMvMTQvMjAyNipRGyn/gd4Iqri1Kf+B3ggqQ0lRLk5ZU0U6QUNOLklRX1JFVkVOVUVfRVNULjEwMDAxLi4uLlVTRC5IAQAAAJ7VDgACAAAACjc0ODM4Ljk2MTkBDgAAAAUAAAACMTEBAAAAATACAAAACTcwMzUwNjY4MQMAAAAGMTAwMTgwBAAAAAEyBgAAAAEwBwAAAAMxNjAIAAAAATAJAAAAATEKAAAAATALAAAACzE0Njk3OTgzMzQ5DAAAAAE3DQAAAAkzLzE1LzIwMjYQAAAACTMvMTQvMjAyNipRGyn/gd4IZBy1Kf+B3ggqQ0lRLk5ZU0U6QUNOLklRX1JFVkVOVUVfRVNULjEwMDAyLi4uLlVTRC5IAQAAAJ7VDgACAAAACjc4ODg1LjY0OTkBDgAAAAUAAAACMTEBAAAAATACAAAACTcwMzUwNjY4MgMAAAAGMTAwMTgwBAAAAAEyBgAAAAEwBwAAAAMxNjAIAAAAATAJAAAAATEKAAAAATALAAAACzE0Njk3OTgzMTkzDAAAAAE3DQAAAAkzLzE1LzIwMjYQAAAACTMvMTQvMjAyNipRGyn/gd4IZBy1Kf+B3ggpQ0lRLk5ZU0U6QUNOLklRX0VCSVREQV9FU1QuMTAwMDEuLi4uVVNELkgBAAAAntUOAAIAAAAKMTY5MjQuMDQwMQEOAAAABQAAAAIxMQEAAAABMAIAAAAJNzAzNTA2NjgxAwAAAAYxMDAxODcEAAAAATIGAAAAATAHAAAAAzE2MAgAAAABMAkAAAABMQoAAAABMAsAAAALMTQ2OTE2</t>
  </si>
  <si>
    <t>MjA0OTUMAAAAATcNAAAACTMvMTUvMjAyNhAAAAAJMy8xNC8yMDI2KlEbKf+B3ghZ9bQp/4HeCClDSVEuTllTRTpBQ04uSVFfRUJJVERBX0VTVC4xMDAwMi4uLi5VU0QuSAEAAACe1Q4AAgAAAAoxNTIzNC43MDE5AQ4AAAAFAAAAAjExAQAAAAEwAgAAAAk3MDM1MDY2ODIDAAAABjEwMDE4NwQAAAABMgYAAAABMAcAAAADMTYwCAAAAAEwCQAAAAExCgAAAAEwCwAAAAsxNDY5MTYyMTQ2NAwAAAABNw0AAAAJMy8xNS8yMDI2EAAAAAkzLzE0LzIwMjYqURsp/4HeCGQctSn/gd4IJkNJUS5OWVNFOkFDTi5JUV9FUFNfRVNULjEwMDAxLi4uLlVTRC5IAQAAAJ7VDgACAAAABzEzLjk4MDUBDgAAAAUAAAACMTEBAAAABzI2NjU4NDYCAAAACTcwMzUwNjY4MQMAAAAGMTAwMTczBAAAAAEyBgAAAAEwBwAAAAMxNjAIAAAAATAJAAAAATEKAAAAATALAAAACzE0Njk3OTgzMjMyDAAAAAE3DQAAAAkzLzE1LzIwMjYQAAAACTMvMTQvMjAyNipRGyn/gd4IZBy1Kf+B3ggmQ0lRLk5ZU0U6QUNOLklRX0VQU19FU1QuMTAwMDIuLi4uVVNELkgBAAAAntUOAAIAAAAHMTUuMjgwNAEOAAAABQAAAAIxMQEAAAAHMjY2NTg0NgIAAAAJNzAzNTA2NjgyAwAAAAYxMDAxNzMEAAAAATIGAAAAATAHAAAAAzE2MAgAAAABMAkAAAABMQoAAAABMAsAAAALMTQ2OTc5ODM0MDQMAAAAATcNAAAACTMvMTUvMjAyNhAAAAAJMy8xNC8yMDI2KlEbKf+B</t>
  </si>
  <si>
    <t>3ghZ9bQp/4HeCCtDSVEuTllTRTpPUkNMLklRX1JFVkVOVUVfRVNULjEwMDAxLi4uLlVTRC5IAQAAAOdWAAACAAAACjc2MzM4Ljc0NTcBDgAAAAUAAAACMTEBAAAAATACAAAACTY1MTU3OTYxMgMAAAAGMTAwMTgwBAAAAAEyBgAAAAEwBwAAAAMxNjAIAAAAATAJAAAAATEKAAAAATALAAAACzE0NzAwMDA0OTgzDAAAAAE3DQAAAAkzLzE1LzIwMjYQAAAACTMvMTQvMjAyNipRGyn/gd4IA5C0Kf+B3ggrQ0lRLk5ZU0U6T1JDTC5JUV9SRVZFTlVFX0VTVC4xMDAwMi4uLi5VU0QuSAEAAADnVgAAAgAAAAsxMDU4OTEuODAxMwEOAAAABQAAAAIxMQEAAAABMAIAAAAJNjUxNTc5NjEzAwAAAAYxMDAxODAEAAAAATIGAAAAATAHAAAAAzE2MAgAAAABMAkAAAABMQoAAAABMAsAAAALMTQ3MDAwMDQ5ODcMAAAAATcNAAAACTMvMTUvMjAyNhAAAAAJMy8xNC8yMDI2KlEbKf+B3ggDkLQp/4HeCCpDSVEuTllTRTpPUkNMLklRX0VCSVREQV9FU1QuMTAwMDEuLi4uVVNELkgBAAAA51YAAAIAAAAKNDA2MzIuNjAzMwEOAAAABQAAAAIxMQEAAAABMAIAAAAJNjUxNTc5NjEyAwAAAAYxMDAxODcEAAAAATIGAAAAATAHAAAAAzE2MAgAAAABMAkAAAABMQoAAAABMAsAAAALMTQ2OTcwMjA3NTIMAAAAATcNAAAACTMvMTUvMjAyNhAAAAAJMy8xNC8yMDI2KlEbKf+B3gg3fLQp/4HeCCpDSVEuTllTRTpPUkNMLklRX0VCSVREQV9FU1Qu</t>
  </si>
  <si>
    <t>MTAwMDIuLi4uVVNELkgBAAAA51YAAAIAAAAKNTM4ODUuNjA4OAEOAAAABQAAAAIxMQEAAAABMAIAAAAJNjUxNTc5NjEzAwAAAAYxMDAxODcEAAAAATIGAAAAATAHAAAAAzE2MAgAAAABMAkAAAABMQoAAAABMAsAAAALMTQ2OTcwMjA3MjgMAAAAATcNAAAACTMvMTUvMjAyNhAAAAAJMy8xNC8yMDI2KlEbKf+B3gg3fLQp/4HeCCdDSVEuTllTRTpPUkNMLklRX0VQU19FU1QuMTAwMDEuLi4uVVNELkgBAAAA51YAAAIAAAAGNy4yNzIzAQ4AAAAFAAAAAjExAQAAAAcyNjM2MDc3AgAAAAk2NTE1Nzk2MTIDAAAABjEwMDE3MwQAAAABMgYAAAABMAcAAAADMTYwCAAAAAEwCQAAAAExCgAAAAEwCwAAAAsxNDY5ODg2MDY3MwwAAAABNw0AAAAJMy8xNS8yMDI2EAAAAAkzLzE0LzIwMjYqURsp/4HeCFxotCn/gd4IJ0NJUS5OWVNFOk9SQ0wuSVFfRVBTX0VTVC4xMDAwMi4uLi5VU0QuSAEAAADnVgAAAgAAAAY5LjAwMjQBDgAAAAUAAAACMTEBAAAABzI2MzYwNzcCAAAACTY1MTU3OTYxMwMAAAAGMTAwMTczBAAAAAEyBgAAAAEwBwAAAAMxNjAIAAAAATAJAAAAATEKAAAAATALAAAACzE0Njk4ODYwNjgxDAAAAAE3DQAAAAkzLzE1LzIwMjYQAAAACTMvMTQvMjAyNipRGyn/gd4IXGi0Kf+B3gguQ0lRLk5BU0RBUUdTOkhPTi5JUV9SRVZFTlVFX0VTVC4xMDAwMS4uLi5VU0QuSAEAAABEdRQAAgAAAAszOTU0Ny41MDkzNAEO</t>
  </si>
  <si>
    <t>AAAABQAAAAIxMQEAAAABMAIAAAAKMTAwNDI0MDIzMgMAAAAGMTAwMTgwBAAAAAEyBgAAAAEwBwAAAAMxNjAIAAAAATAJAAAAATEKAAAAATALAAAACzE0Njk3NjA4MzE2DAAAAAE3DQAAAAkzLzE1LzIwMjYQAAAACTMvMTQvMjAyNipRGyn/gd4IPPOzKf+B3gguQ0lRLk5BU0RBUUdTOkhPTi5JUV9SRVZFTlVFX0VTVC4xMDAwMi4uLi5VU0QuSAEAAABEdRQAAgAAAAs0MTg3NC43OTc1NAEOAAAABQAAAAIxMQEAAAABMAIAAAAKMTAwNDI0MDIzNwMAAAAGMTAwMTgwBAAAAAEyBgAAAAEwBwAAAAMxNjAIAAAAATAJAAAAATEKAAAAATALAAAACzE0Njk3NjA4MjE0DAAAAAE3DQAAAAkzLzE1LzIwMjYQAAAACTMvMTQvMjAyNipRGyn/gd4IQBq0Kf+B3ggtQ0lRLk5BU0RBUUdTOkhPTi5JUV9FQklUREFfRVNULjEwMDAxLi4uLlVTRC5IAQAAAER1FAACAAAACzEwMDA4LjYxMTQzAQ4AAAAFAAAAAjExAQAAAAEwAgAAAAoxMDA0MjQwMjMyAwAAAAYxMDAxODcEAAAAATIGAAAAATAHAAAAAzE2MAgAAAABMAkAAAABMQoAAAABMAsAAAALMTQ2OTc2MDgxOTAMAAAAATcNAAAACTMvMTUvMjAyNhAAAAAJMy8xNC8yMDI2KlEbKf+B3gg887Mp/4HeCC1DSVEuTkFTREFRR1M6SE9OLklRX0VCSVREQV9FU1QuMTAwMDIuLi4uVVNELkgBAAAARHUUAAIAAAALMTA4NjkuMzgwNTQBDgAAAAUAAAACMTEBAAAAATACAAAACjEwMDQy</t>
  </si>
  <si>
    <t>NDAyMzcDAAAABjEwMDE4NwQAAAABMgYAAAABMAcAAAADMTYwCAAAAAEwCQAAAAExCgAAAAEwCwAAAAsxNDY5NzYwODE2MAwAAAABNw0AAAAJMy8xNS8yMDI2EAAAAAkzLzE0LzIwMjYqURsp/4HeCDzzsyn/gd4IKkNJUS5OQVNEQVFHUzpIT04uSVFfRVBTX0VTVC4xMDAwMS4uLi5VU0QuSAEAAABEdRQAAgAAAAgxMC41NDIxOQEOAAAABQAAAAIxMQEAAAAHMjYxODk1MAIAAAAKMTAwNDI0MDIzMgMAAAAGMTAwMTczBAAAAAEyBgAAAAEwBwAAAAMxNjAIAAAAATAJAAAAATEKAAAAATALAAAACzE0Njk3NjA4NjEwDAAAAAE3DQAAAAkzLzE1LzIwMjYQAAAACTMvMTQvMjAyNipRGyn/gd4IB8yzKf+B3ggqQ0lRLk5BU0RBUUdTOkhPTi5JUV9FUFNfRVNULjEwMDAyLi4uLlVTRC5IAQAAAER1FAACAAAACDExLjQ4NzczAQ4AAAAFAAAAAjExAQAAAAcyNjE4OTUwAgAAAAoxMDA0MjQwMjM3AwAAAAYxMDAxNzMEAAAAATIGAAAAATAHAAAAAzE2MAgAAAABMAkAAAABMQoAAAABMAsAAAALMTQ2OTc2MDg1NTYMAAAAATcNAAAACTMvMTUvMjAyNhAAAAAJMy8xNC8yMDI2KlEbKf+B3ggHzLMp/4HeCCpDSVEuTllTRTpEWEMuSVFfUkVWRU5VRV9FU1QuMTAwMDEuLi4uVVNELkgBAAAAtQMEAAIAAAAKMTI0NzcuMDEyNQEOAAAABQAAAAIxMQEAAAABMAIAAAAJNzA5NTU4NTA2AwAAAAYxMDAxODAEAAAAATIGAAAAATAHAAAA</t>
  </si>
  <si>
    <t>AzE2MAgAAAABMAkAAAABMQoAAAABMAsAAAALMTQ2NDMxMjg4ODcMAAAAATcNAAAACTMvMTUvMjAyNhAAAAAJMy8xNC8yMDI2KlEbKf+B3gjCLrMp/4HeCCpDSVEuTllTRTpEWEMuSVFfUkVWRU5VRV9FU1QuMTAwMDIuLi4uVVNELkgBAAAAtQMEAAIAAAAIMTIyMDAuMjUBDgAAAAUAAAACMTEBAAAAATACAAAACTcwOTU1ODUwNwMAAAAGMTAwMTgwBAAAAAEyBgAAAAEwBwAAAAMxNjAIAAAAATAJAAAAATEKAAAAATALAAAACzE0NjM4NDE2NDU5DAAAAAE3DQAAAAkzLzE1LzIwMjYQAAAACTMvMTQvMjAyNipRGyn/gd4I5biyKf+B3ggpQ0lRLk5ZU0U6RFhDLklRX0VCSVREQV9FU1QuMTAwMDEuLi4uVVNELkgBAAAAtQMEAAIAAAAIMTc4MC4xMjUBDgAAAAUAAAACMTEBAAAAATACAAAACTcwOTU1ODUwNgMAAAAGMTAwMTg3BAAAAAEyBgAAAAEwBwAAAAMxNjAIAAAAATAJAAAAATEKAAAAATALAAAACzE0NjM5ODEyNzQxDAAAAAE3DQAAAAkzLzE1LzIwMjYQAAAACTMvMTQvMjAyNipRGyn/gd4IZeCyKf+B3ggpQ0lRLk5ZU0U6RFhDLklRX0VCSVREQV9FU1QuMTAwMDIuLi4uVVNELkgBAAAAtQMEAAIAAAAIMTcwNi45NzUBDgAAAAUAAAACMTEBAAAAATACAAAACTcwOTU1ODUwNwMAAAAGMTAwMTg3BAAAAAEyBgAAAAEwBwAAAAMxNjAIAAAAATAJAAAAATEKAAAAATALAAAACzE0NjM4NDE2NDYzDAAAAAE3DQAAAAkz</t>
  </si>
  <si>
    <t>LzE1LzIwMjYQAAAACTMvMTQvMjAyNipRGyn/gd4IZeCyKf+B3ggmQ0lRLk5ZU0U6RFhDLklRX0VQU19FU1QuMTAwMDEuLi4uVVNELkgBAAAAtQMEAAIAAAAGMy4xMjc5AQ4AAAAFAAAAAjExAQAAAAk0MjM2NTQ4NTkCAAAACTcwOTU1ODUwNgMAAAAGMTAwMTczBAAAAAEyBgAAAAEwBwAAAAMxNjAIAAAAATAJAAAAATEKAAAAATALAAAACzE0NjQ3NDMzNzk3DAAAAAE3DQAAAAkzLzE1LzIwMjYQAAAACTMvMTQvMjAyNipRGyn/gd4IFX6yKf+B3ggmQ0lRLk5ZU0U6RFhDLklRX0VQU19FU1QuMTAwMDIuLi4uVVNELkgBAAAAtQMEAAIAAAAEMy4yNgEOAAAABQAAAAIxMQEAAAAJNDIzNjU0ODU5AgAAAAk3MDk1NTg1MDcDAAAABjEwMDE3MwQAAAABMgYAAAABMAcAAAADMTYwCAAAAAEwCQAAAAExCgAAAAEwCwAAAAsxNDY0NzQzMzgwNQwAAAABNw0AAAAJMy8xNS8yMDI2EAAAAAkzLzE0LzIwMjYqURsp/4HeCOW4sin/gd4IL0NJUS5OQVNEQVFHUzpNU0ZULklRX1JFVkVOVUVfRVNULjEwMDAxLi4uLlVTRC5IAQAAAEtVAAACAAAACzM1MTUxOS41OTE3AQ4AAAAFAAAAAjExAQAAAAEwAgAAAAk0NzU1MDIzNTADAAAABjEwMDE4MAQAAAABMgYAAAABMAcAAAADMTYwCAAAAAEwCQAAAAExCgAAAAEwCwAAAAsxNDY5NDQ1NDE0NwwAAAABNw0AAAAJMy8xNS8yMDI2EAAAAAkzLzE0LzIwMjYqURsp/4HeCLeSsSn/gd4I</t>
  </si>
  <si>
    <t>L0NJUS5OQVNEQVFHUzpNU0ZULklRX1JFVkVOVUVfRVNULjEwMDAyLi4uLlVTRC5IAQAAAEtVAAACAAAACzQwNjc4NC45MDMzAQ4AAAAFAAAAAjExAQAAAAEwAgAAAAk0NzU1MDIzNTEDAAAABjEwMDE4MAQAAAABMgYAAAABMAcAAAADMTYwCAAAAAEwCQAAAAExCgAAAAEwCwAAAAsxNDY5NDQ4NzA3NAwAAAABNw0AAAAJMy8xNS8yMDI2EAAAAAkzLzE0LzIwMjYqURsp/4HeCJW5sSn/gd4ILkNJUS5OQVNEQVFHUzpNU0ZULklRX0VCSVREQV9FU1QuMTAwMDEuLi4uVVNELkgBAAAAS1UAAAIAAAALMjEzOTU4LjY4MjEBDgAAAAUAAAACMTEBAAAAATACAAAACTQ3NTUwMjM1MAMAAAAGMTAwMTg3BAAAAAEyBgAAAAEwBwAAAAMxNjAIAAAAATAJAAAAATEKAAAAATALAAAACzE0NjU3ODU0MzQxDAAAAAE3DQAAAAkzLzE1LzIwMjYQAAAACTMvMTQvMjAyNipRGyn/gd4IlbmxKf+B3gguQ0lRLk5BU0RBUUdTOk1TRlQuSVFfRUJJVERBX0VTVC4xMDAwMi4uLi5VU0QuSAEAAABLVQAAAgAAAAoyNTE3NDguODQ2AQ4AAAAFAAAAAjExAQAAAAEwAgAAAAk0NzU1MDIzNTEDAAAABjEwMDE4NwQAAAABMgYAAAABMAcAAAADMTYwCAAAAAEwCQAAAAExCgAAAAEwCwAAAAsxNDY1Nzg1NDM1NwwAAAABNw0AAAAJMy8xNS8yMDI2EAAAAAkzLzE0LzIwMjYqURsp/4HeCGVrsSn/gd4IK0NJUS5OQVNEQVFHUzpNU0ZULklRX0VQU19F</t>
  </si>
  <si>
    <t>U1QuMTAwMDEuLi4uVVNELkgBAAAAS1UAAAIAAAAHMTcuNTUyMQEOAAAABQAAAAIxMQEAAAAHMjYzMDQxMwIAAAAJNDc1NTAyMzUwAwAAAAYxMDAxNzMEAAAAATIGAAAAATAHAAAAAzE2MAgAAAABMAkAAAABMQoAAAABMAsAAAALMTQ2OTQ0NTQxNjcMAAAAATcNAAAACTMvMTUvMjAyNhAAAAAJMy8xNC8yMDI2KlEbKf+B3gi3krEp/4HeCCtDSVEuTkFTREFRR1M6TVNGVC5JUV9FUFNfRVNULjEwMDAyLi4uLlVTRC5IAQAAAEtVAAACAAAABzIwLjMwMjIBDgAAAAUAAAACMTEBAAAABzI2MzA0MTMCAAAACTQ3NTUwMjM1MQMAAAAGMTAwMTczBAAAAAEyBgAAAAEwBwAAAAMxNjAIAAAAATAJAAAAATEKAAAAATALAAAACzE0Njk0NDg3MDc4DAAAAAE3DQAAAAkzLzE1LzIwMjYQAAAACTMvMTQvMjAyNipRGyn/gd4It5KxKf+B3ggvQ0lRLk5BU0RBUUdTOkNUU0guSVFfUkVWRU5VRV9FU1QuMTAwMDEuLi4uVVNELkgBAAAA6OMFAAIAAAAKMjIzNjUuMTI2NQEOAAAABQAAAAIxMQEAAAABMAIAAAAKMTAwMzYxOTg0OAMAAAAGMTAwMTgwBAAAAAEyBgAAAAEwBwAAAAMxNjAIAAAAATAJAAAAATEKAAAAATALAAAACzE0Njk5MjA1Mzg1DAAAAAE3DQAAAAkzLzE1LzIwMjYQAAAACTMvMTQvMjAyNipRGyn/gd4I/qewKf+B3ggvQ0lRLk5BU0RBUUdTOkNUU0guSVFfUkVWRU5VRV9FU1QuMTAwMDIuLi4uVVNELkgBAAAA6OMF</t>
  </si>
  <si>
    <t>AAIAAAALMjM1NTcuNTQwNjcBDgAAAAUAAAACMTEBAAAAATACAAAACjEwMDQwNDM0NzkDAAAABjEwMDE4MAQAAAABMgYAAAABMAcAAAADMTYwCAAAAAEwCQAAAAExCgAAAAEwCwAAAAsxNDY5OTIwNTMwNwwAAAABNw0AAAAJMy8xNS8yMDI2EAAAAAkzLzE0LzIwMjYqURsp/4HeCAvPsCn/gd4ILkNJUS5OQVNEQVFHUzpDVFNILklRX0VCSVREQV9FU1QuMTAwMDEuLi4uVVNELkgBAAAA6OMFAAIAAAAKNDE2Ny41OTkwNAEOAAAABQAAAAIxMQEAAAABMAIAAAAKMTAwMzYxOTg0OAMAAAAGMTAwMTg3BAAAAAEyBgAAAAEwBwAAAAMxNjAIAAAAATAJAAAAATEKAAAAATALAAAACzE0Njk5MjA1MzY3DAAAAAE3DQAAAAkzLzE1LzIwMjYQAAAACTMvMTQvMjAyNipRGyn/gd4IsYCwKf+B3gguQ0lRLk5BU0RBUUdTOkNUU0guSVFfRUJJVERBX0VTVC4xMDAwMi4uLi5VU0QuSAEAAADo4wUAAgAAAAo0NDcwLjQ3MjY5AQ4AAAAFAAAAAjExAQAAAAEwAgAAAAoxMDA0MDQzNDc5AwAAAAYxMDAxODcEAAAAATIGAAAAATAHAAAAAzE2MAgAAAABMAkAAAABMQoAAAABMAsAAAALMTQ2OTkyMDUyNzEMAAAAATcNAAAACTMvMTUvMjAyNhAAAAAJMy8xNC8yMDI2KlEbKf+B3gj+p7Ap/4HeCCtDSVEuTkFTREFRR1M6Q1RTSC5JUV9FUFNfRVNULjEwMDAxLi4uLlVTRC5IAQAAAOjjBQACAAAABzUuNjYwNTMBDgAAAAUAAAACMTEBAAAA</t>
  </si>
  <si>
    <t>BzI2MDEyNzQCAAAACjEwMDM2MTk4NDgDAAAABjEwMDE3MwQAAAABMgYAAAABMAcAAAADMTYwCAAAAAEwCQAAAAExCgAAAAEwCwAAAAsxNDY5OTIwNTQyMQwAAAABNw0AAAAJMy8xNS8yMDI2EAAAAAkzLzE0LzIwMjYqURsp/4HeCP6nsCn/gd4IK0NJUS5OQVNEQVFHUzpDVFNILklRX0VQU19FU1QuMTAwMDIuLi4uVVNELkgBAAAA6OMFAAIAAAAHNi4xNDU3OQEOAAAABQAAAAIxMQEAAAAHMjYwMTI3NAIAAAAKMTAwNDA0MzQ3OQMAAAAGMTAwMTczBAAAAAEyBgAAAAEwBwAAAAMxNjAIAAAAATAJAAAAATEKAAAAATALAAAACzE0Njk5MjA1MzkxDAAAAAE3DQAAAAkzLzE1LzIwMjYQAAAACTMvMTQvMjAyNipRGyn/gd4IsYCwKf+B3ggrQ0lRLk5ZU0U6T1JDTC5JUV9URVZfRUJJVERBLjIwMDAuMzEvMDUvMjAyNQEAAADnVgAAAgAAABAyMy4wNTgwODgxNTgwNjkzAQcAAAAFAAAAATEBAAAACy0xOTU2MzA0OTIwAwAAAAEwAgAAAAYxMDAwNjMEAAAAATAHAAAACTUvMzAvMjAyNQgAAAAJNS8zMC8yMDI1HNcBKv+B3gjKkSUq/4HeCChDSVEuTllTRTpPUkNMLklRX1BFX0VYQ0wuMjAwMC4zMS8wNS8yMDI1AQAAAOdWAAACAAAAEDM4Ljg2ODU1MDE5MzQ1MDUBBwAAAAUAAAABMQEAAAALLTE5NTYzMDQ5MjADAAAAATACAAAABjEwMDA2NgQAAAABMAcAAAAJNS8zMC8yMDI1CAAAAAk1LzMwLzIwMjUc1wEq/4HeCMqR</t>
  </si>
  <si>
    <t>JSr/gd4ILkNJUS5OWVNFOk9SQ0wuSVFfVEVWX1RPVEFMX1JFVi4yMDAwLjMxLzA1LzIwMjUBAAAA51YAAAIAAAAQOS45Njg0Mjg2MjU1NjY5MwEHAAAABQAAAAExAQAAAAstMTk1NjMwNDkyMAMAAAABMAIAAAAGMTAwMDYxBAAAAAEwBwAAAAk1LzMwLzIwMjUIAAAACTUvMzAvMjAyNRzXASr/gd4I5LglKv+B3gg=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</si>
</sst>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&quot;$&quot;#,##0.00_);\(&quot;$&quot;#,##0.00\)"/>
    <numFmt numFmtId="165" formatCode="0.0%"/>
    <numFmt numFmtId="166" formatCode="0.0\x"/>
    <numFmt numFmtId="167" formatCode="_(#,##0_);_(\(#,##0\);_(&quot; - &quot;??_);_(@_)"/>
    <numFmt numFmtId="168" formatCode="_(#,##0.0_);_(\(#,##0.0\);_(&quot; - &quot;??_);_(@_)"/>
    <numFmt numFmtId="169" formatCode="&quot;$&quot;#,##0.0_);\(&quot;$&quot;#,##0.0\)"/>
    <numFmt numFmtId="170" formatCode="#,##0.0_);\(#,##0.0\)"/>
    <numFmt numFmtId="171" formatCode="#,##0.000;\(#,##0.000\)"/>
    <numFmt numFmtId="172" formatCode="#,##0.0;\(#,##0.0\)"/>
    <numFmt numFmtId="173" formatCode="0.0;\(0.0\)"/>
    <numFmt numFmtId="174" formatCode="_(* #,##0.0_);_(* \(#,##0.0\);_(* &quot; - &quot;_);_(@_)"/>
  </numFmts>
  <fonts count="12" x14ac:knownFonts="1">
    <font>
      <sz val="10"/>
      <name val="Arial"/>
    </font>
    <font>
      <sz val="11"/>
      <color theme="1"/>
      <name val="Arial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17"/>
      <name val="Arial"/>
      <family val="2"/>
    </font>
    <font>
      <b/>
      <sz val="10"/>
      <color indexed="17"/>
      <name val="Arial"/>
      <family val="2"/>
    </font>
    <font>
      <b/>
      <sz val="10"/>
      <color indexed="8"/>
      <name val="Arial"/>
      <family val="2"/>
    </font>
    <font>
      <sz val="10"/>
      <color indexed="17"/>
      <name val="Arial"/>
      <family val="2"/>
    </font>
    <font>
      <sz val="10"/>
      <name val="Times New Roman"/>
      <family val="1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>
        <color indexed="9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Protection="0">
      <alignment horizontal="left"/>
    </xf>
    <xf numFmtId="171" fontId="3" fillId="0" borderId="0" applyFill="0" applyBorder="0" applyProtection="0">
      <alignment horizontal="right" vertical="top"/>
    </xf>
    <xf numFmtId="14" fontId="3" fillId="0" borderId="0" applyFill="0" applyBorder="0" applyProtection="0">
      <alignment horizontal="left" vertical="top"/>
    </xf>
    <xf numFmtId="172" fontId="3" fillId="0" borderId="0" applyFill="0" applyBorder="0" applyProtection="0">
      <alignment horizontal="left" vertical="top" wrapText="1"/>
    </xf>
    <xf numFmtId="0" fontId="1" fillId="0" borderId="0"/>
    <xf numFmtId="0" fontId="10" fillId="0" borderId="0"/>
  </cellStyleXfs>
  <cellXfs count="70">
    <xf numFmtId="0" fontId="0" fillId="0" borderId="0" xfId="0"/>
    <xf numFmtId="0" fontId="5" fillId="0" borderId="0" xfId="0" applyFont="1"/>
    <xf numFmtId="0" fontId="4" fillId="0" borderId="0" xfId="0" applyFont="1" applyAlignment="1">
      <alignment horizontal="left"/>
    </xf>
    <xf numFmtId="0" fontId="4" fillId="0" borderId="0" xfId="0" applyFont="1"/>
    <xf numFmtId="170" fontId="6" fillId="0" borderId="0" xfId="0" applyNumberFormat="1" applyFont="1" applyAlignment="1">
      <alignment horizontal="right"/>
    </xf>
    <xf numFmtId="168" fontId="4" fillId="0" borderId="0" xfId="0" applyNumberFormat="1" applyFont="1" applyAlignment="1">
      <alignment horizontal="left" indent="1"/>
    </xf>
    <xf numFmtId="170" fontId="7" fillId="0" borderId="3" xfId="0" applyNumberFormat="1" applyFont="1" applyBorder="1" applyAlignment="1">
      <alignment horizontal="right"/>
    </xf>
    <xf numFmtId="170" fontId="7" fillId="0" borderId="0" xfId="0" applyNumberFormat="1" applyFont="1" applyAlignment="1">
      <alignment horizontal="right"/>
    </xf>
    <xf numFmtId="170" fontId="6" fillId="0" borderId="1" xfId="0" applyNumberFormat="1" applyFont="1" applyBorder="1" applyAlignment="1">
      <alignment horizontal="right"/>
    </xf>
    <xf numFmtId="170" fontId="7" fillId="0" borderId="4" xfId="0" applyNumberFormat="1" applyFont="1" applyBorder="1" applyAlignment="1">
      <alignment horizontal="right"/>
    </xf>
    <xf numFmtId="170" fontId="7" fillId="0" borderId="5" xfId="0" applyNumberFormat="1" applyFont="1" applyBorder="1" applyAlignment="1">
      <alignment horizontal="right"/>
    </xf>
    <xf numFmtId="39" fontId="6" fillId="0" borderId="0" xfId="0" applyNumberFormat="1" applyFont="1" applyAlignment="1">
      <alignment horizontal="right"/>
    </xf>
    <xf numFmtId="168" fontId="6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174" fontId="6" fillId="0" borderId="0" xfId="0" applyNumberFormat="1" applyFont="1" applyAlignment="1">
      <alignment horizontal="right"/>
    </xf>
    <xf numFmtId="168" fontId="4" fillId="0" borderId="0" xfId="0" applyNumberFormat="1" applyFont="1"/>
    <xf numFmtId="169" fontId="4" fillId="0" borderId="0" xfId="0" applyNumberFormat="1" applyFont="1"/>
    <xf numFmtId="37" fontId="6" fillId="0" borderId="0" xfId="0" applyNumberFormat="1" applyFont="1" applyAlignment="1">
      <alignment horizontal="right"/>
    </xf>
    <xf numFmtId="0" fontId="5" fillId="0" borderId="0" xfId="0" applyFont="1" applyAlignment="1">
      <alignment horizontal="left"/>
    </xf>
    <xf numFmtId="166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70" fontId="5" fillId="0" borderId="0" xfId="0" applyNumberFormat="1" applyFont="1" applyAlignment="1">
      <alignment horizontal="right"/>
    </xf>
    <xf numFmtId="14" fontId="7" fillId="0" borderId="1" xfId="0" applyNumberFormat="1" applyFont="1" applyBorder="1" applyAlignment="1">
      <alignment horizontal="right"/>
    </xf>
    <xf numFmtId="14" fontId="4" fillId="0" borderId="1" xfId="0" applyNumberFormat="1" applyFont="1" applyBorder="1" applyAlignment="1">
      <alignment horizontal="right"/>
    </xf>
    <xf numFmtId="165" fontId="5" fillId="0" borderId="0" xfId="0" applyNumberFormat="1" applyFont="1" applyAlignment="1">
      <alignment horizontal="right"/>
    </xf>
    <xf numFmtId="165" fontId="4" fillId="0" borderId="3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165" fontId="4" fillId="0" borderId="0" xfId="0" applyNumberFormat="1" applyFont="1" applyAlignment="1">
      <alignment horizontal="right"/>
    </xf>
    <xf numFmtId="165" fontId="4" fillId="0" borderId="4" xfId="0" applyNumberFormat="1" applyFont="1" applyBorder="1" applyAlignment="1">
      <alignment horizontal="right"/>
    </xf>
    <xf numFmtId="165" fontId="4" fillId="0" borderId="5" xfId="0" applyNumberFormat="1" applyFont="1" applyBorder="1" applyAlignment="1">
      <alignment horizontal="right"/>
    </xf>
    <xf numFmtId="10" fontId="4" fillId="0" borderId="1" xfId="0" applyNumberFormat="1" applyFont="1" applyBorder="1" applyAlignment="1">
      <alignment horizontal="centerContinuous"/>
    </xf>
    <xf numFmtId="0" fontId="4" fillId="0" borderId="1" xfId="0" applyFont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0" fontId="4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left"/>
    </xf>
    <xf numFmtId="165" fontId="5" fillId="0" borderId="0" xfId="1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173" fontId="5" fillId="0" borderId="0" xfId="0" applyNumberFormat="1" applyFont="1" applyAlignment="1">
      <alignment horizontal="right"/>
    </xf>
    <xf numFmtId="0" fontId="4" fillId="0" borderId="1" xfId="0" applyFont="1" applyBorder="1" applyAlignment="1">
      <alignment horizontal="left"/>
    </xf>
    <xf numFmtId="170" fontId="9" fillId="0" borderId="0" xfId="0" applyNumberFormat="1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2" xfId="0" applyFont="1" applyBorder="1"/>
    <xf numFmtId="49" fontId="2" fillId="0" borderId="0" xfId="0" applyNumberFormat="1" applyFont="1" applyAlignment="1">
      <alignment horizontal="center"/>
    </xf>
    <xf numFmtId="169" fontId="2" fillId="0" borderId="0" xfId="0" applyNumberFormat="1" applyFont="1"/>
    <xf numFmtId="39" fontId="2" fillId="0" borderId="0" xfId="0" applyNumberFormat="1" applyFont="1"/>
    <xf numFmtId="164" fontId="2" fillId="0" borderId="0" xfId="0" applyNumberFormat="1" applyFont="1"/>
    <xf numFmtId="170" fontId="2" fillId="0" borderId="0" xfId="0" applyNumberFormat="1" applyFont="1" applyAlignment="1">
      <alignment horizontal="right"/>
    </xf>
    <xf numFmtId="170" fontId="2" fillId="0" borderId="0" xfId="0" applyNumberFormat="1" applyFont="1"/>
    <xf numFmtId="0" fontId="2" fillId="0" borderId="0" xfId="0" applyFont="1" applyAlignment="1">
      <alignment horizontal="right"/>
    </xf>
    <xf numFmtId="174" fontId="2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37" fontId="2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left"/>
    </xf>
    <xf numFmtId="167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8" fontId="4" fillId="0" borderId="0" xfId="0" applyNumberFormat="1" applyFont="1" applyAlignment="1">
      <alignment horizontal="right"/>
    </xf>
    <xf numFmtId="0" fontId="11" fillId="0" borderId="0" xfId="0" applyFont="1"/>
    <xf numFmtId="1" fontId="4" fillId="0" borderId="5" xfId="0" applyNumberFormat="1" applyFont="1" applyBorder="1" applyAlignment="1">
      <alignment horizontal="left"/>
    </xf>
    <xf numFmtId="0" fontId="7" fillId="0" borderId="5" xfId="0" applyFont="1" applyBorder="1" applyAlignment="1">
      <alignment horizontal="left"/>
    </xf>
    <xf numFmtId="14" fontId="7" fillId="0" borderId="5" xfId="0" applyNumberFormat="1" applyFont="1" applyBorder="1" applyAlignment="1">
      <alignment horizontal="right"/>
    </xf>
    <xf numFmtId="39" fontId="7" fillId="0" borderId="5" xfId="0" applyNumberFormat="1" applyFont="1" applyBorder="1" applyAlignment="1">
      <alignment horizontal="right"/>
    </xf>
    <xf numFmtId="165" fontId="4" fillId="0" borderId="5" xfId="1" applyNumberFormat="1" applyFont="1" applyBorder="1" applyAlignment="1">
      <alignment horizontal="right"/>
    </xf>
    <xf numFmtId="170" fontId="4" fillId="0" borderId="5" xfId="0" applyNumberFormat="1" applyFont="1" applyBorder="1" applyAlignment="1">
      <alignment horizontal="right"/>
    </xf>
    <xf numFmtId="166" fontId="7" fillId="0" borderId="5" xfId="0" applyNumberFormat="1" applyFont="1" applyBorder="1" applyAlignment="1">
      <alignment horizontal="right"/>
    </xf>
    <xf numFmtId="166" fontId="4" fillId="0" borderId="5" xfId="0" applyNumberFormat="1" applyFont="1" applyBorder="1" applyAlignment="1">
      <alignment horizontal="right"/>
    </xf>
    <xf numFmtId="173" fontId="4" fillId="0" borderId="5" xfId="0" applyNumberFormat="1" applyFont="1" applyBorder="1" applyAlignment="1">
      <alignment horizontal="right"/>
    </xf>
    <xf numFmtId="14" fontId="0" fillId="0" borderId="0" xfId="0" applyNumberFormat="1"/>
  </cellXfs>
  <cellStyles count="8">
    <cellStyle name="Normal" xfId="0" builtinId="0"/>
    <cellStyle name="Normal 2" xfId="7" xr:uid="{00000000-0005-0000-0000-000001000000}"/>
    <cellStyle name="Normal 4" xfId="6" xr:uid="{00000000-0005-0000-0000-000002000000}"/>
    <cellStyle name="Per cent" xfId="1" builtinId="5"/>
    <cellStyle name="Style 21" xfId="2" xr:uid="{00000000-0005-0000-0000-000006000000}"/>
    <cellStyle name="Style 22" xfId="3" xr:uid="{00000000-0005-0000-0000-000007000000}"/>
    <cellStyle name="Style 23" xfId="4" xr:uid="{00000000-0005-0000-0000-000008000000}"/>
    <cellStyle name="Style 24" xfId="5" xr:uid="{00000000-0005-0000-0000-000009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FFE26D"/>
      <rgbColor rgb="000000FF"/>
      <rgbColor rgb="00009EA6"/>
      <rgbColor rgb="00DFB793"/>
      <rgbColor rgb="001E3086"/>
      <rgbColor rgb="00800000"/>
      <rgbColor rgb="00008000"/>
      <rgbColor rgb="00000080"/>
      <rgbColor rgb="00808000"/>
      <rgbColor rgb="00800080"/>
      <rgbColor rgb="00008080"/>
      <rgbColor rgb="00FFE26D"/>
      <rgbColor rgb="005A5A5A"/>
      <rgbColor rgb="00E31837"/>
      <rgbColor rgb="0000B1B0"/>
      <rgbColor rgb="00919195"/>
      <rgbColor rgb="00B5E1E1"/>
      <rgbColor rgb="00006C67"/>
      <rgbColor rgb="00643CE6"/>
      <rgbColor rgb="00000000"/>
      <rgbColor rgb="007D2364"/>
      <rgbColor rgb="00E31837"/>
      <rgbColor rgb="0000B1B0"/>
      <rgbColor rgb="00919195"/>
      <rgbColor rgb="00B5E1E1"/>
      <rgbColor rgb="00006C67"/>
      <rgbColor rgb="00643CE6"/>
      <rgbColor rgb="00000000"/>
      <rgbColor rgb="007D2364"/>
      <rgbColor rgb="00E1E1E1"/>
      <rgbColor rgb="000059C2"/>
      <rgbColor rgb="00A5BF88"/>
      <rgbColor rgb="00DCDCFF"/>
      <rgbColor rgb="00E41F1F"/>
      <rgbColor rgb="00FF0000"/>
      <rgbColor rgb="0073868B"/>
      <rgbColor rgb="00969696"/>
      <rgbColor rgb="003366FF"/>
      <rgbColor rgb="0033CCCC"/>
      <rgbColor rgb="0099CC00"/>
      <rgbColor rgb="00008C03"/>
      <rgbColor rgb="00FF9900"/>
      <rgbColor rgb="00FF6600"/>
      <rgbColor rgb="00666699"/>
      <rgbColor rgb="00DFDFDF"/>
      <rgbColor rgb="00003366"/>
      <rgbColor rgb="00339966"/>
      <rgbColor rgb="00003300"/>
      <rgbColor rgb="00333300"/>
      <rgbColor rgb="00993300"/>
      <rgbColor rgb="003264AF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4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patri/AppData/Roaming/Microsoft/Excel/Portfolio%20Snapshot%20(version%201).xlsb" TargetMode="External"/><Relationship Id="rId2" Type="http://schemas.openxmlformats.org/officeDocument/2006/relationships/externalLinkPath" Target="file:///C:\Users\patri\AppData\Roaming\Microsoft\Excel\Portfolio%20Snapshot%20(version%201).xlsb" TargetMode="External"/><Relationship Id="rId1" Type="http://schemas.openxmlformats.org/officeDocument/2006/relationships/externalLinkPath" Target="/Users/patri/AppData/Roaming/Microsoft/Excel/Portfolio%20Snapshot%20(version%201)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janam/Desktop/20.02%20Release%20-%20Copy/Key%20Stats/Key%20Stats%20-%20Standard%2020.2.xlsm" TargetMode="External"/><Relationship Id="rId1" Type="http://schemas.openxmlformats.org/officeDocument/2006/relationships/externalLinkPath" Target="/Users/yjanam/Desktop/20.02%20Release%20-%20Copy/Key%20Stats/Key%20Stats%20-%20Standard%2020.2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crego/AppData/Local/Capital%20IQ/Office%20Plug-in/Templates/+Multi-Language/Financial%20Snapshot%20Tearsheet.xls" TargetMode="External"/><Relationship Id="rId1" Type="http://schemas.openxmlformats.org/officeDocument/2006/relationships/externalLinkPath" Target="/Users/crego/AppData/Local/Capital%20IQ/Office%20Plug-in/Templates/+Multi-Language/Financial%20Snapshot%20Tearsheet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patri/AppData/Local/Capital%20IQ/Office%20Plug-in/Templates/Portfolio%20and%20Index/CIQ%20Alpha%20Models.xls" TargetMode="External"/><Relationship Id="rId2" Type="http://schemas.openxmlformats.org/officeDocument/2006/relationships/externalLinkPath" Target="file:///C:\Users\patri\AppData\Local\Capital%20IQ\Office%20Plug-in\Templates\Portfolio%20and%20Index\CIQ%20Alpha%20Models.xls" TargetMode="External"/><Relationship Id="rId1" Type="http://schemas.openxmlformats.org/officeDocument/2006/relationships/externalLinkPath" Target="/Users/patri/AppData/Local/Capital%20IQ/Office%20Plug-in/Templates/Portfolio%20and%20Index/CIQ%20Alpha%20Model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view"/>
      <sheetName val="Summary"/>
      <sheetName val="Portfolio"/>
      <sheetName val="Benchmark"/>
      <sheetName val="PortContrib"/>
      <sheetName val="BenchContrib"/>
      <sheetName val="Chart Data"/>
      <sheetName val="Data"/>
    </sheetNames>
    <sheetDataSet>
      <sheetData sheetId="0"/>
      <sheetData sheetId="1"/>
      <sheetData sheetId="2">
        <row r="7">
          <cell r="AI7" t="str">
            <v>(User access restricted)</v>
          </cell>
          <cell r="AJ7" t="str">
            <v>(User access restricted)</v>
          </cell>
          <cell r="AL7" t="str">
            <v>(User access restricted)</v>
          </cell>
          <cell r="AM7" t="str">
            <v>(User access restricted)</v>
          </cell>
          <cell r="AO7" t="str">
            <v>(User access restricted)</v>
          </cell>
          <cell r="AP7" t="str">
            <v>(User access restricted)</v>
          </cell>
          <cell r="AR7" t="str">
            <v>(User access restricted)</v>
          </cell>
          <cell r="AS7" t="str">
            <v>(User access restricted)</v>
          </cell>
          <cell r="AU7" t="str">
            <v>(User access restricted)</v>
          </cell>
          <cell r="AV7" t="str">
            <v>(User access restricted)</v>
          </cell>
          <cell r="AX7" t="str">
            <v>(User access restricted)</v>
          </cell>
          <cell r="AY7" t="str">
            <v>(User access restricted)</v>
          </cell>
          <cell r="BA7" t="str">
            <v>(User access restricted)</v>
          </cell>
          <cell r="BB7" t="str">
            <v>(User access restricted)</v>
          </cell>
          <cell r="BD7" t="str">
            <v>(User access restricted)</v>
          </cell>
          <cell r="BE7" t="str">
            <v>(User access restricted)</v>
          </cell>
          <cell r="BG7" t="str">
            <v>(User access restricted)</v>
          </cell>
          <cell r="BH7" t="str">
            <v>(User access restricted)</v>
          </cell>
          <cell r="BJ7" t="str">
            <v>(User access restricted)</v>
          </cell>
          <cell r="BK7" t="str">
            <v>(User access restricted)</v>
          </cell>
          <cell r="BM7" t="str">
            <v>(User access restricted)</v>
          </cell>
          <cell r="BN7" t="str">
            <v>(User access restricted)</v>
          </cell>
        </row>
      </sheetData>
      <sheetData sheetId="3">
        <row r="7">
          <cell r="AI7" t="str">
            <v>(User access restricted)</v>
          </cell>
          <cell r="AJ7" t="str">
            <v>(User access restricted)</v>
          </cell>
          <cell r="AL7" t="str">
            <v>(User access restricted)</v>
          </cell>
          <cell r="AM7" t="str">
            <v>(User access restricted)</v>
          </cell>
          <cell r="AO7" t="str">
            <v>(User access restricted)</v>
          </cell>
          <cell r="AP7" t="str">
            <v>(User access restricted)</v>
          </cell>
          <cell r="AR7" t="str">
            <v>(User access restricted)</v>
          </cell>
          <cell r="AS7" t="str">
            <v>(User access restricted)</v>
          </cell>
          <cell r="AU7" t="str">
            <v>(User access restricted)</v>
          </cell>
          <cell r="AV7" t="str">
            <v>(User access restricted)</v>
          </cell>
          <cell r="AX7" t="str">
            <v>(User access restricted)</v>
          </cell>
          <cell r="AY7" t="str">
            <v>(User access restricted)</v>
          </cell>
          <cell r="BA7" t="str">
            <v>(User access restricted)</v>
          </cell>
          <cell r="BB7" t="str">
            <v>(User access restricted)</v>
          </cell>
          <cell r="BD7" t="str">
            <v>(User access restricted)</v>
          </cell>
          <cell r="BE7" t="str">
            <v>(User access restricted)</v>
          </cell>
          <cell r="BG7" t="str">
            <v>(User access restricted)</v>
          </cell>
          <cell r="BH7" t="str">
            <v>(User access restricted)</v>
          </cell>
          <cell r="BJ7" t="str">
            <v>(User access restricted)</v>
          </cell>
          <cell r="BK7" t="str">
            <v>(User access restricted)</v>
          </cell>
          <cell r="BM7" t="str">
            <v>(User access restricted)</v>
          </cell>
          <cell r="BN7" t="str">
            <v>(User access restricted)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Key Stats"/>
      <sheetName val="Income Statement"/>
      <sheetName val="Balance Sheet"/>
      <sheetName val="Cash Flow"/>
      <sheetName val="Multiples"/>
      <sheetName val="Capitalization"/>
      <sheetName val="Capital Structure Summary"/>
      <sheetName val="Capital Structure Details"/>
      <sheetName val="Ratios"/>
      <sheetName val="Supplemental"/>
      <sheetName val="Pension-OPE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">
          <cell r="U6" t="str">
            <v>IQDCS921164068</v>
          </cell>
        </row>
        <row r="7">
          <cell r="U7" t="str">
            <v>IQDCS922008726</v>
          </cell>
        </row>
        <row r="8">
          <cell r="U8" t="str">
            <v>IQDCS921164065</v>
          </cell>
        </row>
        <row r="9">
          <cell r="U9" t="str">
            <v>IQDCS923200891</v>
          </cell>
        </row>
        <row r="10">
          <cell r="U10" t="str">
            <v>IQDCS922584855</v>
          </cell>
        </row>
        <row r="11">
          <cell r="U11" t="str">
            <v>IQDCS920779925</v>
          </cell>
        </row>
        <row r="12">
          <cell r="U12" t="str">
            <v>IQDCS922920408</v>
          </cell>
        </row>
        <row r="13">
          <cell r="U13" t="str">
            <v>IQDCS920779921</v>
          </cell>
        </row>
        <row r="14">
          <cell r="U14" t="str">
            <v>IQDCS920779609</v>
          </cell>
        </row>
        <row r="15">
          <cell r="U15" t="str">
            <v>IQDCS920779615</v>
          </cell>
        </row>
        <row r="16">
          <cell r="U16" t="str">
            <v>IQDCS920779926</v>
          </cell>
        </row>
        <row r="17">
          <cell r="U17" t="str">
            <v>IQDCS922921278</v>
          </cell>
        </row>
        <row r="18">
          <cell r="U18" t="str">
            <v>IQDCS920779614</v>
          </cell>
        </row>
        <row r="19">
          <cell r="U19" t="str">
            <v>IQDCS920779928</v>
          </cell>
        </row>
        <row r="20">
          <cell r="U20" t="str">
            <v>IQDCS922921284</v>
          </cell>
        </row>
        <row r="21">
          <cell r="U21" t="str">
            <v>IQDCS921345359</v>
          </cell>
        </row>
        <row r="22">
          <cell r="U22" t="str">
            <v>IQDCS922920407</v>
          </cell>
        </row>
        <row r="23">
          <cell r="U23" t="str">
            <v>IQDCS920779608</v>
          </cell>
        </row>
        <row r="24">
          <cell r="U24" t="str">
            <v>IQDCS922921285</v>
          </cell>
        </row>
        <row r="25">
          <cell r="U25" t="str">
            <v>IQDCS920779922</v>
          </cell>
        </row>
        <row r="26">
          <cell r="U26" t="str">
            <v>IQDCS922921279</v>
          </cell>
        </row>
        <row r="27">
          <cell r="U27" t="str">
            <v>IQDCS920779620</v>
          </cell>
        </row>
        <row r="28">
          <cell r="U28" t="str">
            <v>IQDCS919289665</v>
          </cell>
        </row>
        <row r="29">
          <cell r="U29" t="str">
            <v>IQDCS920779612</v>
          </cell>
        </row>
        <row r="30">
          <cell r="U30" t="str">
            <v>IQDCS922921287</v>
          </cell>
        </row>
        <row r="35">
          <cell r="U35" t="str">
            <v>IQDCS921164068</v>
          </cell>
        </row>
        <row r="36">
          <cell r="U36" t="str">
            <v>IQDCS922008726</v>
          </cell>
        </row>
        <row r="37">
          <cell r="U37" t="str">
            <v>IQDCS921164065</v>
          </cell>
        </row>
        <row r="38">
          <cell r="U38" t="str">
            <v>IQDCS922031102</v>
          </cell>
        </row>
        <row r="39">
          <cell r="U39" t="str">
            <v>IQDCS922373212</v>
          </cell>
        </row>
        <row r="40">
          <cell r="U40" t="str">
            <v>IQDCS921164072</v>
          </cell>
        </row>
        <row r="41">
          <cell r="U41" t="str">
            <v>IQDCS920779925</v>
          </cell>
        </row>
        <row r="42">
          <cell r="U42" t="str">
            <v>IQDCS920779921</v>
          </cell>
        </row>
        <row r="43">
          <cell r="U43" t="str">
            <v>IQDCS920779609</v>
          </cell>
        </row>
        <row r="44">
          <cell r="U44" t="str">
            <v>IQDCS920779615</v>
          </cell>
        </row>
        <row r="45">
          <cell r="U45" t="str">
            <v>IQDCS920779926</v>
          </cell>
        </row>
        <row r="46">
          <cell r="U46" t="str">
            <v>IQDCS920779614</v>
          </cell>
        </row>
        <row r="47">
          <cell r="U47" t="str">
            <v>IQDCS920779928</v>
          </cell>
        </row>
        <row r="48">
          <cell r="U48" t="str">
            <v>IQDCS920780032</v>
          </cell>
        </row>
        <row r="49">
          <cell r="U49" t="str">
            <v>IQDCS921345359</v>
          </cell>
        </row>
        <row r="50">
          <cell r="U50" t="str">
            <v>IQDCS920779608</v>
          </cell>
        </row>
        <row r="51">
          <cell r="U51" t="str">
            <v>IQDCS920779922</v>
          </cell>
        </row>
        <row r="52">
          <cell r="U52" t="str">
            <v>IQDCS920779620</v>
          </cell>
        </row>
        <row r="53">
          <cell r="U53" t="str">
            <v>IQDCS919289665</v>
          </cell>
        </row>
        <row r="54">
          <cell r="U54" t="str">
            <v>IQDCS920779612</v>
          </cell>
        </row>
        <row r="55">
          <cell r="U55" t="str">
            <v>IQDCS919289795</v>
          </cell>
        </row>
        <row r="56">
          <cell r="U56" t="str">
            <v>IQDCS920779918</v>
          </cell>
        </row>
        <row r="57">
          <cell r="U57" t="str">
            <v>IQDCS920779617</v>
          </cell>
        </row>
        <row r="58">
          <cell r="U58" t="str">
            <v>IQDCS920779919</v>
          </cell>
        </row>
        <row r="59">
          <cell r="U59" t="str">
            <v>IQDCS921164084</v>
          </cell>
        </row>
        <row r="64">
          <cell r="U64" t="str">
            <v>IQDCS921164068</v>
          </cell>
        </row>
        <row r="65">
          <cell r="U65" t="str">
            <v>IQDCS921164072</v>
          </cell>
        </row>
        <row r="66">
          <cell r="U66" t="str">
            <v>IQDCS920779925</v>
          </cell>
        </row>
        <row r="67">
          <cell r="U67" t="str">
            <v>IQDCS920779921</v>
          </cell>
        </row>
        <row r="68">
          <cell r="U68" t="str">
            <v>IQDCS920779609</v>
          </cell>
        </row>
        <row r="69">
          <cell r="U69" t="str">
            <v>IQDCS920779615</v>
          </cell>
        </row>
        <row r="70">
          <cell r="U70" t="str">
            <v>IQDCS920779926</v>
          </cell>
        </row>
        <row r="71">
          <cell r="U71" t="str">
            <v>IQDCS920779614</v>
          </cell>
        </row>
        <row r="72">
          <cell r="U72" t="str">
            <v>IQDCS920779928</v>
          </cell>
        </row>
        <row r="73">
          <cell r="U73" t="str">
            <v>IQDCS920780032</v>
          </cell>
        </row>
        <row r="74">
          <cell r="U74" t="str">
            <v>IQDCS920779608</v>
          </cell>
        </row>
        <row r="75">
          <cell r="U75" t="str">
            <v>IQDCS920779922</v>
          </cell>
        </row>
        <row r="76">
          <cell r="U76" t="str">
            <v>IQDCS920779620</v>
          </cell>
        </row>
        <row r="77">
          <cell r="U77" t="str">
            <v>IQDCS919289665</v>
          </cell>
        </row>
        <row r="78">
          <cell r="U78" t="str">
            <v>IQDCS920779612</v>
          </cell>
        </row>
        <row r="79">
          <cell r="U79" t="str">
            <v>IQDCS919289795</v>
          </cell>
        </row>
        <row r="80">
          <cell r="U80" t="str">
            <v>IQDCS920779918</v>
          </cell>
        </row>
        <row r="81">
          <cell r="U81" t="str">
            <v>IQDCS920779617</v>
          </cell>
        </row>
        <row r="82">
          <cell r="U82" t="str">
            <v>IQDCS920779919</v>
          </cell>
        </row>
        <row r="83">
          <cell r="U83" t="str">
            <v>IQDCS919771151</v>
          </cell>
        </row>
        <row r="84">
          <cell r="U84" t="str">
            <v>IQDCS921164084</v>
          </cell>
        </row>
        <row r="85">
          <cell r="U85" t="str">
            <v>IQDCS921164085</v>
          </cell>
        </row>
        <row r="86">
          <cell r="U86" t="str">
            <v>IQDCS921164070</v>
          </cell>
        </row>
        <row r="87">
          <cell r="U87" t="str">
            <v>IQDCS921164071</v>
          </cell>
        </row>
        <row r="88">
          <cell r="U88" t="str">
            <v>IQDCS916957982</v>
          </cell>
        </row>
      </sheetData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napshot"/>
      <sheetName val="Data"/>
      <sheetName val="Lanugage Index"/>
    </sheetNames>
    <sheetDataSet>
      <sheetData sheetId="0" refreshError="1"/>
      <sheetData sheetId="1">
        <row r="9">
          <cell r="A9">
            <v>43558</v>
          </cell>
          <cell r="B9">
            <v>143.63</v>
          </cell>
          <cell r="C9">
            <v>2.6816499999999999</v>
          </cell>
        </row>
        <row r="10">
          <cell r="A10">
            <v>43559</v>
          </cell>
          <cell r="B10">
            <v>142.78</v>
          </cell>
          <cell r="C10">
            <v>2.7714599999999998</v>
          </cell>
        </row>
        <row r="11">
          <cell r="A11">
            <v>43560</v>
          </cell>
          <cell r="B11">
            <v>143.28</v>
          </cell>
          <cell r="C11">
            <v>2.7319900000000001</v>
          </cell>
        </row>
        <row r="12">
          <cell r="A12">
            <v>43563</v>
          </cell>
          <cell r="B12">
            <v>143.38999999999999</v>
          </cell>
          <cell r="C12">
            <v>2.1182300000000001</v>
          </cell>
        </row>
        <row r="13">
          <cell r="A13">
            <v>43564</v>
          </cell>
          <cell r="B13">
            <v>142.11000000000001</v>
          </cell>
          <cell r="C13">
            <v>3.0384600000000002</v>
          </cell>
        </row>
        <row r="14">
          <cell r="A14">
            <v>43565</v>
          </cell>
          <cell r="B14">
            <v>143.02000000000001</v>
          </cell>
          <cell r="C14">
            <v>2.6783100000000002</v>
          </cell>
        </row>
        <row r="15">
          <cell r="A15">
            <v>43566</v>
          </cell>
          <cell r="B15">
            <v>143.78</v>
          </cell>
          <cell r="C15">
            <v>2.9419900000000001</v>
          </cell>
        </row>
        <row r="16">
          <cell r="A16">
            <v>43567</v>
          </cell>
          <cell r="B16">
            <v>144.35</v>
          </cell>
          <cell r="C16">
            <v>2.8988999999999998</v>
          </cell>
        </row>
        <row r="17">
          <cell r="A17">
            <v>43570</v>
          </cell>
          <cell r="B17">
            <v>143.9</v>
          </cell>
          <cell r="C17">
            <v>3.6031599999999999</v>
          </cell>
        </row>
        <row r="18">
          <cell r="A18">
            <v>43571</v>
          </cell>
          <cell r="B18">
            <v>145.13999999999999</v>
          </cell>
          <cell r="C18">
            <v>6.3016699999999997</v>
          </cell>
        </row>
        <row r="19">
          <cell r="A19">
            <v>43572</v>
          </cell>
          <cell r="B19">
            <v>139.11000000000001</v>
          </cell>
          <cell r="C19">
            <v>12.525690000000001</v>
          </cell>
        </row>
        <row r="20">
          <cell r="A20">
            <v>43573</v>
          </cell>
          <cell r="B20">
            <v>140.33000000000001</v>
          </cell>
          <cell r="C20">
            <v>4.9600200000000001</v>
          </cell>
        </row>
        <row r="21">
          <cell r="A21">
            <v>43577</v>
          </cell>
          <cell r="B21">
            <v>138.88999999999999</v>
          </cell>
          <cell r="C21">
            <v>4.4943299999999997</v>
          </cell>
        </row>
        <row r="22">
          <cell r="A22">
            <v>43578</v>
          </cell>
          <cell r="B22">
            <v>140.44</v>
          </cell>
          <cell r="C22">
            <v>4.4622400000000004</v>
          </cell>
        </row>
        <row r="23">
          <cell r="A23">
            <v>43579</v>
          </cell>
          <cell r="B23">
            <v>139.94999999999999</v>
          </cell>
          <cell r="C23">
            <v>2.7748699999999999</v>
          </cell>
        </row>
        <row r="24">
          <cell r="A24">
            <v>43580</v>
          </cell>
          <cell r="B24">
            <v>138.63</v>
          </cell>
          <cell r="C24">
            <v>2.91011</v>
          </cell>
        </row>
        <row r="25">
          <cell r="A25">
            <v>43581</v>
          </cell>
          <cell r="B25">
            <v>139.44</v>
          </cell>
          <cell r="C25">
            <v>2.3198300000000001</v>
          </cell>
        </row>
        <row r="26">
          <cell r="A26">
            <v>43584</v>
          </cell>
          <cell r="B26">
            <v>139.05000000000001</v>
          </cell>
          <cell r="C26">
            <v>2.9583300000000001</v>
          </cell>
        </row>
        <row r="27">
          <cell r="A27">
            <v>43585</v>
          </cell>
          <cell r="B27">
            <v>140.27000000000001</v>
          </cell>
          <cell r="C27">
            <v>4.6388299999999996</v>
          </cell>
        </row>
        <row r="28">
          <cell r="A28">
            <v>43586</v>
          </cell>
          <cell r="B28">
            <v>140.56</v>
          </cell>
          <cell r="C28">
            <v>3.0536799999999999</v>
          </cell>
        </row>
        <row r="29">
          <cell r="A29">
            <v>43587</v>
          </cell>
          <cell r="B29">
            <v>139.59</v>
          </cell>
          <cell r="C29">
            <v>3.54135</v>
          </cell>
        </row>
        <row r="30">
          <cell r="A30">
            <v>43588</v>
          </cell>
          <cell r="B30">
            <v>140.25</v>
          </cell>
          <cell r="C30">
            <v>2.5800299999999998</v>
          </cell>
        </row>
        <row r="31">
          <cell r="A31">
            <v>43591</v>
          </cell>
          <cell r="B31">
            <v>140.38</v>
          </cell>
          <cell r="C31">
            <v>2.79366</v>
          </cell>
        </row>
        <row r="32">
          <cell r="A32">
            <v>43592</v>
          </cell>
          <cell r="B32">
            <v>137.63999999999999</v>
          </cell>
          <cell r="C32">
            <v>4.7267700000000001</v>
          </cell>
        </row>
        <row r="33">
          <cell r="A33">
            <v>43593</v>
          </cell>
          <cell r="B33">
            <v>138</v>
          </cell>
          <cell r="C33">
            <v>3.8189099999999998</v>
          </cell>
        </row>
        <row r="34">
          <cell r="A34">
            <v>43594</v>
          </cell>
          <cell r="B34">
            <v>135.34</v>
          </cell>
          <cell r="C34">
            <v>4.1929400000000001</v>
          </cell>
        </row>
        <row r="35">
          <cell r="A35">
            <v>43595</v>
          </cell>
          <cell r="B35">
            <v>135.32</v>
          </cell>
          <cell r="C35">
            <v>3.9776899999999999</v>
          </cell>
        </row>
        <row r="36">
          <cell r="A36">
            <v>43598</v>
          </cell>
          <cell r="B36">
            <v>131.41999999999999</v>
          </cell>
          <cell r="C36">
            <v>4.9580200000000003</v>
          </cell>
        </row>
        <row r="37">
          <cell r="A37">
            <v>43599</v>
          </cell>
          <cell r="B37">
            <v>133.31</v>
          </cell>
          <cell r="C37">
            <v>3.28037</v>
          </cell>
        </row>
        <row r="38">
          <cell r="A38">
            <v>43600</v>
          </cell>
          <cell r="B38">
            <v>134.4</v>
          </cell>
          <cell r="C38">
            <v>2.5510100000000002</v>
          </cell>
        </row>
        <row r="39">
          <cell r="A39">
            <v>43601</v>
          </cell>
          <cell r="B39">
            <v>135.88</v>
          </cell>
          <cell r="C39">
            <v>3.0174699999999999</v>
          </cell>
        </row>
        <row r="40">
          <cell r="A40">
            <v>43602</v>
          </cell>
          <cell r="B40">
            <v>134.32</v>
          </cell>
          <cell r="C40">
            <v>2.6191399999999998</v>
          </cell>
        </row>
        <row r="41">
          <cell r="A41">
            <v>43605</v>
          </cell>
          <cell r="B41">
            <v>135.12</v>
          </cell>
          <cell r="C41">
            <v>3.2646500000000001</v>
          </cell>
        </row>
        <row r="42">
          <cell r="A42">
            <v>43606</v>
          </cell>
          <cell r="B42">
            <v>136.44999999999999</v>
          </cell>
          <cell r="C42">
            <v>2.5034999999999998</v>
          </cell>
        </row>
        <row r="43">
          <cell r="A43">
            <v>43607</v>
          </cell>
          <cell r="B43">
            <v>136.35</v>
          </cell>
          <cell r="C43">
            <v>1.84982</v>
          </cell>
        </row>
        <row r="44">
          <cell r="A44">
            <v>43608</v>
          </cell>
          <cell r="B44">
            <v>132.38999999999999</v>
          </cell>
          <cell r="C44">
            <v>5.3434400000000002</v>
          </cell>
        </row>
        <row r="45">
          <cell r="A45">
            <v>43609</v>
          </cell>
          <cell r="B45">
            <v>132.28</v>
          </cell>
          <cell r="C45">
            <v>2.59612</v>
          </cell>
        </row>
        <row r="46">
          <cell r="A46">
            <v>43613</v>
          </cell>
          <cell r="B46">
            <v>130.46</v>
          </cell>
          <cell r="C46">
            <v>4.9091199999999997</v>
          </cell>
        </row>
        <row r="47">
          <cell r="A47">
            <v>43614</v>
          </cell>
          <cell r="B47">
            <v>129.69</v>
          </cell>
          <cell r="C47">
            <v>3.6789800000000001</v>
          </cell>
        </row>
        <row r="48">
          <cell r="A48">
            <v>43615</v>
          </cell>
          <cell r="B48">
            <v>129.57</v>
          </cell>
          <cell r="C48">
            <v>2.7418800000000001</v>
          </cell>
        </row>
        <row r="49">
          <cell r="A49">
            <v>43616</v>
          </cell>
          <cell r="B49">
            <v>126.99</v>
          </cell>
          <cell r="C49">
            <v>3.5393400000000002</v>
          </cell>
        </row>
        <row r="50">
          <cell r="A50">
            <v>43619</v>
          </cell>
          <cell r="B50">
            <v>128.27000000000001</v>
          </cell>
          <cell r="C50">
            <v>4.26708</v>
          </cell>
        </row>
        <row r="51">
          <cell r="A51">
            <v>43620</v>
          </cell>
          <cell r="B51">
            <v>132.69</v>
          </cell>
          <cell r="C51">
            <v>3.9135399999999998</v>
          </cell>
        </row>
        <row r="52">
          <cell r="A52">
            <v>43621</v>
          </cell>
          <cell r="B52">
            <v>131.49</v>
          </cell>
          <cell r="C52">
            <v>3.1615799999999998</v>
          </cell>
        </row>
        <row r="53">
          <cell r="A53">
            <v>43622</v>
          </cell>
          <cell r="B53">
            <v>132.22</v>
          </cell>
          <cell r="C53">
            <v>2.2982499999999999</v>
          </cell>
        </row>
        <row r="54">
          <cell r="A54">
            <v>43623</v>
          </cell>
          <cell r="B54">
            <v>133.31</v>
          </cell>
          <cell r="C54">
            <v>2.5533999999999999</v>
          </cell>
        </row>
        <row r="55">
          <cell r="A55">
            <v>43626</v>
          </cell>
          <cell r="B55">
            <v>134.74</v>
          </cell>
          <cell r="C55">
            <v>2.91133</v>
          </cell>
        </row>
        <row r="56">
          <cell r="A56">
            <v>43627</v>
          </cell>
          <cell r="B56">
            <v>135.94999999999999</v>
          </cell>
          <cell r="C56">
            <v>3.4073500000000001</v>
          </cell>
        </row>
        <row r="57">
          <cell r="A57">
            <v>43628</v>
          </cell>
          <cell r="B57">
            <v>134.87</v>
          </cell>
          <cell r="C57">
            <v>2.25474</v>
          </cell>
        </row>
        <row r="58">
          <cell r="A58">
            <v>43629</v>
          </cell>
          <cell r="B58">
            <v>135.76</v>
          </cell>
          <cell r="C58">
            <v>2.9554200000000002</v>
          </cell>
        </row>
        <row r="59">
          <cell r="A59">
            <v>43630</v>
          </cell>
          <cell r="B59">
            <v>135.15</v>
          </cell>
          <cell r="C59">
            <v>2.1933699999999998</v>
          </cell>
        </row>
        <row r="60">
          <cell r="A60">
            <v>43633</v>
          </cell>
          <cell r="B60">
            <v>134.94999999999999</v>
          </cell>
          <cell r="C60">
            <v>2.1941299999999999</v>
          </cell>
        </row>
        <row r="61">
          <cell r="A61">
            <v>43634</v>
          </cell>
          <cell r="B61">
            <v>136.38</v>
          </cell>
          <cell r="C61">
            <v>2.9146999999999998</v>
          </cell>
        </row>
        <row r="62">
          <cell r="A62">
            <v>43635</v>
          </cell>
          <cell r="B62">
            <v>137.08000000000001</v>
          </cell>
          <cell r="C62">
            <v>2.38252</v>
          </cell>
        </row>
        <row r="63">
          <cell r="A63">
            <v>43636</v>
          </cell>
          <cell r="B63">
            <v>138.85</v>
          </cell>
          <cell r="C63">
            <v>3.0710199999999999</v>
          </cell>
        </row>
        <row r="64">
          <cell r="A64">
            <v>43637</v>
          </cell>
          <cell r="B64">
            <v>139.19999999999999</v>
          </cell>
          <cell r="C64">
            <v>5.2887599999999999</v>
          </cell>
        </row>
        <row r="65">
          <cell r="A65">
            <v>43640</v>
          </cell>
          <cell r="B65">
            <v>139.35</v>
          </cell>
          <cell r="C65">
            <v>2.18614</v>
          </cell>
        </row>
        <row r="66">
          <cell r="A66">
            <v>43641</v>
          </cell>
          <cell r="B66">
            <v>138.36000000000001</v>
          </cell>
          <cell r="C66">
            <v>2.80125</v>
          </cell>
        </row>
        <row r="67">
          <cell r="A67">
            <v>43642</v>
          </cell>
          <cell r="B67">
            <v>138.52000000000001</v>
          </cell>
          <cell r="C67">
            <v>2.28457</v>
          </cell>
        </row>
        <row r="68">
          <cell r="A68">
            <v>43643</v>
          </cell>
          <cell r="B68">
            <v>138.52000000000001</v>
          </cell>
          <cell r="C68">
            <v>2.1498200000000001</v>
          </cell>
        </row>
        <row r="69">
          <cell r="A69">
            <v>43644</v>
          </cell>
          <cell r="B69">
            <v>137.9</v>
          </cell>
          <cell r="C69">
            <v>6.1540400000000002</v>
          </cell>
        </row>
        <row r="70">
          <cell r="A70">
            <v>43647</v>
          </cell>
          <cell r="B70">
            <v>139.88</v>
          </cell>
          <cell r="C70">
            <v>3.3871799999999999</v>
          </cell>
        </row>
        <row r="71">
          <cell r="A71">
            <v>43648</v>
          </cell>
          <cell r="B71">
            <v>140.22</v>
          </cell>
          <cell r="C71">
            <v>2.4100899999999998</v>
          </cell>
        </row>
        <row r="72">
          <cell r="A72">
            <v>43649</v>
          </cell>
          <cell r="B72">
            <v>141.54</v>
          </cell>
          <cell r="C72">
            <v>1.9303600000000001</v>
          </cell>
        </row>
        <row r="73">
          <cell r="A73">
            <v>43651</v>
          </cell>
          <cell r="B73">
            <v>141.38</v>
          </cell>
          <cell r="C73">
            <v>2.1350899999999999</v>
          </cell>
        </row>
        <row r="74">
          <cell r="A74">
            <v>43654</v>
          </cell>
          <cell r="B74">
            <v>140.57</v>
          </cell>
          <cell r="C74">
            <v>2.3954900000000001</v>
          </cell>
        </row>
        <row r="75">
          <cell r="A75">
            <v>43655</v>
          </cell>
          <cell r="B75">
            <v>139.33000000000001</v>
          </cell>
          <cell r="C75">
            <v>3.3652299999999999</v>
          </cell>
        </row>
        <row r="76">
          <cell r="A76">
            <v>43656</v>
          </cell>
          <cell r="B76">
            <v>140.47</v>
          </cell>
          <cell r="C76">
            <v>2.5139300000000002</v>
          </cell>
        </row>
        <row r="77">
          <cell r="A77">
            <v>43657</v>
          </cell>
          <cell r="B77">
            <v>141.24</v>
          </cell>
          <cell r="C77">
            <v>2.1333299999999999</v>
          </cell>
        </row>
        <row r="78">
          <cell r="A78">
            <v>43658</v>
          </cell>
          <cell r="B78">
            <v>142.74</v>
          </cell>
          <cell r="C78">
            <v>2.7862800000000001</v>
          </cell>
        </row>
        <row r="79">
          <cell r="A79">
            <v>43661</v>
          </cell>
          <cell r="B79">
            <v>143.32</v>
          </cell>
          <cell r="C79">
            <v>2.3683100000000001</v>
          </cell>
        </row>
        <row r="80">
          <cell r="A80">
            <v>43662</v>
          </cell>
          <cell r="B80">
            <v>143.53</v>
          </cell>
          <cell r="C80">
            <v>3.4746899999999998</v>
          </cell>
        </row>
        <row r="81">
          <cell r="A81">
            <v>43663</v>
          </cell>
          <cell r="B81">
            <v>143.07</v>
          </cell>
          <cell r="C81">
            <v>6.0642699999999996</v>
          </cell>
        </row>
        <row r="82">
          <cell r="A82">
            <v>43664</v>
          </cell>
          <cell r="B82">
            <v>149.63</v>
          </cell>
          <cell r="C82">
            <v>12.69539</v>
          </cell>
        </row>
        <row r="83">
          <cell r="A83">
            <v>43665</v>
          </cell>
          <cell r="B83">
            <v>149.68</v>
          </cell>
          <cell r="C83">
            <v>7.29068</v>
          </cell>
        </row>
        <row r="84">
          <cell r="A84">
            <v>43668</v>
          </cell>
          <cell r="B84">
            <v>149.74</v>
          </cell>
          <cell r="C84">
            <v>4.0932399999999998</v>
          </cell>
        </row>
        <row r="85">
          <cell r="A85">
            <v>43669</v>
          </cell>
          <cell r="B85">
            <v>150.38</v>
          </cell>
          <cell r="C85">
            <v>3.7422</v>
          </cell>
        </row>
        <row r="86">
          <cell r="A86">
            <v>43670</v>
          </cell>
          <cell r="B86">
            <v>150.03</v>
          </cell>
          <cell r="C86">
            <v>2.9524400000000002</v>
          </cell>
        </row>
        <row r="87">
          <cell r="A87">
            <v>43671</v>
          </cell>
          <cell r="B87">
            <v>150.38999999999999</v>
          </cell>
          <cell r="C87">
            <v>3.1021100000000001</v>
          </cell>
        </row>
        <row r="88">
          <cell r="A88">
            <v>43672</v>
          </cell>
          <cell r="B88">
            <v>151.36000000000001</v>
          </cell>
          <cell r="C88">
            <v>2.90449</v>
          </cell>
        </row>
        <row r="89">
          <cell r="A89">
            <v>43675</v>
          </cell>
          <cell r="B89">
            <v>150.88</v>
          </cell>
          <cell r="C89">
            <v>2.0755300000000001</v>
          </cell>
        </row>
        <row r="90">
          <cell r="A90">
            <v>43676</v>
          </cell>
          <cell r="B90">
            <v>149.77000000000001</v>
          </cell>
          <cell r="C90">
            <v>2.63273</v>
          </cell>
        </row>
        <row r="91">
          <cell r="A91">
            <v>43677</v>
          </cell>
          <cell r="B91">
            <v>148.24</v>
          </cell>
          <cell r="C91">
            <v>3.7229100000000002</v>
          </cell>
        </row>
        <row r="92">
          <cell r="A92">
            <v>43678</v>
          </cell>
          <cell r="B92">
            <v>150.32</v>
          </cell>
          <cell r="C92">
            <v>6.3440099999999999</v>
          </cell>
        </row>
        <row r="93">
          <cell r="A93">
            <v>43679</v>
          </cell>
          <cell r="B93">
            <v>147.25</v>
          </cell>
          <cell r="C93">
            <v>8.1017200000000003</v>
          </cell>
        </row>
        <row r="94">
          <cell r="A94">
            <v>43682</v>
          </cell>
          <cell r="B94">
            <v>140.76</v>
          </cell>
          <cell r="C94">
            <v>7.1148699999999998</v>
          </cell>
        </row>
        <row r="95">
          <cell r="A95">
            <v>43683</v>
          </cell>
          <cell r="B95">
            <v>140.72999999999999</v>
          </cell>
          <cell r="C95">
            <v>5.0706499999999997</v>
          </cell>
        </row>
        <row r="96">
          <cell r="A96">
            <v>43684</v>
          </cell>
          <cell r="B96">
            <v>139.11000000000001</v>
          </cell>
          <cell r="C96">
            <v>5.9318799999999996</v>
          </cell>
        </row>
        <row r="97">
          <cell r="A97">
            <v>43685</v>
          </cell>
          <cell r="B97">
            <v>140.1</v>
          </cell>
          <cell r="C97">
            <v>5.2614400000000003</v>
          </cell>
        </row>
        <row r="98">
          <cell r="A98">
            <v>43686</v>
          </cell>
          <cell r="B98">
            <v>136.13</v>
          </cell>
          <cell r="C98">
            <v>5.2445899999999996</v>
          </cell>
        </row>
        <row r="99">
          <cell r="A99">
            <v>43689</v>
          </cell>
          <cell r="B99">
            <v>134.12</v>
          </cell>
          <cell r="C99">
            <v>4.1936400000000003</v>
          </cell>
        </row>
        <row r="100">
          <cell r="A100">
            <v>43690</v>
          </cell>
          <cell r="B100">
            <v>135.79</v>
          </cell>
          <cell r="C100">
            <v>4.5511699999999999</v>
          </cell>
        </row>
        <row r="101">
          <cell r="A101">
            <v>43691</v>
          </cell>
          <cell r="B101">
            <v>131.25</v>
          </cell>
          <cell r="C101">
            <v>5.11416</v>
          </cell>
        </row>
        <row r="102">
          <cell r="A102">
            <v>43692</v>
          </cell>
          <cell r="B102">
            <v>131.91999999999999</v>
          </cell>
          <cell r="C102">
            <v>3.73895</v>
          </cell>
        </row>
        <row r="103">
          <cell r="A103">
            <v>43693</v>
          </cell>
          <cell r="B103">
            <v>133.76</v>
          </cell>
          <cell r="C103">
            <v>3.0119899999999999</v>
          </cell>
        </row>
        <row r="104">
          <cell r="A104">
            <v>43696</v>
          </cell>
          <cell r="B104">
            <v>135.04</v>
          </cell>
          <cell r="C104">
            <v>3.1654399999999998</v>
          </cell>
        </row>
        <row r="105">
          <cell r="A105">
            <v>43697</v>
          </cell>
          <cell r="B105">
            <v>133</v>
          </cell>
          <cell r="C105">
            <v>3.0189300000000001</v>
          </cell>
        </row>
        <row r="106">
          <cell r="A106">
            <v>43698</v>
          </cell>
          <cell r="B106">
            <v>134.25</v>
          </cell>
          <cell r="C106">
            <v>2.8067700000000002</v>
          </cell>
        </row>
        <row r="107">
          <cell r="A107">
            <v>43699</v>
          </cell>
          <cell r="B107">
            <v>134.32</v>
          </cell>
          <cell r="C107">
            <v>2.6950099999999999</v>
          </cell>
        </row>
        <row r="108">
          <cell r="A108">
            <v>43700</v>
          </cell>
          <cell r="B108">
            <v>129.57</v>
          </cell>
          <cell r="C108">
            <v>4.8187600000000002</v>
          </cell>
        </row>
        <row r="109">
          <cell r="A109">
            <v>43703</v>
          </cell>
          <cell r="B109">
            <v>129.99</v>
          </cell>
          <cell r="C109">
            <v>2.83684</v>
          </cell>
        </row>
        <row r="110">
          <cell r="A110">
            <v>43704</v>
          </cell>
          <cell r="B110">
            <v>131.16999999999999</v>
          </cell>
          <cell r="C110">
            <v>4.7283900000000001</v>
          </cell>
        </row>
        <row r="111">
          <cell r="A111">
            <v>43705</v>
          </cell>
          <cell r="B111">
            <v>132.76</v>
          </cell>
          <cell r="C111">
            <v>2.7203599999999999</v>
          </cell>
        </row>
        <row r="112">
          <cell r="A112">
            <v>43706</v>
          </cell>
          <cell r="B112">
            <v>134.88</v>
          </cell>
          <cell r="C112">
            <v>2.9728400000000001</v>
          </cell>
        </row>
        <row r="113">
          <cell r="A113">
            <v>43707</v>
          </cell>
          <cell r="B113">
            <v>135.53</v>
          </cell>
          <cell r="C113">
            <v>2.9605899999999998</v>
          </cell>
        </row>
        <row r="114">
          <cell r="A114">
            <v>43711</v>
          </cell>
          <cell r="B114">
            <v>134.1</v>
          </cell>
          <cell r="C114">
            <v>2.8282400000000001</v>
          </cell>
        </row>
        <row r="115">
          <cell r="A115">
            <v>43712</v>
          </cell>
          <cell r="B115">
            <v>136.32</v>
          </cell>
          <cell r="C115">
            <v>2.2620800000000001</v>
          </cell>
        </row>
        <row r="116">
          <cell r="A116">
            <v>43713</v>
          </cell>
          <cell r="B116">
            <v>140.97</v>
          </cell>
          <cell r="C116">
            <v>5.0129099999999998</v>
          </cell>
        </row>
        <row r="117">
          <cell r="A117">
            <v>43714</v>
          </cell>
          <cell r="B117">
            <v>140.57</v>
          </cell>
          <cell r="C117">
            <v>2.5771999999999999</v>
          </cell>
        </row>
        <row r="118">
          <cell r="A118">
            <v>43717</v>
          </cell>
          <cell r="B118">
            <v>142.6</v>
          </cell>
          <cell r="C118">
            <v>4.2269399999999999</v>
          </cell>
        </row>
        <row r="119">
          <cell r="A119">
            <v>43718</v>
          </cell>
          <cell r="B119">
            <v>145.05000000000001</v>
          </cell>
          <cell r="C119">
            <v>4.9797399999999996</v>
          </cell>
        </row>
        <row r="120">
          <cell r="A120">
            <v>43719</v>
          </cell>
          <cell r="B120">
            <v>143.6</v>
          </cell>
          <cell r="C120">
            <v>3.8697300000000001</v>
          </cell>
        </row>
        <row r="121">
          <cell r="A121">
            <v>43720</v>
          </cell>
          <cell r="B121">
            <v>143.62</v>
          </cell>
          <cell r="C121">
            <v>2.50543</v>
          </cell>
        </row>
        <row r="122">
          <cell r="A122">
            <v>43721</v>
          </cell>
          <cell r="B122">
            <v>143.66999999999999</v>
          </cell>
          <cell r="C122">
            <v>2.20661</v>
          </cell>
        </row>
        <row r="123">
          <cell r="A123">
            <v>43724</v>
          </cell>
          <cell r="B123">
            <v>142.47999999999999</v>
          </cell>
          <cell r="C123">
            <v>1.9285000000000001</v>
          </cell>
        </row>
        <row r="124">
          <cell r="A124">
            <v>43725</v>
          </cell>
          <cell r="B124">
            <v>142.19999999999999</v>
          </cell>
          <cell r="C124">
            <v>2.94049</v>
          </cell>
        </row>
        <row r="125">
          <cell r="A125">
            <v>43726</v>
          </cell>
          <cell r="B125">
            <v>142.22</v>
          </cell>
          <cell r="C125">
            <v>1.99516</v>
          </cell>
        </row>
        <row r="126">
          <cell r="A126">
            <v>43727</v>
          </cell>
          <cell r="B126">
            <v>142.97</v>
          </cell>
          <cell r="C126">
            <v>3.1820900000000001</v>
          </cell>
        </row>
        <row r="127">
          <cell r="A127">
            <v>43728</v>
          </cell>
          <cell r="B127">
            <v>141.88</v>
          </cell>
          <cell r="C127">
            <v>5.2178800000000001</v>
          </cell>
        </row>
        <row r="128">
          <cell r="A128">
            <v>43731</v>
          </cell>
          <cell r="B128">
            <v>142.07</v>
          </cell>
          <cell r="C128">
            <v>1.85006</v>
          </cell>
        </row>
        <row r="129">
          <cell r="A129">
            <v>43732</v>
          </cell>
          <cell r="B129">
            <v>141.68</v>
          </cell>
          <cell r="C129">
            <v>3.3111700000000002</v>
          </cell>
        </row>
        <row r="130">
          <cell r="A130">
            <v>43733</v>
          </cell>
          <cell r="B130">
            <v>143.16</v>
          </cell>
          <cell r="C130">
            <v>2.5462099999999999</v>
          </cell>
        </row>
        <row r="131">
          <cell r="A131">
            <v>43734</v>
          </cell>
          <cell r="B131">
            <v>143.55000000000001</v>
          </cell>
          <cell r="C131">
            <v>2.31454</v>
          </cell>
        </row>
        <row r="132">
          <cell r="A132">
            <v>43735</v>
          </cell>
          <cell r="B132">
            <v>143.24</v>
          </cell>
          <cell r="C132">
            <v>2.3570799999999998</v>
          </cell>
        </row>
        <row r="133">
          <cell r="A133">
            <v>43738</v>
          </cell>
          <cell r="B133">
            <v>145.41999999999999</v>
          </cell>
          <cell r="C133">
            <v>4.0044300000000002</v>
          </cell>
        </row>
        <row r="134">
          <cell r="A134">
            <v>43739</v>
          </cell>
          <cell r="B134">
            <v>143.66</v>
          </cell>
          <cell r="C134">
            <v>2.9737100000000001</v>
          </cell>
        </row>
        <row r="135">
          <cell r="A135">
            <v>43740</v>
          </cell>
          <cell r="B135">
            <v>141.69</v>
          </cell>
          <cell r="C135">
            <v>3.34728</v>
          </cell>
        </row>
        <row r="136">
          <cell r="A136">
            <v>43741</v>
          </cell>
          <cell r="B136">
            <v>142.02000000000001</v>
          </cell>
          <cell r="C136">
            <v>3.1617199999999999</v>
          </cell>
        </row>
        <row r="137">
          <cell r="A137">
            <v>43742</v>
          </cell>
          <cell r="B137">
            <v>142.99</v>
          </cell>
          <cell r="C137">
            <v>2.4494799999999999</v>
          </cell>
        </row>
        <row r="138">
          <cell r="A138">
            <v>43745</v>
          </cell>
          <cell r="B138">
            <v>141.28</v>
          </cell>
          <cell r="C138">
            <v>2.4887999999999999</v>
          </cell>
        </row>
        <row r="139">
          <cell r="A139">
            <v>43746</v>
          </cell>
          <cell r="B139">
            <v>138.38</v>
          </cell>
          <cell r="C139">
            <v>3.3440799999999999</v>
          </cell>
        </row>
        <row r="140">
          <cell r="A140">
            <v>43747</v>
          </cell>
          <cell r="B140">
            <v>139.66999999999999</v>
          </cell>
          <cell r="C140">
            <v>2.63347</v>
          </cell>
        </row>
        <row r="141">
          <cell r="A141">
            <v>43748</v>
          </cell>
          <cell r="B141">
            <v>141.13</v>
          </cell>
          <cell r="C141">
            <v>2.64669</v>
          </cell>
        </row>
        <row r="142">
          <cell r="A142">
            <v>43749</v>
          </cell>
          <cell r="B142">
            <v>142.76</v>
          </cell>
          <cell r="C142">
            <v>3.0186700000000002</v>
          </cell>
        </row>
        <row r="143">
          <cell r="A143">
            <v>43752</v>
          </cell>
          <cell r="B143">
            <v>142.04</v>
          </cell>
          <cell r="C143">
            <v>2.3256100000000002</v>
          </cell>
        </row>
        <row r="144">
          <cell r="A144">
            <v>43753</v>
          </cell>
          <cell r="B144">
            <v>143</v>
          </cell>
          <cell r="C144">
            <v>3.0470000000000002</v>
          </cell>
        </row>
        <row r="145">
          <cell r="A145">
            <v>43754</v>
          </cell>
          <cell r="B145">
            <v>142.11000000000001</v>
          </cell>
          <cell r="C145">
            <v>5.9157099999999998</v>
          </cell>
        </row>
        <row r="146">
          <cell r="A146">
            <v>43755</v>
          </cell>
          <cell r="B146">
            <v>134.26</v>
          </cell>
          <cell r="C146">
            <v>15.83081</v>
          </cell>
        </row>
        <row r="147">
          <cell r="A147">
            <v>43756</v>
          </cell>
          <cell r="B147">
            <v>134.09</v>
          </cell>
          <cell r="C147">
            <v>7.1783799999999998</v>
          </cell>
        </row>
        <row r="148">
          <cell r="A148">
            <v>43759</v>
          </cell>
          <cell r="B148">
            <v>132.58000000000001</v>
          </cell>
          <cell r="C148">
            <v>6.3729800000000001</v>
          </cell>
        </row>
        <row r="149">
          <cell r="A149">
            <v>43760</v>
          </cell>
          <cell r="B149">
            <v>133.96</v>
          </cell>
          <cell r="C149">
            <v>4.1958000000000002</v>
          </cell>
        </row>
        <row r="150">
          <cell r="A150">
            <v>43761</v>
          </cell>
          <cell r="B150">
            <v>134.38</v>
          </cell>
          <cell r="C150">
            <v>3.6273499999999999</v>
          </cell>
        </row>
        <row r="151">
          <cell r="A151">
            <v>43762</v>
          </cell>
          <cell r="B151">
            <v>134.07</v>
          </cell>
          <cell r="C151">
            <v>2.61931</v>
          </cell>
        </row>
        <row r="152">
          <cell r="A152">
            <v>43763</v>
          </cell>
          <cell r="B152">
            <v>135.44</v>
          </cell>
          <cell r="C152">
            <v>2.5790600000000001</v>
          </cell>
        </row>
        <row r="153">
          <cell r="A153">
            <v>43766</v>
          </cell>
          <cell r="B153">
            <v>135.97</v>
          </cell>
          <cell r="C153">
            <v>3.2261299999999999</v>
          </cell>
        </row>
        <row r="154">
          <cell r="A154">
            <v>43767</v>
          </cell>
          <cell r="B154">
            <v>133.82</v>
          </cell>
          <cell r="C154">
            <v>4.1607200000000004</v>
          </cell>
        </row>
        <row r="155">
          <cell r="A155">
            <v>43768</v>
          </cell>
          <cell r="B155">
            <v>135.25</v>
          </cell>
          <cell r="C155">
            <v>2.25299</v>
          </cell>
        </row>
        <row r="156">
          <cell r="A156">
            <v>43769</v>
          </cell>
          <cell r="B156">
            <v>133.72999999999999</v>
          </cell>
          <cell r="C156">
            <v>3.4121199999999998</v>
          </cell>
        </row>
        <row r="157">
          <cell r="A157">
            <v>43770</v>
          </cell>
          <cell r="B157">
            <v>135.53</v>
          </cell>
          <cell r="C157">
            <v>3.0897899999999998</v>
          </cell>
        </row>
        <row r="158">
          <cell r="A158">
            <v>43773</v>
          </cell>
          <cell r="B158">
            <v>137.66999999999999</v>
          </cell>
          <cell r="C158">
            <v>3.3353899999999999</v>
          </cell>
        </row>
        <row r="159">
          <cell r="A159">
            <v>43774</v>
          </cell>
          <cell r="B159">
            <v>137.88999999999999</v>
          </cell>
          <cell r="C159">
            <v>3.0149599999999999</v>
          </cell>
        </row>
        <row r="160">
          <cell r="A160">
            <v>43775</v>
          </cell>
          <cell r="B160">
            <v>138.78</v>
          </cell>
          <cell r="C160">
            <v>4.47729</v>
          </cell>
        </row>
        <row r="161">
          <cell r="A161">
            <v>43776</v>
          </cell>
          <cell r="B161">
            <v>137.69</v>
          </cell>
          <cell r="C161">
            <v>4.0739099999999997</v>
          </cell>
        </row>
        <row r="162">
          <cell r="A162">
            <v>43777</v>
          </cell>
          <cell r="B162">
            <v>137.61000000000001</v>
          </cell>
          <cell r="C162">
            <v>2.2786</v>
          </cell>
        </row>
        <row r="163">
          <cell r="A163">
            <v>43780</v>
          </cell>
          <cell r="B163">
            <v>135.47</v>
          </cell>
          <cell r="C163">
            <v>2.5687600000000002</v>
          </cell>
        </row>
        <row r="164">
          <cell r="A164">
            <v>43781</v>
          </cell>
          <cell r="B164">
            <v>135.59</v>
          </cell>
          <cell r="C164">
            <v>3.0465399999999998</v>
          </cell>
        </row>
        <row r="165">
          <cell r="A165">
            <v>43782</v>
          </cell>
          <cell r="B165">
            <v>134.47999999999999</v>
          </cell>
          <cell r="C165">
            <v>3.0609199999999999</v>
          </cell>
        </row>
        <row r="166">
          <cell r="A166">
            <v>43783</v>
          </cell>
          <cell r="B166">
            <v>134</v>
          </cell>
          <cell r="C166">
            <v>4.2314699999999998</v>
          </cell>
        </row>
        <row r="167">
          <cell r="A167">
            <v>43784</v>
          </cell>
          <cell r="B167">
            <v>134.4</v>
          </cell>
          <cell r="C167">
            <v>3.2626599999999999</v>
          </cell>
        </row>
        <row r="168">
          <cell r="A168">
            <v>43787</v>
          </cell>
          <cell r="B168">
            <v>134.31</v>
          </cell>
          <cell r="C168">
            <v>3.2108699999999999</v>
          </cell>
        </row>
        <row r="169">
          <cell r="A169">
            <v>43788</v>
          </cell>
          <cell r="B169">
            <v>134.52000000000001</v>
          </cell>
          <cell r="C169">
            <v>2.9950700000000001</v>
          </cell>
        </row>
        <row r="170">
          <cell r="A170">
            <v>43789</v>
          </cell>
          <cell r="B170">
            <v>133.19999999999999</v>
          </cell>
          <cell r="C170">
            <v>4.1401500000000002</v>
          </cell>
        </row>
        <row r="171">
          <cell r="A171">
            <v>43790</v>
          </cell>
          <cell r="B171">
            <v>133.84</v>
          </cell>
          <cell r="C171">
            <v>3.3453400000000002</v>
          </cell>
        </row>
        <row r="172">
          <cell r="A172">
            <v>43791</v>
          </cell>
          <cell r="B172">
            <v>134.34</v>
          </cell>
          <cell r="C172">
            <v>3.2978000000000001</v>
          </cell>
        </row>
        <row r="173">
          <cell r="A173">
            <v>43794</v>
          </cell>
          <cell r="B173">
            <v>135.97</v>
          </cell>
          <cell r="C173">
            <v>2.5901700000000001</v>
          </cell>
        </row>
        <row r="174">
          <cell r="A174">
            <v>43795</v>
          </cell>
          <cell r="B174">
            <v>135.09</v>
          </cell>
          <cell r="C174">
            <v>3.7933400000000002</v>
          </cell>
        </row>
        <row r="175">
          <cell r="A175">
            <v>43796</v>
          </cell>
          <cell r="B175">
            <v>133.77000000000001</v>
          </cell>
          <cell r="C175">
            <v>3.2828300000000001</v>
          </cell>
        </row>
        <row r="176">
          <cell r="A176">
            <v>43798</v>
          </cell>
          <cell r="B176">
            <v>134.44999999999999</v>
          </cell>
          <cell r="C176">
            <v>1.8252600000000001</v>
          </cell>
        </row>
        <row r="177">
          <cell r="A177">
            <v>43801</v>
          </cell>
          <cell r="B177">
            <v>132.91</v>
          </cell>
          <cell r="C177">
            <v>3.0678299999999998</v>
          </cell>
        </row>
        <row r="178">
          <cell r="A178">
            <v>43802</v>
          </cell>
          <cell r="B178">
            <v>132.12</v>
          </cell>
          <cell r="C178">
            <v>3.7110699999999999</v>
          </cell>
        </row>
        <row r="179">
          <cell r="A179">
            <v>43803</v>
          </cell>
          <cell r="B179">
            <v>131.99</v>
          </cell>
          <cell r="C179">
            <v>3.53077</v>
          </cell>
        </row>
        <row r="180">
          <cell r="A180">
            <v>43804</v>
          </cell>
          <cell r="B180">
            <v>131.91</v>
          </cell>
          <cell r="C180">
            <v>3.5985800000000001</v>
          </cell>
        </row>
        <row r="181">
          <cell r="A181">
            <v>43805</v>
          </cell>
          <cell r="B181">
            <v>133.22</v>
          </cell>
          <cell r="C181">
            <v>3.4379900000000001</v>
          </cell>
        </row>
        <row r="182">
          <cell r="A182">
            <v>43808</v>
          </cell>
          <cell r="B182">
            <v>133.91999999999999</v>
          </cell>
          <cell r="C182">
            <v>2.9788000000000001</v>
          </cell>
        </row>
        <row r="183">
          <cell r="A183">
            <v>43809</v>
          </cell>
          <cell r="B183">
            <v>133.91</v>
          </cell>
          <cell r="C183">
            <v>3.4803899999999999</v>
          </cell>
        </row>
        <row r="184">
          <cell r="A184">
            <v>43810</v>
          </cell>
          <cell r="B184">
            <v>133.76</v>
          </cell>
          <cell r="C184">
            <v>3.9533100000000001</v>
          </cell>
        </row>
        <row r="185">
          <cell r="A185">
            <v>43811</v>
          </cell>
          <cell r="B185">
            <v>135.32</v>
          </cell>
          <cell r="C185">
            <v>4.8241899999999998</v>
          </cell>
        </row>
        <row r="186">
          <cell r="A186">
            <v>43812</v>
          </cell>
          <cell r="B186">
            <v>134.21</v>
          </cell>
          <cell r="C186">
            <v>2.5349699999999999</v>
          </cell>
        </row>
        <row r="187">
          <cell r="A187">
            <v>43815</v>
          </cell>
          <cell r="B187">
            <v>134.13</v>
          </cell>
          <cell r="C187">
            <v>3.0493299999999999</v>
          </cell>
        </row>
        <row r="188">
          <cell r="A188">
            <v>43816</v>
          </cell>
          <cell r="B188">
            <v>134.22</v>
          </cell>
          <cell r="C188">
            <v>2.9075500000000001</v>
          </cell>
        </row>
        <row r="189">
          <cell r="A189">
            <v>43817</v>
          </cell>
          <cell r="B189">
            <v>134.41</v>
          </cell>
          <cell r="C189">
            <v>3.1023499999999999</v>
          </cell>
        </row>
        <row r="190">
          <cell r="A190">
            <v>43818</v>
          </cell>
          <cell r="B190">
            <v>134.56</v>
          </cell>
          <cell r="C190">
            <v>3.8667199999999999</v>
          </cell>
        </row>
        <row r="191">
          <cell r="A191">
            <v>43819</v>
          </cell>
          <cell r="B191">
            <v>135.59</v>
          </cell>
          <cell r="C191">
            <v>7.1120700000000001</v>
          </cell>
        </row>
        <row r="192">
          <cell r="A192">
            <v>43822</v>
          </cell>
          <cell r="B192">
            <v>135.55000000000001</v>
          </cell>
          <cell r="C192">
            <v>2.8031700000000002</v>
          </cell>
        </row>
        <row r="193">
          <cell r="A193">
            <v>43823</v>
          </cell>
          <cell r="B193">
            <v>134.97999999999999</v>
          </cell>
          <cell r="C193">
            <v>1.2020900000000001</v>
          </cell>
        </row>
        <row r="194">
          <cell r="A194">
            <v>43825</v>
          </cell>
          <cell r="B194">
            <v>134.91</v>
          </cell>
          <cell r="C194">
            <v>2.1307100000000001</v>
          </cell>
        </row>
        <row r="195">
          <cell r="A195">
            <v>43826</v>
          </cell>
          <cell r="B195">
            <v>135.27000000000001</v>
          </cell>
          <cell r="C195">
            <v>2.75271</v>
          </cell>
        </row>
        <row r="196">
          <cell r="A196">
            <v>43829</v>
          </cell>
          <cell r="B196">
            <v>132.81</v>
          </cell>
          <cell r="C196">
            <v>4.1189400000000003</v>
          </cell>
        </row>
        <row r="197">
          <cell r="A197">
            <v>43830</v>
          </cell>
          <cell r="B197">
            <v>134.04</v>
          </cell>
          <cell r="C197">
            <v>3.7780100000000001</v>
          </cell>
        </row>
        <row r="198">
          <cell r="A198">
            <v>43832</v>
          </cell>
          <cell r="B198">
            <v>135.41999999999999</v>
          </cell>
          <cell r="C198">
            <v>3.1488299999999998</v>
          </cell>
        </row>
        <row r="199">
          <cell r="A199">
            <v>43833</v>
          </cell>
          <cell r="B199">
            <v>134.34</v>
          </cell>
          <cell r="C199">
            <v>2.3736799999999998</v>
          </cell>
        </row>
        <row r="200">
          <cell r="A200">
            <v>43836</v>
          </cell>
          <cell r="B200">
            <v>134.1</v>
          </cell>
          <cell r="C200">
            <v>2.42631</v>
          </cell>
        </row>
        <row r="201">
          <cell r="A201">
            <v>43837</v>
          </cell>
          <cell r="B201">
            <v>134.19</v>
          </cell>
          <cell r="C201">
            <v>3.27597</v>
          </cell>
        </row>
        <row r="202">
          <cell r="A202">
            <v>43838</v>
          </cell>
          <cell r="B202">
            <v>135.31</v>
          </cell>
          <cell r="C202">
            <v>4.3461400000000001</v>
          </cell>
        </row>
        <row r="203">
          <cell r="A203">
            <v>43839</v>
          </cell>
          <cell r="B203">
            <v>136.74</v>
          </cell>
          <cell r="C203">
            <v>3.7328299999999999</v>
          </cell>
        </row>
        <row r="204">
          <cell r="A204">
            <v>43840</v>
          </cell>
          <cell r="B204">
            <v>136.69</v>
          </cell>
          <cell r="C204">
            <v>3.2556400000000001</v>
          </cell>
        </row>
        <row r="205">
          <cell r="A205">
            <v>43843</v>
          </cell>
          <cell r="B205">
            <v>136.6</v>
          </cell>
          <cell r="C205">
            <v>3.5315699999999999</v>
          </cell>
        </row>
        <row r="206">
          <cell r="A206">
            <v>43844</v>
          </cell>
          <cell r="B206">
            <v>135.82</v>
          </cell>
          <cell r="C206">
            <v>3.6834600000000002</v>
          </cell>
        </row>
        <row r="207">
          <cell r="A207">
            <v>43845</v>
          </cell>
          <cell r="B207">
            <v>136.62</v>
          </cell>
          <cell r="C207">
            <v>4.0459500000000004</v>
          </cell>
        </row>
        <row r="208">
          <cell r="A208">
            <v>43846</v>
          </cell>
          <cell r="B208">
            <v>137.97999999999999</v>
          </cell>
          <cell r="C208">
            <v>4.3209099999999996</v>
          </cell>
        </row>
        <row r="209">
          <cell r="A209">
            <v>43847</v>
          </cell>
          <cell r="B209">
            <v>138.31</v>
          </cell>
          <cell r="C209">
            <v>5.6233399999999998</v>
          </cell>
        </row>
        <row r="210">
          <cell r="A210">
            <v>43851</v>
          </cell>
          <cell r="B210">
            <v>139.16999999999999</v>
          </cell>
          <cell r="C210">
            <v>7.2440800000000003</v>
          </cell>
        </row>
        <row r="211">
          <cell r="A211">
            <v>43852</v>
          </cell>
          <cell r="B211">
            <v>143.88999999999999</v>
          </cell>
          <cell r="C211">
            <v>16.47043</v>
          </cell>
        </row>
        <row r="212">
          <cell r="A212">
            <v>43853</v>
          </cell>
          <cell r="B212">
            <v>142.87</v>
          </cell>
          <cell r="C212">
            <v>5.6577900000000003</v>
          </cell>
        </row>
        <row r="213">
          <cell r="A213">
            <v>43854</v>
          </cell>
          <cell r="B213">
            <v>140.56</v>
          </cell>
          <cell r="C213">
            <v>5.58019</v>
          </cell>
        </row>
        <row r="214">
          <cell r="A214">
            <v>43857</v>
          </cell>
          <cell r="B214">
            <v>138.62</v>
          </cell>
          <cell r="C214">
            <v>4.1665599999999996</v>
          </cell>
        </row>
        <row r="215">
          <cell r="A215">
            <v>43858</v>
          </cell>
          <cell r="B215">
            <v>139.55000000000001</v>
          </cell>
          <cell r="C215">
            <v>3.4515600000000002</v>
          </cell>
        </row>
        <row r="216">
          <cell r="A216">
            <v>43859</v>
          </cell>
          <cell r="B216">
            <v>137.69</v>
          </cell>
          <cell r="C216">
            <v>3.05471</v>
          </cell>
        </row>
        <row r="217">
          <cell r="A217">
            <v>43860</v>
          </cell>
          <cell r="B217">
            <v>136.77000000000001</v>
          </cell>
          <cell r="C217">
            <v>5.0579099999999997</v>
          </cell>
        </row>
        <row r="218">
          <cell r="A218">
            <v>43861</v>
          </cell>
          <cell r="B218">
            <v>143.72999999999999</v>
          </cell>
          <cell r="C218">
            <v>18.99456</v>
          </cell>
        </row>
        <row r="219">
          <cell r="A219">
            <v>43864</v>
          </cell>
          <cell r="B219">
            <v>146.27000000000001</v>
          </cell>
          <cell r="C219">
            <v>8.8874999999999993</v>
          </cell>
        </row>
        <row r="220">
          <cell r="A220">
            <v>43865</v>
          </cell>
          <cell r="B220">
            <v>149.11000000000001</v>
          </cell>
          <cell r="C220">
            <v>5.6209699999999998</v>
          </cell>
        </row>
        <row r="221">
          <cell r="A221">
            <v>43866</v>
          </cell>
          <cell r="B221">
            <v>156.33000000000001</v>
          </cell>
          <cell r="C221">
            <v>14.38682</v>
          </cell>
        </row>
        <row r="222">
          <cell r="A222">
            <v>43867</v>
          </cell>
          <cell r="B222">
            <v>156.76</v>
          </cell>
          <cell r="C222">
            <v>8.4005500000000008</v>
          </cell>
        </row>
        <row r="223">
          <cell r="A223">
            <v>43868</v>
          </cell>
          <cell r="B223">
            <v>153.41</v>
          </cell>
          <cell r="C223">
            <v>6.4234299999999998</v>
          </cell>
        </row>
        <row r="224">
          <cell r="A224">
            <v>43871</v>
          </cell>
          <cell r="B224">
            <v>154.43</v>
          </cell>
          <cell r="C224">
            <v>5.2398100000000003</v>
          </cell>
        </row>
        <row r="225">
          <cell r="A225">
            <v>43872</v>
          </cell>
          <cell r="B225">
            <v>153.47999999999999</v>
          </cell>
          <cell r="C225">
            <v>3.8351099999999998</v>
          </cell>
        </row>
        <row r="226">
          <cell r="A226">
            <v>43873</v>
          </cell>
          <cell r="B226">
            <v>155.31</v>
          </cell>
          <cell r="C226">
            <v>4.4380100000000002</v>
          </cell>
        </row>
        <row r="227">
          <cell r="A227">
            <v>43874</v>
          </cell>
          <cell r="B227">
            <v>154.31</v>
          </cell>
          <cell r="C227">
            <v>3.8207</v>
          </cell>
        </row>
        <row r="228">
          <cell r="A228">
            <v>43875</v>
          </cell>
          <cell r="B228">
            <v>150.69999999999999</v>
          </cell>
          <cell r="C228">
            <v>6.09924</v>
          </cell>
        </row>
        <row r="229">
          <cell r="A229">
            <v>43879</v>
          </cell>
          <cell r="B229">
            <v>151.1</v>
          </cell>
          <cell r="C229">
            <v>3.3435100000000002</v>
          </cell>
        </row>
        <row r="230">
          <cell r="A230">
            <v>43880</v>
          </cell>
          <cell r="B230">
            <v>150.86000000000001</v>
          </cell>
          <cell r="C230">
            <v>2.7332800000000002</v>
          </cell>
        </row>
        <row r="231">
          <cell r="A231">
            <v>43881</v>
          </cell>
          <cell r="B231">
            <v>151.22</v>
          </cell>
          <cell r="C231">
            <v>2.8807100000000001</v>
          </cell>
        </row>
        <row r="232">
          <cell r="A232">
            <v>43882</v>
          </cell>
          <cell r="B232">
            <v>149.84</v>
          </cell>
          <cell r="C232">
            <v>3.5372599999999998</v>
          </cell>
        </row>
        <row r="233">
          <cell r="A233">
            <v>43885</v>
          </cell>
          <cell r="B233">
            <v>146.43</v>
          </cell>
          <cell r="C233">
            <v>5.4524100000000004</v>
          </cell>
        </row>
        <row r="234">
          <cell r="A234">
            <v>43886</v>
          </cell>
          <cell r="B234">
            <v>141.71</v>
          </cell>
          <cell r="C234">
            <v>6.2115499999999999</v>
          </cell>
        </row>
        <row r="235">
          <cell r="A235">
            <v>43887</v>
          </cell>
          <cell r="B235">
            <v>139.75</v>
          </cell>
          <cell r="C235">
            <v>5.4095399999999998</v>
          </cell>
        </row>
        <row r="236">
          <cell r="A236">
            <v>43888</v>
          </cell>
          <cell r="B236">
            <v>133.11000000000001</v>
          </cell>
          <cell r="C236">
            <v>8.4211299999999998</v>
          </cell>
        </row>
        <row r="237">
          <cell r="A237">
            <v>43889</v>
          </cell>
          <cell r="B237">
            <v>130.15</v>
          </cell>
          <cell r="C237">
            <v>13.012230000000001</v>
          </cell>
        </row>
        <row r="238">
          <cell r="A238">
            <v>43892</v>
          </cell>
          <cell r="B238">
            <v>134.30000000000001</v>
          </cell>
          <cell r="C238">
            <v>8.5314200000000007</v>
          </cell>
        </row>
        <row r="239">
          <cell r="A239">
            <v>43893</v>
          </cell>
          <cell r="B239">
            <v>128.9</v>
          </cell>
          <cell r="C239">
            <v>7.8960699999999999</v>
          </cell>
        </row>
        <row r="240">
          <cell r="A240">
            <v>43894</v>
          </cell>
          <cell r="B240">
            <v>134.22</v>
          </cell>
          <cell r="C240">
            <v>4.9963699999999998</v>
          </cell>
        </row>
        <row r="241">
          <cell r="A241">
            <v>43895</v>
          </cell>
          <cell r="B241">
            <v>129.55000000000001</v>
          </cell>
          <cell r="C241">
            <v>5.4462299999999999</v>
          </cell>
        </row>
        <row r="242">
          <cell r="A242">
            <v>43896</v>
          </cell>
          <cell r="B242">
            <v>127.73</v>
          </cell>
          <cell r="C242">
            <v>8.1932600000000004</v>
          </cell>
        </row>
        <row r="243">
          <cell r="A243">
            <v>43899</v>
          </cell>
          <cell r="B243">
            <v>117.81</v>
          </cell>
          <cell r="C243">
            <v>10.757490000000001</v>
          </cell>
        </row>
        <row r="244">
          <cell r="A244">
            <v>43900</v>
          </cell>
          <cell r="B244">
            <v>124.77</v>
          </cell>
          <cell r="C244">
            <v>11.410690000000001</v>
          </cell>
        </row>
        <row r="245">
          <cell r="A245">
            <v>43901</v>
          </cell>
          <cell r="B245">
            <v>117.97</v>
          </cell>
          <cell r="C245">
            <v>8.4510400000000008</v>
          </cell>
        </row>
        <row r="246">
          <cell r="A246">
            <v>43902</v>
          </cell>
          <cell r="B246">
            <v>102.81</v>
          </cell>
          <cell r="C246">
            <v>12.51266</v>
          </cell>
        </row>
        <row r="247">
          <cell r="A247">
            <v>43903</v>
          </cell>
          <cell r="B247">
            <v>107.95</v>
          </cell>
          <cell r="C247">
            <v>12.50211</v>
          </cell>
        </row>
        <row r="248">
          <cell r="A248">
            <v>43906</v>
          </cell>
          <cell r="B248">
            <v>99.08</v>
          </cell>
          <cell r="C248">
            <v>10.567959999999999</v>
          </cell>
        </row>
        <row r="249">
          <cell r="A249">
            <v>43907</v>
          </cell>
          <cell r="B249">
            <v>106.65</v>
          </cell>
          <cell r="C249">
            <v>9.2583400000000005</v>
          </cell>
        </row>
        <row r="250">
          <cell r="A250">
            <v>43908</v>
          </cell>
          <cell r="B250">
            <v>103.55</v>
          </cell>
          <cell r="C250">
            <v>8.7724600000000006</v>
          </cell>
        </row>
        <row r="251">
          <cell r="A251">
            <v>43909</v>
          </cell>
          <cell r="B251">
            <v>100.34</v>
          </cell>
          <cell r="C251">
            <v>8.3965200000000006</v>
          </cell>
        </row>
        <row r="252">
          <cell r="A252">
            <v>43910</v>
          </cell>
          <cell r="B252">
            <v>95.39</v>
          </cell>
          <cell r="C252">
            <v>10.54646</v>
          </cell>
        </row>
        <row r="253">
          <cell r="A253">
            <v>43913</v>
          </cell>
          <cell r="B253">
            <v>94.77</v>
          </cell>
          <cell r="C253">
            <v>9.7293900000000004</v>
          </cell>
        </row>
        <row r="254">
          <cell r="A254">
            <v>43914</v>
          </cell>
          <cell r="B254">
            <v>105.48</v>
          </cell>
          <cell r="C254">
            <v>7.9739399999999998</v>
          </cell>
        </row>
        <row r="255">
          <cell r="A255">
            <v>43915</v>
          </cell>
          <cell r="B255">
            <v>105.85</v>
          </cell>
          <cell r="C255">
            <v>8.6540499999999998</v>
          </cell>
        </row>
        <row r="256">
          <cell r="A256">
            <v>43916</v>
          </cell>
          <cell r="B256">
            <v>112.89</v>
          </cell>
          <cell r="C256">
            <v>7.1580500000000002</v>
          </cell>
        </row>
        <row r="257">
          <cell r="A257">
            <v>43917</v>
          </cell>
          <cell r="B257">
            <v>108.03</v>
          </cell>
          <cell r="C257">
            <v>6.4230400000000003</v>
          </cell>
        </row>
        <row r="258">
          <cell r="A258">
            <v>43920</v>
          </cell>
          <cell r="B258">
            <v>112.93</v>
          </cell>
          <cell r="C258">
            <v>5.56454</v>
          </cell>
        </row>
        <row r="259">
          <cell r="A259">
            <v>43921</v>
          </cell>
          <cell r="B259">
            <v>110.93</v>
          </cell>
          <cell r="C259">
            <v>6.3466800000000001</v>
          </cell>
        </row>
        <row r="260">
          <cell r="A260">
            <v>43922</v>
          </cell>
          <cell r="B260">
            <v>105.14</v>
          </cell>
          <cell r="C260">
            <v>6.1129499999999997</v>
          </cell>
        </row>
        <row r="261">
          <cell r="A261">
            <v>43923</v>
          </cell>
          <cell r="B261">
            <v>110</v>
          </cell>
          <cell r="C261">
            <v>6.3286699999999998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me"/>
      <sheetName val="Value Model"/>
      <sheetName val="Growth Model"/>
      <sheetName val="Quality Model"/>
      <sheetName val="Momentum Model"/>
      <sheetName val="Factors"/>
    </sheetNames>
    <sheetDataSet>
      <sheetData sheetId="0"/>
      <sheetData sheetId="1">
        <row r="10">
          <cell r="A10" t="str">
            <v>(User access restricted)</v>
          </cell>
        </row>
      </sheetData>
      <sheetData sheetId="2">
        <row r="10">
          <cell r="A10" t="str">
            <v>(User access restricted)</v>
          </cell>
        </row>
      </sheetData>
      <sheetData sheetId="3">
        <row r="10">
          <cell r="A10" t="str">
            <v>(User access restricted)</v>
          </cell>
        </row>
      </sheetData>
      <sheetData sheetId="4">
        <row r="10">
          <cell r="A10" t="str">
            <v>(User access restricted)</v>
          </cell>
        </row>
      </sheetData>
      <sheetData sheetId="5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7F52D9D7-B53F-4669-843D-D99C91072628}" autoFormatId="16" applyNumberFormats="0" applyBorderFormats="0" applyFontFormats="0" applyPatternFormats="0" applyAlignmentFormats="0" applyWidthHeightFormats="0">
  <queryTableRefresh nextId="4">
    <queryTableFields count="2">
      <queryTableField id="2" name="Name" tableColumnId="2"/>
      <queryTableField id="1" name="Value" tableColumnId="1"/>
    </queryTableFields>
  </queryTableRefresh>
  <extLst>
    <ext xmlns:x15="http://schemas.microsoft.com/office/spreadsheetml/2010/11/main" uri="{883FBD77-0823-4a55-B5E3-86C4891E6966}">
      <x15:queryTable sourceDataName="Query - financials_input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05A11AE-CA0F-4FEE-A7A6-6739C5883E91}" name="financials_input" displayName="financials_input" ref="A1:B6" tableType="queryTable" totalsRowShown="0">
  <autoFilter ref="A1:B6" xr:uid="{F05A11AE-CA0F-4FEE-A7A6-6739C5883E91}"/>
  <tableColumns count="2">
    <tableColumn id="2" xr3:uid="{54D31CCF-3CD9-4810-854F-1ED992163180}" uniqueName="2" name="Name" queryTableFieldId="2"/>
    <tableColumn id="1" xr3:uid="{9FD20C48-6091-498E-9A37-F7E8CBC468B5}" uniqueName="1" name="Valu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S&amp;P Updated">
      <a:dk1>
        <a:srgbClr val="000000"/>
      </a:dk1>
      <a:lt1>
        <a:srgbClr val="FFFFFF"/>
      </a:lt1>
      <a:dk2>
        <a:srgbClr val="5A5A5A"/>
      </a:dk2>
      <a:lt2>
        <a:srgbClr val="DFDFDF"/>
      </a:lt2>
      <a:accent1>
        <a:srgbClr val="E31837"/>
      </a:accent1>
      <a:accent2>
        <a:srgbClr val="00B1B0"/>
      </a:accent2>
      <a:accent3>
        <a:srgbClr val="919195"/>
      </a:accent3>
      <a:accent4>
        <a:srgbClr val="B5E1E1"/>
      </a:accent4>
      <a:accent5>
        <a:srgbClr val="006C67"/>
      </a:accent5>
      <a:accent6>
        <a:srgbClr val="5A3CE6"/>
      </a:accent6>
      <a:hlink>
        <a:srgbClr val="0000FF"/>
      </a:hlink>
      <a:folHlink>
        <a:srgbClr val="800080"/>
      </a:folHlink>
    </a:clrScheme>
    <a:fontScheme name="S&amp;P Capital IQ Font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FB2D-E8CD-4063-9892-A2F3F3C66C85}">
  <dimension ref="A1:B6"/>
  <sheetViews>
    <sheetView workbookViewId="0">
      <selection activeCell="H7" sqref="H7"/>
    </sheetView>
  </sheetViews>
  <sheetFormatPr defaultRowHeight="12.75" x14ac:dyDescent="0.2"/>
  <cols>
    <col min="1" max="1" width="10.7109375" bestFit="1" customWidth="1"/>
    <col min="2" max="2" width="10" bestFit="1" customWidth="1"/>
  </cols>
  <sheetData>
    <row r="1" spans="1:2" x14ac:dyDescent="0.2">
      <c r="A1" t="s">
        <v>257</v>
      </c>
      <c r="B1" t="s">
        <v>274</v>
      </c>
    </row>
    <row r="2" spans="1:2" x14ac:dyDescent="0.2">
      <c r="A2" t="s">
        <v>513</v>
      </c>
      <c r="B2" t="s">
        <v>606</v>
      </c>
    </row>
    <row r="3" spans="1:2" x14ac:dyDescent="0.2">
      <c r="A3" t="s">
        <v>577</v>
      </c>
      <c r="B3" t="s">
        <v>578</v>
      </c>
    </row>
    <row r="4" spans="1:2" x14ac:dyDescent="0.2">
      <c r="A4" t="s">
        <v>579</v>
      </c>
      <c r="B4" t="s">
        <v>580</v>
      </c>
    </row>
    <row r="5" spans="1:2" x14ac:dyDescent="0.2">
      <c r="A5" t="s">
        <v>581</v>
      </c>
      <c r="B5" t="s">
        <v>607</v>
      </c>
    </row>
    <row r="6" spans="1:2" x14ac:dyDescent="0.2">
      <c r="A6" t="s">
        <v>582</v>
      </c>
      <c r="B6" t="s">
        <v>387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892C4-8904-4FD6-9FED-D6B02BEAEA80}">
  <dimension ref="A1:O8"/>
  <sheetViews>
    <sheetView workbookViewId="0">
      <selection activeCell="I32" sqref="I32"/>
    </sheetView>
  </sheetViews>
  <sheetFormatPr defaultRowHeight="12.75" x14ac:dyDescent="0.2"/>
  <cols>
    <col min="1" max="1" width="10.7109375" bestFit="1" customWidth="1"/>
    <col min="2" max="2" width="10" customWidth="1"/>
  </cols>
  <sheetData>
    <row r="1" spans="1:15" x14ac:dyDescent="0.2">
      <c r="A1" t="str">
        <f>Input_Raw!A1</f>
        <v>Name</v>
      </c>
      <c r="B1" t="str">
        <f>Input_Raw!B1</f>
        <v>Value</v>
      </c>
    </row>
    <row r="2" spans="1:15" x14ac:dyDescent="0.2">
      <c r="A2" t="str">
        <f>Input_Raw!A2</f>
        <v>ticker</v>
      </c>
      <c r="B2" t="str">
        <f>Input_Raw!B2</f>
        <v>NYSE:IBM</v>
      </c>
      <c r="D2">
        <v>990</v>
      </c>
      <c r="E2">
        <f>D2+1</f>
        <v>991</v>
      </c>
      <c r="F2">
        <f>E2+1</f>
        <v>992</v>
      </c>
      <c r="G2">
        <f t="shared" ref="G2:N2" si="0">F2+1</f>
        <v>993</v>
      </c>
      <c r="H2">
        <f t="shared" si="0"/>
        <v>994</v>
      </c>
      <c r="I2">
        <f t="shared" si="0"/>
        <v>995</v>
      </c>
      <c r="J2">
        <f t="shared" si="0"/>
        <v>996</v>
      </c>
      <c r="K2">
        <f t="shared" si="0"/>
        <v>997</v>
      </c>
      <c r="L2">
        <f t="shared" si="0"/>
        <v>998</v>
      </c>
      <c r="M2">
        <f t="shared" si="0"/>
        <v>999</v>
      </c>
      <c r="N2">
        <f t="shared" si="0"/>
        <v>1000</v>
      </c>
      <c r="O2">
        <v>2000</v>
      </c>
    </row>
    <row r="3" spans="1:15" x14ac:dyDescent="0.2">
      <c r="A3" t="str">
        <f>Input_Raw!A3</f>
        <v>date_year</v>
      </c>
      <c r="B3" t="str">
        <f>Input_Raw!B3</f>
        <v>2026</v>
      </c>
    </row>
    <row r="4" spans="1:15" x14ac:dyDescent="0.2">
      <c r="A4" t="str">
        <f>Input_Raw!A4</f>
        <v>date_month</v>
      </c>
      <c r="B4" t="str">
        <f>Input_Raw!B4</f>
        <v>3</v>
      </c>
    </row>
    <row r="5" spans="1:15" x14ac:dyDescent="0.2">
      <c r="A5" t="str">
        <f>Input_Raw!A5</f>
        <v>date_day</v>
      </c>
      <c r="B5" t="str">
        <f>Input_Raw!B5</f>
        <v>7</v>
      </c>
    </row>
    <row r="6" spans="1:15" x14ac:dyDescent="0.2">
      <c r="A6" s="42" t="s">
        <v>583</v>
      </c>
      <c r="B6" s="69">
        <f>DATE(B3,B4,B5)</f>
        <v>46088</v>
      </c>
    </row>
    <row r="7" spans="1:15" x14ac:dyDescent="0.2">
      <c r="A7" t="str">
        <f>Input_Raw!A6</f>
        <v>currency</v>
      </c>
      <c r="B7" t="str">
        <f>Input_Raw!B6</f>
        <v>USD</v>
      </c>
    </row>
    <row r="8" spans="1:15" x14ac:dyDescent="0.2">
      <c r="A8" s="42" t="s">
        <v>584</v>
      </c>
      <c r="B8" s="42" t="s">
        <v>576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68A99-4809-4E08-B354-8EA3EFE6360D}">
  <dimension ref="A1:IV6"/>
  <sheetViews>
    <sheetView workbookViewId="0"/>
  </sheetViews>
  <sheetFormatPr defaultRowHeight="12.75" x14ac:dyDescent="0.2"/>
  <sheetData>
    <row r="1" spans="1:256" x14ac:dyDescent="0.2">
      <c r="A1">
        <v>1284</v>
      </c>
      <c r="B1" t="s">
        <v>608</v>
      </c>
      <c r="C1" t="s">
        <v>609</v>
      </c>
      <c r="D1" t="s">
        <v>610</v>
      </c>
      <c r="E1" t="s">
        <v>611</v>
      </c>
      <c r="F1" t="s">
        <v>612</v>
      </c>
      <c r="G1" t="s">
        <v>613</v>
      </c>
      <c r="H1" t="s">
        <v>614</v>
      </c>
      <c r="I1" t="s">
        <v>615</v>
      </c>
      <c r="J1" t="s">
        <v>616</v>
      </c>
      <c r="K1" t="s">
        <v>617</v>
      </c>
      <c r="L1" t="s">
        <v>618</v>
      </c>
      <c r="M1" t="s">
        <v>619</v>
      </c>
      <c r="N1" t="s">
        <v>620</v>
      </c>
      <c r="O1" t="s">
        <v>621</v>
      </c>
      <c r="P1" t="s">
        <v>622</v>
      </c>
      <c r="Q1" t="s">
        <v>623</v>
      </c>
      <c r="R1" t="s">
        <v>624</v>
      </c>
      <c r="S1" t="s">
        <v>625</v>
      </c>
      <c r="T1" t="s">
        <v>626</v>
      </c>
      <c r="U1" t="s">
        <v>627</v>
      </c>
      <c r="V1" t="s">
        <v>628</v>
      </c>
      <c r="W1" t="s">
        <v>629</v>
      </c>
      <c r="X1" t="s">
        <v>630</v>
      </c>
      <c r="Y1" t="s">
        <v>631</v>
      </c>
      <c r="Z1" t="s">
        <v>632</v>
      </c>
      <c r="AA1" t="s">
        <v>633</v>
      </c>
      <c r="AB1" t="s">
        <v>634</v>
      </c>
      <c r="AC1" t="s">
        <v>635</v>
      </c>
      <c r="AD1" t="s">
        <v>636</v>
      </c>
      <c r="AE1" t="s">
        <v>637</v>
      </c>
      <c r="AF1" t="s">
        <v>638</v>
      </c>
      <c r="AG1" t="s">
        <v>639</v>
      </c>
      <c r="AH1" t="s">
        <v>640</v>
      </c>
      <c r="AI1" t="s">
        <v>641</v>
      </c>
      <c r="AJ1" t="s">
        <v>642</v>
      </c>
      <c r="AK1" t="s">
        <v>643</v>
      </c>
      <c r="AL1" t="s">
        <v>644</v>
      </c>
      <c r="AM1" t="s">
        <v>645</v>
      </c>
      <c r="AN1" t="s">
        <v>646</v>
      </c>
      <c r="AO1" t="s">
        <v>647</v>
      </c>
      <c r="AP1" t="s">
        <v>648</v>
      </c>
      <c r="AQ1" t="s">
        <v>649</v>
      </c>
      <c r="AR1" t="s">
        <v>650</v>
      </c>
      <c r="AS1" t="s">
        <v>651</v>
      </c>
      <c r="AT1" t="s">
        <v>652</v>
      </c>
      <c r="AU1" t="s">
        <v>653</v>
      </c>
      <c r="AV1" t="s">
        <v>654</v>
      </c>
      <c r="AW1" t="s">
        <v>655</v>
      </c>
      <c r="AX1" t="s">
        <v>656</v>
      </c>
      <c r="AY1" t="s">
        <v>657</v>
      </c>
      <c r="AZ1" t="s">
        <v>658</v>
      </c>
      <c r="BA1" t="s">
        <v>659</v>
      </c>
      <c r="BB1" t="s">
        <v>660</v>
      </c>
      <c r="BC1" t="s">
        <v>661</v>
      </c>
      <c r="BD1" t="s">
        <v>662</v>
      </c>
      <c r="BE1" t="s">
        <v>663</v>
      </c>
      <c r="BF1" t="s">
        <v>664</v>
      </c>
      <c r="BG1" t="s">
        <v>665</v>
      </c>
      <c r="BH1" t="s">
        <v>666</v>
      </c>
      <c r="BI1" t="s">
        <v>667</v>
      </c>
      <c r="BJ1" t="s">
        <v>668</v>
      </c>
      <c r="BK1" t="s">
        <v>669</v>
      </c>
      <c r="BL1" t="s">
        <v>670</v>
      </c>
      <c r="BM1" t="s">
        <v>671</v>
      </c>
      <c r="BN1" t="s">
        <v>672</v>
      </c>
      <c r="BO1" t="s">
        <v>673</v>
      </c>
      <c r="BP1" t="s">
        <v>674</v>
      </c>
      <c r="BQ1" t="s">
        <v>675</v>
      </c>
      <c r="BR1" t="s">
        <v>676</v>
      </c>
      <c r="BS1" t="s">
        <v>677</v>
      </c>
      <c r="BT1" t="s">
        <v>678</v>
      </c>
      <c r="BU1" t="s">
        <v>679</v>
      </c>
      <c r="BV1" t="s">
        <v>680</v>
      </c>
      <c r="BW1" t="s">
        <v>681</v>
      </c>
      <c r="BX1" t="s">
        <v>682</v>
      </c>
      <c r="BY1" t="s">
        <v>683</v>
      </c>
      <c r="BZ1" t="s">
        <v>684</v>
      </c>
      <c r="CA1" t="s">
        <v>685</v>
      </c>
      <c r="CB1" t="s">
        <v>686</v>
      </c>
      <c r="CC1" t="s">
        <v>687</v>
      </c>
      <c r="CD1" t="s">
        <v>688</v>
      </c>
      <c r="CE1" t="s">
        <v>689</v>
      </c>
      <c r="CF1" t="s">
        <v>690</v>
      </c>
      <c r="CG1" t="s">
        <v>691</v>
      </c>
      <c r="CH1" t="s">
        <v>692</v>
      </c>
      <c r="CI1" t="s">
        <v>693</v>
      </c>
      <c r="CJ1" t="s">
        <v>694</v>
      </c>
      <c r="CK1" t="s">
        <v>695</v>
      </c>
      <c r="CL1" t="s">
        <v>696</v>
      </c>
      <c r="CM1" t="s">
        <v>697</v>
      </c>
      <c r="CN1" t="s">
        <v>698</v>
      </c>
      <c r="CO1" t="s">
        <v>699</v>
      </c>
      <c r="CP1" t="s">
        <v>700</v>
      </c>
      <c r="CQ1" t="s">
        <v>701</v>
      </c>
      <c r="CR1" t="s">
        <v>702</v>
      </c>
      <c r="CS1" t="s">
        <v>703</v>
      </c>
      <c r="CT1" t="s">
        <v>704</v>
      </c>
      <c r="CU1" t="s">
        <v>705</v>
      </c>
      <c r="CV1" t="s">
        <v>706</v>
      </c>
      <c r="CW1" t="s">
        <v>707</v>
      </c>
      <c r="CX1" t="s">
        <v>708</v>
      </c>
      <c r="CY1" t="s">
        <v>709</v>
      </c>
      <c r="CZ1" t="s">
        <v>710</v>
      </c>
      <c r="DA1" t="s">
        <v>711</v>
      </c>
      <c r="DB1" t="s">
        <v>712</v>
      </c>
      <c r="DC1" t="s">
        <v>713</v>
      </c>
      <c r="DD1" t="s">
        <v>714</v>
      </c>
      <c r="DE1" t="s">
        <v>715</v>
      </c>
      <c r="DF1" t="s">
        <v>716</v>
      </c>
      <c r="DG1" t="s">
        <v>717</v>
      </c>
      <c r="DH1" t="s">
        <v>718</v>
      </c>
      <c r="DI1" t="s">
        <v>719</v>
      </c>
      <c r="DJ1" t="s">
        <v>720</v>
      </c>
      <c r="DK1" t="s">
        <v>721</v>
      </c>
      <c r="DL1" t="s">
        <v>722</v>
      </c>
      <c r="DM1" t="s">
        <v>723</v>
      </c>
      <c r="DN1" t="s">
        <v>724</v>
      </c>
      <c r="DO1" t="s">
        <v>725</v>
      </c>
      <c r="DP1" t="s">
        <v>726</v>
      </c>
      <c r="DQ1" t="s">
        <v>727</v>
      </c>
      <c r="DR1" t="s">
        <v>728</v>
      </c>
      <c r="DS1" t="s">
        <v>729</v>
      </c>
      <c r="DT1" t="s">
        <v>730</v>
      </c>
      <c r="DU1" t="s">
        <v>731</v>
      </c>
      <c r="DV1" t="s">
        <v>732</v>
      </c>
      <c r="DW1" t="s">
        <v>733</v>
      </c>
      <c r="DX1" t="s">
        <v>734</v>
      </c>
      <c r="DY1" t="s">
        <v>735</v>
      </c>
      <c r="DZ1" t="s">
        <v>736</v>
      </c>
      <c r="EA1" t="s">
        <v>737</v>
      </c>
      <c r="EB1" t="s">
        <v>738</v>
      </c>
      <c r="EC1" t="s">
        <v>739</v>
      </c>
      <c r="ED1" t="s">
        <v>740</v>
      </c>
      <c r="EE1" t="s">
        <v>741</v>
      </c>
      <c r="EF1" t="s">
        <v>742</v>
      </c>
      <c r="EG1" t="s">
        <v>743</v>
      </c>
      <c r="EH1" t="s">
        <v>744</v>
      </c>
      <c r="EI1" t="s">
        <v>745</v>
      </c>
      <c r="EJ1" t="s">
        <v>746</v>
      </c>
      <c r="EK1" t="s">
        <v>747</v>
      </c>
      <c r="EL1" t="s">
        <v>748</v>
      </c>
      <c r="EM1" t="s">
        <v>749</v>
      </c>
      <c r="EN1" t="s">
        <v>750</v>
      </c>
      <c r="EO1" t="s">
        <v>751</v>
      </c>
      <c r="EP1" t="s">
        <v>752</v>
      </c>
      <c r="EQ1" t="s">
        <v>753</v>
      </c>
      <c r="ER1" t="s">
        <v>754</v>
      </c>
      <c r="ES1" t="s">
        <v>755</v>
      </c>
      <c r="ET1" t="s">
        <v>756</v>
      </c>
      <c r="EU1" t="s">
        <v>757</v>
      </c>
      <c r="EV1" t="s">
        <v>758</v>
      </c>
      <c r="EW1" t="s">
        <v>759</v>
      </c>
      <c r="EX1" t="s">
        <v>760</v>
      </c>
      <c r="EY1" t="s">
        <v>761</v>
      </c>
      <c r="EZ1" t="s">
        <v>762</v>
      </c>
      <c r="FA1" t="s">
        <v>763</v>
      </c>
      <c r="FB1" t="s">
        <v>764</v>
      </c>
      <c r="FC1" t="s">
        <v>765</v>
      </c>
      <c r="FD1" t="s">
        <v>766</v>
      </c>
      <c r="FE1" t="s">
        <v>767</v>
      </c>
      <c r="FF1" t="s">
        <v>768</v>
      </c>
      <c r="FG1" t="s">
        <v>769</v>
      </c>
      <c r="FH1" t="s">
        <v>770</v>
      </c>
      <c r="FI1" t="s">
        <v>771</v>
      </c>
      <c r="FJ1" t="s">
        <v>772</v>
      </c>
      <c r="FK1" t="s">
        <v>773</v>
      </c>
      <c r="FL1" t="s">
        <v>774</v>
      </c>
      <c r="FM1" t="s">
        <v>775</v>
      </c>
      <c r="FN1" t="s">
        <v>776</v>
      </c>
      <c r="FO1" t="s">
        <v>777</v>
      </c>
      <c r="FP1" t="s">
        <v>778</v>
      </c>
      <c r="FQ1" t="s">
        <v>779</v>
      </c>
      <c r="FR1" t="s">
        <v>780</v>
      </c>
      <c r="FS1" t="s">
        <v>781</v>
      </c>
      <c r="FT1" t="s">
        <v>782</v>
      </c>
      <c r="FU1" t="s">
        <v>783</v>
      </c>
      <c r="FV1" t="s">
        <v>784</v>
      </c>
      <c r="FW1" t="s">
        <v>785</v>
      </c>
      <c r="FX1" t="s">
        <v>786</v>
      </c>
      <c r="FY1" t="s">
        <v>787</v>
      </c>
      <c r="FZ1" t="s">
        <v>788</v>
      </c>
      <c r="GA1" t="s">
        <v>789</v>
      </c>
      <c r="GB1" t="s">
        <v>790</v>
      </c>
      <c r="GC1" t="s">
        <v>791</v>
      </c>
      <c r="GD1" t="s">
        <v>792</v>
      </c>
      <c r="GE1" t="s">
        <v>793</v>
      </c>
      <c r="GF1" t="s">
        <v>794</v>
      </c>
      <c r="GG1" t="s">
        <v>795</v>
      </c>
      <c r="GH1" t="s">
        <v>796</v>
      </c>
      <c r="GI1" t="s">
        <v>797</v>
      </c>
      <c r="GJ1" t="s">
        <v>798</v>
      </c>
      <c r="GK1" t="s">
        <v>799</v>
      </c>
      <c r="GL1" t="s">
        <v>800</v>
      </c>
      <c r="GM1" t="s">
        <v>801</v>
      </c>
      <c r="GN1" t="s">
        <v>802</v>
      </c>
      <c r="GO1" t="s">
        <v>803</v>
      </c>
      <c r="GP1" t="s">
        <v>804</v>
      </c>
      <c r="GQ1" t="s">
        <v>805</v>
      </c>
      <c r="GR1" t="s">
        <v>806</v>
      </c>
      <c r="GS1" t="s">
        <v>807</v>
      </c>
      <c r="GT1" t="s">
        <v>808</v>
      </c>
      <c r="GU1" t="s">
        <v>809</v>
      </c>
      <c r="GV1" t="s">
        <v>810</v>
      </c>
      <c r="GW1" t="s">
        <v>811</v>
      </c>
      <c r="GX1" t="s">
        <v>812</v>
      </c>
      <c r="GY1" t="s">
        <v>813</v>
      </c>
      <c r="GZ1" t="s">
        <v>814</v>
      </c>
      <c r="HA1" t="s">
        <v>815</v>
      </c>
      <c r="HB1" t="s">
        <v>816</v>
      </c>
      <c r="HC1" t="s">
        <v>817</v>
      </c>
      <c r="HD1" t="s">
        <v>818</v>
      </c>
      <c r="HE1" t="s">
        <v>819</v>
      </c>
      <c r="HF1" t="s">
        <v>820</v>
      </c>
      <c r="HG1" t="s">
        <v>821</v>
      </c>
      <c r="HH1" t="s">
        <v>822</v>
      </c>
      <c r="HI1" t="s">
        <v>823</v>
      </c>
      <c r="HJ1" t="s">
        <v>824</v>
      </c>
      <c r="HK1" t="s">
        <v>825</v>
      </c>
      <c r="HL1" t="s">
        <v>826</v>
      </c>
      <c r="HM1" t="s">
        <v>827</v>
      </c>
      <c r="HN1" t="s">
        <v>828</v>
      </c>
      <c r="HO1" t="s">
        <v>829</v>
      </c>
      <c r="HP1" t="s">
        <v>830</v>
      </c>
      <c r="HQ1" t="s">
        <v>831</v>
      </c>
      <c r="HR1" t="s">
        <v>832</v>
      </c>
      <c r="HS1" t="s">
        <v>833</v>
      </c>
      <c r="HT1" t="s">
        <v>834</v>
      </c>
      <c r="HU1" t="s">
        <v>835</v>
      </c>
      <c r="HV1" t="s">
        <v>836</v>
      </c>
      <c r="HW1" t="s">
        <v>837</v>
      </c>
      <c r="HX1" t="s">
        <v>838</v>
      </c>
      <c r="HY1" t="s">
        <v>839</v>
      </c>
      <c r="HZ1" t="s">
        <v>840</v>
      </c>
      <c r="IA1" t="s">
        <v>841</v>
      </c>
      <c r="IB1" t="s">
        <v>842</v>
      </c>
      <c r="IC1" t="s">
        <v>843</v>
      </c>
      <c r="ID1" t="s">
        <v>844</v>
      </c>
      <c r="IE1" t="s">
        <v>845</v>
      </c>
      <c r="IF1" t="s">
        <v>846</v>
      </c>
      <c r="IG1" t="s">
        <v>847</v>
      </c>
      <c r="IH1" t="s">
        <v>848</v>
      </c>
      <c r="II1" t="s">
        <v>849</v>
      </c>
      <c r="IJ1" t="s">
        <v>850</v>
      </c>
      <c r="IK1" t="s">
        <v>851</v>
      </c>
      <c r="IL1" t="s">
        <v>852</v>
      </c>
      <c r="IM1" t="s">
        <v>853</v>
      </c>
      <c r="IN1" t="s">
        <v>854</v>
      </c>
      <c r="IO1" t="s">
        <v>855</v>
      </c>
      <c r="IP1" t="s">
        <v>856</v>
      </c>
      <c r="IQ1" t="s">
        <v>857</v>
      </c>
      <c r="IR1" t="s">
        <v>858</v>
      </c>
      <c r="IS1" t="s">
        <v>859</v>
      </c>
      <c r="IT1" t="s">
        <v>860</v>
      </c>
      <c r="IU1" t="s">
        <v>861</v>
      </c>
      <c r="IV1" t="s">
        <v>862</v>
      </c>
    </row>
    <row r="2" spans="1:256" x14ac:dyDescent="0.2">
      <c r="A2" t="s">
        <v>863</v>
      </c>
      <c r="B2" t="s">
        <v>864</v>
      </c>
      <c r="C2" t="s">
        <v>865</v>
      </c>
      <c r="D2" t="s">
        <v>866</v>
      </c>
      <c r="E2" t="s">
        <v>867</v>
      </c>
      <c r="F2" t="s">
        <v>868</v>
      </c>
      <c r="G2" t="s">
        <v>869</v>
      </c>
      <c r="H2" t="s">
        <v>870</v>
      </c>
      <c r="I2" t="s">
        <v>871</v>
      </c>
      <c r="J2" t="s">
        <v>872</v>
      </c>
      <c r="K2" t="s">
        <v>873</v>
      </c>
      <c r="L2" t="s">
        <v>874</v>
      </c>
      <c r="M2" t="s">
        <v>875</v>
      </c>
      <c r="N2" t="s">
        <v>876</v>
      </c>
      <c r="O2" t="s">
        <v>877</v>
      </c>
      <c r="P2" t="s">
        <v>878</v>
      </c>
      <c r="Q2" t="s">
        <v>879</v>
      </c>
      <c r="R2" t="s">
        <v>880</v>
      </c>
      <c r="S2" t="s">
        <v>881</v>
      </c>
      <c r="T2" t="s">
        <v>882</v>
      </c>
      <c r="U2" t="s">
        <v>883</v>
      </c>
      <c r="V2" t="s">
        <v>884</v>
      </c>
      <c r="W2" t="s">
        <v>885</v>
      </c>
      <c r="X2" t="s">
        <v>886</v>
      </c>
      <c r="Y2" t="s">
        <v>887</v>
      </c>
      <c r="Z2" t="s">
        <v>888</v>
      </c>
      <c r="AA2" t="s">
        <v>889</v>
      </c>
      <c r="AB2" t="s">
        <v>890</v>
      </c>
      <c r="AC2" t="s">
        <v>891</v>
      </c>
      <c r="AD2" t="s">
        <v>892</v>
      </c>
      <c r="AE2" t="s">
        <v>893</v>
      </c>
      <c r="AF2" t="s">
        <v>894</v>
      </c>
      <c r="AG2" t="s">
        <v>895</v>
      </c>
      <c r="AH2" t="s">
        <v>896</v>
      </c>
      <c r="AI2" t="s">
        <v>897</v>
      </c>
      <c r="AJ2" t="s">
        <v>898</v>
      </c>
      <c r="AK2" t="s">
        <v>899</v>
      </c>
      <c r="AL2" t="s">
        <v>900</v>
      </c>
      <c r="AM2" t="s">
        <v>901</v>
      </c>
      <c r="AN2" t="s">
        <v>902</v>
      </c>
      <c r="AO2" t="s">
        <v>903</v>
      </c>
      <c r="AP2" t="s">
        <v>904</v>
      </c>
      <c r="AQ2" t="s">
        <v>905</v>
      </c>
      <c r="AR2" t="s">
        <v>906</v>
      </c>
      <c r="AS2" t="s">
        <v>907</v>
      </c>
      <c r="AT2" t="s">
        <v>908</v>
      </c>
      <c r="AU2" t="s">
        <v>909</v>
      </c>
      <c r="AV2" t="s">
        <v>910</v>
      </c>
      <c r="AW2" t="s">
        <v>911</v>
      </c>
      <c r="AX2" t="s">
        <v>912</v>
      </c>
      <c r="AY2" t="s">
        <v>913</v>
      </c>
      <c r="AZ2" t="s">
        <v>914</v>
      </c>
      <c r="BA2" t="s">
        <v>915</v>
      </c>
      <c r="BB2" t="s">
        <v>916</v>
      </c>
      <c r="BC2" t="s">
        <v>917</v>
      </c>
      <c r="BD2" t="s">
        <v>918</v>
      </c>
      <c r="BE2" t="s">
        <v>919</v>
      </c>
      <c r="BF2" t="s">
        <v>920</v>
      </c>
      <c r="BG2" t="s">
        <v>921</v>
      </c>
      <c r="BH2" t="s">
        <v>922</v>
      </c>
      <c r="BI2" t="s">
        <v>923</v>
      </c>
      <c r="BJ2" t="s">
        <v>924</v>
      </c>
      <c r="BK2" t="s">
        <v>925</v>
      </c>
      <c r="BL2" t="s">
        <v>926</v>
      </c>
      <c r="BM2" t="s">
        <v>927</v>
      </c>
      <c r="BN2" t="s">
        <v>928</v>
      </c>
      <c r="BO2" t="s">
        <v>929</v>
      </c>
      <c r="BP2" t="s">
        <v>930</v>
      </c>
      <c r="BQ2" t="s">
        <v>931</v>
      </c>
      <c r="BR2" t="s">
        <v>932</v>
      </c>
      <c r="BS2" t="s">
        <v>933</v>
      </c>
      <c r="BT2" t="s">
        <v>934</v>
      </c>
      <c r="BU2" t="s">
        <v>935</v>
      </c>
      <c r="BV2" t="s">
        <v>936</v>
      </c>
      <c r="BW2" t="s">
        <v>937</v>
      </c>
      <c r="BX2" t="s">
        <v>938</v>
      </c>
      <c r="BY2" t="s">
        <v>939</v>
      </c>
      <c r="BZ2" t="s">
        <v>940</v>
      </c>
      <c r="CA2" t="s">
        <v>941</v>
      </c>
      <c r="CB2" t="s">
        <v>942</v>
      </c>
      <c r="CC2" t="s">
        <v>943</v>
      </c>
      <c r="CD2" t="s">
        <v>944</v>
      </c>
      <c r="CE2" t="s">
        <v>945</v>
      </c>
      <c r="CF2" t="s">
        <v>946</v>
      </c>
      <c r="CG2" t="s">
        <v>947</v>
      </c>
      <c r="CH2" t="s">
        <v>948</v>
      </c>
      <c r="CI2" t="s">
        <v>949</v>
      </c>
      <c r="CJ2" t="s">
        <v>950</v>
      </c>
      <c r="CK2" t="s">
        <v>951</v>
      </c>
      <c r="CL2" t="s">
        <v>952</v>
      </c>
      <c r="CM2" t="s">
        <v>953</v>
      </c>
      <c r="CN2" t="s">
        <v>954</v>
      </c>
      <c r="CO2" t="s">
        <v>955</v>
      </c>
      <c r="CP2" t="s">
        <v>956</v>
      </c>
      <c r="CQ2" t="s">
        <v>957</v>
      </c>
      <c r="CR2" t="s">
        <v>958</v>
      </c>
      <c r="CS2" t="s">
        <v>959</v>
      </c>
      <c r="CT2" t="s">
        <v>960</v>
      </c>
      <c r="CU2" t="s">
        <v>961</v>
      </c>
      <c r="CV2" t="s">
        <v>962</v>
      </c>
      <c r="CW2" t="s">
        <v>963</v>
      </c>
      <c r="CX2" t="s">
        <v>964</v>
      </c>
      <c r="CY2" t="s">
        <v>965</v>
      </c>
      <c r="CZ2" t="s">
        <v>966</v>
      </c>
      <c r="DA2" t="s">
        <v>967</v>
      </c>
      <c r="DB2" t="s">
        <v>968</v>
      </c>
      <c r="DC2" t="s">
        <v>969</v>
      </c>
      <c r="DD2" t="s">
        <v>970</v>
      </c>
      <c r="DE2" t="s">
        <v>971</v>
      </c>
      <c r="DF2" t="s">
        <v>972</v>
      </c>
      <c r="DG2" t="s">
        <v>973</v>
      </c>
      <c r="DH2" t="s">
        <v>974</v>
      </c>
      <c r="DI2" t="s">
        <v>975</v>
      </c>
      <c r="DJ2" t="s">
        <v>976</v>
      </c>
      <c r="DK2" t="s">
        <v>977</v>
      </c>
      <c r="DL2" t="s">
        <v>978</v>
      </c>
      <c r="DM2" t="s">
        <v>979</v>
      </c>
      <c r="DN2" t="s">
        <v>980</v>
      </c>
      <c r="DO2" t="s">
        <v>981</v>
      </c>
      <c r="DP2" t="s">
        <v>982</v>
      </c>
      <c r="DQ2" t="s">
        <v>983</v>
      </c>
      <c r="DR2" t="s">
        <v>984</v>
      </c>
      <c r="DS2" t="s">
        <v>985</v>
      </c>
      <c r="DT2" t="s">
        <v>986</v>
      </c>
      <c r="DU2" t="s">
        <v>987</v>
      </c>
      <c r="DV2" t="s">
        <v>988</v>
      </c>
      <c r="DW2" t="s">
        <v>989</v>
      </c>
      <c r="DX2" t="s">
        <v>990</v>
      </c>
      <c r="DY2" t="s">
        <v>991</v>
      </c>
      <c r="DZ2" t="s">
        <v>992</v>
      </c>
      <c r="EA2" t="s">
        <v>993</v>
      </c>
      <c r="EB2" t="s">
        <v>994</v>
      </c>
      <c r="EC2" t="s">
        <v>995</v>
      </c>
      <c r="ED2" t="s">
        <v>996</v>
      </c>
      <c r="EE2" t="s">
        <v>997</v>
      </c>
      <c r="EF2" t="s">
        <v>998</v>
      </c>
      <c r="EG2" t="s">
        <v>999</v>
      </c>
      <c r="EH2" t="s">
        <v>1000</v>
      </c>
      <c r="EI2" t="s">
        <v>1001</v>
      </c>
      <c r="EJ2" t="s">
        <v>1002</v>
      </c>
      <c r="EK2" t="s">
        <v>1003</v>
      </c>
      <c r="EL2" t="s">
        <v>1004</v>
      </c>
      <c r="EM2" t="s">
        <v>1005</v>
      </c>
      <c r="EN2" t="s">
        <v>1006</v>
      </c>
      <c r="EO2" t="s">
        <v>1007</v>
      </c>
      <c r="EP2" t="s">
        <v>1008</v>
      </c>
      <c r="EQ2" t="s">
        <v>1009</v>
      </c>
      <c r="ER2" t="s">
        <v>1010</v>
      </c>
      <c r="ES2" t="s">
        <v>1011</v>
      </c>
      <c r="ET2" t="s">
        <v>1012</v>
      </c>
      <c r="EU2" t="s">
        <v>1013</v>
      </c>
      <c r="EV2" t="s">
        <v>1014</v>
      </c>
      <c r="EW2" t="s">
        <v>1015</v>
      </c>
      <c r="EX2" t="s">
        <v>1016</v>
      </c>
      <c r="EY2" t="s">
        <v>1017</v>
      </c>
      <c r="EZ2" t="s">
        <v>1018</v>
      </c>
      <c r="FA2" t="s">
        <v>1019</v>
      </c>
      <c r="FB2" t="s">
        <v>1020</v>
      </c>
      <c r="FC2" t="s">
        <v>1021</v>
      </c>
      <c r="FD2" t="s">
        <v>1022</v>
      </c>
      <c r="FE2" t="s">
        <v>1023</v>
      </c>
      <c r="FF2" t="s">
        <v>1024</v>
      </c>
      <c r="FG2" t="s">
        <v>1025</v>
      </c>
      <c r="FH2" t="s">
        <v>1026</v>
      </c>
      <c r="FI2" t="s">
        <v>1027</v>
      </c>
      <c r="FJ2" t="s">
        <v>1028</v>
      </c>
      <c r="FK2" t="s">
        <v>1029</v>
      </c>
      <c r="FL2" t="s">
        <v>1030</v>
      </c>
      <c r="FM2" t="s">
        <v>1031</v>
      </c>
      <c r="FN2" t="s">
        <v>1032</v>
      </c>
      <c r="FO2" t="s">
        <v>1033</v>
      </c>
      <c r="FP2" t="s">
        <v>1034</v>
      </c>
      <c r="FQ2" t="s">
        <v>1035</v>
      </c>
      <c r="FR2" t="s">
        <v>1036</v>
      </c>
      <c r="FS2" t="s">
        <v>1037</v>
      </c>
      <c r="FT2" t="s">
        <v>1038</v>
      </c>
      <c r="FU2" t="s">
        <v>1039</v>
      </c>
      <c r="FV2" t="s">
        <v>1040</v>
      </c>
      <c r="FW2" t="s">
        <v>1041</v>
      </c>
      <c r="FX2" t="s">
        <v>1042</v>
      </c>
      <c r="FY2" t="s">
        <v>1043</v>
      </c>
      <c r="FZ2" t="s">
        <v>1044</v>
      </c>
      <c r="GA2" t="s">
        <v>1045</v>
      </c>
      <c r="GB2" t="s">
        <v>1046</v>
      </c>
      <c r="GC2" t="s">
        <v>1047</v>
      </c>
      <c r="GD2" t="s">
        <v>1048</v>
      </c>
      <c r="GE2" t="s">
        <v>1049</v>
      </c>
      <c r="GF2" t="s">
        <v>1050</v>
      </c>
      <c r="GG2" t="s">
        <v>1051</v>
      </c>
      <c r="GH2" t="s">
        <v>1052</v>
      </c>
      <c r="GI2" t="s">
        <v>1053</v>
      </c>
      <c r="GJ2" t="s">
        <v>1054</v>
      </c>
      <c r="GK2" t="s">
        <v>1055</v>
      </c>
      <c r="GL2" t="s">
        <v>1056</v>
      </c>
      <c r="GM2" t="s">
        <v>1057</v>
      </c>
      <c r="GN2" t="s">
        <v>1058</v>
      </c>
      <c r="GO2" t="s">
        <v>1059</v>
      </c>
      <c r="GP2" t="s">
        <v>1060</v>
      </c>
      <c r="GQ2" t="s">
        <v>1061</v>
      </c>
      <c r="GR2" t="s">
        <v>1062</v>
      </c>
      <c r="GS2" t="s">
        <v>1063</v>
      </c>
      <c r="GT2" t="s">
        <v>1064</v>
      </c>
      <c r="GU2" t="s">
        <v>1065</v>
      </c>
      <c r="GV2" t="s">
        <v>1066</v>
      </c>
      <c r="GW2" t="s">
        <v>1067</v>
      </c>
      <c r="GX2" t="s">
        <v>1068</v>
      </c>
      <c r="GY2" t="s">
        <v>1069</v>
      </c>
      <c r="GZ2" t="s">
        <v>1070</v>
      </c>
      <c r="HA2" t="s">
        <v>1071</v>
      </c>
      <c r="HB2" t="s">
        <v>1072</v>
      </c>
      <c r="HC2" t="s">
        <v>1073</v>
      </c>
      <c r="HD2" t="s">
        <v>1074</v>
      </c>
      <c r="HE2" t="s">
        <v>1075</v>
      </c>
      <c r="HF2" t="s">
        <v>1076</v>
      </c>
      <c r="HG2" t="s">
        <v>1077</v>
      </c>
      <c r="HH2" t="s">
        <v>1078</v>
      </c>
      <c r="HI2" t="s">
        <v>1079</v>
      </c>
      <c r="HJ2" t="s">
        <v>1080</v>
      </c>
      <c r="HK2" t="s">
        <v>1081</v>
      </c>
      <c r="HL2" t="s">
        <v>1082</v>
      </c>
      <c r="HM2" t="s">
        <v>1083</v>
      </c>
      <c r="HN2" t="s">
        <v>1084</v>
      </c>
      <c r="HO2" t="s">
        <v>1085</v>
      </c>
      <c r="HP2" t="s">
        <v>1086</v>
      </c>
      <c r="HQ2" t="s">
        <v>1087</v>
      </c>
      <c r="HR2" t="s">
        <v>1088</v>
      </c>
      <c r="HS2" t="s">
        <v>1089</v>
      </c>
      <c r="HT2" t="s">
        <v>1090</v>
      </c>
      <c r="HU2" t="s">
        <v>1091</v>
      </c>
      <c r="HV2" t="s">
        <v>1092</v>
      </c>
      <c r="HW2" t="s">
        <v>1093</v>
      </c>
      <c r="HX2" t="s">
        <v>1094</v>
      </c>
      <c r="HY2" t="s">
        <v>1095</v>
      </c>
      <c r="HZ2" t="s">
        <v>1096</v>
      </c>
      <c r="IA2" t="s">
        <v>1097</v>
      </c>
      <c r="IB2" t="s">
        <v>1098</v>
      </c>
      <c r="IC2" t="s">
        <v>1099</v>
      </c>
      <c r="ID2" t="s">
        <v>1100</v>
      </c>
      <c r="IE2" t="s">
        <v>1101</v>
      </c>
      <c r="IF2" t="s">
        <v>1102</v>
      </c>
      <c r="IG2" t="s">
        <v>1103</v>
      </c>
      <c r="IH2" t="s">
        <v>1104</v>
      </c>
      <c r="II2" t="s">
        <v>1105</v>
      </c>
      <c r="IJ2" t="s">
        <v>1106</v>
      </c>
      <c r="IK2" t="s">
        <v>1107</v>
      </c>
      <c r="IL2" t="s">
        <v>1108</v>
      </c>
      <c r="IM2" t="s">
        <v>1109</v>
      </c>
      <c r="IN2" t="s">
        <v>1110</v>
      </c>
      <c r="IO2" t="s">
        <v>1111</v>
      </c>
      <c r="IP2" t="s">
        <v>1112</v>
      </c>
      <c r="IQ2" t="s">
        <v>1113</v>
      </c>
      <c r="IR2" t="s">
        <v>1114</v>
      </c>
      <c r="IS2" t="s">
        <v>1115</v>
      </c>
      <c r="IT2" t="s">
        <v>1116</v>
      </c>
      <c r="IU2" t="s">
        <v>1117</v>
      </c>
      <c r="IV2" t="s">
        <v>1118</v>
      </c>
    </row>
    <row r="3" spans="1:256" x14ac:dyDescent="0.2">
      <c r="A3" t="s">
        <v>1119</v>
      </c>
      <c r="B3" t="s">
        <v>1120</v>
      </c>
      <c r="C3" t="s">
        <v>1121</v>
      </c>
      <c r="D3" t="s">
        <v>1122</v>
      </c>
      <c r="E3" t="s">
        <v>1123</v>
      </c>
      <c r="F3" t="s">
        <v>1124</v>
      </c>
      <c r="G3" t="s">
        <v>1125</v>
      </c>
      <c r="H3" t="s">
        <v>1126</v>
      </c>
      <c r="I3" t="s">
        <v>1127</v>
      </c>
      <c r="J3" t="s">
        <v>1128</v>
      </c>
      <c r="K3" t="s">
        <v>1129</v>
      </c>
      <c r="L3" t="s">
        <v>1130</v>
      </c>
      <c r="M3" t="s">
        <v>1131</v>
      </c>
      <c r="N3" t="s">
        <v>1132</v>
      </c>
      <c r="O3" t="s">
        <v>1133</v>
      </c>
      <c r="P3" t="s">
        <v>1134</v>
      </c>
      <c r="Q3" t="s">
        <v>1135</v>
      </c>
      <c r="R3" t="s">
        <v>1136</v>
      </c>
      <c r="S3" t="s">
        <v>1137</v>
      </c>
      <c r="T3" t="s">
        <v>1138</v>
      </c>
      <c r="U3" t="s">
        <v>1139</v>
      </c>
      <c r="V3" t="s">
        <v>1140</v>
      </c>
      <c r="W3" t="s">
        <v>1141</v>
      </c>
      <c r="X3" t="s">
        <v>1142</v>
      </c>
      <c r="Y3" t="s">
        <v>1143</v>
      </c>
      <c r="Z3" t="s">
        <v>1144</v>
      </c>
      <c r="AA3" t="s">
        <v>1145</v>
      </c>
      <c r="AB3" t="s">
        <v>1146</v>
      </c>
      <c r="AC3" t="s">
        <v>1147</v>
      </c>
      <c r="AD3" t="s">
        <v>1148</v>
      </c>
      <c r="AE3" t="s">
        <v>1149</v>
      </c>
      <c r="AF3" t="s">
        <v>1150</v>
      </c>
      <c r="AG3" t="s">
        <v>1151</v>
      </c>
      <c r="AH3" t="s">
        <v>1152</v>
      </c>
      <c r="AI3" t="s">
        <v>1153</v>
      </c>
      <c r="AJ3" t="s">
        <v>1154</v>
      </c>
      <c r="AK3" t="s">
        <v>1155</v>
      </c>
      <c r="AL3" t="s">
        <v>1156</v>
      </c>
      <c r="AM3" t="s">
        <v>1157</v>
      </c>
      <c r="AN3" t="s">
        <v>1158</v>
      </c>
      <c r="AO3" t="s">
        <v>1159</v>
      </c>
      <c r="AP3" t="s">
        <v>1160</v>
      </c>
      <c r="AQ3" t="s">
        <v>1161</v>
      </c>
      <c r="AR3" t="s">
        <v>1162</v>
      </c>
      <c r="AS3" t="s">
        <v>1163</v>
      </c>
      <c r="AT3" t="s">
        <v>1164</v>
      </c>
      <c r="AU3" t="s">
        <v>1165</v>
      </c>
      <c r="AV3" t="s">
        <v>1166</v>
      </c>
      <c r="AW3" t="s">
        <v>1167</v>
      </c>
      <c r="AX3" t="s">
        <v>1168</v>
      </c>
      <c r="AY3" t="s">
        <v>1169</v>
      </c>
      <c r="AZ3" t="s">
        <v>1170</v>
      </c>
      <c r="BA3" t="s">
        <v>1171</v>
      </c>
      <c r="BB3" t="s">
        <v>1172</v>
      </c>
      <c r="BC3" t="s">
        <v>1173</v>
      </c>
      <c r="BD3" t="s">
        <v>1174</v>
      </c>
      <c r="BE3" t="s">
        <v>1175</v>
      </c>
      <c r="BF3" t="s">
        <v>1176</v>
      </c>
      <c r="BG3" t="s">
        <v>1177</v>
      </c>
      <c r="BH3" t="s">
        <v>1178</v>
      </c>
      <c r="BI3" t="s">
        <v>1179</v>
      </c>
      <c r="BJ3" t="s">
        <v>1180</v>
      </c>
      <c r="BK3" t="s">
        <v>1181</v>
      </c>
      <c r="BL3" t="s">
        <v>1182</v>
      </c>
      <c r="BM3" t="s">
        <v>1183</v>
      </c>
      <c r="BN3" t="s">
        <v>1184</v>
      </c>
      <c r="BO3" t="s">
        <v>1185</v>
      </c>
      <c r="BP3" t="s">
        <v>1186</v>
      </c>
      <c r="BQ3" t="s">
        <v>1187</v>
      </c>
      <c r="BR3" t="s">
        <v>1188</v>
      </c>
      <c r="BS3" t="s">
        <v>1189</v>
      </c>
      <c r="BT3" t="s">
        <v>1190</v>
      </c>
      <c r="BU3" t="s">
        <v>1191</v>
      </c>
      <c r="BV3" t="s">
        <v>1192</v>
      </c>
      <c r="BW3" t="s">
        <v>1193</v>
      </c>
      <c r="BX3" t="s">
        <v>1194</v>
      </c>
      <c r="BY3" t="s">
        <v>1195</v>
      </c>
      <c r="BZ3" t="s">
        <v>1196</v>
      </c>
      <c r="CA3" t="s">
        <v>1197</v>
      </c>
      <c r="CB3" t="s">
        <v>1198</v>
      </c>
      <c r="CC3" t="s">
        <v>1199</v>
      </c>
      <c r="CD3" t="s">
        <v>1200</v>
      </c>
      <c r="CE3" t="s">
        <v>1201</v>
      </c>
      <c r="CF3" t="s">
        <v>1202</v>
      </c>
      <c r="CG3" t="s">
        <v>1203</v>
      </c>
      <c r="CH3" t="s">
        <v>1204</v>
      </c>
      <c r="CI3" t="s">
        <v>1205</v>
      </c>
      <c r="CJ3" t="s">
        <v>1206</v>
      </c>
      <c r="CK3" t="s">
        <v>1207</v>
      </c>
      <c r="CL3" t="s">
        <v>1208</v>
      </c>
      <c r="CM3" t="s">
        <v>1209</v>
      </c>
      <c r="CN3" t="s">
        <v>1210</v>
      </c>
      <c r="CO3" t="s">
        <v>1211</v>
      </c>
      <c r="CP3" t="s">
        <v>1212</v>
      </c>
      <c r="CQ3" t="s">
        <v>1213</v>
      </c>
      <c r="CR3" t="s">
        <v>1214</v>
      </c>
      <c r="CS3" t="s">
        <v>1215</v>
      </c>
      <c r="CT3" t="s">
        <v>1216</v>
      </c>
      <c r="CU3" t="s">
        <v>1217</v>
      </c>
      <c r="CV3" t="s">
        <v>1218</v>
      </c>
      <c r="CW3" t="s">
        <v>1219</v>
      </c>
      <c r="CX3" t="s">
        <v>1220</v>
      </c>
      <c r="CY3" t="s">
        <v>1221</v>
      </c>
      <c r="CZ3" t="s">
        <v>1222</v>
      </c>
      <c r="DA3" t="s">
        <v>1223</v>
      </c>
      <c r="DB3" t="s">
        <v>1224</v>
      </c>
      <c r="DC3" t="s">
        <v>1225</v>
      </c>
      <c r="DD3" t="s">
        <v>1226</v>
      </c>
      <c r="DE3" t="s">
        <v>1227</v>
      </c>
      <c r="DF3" t="s">
        <v>1228</v>
      </c>
      <c r="DG3" t="s">
        <v>1229</v>
      </c>
      <c r="DH3" t="s">
        <v>1230</v>
      </c>
      <c r="DI3" t="s">
        <v>1231</v>
      </c>
      <c r="DJ3" t="s">
        <v>1232</v>
      </c>
      <c r="DK3" t="s">
        <v>1233</v>
      </c>
      <c r="DL3" t="s">
        <v>1234</v>
      </c>
      <c r="DM3" t="s">
        <v>1235</v>
      </c>
      <c r="DN3" t="s">
        <v>1236</v>
      </c>
      <c r="DO3" t="s">
        <v>1237</v>
      </c>
      <c r="DP3" t="s">
        <v>1238</v>
      </c>
      <c r="DQ3" t="s">
        <v>1239</v>
      </c>
      <c r="DR3" t="s">
        <v>1240</v>
      </c>
      <c r="DS3" t="s">
        <v>1241</v>
      </c>
      <c r="DT3" t="s">
        <v>1242</v>
      </c>
      <c r="DU3" t="s">
        <v>1243</v>
      </c>
      <c r="DV3" t="s">
        <v>1244</v>
      </c>
      <c r="DW3" t="s">
        <v>1245</v>
      </c>
      <c r="DX3" t="s">
        <v>1246</v>
      </c>
      <c r="DY3" t="s">
        <v>1247</v>
      </c>
      <c r="DZ3" t="s">
        <v>1248</v>
      </c>
      <c r="EA3" t="s">
        <v>1249</v>
      </c>
      <c r="EB3" t="s">
        <v>1250</v>
      </c>
      <c r="EC3" t="s">
        <v>1251</v>
      </c>
      <c r="ED3" t="s">
        <v>1252</v>
      </c>
      <c r="EE3" t="s">
        <v>1253</v>
      </c>
      <c r="EF3" t="s">
        <v>1254</v>
      </c>
      <c r="EG3" t="s">
        <v>1255</v>
      </c>
      <c r="EH3" t="s">
        <v>1256</v>
      </c>
      <c r="EI3" t="s">
        <v>1257</v>
      </c>
      <c r="EJ3" t="s">
        <v>1258</v>
      </c>
      <c r="EK3" t="s">
        <v>1259</v>
      </c>
      <c r="EL3" t="s">
        <v>1260</v>
      </c>
      <c r="EM3" t="s">
        <v>1261</v>
      </c>
      <c r="EN3" t="s">
        <v>1262</v>
      </c>
      <c r="EO3" t="s">
        <v>1263</v>
      </c>
      <c r="EP3" t="s">
        <v>1264</v>
      </c>
      <c r="EQ3" t="s">
        <v>1265</v>
      </c>
      <c r="ER3" t="s">
        <v>1266</v>
      </c>
      <c r="ES3" t="s">
        <v>1267</v>
      </c>
      <c r="ET3" t="s">
        <v>1268</v>
      </c>
      <c r="EU3" t="s">
        <v>1269</v>
      </c>
      <c r="EV3" t="s">
        <v>1270</v>
      </c>
      <c r="EW3" t="s">
        <v>1271</v>
      </c>
      <c r="EX3" t="s">
        <v>1272</v>
      </c>
      <c r="EY3" t="s">
        <v>1273</v>
      </c>
      <c r="EZ3" t="s">
        <v>1274</v>
      </c>
      <c r="FA3" t="s">
        <v>1275</v>
      </c>
      <c r="FB3" t="s">
        <v>1276</v>
      </c>
      <c r="FC3" t="s">
        <v>1277</v>
      </c>
      <c r="FD3" t="s">
        <v>1278</v>
      </c>
      <c r="FE3" t="s">
        <v>1279</v>
      </c>
      <c r="FF3" t="s">
        <v>1280</v>
      </c>
      <c r="FG3" t="s">
        <v>1281</v>
      </c>
      <c r="FH3" t="s">
        <v>1282</v>
      </c>
      <c r="FI3" t="s">
        <v>1283</v>
      </c>
      <c r="FJ3" t="s">
        <v>1284</v>
      </c>
      <c r="FK3" t="s">
        <v>1285</v>
      </c>
      <c r="FL3" t="s">
        <v>1286</v>
      </c>
      <c r="FM3" t="s">
        <v>1287</v>
      </c>
      <c r="FN3" t="s">
        <v>1288</v>
      </c>
      <c r="FO3" t="s">
        <v>1289</v>
      </c>
      <c r="FP3" t="s">
        <v>1290</v>
      </c>
      <c r="FQ3" t="s">
        <v>1291</v>
      </c>
      <c r="FR3" t="s">
        <v>1292</v>
      </c>
      <c r="FS3" t="s">
        <v>1293</v>
      </c>
      <c r="FT3" t="s">
        <v>1294</v>
      </c>
      <c r="FU3" t="s">
        <v>1295</v>
      </c>
      <c r="FV3" t="s">
        <v>1296</v>
      </c>
      <c r="FW3" t="s">
        <v>1297</v>
      </c>
      <c r="FX3" t="s">
        <v>1298</v>
      </c>
      <c r="FY3" t="s">
        <v>1299</v>
      </c>
      <c r="FZ3" t="s">
        <v>1300</v>
      </c>
      <c r="GA3" t="s">
        <v>1301</v>
      </c>
      <c r="GB3" t="s">
        <v>1302</v>
      </c>
      <c r="GC3" t="s">
        <v>1303</v>
      </c>
      <c r="GD3" t="s">
        <v>1304</v>
      </c>
      <c r="GE3" t="s">
        <v>1305</v>
      </c>
      <c r="GF3" t="s">
        <v>1306</v>
      </c>
      <c r="GG3" t="s">
        <v>1307</v>
      </c>
      <c r="GH3" t="s">
        <v>1308</v>
      </c>
      <c r="GI3" t="s">
        <v>1309</v>
      </c>
      <c r="GJ3" t="s">
        <v>1310</v>
      </c>
      <c r="GK3" t="s">
        <v>1311</v>
      </c>
      <c r="GL3" t="s">
        <v>1312</v>
      </c>
      <c r="GM3" t="s">
        <v>1313</v>
      </c>
      <c r="GN3" t="s">
        <v>1314</v>
      </c>
      <c r="GO3" t="s">
        <v>1315</v>
      </c>
      <c r="GP3" t="s">
        <v>1316</v>
      </c>
      <c r="GQ3" t="s">
        <v>1317</v>
      </c>
      <c r="GR3" t="s">
        <v>1318</v>
      </c>
      <c r="GS3" t="s">
        <v>1319</v>
      </c>
      <c r="GT3" t="s">
        <v>1320</v>
      </c>
      <c r="GU3" t="s">
        <v>1321</v>
      </c>
      <c r="GV3" t="s">
        <v>1322</v>
      </c>
      <c r="GW3" t="s">
        <v>1323</v>
      </c>
      <c r="GX3" t="s">
        <v>1324</v>
      </c>
      <c r="GY3" t="s">
        <v>1325</v>
      </c>
      <c r="GZ3" t="s">
        <v>1326</v>
      </c>
      <c r="HA3" t="s">
        <v>1327</v>
      </c>
      <c r="HB3" t="s">
        <v>1328</v>
      </c>
      <c r="HC3" t="s">
        <v>1329</v>
      </c>
      <c r="HD3" t="s">
        <v>1330</v>
      </c>
      <c r="HE3" t="s">
        <v>1331</v>
      </c>
      <c r="HF3" t="s">
        <v>1332</v>
      </c>
      <c r="HG3" t="s">
        <v>1333</v>
      </c>
      <c r="HH3" t="s">
        <v>1334</v>
      </c>
      <c r="HI3" t="s">
        <v>1335</v>
      </c>
      <c r="HJ3" t="s">
        <v>1336</v>
      </c>
      <c r="HK3" t="s">
        <v>1337</v>
      </c>
      <c r="HL3" t="s">
        <v>1338</v>
      </c>
      <c r="HM3" t="s">
        <v>1339</v>
      </c>
      <c r="HN3" t="s">
        <v>1340</v>
      </c>
      <c r="HO3" t="s">
        <v>1341</v>
      </c>
      <c r="HP3" t="s">
        <v>1342</v>
      </c>
      <c r="HQ3" t="s">
        <v>1343</v>
      </c>
      <c r="HR3" t="s">
        <v>1344</v>
      </c>
      <c r="HS3" t="s">
        <v>1345</v>
      </c>
      <c r="HT3" t="s">
        <v>1346</v>
      </c>
      <c r="HU3" t="s">
        <v>1347</v>
      </c>
      <c r="HV3" t="s">
        <v>1348</v>
      </c>
      <c r="HW3" t="s">
        <v>1349</v>
      </c>
      <c r="HX3" t="s">
        <v>1350</v>
      </c>
      <c r="HY3" t="s">
        <v>1351</v>
      </c>
      <c r="HZ3" t="s">
        <v>1352</v>
      </c>
      <c r="IA3" t="s">
        <v>1353</v>
      </c>
      <c r="IB3" t="s">
        <v>1354</v>
      </c>
      <c r="IC3" t="s">
        <v>1355</v>
      </c>
      <c r="ID3" t="s">
        <v>1356</v>
      </c>
      <c r="IE3" t="s">
        <v>1357</v>
      </c>
      <c r="IF3" t="s">
        <v>1358</v>
      </c>
      <c r="IG3" t="s">
        <v>1359</v>
      </c>
      <c r="IH3" t="s">
        <v>1360</v>
      </c>
      <c r="II3" t="s">
        <v>1361</v>
      </c>
      <c r="IJ3" t="s">
        <v>1362</v>
      </c>
      <c r="IK3" t="s">
        <v>1363</v>
      </c>
      <c r="IL3" t="s">
        <v>1364</v>
      </c>
      <c r="IM3" t="s">
        <v>1365</v>
      </c>
      <c r="IN3" t="s">
        <v>1366</v>
      </c>
      <c r="IO3" t="s">
        <v>1367</v>
      </c>
      <c r="IP3" t="s">
        <v>1368</v>
      </c>
      <c r="IQ3" t="s">
        <v>1369</v>
      </c>
      <c r="IR3" t="s">
        <v>1370</v>
      </c>
      <c r="IS3" t="s">
        <v>1371</v>
      </c>
      <c r="IT3" t="s">
        <v>1372</v>
      </c>
      <c r="IU3" t="s">
        <v>1373</v>
      </c>
      <c r="IV3" t="s">
        <v>1374</v>
      </c>
    </row>
    <row r="4" spans="1:256" x14ac:dyDescent="0.2">
      <c r="A4" t="s">
        <v>1375</v>
      </c>
      <c r="B4" t="s">
        <v>1376</v>
      </c>
      <c r="C4" t="s">
        <v>1377</v>
      </c>
      <c r="D4" t="s">
        <v>1378</v>
      </c>
      <c r="E4" t="s">
        <v>1379</v>
      </c>
      <c r="F4" t="s">
        <v>1380</v>
      </c>
      <c r="G4" t="s">
        <v>1381</v>
      </c>
      <c r="H4" t="s">
        <v>1382</v>
      </c>
      <c r="I4" t="s">
        <v>1383</v>
      </c>
      <c r="J4" t="s">
        <v>1384</v>
      </c>
      <c r="K4" t="s">
        <v>1385</v>
      </c>
      <c r="L4" t="s">
        <v>1386</v>
      </c>
      <c r="M4" t="s">
        <v>1387</v>
      </c>
      <c r="N4" t="s">
        <v>1388</v>
      </c>
      <c r="O4" t="s">
        <v>1389</v>
      </c>
      <c r="P4" t="s">
        <v>1390</v>
      </c>
      <c r="Q4" t="s">
        <v>1391</v>
      </c>
      <c r="R4" t="s">
        <v>1392</v>
      </c>
      <c r="S4" t="s">
        <v>1393</v>
      </c>
      <c r="T4" t="s">
        <v>1394</v>
      </c>
      <c r="U4" t="s">
        <v>1395</v>
      </c>
      <c r="V4" t="s">
        <v>1396</v>
      </c>
      <c r="W4" t="s">
        <v>1397</v>
      </c>
      <c r="X4" t="s">
        <v>1398</v>
      </c>
      <c r="Y4" t="s">
        <v>1399</v>
      </c>
      <c r="Z4" t="s">
        <v>1400</v>
      </c>
      <c r="AA4" t="s">
        <v>1401</v>
      </c>
      <c r="AB4" t="s">
        <v>1402</v>
      </c>
      <c r="AC4" t="s">
        <v>1403</v>
      </c>
      <c r="AD4" t="s">
        <v>1404</v>
      </c>
      <c r="AE4" t="s">
        <v>1405</v>
      </c>
      <c r="AF4" t="s">
        <v>1406</v>
      </c>
      <c r="AG4" t="s">
        <v>1407</v>
      </c>
      <c r="AH4" t="s">
        <v>1408</v>
      </c>
      <c r="AI4" t="s">
        <v>1409</v>
      </c>
      <c r="AJ4" t="s">
        <v>1410</v>
      </c>
      <c r="AK4" t="s">
        <v>1411</v>
      </c>
      <c r="AL4" t="s">
        <v>1412</v>
      </c>
      <c r="AM4" t="s">
        <v>1413</v>
      </c>
      <c r="AN4" t="s">
        <v>1414</v>
      </c>
      <c r="AO4" t="s">
        <v>1415</v>
      </c>
      <c r="AP4" t="s">
        <v>1416</v>
      </c>
      <c r="AQ4" t="s">
        <v>1417</v>
      </c>
      <c r="AR4" t="s">
        <v>1418</v>
      </c>
      <c r="AS4" t="s">
        <v>1419</v>
      </c>
      <c r="AT4" t="s">
        <v>1420</v>
      </c>
      <c r="AU4" t="s">
        <v>1421</v>
      </c>
      <c r="AV4" t="s">
        <v>1422</v>
      </c>
      <c r="AW4" t="s">
        <v>1423</v>
      </c>
      <c r="AX4" t="s">
        <v>1424</v>
      </c>
      <c r="AY4" t="s">
        <v>1425</v>
      </c>
      <c r="AZ4" t="s">
        <v>1426</v>
      </c>
      <c r="BA4" t="s">
        <v>1427</v>
      </c>
      <c r="BB4" t="s">
        <v>1428</v>
      </c>
      <c r="BC4" t="s">
        <v>1429</v>
      </c>
      <c r="BD4" t="s">
        <v>1430</v>
      </c>
      <c r="BE4" t="s">
        <v>1431</v>
      </c>
      <c r="BF4" t="s">
        <v>1432</v>
      </c>
      <c r="BG4" t="s">
        <v>1433</v>
      </c>
      <c r="BH4" t="s">
        <v>1434</v>
      </c>
      <c r="BI4" t="s">
        <v>1435</v>
      </c>
      <c r="BJ4" t="s">
        <v>1436</v>
      </c>
      <c r="BK4" t="s">
        <v>1437</v>
      </c>
      <c r="BL4" t="s">
        <v>1438</v>
      </c>
      <c r="BM4" t="s">
        <v>1439</v>
      </c>
      <c r="BN4" t="s">
        <v>1440</v>
      </c>
      <c r="BO4" t="s">
        <v>1441</v>
      </c>
      <c r="BP4" t="s">
        <v>1442</v>
      </c>
      <c r="BQ4" t="s">
        <v>1443</v>
      </c>
      <c r="BR4" t="s">
        <v>1444</v>
      </c>
      <c r="BS4" t="s">
        <v>1445</v>
      </c>
      <c r="BT4" t="s">
        <v>1446</v>
      </c>
      <c r="BU4" t="s">
        <v>1447</v>
      </c>
      <c r="BV4" t="s">
        <v>1448</v>
      </c>
      <c r="BW4" t="s">
        <v>1449</v>
      </c>
      <c r="BX4" t="s">
        <v>1450</v>
      </c>
      <c r="BY4" t="s">
        <v>1451</v>
      </c>
      <c r="BZ4" t="s">
        <v>1452</v>
      </c>
      <c r="CA4" t="s">
        <v>1453</v>
      </c>
      <c r="CB4" t="s">
        <v>1454</v>
      </c>
      <c r="CC4" t="s">
        <v>1455</v>
      </c>
      <c r="CD4" t="s">
        <v>1456</v>
      </c>
      <c r="CE4" t="s">
        <v>1457</v>
      </c>
      <c r="CF4" t="s">
        <v>1458</v>
      </c>
      <c r="CG4" t="s">
        <v>1459</v>
      </c>
      <c r="CH4" t="s">
        <v>1460</v>
      </c>
      <c r="CI4" t="s">
        <v>1461</v>
      </c>
      <c r="CJ4" t="s">
        <v>1462</v>
      </c>
      <c r="CK4" t="s">
        <v>1463</v>
      </c>
      <c r="CL4" t="s">
        <v>1464</v>
      </c>
      <c r="CM4" t="s">
        <v>1465</v>
      </c>
      <c r="CN4" t="s">
        <v>1466</v>
      </c>
      <c r="CO4" t="s">
        <v>1467</v>
      </c>
      <c r="CP4" t="s">
        <v>1468</v>
      </c>
      <c r="CQ4" t="s">
        <v>1469</v>
      </c>
      <c r="CR4" t="s">
        <v>1470</v>
      </c>
      <c r="CS4" t="s">
        <v>1471</v>
      </c>
      <c r="CT4" t="s">
        <v>1472</v>
      </c>
      <c r="CU4" t="s">
        <v>1473</v>
      </c>
      <c r="CV4" t="s">
        <v>1474</v>
      </c>
      <c r="CW4" t="s">
        <v>1475</v>
      </c>
      <c r="CX4" t="s">
        <v>1476</v>
      </c>
      <c r="CY4" t="s">
        <v>1477</v>
      </c>
      <c r="CZ4" t="s">
        <v>1478</v>
      </c>
      <c r="DA4" t="s">
        <v>1479</v>
      </c>
      <c r="DB4" t="s">
        <v>1480</v>
      </c>
      <c r="DC4" t="s">
        <v>1481</v>
      </c>
      <c r="DD4" t="s">
        <v>1482</v>
      </c>
      <c r="DE4" t="s">
        <v>1483</v>
      </c>
      <c r="DF4" t="s">
        <v>1484</v>
      </c>
      <c r="DG4" t="s">
        <v>1485</v>
      </c>
      <c r="DH4" t="s">
        <v>1486</v>
      </c>
      <c r="DI4" t="s">
        <v>1487</v>
      </c>
      <c r="DJ4" t="s">
        <v>1488</v>
      </c>
      <c r="DK4" t="s">
        <v>1489</v>
      </c>
      <c r="DL4" t="s">
        <v>1490</v>
      </c>
      <c r="DM4" t="s">
        <v>1491</v>
      </c>
      <c r="DN4" t="s">
        <v>1492</v>
      </c>
      <c r="DO4" t="s">
        <v>1493</v>
      </c>
      <c r="DP4" t="s">
        <v>1494</v>
      </c>
      <c r="DQ4" t="s">
        <v>1495</v>
      </c>
      <c r="DR4" t="s">
        <v>1496</v>
      </c>
      <c r="DS4" t="s">
        <v>1497</v>
      </c>
      <c r="DT4" t="s">
        <v>1498</v>
      </c>
      <c r="DU4" t="s">
        <v>1499</v>
      </c>
      <c r="DV4" t="s">
        <v>1500</v>
      </c>
      <c r="DW4" t="s">
        <v>1501</v>
      </c>
      <c r="DX4" t="s">
        <v>1502</v>
      </c>
      <c r="DY4" t="s">
        <v>1503</v>
      </c>
      <c r="DZ4" t="s">
        <v>1504</v>
      </c>
      <c r="EA4" t="s">
        <v>1505</v>
      </c>
      <c r="EB4" t="s">
        <v>1506</v>
      </c>
      <c r="EC4" t="s">
        <v>1507</v>
      </c>
      <c r="ED4" t="s">
        <v>1508</v>
      </c>
      <c r="EE4" t="s">
        <v>1509</v>
      </c>
      <c r="EF4" t="s">
        <v>1510</v>
      </c>
      <c r="EG4" t="s">
        <v>1511</v>
      </c>
      <c r="EH4" t="s">
        <v>1512</v>
      </c>
      <c r="EI4" t="s">
        <v>1513</v>
      </c>
      <c r="EJ4" t="s">
        <v>1514</v>
      </c>
      <c r="EK4" t="s">
        <v>1515</v>
      </c>
      <c r="EL4" t="s">
        <v>1516</v>
      </c>
      <c r="EM4" t="s">
        <v>1517</v>
      </c>
      <c r="EN4" t="s">
        <v>1518</v>
      </c>
      <c r="EO4" t="s">
        <v>1519</v>
      </c>
      <c r="EP4" t="s">
        <v>1520</v>
      </c>
      <c r="EQ4" t="s">
        <v>1521</v>
      </c>
      <c r="ER4" t="s">
        <v>1522</v>
      </c>
      <c r="ES4" t="s">
        <v>1523</v>
      </c>
      <c r="ET4" t="s">
        <v>1524</v>
      </c>
      <c r="EU4" t="s">
        <v>1525</v>
      </c>
      <c r="EV4" t="s">
        <v>1526</v>
      </c>
      <c r="EW4" t="s">
        <v>1527</v>
      </c>
      <c r="EX4" t="s">
        <v>1528</v>
      </c>
      <c r="EY4" t="s">
        <v>1529</v>
      </c>
      <c r="EZ4" t="s">
        <v>1530</v>
      </c>
      <c r="FA4" t="s">
        <v>1531</v>
      </c>
      <c r="FB4" t="s">
        <v>1532</v>
      </c>
      <c r="FC4" t="s">
        <v>1533</v>
      </c>
      <c r="FD4" t="s">
        <v>1534</v>
      </c>
      <c r="FE4" t="s">
        <v>1535</v>
      </c>
      <c r="FF4" t="s">
        <v>1536</v>
      </c>
      <c r="FG4" t="s">
        <v>1537</v>
      </c>
      <c r="FH4" t="s">
        <v>1538</v>
      </c>
      <c r="FI4" t="s">
        <v>1539</v>
      </c>
      <c r="FJ4" t="s">
        <v>1540</v>
      </c>
      <c r="FK4" t="s">
        <v>1541</v>
      </c>
      <c r="FL4" t="s">
        <v>1542</v>
      </c>
      <c r="FM4" t="s">
        <v>1543</v>
      </c>
      <c r="FN4" t="s">
        <v>1544</v>
      </c>
      <c r="FO4" t="s">
        <v>1545</v>
      </c>
      <c r="FP4" t="s">
        <v>1546</v>
      </c>
      <c r="FQ4" t="s">
        <v>1547</v>
      </c>
      <c r="FR4" t="s">
        <v>1548</v>
      </c>
      <c r="FS4" t="s">
        <v>1549</v>
      </c>
      <c r="FT4" t="s">
        <v>1550</v>
      </c>
      <c r="FU4" t="s">
        <v>1551</v>
      </c>
      <c r="FV4" t="s">
        <v>1552</v>
      </c>
      <c r="FW4" t="s">
        <v>1553</v>
      </c>
      <c r="FX4" t="s">
        <v>1554</v>
      </c>
      <c r="FY4" t="s">
        <v>1555</v>
      </c>
      <c r="FZ4" t="s">
        <v>1556</v>
      </c>
      <c r="GA4" t="s">
        <v>1557</v>
      </c>
      <c r="GB4" t="s">
        <v>1558</v>
      </c>
      <c r="GC4" t="s">
        <v>1559</v>
      </c>
      <c r="GD4" t="s">
        <v>1560</v>
      </c>
      <c r="GE4" t="s">
        <v>1561</v>
      </c>
      <c r="GF4" t="s">
        <v>1562</v>
      </c>
      <c r="GG4" t="s">
        <v>1563</v>
      </c>
      <c r="GH4" t="s">
        <v>1564</v>
      </c>
      <c r="GI4" t="s">
        <v>1565</v>
      </c>
      <c r="GJ4" t="s">
        <v>1566</v>
      </c>
      <c r="GK4" t="s">
        <v>1567</v>
      </c>
      <c r="GL4" t="s">
        <v>1568</v>
      </c>
      <c r="GM4" t="s">
        <v>1569</v>
      </c>
      <c r="GN4" t="s">
        <v>1570</v>
      </c>
      <c r="GO4" t="s">
        <v>1571</v>
      </c>
      <c r="GP4" t="s">
        <v>1572</v>
      </c>
      <c r="GQ4" t="s">
        <v>1573</v>
      </c>
      <c r="GR4" t="s">
        <v>1574</v>
      </c>
      <c r="GS4" t="s">
        <v>1575</v>
      </c>
      <c r="GT4" t="s">
        <v>1576</v>
      </c>
      <c r="GU4" t="s">
        <v>1577</v>
      </c>
      <c r="GV4" t="s">
        <v>1578</v>
      </c>
      <c r="GW4" t="s">
        <v>1579</v>
      </c>
      <c r="GX4" t="s">
        <v>1580</v>
      </c>
      <c r="GY4" t="s">
        <v>1581</v>
      </c>
      <c r="GZ4" t="s">
        <v>1582</v>
      </c>
      <c r="HA4" t="s">
        <v>1583</v>
      </c>
      <c r="HB4" t="s">
        <v>1584</v>
      </c>
      <c r="HC4" t="s">
        <v>1585</v>
      </c>
      <c r="HD4" t="s">
        <v>1586</v>
      </c>
      <c r="HE4" t="s">
        <v>1587</v>
      </c>
      <c r="HF4" t="s">
        <v>1588</v>
      </c>
      <c r="HG4" t="s">
        <v>1589</v>
      </c>
      <c r="HH4" t="s">
        <v>1590</v>
      </c>
      <c r="HI4" t="s">
        <v>1591</v>
      </c>
      <c r="HJ4" t="s">
        <v>1592</v>
      </c>
      <c r="HK4" t="s">
        <v>1593</v>
      </c>
      <c r="HL4" t="s">
        <v>1594</v>
      </c>
      <c r="HM4" t="s">
        <v>1595</v>
      </c>
      <c r="HN4" t="s">
        <v>1596</v>
      </c>
      <c r="HO4" t="s">
        <v>1597</v>
      </c>
      <c r="HP4" t="s">
        <v>1598</v>
      </c>
      <c r="HQ4" t="s">
        <v>1599</v>
      </c>
      <c r="HR4" t="s">
        <v>1600</v>
      </c>
      <c r="HS4" t="s">
        <v>1601</v>
      </c>
      <c r="HT4" t="s">
        <v>1602</v>
      </c>
      <c r="HU4" t="s">
        <v>1603</v>
      </c>
      <c r="HV4" t="s">
        <v>1604</v>
      </c>
      <c r="HW4" t="s">
        <v>1605</v>
      </c>
      <c r="HX4" t="s">
        <v>1606</v>
      </c>
      <c r="HY4" t="s">
        <v>1607</v>
      </c>
      <c r="HZ4" t="s">
        <v>1608</v>
      </c>
      <c r="IA4" t="s">
        <v>1609</v>
      </c>
      <c r="IB4" t="s">
        <v>1610</v>
      </c>
      <c r="IC4" t="s">
        <v>1611</v>
      </c>
      <c r="ID4" t="s">
        <v>1612</v>
      </c>
      <c r="IE4" t="s">
        <v>1613</v>
      </c>
      <c r="IF4" t="s">
        <v>1614</v>
      </c>
      <c r="IG4" t="s">
        <v>1615</v>
      </c>
      <c r="IH4" t="s">
        <v>1616</v>
      </c>
      <c r="II4" t="s">
        <v>1617</v>
      </c>
      <c r="IJ4" t="s">
        <v>1618</v>
      </c>
      <c r="IK4" t="s">
        <v>1619</v>
      </c>
      <c r="IL4" t="s">
        <v>1620</v>
      </c>
      <c r="IM4" t="s">
        <v>1621</v>
      </c>
      <c r="IN4" t="s">
        <v>1622</v>
      </c>
      <c r="IO4" t="s">
        <v>1623</v>
      </c>
      <c r="IP4" t="s">
        <v>1624</v>
      </c>
      <c r="IQ4" t="s">
        <v>1625</v>
      </c>
      <c r="IR4" t="s">
        <v>1626</v>
      </c>
      <c r="IS4" t="s">
        <v>1627</v>
      </c>
      <c r="IT4" t="s">
        <v>1628</v>
      </c>
      <c r="IU4" t="s">
        <v>1629</v>
      </c>
      <c r="IV4" t="s">
        <v>1630</v>
      </c>
    </row>
    <row r="5" spans="1:256" x14ac:dyDescent="0.2">
      <c r="A5" t="s">
        <v>1631</v>
      </c>
      <c r="B5" t="s">
        <v>1632</v>
      </c>
      <c r="C5" t="s">
        <v>1633</v>
      </c>
      <c r="D5" t="s">
        <v>1634</v>
      </c>
      <c r="E5" t="s">
        <v>1635</v>
      </c>
      <c r="F5" t="s">
        <v>1636</v>
      </c>
      <c r="G5" t="s">
        <v>1637</v>
      </c>
      <c r="H5" t="s">
        <v>1638</v>
      </c>
      <c r="I5" t="s">
        <v>1639</v>
      </c>
      <c r="J5" t="s">
        <v>1640</v>
      </c>
      <c r="K5" t="s">
        <v>1641</v>
      </c>
      <c r="L5" t="s">
        <v>1642</v>
      </c>
      <c r="M5" t="s">
        <v>1643</v>
      </c>
      <c r="N5" t="s">
        <v>1644</v>
      </c>
      <c r="O5" t="s">
        <v>1645</v>
      </c>
      <c r="P5" t="s">
        <v>1646</v>
      </c>
      <c r="Q5" t="s">
        <v>1647</v>
      </c>
      <c r="R5" t="s">
        <v>1648</v>
      </c>
      <c r="S5" t="s">
        <v>1649</v>
      </c>
      <c r="T5" t="s">
        <v>1650</v>
      </c>
      <c r="U5" t="s">
        <v>1651</v>
      </c>
      <c r="V5" t="s">
        <v>1652</v>
      </c>
      <c r="W5" t="s">
        <v>1653</v>
      </c>
      <c r="X5" t="s">
        <v>1654</v>
      </c>
      <c r="Y5" t="s">
        <v>1655</v>
      </c>
      <c r="Z5" t="s">
        <v>1656</v>
      </c>
      <c r="AA5" t="s">
        <v>1657</v>
      </c>
      <c r="AB5" t="s">
        <v>1658</v>
      </c>
      <c r="AC5" t="s">
        <v>1659</v>
      </c>
      <c r="AD5" t="s">
        <v>1660</v>
      </c>
      <c r="AE5" t="s">
        <v>1661</v>
      </c>
      <c r="AF5" t="s">
        <v>1662</v>
      </c>
      <c r="AG5" t="s">
        <v>1663</v>
      </c>
      <c r="AH5" t="s">
        <v>1664</v>
      </c>
      <c r="AI5" t="s">
        <v>1665</v>
      </c>
      <c r="AJ5" t="s">
        <v>1666</v>
      </c>
      <c r="AK5" t="s">
        <v>1667</v>
      </c>
      <c r="AL5" t="s">
        <v>1668</v>
      </c>
      <c r="AM5" t="s">
        <v>1669</v>
      </c>
      <c r="AN5" t="s">
        <v>1670</v>
      </c>
      <c r="AO5" t="s">
        <v>1671</v>
      </c>
      <c r="AP5" t="s">
        <v>1672</v>
      </c>
      <c r="AQ5" t="s">
        <v>1673</v>
      </c>
      <c r="AR5" t="s">
        <v>1674</v>
      </c>
      <c r="AS5" t="s">
        <v>1675</v>
      </c>
      <c r="AT5" t="s">
        <v>1676</v>
      </c>
      <c r="AU5" t="s">
        <v>1677</v>
      </c>
      <c r="AV5" t="s">
        <v>1678</v>
      </c>
      <c r="AW5" t="s">
        <v>1679</v>
      </c>
      <c r="AX5" t="s">
        <v>1680</v>
      </c>
      <c r="AY5" t="s">
        <v>1681</v>
      </c>
      <c r="AZ5" t="s">
        <v>1682</v>
      </c>
      <c r="BA5" t="s">
        <v>1683</v>
      </c>
      <c r="BB5" t="s">
        <v>1684</v>
      </c>
      <c r="BC5" t="s">
        <v>1685</v>
      </c>
      <c r="BD5" t="s">
        <v>1686</v>
      </c>
      <c r="BE5" t="s">
        <v>1687</v>
      </c>
      <c r="BF5" t="s">
        <v>1688</v>
      </c>
      <c r="BG5" t="s">
        <v>1689</v>
      </c>
      <c r="BH5" t="s">
        <v>1690</v>
      </c>
      <c r="BI5" t="s">
        <v>1691</v>
      </c>
      <c r="BJ5" t="s">
        <v>1692</v>
      </c>
      <c r="BK5" t="s">
        <v>1693</v>
      </c>
      <c r="BL5" t="s">
        <v>1694</v>
      </c>
      <c r="BM5" t="s">
        <v>1695</v>
      </c>
      <c r="BN5" t="s">
        <v>1696</v>
      </c>
      <c r="BO5" t="s">
        <v>1697</v>
      </c>
      <c r="BP5" t="s">
        <v>1698</v>
      </c>
      <c r="BQ5" t="s">
        <v>1699</v>
      </c>
      <c r="BR5" t="s">
        <v>1700</v>
      </c>
      <c r="BS5" t="s">
        <v>1701</v>
      </c>
      <c r="BT5" t="s">
        <v>1702</v>
      </c>
      <c r="BU5" t="s">
        <v>1703</v>
      </c>
      <c r="BV5" t="s">
        <v>1704</v>
      </c>
      <c r="BW5" t="s">
        <v>1705</v>
      </c>
      <c r="BX5" t="s">
        <v>1706</v>
      </c>
      <c r="BY5" t="s">
        <v>1707</v>
      </c>
      <c r="BZ5" t="s">
        <v>1708</v>
      </c>
      <c r="CA5" t="s">
        <v>1709</v>
      </c>
      <c r="CB5" t="s">
        <v>1710</v>
      </c>
      <c r="CC5" t="s">
        <v>1711</v>
      </c>
      <c r="CD5" t="s">
        <v>1712</v>
      </c>
      <c r="CE5" t="s">
        <v>1713</v>
      </c>
      <c r="CF5" t="s">
        <v>1714</v>
      </c>
      <c r="CG5" t="s">
        <v>1715</v>
      </c>
      <c r="CH5" t="s">
        <v>1716</v>
      </c>
      <c r="CI5" t="s">
        <v>1717</v>
      </c>
      <c r="CJ5" t="s">
        <v>1718</v>
      </c>
      <c r="CK5" t="s">
        <v>1719</v>
      </c>
      <c r="CL5" t="s">
        <v>1720</v>
      </c>
      <c r="CM5" t="s">
        <v>1721</v>
      </c>
      <c r="CN5" t="s">
        <v>1722</v>
      </c>
      <c r="CO5" t="s">
        <v>1723</v>
      </c>
      <c r="CP5" t="s">
        <v>1724</v>
      </c>
      <c r="CQ5" t="s">
        <v>1725</v>
      </c>
      <c r="CR5" t="s">
        <v>1726</v>
      </c>
      <c r="CS5" t="s">
        <v>1727</v>
      </c>
      <c r="CT5" t="s">
        <v>1728</v>
      </c>
      <c r="CU5" t="s">
        <v>1729</v>
      </c>
      <c r="CV5" t="s">
        <v>1730</v>
      </c>
      <c r="CW5" t="s">
        <v>1731</v>
      </c>
      <c r="CX5" t="s">
        <v>1732</v>
      </c>
      <c r="CY5" t="s">
        <v>1733</v>
      </c>
      <c r="CZ5" t="s">
        <v>1734</v>
      </c>
      <c r="DA5" t="s">
        <v>1735</v>
      </c>
      <c r="DB5" t="s">
        <v>1736</v>
      </c>
      <c r="DC5" t="s">
        <v>1737</v>
      </c>
      <c r="DD5" t="s">
        <v>1738</v>
      </c>
      <c r="DE5" t="s">
        <v>1739</v>
      </c>
      <c r="DF5" t="s">
        <v>1740</v>
      </c>
      <c r="DG5" t="s">
        <v>1741</v>
      </c>
      <c r="DH5" t="s">
        <v>1742</v>
      </c>
      <c r="DI5" t="s">
        <v>1743</v>
      </c>
      <c r="DJ5" t="s">
        <v>1744</v>
      </c>
      <c r="DK5" t="s">
        <v>1745</v>
      </c>
      <c r="DL5" t="s">
        <v>1746</v>
      </c>
      <c r="DM5" t="s">
        <v>1747</v>
      </c>
      <c r="DN5" t="s">
        <v>1748</v>
      </c>
      <c r="DO5" t="s">
        <v>1749</v>
      </c>
      <c r="DP5" t="s">
        <v>1750</v>
      </c>
      <c r="DQ5" t="s">
        <v>1751</v>
      </c>
      <c r="DR5" t="s">
        <v>1752</v>
      </c>
      <c r="DS5" t="s">
        <v>1753</v>
      </c>
      <c r="DT5" t="s">
        <v>1754</v>
      </c>
      <c r="DU5" t="s">
        <v>1755</v>
      </c>
      <c r="DV5" t="s">
        <v>1756</v>
      </c>
      <c r="DW5" t="s">
        <v>1757</v>
      </c>
      <c r="DX5" t="s">
        <v>1758</v>
      </c>
      <c r="DY5" t="s">
        <v>1759</v>
      </c>
      <c r="DZ5" t="s">
        <v>1760</v>
      </c>
      <c r="EA5" t="s">
        <v>1761</v>
      </c>
      <c r="EB5" t="s">
        <v>1762</v>
      </c>
      <c r="EC5" t="s">
        <v>1763</v>
      </c>
      <c r="ED5" t="s">
        <v>1764</v>
      </c>
      <c r="EE5" t="s">
        <v>1765</v>
      </c>
      <c r="EF5" t="s">
        <v>1766</v>
      </c>
      <c r="EG5" t="s">
        <v>1767</v>
      </c>
      <c r="EH5" t="s">
        <v>1768</v>
      </c>
      <c r="EI5" t="s">
        <v>1769</v>
      </c>
      <c r="EJ5" t="s">
        <v>1770</v>
      </c>
      <c r="EK5" t="s">
        <v>1771</v>
      </c>
      <c r="EL5" t="s">
        <v>1772</v>
      </c>
      <c r="EM5" t="s">
        <v>1773</v>
      </c>
      <c r="EN5" t="s">
        <v>1774</v>
      </c>
      <c r="EO5" t="s">
        <v>1775</v>
      </c>
      <c r="EP5" t="s">
        <v>1776</v>
      </c>
      <c r="EQ5" t="s">
        <v>1777</v>
      </c>
      <c r="ER5" t="s">
        <v>1778</v>
      </c>
      <c r="ES5" t="s">
        <v>1779</v>
      </c>
      <c r="ET5" t="s">
        <v>1780</v>
      </c>
      <c r="EU5" t="s">
        <v>1781</v>
      </c>
      <c r="EV5" t="s">
        <v>1782</v>
      </c>
      <c r="EW5" t="s">
        <v>1783</v>
      </c>
      <c r="EX5" t="s">
        <v>1784</v>
      </c>
      <c r="EY5" t="s">
        <v>1785</v>
      </c>
      <c r="EZ5" t="s">
        <v>1786</v>
      </c>
      <c r="FA5" t="s">
        <v>1787</v>
      </c>
      <c r="FB5" t="s">
        <v>1788</v>
      </c>
      <c r="FC5" t="s">
        <v>1789</v>
      </c>
      <c r="FD5" t="s">
        <v>1790</v>
      </c>
      <c r="FE5" t="s">
        <v>1791</v>
      </c>
      <c r="FF5" t="s">
        <v>1792</v>
      </c>
      <c r="FG5" t="s">
        <v>1793</v>
      </c>
      <c r="FH5" t="s">
        <v>1794</v>
      </c>
      <c r="FI5" t="s">
        <v>1795</v>
      </c>
      <c r="FJ5" t="s">
        <v>1796</v>
      </c>
      <c r="FK5" t="s">
        <v>1797</v>
      </c>
      <c r="FL5" t="s">
        <v>1798</v>
      </c>
      <c r="FM5" t="s">
        <v>1799</v>
      </c>
      <c r="FN5" t="s">
        <v>1800</v>
      </c>
      <c r="FO5" t="s">
        <v>1801</v>
      </c>
      <c r="FP5" t="s">
        <v>1802</v>
      </c>
      <c r="FQ5" t="s">
        <v>1803</v>
      </c>
      <c r="FR5" t="s">
        <v>1804</v>
      </c>
      <c r="FS5" t="s">
        <v>1805</v>
      </c>
      <c r="FT5" t="s">
        <v>1806</v>
      </c>
      <c r="FU5" t="s">
        <v>1807</v>
      </c>
      <c r="FV5" t="s">
        <v>1808</v>
      </c>
      <c r="FW5" t="s">
        <v>1809</v>
      </c>
      <c r="FX5" t="s">
        <v>1810</v>
      </c>
      <c r="FY5" t="s">
        <v>1811</v>
      </c>
      <c r="FZ5" t="s">
        <v>1812</v>
      </c>
      <c r="GA5" t="s">
        <v>1813</v>
      </c>
      <c r="GB5" t="s">
        <v>1814</v>
      </c>
      <c r="GC5" t="s">
        <v>1815</v>
      </c>
      <c r="GD5" t="s">
        <v>1816</v>
      </c>
      <c r="GE5" t="s">
        <v>1817</v>
      </c>
      <c r="GF5" t="s">
        <v>1818</v>
      </c>
      <c r="GG5" t="s">
        <v>1819</v>
      </c>
      <c r="GH5" t="s">
        <v>1820</v>
      </c>
      <c r="GI5" t="s">
        <v>1821</v>
      </c>
      <c r="GJ5" t="s">
        <v>1822</v>
      </c>
      <c r="GK5" t="s">
        <v>1823</v>
      </c>
      <c r="GL5" t="s">
        <v>1824</v>
      </c>
      <c r="GM5" t="s">
        <v>1825</v>
      </c>
      <c r="GN5" t="s">
        <v>1826</v>
      </c>
      <c r="GO5" t="s">
        <v>1827</v>
      </c>
      <c r="GP5" t="s">
        <v>1828</v>
      </c>
      <c r="GQ5" t="s">
        <v>1829</v>
      </c>
      <c r="GR5" t="s">
        <v>1830</v>
      </c>
      <c r="GS5" t="s">
        <v>1831</v>
      </c>
      <c r="GT5" t="s">
        <v>1832</v>
      </c>
      <c r="GU5" t="s">
        <v>1833</v>
      </c>
      <c r="GV5" t="s">
        <v>1834</v>
      </c>
      <c r="GW5" t="s">
        <v>1835</v>
      </c>
      <c r="GX5" t="s">
        <v>1836</v>
      </c>
      <c r="GY5" t="s">
        <v>1837</v>
      </c>
      <c r="GZ5" t="s">
        <v>1838</v>
      </c>
      <c r="HA5" t="s">
        <v>1839</v>
      </c>
      <c r="HB5" t="s">
        <v>1840</v>
      </c>
      <c r="HC5" t="s">
        <v>1841</v>
      </c>
      <c r="HD5" t="s">
        <v>1842</v>
      </c>
      <c r="HE5" t="s">
        <v>1843</v>
      </c>
      <c r="HF5" t="s">
        <v>1844</v>
      </c>
      <c r="HG5" t="s">
        <v>1845</v>
      </c>
      <c r="HH5" t="s">
        <v>1846</v>
      </c>
      <c r="HI5" t="s">
        <v>1847</v>
      </c>
      <c r="HJ5" t="s">
        <v>1848</v>
      </c>
      <c r="HK5" t="s">
        <v>1849</v>
      </c>
      <c r="HL5" t="s">
        <v>1850</v>
      </c>
      <c r="HM5" t="s">
        <v>1851</v>
      </c>
      <c r="HN5" t="s">
        <v>1852</v>
      </c>
      <c r="HO5" t="s">
        <v>1853</v>
      </c>
      <c r="HP5" t="s">
        <v>1854</v>
      </c>
      <c r="HQ5" t="s">
        <v>1855</v>
      </c>
      <c r="HR5" t="s">
        <v>1856</v>
      </c>
      <c r="HS5" t="s">
        <v>1857</v>
      </c>
      <c r="HT5" t="s">
        <v>1858</v>
      </c>
      <c r="HU5" t="s">
        <v>1859</v>
      </c>
      <c r="HV5" t="s">
        <v>1860</v>
      </c>
      <c r="HW5" t="s">
        <v>1861</v>
      </c>
      <c r="HX5" t="s">
        <v>1862</v>
      </c>
      <c r="HY5" t="s">
        <v>1863</v>
      </c>
      <c r="HZ5" t="s">
        <v>1864</v>
      </c>
      <c r="IA5" t="s">
        <v>1865</v>
      </c>
      <c r="IB5" t="s">
        <v>1866</v>
      </c>
      <c r="IC5" t="s">
        <v>1867</v>
      </c>
      <c r="ID5" t="s">
        <v>1868</v>
      </c>
      <c r="IE5" t="s">
        <v>1869</v>
      </c>
      <c r="IF5" t="s">
        <v>1870</v>
      </c>
      <c r="IG5" t="s">
        <v>1871</v>
      </c>
      <c r="IH5" t="s">
        <v>1872</v>
      </c>
      <c r="II5" t="s">
        <v>1873</v>
      </c>
      <c r="IJ5" t="s">
        <v>1874</v>
      </c>
      <c r="IK5" t="s">
        <v>1875</v>
      </c>
      <c r="IL5" t="s">
        <v>1876</v>
      </c>
      <c r="IM5" t="s">
        <v>1877</v>
      </c>
      <c r="IN5" t="s">
        <v>1878</v>
      </c>
      <c r="IO5" t="s">
        <v>1879</v>
      </c>
      <c r="IP5" t="s">
        <v>1880</v>
      </c>
      <c r="IQ5" t="s">
        <v>1881</v>
      </c>
      <c r="IR5" t="s">
        <v>1882</v>
      </c>
      <c r="IS5" t="s">
        <v>1883</v>
      </c>
      <c r="IT5" t="s">
        <v>1884</v>
      </c>
      <c r="IU5" t="s">
        <v>1885</v>
      </c>
      <c r="IV5" t="s">
        <v>1886</v>
      </c>
    </row>
    <row r="6" spans="1:256" x14ac:dyDescent="0.2">
      <c r="A6" t="s">
        <v>1887</v>
      </c>
      <c r="B6" t="s">
        <v>1888</v>
      </c>
      <c r="C6" t="s">
        <v>1889</v>
      </c>
      <c r="D6" t="s">
        <v>1890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  <pageSetUpPr fitToPage="1"/>
  </sheetPr>
  <dimension ref="A1:BN537"/>
  <sheetViews>
    <sheetView showGridLines="0" tabSelected="1" zoomScale="85" zoomScaleNormal="85" zoomScaleSheetLayoutView="100" workbookViewId="0">
      <pane xSplit="1" ySplit="1" topLeftCell="B2" activePane="bottomRight" state="frozen"/>
      <selection activeCell="F51" sqref="F51"/>
      <selection pane="topRight" activeCell="F51" sqref="F51"/>
      <selection pane="bottomLeft" activeCell="F51" sqref="F51"/>
      <selection pane="bottomRight" activeCell="C17" sqref="C17"/>
    </sheetView>
  </sheetViews>
  <sheetFormatPr defaultColWidth="9.140625" defaultRowHeight="12.75" x14ac:dyDescent="0.2"/>
  <cols>
    <col min="1" max="1" width="34.5703125" bestFit="1" customWidth="1"/>
    <col min="2" max="13" width="13.28515625" customWidth="1"/>
    <col min="14" max="14" width="5.85546875" style="59" customWidth="1"/>
    <col min="15" max="18" width="9.140625" style="42"/>
    <col min="19" max="19" width="9.140625" style="42" customWidth="1"/>
    <col min="20" max="21" width="9.140625" style="59" customWidth="1"/>
    <col min="22" max="66" width="9.140625" style="59"/>
    <col min="67" max="16384" width="9.140625" style="42"/>
  </cols>
  <sheetData>
    <row r="1" spans="1:66" ht="12.75" customHeight="1" thickBot="1" x14ac:dyDescent="0.25">
      <c r="A1" s="3" t="s">
        <v>605</v>
      </c>
      <c r="B1" s="32" t="str">
        <f t="shared" ref="B1:L1" si="0">"FY"&amp;RIGHT(YEAR(B2),2)</f>
        <v>FY15</v>
      </c>
      <c r="C1" s="32" t="str">
        <f t="shared" si="0"/>
        <v>FY16</v>
      </c>
      <c r="D1" s="32" t="str">
        <f t="shared" si="0"/>
        <v>FY17</v>
      </c>
      <c r="E1" s="32" t="str">
        <f t="shared" si="0"/>
        <v>FY18</v>
      </c>
      <c r="F1" s="32" t="str">
        <f t="shared" si="0"/>
        <v>FY19</v>
      </c>
      <c r="G1" s="32" t="str">
        <f t="shared" si="0"/>
        <v>FY20</v>
      </c>
      <c r="H1" s="32" t="str">
        <f t="shared" si="0"/>
        <v>FY21</v>
      </c>
      <c r="I1" s="32" t="str">
        <f t="shared" si="0"/>
        <v>FY22</v>
      </c>
      <c r="J1" s="32" t="str">
        <f t="shared" si="0"/>
        <v>FY23</v>
      </c>
      <c r="K1" s="32" t="str">
        <f t="shared" si="0"/>
        <v>FY24</v>
      </c>
      <c r="L1" s="32" t="str">
        <f t="shared" si="0"/>
        <v>FY25</v>
      </c>
      <c r="M1" s="32" t="s">
        <v>266</v>
      </c>
      <c r="N1" s="42"/>
      <c r="S1" s="3"/>
      <c r="T1" s="2"/>
      <c r="U1" s="3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  <c r="AP1" s="42"/>
      <c r="AQ1" s="42"/>
      <c r="AR1" s="42"/>
      <c r="AS1" s="42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</row>
    <row r="2" spans="1:66" ht="12.75" customHeight="1" thickTop="1" x14ac:dyDescent="0.2">
      <c r="A2" s="3" t="s">
        <v>408</v>
      </c>
      <c r="B2" s="23">
        <f>_xll.ciqfunctions.udf.CIQ(InputTicker, "IQ_PERIODDATE",Input!D$2,Date)</f>
        <v>42369</v>
      </c>
      <c r="C2" s="23">
        <f>_xll.ciqfunctions.udf.CIQ(InputTicker, "IQ_PERIODDATE",Input!E$2,Date)</f>
        <v>42735</v>
      </c>
      <c r="D2" s="23">
        <f>_xll.ciqfunctions.udf.CIQ(InputTicker, "IQ_PERIODDATE",Input!F$2,Date)</f>
        <v>43100</v>
      </c>
      <c r="E2" s="23">
        <f>_xll.ciqfunctions.udf.CIQ(InputTicker, "IQ_PERIODDATE",Input!G$2,Date)</f>
        <v>43465</v>
      </c>
      <c r="F2" s="23">
        <f>_xll.ciqfunctions.udf.CIQ(InputTicker, "IQ_PERIODDATE",Input!H$2,Date)</f>
        <v>43830</v>
      </c>
      <c r="G2" s="23">
        <f>_xll.ciqfunctions.udf.CIQ(InputTicker, "IQ_PERIODDATE",Input!I$2,Date)</f>
        <v>44196</v>
      </c>
      <c r="H2" s="23">
        <f>_xll.ciqfunctions.udf.CIQ(InputTicker, "IQ_PERIODDATE",Input!J$2,Date)</f>
        <v>44561</v>
      </c>
      <c r="I2" s="23">
        <f>_xll.ciqfunctions.udf.CIQ(InputTicker, "IQ_PERIODDATE",Input!K$2,Date)</f>
        <v>44926</v>
      </c>
      <c r="J2" s="23">
        <f>_xll.ciqfunctions.udf.CIQ(InputTicker, "IQ_PERIODDATE",Input!L$2,Date)</f>
        <v>45291</v>
      </c>
      <c r="K2" s="23">
        <f>_xll.ciqfunctions.udf.CIQ(InputTicker, "IQ_PERIODDATE",Input!M$2,Date)</f>
        <v>45657</v>
      </c>
      <c r="L2" s="23">
        <f>_xll.ciqfunctions.udf.CIQ(InputTicker, "IQ_PERIODDATE",Input!N$2,Date)</f>
        <v>46022</v>
      </c>
      <c r="M2" s="23">
        <f>_xll.ciqfunctions.udf.CIQ(InputTicker, "IQ_PERIODDATE",Input!O$2,Date)</f>
        <v>46022</v>
      </c>
      <c r="N2" s="42"/>
      <c r="S2" s="44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</row>
    <row r="3" spans="1:66" ht="12.75" customHeight="1" x14ac:dyDescent="0.2">
      <c r="A3" s="1" t="s">
        <v>57</v>
      </c>
      <c r="B3" s="4">
        <f>_xll.ciqfunctions.udf.CIQ(InputTicker, "IQ_REV",Input!D$2,Date,,,Ccy,Conv)</f>
        <v>79878</v>
      </c>
      <c r="C3" s="4">
        <f>_xll.ciqfunctions.udf.CIQ(InputTicker, "IQ_REV",Input!E$2,Date,,,Ccy,Conv)</f>
        <v>78210</v>
      </c>
      <c r="D3" s="41">
        <f>_xll.ciqfunctions.udf.CIQ(InputTicker, "IQ_REV",Input!F$2,Date,,,Ccy,Conv)</f>
        <v>77424</v>
      </c>
      <c r="E3" s="4">
        <f>_xll.ciqfunctions.udf.CIQ(InputTicker, "IQ_REV",Input!G$2,Date,,,Ccy,Conv)</f>
        <v>77992</v>
      </c>
      <c r="F3" s="4">
        <f>_xll.ciqfunctions.udf.CIQ(InputTicker, "IQ_REV",Input!H$2,Date,,,Ccy,Conv)</f>
        <v>56498</v>
      </c>
      <c r="G3" s="4">
        <f>_xll.ciqfunctions.udf.CIQ(InputTicker, "IQ_REV",Input!I$2,Date,,,Ccy,Conv)</f>
        <v>54195</v>
      </c>
      <c r="H3" s="4">
        <f>_xll.ciqfunctions.udf.CIQ(InputTicker, "IQ_REV",Input!J$2,Date,,,Ccy,Conv)</f>
        <v>56571</v>
      </c>
      <c r="I3" s="4">
        <f>_xll.ciqfunctions.udf.CIQ(InputTicker, "IQ_REV",Input!K$2,Date,,,Ccy,Conv)</f>
        <v>59879</v>
      </c>
      <c r="J3" s="4">
        <f>_xll.ciqfunctions.udf.CIQ(InputTicker, "IQ_REV",Input!L$2,Date,,,Ccy,Conv)</f>
        <v>61123</v>
      </c>
      <c r="K3" s="4">
        <f>_xll.ciqfunctions.udf.CIQ(InputTicker, "IQ_REV",Input!M$2,Date,,,Ccy,Conv)</f>
        <v>62044</v>
      </c>
      <c r="L3" s="4">
        <f>_xll.ciqfunctions.udf.CIQ(InputTicker, "IQ_REV",Input!N$2,Date,,,Ccy,Conv)</f>
        <v>66799</v>
      </c>
      <c r="M3" s="4">
        <f>_xll.ciqfunctions.udf.CIQ(InputTicker, "IQ_REV",Input!O$2,Date,,,Ccy,Conv)</f>
        <v>66799</v>
      </c>
      <c r="N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</row>
    <row r="4" spans="1:66" ht="12.75" customHeight="1" x14ac:dyDescent="0.2">
      <c r="A4" s="1" t="s">
        <v>157</v>
      </c>
      <c r="B4" s="4">
        <f>_xll.ciqfunctions.udf.CIQ(InputTicker,"IQ_FIN_DIV_REV",Input!D$2,Date,,,Ccy,Conv)</f>
        <v>1864</v>
      </c>
      <c r="C4" s="4">
        <f>_xll.ciqfunctions.udf.CIQ(InputTicker,"IQ_FIN_DIV_REV",Input!E$2,Date,,,Ccy,Conv)</f>
        <v>1710</v>
      </c>
      <c r="D4" s="4">
        <f>_xll.ciqfunctions.udf.CIQ(InputTicker,"IQ_FIN_DIV_REV",Input!F$2,Date,,,Ccy,Conv)</f>
        <v>1715</v>
      </c>
      <c r="E4" s="4">
        <f>_xll.ciqfunctions.udf.CIQ(InputTicker,"IQ_FIN_DIV_REV",Input!G$2,Date,,,Ccy,Conv)</f>
        <v>1599</v>
      </c>
      <c r="F4" s="4">
        <f>_xll.ciqfunctions.udf.CIQ(InputTicker,"IQ_FIN_DIV_REV",Input!H$2,Date,,,Ccy,Conv)</f>
        <v>1216</v>
      </c>
      <c r="G4" s="4">
        <f>_xll.ciqfunctions.udf.CIQ(InputTicker,"IQ_FIN_DIV_REV",Input!I$2,Date,,,Ccy,Conv)</f>
        <v>984</v>
      </c>
      <c r="H4" s="4">
        <f>_xll.ciqfunctions.udf.CIQ(InputTicker,"IQ_FIN_DIV_REV",Input!J$2,Date,,,Ccy,Conv)</f>
        <v>780</v>
      </c>
      <c r="I4" s="4">
        <f>_xll.ciqfunctions.udf.CIQ(InputTicker,"IQ_FIN_DIV_REV",Input!K$2,Date,,,Ccy,Conv)</f>
        <v>651</v>
      </c>
      <c r="J4" s="4">
        <f>_xll.ciqfunctions.udf.CIQ(InputTicker,"IQ_FIN_DIV_REV",Input!L$2,Date,,,Ccy,Conv)</f>
        <v>737</v>
      </c>
      <c r="K4" s="4">
        <f>_xll.ciqfunctions.udf.CIQ(InputTicker,"IQ_FIN_DIV_REV",Input!M$2,Date,,,Ccy,Conv)</f>
        <v>709</v>
      </c>
      <c r="L4" s="4">
        <f>_xll.ciqfunctions.udf.CIQ(InputTicker,"IQ_FIN_DIV_REV",Input!N$2,Date,,,Ccy,Conv)</f>
        <v>737</v>
      </c>
      <c r="M4" s="4">
        <f>_xll.ciqfunctions.udf.CIQ(InputTicker,"IQ_FIN_DIV_REV",Input!O$2,Date,,,Ccy,Conv)</f>
        <v>737</v>
      </c>
      <c r="N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</row>
    <row r="5" spans="1:66" ht="12.75" customHeight="1" x14ac:dyDescent="0.2">
      <c r="A5" s="1" t="s">
        <v>158</v>
      </c>
      <c r="B5" s="4">
        <f>_xll.ciqfunctions.udf.CIQ(InputTicker, "IQ_INS_DIV_REV",Input!D$2,Date,,,Ccy,Conv)</f>
        <v>0</v>
      </c>
      <c r="C5" s="4">
        <f>_xll.ciqfunctions.udf.CIQ(InputTicker, "IQ_INS_DIV_REV",Input!E$2,Date,,,Ccy,Conv)</f>
        <v>0</v>
      </c>
      <c r="D5" s="4">
        <f>_xll.ciqfunctions.udf.CIQ(InputTicker, "IQ_INS_DIV_REV",Input!F$2,Date,,,Ccy,Conv)</f>
        <v>0</v>
      </c>
      <c r="E5" s="4">
        <f>_xll.ciqfunctions.udf.CIQ(InputTicker, "IQ_INS_DIV_REV",Input!G$2,Date,,,Ccy,Conv)</f>
        <v>0</v>
      </c>
      <c r="F5" s="4">
        <f>_xll.ciqfunctions.udf.CIQ(InputTicker, "IQ_INS_DIV_REV",Input!H$2,Date,,,Ccy,Conv)</f>
        <v>0</v>
      </c>
      <c r="G5" s="4">
        <f>_xll.ciqfunctions.udf.CIQ(InputTicker, "IQ_INS_DIV_REV",Input!I$2,Date,,,Ccy,Conv)</f>
        <v>0</v>
      </c>
      <c r="H5" s="4">
        <f>_xll.ciqfunctions.udf.CIQ(InputTicker, "IQ_INS_DIV_REV",Input!J$2,Date,,,Ccy,Conv)</f>
        <v>0</v>
      </c>
      <c r="I5" s="4">
        <f>_xll.ciqfunctions.udf.CIQ(InputTicker, "IQ_INS_DIV_REV",Input!K$2,Date,,,Ccy,Conv)</f>
        <v>0</v>
      </c>
      <c r="J5" s="4">
        <f>_xll.ciqfunctions.udf.CIQ(InputTicker, "IQ_INS_DIV_REV",Input!L$2,Date,,,Ccy,Conv)</f>
        <v>0</v>
      </c>
      <c r="K5" s="4">
        <f>_xll.ciqfunctions.udf.CIQ(InputTicker, "IQ_INS_DIV_REV",Input!M$2,Date,,,Ccy,Conv)</f>
        <v>0</v>
      </c>
      <c r="L5" s="4">
        <f>_xll.ciqfunctions.udf.CIQ(InputTicker, "IQ_INS_DIV_REV",Input!N$2,Date,,,Ccy,Conv)</f>
        <v>0</v>
      </c>
      <c r="M5" s="4">
        <f>_xll.ciqfunctions.udf.CIQ(InputTicker, "IQ_INS_DIV_REV",Input!O$2,Date,,,Ccy,Conv)</f>
        <v>0</v>
      </c>
      <c r="N5" s="42"/>
      <c r="P5" s="45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</row>
    <row r="6" spans="1:66" ht="12.75" customHeight="1" x14ac:dyDescent="0.2">
      <c r="A6" s="1" t="s">
        <v>276</v>
      </c>
      <c r="B6" s="4">
        <f>_xll.ciqfunctions.udf.CIQ(InputTicker, "IQ_GAIN_ASSETS_REV",Input!D$2,Date,,,Ccy,Conv)</f>
        <v>0</v>
      </c>
      <c r="C6" s="4">
        <f>_xll.ciqfunctions.udf.CIQ(InputTicker, "IQ_GAIN_ASSETS_REV",Input!E$2,Date,,,Ccy,Conv)</f>
        <v>0</v>
      </c>
      <c r="D6" s="4">
        <f>_xll.ciqfunctions.udf.CIQ(InputTicker, "IQ_GAIN_ASSETS_REV",Input!F$2,Date,,,Ccy,Conv)</f>
        <v>0</v>
      </c>
      <c r="E6" s="4">
        <f>_xll.ciqfunctions.udf.CIQ(InputTicker, "IQ_GAIN_ASSETS_REV",Input!G$2,Date,,,Ccy,Conv)</f>
        <v>0</v>
      </c>
      <c r="F6" s="4">
        <f>_xll.ciqfunctions.udf.CIQ(InputTicker, "IQ_GAIN_ASSETS_REV",Input!H$2,Date,,,Ccy,Conv)</f>
        <v>0</v>
      </c>
      <c r="G6" s="4">
        <f>_xll.ciqfunctions.udf.CIQ(InputTicker, "IQ_GAIN_ASSETS_REV",Input!I$2,Date,,,Ccy,Conv)</f>
        <v>0</v>
      </c>
      <c r="H6" s="4">
        <f>_xll.ciqfunctions.udf.CIQ(InputTicker, "IQ_GAIN_ASSETS_REV",Input!J$2,Date,,,Ccy,Conv)</f>
        <v>0</v>
      </c>
      <c r="I6" s="4">
        <f>_xll.ciqfunctions.udf.CIQ(InputTicker, "IQ_GAIN_ASSETS_REV",Input!K$2,Date,,,Ccy,Conv)</f>
        <v>0</v>
      </c>
      <c r="J6" s="4">
        <f>_xll.ciqfunctions.udf.CIQ(InputTicker, "IQ_GAIN_ASSETS_REV",Input!L$2,Date,,,Ccy,Conv)</f>
        <v>0</v>
      </c>
      <c r="K6" s="4">
        <f>_xll.ciqfunctions.udf.CIQ(InputTicker, "IQ_GAIN_ASSETS_REV",Input!M$2,Date,,,Ccy,Conv)</f>
        <v>0</v>
      </c>
      <c r="L6" s="4">
        <f>_xll.ciqfunctions.udf.CIQ(InputTicker, "IQ_GAIN_ASSETS_REV",Input!N$2,Date,,,Ccy,Conv)</f>
        <v>0</v>
      </c>
      <c r="M6" s="4">
        <f>_xll.ciqfunctions.udf.CIQ(InputTicker, "IQ_GAIN_ASSETS_REV",Input!O$2,Date,,,Ccy,Conv)</f>
        <v>0</v>
      </c>
      <c r="N6" s="42"/>
      <c r="P6" s="45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</row>
    <row r="7" spans="1:66" ht="12.75" customHeight="1" x14ac:dyDescent="0.2">
      <c r="A7" s="1" t="s">
        <v>277</v>
      </c>
      <c r="B7" s="4">
        <f>_xll.ciqfunctions.udf.CIQ(InputTicker, "IQ_GAIN_INVEST_REV",Input!D$2,Date,,,Ccy,Conv)</f>
        <v>0</v>
      </c>
      <c r="C7" s="4">
        <f>_xll.ciqfunctions.udf.CIQ(InputTicker, "IQ_GAIN_INVEST_REV",Input!E$2,Date,,,Ccy,Conv)</f>
        <v>0</v>
      </c>
      <c r="D7" s="4">
        <f>_xll.ciqfunctions.udf.CIQ(InputTicker, "IQ_GAIN_INVEST_REV",Input!F$2,Date,,,Ccy,Conv)</f>
        <v>0</v>
      </c>
      <c r="E7" s="4">
        <f>_xll.ciqfunctions.udf.CIQ(InputTicker, "IQ_GAIN_INVEST_REV",Input!G$2,Date,,,Ccy,Conv)</f>
        <v>0</v>
      </c>
      <c r="F7" s="4">
        <f>_xll.ciqfunctions.udf.CIQ(InputTicker, "IQ_GAIN_INVEST_REV",Input!H$2,Date,,,Ccy,Conv)</f>
        <v>0</v>
      </c>
      <c r="G7" s="4">
        <f>_xll.ciqfunctions.udf.CIQ(InputTicker, "IQ_GAIN_INVEST_REV",Input!I$2,Date,,,Ccy,Conv)</f>
        <v>0</v>
      </c>
      <c r="H7" s="4">
        <f>_xll.ciqfunctions.udf.CIQ(InputTicker, "IQ_GAIN_INVEST_REV",Input!J$2,Date,,,Ccy,Conv)</f>
        <v>0</v>
      </c>
      <c r="I7" s="4">
        <f>_xll.ciqfunctions.udf.CIQ(InputTicker, "IQ_GAIN_INVEST_REV",Input!K$2,Date,,,Ccy,Conv)</f>
        <v>0</v>
      </c>
      <c r="J7" s="4">
        <f>_xll.ciqfunctions.udf.CIQ(InputTicker, "IQ_GAIN_INVEST_REV",Input!L$2,Date,,,Ccy,Conv)</f>
        <v>0</v>
      </c>
      <c r="K7" s="4">
        <f>_xll.ciqfunctions.udf.CIQ(InputTicker, "IQ_GAIN_INVEST_REV",Input!M$2,Date,,,Ccy,Conv)</f>
        <v>0</v>
      </c>
      <c r="L7" s="4">
        <f>_xll.ciqfunctions.udf.CIQ(InputTicker, "IQ_GAIN_INVEST_REV",Input!N$2,Date,,,Ccy,Conv)</f>
        <v>0</v>
      </c>
      <c r="M7" s="4">
        <f>_xll.ciqfunctions.udf.CIQ(InputTicker, "IQ_GAIN_INVEST_REV",Input!O$2,Date,,,Ccy,Conv)</f>
        <v>0</v>
      </c>
      <c r="N7" s="42"/>
      <c r="P7" s="45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 t="s">
        <v>604</v>
      </c>
      <c r="AH7" s="42" t="s">
        <v>604</v>
      </c>
      <c r="AI7" s="42"/>
      <c r="AJ7" s="42" t="s">
        <v>604</v>
      </c>
      <c r="AK7" s="42" t="s">
        <v>604</v>
      </c>
      <c r="AL7" s="42"/>
      <c r="AM7" s="42" t="s">
        <v>604</v>
      </c>
      <c r="AN7" s="42" t="s">
        <v>604</v>
      </c>
      <c r="AO7" s="42"/>
      <c r="AP7" s="42" t="s">
        <v>604</v>
      </c>
      <c r="AQ7" s="42" t="s">
        <v>604</v>
      </c>
      <c r="AR7" s="42"/>
      <c r="AS7" s="42" t="s">
        <v>604</v>
      </c>
      <c r="AT7" s="42" t="s">
        <v>604</v>
      </c>
      <c r="AU7" s="42"/>
      <c r="AV7" s="42" t="s">
        <v>604</v>
      </c>
      <c r="AW7" s="42" t="s">
        <v>604</v>
      </c>
      <c r="AX7" s="42"/>
      <c r="AY7" s="42" t="s">
        <v>604</v>
      </c>
      <c r="AZ7" s="42" t="s">
        <v>604</v>
      </c>
      <c r="BA7" s="42"/>
      <c r="BB7" s="42" t="s">
        <v>604</v>
      </c>
      <c r="BC7" s="42" t="s">
        <v>604</v>
      </c>
      <c r="BD7" s="42"/>
      <c r="BE7" s="42" t="s">
        <v>604</v>
      </c>
      <c r="BF7" s="42" t="s">
        <v>604</v>
      </c>
      <c r="BG7" s="42"/>
      <c r="BH7" s="42" t="s">
        <v>604</v>
      </c>
      <c r="BI7" s="42" t="s">
        <v>604</v>
      </c>
      <c r="BJ7" s="42"/>
      <c r="BK7" s="42" t="s">
        <v>604</v>
      </c>
      <c r="BL7" s="42" t="s">
        <v>604</v>
      </c>
      <c r="BM7" s="42"/>
      <c r="BN7" s="42"/>
    </row>
    <row r="8" spans="1:66" ht="12.75" customHeight="1" x14ac:dyDescent="0.2">
      <c r="A8" s="1" t="s">
        <v>159</v>
      </c>
      <c r="B8" s="4">
        <f>_xll.ciqfunctions.udf.CIQ(InputTicker, "IQ_INT_INV_INC",Input!D$2,Date,,,Ccy,Conv)</f>
        <v>0</v>
      </c>
      <c r="C8" s="4">
        <f>_xll.ciqfunctions.udf.CIQ(InputTicker, "IQ_INT_INV_INC",Input!E$2,Date,,,Ccy,Conv)</f>
        <v>0</v>
      </c>
      <c r="D8" s="4">
        <f>_xll.ciqfunctions.udf.CIQ(InputTicker, "IQ_INT_INV_INC",Input!F$2,Date,,,Ccy,Conv)</f>
        <v>0</v>
      </c>
      <c r="E8" s="4">
        <f>_xll.ciqfunctions.udf.CIQ(InputTicker, "IQ_INT_INV_INC",Input!G$2,Date,,,Ccy,Conv)</f>
        <v>0</v>
      </c>
      <c r="F8" s="4">
        <f>_xll.ciqfunctions.udf.CIQ(InputTicker, "IQ_INT_INV_INC",Input!H$2,Date,,,Ccy,Conv)</f>
        <v>0</v>
      </c>
      <c r="G8" s="4">
        <f>_xll.ciqfunctions.udf.CIQ(InputTicker, "IQ_INT_INV_INC",Input!I$2,Date,,,Ccy,Conv)</f>
        <v>0</v>
      </c>
      <c r="H8" s="4">
        <f>_xll.ciqfunctions.udf.CIQ(InputTicker, "IQ_INT_INV_INC",Input!J$2,Date,,,Ccy,Conv)</f>
        <v>0</v>
      </c>
      <c r="I8" s="4">
        <f>_xll.ciqfunctions.udf.CIQ(InputTicker, "IQ_INT_INV_INC",Input!K$2,Date,,,Ccy,Conv)</f>
        <v>0</v>
      </c>
      <c r="J8" s="4">
        <f>_xll.ciqfunctions.udf.CIQ(InputTicker, "IQ_INT_INV_INC",Input!L$2,Date,,,Ccy,Conv)</f>
        <v>0</v>
      </c>
      <c r="K8" s="4">
        <f>_xll.ciqfunctions.udf.CIQ(InputTicker, "IQ_INT_INV_INC",Input!M$2,Date,,,Ccy,Conv)</f>
        <v>0</v>
      </c>
      <c r="L8" s="4">
        <f>_xll.ciqfunctions.udf.CIQ(InputTicker, "IQ_INT_INV_INC",Input!N$2,Date,,,Ccy,Conv)</f>
        <v>0</v>
      </c>
      <c r="M8" s="4">
        <f>_xll.ciqfunctions.udf.CIQ(InputTicker, "IQ_INT_INV_INC",Input!O$2,Date,,,Ccy,Conv)</f>
        <v>0</v>
      </c>
      <c r="N8" s="42"/>
      <c r="P8" s="45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</row>
    <row r="9" spans="1:66" ht="12.75" customHeight="1" x14ac:dyDescent="0.2">
      <c r="A9" s="1" t="s">
        <v>123</v>
      </c>
      <c r="B9" s="4">
        <f>_xll.ciqfunctions.udf.CIQ(InputTicker, "IQ_OTHER_REV_SUPPL",Input!D$2,Date,,,Ccy,Conv)</f>
        <v>-1</v>
      </c>
      <c r="C9" s="4">
        <f>_xll.ciqfunctions.udf.CIQ(InputTicker, "IQ_OTHER_REV_SUPPL",Input!E$2,Date,,,Ccy,Conv)</f>
        <v>-1</v>
      </c>
      <c r="D9" s="4">
        <f>_xll.ciqfunctions.udf.CIQ(InputTicker, "IQ_OTHER_REV_SUPPL",Input!F$2,Date,,,Ccy,Conv)</f>
        <v>0</v>
      </c>
      <c r="E9" s="4">
        <f>_xll.ciqfunctions.udf.CIQ(InputTicker, "IQ_OTHER_REV_SUPPL",Input!G$2,Date,,,Ccy,Conv)</f>
        <v>0</v>
      </c>
      <c r="F9" s="4">
        <f>_xll.ciqfunctions.udf.CIQ(InputTicker, "IQ_OTHER_REV_SUPPL",Input!H$2,Date,,,Ccy,Conv)</f>
        <v>0</v>
      </c>
      <c r="G9" s="4">
        <f>_xll.ciqfunctions.udf.CIQ(InputTicker, "IQ_OTHER_REV_SUPPL",Input!I$2,Date,,,Ccy,Conv)</f>
        <v>0</v>
      </c>
      <c r="H9" s="4">
        <f>_xll.ciqfunctions.udf.CIQ(InputTicker, "IQ_OTHER_REV_SUPPL",Input!J$2,Date,,,Ccy,Conv)</f>
        <v>0</v>
      </c>
      <c r="I9" s="4">
        <f>_xll.ciqfunctions.udf.CIQ(InputTicker, "IQ_OTHER_REV_SUPPL",Input!K$2,Date,,,Ccy,Conv)</f>
        <v>0</v>
      </c>
      <c r="J9" s="4">
        <f>_xll.ciqfunctions.udf.CIQ(InputTicker, "IQ_OTHER_REV_SUPPL",Input!L$2,Date,,,Ccy,Conv)</f>
        <v>0</v>
      </c>
      <c r="K9" s="4">
        <f>_xll.ciqfunctions.udf.CIQ(InputTicker, "IQ_OTHER_REV_SUPPL",Input!M$2,Date,,,Ccy,Conv)</f>
        <v>0</v>
      </c>
      <c r="L9" s="4">
        <f>_xll.ciqfunctions.udf.CIQ(InputTicker, "IQ_OTHER_REV_SUPPL",Input!N$2,Date,,,Ccy,Conv)</f>
        <v>-1</v>
      </c>
      <c r="M9" s="4">
        <f>_xll.ciqfunctions.udf.CIQ(InputTicker, "IQ_OTHER_REV_SUPPL",Input!O$2,Date,,,Ccy,Conv)</f>
        <v>-1</v>
      </c>
      <c r="N9" s="42"/>
      <c r="P9" s="45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</row>
    <row r="10" spans="1:66" ht="12.75" customHeight="1" x14ac:dyDescent="0.2">
      <c r="A10" s="5" t="s">
        <v>58</v>
      </c>
      <c r="B10" s="6">
        <f>_xll.ciqfunctions.udf.CIQ(InputTicker, "IQ_TOTAL_REV",Input!D$2,Date,,,Ccy,Conv)</f>
        <v>81741</v>
      </c>
      <c r="C10" s="6">
        <f>_xll.ciqfunctions.udf.CIQ(InputTicker, "IQ_TOTAL_REV",Input!E$2,Date,,,Ccy,Conv)</f>
        <v>79919</v>
      </c>
      <c r="D10" s="6">
        <f>_xll.ciqfunctions.udf.CIQ(InputTicker, "IQ_TOTAL_REV",Input!F$2,Date,,,Ccy,Conv)</f>
        <v>79139</v>
      </c>
      <c r="E10" s="6">
        <f>_xll.ciqfunctions.udf.CIQ(InputTicker, "IQ_TOTAL_REV",Input!G$2,Date,,,Ccy,Conv)</f>
        <v>79591</v>
      </c>
      <c r="F10" s="6">
        <f>_xll.ciqfunctions.udf.CIQ(InputTicker, "IQ_TOTAL_REV",Input!H$2,Date,,,Ccy,Conv)</f>
        <v>57714</v>
      </c>
      <c r="G10" s="6">
        <f>_xll.ciqfunctions.udf.CIQ(InputTicker, "IQ_TOTAL_REV",Input!I$2,Date,,,Ccy,Conv)</f>
        <v>55179</v>
      </c>
      <c r="H10" s="6">
        <f>_xll.ciqfunctions.udf.CIQ(InputTicker, "IQ_TOTAL_REV",Input!J$2,Date,,,Ccy,Conv)</f>
        <v>57351</v>
      </c>
      <c r="I10" s="6">
        <f>_xll.ciqfunctions.udf.CIQ(InputTicker, "IQ_TOTAL_REV",Input!K$2,Date,,,Ccy,Conv)</f>
        <v>60530</v>
      </c>
      <c r="J10" s="6">
        <f>_xll.ciqfunctions.udf.CIQ(InputTicker, "IQ_TOTAL_REV",Input!L$2,Date,,,Ccy,Conv)</f>
        <v>61860</v>
      </c>
      <c r="K10" s="6">
        <f>_xll.ciqfunctions.udf.CIQ(InputTicker, "IQ_TOTAL_REV",Input!M$2,Date,,,Ccy,Conv)</f>
        <v>62753</v>
      </c>
      <c r="L10" s="6">
        <f>_xll.ciqfunctions.udf.CIQ(InputTicker, "IQ_TOTAL_REV",Input!N$2,Date,,,Ccy,Conv)</f>
        <v>67535</v>
      </c>
      <c r="M10" s="6">
        <f>_xll.ciqfunctions.udf.CIQ(InputTicker, "IQ_TOTAL_REV",Input!O$2,Date,,,Ccy,Conv)</f>
        <v>67535</v>
      </c>
      <c r="N10" s="46"/>
      <c r="P10" s="45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</row>
    <row r="11" spans="1:66" ht="12.75" customHeight="1" x14ac:dyDescent="0.2">
      <c r="A11" s="1" t="s">
        <v>124</v>
      </c>
      <c r="B11" s="4">
        <f>_xll.ciqfunctions.udf.CIQ(InputTicker, "IQ_COGS",Input!D$2,Date,,,Ccy,Conv)</f>
        <v>40046</v>
      </c>
      <c r="C11" s="4">
        <f>_xll.ciqfunctions.udf.CIQ(InputTicker, "IQ_COGS",Input!E$2,Date,,,Ccy,Conv)</f>
        <v>40358</v>
      </c>
      <c r="D11" s="4">
        <f>_xll.ciqfunctions.udf.CIQ(InputTicker, "IQ_COGS",Input!F$2,Date,,,Ccy,Conv)</f>
        <v>40986</v>
      </c>
      <c r="E11" s="4">
        <f>_xll.ciqfunctions.udf.CIQ(InputTicker, "IQ_COGS",Input!G$2,Date,,,Ccy,Conv)</f>
        <v>41522</v>
      </c>
      <c r="F11" s="4">
        <f>_xll.ciqfunctions.udf.CIQ(InputTicker, "IQ_COGS",Input!H$2,Date,,,Ccy,Conv)</f>
        <v>25476</v>
      </c>
      <c r="G11" s="4">
        <f>_xll.ciqfunctions.udf.CIQ(InputTicker, "IQ_COGS",Input!I$2,Date,,,Ccy,Conv)</f>
        <v>23737</v>
      </c>
      <c r="H11" s="4">
        <f>_xll.ciqfunctions.udf.CIQ(InputTicker, "IQ_COGS",Input!J$2,Date,,,Ccy,Conv)</f>
        <v>25331</v>
      </c>
      <c r="I11" s="4">
        <f>_xll.ciqfunctions.udf.CIQ(InputTicker, "IQ_COGS",Input!K$2,Date,,,Ccy,Conv)</f>
        <v>27436</v>
      </c>
      <c r="J11" s="4">
        <f>_xll.ciqfunctions.udf.CIQ(InputTicker, "IQ_COGS",Input!L$2,Date,,,Ccy,Conv)</f>
        <v>27178</v>
      </c>
      <c r="K11" s="4">
        <f>_xll.ciqfunctions.udf.CIQ(InputTicker, "IQ_COGS",Input!M$2,Date,,,Ccy,Conv)</f>
        <v>26832</v>
      </c>
      <c r="L11" s="4">
        <f>_xll.ciqfunctions.udf.CIQ(InputTicker, "IQ_COGS",Input!N$2,Date,,,Ccy,Conv)</f>
        <v>27836</v>
      </c>
      <c r="M11" s="4">
        <f>_xll.ciqfunctions.udf.CIQ(InputTicker, "IQ_COGS",Input!O$2,Date,,,Ccy,Conv)</f>
        <v>27836</v>
      </c>
      <c r="N11" s="46"/>
      <c r="P11" s="45"/>
      <c r="Q11" s="46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</row>
    <row r="12" spans="1:66" ht="12.75" customHeight="1" x14ac:dyDescent="0.2">
      <c r="A12" s="1" t="s">
        <v>160</v>
      </c>
      <c r="B12" s="4">
        <f>_xll.ciqfunctions.udf.CIQ(InputTicker, "IQ_FIN_DIV_EXP",Input!D$2,Date,,,Ccy,Conv)</f>
        <v>1011</v>
      </c>
      <c r="C12" s="4">
        <f>_xll.ciqfunctions.udf.CIQ(InputTicker, "IQ_FIN_DIV_EXP",Input!E$2,Date,,,Ccy,Conv)</f>
        <v>1044</v>
      </c>
      <c r="D12" s="4">
        <f>_xll.ciqfunctions.udf.CIQ(InputTicker, "IQ_FIN_DIV_EXP",Input!F$2,Date,,,Ccy,Conv)</f>
        <v>1210</v>
      </c>
      <c r="E12" s="4">
        <f>_xll.ciqfunctions.udf.CIQ(InputTicker, "IQ_FIN_DIV_EXP",Input!G$2,Date,,,Ccy,Conv)</f>
        <v>1132</v>
      </c>
      <c r="F12" s="4">
        <f>_xll.ciqfunctions.udf.CIQ(InputTicker, "IQ_FIN_DIV_EXP",Input!H$2,Date,,,Ccy,Conv)</f>
        <v>704</v>
      </c>
      <c r="G12" s="4">
        <f>_xll.ciqfunctions.udf.CIQ(InputTicker, "IQ_FIN_DIV_EXP",Input!I$2,Date,,,Ccy,Conv)</f>
        <v>577</v>
      </c>
      <c r="H12" s="4">
        <f>_xll.ciqfunctions.udf.CIQ(InputTicker, "IQ_FIN_DIV_EXP",Input!J$2,Date,,,Ccy,Conv)</f>
        <v>534</v>
      </c>
      <c r="I12" s="4">
        <f>_xll.ciqfunctions.udf.CIQ(InputTicker, "IQ_FIN_DIV_EXP",Input!K$2,Date,,,Ccy,Conv)</f>
        <v>406</v>
      </c>
      <c r="J12" s="4">
        <f>_xll.ciqfunctions.udf.CIQ(InputTicker, "IQ_FIN_DIV_EXP",Input!L$2,Date,,,Ccy,Conv)</f>
        <v>382</v>
      </c>
      <c r="K12" s="4">
        <f>_xll.ciqfunctions.udf.CIQ(InputTicker, "IQ_FIN_DIV_EXP",Input!M$2,Date,,,Ccy,Conv)</f>
        <v>369</v>
      </c>
      <c r="L12" s="4">
        <f>_xll.ciqfunctions.udf.CIQ(InputTicker, "IQ_FIN_DIV_EXP",Input!N$2,Date,,,Ccy,Conv)</f>
        <v>403</v>
      </c>
      <c r="M12" s="4">
        <f>_xll.ciqfunctions.udf.CIQ(InputTicker, "IQ_FIN_DIV_EXP",Input!O$2,Date,,,Ccy,Conv)</f>
        <v>403</v>
      </c>
      <c r="N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</row>
    <row r="13" spans="1:66" ht="12.75" customHeight="1" x14ac:dyDescent="0.2">
      <c r="A13" s="1" t="s">
        <v>161</v>
      </c>
      <c r="B13" s="4">
        <f>_xll.ciqfunctions.udf.CIQ(InputTicker, "IQ_INS_DIV_EXP",Input!D$2,Date,,,Ccy,Conv)</f>
        <v>0</v>
      </c>
      <c r="C13" s="4">
        <f>_xll.ciqfunctions.udf.CIQ(InputTicker, "IQ_INS_DIV_EXP",Input!E$2,Date,,,Ccy,Conv)</f>
        <v>0</v>
      </c>
      <c r="D13" s="4">
        <f>_xll.ciqfunctions.udf.CIQ(InputTicker, "IQ_INS_DIV_EXP",Input!F$2,Date,,,Ccy,Conv)</f>
        <v>0</v>
      </c>
      <c r="E13" s="4">
        <f>_xll.ciqfunctions.udf.CIQ(InputTicker, "IQ_INS_DIV_EXP",Input!G$2,Date,,,Ccy,Conv)</f>
        <v>0</v>
      </c>
      <c r="F13" s="4">
        <f>_xll.ciqfunctions.udf.CIQ(InputTicker, "IQ_INS_DIV_EXP",Input!H$2,Date,,,Ccy,Conv)</f>
        <v>0</v>
      </c>
      <c r="G13" s="4">
        <f>_xll.ciqfunctions.udf.CIQ(InputTicker, "IQ_INS_DIV_EXP",Input!I$2,Date,,,Ccy,Conv)</f>
        <v>0</v>
      </c>
      <c r="H13" s="4">
        <f>_xll.ciqfunctions.udf.CIQ(InputTicker, "IQ_INS_DIV_EXP",Input!J$2,Date,,,Ccy,Conv)</f>
        <v>0</v>
      </c>
      <c r="I13" s="4">
        <f>_xll.ciqfunctions.udf.CIQ(InputTicker, "IQ_INS_DIV_EXP",Input!K$2,Date,,,Ccy,Conv)</f>
        <v>0</v>
      </c>
      <c r="J13" s="4">
        <f>_xll.ciqfunctions.udf.CIQ(InputTicker, "IQ_INS_DIV_EXP",Input!L$2,Date,,,Ccy,Conv)</f>
        <v>0</v>
      </c>
      <c r="K13" s="4">
        <f>_xll.ciqfunctions.udf.CIQ(InputTicker, "IQ_INS_DIV_EXP",Input!M$2,Date,,,Ccy,Conv)</f>
        <v>0</v>
      </c>
      <c r="L13" s="4">
        <f>_xll.ciqfunctions.udf.CIQ(InputTicker, "IQ_INS_DIV_EXP",Input!N$2,Date,,,Ccy,Conv)</f>
        <v>0</v>
      </c>
      <c r="M13" s="4">
        <f>_xll.ciqfunctions.udf.CIQ(InputTicker, "IQ_INS_DIV_EXP",Input!O$2,Date,,,Ccy,Conv)</f>
        <v>0</v>
      </c>
      <c r="N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</row>
    <row r="14" spans="1:66" ht="12.75" customHeight="1" x14ac:dyDescent="0.2">
      <c r="A14" s="1" t="s">
        <v>162</v>
      </c>
      <c r="B14" s="4">
        <f>_xll.ciqfunctions.udf.CIQ(InputTicker, "IQ_FIN_DIV_INT_EXP",Input!D$2,Date,,,Ccy,Conv)</f>
        <v>0</v>
      </c>
      <c r="C14" s="4">
        <f>_xll.ciqfunctions.udf.CIQ(InputTicker, "IQ_FIN_DIV_INT_EXP",Input!E$2,Date,,,Ccy,Conv)</f>
        <v>0</v>
      </c>
      <c r="D14" s="4">
        <f>_xll.ciqfunctions.udf.CIQ(InputTicker, "IQ_FIN_DIV_INT_EXP",Input!F$2,Date,,,Ccy,Conv)</f>
        <v>0</v>
      </c>
      <c r="E14" s="4">
        <f>_xll.ciqfunctions.udf.CIQ(InputTicker, "IQ_FIN_DIV_INT_EXP",Input!G$2,Date,,,Ccy,Conv)</f>
        <v>0</v>
      </c>
      <c r="F14" s="4">
        <f>_xll.ciqfunctions.udf.CIQ(InputTicker, "IQ_FIN_DIV_INT_EXP",Input!H$2,Date,,,Ccy,Conv)</f>
        <v>0</v>
      </c>
      <c r="G14" s="4">
        <f>_xll.ciqfunctions.udf.CIQ(InputTicker, "IQ_FIN_DIV_INT_EXP",Input!I$2,Date,,,Ccy,Conv)</f>
        <v>0</v>
      </c>
      <c r="H14" s="4">
        <f>_xll.ciqfunctions.udf.CIQ(InputTicker, "IQ_FIN_DIV_INT_EXP",Input!J$2,Date,,,Ccy,Conv)</f>
        <v>0</v>
      </c>
      <c r="I14" s="4">
        <f>_xll.ciqfunctions.udf.CIQ(InputTicker, "IQ_FIN_DIV_INT_EXP",Input!K$2,Date,,,Ccy,Conv)</f>
        <v>0</v>
      </c>
      <c r="J14" s="4">
        <f>_xll.ciqfunctions.udf.CIQ(InputTicker, "IQ_FIN_DIV_INT_EXP",Input!L$2,Date,,,Ccy,Conv)</f>
        <v>0</v>
      </c>
      <c r="K14" s="4">
        <f>_xll.ciqfunctions.udf.CIQ(InputTicker, "IQ_FIN_DIV_INT_EXP",Input!M$2,Date,,,Ccy,Conv)</f>
        <v>0</v>
      </c>
      <c r="L14" s="4">
        <f>_xll.ciqfunctions.udf.CIQ(InputTicker, "IQ_FIN_DIV_INT_EXP",Input!N$2,Date,,,Ccy,Conv)</f>
        <v>0</v>
      </c>
      <c r="M14" s="4">
        <f>_xll.ciqfunctions.udf.CIQ(InputTicker, "IQ_FIN_DIV_INT_EXP",Input!O$2,Date,,,Ccy,Conv)</f>
        <v>0</v>
      </c>
      <c r="N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</row>
    <row r="15" spans="1:66" ht="12.75" customHeight="1" x14ac:dyDescent="0.2">
      <c r="A15" s="5" t="s">
        <v>53</v>
      </c>
      <c r="B15" s="6">
        <f>_xll.ciqfunctions.udf.CIQ(InputTicker, "IQ_GP",Input!D$2,Date,,,Ccy,Conv)</f>
        <v>40684</v>
      </c>
      <c r="C15" s="6">
        <f>_xll.ciqfunctions.udf.CIQ(InputTicker, "IQ_GP",Input!E$2,Date,,,Ccy,Conv)</f>
        <v>38517</v>
      </c>
      <c r="D15" s="6">
        <f>_xll.ciqfunctions.udf.CIQ(InputTicker, "IQ_GP",Input!F$2,Date,,,Ccy,Conv)</f>
        <v>36943</v>
      </c>
      <c r="E15" s="6">
        <f>_xll.ciqfunctions.udf.CIQ(InputTicker, "IQ_GP",Input!G$2,Date,,,Ccy,Conv)</f>
        <v>36937</v>
      </c>
      <c r="F15" s="6">
        <f>_xll.ciqfunctions.udf.CIQ(InputTicker, "IQ_GP",Input!H$2,Date,,,Ccy,Conv)</f>
        <v>31534</v>
      </c>
      <c r="G15" s="6">
        <f>_xll.ciqfunctions.udf.CIQ(InputTicker, "IQ_GP",Input!I$2,Date,,,Ccy,Conv)</f>
        <v>30865</v>
      </c>
      <c r="H15" s="6">
        <f>_xll.ciqfunctions.udf.CIQ(InputTicker, "IQ_GP",Input!J$2,Date,,,Ccy,Conv)</f>
        <v>31486</v>
      </c>
      <c r="I15" s="6">
        <f>_xll.ciqfunctions.udf.CIQ(InputTicker, "IQ_GP",Input!K$2,Date,,,Ccy,Conv)</f>
        <v>32688</v>
      </c>
      <c r="J15" s="6">
        <f>_xll.ciqfunctions.udf.CIQ(InputTicker, "IQ_GP",Input!L$2,Date,,,Ccy,Conv)</f>
        <v>34300</v>
      </c>
      <c r="K15" s="6">
        <f>_xll.ciqfunctions.udf.CIQ(InputTicker, "IQ_GP",Input!M$2,Date,,,Ccy,Conv)</f>
        <v>35552</v>
      </c>
      <c r="L15" s="6">
        <f>_xll.ciqfunctions.udf.CIQ(InputTicker, "IQ_GP",Input!N$2,Date,,,Ccy,Conv)</f>
        <v>39296</v>
      </c>
      <c r="M15" s="6">
        <f>_xll.ciqfunctions.udf.CIQ(InputTicker, "IQ_GP",Input!O$2,Date,,,Ccy,Conv)</f>
        <v>39296</v>
      </c>
      <c r="N15" s="46"/>
      <c r="P15" s="46"/>
      <c r="Q15" s="46"/>
      <c r="R15" s="46"/>
      <c r="T15" s="42"/>
      <c r="U15" s="42"/>
      <c r="V15" s="46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</row>
    <row r="16" spans="1:66" ht="12.75" customHeight="1" x14ac:dyDescent="0.2">
      <c r="A16" s="1" t="s">
        <v>125</v>
      </c>
      <c r="B16" s="4">
        <f>_xll.ciqfunctions.udf.CIQ(InputTicker, "IQ_SGA_SUPPL",Input!D$2,Date,,,Ccy,Conv)</f>
        <v>19589</v>
      </c>
      <c r="C16" s="4">
        <f>_xll.ciqfunctions.udf.CIQ(InputTicker, "IQ_SGA_SUPPL",Input!E$2,Date,,,Ccy,Conv)</f>
        <v>20225</v>
      </c>
      <c r="D16" s="4">
        <f>_xll.ciqfunctions.udf.CIQ(InputTicker, "IQ_SGA_SUPPL",Input!F$2,Date,,,Ccy,Conv)</f>
        <v>21137</v>
      </c>
      <c r="E16" s="4">
        <f>_xll.ciqfunctions.udf.CIQ(InputTicker, "IQ_SGA_SUPPL",Input!G$2,Date,,,Ccy,Conv)</f>
        <v>19366</v>
      </c>
      <c r="F16" s="4">
        <f>_xll.ciqfunctions.udf.CIQ(InputTicker, "IQ_SGA_SUPPL",Input!H$2,Date,,,Ccy,Conv)</f>
        <v>18724</v>
      </c>
      <c r="G16" s="4">
        <f>_xll.ciqfunctions.udf.CIQ(InputTicker, "IQ_SGA_SUPPL",Input!I$2,Date,,,Ccy,Conv)</f>
        <v>20561</v>
      </c>
      <c r="H16" s="4">
        <f>_xll.ciqfunctions.udf.CIQ(InputTicker, "IQ_SGA_SUPPL",Input!J$2,Date,,,Ccy,Conv)</f>
        <v>20027</v>
      </c>
      <c r="I16" s="4">
        <f>_xll.ciqfunctions.udf.CIQ(InputTicker, "IQ_SGA_SUPPL",Input!K$2,Date,,,Ccy,Conv)</f>
        <v>19263</v>
      </c>
      <c r="J16" s="4">
        <f>_xll.ciqfunctions.udf.CIQ(InputTicker, "IQ_SGA_SUPPL",Input!L$2,Date,,,Ccy,Conv)</f>
        <v>18964</v>
      </c>
      <c r="K16" s="4">
        <f>_xll.ciqfunctions.udf.CIQ(InputTicker, "IQ_SGA_SUPPL",Input!M$2,Date,,,Ccy,Conv)</f>
        <v>19281</v>
      </c>
      <c r="L16" s="4">
        <f>_xll.ciqfunctions.udf.CIQ(InputTicker, "IQ_SGA_SUPPL",Input!N$2,Date,,,Ccy,Conv)</f>
        <v>19380</v>
      </c>
      <c r="M16" s="4">
        <f>_xll.ciqfunctions.udf.CIQ(InputTicker, "IQ_SGA_SUPPL",Input!O$2,Date,,,Ccy,Conv)</f>
        <v>19380</v>
      </c>
      <c r="N16" s="46"/>
      <c r="P16" s="46"/>
      <c r="Q16" s="46"/>
      <c r="R16" s="46"/>
      <c r="T16" s="42"/>
      <c r="U16" s="42"/>
      <c r="V16" s="46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</row>
    <row r="17" spans="1:66" ht="12.75" customHeight="1" x14ac:dyDescent="0.2">
      <c r="A17" s="1" t="s">
        <v>209</v>
      </c>
      <c r="B17" s="4">
        <f>_xll.ciqfunctions.udf.CIQ(InputTicker, "IQ_EXPLORE_DRILL",Input!D$2,Date,,,Ccy,Conv)</f>
        <v>0</v>
      </c>
      <c r="C17" s="4">
        <f>_xll.ciqfunctions.udf.CIQ(InputTicker, "IQ_EXPLORE_DRILL",Input!E$2,Date,,,Ccy,Conv)</f>
        <v>0</v>
      </c>
      <c r="D17" s="4">
        <f>_xll.ciqfunctions.udf.CIQ(InputTicker, "IQ_EXPLORE_DRILL",Input!F$2,Date,,,Ccy,Conv)</f>
        <v>0</v>
      </c>
      <c r="E17" s="4">
        <f>_xll.ciqfunctions.udf.CIQ(InputTicker, "IQ_EXPLORE_DRILL",Input!G$2,Date,,,Ccy,Conv)</f>
        <v>0</v>
      </c>
      <c r="F17" s="4">
        <f>_xll.ciqfunctions.udf.CIQ(InputTicker, "IQ_EXPLORE_DRILL",Input!H$2,Date,,,Ccy,Conv)</f>
        <v>0</v>
      </c>
      <c r="G17" s="4">
        <f>_xll.ciqfunctions.udf.CIQ(InputTicker, "IQ_EXPLORE_DRILL",Input!I$2,Date,,,Ccy,Conv)</f>
        <v>0</v>
      </c>
      <c r="H17" s="4">
        <f>_xll.ciqfunctions.udf.CIQ(InputTicker, "IQ_EXPLORE_DRILL",Input!J$2,Date,,,Ccy,Conv)</f>
        <v>0</v>
      </c>
      <c r="I17" s="4">
        <f>_xll.ciqfunctions.udf.CIQ(InputTicker, "IQ_EXPLORE_DRILL",Input!K$2,Date,,,Ccy,Conv)</f>
        <v>0</v>
      </c>
      <c r="J17" s="4">
        <f>_xll.ciqfunctions.udf.CIQ(InputTicker, "IQ_EXPLORE_DRILL",Input!L$2,Date,,,Ccy,Conv)</f>
        <v>0</v>
      </c>
      <c r="K17" s="4">
        <f>_xll.ciqfunctions.udf.CIQ(InputTicker, "IQ_EXPLORE_DRILL",Input!M$2,Date,,,Ccy,Conv)</f>
        <v>0</v>
      </c>
      <c r="L17" s="4">
        <f>_xll.ciqfunctions.udf.CIQ(InputTicker, "IQ_EXPLORE_DRILL",Input!N$2,Date,,,Ccy,Conv)</f>
        <v>0</v>
      </c>
      <c r="M17" s="4">
        <f>_xll.ciqfunctions.udf.CIQ(InputTicker, "IQ_EXPLORE_DRILL",Input!O$2,Date,,,Ccy,Conv)</f>
        <v>0</v>
      </c>
      <c r="N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</row>
    <row r="18" spans="1:66" ht="12.75" customHeight="1" x14ac:dyDescent="0.2">
      <c r="A18" s="1" t="s">
        <v>210</v>
      </c>
      <c r="B18" s="4">
        <f>_xll.ciqfunctions.udf.CIQ(InputTicker, "IQ_PROV_BAD_DEBTS",Input!D$2,Date,,,Ccy,Conv)</f>
        <v>0</v>
      </c>
      <c r="C18" s="4">
        <f>_xll.ciqfunctions.udf.CIQ(InputTicker, "IQ_PROV_BAD_DEBTS",Input!E$2,Date,,,Ccy,Conv)</f>
        <v>0</v>
      </c>
      <c r="D18" s="4">
        <f>_xll.ciqfunctions.udf.CIQ(InputTicker, "IQ_PROV_BAD_DEBTS",Input!F$2,Date,,,Ccy,Conv)</f>
        <v>0</v>
      </c>
      <c r="E18" s="4">
        <f>_xll.ciqfunctions.udf.CIQ(InputTicker, "IQ_PROV_BAD_DEBTS",Input!G$2,Date,,,Ccy,Conv)</f>
        <v>0</v>
      </c>
      <c r="F18" s="4">
        <f>_xll.ciqfunctions.udf.CIQ(InputTicker, "IQ_PROV_BAD_DEBTS",Input!H$2,Date,,,Ccy,Conv)</f>
        <v>0</v>
      </c>
      <c r="G18" s="4">
        <f>_xll.ciqfunctions.udf.CIQ(InputTicker, "IQ_PROV_BAD_DEBTS",Input!I$2,Date,,,Ccy,Conv)</f>
        <v>0</v>
      </c>
      <c r="H18" s="4">
        <f>_xll.ciqfunctions.udf.CIQ(InputTicker, "IQ_PROV_BAD_DEBTS",Input!J$2,Date,,,Ccy,Conv)</f>
        <v>0</v>
      </c>
      <c r="I18" s="4">
        <f>_xll.ciqfunctions.udf.CIQ(InputTicker, "IQ_PROV_BAD_DEBTS",Input!K$2,Date,,,Ccy,Conv)</f>
        <v>0</v>
      </c>
      <c r="J18" s="4">
        <f>_xll.ciqfunctions.udf.CIQ(InputTicker, "IQ_PROV_BAD_DEBTS",Input!L$2,Date,,,Ccy,Conv)</f>
        <v>0</v>
      </c>
      <c r="K18" s="4">
        <f>_xll.ciqfunctions.udf.CIQ(InputTicker, "IQ_PROV_BAD_DEBTS",Input!M$2,Date,,,Ccy,Conv)</f>
        <v>0</v>
      </c>
      <c r="L18" s="4">
        <f>_xll.ciqfunctions.udf.CIQ(InputTicker, "IQ_PROV_BAD_DEBTS",Input!N$2,Date,,,Ccy,Conv)</f>
        <v>0</v>
      </c>
      <c r="M18" s="4">
        <f>_xll.ciqfunctions.udf.CIQ(InputTicker, "IQ_PROV_BAD_DEBTS",Input!O$2,Date,,,Ccy,Conv)</f>
        <v>0</v>
      </c>
      <c r="N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</row>
    <row r="19" spans="1:66" ht="12.75" customHeight="1" x14ac:dyDescent="0.2">
      <c r="A19" s="1" t="s">
        <v>203</v>
      </c>
      <c r="B19" s="4">
        <f>_xll.ciqfunctions.udf.CIQ(InputTicker, "IQ_STOCK_BASED",Input!D$2,Date,,,Ccy,Conv)</f>
        <v>0</v>
      </c>
      <c r="C19" s="4">
        <f>_xll.ciqfunctions.udf.CIQ(InputTicker, "IQ_STOCK_BASED",Input!E$2,Date,,,Ccy,Conv)</f>
        <v>0</v>
      </c>
      <c r="D19" s="4">
        <f>_xll.ciqfunctions.udf.CIQ(InputTicker, "IQ_STOCK_BASED",Input!F$2,Date,,,Ccy,Conv)</f>
        <v>0</v>
      </c>
      <c r="E19" s="4">
        <f>_xll.ciqfunctions.udf.CIQ(InputTicker, "IQ_STOCK_BASED",Input!G$2,Date,,,Ccy,Conv)</f>
        <v>0</v>
      </c>
      <c r="F19" s="4">
        <f>_xll.ciqfunctions.udf.CIQ(InputTicker, "IQ_STOCK_BASED",Input!H$2,Date,,,Ccy,Conv)</f>
        <v>0</v>
      </c>
      <c r="G19" s="4">
        <f>_xll.ciqfunctions.udf.CIQ(InputTicker, "IQ_STOCK_BASED",Input!I$2,Date,,,Ccy,Conv)</f>
        <v>0</v>
      </c>
      <c r="H19" s="4">
        <f>_xll.ciqfunctions.udf.CIQ(InputTicker, "IQ_STOCK_BASED",Input!J$2,Date,,,Ccy,Conv)</f>
        <v>0</v>
      </c>
      <c r="I19" s="4">
        <f>_xll.ciqfunctions.udf.CIQ(InputTicker, "IQ_STOCK_BASED",Input!K$2,Date,,,Ccy,Conv)</f>
        <v>0</v>
      </c>
      <c r="J19" s="4">
        <f>_xll.ciqfunctions.udf.CIQ(InputTicker, "IQ_STOCK_BASED",Input!L$2,Date,,,Ccy,Conv)</f>
        <v>0</v>
      </c>
      <c r="K19" s="4">
        <f>_xll.ciqfunctions.udf.CIQ(InputTicker, "IQ_STOCK_BASED",Input!M$2,Date,,,Ccy,Conv)</f>
        <v>0</v>
      </c>
      <c r="L19" s="4">
        <f>_xll.ciqfunctions.udf.CIQ(InputTicker, "IQ_STOCK_BASED",Input!N$2,Date,,,Ccy,Conv)</f>
        <v>0</v>
      </c>
      <c r="M19" s="4">
        <f>_xll.ciqfunctions.udf.CIQ(InputTicker, "IQ_STOCK_BASED",Input!O$2,Date,,,Ccy,Conv)</f>
        <v>0</v>
      </c>
      <c r="N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</row>
    <row r="20" spans="1:66" ht="12.75" customHeight="1" x14ac:dyDescent="0.2">
      <c r="A20" s="1" t="s">
        <v>211</v>
      </c>
      <c r="B20" s="4">
        <f>_xll.ciqfunctions.udf.CIQ(InputTicker, "IQ_PRE_OPEN_COST",Input!D$2,Date,,,Ccy,Conv)</f>
        <v>0</v>
      </c>
      <c r="C20" s="4">
        <f>_xll.ciqfunctions.udf.CIQ(InputTicker, "IQ_PRE_OPEN_COST",Input!E$2,Date,,,Ccy,Conv)</f>
        <v>0</v>
      </c>
      <c r="D20" s="4">
        <f>_xll.ciqfunctions.udf.CIQ(InputTicker, "IQ_PRE_OPEN_COST",Input!F$2,Date,,,Ccy,Conv)</f>
        <v>0</v>
      </c>
      <c r="E20" s="4">
        <f>_xll.ciqfunctions.udf.CIQ(InputTicker, "IQ_PRE_OPEN_COST",Input!G$2,Date,,,Ccy,Conv)</f>
        <v>0</v>
      </c>
      <c r="F20" s="4">
        <f>_xll.ciqfunctions.udf.CIQ(InputTicker, "IQ_PRE_OPEN_COST",Input!H$2,Date,,,Ccy,Conv)</f>
        <v>0</v>
      </c>
      <c r="G20" s="4">
        <f>_xll.ciqfunctions.udf.CIQ(InputTicker, "IQ_PRE_OPEN_COST",Input!I$2,Date,,,Ccy,Conv)</f>
        <v>0</v>
      </c>
      <c r="H20" s="4">
        <f>_xll.ciqfunctions.udf.CIQ(InputTicker, "IQ_PRE_OPEN_COST",Input!J$2,Date,,,Ccy,Conv)</f>
        <v>0</v>
      </c>
      <c r="I20" s="4">
        <f>_xll.ciqfunctions.udf.CIQ(InputTicker, "IQ_PRE_OPEN_COST",Input!K$2,Date,,,Ccy,Conv)</f>
        <v>0</v>
      </c>
      <c r="J20" s="4">
        <f>_xll.ciqfunctions.udf.CIQ(InputTicker, "IQ_PRE_OPEN_COST",Input!L$2,Date,,,Ccy,Conv)</f>
        <v>0</v>
      </c>
      <c r="K20" s="4">
        <f>_xll.ciqfunctions.udf.CIQ(InputTicker, "IQ_PRE_OPEN_COST",Input!M$2,Date,,,Ccy,Conv)</f>
        <v>0</v>
      </c>
      <c r="L20" s="4">
        <f>_xll.ciqfunctions.udf.CIQ(InputTicker, "IQ_PRE_OPEN_COST",Input!N$2,Date,,,Ccy,Conv)</f>
        <v>0</v>
      </c>
      <c r="M20" s="4">
        <f>_xll.ciqfunctions.udf.CIQ(InputTicker, "IQ_PRE_OPEN_COST",Input!O$2,Date,,,Ccy,Conv)</f>
        <v>0</v>
      </c>
      <c r="N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</row>
    <row r="21" spans="1:66" ht="12.75" customHeight="1" x14ac:dyDescent="0.2">
      <c r="A21" s="1" t="s">
        <v>59</v>
      </c>
      <c r="B21" s="4">
        <f>_xll.ciqfunctions.udf.CIQ(InputTicker, "IQ_RD_EXP",Input!D$2,Date,,,Ccy,Conv)</f>
        <v>5247</v>
      </c>
      <c r="C21" s="4">
        <f>_xll.ciqfunctions.udf.CIQ(InputTicker, "IQ_RD_EXP",Input!E$2,Date,,,Ccy,Conv)</f>
        <v>5726</v>
      </c>
      <c r="D21" s="4">
        <f>_xll.ciqfunctions.udf.CIQ(InputTicker, "IQ_RD_EXP",Input!F$2,Date,,,Ccy,Conv)</f>
        <v>5590</v>
      </c>
      <c r="E21" s="4">
        <f>_xll.ciqfunctions.udf.CIQ(InputTicker, "IQ_RD_EXP",Input!G$2,Date,,,Ccy,Conv)</f>
        <v>5379</v>
      </c>
      <c r="F21" s="4">
        <f>_xll.ciqfunctions.udf.CIQ(InputTicker, "IQ_RD_EXP",Input!H$2,Date,,,Ccy,Conv)</f>
        <v>5910</v>
      </c>
      <c r="G21" s="4">
        <f>_xll.ciqfunctions.udf.CIQ(InputTicker, "IQ_RD_EXP",Input!I$2,Date,,,Ccy,Conv)</f>
        <v>6262</v>
      </c>
      <c r="H21" s="4">
        <f>_xll.ciqfunctions.udf.CIQ(InputTicker, "IQ_RD_EXP",Input!J$2,Date,,,Ccy,Conv)</f>
        <v>6488</v>
      </c>
      <c r="I21" s="4">
        <f>_xll.ciqfunctions.udf.CIQ(InputTicker, "IQ_RD_EXP",Input!K$2,Date,,,Ccy,Conv)</f>
        <v>6567</v>
      </c>
      <c r="J21" s="4">
        <f>_xll.ciqfunctions.udf.CIQ(InputTicker, "IQ_RD_EXP",Input!L$2,Date,,,Ccy,Conv)</f>
        <v>6775</v>
      </c>
      <c r="K21" s="4">
        <f>_xll.ciqfunctions.udf.CIQ(InputTicker, "IQ_RD_EXP",Input!M$2,Date,,,Ccy,Conv)</f>
        <v>7479</v>
      </c>
      <c r="L21" s="4">
        <f>_xll.ciqfunctions.udf.CIQ(InputTicker, "IQ_RD_EXP",Input!N$2,Date,,,Ccy,Conv)</f>
        <v>8312</v>
      </c>
      <c r="M21" s="4">
        <f>_xll.ciqfunctions.udf.CIQ(InputTicker, "IQ_RD_EXP",Input!O$2,Date,,,Ccy,Conv)</f>
        <v>8312</v>
      </c>
      <c r="N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</row>
    <row r="22" spans="1:66" ht="12.75" customHeight="1" x14ac:dyDescent="0.2">
      <c r="A22" s="1" t="s">
        <v>126</v>
      </c>
      <c r="B22" s="4">
        <f>_xll.ciqfunctions.udf.CIQ(InputTicker, "IQ_DA_SUPPL",Input!D$2,Date,,,Ccy,Conv)</f>
        <v>0</v>
      </c>
      <c r="C22" s="4">
        <f>_xll.ciqfunctions.udf.CIQ(InputTicker, "IQ_DA_SUPPL",Input!E$2,Date,,,Ccy,Conv)</f>
        <v>0</v>
      </c>
      <c r="D22" s="4">
        <f>_xll.ciqfunctions.udf.CIQ(InputTicker, "IQ_DA_SUPPL",Input!F$2,Date,,,Ccy,Conv)</f>
        <v>0</v>
      </c>
      <c r="E22" s="4">
        <f>_xll.ciqfunctions.udf.CIQ(InputTicker, "IQ_DA_SUPPL",Input!G$2,Date,,,Ccy,Conv)</f>
        <v>0</v>
      </c>
      <c r="F22" s="4">
        <f>_xll.ciqfunctions.udf.CIQ(InputTicker, "IQ_DA_SUPPL",Input!H$2,Date,,,Ccy,Conv)</f>
        <v>0</v>
      </c>
      <c r="G22" s="4">
        <f>_xll.ciqfunctions.udf.CIQ(InputTicker, "IQ_DA_SUPPL",Input!I$2,Date,,,Ccy,Conv)</f>
        <v>0</v>
      </c>
      <c r="H22" s="4">
        <f>_xll.ciqfunctions.udf.CIQ(InputTicker, "IQ_DA_SUPPL",Input!J$2,Date,,,Ccy,Conv)</f>
        <v>0</v>
      </c>
      <c r="I22" s="4">
        <f>_xll.ciqfunctions.udf.CIQ(InputTicker, "IQ_DA_SUPPL",Input!K$2,Date,,,Ccy,Conv)</f>
        <v>0</v>
      </c>
      <c r="J22" s="4">
        <f>_xll.ciqfunctions.udf.CIQ(InputTicker, "IQ_DA_SUPPL",Input!L$2,Date,,,Ccy,Conv)</f>
        <v>0</v>
      </c>
      <c r="K22" s="4">
        <f>_xll.ciqfunctions.udf.CIQ(InputTicker, "IQ_DA_SUPPL",Input!M$2,Date,,,Ccy,Conv)</f>
        <v>0</v>
      </c>
      <c r="L22" s="4">
        <f>_xll.ciqfunctions.udf.CIQ(InputTicker, "IQ_DA_SUPPL",Input!N$2,Date,,,Ccy,Conv)</f>
        <v>0</v>
      </c>
      <c r="M22" s="4">
        <f>_xll.ciqfunctions.udf.CIQ(InputTicker, "IQ_DA_SUPPL",Input!O$2,Date,,,Ccy,Conv)</f>
        <v>0</v>
      </c>
      <c r="N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</row>
    <row r="23" spans="1:66" ht="12.75" customHeight="1" x14ac:dyDescent="0.2">
      <c r="A23" s="1" t="s">
        <v>141</v>
      </c>
      <c r="B23" s="4">
        <f>_xll.ciqfunctions.udf.CIQ(InputTicker, "IQ_GW_INTAN_AMORT",Input!D$2,Date,,,Ccy,Conv)</f>
        <v>0</v>
      </c>
      <c r="C23" s="4">
        <f>_xll.ciqfunctions.udf.CIQ(InputTicker, "IQ_GW_INTAN_AMORT",Input!E$2,Date,,,Ccy,Conv)</f>
        <v>0</v>
      </c>
      <c r="D23" s="4">
        <f>_xll.ciqfunctions.udf.CIQ(InputTicker, "IQ_GW_INTAN_AMORT",Input!F$2,Date,,,Ccy,Conv)</f>
        <v>0</v>
      </c>
      <c r="E23" s="4">
        <f>_xll.ciqfunctions.udf.CIQ(InputTicker, "IQ_GW_INTAN_AMORT",Input!G$2,Date,,,Ccy,Conv)</f>
        <v>0</v>
      </c>
      <c r="F23" s="4">
        <f>_xll.ciqfunctions.udf.CIQ(InputTicker, "IQ_GW_INTAN_AMORT",Input!H$2,Date,,,Ccy,Conv)</f>
        <v>0</v>
      </c>
      <c r="G23" s="4">
        <f>_xll.ciqfunctions.udf.CIQ(InputTicker, "IQ_GW_INTAN_AMORT",Input!I$2,Date,,,Ccy,Conv)</f>
        <v>0</v>
      </c>
      <c r="H23" s="4">
        <f>_xll.ciqfunctions.udf.CIQ(InputTicker, "IQ_GW_INTAN_AMORT",Input!J$2,Date,,,Ccy,Conv)</f>
        <v>0</v>
      </c>
      <c r="I23" s="4">
        <f>_xll.ciqfunctions.udf.CIQ(InputTicker, "IQ_GW_INTAN_AMORT",Input!K$2,Date,,,Ccy,Conv)</f>
        <v>0</v>
      </c>
      <c r="J23" s="4">
        <f>_xll.ciqfunctions.udf.CIQ(InputTicker, "IQ_GW_INTAN_AMORT",Input!L$2,Date,,,Ccy,Conv)</f>
        <v>0</v>
      </c>
      <c r="K23" s="4">
        <f>_xll.ciqfunctions.udf.CIQ(InputTicker, "IQ_GW_INTAN_AMORT",Input!M$2,Date,,,Ccy,Conv)</f>
        <v>0</v>
      </c>
      <c r="L23" s="4">
        <f>_xll.ciqfunctions.udf.CIQ(InputTicker, "IQ_GW_INTAN_AMORT",Input!N$2,Date,,,Ccy,Conv)</f>
        <v>0</v>
      </c>
      <c r="M23" s="4">
        <f>_xll.ciqfunctions.udf.CIQ(InputTicker, "IQ_GW_INTAN_AMORT",Input!O$2,Date,,,Ccy,Conv)</f>
        <v>0</v>
      </c>
      <c r="N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</row>
    <row r="24" spans="1:66" ht="12.75" customHeight="1" x14ac:dyDescent="0.2">
      <c r="A24" s="1" t="s">
        <v>197</v>
      </c>
      <c r="B24" s="4">
        <f>_xll.ciqfunctions.udf.CIQ(InputTicker, "IQ_IMPAIR_OIL",Input!D$2,Date,,,Ccy,Conv)</f>
        <v>0</v>
      </c>
      <c r="C24" s="4">
        <f>_xll.ciqfunctions.udf.CIQ(InputTicker, "IQ_IMPAIR_OIL",Input!E$2,Date,,,Ccy,Conv)</f>
        <v>0</v>
      </c>
      <c r="D24" s="4">
        <f>_xll.ciqfunctions.udf.CIQ(InputTicker, "IQ_IMPAIR_OIL",Input!F$2,Date,,,Ccy,Conv)</f>
        <v>0</v>
      </c>
      <c r="E24" s="4">
        <f>_xll.ciqfunctions.udf.CIQ(InputTicker, "IQ_IMPAIR_OIL",Input!G$2,Date,,,Ccy,Conv)</f>
        <v>0</v>
      </c>
      <c r="F24" s="4">
        <f>_xll.ciqfunctions.udf.CIQ(InputTicker, "IQ_IMPAIR_OIL",Input!H$2,Date,,,Ccy,Conv)</f>
        <v>0</v>
      </c>
      <c r="G24" s="4">
        <f>_xll.ciqfunctions.udf.CIQ(InputTicker, "IQ_IMPAIR_OIL",Input!I$2,Date,,,Ccy,Conv)</f>
        <v>0</v>
      </c>
      <c r="H24" s="4">
        <f>_xll.ciqfunctions.udf.CIQ(InputTicker, "IQ_IMPAIR_OIL",Input!J$2,Date,,,Ccy,Conv)</f>
        <v>0</v>
      </c>
      <c r="I24" s="4">
        <f>_xll.ciqfunctions.udf.CIQ(InputTicker, "IQ_IMPAIR_OIL",Input!K$2,Date,,,Ccy,Conv)</f>
        <v>0</v>
      </c>
      <c r="J24" s="4">
        <f>_xll.ciqfunctions.udf.CIQ(InputTicker, "IQ_IMPAIR_OIL",Input!L$2,Date,,,Ccy,Conv)</f>
        <v>0</v>
      </c>
      <c r="K24" s="4">
        <f>_xll.ciqfunctions.udf.CIQ(InputTicker, "IQ_IMPAIR_OIL",Input!M$2,Date,,,Ccy,Conv)</f>
        <v>0</v>
      </c>
      <c r="L24" s="4">
        <f>_xll.ciqfunctions.udf.CIQ(InputTicker, "IQ_IMPAIR_OIL",Input!N$2,Date,,,Ccy,Conv)</f>
        <v>0</v>
      </c>
      <c r="M24" s="4">
        <f>_xll.ciqfunctions.udf.CIQ(InputTicker, "IQ_IMPAIR_OIL",Input!O$2,Date,,,Ccy,Conv)</f>
        <v>0</v>
      </c>
      <c r="N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</row>
    <row r="25" spans="1:66" ht="12.75" customHeight="1" x14ac:dyDescent="0.2">
      <c r="A25" s="1" t="s">
        <v>61</v>
      </c>
      <c r="B25" s="8">
        <f>_xll.ciqfunctions.udf.CIQ(InputTicker, "IQ_OTHER_OPER",Input!D$2,Date,,,Ccy,Conv)</f>
        <v>-669</v>
      </c>
      <c r="C25" s="8">
        <f>_xll.ciqfunctions.udf.CIQ(InputTicker, "IQ_OTHER_OPER",Input!E$2,Date,,,Ccy,Conv)</f>
        <v>-1604</v>
      </c>
      <c r="D25" s="8">
        <f>_xll.ciqfunctions.udf.CIQ(InputTicker, "IQ_OTHER_OPER",Input!F$2,Date,,,Ccy,Conv)</f>
        <v>-1466</v>
      </c>
      <c r="E25" s="8">
        <f>_xll.ciqfunctions.udf.CIQ(InputTicker, "IQ_OTHER_OPER",Input!G$2,Date,,,Ccy,Conv)</f>
        <v>-1026</v>
      </c>
      <c r="F25" s="8">
        <f>_xll.ciqfunctions.udf.CIQ(InputTicker, "IQ_OTHER_OPER",Input!H$2,Date,,,Ccy,Conv)</f>
        <v>-639</v>
      </c>
      <c r="G25" s="8">
        <f>_xll.ciqfunctions.udf.CIQ(InputTicker, "IQ_OTHER_OPER",Input!I$2,Date,,,Ccy,Conv)</f>
        <v>-620</v>
      </c>
      <c r="H25" s="8">
        <f>_xll.ciqfunctions.udf.CIQ(InputTicker, "IQ_OTHER_OPER",Input!J$2,Date,,,Ccy,Conv)</f>
        <v>-612</v>
      </c>
      <c r="I25" s="8">
        <f>_xll.ciqfunctions.udf.CIQ(InputTicker, "IQ_OTHER_OPER",Input!K$2,Date,,,Ccy,Conv)</f>
        <v>-663</v>
      </c>
      <c r="J25" s="8">
        <f>_xll.ciqfunctions.udf.CIQ(InputTicker, "IQ_OTHER_OPER",Input!L$2,Date,,,Ccy,Conv)</f>
        <v>-860</v>
      </c>
      <c r="K25" s="8">
        <f>_xll.ciqfunctions.udf.CIQ(InputTicker, "IQ_OTHER_OPER",Input!M$2,Date,,,Ccy,Conv)</f>
        <v>-996</v>
      </c>
      <c r="L25" s="8">
        <f>_xll.ciqfunctions.udf.CIQ(InputTicker, "IQ_OTHER_OPER",Input!N$2,Date,,,Ccy,Conv)</f>
        <v>-964</v>
      </c>
      <c r="M25" s="8">
        <f>_xll.ciqfunctions.udf.CIQ(InputTicker, "IQ_OTHER_OPER",Input!O$2,Date,,,Ccy,Conv)</f>
        <v>-964</v>
      </c>
      <c r="N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</row>
    <row r="26" spans="1:66" ht="12.75" customHeight="1" x14ac:dyDescent="0.2">
      <c r="A26" s="5" t="s">
        <v>62</v>
      </c>
      <c r="B26" s="7">
        <f>_xll.ciqfunctions.udf.CIQ(InputTicker, "IQ_TOTAL_OTHER_OPER",Input!D$2,Date,,,Ccy,Conv)</f>
        <v>24167</v>
      </c>
      <c r="C26" s="7">
        <f>_xll.ciqfunctions.udf.CIQ(InputTicker, "IQ_TOTAL_OTHER_OPER",Input!E$2,Date,,,Ccy,Conv)</f>
        <v>24347</v>
      </c>
      <c r="D26" s="7">
        <f>_xll.ciqfunctions.udf.CIQ(InputTicker, "IQ_TOTAL_OTHER_OPER",Input!F$2,Date,,,Ccy,Conv)</f>
        <v>25261</v>
      </c>
      <c r="E26" s="7">
        <f>_xll.ciqfunctions.udf.CIQ(InputTicker, "IQ_TOTAL_OTHER_OPER",Input!G$2,Date,,,Ccy,Conv)</f>
        <v>23719</v>
      </c>
      <c r="F26" s="7">
        <f>_xll.ciqfunctions.udf.CIQ(InputTicker, "IQ_TOTAL_OTHER_OPER",Input!H$2,Date,,,Ccy,Conv)</f>
        <v>23995</v>
      </c>
      <c r="G26" s="7">
        <f>_xll.ciqfunctions.udf.CIQ(InputTicker, "IQ_TOTAL_OTHER_OPER",Input!I$2,Date,,,Ccy,Conv)</f>
        <v>26203</v>
      </c>
      <c r="H26" s="7">
        <f>_xll.ciqfunctions.udf.CIQ(InputTicker, "IQ_TOTAL_OTHER_OPER",Input!J$2,Date,,,Ccy,Conv)</f>
        <v>25903</v>
      </c>
      <c r="I26" s="7">
        <f>_xll.ciqfunctions.udf.CIQ(InputTicker, "IQ_TOTAL_OTHER_OPER",Input!K$2,Date,,,Ccy,Conv)</f>
        <v>25167</v>
      </c>
      <c r="J26" s="7">
        <f>_xll.ciqfunctions.udf.CIQ(InputTicker, "IQ_TOTAL_OTHER_OPER",Input!L$2,Date,,,Ccy,Conv)</f>
        <v>24879</v>
      </c>
      <c r="K26" s="7">
        <f>_xll.ciqfunctions.udf.CIQ(InputTicker, "IQ_TOTAL_OTHER_OPER",Input!M$2,Date,,,Ccy,Conv)</f>
        <v>25764</v>
      </c>
      <c r="L26" s="7">
        <f>_xll.ciqfunctions.udf.CIQ(InputTicker, "IQ_TOTAL_OTHER_OPER",Input!N$2,Date,,,Ccy,Conv)</f>
        <v>26728</v>
      </c>
      <c r="M26" s="7">
        <f>_xll.ciqfunctions.udf.CIQ(InputTicker, "IQ_TOTAL_OTHER_OPER",Input!O$2,Date,,,Ccy,Conv)</f>
        <v>26728</v>
      </c>
      <c r="N26" s="46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</row>
    <row r="27" spans="1:66" ht="12.75" customHeight="1" thickBot="1" x14ac:dyDescent="0.25">
      <c r="A27" s="5" t="s">
        <v>63</v>
      </c>
      <c r="B27" s="9">
        <f>_xll.ciqfunctions.udf.CIQ(InputTicker, "IQ_OPER_INC",Input!D$2,Date,,,Ccy,Conv)</f>
        <v>16517</v>
      </c>
      <c r="C27" s="9">
        <f>_xll.ciqfunctions.udf.CIQ(InputTicker, "IQ_OPER_INC",Input!E$2,Date,,,Ccy,Conv)</f>
        <v>14170</v>
      </c>
      <c r="D27" s="9">
        <f>_xll.ciqfunctions.udf.CIQ(InputTicker, "IQ_OPER_INC",Input!F$2,Date,,,Ccy,Conv)</f>
        <v>11682</v>
      </c>
      <c r="E27" s="9">
        <f>_xll.ciqfunctions.udf.CIQ(InputTicker, "IQ_OPER_INC",Input!G$2,Date,,,Ccy,Conv)</f>
        <v>13218</v>
      </c>
      <c r="F27" s="9">
        <f>_xll.ciqfunctions.udf.CIQ(InputTicker, "IQ_OPER_INC",Input!H$2,Date,,,Ccy,Conv)</f>
        <v>7539</v>
      </c>
      <c r="G27" s="9">
        <f>_xll.ciqfunctions.udf.CIQ(InputTicker, "IQ_OPER_INC",Input!I$2,Date,,,Ccy,Conv)</f>
        <v>4662</v>
      </c>
      <c r="H27" s="9">
        <f>_xll.ciqfunctions.udf.CIQ(InputTicker, "IQ_OPER_INC",Input!J$2,Date,,,Ccy,Conv)</f>
        <v>5583</v>
      </c>
      <c r="I27" s="9">
        <f>_xll.ciqfunctions.udf.CIQ(InputTicker, "IQ_OPER_INC",Input!K$2,Date,,,Ccy,Conv)</f>
        <v>7521</v>
      </c>
      <c r="J27" s="9">
        <f>_xll.ciqfunctions.udf.CIQ(InputTicker, "IQ_OPER_INC",Input!L$2,Date,,,Ccy,Conv)</f>
        <v>9421</v>
      </c>
      <c r="K27" s="9">
        <f>_xll.ciqfunctions.udf.CIQ(InputTicker, "IQ_OPER_INC",Input!M$2,Date,,,Ccy,Conv)</f>
        <v>9788</v>
      </c>
      <c r="L27" s="9">
        <f>_xll.ciqfunctions.udf.CIQ(InputTicker, "IQ_OPER_INC",Input!N$2,Date,,,Ccy,Conv)</f>
        <v>12568</v>
      </c>
      <c r="M27" s="9">
        <f>_xll.ciqfunctions.udf.CIQ(InputTicker, "IQ_OPER_INC",Input!O$2,Date,,,Ccy,Conv)</f>
        <v>12568</v>
      </c>
      <c r="N27" s="46"/>
      <c r="P27" s="46"/>
      <c r="Q27" s="46"/>
      <c r="R27" s="46"/>
      <c r="T27" s="42"/>
      <c r="U27" s="42"/>
      <c r="V27" s="46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2"/>
      <c r="BJ27" s="42"/>
      <c r="BK27" s="42"/>
      <c r="BL27" s="42"/>
      <c r="BM27" s="42"/>
      <c r="BN27" s="42"/>
    </row>
    <row r="28" spans="1:66" ht="12.75" customHeight="1" thickTop="1" x14ac:dyDescent="0.2">
      <c r="A28" s="1" t="s">
        <v>52</v>
      </c>
      <c r="B28" s="4">
        <f>_xll.ciqfunctions.udf.CIQ(InputTicker, "IQ_INTEREST_EXP",Input!D$2,Date,,,Ccy,Conv)</f>
        <v>-468</v>
      </c>
      <c r="C28" s="4">
        <f>_xll.ciqfunctions.udf.CIQ(InputTicker, "IQ_INTEREST_EXP",Input!E$2,Date,,,Ccy,Conv)</f>
        <v>-630</v>
      </c>
      <c r="D28" s="4">
        <f>_xll.ciqfunctions.udf.CIQ(InputTicker, "IQ_INTEREST_EXP",Input!F$2,Date,,,Ccy,Conv)</f>
        <v>-615</v>
      </c>
      <c r="E28" s="4">
        <f>_xll.ciqfunctions.udf.CIQ(InputTicker, "IQ_INTEREST_EXP",Input!G$2,Date,,,Ccy,Conv)</f>
        <v>-723</v>
      </c>
      <c r="F28" s="4">
        <f>_xll.ciqfunctions.udf.CIQ(InputTicker, "IQ_INTEREST_EXP",Input!H$2,Date,,,Ccy,Conv)</f>
        <v>-1344</v>
      </c>
      <c r="G28" s="4">
        <f>_xll.ciqfunctions.udf.CIQ(InputTicker, "IQ_INTEREST_EXP",Input!I$2,Date,,,Ccy,Conv)</f>
        <v>-1288</v>
      </c>
      <c r="H28" s="4">
        <f>_xll.ciqfunctions.udf.CIQ(InputTicker, "IQ_INTEREST_EXP",Input!J$2,Date,,,Ccy,Conv)</f>
        <v>-1155</v>
      </c>
      <c r="I28" s="4">
        <f>_xll.ciqfunctions.udf.CIQ(InputTicker, "IQ_INTEREST_EXP",Input!K$2,Date,,,Ccy,Conv)</f>
        <v>-1216</v>
      </c>
      <c r="J28" s="4">
        <f>_xll.ciqfunctions.udf.CIQ(InputTicker, "IQ_INTEREST_EXP",Input!L$2,Date,,,Ccy,Conv)</f>
        <v>-1607</v>
      </c>
      <c r="K28" s="4">
        <f>_xll.ciqfunctions.udf.CIQ(InputTicker, "IQ_INTEREST_EXP",Input!M$2,Date,,,Ccy,Conv)</f>
        <v>-1712</v>
      </c>
      <c r="L28" s="4">
        <f>_xll.ciqfunctions.udf.CIQ(InputTicker, "IQ_INTEREST_EXP",Input!N$2,Date,,,Ccy,Conv)</f>
        <v>-1935</v>
      </c>
      <c r="M28" s="4">
        <f>_xll.ciqfunctions.udf.CIQ(InputTicker, "IQ_INTEREST_EXP",Input!O$2,Date,,,Ccy,Conv)</f>
        <v>-1935</v>
      </c>
      <c r="N28" s="46"/>
      <c r="P28" s="46"/>
      <c r="Q28" s="46"/>
      <c r="R28" s="46"/>
      <c r="T28" s="42"/>
      <c r="U28" s="42"/>
      <c r="V28" s="46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2"/>
      <c r="BJ28" s="42"/>
      <c r="BK28" s="42"/>
      <c r="BL28" s="42"/>
      <c r="BM28" s="42"/>
      <c r="BN28" s="42"/>
    </row>
    <row r="29" spans="1:66" ht="12.75" customHeight="1" x14ac:dyDescent="0.2">
      <c r="A29" s="1" t="s">
        <v>64</v>
      </c>
      <c r="B29" s="4">
        <f>_xll.ciqfunctions.udf.CIQ(InputTicker, "IQ_INTEREST_INVEST_INC",Input!D$2,Date,,,Ccy,Conv)</f>
        <v>72</v>
      </c>
      <c r="C29" s="4">
        <f>_xll.ciqfunctions.udf.CIQ(InputTicker, "IQ_INTEREST_INVEST_INC",Input!E$2,Date,,,Ccy,Conv)</f>
        <v>108</v>
      </c>
      <c r="D29" s="4">
        <f>_xll.ciqfunctions.udf.CIQ(InputTicker, "IQ_INTEREST_INVEST_INC",Input!F$2,Date,,,Ccy,Conv)</f>
        <v>0</v>
      </c>
      <c r="E29" s="4">
        <f>_xll.ciqfunctions.udf.CIQ(InputTicker, "IQ_INTEREST_INVEST_INC",Input!G$2,Date,,,Ccy,Conv)</f>
        <v>0</v>
      </c>
      <c r="F29" s="4">
        <f>_xll.ciqfunctions.udf.CIQ(InputTicker, "IQ_INTEREST_INVEST_INC",Input!H$2,Date,,,Ccy,Conv)</f>
        <v>0</v>
      </c>
      <c r="G29" s="4">
        <f>_xll.ciqfunctions.udf.CIQ(InputTicker, "IQ_INTEREST_INVEST_INC",Input!I$2,Date,,,Ccy,Conv)</f>
        <v>0</v>
      </c>
      <c r="H29" s="4">
        <f>_xll.ciqfunctions.udf.CIQ(InputTicker, "IQ_INTEREST_INVEST_INC",Input!J$2,Date,,,Ccy,Conv)</f>
        <v>52</v>
      </c>
      <c r="I29" s="4">
        <f>_xll.ciqfunctions.udf.CIQ(InputTicker, "IQ_INTEREST_INVEST_INC",Input!K$2,Date,,,Ccy,Conv)</f>
        <v>162</v>
      </c>
      <c r="J29" s="4">
        <f>_xll.ciqfunctions.udf.CIQ(InputTicker, "IQ_INTEREST_INVEST_INC",Input!L$2,Date,,,Ccy,Conv)</f>
        <v>670</v>
      </c>
      <c r="K29" s="4">
        <f>_xll.ciqfunctions.udf.CIQ(InputTicker, "IQ_INTEREST_INVEST_INC",Input!M$2,Date,,,Ccy,Conv)</f>
        <v>747</v>
      </c>
      <c r="L29" s="4">
        <f>_xll.ciqfunctions.udf.CIQ(InputTicker, "IQ_INTEREST_INVEST_INC",Input!N$2,Date,,,Ccy,Conv)</f>
        <v>645</v>
      </c>
      <c r="M29" s="4">
        <f>_xll.ciqfunctions.udf.CIQ(InputTicker, "IQ_INTEREST_INVEST_INC",Input!O$2,Date,,,Ccy,Conv)</f>
        <v>645</v>
      </c>
      <c r="N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2"/>
      <c r="BJ29" s="42"/>
      <c r="BK29" s="42"/>
      <c r="BL29" s="42"/>
      <c r="BM29" s="42"/>
      <c r="BN29" s="42"/>
    </row>
    <row r="30" spans="1:66" ht="12.75" customHeight="1" x14ac:dyDescent="0.2">
      <c r="A30" s="5" t="s">
        <v>65</v>
      </c>
      <c r="B30" s="6">
        <f>_xll.ciqfunctions.udf.CIQ(InputTicker, "IQ_NET_INTEREST_EXP",Input!D$2,Date,,,Ccy,Conv)</f>
        <v>-396</v>
      </c>
      <c r="C30" s="6">
        <f>_xll.ciqfunctions.udf.CIQ(InputTicker, "IQ_NET_INTEREST_EXP",Input!E$2,Date,,,Ccy,Conv)</f>
        <v>-522</v>
      </c>
      <c r="D30" s="6">
        <f>_xll.ciqfunctions.udf.CIQ(InputTicker, "IQ_NET_INTEREST_EXP",Input!F$2,Date,,,Ccy,Conv)</f>
        <v>-615</v>
      </c>
      <c r="E30" s="6">
        <f>_xll.ciqfunctions.udf.CIQ(InputTicker, "IQ_NET_INTEREST_EXP",Input!G$2,Date,,,Ccy,Conv)</f>
        <v>-723</v>
      </c>
      <c r="F30" s="6">
        <f>_xll.ciqfunctions.udf.CIQ(InputTicker, "IQ_NET_INTEREST_EXP",Input!H$2,Date,,,Ccy,Conv)</f>
        <v>-1344</v>
      </c>
      <c r="G30" s="6">
        <f>_xll.ciqfunctions.udf.CIQ(InputTicker, "IQ_NET_INTEREST_EXP",Input!I$2,Date,,,Ccy,Conv)</f>
        <v>-1288</v>
      </c>
      <c r="H30" s="6">
        <f>_xll.ciqfunctions.udf.CIQ(InputTicker, "IQ_NET_INTEREST_EXP",Input!J$2,Date,,,Ccy,Conv)</f>
        <v>-1103</v>
      </c>
      <c r="I30" s="6">
        <f>_xll.ciqfunctions.udf.CIQ(InputTicker, "IQ_NET_INTEREST_EXP",Input!K$2,Date,,,Ccy,Conv)</f>
        <v>-1054</v>
      </c>
      <c r="J30" s="6">
        <f>_xll.ciqfunctions.udf.CIQ(InputTicker, "IQ_NET_INTEREST_EXP",Input!L$2,Date,,,Ccy,Conv)</f>
        <v>-937</v>
      </c>
      <c r="K30" s="6">
        <f>_xll.ciqfunctions.udf.CIQ(InputTicker, "IQ_NET_INTEREST_EXP",Input!M$2,Date,,,Ccy,Conv)</f>
        <v>-965</v>
      </c>
      <c r="L30" s="6">
        <f>_xll.ciqfunctions.udf.CIQ(InputTicker, "IQ_NET_INTEREST_EXP",Input!N$2,Date,,,Ccy,Conv)</f>
        <v>-1290</v>
      </c>
      <c r="M30" s="6">
        <f>_xll.ciqfunctions.udf.CIQ(InputTicker, "IQ_NET_INTEREST_EXP",Input!O$2,Date,,,Ccy,Conv)</f>
        <v>-1290</v>
      </c>
      <c r="N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42"/>
      <c r="BL30" s="42"/>
      <c r="BM30" s="42"/>
      <c r="BN30" s="42"/>
    </row>
    <row r="31" spans="1:66" ht="12.75" customHeight="1" x14ac:dyDescent="0.2">
      <c r="A31" s="1" t="s">
        <v>163</v>
      </c>
      <c r="B31" s="4">
        <f>_xll.ciqfunctions.udf.CIQ(InputTicker, "IQ_INC_EQUITY",Input!D$2,Date,,,Ccy,Conv)</f>
        <v>0</v>
      </c>
      <c r="C31" s="4">
        <f>_xll.ciqfunctions.udf.CIQ(InputTicker, "IQ_INC_EQUITY",Input!E$2,Date,,,Ccy,Conv)</f>
        <v>0</v>
      </c>
      <c r="D31" s="4">
        <f>_xll.ciqfunctions.udf.CIQ(InputTicker, "IQ_INC_EQUITY",Input!F$2,Date,,,Ccy,Conv)</f>
        <v>0</v>
      </c>
      <c r="E31" s="4">
        <f>_xll.ciqfunctions.udf.CIQ(InputTicker, "IQ_INC_EQUITY",Input!G$2,Date,,,Ccy,Conv)</f>
        <v>0</v>
      </c>
      <c r="F31" s="4">
        <f>_xll.ciqfunctions.udf.CIQ(InputTicker, "IQ_INC_EQUITY",Input!H$2,Date,,,Ccy,Conv)</f>
        <v>0</v>
      </c>
      <c r="G31" s="4">
        <f>_xll.ciqfunctions.udf.CIQ(InputTicker, "IQ_INC_EQUITY",Input!I$2,Date,,,Ccy,Conv)</f>
        <v>0</v>
      </c>
      <c r="H31" s="4">
        <f>_xll.ciqfunctions.udf.CIQ(InputTicker, "IQ_INC_EQUITY",Input!J$2,Date,,,Ccy,Conv)</f>
        <v>0</v>
      </c>
      <c r="I31" s="4">
        <f>_xll.ciqfunctions.udf.CIQ(InputTicker, "IQ_INC_EQUITY",Input!K$2,Date,,,Ccy,Conv)</f>
        <v>0</v>
      </c>
      <c r="J31" s="4">
        <f>_xll.ciqfunctions.udf.CIQ(InputTicker, "IQ_INC_EQUITY",Input!L$2,Date,,,Ccy,Conv)</f>
        <v>0</v>
      </c>
      <c r="K31" s="4">
        <f>_xll.ciqfunctions.udf.CIQ(InputTicker, "IQ_INC_EQUITY",Input!M$2,Date,,,Ccy,Conv)</f>
        <v>0</v>
      </c>
      <c r="L31" s="4">
        <f>_xll.ciqfunctions.udf.CIQ(InputTicker, "IQ_INC_EQUITY",Input!N$2,Date,,,Ccy,Conv)</f>
        <v>0</v>
      </c>
      <c r="M31" s="4">
        <f>_xll.ciqfunctions.udf.CIQ(InputTicker, "IQ_INC_EQUITY",Input!O$2,Date,,,Ccy,Conv)</f>
        <v>0</v>
      </c>
      <c r="N31" s="46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2"/>
      <c r="BJ31" s="42"/>
      <c r="BK31" s="42"/>
      <c r="BL31" s="42"/>
      <c r="BM31" s="42"/>
      <c r="BN31" s="42"/>
    </row>
    <row r="32" spans="1:66" ht="12.75" customHeight="1" x14ac:dyDescent="0.2">
      <c r="A32" s="1" t="s">
        <v>164</v>
      </c>
      <c r="B32" s="4">
        <f>_xll.ciqfunctions.udf.CIQ(InputTicker, "IQ_CURRENCY_GAIN",Input!D$2,Date,,,Ccy,Conv)</f>
        <v>449</v>
      </c>
      <c r="C32" s="4">
        <f>_xll.ciqfunctions.udf.CIQ(InputTicker, "IQ_CURRENCY_GAIN",Input!E$2,Date,,,Ccy,Conv)</f>
        <v>-144</v>
      </c>
      <c r="D32" s="4">
        <f>_xll.ciqfunctions.udf.CIQ(InputTicker, "IQ_CURRENCY_GAIN",Input!F$2,Date,,,Ccy,Conv)</f>
        <v>0</v>
      </c>
      <c r="E32" s="4">
        <f>_xll.ciqfunctions.udf.CIQ(InputTicker, "IQ_CURRENCY_GAIN",Input!G$2,Date,,,Ccy,Conv)</f>
        <v>-434</v>
      </c>
      <c r="F32" s="4">
        <f>_xll.ciqfunctions.udf.CIQ(InputTicker, "IQ_CURRENCY_GAIN",Input!H$2,Date,,,Ccy,Conv)</f>
        <v>-14</v>
      </c>
      <c r="G32" s="4">
        <f>_xll.ciqfunctions.udf.CIQ(InputTicker, "IQ_CURRENCY_GAIN",Input!I$2,Date,,,Ccy,Conv)</f>
        <v>-12</v>
      </c>
      <c r="H32" s="4">
        <f>_xll.ciqfunctions.udf.CIQ(InputTicker, "IQ_CURRENCY_GAIN",Input!J$2,Date,,,Ccy,Conv)</f>
        <v>-1</v>
      </c>
      <c r="I32" s="4">
        <f>_xll.ciqfunctions.udf.CIQ(InputTicker, "IQ_CURRENCY_GAIN",Input!K$2,Date,,,Ccy,Conv)</f>
        <v>500</v>
      </c>
      <c r="J32" s="4">
        <f>_xll.ciqfunctions.udf.CIQ(InputTicker, "IQ_CURRENCY_GAIN",Input!L$2,Date,,,Ccy,Conv)</f>
        <v>-69</v>
      </c>
      <c r="K32" s="4">
        <f>_xll.ciqfunctions.udf.CIQ(InputTicker, "IQ_CURRENCY_GAIN",Input!M$2,Date,,,Ccy,Conv)</f>
        <v>20</v>
      </c>
      <c r="L32" s="4">
        <f>_xll.ciqfunctions.udf.CIQ(InputTicker, "IQ_CURRENCY_GAIN",Input!N$2,Date,,,Ccy,Conv)</f>
        <v>-244</v>
      </c>
      <c r="M32" s="4">
        <f>_xll.ciqfunctions.udf.CIQ(InputTicker, "IQ_CURRENCY_GAIN",Input!O$2,Date,,,Ccy,Conv)</f>
        <v>-244</v>
      </c>
      <c r="N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</row>
    <row r="33" spans="1:66" ht="12.75" customHeight="1" x14ac:dyDescent="0.2">
      <c r="A33" s="1" t="s">
        <v>127</v>
      </c>
      <c r="B33" s="4">
        <f>_xll.ciqfunctions.udf.CIQ(InputTicker, "IQ_OTHER_NON_OPER_EXP_SUPPL",Input!D$2,Date,,,Ccy,Conv)</f>
        <v>249</v>
      </c>
      <c r="C33" s="4">
        <f>_xll.ciqfunctions.udf.CIQ(InputTicker, "IQ_OTHER_NON_OPER_EXP_SUPPL",Input!E$2,Date,,,Ccy,Conv)</f>
        <v>-79</v>
      </c>
      <c r="D33" s="4">
        <f>_xll.ciqfunctions.udf.CIQ(InputTicker, "IQ_OTHER_NON_OPER_EXP_SUPPL",Input!F$2,Date,,,Ccy,Conv)</f>
        <v>333</v>
      </c>
      <c r="E33" s="4">
        <f>_xll.ciqfunctions.udf.CIQ(InputTicker, "IQ_OTHER_NON_OPER_EXP_SUPPL",Input!G$2,Date,,,Ccy,Conv)</f>
        <v>-719</v>
      </c>
      <c r="F33" s="4">
        <f>_xll.ciqfunctions.udf.CIQ(InputTicker, "IQ_OTHER_NON_OPER_EXP_SUPPL",Input!H$2,Date,,,Ccy,Conv)</f>
        <v>263</v>
      </c>
      <c r="G33" s="4">
        <f>_xll.ciqfunctions.udf.CIQ(InputTicker, "IQ_OTHER_NON_OPER_EXP_SUPPL",Input!I$2,Date,,,Ccy,Conv)</f>
        <v>-790</v>
      </c>
      <c r="H33" s="4">
        <f>_xll.ciqfunctions.udf.CIQ(InputTicker, "IQ_OTHER_NON_OPER_EXP_SUPPL",Input!J$2,Date,,,Ccy,Conv)</f>
        <v>225</v>
      </c>
      <c r="I33" s="4">
        <f>_xll.ciqfunctions.udf.CIQ(InputTicker, "IQ_OTHER_NON_OPER_EXP_SUPPL",Input!K$2,Date,,,Ccy,Conv)</f>
        <v>103</v>
      </c>
      <c r="J33" s="4">
        <f>_xll.ciqfunctions.udf.CIQ(InputTicker, "IQ_OTHER_NON_OPER_EXP_SUPPL",Input!L$2,Date,,,Ccy,Conv)</f>
        <v>236</v>
      </c>
      <c r="K33" s="4">
        <f>_xll.ciqfunctions.udf.CIQ(InputTicker, "IQ_OTHER_NON_OPER_EXP_SUPPL",Input!M$2,Date,,,Ccy,Conv)</f>
        <v>274</v>
      </c>
      <c r="L33" s="4">
        <f>_xll.ciqfunctions.udf.CIQ(InputTicker, "IQ_OTHER_NON_OPER_EXP_SUPPL",Input!N$2,Date,,,Ccy,Conv)</f>
        <v>125</v>
      </c>
      <c r="M33" s="4">
        <f>_xll.ciqfunctions.udf.CIQ(InputTicker, "IQ_OTHER_NON_OPER_EXP_SUPPL",Input!O$2,Date,,,Ccy,Conv)</f>
        <v>125</v>
      </c>
      <c r="N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2"/>
      <c r="BJ33" s="42"/>
      <c r="BK33" s="42"/>
      <c r="BL33" s="42"/>
      <c r="BM33" s="42"/>
      <c r="BN33" s="42"/>
    </row>
    <row r="34" spans="1:66" ht="12.75" customHeight="1" x14ac:dyDescent="0.2">
      <c r="A34" s="5" t="s">
        <v>66</v>
      </c>
      <c r="B34" s="6">
        <f>_xll.ciqfunctions.udf.CIQ(InputTicker, "IQ_EBT_EXCL",Input!D$2,Date,,,Ccy,Conv)</f>
        <v>16819</v>
      </c>
      <c r="C34" s="6">
        <f>_xll.ciqfunctions.udf.CIQ(InputTicker, "IQ_EBT_EXCL",Input!E$2,Date,,,Ccy,Conv)</f>
        <v>13425</v>
      </c>
      <c r="D34" s="6">
        <f>_xll.ciqfunctions.udf.CIQ(InputTicker, "IQ_EBT_EXCL",Input!F$2,Date,,,Ccy,Conv)</f>
        <v>11400</v>
      </c>
      <c r="E34" s="6">
        <f>_xll.ciqfunctions.udf.CIQ(InputTicker, "IQ_EBT_EXCL",Input!G$2,Date,,,Ccy,Conv)</f>
        <v>11342</v>
      </c>
      <c r="F34" s="6">
        <f>_xll.ciqfunctions.udf.CIQ(InputTicker, "IQ_EBT_EXCL",Input!H$2,Date,,,Ccy,Conv)</f>
        <v>6444</v>
      </c>
      <c r="G34" s="6">
        <f>_xll.ciqfunctions.udf.CIQ(InputTicker, "IQ_EBT_EXCL",Input!I$2,Date,,,Ccy,Conv)</f>
        <v>2572</v>
      </c>
      <c r="H34" s="6">
        <f>_xll.ciqfunctions.udf.CIQ(InputTicker, "IQ_EBT_EXCL",Input!J$2,Date,,,Ccy,Conv)</f>
        <v>4704</v>
      </c>
      <c r="I34" s="6">
        <f>_xll.ciqfunctions.udf.CIQ(InputTicker, "IQ_EBT_EXCL",Input!K$2,Date,,,Ccy,Conv)</f>
        <v>7070</v>
      </c>
      <c r="J34" s="6">
        <f>_xll.ciqfunctions.udf.CIQ(InputTicker, "IQ_EBT_EXCL",Input!L$2,Date,,,Ccy,Conv)</f>
        <v>8651</v>
      </c>
      <c r="K34" s="6">
        <f>_xll.ciqfunctions.udf.CIQ(InputTicker, "IQ_EBT_EXCL",Input!M$2,Date,,,Ccy,Conv)</f>
        <v>9117</v>
      </c>
      <c r="L34" s="6">
        <f>_xll.ciqfunctions.udf.CIQ(InputTicker, "IQ_EBT_EXCL",Input!N$2,Date,,,Ccy,Conv)</f>
        <v>11159</v>
      </c>
      <c r="M34" s="6">
        <f>_xll.ciqfunctions.udf.CIQ(InputTicker, "IQ_EBT_EXCL",Input!O$2,Date,,,Ccy,Conv)</f>
        <v>11159</v>
      </c>
      <c r="N34" s="46"/>
      <c r="P34" s="46"/>
      <c r="Q34" s="46"/>
      <c r="R34" s="46"/>
      <c r="T34" s="42"/>
      <c r="U34" s="42"/>
      <c r="V34" s="46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42"/>
      <c r="BL34" s="42"/>
      <c r="BM34" s="42"/>
      <c r="BN34" s="42"/>
    </row>
    <row r="35" spans="1:66" ht="12.75" customHeight="1" x14ac:dyDescent="0.2">
      <c r="A35" s="1" t="s">
        <v>165</v>
      </c>
      <c r="B35" s="4">
        <f>_xll.ciqfunctions.udf.CIQ(InputTicker, "IQ_RESTRUCTURE",Input!D$2,Date,,,Ccy,Conv)</f>
        <v>-587</v>
      </c>
      <c r="C35" s="4">
        <f>_xll.ciqfunctions.udf.CIQ(InputTicker, "IQ_RESTRUCTURE",Input!E$2,Date,,,Ccy,Conv)</f>
        <v>-1038</v>
      </c>
      <c r="D35" s="4">
        <f>_xll.ciqfunctions.udf.CIQ(InputTicker, "IQ_RESTRUCTURE",Input!F$2,Date,,,Ccy,Conv)</f>
        <v>0</v>
      </c>
      <c r="E35" s="4">
        <f>_xll.ciqfunctions.udf.CIQ(InputTicker, "IQ_RESTRUCTURE",Input!G$2,Date,,,Ccy,Conv)</f>
        <v>0</v>
      </c>
      <c r="F35" s="4">
        <f>_xll.ciqfunctions.udf.CIQ(InputTicker, "IQ_RESTRUCTURE",Input!H$2,Date,,,Ccy,Conv)</f>
        <v>0</v>
      </c>
      <c r="G35" s="4">
        <f>_xll.ciqfunctions.udf.CIQ(InputTicker, "IQ_RESTRUCTURE",Input!I$2,Date,,,Ccy,Conv)</f>
        <v>0</v>
      </c>
      <c r="H35" s="4">
        <f>_xll.ciqfunctions.udf.CIQ(InputTicker, "IQ_RESTRUCTURE",Input!J$2,Date,,,Ccy,Conv)</f>
        <v>0</v>
      </c>
      <c r="I35" s="4">
        <f>_xll.ciqfunctions.udf.CIQ(InputTicker, "IQ_RESTRUCTURE",Input!K$2,Date,,,Ccy,Conv)</f>
        <v>0</v>
      </c>
      <c r="J35" s="4">
        <f>_xll.ciqfunctions.udf.CIQ(InputTicker, "IQ_RESTRUCTURE",Input!L$2,Date,,,Ccy,Conv)</f>
        <v>0</v>
      </c>
      <c r="K35" s="4">
        <f>_xll.ciqfunctions.udf.CIQ(InputTicker, "IQ_RESTRUCTURE",Input!M$2,Date,,,Ccy,Conv)</f>
        <v>-696</v>
      </c>
      <c r="L35" s="4">
        <f>_xll.ciqfunctions.udf.CIQ(InputTicker, "IQ_RESTRUCTURE",Input!N$2,Date,,,Ccy,Conv)</f>
        <v>-670</v>
      </c>
      <c r="M35" s="4">
        <f>_xll.ciqfunctions.udf.CIQ(InputTicker, "IQ_RESTRUCTURE",Input!O$2,Date,,,Ccy,Conv)</f>
        <v>-670</v>
      </c>
      <c r="N35" s="46"/>
      <c r="P35" s="46"/>
      <c r="Q35" s="46"/>
      <c r="R35" s="46"/>
      <c r="T35" s="42"/>
      <c r="U35" s="42"/>
      <c r="V35" s="46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2"/>
      <c r="BJ35" s="42"/>
      <c r="BK35" s="42"/>
      <c r="BL35" s="42"/>
      <c r="BM35" s="42"/>
      <c r="BN35" s="42"/>
    </row>
    <row r="36" spans="1:66" ht="12.75" customHeight="1" x14ac:dyDescent="0.2">
      <c r="A36" s="1" t="s">
        <v>128</v>
      </c>
      <c r="B36" s="4">
        <f>_xll.ciqfunctions.udf.CIQ(InputTicker, "IQ_MERGER",Input!D$2,Date,,,Ccy,Conv)</f>
        <v>-26</v>
      </c>
      <c r="C36" s="4">
        <f>_xll.ciqfunctions.udf.CIQ(InputTicker, "IQ_MERGER",Input!E$2,Date,,,Ccy,Conv)</f>
        <v>-5</v>
      </c>
      <c r="D36" s="4">
        <f>_xll.ciqfunctions.udf.CIQ(InputTicker, "IQ_MERGER",Input!F$2,Date,,,Ccy,Conv)</f>
        <v>0</v>
      </c>
      <c r="E36" s="4">
        <f>_xll.ciqfunctions.udf.CIQ(InputTicker, "IQ_MERGER",Input!G$2,Date,,,Ccy,Conv)</f>
        <v>0</v>
      </c>
      <c r="F36" s="4">
        <f>_xll.ciqfunctions.udf.CIQ(InputTicker, "IQ_MERGER",Input!H$2,Date,,,Ccy,Conv)</f>
        <v>0</v>
      </c>
      <c r="G36" s="4">
        <f>_xll.ciqfunctions.udf.CIQ(InputTicker, "IQ_MERGER",Input!I$2,Date,,,Ccy,Conv)</f>
        <v>0</v>
      </c>
      <c r="H36" s="4">
        <f>_xll.ciqfunctions.udf.CIQ(InputTicker, "IQ_MERGER",Input!J$2,Date,,,Ccy,Conv)</f>
        <v>0</v>
      </c>
      <c r="I36" s="4">
        <f>_xll.ciqfunctions.udf.CIQ(InputTicker, "IQ_MERGER",Input!K$2,Date,,,Ccy,Conv)</f>
        <v>0</v>
      </c>
      <c r="J36" s="4">
        <f>_xll.ciqfunctions.udf.CIQ(InputTicker, "IQ_MERGER",Input!L$2,Date,,,Ccy,Conv)</f>
        <v>0</v>
      </c>
      <c r="K36" s="4">
        <f>_xll.ciqfunctions.udf.CIQ(InputTicker, "IQ_MERGER",Input!M$2,Date,,,Ccy,Conv)</f>
        <v>-123</v>
      </c>
      <c r="L36" s="4">
        <f>_xll.ciqfunctions.udf.CIQ(InputTicker, "IQ_MERGER",Input!N$2,Date,,,Ccy,Conv)</f>
        <v>-153</v>
      </c>
      <c r="M36" s="4">
        <f>_xll.ciqfunctions.udf.CIQ(InputTicker, "IQ_MERGER",Input!O$2,Date,,,Ccy,Conv)</f>
        <v>-153</v>
      </c>
      <c r="N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2"/>
      <c r="BJ36" s="42"/>
      <c r="BK36" s="42"/>
      <c r="BL36" s="42"/>
      <c r="BM36" s="42"/>
      <c r="BN36" s="42"/>
    </row>
    <row r="37" spans="1:66" ht="12.75" customHeight="1" x14ac:dyDescent="0.2">
      <c r="A37" s="1" t="s">
        <v>67</v>
      </c>
      <c r="B37" s="4">
        <f>_xll.ciqfunctions.udf.CIQ(InputTicker, "IQ_IMPAIRMENT_GW",Input!D$2,Date,,,Ccy,Conv)</f>
        <v>0</v>
      </c>
      <c r="C37" s="4">
        <f>_xll.ciqfunctions.udf.CIQ(InputTicker, "IQ_IMPAIRMENT_GW",Input!E$2,Date,,,Ccy,Conv)</f>
        <v>0</v>
      </c>
      <c r="D37" s="4">
        <f>_xll.ciqfunctions.udf.CIQ(InputTicker, "IQ_IMPAIRMENT_GW",Input!F$2,Date,,,Ccy,Conv)</f>
        <v>0</v>
      </c>
      <c r="E37" s="4">
        <f>_xll.ciqfunctions.udf.CIQ(InputTicker, "IQ_IMPAIRMENT_GW",Input!G$2,Date,,,Ccy,Conv)</f>
        <v>0</v>
      </c>
      <c r="F37" s="4">
        <f>_xll.ciqfunctions.udf.CIQ(InputTicker, "IQ_IMPAIRMENT_GW",Input!H$2,Date,,,Ccy,Conv)</f>
        <v>0</v>
      </c>
      <c r="G37" s="4">
        <f>_xll.ciqfunctions.udf.CIQ(InputTicker, "IQ_IMPAIRMENT_GW",Input!I$2,Date,,,Ccy,Conv)</f>
        <v>0</v>
      </c>
      <c r="H37" s="4">
        <f>_xll.ciqfunctions.udf.CIQ(InputTicker, "IQ_IMPAIRMENT_GW",Input!J$2,Date,,,Ccy,Conv)</f>
        <v>0</v>
      </c>
      <c r="I37" s="4">
        <f>_xll.ciqfunctions.udf.CIQ(InputTicker, "IQ_IMPAIRMENT_GW",Input!K$2,Date,,,Ccy,Conv)</f>
        <v>0</v>
      </c>
      <c r="J37" s="4">
        <f>_xll.ciqfunctions.udf.CIQ(InputTicker, "IQ_IMPAIRMENT_GW",Input!L$2,Date,,,Ccy,Conv)</f>
        <v>0</v>
      </c>
      <c r="K37" s="4">
        <f>_xll.ciqfunctions.udf.CIQ(InputTicker, "IQ_IMPAIRMENT_GW",Input!M$2,Date,,,Ccy,Conv)</f>
        <v>0</v>
      </c>
      <c r="L37" s="4">
        <f>_xll.ciqfunctions.udf.CIQ(InputTicker, "IQ_IMPAIRMENT_GW",Input!N$2,Date,,,Ccy,Conv)</f>
        <v>0</v>
      </c>
      <c r="M37" s="4">
        <f>_xll.ciqfunctions.udf.CIQ(InputTicker, "IQ_IMPAIRMENT_GW",Input!O$2,Date,,,Ccy,Conv)</f>
        <v>0</v>
      </c>
      <c r="N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</row>
    <row r="38" spans="1:66" ht="12.75" customHeight="1" x14ac:dyDescent="0.2">
      <c r="A38" s="1" t="s">
        <v>68</v>
      </c>
      <c r="B38" s="4">
        <f>_xll.ciqfunctions.udf.CIQ(InputTicker, "IQ_GAIN_INVEST",Input!D$2,Date,,,Ccy,Conv)</f>
        <v>-47</v>
      </c>
      <c r="C38" s="4">
        <f>_xll.ciqfunctions.udf.CIQ(InputTicker, "IQ_GAIN_INVEST",Input!E$2,Date,,,Ccy,Conv)</f>
        <v>-23</v>
      </c>
      <c r="D38" s="4">
        <f>_xll.ciqfunctions.udf.CIQ(InputTicker, "IQ_GAIN_INVEST",Input!F$2,Date,,,Ccy,Conv)</f>
        <v>0</v>
      </c>
      <c r="E38" s="4">
        <f>_xll.ciqfunctions.udf.CIQ(InputTicker, "IQ_GAIN_INVEST",Input!G$2,Date,,,Ccy,Conv)</f>
        <v>0</v>
      </c>
      <c r="F38" s="4">
        <f>_xll.ciqfunctions.udf.CIQ(InputTicker, "IQ_GAIN_INVEST",Input!H$2,Date,,,Ccy,Conv)</f>
        <v>0</v>
      </c>
      <c r="G38" s="4">
        <f>_xll.ciqfunctions.udf.CIQ(InputTicker, "IQ_GAIN_INVEST",Input!I$2,Date,,,Ccy,Conv)</f>
        <v>0</v>
      </c>
      <c r="H38" s="4">
        <f>_xll.ciqfunctions.udf.CIQ(InputTicker, "IQ_GAIN_INVEST",Input!J$2,Date,,,Ccy,Conv)</f>
        <v>133</v>
      </c>
      <c r="I38" s="4">
        <f>_xll.ciqfunctions.udf.CIQ(InputTicker, "IQ_GAIN_INVEST",Input!K$2,Date,,,Ccy,Conv)</f>
        <v>-278</v>
      </c>
      <c r="J38" s="4">
        <f>_xll.ciqfunctions.udf.CIQ(InputTicker, "IQ_GAIN_INVEST",Input!L$2,Date,,,Ccy,Conv)</f>
        <v>39</v>
      </c>
      <c r="K38" s="4">
        <f>_xll.ciqfunctions.udf.CIQ(InputTicker, "IQ_GAIN_INVEST",Input!M$2,Date,,,Ccy,Conv)</f>
        <v>20</v>
      </c>
      <c r="L38" s="4">
        <f>_xll.ciqfunctions.udf.CIQ(InputTicker, "IQ_GAIN_INVEST",Input!N$2,Date,,,Ccy,Conv)</f>
        <v>-7</v>
      </c>
      <c r="M38" s="4">
        <f>_xll.ciqfunctions.udf.CIQ(InputTicker, "IQ_GAIN_INVEST",Input!O$2,Date,,,Ccy,Conv)</f>
        <v>-7</v>
      </c>
      <c r="N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2"/>
      <c r="BJ38" s="42"/>
      <c r="BK38" s="42"/>
      <c r="BL38" s="42"/>
      <c r="BM38" s="42"/>
      <c r="BN38" s="42"/>
    </row>
    <row r="39" spans="1:66" ht="12.75" customHeight="1" x14ac:dyDescent="0.2">
      <c r="A39" s="1" t="s">
        <v>69</v>
      </c>
      <c r="B39" s="4">
        <f>_xll.ciqfunctions.udf.CIQ(InputTicker, "IQ_GAIN_ASSETS",Input!D$2,Date,,,Ccy,Conv)</f>
        <v>13</v>
      </c>
      <c r="C39" s="4">
        <f>_xll.ciqfunctions.udf.CIQ(InputTicker, "IQ_GAIN_ASSETS",Input!E$2,Date,,,Ccy,Conv)</f>
        <v>27</v>
      </c>
      <c r="D39" s="4">
        <f>_xll.ciqfunctions.udf.CIQ(InputTicker, "IQ_GAIN_ASSETS",Input!F$2,Date,,,Ccy,Conv)</f>
        <v>0</v>
      </c>
      <c r="E39" s="4">
        <f>_xll.ciqfunctions.udf.CIQ(InputTicker, "IQ_GAIN_ASSETS",Input!G$2,Date,,,Ccy,Conv)</f>
        <v>0</v>
      </c>
      <c r="F39" s="4">
        <f>_xll.ciqfunctions.udf.CIQ(InputTicker, "IQ_GAIN_ASSETS",Input!H$2,Date,,,Ccy,Conv)</f>
        <v>762</v>
      </c>
      <c r="G39" s="4">
        <f>_xll.ciqfunctions.udf.CIQ(InputTicker, "IQ_GAIN_ASSETS",Input!I$2,Date,,,Ccy,Conv)</f>
        <v>0</v>
      </c>
      <c r="H39" s="4">
        <f>_xll.ciqfunctions.udf.CIQ(InputTicker, "IQ_GAIN_ASSETS",Input!J$2,Date,,,Ccy,Conv)</f>
        <v>0</v>
      </c>
      <c r="I39" s="4">
        <f>_xll.ciqfunctions.udf.CIQ(InputTicker, "IQ_GAIN_ASSETS",Input!K$2,Date,,,Ccy,Conv)</f>
        <v>258</v>
      </c>
      <c r="J39" s="4">
        <f>_xll.ciqfunctions.udf.CIQ(InputTicker, "IQ_GAIN_ASSETS",Input!L$2,Date,,,Ccy,Conv)</f>
        <v>0</v>
      </c>
      <c r="K39" s="4">
        <f>_xll.ciqfunctions.udf.CIQ(InputTicker, "IQ_GAIN_ASSETS",Input!M$2,Date,,,Ccy,Conv)</f>
        <v>592</v>
      </c>
      <c r="L39" s="4">
        <f>_xll.ciqfunctions.udf.CIQ(InputTicker, "IQ_GAIN_ASSETS",Input!N$2,Date,,,Ccy,Conv)</f>
        <v>0</v>
      </c>
      <c r="M39" s="4">
        <f>_xll.ciqfunctions.udf.CIQ(InputTicker, "IQ_GAIN_ASSETS",Input!O$2,Date,,,Ccy,Conv)</f>
        <v>0</v>
      </c>
      <c r="N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</row>
    <row r="40" spans="1:66" ht="12.75" customHeight="1" x14ac:dyDescent="0.2">
      <c r="A40" s="1" t="s">
        <v>166</v>
      </c>
      <c r="B40" s="4">
        <f>_xll.ciqfunctions.udf.CIQ(InputTicker, "IQ_ASSET_WRITEDOWN",Input!D$2,Date,,,Ccy,Conv)</f>
        <v>0</v>
      </c>
      <c r="C40" s="4">
        <f>_xll.ciqfunctions.udf.CIQ(InputTicker, "IQ_ASSET_WRITEDOWN",Input!E$2,Date,,,Ccy,Conv)</f>
        <v>0</v>
      </c>
      <c r="D40" s="4">
        <f>_xll.ciqfunctions.udf.CIQ(InputTicker, "IQ_ASSET_WRITEDOWN",Input!F$2,Date,,,Ccy,Conv)</f>
        <v>0</v>
      </c>
      <c r="E40" s="4">
        <f>_xll.ciqfunctions.udf.CIQ(InputTicker, "IQ_ASSET_WRITEDOWN",Input!G$2,Date,,,Ccy,Conv)</f>
        <v>0</v>
      </c>
      <c r="F40" s="4">
        <f>_xll.ciqfunctions.udf.CIQ(InputTicker, "IQ_ASSET_WRITEDOWN",Input!H$2,Date,,,Ccy,Conv)</f>
        <v>0</v>
      </c>
      <c r="G40" s="4">
        <f>_xll.ciqfunctions.udf.CIQ(InputTicker, "IQ_ASSET_WRITEDOWN",Input!I$2,Date,,,Ccy,Conv)</f>
        <v>0</v>
      </c>
      <c r="H40" s="4">
        <f>_xll.ciqfunctions.udf.CIQ(InputTicker, "IQ_ASSET_WRITEDOWN",Input!J$2,Date,,,Ccy,Conv)</f>
        <v>0</v>
      </c>
      <c r="I40" s="4">
        <f>_xll.ciqfunctions.udf.CIQ(InputTicker, "IQ_ASSET_WRITEDOWN",Input!K$2,Date,,,Ccy,Conv)</f>
        <v>0</v>
      </c>
      <c r="J40" s="4">
        <f>_xll.ciqfunctions.udf.CIQ(InputTicker, "IQ_ASSET_WRITEDOWN",Input!L$2,Date,,,Ccy,Conv)</f>
        <v>0</v>
      </c>
      <c r="K40" s="4">
        <f>_xll.ciqfunctions.udf.CIQ(InputTicker, "IQ_ASSET_WRITEDOWN",Input!M$2,Date,,,Ccy,Conv)</f>
        <v>0</v>
      </c>
      <c r="L40" s="4">
        <f>_xll.ciqfunctions.udf.CIQ(InputTicker, "IQ_ASSET_WRITEDOWN",Input!N$2,Date,,,Ccy,Conv)</f>
        <v>0</v>
      </c>
      <c r="M40" s="4">
        <f>_xll.ciqfunctions.udf.CIQ(InputTicker, "IQ_ASSET_WRITEDOWN",Input!O$2,Date,,,Ccy,Conv)</f>
        <v>0</v>
      </c>
      <c r="N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</row>
    <row r="41" spans="1:66" ht="12.75" customHeight="1" x14ac:dyDescent="0.2">
      <c r="A41" s="1" t="s">
        <v>278</v>
      </c>
      <c r="B41" s="4">
        <f>_xll.ciqfunctions.udf.CIQ(InputTicker, "IQ_IPRD",Input!D$2,Date,,,Ccy,Conv)</f>
        <v>0</v>
      </c>
      <c r="C41" s="4">
        <f>_xll.ciqfunctions.udf.CIQ(InputTicker, "IQ_IPRD",Input!E$2,Date,,,Ccy,Conv)</f>
        <v>0</v>
      </c>
      <c r="D41" s="4">
        <f>_xll.ciqfunctions.udf.CIQ(InputTicker, "IQ_IPRD",Input!F$2,Date,,,Ccy,Conv)</f>
        <v>0</v>
      </c>
      <c r="E41" s="4">
        <f>_xll.ciqfunctions.udf.CIQ(InputTicker, "IQ_IPRD",Input!G$2,Date,,,Ccy,Conv)</f>
        <v>0</v>
      </c>
      <c r="F41" s="4">
        <f>_xll.ciqfunctions.udf.CIQ(InputTicker, "IQ_IPRD",Input!H$2,Date,,,Ccy,Conv)</f>
        <v>0</v>
      </c>
      <c r="G41" s="4">
        <f>_xll.ciqfunctions.udf.CIQ(InputTicker, "IQ_IPRD",Input!I$2,Date,,,Ccy,Conv)</f>
        <v>0</v>
      </c>
      <c r="H41" s="4">
        <f>_xll.ciqfunctions.udf.CIQ(InputTicker, "IQ_IPRD",Input!J$2,Date,,,Ccy,Conv)</f>
        <v>0</v>
      </c>
      <c r="I41" s="4">
        <f>_xll.ciqfunctions.udf.CIQ(InputTicker, "IQ_IPRD",Input!K$2,Date,,,Ccy,Conv)</f>
        <v>0</v>
      </c>
      <c r="J41" s="4">
        <f>_xll.ciqfunctions.udf.CIQ(InputTicker, "IQ_IPRD",Input!L$2,Date,,,Ccy,Conv)</f>
        <v>0</v>
      </c>
      <c r="K41" s="4">
        <f>_xll.ciqfunctions.udf.CIQ(InputTicker, "IQ_IPRD",Input!M$2,Date,,,Ccy,Conv)</f>
        <v>0</v>
      </c>
      <c r="L41" s="4">
        <f>_xll.ciqfunctions.udf.CIQ(InputTicker, "IQ_IPRD",Input!N$2,Date,,,Ccy,Conv)</f>
        <v>0</v>
      </c>
      <c r="M41" s="4">
        <f>_xll.ciqfunctions.udf.CIQ(InputTicker, "IQ_IPRD",Input!O$2,Date,,,Ccy,Conv)</f>
        <v>0</v>
      </c>
      <c r="N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</row>
    <row r="42" spans="1:66" ht="12.75" customHeight="1" x14ac:dyDescent="0.2">
      <c r="A42" s="1" t="s">
        <v>167</v>
      </c>
      <c r="B42" s="4">
        <f>_xll.ciqfunctions.udf.CIQ(InputTicker, "IQ_INS_SETTLE",Input!D$2,Date,,,Ccy,Conv)</f>
        <v>0</v>
      </c>
      <c r="C42" s="4">
        <f>_xll.ciqfunctions.udf.CIQ(InputTicker, "IQ_INS_SETTLE",Input!E$2,Date,,,Ccy,Conv)</f>
        <v>0</v>
      </c>
      <c r="D42" s="4">
        <f>_xll.ciqfunctions.udf.CIQ(InputTicker, "IQ_INS_SETTLE",Input!F$2,Date,,,Ccy,Conv)</f>
        <v>0</v>
      </c>
      <c r="E42" s="4">
        <f>_xll.ciqfunctions.udf.CIQ(InputTicker, "IQ_INS_SETTLE",Input!G$2,Date,,,Ccy,Conv)</f>
        <v>0</v>
      </c>
      <c r="F42" s="4">
        <f>_xll.ciqfunctions.udf.CIQ(InputTicker, "IQ_INS_SETTLE",Input!H$2,Date,,,Ccy,Conv)</f>
        <v>0</v>
      </c>
      <c r="G42" s="4">
        <f>_xll.ciqfunctions.udf.CIQ(InputTicker, "IQ_INS_SETTLE",Input!I$2,Date,,,Ccy,Conv)</f>
        <v>0</v>
      </c>
      <c r="H42" s="4">
        <f>_xll.ciqfunctions.udf.CIQ(InputTicker, "IQ_INS_SETTLE",Input!J$2,Date,,,Ccy,Conv)</f>
        <v>0</v>
      </c>
      <c r="I42" s="4">
        <f>_xll.ciqfunctions.udf.CIQ(InputTicker, "IQ_INS_SETTLE",Input!K$2,Date,,,Ccy,Conv)</f>
        <v>0</v>
      </c>
      <c r="J42" s="4">
        <f>_xll.ciqfunctions.udf.CIQ(InputTicker, "IQ_INS_SETTLE",Input!L$2,Date,,,Ccy,Conv)</f>
        <v>0</v>
      </c>
      <c r="K42" s="4">
        <f>_xll.ciqfunctions.udf.CIQ(InputTicker, "IQ_INS_SETTLE",Input!M$2,Date,,,Ccy,Conv)</f>
        <v>0</v>
      </c>
      <c r="L42" s="4">
        <f>_xll.ciqfunctions.udf.CIQ(InputTicker, "IQ_INS_SETTLE",Input!N$2,Date,,,Ccy,Conv)</f>
        <v>0</v>
      </c>
      <c r="M42" s="4">
        <f>_xll.ciqfunctions.udf.CIQ(InputTicker, "IQ_INS_SETTLE",Input!O$2,Date,,,Ccy,Conv)</f>
        <v>0</v>
      </c>
      <c r="N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  <c r="BA42" s="42"/>
      <c r="BB42" s="42"/>
      <c r="BC42" s="42"/>
      <c r="BD42" s="42"/>
      <c r="BE42" s="42"/>
      <c r="BF42" s="42"/>
      <c r="BG42" s="42"/>
      <c r="BH42" s="42"/>
      <c r="BI42" s="42"/>
      <c r="BJ42" s="42"/>
      <c r="BK42" s="42"/>
      <c r="BL42" s="42"/>
      <c r="BM42" s="42"/>
      <c r="BN42" s="42"/>
    </row>
    <row r="43" spans="1:66" ht="12.75" customHeight="1" x14ac:dyDescent="0.2">
      <c r="A43" s="1" t="s">
        <v>168</v>
      </c>
      <c r="B43" s="4">
        <f>_xll.ciqfunctions.udf.CIQ(InputTicker, "IQ_LEGAL_SETTLE",Input!D$2,Date,,,Ccy,Conv)</f>
        <v>-233</v>
      </c>
      <c r="C43" s="4">
        <f>_xll.ciqfunctions.udf.CIQ(InputTicker, "IQ_LEGAL_SETTLE",Input!E$2,Date,,,Ccy,Conv)</f>
        <v>-56</v>
      </c>
      <c r="D43" s="4">
        <f>_xll.ciqfunctions.udf.CIQ(InputTicker, "IQ_LEGAL_SETTLE",Input!F$2,Date,,,Ccy,Conv)</f>
        <v>0</v>
      </c>
      <c r="E43" s="4">
        <f>_xll.ciqfunctions.udf.CIQ(InputTicker, "IQ_LEGAL_SETTLE",Input!G$2,Date,,,Ccy,Conv)</f>
        <v>0</v>
      </c>
      <c r="F43" s="4">
        <f>_xll.ciqfunctions.udf.CIQ(InputTicker, "IQ_LEGAL_SETTLE",Input!H$2,Date,,,Ccy,Conv)</f>
        <v>0</v>
      </c>
      <c r="G43" s="4">
        <f>_xll.ciqfunctions.udf.CIQ(InputTicker, "IQ_LEGAL_SETTLE",Input!I$2,Date,,,Ccy,Conv)</f>
        <v>0</v>
      </c>
      <c r="H43" s="4">
        <f>_xll.ciqfunctions.udf.CIQ(InputTicker, "IQ_LEGAL_SETTLE",Input!J$2,Date,,,Ccy,Conv)</f>
        <v>0</v>
      </c>
      <c r="I43" s="4">
        <f>_xll.ciqfunctions.udf.CIQ(InputTicker, "IQ_LEGAL_SETTLE",Input!K$2,Date,,,Ccy,Conv)</f>
        <v>0</v>
      </c>
      <c r="J43" s="4">
        <f>_xll.ciqfunctions.udf.CIQ(InputTicker, "IQ_LEGAL_SETTLE",Input!L$2,Date,,,Ccy,Conv)</f>
        <v>0</v>
      </c>
      <c r="K43" s="4">
        <f>_xll.ciqfunctions.udf.CIQ(InputTicker, "IQ_LEGAL_SETTLE",Input!M$2,Date,,,Ccy,Conv)</f>
        <v>0</v>
      </c>
      <c r="L43" s="4">
        <f>_xll.ciqfunctions.udf.CIQ(InputTicker, "IQ_LEGAL_SETTLE",Input!N$2,Date,,,Ccy,Conv)</f>
        <v>0</v>
      </c>
      <c r="M43" s="4">
        <f>_xll.ciqfunctions.udf.CIQ(InputTicker, "IQ_LEGAL_SETTLE",Input!O$2,Date,,,Ccy,Conv)</f>
        <v>0</v>
      </c>
      <c r="N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  <c r="BA43" s="42"/>
      <c r="BB43" s="42"/>
      <c r="BC43" s="42"/>
      <c r="BD43" s="42"/>
      <c r="BE43" s="42"/>
      <c r="BF43" s="42"/>
      <c r="BG43" s="42"/>
      <c r="BH43" s="42"/>
      <c r="BI43" s="42"/>
      <c r="BJ43" s="42"/>
      <c r="BK43" s="42"/>
      <c r="BL43" s="42"/>
      <c r="BM43" s="42"/>
      <c r="BN43" s="42"/>
    </row>
    <row r="44" spans="1:66" ht="12.75" customHeight="1" x14ac:dyDescent="0.2">
      <c r="A44" s="1" t="s">
        <v>129</v>
      </c>
      <c r="B44" s="8">
        <f>_xll.ciqfunctions.udf.CIQ(InputTicker, "IQ_OTHER_UNUSUAL_SUPPL",Input!D$2,Date,,,Ccy,Conv)</f>
        <v>6</v>
      </c>
      <c r="C44" s="8">
        <f>_xll.ciqfunctions.udf.CIQ(InputTicker, "IQ_OTHER_UNUSUAL_SUPPL",Input!E$2,Date,,,Ccy,Conv)</f>
        <v>0</v>
      </c>
      <c r="D44" s="8">
        <f>_xll.ciqfunctions.udf.CIQ(InputTicker, "IQ_OTHER_UNUSUAL_SUPPL",Input!F$2,Date,,,Ccy,Conv)</f>
        <v>0</v>
      </c>
      <c r="E44" s="8">
        <f>_xll.ciqfunctions.udf.CIQ(InputTicker, "IQ_OTHER_UNUSUAL_SUPPL",Input!G$2,Date,,,Ccy,Conv)</f>
        <v>0</v>
      </c>
      <c r="F44" s="8">
        <f>_xll.ciqfunctions.udf.CIQ(InputTicker, "IQ_OTHER_UNUSUAL_SUPPL",Input!H$2,Date,,,Ccy,Conv)</f>
        <v>0</v>
      </c>
      <c r="G44" s="8">
        <f>_xll.ciqfunctions.udf.CIQ(InputTicker, "IQ_OTHER_UNUSUAL_SUPPL",Input!I$2,Date,,,Ccy,Conv)</f>
        <v>0</v>
      </c>
      <c r="H44" s="8">
        <f>_xll.ciqfunctions.udf.CIQ(InputTicker, "IQ_OTHER_UNUSUAL_SUPPL",Input!J$2,Date,,,Ccy,Conv)</f>
        <v>0</v>
      </c>
      <c r="I44" s="8">
        <f>_xll.ciqfunctions.udf.CIQ(InputTicker, "IQ_OTHER_UNUSUAL_SUPPL",Input!K$2,Date,,,Ccy,Conv)</f>
        <v>-5894</v>
      </c>
      <c r="J44" s="8">
        <f>_xll.ciqfunctions.udf.CIQ(InputTicker, "IQ_OTHER_UNUSUAL_SUPPL",Input!L$2,Date,,,Ccy,Conv)</f>
        <v>0</v>
      </c>
      <c r="K44" s="8">
        <f>_xll.ciqfunctions.udf.CIQ(InputTicker, "IQ_OTHER_UNUSUAL_SUPPL",Input!M$2,Date,,,Ccy,Conv)</f>
        <v>-3113</v>
      </c>
      <c r="L44" s="8">
        <f>_xll.ciqfunctions.udf.CIQ(InputTicker, "IQ_OTHER_UNUSUAL_SUPPL",Input!N$2,Date,,,Ccy,Conv)</f>
        <v>0</v>
      </c>
      <c r="M44" s="8">
        <f>_xll.ciqfunctions.udf.CIQ(InputTicker, "IQ_OTHER_UNUSUAL_SUPPL",Input!O$2,Date,,,Ccy,Conv)</f>
        <v>0</v>
      </c>
      <c r="N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  <c r="BA44" s="42"/>
      <c r="BB44" s="42"/>
      <c r="BC44" s="42"/>
      <c r="BD44" s="42"/>
      <c r="BE44" s="42"/>
      <c r="BF44" s="42"/>
      <c r="BG44" s="42"/>
      <c r="BH44" s="42"/>
      <c r="BI44" s="42"/>
      <c r="BJ44" s="42"/>
      <c r="BK44" s="42"/>
      <c r="BL44" s="42"/>
      <c r="BM44" s="42"/>
      <c r="BN44" s="42"/>
    </row>
    <row r="45" spans="1:66" ht="12.75" customHeight="1" x14ac:dyDescent="0.2">
      <c r="A45" s="5" t="s">
        <v>70</v>
      </c>
      <c r="B45" s="6">
        <f>_xll.ciqfunctions.udf.CIQ(InputTicker, "IQ_EBT",Input!D$2,Date,,,Ccy,Conv)</f>
        <v>15945</v>
      </c>
      <c r="C45" s="6">
        <f>_xll.ciqfunctions.udf.CIQ(InputTicker, "IQ_EBT",Input!E$2,Date,,,Ccy,Conv)</f>
        <v>12330</v>
      </c>
      <c r="D45" s="6">
        <f>_xll.ciqfunctions.udf.CIQ(InputTicker, "IQ_EBT",Input!F$2,Date,,,Ccy,Conv)</f>
        <v>11400</v>
      </c>
      <c r="E45" s="6">
        <f>_xll.ciqfunctions.udf.CIQ(InputTicker, "IQ_EBT",Input!G$2,Date,,,Ccy,Conv)</f>
        <v>11342</v>
      </c>
      <c r="F45" s="6">
        <f>_xll.ciqfunctions.udf.CIQ(InputTicker, "IQ_EBT",Input!H$2,Date,,,Ccy,Conv)</f>
        <v>7206</v>
      </c>
      <c r="G45" s="6">
        <f>_xll.ciqfunctions.udf.CIQ(InputTicker, "IQ_EBT",Input!I$2,Date,,,Ccy,Conv)</f>
        <v>2572</v>
      </c>
      <c r="H45" s="6">
        <f>_xll.ciqfunctions.udf.CIQ(InputTicker, "IQ_EBT",Input!J$2,Date,,,Ccy,Conv)</f>
        <v>4837</v>
      </c>
      <c r="I45" s="6">
        <f>_xll.ciqfunctions.udf.CIQ(InputTicker, "IQ_EBT",Input!K$2,Date,,,Ccy,Conv)</f>
        <v>1156</v>
      </c>
      <c r="J45" s="6">
        <f>_xll.ciqfunctions.udf.CIQ(InputTicker, "IQ_EBT",Input!L$2,Date,,,Ccy,Conv)</f>
        <v>8690</v>
      </c>
      <c r="K45" s="6">
        <f>_xll.ciqfunctions.udf.CIQ(InputTicker, "IQ_EBT",Input!M$2,Date,,,Ccy,Conv)</f>
        <v>5797</v>
      </c>
      <c r="L45" s="6">
        <f>_xll.ciqfunctions.udf.CIQ(InputTicker, "IQ_EBT",Input!N$2,Date,,,Ccy,Conv)</f>
        <v>10329</v>
      </c>
      <c r="M45" s="6">
        <f>_xll.ciqfunctions.udf.CIQ(InputTicker, "IQ_EBT",Input!O$2,Date,,,Ccy,Conv)</f>
        <v>10329</v>
      </c>
      <c r="N45" s="46"/>
      <c r="P45" s="46"/>
      <c r="Q45" s="46"/>
      <c r="R45" s="46"/>
      <c r="T45" s="42"/>
      <c r="U45" s="42"/>
      <c r="V45" s="46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</row>
    <row r="46" spans="1:66" ht="12.75" customHeight="1" x14ac:dyDescent="0.2">
      <c r="A46" s="1" t="s">
        <v>71</v>
      </c>
      <c r="B46" s="4">
        <f>_xll.ciqfunctions.udf.CIQ(InputTicker, "IQ_INC_TAX",Input!D$2,Date,,,Ccy,Conv)</f>
        <v>2581</v>
      </c>
      <c r="C46" s="4">
        <f>_xll.ciqfunctions.udf.CIQ(InputTicker, "IQ_INC_TAX",Input!E$2,Date,,,Ccy,Conv)</f>
        <v>449</v>
      </c>
      <c r="D46" s="4">
        <f>_xll.ciqfunctions.udf.CIQ(InputTicker, "IQ_INC_TAX",Input!F$2,Date,,,Ccy,Conv)</f>
        <v>5642</v>
      </c>
      <c r="E46" s="4">
        <f>_xll.ciqfunctions.udf.CIQ(InputTicker, "IQ_INC_TAX",Input!G$2,Date,,,Ccy,Conv)</f>
        <v>2619</v>
      </c>
      <c r="F46" s="4">
        <f>_xll.ciqfunctions.udf.CIQ(InputTicker, "IQ_INC_TAX",Input!H$2,Date,,,Ccy,Conv)</f>
        <v>60</v>
      </c>
      <c r="G46" s="4">
        <f>_xll.ciqfunctions.udf.CIQ(InputTicker, "IQ_INC_TAX",Input!I$2,Date,,,Ccy,Conv)</f>
        <v>-1360</v>
      </c>
      <c r="H46" s="4">
        <f>_xll.ciqfunctions.udf.CIQ(InputTicker, "IQ_INC_TAX",Input!J$2,Date,,,Ccy,Conv)</f>
        <v>124</v>
      </c>
      <c r="I46" s="4">
        <f>_xll.ciqfunctions.udf.CIQ(InputTicker, "IQ_INC_TAX",Input!K$2,Date,,,Ccy,Conv)</f>
        <v>-626</v>
      </c>
      <c r="J46" s="4">
        <f>_xll.ciqfunctions.udf.CIQ(InputTicker, "IQ_INC_TAX",Input!L$2,Date,,,Ccy,Conv)</f>
        <v>1176</v>
      </c>
      <c r="K46" s="4">
        <f>_xll.ciqfunctions.udf.CIQ(InputTicker, "IQ_INC_TAX",Input!M$2,Date,,,Ccy,Conv)</f>
        <v>-218</v>
      </c>
      <c r="L46" s="4">
        <f>_xll.ciqfunctions.udf.CIQ(InputTicker, "IQ_INC_TAX",Input!N$2,Date,,,Ccy,Conv)</f>
        <v>-242</v>
      </c>
      <c r="M46" s="4">
        <f>_xll.ciqfunctions.udf.CIQ(InputTicker, "IQ_INC_TAX",Input!O$2,Date,,,Ccy,Conv)</f>
        <v>-242</v>
      </c>
      <c r="N46" s="46"/>
      <c r="P46" s="46"/>
      <c r="Q46" s="46"/>
      <c r="R46" s="46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</row>
    <row r="47" spans="1:66" ht="12.75" customHeight="1" x14ac:dyDescent="0.2">
      <c r="A47" s="5" t="s">
        <v>72</v>
      </c>
      <c r="B47" s="6">
        <f>_xll.ciqfunctions.udf.CIQ(InputTicker, "IQ_EARNING_CO",Input!D$2,Date,,,Ccy,Conv)</f>
        <v>13364</v>
      </c>
      <c r="C47" s="6">
        <f>_xll.ciqfunctions.udf.CIQ(InputTicker, "IQ_EARNING_CO",Input!E$2,Date,,,Ccy,Conv)</f>
        <v>11881</v>
      </c>
      <c r="D47" s="6">
        <f>_xll.ciqfunctions.udf.CIQ(InputTicker, "IQ_EARNING_CO",Input!F$2,Date,,,Ccy,Conv)</f>
        <v>5758</v>
      </c>
      <c r="E47" s="6">
        <f>_xll.ciqfunctions.udf.CIQ(InputTicker, "IQ_EARNING_CO",Input!G$2,Date,,,Ccy,Conv)</f>
        <v>8723</v>
      </c>
      <c r="F47" s="6">
        <f>_xll.ciqfunctions.udf.CIQ(InputTicker, "IQ_EARNING_CO",Input!H$2,Date,,,Ccy,Conv)</f>
        <v>7146</v>
      </c>
      <c r="G47" s="6">
        <f>_xll.ciqfunctions.udf.CIQ(InputTicker, "IQ_EARNING_CO",Input!I$2,Date,,,Ccy,Conv)</f>
        <v>3932</v>
      </c>
      <c r="H47" s="6">
        <f>_xll.ciqfunctions.udf.CIQ(InputTicker, "IQ_EARNING_CO",Input!J$2,Date,,,Ccy,Conv)</f>
        <v>4713</v>
      </c>
      <c r="I47" s="6">
        <f>_xll.ciqfunctions.udf.CIQ(InputTicker, "IQ_EARNING_CO",Input!K$2,Date,,,Ccy,Conv)</f>
        <v>1782</v>
      </c>
      <c r="J47" s="6">
        <f>_xll.ciqfunctions.udf.CIQ(InputTicker, "IQ_EARNING_CO",Input!L$2,Date,,,Ccy,Conv)</f>
        <v>7514</v>
      </c>
      <c r="K47" s="6">
        <f>_xll.ciqfunctions.udf.CIQ(InputTicker, "IQ_EARNING_CO",Input!M$2,Date,,,Ccy,Conv)</f>
        <v>6015</v>
      </c>
      <c r="L47" s="6">
        <f>_xll.ciqfunctions.udf.CIQ(InputTicker, "IQ_EARNING_CO",Input!N$2,Date,,,Ccy,Conv)</f>
        <v>10571</v>
      </c>
      <c r="M47" s="6">
        <f>_xll.ciqfunctions.udf.CIQ(InputTicker, "IQ_EARNING_CO",Input!O$2,Date,,,Ccy,Conv)</f>
        <v>10571</v>
      </c>
      <c r="N47" s="46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  <c r="BA47" s="42"/>
      <c r="BB47" s="42"/>
      <c r="BC47" s="42"/>
      <c r="BD47" s="42"/>
      <c r="BE47" s="42"/>
      <c r="BF47" s="42"/>
      <c r="BG47" s="42"/>
      <c r="BH47" s="42"/>
      <c r="BI47" s="42"/>
      <c r="BJ47" s="42"/>
      <c r="BK47" s="42"/>
      <c r="BL47" s="42"/>
      <c r="BM47" s="42"/>
      <c r="BN47" s="42"/>
    </row>
    <row r="48" spans="1:66" ht="12.75" customHeight="1" x14ac:dyDescent="0.2">
      <c r="A48" s="1" t="s">
        <v>73</v>
      </c>
      <c r="B48" s="4">
        <f>_xll.ciqfunctions.udf.CIQ(InputTicker, "IQ_DO",Input!D$2,Date,,,Ccy,Conv)</f>
        <v>-174</v>
      </c>
      <c r="C48" s="4">
        <f>_xll.ciqfunctions.udf.CIQ(InputTicker, "IQ_DO",Input!E$2,Date,,,Ccy,Conv)</f>
        <v>-9</v>
      </c>
      <c r="D48" s="4">
        <f>_xll.ciqfunctions.udf.CIQ(InputTicker, "IQ_DO",Input!F$2,Date,,,Ccy,Conv)</f>
        <v>-5</v>
      </c>
      <c r="E48" s="4">
        <f>_xll.ciqfunctions.udf.CIQ(InputTicker, "IQ_DO",Input!G$2,Date,,,Ccy,Conv)</f>
        <v>5</v>
      </c>
      <c r="F48" s="4">
        <f>_xll.ciqfunctions.udf.CIQ(InputTicker, "IQ_DO",Input!H$2,Date,,,Ccy,Conv)</f>
        <v>2285</v>
      </c>
      <c r="G48" s="4">
        <f>_xll.ciqfunctions.udf.CIQ(InputTicker, "IQ_DO",Input!I$2,Date,,,Ccy,Conv)</f>
        <v>1658</v>
      </c>
      <c r="H48" s="4">
        <f>_xll.ciqfunctions.udf.CIQ(InputTicker, "IQ_DO",Input!J$2,Date,,,Ccy,Conv)</f>
        <v>1030</v>
      </c>
      <c r="I48" s="4">
        <f>_xll.ciqfunctions.udf.CIQ(InputTicker, "IQ_DO",Input!K$2,Date,,,Ccy,Conv)</f>
        <v>-143</v>
      </c>
      <c r="J48" s="4">
        <f>_xll.ciqfunctions.udf.CIQ(InputTicker, "IQ_DO",Input!L$2,Date,,,Ccy,Conv)</f>
        <v>-12</v>
      </c>
      <c r="K48" s="4">
        <f>_xll.ciqfunctions.udf.CIQ(InputTicker, "IQ_DO",Input!M$2,Date,,,Ccy,Conv)</f>
        <v>8</v>
      </c>
      <c r="L48" s="4">
        <f>_xll.ciqfunctions.udf.CIQ(InputTicker, "IQ_DO",Input!N$2,Date,,,Ccy,Conv)</f>
        <v>22</v>
      </c>
      <c r="M48" s="4">
        <f>_xll.ciqfunctions.udf.CIQ(InputTicker, "IQ_DO",Input!O$2,Date,,,Ccy,Conv)</f>
        <v>22</v>
      </c>
      <c r="N48" s="46"/>
      <c r="P48" s="46"/>
      <c r="Q48" s="46"/>
      <c r="R48" s="46"/>
      <c r="T48" s="42"/>
      <c r="U48" s="42"/>
      <c r="V48" s="46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</row>
    <row r="49" spans="1:66" ht="12.75" customHeight="1" x14ac:dyDescent="0.2">
      <c r="A49" s="1" t="s">
        <v>74</v>
      </c>
      <c r="B49" s="4">
        <f>_xll.ciqfunctions.udf.CIQ(InputTicker, "IQ_EXTRA_ACC_ITEMS",Input!D$2,Date,,,Ccy,Conv)</f>
        <v>0</v>
      </c>
      <c r="C49" s="4">
        <f>_xll.ciqfunctions.udf.CIQ(InputTicker, "IQ_EXTRA_ACC_ITEMS",Input!E$2,Date,,,Ccy,Conv)</f>
        <v>0</v>
      </c>
      <c r="D49" s="4">
        <f>_xll.ciqfunctions.udf.CIQ(InputTicker, "IQ_EXTRA_ACC_ITEMS",Input!F$2,Date,,,Ccy,Conv)</f>
        <v>0</v>
      </c>
      <c r="E49" s="4">
        <f>_xll.ciqfunctions.udf.CIQ(InputTicker, "IQ_EXTRA_ACC_ITEMS",Input!G$2,Date,,,Ccy,Conv)</f>
        <v>0</v>
      </c>
      <c r="F49" s="4">
        <f>_xll.ciqfunctions.udf.CIQ(InputTicker, "IQ_EXTRA_ACC_ITEMS",Input!H$2,Date,,,Ccy,Conv)</f>
        <v>0</v>
      </c>
      <c r="G49" s="4">
        <f>_xll.ciqfunctions.udf.CIQ(InputTicker, "IQ_EXTRA_ACC_ITEMS",Input!I$2,Date,,,Ccy,Conv)</f>
        <v>0</v>
      </c>
      <c r="H49" s="4">
        <f>_xll.ciqfunctions.udf.CIQ(InputTicker, "IQ_EXTRA_ACC_ITEMS",Input!J$2,Date,,,Ccy,Conv)</f>
        <v>0</v>
      </c>
      <c r="I49" s="4">
        <f>_xll.ciqfunctions.udf.CIQ(InputTicker, "IQ_EXTRA_ACC_ITEMS",Input!K$2,Date,,,Ccy,Conv)</f>
        <v>0</v>
      </c>
      <c r="J49" s="4">
        <f>_xll.ciqfunctions.udf.CIQ(InputTicker, "IQ_EXTRA_ACC_ITEMS",Input!L$2,Date,,,Ccy,Conv)</f>
        <v>0</v>
      </c>
      <c r="K49" s="4">
        <f>_xll.ciqfunctions.udf.CIQ(InputTicker, "IQ_EXTRA_ACC_ITEMS",Input!M$2,Date,,,Ccy,Conv)</f>
        <v>0</v>
      </c>
      <c r="L49" s="4">
        <f>_xll.ciqfunctions.udf.CIQ(InputTicker, "IQ_EXTRA_ACC_ITEMS",Input!N$2,Date,,,Ccy,Conv)</f>
        <v>0</v>
      </c>
      <c r="M49" s="4">
        <f>_xll.ciqfunctions.udf.CIQ(InputTicker, "IQ_EXTRA_ACC_ITEMS",Input!O$2,Date,,,Ccy,Conv)</f>
        <v>0</v>
      </c>
      <c r="N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2"/>
      <c r="BI49" s="42"/>
      <c r="BJ49" s="42"/>
      <c r="BK49" s="42"/>
      <c r="BL49" s="42"/>
      <c r="BM49" s="42"/>
      <c r="BN49" s="42"/>
    </row>
    <row r="50" spans="1:66" ht="12.75" customHeight="1" x14ac:dyDescent="0.2">
      <c r="A50" s="5" t="s">
        <v>21</v>
      </c>
      <c r="B50" s="10">
        <f>_xll.ciqfunctions.udf.CIQ(InputTicker, "IQ_NI_COMPANY",Input!D$2,Date,,,Ccy,Conv)</f>
        <v>13190</v>
      </c>
      <c r="C50" s="10">
        <f>_xll.ciqfunctions.udf.CIQ(InputTicker, "IQ_NI_COMPANY",Input!E$2,Date,,,Ccy,Conv)</f>
        <v>11872</v>
      </c>
      <c r="D50" s="10">
        <f>_xll.ciqfunctions.udf.CIQ(InputTicker, "IQ_NI_COMPANY",Input!F$2,Date,,,Ccy,Conv)</f>
        <v>5753</v>
      </c>
      <c r="E50" s="10">
        <f>_xll.ciqfunctions.udf.CIQ(InputTicker, "IQ_NI_COMPANY",Input!G$2,Date,,,Ccy,Conv)</f>
        <v>8728</v>
      </c>
      <c r="F50" s="10">
        <f>_xll.ciqfunctions.udf.CIQ(InputTicker, "IQ_NI_COMPANY",Input!H$2,Date,,,Ccy,Conv)</f>
        <v>9431</v>
      </c>
      <c r="G50" s="10">
        <f>_xll.ciqfunctions.udf.CIQ(InputTicker, "IQ_NI_COMPANY",Input!I$2,Date,,,Ccy,Conv)</f>
        <v>5590</v>
      </c>
      <c r="H50" s="10">
        <f>_xll.ciqfunctions.udf.CIQ(InputTicker, "IQ_NI_COMPANY",Input!J$2,Date,,,Ccy,Conv)</f>
        <v>5743</v>
      </c>
      <c r="I50" s="10">
        <f>_xll.ciqfunctions.udf.CIQ(InputTicker, "IQ_NI_COMPANY",Input!K$2,Date,,,Ccy,Conv)</f>
        <v>1639</v>
      </c>
      <c r="J50" s="10">
        <f>_xll.ciqfunctions.udf.CIQ(InputTicker, "IQ_NI_COMPANY",Input!L$2,Date,,,Ccy,Conv)</f>
        <v>7502</v>
      </c>
      <c r="K50" s="10">
        <f>_xll.ciqfunctions.udf.CIQ(InputTicker, "IQ_NI_COMPANY",Input!M$2,Date,,,Ccy,Conv)</f>
        <v>6023</v>
      </c>
      <c r="L50" s="10">
        <f>_xll.ciqfunctions.udf.CIQ(InputTicker, "IQ_NI_COMPANY",Input!N$2,Date,,,Ccy,Conv)</f>
        <v>10593</v>
      </c>
      <c r="M50" s="10">
        <f>_xll.ciqfunctions.udf.CIQ(InputTicker, "IQ_NI_COMPANY",Input!O$2,Date,,,Ccy,Conv)</f>
        <v>10593</v>
      </c>
      <c r="N50" s="46"/>
      <c r="P50" s="46"/>
      <c r="Q50" s="46"/>
      <c r="R50" s="46"/>
      <c r="T50" s="42"/>
      <c r="U50" s="42"/>
      <c r="V50" s="46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42"/>
      <c r="BI50" s="42"/>
      <c r="BJ50" s="42"/>
      <c r="BK50" s="42"/>
      <c r="BL50" s="42"/>
      <c r="BM50" s="42"/>
      <c r="BN50" s="42"/>
    </row>
    <row r="51" spans="1:66" ht="12.75" customHeight="1" x14ac:dyDescent="0.2">
      <c r="A51" s="1" t="s">
        <v>169</v>
      </c>
      <c r="B51" s="4">
        <f>_xll.ciqfunctions.udf.CIQ(InputTicker, "IQ_MINORITY_INTEREST_IS",Input!D$2,Date,,,Ccy,Conv)</f>
        <v>0</v>
      </c>
      <c r="C51" s="4">
        <f>_xll.ciqfunctions.udf.CIQ(InputTicker, "IQ_MINORITY_INTEREST_IS",Input!E$2,Date,,,Ccy,Conv)</f>
        <v>0</v>
      </c>
      <c r="D51" s="4">
        <f>_xll.ciqfunctions.udf.CIQ(InputTicker, "IQ_MINORITY_INTEREST_IS",Input!F$2,Date,,,Ccy,Conv)</f>
        <v>0</v>
      </c>
      <c r="E51" s="4">
        <f>_xll.ciqfunctions.udf.CIQ(InputTicker, "IQ_MINORITY_INTEREST_IS",Input!G$2,Date,,,Ccy,Conv)</f>
        <v>0</v>
      </c>
      <c r="F51" s="4">
        <f>_xll.ciqfunctions.udf.CIQ(InputTicker, "IQ_MINORITY_INTEREST_IS",Input!H$2,Date,,,Ccy,Conv)</f>
        <v>0</v>
      </c>
      <c r="G51" s="4">
        <f>_xll.ciqfunctions.udf.CIQ(InputTicker, "IQ_MINORITY_INTEREST_IS",Input!I$2,Date,,,Ccy,Conv)</f>
        <v>0</v>
      </c>
      <c r="H51" s="4">
        <f>_xll.ciqfunctions.udf.CIQ(InputTicker, "IQ_MINORITY_INTEREST_IS",Input!J$2,Date,,,Ccy,Conv)</f>
        <v>0</v>
      </c>
      <c r="I51" s="4">
        <f>_xll.ciqfunctions.udf.CIQ(InputTicker, "IQ_MINORITY_INTEREST_IS",Input!K$2,Date,,,Ccy,Conv)</f>
        <v>0</v>
      </c>
      <c r="J51" s="4">
        <f>_xll.ciqfunctions.udf.CIQ(InputTicker, "IQ_MINORITY_INTEREST_IS",Input!L$2,Date,,,Ccy,Conv)</f>
        <v>0</v>
      </c>
      <c r="K51" s="4">
        <f>_xll.ciqfunctions.udf.CIQ(InputTicker, "IQ_MINORITY_INTEREST_IS",Input!M$2,Date,,,Ccy,Conv)</f>
        <v>0</v>
      </c>
      <c r="L51" s="4">
        <f>_xll.ciqfunctions.udf.CIQ(InputTicker, "IQ_MINORITY_INTEREST_IS",Input!N$2,Date,,,Ccy,Conv)</f>
        <v>0</v>
      </c>
      <c r="M51" s="4">
        <f>_xll.ciqfunctions.udf.CIQ(InputTicker, "IQ_MINORITY_INTEREST_IS",Input!O$2,Date,,,Ccy,Conv)</f>
        <v>0</v>
      </c>
      <c r="N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</row>
    <row r="52" spans="1:66" ht="12.75" customHeight="1" thickBot="1" x14ac:dyDescent="0.25">
      <c r="A52" s="5" t="s">
        <v>22</v>
      </c>
      <c r="B52" s="9">
        <f>_xll.ciqfunctions.udf.CIQ(InputTicker, "IQ_NI",Input!D$2,Date,,,Ccy,Conv)</f>
        <v>13190</v>
      </c>
      <c r="C52" s="9">
        <f>_xll.ciqfunctions.udf.CIQ(InputTicker, "IQ_NI",Input!E$2,Date,,,Ccy,Conv)</f>
        <v>11872</v>
      </c>
      <c r="D52" s="9">
        <f>_xll.ciqfunctions.udf.CIQ(InputTicker, "IQ_NI",Input!F$2,Date,,,Ccy,Conv)</f>
        <v>5753</v>
      </c>
      <c r="E52" s="9">
        <f>_xll.ciqfunctions.udf.CIQ(InputTicker, "IQ_NI",Input!G$2,Date,,,Ccy,Conv)</f>
        <v>8728</v>
      </c>
      <c r="F52" s="9">
        <f>_xll.ciqfunctions.udf.CIQ(InputTicker, "IQ_NI",Input!H$2,Date,,,Ccy,Conv)</f>
        <v>9431</v>
      </c>
      <c r="G52" s="9">
        <f>_xll.ciqfunctions.udf.CIQ(InputTicker, "IQ_NI",Input!I$2,Date,,,Ccy,Conv)</f>
        <v>5590</v>
      </c>
      <c r="H52" s="9">
        <f>_xll.ciqfunctions.udf.CIQ(InputTicker, "IQ_NI",Input!J$2,Date,,,Ccy,Conv)</f>
        <v>5743</v>
      </c>
      <c r="I52" s="9">
        <f>_xll.ciqfunctions.udf.CIQ(InputTicker, "IQ_NI",Input!K$2,Date,,,Ccy,Conv)</f>
        <v>1639</v>
      </c>
      <c r="J52" s="9">
        <f>_xll.ciqfunctions.udf.CIQ(InputTicker, "IQ_NI",Input!L$2,Date,,,Ccy,Conv)</f>
        <v>7502</v>
      </c>
      <c r="K52" s="9">
        <f>_xll.ciqfunctions.udf.CIQ(InputTicker, "IQ_NI",Input!M$2,Date,,,Ccy,Conv)</f>
        <v>6023</v>
      </c>
      <c r="L52" s="9">
        <f>_xll.ciqfunctions.udf.CIQ(InputTicker, "IQ_NI",Input!N$2,Date,,,Ccy,Conv)</f>
        <v>10593</v>
      </c>
      <c r="M52" s="9">
        <f>_xll.ciqfunctions.udf.CIQ(InputTicker, "IQ_NI",Input!O$2,Date,,,Ccy,Conv)</f>
        <v>10593</v>
      </c>
      <c r="N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</row>
    <row r="53" spans="1:66" ht="12.75" customHeight="1" thickTop="1" x14ac:dyDescent="0.2">
      <c r="A53" s="1" t="s">
        <v>75</v>
      </c>
      <c r="B53" s="4">
        <f>_xll.ciqfunctions.udf.CIQ(InputTicker, "IQ_PREF_DIV_OTHER",Input!D$2,Date,,,Ccy,Conv)</f>
        <v>0</v>
      </c>
      <c r="C53" s="4">
        <f>_xll.ciqfunctions.udf.CIQ(InputTicker, "IQ_PREF_DIV_OTHER",Input!E$2,Date,,,Ccy,Conv)</f>
        <v>0</v>
      </c>
      <c r="D53" s="4">
        <f>_xll.ciqfunctions.udf.CIQ(InputTicker, "IQ_PREF_DIV_OTHER",Input!F$2,Date,,,Ccy,Conv)</f>
        <v>0</v>
      </c>
      <c r="E53" s="4">
        <f>_xll.ciqfunctions.udf.CIQ(InputTicker, "IQ_PREF_DIV_OTHER",Input!G$2,Date,,,Ccy,Conv)</f>
        <v>0</v>
      </c>
      <c r="F53" s="4">
        <f>_xll.ciqfunctions.udf.CIQ(InputTicker, "IQ_PREF_DIV_OTHER",Input!H$2,Date,,,Ccy,Conv)</f>
        <v>0</v>
      </c>
      <c r="G53" s="4">
        <f>_xll.ciqfunctions.udf.CIQ(InputTicker, "IQ_PREF_DIV_OTHER",Input!I$2,Date,,,Ccy,Conv)</f>
        <v>0</v>
      </c>
      <c r="H53" s="4">
        <f>_xll.ciqfunctions.udf.CIQ(InputTicker, "IQ_PREF_DIV_OTHER",Input!J$2,Date,,,Ccy,Conv)</f>
        <v>0</v>
      </c>
      <c r="I53" s="4">
        <f>_xll.ciqfunctions.udf.CIQ(InputTicker, "IQ_PREF_DIV_OTHER",Input!K$2,Date,,,Ccy,Conv)</f>
        <v>0</v>
      </c>
      <c r="J53" s="4">
        <f>_xll.ciqfunctions.udf.CIQ(InputTicker, "IQ_PREF_DIV_OTHER",Input!L$2,Date,,,Ccy,Conv)</f>
        <v>0</v>
      </c>
      <c r="K53" s="4">
        <f>_xll.ciqfunctions.udf.CIQ(InputTicker, "IQ_PREF_DIV_OTHER",Input!M$2,Date,,,Ccy,Conv)</f>
        <v>0</v>
      </c>
      <c r="L53" s="4">
        <f>_xll.ciqfunctions.udf.CIQ(InputTicker, "IQ_PREF_DIV_OTHER",Input!N$2,Date,,,Ccy,Conv)</f>
        <v>0</v>
      </c>
      <c r="M53" s="4">
        <f>_xll.ciqfunctions.udf.CIQ(InputTicker, "IQ_PREF_DIV_OTHER",Input!O$2,Date,,,Ccy,Conv)</f>
        <v>0</v>
      </c>
      <c r="N53" s="46"/>
      <c r="P53" s="46"/>
      <c r="Q53" s="46"/>
      <c r="R53" s="46"/>
      <c r="T53" s="42"/>
      <c r="U53" s="42"/>
      <c r="V53" s="46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</row>
    <row r="54" spans="1:66" ht="12.75" customHeight="1" x14ac:dyDescent="0.2">
      <c r="A54" s="5" t="s">
        <v>76</v>
      </c>
      <c r="B54" s="7">
        <f>_xll.ciqfunctions.udf.CIQ(InputTicker, "IQ_NI_AVAIL_INCL",Input!D$2,Date,,,Ccy,Conv)</f>
        <v>13190</v>
      </c>
      <c r="C54" s="7">
        <f>_xll.ciqfunctions.udf.CIQ(InputTicker, "IQ_NI_AVAIL_INCL",Input!E$2,Date,,,Ccy,Conv)</f>
        <v>11872</v>
      </c>
      <c r="D54" s="7">
        <f>_xll.ciqfunctions.udf.CIQ(InputTicker, "IQ_NI_AVAIL_INCL",Input!F$2,Date,,,Ccy,Conv)</f>
        <v>5753</v>
      </c>
      <c r="E54" s="7">
        <f>_xll.ciqfunctions.udf.CIQ(InputTicker, "IQ_NI_AVAIL_INCL",Input!G$2,Date,,,Ccy,Conv)</f>
        <v>8728</v>
      </c>
      <c r="F54" s="7">
        <f>_xll.ciqfunctions.udf.CIQ(InputTicker, "IQ_NI_AVAIL_INCL",Input!H$2,Date,,,Ccy,Conv)</f>
        <v>9431</v>
      </c>
      <c r="G54" s="7">
        <f>_xll.ciqfunctions.udf.CIQ(InputTicker, "IQ_NI_AVAIL_INCL",Input!I$2,Date,,,Ccy,Conv)</f>
        <v>5590</v>
      </c>
      <c r="H54" s="7">
        <f>_xll.ciqfunctions.udf.CIQ(InputTicker, "IQ_NI_AVAIL_INCL",Input!J$2,Date,,,Ccy,Conv)</f>
        <v>5743</v>
      </c>
      <c r="I54" s="7">
        <f>_xll.ciqfunctions.udf.CIQ(InputTicker, "IQ_NI_AVAIL_INCL",Input!K$2,Date,,,Ccy,Conv)</f>
        <v>1639</v>
      </c>
      <c r="J54" s="7">
        <f>_xll.ciqfunctions.udf.CIQ(InputTicker, "IQ_NI_AVAIL_INCL",Input!L$2,Date,,,Ccy,Conv)</f>
        <v>7502</v>
      </c>
      <c r="K54" s="7">
        <f>_xll.ciqfunctions.udf.CIQ(InputTicker, "IQ_NI_AVAIL_INCL",Input!M$2,Date,,,Ccy,Conv)</f>
        <v>6023</v>
      </c>
      <c r="L54" s="7">
        <f>_xll.ciqfunctions.udf.CIQ(InputTicker, "IQ_NI_AVAIL_INCL",Input!N$2,Date,,,Ccy,Conv)</f>
        <v>10593</v>
      </c>
      <c r="M54" s="7">
        <f>_xll.ciqfunctions.udf.CIQ(InputTicker, "IQ_NI_AVAIL_INCL",Input!O$2,Date,,,Ccy,Conv)</f>
        <v>10593</v>
      </c>
      <c r="N54" s="46"/>
      <c r="P54" s="46"/>
      <c r="Q54" s="46"/>
      <c r="R54" s="46"/>
      <c r="T54" s="42"/>
      <c r="U54" s="42"/>
      <c r="V54" s="46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42"/>
      <c r="BL54" s="42"/>
      <c r="BM54" s="42"/>
      <c r="BN54" s="42"/>
    </row>
    <row r="55" spans="1:66" ht="12.75" customHeight="1" x14ac:dyDescent="0.2">
      <c r="A55" s="5" t="s">
        <v>77</v>
      </c>
      <c r="B55" s="7">
        <f>_xll.ciqfunctions.udf.CIQ(InputTicker, "IQ_NI_AVAIL_EXCL",Input!D$2,Date,,,Ccy,Conv)</f>
        <v>13364</v>
      </c>
      <c r="C55" s="7">
        <f>_xll.ciqfunctions.udf.CIQ(InputTicker, "IQ_NI_AVAIL_EXCL",Input!E$2,Date,,,Ccy,Conv)</f>
        <v>11881</v>
      </c>
      <c r="D55" s="7">
        <f>_xll.ciqfunctions.udf.CIQ(InputTicker, "IQ_NI_AVAIL_EXCL",Input!F$2,Date,,,Ccy,Conv)</f>
        <v>5758</v>
      </c>
      <c r="E55" s="7">
        <f>_xll.ciqfunctions.udf.CIQ(InputTicker, "IQ_NI_AVAIL_EXCL",Input!G$2,Date,,,Ccy,Conv)</f>
        <v>8723</v>
      </c>
      <c r="F55" s="7">
        <f>_xll.ciqfunctions.udf.CIQ(InputTicker, "IQ_NI_AVAIL_EXCL",Input!H$2,Date,,,Ccy,Conv)</f>
        <v>7146</v>
      </c>
      <c r="G55" s="7">
        <f>_xll.ciqfunctions.udf.CIQ(InputTicker, "IQ_NI_AVAIL_EXCL",Input!I$2,Date,,,Ccy,Conv)</f>
        <v>3932</v>
      </c>
      <c r="H55" s="7">
        <f>_xll.ciqfunctions.udf.CIQ(InputTicker, "IQ_NI_AVAIL_EXCL",Input!J$2,Date,,,Ccy,Conv)</f>
        <v>4713</v>
      </c>
      <c r="I55" s="7">
        <f>_xll.ciqfunctions.udf.CIQ(InputTicker, "IQ_NI_AVAIL_EXCL",Input!K$2,Date,,,Ccy,Conv)</f>
        <v>1782</v>
      </c>
      <c r="J55" s="7">
        <f>_xll.ciqfunctions.udf.CIQ(InputTicker, "IQ_NI_AVAIL_EXCL",Input!L$2,Date,,,Ccy,Conv)</f>
        <v>7514</v>
      </c>
      <c r="K55" s="7">
        <f>_xll.ciqfunctions.udf.CIQ(InputTicker, "IQ_NI_AVAIL_EXCL",Input!M$2,Date,,,Ccy,Conv)</f>
        <v>6015</v>
      </c>
      <c r="L55" s="7">
        <f>_xll.ciqfunctions.udf.CIQ(InputTicker, "IQ_NI_AVAIL_EXCL",Input!N$2,Date,,,Ccy,Conv)</f>
        <v>10571</v>
      </c>
      <c r="M55" s="7">
        <f>_xll.ciqfunctions.udf.CIQ(InputTicker, "IQ_NI_AVAIL_EXCL",Input!O$2,Date,,,Ccy,Conv)</f>
        <v>10571</v>
      </c>
      <c r="N55" s="46"/>
      <c r="P55" s="46"/>
      <c r="Q55" s="46"/>
      <c r="R55" s="46"/>
      <c r="T55" s="42"/>
      <c r="U55" s="42"/>
      <c r="V55" s="46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  <c r="BA55" s="42"/>
      <c r="BB55" s="42"/>
      <c r="BC55" s="42"/>
      <c r="BD55" s="42"/>
      <c r="BE55" s="42"/>
      <c r="BF55" s="42"/>
      <c r="BG55" s="42"/>
      <c r="BH55" s="42"/>
      <c r="BI55" s="42"/>
      <c r="BJ55" s="42"/>
      <c r="BK55" s="42"/>
      <c r="BL55" s="42"/>
      <c r="BM55" s="42"/>
      <c r="BN55" s="42"/>
    </row>
    <row r="56" spans="1:66" ht="12.75" customHeight="1" x14ac:dyDescent="0.2">
      <c r="A56" s="1" t="s">
        <v>78</v>
      </c>
      <c r="B56" s="11">
        <f>_xll.ciqfunctions.udf.CIQ(InputTicker, "IQ_BASIC_EPS_INCL",Input!D$2,Date,,,Ccy,Conv)</f>
        <v>13.47645</v>
      </c>
      <c r="C56" s="11">
        <f>_xll.ciqfunctions.udf.CIQ(InputTicker, "IQ_BASIC_EPS_INCL",Input!E$2,Date,,,Ccy,Conv)</f>
        <v>12.42592</v>
      </c>
      <c r="D56" s="11">
        <f>_xll.ciqfunctions.udf.CIQ(InputTicker, "IQ_BASIC_EPS_INCL",Input!F$2,Date,,,Ccy,Conv)</f>
        <v>6.1672700000000003</v>
      </c>
      <c r="E56" s="11">
        <f>_xll.ciqfunctions.udf.CIQ(InputTicker, "IQ_BASIC_EPS_INCL",Input!G$2,Date,,,Ccy,Conv)</f>
        <v>9.5696700000000003</v>
      </c>
      <c r="F56" s="11">
        <f>_xll.ciqfunctions.udf.CIQ(InputTicker, "IQ_BASIC_EPS_INCL",Input!H$2,Date,,,Ccy,Conv)</f>
        <v>10.62965</v>
      </c>
      <c r="G56" s="11">
        <f>_xll.ciqfunctions.udf.CIQ(InputTicker, "IQ_BASIC_EPS_INCL",Input!I$2,Date,,,Ccy,Conv)</f>
        <v>6.2784399999999998</v>
      </c>
      <c r="H56" s="11">
        <f>_xll.ciqfunctions.udf.CIQ(InputTicker, "IQ_BASIC_EPS_INCL",Input!J$2,Date,,,Ccy,Conv)</f>
        <v>6.4096599999999997</v>
      </c>
      <c r="I56" s="11">
        <f>_xll.ciqfunctions.udf.CIQ(InputTicker, "IQ_BASIC_EPS_INCL",Input!K$2,Date,,,Ccy,Conv)</f>
        <v>1.8157399999999999</v>
      </c>
      <c r="J56" s="11">
        <f>_xll.ciqfunctions.udf.CIQ(InputTicker, "IQ_BASIC_EPS_INCL",Input!L$2,Date,,,Ccy,Conv)</f>
        <v>8.2330100000000002</v>
      </c>
      <c r="K56" s="11">
        <f>_xll.ciqfunctions.udf.CIQ(InputTicker, "IQ_BASIC_EPS_INCL",Input!M$2,Date,,,Ccy,Conv)</f>
        <v>6.5341800000000001</v>
      </c>
      <c r="L56" s="11">
        <f>_xll.ciqfunctions.udf.CIQ(InputTicker, "IQ_BASIC_EPS_INCL",Input!N$2,Date,,,Ccy,Conv)</f>
        <v>11.362299999999999</v>
      </c>
      <c r="M56" s="11">
        <f>_xll.ciqfunctions.udf.CIQ(InputTicker, "IQ_BASIC_EPS_INCL",Input!O$2,Date,,,Ccy,Conv)</f>
        <v>11.362299999999999</v>
      </c>
      <c r="N56" s="47"/>
      <c r="P56" s="48"/>
      <c r="Q56" s="48"/>
      <c r="R56" s="48"/>
      <c r="T56" s="42"/>
      <c r="U56" s="42"/>
      <c r="V56" s="48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</row>
    <row r="57" spans="1:66" ht="12.75" customHeight="1" x14ac:dyDescent="0.2">
      <c r="A57" s="1" t="s">
        <v>79</v>
      </c>
      <c r="B57" s="11">
        <f>_xll.ciqfunctions.udf.CIQ(InputTicker, "IQ_BASIC_EPS_EXCL",Input!D$2,Date,,,Ccy,Conv)</f>
        <v>13.65423</v>
      </c>
      <c r="C57" s="11">
        <f>_xll.ciqfunctions.udf.CIQ(InputTicker, "IQ_BASIC_EPS_EXCL",Input!E$2,Date,,,Ccy,Conv)</f>
        <v>12.43534</v>
      </c>
      <c r="D57" s="11">
        <f>_xll.ciqfunctions.udf.CIQ(InputTicker, "IQ_BASIC_EPS_EXCL",Input!F$2,Date,,,Ccy,Conv)</f>
        <v>6.1726299999999998</v>
      </c>
      <c r="E57" s="11">
        <f>_xll.ciqfunctions.udf.CIQ(InputTicker, "IQ_BASIC_EPS_EXCL",Input!G$2,Date,,,Ccy,Conv)</f>
        <v>9.56419</v>
      </c>
      <c r="F57" s="11">
        <f>_xll.ciqfunctions.udf.CIQ(InputTicker, "IQ_BASIC_EPS_EXCL",Input!H$2,Date,,,Ccy,Conv)</f>
        <v>8.0542300000000004</v>
      </c>
      <c r="G57" s="11">
        <f>_xll.ciqfunctions.udf.CIQ(InputTicker, "IQ_BASIC_EPS_EXCL",Input!I$2,Date,,,Ccy,Conv)</f>
        <v>4.4162499999999998</v>
      </c>
      <c r="H57" s="11">
        <f>_xll.ciqfunctions.udf.CIQ(InputTicker, "IQ_BASIC_EPS_EXCL",Input!J$2,Date,,,Ccy,Conv)</f>
        <v>5.2601000000000004</v>
      </c>
      <c r="I57" s="11">
        <f>_xll.ciqfunctions.udf.CIQ(InputTicker, "IQ_BASIC_EPS_EXCL",Input!K$2,Date,,,Ccy,Conv)</f>
        <v>1.9741599999999999</v>
      </c>
      <c r="J57" s="11">
        <f>_xll.ciqfunctions.udf.CIQ(InputTicker, "IQ_BASIC_EPS_EXCL",Input!L$2,Date,,,Ccy,Conv)</f>
        <v>8.2461800000000007</v>
      </c>
      <c r="K57" s="11">
        <f>_xll.ciqfunctions.udf.CIQ(InputTicker, "IQ_BASIC_EPS_EXCL",Input!M$2,Date,,,Ccy,Conv)</f>
        <v>6.5255000000000001</v>
      </c>
      <c r="L57" s="11">
        <f>_xll.ciqfunctions.udf.CIQ(InputTicker, "IQ_BASIC_EPS_EXCL",Input!N$2,Date,,,Ccy,Conv)</f>
        <v>11.338699999999999</v>
      </c>
      <c r="M57" s="11">
        <f>_xll.ciqfunctions.udf.CIQ(InputTicker, "IQ_BASIC_EPS_EXCL",Input!O$2,Date,,,Ccy,Conv)</f>
        <v>11.338699999999999</v>
      </c>
      <c r="N57" s="47"/>
      <c r="P57" s="48"/>
      <c r="Q57" s="48"/>
      <c r="R57" s="48"/>
      <c r="T57" s="42"/>
      <c r="U57" s="42"/>
      <c r="V57" s="48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  <c r="BA57" s="42"/>
      <c r="BB57" s="42"/>
      <c r="BC57" s="42"/>
      <c r="BD57" s="42"/>
      <c r="BE57" s="42"/>
      <c r="BF57" s="42"/>
      <c r="BG57" s="42"/>
      <c r="BH57" s="42"/>
      <c r="BI57" s="42"/>
      <c r="BJ57" s="42"/>
      <c r="BK57" s="42"/>
      <c r="BL57" s="42"/>
      <c r="BM57" s="42"/>
      <c r="BN57" s="42"/>
    </row>
    <row r="58" spans="1:66" ht="12.75" customHeight="1" x14ac:dyDescent="0.2">
      <c r="A58" s="1" t="s">
        <v>80</v>
      </c>
      <c r="B58" s="12">
        <f>_xll.ciqfunctions.udf.CIQ(InputTicker, "IQ_BASIC_WEIGHT",Input!D$2,Date)</f>
        <v>978.74451999999997</v>
      </c>
      <c r="C58" s="12">
        <f>_xll.ciqfunctions.udf.CIQ(InputTicker, "IQ_BASIC_WEIGHT",Input!E$2,Date)</f>
        <v>955.42253000000005</v>
      </c>
      <c r="D58" s="12">
        <f>_xll.ciqfunctions.udf.CIQ(InputTicker, "IQ_BASIC_WEIGHT",Input!F$2,Date)</f>
        <v>932.82830000000001</v>
      </c>
      <c r="E58" s="12">
        <f>_xll.ciqfunctions.udf.CIQ(InputTicker, "IQ_BASIC_WEIGHT",Input!G$2,Date)</f>
        <v>912.04807000000005</v>
      </c>
      <c r="F58" s="12">
        <f>_xll.ciqfunctions.udf.CIQ(InputTicker, "IQ_BASIC_WEIGHT",Input!H$2,Date)</f>
        <v>887.23510999999996</v>
      </c>
      <c r="G58" s="12">
        <f>_xll.ciqfunctions.udf.CIQ(InputTicker, "IQ_BASIC_WEIGHT",Input!I$2,Date)</f>
        <v>890.34867999999994</v>
      </c>
      <c r="H58" s="12">
        <f>_xll.ciqfunctions.udf.CIQ(InputTicker, "IQ_BASIC_WEIGHT",Input!J$2,Date)</f>
        <v>895.99077</v>
      </c>
      <c r="I58" s="12">
        <f>_xll.ciqfunctions.udf.CIQ(InputTicker, "IQ_BASIC_WEIGHT",Input!K$2,Date)</f>
        <v>902.66418999999996</v>
      </c>
      <c r="J58" s="12">
        <f>_xll.ciqfunctions.udf.CIQ(InputTicker, "IQ_BASIC_WEIGHT",Input!L$2,Date)</f>
        <v>911.21032000000002</v>
      </c>
      <c r="K58" s="12">
        <f>_xll.ciqfunctions.udf.CIQ(InputTicker, "IQ_BASIC_WEIGHT",Input!M$2,Date)</f>
        <v>921.76783</v>
      </c>
      <c r="L58" s="12">
        <f>_xll.ciqfunctions.udf.CIQ(InputTicker, "IQ_BASIC_WEIGHT",Input!N$2,Date)</f>
        <v>932.29393000000005</v>
      </c>
      <c r="M58" s="12">
        <f>_xll.ciqfunctions.udf.CIQ(InputTicker, "IQ_BASIC_WEIGHT",Input!O$2,Date)</f>
        <v>932.29393000000005</v>
      </c>
      <c r="N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</row>
    <row r="59" spans="1:66" ht="12.75" customHeight="1" x14ac:dyDescent="0.2">
      <c r="A59" s="1" t="s">
        <v>81</v>
      </c>
      <c r="B59" s="11">
        <f>_xll.ciqfunctions.udf.CIQ(InputTicker, "IQ_DILUT_EPS_INCL",Input!D$2,Date,,,Ccy,Conv)</f>
        <v>13.42118</v>
      </c>
      <c r="C59" s="11">
        <f>_xll.ciqfunctions.udf.CIQ(InputTicker, "IQ_DILUT_EPS_INCL",Input!E$2,Date,,,Ccy,Conv)</f>
        <v>12.380610000000001</v>
      </c>
      <c r="D59" s="11">
        <f>_xll.ciqfunctions.udf.CIQ(InputTicker, "IQ_DILUT_EPS_INCL",Input!F$2,Date,,,Ccy,Conv)</f>
        <v>6.1351500000000003</v>
      </c>
      <c r="E59" s="11">
        <f>_xll.ciqfunctions.udf.CIQ(InputTicker, "IQ_DILUT_EPS_INCL",Input!G$2,Date,,,Ccy,Conv)</f>
        <v>9.5196400000000008</v>
      </c>
      <c r="F59" s="11">
        <f>_xll.ciqfunctions.udf.CIQ(InputTicker, "IQ_DILUT_EPS_INCL",Input!H$2,Date,,,Ccy,Conv)</f>
        <v>10.559329999999999</v>
      </c>
      <c r="G59" s="11">
        <f>_xll.ciqfunctions.udf.CIQ(InputTicker, "IQ_DILUT_EPS_INCL",Input!I$2,Date,,,Ccy,Conv)</f>
        <v>6.2326800000000002</v>
      </c>
      <c r="H59" s="11">
        <f>_xll.ciqfunctions.udf.CIQ(InputTicker, "IQ_DILUT_EPS_INCL",Input!J$2,Date,,,Ccy,Conv)</f>
        <v>6.3485699999999996</v>
      </c>
      <c r="I59" s="11">
        <f>_xll.ciqfunctions.udf.CIQ(InputTicker, "IQ_DILUT_EPS_INCL",Input!K$2,Date,,,Ccy,Conv)</f>
        <v>1.79325</v>
      </c>
      <c r="J59" s="11">
        <f>_xll.ciqfunctions.udf.CIQ(InputTicker, "IQ_DILUT_EPS_INCL",Input!L$2,Date,,,Ccy,Conv)</f>
        <v>8.1369900000000008</v>
      </c>
      <c r="K59" s="11">
        <f>_xll.ciqfunctions.udf.CIQ(InputTicker, "IQ_DILUT_EPS_INCL",Input!M$2,Date,,,Ccy,Conv)</f>
        <v>6.4285399999999999</v>
      </c>
      <c r="L59" s="11">
        <f>_xll.ciqfunctions.udf.CIQ(InputTicker, "IQ_DILUT_EPS_INCL",Input!N$2,Date,,,Ccy,Conv)</f>
        <v>11.16319</v>
      </c>
      <c r="M59" s="11">
        <f>_xll.ciqfunctions.udf.CIQ(InputTicker, "IQ_DILUT_EPS_INCL",Input!O$2,Date,,,Ccy,Conv)</f>
        <v>11.16319</v>
      </c>
      <c r="N59" s="48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</row>
    <row r="60" spans="1:66" ht="12.75" customHeight="1" x14ac:dyDescent="0.2">
      <c r="A60" s="1" t="s">
        <v>82</v>
      </c>
      <c r="B60" s="11">
        <f>_xll.ciqfunctions.udf.CIQ(InputTicker, "IQ_DILUT_EPS_EXCL",Input!D$2,Date,,,Ccy,Conv)</f>
        <v>13.59825</v>
      </c>
      <c r="C60" s="11">
        <f>_xll.ciqfunctions.udf.CIQ(InputTicker, "IQ_DILUT_EPS_EXCL",Input!E$2,Date,,,Ccy,Conv)</f>
        <v>12.39</v>
      </c>
      <c r="D60" s="11">
        <f>_xll.ciqfunctions.udf.CIQ(InputTicker, "IQ_DILUT_EPS_EXCL",Input!F$2,Date,,,Ccy,Conv)</f>
        <v>6.1404800000000002</v>
      </c>
      <c r="E60" s="11">
        <f>_xll.ciqfunctions.udf.CIQ(InputTicker, "IQ_DILUT_EPS_EXCL",Input!G$2,Date,,,Ccy,Conv)</f>
        <v>9.5141899999999993</v>
      </c>
      <c r="F60" s="11">
        <f>_xll.ciqfunctions.udf.CIQ(InputTicker, "IQ_DILUT_EPS_EXCL",Input!H$2,Date,,,Ccy,Conv)</f>
        <v>8</v>
      </c>
      <c r="G60" s="11">
        <f>_xll.ciqfunctions.udf.CIQ(InputTicker, "IQ_DILUT_EPS_EXCL",Input!I$2,Date,,,Ccy,Conv)</f>
        <v>4.3834</v>
      </c>
      <c r="H60" s="11">
        <f>_xll.ciqfunctions.udf.CIQ(InputTicker, "IQ_DILUT_EPS_EXCL",Input!J$2,Date,,,Ccy,Conv)</f>
        <v>5.21</v>
      </c>
      <c r="I60" s="11">
        <f>_xll.ciqfunctions.udf.CIQ(InputTicker, "IQ_DILUT_EPS_EXCL",Input!K$2,Date,,,Ccy,Conv)</f>
        <v>1.95</v>
      </c>
      <c r="J60" s="11">
        <f>_xll.ciqfunctions.udf.CIQ(InputTicker, "IQ_DILUT_EPS_EXCL",Input!L$2,Date,,,Ccy,Conv)</f>
        <v>8.15</v>
      </c>
      <c r="K60" s="11">
        <f>_xll.ciqfunctions.udf.CIQ(InputTicker, "IQ_DILUT_EPS_EXCL",Input!M$2,Date,,,Ccy,Conv)</f>
        <v>6.42</v>
      </c>
      <c r="L60" s="11">
        <f>_xll.ciqfunctions.udf.CIQ(InputTicker, "IQ_DILUT_EPS_EXCL",Input!N$2,Date,,,Ccy,Conv)</f>
        <v>11.14</v>
      </c>
      <c r="M60" s="11">
        <f>_xll.ciqfunctions.udf.CIQ(InputTicker, "IQ_DILUT_EPS_EXCL",Input!O$2,Date,,,Ccy,Conv)</f>
        <v>11.14</v>
      </c>
      <c r="N60" s="48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  <c r="BA60" s="42"/>
      <c r="BB60" s="42"/>
      <c r="BC60" s="42"/>
      <c r="BD60" s="42"/>
      <c r="BE60" s="42"/>
      <c r="BF60" s="42"/>
      <c r="BG60" s="42"/>
      <c r="BH60" s="42"/>
      <c r="BI60" s="42"/>
      <c r="BJ60" s="42"/>
      <c r="BK60" s="42"/>
      <c r="BL60" s="42"/>
      <c r="BM60" s="42"/>
      <c r="BN60" s="42"/>
    </row>
    <row r="61" spans="1:66" ht="12.75" customHeight="1" x14ac:dyDescent="0.2">
      <c r="A61" s="1" t="s">
        <v>83</v>
      </c>
      <c r="B61" s="12">
        <f>_xll.ciqfunctions.udf.CIQ(InputTicker, "IQ_DILUT_WEIGHT",Input!D$2,Date)</f>
        <v>982.70027000000005</v>
      </c>
      <c r="C61" s="12">
        <f>_xll.ciqfunctions.udf.CIQ(InputTicker, "IQ_DILUT_WEIGHT",Input!E$2,Date)</f>
        <v>958.71410000000003</v>
      </c>
      <c r="D61" s="12">
        <f>_xll.ciqfunctions.udf.CIQ(InputTicker, "IQ_DILUT_WEIGHT",Input!F$2,Date)</f>
        <v>937.38562999999999</v>
      </c>
      <c r="E61" s="12">
        <f>_xll.ciqfunctions.udf.CIQ(InputTicker, "IQ_DILUT_WEIGHT",Input!G$2,Date)</f>
        <v>916.31570999999997</v>
      </c>
      <c r="F61" s="12">
        <f>_xll.ciqfunctions.udf.CIQ(InputTicker, "IQ_DILUT_WEIGHT",Input!H$2,Date)</f>
        <v>892.81338000000005</v>
      </c>
      <c r="G61" s="12">
        <f>_xll.ciqfunctions.udf.CIQ(InputTicker, "IQ_DILUT_WEIGHT",Input!I$2,Date)</f>
        <v>896.56397000000004</v>
      </c>
      <c r="H61" s="12">
        <f>_xll.ciqfunctions.udf.CIQ(InputTicker, "IQ_DILUT_WEIGHT",Input!J$2,Date)</f>
        <v>904.64099999999996</v>
      </c>
      <c r="I61" s="12">
        <f>_xll.ciqfunctions.udf.CIQ(InputTicker, "IQ_DILUT_WEIGHT",Input!K$2,Date)</f>
        <v>912.26905999999997</v>
      </c>
      <c r="J61" s="12">
        <f>_xll.ciqfunctions.udf.CIQ(InputTicker, "IQ_DILUT_WEIGHT",Input!L$2,Date)</f>
        <v>922.07383000000004</v>
      </c>
      <c r="K61" s="12">
        <f>_xll.ciqfunctions.udf.CIQ(InputTicker, "IQ_DILUT_WEIGHT",Input!M$2,Date)</f>
        <v>937.16121999999996</v>
      </c>
      <c r="L61" s="12">
        <f>_xll.ciqfunctions.udf.CIQ(InputTicker, "IQ_DILUT_WEIGHT",Input!N$2,Date)</f>
        <v>948.67523000000006</v>
      </c>
      <c r="M61" s="12">
        <f>_xll.ciqfunctions.udf.CIQ(InputTicker, "IQ_DILUT_WEIGHT",Input!O$2,Date)</f>
        <v>948.67523000000006</v>
      </c>
      <c r="N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  <c r="BA61" s="42"/>
      <c r="BB61" s="42"/>
      <c r="BC61" s="42"/>
      <c r="BD61" s="42"/>
      <c r="BE61" s="42"/>
      <c r="BF61" s="42"/>
      <c r="BG61" s="42"/>
      <c r="BH61" s="42"/>
      <c r="BI61" s="42"/>
      <c r="BJ61" s="42"/>
      <c r="BK61" s="42"/>
      <c r="BL61" s="42"/>
      <c r="BM61" s="42"/>
      <c r="BN61" s="42"/>
    </row>
    <row r="62" spans="1:66" ht="12.75" customHeight="1" x14ac:dyDescent="0.2">
      <c r="A62" s="1" t="s">
        <v>311</v>
      </c>
      <c r="B62" s="11">
        <f>_xll.ciqfunctions.udf.CIQ(InputTicker, "IQ_EPS_NORM",Input!D$2,Date,,,Ccy,Conv)</f>
        <v>10.740159999999999</v>
      </c>
      <c r="C62" s="11">
        <f>_xll.ciqfunctions.udf.CIQ(InputTicker, "IQ_EPS_NORM",Input!E$2,Date,,,Ccy,Conv)</f>
        <v>8.7821099999999994</v>
      </c>
      <c r="D62" s="11">
        <f>_xll.ciqfunctions.udf.CIQ(InputTicker, "IQ_EPS_NORM",Input!F$2,Date,,,Ccy,Conv)</f>
        <v>7.6380600000000003</v>
      </c>
      <c r="E62" s="11">
        <f>_xll.ciqfunctions.udf.CIQ(InputTicker, "IQ_EPS_NORM",Input!G$2,Date,,,Ccy,Conv)</f>
        <v>7.7723399999999998</v>
      </c>
      <c r="F62" s="11">
        <f>_xll.ciqfunctions.udf.CIQ(InputTicker, "IQ_EPS_NORM",Input!H$2,Date,,,Ccy,Conv)</f>
        <v>4.5393800000000004</v>
      </c>
      <c r="G62" s="11">
        <f>_xll.ciqfunctions.udf.CIQ(InputTicker, "IQ_EPS_NORM",Input!I$2,Date,,,Ccy,Conv)</f>
        <v>1.8054699999999999</v>
      </c>
      <c r="H62" s="11">
        <f>_xll.ciqfunctions.udf.CIQ(InputTicker, "IQ_EPS_NORM",Input!J$2,Date,,,Ccy,Conv)</f>
        <v>3.2812800000000002</v>
      </c>
      <c r="I62" s="11">
        <f>_xll.ciqfunctions.udf.CIQ(InputTicker, "IQ_EPS_NORM",Input!K$2,Date,,,Ccy,Conv)</f>
        <v>4.8952299999999997</v>
      </c>
      <c r="J62" s="11">
        <f>_xll.ciqfunctions.udf.CIQ(InputTicker, "IQ_EPS_NORM",Input!L$2,Date,,,Ccy,Conv)</f>
        <v>5.9337299999999997</v>
      </c>
      <c r="K62" s="11">
        <f>_xll.ciqfunctions.udf.CIQ(InputTicker, "IQ_EPS_NORM",Input!M$2,Date,,,Ccy,Conv)</f>
        <v>6.1817399999999996</v>
      </c>
      <c r="L62" s="11">
        <f>_xll.ciqfunctions.udf.CIQ(InputTicker, "IQ_EPS_NORM",Input!N$2,Date,,,Ccy,Conv)</f>
        <v>7.48088</v>
      </c>
      <c r="M62" s="11">
        <f>_xll.ciqfunctions.udf.CIQ(InputTicker, "IQ_EPS_NORM",Input!O$2,Date,,,Ccy,Conv)</f>
        <v>7.48088</v>
      </c>
      <c r="N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  <c r="BA62" s="42"/>
      <c r="BB62" s="42"/>
      <c r="BC62" s="42"/>
      <c r="BD62" s="42"/>
      <c r="BE62" s="42"/>
      <c r="BF62" s="42"/>
      <c r="BG62" s="42"/>
      <c r="BH62" s="42"/>
      <c r="BI62" s="42"/>
      <c r="BJ62" s="42"/>
      <c r="BK62" s="42"/>
      <c r="BL62" s="42"/>
      <c r="BM62" s="42"/>
      <c r="BN62" s="42"/>
    </row>
    <row r="63" spans="1:66" ht="12.75" customHeight="1" x14ac:dyDescent="0.2">
      <c r="A63" s="1" t="s">
        <v>312</v>
      </c>
      <c r="B63" s="11">
        <f>_xll.ciqfunctions.udf.CIQ(InputTicker, "IQ_DILUT_EPS_NORM",Input!D$2,Date,,,Ccy,Conv)</f>
        <v>10.69693</v>
      </c>
      <c r="C63" s="11">
        <f>_xll.ciqfunctions.udf.CIQ(InputTicker, "IQ_DILUT_EPS_NORM",Input!E$2,Date,,,Ccy,Conv)</f>
        <v>8.7519600000000004</v>
      </c>
      <c r="D63" s="11">
        <f>_xll.ciqfunctions.udf.CIQ(InputTicker, "IQ_DILUT_EPS_NORM",Input!F$2,Date,,,Ccy,Conv)</f>
        <v>7.60093</v>
      </c>
      <c r="E63" s="11">
        <f>_xll.ciqfunctions.udf.CIQ(InputTicker, "IQ_DILUT_EPS_NORM",Input!G$2,Date,,,Ccy,Conv)</f>
        <v>7.7361399999999998</v>
      </c>
      <c r="F63" s="11">
        <f>_xll.ciqfunctions.udf.CIQ(InputTicker, "IQ_DILUT_EPS_NORM",Input!H$2,Date,,,Ccy,Conv)</f>
        <v>4.5110200000000003</v>
      </c>
      <c r="G63" s="11">
        <f>_xll.ciqfunctions.udf.CIQ(InputTicker, "IQ_DILUT_EPS_NORM",Input!I$2,Date,,,Ccy,Conv)</f>
        <v>1.7929600000000001</v>
      </c>
      <c r="H63" s="11">
        <f>_xll.ciqfunctions.udf.CIQ(InputTicker, "IQ_DILUT_EPS_NORM",Input!J$2,Date,,,Ccy,Conv)</f>
        <v>3.2499099999999999</v>
      </c>
      <c r="I63" s="11">
        <f>_xll.ciqfunctions.udf.CIQ(InputTicker, "IQ_DILUT_EPS_NORM",Input!K$2,Date,,,Ccy,Conv)</f>
        <v>4.8436899999999996</v>
      </c>
      <c r="J63" s="11">
        <f>_xll.ciqfunctions.udf.CIQ(InputTicker, "IQ_DILUT_EPS_NORM",Input!L$2,Date,,,Ccy,Conv)</f>
        <v>5.8638199999999996</v>
      </c>
      <c r="K63" s="11">
        <f>_xll.ciqfunctions.udf.CIQ(InputTicker, "IQ_DILUT_EPS_NORM",Input!M$2,Date,,,Ccy,Conv)</f>
        <v>6.0801999999999996</v>
      </c>
      <c r="L63" s="11">
        <f>_xll.ciqfunctions.udf.CIQ(InputTicker, "IQ_DILUT_EPS_NORM",Input!N$2,Date,,,Ccy,Conv)</f>
        <v>7.3517000000000001</v>
      </c>
      <c r="M63" s="11">
        <f>_xll.ciqfunctions.udf.CIQ(InputTicker, "IQ_DILUT_EPS_NORM",Input!O$2,Date,,,Ccy,Conv)</f>
        <v>7.3517000000000001</v>
      </c>
      <c r="N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  <c r="BA63" s="42"/>
      <c r="BB63" s="42"/>
      <c r="BC63" s="42"/>
      <c r="BD63" s="42"/>
      <c r="BE63" s="42"/>
      <c r="BF63" s="42"/>
      <c r="BG63" s="42"/>
      <c r="BH63" s="42"/>
      <c r="BI63" s="42"/>
      <c r="BJ63" s="42"/>
      <c r="BK63" s="42"/>
      <c r="BL63" s="42"/>
      <c r="BM63" s="42"/>
      <c r="BN63" s="42"/>
    </row>
    <row r="64" spans="1:66" ht="12.75" customHeight="1" x14ac:dyDescent="0.2">
      <c r="A64" s="1" t="s">
        <v>391</v>
      </c>
      <c r="B64" s="4">
        <f>_xll.ciqfunctions.udf.CIQ(InputTicker, "IQ_DISTRIBUTABLE_CASH_PER_SHARE_DILUTED",Input!D$2,Date,,,Ccy,Conv)</f>
        <v>0</v>
      </c>
      <c r="C64" s="4">
        <f>_xll.ciqfunctions.udf.CIQ(InputTicker, "IQ_DISTRIBUTABLE_CASH_PER_SHARE_DILUTED",Input!E$2,Date,,,Ccy,Conv)</f>
        <v>0</v>
      </c>
      <c r="D64" s="4">
        <f>_xll.ciqfunctions.udf.CIQ(InputTicker, "IQ_DISTRIBUTABLE_CASH_PER_SHARE_DILUTED",Input!F$2,Date,,,Ccy,Conv)</f>
        <v>0</v>
      </c>
      <c r="E64" s="4">
        <f>_xll.ciqfunctions.udf.CIQ(InputTicker, "IQ_DISTRIBUTABLE_CASH_PER_SHARE_DILUTED",Input!G$2,Date,,,Ccy,Conv)</f>
        <v>0</v>
      </c>
      <c r="F64" s="4">
        <f>_xll.ciqfunctions.udf.CIQ(InputTicker, "IQ_DISTRIBUTABLE_CASH_PER_SHARE_DILUTED",Input!H$2,Date,,,Ccy,Conv)</f>
        <v>0</v>
      </c>
      <c r="G64" s="4">
        <f>_xll.ciqfunctions.udf.CIQ(InputTicker, "IQ_DISTRIBUTABLE_CASH_PER_SHARE_DILUTED",Input!I$2,Date,,,Ccy,Conv)</f>
        <v>0</v>
      </c>
      <c r="H64" s="4">
        <f>_xll.ciqfunctions.udf.CIQ(InputTicker, "IQ_DISTRIBUTABLE_CASH_PER_SHARE_DILUTED",Input!J$2,Date,,,Ccy,Conv)</f>
        <v>0</v>
      </c>
      <c r="I64" s="4">
        <f>_xll.ciqfunctions.udf.CIQ(InputTicker, "IQ_DISTRIBUTABLE_CASH_PER_SHARE_DILUTED",Input!K$2,Date,,,Ccy,Conv)</f>
        <v>0</v>
      </c>
      <c r="J64" s="4">
        <f>_xll.ciqfunctions.udf.CIQ(InputTicker, "IQ_DISTRIBUTABLE_CASH_PER_SHARE_DILUTED",Input!L$2,Date,,,Ccy,Conv)</f>
        <v>0</v>
      </c>
      <c r="K64" s="4">
        <f>_xll.ciqfunctions.udf.CIQ(InputTicker, "IQ_DISTRIBUTABLE_CASH_PER_SHARE_DILUTED",Input!M$2,Date,,,Ccy,Conv)</f>
        <v>0</v>
      </c>
      <c r="L64" s="4">
        <f>_xll.ciqfunctions.udf.CIQ(InputTicker, "IQ_DISTRIBUTABLE_CASH_PER_SHARE_DILUTED",Input!N$2,Date,,,Ccy,Conv)</f>
        <v>0</v>
      </c>
      <c r="M64" s="4">
        <f>_xll.ciqfunctions.udf.CIQ(InputTicker, "IQ_DISTRIBUTABLE_CASH_PER_SHARE_DILUTED",Input!O$2,Date,,,Ccy,Conv)</f>
        <v>0</v>
      </c>
      <c r="N64" s="42"/>
      <c r="P64" s="48"/>
      <c r="Q64" s="48"/>
      <c r="R64" s="48"/>
      <c r="T64" s="42"/>
      <c r="U64" s="42"/>
      <c r="V64" s="48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  <c r="BA64" s="42"/>
      <c r="BB64" s="42"/>
      <c r="BC64" s="42"/>
      <c r="BD64" s="42"/>
      <c r="BE64" s="42"/>
      <c r="BF64" s="42"/>
      <c r="BG64" s="42"/>
      <c r="BH64" s="42"/>
      <c r="BI64" s="42"/>
      <c r="BJ64" s="42"/>
      <c r="BK64" s="42"/>
      <c r="BL64" s="42"/>
      <c r="BM64" s="42"/>
      <c r="BN64" s="42"/>
    </row>
    <row r="65" spans="1:66" ht="12.75" customHeight="1" x14ac:dyDescent="0.2">
      <c r="A65" s="1" t="s">
        <v>389</v>
      </c>
      <c r="B65" s="4">
        <f>_xll.ciqfunctions.udf.CIQ(InputTicker, "IQ_DISTRIBUTABLE_CASH_SHARES_BASIC",Input!D$2,Date)</f>
        <v>0</v>
      </c>
      <c r="C65" s="4">
        <f>_xll.ciqfunctions.udf.CIQ(InputTicker, "IQ_DISTRIBUTABLE_CASH_SHARES_BASIC",Input!E$2,Date)</f>
        <v>0</v>
      </c>
      <c r="D65" s="4">
        <f>_xll.ciqfunctions.udf.CIQ(InputTicker, "IQ_DISTRIBUTABLE_CASH_SHARES_BASIC",Input!F$2,Date)</f>
        <v>0</v>
      </c>
      <c r="E65" s="4">
        <f>_xll.ciqfunctions.udf.CIQ(InputTicker, "IQ_DISTRIBUTABLE_CASH_SHARES_BASIC",Input!G$2,Date)</f>
        <v>0</v>
      </c>
      <c r="F65" s="4">
        <f>_xll.ciqfunctions.udf.CIQ(InputTicker, "IQ_DISTRIBUTABLE_CASH_SHARES_BASIC",Input!H$2,Date)</f>
        <v>0</v>
      </c>
      <c r="G65" s="4">
        <f>_xll.ciqfunctions.udf.CIQ(InputTicker, "IQ_DISTRIBUTABLE_CASH_SHARES_BASIC",Input!I$2,Date)</f>
        <v>0</v>
      </c>
      <c r="H65" s="4">
        <f>_xll.ciqfunctions.udf.CIQ(InputTicker, "IQ_DISTRIBUTABLE_CASH_SHARES_BASIC",Input!J$2,Date)</f>
        <v>0</v>
      </c>
      <c r="I65" s="4">
        <f>_xll.ciqfunctions.udf.CIQ(InputTicker, "IQ_DISTRIBUTABLE_CASH_SHARES_BASIC",Input!K$2,Date)</f>
        <v>0</v>
      </c>
      <c r="J65" s="4">
        <f>_xll.ciqfunctions.udf.CIQ(InputTicker, "IQ_DISTRIBUTABLE_CASH_SHARES_BASIC",Input!L$2,Date)</f>
        <v>0</v>
      </c>
      <c r="K65" s="4">
        <f>_xll.ciqfunctions.udf.CIQ(InputTicker, "IQ_DISTRIBUTABLE_CASH_SHARES_BASIC",Input!M$2,Date)</f>
        <v>0</v>
      </c>
      <c r="L65" s="4">
        <f>_xll.ciqfunctions.udf.CIQ(InputTicker, "IQ_DISTRIBUTABLE_CASH_SHARES_BASIC",Input!N$2,Date)</f>
        <v>0</v>
      </c>
      <c r="M65" s="4">
        <f>_xll.ciqfunctions.udf.CIQ(InputTicker, "IQ_DISTRIBUTABLE_CASH_SHARES_BASIC",Input!O$2,Date)</f>
        <v>0</v>
      </c>
      <c r="N65" s="49"/>
      <c r="P65" s="48"/>
      <c r="Q65" s="48"/>
      <c r="R65" s="48"/>
      <c r="T65" s="42"/>
      <c r="U65" s="42"/>
      <c r="V65" s="48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  <c r="BA65" s="42"/>
      <c r="BB65" s="42"/>
      <c r="BC65" s="42"/>
      <c r="BD65" s="42"/>
      <c r="BE65" s="42"/>
      <c r="BF65" s="42"/>
      <c r="BG65" s="42"/>
      <c r="BH65" s="42"/>
      <c r="BI65" s="42"/>
      <c r="BJ65" s="42"/>
      <c r="BK65" s="42"/>
      <c r="BL65" s="42"/>
      <c r="BM65" s="42"/>
      <c r="BN65" s="42"/>
    </row>
    <row r="66" spans="1:66" ht="12.75" customHeight="1" x14ac:dyDescent="0.2">
      <c r="A66" s="1" t="s">
        <v>390</v>
      </c>
      <c r="B66" s="4">
        <f>_xll.ciqfunctions.udf.CIQ(InputTicker, "IQ_DISTRIBUTABLE_CASH_SHARES_DILUTED",Input!D$2,Date)</f>
        <v>0</v>
      </c>
      <c r="C66" s="4">
        <f>_xll.ciqfunctions.udf.CIQ(InputTicker, "IQ_DISTRIBUTABLE_CASH_SHARES_DILUTED",Input!E$2,Date)</f>
        <v>0</v>
      </c>
      <c r="D66" s="4">
        <f>_xll.ciqfunctions.udf.CIQ(InputTicker, "IQ_DISTRIBUTABLE_CASH_SHARES_DILUTED",Input!F$2,Date)</f>
        <v>0</v>
      </c>
      <c r="E66" s="4">
        <f>_xll.ciqfunctions.udf.CIQ(InputTicker, "IQ_DISTRIBUTABLE_CASH_SHARES_DILUTED",Input!G$2,Date)</f>
        <v>0</v>
      </c>
      <c r="F66" s="4">
        <f>_xll.ciqfunctions.udf.CIQ(InputTicker, "IQ_DISTRIBUTABLE_CASH_SHARES_DILUTED",Input!H$2,Date)</f>
        <v>0</v>
      </c>
      <c r="G66" s="4">
        <f>_xll.ciqfunctions.udf.CIQ(InputTicker, "IQ_DISTRIBUTABLE_CASH_SHARES_DILUTED",Input!I$2,Date)</f>
        <v>0</v>
      </c>
      <c r="H66" s="4">
        <f>_xll.ciqfunctions.udf.CIQ(InputTicker, "IQ_DISTRIBUTABLE_CASH_SHARES_DILUTED",Input!J$2,Date)</f>
        <v>0</v>
      </c>
      <c r="I66" s="4">
        <f>_xll.ciqfunctions.udf.CIQ(InputTicker, "IQ_DISTRIBUTABLE_CASH_SHARES_DILUTED",Input!K$2,Date)</f>
        <v>0</v>
      </c>
      <c r="J66" s="4">
        <f>_xll.ciqfunctions.udf.CIQ(InputTicker, "IQ_DISTRIBUTABLE_CASH_SHARES_DILUTED",Input!L$2,Date)</f>
        <v>0</v>
      </c>
      <c r="K66" s="4">
        <f>_xll.ciqfunctions.udf.CIQ(InputTicker, "IQ_DISTRIBUTABLE_CASH_SHARES_DILUTED",Input!M$2,Date)</f>
        <v>0</v>
      </c>
      <c r="L66" s="4">
        <f>_xll.ciqfunctions.udf.CIQ(InputTicker, "IQ_DISTRIBUTABLE_CASH_SHARES_DILUTED",Input!N$2,Date)</f>
        <v>0</v>
      </c>
      <c r="M66" s="4">
        <f>_xll.ciqfunctions.udf.CIQ(InputTicker, "IQ_DISTRIBUTABLE_CASH_SHARES_DILUTED",Input!O$2,Date)</f>
        <v>0</v>
      </c>
      <c r="N66" s="49"/>
      <c r="P66" s="48"/>
      <c r="Q66" s="48"/>
      <c r="R66" s="48"/>
      <c r="T66" s="42"/>
      <c r="U66" s="42"/>
      <c r="V66" s="48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  <c r="BA66" s="42"/>
      <c r="BB66" s="42"/>
      <c r="BC66" s="42"/>
      <c r="BD66" s="42"/>
      <c r="BE66" s="42"/>
      <c r="BF66" s="42"/>
      <c r="BG66" s="42"/>
      <c r="BH66" s="42"/>
      <c r="BI66" s="42"/>
      <c r="BJ66" s="42"/>
      <c r="BK66" s="42"/>
      <c r="BL66" s="42"/>
      <c r="BM66" s="42"/>
      <c r="BN66" s="42"/>
    </row>
    <row r="67" spans="1:66" ht="12.75" customHeight="1" x14ac:dyDescent="0.2">
      <c r="A67" s="1" t="s">
        <v>316</v>
      </c>
      <c r="B67" s="11">
        <f>_xll.ciqfunctions.udf.CIQ(InputTicker, "IQ_DIV_SHARE",Input!D$2,Date,,,Ccy,Conv)</f>
        <v>5</v>
      </c>
      <c r="C67" s="11">
        <f>_xll.ciqfunctions.udf.CIQ(InputTicker, "IQ_DIV_SHARE",Input!E$2,Date,,,Ccy,Conv)</f>
        <v>5.5</v>
      </c>
      <c r="D67" s="11">
        <f>_xll.ciqfunctions.udf.CIQ(InputTicker, "IQ_DIV_SHARE",Input!F$2,Date,,,Ccy,Conv)</f>
        <v>5.9</v>
      </c>
      <c r="E67" s="11">
        <f>_xll.ciqfunctions.udf.CIQ(InputTicker, "IQ_DIV_SHARE",Input!G$2,Date,,,Ccy,Conv)</f>
        <v>6.21</v>
      </c>
      <c r="F67" s="11">
        <f>_xll.ciqfunctions.udf.CIQ(InputTicker, "IQ_DIV_SHARE",Input!H$2,Date,,,Ccy,Conv)</f>
        <v>6.43</v>
      </c>
      <c r="G67" s="11">
        <f>_xll.ciqfunctions.udf.CIQ(InputTicker, "IQ_DIV_SHARE",Input!I$2,Date,,,Ccy,Conv)</f>
        <v>6.51</v>
      </c>
      <c r="H67" s="11">
        <f>_xll.ciqfunctions.udf.CIQ(InputTicker, "IQ_DIV_SHARE",Input!J$2,Date,,,Ccy,Conv)</f>
        <v>6.55</v>
      </c>
      <c r="I67" s="11">
        <f>_xll.ciqfunctions.udf.CIQ(InputTicker, "IQ_DIV_SHARE",Input!K$2,Date,,,Ccy,Conv)</f>
        <v>6.59</v>
      </c>
      <c r="J67" s="11">
        <f>_xll.ciqfunctions.udf.CIQ(InputTicker, "IQ_DIV_SHARE",Input!L$2,Date,,,Ccy,Conv)</f>
        <v>6.63</v>
      </c>
      <c r="K67" s="11">
        <f>_xll.ciqfunctions.udf.CIQ(InputTicker, "IQ_DIV_SHARE",Input!M$2,Date,,,Ccy,Conv)</f>
        <v>6.67</v>
      </c>
      <c r="L67" s="11">
        <f>_xll.ciqfunctions.udf.CIQ(InputTicker, "IQ_DIV_SHARE",Input!N$2,Date,,,Ccy,Conv)</f>
        <v>6.71</v>
      </c>
      <c r="M67" s="11">
        <f>_xll.ciqfunctions.udf.CIQ(InputTicker, "IQ_DIV_SHARE",Input!O$2,Date,,,Ccy,Conv)</f>
        <v>6.71</v>
      </c>
      <c r="N67" s="47"/>
      <c r="P67" s="48"/>
      <c r="Q67" s="48"/>
      <c r="R67" s="48"/>
      <c r="T67" s="42"/>
      <c r="U67" s="42"/>
      <c r="V67" s="48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</row>
    <row r="68" spans="1:66" ht="12.75" customHeight="1" x14ac:dyDescent="0.2">
      <c r="A68" s="1" t="s">
        <v>429</v>
      </c>
      <c r="B68" s="4">
        <f>_xll.ciqfunctions.udf.CIQ(InputTicker, "IQ_DR_RATIO_PRIMARY",Input!D$2,Date)</f>
        <v>1</v>
      </c>
      <c r="C68" s="4">
        <f>_xll.ciqfunctions.udf.CIQ(InputTicker, "IQ_DR_RATIO_PRIMARY",Input!E$2,Date)</f>
        <v>1</v>
      </c>
      <c r="D68" s="4">
        <f>_xll.ciqfunctions.udf.CIQ(InputTicker, "IQ_DR_RATIO_PRIMARY",Input!F$2,Date)</f>
        <v>1</v>
      </c>
      <c r="E68" s="4">
        <f>_xll.ciqfunctions.udf.CIQ(InputTicker, "IQ_DR_RATIO_PRIMARY",Input!G$2,Date)</f>
        <v>1</v>
      </c>
      <c r="F68" s="4">
        <f>_xll.ciqfunctions.udf.CIQ(InputTicker, "IQ_DR_RATIO_PRIMARY",Input!H$2,Date)</f>
        <v>1</v>
      </c>
      <c r="G68" s="4">
        <f>_xll.ciqfunctions.udf.CIQ(InputTicker, "IQ_DR_RATIO_PRIMARY",Input!I$2,Date)</f>
        <v>1</v>
      </c>
      <c r="H68" s="4">
        <f>_xll.ciqfunctions.udf.CIQ(InputTicker, "IQ_DR_RATIO_PRIMARY",Input!J$2,Date)</f>
        <v>1</v>
      </c>
      <c r="I68" s="4">
        <f>_xll.ciqfunctions.udf.CIQ(InputTicker, "IQ_DR_RATIO_PRIMARY",Input!K$2,Date)</f>
        <v>1</v>
      </c>
      <c r="J68" s="4">
        <f>_xll.ciqfunctions.udf.CIQ(InputTicker, "IQ_DR_RATIO_PRIMARY",Input!L$2,Date)</f>
        <v>1</v>
      </c>
      <c r="K68" s="4">
        <f>_xll.ciqfunctions.udf.CIQ(InputTicker, "IQ_DR_RATIO_PRIMARY",Input!M$2,Date)</f>
        <v>1</v>
      </c>
      <c r="L68" s="4">
        <f>_xll.ciqfunctions.udf.CIQ(InputTicker, "IQ_DR_RATIO_PRIMARY",Input!N$2,Date)</f>
        <v>1</v>
      </c>
      <c r="M68" s="4">
        <f>_xll.ciqfunctions.udf.CIQ(InputTicker, "IQ_DR_RATIO_PRIMARY",Input!O$2,Date)</f>
        <v>1</v>
      </c>
      <c r="N68" s="48"/>
      <c r="P68" s="48"/>
      <c r="Q68" s="48"/>
      <c r="R68" s="48"/>
      <c r="T68" s="42"/>
      <c r="U68" s="42"/>
      <c r="V68" s="48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  <c r="BA68" s="42"/>
      <c r="BB68" s="42"/>
      <c r="BC68" s="42"/>
      <c r="BD68" s="42"/>
      <c r="BE68" s="42"/>
      <c r="BF68" s="42"/>
      <c r="BG68" s="42"/>
      <c r="BH68" s="42"/>
      <c r="BI68" s="42"/>
      <c r="BJ68" s="42"/>
      <c r="BK68" s="42"/>
      <c r="BL68" s="42"/>
      <c r="BM68" s="42"/>
      <c r="BN68" s="42"/>
    </row>
    <row r="69" spans="1:66" ht="12.75" customHeight="1" x14ac:dyDescent="0.2">
      <c r="A69" s="1" t="s">
        <v>314</v>
      </c>
      <c r="B69" s="11">
        <f>_xll.ciqfunctions.udf.CIQ(InputTicker, "IQ_TOTAL_REV_SHARE",Input!D$2,Date,,,Ccy,Conv)</f>
        <v>83.516180000000006</v>
      </c>
      <c r="C69" s="11">
        <f>_xll.ciqfunctions.udf.CIQ(InputTicker, "IQ_TOTAL_REV_SHARE",Input!E$2,Date,,,Ccy,Conv)</f>
        <v>83.647810000000007</v>
      </c>
      <c r="D69" s="11">
        <f>_xll.ciqfunctions.udf.CIQ(InputTicker, "IQ_TOTAL_REV_SHARE",Input!F$2,Date,,,Ccy,Conv)</f>
        <v>84.837689999999995</v>
      </c>
      <c r="E69" s="11">
        <f>_xll.ciqfunctions.udf.CIQ(InputTicker, "IQ_TOTAL_REV_SHARE",Input!G$2,Date,,,Ccy,Conv)</f>
        <v>87.266229999999993</v>
      </c>
      <c r="F69" s="11">
        <f>_xll.ciqfunctions.udf.CIQ(InputTicker, "IQ_TOTAL_REV_SHARE",Input!H$2,Date,,,Ccy,Conv)</f>
        <v>65.049270000000007</v>
      </c>
      <c r="G69" s="11">
        <f>_xll.ciqfunctions.udf.CIQ(InputTicker, "IQ_TOTAL_REV_SHARE",Input!I$2,Date,,,Ccy,Conv)</f>
        <v>61.974600000000002</v>
      </c>
      <c r="H69" s="11">
        <f>_xll.ciqfunctions.udf.CIQ(InputTicker, "IQ_TOTAL_REV_SHARE",Input!J$2,Date,,,Ccy,Conv)</f>
        <v>64.008470000000003</v>
      </c>
      <c r="I69" s="11">
        <f>_xll.ciqfunctions.udf.CIQ(InputTicker, "IQ_TOTAL_REV_SHARE",Input!K$2,Date,,,Ccy,Conv)</f>
        <v>67.057050000000004</v>
      </c>
      <c r="J69" s="11">
        <f>_xll.ciqfunctions.udf.CIQ(InputTicker, "IQ_TOTAL_REV_SHARE",Input!L$2,Date,,,Ccy,Conv)</f>
        <v>67.887730000000005</v>
      </c>
      <c r="K69" s="11">
        <f>_xll.ciqfunctions.udf.CIQ(InputTicker, "IQ_TOTAL_REV_SHARE",Input!M$2,Date,,,Ccy,Conv)</f>
        <v>68.078959999999995</v>
      </c>
      <c r="L69" s="11">
        <f>_xll.ciqfunctions.udf.CIQ(InputTicker, "IQ_TOTAL_REV_SHARE",Input!N$2,Date,,,Ccy,Conv)</f>
        <v>72.439599999999999</v>
      </c>
      <c r="M69" s="11">
        <f>_xll.ciqfunctions.udf.CIQ(InputTicker, "IQ_TOTAL_REV_SHARE",Input!O$2,Date,,,Ccy,Conv)</f>
        <v>72.439599999999999</v>
      </c>
      <c r="N69" s="48"/>
      <c r="P69" s="48"/>
      <c r="Q69" s="48"/>
      <c r="R69" s="48"/>
      <c r="T69" s="42"/>
      <c r="U69" s="42"/>
      <c r="V69" s="48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  <c r="BA69" s="42"/>
      <c r="BB69" s="42"/>
      <c r="BC69" s="42"/>
      <c r="BD69" s="42"/>
      <c r="BE69" s="42"/>
      <c r="BF69" s="42"/>
      <c r="BG69" s="42"/>
      <c r="BH69" s="42"/>
      <c r="BI69" s="42"/>
      <c r="BJ69" s="42"/>
      <c r="BK69" s="42"/>
      <c r="BL69" s="42"/>
      <c r="BM69" s="42"/>
      <c r="BN69" s="42"/>
    </row>
    <row r="70" spans="1:66" ht="12.75" customHeight="1" x14ac:dyDescent="0.2">
      <c r="A70" s="1" t="s">
        <v>313</v>
      </c>
      <c r="B70" s="11">
        <f>_xll.ciqfunctions.udf.CIQ(InputTicker, "IQ_DISTRIBUTABLE_CASH_SHARE",Input!D$2,Date,,,Ccy,Conv)</f>
        <v>0</v>
      </c>
      <c r="C70" s="11">
        <f>_xll.ciqfunctions.udf.CIQ(InputTicker, "IQ_DISTRIBUTABLE_CASH_SHARE",Input!E$2,Date,,,Ccy,Conv)</f>
        <v>0</v>
      </c>
      <c r="D70" s="11">
        <f>_xll.ciqfunctions.udf.CIQ(InputTicker, "IQ_DISTRIBUTABLE_CASH_SHARE",Input!F$2,Date,,,Ccy,Conv)</f>
        <v>0</v>
      </c>
      <c r="E70" s="11">
        <f>_xll.ciqfunctions.udf.CIQ(InputTicker, "IQ_DISTRIBUTABLE_CASH_SHARE",Input!G$2,Date,,,Ccy,Conv)</f>
        <v>0</v>
      </c>
      <c r="F70" s="11">
        <f>_xll.ciqfunctions.udf.CIQ(InputTicker, "IQ_DISTRIBUTABLE_CASH_SHARE",Input!H$2,Date,,,Ccy,Conv)</f>
        <v>0</v>
      </c>
      <c r="G70" s="11">
        <f>_xll.ciqfunctions.udf.CIQ(InputTicker, "IQ_DISTRIBUTABLE_CASH_SHARE",Input!I$2,Date,,,Ccy,Conv)</f>
        <v>0</v>
      </c>
      <c r="H70" s="11">
        <f>_xll.ciqfunctions.udf.CIQ(InputTicker, "IQ_DISTRIBUTABLE_CASH_SHARE",Input!J$2,Date,,,Ccy,Conv)</f>
        <v>0</v>
      </c>
      <c r="I70" s="11">
        <f>_xll.ciqfunctions.udf.CIQ(InputTicker, "IQ_DISTRIBUTABLE_CASH_SHARE",Input!K$2,Date,,,Ccy,Conv)</f>
        <v>0</v>
      </c>
      <c r="J70" s="11">
        <f>_xll.ciqfunctions.udf.CIQ(InputTicker, "IQ_DISTRIBUTABLE_CASH_SHARE",Input!L$2,Date,,,Ccy,Conv)</f>
        <v>0</v>
      </c>
      <c r="K70" s="11">
        <f>_xll.ciqfunctions.udf.CIQ(InputTicker, "IQ_DISTRIBUTABLE_CASH_SHARE",Input!M$2,Date,,,Ccy,Conv)</f>
        <v>0</v>
      </c>
      <c r="L70" s="11">
        <f>_xll.ciqfunctions.udf.CIQ(InputTicker, "IQ_DISTRIBUTABLE_CASH_SHARE",Input!N$2,Date,,,Ccy,Conv)</f>
        <v>0</v>
      </c>
      <c r="M70" s="11">
        <f>_xll.ciqfunctions.udf.CIQ(InputTicker, "IQ_DISTRIBUTABLE_CASH_SHARE",Input!O$2,Date,,,Ccy,Conv)</f>
        <v>0</v>
      </c>
      <c r="N70" s="48"/>
      <c r="P70" s="48"/>
      <c r="Q70" s="48"/>
      <c r="R70" s="48"/>
      <c r="T70" s="42"/>
      <c r="U70" s="42"/>
      <c r="V70" s="48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  <c r="BA70" s="42"/>
      <c r="BB70" s="42"/>
      <c r="BC70" s="42"/>
      <c r="BD70" s="42"/>
      <c r="BE70" s="42"/>
      <c r="BF70" s="42"/>
      <c r="BG70" s="42"/>
      <c r="BH70" s="42"/>
      <c r="BI70" s="42"/>
      <c r="BJ70" s="42"/>
      <c r="BK70" s="42"/>
      <c r="BL70" s="42"/>
      <c r="BM70" s="42"/>
      <c r="BN70" s="42"/>
    </row>
    <row r="71" spans="1:66" ht="12.75" customHeight="1" x14ac:dyDescent="0.2">
      <c r="A71" s="1" t="s">
        <v>315</v>
      </c>
      <c r="B71" s="11">
        <f>_xll.ciqfunctions.udf.CIQ(InputTicker, "IQ_SPECIAL_DIV_SHARE",Input!D$2,Date,,,Ccy,Conv)</f>
        <v>0</v>
      </c>
      <c r="C71" s="11">
        <f>_xll.ciqfunctions.udf.CIQ(InputTicker, "IQ_SPECIAL_DIV_SHARE",Input!E$2,Date,,,Ccy,Conv)</f>
        <v>0</v>
      </c>
      <c r="D71" s="11">
        <f>_xll.ciqfunctions.udf.CIQ(InputTicker, "IQ_SPECIAL_DIV_SHARE",Input!F$2,Date,,,Ccy,Conv)</f>
        <v>0</v>
      </c>
      <c r="E71" s="11">
        <f>_xll.ciqfunctions.udf.CIQ(InputTicker, "IQ_SPECIAL_DIV_SHARE",Input!G$2,Date,,,Ccy,Conv)</f>
        <v>0</v>
      </c>
      <c r="F71" s="11">
        <f>_xll.ciqfunctions.udf.CIQ(InputTicker, "IQ_SPECIAL_DIV_SHARE",Input!H$2,Date,,,Ccy,Conv)</f>
        <v>0</v>
      </c>
      <c r="G71" s="11">
        <f>_xll.ciqfunctions.udf.CIQ(InputTicker, "IQ_SPECIAL_DIV_SHARE",Input!I$2,Date,,,Ccy,Conv)</f>
        <v>0</v>
      </c>
      <c r="H71" s="11">
        <f>_xll.ciqfunctions.udf.CIQ(InputTicker, "IQ_SPECIAL_DIV_SHARE",Input!J$2,Date,,,Ccy,Conv)</f>
        <v>0</v>
      </c>
      <c r="I71" s="11">
        <f>_xll.ciqfunctions.udf.CIQ(InputTicker, "IQ_SPECIAL_DIV_SHARE",Input!K$2,Date,,,Ccy,Conv)</f>
        <v>0</v>
      </c>
      <c r="J71" s="11">
        <f>_xll.ciqfunctions.udf.CIQ(InputTicker, "IQ_SPECIAL_DIV_SHARE",Input!L$2,Date,,,Ccy,Conv)</f>
        <v>0</v>
      </c>
      <c r="K71" s="11">
        <f>_xll.ciqfunctions.udf.CIQ(InputTicker, "IQ_SPECIAL_DIV_SHARE",Input!M$2,Date,,,Ccy,Conv)</f>
        <v>0</v>
      </c>
      <c r="L71" s="11">
        <f>_xll.ciqfunctions.udf.CIQ(InputTicker, "IQ_SPECIAL_DIV_SHARE",Input!N$2,Date,,,Ccy,Conv)</f>
        <v>0</v>
      </c>
      <c r="M71" s="11">
        <f>_xll.ciqfunctions.udf.CIQ(InputTicker, "IQ_SPECIAL_DIV_SHARE",Input!O$2,Date,,,Ccy,Conv)</f>
        <v>0</v>
      </c>
      <c r="N71" s="48"/>
      <c r="P71" s="48"/>
      <c r="Q71" s="48"/>
      <c r="R71" s="48"/>
      <c r="T71" s="42"/>
      <c r="U71" s="42"/>
      <c r="V71" s="48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  <c r="BA71" s="42"/>
      <c r="BB71" s="42"/>
      <c r="BC71" s="42"/>
      <c r="BD71" s="42"/>
      <c r="BE71" s="42"/>
      <c r="BF71" s="42"/>
      <c r="BG71" s="42"/>
      <c r="BH71" s="42"/>
      <c r="BI71" s="42"/>
      <c r="BJ71" s="42"/>
      <c r="BK71" s="42"/>
      <c r="BL71" s="42"/>
      <c r="BM71" s="42"/>
      <c r="BN71" s="42"/>
    </row>
    <row r="72" spans="1:66" ht="12.75" customHeight="1" x14ac:dyDescent="0.2">
      <c r="A72" s="1" t="s">
        <v>216</v>
      </c>
      <c r="B72" s="13">
        <f>_xll.ciqfunctions.udf.CIQ(InputTicker, "IQ_FILINGDATE_IS",Input!D$2,Date)</f>
        <v>43158</v>
      </c>
      <c r="C72" s="13">
        <f>_xll.ciqfunctions.udf.CIQ(InputTicker, "IQ_FILINGDATE_IS",Input!E$2,Date)</f>
        <v>43522</v>
      </c>
      <c r="D72" s="13">
        <f>_xll.ciqfunctions.udf.CIQ(InputTicker, "IQ_FILINGDATE_IS",Input!F$2,Date)</f>
        <v>43886</v>
      </c>
      <c r="E72" s="13">
        <f>_xll.ciqfunctions.udf.CIQ(InputTicker, "IQ_FILINGDATE_IS",Input!G$2,Date)</f>
        <v>44250</v>
      </c>
      <c r="F72" s="13">
        <f>_xll.ciqfunctions.udf.CIQ(InputTicker, "IQ_FILINGDATE_IS",Input!H$2,Date)</f>
        <v>44614</v>
      </c>
      <c r="G72" s="13">
        <f>_xll.ciqfunctions.udf.CIQ(InputTicker, "IQ_FILINGDATE_IS",Input!I$2,Date)</f>
        <v>44985</v>
      </c>
      <c r="H72" s="13">
        <f>_xll.ciqfunctions.udf.CIQ(InputTicker, "IQ_FILINGDATE_IS",Input!J$2,Date)</f>
        <v>45348</v>
      </c>
      <c r="I72" s="13">
        <f>_xll.ciqfunctions.udf.CIQ(InputTicker, "IQ_FILINGDATE_IS",Input!K$2,Date)</f>
        <v>45713</v>
      </c>
      <c r="J72" s="13">
        <f>_xll.ciqfunctions.udf.CIQ(InputTicker, "IQ_FILINGDATE_IS",Input!L$2,Date)</f>
        <v>46077</v>
      </c>
      <c r="K72" s="13">
        <f>_xll.ciqfunctions.udf.CIQ(InputTicker, "IQ_FILINGDATE_IS",Input!M$2,Date)</f>
        <v>46077</v>
      </c>
      <c r="L72" s="13">
        <f>_xll.ciqfunctions.udf.CIQ(InputTicker, "IQ_FILINGDATE_IS",Input!N$2,Date)</f>
        <v>46077</v>
      </c>
      <c r="M72" s="13">
        <f>_xll.ciqfunctions.udf.CIQ(InputTicker, "IQ_FILINGDATE_IS",Input!O$2,Date)</f>
        <v>46077</v>
      </c>
      <c r="N72" s="42"/>
      <c r="P72" s="46"/>
      <c r="Q72" s="46"/>
      <c r="R72" s="46"/>
      <c r="T72" s="42"/>
      <c r="U72" s="42"/>
      <c r="V72" s="46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  <c r="BA72" s="42"/>
      <c r="BB72" s="42"/>
      <c r="BC72" s="42"/>
      <c r="BD72" s="42"/>
      <c r="BE72" s="42"/>
      <c r="BF72" s="42"/>
      <c r="BG72" s="42"/>
      <c r="BH72" s="42"/>
      <c r="BI72" s="42"/>
      <c r="BJ72" s="42"/>
      <c r="BK72" s="42"/>
      <c r="BL72" s="42"/>
      <c r="BM72" s="42"/>
      <c r="BN72" s="42"/>
    </row>
    <row r="73" spans="1:66" ht="12.75" customHeight="1" x14ac:dyDescent="0.2">
      <c r="A73" s="1" t="s">
        <v>317</v>
      </c>
      <c r="B73" s="18">
        <f>_xll.ciqfunctions.udf.CIQ(InputTicker,"IQ_PERIODLENGTH_IS",Input!D$2,Date)</f>
        <v>12</v>
      </c>
      <c r="C73" s="18">
        <f>_xll.ciqfunctions.udf.CIQ(InputTicker,"IQ_PERIODLENGTH_IS",Input!E$2,Date)</f>
        <v>12</v>
      </c>
      <c r="D73" s="18">
        <f>_xll.ciqfunctions.udf.CIQ(InputTicker,"IQ_PERIODLENGTH_IS",Input!F$2,Date)</f>
        <v>12</v>
      </c>
      <c r="E73" s="18">
        <f>_xll.ciqfunctions.udf.CIQ(InputTicker,"IQ_PERIODLENGTH_IS",Input!G$2,Date)</f>
        <v>12</v>
      </c>
      <c r="F73" s="18">
        <f>_xll.ciqfunctions.udf.CIQ(InputTicker,"IQ_PERIODLENGTH_IS",Input!H$2,Date)</f>
        <v>12</v>
      </c>
      <c r="G73" s="18">
        <f>_xll.ciqfunctions.udf.CIQ(InputTicker,"IQ_PERIODLENGTH_IS",Input!I$2,Date)</f>
        <v>12</v>
      </c>
      <c r="H73" s="18">
        <f>_xll.ciqfunctions.udf.CIQ(InputTicker,"IQ_PERIODLENGTH_IS",Input!J$2,Date)</f>
        <v>12</v>
      </c>
      <c r="I73" s="18">
        <f>_xll.ciqfunctions.udf.CIQ(InputTicker,"IQ_PERIODLENGTH_IS",Input!K$2,Date)</f>
        <v>12</v>
      </c>
      <c r="J73" s="18">
        <f>_xll.ciqfunctions.udf.CIQ(InputTicker,"IQ_PERIODLENGTH_IS",Input!L$2,Date)</f>
        <v>12</v>
      </c>
      <c r="K73" s="18">
        <f>_xll.ciqfunctions.udf.CIQ(InputTicker,"IQ_PERIODLENGTH_IS",Input!M$2,Date)</f>
        <v>12</v>
      </c>
      <c r="L73" s="18">
        <f>_xll.ciqfunctions.udf.CIQ(InputTicker,"IQ_PERIODLENGTH_IS",Input!N$2,Date)</f>
        <v>12</v>
      </c>
      <c r="M73" s="18">
        <f>_xll.ciqfunctions.udf.CIQ(InputTicker,"IQ_PERIODLENGTH_IS",Input!O$2,Date)</f>
        <v>12</v>
      </c>
      <c r="N73" s="42"/>
      <c r="P73" s="46"/>
      <c r="Q73" s="46"/>
      <c r="R73" s="46"/>
      <c r="T73" s="42"/>
      <c r="U73" s="42"/>
      <c r="V73" s="46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  <c r="BA73" s="42"/>
      <c r="BB73" s="42"/>
      <c r="BC73" s="42"/>
      <c r="BD73" s="42"/>
      <c r="BE73" s="42"/>
      <c r="BF73" s="42"/>
      <c r="BG73" s="42"/>
      <c r="BH73" s="42"/>
      <c r="BI73" s="42"/>
      <c r="BJ73" s="42"/>
      <c r="BK73" s="42"/>
      <c r="BL73" s="42"/>
      <c r="BM73" s="42"/>
      <c r="BN73" s="42"/>
    </row>
    <row r="74" spans="1:66" ht="12.75" customHeight="1" x14ac:dyDescent="0.2">
      <c r="A74" s="1" t="s">
        <v>84</v>
      </c>
      <c r="B74" s="4">
        <f>_xll.ciqfunctions.udf.CIQ(InputTicker,"IQ_EBITDA",Input!D$2,Date,,,Ccy,Conv)</f>
        <v>20372</v>
      </c>
      <c r="C74" s="4">
        <f>_xll.ciqfunctions.udf.CIQ(InputTicker,"IQ_EBITDA",Input!E$2,Date,,,Ccy,Conv)</f>
        <v>18551</v>
      </c>
      <c r="D74" s="4">
        <f>_xll.ciqfunctions.udf.CIQ(InputTicker,"IQ_EBITDA",Input!F$2,Date,,,Ccy,Conv)</f>
        <v>16223</v>
      </c>
      <c r="E74" s="4">
        <f>_xll.ciqfunctions.udf.CIQ(InputTicker,"IQ_EBITDA",Input!G$2,Date,,,Ccy,Conv)</f>
        <v>17698</v>
      </c>
      <c r="F74" s="4">
        <f>_xll.ciqfunctions.udf.CIQ(InputTicker,"IQ_EBITDA",Input!H$2,Date,,,Ccy,Conv)</f>
        <v>13598</v>
      </c>
      <c r="G74" s="4">
        <f>_xll.ciqfunctions.udf.CIQ(InputTicker,"IQ_EBITDA",Input!I$2,Date,,,Ccy,Conv)</f>
        <v>11357</v>
      </c>
      <c r="H74" s="4">
        <f>_xll.ciqfunctions.udf.CIQ(InputTicker,"IQ_EBITDA",Input!J$2,Date,,,Ccy,Conv)</f>
        <v>11309</v>
      </c>
      <c r="I74" s="4">
        <f>_xll.ciqfunctions.udf.CIQ(InputTicker,"IQ_EBITDA",Input!K$2,Date,,,Ccy,Conv)</f>
        <v>10775</v>
      </c>
      <c r="J74" s="4">
        <f>_xll.ciqfunctions.udf.CIQ(InputTicker,"IQ_EBITDA",Input!L$2,Date,,,Ccy,Conv)</f>
        <v>12257</v>
      </c>
      <c r="K74" s="4">
        <f>_xll.ciqfunctions.udf.CIQ(InputTicker,"IQ_EBITDA",Input!M$2,Date,,,Ccy,Conv)</f>
        <v>12886</v>
      </c>
      <c r="L74" s="4">
        <f>_xll.ciqfunctions.udf.CIQ(InputTicker,"IQ_EBITDA",Input!N$2,Date,,,Ccy,Conv)</f>
        <v>16118</v>
      </c>
      <c r="M74" s="4">
        <f>_xll.ciqfunctions.udf.CIQ(InputTicker,"IQ_EBITDA",Input!O$2,Date,,,Ccy,Conv)</f>
        <v>16118</v>
      </c>
      <c r="N74" s="42"/>
      <c r="P74" s="46"/>
      <c r="Q74" s="46"/>
      <c r="R74" s="46"/>
      <c r="T74" s="42"/>
      <c r="U74" s="42"/>
      <c r="V74" s="46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  <c r="BA74" s="42"/>
      <c r="BB74" s="42"/>
      <c r="BC74" s="42"/>
      <c r="BD74" s="42"/>
      <c r="BE74" s="42"/>
      <c r="BF74" s="42"/>
      <c r="BG74" s="42"/>
      <c r="BH74" s="42"/>
      <c r="BI74" s="42"/>
      <c r="BJ74" s="42"/>
      <c r="BK74" s="42"/>
      <c r="BL74" s="42"/>
      <c r="BM74" s="42"/>
      <c r="BN74" s="42"/>
    </row>
    <row r="75" spans="1:66" ht="12.75" customHeight="1" x14ac:dyDescent="0.2">
      <c r="A75" s="1" t="s">
        <v>286</v>
      </c>
      <c r="B75" s="4">
        <f>_xll.ciqfunctions.udf.CIQ(InputTicker,"IQ_EBITDA_EQ_INC",Input!D$2,Date,,,Ccy,Conv)</f>
        <v>20372</v>
      </c>
      <c r="C75" s="4">
        <f>_xll.ciqfunctions.udf.CIQ(InputTicker,"IQ_EBITDA_EQ_INC",Input!E$2,Date,,,Ccy,Conv)</f>
        <v>18551</v>
      </c>
      <c r="D75" s="4">
        <f>_xll.ciqfunctions.udf.CIQ(InputTicker,"IQ_EBITDA_EQ_INC",Input!F$2,Date,,,Ccy,Conv)</f>
        <v>16223</v>
      </c>
      <c r="E75" s="4">
        <f>_xll.ciqfunctions.udf.CIQ(InputTicker,"IQ_EBITDA_EQ_INC",Input!G$2,Date,,,Ccy,Conv)</f>
        <v>17698</v>
      </c>
      <c r="F75" s="4">
        <f>_xll.ciqfunctions.udf.CIQ(InputTicker,"IQ_EBITDA_EQ_INC",Input!H$2,Date,,,Ccy,Conv)</f>
        <v>15221</v>
      </c>
      <c r="G75" s="4">
        <f>_xll.ciqfunctions.udf.CIQ(InputTicker,"IQ_EBITDA_EQ_INC",Input!I$2,Date,,,Ccy,Conv)</f>
        <v>12881</v>
      </c>
      <c r="H75" s="4">
        <f>_xll.ciqfunctions.udf.CIQ(InputTicker,"IQ_EBITDA_EQ_INC",Input!J$2,Date,,,Ccy,Conv)</f>
        <v>12746</v>
      </c>
      <c r="I75" s="4">
        <f>_xll.ciqfunctions.udf.CIQ(InputTicker,"IQ_EBITDA_EQ_INC",Input!K$2,Date,,,Ccy,Conv)</f>
        <v>12022</v>
      </c>
      <c r="J75" s="4">
        <f>_xll.ciqfunctions.udf.CIQ(InputTicker,"IQ_EBITDA_EQ_INC",Input!L$2,Date,,,Ccy,Conv)</f>
        <v>13549</v>
      </c>
      <c r="K75" s="4">
        <f>_xll.ciqfunctions.udf.CIQ(InputTicker,"IQ_EBITDA_EQ_INC",Input!M$2,Date,,,Ccy,Conv)</f>
        <v>14195</v>
      </c>
      <c r="L75" s="4">
        <f>_xll.ciqfunctions.udf.CIQ(InputTicker,"IQ_EBITDA_EQ_INC",Input!N$2,Date,,,Ccy,Conv)</f>
        <v>17426</v>
      </c>
      <c r="M75" s="4">
        <f>_xll.ciqfunctions.udf.CIQ(InputTicker,"IQ_EBITDA_EQ_INC",Input!O$2,Date,,,Ccy,Conv)</f>
        <v>17426</v>
      </c>
      <c r="N75" s="50"/>
      <c r="P75" s="46"/>
      <c r="Q75" s="46"/>
      <c r="R75" s="46"/>
      <c r="T75" s="42"/>
      <c r="U75" s="42"/>
      <c r="V75" s="46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  <c r="BA75" s="42"/>
      <c r="BB75" s="42"/>
      <c r="BC75" s="42"/>
      <c r="BD75" s="42"/>
      <c r="BE75" s="42"/>
      <c r="BF75" s="42"/>
      <c r="BG75" s="42"/>
      <c r="BH75" s="42"/>
      <c r="BI75" s="42"/>
      <c r="BJ75" s="42"/>
      <c r="BK75" s="42"/>
      <c r="BL75" s="42"/>
      <c r="BM75" s="42"/>
      <c r="BN75" s="42"/>
    </row>
    <row r="76" spans="1:66" ht="12.75" customHeight="1" x14ac:dyDescent="0.2">
      <c r="A76" s="1" t="s">
        <v>287</v>
      </c>
      <c r="B76" s="4">
        <f>_xll.ciqfunctions.udf.CIQ(InputTicker,"IQ_EBITDA_EQ_INC_EXCL_SBC",Input!D$2,Date,,,Ccy,Conv)</f>
        <v>20840</v>
      </c>
      <c r="C76" s="4">
        <f>_xll.ciqfunctions.udf.CIQ(InputTicker,"IQ_EBITDA_EQ_INC_EXCL_SBC",Input!E$2,Date,,,Ccy,Conv)</f>
        <v>19095</v>
      </c>
      <c r="D76" s="4">
        <f>_xll.ciqfunctions.udf.CIQ(InputTicker,"IQ_EBITDA_EQ_INC_EXCL_SBC",Input!F$2,Date,,,Ccy,Conv)</f>
        <v>16757</v>
      </c>
      <c r="E76" s="4">
        <f>_xll.ciqfunctions.udf.CIQ(InputTicker,"IQ_EBITDA_EQ_INC_EXCL_SBC",Input!G$2,Date,,,Ccy,Conv)</f>
        <v>18208</v>
      </c>
      <c r="F76" s="4">
        <f>_xll.ciqfunctions.udf.CIQ(InputTicker,"IQ_EBITDA_EQ_INC_EXCL_SBC",Input!H$2,Date,,,Ccy,Conv)</f>
        <v>14277</v>
      </c>
      <c r="G76" s="4">
        <f>_xll.ciqfunctions.udf.CIQ(InputTicker,"IQ_EBITDA_EQ_INC_EXCL_SBC",Input!I$2,Date,,,Ccy,Conv)</f>
        <v>12294</v>
      </c>
      <c r="H76" s="4">
        <f>_xll.ciqfunctions.udf.CIQ(InputTicker,"IQ_EBITDA_EQ_INC_EXCL_SBC",Input!J$2,Date,,,Ccy,Conv)</f>
        <v>12291</v>
      </c>
      <c r="I76" s="4">
        <f>_xll.ciqfunctions.udf.CIQ(InputTicker,"IQ_EBITDA_EQ_INC_EXCL_SBC",Input!K$2,Date,,,Ccy,Conv)</f>
        <v>11763</v>
      </c>
      <c r="J76" s="4">
        <f>_xll.ciqfunctions.udf.CIQ(InputTicker,"IQ_EBITDA_EQ_INC_EXCL_SBC",Input!L$2,Date,,,Ccy,Conv)</f>
        <v>13391</v>
      </c>
      <c r="K76" s="4">
        <f>_xll.ciqfunctions.udf.CIQ(InputTicker,"IQ_EBITDA_EQ_INC_EXCL_SBC",Input!M$2,Date,,,Ccy,Conv)</f>
        <v>14197</v>
      </c>
      <c r="L76" s="4">
        <f>_xll.ciqfunctions.udf.CIQ(InputTicker,"IQ_EBITDA_EQ_INC_EXCL_SBC",Input!N$2,Date,,,Ccy,Conv)</f>
        <v>17833</v>
      </c>
      <c r="M76" s="4">
        <f>_xll.ciqfunctions.udf.CIQ(InputTicker,"IQ_EBITDA_EQ_INC_EXCL_SBC",Input!O$2,Date,,,Ccy,Conv)</f>
        <v>17833</v>
      </c>
      <c r="N76" s="50"/>
      <c r="P76" s="46"/>
      <c r="Q76" s="46"/>
      <c r="R76" s="46"/>
      <c r="T76" s="42"/>
      <c r="U76" s="42"/>
      <c r="V76" s="46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  <c r="BA76" s="42"/>
      <c r="BB76" s="42"/>
      <c r="BC76" s="42"/>
      <c r="BD76" s="42"/>
      <c r="BE76" s="42"/>
      <c r="BF76" s="42"/>
      <c r="BG76" s="42"/>
      <c r="BH76" s="42"/>
      <c r="BI76" s="42"/>
      <c r="BJ76" s="42"/>
      <c r="BK76" s="42"/>
      <c r="BL76" s="42"/>
      <c r="BM76" s="42"/>
      <c r="BN76" s="42"/>
    </row>
    <row r="77" spans="1:66" ht="12.75" customHeight="1" x14ac:dyDescent="0.2">
      <c r="A77" s="1" t="s">
        <v>288</v>
      </c>
      <c r="B77" s="4">
        <f>_xll.ciqfunctions.udf.CIQ(InputTicker,"IQ_EBITDA_EXCL_SBC",Input!D$2,Date,,,Ccy,Conv)</f>
        <v>20840</v>
      </c>
      <c r="C77" s="4">
        <f>_xll.ciqfunctions.udf.CIQ(InputTicker,"IQ_EBITDA_EXCL_SBC",Input!E$2,Date,,,Ccy,Conv)</f>
        <v>19095</v>
      </c>
      <c r="D77" s="4">
        <f>_xll.ciqfunctions.udf.CIQ(InputTicker,"IQ_EBITDA_EXCL_SBC",Input!F$2,Date,,,Ccy,Conv)</f>
        <v>16757</v>
      </c>
      <c r="E77" s="4">
        <f>_xll.ciqfunctions.udf.CIQ(InputTicker,"IQ_EBITDA_EXCL_SBC",Input!G$2,Date,,,Ccy,Conv)</f>
        <v>18208</v>
      </c>
      <c r="F77" s="4">
        <f>_xll.ciqfunctions.udf.CIQ(InputTicker,"IQ_EBITDA_EXCL_SBC",Input!H$2,Date,,,Ccy,Conv)</f>
        <v>14277</v>
      </c>
      <c r="G77" s="4">
        <f>_xll.ciqfunctions.udf.CIQ(InputTicker,"IQ_EBITDA_EXCL_SBC",Input!I$2,Date,,,Ccy,Conv)</f>
        <v>12294</v>
      </c>
      <c r="H77" s="4">
        <f>_xll.ciqfunctions.udf.CIQ(InputTicker,"IQ_EBITDA_EXCL_SBC",Input!J$2,Date,,,Ccy,Conv)</f>
        <v>12291</v>
      </c>
      <c r="I77" s="4">
        <f>_xll.ciqfunctions.udf.CIQ(InputTicker,"IQ_EBITDA_EXCL_SBC",Input!K$2,Date,,,Ccy,Conv)</f>
        <v>11763</v>
      </c>
      <c r="J77" s="4">
        <f>_xll.ciqfunctions.udf.CIQ(InputTicker,"IQ_EBITDA_EXCL_SBC",Input!L$2,Date,,,Ccy,Conv)</f>
        <v>13391</v>
      </c>
      <c r="K77" s="4">
        <f>_xll.ciqfunctions.udf.CIQ(InputTicker,"IQ_EBITDA_EXCL_SBC",Input!M$2,Date,,,Ccy,Conv)</f>
        <v>14197</v>
      </c>
      <c r="L77" s="4">
        <f>_xll.ciqfunctions.udf.CIQ(InputTicker,"IQ_EBITDA_EXCL_SBC",Input!N$2,Date,,,Ccy,Conv)</f>
        <v>17833</v>
      </c>
      <c r="M77" s="4">
        <f>_xll.ciqfunctions.udf.CIQ(InputTicker,"IQ_EBITDA_EXCL_SBC",Input!O$2,Date,,,Ccy,Conv)</f>
        <v>17833</v>
      </c>
      <c r="N77" s="50"/>
      <c r="P77" s="46"/>
      <c r="Q77" s="46"/>
      <c r="R77" s="46"/>
      <c r="T77" s="42"/>
      <c r="U77" s="42"/>
      <c r="V77" s="46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  <c r="BA77" s="42"/>
      <c r="BB77" s="42"/>
      <c r="BC77" s="42"/>
      <c r="BD77" s="42"/>
      <c r="BE77" s="42"/>
      <c r="BF77" s="42"/>
      <c r="BG77" s="42"/>
      <c r="BH77" s="42"/>
      <c r="BI77" s="42"/>
      <c r="BJ77" s="42"/>
      <c r="BK77" s="42"/>
      <c r="BL77" s="42"/>
      <c r="BM77" s="42"/>
      <c r="BN77" s="42"/>
    </row>
    <row r="78" spans="1:66" ht="12.75" customHeight="1" x14ac:dyDescent="0.2">
      <c r="A78" s="1" t="s">
        <v>460</v>
      </c>
      <c r="B78" s="4">
        <f>_xll.ciqfunctions.udf.CIQ(InputTicker,"IQ_EBITDA_LEASE_ADJUSTED",Input!D$2,Date,,,Ccy,Conv)</f>
        <v>20372</v>
      </c>
      <c r="C78" s="4">
        <f>_xll.ciqfunctions.udf.CIQ(InputTicker,"IQ_EBITDA_LEASE_ADJUSTED",Input!E$2,Date,,,Ccy,Conv)</f>
        <v>18551</v>
      </c>
      <c r="D78" s="4">
        <f>_xll.ciqfunctions.udf.CIQ(InputTicker,"IQ_EBITDA_LEASE_ADJUSTED",Input!F$2,Date,,,Ccy,Conv)</f>
        <v>16223</v>
      </c>
      <c r="E78" s="4">
        <f>_xll.ciqfunctions.udf.CIQ(InputTicker,"IQ_EBITDA_LEASE_ADJUSTED",Input!G$2,Date,,,Ccy,Conv)</f>
        <v>17698</v>
      </c>
      <c r="F78" s="4">
        <f>_xll.ciqfunctions.udf.CIQ(InputTicker,"IQ_EBITDA_LEASE_ADJUSTED",Input!H$2,Date,,,Ccy,Conv)</f>
        <v>15221</v>
      </c>
      <c r="G78" s="4">
        <f>_xll.ciqfunctions.udf.CIQ(InputTicker,"IQ_EBITDA_LEASE_ADJUSTED",Input!I$2,Date,,,Ccy,Conv)</f>
        <v>12881</v>
      </c>
      <c r="H78" s="4">
        <f>_xll.ciqfunctions.udf.CIQ(InputTicker,"IQ_EBITDA_LEASE_ADJUSTED",Input!J$2,Date,,,Ccy,Conv)</f>
        <v>12746</v>
      </c>
      <c r="I78" s="4">
        <f>_xll.ciqfunctions.udf.CIQ(InputTicker,"IQ_EBITDA_LEASE_ADJUSTED",Input!K$2,Date,,,Ccy,Conv)</f>
        <v>12022</v>
      </c>
      <c r="J78" s="4">
        <f>_xll.ciqfunctions.udf.CIQ(InputTicker,"IQ_EBITDA_LEASE_ADJUSTED",Input!L$2,Date,,,Ccy,Conv)</f>
        <v>13549</v>
      </c>
      <c r="K78" s="4">
        <f>_xll.ciqfunctions.udf.CIQ(InputTicker,"IQ_EBITDA_LEASE_ADJUSTED",Input!M$2,Date,,,Ccy,Conv)</f>
        <v>14195</v>
      </c>
      <c r="L78" s="4">
        <f>_xll.ciqfunctions.udf.CIQ(InputTicker,"IQ_EBITDA_LEASE_ADJUSTED",Input!N$2,Date,,,Ccy,Conv)</f>
        <v>17426</v>
      </c>
      <c r="M78" s="4">
        <f>_xll.ciqfunctions.udf.CIQ(InputTicker,"IQ_EBITDA_LEASE_ADJUSTED",Input!O$2,Date,,,Ccy,Conv)</f>
        <v>17426</v>
      </c>
      <c r="N78" s="50"/>
      <c r="P78" s="46"/>
      <c r="Q78" s="46"/>
      <c r="R78" s="46"/>
      <c r="T78" s="42"/>
      <c r="U78" s="42"/>
      <c r="V78" s="46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  <c r="BA78" s="42"/>
      <c r="BB78" s="42"/>
      <c r="BC78" s="42"/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</row>
    <row r="79" spans="1:66" ht="12.75" customHeight="1" x14ac:dyDescent="0.2">
      <c r="A79" s="1" t="s">
        <v>461</v>
      </c>
      <c r="B79" s="4">
        <f>_xll.ciqfunctions.udf.CIQ(InputTicker,"IQ_LEASE_ADJUSTMENT_EBITDA",Input!D$2,Date,,,Ccy,Conv)</f>
        <v>0</v>
      </c>
      <c r="C79" s="4">
        <f>_xll.ciqfunctions.udf.CIQ(InputTicker,"IQ_LEASE_ADJUSTMENT_EBITDA",Input!E$2,Date,,,Ccy,Conv)</f>
        <v>0</v>
      </c>
      <c r="D79" s="4">
        <f>_xll.ciqfunctions.udf.CIQ(InputTicker,"IQ_LEASE_ADJUSTMENT_EBITDA",Input!F$2,Date,,,Ccy,Conv)</f>
        <v>0</v>
      </c>
      <c r="E79" s="4">
        <f>_xll.ciqfunctions.udf.CIQ(InputTicker,"IQ_LEASE_ADJUSTMENT_EBITDA",Input!G$2,Date,,,Ccy,Conv)</f>
        <v>0</v>
      </c>
      <c r="F79" s="4">
        <f>_xll.ciqfunctions.udf.CIQ(InputTicker,"IQ_LEASE_ADJUSTMENT_EBITDA",Input!H$2,Date,,,Ccy,Conv)</f>
        <v>1623</v>
      </c>
      <c r="G79" s="4">
        <f>_xll.ciqfunctions.udf.CIQ(InputTicker,"IQ_LEASE_ADJUSTMENT_EBITDA",Input!I$2,Date,,,Ccy,Conv)</f>
        <v>1524</v>
      </c>
      <c r="H79" s="4">
        <f>_xll.ciqfunctions.udf.CIQ(InputTicker,"IQ_LEASE_ADJUSTMENT_EBITDA",Input!J$2,Date,,,Ccy,Conv)</f>
        <v>1437</v>
      </c>
      <c r="I79" s="4">
        <f>_xll.ciqfunctions.udf.CIQ(InputTicker,"IQ_LEASE_ADJUSTMENT_EBITDA",Input!K$2,Date,,,Ccy,Conv)</f>
        <v>1247</v>
      </c>
      <c r="J79" s="4">
        <f>_xll.ciqfunctions.udf.CIQ(InputTicker,"IQ_LEASE_ADJUSTMENT_EBITDA",Input!L$2,Date,,,Ccy,Conv)</f>
        <v>1292</v>
      </c>
      <c r="K79" s="4">
        <f>_xll.ciqfunctions.udf.CIQ(InputTicker,"IQ_LEASE_ADJUSTMENT_EBITDA",Input!M$2,Date,,,Ccy,Conv)</f>
        <v>1309</v>
      </c>
      <c r="L79" s="4">
        <f>_xll.ciqfunctions.udf.CIQ(InputTicker,"IQ_LEASE_ADJUSTMENT_EBITDA",Input!N$2,Date,,,Ccy,Conv)</f>
        <v>1308</v>
      </c>
      <c r="M79" s="4">
        <f>_xll.ciqfunctions.udf.CIQ(InputTicker,"IQ_LEASE_ADJUSTMENT_EBITDA",Input!O$2,Date,,,Ccy,Conv)</f>
        <v>1308</v>
      </c>
      <c r="N79" s="50"/>
      <c r="P79" s="46"/>
      <c r="Q79" s="46"/>
      <c r="R79" s="46"/>
      <c r="T79" s="42"/>
      <c r="U79" s="42"/>
      <c r="V79" s="46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  <c r="BA79" s="42"/>
      <c r="BB79" s="42"/>
      <c r="BC79" s="42"/>
      <c r="BD79" s="42"/>
      <c r="BE79" s="42"/>
      <c r="BF79" s="42"/>
      <c r="BG79" s="42"/>
      <c r="BH79" s="42"/>
      <c r="BI79" s="42"/>
      <c r="BJ79" s="42"/>
      <c r="BK79" s="42"/>
      <c r="BL79" s="42"/>
      <c r="BM79" s="42"/>
      <c r="BN79" s="42"/>
    </row>
    <row r="80" spans="1:66" ht="12.75" customHeight="1" x14ac:dyDescent="0.2">
      <c r="A80" s="1" t="s">
        <v>462</v>
      </c>
      <c r="B80" s="4">
        <f>_xll.ciqfunctions.udf.CIQ(InputTicker,"IQ_EBITDA_EQ_INC_EXCL_OPER_LEASE_ADJ",Input!D$2,Date,,,Ccy,Conv)</f>
        <v>20372</v>
      </c>
      <c r="C80" s="4">
        <f>_xll.ciqfunctions.udf.CIQ(InputTicker,"IQ_EBITDA_EQ_INC_EXCL_OPER_LEASE_ADJ",Input!E$2,Date,,,Ccy,Conv)</f>
        <v>18551</v>
      </c>
      <c r="D80" s="4">
        <f>_xll.ciqfunctions.udf.CIQ(InputTicker,"IQ_EBITDA_EQ_INC_EXCL_OPER_LEASE_ADJ",Input!F$2,Date,,,Ccy,Conv)</f>
        <v>16223</v>
      </c>
      <c r="E80" s="4">
        <f>_xll.ciqfunctions.udf.CIQ(InputTicker,"IQ_EBITDA_EQ_INC_EXCL_OPER_LEASE_ADJ",Input!G$2,Date,,,Ccy,Conv)</f>
        <v>17698</v>
      </c>
      <c r="F80" s="4">
        <f>_xll.ciqfunctions.udf.CIQ(InputTicker,"IQ_EBITDA_EQ_INC_EXCL_OPER_LEASE_ADJ",Input!H$2,Date,,,Ccy,Conv)</f>
        <v>13598</v>
      </c>
      <c r="G80" s="4">
        <f>_xll.ciqfunctions.udf.CIQ(InputTicker,"IQ_EBITDA_EQ_INC_EXCL_OPER_LEASE_ADJ",Input!I$2,Date,,,Ccy,Conv)</f>
        <v>11357</v>
      </c>
      <c r="H80" s="4">
        <f>_xll.ciqfunctions.udf.CIQ(InputTicker,"IQ_EBITDA_EQ_INC_EXCL_OPER_LEASE_ADJ",Input!J$2,Date,,,Ccy,Conv)</f>
        <v>11309</v>
      </c>
      <c r="I80" s="4">
        <f>_xll.ciqfunctions.udf.CIQ(InputTicker,"IQ_EBITDA_EQ_INC_EXCL_OPER_LEASE_ADJ",Input!K$2,Date,,,Ccy,Conv)</f>
        <v>10775</v>
      </c>
      <c r="J80" s="4">
        <f>_xll.ciqfunctions.udf.CIQ(InputTicker,"IQ_EBITDA_EQ_INC_EXCL_OPER_LEASE_ADJ",Input!L$2,Date,,,Ccy,Conv)</f>
        <v>12257</v>
      </c>
      <c r="K80" s="4">
        <f>_xll.ciqfunctions.udf.CIQ(InputTicker,"IQ_EBITDA_EQ_INC_EXCL_OPER_LEASE_ADJ",Input!M$2,Date,,,Ccy,Conv)</f>
        <v>12886</v>
      </c>
      <c r="L80" s="4">
        <f>_xll.ciqfunctions.udf.CIQ(InputTicker,"IQ_EBITDA_EQ_INC_EXCL_OPER_LEASE_ADJ",Input!N$2,Date,,,Ccy,Conv)</f>
        <v>16118</v>
      </c>
      <c r="M80" s="4">
        <f>_xll.ciqfunctions.udf.CIQ(InputTicker,"IQ_EBITDA_EQ_INC_EXCL_OPER_LEASE_ADJ",Input!O$2,Date,,,Ccy,Conv)</f>
        <v>16118</v>
      </c>
      <c r="N80" s="50"/>
      <c r="P80" s="46"/>
      <c r="Q80" s="46"/>
      <c r="R80" s="46"/>
      <c r="T80" s="42"/>
      <c r="U80" s="42"/>
      <c r="V80" s="46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  <c r="BA80" s="42"/>
      <c r="BB80" s="42"/>
      <c r="BC80" s="42"/>
      <c r="BD80" s="42"/>
      <c r="BE80" s="42"/>
      <c r="BF80" s="42"/>
      <c r="BG80" s="42"/>
      <c r="BH80" s="42"/>
      <c r="BI80" s="42"/>
      <c r="BJ80" s="42"/>
      <c r="BK80" s="42"/>
      <c r="BL80" s="42"/>
      <c r="BM80" s="42"/>
      <c r="BN80" s="42"/>
    </row>
    <row r="81" spans="1:66" ht="12.75" customHeight="1" x14ac:dyDescent="0.2">
      <c r="A81" s="1" t="s">
        <v>307</v>
      </c>
      <c r="B81" s="4">
        <f>_xll.ciqfunctions.udf.CIQ(InputTicker,"IQ_EBIT",Input!D$2,Date,,,Ccy,Conv)</f>
        <v>16517</v>
      </c>
      <c r="C81" s="4">
        <f>_xll.ciqfunctions.udf.CIQ(InputTicker,"IQ_EBIT",Input!E$2,Date,,,Ccy,Conv)</f>
        <v>14170</v>
      </c>
      <c r="D81" s="4">
        <f>_xll.ciqfunctions.udf.CIQ(InputTicker,"IQ_EBIT",Input!F$2,Date,,,Ccy,Conv)</f>
        <v>11682</v>
      </c>
      <c r="E81" s="4">
        <f>_xll.ciqfunctions.udf.CIQ(InputTicker,"IQ_EBIT",Input!G$2,Date,,,Ccy,Conv)</f>
        <v>13218</v>
      </c>
      <c r="F81" s="4">
        <f>_xll.ciqfunctions.udf.CIQ(InputTicker,"IQ_EBIT",Input!H$2,Date,,,Ccy,Conv)</f>
        <v>7539</v>
      </c>
      <c r="G81" s="4">
        <f>_xll.ciqfunctions.udf.CIQ(InputTicker,"IQ_EBIT",Input!I$2,Date,,,Ccy,Conv)</f>
        <v>4662</v>
      </c>
      <c r="H81" s="4">
        <f>_xll.ciqfunctions.udf.CIQ(InputTicker,"IQ_EBIT",Input!J$2,Date,,,Ccy,Conv)</f>
        <v>5583</v>
      </c>
      <c r="I81" s="4">
        <f>_xll.ciqfunctions.udf.CIQ(InputTicker,"IQ_EBIT",Input!K$2,Date,,,Ccy,Conv)</f>
        <v>7521</v>
      </c>
      <c r="J81" s="4">
        <f>_xll.ciqfunctions.udf.CIQ(InputTicker,"IQ_EBIT",Input!L$2,Date,,,Ccy,Conv)</f>
        <v>9421</v>
      </c>
      <c r="K81" s="4">
        <f>_xll.ciqfunctions.udf.CIQ(InputTicker,"IQ_EBIT",Input!M$2,Date,,,Ccy,Conv)</f>
        <v>9788</v>
      </c>
      <c r="L81" s="4">
        <f>_xll.ciqfunctions.udf.CIQ(InputTicker,"IQ_EBIT",Input!N$2,Date,,,Ccy,Conv)</f>
        <v>12568</v>
      </c>
      <c r="M81" s="4">
        <f>_xll.ciqfunctions.udf.CIQ(InputTicker,"IQ_EBIT",Input!O$2,Date,,,Ccy,Conv)</f>
        <v>12568</v>
      </c>
      <c r="N81" s="50"/>
      <c r="P81" s="46"/>
      <c r="Q81" s="46"/>
      <c r="R81" s="46"/>
      <c r="T81" s="42"/>
      <c r="U81" s="42"/>
      <c r="V81" s="46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  <c r="BA81" s="42"/>
      <c r="BB81" s="42"/>
      <c r="BC81" s="42"/>
      <c r="BD81" s="42"/>
      <c r="BE81" s="42"/>
      <c r="BF81" s="42"/>
      <c r="BG81" s="42"/>
      <c r="BH81" s="42"/>
      <c r="BI81" s="42"/>
      <c r="BJ81" s="42"/>
      <c r="BK81" s="42"/>
      <c r="BL81" s="42"/>
      <c r="BM81" s="42"/>
      <c r="BN81" s="42"/>
    </row>
    <row r="82" spans="1:66" ht="12.75" customHeight="1" x14ac:dyDescent="0.2">
      <c r="A82" s="1" t="s">
        <v>289</v>
      </c>
      <c r="B82" s="4">
        <f>_xll.ciqfunctions.udf.CIQ(InputTicker,"IQ_EBIT_EQ_INC",Input!D$2,Date,,,Ccy,Conv)</f>
        <v>16517</v>
      </c>
      <c r="C82" s="4">
        <f>_xll.ciqfunctions.udf.CIQ(InputTicker,"IQ_EBIT_EQ_INC",Input!E$2,Date,,,Ccy,Conv)</f>
        <v>14170</v>
      </c>
      <c r="D82" s="4">
        <f>_xll.ciqfunctions.udf.CIQ(InputTicker,"IQ_EBIT_EQ_INC",Input!F$2,Date,,,Ccy,Conv)</f>
        <v>11682</v>
      </c>
      <c r="E82" s="4">
        <f>_xll.ciqfunctions.udf.CIQ(InputTicker,"IQ_EBIT_EQ_INC",Input!G$2,Date,,,Ccy,Conv)</f>
        <v>13218</v>
      </c>
      <c r="F82" s="4">
        <f>_xll.ciqfunctions.udf.CIQ(InputTicker,"IQ_EBIT_EQ_INC",Input!H$2,Date,,,Ccy,Conv)</f>
        <v>7539</v>
      </c>
      <c r="G82" s="4">
        <f>_xll.ciqfunctions.udf.CIQ(InputTicker,"IQ_EBIT_EQ_INC",Input!I$2,Date,,,Ccy,Conv)</f>
        <v>4662</v>
      </c>
      <c r="H82" s="4">
        <f>_xll.ciqfunctions.udf.CIQ(InputTicker,"IQ_EBIT_EQ_INC",Input!J$2,Date,,,Ccy,Conv)</f>
        <v>5583</v>
      </c>
      <c r="I82" s="4">
        <f>_xll.ciqfunctions.udf.CIQ(InputTicker,"IQ_EBIT_EQ_INC",Input!K$2,Date,,,Ccy,Conv)</f>
        <v>7521</v>
      </c>
      <c r="J82" s="4">
        <f>_xll.ciqfunctions.udf.CIQ(InputTicker,"IQ_EBIT_EQ_INC",Input!L$2,Date,,,Ccy,Conv)</f>
        <v>9421</v>
      </c>
      <c r="K82" s="4">
        <f>_xll.ciqfunctions.udf.CIQ(InputTicker,"IQ_EBIT_EQ_INC",Input!M$2,Date,,,Ccy,Conv)</f>
        <v>9788</v>
      </c>
      <c r="L82" s="4">
        <f>_xll.ciqfunctions.udf.CIQ(InputTicker,"IQ_EBIT_EQ_INC",Input!N$2,Date,,,Ccy,Conv)</f>
        <v>12568</v>
      </c>
      <c r="M82" s="4">
        <f>_xll.ciqfunctions.udf.CIQ(InputTicker,"IQ_EBIT_EQ_INC",Input!O$2,Date,,,Ccy,Conv)</f>
        <v>12568</v>
      </c>
      <c r="N82" s="50"/>
      <c r="P82" s="46"/>
      <c r="Q82" s="46"/>
      <c r="R82" s="46"/>
      <c r="T82" s="42"/>
      <c r="U82" s="42"/>
      <c r="V82" s="46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  <c r="BA82" s="42"/>
      <c r="BB82" s="42"/>
      <c r="BC82" s="42"/>
      <c r="BD82" s="42"/>
      <c r="BE82" s="42"/>
      <c r="BF82" s="42"/>
      <c r="BG82" s="42"/>
      <c r="BH82" s="42"/>
      <c r="BI82" s="42"/>
      <c r="BJ82" s="42"/>
      <c r="BK82" s="42"/>
      <c r="BL82" s="42"/>
      <c r="BM82" s="42"/>
      <c r="BN82" s="42"/>
    </row>
    <row r="83" spans="1:66" ht="12.75" customHeight="1" x14ac:dyDescent="0.2">
      <c r="A83" s="1" t="s">
        <v>290</v>
      </c>
      <c r="B83" s="4">
        <f>_xll.ciqfunctions.udf.CIQ(InputTicker,"IQ_EBIT_EQ_INC_EXCL_SBC",Input!D$2,Date,,,Ccy,Conv)</f>
        <v>16985</v>
      </c>
      <c r="C83" s="4">
        <f>_xll.ciqfunctions.udf.CIQ(InputTicker,"IQ_EBIT_EQ_INC_EXCL_SBC",Input!E$2,Date,,,Ccy,Conv)</f>
        <v>14714</v>
      </c>
      <c r="D83" s="4">
        <f>_xll.ciqfunctions.udf.CIQ(InputTicker,"IQ_EBIT_EQ_INC_EXCL_SBC",Input!F$2,Date,,,Ccy,Conv)</f>
        <v>12216</v>
      </c>
      <c r="E83" s="4">
        <f>_xll.ciqfunctions.udf.CIQ(InputTicker,"IQ_EBIT_EQ_INC_EXCL_SBC",Input!G$2,Date,,,Ccy,Conv)</f>
        <v>13728</v>
      </c>
      <c r="F83" s="4">
        <f>_xll.ciqfunctions.udf.CIQ(InputTicker,"IQ_EBIT_EQ_INC_EXCL_SBC",Input!H$2,Date,,,Ccy,Conv)</f>
        <v>8218</v>
      </c>
      <c r="G83" s="4">
        <f>_xll.ciqfunctions.udf.CIQ(InputTicker,"IQ_EBIT_EQ_INC_EXCL_SBC",Input!I$2,Date,,,Ccy,Conv)</f>
        <v>5599</v>
      </c>
      <c r="H83" s="4">
        <f>_xll.ciqfunctions.udf.CIQ(InputTicker,"IQ_EBIT_EQ_INC_EXCL_SBC",Input!J$2,Date,,,Ccy,Conv)</f>
        <v>6565</v>
      </c>
      <c r="I83" s="4">
        <f>_xll.ciqfunctions.udf.CIQ(InputTicker,"IQ_EBIT_EQ_INC_EXCL_SBC",Input!K$2,Date,,,Ccy,Conv)</f>
        <v>8509</v>
      </c>
      <c r="J83" s="4">
        <f>_xll.ciqfunctions.udf.CIQ(InputTicker,"IQ_EBIT_EQ_INC_EXCL_SBC",Input!L$2,Date,,,Ccy,Conv)</f>
        <v>10555</v>
      </c>
      <c r="K83" s="4">
        <f>_xll.ciqfunctions.udf.CIQ(InputTicker,"IQ_EBIT_EQ_INC_EXCL_SBC",Input!M$2,Date,,,Ccy,Conv)</f>
        <v>11099</v>
      </c>
      <c r="L83" s="4">
        <f>_xll.ciqfunctions.udf.CIQ(InputTicker,"IQ_EBIT_EQ_INC_EXCL_SBC",Input!N$2,Date,,,Ccy,Conv)</f>
        <v>14283</v>
      </c>
      <c r="M83" s="4">
        <f>_xll.ciqfunctions.udf.CIQ(InputTicker,"IQ_EBIT_EQ_INC_EXCL_SBC",Input!O$2,Date,,,Ccy,Conv)</f>
        <v>14283</v>
      </c>
      <c r="N83" s="50"/>
      <c r="P83" s="46"/>
      <c r="Q83" s="46"/>
      <c r="R83" s="46"/>
      <c r="T83" s="42"/>
      <c r="U83" s="42"/>
      <c r="V83" s="46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  <c r="BA83" s="42"/>
      <c r="BB83" s="42"/>
      <c r="BC83" s="42"/>
      <c r="BD83" s="42"/>
      <c r="BE83" s="42"/>
      <c r="BF83" s="42"/>
      <c r="BG83" s="42"/>
      <c r="BH83" s="42"/>
      <c r="BI83" s="42"/>
      <c r="BJ83" s="42"/>
      <c r="BK83" s="42"/>
      <c r="BL83" s="42"/>
      <c r="BM83" s="42"/>
      <c r="BN83" s="42"/>
    </row>
    <row r="84" spans="1:66" ht="12.75" customHeight="1" x14ac:dyDescent="0.2">
      <c r="A84" s="1" t="s">
        <v>291</v>
      </c>
      <c r="B84" s="4">
        <f>_xll.ciqfunctions.udf.CIQ(InputTicker,"IQ_EBIT_EXCL_SBC",Input!D$2,Date,,,Ccy,Conv)</f>
        <v>16985</v>
      </c>
      <c r="C84" s="4">
        <f>_xll.ciqfunctions.udf.CIQ(InputTicker,"IQ_EBIT_EXCL_SBC",Input!E$2,Date,,,Ccy,Conv)</f>
        <v>14714</v>
      </c>
      <c r="D84" s="4">
        <f>_xll.ciqfunctions.udf.CIQ(InputTicker,"IQ_EBIT_EXCL_SBC",Input!F$2,Date,,,Ccy,Conv)</f>
        <v>12216</v>
      </c>
      <c r="E84" s="4">
        <f>_xll.ciqfunctions.udf.CIQ(InputTicker,"IQ_EBIT_EXCL_SBC",Input!G$2,Date,,,Ccy,Conv)</f>
        <v>13728</v>
      </c>
      <c r="F84" s="4">
        <f>_xll.ciqfunctions.udf.CIQ(InputTicker,"IQ_EBIT_EXCL_SBC",Input!H$2,Date,,,Ccy,Conv)</f>
        <v>8218</v>
      </c>
      <c r="G84" s="4">
        <f>_xll.ciqfunctions.udf.CIQ(InputTicker,"IQ_EBIT_EXCL_SBC",Input!I$2,Date,,,Ccy,Conv)</f>
        <v>5599</v>
      </c>
      <c r="H84" s="4">
        <f>_xll.ciqfunctions.udf.CIQ(InputTicker,"IQ_EBIT_EXCL_SBC",Input!J$2,Date,,,Ccy,Conv)</f>
        <v>6565</v>
      </c>
      <c r="I84" s="4">
        <f>_xll.ciqfunctions.udf.CIQ(InputTicker,"IQ_EBIT_EXCL_SBC",Input!K$2,Date,,,Ccy,Conv)</f>
        <v>8509</v>
      </c>
      <c r="J84" s="4">
        <f>_xll.ciqfunctions.udf.CIQ(InputTicker,"IQ_EBIT_EXCL_SBC",Input!L$2,Date,,,Ccy,Conv)</f>
        <v>10555</v>
      </c>
      <c r="K84" s="4">
        <f>_xll.ciqfunctions.udf.CIQ(InputTicker,"IQ_EBIT_EXCL_SBC",Input!M$2,Date,,,Ccy,Conv)</f>
        <v>11099</v>
      </c>
      <c r="L84" s="4">
        <f>_xll.ciqfunctions.udf.CIQ(InputTicker,"IQ_EBIT_EXCL_SBC",Input!N$2,Date,,,Ccy,Conv)</f>
        <v>14283</v>
      </c>
      <c r="M84" s="4">
        <f>_xll.ciqfunctions.udf.CIQ(InputTicker,"IQ_EBIT_EXCL_SBC",Input!O$2,Date,,,Ccy,Conv)</f>
        <v>14283</v>
      </c>
      <c r="N84" s="50"/>
      <c r="P84" s="46"/>
      <c r="Q84" s="46"/>
      <c r="R84" s="46"/>
      <c r="T84" s="42"/>
      <c r="U84" s="42"/>
      <c r="V84" s="46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  <c r="BA84" s="42"/>
      <c r="BB84" s="42"/>
      <c r="BC84" s="42"/>
      <c r="BD84" s="42"/>
      <c r="BE84" s="42"/>
      <c r="BF84" s="42"/>
      <c r="BG84" s="42"/>
      <c r="BH84" s="42"/>
      <c r="BI84" s="42"/>
      <c r="BJ84" s="42"/>
      <c r="BK84" s="42"/>
      <c r="BL84" s="42"/>
      <c r="BM84" s="42"/>
      <c r="BN84" s="42"/>
    </row>
    <row r="85" spans="1:66" ht="12.75" customHeight="1" x14ac:dyDescent="0.2">
      <c r="A85" s="1" t="s">
        <v>308</v>
      </c>
      <c r="B85" s="4">
        <f>_xll.ciqfunctions.udf.CIQ(InputTicker,"IQ_EBITA",Input!D$2,Date,,,Ccy,Conv)</f>
        <v>17710</v>
      </c>
      <c r="C85" s="4">
        <f>_xll.ciqfunctions.udf.CIQ(InputTicker,"IQ_EBITA",Input!E$2,Date,,,Ccy,Conv)</f>
        <v>15714</v>
      </c>
      <c r="D85" s="4">
        <f>_xll.ciqfunctions.udf.CIQ(InputTicker,"IQ_EBITA",Input!F$2,Date,,,Ccy,Conv)</f>
        <v>13202</v>
      </c>
      <c r="E85" s="4">
        <f>_xll.ciqfunctions.udf.CIQ(InputTicker,"IQ_EBITA",Input!G$2,Date,,,Ccy,Conv)</f>
        <v>14571</v>
      </c>
      <c r="F85" s="4">
        <f>_xll.ciqfunctions.udf.CIQ(InputTicker,"IQ_EBITA",Input!H$2,Date,,,Ccy,Conv)</f>
        <v>9389</v>
      </c>
      <c r="G85" s="4">
        <f>_xll.ciqfunctions.udf.CIQ(InputTicker,"IQ_EBITA",Input!I$2,Date,,,Ccy,Conv)</f>
        <v>7130</v>
      </c>
      <c r="H85" s="4">
        <f>_xll.ciqfunctions.udf.CIQ(InputTicker,"IQ_EBITA",Input!J$2,Date,,,Ccy,Conv)</f>
        <v>7421</v>
      </c>
      <c r="I85" s="4">
        <f>_xll.ciqfunctions.udf.CIQ(InputTicker,"IQ_EBITA",Input!K$2,Date,,,Ccy,Conv)</f>
        <v>9268</v>
      </c>
      <c r="J85" s="4">
        <f>_xll.ciqfunctions.udf.CIQ(InputTicker,"IQ_EBITA",Input!L$2,Date,,,Ccy,Conv)</f>
        <v>11048</v>
      </c>
      <c r="K85" s="4">
        <f>_xll.ciqfunctions.udf.CIQ(InputTicker,"IQ_EBITA",Input!M$2,Date,,,Ccy,Conv)</f>
        <v>11618</v>
      </c>
      <c r="L85" s="4">
        <f>_xll.ciqfunctions.udf.CIQ(InputTicker,"IQ_EBITA",Input!N$2,Date,,,Ccy,Conv)</f>
        <v>14734</v>
      </c>
      <c r="M85" s="4">
        <f>_xll.ciqfunctions.udf.CIQ(InputTicker,"IQ_EBITA",Input!O$2,Date,,,Ccy,Conv)</f>
        <v>14734</v>
      </c>
      <c r="N85" s="50"/>
      <c r="P85" s="46"/>
      <c r="Q85" s="46"/>
      <c r="R85" s="46"/>
      <c r="T85" s="42"/>
      <c r="U85" s="42"/>
      <c r="V85" s="46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  <c r="BA85" s="42"/>
      <c r="BB85" s="42"/>
      <c r="BC85" s="42"/>
      <c r="BD85" s="42"/>
      <c r="BE85" s="42"/>
      <c r="BF85" s="42"/>
      <c r="BG85" s="42"/>
      <c r="BH85" s="42"/>
      <c r="BI85" s="42"/>
      <c r="BJ85" s="42"/>
      <c r="BK85" s="42"/>
      <c r="BL85" s="42"/>
      <c r="BM85" s="42"/>
      <c r="BN85" s="42"/>
    </row>
    <row r="86" spans="1:66" ht="12.75" customHeight="1" x14ac:dyDescent="0.2">
      <c r="A86" s="1" t="s">
        <v>292</v>
      </c>
      <c r="B86" s="4">
        <f>_xll.ciqfunctions.udf.CIQ(InputTicker,"IQ_EBITA_EQ_INC",Input!D$2,Date,,,Ccy,Conv)</f>
        <v>17710</v>
      </c>
      <c r="C86" s="4">
        <f>_xll.ciqfunctions.udf.CIQ(InputTicker,"IQ_EBITA_EQ_INC",Input!E$2,Date,,,Ccy,Conv)</f>
        <v>15714</v>
      </c>
      <c r="D86" s="4">
        <f>_xll.ciqfunctions.udf.CIQ(InputTicker,"IQ_EBITA_EQ_INC",Input!F$2,Date,,,Ccy,Conv)</f>
        <v>13202</v>
      </c>
      <c r="E86" s="4">
        <f>_xll.ciqfunctions.udf.CIQ(InputTicker,"IQ_EBITA_EQ_INC",Input!G$2,Date,,,Ccy,Conv)</f>
        <v>14571</v>
      </c>
      <c r="F86" s="4">
        <f>_xll.ciqfunctions.udf.CIQ(InputTicker,"IQ_EBITA_EQ_INC",Input!H$2,Date,,,Ccy,Conv)</f>
        <v>9389</v>
      </c>
      <c r="G86" s="4">
        <f>_xll.ciqfunctions.udf.CIQ(InputTicker,"IQ_EBITA_EQ_INC",Input!I$2,Date,,,Ccy,Conv)</f>
        <v>7130</v>
      </c>
      <c r="H86" s="4">
        <f>_xll.ciqfunctions.udf.CIQ(InputTicker,"IQ_EBITA_EQ_INC",Input!J$2,Date,,,Ccy,Conv)</f>
        <v>7421</v>
      </c>
      <c r="I86" s="4">
        <f>_xll.ciqfunctions.udf.CIQ(InputTicker,"IQ_EBITA_EQ_INC",Input!K$2,Date,,,Ccy,Conv)</f>
        <v>9268</v>
      </c>
      <c r="J86" s="4">
        <f>_xll.ciqfunctions.udf.CIQ(InputTicker,"IQ_EBITA_EQ_INC",Input!L$2,Date,,,Ccy,Conv)</f>
        <v>11048</v>
      </c>
      <c r="K86" s="4">
        <f>_xll.ciqfunctions.udf.CIQ(InputTicker,"IQ_EBITA_EQ_INC",Input!M$2,Date,,,Ccy,Conv)</f>
        <v>11618</v>
      </c>
      <c r="L86" s="4">
        <f>_xll.ciqfunctions.udf.CIQ(InputTicker,"IQ_EBITA_EQ_INC",Input!N$2,Date,,,Ccy,Conv)</f>
        <v>14734</v>
      </c>
      <c r="M86" s="4">
        <f>_xll.ciqfunctions.udf.CIQ(InputTicker,"IQ_EBITA_EQ_INC",Input!O$2,Date,,,Ccy,Conv)</f>
        <v>14734</v>
      </c>
      <c r="N86" s="50"/>
      <c r="P86" s="46"/>
      <c r="Q86" s="46"/>
      <c r="R86" s="46"/>
      <c r="T86" s="42"/>
      <c r="U86" s="42"/>
      <c r="V86" s="46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  <c r="BA86" s="42"/>
      <c r="BB86" s="42"/>
      <c r="BC86" s="42"/>
      <c r="BD86" s="42"/>
      <c r="BE86" s="42"/>
      <c r="BF86" s="42"/>
      <c r="BG86" s="42"/>
      <c r="BH86" s="42"/>
      <c r="BI86" s="42"/>
      <c r="BJ86" s="42"/>
      <c r="BK86" s="42"/>
      <c r="BL86" s="42"/>
      <c r="BM86" s="42"/>
      <c r="BN86" s="42"/>
    </row>
    <row r="87" spans="1:66" ht="12.75" customHeight="1" x14ac:dyDescent="0.2">
      <c r="A87" s="1" t="s">
        <v>293</v>
      </c>
      <c r="B87" s="4">
        <f>_xll.ciqfunctions.udf.CIQ(InputTicker,"IQ_EBITA_EQ_INC_EXCL_SBC",Input!D$2,Date,,,Ccy,Conv)</f>
        <v>18178</v>
      </c>
      <c r="C87" s="4">
        <f>_xll.ciqfunctions.udf.CIQ(InputTicker,"IQ_EBITA_EQ_INC_EXCL_SBC",Input!E$2,Date,,,Ccy,Conv)</f>
        <v>16258</v>
      </c>
      <c r="D87" s="4">
        <f>_xll.ciqfunctions.udf.CIQ(InputTicker,"IQ_EBITA_EQ_INC_EXCL_SBC",Input!F$2,Date,,,Ccy,Conv)</f>
        <v>13736</v>
      </c>
      <c r="E87" s="4">
        <f>_xll.ciqfunctions.udf.CIQ(InputTicker,"IQ_EBITA_EQ_INC_EXCL_SBC",Input!G$2,Date,,,Ccy,Conv)</f>
        <v>15081</v>
      </c>
      <c r="F87" s="4">
        <f>_xll.ciqfunctions.udf.CIQ(InputTicker,"IQ_EBITA_EQ_INC_EXCL_SBC",Input!H$2,Date,,,Ccy,Conv)</f>
        <v>10068</v>
      </c>
      <c r="G87" s="4">
        <f>_xll.ciqfunctions.udf.CIQ(InputTicker,"IQ_EBITA_EQ_INC_EXCL_SBC",Input!I$2,Date,,,Ccy,Conv)</f>
        <v>8067</v>
      </c>
      <c r="H87" s="4">
        <f>_xll.ciqfunctions.udf.CIQ(InputTicker,"IQ_EBITA_EQ_INC_EXCL_SBC",Input!J$2,Date,,,Ccy,Conv)</f>
        <v>8403</v>
      </c>
      <c r="I87" s="4">
        <f>_xll.ciqfunctions.udf.CIQ(InputTicker,"IQ_EBITA_EQ_INC_EXCL_SBC",Input!K$2,Date,,,Ccy,Conv)</f>
        <v>10256</v>
      </c>
      <c r="J87" s="4">
        <f>_xll.ciqfunctions.udf.CIQ(InputTicker,"IQ_EBITA_EQ_INC_EXCL_SBC",Input!L$2,Date,,,Ccy,Conv)</f>
        <v>12182</v>
      </c>
      <c r="K87" s="4">
        <f>_xll.ciqfunctions.udf.CIQ(InputTicker,"IQ_EBITA_EQ_INC_EXCL_SBC",Input!M$2,Date,,,Ccy,Conv)</f>
        <v>12929</v>
      </c>
      <c r="L87" s="4">
        <f>_xll.ciqfunctions.udf.CIQ(InputTicker,"IQ_EBITA_EQ_INC_EXCL_SBC",Input!N$2,Date,,,Ccy,Conv)</f>
        <v>16449</v>
      </c>
      <c r="M87" s="4">
        <f>_xll.ciqfunctions.udf.CIQ(InputTicker,"IQ_EBITA_EQ_INC_EXCL_SBC",Input!O$2,Date,,,Ccy,Conv)</f>
        <v>16449</v>
      </c>
      <c r="N87" s="50"/>
      <c r="P87" s="46"/>
      <c r="Q87" s="46"/>
      <c r="R87" s="46"/>
      <c r="T87" s="42"/>
      <c r="U87" s="42"/>
      <c r="V87" s="46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  <c r="BA87" s="42"/>
      <c r="BB87" s="42"/>
      <c r="BC87" s="42"/>
      <c r="BD87" s="42"/>
      <c r="BE87" s="42"/>
      <c r="BF87" s="42"/>
      <c r="BG87" s="42"/>
      <c r="BH87" s="42"/>
      <c r="BI87" s="42"/>
      <c r="BJ87" s="42"/>
      <c r="BK87" s="42"/>
      <c r="BL87" s="42"/>
      <c r="BM87" s="42"/>
      <c r="BN87" s="42"/>
    </row>
    <row r="88" spans="1:66" ht="12.75" customHeight="1" x14ac:dyDescent="0.2">
      <c r="A88" s="1" t="s">
        <v>294</v>
      </c>
      <c r="B88" s="4">
        <f>_xll.ciqfunctions.udf.CIQ(InputTicker,"IQ_EBITA_EXCL_SBC",Input!D$2,Date,,,Ccy,Conv)</f>
        <v>18178</v>
      </c>
      <c r="C88" s="4">
        <f>_xll.ciqfunctions.udf.CIQ(InputTicker,"IQ_EBITA_EXCL_SBC",Input!E$2,Date,,,Ccy,Conv)</f>
        <v>16258</v>
      </c>
      <c r="D88" s="4">
        <f>_xll.ciqfunctions.udf.CIQ(InputTicker,"IQ_EBITA_EXCL_SBC",Input!F$2,Date,,,Ccy,Conv)</f>
        <v>13736</v>
      </c>
      <c r="E88" s="4">
        <f>_xll.ciqfunctions.udf.CIQ(InputTicker,"IQ_EBITA_EXCL_SBC",Input!G$2,Date,,,Ccy,Conv)</f>
        <v>15081</v>
      </c>
      <c r="F88" s="4">
        <f>_xll.ciqfunctions.udf.CIQ(InputTicker,"IQ_EBITA_EXCL_SBC",Input!H$2,Date,,,Ccy,Conv)</f>
        <v>10068</v>
      </c>
      <c r="G88" s="4">
        <f>_xll.ciqfunctions.udf.CIQ(InputTicker,"IQ_EBITA_EXCL_SBC",Input!I$2,Date,,,Ccy,Conv)</f>
        <v>8067</v>
      </c>
      <c r="H88" s="4">
        <f>_xll.ciqfunctions.udf.CIQ(InputTicker,"IQ_EBITA_EXCL_SBC",Input!J$2,Date,,,Ccy,Conv)</f>
        <v>8403</v>
      </c>
      <c r="I88" s="4">
        <f>_xll.ciqfunctions.udf.CIQ(InputTicker,"IQ_EBITA_EXCL_SBC",Input!K$2,Date,,,Ccy,Conv)</f>
        <v>10256</v>
      </c>
      <c r="J88" s="4">
        <f>_xll.ciqfunctions.udf.CIQ(InputTicker,"IQ_EBITA_EXCL_SBC",Input!L$2,Date,,,Ccy,Conv)</f>
        <v>12182</v>
      </c>
      <c r="K88" s="4">
        <f>_xll.ciqfunctions.udf.CIQ(InputTicker,"IQ_EBITA_EXCL_SBC",Input!M$2,Date,,,Ccy,Conv)</f>
        <v>12929</v>
      </c>
      <c r="L88" s="4">
        <f>_xll.ciqfunctions.udf.CIQ(InputTicker,"IQ_EBITA_EXCL_SBC",Input!N$2,Date,,,Ccy,Conv)</f>
        <v>16449</v>
      </c>
      <c r="M88" s="4">
        <f>_xll.ciqfunctions.udf.CIQ(InputTicker,"IQ_EBITA_EXCL_SBC",Input!O$2,Date,,,Ccy,Conv)</f>
        <v>16449</v>
      </c>
      <c r="N88" s="50"/>
      <c r="P88" s="46"/>
      <c r="Q88" s="46"/>
      <c r="R88" s="46"/>
      <c r="T88" s="42"/>
      <c r="U88" s="42"/>
      <c r="V88" s="46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  <c r="BA88" s="42"/>
      <c r="BB88" s="42"/>
      <c r="BC88" s="42"/>
      <c r="BD88" s="42"/>
      <c r="BE88" s="42"/>
      <c r="BF88" s="42"/>
      <c r="BG88" s="42"/>
      <c r="BH88" s="42"/>
      <c r="BI88" s="42"/>
      <c r="BJ88" s="42"/>
      <c r="BK88" s="42"/>
      <c r="BL88" s="42"/>
      <c r="BM88" s="42"/>
      <c r="BN88" s="42"/>
    </row>
    <row r="89" spans="1:66" ht="12.75" customHeight="1" x14ac:dyDescent="0.2">
      <c r="A89" s="1" t="s">
        <v>309</v>
      </c>
      <c r="B89" s="4">
        <f>_xll.ciqfunctions.udf.CIQ(InputTicker,"IQ_EBITDAR",Input!D$2,Date,,,Ccy,Conv)</f>
        <v>21817</v>
      </c>
      <c r="C89" s="4">
        <f>_xll.ciqfunctions.udf.CIQ(InputTicker,"IQ_EBITDAR",Input!E$2,Date,,,Ccy,Conv)</f>
        <v>0</v>
      </c>
      <c r="D89" s="4">
        <f>_xll.ciqfunctions.udf.CIQ(InputTicker,"IQ_EBITDAR",Input!F$2,Date,,,Ccy,Conv)</f>
        <v>0</v>
      </c>
      <c r="E89" s="4">
        <f>_xll.ciqfunctions.udf.CIQ(InputTicker,"IQ_EBITDAR",Input!G$2,Date,,,Ccy,Conv)</f>
        <v>0</v>
      </c>
      <c r="F89" s="4">
        <f>_xll.ciqfunctions.udf.CIQ(InputTicker,"IQ_EBITDAR",Input!H$2,Date,,,Ccy,Conv)</f>
        <v>15221</v>
      </c>
      <c r="G89" s="4">
        <f>_xll.ciqfunctions.udf.CIQ(InputTicker,"IQ_EBITDAR",Input!I$2,Date,,,Ccy,Conv)</f>
        <v>12881</v>
      </c>
      <c r="H89" s="4">
        <f>_xll.ciqfunctions.udf.CIQ(InputTicker,"IQ_EBITDAR",Input!J$2,Date,,,Ccy,Conv)</f>
        <v>12746</v>
      </c>
      <c r="I89" s="4">
        <f>_xll.ciqfunctions.udf.CIQ(InputTicker,"IQ_EBITDAR",Input!K$2,Date,,,Ccy,Conv)</f>
        <v>12022</v>
      </c>
      <c r="J89" s="4">
        <f>_xll.ciqfunctions.udf.CIQ(InputTicker,"IQ_EBITDAR",Input!L$2,Date,,,Ccy,Conv)</f>
        <v>13549</v>
      </c>
      <c r="K89" s="4">
        <f>_xll.ciqfunctions.udf.CIQ(InputTicker,"IQ_EBITDAR",Input!M$2,Date,,,Ccy,Conv)</f>
        <v>14195</v>
      </c>
      <c r="L89" s="4">
        <f>_xll.ciqfunctions.udf.CIQ(InputTicker,"IQ_EBITDAR",Input!N$2,Date,,,Ccy,Conv)</f>
        <v>17426</v>
      </c>
      <c r="M89" s="4">
        <f>_xll.ciqfunctions.udf.CIQ(InputTicker,"IQ_EBITDAR",Input!O$2,Date,,,Ccy,Conv)</f>
        <v>17426</v>
      </c>
      <c r="N89" s="50"/>
      <c r="P89" s="46"/>
      <c r="Q89" s="46"/>
      <c r="R89" s="46"/>
      <c r="T89" s="42"/>
      <c r="U89" s="42"/>
      <c r="V89" s="46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  <c r="BA89" s="42"/>
      <c r="BB89" s="42"/>
      <c r="BC89" s="42"/>
      <c r="BD89" s="42"/>
      <c r="BE89" s="42"/>
      <c r="BF89" s="42"/>
      <c r="BG89" s="42"/>
      <c r="BH89" s="42"/>
      <c r="BI89" s="42"/>
      <c r="BJ89" s="42"/>
      <c r="BK89" s="42"/>
      <c r="BL89" s="42"/>
      <c r="BM89" s="42"/>
      <c r="BN89" s="42"/>
    </row>
    <row r="90" spans="1:66" ht="12.75" customHeight="1" x14ac:dyDescent="0.2">
      <c r="A90" s="1" t="s">
        <v>295</v>
      </c>
      <c r="B90" s="4">
        <f>_xll.ciqfunctions.udf.CIQ(InputTicker,"IQ_EBITDAR_EQ_INC",Input!D$2,Date,,,Ccy,Conv)</f>
        <v>21817</v>
      </c>
      <c r="C90" s="4">
        <f>_xll.ciqfunctions.udf.CIQ(InputTicker,"IQ_EBITDAR_EQ_INC",Input!E$2,Date,,,Ccy,Conv)</f>
        <v>0</v>
      </c>
      <c r="D90" s="4">
        <f>_xll.ciqfunctions.udf.CIQ(InputTicker,"IQ_EBITDAR_EQ_INC",Input!F$2,Date,,,Ccy,Conv)</f>
        <v>0</v>
      </c>
      <c r="E90" s="4">
        <f>_xll.ciqfunctions.udf.CIQ(InputTicker,"IQ_EBITDAR_EQ_INC",Input!G$2,Date,,,Ccy,Conv)</f>
        <v>0</v>
      </c>
      <c r="F90" s="4">
        <f>_xll.ciqfunctions.udf.CIQ(InputTicker,"IQ_EBITDAR_EQ_INC",Input!H$2,Date,,,Ccy,Conv)</f>
        <v>16844</v>
      </c>
      <c r="G90" s="4">
        <f>_xll.ciqfunctions.udf.CIQ(InputTicker,"IQ_EBITDAR_EQ_INC",Input!I$2,Date,,,Ccy,Conv)</f>
        <v>14405</v>
      </c>
      <c r="H90" s="4">
        <f>_xll.ciqfunctions.udf.CIQ(InputTicker,"IQ_EBITDAR_EQ_INC",Input!J$2,Date,,,Ccy,Conv)</f>
        <v>14183</v>
      </c>
      <c r="I90" s="4">
        <f>_xll.ciqfunctions.udf.CIQ(InputTicker,"IQ_EBITDAR_EQ_INC",Input!K$2,Date,,,Ccy,Conv)</f>
        <v>13269</v>
      </c>
      <c r="J90" s="4">
        <f>_xll.ciqfunctions.udf.CIQ(InputTicker,"IQ_EBITDAR_EQ_INC",Input!L$2,Date,,,Ccy,Conv)</f>
        <v>14841</v>
      </c>
      <c r="K90" s="4">
        <f>_xll.ciqfunctions.udf.CIQ(InputTicker,"IQ_EBITDAR_EQ_INC",Input!M$2,Date,,,Ccy,Conv)</f>
        <v>15504</v>
      </c>
      <c r="L90" s="4">
        <f>_xll.ciqfunctions.udf.CIQ(InputTicker,"IQ_EBITDAR_EQ_INC",Input!N$2,Date,,,Ccy,Conv)</f>
        <v>18734</v>
      </c>
      <c r="M90" s="4">
        <f>_xll.ciqfunctions.udf.CIQ(InputTicker,"IQ_EBITDAR_EQ_INC",Input!O$2,Date,,,Ccy,Conv)</f>
        <v>18734</v>
      </c>
      <c r="N90" s="50"/>
      <c r="P90" s="46"/>
      <c r="Q90" s="46"/>
      <c r="R90" s="46"/>
      <c r="T90" s="42"/>
      <c r="U90" s="42"/>
      <c r="V90" s="46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  <c r="BA90" s="42"/>
      <c r="BB90" s="42"/>
      <c r="BC90" s="42"/>
      <c r="BD90" s="42"/>
      <c r="BE90" s="42"/>
      <c r="BF90" s="42"/>
      <c r="BG90" s="42"/>
      <c r="BH90" s="42"/>
      <c r="BI90" s="42"/>
      <c r="BJ90" s="42"/>
      <c r="BK90" s="42"/>
      <c r="BL90" s="42"/>
      <c r="BM90" s="42"/>
      <c r="BN90" s="42"/>
    </row>
    <row r="91" spans="1:66" ht="12.75" customHeight="1" x14ac:dyDescent="0.2">
      <c r="A91" s="1" t="s">
        <v>296</v>
      </c>
      <c r="B91" s="4">
        <f>_xll.ciqfunctions.udf.CIQ(InputTicker,"IQ_EBITDAR_EQ_INC_EXCL_SBC",Input!D$2,Date,,,Ccy,Conv)</f>
        <v>22285</v>
      </c>
      <c r="C91" s="4">
        <f>_xll.ciqfunctions.udf.CIQ(InputTicker,"IQ_EBITDAR_EQ_INC_EXCL_SBC",Input!E$2,Date,,,Ccy,Conv)</f>
        <v>0</v>
      </c>
      <c r="D91" s="4">
        <f>_xll.ciqfunctions.udf.CIQ(InputTicker,"IQ_EBITDAR_EQ_INC_EXCL_SBC",Input!F$2,Date,,,Ccy,Conv)</f>
        <v>0</v>
      </c>
      <c r="E91" s="4">
        <f>_xll.ciqfunctions.udf.CIQ(InputTicker,"IQ_EBITDAR_EQ_INC_EXCL_SBC",Input!G$2,Date,,,Ccy,Conv)</f>
        <v>0</v>
      </c>
      <c r="F91" s="4">
        <f>_xll.ciqfunctions.udf.CIQ(InputTicker,"IQ_EBITDAR_EQ_INC_EXCL_SBC",Input!H$2,Date,,,Ccy,Conv)</f>
        <v>15900</v>
      </c>
      <c r="G91" s="4">
        <f>_xll.ciqfunctions.udf.CIQ(InputTicker,"IQ_EBITDAR_EQ_INC_EXCL_SBC",Input!I$2,Date,,,Ccy,Conv)</f>
        <v>13818</v>
      </c>
      <c r="H91" s="4">
        <f>_xll.ciqfunctions.udf.CIQ(InputTicker,"IQ_EBITDAR_EQ_INC_EXCL_SBC",Input!J$2,Date,,,Ccy,Conv)</f>
        <v>13728</v>
      </c>
      <c r="I91" s="4">
        <f>_xll.ciqfunctions.udf.CIQ(InputTicker,"IQ_EBITDAR_EQ_INC_EXCL_SBC",Input!K$2,Date,,,Ccy,Conv)</f>
        <v>13010</v>
      </c>
      <c r="J91" s="4">
        <f>_xll.ciqfunctions.udf.CIQ(InputTicker,"IQ_EBITDAR_EQ_INC_EXCL_SBC",Input!L$2,Date,,,Ccy,Conv)</f>
        <v>14683</v>
      </c>
      <c r="K91" s="4">
        <f>_xll.ciqfunctions.udf.CIQ(InputTicker,"IQ_EBITDAR_EQ_INC_EXCL_SBC",Input!M$2,Date,,,Ccy,Conv)</f>
        <v>15506</v>
      </c>
      <c r="L91" s="4">
        <f>_xll.ciqfunctions.udf.CIQ(InputTicker,"IQ_EBITDAR_EQ_INC_EXCL_SBC",Input!N$2,Date,,,Ccy,Conv)</f>
        <v>19141</v>
      </c>
      <c r="M91" s="4">
        <f>_xll.ciqfunctions.udf.CIQ(InputTicker,"IQ_EBITDAR_EQ_INC_EXCL_SBC",Input!O$2,Date,,,Ccy,Conv)</f>
        <v>19141</v>
      </c>
      <c r="N91" s="50"/>
      <c r="P91" s="46"/>
      <c r="Q91" s="46"/>
      <c r="R91" s="46"/>
      <c r="T91" s="42"/>
      <c r="U91" s="42"/>
      <c r="V91" s="46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  <c r="BA91" s="42"/>
      <c r="BB91" s="42"/>
      <c r="BC91" s="42"/>
      <c r="BD91" s="42"/>
      <c r="BE91" s="42"/>
      <c r="BF91" s="42"/>
      <c r="BG91" s="42"/>
      <c r="BH91" s="42"/>
      <c r="BI91" s="42"/>
      <c r="BJ91" s="42"/>
      <c r="BK91" s="42"/>
      <c r="BL91" s="42"/>
      <c r="BM91" s="42"/>
      <c r="BN91" s="42"/>
    </row>
    <row r="92" spans="1:66" ht="12.75" customHeight="1" x14ac:dyDescent="0.2">
      <c r="A92" s="1" t="s">
        <v>297</v>
      </c>
      <c r="B92" s="4">
        <f>_xll.ciqfunctions.udf.CIQ(InputTicker,"IQ_EBITDAR_EXCL_SBC",Input!D$2,Date,,,Ccy,Conv)</f>
        <v>22285</v>
      </c>
      <c r="C92" s="4">
        <f>_xll.ciqfunctions.udf.CIQ(InputTicker,"IQ_EBITDAR_EXCL_SBC",Input!E$2,Date,,,Ccy,Conv)</f>
        <v>0</v>
      </c>
      <c r="D92" s="4">
        <f>_xll.ciqfunctions.udf.CIQ(InputTicker,"IQ_EBITDAR_EXCL_SBC",Input!F$2,Date,,,Ccy,Conv)</f>
        <v>0</v>
      </c>
      <c r="E92" s="4">
        <f>_xll.ciqfunctions.udf.CIQ(InputTicker,"IQ_EBITDAR_EXCL_SBC",Input!G$2,Date,,,Ccy,Conv)</f>
        <v>0</v>
      </c>
      <c r="F92" s="4">
        <f>_xll.ciqfunctions.udf.CIQ(InputTicker,"IQ_EBITDAR_EXCL_SBC",Input!H$2,Date,,,Ccy,Conv)</f>
        <v>15900</v>
      </c>
      <c r="G92" s="4">
        <f>_xll.ciqfunctions.udf.CIQ(InputTicker,"IQ_EBITDAR_EXCL_SBC",Input!I$2,Date,,,Ccy,Conv)</f>
        <v>13818</v>
      </c>
      <c r="H92" s="4">
        <f>_xll.ciqfunctions.udf.CIQ(InputTicker,"IQ_EBITDAR_EXCL_SBC",Input!J$2,Date,,,Ccy,Conv)</f>
        <v>13728</v>
      </c>
      <c r="I92" s="4">
        <f>_xll.ciqfunctions.udf.CIQ(InputTicker,"IQ_EBITDAR_EXCL_SBC",Input!K$2,Date,,,Ccy,Conv)</f>
        <v>13010</v>
      </c>
      <c r="J92" s="4">
        <f>_xll.ciqfunctions.udf.CIQ(InputTicker,"IQ_EBITDAR_EXCL_SBC",Input!L$2,Date,,,Ccy,Conv)</f>
        <v>14683</v>
      </c>
      <c r="K92" s="4">
        <f>_xll.ciqfunctions.udf.CIQ(InputTicker,"IQ_EBITDAR_EXCL_SBC",Input!M$2,Date,,,Ccy,Conv)</f>
        <v>15506</v>
      </c>
      <c r="L92" s="4">
        <f>_xll.ciqfunctions.udf.CIQ(InputTicker,"IQ_EBITDAR_EXCL_SBC",Input!N$2,Date,,,Ccy,Conv)</f>
        <v>19141</v>
      </c>
      <c r="M92" s="4">
        <f>_xll.ciqfunctions.udf.CIQ(InputTicker,"IQ_EBITDAR_EXCL_SBC",Input!O$2,Date,,,Ccy,Conv)</f>
        <v>19141</v>
      </c>
      <c r="N92" s="50"/>
      <c r="P92" s="46"/>
      <c r="Q92" s="46"/>
      <c r="R92" s="46"/>
      <c r="T92" s="42"/>
      <c r="U92" s="42"/>
      <c r="V92" s="46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  <c r="BA92" s="42"/>
      <c r="BB92" s="42"/>
      <c r="BC92" s="42"/>
      <c r="BD92" s="42"/>
      <c r="BE92" s="42"/>
      <c r="BF92" s="42"/>
      <c r="BG92" s="42"/>
      <c r="BH92" s="42"/>
      <c r="BI92" s="42"/>
      <c r="BJ92" s="42"/>
      <c r="BK92" s="42"/>
      <c r="BL92" s="42"/>
      <c r="BM92" s="42"/>
      <c r="BN92" s="42"/>
    </row>
    <row r="93" spans="1:66" ht="12.75" customHeight="1" x14ac:dyDescent="0.2">
      <c r="A93" s="1" t="s">
        <v>430</v>
      </c>
      <c r="B93" s="4">
        <f>_xll.ciqfunctions.udf.CIQ(InputTicker,"IQ_EBITDA_CAPEX",Input!D$2,Date,,,Ccy,Conv)</f>
        <v>16793</v>
      </c>
      <c r="C93" s="4">
        <f>_xll.ciqfunctions.udf.CIQ(InputTicker,"IQ_EBITDA_CAPEX",Input!E$2,Date,,,Ccy,Conv)</f>
        <v>14984</v>
      </c>
      <c r="D93" s="4">
        <f>_xll.ciqfunctions.udf.CIQ(InputTicker,"IQ_EBITDA_CAPEX",Input!F$2,Date,,,Ccy,Conv)</f>
        <v>12994</v>
      </c>
      <c r="E93" s="4">
        <f>_xll.ciqfunctions.udf.CIQ(InputTicker,"IQ_EBITDA_CAPEX",Input!G$2,Date,,,Ccy,Conv)</f>
        <v>14303</v>
      </c>
      <c r="F93" s="4">
        <f>_xll.ciqfunctions.udf.CIQ(InputTicker,"IQ_EBITDA_CAPEX",Input!H$2,Date,,,Ccy,Conv)</f>
        <v>11312</v>
      </c>
      <c r="G93" s="4">
        <f>_xll.ciqfunctions.udf.CIQ(InputTicker,"IQ_EBITDA_CAPEX",Input!I$2,Date,,,Ccy,Conv)</f>
        <v>8739</v>
      </c>
      <c r="H93" s="4">
        <f>_xll.ciqfunctions.udf.CIQ(InputTicker,"IQ_EBITDA_CAPEX",Input!J$2,Date,,,Ccy,Conv)</f>
        <v>9247</v>
      </c>
      <c r="I93" s="4">
        <f>_xll.ciqfunctions.udf.CIQ(InputTicker,"IQ_EBITDA_CAPEX",Input!K$2,Date,,,Ccy,Conv)</f>
        <v>9429</v>
      </c>
      <c r="J93" s="4">
        <f>_xll.ciqfunctions.udf.CIQ(InputTicker,"IQ_EBITDA_CAPEX",Input!L$2,Date,,,Ccy,Conv)</f>
        <v>11012</v>
      </c>
      <c r="K93" s="4">
        <f>_xll.ciqfunctions.udf.CIQ(InputTicker,"IQ_EBITDA_CAPEX",Input!M$2,Date,,,Ccy,Conv)</f>
        <v>11838</v>
      </c>
      <c r="L93" s="4">
        <f>_xll.ciqfunctions.udf.CIQ(InputTicker,"IQ_EBITDA_CAPEX",Input!N$2,Date,,,Ccy,Conv)</f>
        <v>15027</v>
      </c>
      <c r="M93" s="4">
        <f>_xll.ciqfunctions.udf.CIQ(InputTicker,"IQ_EBITDA_CAPEX",Input!O$2,Date,,,Ccy,Conv)</f>
        <v>15027</v>
      </c>
      <c r="N93" s="49"/>
      <c r="P93" s="46"/>
      <c r="Q93" s="46"/>
      <c r="R93" s="46"/>
      <c r="T93" s="42"/>
      <c r="U93" s="42"/>
      <c r="V93" s="46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  <c r="BA93" s="42"/>
      <c r="BB93" s="42"/>
      <c r="BC93" s="42"/>
      <c r="BD93" s="42"/>
      <c r="BE93" s="42"/>
      <c r="BF93" s="42"/>
      <c r="BG93" s="42"/>
      <c r="BH93" s="42"/>
      <c r="BI93" s="42"/>
      <c r="BJ93" s="42"/>
      <c r="BK93" s="42"/>
      <c r="BL93" s="42"/>
      <c r="BM93" s="42"/>
      <c r="BN93" s="42"/>
    </row>
    <row r="94" spans="1:66" ht="12.75" customHeight="1" x14ac:dyDescent="0.2">
      <c r="A94" s="1" t="s">
        <v>39</v>
      </c>
      <c r="B94" s="4">
        <f>_xll.ciqfunctions.udf.CIQ(InputTicker,"IQ_FEES_OTHER_INCOME",Input!D$2,Date,,,Ccy,Conv)</f>
        <v>0</v>
      </c>
      <c r="C94" s="4">
        <f>_xll.ciqfunctions.udf.CIQ(InputTicker,"IQ_FEES_OTHER_INCOME",Input!E$2,Date,,,Ccy,Conv)</f>
        <v>0</v>
      </c>
      <c r="D94" s="4">
        <f>_xll.ciqfunctions.udf.CIQ(InputTicker,"IQ_FEES_OTHER_INCOME",Input!F$2,Date,,,Ccy,Conv)</f>
        <v>0</v>
      </c>
      <c r="E94" s="4">
        <f>_xll.ciqfunctions.udf.CIQ(InputTicker,"IQ_FEES_OTHER_INCOME",Input!G$2,Date,,,Ccy,Conv)</f>
        <v>0</v>
      </c>
      <c r="F94" s="4">
        <f>_xll.ciqfunctions.udf.CIQ(InputTicker,"IQ_FEES_OTHER_INCOME",Input!H$2,Date,,,Ccy,Conv)</f>
        <v>0</v>
      </c>
      <c r="G94" s="4">
        <f>_xll.ciqfunctions.udf.CIQ(InputTicker,"IQ_FEES_OTHER_INCOME",Input!I$2,Date,,,Ccy,Conv)</f>
        <v>0</v>
      </c>
      <c r="H94" s="4">
        <f>_xll.ciqfunctions.udf.CIQ(InputTicker,"IQ_FEES_OTHER_INCOME",Input!J$2,Date,,,Ccy,Conv)</f>
        <v>0</v>
      </c>
      <c r="I94" s="4">
        <f>_xll.ciqfunctions.udf.CIQ(InputTicker,"IQ_FEES_OTHER_INCOME",Input!K$2,Date,,,Ccy,Conv)</f>
        <v>0</v>
      </c>
      <c r="J94" s="4">
        <f>_xll.ciqfunctions.udf.CIQ(InputTicker,"IQ_FEES_OTHER_INCOME",Input!L$2,Date,,,Ccy,Conv)</f>
        <v>0</v>
      </c>
      <c r="K94" s="4">
        <f>_xll.ciqfunctions.udf.CIQ(InputTicker,"IQ_FEES_OTHER_INCOME",Input!M$2,Date,,,Ccy,Conv)</f>
        <v>0</v>
      </c>
      <c r="L94" s="4">
        <f>_xll.ciqfunctions.udf.CIQ(InputTicker,"IQ_FEES_OTHER_INCOME",Input!N$2,Date,,,Ccy,Conv)</f>
        <v>0</v>
      </c>
      <c r="M94" s="4">
        <f>_xll.ciqfunctions.udf.CIQ(InputTicker,"IQ_FEES_OTHER_INCOME",Input!O$2,Date,,,Ccy,Conv)</f>
        <v>0</v>
      </c>
      <c r="N94" s="50"/>
      <c r="P94" s="46"/>
      <c r="Q94" s="46"/>
      <c r="R94" s="46"/>
      <c r="T94" s="42"/>
      <c r="U94" s="42"/>
      <c r="V94" s="46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  <c r="BA94" s="42"/>
      <c r="BB94" s="42"/>
      <c r="BC94" s="42"/>
      <c r="BD94" s="42"/>
      <c r="BE94" s="42"/>
      <c r="BF94" s="42"/>
      <c r="BG94" s="42"/>
      <c r="BH94" s="42"/>
      <c r="BI94" s="42"/>
      <c r="BJ94" s="42"/>
      <c r="BK94" s="42"/>
      <c r="BL94" s="42"/>
      <c r="BM94" s="42"/>
      <c r="BN94" s="42"/>
    </row>
    <row r="95" spans="1:66" ht="12.75" customHeight="1" x14ac:dyDescent="0.2">
      <c r="A95" s="1" t="s">
        <v>318</v>
      </c>
      <c r="B95" s="4">
        <f>_xll.ciqfunctions.udf.CIQ(InputTicker,"IQ_SAME_STORE",Input!D$2,Date)</f>
        <v>0</v>
      </c>
      <c r="C95" s="4">
        <f>_xll.ciqfunctions.udf.CIQ(InputTicker,"IQ_SAME_STORE",Input!E$2,Date)</f>
        <v>0</v>
      </c>
      <c r="D95" s="4">
        <f>_xll.ciqfunctions.udf.CIQ(InputTicker,"IQ_SAME_STORE",Input!F$2,Date)</f>
        <v>0</v>
      </c>
      <c r="E95" s="4">
        <f>_xll.ciqfunctions.udf.CIQ(InputTicker,"IQ_SAME_STORE",Input!G$2,Date)</f>
        <v>0</v>
      </c>
      <c r="F95" s="4">
        <f>_xll.ciqfunctions.udf.CIQ(InputTicker,"IQ_SAME_STORE",Input!H$2,Date)</f>
        <v>0</v>
      </c>
      <c r="G95" s="4">
        <f>_xll.ciqfunctions.udf.CIQ(InputTicker,"IQ_SAME_STORE",Input!I$2,Date)</f>
        <v>0</v>
      </c>
      <c r="H95" s="4">
        <f>_xll.ciqfunctions.udf.CIQ(InputTicker,"IQ_SAME_STORE",Input!J$2,Date)</f>
        <v>0</v>
      </c>
      <c r="I95" s="4">
        <f>_xll.ciqfunctions.udf.CIQ(InputTicker,"IQ_SAME_STORE",Input!K$2,Date)</f>
        <v>0</v>
      </c>
      <c r="J95" s="4">
        <f>_xll.ciqfunctions.udf.CIQ(InputTicker,"IQ_SAME_STORE",Input!L$2,Date)</f>
        <v>0</v>
      </c>
      <c r="K95" s="4">
        <f>_xll.ciqfunctions.udf.CIQ(InputTicker,"IQ_SAME_STORE",Input!M$2,Date)</f>
        <v>0</v>
      </c>
      <c r="L95" s="4">
        <f>_xll.ciqfunctions.udf.CIQ(InputTicker,"IQ_SAME_STORE",Input!N$2,Date)</f>
        <v>0</v>
      </c>
      <c r="M95" s="4">
        <f>_xll.ciqfunctions.udf.CIQ(InputTicker,"IQ_SAME_STORE",Input!O$2,Date)</f>
        <v>0</v>
      </c>
      <c r="N95" s="42"/>
      <c r="P95" s="46"/>
      <c r="Q95" s="46"/>
      <c r="R95" s="46"/>
      <c r="T95" s="42"/>
      <c r="U95" s="42"/>
      <c r="V95" s="46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  <c r="BA95" s="42"/>
      <c r="BB95" s="42"/>
      <c r="BC95" s="42"/>
      <c r="BD95" s="42"/>
      <c r="BE95" s="42"/>
      <c r="BF95" s="42"/>
      <c r="BG95" s="42"/>
      <c r="BH95" s="42"/>
      <c r="BI95" s="42"/>
      <c r="BJ95" s="42"/>
      <c r="BK95" s="42"/>
      <c r="BL95" s="42"/>
      <c r="BM95" s="42"/>
      <c r="BN95" s="42"/>
    </row>
    <row r="96" spans="1:66" ht="12.75" customHeight="1" x14ac:dyDescent="0.2">
      <c r="A96" s="1" t="s">
        <v>215</v>
      </c>
      <c r="B96" s="4">
        <f>_xll.ciqfunctions.udf.CIQ(InputTicker, "IQ_TOTAL_REV_AS_REPORTED",Input!D$2,Date,,,Ccy,Conv)</f>
        <v>81741</v>
      </c>
      <c r="C96" s="4">
        <f>_xll.ciqfunctions.udf.CIQ(InputTicker, "IQ_TOTAL_REV_AS_REPORTED",Input!E$2,Date,,,Ccy,Conv)</f>
        <v>79919</v>
      </c>
      <c r="D96" s="4">
        <f>_xll.ciqfunctions.udf.CIQ(InputTicker, "IQ_TOTAL_REV_AS_REPORTED",Input!F$2,Date,,,Ccy,Conv)</f>
        <v>79139</v>
      </c>
      <c r="E96" s="4">
        <f>_xll.ciqfunctions.udf.CIQ(InputTicker, "IQ_TOTAL_REV_AS_REPORTED",Input!G$2,Date,,,Ccy,Conv)</f>
        <v>79591</v>
      </c>
      <c r="F96" s="4">
        <f>_xll.ciqfunctions.udf.CIQ(InputTicker, "IQ_TOTAL_REV_AS_REPORTED",Input!H$2,Date,,,Ccy,Conv)</f>
        <v>57714</v>
      </c>
      <c r="G96" s="4">
        <f>_xll.ciqfunctions.udf.CIQ(InputTicker, "IQ_TOTAL_REV_AS_REPORTED",Input!I$2,Date,,,Ccy,Conv)</f>
        <v>55179</v>
      </c>
      <c r="H96" s="4">
        <f>_xll.ciqfunctions.udf.CIQ(InputTicker, "IQ_TOTAL_REV_AS_REPORTED",Input!J$2,Date,,,Ccy,Conv)</f>
        <v>57350</v>
      </c>
      <c r="I96" s="4">
        <f>_xll.ciqfunctions.udf.CIQ(InputTicker, "IQ_TOTAL_REV_AS_REPORTED",Input!K$2,Date,,,Ccy,Conv)</f>
        <v>60530</v>
      </c>
      <c r="J96" s="4">
        <f>_xll.ciqfunctions.udf.CIQ(InputTicker, "IQ_TOTAL_REV_AS_REPORTED",Input!L$2,Date,,,Ccy,Conv)</f>
        <v>61860</v>
      </c>
      <c r="K96" s="4">
        <f>_xll.ciqfunctions.udf.CIQ(InputTicker, "IQ_TOTAL_REV_AS_REPORTED",Input!M$2,Date,,,Ccy,Conv)</f>
        <v>62753</v>
      </c>
      <c r="L96" s="4">
        <f>_xll.ciqfunctions.udf.CIQ(InputTicker, "IQ_TOTAL_REV_AS_REPORTED",Input!N$2,Date,,,Ccy,Conv)</f>
        <v>67535</v>
      </c>
      <c r="M96" s="4">
        <f>_xll.ciqfunctions.udf.CIQ(InputTicker, "IQ_TOTAL_REV_AS_REPORTED",Input!O$2,Date,,,Ccy,Conv)</f>
        <v>67535</v>
      </c>
      <c r="N96" s="49"/>
      <c r="P96" s="46"/>
      <c r="Q96" s="46"/>
      <c r="R96" s="46"/>
      <c r="T96" s="42"/>
      <c r="U96" s="42"/>
      <c r="V96" s="46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  <c r="BA96" s="42"/>
      <c r="BB96" s="42"/>
      <c r="BC96" s="42"/>
      <c r="BD96" s="42"/>
      <c r="BE96" s="42"/>
      <c r="BF96" s="42"/>
      <c r="BG96" s="42"/>
      <c r="BH96" s="42"/>
      <c r="BI96" s="42"/>
      <c r="BJ96" s="42"/>
      <c r="BK96" s="42"/>
      <c r="BL96" s="42"/>
      <c r="BM96" s="42"/>
      <c r="BN96" s="42"/>
    </row>
    <row r="97" spans="1:66" ht="12.75" customHeight="1" x14ac:dyDescent="0.2">
      <c r="A97" s="1" t="s">
        <v>463</v>
      </c>
      <c r="B97" s="4">
        <f>_xll.ciqfunctions.udf.CIQ(InputTicker, "IQ_AS_REPORTED_EBITDA",Input!D$2,Date,,,Ccy,Conv)</f>
        <v>0</v>
      </c>
      <c r="C97" s="4">
        <f>_xll.ciqfunctions.udf.CIQ(InputTicker, "IQ_AS_REPORTED_EBITDA",Input!E$2,Date,,,Ccy,Conv)</f>
        <v>0</v>
      </c>
      <c r="D97" s="4">
        <f>_xll.ciqfunctions.udf.CIQ(InputTicker, "IQ_AS_REPORTED_EBITDA",Input!F$2,Date,,,Ccy,Conv)</f>
        <v>0</v>
      </c>
      <c r="E97" s="4">
        <f>_xll.ciqfunctions.udf.CIQ(InputTicker, "IQ_AS_REPORTED_EBITDA",Input!G$2,Date,,,Ccy,Conv)</f>
        <v>0</v>
      </c>
      <c r="F97" s="4">
        <f>_xll.ciqfunctions.udf.CIQ(InputTicker, "IQ_AS_REPORTED_EBITDA",Input!H$2,Date,,,Ccy,Conv)</f>
        <v>0</v>
      </c>
      <c r="G97" s="4">
        <f>_xll.ciqfunctions.udf.CIQ(InputTicker, "IQ_AS_REPORTED_EBITDA",Input!I$2,Date,,,Ccy,Conv)</f>
        <v>0</v>
      </c>
      <c r="H97" s="4">
        <f>_xll.ciqfunctions.udf.CIQ(InputTicker, "IQ_AS_REPORTED_EBITDA",Input!J$2,Date,,,Ccy,Conv)</f>
        <v>0</v>
      </c>
      <c r="I97" s="4">
        <f>_xll.ciqfunctions.udf.CIQ(InputTicker, "IQ_AS_REPORTED_EBITDA",Input!K$2,Date,,,Ccy,Conv)</f>
        <v>0</v>
      </c>
      <c r="J97" s="4">
        <f>_xll.ciqfunctions.udf.CIQ(InputTicker, "IQ_AS_REPORTED_EBITDA",Input!L$2,Date,,,Ccy,Conv)</f>
        <v>0</v>
      </c>
      <c r="K97" s="4">
        <f>_xll.ciqfunctions.udf.CIQ(InputTicker, "IQ_AS_REPORTED_EBITDA",Input!M$2,Date,,,Ccy,Conv)</f>
        <v>0</v>
      </c>
      <c r="L97" s="4">
        <f>_xll.ciqfunctions.udf.CIQ(InputTicker, "IQ_AS_REPORTED_EBITDA",Input!N$2,Date,,,Ccy,Conv)</f>
        <v>0</v>
      </c>
      <c r="M97" s="4">
        <f>_xll.ciqfunctions.udf.CIQ(InputTicker, "IQ_AS_REPORTED_EBITDA",Input!O$2,Date,,,Ccy,Conv)</f>
        <v>0</v>
      </c>
      <c r="N97" s="49"/>
      <c r="P97" s="46"/>
      <c r="Q97" s="46"/>
      <c r="R97" s="46"/>
      <c r="T97" s="42"/>
      <c r="U97" s="42"/>
      <c r="V97" s="46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  <c r="BA97" s="42"/>
      <c r="BB97" s="42"/>
      <c r="BC97" s="42"/>
      <c r="BD97" s="42"/>
      <c r="BE97" s="42"/>
      <c r="BF97" s="42"/>
      <c r="BG97" s="42"/>
      <c r="BH97" s="42"/>
      <c r="BI97" s="42"/>
      <c r="BJ97" s="42"/>
      <c r="BK97" s="42"/>
      <c r="BL97" s="42"/>
      <c r="BM97" s="42"/>
      <c r="BN97" s="42"/>
    </row>
    <row r="98" spans="1:66" ht="12.75" customHeight="1" x14ac:dyDescent="0.2">
      <c r="A98" s="1" t="s">
        <v>0</v>
      </c>
      <c r="B98" s="4">
        <f>_xll.ciqfunctions.udf.CIQ(InputTicker, "IQ_PROV_BAD_DEBTS_PATIENT_SERVICE_REV",Input!D$2,Date,,,Ccy,Conv)</f>
        <v>0</v>
      </c>
      <c r="C98" s="4">
        <f>_xll.ciqfunctions.udf.CIQ(InputTicker, "IQ_PROV_BAD_DEBTS_PATIENT_SERVICE_REV",Input!E$2,Date,,,Ccy,Conv)</f>
        <v>0</v>
      </c>
      <c r="D98" s="4">
        <f>_xll.ciqfunctions.udf.CIQ(InputTicker, "IQ_PROV_BAD_DEBTS_PATIENT_SERVICE_REV",Input!F$2,Date,,,Ccy,Conv)</f>
        <v>0</v>
      </c>
      <c r="E98" s="4">
        <f>_xll.ciqfunctions.udf.CIQ(InputTicker, "IQ_PROV_BAD_DEBTS_PATIENT_SERVICE_REV",Input!G$2,Date,,,Ccy,Conv)</f>
        <v>0</v>
      </c>
      <c r="F98" s="4">
        <f>_xll.ciqfunctions.udf.CIQ(InputTicker, "IQ_PROV_BAD_DEBTS_PATIENT_SERVICE_REV",Input!H$2,Date,,,Ccy,Conv)</f>
        <v>0</v>
      </c>
      <c r="G98" s="4">
        <f>_xll.ciqfunctions.udf.CIQ(InputTicker, "IQ_PROV_BAD_DEBTS_PATIENT_SERVICE_REV",Input!I$2,Date,,,Ccy,Conv)</f>
        <v>0</v>
      </c>
      <c r="H98" s="4">
        <f>_xll.ciqfunctions.udf.CIQ(InputTicker, "IQ_PROV_BAD_DEBTS_PATIENT_SERVICE_REV",Input!J$2,Date,,,Ccy,Conv)</f>
        <v>0</v>
      </c>
      <c r="I98" s="4">
        <f>_xll.ciqfunctions.udf.CIQ(InputTicker, "IQ_PROV_BAD_DEBTS_PATIENT_SERVICE_REV",Input!K$2,Date,,,Ccy,Conv)</f>
        <v>0</v>
      </c>
      <c r="J98" s="4">
        <f>_xll.ciqfunctions.udf.CIQ(InputTicker, "IQ_PROV_BAD_DEBTS_PATIENT_SERVICE_REV",Input!L$2,Date,,,Ccy,Conv)</f>
        <v>0</v>
      </c>
      <c r="K98" s="4">
        <f>_xll.ciqfunctions.udf.CIQ(InputTicker, "IQ_PROV_BAD_DEBTS_PATIENT_SERVICE_REV",Input!M$2,Date,,,Ccy,Conv)</f>
        <v>0</v>
      </c>
      <c r="L98" s="4">
        <f>_xll.ciqfunctions.udf.CIQ(InputTicker, "IQ_PROV_BAD_DEBTS_PATIENT_SERVICE_REV",Input!N$2,Date,,,Ccy,Conv)</f>
        <v>0</v>
      </c>
      <c r="M98" s="4">
        <f>_xll.ciqfunctions.udf.CIQ(InputTicker, "IQ_PROV_BAD_DEBTS_PATIENT_SERVICE_REV",Input!O$2,Date,,,Ccy,Conv)</f>
        <v>0</v>
      </c>
      <c r="N98" s="49"/>
      <c r="P98" s="46"/>
      <c r="Q98" s="46"/>
      <c r="R98" s="46"/>
      <c r="T98" s="42"/>
      <c r="U98" s="42"/>
      <c r="V98" s="46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  <c r="BA98" s="42"/>
      <c r="BB98" s="42"/>
      <c r="BC98" s="42"/>
      <c r="BD98" s="42"/>
      <c r="BE98" s="42"/>
      <c r="BF98" s="42"/>
      <c r="BG98" s="42"/>
      <c r="BH98" s="42"/>
      <c r="BI98" s="42"/>
      <c r="BJ98" s="42"/>
      <c r="BK98" s="42"/>
      <c r="BL98" s="42"/>
      <c r="BM98" s="42"/>
      <c r="BN98" s="42"/>
    </row>
    <row r="99" spans="1:66" ht="12.75" customHeight="1" x14ac:dyDescent="0.2">
      <c r="A99" s="1" t="s">
        <v>23</v>
      </c>
      <c r="B99" s="4">
        <f>_xll.ciqfunctions.udf.CIQ(InputTicker, "IQ_EARNING_PARENT_EXCL_EXTRA",Input!D$2,Date,,,Ccy,Conv)</f>
        <v>13364</v>
      </c>
      <c r="C99" s="4">
        <f>_xll.ciqfunctions.udf.CIQ(InputTicker, "IQ_EARNING_PARENT_EXCL_EXTRA",Input!E$2,Date,,,Ccy,Conv)</f>
        <v>11881</v>
      </c>
      <c r="D99" s="4">
        <f>_xll.ciqfunctions.udf.CIQ(InputTicker, "IQ_EARNING_PARENT_EXCL_EXTRA",Input!F$2,Date,,,Ccy,Conv)</f>
        <v>5758</v>
      </c>
      <c r="E99" s="4">
        <f>_xll.ciqfunctions.udf.CIQ(InputTicker, "IQ_EARNING_PARENT_EXCL_EXTRA",Input!G$2,Date,,,Ccy,Conv)</f>
        <v>8723</v>
      </c>
      <c r="F99" s="4">
        <f>_xll.ciqfunctions.udf.CIQ(InputTicker, "IQ_EARNING_PARENT_EXCL_EXTRA",Input!H$2,Date,,,Ccy,Conv)</f>
        <v>7146</v>
      </c>
      <c r="G99" s="4">
        <f>_xll.ciqfunctions.udf.CIQ(InputTicker, "IQ_EARNING_PARENT_EXCL_EXTRA",Input!I$2,Date,,,Ccy,Conv)</f>
        <v>3932</v>
      </c>
      <c r="H99" s="4">
        <f>_xll.ciqfunctions.udf.CIQ(InputTicker, "IQ_EARNING_PARENT_EXCL_EXTRA",Input!J$2,Date,,,Ccy,Conv)</f>
        <v>4713</v>
      </c>
      <c r="I99" s="4">
        <f>_xll.ciqfunctions.udf.CIQ(InputTicker, "IQ_EARNING_PARENT_EXCL_EXTRA",Input!K$2,Date,,,Ccy,Conv)</f>
        <v>1782</v>
      </c>
      <c r="J99" s="4">
        <f>_xll.ciqfunctions.udf.CIQ(InputTicker, "IQ_EARNING_PARENT_EXCL_EXTRA",Input!L$2,Date,,,Ccy,Conv)</f>
        <v>7514</v>
      </c>
      <c r="K99" s="4">
        <f>_xll.ciqfunctions.udf.CIQ(InputTicker, "IQ_EARNING_PARENT_EXCL_EXTRA",Input!M$2,Date,,,Ccy,Conv)</f>
        <v>6015</v>
      </c>
      <c r="L99" s="4">
        <f>_xll.ciqfunctions.udf.CIQ(InputTicker, "IQ_EARNING_PARENT_EXCL_EXTRA",Input!N$2,Date,,,Ccy,Conv)</f>
        <v>10571</v>
      </c>
      <c r="M99" s="4">
        <f>_xll.ciqfunctions.udf.CIQ(InputTicker, "IQ_EARNING_PARENT_EXCL_EXTRA",Input!O$2,Date,,,Ccy,Conv)</f>
        <v>10571</v>
      </c>
      <c r="N99" s="49"/>
      <c r="P99" s="46"/>
      <c r="Q99" s="46"/>
      <c r="R99" s="46"/>
      <c r="T99" s="42"/>
      <c r="U99" s="42"/>
      <c r="V99" s="46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  <c r="BA99" s="42"/>
      <c r="BB99" s="42"/>
      <c r="BC99" s="42"/>
      <c r="BD99" s="42"/>
      <c r="BE99" s="42"/>
      <c r="BF99" s="42"/>
      <c r="BG99" s="42"/>
      <c r="BH99" s="42"/>
      <c r="BI99" s="42"/>
      <c r="BJ99" s="42"/>
      <c r="BK99" s="42"/>
      <c r="BL99" s="42"/>
      <c r="BM99" s="42"/>
      <c r="BN99" s="42"/>
    </row>
    <row r="100" spans="1:66" ht="12.75" customHeight="1" x14ac:dyDescent="0.2">
      <c r="A100" s="1" t="s">
        <v>213</v>
      </c>
      <c r="B100" s="4">
        <f>_xll.ciqfunctions.udf.CIQ(InputTicker, "IQ_NI_SFAS",Input!D$2,Date,,,Ccy,Conv)</f>
        <v>0</v>
      </c>
      <c r="C100" s="4">
        <f>_xll.ciqfunctions.udf.CIQ(InputTicker, "IQ_NI_SFAS",Input!E$2,Date,,,Ccy,Conv)</f>
        <v>0</v>
      </c>
      <c r="D100" s="4">
        <f>_xll.ciqfunctions.udf.CIQ(InputTicker, "IQ_NI_SFAS",Input!F$2,Date,,,Ccy,Conv)</f>
        <v>0</v>
      </c>
      <c r="E100" s="4">
        <f>_xll.ciqfunctions.udf.CIQ(InputTicker, "IQ_NI_SFAS",Input!G$2,Date,,,Ccy,Conv)</f>
        <v>0</v>
      </c>
      <c r="F100" s="4">
        <f>_xll.ciqfunctions.udf.CIQ(InputTicker, "IQ_NI_SFAS",Input!H$2,Date,,,Ccy,Conv)</f>
        <v>0</v>
      </c>
      <c r="G100" s="4">
        <f>_xll.ciqfunctions.udf.CIQ(InputTicker, "IQ_NI_SFAS",Input!I$2,Date,,,Ccy,Conv)</f>
        <v>0</v>
      </c>
      <c r="H100" s="4">
        <f>_xll.ciqfunctions.udf.CIQ(InputTicker, "IQ_NI_SFAS",Input!J$2,Date,,,Ccy,Conv)</f>
        <v>0</v>
      </c>
      <c r="I100" s="4">
        <f>_xll.ciqfunctions.udf.CIQ(InputTicker, "IQ_NI_SFAS",Input!K$2,Date,,,Ccy,Conv)</f>
        <v>0</v>
      </c>
      <c r="J100" s="4">
        <f>_xll.ciqfunctions.udf.CIQ(InputTicker, "IQ_NI_SFAS",Input!L$2,Date,,,Ccy,Conv)</f>
        <v>0</v>
      </c>
      <c r="K100" s="4">
        <f>_xll.ciqfunctions.udf.CIQ(InputTicker, "IQ_NI_SFAS",Input!M$2,Date,,,Ccy,Conv)</f>
        <v>0</v>
      </c>
      <c r="L100" s="4">
        <f>_xll.ciqfunctions.udf.CIQ(InputTicker, "IQ_NI_SFAS",Input!N$2,Date,,,Ccy,Conv)</f>
        <v>0</v>
      </c>
      <c r="M100" s="4">
        <f>_xll.ciqfunctions.udf.CIQ(InputTicker, "IQ_NI_SFAS",Input!O$2,Date,,,Ccy,Conv)</f>
        <v>0</v>
      </c>
      <c r="N100" s="49"/>
      <c r="P100" s="46"/>
      <c r="Q100" s="46"/>
      <c r="R100" s="46"/>
      <c r="T100" s="42"/>
      <c r="U100" s="42"/>
      <c r="V100" s="46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  <c r="BA100" s="42"/>
      <c r="BB100" s="42"/>
      <c r="BC100" s="42"/>
      <c r="BD100" s="42"/>
      <c r="BE100" s="42"/>
      <c r="BF100" s="42"/>
      <c r="BG100" s="42"/>
      <c r="BH100" s="42"/>
      <c r="BI100" s="42"/>
      <c r="BJ100" s="42"/>
      <c r="BK100" s="42"/>
      <c r="BL100" s="42"/>
      <c r="BM100" s="42"/>
      <c r="BN100" s="42"/>
    </row>
    <row r="101" spans="1:66" ht="12.75" customHeight="1" x14ac:dyDescent="0.2">
      <c r="A101" s="1" t="s">
        <v>442</v>
      </c>
      <c r="B101" s="4">
        <f>_xll.ciqfunctions.udf.CIQ(InputTicker, "IQ_INTEREST_INCOME",Input!D$2,Date,,,Ccy,Conv)</f>
        <v>72</v>
      </c>
      <c r="C101" s="4">
        <f>_xll.ciqfunctions.udf.CIQ(InputTicker, "IQ_INTEREST_INCOME",Input!E$2,Date,,,Ccy,Conv)</f>
        <v>108</v>
      </c>
      <c r="D101" s="4">
        <f>_xll.ciqfunctions.udf.CIQ(InputTicker, "IQ_INTEREST_INCOME",Input!F$2,Date,,,Ccy,Conv)</f>
        <v>0</v>
      </c>
      <c r="E101" s="4">
        <f>_xll.ciqfunctions.udf.CIQ(InputTicker, "IQ_INTEREST_INCOME",Input!G$2,Date,,,Ccy,Conv)</f>
        <v>0</v>
      </c>
      <c r="F101" s="4">
        <f>_xll.ciqfunctions.udf.CIQ(InputTicker, "IQ_INTEREST_INCOME",Input!H$2,Date,,,Ccy,Conv)</f>
        <v>0</v>
      </c>
      <c r="G101" s="4">
        <f>_xll.ciqfunctions.udf.CIQ(InputTicker, "IQ_INTEREST_INCOME",Input!I$2,Date,,,Ccy,Conv)</f>
        <v>0</v>
      </c>
      <c r="H101" s="4">
        <f>_xll.ciqfunctions.udf.CIQ(InputTicker, "IQ_INTEREST_INCOME",Input!J$2,Date,,,Ccy,Conv)</f>
        <v>52</v>
      </c>
      <c r="I101" s="4">
        <f>_xll.ciqfunctions.udf.CIQ(InputTicker, "IQ_INTEREST_INCOME",Input!K$2,Date,,,Ccy,Conv)</f>
        <v>162</v>
      </c>
      <c r="J101" s="4">
        <f>_xll.ciqfunctions.udf.CIQ(InputTicker, "IQ_INTEREST_INCOME",Input!L$2,Date,,,Ccy,Conv)</f>
        <v>670</v>
      </c>
      <c r="K101" s="4">
        <f>_xll.ciqfunctions.udf.CIQ(InputTicker, "IQ_INTEREST_INCOME",Input!M$2,Date,,,Ccy,Conv)</f>
        <v>747</v>
      </c>
      <c r="L101" s="4">
        <f>_xll.ciqfunctions.udf.CIQ(InputTicker, "IQ_INTEREST_INCOME",Input!N$2,Date,,,Ccy,Conv)</f>
        <v>645</v>
      </c>
      <c r="M101" s="4">
        <f>_xll.ciqfunctions.udf.CIQ(InputTicker, "IQ_INTEREST_INCOME",Input!O$2,Date,,,Ccy,Conv)</f>
        <v>645</v>
      </c>
      <c r="N101" s="49"/>
      <c r="P101" s="46"/>
      <c r="Q101" s="46"/>
      <c r="R101" s="46"/>
      <c r="T101" s="42"/>
      <c r="U101" s="42"/>
      <c r="V101" s="46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  <c r="BA101" s="42"/>
      <c r="BB101" s="42"/>
      <c r="BC101" s="42"/>
      <c r="BD101" s="42"/>
      <c r="BE101" s="42"/>
      <c r="BF101" s="42"/>
      <c r="BG101" s="42"/>
      <c r="BH101" s="42"/>
      <c r="BI101" s="42"/>
      <c r="BJ101" s="42"/>
      <c r="BK101" s="42"/>
      <c r="BL101" s="42"/>
      <c r="BM101" s="42"/>
      <c r="BN101" s="42"/>
    </row>
    <row r="102" spans="1:66" ht="12.75" customHeight="1" x14ac:dyDescent="0.2">
      <c r="A102" s="1" t="s">
        <v>444</v>
      </c>
      <c r="B102" s="4">
        <f>_xll.ciqfunctions.udf.CIQ(InputTicker, "IQ_INVESTMENT_INCOME",Input!D$2,Date,,,Ccy,Conv)</f>
        <v>0</v>
      </c>
      <c r="C102" s="4">
        <f>_xll.ciqfunctions.udf.CIQ(InputTicker, "IQ_INVESTMENT_INCOME",Input!E$2,Date,,,Ccy,Conv)</f>
        <v>0</v>
      </c>
      <c r="D102" s="4">
        <f>_xll.ciqfunctions.udf.CIQ(InputTicker, "IQ_INVESTMENT_INCOME",Input!F$2,Date,,,Ccy,Conv)</f>
        <v>0</v>
      </c>
      <c r="E102" s="4">
        <f>_xll.ciqfunctions.udf.CIQ(InputTicker, "IQ_INVESTMENT_INCOME",Input!G$2,Date,,,Ccy,Conv)</f>
        <v>0</v>
      </c>
      <c r="F102" s="4">
        <f>_xll.ciqfunctions.udf.CIQ(InputTicker, "IQ_INVESTMENT_INCOME",Input!H$2,Date,,,Ccy,Conv)</f>
        <v>0</v>
      </c>
      <c r="G102" s="4">
        <f>_xll.ciqfunctions.udf.CIQ(InputTicker, "IQ_INVESTMENT_INCOME",Input!I$2,Date,,,Ccy,Conv)</f>
        <v>0</v>
      </c>
      <c r="H102" s="4">
        <f>_xll.ciqfunctions.udf.CIQ(InputTicker, "IQ_INVESTMENT_INCOME",Input!J$2,Date,,,Ccy,Conv)</f>
        <v>0</v>
      </c>
      <c r="I102" s="4">
        <f>_xll.ciqfunctions.udf.CIQ(InputTicker, "IQ_INVESTMENT_INCOME",Input!K$2,Date,,,Ccy,Conv)</f>
        <v>0</v>
      </c>
      <c r="J102" s="4">
        <f>_xll.ciqfunctions.udf.CIQ(InputTicker, "IQ_INVESTMENT_INCOME",Input!L$2,Date,,,Ccy,Conv)</f>
        <v>0</v>
      </c>
      <c r="K102" s="4">
        <f>_xll.ciqfunctions.udf.CIQ(InputTicker, "IQ_INVESTMENT_INCOME",Input!M$2,Date,,,Ccy,Conv)</f>
        <v>0</v>
      </c>
      <c r="L102" s="4">
        <f>_xll.ciqfunctions.udf.CIQ(InputTicker, "IQ_INVESTMENT_INCOME",Input!N$2,Date,,,Ccy,Conv)</f>
        <v>0</v>
      </c>
      <c r="M102" s="4">
        <f>_xll.ciqfunctions.udf.CIQ(InputTicker, "IQ_INVESTMENT_INCOME",Input!O$2,Date,,,Ccy,Conv)</f>
        <v>0</v>
      </c>
      <c r="N102" s="49"/>
      <c r="P102" s="46"/>
      <c r="Q102" s="46"/>
      <c r="R102" s="46"/>
      <c r="T102" s="42"/>
      <c r="U102" s="42"/>
      <c r="V102" s="46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  <c r="BA102" s="42"/>
      <c r="BB102" s="42"/>
      <c r="BC102" s="42"/>
      <c r="BD102" s="42"/>
      <c r="BE102" s="42"/>
      <c r="BF102" s="42"/>
      <c r="BG102" s="42"/>
      <c r="BH102" s="42"/>
      <c r="BI102" s="42"/>
      <c r="BJ102" s="42"/>
      <c r="BK102" s="42"/>
      <c r="BL102" s="42"/>
      <c r="BM102" s="42"/>
      <c r="BN102" s="42"/>
    </row>
    <row r="103" spans="1:66" ht="12.75" customHeight="1" x14ac:dyDescent="0.2">
      <c r="A103" s="1" t="s">
        <v>373</v>
      </c>
      <c r="B103" s="4">
        <f>_xll.ciqfunctions.udf.CIQ(InputTicker, "IQ_EXCISE_TAXES_EXCL_SALES",Input!D$2,Date,,,Ccy,Conv)</f>
        <v>0</v>
      </c>
      <c r="C103" s="4">
        <f>_xll.ciqfunctions.udf.CIQ(InputTicker, "IQ_EXCISE_TAXES_EXCL_SALES",Input!E$2,Date,,,Ccy,Conv)</f>
        <v>0</v>
      </c>
      <c r="D103" s="4">
        <f>_xll.ciqfunctions.udf.CIQ(InputTicker, "IQ_EXCISE_TAXES_EXCL_SALES",Input!F$2,Date,,,Ccy,Conv)</f>
        <v>0</v>
      </c>
      <c r="E103" s="4">
        <f>_xll.ciqfunctions.udf.CIQ(InputTicker, "IQ_EXCISE_TAXES_EXCL_SALES",Input!G$2,Date,,,Ccy,Conv)</f>
        <v>0</v>
      </c>
      <c r="F103" s="4">
        <f>_xll.ciqfunctions.udf.CIQ(InputTicker, "IQ_EXCISE_TAXES_EXCL_SALES",Input!H$2,Date,,,Ccy,Conv)</f>
        <v>0</v>
      </c>
      <c r="G103" s="4">
        <f>_xll.ciqfunctions.udf.CIQ(InputTicker, "IQ_EXCISE_TAXES_EXCL_SALES",Input!I$2,Date,,,Ccy,Conv)</f>
        <v>0</v>
      </c>
      <c r="H103" s="4">
        <f>_xll.ciqfunctions.udf.CIQ(InputTicker, "IQ_EXCISE_TAXES_EXCL_SALES",Input!J$2,Date,,,Ccy,Conv)</f>
        <v>0</v>
      </c>
      <c r="I103" s="4">
        <f>_xll.ciqfunctions.udf.CIQ(InputTicker, "IQ_EXCISE_TAXES_EXCL_SALES",Input!K$2,Date,,,Ccy,Conv)</f>
        <v>0</v>
      </c>
      <c r="J103" s="4">
        <f>_xll.ciqfunctions.udf.CIQ(InputTicker, "IQ_EXCISE_TAXES_EXCL_SALES",Input!L$2,Date,,,Ccy,Conv)</f>
        <v>0</v>
      </c>
      <c r="K103" s="4">
        <f>_xll.ciqfunctions.udf.CIQ(InputTicker, "IQ_EXCISE_TAXES_EXCL_SALES",Input!M$2,Date,,,Ccy,Conv)</f>
        <v>0</v>
      </c>
      <c r="L103" s="4">
        <f>_xll.ciqfunctions.udf.CIQ(InputTicker, "IQ_EXCISE_TAXES_EXCL_SALES",Input!N$2,Date,,,Ccy,Conv)</f>
        <v>0</v>
      </c>
      <c r="M103" s="4">
        <f>_xll.ciqfunctions.udf.CIQ(InputTicker, "IQ_EXCISE_TAXES_EXCL_SALES",Input!O$2,Date,,,Ccy,Conv)</f>
        <v>0</v>
      </c>
      <c r="N103" s="49"/>
      <c r="P103" s="46"/>
      <c r="Q103" s="46"/>
      <c r="R103" s="46"/>
      <c r="T103" s="42"/>
      <c r="U103" s="42"/>
      <c r="V103" s="46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  <c r="BA103" s="42"/>
      <c r="BB103" s="42"/>
      <c r="BC103" s="42"/>
      <c r="BD103" s="42"/>
      <c r="BE103" s="42"/>
      <c r="BF103" s="42"/>
      <c r="BG103" s="42"/>
      <c r="BH103" s="42"/>
      <c r="BI103" s="42"/>
      <c r="BJ103" s="42"/>
      <c r="BK103" s="42"/>
      <c r="BL103" s="42"/>
      <c r="BM103" s="42"/>
      <c r="BN103" s="42"/>
    </row>
    <row r="104" spans="1:66" ht="12.75" customHeight="1" x14ac:dyDescent="0.2">
      <c r="A104" s="1" t="s">
        <v>374</v>
      </c>
      <c r="B104" s="4">
        <f>_xll.ciqfunctions.udf.CIQ(InputTicker, "IQ_EXCISE_TAXES_INCL_SALES",Input!D$2,Date,,,Ccy,Conv)</f>
        <v>0</v>
      </c>
      <c r="C104" s="4">
        <f>_xll.ciqfunctions.udf.CIQ(InputTicker, "IQ_EXCISE_TAXES_INCL_SALES",Input!E$2,Date,,,Ccy,Conv)</f>
        <v>0</v>
      </c>
      <c r="D104" s="4">
        <f>_xll.ciqfunctions.udf.CIQ(InputTicker, "IQ_EXCISE_TAXES_INCL_SALES",Input!F$2,Date,,,Ccy,Conv)</f>
        <v>0</v>
      </c>
      <c r="E104" s="4">
        <f>_xll.ciqfunctions.udf.CIQ(InputTicker, "IQ_EXCISE_TAXES_INCL_SALES",Input!G$2,Date,,,Ccy,Conv)</f>
        <v>0</v>
      </c>
      <c r="F104" s="4">
        <f>_xll.ciqfunctions.udf.CIQ(InputTicker, "IQ_EXCISE_TAXES_INCL_SALES",Input!H$2,Date,,,Ccy,Conv)</f>
        <v>0</v>
      </c>
      <c r="G104" s="4">
        <f>_xll.ciqfunctions.udf.CIQ(InputTicker, "IQ_EXCISE_TAXES_INCL_SALES",Input!I$2,Date,,,Ccy,Conv)</f>
        <v>0</v>
      </c>
      <c r="H104" s="4">
        <f>_xll.ciqfunctions.udf.CIQ(InputTicker, "IQ_EXCISE_TAXES_INCL_SALES",Input!J$2,Date,,,Ccy,Conv)</f>
        <v>0</v>
      </c>
      <c r="I104" s="4">
        <f>_xll.ciqfunctions.udf.CIQ(InputTicker, "IQ_EXCISE_TAXES_INCL_SALES",Input!K$2,Date,,,Ccy,Conv)</f>
        <v>0</v>
      </c>
      <c r="J104" s="4">
        <f>_xll.ciqfunctions.udf.CIQ(InputTicker, "IQ_EXCISE_TAXES_INCL_SALES",Input!L$2,Date,,,Ccy,Conv)</f>
        <v>0</v>
      </c>
      <c r="K104" s="4">
        <f>_xll.ciqfunctions.udf.CIQ(InputTicker, "IQ_EXCISE_TAXES_INCL_SALES",Input!M$2,Date,,,Ccy,Conv)</f>
        <v>0</v>
      </c>
      <c r="L104" s="4">
        <f>_xll.ciqfunctions.udf.CIQ(InputTicker, "IQ_EXCISE_TAXES_INCL_SALES",Input!N$2,Date,,,Ccy,Conv)</f>
        <v>0</v>
      </c>
      <c r="M104" s="4">
        <f>_xll.ciqfunctions.udf.CIQ(InputTicker, "IQ_EXCISE_TAXES_INCL_SALES",Input!O$2,Date,,,Ccy,Conv)</f>
        <v>0</v>
      </c>
      <c r="N104" s="49"/>
      <c r="P104" s="46"/>
      <c r="Q104" s="46"/>
      <c r="R104" s="46"/>
      <c r="T104" s="42"/>
      <c r="U104" s="42"/>
      <c r="V104" s="46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  <c r="BA104" s="42"/>
      <c r="BB104" s="42"/>
      <c r="BC104" s="42"/>
      <c r="BD104" s="42"/>
      <c r="BE104" s="42"/>
      <c r="BF104" s="42"/>
      <c r="BG104" s="42"/>
      <c r="BH104" s="42"/>
      <c r="BI104" s="42"/>
      <c r="BJ104" s="42"/>
      <c r="BK104" s="42"/>
      <c r="BL104" s="42"/>
      <c r="BM104" s="42"/>
      <c r="BN104" s="42"/>
    </row>
    <row r="105" spans="1:66" ht="12.75" customHeight="1" x14ac:dyDescent="0.2">
      <c r="A105" s="1" t="s">
        <v>319</v>
      </c>
      <c r="B105" s="4">
        <f>_xll.ciqfunctions.udf.CIQ(InputTicker, "IQ_CURR_DOMESTIC_TAXES",Input!D$2,Date,,,Ccy,Conv)</f>
        <v>-193</v>
      </c>
      <c r="C105" s="4">
        <f>_xll.ciqfunctions.udf.CIQ(InputTicker, "IQ_CURR_DOMESTIC_TAXES",Input!E$2,Date,,,Ccy,Conv)</f>
        <v>430</v>
      </c>
      <c r="D105" s="4">
        <f>_xll.ciqfunctions.udf.CIQ(InputTicker, "IQ_CURR_DOMESTIC_TAXES",Input!F$2,Date,,,Ccy,Conv)</f>
        <v>2443</v>
      </c>
      <c r="E105" s="4">
        <f>_xll.ciqfunctions.udf.CIQ(InputTicker, "IQ_CURR_DOMESTIC_TAXES",Input!G$2,Date,,,Ccy,Conv)</f>
        <v>-215</v>
      </c>
      <c r="F105" s="4">
        <f>_xll.ciqfunctions.udf.CIQ(InputTicker, "IQ_CURR_DOMESTIC_TAXES",Input!H$2,Date,,,Ccy,Conv)</f>
        <v>272</v>
      </c>
      <c r="G105" s="4">
        <f>_xll.ciqfunctions.udf.CIQ(InputTicker, "IQ_CURR_DOMESTIC_TAXES",Input!I$2,Date,,,Ccy,Conv)</f>
        <v>657</v>
      </c>
      <c r="H105" s="4">
        <f>_xll.ciqfunctions.udf.CIQ(InputTicker, "IQ_CURR_DOMESTIC_TAXES",Input!J$2,Date,,,Ccy,Conv)</f>
        <v>535</v>
      </c>
      <c r="I105" s="4">
        <f>_xll.ciqfunctions.udf.CIQ(InputTicker, "IQ_CURR_DOMESTIC_TAXES",Input!K$2,Date,,,Ccy,Conv)</f>
        <v>575</v>
      </c>
      <c r="J105" s="4">
        <f>_xll.ciqfunctions.udf.CIQ(InputTicker, "IQ_CURR_DOMESTIC_TAXES",Input!L$2,Date,,,Ccy,Conv)</f>
        <v>687</v>
      </c>
      <c r="K105" s="4">
        <f>_xll.ciqfunctions.udf.CIQ(InputTicker, "IQ_CURR_DOMESTIC_TAXES",Input!M$2,Date,,,Ccy,Conv)</f>
        <v>-183</v>
      </c>
      <c r="L105" s="4">
        <f>_xll.ciqfunctions.udf.CIQ(InputTicker, "IQ_CURR_DOMESTIC_TAXES",Input!N$2,Date,,,Ccy,Conv)</f>
        <v>-1587</v>
      </c>
      <c r="M105" s="4">
        <f>_xll.ciqfunctions.udf.CIQ(InputTicker, "IQ_CURR_DOMESTIC_TAXES",Input!O$2,Date,,,Ccy,Conv)</f>
        <v>-1587</v>
      </c>
      <c r="N105" s="49"/>
      <c r="P105" s="46"/>
      <c r="Q105" s="46"/>
      <c r="R105" s="46"/>
      <c r="T105" s="42"/>
      <c r="U105" s="42"/>
      <c r="V105" s="46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  <c r="BA105" s="42"/>
      <c r="BB105" s="42"/>
      <c r="BC105" s="42"/>
      <c r="BD105" s="42"/>
      <c r="BE105" s="42"/>
      <c r="BF105" s="42"/>
      <c r="BG105" s="42"/>
      <c r="BH105" s="42"/>
      <c r="BI105" s="42"/>
      <c r="BJ105" s="42"/>
      <c r="BK105" s="42"/>
      <c r="BL105" s="42"/>
      <c r="BM105" s="42"/>
      <c r="BN105" s="42"/>
    </row>
    <row r="106" spans="1:66" ht="12.75" customHeight="1" x14ac:dyDescent="0.2">
      <c r="A106" s="1" t="s">
        <v>320</v>
      </c>
      <c r="B106" s="4">
        <f>_xll.ciqfunctions.udf.CIQ(InputTicker, "IQ_CURR_FOREIGN_TAXES",Input!D$2,Date,,,Ccy,Conv)</f>
        <v>2101</v>
      </c>
      <c r="C106" s="4">
        <f>_xll.ciqfunctions.udf.CIQ(InputTicker, "IQ_CURR_FOREIGN_TAXES",Input!E$2,Date,,,Ccy,Conv)</f>
        <v>988</v>
      </c>
      <c r="D106" s="4">
        <f>_xll.ciqfunctions.udf.CIQ(InputTicker, "IQ_CURR_FOREIGN_TAXES",Input!F$2,Date,,,Ccy,Conv)</f>
        <v>3891</v>
      </c>
      <c r="E106" s="4">
        <f>_xll.ciqfunctions.udf.CIQ(InputTicker, "IQ_CURR_FOREIGN_TAXES",Input!G$2,Date,,,Ccy,Conv)</f>
        <v>2135</v>
      </c>
      <c r="F106" s="4">
        <f>_xll.ciqfunctions.udf.CIQ(InputTicker, "IQ_CURR_FOREIGN_TAXES",Input!H$2,Date,,,Ccy,Conv)</f>
        <v>1376</v>
      </c>
      <c r="G106" s="4">
        <f>_xll.ciqfunctions.udf.CIQ(InputTicker, "IQ_CURR_FOREIGN_TAXES",Input!I$2,Date,,,Ccy,Conv)</f>
        <v>1208</v>
      </c>
      <c r="H106" s="4">
        <f>_xll.ciqfunctions.udf.CIQ(InputTicker, "IQ_CURR_FOREIGN_TAXES",Input!J$2,Date,,,Ccy,Conv)</f>
        <v>1342</v>
      </c>
      <c r="I106" s="4">
        <f>_xll.ciqfunctions.udf.CIQ(InputTicker, "IQ_CURR_FOREIGN_TAXES",Input!K$2,Date,,,Ccy,Conv)</f>
        <v>1676</v>
      </c>
      <c r="J106" s="4">
        <f>_xll.ciqfunctions.udf.CIQ(InputTicker, "IQ_CURR_FOREIGN_TAXES",Input!L$2,Date,,,Ccy,Conv)</f>
        <v>1594</v>
      </c>
      <c r="K106" s="4">
        <f>_xll.ciqfunctions.udf.CIQ(InputTicker, "IQ_CURR_FOREIGN_TAXES",Input!M$2,Date,,,Ccy,Conv)</f>
        <v>2301</v>
      </c>
      <c r="L106" s="4">
        <f>_xll.ciqfunctions.udf.CIQ(InputTicker, "IQ_CURR_FOREIGN_TAXES",Input!N$2,Date,,,Ccy,Conv)</f>
        <v>2303</v>
      </c>
      <c r="M106" s="4">
        <f>_xll.ciqfunctions.udf.CIQ(InputTicker, "IQ_CURR_FOREIGN_TAXES",Input!O$2,Date,,,Ccy,Conv)</f>
        <v>2303</v>
      </c>
      <c r="N106" s="49"/>
      <c r="P106" s="46"/>
      <c r="Q106" s="46"/>
      <c r="R106" s="46"/>
      <c r="T106" s="42"/>
      <c r="U106" s="42"/>
      <c r="V106" s="46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  <c r="BA106" s="42"/>
      <c r="BB106" s="42"/>
      <c r="BC106" s="42"/>
      <c r="BD106" s="42"/>
      <c r="BE106" s="42"/>
      <c r="BF106" s="42"/>
      <c r="BG106" s="42"/>
      <c r="BH106" s="42"/>
      <c r="BI106" s="42"/>
      <c r="BJ106" s="42"/>
      <c r="BK106" s="42"/>
      <c r="BL106" s="42"/>
      <c r="BM106" s="42"/>
      <c r="BN106" s="42"/>
    </row>
    <row r="107" spans="1:66" ht="12.75" customHeight="1" x14ac:dyDescent="0.2">
      <c r="A107" s="1" t="s">
        <v>432</v>
      </c>
      <c r="B107" s="4">
        <f>_xll.ciqfunctions.udf.CIQ(InputTicker, "IQ_CURR_TAXES",Input!D$2,Date,,,Ccy,Conv)</f>
        <v>1908</v>
      </c>
      <c r="C107" s="4">
        <f>_xll.ciqfunctions.udf.CIQ(InputTicker, "IQ_CURR_TAXES",Input!E$2,Date,,,Ccy,Conv)</f>
        <v>1418</v>
      </c>
      <c r="D107" s="4">
        <f>_xll.ciqfunctions.udf.CIQ(InputTicker, "IQ_CURR_TAXES",Input!F$2,Date,,,Ccy,Conv)</f>
        <v>6334</v>
      </c>
      <c r="E107" s="4">
        <f>_xll.ciqfunctions.udf.CIQ(InputTicker, "IQ_CURR_TAXES",Input!G$2,Date,,,Ccy,Conv)</f>
        <v>1920</v>
      </c>
      <c r="F107" s="4">
        <f>_xll.ciqfunctions.udf.CIQ(InputTicker, "IQ_CURR_TAXES",Input!H$2,Date,,,Ccy,Conv)</f>
        <v>1648</v>
      </c>
      <c r="G107" s="4">
        <f>_xll.ciqfunctions.udf.CIQ(InputTicker, "IQ_CURR_TAXES",Input!I$2,Date,,,Ccy,Conv)</f>
        <v>1865</v>
      </c>
      <c r="H107" s="4">
        <f>_xll.ciqfunctions.udf.CIQ(InputTicker, "IQ_CURR_TAXES",Input!J$2,Date,,,Ccy,Conv)</f>
        <v>1877</v>
      </c>
      <c r="I107" s="4">
        <f>_xll.ciqfunctions.udf.CIQ(InputTicker, "IQ_CURR_TAXES",Input!K$2,Date,,,Ccy,Conv)</f>
        <v>2251</v>
      </c>
      <c r="J107" s="4">
        <f>_xll.ciqfunctions.udf.CIQ(InputTicker, "IQ_CURR_TAXES",Input!L$2,Date,,,Ccy,Conv)</f>
        <v>2281</v>
      </c>
      <c r="K107" s="4">
        <f>_xll.ciqfunctions.udf.CIQ(InputTicker, "IQ_CURR_TAXES",Input!M$2,Date,,,Ccy,Conv)</f>
        <v>2118</v>
      </c>
      <c r="L107" s="4">
        <f>_xll.ciqfunctions.udf.CIQ(InputTicker, "IQ_CURR_TAXES",Input!N$2,Date,,,Ccy,Conv)</f>
        <v>716</v>
      </c>
      <c r="M107" s="4">
        <f>_xll.ciqfunctions.udf.CIQ(InputTicker, "IQ_CURR_TAXES",Input!O$2,Date,,,Ccy,Conv)</f>
        <v>716</v>
      </c>
      <c r="N107" s="49"/>
      <c r="P107" s="46"/>
      <c r="Q107" s="46"/>
      <c r="R107" s="46"/>
      <c r="T107" s="42"/>
      <c r="U107" s="42"/>
      <c r="V107" s="46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  <c r="BA107" s="42"/>
      <c r="BB107" s="42"/>
      <c r="BC107" s="42"/>
      <c r="BD107" s="42"/>
      <c r="BE107" s="42"/>
      <c r="BF107" s="42"/>
      <c r="BG107" s="42"/>
      <c r="BH107" s="42"/>
      <c r="BI107" s="42"/>
      <c r="BJ107" s="42"/>
      <c r="BK107" s="42"/>
      <c r="BL107" s="42"/>
      <c r="BM107" s="42"/>
      <c r="BN107" s="42"/>
    </row>
    <row r="108" spans="1:66" ht="12.75" customHeight="1" x14ac:dyDescent="0.2">
      <c r="A108" s="1" t="s">
        <v>321</v>
      </c>
      <c r="B108" s="4">
        <f>_xll.ciqfunctions.udf.CIQ(InputTicker, "IQ_DEFERRED_DOMESTIC_TAXES",Input!D$2,Date,,,Ccy,Conv)</f>
        <v>669</v>
      </c>
      <c r="C108" s="4">
        <f>_xll.ciqfunctions.udf.CIQ(InputTicker, "IQ_DEFERRED_DOMESTIC_TAXES",Input!E$2,Date,,,Ccy,Conv)</f>
        <v>-790</v>
      </c>
      <c r="D108" s="4">
        <f>_xll.ciqfunctions.udf.CIQ(InputTicker, "IQ_DEFERRED_DOMESTIC_TAXES",Input!F$2,Date,,,Ccy,Conv)</f>
        <v>105</v>
      </c>
      <c r="E108" s="4">
        <f>_xll.ciqfunctions.udf.CIQ(InputTicker, "IQ_DEFERRED_DOMESTIC_TAXES",Input!G$2,Date,,,Ccy,Conv)</f>
        <v>1085</v>
      </c>
      <c r="F108" s="4">
        <f>_xll.ciqfunctions.udf.CIQ(InputTicker, "IQ_DEFERRED_DOMESTIC_TAXES",Input!H$2,Date,,,Ccy,Conv)</f>
        <v>-958</v>
      </c>
      <c r="G108" s="4">
        <f>_xll.ciqfunctions.udf.CIQ(InputTicker, "IQ_DEFERRED_DOMESTIC_TAXES",Input!I$2,Date,,,Ccy,Conv)</f>
        <v>744</v>
      </c>
      <c r="H108" s="4">
        <f>_xll.ciqfunctions.udf.CIQ(InputTicker, "IQ_DEFERRED_DOMESTIC_TAXES",Input!J$2,Date,,,Ccy,Conv)</f>
        <v>-1728</v>
      </c>
      <c r="I108" s="4">
        <f>_xll.ciqfunctions.udf.CIQ(InputTicker, "IQ_DEFERRED_DOMESTIC_TAXES",Input!K$2,Date,,,Ccy,Conv)</f>
        <v>-3131</v>
      </c>
      <c r="J108" s="4">
        <f>_xll.ciqfunctions.udf.CIQ(InputTicker, "IQ_DEFERRED_DOMESTIC_TAXES",Input!L$2,Date,,,Ccy,Conv)</f>
        <v>-1533</v>
      </c>
      <c r="K108" s="4">
        <f>_xll.ciqfunctions.udf.CIQ(InputTicker, "IQ_DEFERRED_DOMESTIC_TAXES",Input!M$2,Date,,,Ccy,Conv)</f>
        <v>-2539</v>
      </c>
      <c r="L108" s="4">
        <f>_xll.ciqfunctions.udf.CIQ(InputTicker, "IQ_DEFERRED_DOMESTIC_TAXES",Input!N$2,Date,,,Ccy,Conv)</f>
        <v>-249</v>
      </c>
      <c r="M108" s="4">
        <f>_xll.ciqfunctions.udf.CIQ(InputTicker, "IQ_DEFERRED_DOMESTIC_TAXES",Input!O$2,Date,,,Ccy,Conv)</f>
        <v>-249</v>
      </c>
      <c r="N108" s="49"/>
      <c r="P108" s="46"/>
      <c r="Q108" s="46"/>
      <c r="R108" s="46"/>
      <c r="T108" s="42"/>
      <c r="U108" s="42"/>
      <c r="V108" s="46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  <c r="BA108" s="42"/>
      <c r="BB108" s="42"/>
      <c r="BC108" s="42"/>
      <c r="BD108" s="42"/>
      <c r="BE108" s="42"/>
      <c r="BF108" s="42"/>
      <c r="BG108" s="42"/>
      <c r="BH108" s="42"/>
      <c r="BI108" s="42"/>
      <c r="BJ108" s="42"/>
      <c r="BK108" s="42"/>
      <c r="BL108" s="42"/>
      <c r="BM108" s="42"/>
      <c r="BN108" s="42"/>
    </row>
    <row r="109" spans="1:66" ht="12.75" customHeight="1" x14ac:dyDescent="0.2">
      <c r="A109" s="1" t="s">
        <v>322</v>
      </c>
      <c r="B109" s="4">
        <f>_xll.ciqfunctions.udf.CIQ(InputTicker, "IQ_DEFERRED_FOREIGN_TAXES",Input!D$2,Date,,,Ccy,Conv)</f>
        <v>4</v>
      </c>
      <c r="C109" s="4">
        <f>_xll.ciqfunctions.udf.CIQ(InputTicker, "IQ_DEFERRED_FOREIGN_TAXES",Input!E$2,Date,,,Ccy,Conv)</f>
        <v>-179</v>
      </c>
      <c r="D109" s="4">
        <f>_xll.ciqfunctions.udf.CIQ(InputTicker, "IQ_DEFERRED_FOREIGN_TAXES",Input!F$2,Date,,,Ccy,Conv)</f>
        <v>-797</v>
      </c>
      <c r="E109" s="4">
        <f>_xll.ciqfunctions.udf.CIQ(InputTicker, "IQ_DEFERRED_FOREIGN_TAXES",Input!G$2,Date,,,Ccy,Conv)</f>
        <v>-386</v>
      </c>
      <c r="F109" s="4">
        <f>_xll.ciqfunctions.udf.CIQ(InputTicker, "IQ_DEFERRED_FOREIGN_TAXES",Input!H$2,Date,,,Ccy,Conv)</f>
        <v>-630</v>
      </c>
      <c r="G109" s="4">
        <f>_xll.ciqfunctions.udf.CIQ(InputTicker, "IQ_DEFERRED_FOREIGN_TAXES",Input!I$2,Date,,,Ccy,Conv)</f>
        <v>-3969</v>
      </c>
      <c r="H109" s="4">
        <f>_xll.ciqfunctions.udf.CIQ(InputTicker, "IQ_DEFERRED_FOREIGN_TAXES",Input!J$2,Date,,,Ccy,Conv)</f>
        <v>-25</v>
      </c>
      <c r="I109" s="4">
        <f>_xll.ciqfunctions.udf.CIQ(InputTicker, "IQ_DEFERRED_FOREIGN_TAXES",Input!K$2,Date,,,Ccy,Conv)</f>
        <v>252</v>
      </c>
      <c r="J109" s="4">
        <f>_xll.ciqfunctions.udf.CIQ(InputTicker, "IQ_DEFERRED_FOREIGN_TAXES",Input!L$2,Date,,,Ccy,Conv)</f>
        <v>428</v>
      </c>
      <c r="K109" s="4">
        <f>_xll.ciqfunctions.udf.CIQ(InputTicker, "IQ_DEFERRED_FOREIGN_TAXES",Input!M$2,Date,,,Ccy,Conv)</f>
        <v>203</v>
      </c>
      <c r="L109" s="4">
        <f>_xll.ciqfunctions.udf.CIQ(InputTicker, "IQ_DEFERRED_FOREIGN_TAXES",Input!N$2,Date,,,Ccy,Conv)</f>
        <v>-708</v>
      </c>
      <c r="M109" s="4">
        <f>_xll.ciqfunctions.udf.CIQ(InputTicker, "IQ_DEFERRED_FOREIGN_TAXES",Input!O$2,Date,,,Ccy,Conv)</f>
        <v>-708</v>
      </c>
      <c r="N109" s="49"/>
      <c r="P109" s="46"/>
      <c r="Q109" s="46"/>
      <c r="R109" s="46"/>
      <c r="T109" s="42"/>
      <c r="U109" s="42"/>
      <c r="V109" s="46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42"/>
      <c r="BC109" s="42"/>
      <c r="BD109" s="42"/>
      <c r="BE109" s="42"/>
      <c r="BF109" s="42"/>
      <c r="BG109" s="42"/>
      <c r="BH109" s="42"/>
      <c r="BI109" s="42"/>
      <c r="BJ109" s="42"/>
      <c r="BK109" s="42"/>
      <c r="BL109" s="42"/>
      <c r="BM109" s="42"/>
      <c r="BN109" s="42"/>
    </row>
    <row r="110" spans="1:66" ht="12.75" customHeight="1" x14ac:dyDescent="0.2">
      <c r="A110" s="1" t="s">
        <v>433</v>
      </c>
      <c r="B110" s="4">
        <f>_xll.ciqfunctions.udf.CIQ(InputTicker, "IQ_DEFERRED_TAXES_TOTAL",Input!D$2,Date,,,Ccy,Conv)</f>
        <v>673</v>
      </c>
      <c r="C110" s="4">
        <f>_xll.ciqfunctions.udf.CIQ(InputTicker, "IQ_DEFERRED_TAXES_TOTAL",Input!E$2,Date,,,Ccy,Conv)</f>
        <v>-969</v>
      </c>
      <c r="D110" s="4">
        <f>_xll.ciqfunctions.udf.CIQ(InputTicker, "IQ_DEFERRED_TAXES_TOTAL",Input!F$2,Date,,,Ccy,Conv)</f>
        <v>-692</v>
      </c>
      <c r="E110" s="4">
        <f>_xll.ciqfunctions.udf.CIQ(InputTicker, "IQ_DEFERRED_TAXES_TOTAL",Input!G$2,Date,,,Ccy,Conv)</f>
        <v>699</v>
      </c>
      <c r="F110" s="4">
        <f>_xll.ciqfunctions.udf.CIQ(InputTicker, "IQ_DEFERRED_TAXES_TOTAL",Input!H$2,Date,,,Ccy,Conv)</f>
        <v>-1588</v>
      </c>
      <c r="G110" s="4">
        <f>_xll.ciqfunctions.udf.CIQ(InputTicker, "IQ_DEFERRED_TAXES_TOTAL",Input!I$2,Date,,,Ccy,Conv)</f>
        <v>-3225</v>
      </c>
      <c r="H110" s="4">
        <f>_xll.ciqfunctions.udf.CIQ(InputTicker, "IQ_DEFERRED_TAXES_TOTAL",Input!J$2,Date,,,Ccy,Conv)</f>
        <v>-1753</v>
      </c>
      <c r="I110" s="4">
        <f>_xll.ciqfunctions.udf.CIQ(InputTicker, "IQ_DEFERRED_TAXES_TOTAL",Input!K$2,Date,,,Ccy,Conv)</f>
        <v>-2879</v>
      </c>
      <c r="J110" s="4">
        <f>_xll.ciqfunctions.udf.CIQ(InputTicker, "IQ_DEFERRED_TAXES_TOTAL",Input!L$2,Date,,,Ccy,Conv)</f>
        <v>-1105</v>
      </c>
      <c r="K110" s="4">
        <f>_xll.ciqfunctions.udf.CIQ(InputTicker, "IQ_DEFERRED_TAXES_TOTAL",Input!M$2,Date,,,Ccy,Conv)</f>
        <v>-2336</v>
      </c>
      <c r="L110" s="4">
        <f>_xll.ciqfunctions.udf.CIQ(InputTicker, "IQ_DEFERRED_TAXES_TOTAL",Input!N$2,Date,,,Ccy,Conv)</f>
        <v>-957</v>
      </c>
      <c r="M110" s="4">
        <f>_xll.ciqfunctions.udf.CIQ(InputTicker, "IQ_DEFERRED_TAXES_TOTAL",Input!O$2,Date,,,Ccy,Conv)</f>
        <v>-957</v>
      </c>
      <c r="N110" s="49"/>
      <c r="P110" s="46"/>
      <c r="Q110" s="46"/>
      <c r="R110" s="46"/>
      <c r="T110" s="42"/>
      <c r="U110" s="42"/>
      <c r="V110" s="46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42"/>
      <c r="BC110" s="42"/>
      <c r="BD110" s="42"/>
      <c r="BE110" s="42"/>
      <c r="BF110" s="42"/>
      <c r="BG110" s="42"/>
      <c r="BH110" s="42"/>
      <c r="BI110" s="42"/>
      <c r="BJ110" s="42"/>
      <c r="BK110" s="42"/>
      <c r="BL110" s="42"/>
      <c r="BM110" s="42"/>
      <c r="BN110" s="42"/>
    </row>
    <row r="111" spans="1:66" ht="12.75" customHeight="1" x14ac:dyDescent="0.2">
      <c r="A111" s="1" t="s">
        <v>458</v>
      </c>
      <c r="B111" s="4">
        <f>_xll.ciqfunctions.udf.CIQ(InputTicker, "IQ_NONRECURRING_INCOME_TAXES",Input!D$2,Date,,,Ccy,Conv)</f>
        <v>0</v>
      </c>
      <c r="C111" s="4">
        <f>_xll.ciqfunctions.udf.CIQ(InputTicker, "IQ_NONRECURRING_INCOME_TAXES",Input!E$2,Date,,,Ccy,Conv)</f>
        <v>0</v>
      </c>
      <c r="D111" s="4">
        <f>_xll.ciqfunctions.udf.CIQ(InputTicker, "IQ_NONRECURRING_INCOME_TAXES",Input!F$2,Date,,,Ccy,Conv)</f>
        <v>5475</v>
      </c>
      <c r="E111" s="4">
        <f>_xll.ciqfunctions.udf.CIQ(InputTicker, "IQ_NONRECURRING_INCOME_TAXES",Input!G$2,Date,,,Ccy,Conv)</f>
        <v>0</v>
      </c>
      <c r="F111" s="4">
        <f>_xll.ciqfunctions.udf.CIQ(InputTicker, "IQ_NONRECURRING_INCOME_TAXES",Input!H$2,Date,,,Ccy,Conv)</f>
        <v>146</v>
      </c>
      <c r="G111" s="4">
        <f>_xll.ciqfunctions.udf.CIQ(InputTicker, "IQ_NONRECURRING_INCOME_TAXES",Input!I$2,Date,,,Ccy,Conv)</f>
        <v>0</v>
      </c>
      <c r="H111" s="4">
        <f>_xll.ciqfunctions.udf.CIQ(InputTicker, "IQ_NONRECURRING_INCOME_TAXES",Input!J$2,Date,,,Ccy,Conv)</f>
        <v>0</v>
      </c>
      <c r="I111" s="4">
        <f>_xll.ciqfunctions.udf.CIQ(InputTicker, "IQ_NONRECURRING_INCOME_TAXES",Input!K$2,Date,,,Ccy,Conv)</f>
        <v>0</v>
      </c>
      <c r="J111" s="4">
        <f>_xll.ciqfunctions.udf.CIQ(InputTicker, "IQ_NONRECURRING_INCOME_TAXES",Input!L$2,Date,,,Ccy,Conv)</f>
        <v>0</v>
      </c>
      <c r="K111" s="4">
        <f>_xll.ciqfunctions.udf.CIQ(InputTicker, "IQ_NONRECURRING_INCOME_TAXES",Input!M$2,Date,,,Ccy,Conv)</f>
        <v>-455</v>
      </c>
      <c r="L111" s="4">
        <f>_xll.ciqfunctions.udf.CIQ(InputTicker, "IQ_NONRECURRING_INCOME_TAXES",Input!N$2,Date,,,Ccy,Conv)</f>
        <v>-1161</v>
      </c>
      <c r="M111" s="4">
        <f>_xll.ciqfunctions.udf.CIQ(InputTicker, "IQ_NONRECURRING_INCOME_TAXES",Input!O$2,Date,,,Ccy,Conv)</f>
        <v>-1161</v>
      </c>
      <c r="N111" s="49"/>
      <c r="P111" s="46"/>
      <c r="Q111" s="46"/>
      <c r="R111" s="46"/>
      <c r="T111" s="42"/>
      <c r="U111" s="42"/>
      <c r="V111" s="46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  <c r="BA111" s="42"/>
      <c r="BB111" s="42"/>
      <c r="BC111" s="42"/>
      <c r="BD111" s="42"/>
      <c r="BE111" s="42"/>
      <c r="BF111" s="42"/>
      <c r="BG111" s="42"/>
      <c r="BH111" s="42"/>
      <c r="BI111" s="42"/>
      <c r="BJ111" s="42"/>
      <c r="BK111" s="42"/>
      <c r="BL111" s="42"/>
      <c r="BM111" s="42"/>
      <c r="BN111" s="42"/>
    </row>
    <row r="112" spans="1:66" ht="12.75" customHeight="1" x14ac:dyDescent="0.2">
      <c r="A112" s="1" t="s">
        <v>323</v>
      </c>
      <c r="B112" s="4">
        <f>_xll.ciqfunctions.udf.CIQ(InputTicker, "IQ_NI_NORM",Input!D$2,Date,,,Ccy,Conv)</f>
        <v>10511.875</v>
      </c>
      <c r="C112" s="4">
        <f>_xll.ciqfunctions.udf.CIQ(InputTicker, "IQ_NI_NORM",Input!E$2,Date,,,Ccy,Conv)</f>
        <v>8390.625</v>
      </c>
      <c r="D112" s="4">
        <f>_xll.ciqfunctions.udf.CIQ(InputTicker, "IQ_NI_NORM",Input!F$2,Date,,,Ccy,Conv)</f>
        <v>7125</v>
      </c>
      <c r="E112" s="4">
        <f>_xll.ciqfunctions.udf.CIQ(InputTicker, "IQ_NI_NORM",Input!G$2,Date,,,Ccy,Conv)</f>
        <v>7088.75</v>
      </c>
      <c r="F112" s="4">
        <f>_xll.ciqfunctions.udf.CIQ(InputTicker, "IQ_NI_NORM",Input!H$2,Date,,,Ccy,Conv)</f>
        <v>4027.5</v>
      </c>
      <c r="G112" s="4">
        <f>_xll.ciqfunctions.udf.CIQ(InputTicker, "IQ_NI_NORM",Input!I$2,Date,,,Ccy,Conv)</f>
        <v>1607.5</v>
      </c>
      <c r="H112" s="4">
        <f>_xll.ciqfunctions.udf.CIQ(InputTicker, "IQ_NI_NORM",Input!J$2,Date,,,Ccy,Conv)</f>
        <v>2940</v>
      </c>
      <c r="I112" s="4">
        <f>_xll.ciqfunctions.udf.CIQ(InputTicker, "IQ_NI_NORM",Input!K$2,Date,,,Ccy,Conv)</f>
        <v>4418.75</v>
      </c>
      <c r="J112" s="4">
        <f>_xll.ciqfunctions.udf.CIQ(InputTicker, "IQ_NI_NORM",Input!L$2,Date,,,Ccy,Conv)</f>
        <v>5406.875</v>
      </c>
      <c r="K112" s="4">
        <f>_xll.ciqfunctions.udf.CIQ(InputTicker, "IQ_NI_NORM",Input!M$2,Date,,,Ccy,Conv)</f>
        <v>5698.125</v>
      </c>
      <c r="L112" s="4">
        <f>_xll.ciqfunctions.udf.CIQ(InputTicker, "IQ_NI_NORM",Input!N$2,Date,,,Ccy,Conv)</f>
        <v>6974.375</v>
      </c>
      <c r="M112" s="4">
        <f>_xll.ciqfunctions.udf.CIQ(InputTicker, "IQ_NI_NORM",Input!O$2,Date,,,Ccy,Conv)</f>
        <v>6974.375</v>
      </c>
      <c r="N112" s="49"/>
      <c r="P112" s="46"/>
      <c r="Q112" s="46"/>
      <c r="R112" s="46"/>
      <c r="T112" s="42"/>
      <c r="U112" s="42"/>
      <c r="V112" s="46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</row>
    <row r="113" spans="1:66" ht="12.75" customHeight="1" x14ac:dyDescent="0.2">
      <c r="A113" s="1" t="s">
        <v>348</v>
      </c>
      <c r="B113" s="4">
        <f>_xll.ciqfunctions.udf.CIQ(InputTicker, "IQ_DILUT_NI",Input!D$2,Date,,,Ccy,Conv)</f>
        <v>13363</v>
      </c>
      <c r="C113" s="4">
        <f>_xll.ciqfunctions.udf.CIQ(InputTicker, "IQ_DILUT_NI",Input!E$2,Date,,,Ccy,Conv)</f>
        <v>11878.46766</v>
      </c>
      <c r="D113" s="4">
        <f>_xll.ciqfunctions.udf.CIQ(InputTicker, "IQ_DILUT_NI",Input!F$2,Date,,,Ccy,Conv)</f>
        <v>5756</v>
      </c>
      <c r="E113" s="4">
        <f>_xll.ciqfunctions.udf.CIQ(InputTicker, "IQ_DILUT_NI",Input!G$2,Date,,,Ccy,Conv)</f>
        <v>8718</v>
      </c>
      <c r="F113" s="4">
        <f>_xll.ciqfunctions.udf.CIQ(InputTicker, "IQ_DILUT_NI",Input!H$2,Date,,,Ccy,Conv)</f>
        <v>7142.5070100000003</v>
      </c>
      <c r="G113" s="4">
        <f>_xll.ciqfunctions.udf.CIQ(InputTicker, "IQ_DILUT_NI",Input!I$2,Date,,,Ccy,Conv)</f>
        <v>3930</v>
      </c>
      <c r="H113" s="4">
        <f>_xll.ciqfunctions.udf.CIQ(InputTicker, "IQ_DILUT_NI",Input!J$2,Date,,,Ccy,Conv)</f>
        <v>4713.1796199999999</v>
      </c>
      <c r="I113" s="4">
        <f>_xll.ciqfunctions.udf.CIQ(InputTicker, "IQ_DILUT_NI",Input!K$2,Date,,,Ccy,Conv)</f>
        <v>1778.9246700000001</v>
      </c>
      <c r="J113" s="4">
        <f>_xll.ciqfunctions.udf.CIQ(InputTicker, "IQ_DILUT_NI",Input!L$2,Date,,,Ccy,Conv)</f>
        <v>7514.9017000000003</v>
      </c>
      <c r="K113" s="4">
        <f>_xll.ciqfunctions.udf.CIQ(InputTicker, "IQ_DILUT_NI",Input!M$2,Date,,,Ccy,Conv)</f>
        <v>6016.5750600000001</v>
      </c>
      <c r="L113" s="4">
        <f>_xll.ciqfunctions.udf.CIQ(InputTicker, "IQ_DILUT_NI",Input!N$2,Date,,,Ccy,Conv)</f>
        <v>10568.242039999999</v>
      </c>
      <c r="M113" s="4">
        <f>_xll.ciqfunctions.udf.CIQ(InputTicker, "IQ_DILUT_NI",Input!O$2,Date,,,Ccy,Conv)</f>
        <v>10568.242039999999</v>
      </c>
      <c r="N113" s="49"/>
      <c r="P113" s="46"/>
      <c r="Q113" s="46"/>
      <c r="R113" s="46"/>
      <c r="T113" s="42"/>
      <c r="U113" s="42"/>
      <c r="V113" s="46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42"/>
      <c r="BB113" s="42"/>
      <c r="BC113" s="42"/>
      <c r="BD113" s="42"/>
      <c r="BE113" s="42"/>
      <c r="BF113" s="42"/>
      <c r="BG113" s="42"/>
      <c r="BH113" s="42"/>
      <c r="BI113" s="42"/>
      <c r="BJ113" s="42"/>
      <c r="BK113" s="42"/>
      <c r="BL113" s="42"/>
      <c r="BM113" s="42"/>
      <c r="BN113" s="42"/>
    </row>
    <row r="114" spans="1:66" ht="12.75" customHeight="1" x14ac:dyDescent="0.2">
      <c r="A114" s="1" t="s">
        <v>310</v>
      </c>
      <c r="B114" s="4">
        <f>_xll.ciqfunctions.udf.CIQ(InputTicker, "IQ_CAPITALIZED_INTEREST",Input!D$2,Date,,,Ccy,Conv)</f>
        <v>0</v>
      </c>
      <c r="C114" s="4">
        <f>_xll.ciqfunctions.udf.CIQ(InputTicker, "IQ_CAPITALIZED_INTEREST",Input!E$2,Date,,,Ccy,Conv)</f>
        <v>2</v>
      </c>
      <c r="D114" s="4">
        <f>_xll.ciqfunctions.udf.CIQ(InputTicker, "IQ_CAPITALIZED_INTEREST",Input!F$2,Date,,,Ccy,Conv)</f>
        <v>5</v>
      </c>
      <c r="E114" s="4">
        <f>_xll.ciqfunctions.udf.CIQ(InputTicker, "IQ_CAPITALIZED_INTEREST",Input!G$2,Date,,,Ccy,Conv)</f>
        <v>3</v>
      </c>
      <c r="F114" s="4">
        <f>_xll.ciqfunctions.udf.CIQ(InputTicker, "IQ_CAPITALIZED_INTEREST",Input!H$2,Date,,,Ccy,Conv)</f>
        <v>4</v>
      </c>
      <c r="G114" s="4">
        <f>_xll.ciqfunctions.udf.CIQ(InputTicker, "IQ_CAPITALIZED_INTEREST",Input!I$2,Date,,,Ccy,Conv)</f>
        <v>5</v>
      </c>
      <c r="H114" s="4">
        <f>_xll.ciqfunctions.udf.CIQ(InputTicker, "IQ_CAPITALIZED_INTEREST",Input!J$2,Date,,,Ccy,Conv)</f>
        <v>3</v>
      </c>
      <c r="I114" s="4">
        <f>_xll.ciqfunctions.udf.CIQ(InputTicker, "IQ_CAPITALIZED_INTEREST",Input!K$2,Date,,,Ccy,Conv)</f>
        <v>5</v>
      </c>
      <c r="J114" s="4">
        <f>_xll.ciqfunctions.udf.CIQ(InputTicker, "IQ_CAPITALIZED_INTEREST",Input!L$2,Date,,,Ccy,Conv)</f>
        <v>9</v>
      </c>
      <c r="K114" s="4">
        <f>_xll.ciqfunctions.udf.CIQ(InputTicker, "IQ_CAPITALIZED_INTEREST",Input!M$2,Date,,,Ccy,Conv)</f>
        <v>12</v>
      </c>
      <c r="L114" s="4">
        <f>_xll.ciqfunctions.udf.CIQ(InputTicker, "IQ_CAPITALIZED_INTEREST",Input!N$2,Date,,,Ccy,Conv)</f>
        <v>4</v>
      </c>
      <c r="M114" s="4">
        <f>_xll.ciqfunctions.udf.CIQ(InputTicker, "IQ_CAPITALIZED_INTEREST",Input!O$2,Date,,,Ccy,Conv)</f>
        <v>4</v>
      </c>
      <c r="N114" s="49"/>
      <c r="P114" s="46"/>
      <c r="Q114" s="46"/>
      <c r="R114" s="46"/>
      <c r="T114" s="42"/>
      <c r="U114" s="42"/>
      <c r="V114" s="46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  <c r="BA114" s="42"/>
      <c r="BB114" s="42"/>
      <c r="BC114" s="42"/>
      <c r="BD114" s="42"/>
      <c r="BE114" s="42"/>
      <c r="BF114" s="42"/>
      <c r="BG114" s="42"/>
      <c r="BH114" s="42"/>
      <c r="BI114" s="42"/>
      <c r="BJ114" s="42"/>
      <c r="BK114" s="42"/>
      <c r="BL114" s="42"/>
      <c r="BM114" s="42"/>
      <c r="BN114" s="42"/>
    </row>
    <row r="115" spans="1:66" ht="12.75" customHeight="1" x14ac:dyDescent="0.2">
      <c r="A115" s="1" t="s">
        <v>324</v>
      </c>
      <c r="B115" s="4">
        <f>_xll.ciqfunctions.udf.CIQ(InputTicker, "IQ_INT_EXP_LTD",Input!D$2,Date,,,Ccy,Conv)</f>
        <v>0</v>
      </c>
      <c r="C115" s="4">
        <f>_xll.ciqfunctions.udf.CIQ(InputTicker, "IQ_INT_EXP_LTD",Input!E$2,Date,,,Ccy,Conv)</f>
        <v>0</v>
      </c>
      <c r="D115" s="4">
        <f>_xll.ciqfunctions.udf.CIQ(InputTicker, "IQ_INT_EXP_LTD",Input!F$2,Date,,,Ccy,Conv)</f>
        <v>0</v>
      </c>
      <c r="E115" s="4">
        <f>_xll.ciqfunctions.udf.CIQ(InputTicker, "IQ_INT_EXP_LTD",Input!G$2,Date,,,Ccy,Conv)</f>
        <v>0</v>
      </c>
      <c r="F115" s="4">
        <f>_xll.ciqfunctions.udf.CIQ(InputTicker, "IQ_INT_EXP_LTD",Input!H$2,Date,,,Ccy,Conv)</f>
        <v>0</v>
      </c>
      <c r="G115" s="4">
        <f>_xll.ciqfunctions.udf.CIQ(InputTicker, "IQ_INT_EXP_LTD",Input!I$2,Date,,,Ccy,Conv)</f>
        <v>0</v>
      </c>
      <c r="H115" s="4">
        <f>_xll.ciqfunctions.udf.CIQ(InputTicker, "IQ_INT_EXP_LTD",Input!J$2,Date,,,Ccy,Conv)</f>
        <v>0</v>
      </c>
      <c r="I115" s="4">
        <f>_xll.ciqfunctions.udf.CIQ(InputTicker, "IQ_INT_EXP_LTD",Input!K$2,Date,,,Ccy,Conv)</f>
        <v>0</v>
      </c>
      <c r="J115" s="4">
        <f>_xll.ciqfunctions.udf.CIQ(InputTicker, "IQ_INT_EXP_LTD",Input!L$2,Date,,,Ccy,Conv)</f>
        <v>0</v>
      </c>
      <c r="K115" s="4">
        <f>_xll.ciqfunctions.udf.CIQ(InputTicker, "IQ_INT_EXP_LTD",Input!M$2,Date,,,Ccy,Conv)</f>
        <v>0</v>
      </c>
      <c r="L115" s="4">
        <f>_xll.ciqfunctions.udf.CIQ(InputTicker, "IQ_INT_EXP_LTD",Input!N$2,Date,,,Ccy,Conv)</f>
        <v>0</v>
      </c>
      <c r="M115" s="4">
        <f>_xll.ciqfunctions.udf.CIQ(InputTicker, "IQ_INT_EXP_LTD",Input!O$2,Date,,,Ccy,Conv)</f>
        <v>0</v>
      </c>
      <c r="N115" s="49"/>
      <c r="P115" s="46"/>
      <c r="Q115" s="46"/>
      <c r="R115" s="46"/>
      <c r="T115" s="42"/>
      <c r="U115" s="42"/>
      <c r="V115" s="46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  <c r="BA115" s="42"/>
      <c r="BB115" s="42"/>
      <c r="BC115" s="42"/>
      <c r="BD115" s="42"/>
      <c r="BE115" s="42"/>
      <c r="BF115" s="42"/>
      <c r="BG115" s="42"/>
      <c r="BH115" s="42"/>
      <c r="BI115" s="42"/>
      <c r="BJ115" s="42"/>
      <c r="BK115" s="42"/>
      <c r="BL115" s="42"/>
      <c r="BM115" s="42"/>
      <c r="BN115" s="42"/>
    </row>
    <row r="116" spans="1:66" ht="12.75" customHeight="1" x14ac:dyDescent="0.2">
      <c r="A116" s="1" t="s">
        <v>459</v>
      </c>
      <c r="B116" s="4">
        <f>_xll.ciqfunctions.udf.CIQ(InputTicker, "IQ_INTEREST_EXP_LEASE_LIABILITY_DEBT",Input!D$2,Date,,,Ccy,Conv)</f>
        <v>0</v>
      </c>
      <c r="C116" s="4">
        <f>_xll.ciqfunctions.udf.CIQ(InputTicker, "IQ_INTEREST_EXP_LEASE_LIABILITY_DEBT",Input!E$2,Date,,,Ccy,Conv)</f>
        <v>0</v>
      </c>
      <c r="D116" s="4">
        <f>_xll.ciqfunctions.udf.CIQ(InputTicker, "IQ_INTEREST_EXP_LEASE_LIABILITY_DEBT",Input!F$2,Date,,,Ccy,Conv)</f>
        <v>0</v>
      </c>
      <c r="E116" s="4">
        <f>_xll.ciqfunctions.udf.CIQ(InputTicker, "IQ_INTEREST_EXP_LEASE_LIABILITY_DEBT",Input!G$2,Date,,,Ccy,Conv)</f>
        <v>0</v>
      </c>
      <c r="F116" s="4">
        <f>_xll.ciqfunctions.udf.CIQ(InputTicker, "IQ_INTEREST_EXP_LEASE_LIABILITY_DEBT",Input!H$2,Date,,,Ccy,Conv)</f>
        <v>0</v>
      </c>
      <c r="G116" s="4">
        <f>_xll.ciqfunctions.udf.CIQ(InputTicker, "IQ_INTEREST_EXP_LEASE_LIABILITY_DEBT",Input!I$2,Date,,,Ccy,Conv)</f>
        <v>0</v>
      </c>
      <c r="H116" s="4">
        <f>_xll.ciqfunctions.udf.CIQ(InputTicker, "IQ_INTEREST_EXP_LEASE_LIABILITY_DEBT",Input!J$2,Date,,,Ccy,Conv)</f>
        <v>0</v>
      </c>
      <c r="I116" s="4">
        <f>_xll.ciqfunctions.udf.CIQ(InputTicker, "IQ_INTEREST_EXP_LEASE_LIABILITY_DEBT",Input!K$2,Date,,,Ccy,Conv)</f>
        <v>0</v>
      </c>
      <c r="J116" s="4">
        <f>_xll.ciqfunctions.udf.CIQ(InputTicker, "IQ_INTEREST_EXP_LEASE_LIABILITY_DEBT",Input!L$2,Date,,,Ccy,Conv)</f>
        <v>0</v>
      </c>
      <c r="K116" s="4">
        <f>_xll.ciqfunctions.udf.CIQ(InputTicker, "IQ_INTEREST_EXP_LEASE_LIABILITY_DEBT",Input!M$2,Date,,,Ccy,Conv)</f>
        <v>0</v>
      </c>
      <c r="L116" s="4">
        <f>_xll.ciqfunctions.udf.CIQ(InputTicker, "IQ_INTEREST_EXP_LEASE_LIABILITY_DEBT",Input!N$2,Date,,,Ccy,Conv)</f>
        <v>0</v>
      </c>
      <c r="M116" s="4">
        <f>_xll.ciqfunctions.udf.CIQ(InputTicker, "IQ_INTEREST_EXP_LEASE_LIABILITY_DEBT",Input!O$2,Date,,,Ccy,Conv)</f>
        <v>0</v>
      </c>
      <c r="N116" s="49"/>
      <c r="P116" s="46"/>
      <c r="Q116" s="46"/>
      <c r="R116" s="46"/>
      <c r="T116" s="42"/>
      <c r="U116" s="42"/>
      <c r="V116" s="46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  <c r="BA116" s="42"/>
      <c r="BB116" s="42"/>
      <c r="BC116" s="42"/>
      <c r="BD116" s="42"/>
      <c r="BE116" s="42"/>
      <c r="BF116" s="42"/>
      <c r="BG116" s="42"/>
      <c r="BH116" s="42"/>
      <c r="BI116" s="42"/>
      <c r="BJ116" s="42"/>
      <c r="BK116" s="42"/>
      <c r="BL116" s="42"/>
      <c r="BM116" s="42"/>
      <c r="BN116" s="42"/>
    </row>
    <row r="117" spans="1:66" ht="12.75" customHeight="1" x14ac:dyDescent="0.2">
      <c r="A117" s="1" t="s">
        <v>328</v>
      </c>
      <c r="B117" s="4">
        <f>_xll.ciqfunctions.udf.CIQ(InputTicker, "IQ_INT_EXP_INCL_CAP",Input!D$2,Date,,,Ccy,Conv)</f>
        <v>468</v>
      </c>
      <c r="C117" s="4">
        <f>_xll.ciqfunctions.udf.CIQ(InputTicker, "IQ_INT_EXP_INCL_CAP",Input!E$2,Date,,,Ccy,Conv)</f>
        <v>632</v>
      </c>
      <c r="D117" s="4">
        <f>_xll.ciqfunctions.udf.CIQ(InputTicker, "IQ_INT_EXP_INCL_CAP",Input!F$2,Date,,,Ccy,Conv)</f>
        <v>620</v>
      </c>
      <c r="E117" s="4">
        <f>_xll.ciqfunctions.udf.CIQ(InputTicker, "IQ_INT_EXP_INCL_CAP",Input!G$2,Date,,,Ccy,Conv)</f>
        <v>726</v>
      </c>
      <c r="F117" s="4">
        <f>_xll.ciqfunctions.udf.CIQ(InputTicker, "IQ_INT_EXP_INCL_CAP",Input!H$2,Date,,,Ccy,Conv)</f>
        <v>1348</v>
      </c>
      <c r="G117" s="4">
        <f>_xll.ciqfunctions.udf.CIQ(InputTicker, "IQ_INT_EXP_INCL_CAP",Input!I$2,Date,,,Ccy,Conv)</f>
        <v>1293</v>
      </c>
      <c r="H117" s="4">
        <f>_xll.ciqfunctions.udf.CIQ(InputTicker, "IQ_INT_EXP_INCL_CAP",Input!J$2,Date,,,Ccy,Conv)</f>
        <v>1158</v>
      </c>
      <c r="I117" s="4">
        <f>_xll.ciqfunctions.udf.CIQ(InputTicker, "IQ_INT_EXP_INCL_CAP",Input!K$2,Date,,,Ccy,Conv)</f>
        <v>1221</v>
      </c>
      <c r="J117" s="4">
        <f>_xll.ciqfunctions.udf.CIQ(InputTicker, "IQ_INT_EXP_INCL_CAP",Input!L$2,Date,,,Ccy,Conv)</f>
        <v>1616</v>
      </c>
      <c r="K117" s="4">
        <f>_xll.ciqfunctions.udf.CIQ(InputTicker, "IQ_INT_EXP_INCL_CAP",Input!M$2,Date,,,Ccy,Conv)</f>
        <v>1724</v>
      </c>
      <c r="L117" s="4">
        <f>_xll.ciqfunctions.udf.CIQ(InputTicker, "IQ_INT_EXP_INCL_CAP",Input!N$2,Date,,,Ccy,Conv)</f>
        <v>1939</v>
      </c>
      <c r="M117" s="4">
        <f>_xll.ciqfunctions.udf.CIQ(InputTicker, "IQ_INT_EXP_INCL_CAP",Input!O$2,Date,,,Ccy,Conv)</f>
        <v>1939</v>
      </c>
      <c r="N117" s="49"/>
      <c r="P117" s="46"/>
      <c r="Q117" s="46"/>
      <c r="R117" s="46"/>
      <c r="T117" s="42"/>
      <c r="U117" s="42"/>
      <c r="V117" s="46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  <c r="BA117" s="42"/>
      <c r="BB117" s="42"/>
      <c r="BC117" s="42"/>
      <c r="BD117" s="42"/>
      <c r="BE117" s="42"/>
      <c r="BF117" s="42"/>
      <c r="BG117" s="42"/>
      <c r="BH117" s="42"/>
      <c r="BI117" s="42"/>
      <c r="BJ117" s="42"/>
      <c r="BK117" s="42"/>
      <c r="BL117" s="42"/>
      <c r="BM117" s="42"/>
      <c r="BN117" s="42"/>
    </row>
    <row r="118" spans="1:66" ht="12.75" customHeight="1" x14ac:dyDescent="0.2">
      <c r="A118" s="1" t="s">
        <v>325</v>
      </c>
      <c r="B118" s="4">
        <f>_xll.ciqfunctions.udf.CIQ(InputTicker, "IQ_NONCASH_PENSION_EXP",Input!D$2,Date,,,Ccy,Conv)</f>
        <v>706</v>
      </c>
      <c r="C118" s="4">
        <f>_xll.ciqfunctions.udf.CIQ(InputTicker, "IQ_NONCASH_PENSION_EXP",Input!E$2,Date,,,Ccy,Conv)</f>
        <v>302</v>
      </c>
      <c r="D118" s="4">
        <f>_xll.ciqfunctions.udf.CIQ(InputTicker, "IQ_NONCASH_PENSION_EXP",Input!F$2,Date,,,Ccy,Conv)</f>
        <v>1158</v>
      </c>
      <c r="E118" s="4">
        <f>_xll.ciqfunctions.udf.CIQ(InputTicker, "IQ_NONCASH_PENSION_EXP",Input!G$2,Date,,,Ccy,Conv)</f>
        <v>1430</v>
      </c>
      <c r="F118" s="4">
        <f>_xll.ciqfunctions.udf.CIQ(InputTicker, "IQ_NONCASH_PENSION_EXP",Input!H$2,Date,,,Ccy,Conv)</f>
        <v>396</v>
      </c>
      <c r="G118" s="4">
        <f>_xll.ciqfunctions.udf.CIQ(InputTicker, "IQ_NONCASH_PENSION_EXP",Input!I$2,Date,,,Ccy,Conv)</f>
        <v>907</v>
      </c>
      <c r="H118" s="4">
        <f>_xll.ciqfunctions.udf.CIQ(InputTicker, "IQ_NONCASH_PENSION_EXP",Input!J$2,Date,,,Ccy,Conv)</f>
        <v>1138</v>
      </c>
      <c r="I118" s="4">
        <f>_xll.ciqfunctions.udf.CIQ(InputTicker, "IQ_NONCASH_PENSION_EXP",Input!K$2,Date,,,Ccy,Conv)</f>
        <v>6456</v>
      </c>
      <c r="J118" s="4">
        <f>_xll.ciqfunctions.udf.CIQ(InputTicker, "IQ_NONCASH_PENSION_EXP",Input!L$2,Date,,,Ccy,Conv)</f>
        <v>-147</v>
      </c>
      <c r="K118" s="4">
        <f>_xll.ciqfunctions.udf.CIQ(InputTicker, "IQ_NONCASH_PENSION_EXP",Input!M$2,Date,,,Ccy,Conv)</f>
        <v>3353</v>
      </c>
      <c r="L118" s="4">
        <f>_xll.ciqfunctions.udf.CIQ(InputTicker, "IQ_NONCASH_PENSION_EXP",Input!N$2,Date,,,Ccy,Conv)</f>
        <v>-49</v>
      </c>
      <c r="M118" s="4">
        <f>_xll.ciqfunctions.udf.CIQ(InputTicker, "IQ_NONCASH_PENSION_EXP",Input!O$2,Date,,,Ccy,Conv)</f>
        <v>-49</v>
      </c>
      <c r="N118" s="49"/>
      <c r="P118" s="46"/>
      <c r="Q118" s="46"/>
      <c r="R118" s="46"/>
      <c r="T118" s="42"/>
      <c r="U118" s="42"/>
      <c r="V118" s="46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  <c r="BA118" s="42"/>
      <c r="BB118" s="42"/>
      <c r="BC118" s="42"/>
      <c r="BD118" s="42"/>
      <c r="BE118" s="42"/>
      <c r="BF118" s="42"/>
      <c r="BG118" s="42"/>
      <c r="BH118" s="42"/>
      <c r="BI118" s="42"/>
      <c r="BJ118" s="42"/>
      <c r="BK118" s="42"/>
      <c r="BL118" s="42"/>
      <c r="BM118" s="42"/>
      <c r="BN118" s="42"/>
    </row>
    <row r="119" spans="1:66" ht="12.75" customHeight="1" x14ac:dyDescent="0.2">
      <c r="A119" s="1" t="s">
        <v>326</v>
      </c>
      <c r="B119" s="4">
        <f>_xll.ciqfunctions.udf.CIQ(InputTicker, "IQ_DA_EBITDA",Input!D$2,Date,,,Ccy,Conv)</f>
        <v>3855</v>
      </c>
      <c r="C119" s="4">
        <f>_xll.ciqfunctions.udf.CIQ(InputTicker, "IQ_DA_EBITDA",Input!E$2,Date,,,Ccy,Conv)</f>
        <v>4381</v>
      </c>
      <c r="D119" s="4">
        <f>_xll.ciqfunctions.udf.CIQ(InputTicker, "IQ_DA_EBITDA",Input!F$2,Date,,,Ccy,Conv)</f>
        <v>4541</v>
      </c>
      <c r="E119" s="4">
        <f>_xll.ciqfunctions.udf.CIQ(InputTicker, "IQ_DA_EBITDA",Input!G$2,Date,,,Ccy,Conv)</f>
        <v>4480</v>
      </c>
      <c r="F119" s="4">
        <f>_xll.ciqfunctions.udf.CIQ(InputTicker, "IQ_DA_EBITDA",Input!H$2,Date,,,Ccy,Conv)</f>
        <v>6059</v>
      </c>
      <c r="G119" s="4">
        <f>_xll.ciqfunctions.udf.CIQ(InputTicker, "IQ_DA_EBITDA",Input!I$2,Date,,,Ccy,Conv)</f>
        <v>6695</v>
      </c>
      <c r="H119" s="4">
        <f>_xll.ciqfunctions.udf.CIQ(InputTicker, "IQ_DA_EBITDA",Input!J$2,Date,,,Ccy,Conv)</f>
        <v>5726</v>
      </c>
      <c r="I119" s="4">
        <f>_xll.ciqfunctions.udf.CIQ(InputTicker, "IQ_DA_EBITDA",Input!K$2,Date,,,Ccy,Conv)</f>
        <v>3254</v>
      </c>
      <c r="J119" s="4">
        <f>_xll.ciqfunctions.udf.CIQ(InputTicker, "IQ_DA_EBITDA",Input!L$2,Date,,,Ccy,Conv)</f>
        <v>2836</v>
      </c>
      <c r="K119" s="4">
        <f>_xll.ciqfunctions.udf.CIQ(InputTicker, "IQ_DA_EBITDA",Input!M$2,Date,,,Ccy,Conv)</f>
        <v>3098</v>
      </c>
      <c r="L119" s="4">
        <f>_xll.ciqfunctions.udf.CIQ(InputTicker, "IQ_DA_EBITDA",Input!N$2,Date,,,Ccy,Conv)</f>
        <v>3550</v>
      </c>
      <c r="M119" s="4">
        <f>_xll.ciqfunctions.udf.CIQ(InputTicker, "IQ_DA_EBITDA",Input!O$2,Date,,,Ccy,Conv)</f>
        <v>3550</v>
      </c>
      <c r="N119" s="49"/>
      <c r="P119" s="46"/>
      <c r="Q119" s="46"/>
      <c r="R119" s="46"/>
      <c r="T119" s="42"/>
      <c r="U119" s="42"/>
      <c r="V119" s="46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  <c r="BA119" s="42"/>
      <c r="BB119" s="42"/>
      <c r="BC119" s="42"/>
      <c r="BD119" s="42"/>
      <c r="BE119" s="42"/>
      <c r="BF119" s="42"/>
      <c r="BG119" s="42"/>
      <c r="BH119" s="42"/>
      <c r="BI119" s="42"/>
      <c r="BJ119" s="42"/>
      <c r="BK119" s="42"/>
      <c r="BL119" s="42"/>
      <c r="BM119" s="42"/>
      <c r="BN119" s="42"/>
    </row>
    <row r="120" spans="1:66" ht="12.75" customHeight="1" x14ac:dyDescent="0.2">
      <c r="A120" s="1" t="s">
        <v>327</v>
      </c>
      <c r="B120" s="4">
        <f>_xll.ciqfunctions.udf.CIQ(InputTicker, "IQ_DISTRIBUTABLE_CASH",Input!D$2,Date,,,Ccy,Conv)</f>
        <v>0</v>
      </c>
      <c r="C120" s="4">
        <f>_xll.ciqfunctions.udf.CIQ(InputTicker, "IQ_DISTRIBUTABLE_CASH",Input!E$2,Date,,,Ccy,Conv)</f>
        <v>0</v>
      </c>
      <c r="D120" s="4">
        <f>_xll.ciqfunctions.udf.CIQ(InputTicker, "IQ_DISTRIBUTABLE_CASH",Input!F$2,Date,,,Ccy,Conv)</f>
        <v>0</v>
      </c>
      <c r="E120" s="4">
        <f>_xll.ciqfunctions.udf.CIQ(InputTicker, "IQ_DISTRIBUTABLE_CASH",Input!G$2,Date,,,Ccy,Conv)</f>
        <v>0</v>
      </c>
      <c r="F120" s="4">
        <f>_xll.ciqfunctions.udf.CIQ(InputTicker, "IQ_DISTRIBUTABLE_CASH",Input!H$2,Date,,,Ccy,Conv)</f>
        <v>0</v>
      </c>
      <c r="G120" s="4">
        <f>_xll.ciqfunctions.udf.CIQ(InputTicker, "IQ_DISTRIBUTABLE_CASH",Input!I$2,Date,,,Ccy,Conv)</f>
        <v>0</v>
      </c>
      <c r="H120" s="4">
        <f>_xll.ciqfunctions.udf.CIQ(InputTicker, "IQ_DISTRIBUTABLE_CASH",Input!J$2,Date,,,Ccy,Conv)</f>
        <v>0</v>
      </c>
      <c r="I120" s="4">
        <f>_xll.ciqfunctions.udf.CIQ(InputTicker, "IQ_DISTRIBUTABLE_CASH",Input!K$2,Date,,,Ccy,Conv)</f>
        <v>0</v>
      </c>
      <c r="J120" s="4">
        <f>_xll.ciqfunctions.udf.CIQ(InputTicker, "IQ_DISTRIBUTABLE_CASH",Input!L$2,Date,,,Ccy,Conv)</f>
        <v>0</v>
      </c>
      <c r="K120" s="4">
        <f>_xll.ciqfunctions.udf.CIQ(InputTicker, "IQ_DISTRIBUTABLE_CASH",Input!M$2,Date,,,Ccy,Conv)</f>
        <v>0</v>
      </c>
      <c r="L120" s="4">
        <f>_xll.ciqfunctions.udf.CIQ(InputTicker, "IQ_DISTRIBUTABLE_CASH",Input!N$2,Date,,,Ccy,Conv)</f>
        <v>0</v>
      </c>
      <c r="M120" s="4">
        <f>_xll.ciqfunctions.udf.CIQ(InputTicker, "IQ_DISTRIBUTABLE_CASH",Input!O$2,Date,,,Ccy,Conv)</f>
        <v>0</v>
      </c>
      <c r="N120" s="49"/>
      <c r="P120" s="46"/>
      <c r="Q120" s="46"/>
      <c r="R120" s="46"/>
      <c r="T120" s="42"/>
      <c r="U120" s="42"/>
      <c r="V120" s="46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  <c r="BA120" s="42"/>
      <c r="BB120" s="42"/>
      <c r="BC120" s="42"/>
      <c r="BD120" s="42"/>
      <c r="BE120" s="42"/>
      <c r="BF120" s="42"/>
      <c r="BG120" s="42"/>
      <c r="BH120" s="42"/>
      <c r="BI120" s="42"/>
      <c r="BJ120" s="42"/>
      <c r="BK120" s="42"/>
      <c r="BL120" s="42"/>
      <c r="BM120" s="42"/>
      <c r="BN120" s="42"/>
    </row>
    <row r="121" spans="1:66" ht="12.75" customHeight="1" x14ac:dyDescent="0.2">
      <c r="A121" s="1" t="s">
        <v>436</v>
      </c>
      <c r="B121" s="4">
        <f>_xll.ciqfunctions.udf.CIQ(InputTicker, "IQ_DISTRIBUTABLE_CASH_STANDARDIZED",Input!D$2,Date,,,Ccy,Conv)</f>
        <v>0</v>
      </c>
      <c r="C121" s="4">
        <f>_xll.ciqfunctions.udf.CIQ(InputTicker, "IQ_DISTRIBUTABLE_CASH_STANDARDIZED",Input!E$2,Date,,,Ccy,Conv)</f>
        <v>0</v>
      </c>
      <c r="D121" s="4">
        <f>_xll.ciqfunctions.udf.CIQ(InputTicker, "IQ_DISTRIBUTABLE_CASH_STANDARDIZED",Input!F$2,Date,,,Ccy,Conv)</f>
        <v>0</v>
      </c>
      <c r="E121" s="4">
        <f>_xll.ciqfunctions.udf.CIQ(InputTicker, "IQ_DISTRIBUTABLE_CASH_STANDARDIZED",Input!G$2,Date,,,Ccy,Conv)</f>
        <v>0</v>
      </c>
      <c r="F121" s="4">
        <f>_xll.ciqfunctions.udf.CIQ(InputTicker, "IQ_DISTRIBUTABLE_CASH_STANDARDIZED",Input!H$2,Date,,,Ccy,Conv)</f>
        <v>0</v>
      </c>
      <c r="G121" s="4">
        <f>_xll.ciqfunctions.udf.CIQ(InputTicker, "IQ_DISTRIBUTABLE_CASH_STANDARDIZED",Input!I$2,Date,,,Ccy,Conv)</f>
        <v>0</v>
      </c>
      <c r="H121" s="4">
        <f>_xll.ciqfunctions.udf.CIQ(InputTicker, "IQ_DISTRIBUTABLE_CASH_STANDARDIZED",Input!J$2,Date,,,Ccy,Conv)</f>
        <v>0</v>
      </c>
      <c r="I121" s="4">
        <f>_xll.ciqfunctions.udf.CIQ(InputTicker, "IQ_DISTRIBUTABLE_CASH_STANDARDIZED",Input!K$2,Date,,,Ccy,Conv)</f>
        <v>0</v>
      </c>
      <c r="J121" s="4">
        <f>_xll.ciqfunctions.udf.CIQ(InputTicker, "IQ_DISTRIBUTABLE_CASH_STANDARDIZED",Input!L$2,Date,,,Ccy,Conv)</f>
        <v>0</v>
      </c>
      <c r="K121" s="4">
        <f>_xll.ciqfunctions.udf.CIQ(InputTicker, "IQ_DISTRIBUTABLE_CASH_STANDARDIZED",Input!M$2,Date,,,Ccy,Conv)</f>
        <v>0</v>
      </c>
      <c r="L121" s="4">
        <f>_xll.ciqfunctions.udf.CIQ(InputTicker, "IQ_DISTRIBUTABLE_CASH_STANDARDIZED",Input!N$2,Date,,,Ccy,Conv)</f>
        <v>0</v>
      </c>
      <c r="M121" s="4">
        <f>_xll.ciqfunctions.udf.CIQ(InputTicker, "IQ_DISTRIBUTABLE_CASH_STANDARDIZED",Input!O$2,Date,,,Ccy,Conv)</f>
        <v>0</v>
      </c>
      <c r="N121" s="49"/>
      <c r="P121" s="46"/>
      <c r="Q121" s="46"/>
      <c r="R121" s="46"/>
      <c r="T121" s="42"/>
      <c r="U121" s="42"/>
      <c r="V121" s="46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  <c r="BA121" s="42"/>
      <c r="BB121" s="42"/>
      <c r="BC121" s="42"/>
      <c r="BD121" s="42"/>
      <c r="BE121" s="42"/>
      <c r="BF121" s="42"/>
      <c r="BG121" s="42"/>
      <c r="BH121" s="42"/>
      <c r="BI121" s="42"/>
      <c r="BJ121" s="42"/>
      <c r="BK121" s="42"/>
      <c r="BL121" s="42"/>
      <c r="BM121" s="42"/>
      <c r="BN121" s="42"/>
    </row>
    <row r="122" spans="1:66" ht="12.75" customHeight="1" x14ac:dyDescent="0.2">
      <c r="A122" s="1" t="s">
        <v>389</v>
      </c>
      <c r="B122" s="4">
        <f>_xll.ciqfunctions.udf.CIQ(InputTicker, "IQ_DISTRIBUTABLE_CASH_SHARES_BASIC",Input!D$2,Date)</f>
        <v>0</v>
      </c>
      <c r="C122" s="4">
        <f>_xll.ciqfunctions.udf.CIQ(InputTicker, "IQ_DISTRIBUTABLE_CASH_SHARES_BASIC",Input!E$2,Date)</f>
        <v>0</v>
      </c>
      <c r="D122" s="4">
        <f>_xll.ciqfunctions.udf.CIQ(InputTicker, "IQ_DISTRIBUTABLE_CASH_SHARES_BASIC",Input!F$2,Date)</f>
        <v>0</v>
      </c>
      <c r="E122" s="4">
        <f>_xll.ciqfunctions.udf.CIQ(InputTicker, "IQ_DISTRIBUTABLE_CASH_SHARES_BASIC",Input!G$2,Date)</f>
        <v>0</v>
      </c>
      <c r="F122" s="4">
        <f>_xll.ciqfunctions.udf.CIQ(InputTicker, "IQ_DISTRIBUTABLE_CASH_SHARES_BASIC",Input!H$2,Date)</f>
        <v>0</v>
      </c>
      <c r="G122" s="4">
        <f>_xll.ciqfunctions.udf.CIQ(InputTicker, "IQ_DISTRIBUTABLE_CASH_SHARES_BASIC",Input!I$2,Date)</f>
        <v>0</v>
      </c>
      <c r="H122" s="4">
        <f>_xll.ciqfunctions.udf.CIQ(InputTicker, "IQ_DISTRIBUTABLE_CASH_SHARES_BASIC",Input!J$2,Date)</f>
        <v>0</v>
      </c>
      <c r="I122" s="4">
        <f>_xll.ciqfunctions.udf.CIQ(InputTicker, "IQ_DISTRIBUTABLE_CASH_SHARES_BASIC",Input!K$2,Date)</f>
        <v>0</v>
      </c>
      <c r="J122" s="4">
        <f>_xll.ciqfunctions.udf.CIQ(InputTicker, "IQ_DISTRIBUTABLE_CASH_SHARES_BASIC",Input!L$2,Date)</f>
        <v>0</v>
      </c>
      <c r="K122" s="4">
        <f>_xll.ciqfunctions.udf.CIQ(InputTicker, "IQ_DISTRIBUTABLE_CASH_SHARES_BASIC",Input!M$2,Date)</f>
        <v>0</v>
      </c>
      <c r="L122" s="4">
        <f>_xll.ciqfunctions.udf.CIQ(InputTicker, "IQ_DISTRIBUTABLE_CASH_SHARES_BASIC",Input!N$2,Date)</f>
        <v>0</v>
      </c>
      <c r="M122" s="4">
        <f>_xll.ciqfunctions.udf.CIQ(InputTicker, "IQ_DISTRIBUTABLE_CASH_SHARES_BASIC",Input!O$2,Date)</f>
        <v>0</v>
      </c>
      <c r="N122" s="49"/>
      <c r="P122" s="46"/>
      <c r="Q122" s="46"/>
      <c r="R122" s="46"/>
      <c r="T122" s="42"/>
      <c r="U122" s="42"/>
      <c r="V122" s="46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  <c r="BA122" s="42"/>
      <c r="BB122" s="42"/>
      <c r="BC122" s="42"/>
      <c r="BD122" s="42"/>
      <c r="BE122" s="42"/>
      <c r="BF122" s="42"/>
      <c r="BG122" s="42"/>
      <c r="BH122" s="42"/>
      <c r="BI122" s="42"/>
      <c r="BJ122" s="42"/>
      <c r="BK122" s="42"/>
      <c r="BL122" s="42"/>
      <c r="BM122" s="42"/>
      <c r="BN122" s="42"/>
    </row>
    <row r="123" spans="1:66" ht="12.75" customHeight="1" x14ac:dyDescent="0.2">
      <c r="A123" s="1" t="s">
        <v>390</v>
      </c>
      <c r="B123" s="4">
        <f>_xll.ciqfunctions.udf.CIQ(InputTicker, "IQ_DISTRIBUTABLE_CASH_SHARES_DILUTED",Input!D$2,Date)</f>
        <v>0</v>
      </c>
      <c r="C123" s="4">
        <f>_xll.ciqfunctions.udf.CIQ(InputTicker, "IQ_DISTRIBUTABLE_CASH_SHARES_DILUTED",Input!E$2,Date)</f>
        <v>0</v>
      </c>
      <c r="D123" s="4">
        <f>_xll.ciqfunctions.udf.CIQ(InputTicker, "IQ_DISTRIBUTABLE_CASH_SHARES_DILUTED",Input!F$2,Date)</f>
        <v>0</v>
      </c>
      <c r="E123" s="4">
        <f>_xll.ciqfunctions.udf.CIQ(InputTicker, "IQ_DISTRIBUTABLE_CASH_SHARES_DILUTED",Input!G$2,Date)</f>
        <v>0</v>
      </c>
      <c r="F123" s="4">
        <f>_xll.ciqfunctions.udf.CIQ(InputTicker, "IQ_DISTRIBUTABLE_CASH_SHARES_DILUTED",Input!H$2,Date)</f>
        <v>0</v>
      </c>
      <c r="G123" s="4">
        <f>_xll.ciqfunctions.udf.CIQ(InputTicker, "IQ_DISTRIBUTABLE_CASH_SHARES_DILUTED",Input!I$2,Date)</f>
        <v>0</v>
      </c>
      <c r="H123" s="4">
        <f>_xll.ciqfunctions.udf.CIQ(InputTicker, "IQ_DISTRIBUTABLE_CASH_SHARES_DILUTED",Input!J$2,Date)</f>
        <v>0</v>
      </c>
      <c r="I123" s="4">
        <f>_xll.ciqfunctions.udf.CIQ(InputTicker, "IQ_DISTRIBUTABLE_CASH_SHARES_DILUTED",Input!K$2,Date)</f>
        <v>0</v>
      </c>
      <c r="J123" s="4">
        <f>_xll.ciqfunctions.udf.CIQ(InputTicker, "IQ_DISTRIBUTABLE_CASH_SHARES_DILUTED",Input!L$2,Date)</f>
        <v>0</v>
      </c>
      <c r="K123" s="4">
        <f>_xll.ciqfunctions.udf.CIQ(InputTicker, "IQ_DISTRIBUTABLE_CASH_SHARES_DILUTED",Input!M$2,Date)</f>
        <v>0</v>
      </c>
      <c r="L123" s="4">
        <f>_xll.ciqfunctions.udf.CIQ(InputTicker, "IQ_DISTRIBUTABLE_CASH_SHARES_DILUTED",Input!N$2,Date)</f>
        <v>0</v>
      </c>
      <c r="M123" s="4">
        <f>_xll.ciqfunctions.udf.CIQ(InputTicker, "IQ_DISTRIBUTABLE_CASH_SHARES_DILUTED",Input!O$2,Date)</f>
        <v>0</v>
      </c>
      <c r="N123" s="49"/>
      <c r="P123" s="46"/>
      <c r="Q123" s="46"/>
      <c r="R123" s="46"/>
      <c r="T123" s="42"/>
      <c r="U123" s="42"/>
      <c r="V123" s="46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  <c r="BA123" s="42"/>
      <c r="BB123" s="42"/>
      <c r="BC123" s="42"/>
      <c r="BD123" s="42"/>
      <c r="BE123" s="42"/>
      <c r="BF123" s="42"/>
      <c r="BG123" s="42"/>
      <c r="BH123" s="42"/>
      <c r="BI123" s="42"/>
      <c r="BJ123" s="42"/>
      <c r="BK123" s="42"/>
      <c r="BL123" s="42"/>
      <c r="BM123" s="42"/>
      <c r="BN123" s="42"/>
    </row>
    <row r="124" spans="1:66" ht="12.75" customHeight="1" x14ac:dyDescent="0.2">
      <c r="A124" s="1" t="s">
        <v>344</v>
      </c>
      <c r="B124" s="4">
        <f>_xll.ciqfunctions.udf.CIQ(InputTicker, "IQ_ANNU_DISTRIBUTION_UNIT",Input!D$2,Date,,,Ccy,Conv)</f>
        <v>0</v>
      </c>
      <c r="C124" s="4">
        <f>_xll.ciqfunctions.udf.CIQ(InputTicker, "IQ_ANNU_DISTRIBUTION_UNIT",Input!E$2,Date,,,Ccy,Conv)</f>
        <v>0</v>
      </c>
      <c r="D124" s="4">
        <f>_xll.ciqfunctions.udf.CIQ(InputTicker, "IQ_ANNU_DISTRIBUTION_UNIT",Input!F$2,Date,,,Ccy,Conv)</f>
        <v>0</v>
      </c>
      <c r="E124" s="4">
        <f>_xll.ciqfunctions.udf.CIQ(InputTicker, "IQ_ANNU_DISTRIBUTION_UNIT",Input!G$2,Date,,,Ccy,Conv)</f>
        <v>0</v>
      </c>
      <c r="F124" s="4">
        <f>_xll.ciqfunctions.udf.CIQ(InputTicker, "IQ_ANNU_DISTRIBUTION_UNIT",Input!H$2,Date,,,Ccy,Conv)</f>
        <v>0</v>
      </c>
      <c r="G124" s="4">
        <f>_xll.ciqfunctions.udf.CIQ(InputTicker, "IQ_ANNU_DISTRIBUTION_UNIT",Input!I$2,Date,,,Ccy,Conv)</f>
        <v>0</v>
      </c>
      <c r="H124" s="4">
        <f>_xll.ciqfunctions.udf.CIQ(InputTicker, "IQ_ANNU_DISTRIBUTION_UNIT",Input!J$2,Date,,,Ccy,Conv)</f>
        <v>0</v>
      </c>
      <c r="I124" s="4">
        <f>_xll.ciqfunctions.udf.CIQ(InputTicker, "IQ_ANNU_DISTRIBUTION_UNIT",Input!K$2,Date,,,Ccy,Conv)</f>
        <v>0</v>
      </c>
      <c r="J124" s="4">
        <f>_xll.ciqfunctions.udf.CIQ(InputTicker, "IQ_ANNU_DISTRIBUTION_UNIT",Input!L$2,Date,,,Ccy,Conv)</f>
        <v>0</v>
      </c>
      <c r="K124" s="4">
        <f>_xll.ciqfunctions.udf.CIQ(InputTicker, "IQ_ANNU_DISTRIBUTION_UNIT",Input!M$2,Date,,,Ccy,Conv)</f>
        <v>0</v>
      </c>
      <c r="L124" s="4">
        <f>_xll.ciqfunctions.udf.CIQ(InputTicker, "IQ_ANNU_DISTRIBUTION_UNIT",Input!N$2,Date,,,Ccy,Conv)</f>
        <v>0</v>
      </c>
      <c r="M124" s="4">
        <f>_xll.ciqfunctions.udf.CIQ(InputTicker, "IQ_ANNU_DISTRIBUTION_UNIT",Input!O$2,Date,,,Ccy,Conv)</f>
        <v>0</v>
      </c>
      <c r="N124" s="49"/>
      <c r="P124" s="46"/>
      <c r="Q124" s="46"/>
      <c r="R124" s="46"/>
      <c r="T124" s="42"/>
      <c r="U124" s="42"/>
      <c r="V124" s="46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  <c r="BA124" s="42"/>
      <c r="BB124" s="42"/>
      <c r="BC124" s="42"/>
      <c r="BD124" s="42"/>
      <c r="BE124" s="42"/>
      <c r="BF124" s="42"/>
      <c r="BG124" s="42"/>
      <c r="BH124" s="42"/>
      <c r="BI124" s="42"/>
      <c r="BJ124" s="42"/>
      <c r="BK124" s="42"/>
      <c r="BL124" s="42"/>
      <c r="BM124" s="42"/>
      <c r="BN124" s="42"/>
    </row>
    <row r="125" spans="1:66" ht="12.75" customHeight="1" x14ac:dyDescent="0.2">
      <c r="A125" s="1" t="s">
        <v>365</v>
      </c>
      <c r="B125" s="4">
        <f>_xll.ciqfunctions.udf.CIQ(InputTicker, "IQ_DISTRIBUTABLE_CASH_PAYOUT",Input!D$2,Date)</f>
        <v>0</v>
      </c>
      <c r="C125" s="4">
        <f>_xll.ciqfunctions.udf.CIQ(InputTicker, "IQ_DISTRIBUTABLE_CASH_PAYOUT",Input!E$2,Date)</f>
        <v>0</v>
      </c>
      <c r="D125" s="4">
        <f>_xll.ciqfunctions.udf.CIQ(InputTicker, "IQ_DISTRIBUTABLE_CASH_PAYOUT",Input!F$2,Date)</f>
        <v>0</v>
      </c>
      <c r="E125" s="4">
        <f>_xll.ciqfunctions.udf.CIQ(InputTicker, "IQ_DISTRIBUTABLE_CASH_PAYOUT",Input!G$2,Date)</f>
        <v>0</v>
      </c>
      <c r="F125" s="4">
        <f>_xll.ciqfunctions.udf.CIQ(InputTicker, "IQ_DISTRIBUTABLE_CASH_PAYOUT",Input!H$2,Date)</f>
        <v>0</v>
      </c>
      <c r="G125" s="4">
        <f>_xll.ciqfunctions.udf.CIQ(InputTicker, "IQ_DISTRIBUTABLE_CASH_PAYOUT",Input!I$2,Date)</f>
        <v>0</v>
      </c>
      <c r="H125" s="4">
        <f>_xll.ciqfunctions.udf.CIQ(InputTicker, "IQ_DISTRIBUTABLE_CASH_PAYOUT",Input!J$2,Date)</f>
        <v>0</v>
      </c>
      <c r="I125" s="4">
        <f>_xll.ciqfunctions.udf.CIQ(InputTicker, "IQ_DISTRIBUTABLE_CASH_PAYOUT",Input!K$2,Date)</f>
        <v>0</v>
      </c>
      <c r="J125" s="4">
        <f>_xll.ciqfunctions.udf.CIQ(InputTicker, "IQ_DISTRIBUTABLE_CASH_PAYOUT",Input!L$2,Date)</f>
        <v>0</v>
      </c>
      <c r="K125" s="4">
        <f>_xll.ciqfunctions.udf.CIQ(InputTicker, "IQ_DISTRIBUTABLE_CASH_PAYOUT",Input!M$2,Date)</f>
        <v>0</v>
      </c>
      <c r="L125" s="4">
        <f>_xll.ciqfunctions.udf.CIQ(InputTicker, "IQ_DISTRIBUTABLE_CASH_PAYOUT",Input!N$2,Date)</f>
        <v>0</v>
      </c>
      <c r="M125" s="4">
        <f>_xll.ciqfunctions.udf.CIQ(InputTicker, "IQ_DISTRIBUTABLE_CASH_PAYOUT",Input!O$2,Date)</f>
        <v>0</v>
      </c>
      <c r="N125" s="49"/>
      <c r="P125" s="46"/>
      <c r="Q125" s="46"/>
      <c r="R125" s="46"/>
      <c r="T125" s="42"/>
      <c r="U125" s="42"/>
      <c r="V125" s="46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  <c r="BA125" s="42"/>
      <c r="BB125" s="42"/>
      <c r="BC125" s="42"/>
      <c r="BD125" s="42"/>
      <c r="BE125" s="42"/>
      <c r="BF125" s="42"/>
      <c r="BG125" s="42"/>
      <c r="BH125" s="42"/>
      <c r="BI125" s="42"/>
      <c r="BJ125" s="42"/>
      <c r="BK125" s="42"/>
      <c r="BL125" s="42"/>
      <c r="BM125" s="42"/>
      <c r="BN125" s="42"/>
    </row>
    <row r="126" spans="1:66" ht="12.75" customHeight="1" x14ac:dyDescent="0.2">
      <c r="A126" s="1" t="s">
        <v>329</v>
      </c>
      <c r="B126" s="4">
        <f>_xll.ciqfunctions.udf.CIQ(InputTicker, "IQ_COMMON_DIV",Input!D$2,Date,,,Ccy,Conv)</f>
        <v>4897</v>
      </c>
      <c r="C126" s="4">
        <f>_xll.ciqfunctions.udf.CIQ(InputTicker, "IQ_COMMON_DIV",Input!E$2,Date,,,Ccy,Conv)</f>
        <v>5256</v>
      </c>
      <c r="D126" s="4">
        <f>_xll.ciqfunctions.udf.CIQ(InputTicker, "IQ_COMMON_DIV",Input!F$2,Date,,,Ccy,Conv)</f>
        <v>5506</v>
      </c>
      <c r="E126" s="4">
        <f>_xll.ciqfunctions.udf.CIQ(InputTicker, "IQ_COMMON_DIV",Input!G$2,Date,,,Ccy,Conv)</f>
        <v>5666</v>
      </c>
      <c r="F126" s="4">
        <f>_xll.ciqfunctions.udf.CIQ(InputTicker, "IQ_COMMON_DIV",Input!H$2,Date,,,Ccy,Conv)</f>
        <v>5707</v>
      </c>
      <c r="G126" s="4">
        <f>_xll.ciqfunctions.udf.CIQ(InputTicker, "IQ_COMMON_DIV",Input!I$2,Date,,,Ccy,Conv)</f>
        <v>5797</v>
      </c>
      <c r="H126" s="4">
        <f>_xll.ciqfunctions.udf.CIQ(InputTicker, "IQ_COMMON_DIV",Input!J$2,Date,,,Ccy,Conv)</f>
        <v>5869</v>
      </c>
      <c r="I126" s="4">
        <f>_xll.ciqfunctions.udf.CIQ(InputTicker, "IQ_COMMON_DIV",Input!K$2,Date,,,Ccy,Conv)</f>
        <v>5948</v>
      </c>
      <c r="J126" s="4">
        <f>_xll.ciqfunctions.udf.CIQ(InputTicker, "IQ_COMMON_DIV",Input!L$2,Date,,,Ccy,Conv)</f>
        <v>6040</v>
      </c>
      <c r="K126" s="4">
        <f>_xll.ciqfunctions.udf.CIQ(InputTicker, "IQ_COMMON_DIV",Input!M$2,Date,,,Ccy,Conv)</f>
        <v>6147</v>
      </c>
      <c r="L126" s="4">
        <f>_xll.ciqfunctions.udf.CIQ(InputTicker, "IQ_COMMON_DIV",Input!N$2,Date,,,Ccy,Conv)</f>
        <v>6255</v>
      </c>
      <c r="M126" s="4">
        <f>_xll.ciqfunctions.udf.CIQ(InputTicker, "IQ_COMMON_DIV",Input!O$2,Date,,,Ccy,Conv)</f>
        <v>6255</v>
      </c>
      <c r="N126" s="49"/>
      <c r="P126" s="46"/>
      <c r="Q126" s="46"/>
      <c r="R126" s="46"/>
      <c r="T126" s="42"/>
      <c r="U126" s="42"/>
      <c r="V126" s="46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  <c r="BA126" s="42"/>
      <c r="BB126" s="42"/>
      <c r="BC126" s="42"/>
      <c r="BD126" s="42"/>
      <c r="BE126" s="42"/>
      <c r="BF126" s="42"/>
      <c r="BG126" s="42"/>
      <c r="BH126" s="42"/>
      <c r="BI126" s="42"/>
      <c r="BJ126" s="42"/>
      <c r="BK126" s="42"/>
      <c r="BL126" s="42"/>
      <c r="BM126" s="42"/>
      <c r="BN126" s="42"/>
    </row>
    <row r="127" spans="1:66" ht="12.75" customHeight="1" x14ac:dyDescent="0.2">
      <c r="A127" s="1" t="s">
        <v>282</v>
      </c>
      <c r="B127" s="4">
        <f>_xll.ciqfunctions.udf.CIQ(InputTicker, "IQ_EFFECT_TAX_RATE",Input!D$2,Date)</f>
        <v>16.186800000000002</v>
      </c>
      <c r="C127" s="4">
        <f>_xll.ciqfunctions.udf.CIQ(InputTicker, "IQ_EFFECT_TAX_RATE",Input!E$2,Date)</f>
        <v>3.6415000000000002</v>
      </c>
      <c r="D127" s="4">
        <f>_xll.ciqfunctions.udf.CIQ(InputTicker, "IQ_EFFECT_TAX_RATE",Input!F$2,Date)</f>
        <v>49.491199999999999</v>
      </c>
      <c r="E127" s="4">
        <f>_xll.ciqfunctions.udf.CIQ(InputTicker, "IQ_EFFECT_TAX_RATE",Input!G$2,Date)</f>
        <v>23.091100000000001</v>
      </c>
      <c r="F127" s="4">
        <f>_xll.ciqfunctions.udf.CIQ(InputTicker, "IQ_EFFECT_TAX_RATE",Input!H$2,Date)</f>
        <v>0.83260000000000001</v>
      </c>
      <c r="G127" s="4" t="str">
        <f>_xll.ciqfunctions.udf.CIQ(InputTicker, "IQ_EFFECT_TAX_RATE",Input!I$2,Date)</f>
        <v>NM</v>
      </c>
      <c r="H127" s="4">
        <f>_xll.ciqfunctions.udf.CIQ(InputTicker, "IQ_EFFECT_TAX_RATE",Input!J$2,Date)</f>
        <v>2.5634999999999999</v>
      </c>
      <c r="I127" s="4" t="str">
        <f>_xll.ciqfunctions.udf.CIQ(InputTicker, "IQ_EFFECT_TAX_RATE",Input!K$2,Date)</f>
        <v>NM</v>
      </c>
      <c r="J127" s="4">
        <f>_xll.ciqfunctions.udf.CIQ(InputTicker, "IQ_EFFECT_TAX_RATE",Input!L$2,Date)</f>
        <v>13.5327</v>
      </c>
      <c r="K127" s="4" t="str">
        <f>_xll.ciqfunctions.udf.CIQ(InputTicker, "IQ_EFFECT_TAX_RATE",Input!M$2,Date)</f>
        <v>NM</v>
      </c>
      <c r="L127" s="4" t="str">
        <f>_xll.ciqfunctions.udf.CIQ(InputTicker, "IQ_EFFECT_TAX_RATE",Input!N$2,Date)</f>
        <v>NM</v>
      </c>
      <c r="M127" s="4" t="str">
        <f>_xll.ciqfunctions.udf.CIQ(InputTicker, "IQ_EFFECT_TAX_RATE",Input!O$2,Date)</f>
        <v>NM</v>
      </c>
      <c r="N127" s="49"/>
      <c r="P127" s="46"/>
      <c r="Q127" s="46"/>
      <c r="R127" s="46"/>
      <c r="T127" s="42"/>
      <c r="U127" s="42"/>
      <c r="V127" s="46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  <c r="BA127" s="42"/>
      <c r="BB127" s="42"/>
      <c r="BC127" s="42"/>
      <c r="BD127" s="42"/>
      <c r="BE127" s="42"/>
      <c r="BF127" s="42"/>
      <c r="BG127" s="42"/>
      <c r="BH127" s="42"/>
      <c r="BI127" s="42"/>
      <c r="BJ127" s="42"/>
      <c r="BK127" s="42"/>
      <c r="BL127" s="42"/>
      <c r="BM127" s="42"/>
      <c r="BN127" s="42"/>
    </row>
    <row r="128" spans="1:66" ht="12.75" customHeight="1" x14ac:dyDescent="0.2">
      <c r="A128" s="1" t="s">
        <v>283</v>
      </c>
      <c r="B128" s="4">
        <f>_xll.ciqfunctions.udf.CIQ(InputTicker, "IQ_PAYOUT_RATIO",Input!D$2,Date)</f>
        <v>37.126600000000003</v>
      </c>
      <c r="C128" s="4">
        <f>_xll.ciqfunctions.udf.CIQ(InputTicker, "IQ_PAYOUT_RATIO",Input!E$2,Date)</f>
        <v>44.272199999999998</v>
      </c>
      <c r="D128" s="4">
        <f>_xll.ciqfunctions.udf.CIQ(InputTicker, "IQ_PAYOUT_RATIO",Input!F$2,Date)</f>
        <v>95.706500000000005</v>
      </c>
      <c r="E128" s="4">
        <f>_xll.ciqfunctions.udf.CIQ(InputTicker, "IQ_PAYOUT_RATIO",Input!G$2,Date)</f>
        <v>64.917500000000004</v>
      </c>
      <c r="F128" s="4">
        <f>_xll.ciqfunctions.udf.CIQ(InputTicker, "IQ_PAYOUT_RATIO",Input!H$2,Date)</f>
        <v>60.513199999999998</v>
      </c>
      <c r="G128" s="4">
        <f>_xll.ciqfunctions.udf.CIQ(InputTicker, "IQ_PAYOUT_RATIO",Input!I$2,Date)</f>
        <v>103.703</v>
      </c>
      <c r="H128" s="4">
        <f>_xll.ciqfunctions.udf.CIQ(InputTicker, "IQ_PAYOUT_RATIO",Input!J$2,Date)</f>
        <v>102.1939</v>
      </c>
      <c r="I128" s="4">
        <f>_xll.ciqfunctions.udf.CIQ(InputTicker, "IQ_PAYOUT_RATIO",Input!K$2,Date)</f>
        <v>362.9042</v>
      </c>
      <c r="J128" s="4">
        <f>_xll.ciqfunctions.udf.CIQ(InputTicker, "IQ_PAYOUT_RATIO",Input!L$2,Date)</f>
        <v>80.511799999999994</v>
      </c>
      <c r="K128" s="4">
        <f>_xll.ciqfunctions.udf.CIQ(InputTicker, "IQ_PAYOUT_RATIO",Input!M$2,Date)</f>
        <v>102.0587</v>
      </c>
      <c r="L128" s="4">
        <f>_xll.ciqfunctions.udf.CIQ(InputTicker, "IQ_PAYOUT_RATIO",Input!N$2,Date)</f>
        <v>59.048400000000001</v>
      </c>
      <c r="M128" s="4">
        <f>_xll.ciqfunctions.udf.CIQ(InputTicker, "IQ_PAYOUT_RATIO",Input!O$2,Date)</f>
        <v>59.048400000000001</v>
      </c>
      <c r="N128" s="49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  <c r="BA128" s="42"/>
      <c r="BB128" s="42"/>
      <c r="BC128" s="42"/>
      <c r="BD128" s="42"/>
      <c r="BE128" s="42"/>
      <c r="BF128" s="42"/>
      <c r="BG128" s="42"/>
      <c r="BH128" s="42"/>
      <c r="BI128" s="42"/>
      <c r="BJ128" s="42"/>
      <c r="BK128" s="42"/>
      <c r="BL128" s="42"/>
      <c r="BM128" s="42"/>
      <c r="BN128" s="42"/>
    </row>
    <row r="129" spans="1:66" ht="12.75" customHeight="1" x14ac:dyDescent="0.2">
      <c r="A129" s="1" t="s">
        <v>407</v>
      </c>
      <c r="B129" s="4">
        <f>_xll.ciqfunctions.udf.CIQ(InputTicker, "IQ_DIC",Input!D$2,Date,,,Ccy,Conv)</f>
        <v>0</v>
      </c>
      <c r="C129" s="4">
        <f>_xll.ciqfunctions.udf.CIQ(InputTicker, "IQ_DIC",Input!E$2,Date,,,Ccy,Conv)</f>
        <v>0</v>
      </c>
      <c r="D129" s="4">
        <f>_xll.ciqfunctions.udf.CIQ(InputTicker, "IQ_DIC",Input!F$2,Date,,,Ccy,Conv)</f>
        <v>0</v>
      </c>
      <c r="E129" s="4">
        <f>_xll.ciqfunctions.udf.CIQ(InputTicker, "IQ_DIC",Input!G$2,Date,,,Ccy,Conv)</f>
        <v>0</v>
      </c>
      <c r="F129" s="4">
        <f>_xll.ciqfunctions.udf.CIQ(InputTicker, "IQ_DIC",Input!H$2,Date,,,Ccy,Conv)</f>
        <v>0</v>
      </c>
      <c r="G129" s="4">
        <f>_xll.ciqfunctions.udf.CIQ(InputTicker, "IQ_DIC",Input!I$2,Date,,,Ccy,Conv)</f>
        <v>0</v>
      </c>
      <c r="H129" s="4">
        <f>_xll.ciqfunctions.udf.CIQ(InputTicker, "IQ_DIC",Input!J$2,Date,,,Ccy,Conv)</f>
        <v>0</v>
      </c>
      <c r="I129" s="4">
        <f>_xll.ciqfunctions.udf.CIQ(InputTicker, "IQ_DIC",Input!K$2,Date,,,Ccy,Conv)</f>
        <v>0</v>
      </c>
      <c r="J129" s="4">
        <f>_xll.ciqfunctions.udf.CIQ(InputTicker, "IQ_DIC",Input!L$2,Date,,,Ccy,Conv)</f>
        <v>0</v>
      </c>
      <c r="K129" s="4">
        <f>_xll.ciqfunctions.udf.CIQ(InputTicker, "IQ_DIC",Input!M$2,Date,,,Ccy,Conv)</f>
        <v>0</v>
      </c>
      <c r="L129" s="4">
        <f>_xll.ciqfunctions.udf.CIQ(InputTicker, "IQ_DIC",Input!N$2,Date,,,Ccy,Conv)</f>
        <v>0</v>
      </c>
      <c r="M129" s="4">
        <f>_xll.ciqfunctions.udf.CIQ(InputTicker, "IQ_DIC",Input!O$2,Date,,,Ccy,Conv)</f>
        <v>0</v>
      </c>
      <c r="N129" s="49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  <c r="BA129" s="42"/>
      <c r="BB129" s="42"/>
      <c r="BC129" s="42"/>
      <c r="BD129" s="42"/>
      <c r="BE129" s="42"/>
      <c r="BF129" s="42"/>
      <c r="BG129" s="42"/>
      <c r="BH129" s="42"/>
      <c r="BI129" s="42"/>
      <c r="BJ129" s="42"/>
      <c r="BK129" s="42"/>
      <c r="BL129" s="42"/>
      <c r="BM129" s="42"/>
      <c r="BN129" s="42"/>
    </row>
    <row r="130" spans="1:66" ht="12.75" customHeight="1" x14ac:dyDescent="0.2">
      <c r="A130" s="1" t="s">
        <v>347</v>
      </c>
      <c r="B130" s="15" t="str">
        <f>_xll.ciqfunctions.udf.CIQ(InputTicker, "IQ_FILING_CURRENCY",Input!D$2,Date)</f>
        <v>USD</v>
      </c>
      <c r="C130" s="15" t="str">
        <f>_xll.ciqfunctions.udf.CIQ(InputTicker, "IQ_FILING_CURRENCY",Input!E$2,Date)</f>
        <v>USD</v>
      </c>
      <c r="D130" s="15" t="str">
        <f>_xll.ciqfunctions.udf.CIQ(InputTicker, "IQ_FILING_CURRENCY",Input!F$2,Date)</f>
        <v>USD</v>
      </c>
      <c r="E130" s="15" t="str">
        <f>_xll.ciqfunctions.udf.CIQ(InputTicker, "IQ_FILING_CURRENCY",Input!G$2,Date)</f>
        <v>USD</v>
      </c>
      <c r="F130" s="15" t="str">
        <f>_xll.ciqfunctions.udf.CIQ(InputTicker, "IQ_FILING_CURRENCY",Input!H$2,Date)</f>
        <v>USD</v>
      </c>
      <c r="G130" s="15" t="str">
        <f>_xll.ciqfunctions.udf.CIQ(InputTicker, "IQ_FILING_CURRENCY",Input!I$2,Date)</f>
        <v>USD</v>
      </c>
      <c r="H130" s="15" t="str">
        <f>_xll.ciqfunctions.udf.CIQ(InputTicker, "IQ_FILING_CURRENCY",Input!J$2,Date)</f>
        <v>USD</v>
      </c>
      <c r="I130" s="15" t="str">
        <f>_xll.ciqfunctions.udf.CIQ(InputTicker, "IQ_FILING_CURRENCY",Input!K$2,Date)</f>
        <v>USD</v>
      </c>
      <c r="J130" s="15" t="str">
        <f>_xll.ciqfunctions.udf.CIQ(InputTicker, "IQ_FILING_CURRENCY",Input!L$2,Date)</f>
        <v>USD</v>
      </c>
      <c r="K130" s="15" t="str">
        <f>_xll.ciqfunctions.udf.CIQ(InputTicker, "IQ_FILING_CURRENCY",Input!M$2,Date)</f>
        <v>USD</v>
      </c>
      <c r="L130" s="15" t="str">
        <f>_xll.ciqfunctions.udf.CIQ(InputTicker, "IQ_FILING_CURRENCY",Input!N$2,Date)</f>
        <v>USD</v>
      </c>
      <c r="M130" s="15" t="str">
        <f>_xll.ciqfunctions.udf.CIQ(InputTicker, "IQ_FILING_CURRENCY",Input!O$2,Date)</f>
        <v>USD</v>
      </c>
      <c r="N130" s="49"/>
      <c r="P130" s="51"/>
      <c r="Q130" s="51"/>
      <c r="R130" s="51"/>
      <c r="T130" s="42"/>
      <c r="U130" s="42"/>
      <c r="V130" s="51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  <c r="BA130" s="42"/>
      <c r="BB130" s="42"/>
      <c r="BC130" s="42"/>
      <c r="BD130" s="42"/>
      <c r="BE130" s="42"/>
      <c r="BF130" s="42"/>
      <c r="BG130" s="42"/>
      <c r="BH130" s="42"/>
      <c r="BI130" s="42"/>
      <c r="BJ130" s="42"/>
      <c r="BK130" s="42"/>
      <c r="BL130" s="42"/>
      <c r="BM130" s="42"/>
      <c r="BN130" s="42"/>
    </row>
    <row r="131" spans="1:66" ht="12.75" customHeight="1" x14ac:dyDescent="0.2">
      <c r="A131" s="1" t="s">
        <v>345</v>
      </c>
      <c r="B131" s="15" t="str">
        <f>_xll.ciqfunctions.udf.CIQ(InputTicker, "IQ_RESTATEMENT_IS",Input!D$2,Date)</f>
        <v>RC</v>
      </c>
      <c r="C131" s="15" t="str">
        <f>_xll.ciqfunctions.udf.CIQ(InputTicker, "IQ_RESTATEMENT_IS",Input!E$2,Date)</f>
        <v>RC</v>
      </c>
      <c r="D131" s="15" t="str">
        <f>_xll.ciqfunctions.udf.CIQ(InputTicker, "IQ_RESTATEMENT_IS",Input!F$2,Date)</f>
        <v>RC</v>
      </c>
      <c r="E131" s="15" t="str">
        <f>_xll.ciqfunctions.udf.CIQ(InputTicker, "IQ_RESTATEMENT_IS",Input!G$2,Date)</f>
        <v>RC</v>
      </c>
      <c r="F131" s="15" t="str">
        <f>_xll.ciqfunctions.udf.CIQ(InputTicker, "IQ_RESTATEMENT_IS",Input!H$2,Date)</f>
        <v>RD</v>
      </c>
      <c r="G131" s="15" t="str">
        <f>_xll.ciqfunctions.udf.CIQ(InputTicker, "IQ_RESTATEMENT_IS",Input!I$2,Date)</f>
        <v>RD</v>
      </c>
      <c r="H131" s="15" t="str">
        <f>_xll.ciqfunctions.udf.CIQ(InputTicker, "IQ_RESTATEMENT_IS",Input!J$2,Date)</f>
        <v>RC</v>
      </c>
      <c r="I131" s="15" t="str">
        <f>_xll.ciqfunctions.udf.CIQ(InputTicker, "IQ_RESTATEMENT_IS",Input!K$2,Date)</f>
        <v>RC</v>
      </c>
      <c r="J131" s="15" t="str">
        <f>_xll.ciqfunctions.udf.CIQ(InputTicker, "IQ_RESTATEMENT_IS",Input!L$2,Date)</f>
        <v>RC</v>
      </c>
      <c r="K131" s="15" t="str">
        <f>_xll.ciqfunctions.udf.CIQ(InputTicker, "IQ_RESTATEMENT_IS",Input!M$2,Date)</f>
        <v>NC</v>
      </c>
      <c r="L131" s="15" t="str">
        <f>_xll.ciqfunctions.udf.CIQ(InputTicker, "IQ_RESTATEMENT_IS",Input!N$2,Date)</f>
        <v>O</v>
      </c>
      <c r="M131" s="15" t="str">
        <f>_xll.ciqfunctions.udf.CIQ(InputTicker, "IQ_RESTATEMENT_IS",Input!O$2,Date)</f>
        <v>O</v>
      </c>
      <c r="N131" s="49"/>
      <c r="P131" s="51"/>
      <c r="Q131" s="51"/>
      <c r="R131" s="51"/>
      <c r="T131" s="42"/>
      <c r="U131" s="42"/>
      <c r="V131" s="51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  <c r="BA131" s="42"/>
      <c r="BB131" s="42"/>
      <c r="BC131" s="42"/>
      <c r="BD131" s="42"/>
      <c r="BE131" s="42"/>
      <c r="BF131" s="42"/>
      <c r="BG131" s="42"/>
      <c r="BH131" s="42"/>
      <c r="BI131" s="42"/>
      <c r="BJ131" s="42"/>
      <c r="BK131" s="42"/>
      <c r="BL131" s="42"/>
      <c r="BM131" s="42"/>
      <c r="BN131" s="42"/>
    </row>
    <row r="132" spans="1:66" ht="12.75" customHeight="1" x14ac:dyDescent="0.2">
      <c r="A132" s="1" t="s">
        <v>346</v>
      </c>
      <c r="B132" s="15" t="str">
        <f>_xll.ciqfunctions.udf.CIQ(InputTicker, "IQ_CALC_TYPE_IS",Input!D$2,Date)</f>
        <v>REP</v>
      </c>
      <c r="C132" s="15" t="str">
        <f>_xll.ciqfunctions.udf.CIQ(InputTicker, "IQ_CALC_TYPE_IS",Input!E$2,Date)</f>
        <v>REP</v>
      </c>
      <c r="D132" s="15" t="str">
        <f>_xll.ciqfunctions.udf.CIQ(InputTicker, "IQ_CALC_TYPE_IS",Input!F$2,Date)</f>
        <v>REP</v>
      </c>
      <c r="E132" s="15" t="str">
        <f>_xll.ciqfunctions.udf.CIQ(InputTicker, "IQ_CALC_TYPE_IS",Input!G$2,Date)</f>
        <v>REP</v>
      </c>
      <c r="F132" s="15" t="str">
        <f>_xll.ciqfunctions.udf.CIQ(InputTicker, "IQ_CALC_TYPE_IS",Input!H$2,Date)</f>
        <v>REP</v>
      </c>
      <c r="G132" s="15" t="str">
        <f>_xll.ciqfunctions.udf.CIQ(InputTicker, "IQ_CALC_TYPE_IS",Input!I$2,Date)</f>
        <v>REP</v>
      </c>
      <c r="H132" s="15" t="str">
        <f>_xll.ciqfunctions.udf.CIQ(InputTicker, "IQ_CALC_TYPE_IS",Input!J$2,Date)</f>
        <v>REP</v>
      </c>
      <c r="I132" s="15" t="str">
        <f>_xll.ciqfunctions.udf.CIQ(InputTicker, "IQ_CALC_TYPE_IS",Input!K$2,Date)</f>
        <v>REP</v>
      </c>
      <c r="J132" s="15" t="str">
        <f>_xll.ciqfunctions.udf.CIQ(InputTicker, "IQ_CALC_TYPE_IS",Input!L$2,Date)</f>
        <v>REP</v>
      </c>
      <c r="K132" s="15" t="str">
        <f>_xll.ciqfunctions.udf.CIQ(InputTicker, "IQ_CALC_TYPE_IS",Input!M$2,Date)</f>
        <v>REP</v>
      </c>
      <c r="L132" s="15" t="str">
        <f>_xll.ciqfunctions.udf.CIQ(InputTicker, "IQ_CALC_TYPE_IS",Input!N$2,Date)</f>
        <v>REP</v>
      </c>
      <c r="M132" s="15" t="str">
        <f>_xll.ciqfunctions.udf.CIQ(InputTicker, "IQ_CALC_TYPE_IS",Input!O$2,Date)</f>
        <v>REP</v>
      </c>
      <c r="N132" s="49"/>
      <c r="P132" s="51"/>
      <c r="Q132" s="51"/>
      <c r="R132" s="51"/>
      <c r="T132" s="42"/>
      <c r="U132" s="42"/>
      <c r="V132" s="51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  <c r="BA132" s="42"/>
      <c r="BB132" s="42"/>
      <c r="BC132" s="42"/>
      <c r="BD132" s="42"/>
      <c r="BE132" s="42"/>
      <c r="BF132" s="42"/>
      <c r="BG132" s="42"/>
      <c r="BH132" s="42"/>
      <c r="BI132" s="42"/>
      <c r="BJ132" s="42"/>
      <c r="BK132" s="42"/>
      <c r="BL132" s="42"/>
      <c r="BM132" s="42"/>
      <c r="BN132" s="42"/>
    </row>
    <row r="133" spans="1:66" ht="12.75" customHeight="1" x14ac:dyDescent="0.2">
      <c r="A133" s="1" t="s">
        <v>376</v>
      </c>
      <c r="B133" s="15" t="str">
        <f>_xll.ciqfunctions.udf.CIQ(InputTicker, "IQ_GAAP_IS",Input!D$2,Date)</f>
        <v>US GAAP</v>
      </c>
      <c r="C133" s="15" t="str">
        <f>_xll.ciqfunctions.udf.CIQ(InputTicker, "IQ_GAAP_IS",Input!E$2,Date)</f>
        <v>US GAAP</v>
      </c>
      <c r="D133" s="15" t="str">
        <f>_xll.ciqfunctions.udf.CIQ(InputTicker, "IQ_GAAP_IS",Input!F$2,Date)</f>
        <v>US GAAP</v>
      </c>
      <c r="E133" s="15" t="str">
        <f>_xll.ciqfunctions.udf.CIQ(InputTicker, "IQ_GAAP_IS",Input!G$2,Date)</f>
        <v>US GAAP</v>
      </c>
      <c r="F133" s="15" t="str">
        <f>_xll.ciqfunctions.udf.CIQ(InputTicker, "IQ_GAAP_IS",Input!H$2,Date)</f>
        <v>US GAAP</v>
      </c>
      <c r="G133" s="15" t="str">
        <f>_xll.ciqfunctions.udf.CIQ(InputTicker, "IQ_GAAP_IS",Input!I$2,Date)</f>
        <v>US GAAP</v>
      </c>
      <c r="H133" s="15" t="str">
        <f>_xll.ciqfunctions.udf.CIQ(InputTicker, "IQ_GAAP_IS",Input!J$2,Date)</f>
        <v>US GAAP</v>
      </c>
      <c r="I133" s="15" t="str">
        <f>_xll.ciqfunctions.udf.CIQ(InputTicker, "IQ_GAAP_IS",Input!K$2,Date)</f>
        <v>US GAAP</v>
      </c>
      <c r="J133" s="15" t="str">
        <f>_xll.ciqfunctions.udf.CIQ(InputTicker, "IQ_GAAP_IS",Input!L$2,Date)</f>
        <v>US GAAP</v>
      </c>
      <c r="K133" s="15" t="str">
        <f>_xll.ciqfunctions.udf.CIQ(InputTicker, "IQ_GAAP_IS",Input!M$2,Date)</f>
        <v>US GAAP</v>
      </c>
      <c r="L133" s="15" t="str">
        <f>_xll.ciqfunctions.udf.CIQ(InputTicker, "IQ_GAAP_IS",Input!N$2,Date)</f>
        <v>US GAAP</v>
      </c>
      <c r="M133" s="15" t="str">
        <f>_xll.ciqfunctions.udf.CIQ(InputTicker, "IQ_GAAP_IS",Input!O$2,Date)</f>
        <v>US GAAP</v>
      </c>
      <c r="N133" s="42"/>
      <c r="P133" s="51"/>
      <c r="Q133" s="51"/>
      <c r="R133" s="51"/>
      <c r="T133" s="42"/>
      <c r="U133" s="42"/>
      <c r="V133" s="51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  <c r="BA133" s="42"/>
      <c r="BB133" s="42"/>
      <c r="BC133" s="42"/>
      <c r="BD133" s="42"/>
      <c r="BE133" s="42"/>
      <c r="BF133" s="42"/>
      <c r="BG133" s="42"/>
      <c r="BH133" s="42"/>
      <c r="BI133" s="42"/>
      <c r="BJ133" s="42"/>
      <c r="BK133" s="42"/>
      <c r="BL133" s="42"/>
      <c r="BM133" s="42"/>
      <c r="BN133" s="42"/>
    </row>
    <row r="134" spans="1:66" ht="12.75" customHeight="1" x14ac:dyDescent="0.2">
      <c r="A134" s="1" t="s">
        <v>366</v>
      </c>
      <c r="B134" s="4">
        <f>_xll.ciqfunctions.udf.CIQ(InputTicker,"IQ_ADVERTISING",Input!D$2,Date,,,Ccy,Conv)</f>
        <v>1290</v>
      </c>
      <c r="C134" s="4">
        <f>_xll.ciqfunctions.udf.CIQ(InputTicker,"IQ_ADVERTISING",Input!E$2,Date,,,Ccy,Conv)</f>
        <v>1327</v>
      </c>
      <c r="D134" s="4">
        <f>_xll.ciqfunctions.udf.CIQ(InputTicker,"IQ_ADVERTISING",Input!F$2,Date,,,Ccy,Conv)</f>
        <v>1445</v>
      </c>
      <c r="E134" s="4">
        <f>_xll.ciqfunctions.udf.CIQ(InputTicker,"IQ_ADVERTISING",Input!G$2,Date,,,Ccy,Conv)</f>
        <v>1466</v>
      </c>
      <c r="F134" s="4">
        <f>_xll.ciqfunctions.udf.CIQ(InputTicker,"IQ_ADVERTISING",Input!H$2,Date,,,Ccy,Conv)</f>
        <v>1509</v>
      </c>
      <c r="G134" s="4">
        <f>_xll.ciqfunctions.udf.CIQ(InputTicker,"IQ_ADVERTISING",Input!I$2,Date,,,Ccy,Conv)</f>
        <v>1509</v>
      </c>
      <c r="H134" s="4">
        <f>_xll.ciqfunctions.udf.CIQ(InputTicker,"IQ_ADVERTISING",Input!J$2,Date,,,Ccy,Conv)</f>
        <v>1413</v>
      </c>
      <c r="I134" s="4">
        <f>_xll.ciqfunctions.udf.CIQ(InputTicker,"IQ_ADVERTISING",Input!K$2,Date,,,Ccy,Conv)</f>
        <v>1330</v>
      </c>
      <c r="J134" s="4">
        <f>_xll.ciqfunctions.udf.CIQ(InputTicker,"IQ_ADVERTISING",Input!L$2,Date,,,Ccy,Conv)</f>
        <v>1237</v>
      </c>
      <c r="K134" s="4">
        <f>_xll.ciqfunctions.udf.CIQ(InputTicker,"IQ_ADVERTISING",Input!M$2,Date,,,Ccy,Conv)</f>
        <v>1173</v>
      </c>
      <c r="L134" s="4">
        <f>_xll.ciqfunctions.udf.CIQ(InputTicker,"IQ_ADVERTISING",Input!N$2,Date,,,Ccy,Conv)</f>
        <v>1129</v>
      </c>
      <c r="M134" s="4">
        <f>_xll.ciqfunctions.udf.CIQ(InputTicker,"IQ_ADVERTISING",Input!O$2,Date,,,Ccy,Conv)</f>
        <v>1129</v>
      </c>
      <c r="N134" s="49"/>
      <c r="P134" s="51"/>
      <c r="Q134" s="51"/>
      <c r="R134" s="51"/>
      <c r="T134" s="42"/>
      <c r="U134" s="42"/>
      <c r="V134" s="51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  <c r="BA134" s="42"/>
      <c r="BB134" s="42"/>
      <c r="BC134" s="42"/>
      <c r="BD134" s="42"/>
      <c r="BE134" s="42"/>
      <c r="BF134" s="42"/>
      <c r="BG134" s="42"/>
      <c r="BH134" s="42"/>
      <c r="BI134" s="42"/>
      <c r="BJ134" s="42"/>
      <c r="BK134" s="42"/>
      <c r="BL134" s="42"/>
      <c r="BM134" s="42"/>
      <c r="BN134" s="42"/>
    </row>
    <row r="135" spans="1:66" ht="12.75" customHeight="1" x14ac:dyDescent="0.2">
      <c r="A135" s="1" t="s">
        <v>330</v>
      </c>
      <c r="B135" s="4">
        <f>_xll.ciqfunctions.udf.CIQ(InputTicker,"IQ_MARKETING",Input!D$2,Date,,,Ccy,Conv)</f>
        <v>0</v>
      </c>
      <c r="C135" s="4">
        <f>_xll.ciqfunctions.udf.CIQ(InputTicker,"IQ_MARKETING",Input!E$2,Date,,,Ccy,Conv)</f>
        <v>0</v>
      </c>
      <c r="D135" s="4">
        <f>_xll.ciqfunctions.udf.CIQ(InputTicker,"IQ_MARKETING",Input!F$2,Date,,,Ccy,Conv)</f>
        <v>0</v>
      </c>
      <c r="E135" s="4">
        <f>_xll.ciqfunctions.udf.CIQ(InputTicker,"IQ_MARKETING",Input!G$2,Date,,,Ccy,Conv)</f>
        <v>0</v>
      </c>
      <c r="F135" s="4">
        <f>_xll.ciqfunctions.udf.CIQ(InputTicker,"IQ_MARKETING",Input!H$2,Date,,,Ccy,Conv)</f>
        <v>0</v>
      </c>
      <c r="G135" s="4">
        <f>_xll.ciqfunctions.udf.CIQ(InputTicker,"IQ_MARKETING",Input!I$2,Date,,,Ccy,Conv)</f>
        <v>0</v>
      </c>
      <c r="H135" s="4">
        <f>_xll.ciqfunctions.udf.CIQ(InputTicker,"IQ_MARKETING",Input!J$2,Date,,,Ccy,Conv)</f>
        <v>0</v>
      </c>
      <c r="I135" s="4">
        <f>_xll.ciqfunctions.udf.CIQ(InputTicker,"IQ_MARKETING",Input!K$2,Date,,,Ccy,Conv)</f>
        <v>0</v>
      </c>
      <c r="J135" s="4">
        <f>_xll.ciqfunctions.udf.CIQ(InputTicker,"IQ_MARKETING",Input!L$2,Date,,,Ccy,Conv)</f>
        <v>0</v>
      </c>
      <c r="K135" s="4">
        <f>_xll.ciqfunctions.udf.CIQ(InputTicker,"IQ_MARKETING",Input!M$2,Date,,,Ccy,Conv)</f>
        <v>0</v>
      </c>
      <c r="L135" s="4">
        <f>_xll.ciqfunctions.udf.CIQ(InputTicker,"IQ_MARKETING",Input!N$2,Date,,,Ccy,Conv)</f>
        <v>0</v>
      </c>
      <c r="M135" s="4">
        <f>_xll.ciqfunctions.udf.CIQ(InputTicker,"IQ_MARKETING",Input!O$2,Date,,,Ccy,Conv)</f>
        <v>0</v>
      </c>
      <c r="N135" s="49"/>
      <c r="P135" s="51"/>
      <c r="Q135" s="51"/>
      <c r="R135" s="51"/>
      <c r="T135" s="42"/>
      <c r="U135" s="42"/>
      <c r="V135" s="51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  <c r="BA135" s="42"/>
      <c r="BB135" s="42"/>
      <c r="BC135" s="42"/>
      <c r="BD135" s="42"/>
      <c r="BE135" s="42"/>
      <c r="BF135" s="42"/>
      <c r="BG135" s="42"/>
      <c r="BH135" s="42"/>
      <c r="BI135" s="42"/>
      <c r="BJ135" s="42"/>
      <c r="BK135" s="42"/>
      <c r="BL135" s="42"/>
      <c r="BM135" s="42"/>
      <c r="BN135" s="42"/>
    </row>
    <row r="136" spans="1:66" ht="12.75" customHeight="1" x14ac:dyDescent="0.2">
      <c r="A136" s="1" t="s">
        <v>331</v>
      </c>
      <c r="B136" s="4">
        <f>_xll.ciqfunctions.udf.CIQ(InputTicker,"IQ_SALES_MARKETING",Input!D$2,Date,,,Ccy,Conv)</f>
        <v>1290</v>
      </c>
      <c r="C136" s="4">
        <f>_xll.ciqfunctions.udf.CIQ(InputTicker,"IQ_SALES_MARKETING",Input!E$2,Date,,,Ccy,Conv)</f>
        <v>1327</v>
      </c>
      <c r="D136" s="4">
        <f>_xll.ciqfunctions.udf.CIQ(InputTicker,"IQ_SALES_MARKETING",Input!F$2,Date,,,Ccy,Conv)</f>
        <v>1445</v>
      </c>
      <c r="E136" s="4">
        <f>_xll.ciqfunctions.udf.CIQ(InputTicker,"IQ_SALES_MARKETING",Input!G$2,Date,,,Ccy,Conv)</f>
        <v>1466</v>
      </c>
      <c r="F136" s="4">
        <f>_xll.ciqfunctions.udf.CIQ(InputTicker,"IQ_SALES_MARKETING",Input!H$2,Date,,,Ccy,Conv)</f>
        <v>1509</v>
      </c>
      <c r="G136" s="4">
        <f>_xll.ciqfunctions.udf.CIQ(InputTicker,"IQ_SALES_MARKETING",Input!I$2,Date,,,Ccy,Conv)</f>
        <v>1509</v>
      </c>
      <c r="H136" s="4">
        <f>_xll.ciqfunctions.udf.CIQ(InputTicker,"IQ_SALES_MARKETING",Input!J$2,Date,,,Ccy,Conv)</f>
        <v>1413</v>
      </c>
      <c r="I136" s="4">
        <f>_xll.ciqfunctions.udf.CIQ(InputTicker,"IQ_SALES_MARKETING",Input!K$2,Date,,,Ccy,Conv)</f>
        <v>1330</v>
      </c>
      <c r="J136" s="4">
        <f>_xll.ciqfunctions.udf.CIQ(InputTicker,"IQ_SALES_MARKETING",Input!L$2,Date,,,Ccy,Conv)</f>
        <v>1237</v>
      </c>
      <c r="K136" s="4">
        <f>_xll.ciqfunctions.udf.CIQ(InputTicker,"IQ_SALES_MARKETING",Input!M$2,Date,,,Ccy,Conv)</f>
        <v>1173</v>
      </c>
      <c r="L136" s="4">
        <f>_xll.ciqfunctions.udf.CIQ(InputTicker,"IQ_SALES_MARKETING",Input!N$2,Date,,,Ccy,Conv)</f>
        <v>1129</v>
      </c>
      <c r="M136" s="4">
        <f>_xll.ciqfunctions.udf.CIQ(InputTicker,"IQ_SALES_MARKETING",Input!O$2,Date,,,Ccy,Conv)</f>
        <v>1129</v>
      </c>
      <c r="N136" s="49"/>
      <c r="P136" s="51"/>
      <c r="Q136" s="51"/>
      <c r="R136" s="51"/>
      <c r="T136" s="42"/>
      <c r="U136" s="42"/>
      <c r="V136" s="51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  <c r="BA136" s="42"/>
      <c r="BB136" s="42"/>
      <c r="BC136" s="42"/>
      <c r="BD136" s="42"/>
      <c r="BE136" s="42"/>
      <c r="BF136" s="42"/>
      <c r="BG136" s="42"/>
      <c r="BH136" s="42"/>
      <c r="BI136" s="42"/>
      <c r="BJ136" s="42"/>
      <c r="BK136" s="42"/>
      <c r="BL136" s="42"/>
      <c r="BM136" s="42"/>
      <c r="BN136" s="42"/>
    </row>
    <row r="137" spans="1:66" ht="12.75" customHeight="1" x14ac:dyDescent="0.2">
      <c r="A137" s="1" t="s">
        <v>332</v>
      </c>
      <c r="B137" s="4">
        <f>_xll.ciqfunctions.udf.CIQ(InputTicker,"IQ_GA_EXP",Input!D$2,Date,,,Ccy,Conv)</f>
        <v>0</v>
      </c>
      <c r="C137" s="4">
        <f>_xll.ciqfunctions.udf.CIQ(InputTicker,"IQ_GA_EXP",Input!E$2,Date,,,Ccy,Conv)</f>
        <v>0</v>
      </c>
      <c r="D137" s="4">
        <f>_xll.ciqfunctions.udf.CIQ(InputTicker,"IQ_GA_EXP",Input!F$2,Date,,,Ccy,Conv)</f>
        <v>0</v>
      </c>
      <c r="E137" s="4">
        <f>_xll.ciqfunctions.udf.CIQ(InputTicker,"IQ_GA_EXP",Input!G$2,Date,,,Ccy,Conv)</f>
        <v>0</v>
      </c>
      <c r="F137" s="4">
        <f>_xll.ciqfunctions.udf.CIQ(InputTicker,"IQ_GA_EXP",Input!H$2,Date,,,Ccy,Conv)</f>
        <v>0</v>
      </c>
      <c r="G137" s="4">
        <f>_xll.ciqfunctions.udf.CIQ(InputTicker,"IQ_GA_EXP",Input!I$2,Date,,,Ccy,Conv)</f>
        <v>0</v>
      </c>
      <c r="H137" s="4">
        <f>_xll.ciqfunctions.udf.CIQ(InputTicker,"IQ_GA_EXP",Input!J$2,Date,,,Ccy,Conv)</f>
        <v>0</v>
      </c>
      <c r="I137" s="4">
        <f>_xll.ciqfunctions.udf.CIQ(InputTicker,"IQ_GA_EXP",Input!K$2,Date,,,Ccy,Conv)</f>
        <v>0</v>
      </c>
      <c r="J137" s="4">
        <f>_xll.ciqfunctions.udf.CIQ(InputTicker,"IQ_GA_EXP",Input!L$2,Date,,,Ccy,Conv)</f>
        <v>0</v>
      </c>
      <c r="K137" s="4">
        <f>_xll.ciqfunctions.udf.CIQ(InputTicker,"IQ_GA_EXP",Input!M$2,Date,,,Ccy,Conv)</f>
        <v>0</v>
      </c>
      <c r="L137" s="4">
        <f>_xll.ciqfunctions.udf.CIQ(InputTicker,"IQ_GA_EXP",Input!N$2,Date,,,Ccy,Conv)</f>
        <v>0</v>
      </c>
      <c r="M137" s="4">
        <f>_xll.ciqfunctions.udf.CIQ(InputTicker,"IQ_GA_EXP",Input!O$2,Date,,,Ccy,Conv)</f>
        <v>0</v>
      </c>
      <c r="N137" s="49"/>
      <c r="P137" s="51"/>
      <c r="Q137" s="51"/>
      <c r="R137" s="51"/>
      <c r="T137" s="42"/>
      <c r="U137" s="42"/>
      <c r="V137" s="51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  <c r="BA137" s="42"/>
      <c r="BB137" s="42"/>
      <c r="BC137" s="42"/>
      <c r="BD137" s="42"/>
      <c r="BE137" s="42"/>
      <c r="BF137" s="42"/>
      <c r="BG137" s="42"/>
      <c r="BH137" s="42"/>
      <c r="BI137" s="42"/>
      <c r="BJ137" s="42"/>
      <c r="BK137" s="42"/>
      <c r="BL137" s="42"/>
      <c r="BM137" s="42"/>
      <c r="BN137" s="42"/>
    </row>
    <row r="138" spans="1:66" ht="12.75" customHeight="1" x14ac:dyDescent="0.2">
      <c r="A138" s="1" t="s">
        <v>369</v>
      </c>
      <c r="B138" s="4">
        <f>_xll.ciqfunctions.udf.CIQ(InputTicker, "IQ_RD_EXP_FN",Input!D$2,Date,,,Ccy,Conv)</f>
        <v>5247</v>
      </c>
      <c r="C138" s="4">
        <f>_xll.ciqfunctions.udf.CIQ(InputTicker, "IQ_RD_EXP_FN",Input!E$2,Date,,,Ccy,Conv)</f>
        <v>5726</v>
      </c>
      <c r="D138" s="4">
        <f>_xll.ciqfunctions.udf.CIQ(InputTicker, "IQ_RD_EXP_FN",Input!F$2,Date,,,Ccy,Conv)</f>
        <v>5590</v>
      </c>
      <c r="E138" s="4">
        <f>_xll.ciqfunctions.udf.CIQ(InputTicker, "IQ_RD_EXP_FN",Input!G$2,Date,,,Ccy,Conv)</f>
        <v>5379</v>
      </c>
      <c r="F138" s="4">
        <f>_xll.ciqfunctions.udf.CIQ(InputTicker, "IQ_RD_EXP_FN",Input!H$2,Date,,,Ccy,Conv)</f>
        <v>5910</v>
      </c>
      <c r="G138" s="4">
        <f>_xll.ciqfunctions.udf.CIQ(InputTicker, "IQ_RD_EXP_FN",Input!I$2,Date,,,Ccy,Conv)</f>
        <v>6262</v>
      </c>
      <c r="H138" s="4">
        <f>_xll.ciqfunctions.udf.CIQ(InputTicker, "IQ_RD_EXP_FN",Input!J$2,Date,,,Ccy,Conv)</f>
        <v>6488</v>
      </c>
      <c r="I138" s="4">
        <f>_xll.ciqfunctions.udf.CIQ(InputTicker, "IQ_RD_EXP_FN",Input!K$2,Date,,,Ccy,Conv)</f>
        <v>6567</v>
      </c>
      <c r="J138" s="4">
        <f>_xll.ciqfunctions.udf.CIQ(InputTicker, "IQ_RD_EXP_FN",Input!L$2,Date,,,Ccy,Conv)</f>
        <v>6775</v>
      </c>
      <c r="K138" s="4">
        <f>_xll.ciqfunctions.udf.CIQ(InputTicker, "IQ_RD_EXP_FN",Input!M$2,Date,,,Ccy,Conv)</f>
        <v>7479</v>
      </c>
      <c r="L138" s="4">
        <f>_xll.ciqfunctions.udf.CIQ(InputTicker, "IQ_RD_EXP_FN",Input!N$2,Date,,,Ccy,Conv)</f>
        <v>8312</v>
      </c>
      <c r="M138" s="4">
        <f>_xll.ciqfunctions.udf.CIQ(InputTicker, "IQ_RD_EXP_FN",Input!O$2,Date,,,Ccy,Conv)</f>
        <v>8312</v>
      </c>
      <c r="N138" s="49"/>
      <c r="P138" s="51"/>
      <c r="Q138" s="51"/>
      <c r="R138" s="51"/>
      <c r="T138" s="42"/>
      <c r="U138" s="42"/>
      <c r="V138" s="51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  <c r="BA138" s="42"/>
      <c r="BB138" s="42"/>
      <c r="BC138" s="42"/>
      <c r="BD138" s="42"/>
      <c r="BE138" s="42"/>
      <c r="BF138" s="42"/>
      <c r="BG138" s="42"/>
      <c r="BH138" s="42"/>
      <c r="BI138" s="42"/>
      <c r="BJ138" s="42"/>
      <c r="BK138" s="42"/>
      <c r="BL138" s="42"/>
      <c r="BM138" s="42"/>
      <c r="BN138" s="42"/>
    </row>
    <row r="139" spans="1:66" ht="12.75" customHeight="1" x14ac:dyDescent="0.2">
      <c r="A139" s="1" t="s">
        <v>36</v>
      </c>
      <c r="B139" s="4">
        <f>_xll.ciqfunctions.udf.CIQ(InputTicker, "IQ_NET_RENTAL_EXP_FN",Input!D$2,Date,,,Ccy,Conv)</f>
        <v>1445</v>
      </c>
      <c r="C139" s="4">
        <f>_xll.ciqfunctions.udf.CIQ(InputTicker, "IQ_NET_RENTAL_EXP_FN",Input!E$2,Date,,,Ccy,Conv)</f>
        <v>0</v>
      </c>
      <c r="D139" s="4">
        <f>_xll.ciqfunctions.udf.CIQ(InputTicker, "IQ_NET_RENTAL_EXP_FN",Input!F$2,Date,,,Ccy,Conv)</f>
        <v>0</v>
      </c>
      <c r="E139" s="4">
        <f>_xll.ciqfunctions.udf.CIQ(InputTicker, "IQ_NET_RENTAL_EXP_FN",Input!G$2,Date,,,Ccy,Conv)</f>
        <v>0</v>
      </c>
      <c r="F139" s="4">
        <f>_xll.ciqfunctions.udf.CIQ(InputTicker, "IQ_NET_RENTAL_EXP_FN",Input!H$2,Date,,,Ccy,Conv)</f>
        <v>1623</v>
      </c>
      <c r="G139" s="4">
        <f>_xll.ciqfunctions.udf.CIQ(InputTicker, "IQ_NET_RENTAL_EXP_FN",Input!I$2,Date,,,Ccy,Conv)</f>
        <v>1524</v>
      </c>
      <c r="H139" s="4">
        <f>_xll.ciqfunctions.udf.CIQ(InputTicker, "IQ_NET_RENTAL_EXP_FN",Input!J$2,Date,,,Ccy,Conv)</f>
        <v>1437</v>
      </c>
      <c r="I139" s="4">
        <f>_xll.ciqfunctions.udf.CIQ(InputTicker, "IQ_NET_RENTAL_EXP_FN",Input!K$2,Date,,,Ccy,Conv)</f>
        <v>1247</v>
      </c>
      <c r="J139" s="4">
        <f>_xll.ciqfunctions.udf.CIQ(InputTicker, "IQ_NET_RENTAL_EXP_FN",Input!L$2,Date,,,Ccy,Conv)</f>
        <v>1292</v>
      </c>
      <c r="K139" s="4">
        <f>_xll.ciqfunctions.udf.CIQ(InputTicker, "IQ_NET_RENTAL_EXP_FN",Input!M$2,Date,,,Ccy,Conv)</f>
        <v>1309</v>
      </c>
      <c r="L139" s="4">
        <f>_xll.ciqfunctions.udf.CIQ(InputTicker, "IQ_NET_RENTAL_EXP_FN",Input!N$2,Date,,,Ccy,Conv)</f>
        <v>1308</v>
      </c>
      <c r="M139" s="4">
        <f>_xll.ciqfunctions.udf.CIQ(InputTicker, "IQ_NET_RENTAL_EXP_FN",Input!O$2,Date,,,Ccy,Conv)</f>
        <v>1308</v>
      </c>
      <c r="N139" s="49"/>
      <c r="P139" s="51"/>
      <c r="Q139" s="51"/>
      <c r="R139" s="51"/>
      <c r="T139" s="42"/>
      <c r="U139" s="42"/>
      <c r="V139" s="51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  <c r="BA139" s="42"/>
      <c r="BB139" s="42"/>
      <c r="BC139" s="42"/>
      <c r="BD139" s="42"/>
      <c r="BE139" s="42"/>
      <c r="BF139" s="42"/>
      <c r="BG139" s="42"/>
      <c r="BH139" s="42"/>
      <c r="BI139" s="42"/>
      <c r="BJ139" s="42"/>
      <c r="BK139" s="42"/>
      <c r="BL139" s="42"/>
      <c r="BM139" s="42"/>
      <c r="BN139" s="42"/>
    </row>
    <row r="140" spans="1:66" ht="12.75" customHeight="1" x14ac:dyDescent="0.2">
      <c r="A140" s="1" t="s">
        <v>37</v>
      </c>
      <c r="B140" s="4">
        <f>_xll.ciqfunctions.udf.CIQ(InputTicker, "IQ_NET_RENTAL_EXP",Input!D$2,Date,,,Ccy,Conv)</f>
        <v>1445</v>
      </c>
      <c r="C140" s="4">
        <f>_xll.ciqfunctions.udf.CIQ(InputTicker, "IQ_NET_RENTAL_EXP",Input!E$2,Date,,,Ccy,Conv)</f>
        <v>0</v>
      </c>
      <c r="D140" s="4">
        <f>_xll.ciqfunctions.udf.CIQ(InputTicker, "IQ_NET_RENTAL_EXP",Input!F$2,Date,,,Ccy,Conv)</f>
        <v>0</v>
      </c>
      <c r="E140" s="4">
        <f>_xll.ciqfunctions.udf.CIQ(InputTicker, "IQ_NET_RENTAL_EXP",Input!G$2,Date,,,Ccy,Conv)</f>
        <v>0</v>
      </c>
      <c r="F140" s="4">
        <f>_xll.ciqfunctions.udf.CIQ(InputTicker, "IQ_NET_RENTAL_EXP",Input!H$2,Date,,,Ccy,Conv)</f>
        <v>0</v>
      </c>
      <c r="G140" s="4">
        <f>_xll.ciqfunctions.udf.CIQ(InputTicker, "IQ_NET_RENTAL_EXP",Input!I$2,Date,,,Ccy,Conv)</f>
        <v>0</v>
      </c>
      <c r="H140" s="4">
        <f>_xll.ciqfunctions.udf.CIQ(InputTicker, "IQ_NET_RENTAL_EXP",Input!J$2,Date,,,Ccy,Conv)</f>
        <v>0</v>
      </c>
      <c r="I140" s="4">
        <f>_xll.ciqfunctions.udf.CIQ(InputTicker, "IQ_NET_RENTAL_EXP",Input!K$2,Date,,,Ccy,Conv)</f>
        <v>0</v>
      </c>
      <c r="J140" s="4">
        <f>_xll.ciqfunctions.udf.CIQ(InputTicker, "IQ_NET_RENTAL_EXP",Input!L$2,Date,,,Ccy,Conv)</f>
        <v>0</v>
      </c>
      <c r="K140" s="4">
        <f>_xll.ciqfunctions.udf.CIQ(InputTicker, "IQ_NET_RENTAL_EXP",Input!M$2,Date,,,Ccy,Conv)</f>
        <v>0</v>
      </c>
      <c r="L140" s="4">
        <f>_xll.ciqfunctions.udf.CIQ(InputTicker, "IQ_NET_RENTAL_EXP",Input!N$2,Date,,,Ccy,Conv)</f>
        <v>0</v>
      </c>
      <c r="M140" s="4">
        <f>_xll.ciqfunctions.udf.CIQ(InputTicker, "IQ_NET_RENTAL_EXP",Input!O$2,Date,,,Ccy,Conv)</f>
        <v>0</v>
      </c>
      <c r="N140" s="49"/>
      <c r="P140" s="51"/>
      <c r="Q140" s="51"/>
      <c r="R140" s="51"/>
      <c r="T140" s="42"/>
      <c r="U140" s="42"/>
      <c r="V140" s="51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  <c r="BA140" s="42"/>
      <c r="BB140" s="42"/>
      <c r="BC140" s="42"/>
      <c r="BD140" s="42"/>
      <c r="BE140" s="42"/>
      <c r="BF140" s="42"/>
      <c r="BG140" s="42"/>
      <c r="BH140" s="42"/>
      <c r="BI140" s="42"/>
      <c r="BJ140" s="42"/>
      <c r="BK140" s="42"/>
      <c r="BL140" s="42"/>
      <c r="BM140" s="42"/>
      <c r="BN140" s="42"/>
    </row>
    <row r="141" spans="1:66" ht="12.75" customHeight="1" x14ac:dyDescent="0.2">
      <c r="A141" s="1" t="s">
        <v>38</v>
      </c>
      <c r="B141" s="4">
        <f>_xll.ciqfunctions.udf.CIQ(InputTicker, "IQ_NET_RENTAL_EXP_SUPPLE",Input!D$2,Date,,,Ccy,Conv)</f>
        <v>0</v>
      </c>
      <c r="C141" s="4">
        <f>_xll.ciqfunctions.udf.CIQ(InputTicker, "IQ_NET_RENTAL_EXP_SUPPLE",Input!E$2,Date,,,Ccy,Conv)</f>
        <v>0</v>
      </c>
      <c r="D141" s="4">
        <f>_xll.ciqfunctions.udf.CIQ(InputTicker, "IQ_NET_RENTAL_EXP_SUPPLE",Input!F$2,Date,,,Ccy,Conv)</f>
        <v>0</v>
      </c>
      <c r="E141" s="4">
        <f>_xll.ciqfunctions.udf.CIQ(InputTicker, "IQ_NET_RENTAL_EXP_SUPPLE",Input!G$2,Date,,,Ccy,Conv)</f>
        <v>0</v>
      </c>
      <c r="F141" s="4">
        <f>_xll.ciqfunctions.udf.CIQ(InputTicker, "IQ_NET_RENTAL_EXP_SUPPLE",Input!H$2,Date,,,Ccy,Conv)</f>
        <v>1623</v>
      </c>
      <c r="G141" s="4">
        <f>_xll.ciqfunctions.udf.CIQ(InputTicker, "IQ_NET_RENTAL_EXP_SUPPLE",Input!I$2,Date,,,Ccy,Conv)</f>
        <v>1524</v>
      </c>
      <c r="H141" s="4">
        <f>_xll.ciqfunctions.udf.CIQ(InputTicker, "IQ_NET_RENTAL_EXP_SUPPLE",Input!J$2,Date,,,Ccy,Conv)</f>
        <v>1437</v>
      </c>
      <c r="I141" s="4">
        <f>_xll.ciqfunctions.udf.CIQ(InputTicker, "IQ_NET_RENTAL_EXP_SUPPLE",Input!K$2,Date,,,Ccy,Conv)</f>
        <v>1247</v>
      </c>
      <c r="J141" s="4">
        <f>_xll.ciqfunctions.udf.CIQ(InputTicker, "IQ_NET_RENTAL_EXP_SUPPLE",Input!L$2,Date,,,Ccy,Conv)</f>
        <v>1292</v>
      </c>
      <c r="K141" s="4">
        <f>_xll.ciqfunctions.udf.CIQ(InputTicker, "IQ_NET_RENTAL_EXP_SUPPLE",Input!M$2,Date,,,Ccy,Conv)</f>
        <v>1309</v>
      </c>
      <c r="L141" s="4">
        <f>_xll.ciqfunctions.udf.CIQ(InputTicker, "IQ_NET_RENTAL_EXP_SUPPLE",Input!N$2,Date,,,Ccy,Conv)</f>
        <v>1308</v>
      </c>
      <c r="M141" s="4">
        <f>_xll.ciqfunctions.udf.CIQ(InputTicker, "IQ_NET_RENTAL_EXP_SUPPLE",Input!O$2,Date,,,Ccy,Conv)</f>
        <v>1308</v>
      </c>
      <c r="N141" s="49"/>
      <c r="P141" s="51"/>
      <c r="Q141" s="51"/>
      <c r="R141" s="51"/>
      <c r="T141" s="42"/>
      <c r="U141" s="42"/>
      <c r="V141" s="51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  <c r="BA141" s="42"/>
      <c r="BB141" s="42"/>
      <c r="BC141" s="42"/>
      <c r="BD141" s="42"/>
      <c r="BE141" s="42"/>
      <c r="BF141" s="42"/>
      <c r="BG141" s="42"/>
      <c r="BH141" s="42"/>
      <c r="BI141" s="42"/>
      <c r="BJ141" s="42"/>
      <c r="BK141" s="42"/>
      <c r="BL141" s="42"/>
      <c r="BM141" s="42"/>
      <c r="BN141" s="42"/>
    </row>
    <row r="142" spans="1:66" ht="12.75" customHeight="1" x14ac:dyDescent="0.2">
      <c r="A142" s="1" t="s">
        <v>7</v>
      </c>
      <c r="B142" s="4">
        <f>_xll.ciqfunctions.udf.CIQ(InputTicker, "IQ_CONTINGENT_RENTAL",Input!D$2,Date,,,Ccy,Conv)</f>
        <v>0</v>
      </c>
      <c r="C142" s="4">
        <f>_xll.ciqfunctions.udf.CIQ(InputTicker, "IQ_CONTINGENT_RENTAL",Input!E$2,Date,,,Ccy,Conv)</f>
        <v>0</v>
      </c>
      <c r="D142" s="4">
        <f>_xll.ciqfunctions.udf.CIQ(InputTicker, "IQ_CONTINGENT_RENTAL",Input!F$2,Date,,,Ccy,Conv)</f>
        <v>0</v>
      </c>
      <c r="E142" s="4">
        <f>_xll.ciqfunctions.udf.CIQ(InputTicker, "IQ_CONTINGENT_RENTAL",Input!G$2,Date,,,Ccy,Conv)</f>
        <v>0</v>
      </c>
      <c r="F142" s="4">
        <f>_xll.ciqfunctions.udf.CIQ(InputTicker, "IQ_CONTINGENT_RENTAL",Input!H$2,Date,,,Ccy,Conv)</f>
        <v>364</v>
      </c>
      <c r="G142" s="4">
        <f>_xll.ciqfunctions.udf.CIQ(InputTicker, "IQ_CONTINGENT_RENTAL",Input!I$2,Date,,,Ccy,Conv)</f>
        <v>343</v>
      </c>
      <c r="H142" s="4">
        <f>_xll.ciqfunctions.udf.CIQ(InputTicker, "IQ_CONTINGENT_RENTAL",Input!J$2,Date,,,Ccy,Conv)</f>
        <v>336</v>
      </c>
      <c r="I142" s="4">
        <f>_xll.ciqfunctions.udf.CIQ(InputTicker, "IQ_CONTINGENT_RENTAL",Input!K$2,Date,,,Ccy,Conv)</f>
        <v>262</v>
      </c>
      <c r="J142" s="4">
        <f>_xll.ciqfunctions.udf.CIQ(InputTicker, "IQ_CONTINGENT_RENTAL",Input!L$2,Date,,,Ccy,Conv)</f>
        <v>331</v>
      </c>
      <c r="K142" s="4">
        <f>_xll.ciqfunctions.udf.CIQ(InputTicker, "IQ_CONTINGENT_RENTAL",Input!M$2,Date,,,Ccy,Conv)</f>
        <v>321</v>
      </c>
      <c r="L142" s="4">
        <f>_xll.ciqfunctions.udf.CIQ(InputTicker, "IQ_CONTINGENT_RENTAL",Input!N$2,Date,,,Ccy,Conv)</f>
        <v>300</v>
      </c>
      <c r="M142" s="4">
        <f>_xll.ciqfunctions.udf.CIQ(InputTicker, "IQ_CONTINGENT_RENTAL",Input!O$2,Date,,,Ccy,Conv)</f>
        <v>300</v>
      </c>
      <c r="N142" s="49"/>
      <c r="P142" s="51"/>
      <c r="Q142" s="51"/>
      <c r="R142" s="51"/>
      <c r="T142" s="42"/>
      <c r="U142" s="42"/>
      <c r="V142" s="51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  <c r="BA142" s="42"/>
      <c r="BB142" s="42"/>
      <c r="BC142" s="42"/>
      <c r="BD142" s="42"/>
      <c r="BE142" s="42"/>
      <c r="BF142" s="42"/>
      <c r="BG142" s="42"/>
      <c r="BH142" s="42"/>
      <c r="BI142" s="42"/>
      <c r="BJ142" s="42"/>
      <c r="BK142" s="42"/>
      <c r="BL142" s="42"/>
      <c r="BM142" s="42"/>
      <c r="BN142" s="42"/>
    </row>
    <row r="143" spans="1:66" ht="12.75" customHeight="1" x14ac:dyDescent="0.2">
      <c r="A143" s="1" t="s">
        <v>29</v>
      </c>
      <c r="B143" s="4">
        <f>_xll.ciqfunctions.udf.CIQ(InputTicker, "IQ_MINIMUM_RENTAL",Input!D$2,Date,,,Ccy,Conv)</f>
        <v>0</v>
      </c>
      <c r="C143" s="4">
        <f>_xll.ciqfunctions.udf.CIQ(InputTicker, "IQ_MINIMUM_RENTAL",Input!E$2,Date,,,Ccy,Conv)</f>
        <v>0</v>
      </c>
      <c r="D143" s="4">
        <f>_xll.ciqfunctions.udf.CIQ(InputTicker, "IQ_MINIMUM_RENTAL",Input!F$2,Date,,,Ccy,Conv)</f>
        <v>0</v>
      </c>
      <c r="E143" s="4">
        <f>_xll.ciqfunctions.udf.CIQ(InputTicker, "IQ_MINIMUM_RENTAL",Input!G$2,Date,,,Ccy,Conv)</f>
        <v>0</v>
      </c>
      <c r="F143" s="4">
        <f>_xll.ciqfunctions.udf.CIQ(InputTicker, "IQ_MINIMUM_RENTAL",Input!H$2,Date,,,Ccy,Conv)</f>
        <v>0</v>
      </c>
      <c r="G143" s="4">
        <f>_xll.ciqfunctions.udf.CIQ(InputTicker, "IQ_MINIMUM_RENTAL",Input!I$2,Date,,,Ccy,Conv)</f>
        <v>0</v>
      </c>
      <c r="H143" s="4">
        <f>_xll.ciqfunctions.udf.CIQ(InputTicker, "IQ_MINIMUM_RENTAL",Input!J$2,Date,,,Ccy,Conv)</f>
        <v>0</v>
      </c>
      <c r="I143" s="4">
        <f>_xll.ciqfunctions.udf.CIQ(InputTicker, "IQ_MINIMUM_RENTAL",Input!K$2,Date,,,Ccy,Conv)</f>
        <v>0</v>
      </c>
      <c r="J143" s="4">
        <f>_xll.ciqfunctions.udf.CIQ(InputTicker, "IQ_MINIMUM_RENTAL",Input!L$2,Date,,,Ccy,Conv)</f>
        <v>0</v>
      </c>
      <c r="K143" s="4">
        <f>_xll.ciqfunctions.udf.CIQ(InputTicker, "IQ_MINIMUM_RENTAL",Input!M$2,Date,,,Ccy,Conv)</f>
        <v>0</v>
      </c>
      <c r="L143" s="4">
        <f>_xll.ciqfunctions.udf.CIQ(InputTicker, "IQ_MINIMUM_RENTAL",Input!N$2,Date,,,Ccy,Conv)</f>
        <v>0</v>
      </c>
      <c r="M143" s="4">
        <f>_xll.ciqfunctions.udf.CIQ(InputTicker, "IQ_MINIMUM_RENTAL",Input!O$2,Date,,,Ccy,Conv)</f>
        <v>0</v>
      </c>
      <c r="N143" s="49"/>
      <c r="P143" s="51"/>
      <c r="Q143" s="51"/>
      <c r="R143" s="51"/>
      <c r="T143" s="42"/>
      <c r="U143" s="42"/>
      <c r="V143" s="51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  <c r="BA143" s="42"/>
      <c r="BB143" s="42"/>
      <c r="BC143" s="42"/>
      <c r="BD143" s="42"/>
      <c r="BE143" s="42"/>
      <c r="BF143" s="42"/>
      <c r="BG143" s="42"/>
      <c r="BH143" s="42"/>
      <c r="BI143" s="42"/>
      <c r="BJ143" s="42"/>
      <c r="BK143" s="42"/>
      <c r="BL143" s="42"/>
      <c r="BM143" s="42"/>
      <c r="BN143" s="42"/>
    </row>
    <row r="144" spans="1:66" ht="12.75" customHeight="1" x14ac:dyDescent="0.2">
      <c r="A144" s="1" t="s">
        <v>30</v>
      </c>
      <c r="B144" s="4">
        <f>_xll.ciqfunctions.udf.CIQ(InputTicker, "IQ_OTHER_RENTAL",Input!D$2,Date,,,Ccy,Conv)</f>
        <v>0</v>
      </c>
      <c r="C144" s="4">
        <f>_xll.ciqfunctions.udf.CIQ(InputTicker, "IQ_OTHER_RENTAL",Input!E$2,Date,,,Ccy,Conv)</f>
        <v>0</v>
      </c>
      <c r="D144" s="4">
        <f>_xll.ciqfunctions.udf.CIQ(InputTicker, "IQ_OTHER_RENTAL",Input!F$2,Date,,,Ccy,Conv)</f>
        <v>0</v>
      </c>
      <c r="E144" s="4">
        <f>_xll.ciqfunctions.udf.CIQ(InputTicker, "IQ_OTHER_RENTAL",Input!G$2,Date,,,Ccy,Conv)</f>
        <v>0</v>
      </c>
      <c r="F144" s="4">
        <f>_xll.ciqfunctions.udf.CIQ(InputTicker, "IQ_OTHER_RENTAL",Input!H$2,Date,,,Ccy,Conv)</f>
        <v>0</v>
      </c>
      <c r="G144" s="4">
        <f>_xll.ciqfunctions.udf.CIQ(InputTicker, "IQ_OTHER_RENTAL",Input!I$2,Date,,,Ccy,Conv)</f>
        <v>0</v>
      </c>
      <c r="H144" s="4">
        <f>_xll.ciqfunctions.udf.CIQ(InputTicker, "IQ_OTHER_RENTAL",Input!J$2,Date,,,Ccy,Conv)</f>
        <v>0</v>
      </c>
      <c r="I144" s="4">
        <f>_xll.ciqfunctions.udf.CIQ(InputTicker, "IQ_OTHER_RENTAL",Input!K$2,Date,,,Ccy,Conv)</f>
        <v>0</v>
      </c>
      <c r="J144" s="4">
        <f>_xll.ciqfunctions.udf.CIQ(InputTicker, "IQ_OTHER_RENTAL",Input!L$2,Date,,,Ccy,Conv)</f>
        <v>0</v>
      </c>
      <c r="K144" s="4">
        <f>_xll.ciqfunctions.udf.CIQ(InputTicker, "IQ_OTHER_RENTAL",Input!M$2,Date,,,Ccy,Conv)</f>
        <v>0</v>
      </c>
      <c r="L144" s="4">
        <f>_xll.ciqfunctions.udf.CIQ(InputTicker, "IQ_OTHER_RENTAL",Input!N$2,Date,,,Ccy,Conv)</f>
        <v>0</v>
      </c>
      <c r="M144" s="4">
        <f>_xll.ciqfunctions.udf.CIQ(InputTicker, "IQ_OTHER_RENTAL",Input!O$2,Date,,,Ccy,Conv)</f>
        <v>0</v>
      </c>
      <c r="N144" s="49"/>
      <c r="P144" s="51"/>
      <c r="Q144" s="51"/>
      <c r="R144" s="51"/>
      <c r="T144" s="42"/>
      <c r="U144" s="42"/>
      <c r="V144" s="51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  <c r="BA144" s="42"/>
      <c r="BB144" s="42"/>
      <c r="BC144" s="42"/>
      <c r="BD144" s="42"/>
      <c r="BE144" s="42"/>
      <c r="BF144" s="42"/>
      <c r="BG144" s="42"/>
      <c r="BH144" s="42"/>
      <c r="BI144" s="42"/>
      <c r="BJ144" s="42"/>
      <c r="BK144" s="42"/>
      <c r="BL144" s="42"/>
      <c r="BM144" s="42"/>
      <c r="BN144" s="42"/>
    </row>
    <row r="145" spans="1:66" ht="12.75" customHeight="1" x14ac:dyDescent="0.2">
      <c r="A145" s="1" t="s">
        <v>17</v>
      </c>
      <c r="B145" s="4">
        <f>_xll.ciqfunctions.udf.CIQ(InputTicker, "IQ_AIRCRAFT_RENT",Input!D$2,Date,,,Ccy,Conv)</f>
        <v>0</v>
      </c>
      <c r="C145" s="4">
        <f>_xll.ciqfunctions.udf.CIQ(InputTicker, "IQ_AIRCRAFT_RENT",Input!E$2,Date,,,Ccy,Conv)</f>
        <v>0</v>
      </c>
      <c r="D145" s="4">
        <f>_xll.ciqfunctions.udf.CIQ(InputTicker, "IQ_AIRCRAFT_RENT",Input!F$2,Date,,,Ccy,Conv)</f>
        <v>0</v>
      </c>
      <c r="E145" s="4">
        <f>_xll.ciqfunctions.udf.CIQ(InputTicker, "IQ_AIRCRAFT_RENT",Input!G$2,Date,,,Ccy,Conv)</f>
        <v>0</v>
      </c>
      <c r="F145" s="4">
        <f>_xll.ciqfunctions.udf.CIQ(InputTicker, "IQ_AIRCRAFT_RENT",Input!H$2,Date,,,Ccy,Conv)</f>
        <v>0</v>
      </c>
      <c r="G145" s="4">
        <f>_xll.ciqfunctions.udf.CIQ(InputTicker, "IQ_AIRCRAFT_RENT",Input!I$2,Date,,,Ccy,Conv)</f>
        <v>0</v>
      </c>
      <c r="H145" s="4">
        <f>_xll.ciqfunctions.udf.CIQ(InputTicker, "IQ_AIRCRAFT_RENT",Input!J$2,Date,,,Ccy,Conv)</f>
        <v>0</v>
      </c>
      <c r="I145" s="4">
        <f>_xll.ciqfunctions.udf.CIQ(InputTicker, "IQ_AIRCRAFT_RENT",Input!K$2,Date,,,Ccy,Conv)</f>
        <v>0</v>
      </c>
      <c r="J145" s="4">
        <f>_xll.ciqfunctions.udf.CIQ(InputTicker, "IQ_AIRCRAFT_RENT",Input!L$2,Date,,,Ccy,Conv)</f>
        <v>0</v>
      </c>
      <c r="K145" s="4">
        <f>_xll.ciqfunctions.udf.CIQ(InputTicker, "IQ_AIRCRAFT_RENT",Input!M$2,Date,,,Ccy,Conv)</f>
        <v>0</v>
      </c>
      <c r="L145" s="4">
        <f>_xll.ciqfunctions.udf.CIQ(InputTicker, "IQ_AIRCRAFT_RENT",Input!N$2,Date,,,Ccy,Conv)</f>
        <v>0</v>
      </c>
      <c r="M145" s="4">
        <f>_xll.ciqfunctions.udf.CIQ(InputTicker, "IQ_AIRCRAFT_RENT",Input!O$2,Date,,,Ccy,Conv)</f>
        <v>0</v>
      </c>
      <c r="N145" s="49"/>
      <c r="P145" s="51"/>
      <c r="Q145" s="51"/>
      <c r="R145" s="51"/>
      <c r="T145" s="42"/>
      <c r="U145" s="42"/>
      <c r="V145" s="51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  <c r="BA145" s="42"/>
      <c r="BB145" s="42"/>
      <c r="BC145" s="42"/>
      <c r="BD145" s="42"/>
      <c r="BE145" s="42"/>
      <c r="BF145" s="42"/>
      <c r="BG145" s="42"/>
      <c r="BH145" s="42"/>
      <c r="BI145" s="42"/>
      <c r="BJ145" s="42"/>
      <c r="BK145" s="42"/>
      <c r="BL145" s="42"/>
      <c r="BM145" s="42"/>
      <c r="BN145" s="42"/>
    </row>
    <row r="146" spans="1:66" ht="12.75" customHeight="1" x14ac:dyDescent="0.2">
      <c r="A146" s="1" t="s">
        <v>31</v>
      </c>
      <c r="B146" s="4">
        <f>_xll.ciqfunctions.udf.CIQ(InputTicker, "IQ_DEPRECIATION_RENTAL_ASSETS",Input!D$2,Date,,,Ccy,Conv)</f>
        <v>0</v>
      </c>
      <c r="C146" s="4">
        <f>_xll.ciqfunctions.udf.CIQ(InputTicker, "IQ_DEPRECIATION_RENTAL_ASSETS",Input!E$2,Date,,,Ccy,Conv)</f>
        <v>0</v>
      </c>
      <c r="D146" s="4">
        <f>_xll.ciqfunctions.udf.CIQ(InputTicker, "IQ_DEPRECIATION_RENTAL_ASSETS",Input!F$2,Date,,,Ccy,Conv)</f>
        <v>0</v>
      </c>
      <c r="E146" s="4">
        <f>_xll.ciqfunctions.udf.CIQ(InputTicker, "IQ_DEPRECIATION_RENTAL_ASSETS",Input!G$2,Date,,,Ccy,Conv)</f>
        <v>0</v>
      </c>
      <c r="F146" s="4">
        <f>_xll.ciqfunctions.udf.CIQ(InputTicker, "IQ_DEPRECIATION_RENTAL_ASSETS",Input!H$2,Date,,,Ccy,Conv)</f>
        <v>0</v>
      </c>
      <c r="G146" s="4">
        <f>_xll.ciqfunctions.udf.CIQ(InputTicker, "IQ_DEPRECIATION_RENTAL_ASSETS",Input!I$2,Date,,,Ccy,Conv)</f>
        <v>0</v>
      </c>
      <c r="H146" s="4">
        <f>_xll.ciqfunctions.udf.CIQ(InputTicker, "IQ_DEPRECIATION_RENTAL_ASSETS",Input!J$2,Date,,,Ccy,Conv)</f>
        <v>0</v>
      </c>
      <c r="I146" s="4">
        <f>_xll.ciqfunctions.udf.CIQ(InputTicker, "IQ_DEPRECIATION_RENTAL_ASSETS",Input!K$2,Date,,,Ccy,Conv)</f>
        <v>0</v>
      </c>
      <c r="J146" s="4">
        <f>_xll.ciqfunctions.udf.CIQ(InputTicker, "IQ_DEPRECIATION_RENTAL_ASSETS",Input!L$2,Date,,,Ccy,Conv)</f>
        <v>0</v>
      </c>
      <c r="K146" s="4">
        <f>_xll.ciqfunctions.udf.CIQ(InputTicker, "IQ_DEPRECIATION_RENTAL_ASSETS",Input!M$2,Date,,,Ccy,Conv)</f>
        <v>0</v>
      </c>
      <c r="L146" s="4">
        <f>_xll.ciqfunctions.udf.CIQ(InputTicker, "IQ_DEPRECIATION_RENTAL_ASSETS",Input!N$2,Date,,,Ccy,Conv)</f>
        <v>0</v>
      </c>
      <c r="M146" s="4">
        <f>_xll.ciqfunctions.udf.CIQ(InputTicker, "IQ_DEPRECIATION_RENTAL_ASSETS",Input!O$2,Date,,,Ccy,Conv)</f>
        <v>0</v>
      </c>
      <c r="N146" s="49"/>
      <c r="P146" s="51"/>
      <c r="Q146" s="51"/>
      <c r="R146" s="51"/>
      <c r="T146" s="42"/>
      <c r="U146" s="42"/>
      <c r="V146" s="51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  <c r="BA146" s="42"/>
      <c r="BB146" s="42"/>
      <c r="BC146" s="42"/>
      <c r="BD146" s="42"/>
      <c r="BE146" s="42"/>
      <c r="BF146" s="42"/>
      <c r="BG146" s="42"/>
      <c r="BH146" s="42"/>
      <c r="BI146" s="42"/>
      <c r="BJ146" s="42"/>
      <c r="BK146" s="42"/>
      <c r="BL146" s="42"/>
      <c r="BM146" s="42"/>
      <c r="BN146" s="42"/>
    </row>
    <row r="147" spans="1:66" ht="12.75" customHeight="1" x14ac:dyDescent="0.2">
      <c r="A147" s="1" t="s">
        <v>406</v>
      </c>
      <c r="B147" s="4">
        <f>_xll.ciqfunctions.udf.CIQ(InputTicker, "IQ_EXPLORE_DRILL_EXP_TOTAL",Input!D$2,Date,,,Ccy,Conv)</f>
        <v>0</v>
      </c>
      <c r="C147" s="4">
        <f>_xll.ciqfunctions.udf.CIQ(InputTicker, "IQ_EXPLORE_DRILL_EXP_TOTAL",Input!E$2,Date,,,Ccy,Conv)</f>
        <v>0</v>
      </c>
      <c r="D147" s="4">
        <f>_xll.ciqfunctions.udf.CIQ(InputTicker, "IQ_EXPLORE_DRILL_EXP_TOTAL",Input!F$2,Date,,,Ccy,Conv)</f>
        <v>0</v>
      </c>
      <c r="E147" s="4">
        <f>_xll.ciqfunctions.udf.CIQ(InputTicker, "IQ_EXPLORE_DRILL_EXP_TOTAL",Input!G$2,Date,,,Ccy,Conv)</f>
        <v>0</v>
      </c>
      <c r="F147" s="4">
        <f>_xll.ciqfunctions.udf.CIQ(InputTicker, "IQ_EXPLORE_DRILL_EXP_TOTAL",Input!H$2,Date,,,Ccy,Conv)</f>
        <v>0</v>
      </c>
      <c r="G147" s="4">
        <f>_xll.ciqfunctions.udf.CIQ(InputTicker, "IQ_EXPLORE_DRILL_EXP_TOTAL",Input!I$2,Date,,,Ccy,Conv)</f>
        <v>0</v>
      </c>
      <c r="H147" s="4">
        <f>_xll.ciqfunctions.udf.CIQ(InputTicker, "IQ_EXPLORE_DRILL_EXP_TOTAL",Input!J$2,Date,,,Ccy,Conv)</f>
        <v>0</v>
      </c>
      <c r="I147" s="4">
        <f>_xll.ciqfunctions.udf.CIQ(InputTicker, "IQ_EXPLORE_DRILL_EXP_TOTAL",Input!K$2,Date,,,Ccy,Conv)</f>
        <v>0</v>
      </c>
      <c r="J147" s="4">
        <f>_xll.ciqfunctions.udf.CIQ(InputTicker, "IQ_EXPLORE_DRILL_EXP_TOTAL",Input!L$2,Date,,,Ccy,Conv)</f>
        <v>0</v>
      </c>
      <c r="K147" s="4">
        <f>_xll.ciqfunctions.udf.CIQ(InputTicker, "IQ_EXPLORE_DRILL_EXP_TOTAL",Input!M$2,Date,,,Ccy,Conv)</f>
        <v>0</v>
      </c>
      <c r="L147" s="4">
        <f>_xll.ciqfunctions.udf.CIQ(InputTicker, "IQ_EXPLORE_DRILL_EXP_TOTAL",Input!N$2,Date,,,Ccy,Conv)</f>
        <v>0</v>
      </c>
      <c r="M147" s="4">
        <f>_xll.ciqfunctions.udf.CIQ(InputTicker, "IQ_EXPLORE_DRILL_EXP_TOTAL",Input!O$2,Date,,,Ccy,Conv)</f>
        <v>0</v>
      </c>
      <c r="N147" s="49"/>
      <c r="P147" s="51"/>
      <c r="Q147" s="51"/>
      <c r="R147" s="51"/>
      <c r="T147" s="42"/>
      <c r="U147" s="42"/>
      <c r="V147" s="51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  <c r="BA147" s="42"/>
      <c r="BB147" s="42"/>
      <c r="BC147" s="42"/>
      <c r="BD147" s="42"/>
      <c r="BE147" s="42"/>
      <c r="BF147" s="42"/>
      <c r="BG147" s="42"/>
      <c r="BH147" s="42"/>
      <c r="BI147" s="42"/>
      <c r="BJ147" s="42"/>
      <c r="BK147" s="42"/>
      <c r="BL147" s="42"/>
      <c r="BM147" s="42"/>
      <c r="BN147" s="42"/>
    </row>
    <row r="148" spans="1:66" ht="12.75" customHeight="1" x14ac:dyDescent="0.2">
      <c r="A148" s="1" t="s">
        <v>333</v>
      </c>
      <c r="B148" s="4">
        <f>_xll.ciqfunctions.udf.CIQ(InputTicker, "IQ_MAINT_REPAIR",Input!D$2,Date,,,Ccy,Conv)</f>
        <v>0</v>
      </c>
      <c r="C148" s="4">
        <f>_xll.ciqfunctions.udf.CIQ(InputTicker, "IQ_MAINT_REPAIR",Input!E$2,Date,,,Ccy,Conv)</f>
        <v>0</v>
      </c>
      <c r="D148" s="4">
        <f>_xll.ciqfunctions.udf.CIQ(InputTicker, "IQ_MAINT_REPAIR",Input!F$2,Date,,,Ccy,Conv)</f>
        <v>0</v>
      </c>
      <c r="E148" s="4">
        <f>_xll.ciqfunctions.udf.CIQ(InputTicker, "IQ_MAINT_REPAIR",Input!G$2,Date,,,Ccy,Conv)</f>
        <v>0</v>
      </c>
      <c r="F148" s="4">
        <f>_xll.ciqfunctions.udf.CIQ(InputTicker, "IQ_MAINT_REPAIR",Input!H$2,Date,,,Ccy,Conv)</f>
        <v>0</v>
      </c>
      <c r="G148" s="4">
        <f>_xll.ciqfunctions.udf.CIQ(InputTicker, "IQ_MAINT_REPAIR",Input!I$2,Date,,,Ccy,Conv)</f>
        <v>0</v>
      </c>
      <c r="H148" s="4">
        <f>_xll.ciqfunctions.udf.CIQ(InputTicker, "IQ_MAINT_REPAIR",Input!J$2,Date,,,Ccy,Conv)</f>
        <v>0</v>
      </c>
      <c r="I148" s="4">
        <f>_xll.ciqfunctions.udf.CIQ(InputTicker, "IQ_MAINT_REPAIR",Input!K$2,Date,,,Ccy,Conv)</f>
        <v>0</v>
      </c>
      <c r="J148" s="4">
        <f>_xll.ciqfunctions.udf.CIQ(InputTicker, "IQ_MAINT_REPAIR",Input!L$2,Date,,,Ccy,Conv)</f>
        <v>0</v>
      </c>
      <c r="K148" s="4">
        <f>_xll.ciqfunctions.udf.CIQ(InputTicker, "IQ_MAINT_REPAIR",Input!M$2,Date,,,Ccy,Conv)</f>
        <v>0</v>
      </c>
      <c r="L148" s="4">
        <f>_xll.ciqfunctions.udf.CIQ(InputTicker, "IQ_MAINT_REPAIR",Input!N$2,Date,,,Ccy,Conv)</f>
        <v>0</v>
      </c>
      <c r="M148" s="4">
        <f>_xll.ciqfunctions.udf.CIQ(InputTicker, "IQ_MAINT_REPAIR",Input!O$2,Date,,,Ccy,Conv)</f>
        <v>0</v>
      </c>
      <c r="N148" s="49"/>
      <c r="P148" s="51"/>
      <c r="Q148" s="51"/>
      <c r="R148" s="51"/>
      <c r="T148" s="42"/>
      <c r="U148" s="42"/>
      <c r="V148" s="51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  <c r="BA148" s="42"/>
      <c r="BB148" s="42"/>
      <c r="BC148" s="42"/>
      <c r="BD148" s="42"/>
      <c r="BE148" s="42"/>
      <c r="BF148" s="42"/>
      <c r="BG148" s="42"/>
      <c r="BH148" s="42"/>
      <c r="BI148" s="42"/>
      <c r="BJ148" s="42"/>
      <c r="BK148" s="42"/>
      <c r="BL148" s="42"/>
      <c r="BM148" s="42"/>
      <c r="BN148" s="42"/>
    </row>
    <row r="149" spans="1:66" ht="12.75" customHeight="1" x14ac:dyDescent="0.2">
      <c r="A149" s="1" t="s">
        <v>334</v>
      </c>
      <c r="B149" s="4">
        <f>_xll.ciqfunctions.udf.CIQ(InputTicker, "IQ_IMPUT_OPER_LEASE_INT_EXP",Input!D$2,Date,,,Ccy,Conv)</f>
        <v>134.2116</v>
      </c>
      <c r="C149" s="4">
        <f>_xll.ciqfunctions.udf.CIQ(InputTicker, "IQ_IMPUT_OPER_LEASE_INT_EXP",Input!E$2,Date,,,Ccy,Conv)</f>
        <v>0</v>
      </c>
      <c r="D149" s="4">
        <f>_xll.ciqfunctions.udf.CIQ(InputTicker, "IQ_IMPUT_OPER_LEASE_INT_EXP",Input!F$2,Date,,,Ccy,Conv)</f>
        <v>0</v>
      </c>
      <c r="E149" s="4">
        <f>_xll.ciqfunctions.udf.CIQ(InputTicker, "IQ_IMPUT_OPER_LEASE_INT_EXP",Input!G$2,Date,,,Ccy,Conv)</f>
        <v>0</v>
      </c>
      <c r="F149" s="4">
        <f>_xll.ciqfunctions.udf.CIQ(InputTicker, "IQ_IMPUT_OPER_LEASE_INT_EXP",Input!H$2,Date,,,Ccy,Conv)</f>
        <v>307.13652000000002</v>
      </c>
      <c r="G149" s="4">
        <f>_xll.ciqfunctions.udf.CIQ(InputTicker, "IQ_IMPUT_OPER_LEASE_INT_EXP",Input!I$2,Date,,,Ccy,Conv)</f>
        <v>236.61014</v>
      </c>
      <c r="H149" s="4">
        <f>_xll.ciqfunctions.udf.CIQ(InputTicker, "IQ_IMPUT_OPER_LEASE_INT_EXP",Input!J$2,Date,,,Ccy,Conv)</f>
        <v>221.44745</v>
      </c>
      <c r="I149" s="4">
        <f>_xll.ciqfunctions.udf.CIQ(InputTicker, "IQ_IMPUT_OPER_LEASE_INT_EXP",Input!K$2,Date,,,Ccy,Conv)</f>
        <v>223.18306999999999</v>
      </c>
      <c r="J149" s="4">
        <f>_xll.ciqfunctions.udf.CIQ(InputTicker, "IQ_IMPUT_OPER_LEASE_INT_EXP",Input!L$2,Date,,,Ccy,Conv)</f>
        <v>293.15996999999999</v>
      </c>
      <c r="K149" s="4">
        <f>_xll.ciqfunctions.udf.CIQ(InputTicker, "IQ_IMPUT_OPER_LEASE_INT_EXP",Input!M$2,Date,,,Ccy,Conv)</f>
        <v>305.13314000000003</v>
      </c>
      <c r="L149" s="4">
        <f>_xll.ciqfunctions.udf.CIQ(InputTicker, "IQ_IMPUT_OPER_LEASE_INT_EXP",Input!N$2,Date,,,Ccy,Conv)</f>
        <v>329.89852999999999</v>
      </c>
      <c r="M149" s="4">
        <f>_xll.ciqfunctions.udf.CIQ(InputTicker, "IQ_IMPUT_OPER_LEASE_INT_EXP",Input!O$2,Date,,,Ccy,Conv)</f>
        <v>329.89852999999999</v>
      </c>
      <c r="N149" s="49"/>
      <c r="P149" s="51"/>
      <c r="Q149" s="51"/>
      <c r="R149" s="51"/>
      <c r="T149" s="42"/>
      <c r="U149" s="42"/>
      <c r="V149" s="51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  <c r="BA149" s="42"/>
      <c r="BB149" s="42"/>
      <c r="BC149" s="42"/>
      <c r="BD149" s="42"/>
      <c r="BE149" s="42"/>
      <c r="BF149" s="42"/>
      <c r="BG149" s="42"/>
      <c r="BH149" s="42"/>
      <c r="BI149" s="42"/>
      <c r="BJ149" s="42"/>
      <c r="BK149" s="42"/>
      <c r="BL149" s="42"/>
      <c r="BM149" s="42"/>
      <c r="BN149" s="42"/>
    </row>
    <row r="150" spans="1:66" ht="12.75" customHeight="1" x14ac:dyDescent="0.2">
      <c r="A150" s="1" t="s">
        <v>335</v>
      </c>
      <c r="B150" s="4">
        <f>_xll.ciqfunctions.udf.CIQ(InputTicker, "IQ_IMPUT_OPER_LEASE_DEPR",Input!D$2,Date,,,Ccy,Conv)</f>
        <v>1310.7883999999999</v>
      </c>
      <c r="C150" s="4">
        <f>_xll.ciqfunctions.udf.CIQ(InputTicker, "IQ_IMPUT_OPER_LEASE_DEPR",Input!E$2,Date,,,Ccy,Conv)</f>
        <v>0</v>
      </c>
      <c r="D150" s="4">
        <f>_xll.ciqfunctions.udf.CIQ(InputTicker, "IQ_IMPUT_OPER_LEASE_DEPR",Input!F$2,Date,,,Ccy,Conv)</f>
        <v>0</v>
      </c>
      <c r="E150" s="4">
        <f>_xll.ciqfunctions.udf.CIQ(InputTicker, "IQ_IMPUT_OPER_LEASE_DEPR",Input!G$2,Date,,,Ccy,Conv)</f>
        <v>0</v>
      </c>
      <c r="F150" s="4">
        <f>_xll.ciqfunctions.udf.CIQ(InputTicker, "IQ_IMPUT_OPER_LEASE_DEPR",Input!H$2,Date,,,Ccy,Conv)</f>
        <v>1315.86348</v>
      </c>
      <c r="G150" s="4">
        <f>_xll.ciqfunctions.udf.CIQ(InputTicker, "IQ_IMPUT_OPER_LEASE_DEPR",Input!I$2,Date,,,Ccy,Conv)</f>
        <v>1287.38986</v>
      </c>
      <c r="H150" s="4">
        <f>_xll.ciqfunctions.udf.CIQ(InputTicker, "IQ_IMPUT_OPER_LEASE_DEPR",Input!J$2,Date,,,Ccy,Conv)</f>
        <v>1215.5525500000001</v>
      </c>
      <c r="I150" s="4">
        <f>_xll.ciqfunctions.udf.CIQ(InputTicker, "IQ_IMPUT_OPER_LEASE_DEPR",Input!K$2,Date,,,Ccy,Conv)</f>
        <v>1023.81693</v>
      </c>
      <c r="J150" s="4">
        <f>_xll.ciqfunctions.udf.CIQ(InputTicker, "IQ_IMPUT_OPER_LEASE_DEPR",Input!L$2,Date,,,Ccy,Conv)</f>
        <v>998.84002999999996</v>
      </c>
      <c r="K150" s="4">
        <f>_xll.ciqfunctions.udf.CIQ(InputTicker, "IQ_IMPUT_OPER_LEASE_DEPR",Input!M$2,Date,,,Ccy,Conv)</f>
        <v>1003.86686</v>
      </c>
      <c r="L150" s="4">
        <f>_xll.ciqfunctions.udf.CIQ(InputTicker, "IQ_IMPUT_OPER_LEASE_DEPR",Input!N$2,Date,,,Ccy,Conv)</f>
        <v>978.10146999999995</v>
      </c>
      <c r="M150" s="4">
        <f>_xll.ciqfunctions.udf.CIQ(InputTicker, "IQ_IMPUT_OPER_LEASE_DEPR",Input!O$2,Date,,,Ccy,Conv)</f>
        <v>978.10146999999995</v>
      </c>
      <c r="N150" s="49"/>
      <c r="P150" s="46"/>
      <c r="Q150" s="46"/>
      <c r="R150" s="46"/>
      <c r="T150" s="42"/>
      <c r="U150" s="42"/>
      <c r="V150" s="46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  <c r="BA150" s="42"/>
      <c r="BB150" s="42"/>
      <c r="BC150" s="42"/>
      <c r="BD150" s="42"/>
      <c r="BE150" s="42"/>
      <c r="BF150" s="42"/>
      <c r="BG150" s="42"/>
      <c r="BH150" s="42"/>
      <c r="BI150" s="42"/>
      <c r="BJ150" s="42"/>
      <c r="BK150" s="42"/>
      <c r="BL150" s="42"/>
      <c r="BM150" s="42"/>
      <c r="BN150" s="42"/>
    </row>
    <row r="151" spans="1:66" ht="12.75" customHeight="1" x14ac:dyDescent="0.2">
      <c r="A151" s="1" t="s">
        <v>392</v>
      </c>
      <c r="B151" s="4">
        <f>_xll.ciqfunctions.udf.CIQ(InputTicker, "IQ_SALARIES_OTHER_BENEFITS",Input!D$2,Date,,,Ccy,Conv)</f>
        <v>0</v>
      </c>
      <c r="C151" s="4">
        <f>_xll.ciqfunctions.udf.CIQ(InputTicker, "IQ_SALARIES_OTHER_BENEFITS",Input!E$2,Date,,,Ccy,Conv)</f>
        <v>0</v>
      </c>
      <c r="D151" s="4">
        <f>_xll.ciqfunctions.udf.CIQ(InputTicker, "IQ_SALARIES_OTHER_BENEFITS",Input!F$2,Date,,,Ccy,Conv)</f>
        <v>0</v>
      </c>
      <c r="E151" s="4">
        <f>_xll.ciqfunctions.udf.CIQ(InputTicker, "IQ_SALARIES_OTHER_BENEFITS",Input!G$2,Date,,,Ccy,Conv)</f>
        <v>0</v>
      </c>
      <c r="F151" s="4">
        <f>_xll.ciqfunctions.udf.CIQ(InputTicker, "IQ_SALARIES_OTHER_BENEFITS",Input!H$2,Date,,,Ccy,Conv)</f>
        <v>0</v>
      </c>
      <c r="G151" s="4">
        <f>_xll.ciqfunctions.udf.CIQ(InputTicker, "IQ_SALARIES_OTHER_BENEFITS",Input!I$2,Date,,,Ccy,Conv)</f>
        <v>0</v>
      </c>
      <c r="H151" s="4">
        <f>_xll.ciqfunctions.udf.CIQ(InputTicker, "IQ_SALARIES_OTHER_BENEFITS",Input!J$2,Date,,,Ccy,Conv)</f>
        <v>0</v>
      </c>
      <c r="I151" s="4">
        <f>_xll.ciqfunctions.udf.CIQ(InputTicker, "IQ_SALARIES_OTHER_BENEFITS",Input!K$2,Date,,,Ccy,Conv)</f>
        <v>0</v>
      </c>
      <c r="J151" s="4">
        <f>_xll.ciqfunctions.udf.CIQ(InputTicker, "IQ_SALARIES_OTHER_BENEFITS",Input!L$2,Date,,,Ccy,Conv)</f>
        <v>0</v>
      </c>
      <c r="K151" s="4">
        <f>_xll.ciqfunctions.udf.CIQ(InputTicker, "IQ_SALARIES_OTHER_BENEFITS",Input!M$2,Date,,,Ccy,Conv)</f>
        <v>0</v>
      </c>
      <c r="L151" s="4">
        <f>_xll.ciqfunctions.udf.CIQ(InputTicker, "IQ_SALARIES_OTHER_BENEFITS",Input!N$2,Date,,,Ccy,Conv)</f>
        <v>0</v>
      </c>
      <c r="M151" s="4">
        <f>_xll.ciqfunctions.udf.CIQ(InputTicker, "IQ_SALARIES_OTHER_BENEFITS",Input!O$2,Date,,,Ccy,Conv)</f>
        <v>0</v>
      </c>
      <c r="N151" s="49"/>
      <c r="P151" s="46"/>
      <c r="Q151" s="46"/>
      <c r="R151" s="46"/>
      <c r="T151" s="42"/>
      <c r="U151" s="42"/>
      <c r="V151" s="46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  <c r="BA151" s="42"/>
      <c r="BB151" s="42"/>
      <c r="BC151" s="42"/>
      <c r="BD151" s="42"/>
      <c r="BE151" s="42"/>
      <c r="BF151" s="42"/>
      <c r="BG151" s="42"/>
      <c r="BH151" s="42"/>
      <c r="BI151" s="42"/>
      <c r="BJ151" s="42"/>
      <c r="BK151" s="42"/>
      <c r="BL151" s="42"/>
      <c r="BM151" s="42"/>
      <c r="BN151" s="42"/>
    </row>
    <row r="152" spans="1:66" ht="12.75" customHeight="1" x14ac:dyDescent="0.2">
      <c r="A152" s="1" t="s">
        <v>411</v>
      </c>
      <c r="B152" s="4">
        <f>_xll.ciqfunctions.udf.CIQ(InputTicker,"IQ_RESTRUCTURE_SUPPLE",Input!D$2,Date,,,Ccy,Conv)</f>
        <v>0</v>
      </c>
      <c r="C152" s="4">
        <f>_xll.ciqfunctions.udf.CIQ(InputTicker,"IQ_RESTRUCTURE_SUPPLE",Input!E$2,Date,,,Ccy,Conv)</f>
        <v>0</v>
      </c>
      <c r="D152" s="4">
        <f>_xll.ciqfunctions.udf.CIQ(InputTicker,"IQ_RESTRUCTURE_SUPPLE",Input!F$2,Date,,,Ccy,Conv)</f>
        <v>0</v>
      </c>
      <c r="E152" s="4">
        <f>_xll.ciqfunctions.udf.CIQ(InputTicker,"IQ_RESTRUCTURE_SUPPLE",Input!G$2,Date,,,Ccy,Conv)</f>
        <v>0</v>
      </c>
      <c r="F152" s="4">
        <f>_xll.ciqfunctions.udf.CIQ(InputTicker,"IQ_RESTRUCTURE_SUPPLE",Input!H$2,Date,,,Ccy,Conv)</f>
        <v>0</v>
      </c>
      <c r="G152" s="4">
        <f>_xll.ciqfunctions.udf.CIQ(InputTicker,"IQ_RESTRUCTURE_SUPPLE",Input!I$2,Date,,,Ccy,Conv)</f>
        <v>0</v>
      </c>
      <c r="H152" s="4">
        <f>_xll.ciqfunctions.udf.CIQ(InputTicker,"IQ_RESTRUCTURE_SUPPLE",Input!J$2,Date,,,Ccy,Conv)</f>
        <v>0</v>
      </c>
      <c r="I152" s="4">
        <f>_xll.ciqfunctions.udf.CIQ(InputTicker,"IQ_RESTRUCTURE_SUPPLE",Input!K$2,Date,,,Ccy,Conv)</f>
        <v>0</v>
      </c>
      <c r="J152" s="4">
        <f>_xll.ciqfunctions.udf.CIQ(InputTicker,"IQ_RESTRUCTURE_SUPPLE",Input!L$2,Date,,,Ccy,Conv)</f>
        <v>0</v>
      </c>
      <c r="K152" s="4">
        <f>_xll.ciqfunctions.udf.CIQ(InputTicker,"IQ_RESTRUCTURE_SUPPLE",Input!M$2,Date,,,Ccy,Conv)</f>
        <v>0</v>
      </c>
      <c r="L152" s="4">
        <f>_xll.ciqfunctions.udf.CIQ(InputTicker,"IQ_RESTRUCTURE_SUPPLE",Input!N$2,Date,,,Ccy,Conv)</f>
        <v>0</v>
      </c>
      <c r="M152" s="4">
        <f>_xll.ciqfunctions.udf.CIQ(InputTicker,"IQ_RESTRUCTURE_SUPPLE",Input!O$2,Date,,,Ccy,Conv)</f>
        <v>0</v>
      </c>
      <c r="N152" s="49"/>
      <c r="P152" s="46"/>
      <c r="Q152" s="46"/>
      <c r="R152" s="46"/>
      <c r="T152" s="42"/>
      <c r="U152" s="42"/>
      <c r="V152" s="46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  <c r="BA152" s="42"/>
      <c r="BB152" s="42"/>
      <c r="BC152" s="42"/>
      <c r="BD152" s="42"/>
      <c r="BE152" s="42"/>
      <c r="BF152" s="42"/>
      <c r="BG152" s="42"/>
      <c r="BH152" s="42"/>
      <c r="BI152" s="42"/>
      <c r="BJ152" s="42"/>
      <c r="BK152" s="42"/>
      <c r="BL152" s="42"/>
      <c r="BM152" s="42"/>
      <c r="BN152" s="42"/>
    </row>
    <row r="153" spans="1:66" ht="12.75" customHeight="1" x14ac:dyDescent="0.2">
      <c r="A153" s="1" t="s">
        <v>412</v>
      </c>
      <c r="B153" s="4">
        <f>_xll.ciqfunctions.udf.CIQ(InputTicker,"IQ_MERGER_SUPPLE",Input!D$2,Date,,,Ccy,Conv)</f>
        <v>0</v>
      </c>
      <c r="C153" s="4">
        <f>_xll.ciqfunctions.udf.CIQ(InputTicker,"IQ_MERGER_SUPPLE",Input!E$2,Date,,,Ccy,Conv)</f>
        <v>0</v>
      </c>
      <c r="D153" s="4">
        <f>_xll.ciqfunctions.udf.CIQ(InputTicker,"IQ_MERGER_SUPPLE",Input!F$2,Date,,,Ccy,Conv)</f>
        <v>0</v>
      </c>
      <c r="E153" s="4">
        <f>_xll.ciqfunctions.udf.CIQ(InputTicker,"IQ_MERGER_SUPPLE",Input!G$2,Date,,,Ccy,Conv)</f>
        <v>-16</v>
      </c>
      <c r="F153" s="4">
        <f>_xll.ciqfunctions.udf.CIQ(InputTicker,"IQ_MERGER_SUPPLE",Input!H$2,Date,,,Ccy,Conv)</f>
        <v>-423</v>
      </c>
      <c r="G153" s="4">
        <f>_xll.ciqfunctions.udf.CIQ(InputTicker,"IQ_MERGER_SUPPLE",Input!I$2,Date,,,Ccy,Conv)</f>
        <v>-13</v>
      </c>
      <c r="H153" s="4">
        <f>_xll.ciqfunctions.udf.CIQ(InputTicker,"IQ_MERGER_SUPPLE",Input!J$2,Date,,,Ccy,Conv)</f>
        <v>0</v>
      </c>
      <c r="I153" s="4">
        <f>_xll.ciqfunctions.udf.CIQ(InputTicker,"IQ_MERGER_SUPPLE",Input!K$2,Date,,,Ccy,Conv)</f>
        <v>0</v>
      </c>
      <c r="J153" s="4">
        <f>_xll.ciqfunctions.udf.CIQ(InputTicker,"IQ_MERGER_SUPPLE",Input!L$2,Date,,,Ccy,Conv)</f>
        <v>0</v>
      </c>
      <c r="K153" s="4">
        <f>_xll.ciqfunctions.udf.CIQ(InputTicker,"IQ_MERGER_SUPPLE",Input!M$2,Date,,,Ccy,Conv)</f>
        <v>0</v>
      </c>
      <c r="L153" s="4">
        <f>_xll.ciqfunctions.udf.CIQ(InputTicker,"IQ_MERGER_SUPPLE",Input!N$2,Date,,,Ccy,Conv)</f>
        <v>0</v>
      </c>
      <c r="M153" s="4">
        <f>_xll.ciqfunctions.udf.CIQ(InputTicker,"IQ_MERGER_SUPPLE",Input!O$2,Date,,,Ccy,Conv)</f>
        <v>0</v>
      </c>
      <c r="N153" s="49"/>
      <c r="P153" s="46"/>
      <c r="Q153" s="46"/>
      <c r="R153" s="46"/>
      <c r="T153" s="42"/>
      <c r="U153" s="42"/>
      <c r="V153" s="46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  <c r="BA153" s="42"/>
      <c r="BB153" s="42"/>
      <c r="BC153" s="42"/>
      <c r="BD153" s="42"/>
      <c r="BE153" s="42"/>
      <c r="BF153" s="42"/>
      <c r="BG153" s="42"/>
      <c r="BH153" s="42"/>
      <c r="BI153" s="42"/>
      <c r="BJ153" s="42"/>
      <c r="BK153" s="42"/>
      <c r="BL153" s="42"/>
      <c r="BM153" s="42"/>
      <c r="BN153" s="42"/>
    </row>
    <row r="154" spans="1:66" ht="12.75" customHeight="1" x14ac:dyDescent="0.2">
      <c r="A154" s="1" t="s">
        <v>413</v>
      </c>
      <c r="B154" s="4">
        <f>_xll.ciqfunctions.udf.CIQ(InputTicker,"IQ_IMPAIRMENT_GW_SUPPLE",Input!D$2,Date,,,Ccy,Conv)</f>
        <v>0</v>
      </c>
      <c r="C154" s="4">
        <f>_xll.ciqfunctions.udf.CIQ(InputTicker,"IQ_IMPAIRMENT_GW_SUPPLE",Input!E$2,Date,,,Ccy,Conv)</f>
        <v>0</v>
      </c>
      <c r="D154" s="4">
        <f>_xll.ciqfunctions.udf.CIQ(InputTicker,"IQ_IMPAIRMENT_GW_SUPPLE",Input!F$2,Date,,,Ccy,Conv)</f>
        <v>0</v>
      </c>
      <c r="E154" s="4">
        <f>_xll.ciqfunctions.udf.CIQ(InputTicker,"IQ_IMPAIRMENT_GW_SUPPLE",Input!G$2,Date,,,Ccy,Conv)</f>
        <v>0</v>
      </c>
      <c r="F154" s="4">
        <f>_xll.ciqfunctions.udf.CIQ(InputTicker,"IQ_IMPAIRMENT_GW_SUPPLE",Input!H$2,Date,,,Ccy,Conv)</f>
        <v>0</v>
      </c>
      <c r="G154" s="4">
        <f>_xll.ciqfunctions.udf.CIQ(InputTicker,"IQ_IMPAIRMENT_GW_SUPPLE",Input!I$2,Date,,,Ccy,Conv)</f>
        <v>0</v>
      </c>
      <c r="H154" s="4">
        <f>_xll.ciqfunctions.udf.CIQ(InputTicker,"IQ_IMPAIRMENT_GW_SUPPLE",Input!J$2,Date,,,Ccy,Conv)</f>
        <v>0</v>
      </c>
      <c r="I154" s="4">
        <f>_xll.ciqfunctions.udf.CIQ(InputTicker,"IQ_IMPAIRMENT_GW_SUPPLE",Input!K$2,Date,,,Ccy,Conv)</f>
        <v>0</v>
      </c>
      <c r="J154" s="4">
        <f>_xll.ciqfunctions.udf.CIQ(InputTicker,"IQ_IMPAIRMENT_GW_SUPPLE",Input!L$2,Date,,,Ccy,Conv)</f>
        <v>0</v>
      </c>
      <c r="K154" s="4">
        <f>_xll.ciqfunctions.udf.CIQ(InputTicker,"IQ_IMPAIRMENT_GW_SUPPLE",Input!M$2,Date,,,Ccy,Conv)</f>
        <v>0</v>
      </c>
      <c r="L154" s="4">
        <f>_xll.ciqfunctions.udf.CIQ(InputTicker,"IQ_IMPAIRMENT_GW_SUPPLE",Input!N$2,Date,,,Ccy,Conv)</f>
        <v>0</v>
      </c>
      <c r="M154" s="4">
        <f>_xll.ciqfunctions.udf.CIQ(InputTicker,"IQ_IMPAIRMENT_GW_SUPPLE",Input!O$2,Date,,,Ccy,Conv)</f>
        <v>0</v>
      </c>
      <c r="N154" s="49"/>
      <c r="P154" s="46"/>
      <c r="Q154" s="46"/>
      <c r="R154" s="46"/>
      <c r="T154" s="42"/>
      <c r="U154" s="42"/>
      <c r="V154" s="46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  <c r="BA154" s="42"/>
      <c r="BB154" s="42"/>
      <c r="BC154" s="42"/>
      <c r="BD154" s="42"/>
      <c r="BE154" s="42"/>
      <c r="BF154" s="42"/>
      <c r="BG154" s="42"/>
      <c r="BH154" s="42"/>
      <c r="BI154" s="42"/>
      <c r="BJ154" s="42"/>
      <c r="BK154" s="42"/>
      <c r="BL154" s="42"/>
      <c r="BM154" s="42"/>
      <c r="BN154" s="42"/>
    </row>
    <row r="155" spans="1:66" ht="12.75" customHeight="1" x14ac:dyDescent="0.2">
      <c r="A155" s="1" t="s">
        <v>414</v>
      </c>
      <c r="B155" s="4">
        <f>_xll.ciqfunctions.udf.CIQ(InputTicker,"IQ_ASSET_WRITEDOWN_SUPPLE",Input!D$2,Date,,,Ccy,Conv)</f>
        <v>0</v>
      </c>
      <c r="C155" s="4">
        <f>_xll.ciqfunctions.udf.CIQ(InputTicker,"IQ_ASSET_WRITEDOWN_SUPPLE",Input!E$2,Date,,,Ccy,Conv)</f>
        <v>0</v>
      </c>
      <c r="D155" s="4">
        <f>_xll.ciqfunctions.udf.CIQ(InputTicker,"IQ_ASSET_WRITEDOWN_SUPPLE",Input!F$2,Date,,,Ccy,Conv)</f>
        <v>0</v>
      </c>
      <c r="E155" s="4">
        <f>_xll.ciqfunctions.udf.CIQ(InputTicker,"IQ_ASSET_WRITEDOWN_SUPPLE",Input!G$2,Date,,,Ccy,Conv)</f>
        <v>0</v>
      </c>
      <c r="F155" s="4">
        <f>_xll.ciqfunctions.udf.CIQ(InputTicker,"IQ_ASSET_WRITEDOWN_SUPPLE",Input!H$2,Date,,,Ccy,Conv)</f>
        <v>0</v>
      </c>
      <c r="G155" s="4">
        <f>_xll.ciqfunctions.udf.CIQ(InputTicker,"IQ_ASSET_WRITEDOWN_SUPPLE",Input!I$2,Date,,,Ccy,Conv)</f>
        <v>0</v>
      </c>
      <c r="H155" s="4">
        <f>_xll.ciqfunctions.udf.CIQ(InputTicker,"IQ_ASSET_WRITEDOWN_SUPPLE",Input!J$2,Date,,,Ccy,Conv)</f>
        <v>0</v>
      </c>
      <c r="I155" s="4">
        <f>_xll.ciqfunctions.udf.CIQ(InputTicker,"IQ_ASSET_WRITEDOWN_SUPPLE",Input!K$2,Date,,,Ccy,Conv)</f>
        <v>0</v>
      </c>
      <c r="J155" s="4">
        <f>_xll.ciqfunctions.udf.CIQ(InputTicker,"IQ_ASSET_WRITEDOWN_SUPPLE",Input!L$2,Date,,,Ccy,Conv)</f>
        <v>0</v>
      </c>
      <c r="K155" s="4">
        <f>_xll.ciqfunctions.udf.CIQ(InputTicker,"IQ_ASSET_WRITEDOWN_SUPPLE",Input!M$2,Date,,,Ccy,Conv)</f>
        <v>0</v>
      </c>
      <c r="L155" s="4">
        <f>_xll.ciqfunctions.udf.CIQ(InputTicker,"IQ_ASSET_WRITEDOWN_SUPPLE",Input!N$2,Date,,,Ccy,Conv)</f>
        <v>0</v>
      </c>
      <c r="M155" s="4">
        <f>_xll.ciqfunctions.udf.CIQ(InputTicker,"IQ_ASSET_WRITEDOWN_SUPPLE",Input!O$2,Date,,,Ccy,Conv)</f>
        <v>0</v>
      </c>
      <c r="N155" s="49"/>
      <c r="P155" s="46"/>
      <c r="Q155" s="46"/>
      <c r="R155" s="46"/>
      <c r="T155" s="42"/>
      <c r="U155" s="42"/>
      <c r="V155" s="46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  <c r="BA155" s="42"/>
      <c r="BB155" s="42"/>
      <c r="BC155" s="42"/>
      <c r="BD155" s="42"/>
      <c r="BE155" s="42"/>
      <c r="BF155" s="42"/>
      <c r="BG155" s="42"/>
      <c r="BH155" s="42"/>
      <c r="BI155" s="42"/>
      <c r="BJ155" s="42"/>
      <c r="BK155" s="42"/>
      <c r="BL155" s="42"/>
      <c r="BM155" s="42"/>
      <c r="BN155" s="42"/>
    </row>
    <row r="156" spans="1:66" ht="12.75" customHeight="1" x14ac:dyDescent="0.2">
      <c r="A156" s="1" t="s">
        <v>415</v>
      </c>
      <c r="B156" s="4">
        <f>_xll.ciqfunctions.udf.CIQ(InputTicker,"IQ_IPRD_SUPPLE",Input!D$2,Date,,,Ccy,Conv)</f>
        <v>0</v>
      </c>
      <c r="C156" s="4">
        <f>_xll.ciqfunctions.udf.CIQ(InputTicker,"IQ_IPRD_SUPPLE",Input!E$2,Date,,,Ccy,Conv)</f>
        <v>0</v>
      </c>
      <c r="D156" s="4">
        <f>_xll.ciqfunctions.udf.CIQ(InputTicker,"IQ_IPRD_SUPPLE",Input!F$2,Date,,,Ccy,Conv)</f>
        <v>0</v>
      </c>
      <c r="E156" s="4">
        <f>_xll.ciqfunctions.udf.CIQ(InputTicker,"IQ_IPRD_SUPPLE",Input!G$2,Date,,,Ccy,Conv)</f>
        <v>0</v>
      </c>
      <c r="F156" s="4">
        <f>_xll.ciqfunctions.udf.CIQ(InputTicker,"IQ_IPRD_SUPPLE",Input!H$2,Date,,,Ccy,Conv)</f>
        <v>0</v>
      </c>
      <c r="G156" s="4">
        <f>_xll.ciqfunctions.udf.CIQ(InputTicker,"IQ_IPRD_SUPPLE",Input!I$2,Date,,,Ccy,Conv)</f>
        <v>0</v>
      </c>
      <c r="H156" s="4">
        <f>_xll.ciqfunctions.udf.CIQ(InputTicker,"IQ_IPRD_SUPPLE",Input!J$2,Date,,,Ccy,Conv)</f>
        <v>0</v>
      </c>
      <c r="I156" s="4">
        <f>_xll.ciqfunctions.udf.CIQ(InputTicker,"IQ_IPRD_SUPPLE",Input!K$2,Date,,,Ccy,Conv)</f>
        <v>0</v>
      </c>
      <c r="J156" s="4">
        <f>_xll.ciqfunctions.udf.CIQ(InputTicker,"IQ_IPRD_SUPPLE",Input!L$2,Date,,,Ccy,Conv)</f>
        <v>0</v>
      </c>
      <c r="K156" s="4">
        <f>_xll.ciqfunctions.udf.CIQ(InputTicker,"IQ_IPRD_SUPPLE",Input!M$2,Date,,,Ccy,Conv)</f>
        <v>0</v>
      </c>
      <c r="L156" s="4">
        <f>_xll.ciqfunctions.udf.CIQ(InputTicker,"IQ_IPRD_SUPPLE",Input!N$2,Date,,,Ccy,Conv)</f>
        <v>0</v>
      </c>
      <c r="M156" s="4">
        <f>_xll.ciqfunctions.udf.CIQ(InputTicker,"IQ_IPRD_SUPPLE",Input!O$2,Date,,,Ccy,Conv)</f>
        <v>0</v>
      </c>
      <c r="N156" s="49"/>
      <c r="P156" s="46"/>
      <c r="Q156" s="46"/>
      <c r="R156" s="46"/>
      <c r="T156" s="42"/>
      <c r="U156" s="42"/>
      <c r="V156" s="46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  <c r="BA156" s="42"/>
      <c r="BB156" s="42"/>
      <c r="BC156" s="42"/>
      <c r="BD156" s="42"/>
      <c r="BE156" s="42"/>
      <c r="BF156" s="42"/>
      <c r="BG156" s="42"/>
      <c r="BH156" s="42"/>
      <c r="BI156" s="42"/>
      <c r="BJ156" s="42"/>
      <c r="BK156" s="42"/>
      <c r="BL156" s="42"/>
      <c r="BM156" s="42"/>
      <c r="BN156" s="42"/>
    </row>
    <row r="157" spans="1:66" ht="12.75" customHeight="1" x14ac:dyDescent="0.2">
      <c r="A157" s="1" t="s">
        <v>464</v>
      </c>
      <c r="B157" s="4">
        <f>_xll.ciqfunctions.udf.CIQ(InputTicker,"IQ_GAIN_BARGAIN_ACQ",Input!D$2,Date,,,Ccy,Conv)</f>
        <v>0</v>
      </c>
      <c r="C157" s="4">
        <f>_xll.ciqfunctions.udf.CIQ(InputTicker,"IQ_GAIN_BARGAIN_ACQ",Input!E$2,Date,,,Ccy,Conv)</f>
        <v>0</v>
      </c>
      <c r="D157" s="4">
        <f>_xll.ciqfunctions.udf.CIQ(InputTicker,"IQ_GAIN_BARGAIN_ACQ",Input!F$2,Date,,,Ccy,Conv)</f>
        <v>0</v>
      </c>
      <c r="E157" s="4">
        <f>_xll.ciqfunctions.udf.CIQ(InputTicker,"IQ_GAIN_BARGAIN_ACQ",Input!G$2,Date,,,Ccy,Conv)</f>
        <v>0</v>
      </c>
      <c r="F157" s="4">
        <f>_xll.ciqfunctions.udf.CIQ(InputTicker,"IQ_GAIN_BARGAIN_ACQ",Input!H$2,Date,,,Ccy,Conv)</f>
        <v>0</v>
      </c>
      <c r="G157" s="4">
        <f>_xll.ciqfunctions.udf.CIQ(InputTicker,"IQ_GAIN_BARGAIN_ACQ",Input!I$2,Date,,,Ccy,Conv)</f>
        <v>0</v>
      </c>
      <c r="H157" s="4">
        <f>_xll.ciqfunctions.udf.CIQ(InputTicker,"IQ_GAIN_BARGAIN_ACQ",Input!J$2,Date,,,Ccy,Conv)</f>
        <v>0</v>
      </c>
      <c r="I157" s="4">
        <f>_xll.ciqfunctions.udf.CIQ(InputTicker,"IQ_GAIN_BARGAIN_ACQ",Input!K$2,Date,,,Ccy,Conv)</f>
        <v>0</v>
      </c>
      <c r="J157" s="4">
        <f>_xll.ciqfunctions.udf.CIQ(InputTicker,"IQ_GAIN_BARGAIN_ACQ",Input!L$2,Date,,,Ccy,Conv)</f>
        <v>0</v>
      </c>
      <c r="K157" s="4">
        <f>_xll.ciqfunctions.udf.CIQ(InputTicker,"IQ_GAIN_BARGAIN_ACQ",Input!M$2,Date,,,Ccy,Conv)</f>
        <v>0</v>
      </c>
      <c r="L157" s="4">
        <f>_xll.ciqfunctions.udf.CIQ(InputTicker,"IQ_GAIN_BARGAIN_ACQ",Input!N$2,Date,,,Ccy,Conv)</f>
        <v>0</v>
      </c>
      <c r="M157" s="4">
        <f>_xll.ciqfunctions.udf.CIQ(InputTicker,"IQ_GAIN_BARGAIN_ACQ",Input!O$2,Date,,,Ccy,Conv)</f>
        <v>0</v>
      </c>
      <c r="N157" s="49"/>
      <c r="P157" s="46"/>
      <c r="Q157" s="46"/>
      <c r="R157" s="46"/>
      <c r="T157" s="42"/>
      <c r="U157" s="42"/>
      <c r="V157" s="46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  <c r="BA157" s="42"/>
      <c r="BB157" s="42"/>
      <c r="BC157" s="42"/>
      <c r="BD157" s="42"/>
      <c r="BE157" s="42"/>
      <c r="BF157" s="42"/>
      <c r="BG157" s="42"/>
      <c r="BH157" s="42"/>
      <c r="BI157" s="42"/>
      <c r="BJ157" s="42"/>
      <c r="BK157" s="42"/>
      <c r="BL157" s="42"/>
      <c r="BM157" s="42"/>
      <c r="BN157" s="42"/>
    </row>
    <row r="158" spans="1:66" ht="12.75" customHeight="1" x14ac:dyDescent="0.2">
      <c r="A158" s="1" t="s">
        <v>465</v>
      </c>
      <c r="B158" s="4">
        <f>_xll.ciqfunctions.udf.CIQ(InputTicker,"IQ_GAIN_BARGAIN_ACQ_SUPPLE",Input!D$2,Date,,,Ccy,Conv)</f>
        <v>0</v>
      </c>
      <c r="C158" s="4">
        <f>_xll.ciqfunctions.udf.CIQ(InputTicker,"IQ_GAIN_BARGAIN_ACQ_SUPPLE",Input!E$2,Date,,,Ccy,Conv)</f>
        <v>0</v>
      </c>
      <c r="D158" s="4">
        <f>_xll.ciqfunctions.udf.CIQ(InputTicker,"IQ_GAIN_BARGAIN_ACQ_SUPPLE",Input!F$2,Date,,,Ccy,Conv)</f>
        <v>0</v>
      </c>
      <c r="E158" s="4">
        <f>_xll.ciqfunctions.udf.CIQ(InputTicker,"IQ_GAIN_BARGAIN_ACQ_SUPPLE",Input!G$2,Date,,,Ccy,Conv)</f>
        <v>0</v>
      </c>
      <c r="F158" s="4">
        <f>_xll.ciqfunctions.udf.CIQ(InputTicker,"IQ_GAIN_BARGAIN_ACQ_SUPPLE",Input!H$2,Date,,,Ccy,Conv)</f>
        <v>0</v>
      </c>
      <c r="G158" s="4">
        <f>_xll.ciqfunctions.udf.CIQ(InputTicker,"IQ_GAIN_BARGAIN_ACQ_SUPPLE",Input!I$2,Date,,,Ccy,Conv)</f>
        <v>0</v>
      </c>
      <c r="H158" s="4">
        <f>_xll.ciqfunctions.udf.CIQ(InputTicker,"IQ_GAIN_BARGAIN_ACQ_SUPPLE",Input!J$2,Date,,,Ccy,Conv)</f>
        <v>0</v>
      </c>
      <c r="I158" s="4">
        <f>_xll.ciqfunctions.udf.CIQ(InputTicker,"IQ_GAIN_BARGAIN_ACQ_SUPPLE",Input!K$2,Date,,,Ccy,Conv)</f>
        <v>0</v>
      </c>
      <c r="J158" s="4">
        <f>_xll.ciqfunctions.udf.CIQ(InputTicker,"IQ_GAIN_BARGAIN_ACQ_SUPPLE",Input!L$2,Date,,,Ccy,Conv)</f>
        <v>0</v>
      </c>
      <c r="K158" s="4">
        <f>_xll.ciqfunctions.udf.CIQ(InputTicker,"IQ_GAIN_BARGAIN_ACQ_SUPPLE",Input!M$2,Date,,,Ccy,Conv)</f>
        <v>0</v>
      </c>
      <c r="L158" s="4">
        <f>_xll.ciqfunctions.udf.CIQ(InputTicker,"IQ_GAIN_BARGAIN_ACQ_SUPPLE",Input!N$2,Date,,,Ccy,Conv)</f>
        <v>0</v>
      </c>
      <c r="M158" s="4">
        <f>_xll.ciqfunctions.udf.CIQ(InputTicker,"IQ_GAIN_BARGAIN_ACQ_SUPPLE",Input!O$2,Date,,,Ccy,Conv)</f>
        <v>0</v>
      </c>
      <c r="N158" s="49"/>
      <c r="P158" s="46"/>
      <c r="Q158" s="46"/>
      <c r="R158" s="46"/>
      <c r="T158" s="42"/>
      <c r="U158" s="42"/>
      <c r="V158" s="46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  <c r="BA158" s="42"/>
      <c r="BB158" s="42"/>
      <c r="BC158" s="42"/>
      <c r="BD158" s="42"/>
      <c r="BE158" s="42"/>
      <c r="BF158" s="42"/>
      <c r="BG158" s="42"/>
      <c r="BH158" s="42"/>
      <c r="BI158" s="42"/>
      <c r="BJ158" s="42"/>
      <c r="BK158" s="42"/>
      <c r="BL158" s="42"/>
      <c r="BM158" s="42"/>
      <c r="BN158" s="42"/>
    </row>
    <row r="159" spans="1:66" ht="12.75" customHeight="1" x14ac:dyDescent="0.2">
      <c r="A159" s="1" t="s">
        <v>416</v>
      </c>
      <c r="B159" s="4">
        <f>_xll.ciqfunctions.udf.CIQ(InputTicker,"IQ_INS_SETTLE_SUPPLE",Input!D$2,Date,,,Ccy,Conv)</f>
        <v>0</v>
      </c>
      <c r="C159" s="4">
        <f>_xll.ciqfunctions.udf.CIQ(InputTicker,"IQ_INS_SETTLE_SUPPLE",Input!E$2,Date,,,Ccy,Conv)</f>
        <v>0</v>
      </c>
      <c r="D159" s="4">
        <f>_xll.ciqfunctions.udf.CIQ(InputTicker,"IQ_INS_SETTLE_SUPPLE",Input!F$2,Date,,,Ccy,Conv)</f>
        <v>0</v>
      </c>
      <c r="E159" s="4">
        <f>_xll.ciqfunctions.udf.CIQ(InputTicker,"IQ_INS_SETTLE_SUPPLE",Input!G$2,Date,,,Ccy,Conv)</f>
        <v>0</v>
      </c>
      <c r="F159" s="4">
        <f>_xll.ciqfunctions.udf.CIQ(InputTicker,"IQ_INS_SETTLE_SUPPLE",Input!H$2,Date,,,Ccy,Conv)</f>
        <v>0</v>
      </c>
      <c r="G159" s="4">
        <f>_xll.ciqfunctions.udf.CIQ(InputTicker,"IQ_INS_SETTLE_SUPPLE",Input!I$2,Date,,,Ccy,Conv)</f>
        <v>0</v>
      </c>
      <c r="H159" s="4">
        <f>_xll.ciqfunctions.udf.CIQ(InputTicker,"IQ_INS_SETTLE_SUPPLE",Input!J$2,Date,,,Ccy,Conv)</f>
        <v>0</v>
      </c>
      <c r="I159" s="4">
        <f>_xll.ciqfunctions.udf.CIQ(InputTicker,"IQ_INS_SETTLE_SUPPLE",Input!K$2,Date,,,Ccy,Conv)</f>
        <v>0</v>
      </c>
      <c r="J159" s="4">
        <f>_xll.ciqfunctions.udf.CIQ(InputTicker,"IQ_INS_SETTLE_SUPPLE",Input!L$2,Date,,,Ccy,Conv)</f>
        <v>0</v>
      </c>
      <c r="K159" s="4">
        <f>_xll.ciqfunctions.udf.CIQ(InputTicker,"IQ_INS_SETTLE_SUPPLE",Input!M$2,Date,,,Ccy,Conv)</f>
        <v>0</v>
      </c>
      <c r="L159" s="4">
        <f>_xll.ciqfunctions.udf.CIQ(InputTicker,"IQ_INS_SETTLE_SUPPLE",Input!N$2,Date,,,Ccy,Conv)</f>
        <v>0</v>
      </c>
      <c r="M159" s="4">
        <f>_xll.ciqfunctions.udf.CIQ(InputTicker,"IQ_INS_SETTLE_SUPPLE",Input!O$2,Date,,,Ccy,Conv)</f>
        <v>0</v>
      </c>
      <c r="N159" s="49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  <c r="BA159" s="42"/>
      <c r="BB159" s="42"/>
      <c r="BC159" s="42"/>
      <c r="BD159" s="42"/>
      <c r="BE159" s="42"/>
      <c r="BF159" s="42"/>
      <c r="BG159" s="42"/>
      <c r="BH159" s="42"/>
      <c r="BI159" s="42"/>
      <c r="BJ159" s="42"/>
      <c r="BK159" s="42"/>
      <c r="BL159" s="42"/>
      <c r="BM159" s="42"/>
      <c r="BN159" s="42"/>
    </row>
    <row r="160" spans="1:66" ht="12.75" customHeight="1" x14ac:dyDescent="0.2">
      <c r="A160" s="1" t="s">
        <v>417</v>
      </c>
      <c r="B160" s="4">
        <f>_xll.ciqfunctions.udf.CIQ(InputTicker,"IQ_LEGAL_SETTLE_SUPPLE",Input!D$2,Date,,,Ccy,Conv)</f>
        <v>0</v>
      </c>
      <c r="C160" s="4">
        <f>_xll.ciqfunctions.udf.CIQ(InputTicker,"IQ_LEGAL_SETTLE_SUPPLE",Input!E$2,Date,,,Ccy,Conv)</f>
        <v>0</v>
      </c>
      <c r="D160" s="4">
        <f>_xll.ciqfunctions.udf.CIQ(InputTicker,"IQ_LEGAL_SETTLE_SUPPLE",Input!F$2,Date,,,Ccy,Conv)</f>
        <v>91</v>
      </c>
      <c r="E160" s="4">
        <f>_xll.ciqfunctions.udf.CIQ(InputTicker,"IQ_LEGAL_SETTLE_SUPPLE",Input!G$2,Date,,,Ccy,Conv)</f>
        <v>0</v>
      </c>
      <c r="F160" s="4">
        <f>_xll.ciqfunctions.udf.CIQ(InputTicker,"IQ_LEGAL_SETTLE_SUPPLE",Input!H$2,Date,,,Ccy,Conv)</f>
        <v>0</v>
      </c>
      <c r="G160" s="4">
        <f>_xll.ciqfunctions.udf.CIQ(InputTicker,"IQ_LEGAL_SETTLE_SUPPLE",Input!I$2,Date,,,Ccy,Conv)</f>
        <v>0</v>
      </c>
      <c r="H160" s="4">
        <f>_xll.ciqfunctions.udf.CIQ(InputTicker,"IQ_LEGAL_SETTLE_SUPPLE",Input!J$2,Date,,,Ccy,Conv)</f>
        <v>0</v>
      </c>
      <c r="I160" s="4">
        <f>_xll.ciqfunctions.udf.CIQ(InputTicker,"IQ_LEGAL_SETTLE_SUPPLE",Input!K$2,Date,,,Ccy,Conv)</f>
        <v>0</v>
      </c>
      <c r="J160" s="4">
        <f>_xll.ciqfunctions.udf.CIQ(InputTicker,"IQ_LEGAL_SETTLE_SUPPLE",Input!L$2,Date,,,Ccy,Conv)</f>
        <v>0</v>
      </c>
      <c r="K160" s="4">
        <f>_xll.ciqfunctions.udf.CIQ(InputTicker,"IQ_LEGAL_SETTLE_SUPPLE",Input!M$2,Date,,,Ccy,Conv)</f>
        <v>0</v>
      </c>
      <c r="L160" s="4">
        <f>_xll.ciqfunctions.udf.CIQ(InputTicker,"IQ_LEGAL_SETTLE_SUPPLE",Input!N$2,Date,,,Ccy,Conv)</f>
        <v>0</v>
      </c>
      <c r="M160" s="4">
        <f>_xll.ciqfunctions.udf.CIQ(InputTicker,"IQ_LEGAL_SETTLE_SUPPLE",Input!O$2,Date,,,Ccy,Conv)</f>
        <v>0</v>
      </c>
      <c r="N160" s="49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  <c r="BA160" s="42"/>
      <c r="BB160" s="42"/>
      <c r="BC160" s="42"/>
      <c r="BD160" s="42"/>
      <c r="BE160" s="42"/>
      <c r="BF160" s="42"/>
      <c r="BG160" s="42"/>
      <c r="BH160" s="42"/>
      <c r="BI160" s="42"/>
      <c r="BJ160" s="42"/>
      <c r="BK160" s="42"/>
      <c r="BL160" s="42"/>
      <c r="BM160" s="42"/>
      <c r="BN160" s="42"/>
    </row>
    <row r="161" spans="1:66" ht="12.75" customHeight="1" x14ac:dyDescent="0.2">
      <c r="A161" s="1" t="s">
        <v>418</v>
      </c>
      <c r="B161" s="4">
        <f>_xll.ciqfunctions.udf.CIQ(InputTicker,"IQ_OTHER_UNUSUAL_SUPPLE",Input!D$2,Date,,,Ccy,Conv)</f>
        <v>0</v>
      </c>
      <c r="C161" s="4">
        <f>_xll.ciqfunctions.udf.CIQ(InputTicker,"IQ_OTHER_UNUSUAL_SUPPLE",Input!E$2,Date,,,Ccy,Conv)</f>
        <v>0</v>
      </c>
      <c r="D161" s="4">
        <f>_xll.ciqfunctions.udf.CIQ(InputTicker,"IQ_OTHER_UNUSUAL_SUPPLE",Input!F$2,Date,,,Ccy,Conv)</f>
        <v>0</v>
      </c>
      <c r="E161" s="4">
        <f>_xll.ciqfunctions.udf.CIQ(InputTicker,"IQ_OTHER_UNUSUAL_SUPPLE",Input!G$2,Date,,,Ccy,Conv)</f>
        <v>0</v>
      </c>
      <c r="F161" s="4">
        <f>_xll.ciqfunctions.udf.CIQ(InputTicker,"IQ_OTHER_UNUSUAL_SUPPLE",Input!H$2,Date,,,Ccy,Conv)</f>
        <v>0</v>
      </c>
      <c r="G161" s="4">
        <f>_xll.ciqfunctions.udf.CIQ(InputTicker,"IQ_OTHER_UNUSUAL_SUPPLE",Input!I$2,Date,,,Ccy,Conv)</f>
        <v>0</v>
      </c>
      <c r="H161" s="4">
        <f>_xll.ciqfunctions.udf.CIQ(InputTicker,"IQ_OTHER_UNUSUAL_SUPPLE",Input!J$2,Date,,,Ccy,Conv)</f>
        <v>0</v>
      </c>
      <c r="I161" s="4">
        <f>_xll.ciqfunctions.udf.CIQ(InputTicker,"IQ_OTHER_UNUSUAL_SUPPLE",Input!K$2,Date,,,Ccy,Conv)</f>
        <v>0</v>
      </c>
      <c r="J161" s="4">
        <f>_xll.ciqfunctions.udf.CIQ(InputTicker,"IQ_OTHER_UNUSUAL_SUPPLE",Input!L$2,Date,,,Ccy,Conv)</f>
        <v>0</v>
      </c>
      <c r="K161" s="4">
        <f>_xll.ciqfunctions.udf.CIQ(InputTicker,"IQ_OTHER_UNUSUAL_SUPPLE",Input!M$2,Date,,,Ccy,Conv)</f>
        <v>0</v>
      </c>
      <c r="L161" s="4">
        <f>_xll.ciqfunctions.udf.CIQ(InputTicker,"IQ_OTHER_UNUSUAL_SUPPLE",Input!N$2,Date,,,Ccy,Conv)</f>
        <v>0</v>
      </c>
      <c r="M161" s="4">
        <f>_xll.ciqfunctions.udf.CIQ(InputTicker,"IQ_OTHER_UNUSUAL_SUPPLE",Input!O$2,Date,,,Ccy,Conv)</f>
        <v>0</v>
      </c>
      <c r="N161" s="49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  <c r="BA161" s="42"/>
      <c r="BB161" s="42"/>
      <c r="BC161" s="42"/>
      <c r="BD161" s="42"/>
      <c r="BE161" s="42"/>
      <c r="BF161" s="42"/>
      <c r="BG161" s="42"/>
      <c r="BH161" s="42"/>
      <c r="BI161" s="42"/>
      <c r="BJ161" s="42"/>
      <c r="BK161" s="42"/>
      <c r="BL161" s="42"/>
      <c r="BM161" s="42"/>
      <c r="BN161" s="42"/>
    </row>
    <row r="162" spans="1:66" ht="12.75" customHeight="1" x14ac:dyDescent="0.2">
      <c r="A162" s="1" t="s">
        <v>410</v>
      </c>
      <c r="B162" s="4">
        <f>_xll.ciqfunctions.udf.CIQ(InputTicker,"IQ_TOTAL_UNUSUAL_SUPPLE",Input!D$2,Date,,,Ccy,Conv)</f>
        <v>0</v>
      </c>
      <c r="C162" s="4">
        <f>_xll.ciqfunctions.udf.CIQ(InputTicker,"IQ_TOTAL_UNUSUAL_SUPPLE",Input!E$2,Date,,,Ccy,Conv)</f>
        <v>0</v>
      </c>
      <c r="D162" s="4">
        <f>_xll.ciqfunctions.udf.CIQ(InputTicker,"IQ_TOTAL_UNUSUAL_SUPPLE",Input!F$2,Date,,,Ccy,Conv)</f>
        <v>91</v>
      </c>
      <c r="E162" s="4">
        <f>_xll.ciqfunctions.udf.CIQ(InputTicker,"IQ_TOTAL_UNUSUAL_SUPPLE",Input!G$2,Date,,,Ccy,Conv)</f>
        <v>-16</v>
      </c>
      <c r="F162" s="4">
        <f>_xll.ciqfunctions.udf.CIQ(InputTicker,"IQ_TOTAL_UNUSUAL_SUPPLE",Input!H$2,Date,,,Ccy,Conv)</f>
        <v>-423</v>
      </c>
      <c r="G162" s="4">
        <f>_xll.ciqfunctions.udf.CIQ(InputTicker,"IQ_TOTAL_UNUSUAL_SUPPLE",Input!I$2,Date,,,Ccy,Conv)</f>
        <v>-13</v>
      </c>
      <c r="H162" s="4">
        <f>_xll.ciqfunctions.udf.CIQ(InputTicker,"IQ_TOTAL_UNUSUAL_SUPPLE",Input!J$2,Date,,,Ccy,Conv)</f>
        <v>0</v>
      </c>
      <c r="I162" s="4">
        <f>_xll.ciqfunctions.udf.CIQ(InputTicker,"IQ_TOTAL_UNUSUAL_SUPPLE",Input!K$2,Date,,,Ccy,Conv)</f>
        <v>0</v>
      </c>
      <c r="J162" s="4">
        <f>_xll.ciqfunctions.udf.CIQ(InputTicker,"IQ_TOTAL_UNUSUAL_SUPPLE",Input!L$2,Date,,,Ccy,Conv)</f>
        <v>0</v>
      </c>
      <c r="K162" s="4">
        <f>_xll.ciqfunctions.udf.CIQ(InputTicker,"IQ_TOTAL_UNUSUAL_SUPPLE",Input!M$2,Date,,,Ccy,Conv)</f>
        <v>0</v>
      </c>
      <c r="L162" s="4">
        <f>_xll.ciqfunctions.udf.CIQ(InputTicker,"IQ_TOTAL_UNUSUAL_SUPPLE",Input!N$2,Date,,,Ccy,Conv)</f>
        <v>0</v>
      </c>
      <c r="M162" s="4">
        <f>_xll.ciqfunctions.udf.CIQ(InputTicker,"IQ_TOTAL_UNUSUAL_SUPPLE",Input!O$2,Date,,,Ccy,Conv)</f>
        <v>0</v>
      </c>
      <c r="N162" s="49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  <c r="BA162" s="42"/>
      <c r="BB162" s="42"/>
      <c r="BC162" s="42"/>
      <c r="BD162" s="42"/>
      <c r="BE162" s="42"/>
      <c r="BF162" s="42"/>
      <c r="BG162" s="42"/>
      <c r="BH162" s="42"/>
      <c r="BI162" s="42"/>
      <c r="BJ162" s="42"/>
      <c r="BK162" s="42"/>
      <c r="BL162" s="42"/>
      <c r="BM162" s="42"/>
      <c r="BN162" s="42"/>
    </row>
    <row r="163" spans="1:66" ht="12.75" customHeight="1" x14ac:dyDescent="0.2">
      <c r="A163" s="1" t="s">
        <v>40</v>
      </c>
      <c r="B163" s="4">
        <f>_xll.ciqfunctions.udf.CIQ(InputTicker,"IQ_NEGATIVE_GW_AMORT",Input!D$2,Date,,,Ccy,Conv)</f>
        <v>0</v>
      </c>
      <c r="C163" s="4">
        <f>_xll.ciqfunctions.udf.CIQ(InputTicker,"IQ_NEGATIVE_GW_AMORT",Input!E$2,Date,,,Ccy,Conv)</f>
        <v>0</v>
      </c>
      <c r="D163" s="4">
        <f>_xll.ciqfunctions.udf.CIQ(InputTicker,"IQ_NEGATIVE_GW_AMORT",Input!F$2,Date,,,Ccy,Conv)</f>
        <v>0</v>
      </c>
      <c r="E163" s="4">
        <f>_xll.ciqfunctions.udf.CIQ(InputTicker,"IQ_NEGATIVE_GW_AMORT",Input!G$2,Date,,,Ccy,Conv)</f>
        <v>0</v>
      </c>
      <c r="F163" s="4">
        <f>_xll.ciqfunctions.udf.CIQ(InputTicker,"IQ_NEGATIVE_GW_AMORT",Input!H$2,Date,,,Ccy,Conv)</f>
        <v>0</v>
      </c>
      <c r="G163" s="4">
        <f>_xll.ciqfunctions.udf.CIQ(InputTicker,"IQ_NEGATIVE_GW_AMORT",Input!I$2,Date,,,Ccy,Conv)</f>
        <v>0</v>
      </c>
      <c r="H163" s="4">
        <f>_xll.ciqfunctions.udf.CIQ(InputTicker,"IQ_NEGATIVE_GW_AMORT",Input!J$2,Date,,,Ccy,Conv)</f>
        <v>0</v>
      </c>
      <c r="I163" s="4">
        <f>_xll.ciqfunctions.udf.CIQ(InputTicker,"IQ_NEGATIVE_GW_AMORT",Input!K$2,Date,,,Ccy,Conv)</f>
        <v>0</v>
      </c>
      <c r="J163" s="4">
        <f>_xll.ciqfunctions.udf.CIQ(InputTicker,"IQ_NEGATIVE_GW_AMORT",Input!L$2,Date,,,Ccy,Conv)</f>
        <v>0</v>
      </c>
      <c r="K163" s="4">
        <f>_xll.ciqfunctions.udf.CIQ(InputTicker,"IQ_NEGATIVE_GW_AMORT",Input!M$2,Date,,,Ccy,Conv)</f>
        <v>0</v>
      </c>
      <c r="L163" s="4">
        <f>_xll.ciqfunctions.udf.CIQ(InputTicker,"IQ_NEGATIVE_GW_AMORT",Input!N$2,Date,,,Ccy,Conv)</f>
        <v>0</v>
      </c>
      <c r="M163" s="4">
        <f>_xll.ciqfunctions.udf.CIQ(InputTicker,"IQ_NEGATIVE_GW_AMORT",Input!O$2,Date,,,Ccy,Conv)</f>
        <v>0</v>
      </c>
      <c r="N163" s="49"/>
      <c r="P163" s="51"/>
      <c r="Q163" s="51"/>
      <c r="R163" s="51"/>
      <c r="T163" s="42"/>
      <c r="U163" s="42"/>
      <c r="V163" s="51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  <c r="BA163" s="42"/>
      <c r="BB163" s="42"/>
      <c r="BC163" s="42"/>
      <c r="BD163" s="42"/>
      <c r="BE163" s="42"/>
      <c r="BF163" s="42"/>
      <c r="BG163" s="42"/>
      <c r="BH163" s="42"/>
      <c r="BI163" s="42"/>
      <c r="BJ163" s="42"/>
      <c r="BK163" s="42"/>
      <c r="BL163" s="42"/>
      <c r="BM163" s="42"/>
      <c r="BN163" s="42"/>
    </row>
    <row r="164" spans="1:66" ht="12.75" customHeight="1" x14ac:dyDescent="0.2">
      <c r="A164" s="1" t="s">
        <v>41</v>
      </c>
      <c r="B164" s="4">
        <f>_xll.ciqfunctions.udf.CIQ(InputTicker,"IQ_NEGATIVE_GW_AMORT_AT",Input!D$2,Date,,,Ccy,Conv)</f>
        <v>0</v>
      </c>
      <c r="C164" s="4">
        <f>_xll.ciqfunctions.udf.CIQ(InputTicker,"IQ_NEGATIVE_GW_AMORT_AT",Input!E$2,Date,,,Ccy,Conv)</f>
        <v>0</v>
      </c>
      <c r="D164" s="4">
        <f>_xll.ciqfunctions.udf.CIQ(InputTicker,"IQ_NEGATIVE_GW_AMORT_AT",Input!F$2,Date,,,Ccy,Conv)</f>
        <v>0</v>
      </c>
      <c r="E164" s="4">
        <f>_xll.ciqfunctions.udf.CIQ(InputTicker,"IQ_NEGATIVE_GW_AMORT_AT",Input!G$2,Date,,,Ccy,Conv)</f>
        <v>0</v>
      </c>
      <c r="F164" s="4">
        <f>_xll.ciqfunctions.udf.CIQ(InputTicker,"IQ_NEGATIVE_GW_AMORT_AT",Input!H$2,Date,,,Ccy,Conv)</f>
        <v>0</v>
      </c>
      <c r="G164" s="4">
        <f>_xll.ciqfunctions.udf.CIQ(InputTicker,"IQ_NEGATIVE_GW_AMORT_AT",Input!I$2,Date,,,Ccy,Conv)</f>
        <v>0</v>
      </c>
      <c r="H164" s="4">
        <f>_xll.ciqfunctions.udf.CIQ(InputTicker,"IQ_NEGATIVE_GW_AMORT_AT",Input!J$2,Date,,,Ccy,Conv)</f>
        <v>0</v>
      </c>
      <c r="I164" s="4">
        <f>_xll.ciqfunctions.udf.CIQ(InputTicker,"IQ_NEGATIVE_GW_AMORT_AT",Input!K$2,Date,,,Ccy,Conv)</f>
        <v>0</v>
      </c>
      <c r="J164" s="4">
        <f>_xll.ciqfunctions.udf.CIQ(InputTicker,"IQ_NEGATIVE_GW_AMORT_AT",Input!L$2,Date,,,Ccy,Conv)</f>
        <v>0</v>
      </c>
      <c r="K164" s="4">
        <f>_xll.ciqfunctions.udf.CIQ(InputTicker,"IQ_NEGATIVE_GW_AMORT_AT",Input!M$2,Date,,,Ccy,Conv)</f>
        <v>0</v>
      </c>
      <c r="L164" s="4">
        <f>_xll.ciqfunctions.udf.CIQ(InputTicker,"IQ_NEGATIVE_GW_AMORT_AT",Input!N$2,Date,,,Ccy,Conv)</f>
        <v>0</v>
      </c>
      <c r="M164" s="4">
        <f>_xll.ciqfunctions.udf.CIQ(InputTicker,"IQ_NEGATIVE_GW_AMORT_AT",Input!O$2,Date,,,Ccy,Conv)</f>
        <v>0</v>
      </c>
      <c r="N164" s="49"/>
      <c r="P164" s="51"/>
      <c r="Q164" s="51"/>
      <c r="R164" s="51"/>
      <c r="T164" s="42"/>
      <c r="U164" s="42"/>
      <c r="V164" s="51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  <c r="BA164" s="42"/>
      <c r="BB164" s="42"/>
      <c r="BC164" s="42"/>
      <c r="BD164" s="42"/>
      <c r="BE164" s="42"/>
      <c r="BF164" s="42"/>
      <c r="BG164" s="42"/>
      <c r="BH164" s="42"/>
      <c r="BI164" s="42"/>
      <c r="BJ164" s="42"/>
      <c r="BK164" s="42"/>
      <c r="BL164" s="42"/>
      <c r="BM164" s="42"/>
      <c r="BN164" s="42"/>
    </row>
    <row r="165" spans="1:66" ht="12.75" customHeight="1" x14ac:dyDescent="0.2">
      <c r="A165" s="1" t="s">
        <v>336</v>
      </c>
      <c r="B165" s="4">
        <f>_xll.ciqfunctions.udf.CIQ(InputTicker, "IQ_STOCK_BASED_COGS",Input!D$2,Date,,,Ccy,Conv)</f>
        <v>100</v>
      </c>
      <c r="C165" s="4">
        <f>_xll.ciqfunctions.udf.CIQ(InputTicker, "IQ_STOCK_BASED_COGS",Input!E$2,Date,,,Ccy,Conv)</f>
        <v>88</v>
      </c>
      <c r="D165" s="4">
        <f>_xll.ciqfunctions.udf.CIQ(InputTicker, "IQ_STOCK_BASED_COGS",Input!F$2,Date,,,Ccy,Conv)</f>
        <v>91</v>
      </c>
      <c r="E165" s="4">
        <f>_xll.ciqfunctions.udf.CIQ(InputTicker, "IQ_STOCK_BASED_COGS",Input!G$2,Date,,,Ccy,Conv)</f>
        <v>82</v>
      </c>
      <c r="F165" s="4">
        <f>_xll.ciqfunctions.udf.CIQ(InputTicker, "IQ_STOCK_BASED_COGS",Input!H$2,Date,,,Ccy,Conv)</f>
        <v>85</v>
      </c>
      <c r="G165" s="4">
        <f>_xll.ciqfunctions.udf.CIQ(InputTicker, "IQ_STOCK_BASED_COGS",Input!I$2,Date,,,Ccy,Conv)</f>
        <v>126</v>
      </c>
      <c r="H165" s="4">
        <f>_xll.ciqfunctions.udf.CIQ(InputTicker, "IQ_STOCK_BASED_COGS",Input!J$2,Date,,,Ccy,Conv)</f>
        <v>145</v>
      </c>
      <c r="I165" s="4">
        <f>_xll.ciqfunctions.udf.CIQ(InputTicker, "IQ_STOCK_BASED_COGS",Input!K$2,Date,,,Ccy,Conv)</f>
        <v>164</v>
      </c>
      <c r="J165" s="4">
        <f>_xll.ciqfunctions.udf.CIQ(InputTicker, "IQ_STOCK_BASED_COGS",Input!L$2,Date,,,Ccy,Conv)</f>
        <v>190</v>
      </c>
      <c r="K165" s="4">
        <f>_xll.ciqfunctions.udf.CIQ(InputTicker, "IQ_STOCK_BASED_COGS",Input!M$2,Date,,,Ccy,Conv)</f>
        <v>223</v>
      </c>
      <c r="L165" s="4">
        <f>_xll.ciqfunctions.udf.CIQ(InputTicker, "IQ_STOCK_BASED_COGS",Input!N$2,Date,,,Ccy,Conv)</f>
        <v>269</v>
      </c>
      <c r="M165" s="4">
        <f>_xll.ciqfunctions.udf.CIQ(InputTicker, "IQ_STOCK_BASED_COGS",Input!O$2,Date,,,Ccy,Conv)</f>
        <v>269</v>
      </c>
      <c r="N165" s="49"/>
      <c r="P165" s="51"/>
      <c r="Q165" s="51"/>
      <c r="R165" s="51"/>
      <c r="T165" s="42"/>
      <c r="U165" s="42"/>
      <c r="V165" s="51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  <c r="BA165" s="42"/>
      <c r="BB165" s="42"/>
      <c r="BC165" s="42"/>
      <c r="BD165" s="42"/>
      <c r="BE165" s="42"/>
      <c r="BF165" s="42"/>
      <c r="BG165" s="42"/>
      <c r="BH165" s="42"/>
      <c r="BI165" s="42"/>
      <c r="BJ165" s="42"/>
      <c r="BK165" s="42"/>
      <c r="BL165" s="42"/>
      <c r="BM165" s="42"/>
      <c r="BN165" s="42"/>
    </row>
    <row r="166" spans="1:66" ht="12.75" customHeight="1" x14ac:dyDescent="0.2">
      <c r="A166" s="1" t="s">
        <v>337</v>
      </c>
      <c r="B166" s="4">
        <f>_xll.ciqfunctions.udf.CIQ(InputTicker, "IQ_STOCK_BASED_RD",Input!D$2,Date,,,Ccy,Conv)</f>
        <v>51</v>
      </c>
      <c r="C166" s="4">
        <f>_xll.ciqfunctions.udf.CIQ(InputTicker, "IQ_STOCK_BASED_RD",Input!E$2,Date,,,Ccy,Conv)</f>
        <v>55</v>
      </c>
      <c r="D166" s="4">
        <f>_xll.ciqfunctions.udf.CIQ(InputTicker, "IQ_STOCK_BASED_RD",Input!F$2,Date,,,Ccy,Conv)</f>
        <v>59</v>
      </c>
      <c r="E166" s="4">
        <f>_xll.ciqfunctions.udf.CIQ(InputTicker, "IQ_STOCK_BASED_RD",Input!G$2,Date,,,Ccy,Conv)</f>
        <v>67</v>
      </c>
      <c r="F166" s="4">
        <f>_xll.ciqfunctions.udf.CIQ(InputTicker, "IQ_STOCK_BASED_RD",Input!H$2,Date,,,Ccy,Conv)</f>
        <v>125</v>
      </c>
      <c r="G166" s="4">
        <f>_xll.ciqfunctions.udf.CIQ(InputTicker, "IQ_STOCK_BASED_RD",Input!I$2,Date,,,Ccy,Conv)</f>
        <v>197</v>
      </c>
      <c r="H166" s="4">
        <f>_xll.ciqfunctions.udf.CIQ(InputTicker, "IQ_STOCK_BASED_RD",Input!J$2,Date,,,Ccy,Conv)</f>
        <v>218</v>
      </c>
      <c r="I166" s="4">
        <f>_xll.ciqfunctions.udf.CIQ(InputTicker, "IQ_STOCK_BASED_RD",Input!K$2,Date,,,Ccy,Conv)</f>
        <v>258</v>
      </c>
      <c r="J166" s="4">
        <f>_xll.ciqfunctions.udf.CIQ(InputTicker, "IQ_STOCK_BASED_RD",Input!L$2,Date,,,Ccy,Conv)</f>
        <v>328</v>
      </c>
      <c r="K166" s="4">
        <f>_xll.ciqfunctions.udf.CIQ(InputTicker, "IQ_STOCK_BASED_RD",Input!M$2,Date,,,Ccy,Conv)</f>
        <v>398</v>
      </c>
      <c r="L166" s="4">
        <f>_xll.ciqfunctions.udf.CIQ(InputTicker, "IQ_STOCK_BASED_RD",Input!N$2,Date,,,Ccy,Conv)</f>
        <v>542</v>
      </c>
      <c r="M166" s="4">
        <f>_xll.ciqfunctions.udf.CIQ(InputTicker, "IQ_STOCK_BASED_RD",Input!O$2,Date,,,Ccy,Conv)</f>
        <v>542</v>
      </c>
      <c r="N166" s="49"/>
      <c r="P166" s="51"/>
      <c r="Q166" s="51"/>
      <c r="R166" s="51"/>
      <c r="T166" s="42"/>
      <c r="U166" s="42"/>
      <c r="V166" s="51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  <c r="BA166" s="42"/>
      <c r="BB166" s="42"/>
      <c r="BC166" s="42"/>
      <c r="BD166" s="42"/>
      <c r="BE166" s="42"/>
      <c r="BF166" s="42"/>
      <c r="BG166" s="42"/>
      <c r="BH166" s="42"/>
      <c r="BI166" s="42"/>
      <c r="BJ166" s="42"/>
      <c r="BK166" s="42"/>
      <c r="BL166" s="42"/>
      <c r="BM166" s="42"/>
      <c r="BN166" s="42"/>
    </row>
    <row r="167" spans="1:66" ht="12.75" customHeight="1" x14ac:dyDescent="0.2">
      <c r="A167" s="1" t="s">
        <v>338</v>
      </c>
      <c r="B167" s="4">
        <f>_xll.ciqfunctions.udf.CIQ(InputTicker, "IQ_STOCK_BASED_SM",Input!D$2,Date,,,Ccy,Conv)</f>
        <v>0</v>
      </c>
      <c r="C167" s="4">
        <f>_xll.ciqfunctions.udf.CIQ(InputTicker, "IQ_STOCK_BASED_SM",Input!E$2,Date,,,Ccy,Conv)</f>
        <v>0</v>
      </c>
      <c r="D167" s="4">
        <f>_xll.ciqfunctions.udf.CIQ(InputTicker, "IQ_STOCK_BASED_SM",Input!F$2,Date,,,Ccy,Conv)</f>
        <v>0</v>
      </c>
      <c r="E167" s="4">
        <f>_xll.ciqfunctions.udf.CIQ(InputTicker, "IQ_STOCK_BASED_SM",Input!G$2,Date,,,Ccy,Conv)</f>
        <v>0</v>
      </c>
      <c r="F167" s="4">
        <f>_xll.ciqfunctions.udf.CIQ(InputTicker, "IQ_STOCK_BASED_SM",Input!H$2,Date,,,Ccy,Conv)</f>
        <v>0</v>
      </c>
      <c r="G167" s="4">
        <f>_xll.ciqfunctions.udf.CIQ(InputTicker, "IQ_STOCK_BASED_SM",Input!I$2,Date,,,Ccy,Conv)</f>
        <v>0</v>
      </c>
      <c r="H167" s="4">
        <f>_xll.ciqfunctions.udf.CIQ(InputTicker, "IQ_STOCK_BASED_SM",Input!J$2,Date,,,Ccy,Conv)</f>
        <v>0</v>
      </c>
      <c r="I167" s="4">
        <f>_xll.ciqfunctions.udf.CIQ(InputTicker, "IQ_STOCK_BASED_SM",Input!K$2,Date,,,Ccy,Conv)</f>
        <v>0</v>
      </c>
      <c r="J167" s="4">
        <f>_xll.ciqfunctions.udf.CIQ(InputTicker, "IQ_STOCK_BASED_SM",Input!L$2,Date,,,Ccy,Conv)</f>
        <v>0</v>
      </c>
      <c r="K167" s="4">
        <f>_xll.ciqfunctions.udf.CIQ(InputTicker, "IQ_STOCK_BASED_SM",Input!M$2,Date,,,Ccy,Conv)</f>
        <v>0</v>
      </c>
      <c r="L167" s="4">
        <f>_xll.ciqfunctions.udf.CIQ(InputTicker, "IQ_STOCK_BASED_SM",Input!N$2,Date,,,Ccy,Conv)</f>
        <v>0</v>
      </c>
      <c r="M167" s="4">
        <f>_xll.ciqfunctions.udf.CIQ(InputTicker, "IQ_STOCK_BASED_SM",Input!O$2,Date,,,Ccy,Conv)</f>
        <v>0</v>
      </c>
      <c r="N167" s="49"/>
      <c r="P167" s="51"/>
      <c r="Q167" s="51"/>
      <c r="R167" s="51"/>
      <c r="T167" s="42"/>
      <c r="U167" s="42"/>
      <c r="V167" s="51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  <c r="BA167" s="42"/>
      <c r="BB167" s="42"/>
      <c r="BC167" s="42"/>
      <c r="BD167" s="42"/>
      <c r="BE167" s="42"/>
      <c r="BF167" s="42"/>
      <c r="BG167" s="42"/>
      <c r="BH167" s="42"/>
      <c r="BI167" s="42"/>
      <c r="BJ167" s="42"/>
      <c r="BK167" s="42"/>
      <c r="BL167" s="42"/>
      <c r="BM167" s="42"/>
      <c r="BN167" s="42"/>
    </row>
    <row r="168" spans="1:66" ht="12.75" customHeight="1" x14ac:dyDescent="0.2">
      <c r="A168" s="1" t="s">
        <v>339</v>
      </c>
      <c r="B168" s="4">
        <f>_xll.ciqfunctions.udf.CIQ(InputTicker, "IQ_STOCK_BASED_GA",Input!D$2,Date,,,Ccy,Conv)</f>
        <v>0</v>
      </c>
      <c r="C168" s="4">
        <f>_xll.ciqfunctions.udf.CIQ(InputTicker, "IQ_STOCK_BASED_GA",Input!E$2,Date,,,Ccy,Conv)</f>
        <v>0</v>
      </c>
      <c r="D168" s="4">
        <f>_xll.ciqfunctions.udf.CIQ(InputTicker, "IQ_STOCK_BASED_GA",Input!F$2,Date,,,Ccy,Conv)</f>
        <v>0</v>
      </c>
      <c r="E168" s="4">
        <f>_xll.ciqfunctions.udf.CIQ(InputTicker, "IQ_STOCK_BASED_GA",Input!G$2,Date,,,Ccy,Conv)</f>
        <v>0</v>
      </c>
      <c r="F168" s="4">
        <f>_xll.ciqfunctions.udf.CIQ(InputTicker, "IQ_STOCK_BASED_GA",Input!H$2,Date,,,Ccy,Conv)</f>
        <v>0</v>
      </c>
      <c r="G168" s="4">
        <f>_xll.ciqfunctions.udf.CIQ(InputTicker, "IQ_STOCK_BASED_GA",Input!I$2,Date,,,Ccy,Conv)</f>
        <v>0</v>
      </c>
      <c r="H168" s="4">
        <f>_xll.ciqfunctions.udf.CIQ(InputTicker, "IQ_STOCK_BASED_GA",Input!J$2,Date,,,Ccy,Conv)</f>
        <v>0</v>
      </c>
      <c r="I168" s="4">
        <f>_xll.ciqfunctions.udf.CIQ(InputTicker, "IQ_STOCK_BASED_GA",Input!K$2,Date,,,Ccy,Conv)</f>
        <v>0</v>
      </c>
      <c r="J168" s="4">
        <f>_xll.ciqfunctions.udf.CIQ(InputTicker, "IQ_STOCK_BASED_GA",Input!L$2,Date,,,Ccy,Conv)</f>
        <v>0</v>
      </c>
      <c r="K168" s="4">
        <f>_xll.ciqfunctions.udf.CIQ(InputTicker, "IQ_STOCK_BASED_GA",Input!M$2,Date,,,Ccy,Conv)</f>
        <v>0</v>
      </c>
      <c r="L168" s="4">
        <f>_xll.ciqfunctions.udf.CIQ(InputTicker, "IQ_STOCK_BASED_GA",Input!N$2,Date,,,Ccy,Conv)</f>
        <v>0</v>
      </c>
      <c r="M168" s="4">
        <f>_xll.ciqfunctions.udf.CIQ(InputTicker, "IQ_STOCK_BASED_GA",Input!O$2,Date,,,Ccy,Conv)</f>
        <v>0</v>
      </c>
      <c r="N168" s="49"/>
      <c r="P168" s="51"/>
      <c r="Q168" s="51"/>
      <c r="R168" s="51"/>
      <c r="T168" s="42"/>
      <c r="U168" s="42"/>
      <c r="V168" s="51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  <c r="BA168" s="42"/>
      <c r="BB168" s="42"/>
      <c r="BC168" s="42"/>
      <c r="BD168" s="42"/>
      <c r="BE168" s="42"/>
      <c r="BF168" s="42"/>
      <c r="BG168" s="42"/>
      <c r="BH168" s="42"/>
      <c r="BI168" s="42"/>
      <c r="BJ168" s="42"/>
      <c r="BK168" s="42"/>
      <c r="BL168" s="42"/>
      <c r="BM168" s="42"/>
      <c r="BN168" s="42"/>
    </row>
    <row r="169" spans="1:66" ht="12.75" customHeight="1" x14ac:dyDescent="0.2">
      <c r="A169" s="1" t="s">
        <v>340</v>
      </c>
      <c r="B169" s="4">
        <f>_xll.ciqfunctions.udf.CIQ(InputTicker, "IQ_STOCK_BASED_SGA",Input!D$2,Date,,,Ccy,Conv)</f>
        <v>322</v>
      </c>
      <c r="C169" s="4">
        <f>_xll.ciqfunctions.udf.CIQ(InputTicker, "IQ_STOCK_BASED_SGA",Input!E$2,Date,,,Ccy,Conv)</f>
        <v>401</v>
      </c>
      <c r="D169" s="4">
        <f>_xll.ciqfunctions.udf.CIQ(InputTicker, "IQ_STOCK_BASED_SGA",Input!F$2,Date,,,Ccy,Conv)</f>
        <v>384</v>
      </c>
      <c r="E169" s="4">
        <f>_xll.ciqfunctions.udf.CIQ(InputTicker, "IQ_STOCK_BASED_SGA",Input!G$2,Date,,,Ccy,Conv)</f>
        <v>361</v>
      </c>
      <c r="F169" s="4">
        <f>_xll.ciqfunctions.udf.CIQ(InputTicker, "IQ_STOCK_BASED_SGA",Input!H$2,Date,,,Ccy,Conv)</f>
        <v>419</v>
      </c>
      <c r="G169" s="4">
        <f>_xll.ciqfunctions.udf.CIQ(InputTicker, "IQ_STOCK_BASED_SGA",Input!I$2,Date,,,Ccy,Conv)</f>
        <v>550</v>
      </c>
      <c r="H169" s="4">
        <f>_xll.ciqfunctions.udf.CIQ(InputTicker, "IQ_STOCK_BASED_SGA",Input!J$2,Date,,,Ccy,Conv)</f>
        <v>555</v>
      </c>
      <c r="I169" s="4">
        <f>_xll.ciqfunctions.udf.CIQ(InputTicker, "IQ_STOCK_BASED_SGA",Input!K$2,Date,,,Ccy,Conv)</f>
        <v>566</v>
      </c>
      <c r="J169" s="4">
        <f>_xll.ciqfunctions.udf.CIQ(InputTicker, "IQ_STOCK_BASED_SGA",Input!L$2,Date,,,Ccy,Conv)</f>
        <v>616</v>
      </c>
      <c r="K169" s="4">
        <f>_xll.ciqfunctions.udf.CIQ(InputTicker, "IQ_STOCK_BASED_SGA",Input!M$2,Date,,,Ccy,Conv)</f>
        <v>690</v>
      </c>
      <c r="L169" s="4">
        <f>_xll.ciqfunctions.udf.CIQ(InputTicker, "IQ_STOCK_BASED_SGA",Input!N$2,Date,,,Ccy,Conv)</f>
        <v>904</v>
      </c>
      <c r="M169" s="4">
        <f>_xll.ciqfunctions.udf.CIQ(InputTicker, "IQ_STOCK_BASED_SGA",Input!O$2,Date,,,Ccy,Conv)</f>
        <v>904</v>
      </c>
      <c r="N169" s="49"/>
      <c r="P169" s="51"/>
      <c r="Q169" s="51"/>
      <c r="R169" s="51"/>
      <c r="T169" s="42"/>
      <c r="U169" s="42"/>
      <c r="V169" s="51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  <c r="BA169" s="42"/>
      <c r="BB169" s="42"/>
      <c r="BC169" s="42"/>
      <c r="BD169" s="42"/>
      <c r="BE169" s="42"/>
      <c r="BF169" s="42"/>
      <c r="BG169" s="42"/>
      <c r="BH169" s="42"/>
      <c r="BI169" s="42"/>
      <c r="BJ169" s="42"/>
      <c r="BK169" s="42"/>
      <c r="BL169" s="42"/>
      <c r="BM169" s="42"/>
      <c r="BN169" s="42"/>
    </row>
    <row r="170" spans="1:66" ht="12.75" customHeight="1" x14ac:dyDescent="0.2">
      <c r="A170" s="1" t="s">
        <v>393</v>
      </c>
      <c r="B170" s="4">
        <f>_xll.ciqfunctions.udf.CIQ(InputTicker, "IQ_STOCK_BASED_EXPLORE_DRILL",Input!D$2,Date,,,Ccy,Conv)</f>
        <v>0</v>
      </c>
      <c r="C170" s="4">
        <f>_xll.ciqfunctions.udf.CIQ(InputTicker, "IQ_STOCK_BASED_EXPLORE_DRILL",Input!E$2,Date,,,Ccy,Conv)</f>
        <v>0</v>
      </c>
      <c r="D170" s="4">
        <f>_xll.ciqfunctions.udf.CIQ(InputTicker, "IQ_STOCK_BASED_EXPLORE_DRILL",Input!F$2,Date,,,Ccy,Conv)</f>
        <v>0</v>
      </c>
      <c r="E170" s="4">
        <f>_xll.ciqfunctions.udf.CIQ(InputTicker, "IQ_STOCK_BASED_EXPLORE_DRILL",Input!G$2,Date,,,Ccy,Conv)</f>
        <v>0</v>
      </c>
      <c r="F170" s="4">
        <f>_xll.ciqfunctions.udf.CIQ(InputTicker, "IQ_STOCK_BASED_EXPLORE_DRILL",Input!H$2,Date,,,Ccy,Conv)</f>
        <v>0</v>
      </c>
      <c r="G170" s="4">
        <f>_xll.ciqfunctions.udf.CIQ(InputTicker, "IQ_STOCK_BASED_EXPLORE_DRILL",Input!I$2,Date,,,Ccy,Conv)</f>
        <v>0</v>
      </c>
      <c r="H170" s="4">
        <f>_xll.ciqfunctions.udf.CIQ(InputTicker, "IQ_STOCK_BASED_EXPLORE_DRILL",Input!J$2,Date,,,Ccy,Conv)</f>
        <v>0</v>
      </c>
      <c r="I170" s="4">
        <f>_xll.ciqfunctions.udf.CIQ(InputTicker, "IQ_STOCK_BASED_EXPLORE_DRILL",Input!K$2,Date,,,Ccy,Conv)</f>
        <v>0</v>
      </c>
      <c r="J170" s="4">
        <f>_xll.ciqfunctions.udf.CIQ(InputTicker, "IQ_STOCK_BASED_EXPLORE_DRILL",Input!L$2,Date,,,Ccy,Conv)</f>
        <v>0</v>
      </c>
      <c r="K170" s="4">
        <f>_xll.ciqfunctions.udf.CIQ(InputTicker, "IQ_STOCK_BASED_EXPLORE_DRILL",Input!M$2,Date,,,Ccy,Conv)</f>
        <v>0</v>
      </c>
      <c r="L170" s="4">
        <f>_xll.ciqfunctions.udf.CIQ(InputTicker, "IQ_STOCK_BASED_EXPLORE_DRILL",Input!N$2,Date,,,Ccy,Conv)</f>
        <v>0</v>
      </c>
      <c r="M170" s="4">
        <f>_xll.ciqfunctions.udf.CIQ(InputTicker, "IQ_STOCK_BASED_EXPLORE_DRILL",Input!O$2,Date,,,Ccy,Conv)</f>
        <v>0</v>
      </c>
      <c r="N170" s="49"/>
      <c r="P170" s="51"/>
      <c r="Q170" s="51"/>
      <c r="R170" s="51"/>
      <c r="T170" s="42"/>
      <c r="U170" s="42"/>
      <c r="V170" s="51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  <c r="BA170" s="42"/>
      <c r="BB170" s="42"/>
      <c r="BC170" s="42"/>
      <c r="BD170" s="42"/>
      <c r="BE170" s="42"/>
      <c r="BF170" s="42"/>
      <c r="BG170" s="42"/>
      <c r="BH170" s="42"/>
      <c r="BI170" s="42"/>
      <c r="BJ170" s="42"/>
      <c r="BK170" s="42"/>
      <c r="BL170" s="42"/>
      <c r="BM170" s="42"/>
      <c r="BN170" s="42"/>
    </row>
    <row r="171" spans="1:66" ht="12.75" customHeight="1" x14ac:dyDescent="0.2">
      <c r="A171" s="1" t="s">
        <v>341</v>
      </c>
      <c r="B171" s="4">
        <f>_xll.ciqfunctions.udf.CIQ(InputTicker, "IQ_STOCK_BASED_OTHER",Input!D$2,Date,,,Ccy,Conv)</f>
        <v>-5</v>
      </c>
      <c r="C171" s="4">
        <f>_xll.ciqfunctions.udf.CIQ(InputTicker, "IQ_STOCK_BASED_OTHER",Input!E$2,Date,,,Ccy,Conv)</f>
        <v>0</v>
      </c>
      <c r="D171" s="4">
        <f>_xll.ciqfunctions.udf.CIQ(InputTicker, "IQ_STOCK_BASED_OTHER",Input!F$2,Date,,,Ccy,Conv)</f>
        <v>0</v>
      </c>
      <c r="E171" s="4">
        <f>_xll.ciqfunctions.udf.CIQ(InputTicker, "IQ_STOCK_BASED_OTHER",Input!G$2,Date,,,Ccy,Conv)</f>
        <v>0</v>
      </c>
      <c r="F171" s="4">
        <f>_xll.ciqfunctions.udf.CIQ(InputTicker, "IQ_STOCK_BASED_OTHER",Input!H$2,Date,,,Ccy,Conv)</f>
        <v>50</v>
      </c>
      <c r="G171" s="4">
        <f>_xll.ciqfunctions.udf.CIQ(InputTicker, "IQ_STOCK_BASED_OTHER",Input!I$2,Date,,,Ccy,Conv)</f>
        <v>64</v>
      </c>
      <c r="H171" s="4">
        <f>_xll.ciqfunctions.udf.CIQ(InputTicker, "IQ_STOCK_BASED_OTHER",Input!J$2,Date,,,Ccy,Conv)</f>
        <v>64</v>
      </c>
      <c r="I171" s="4">
        <f>_xll.ciqfunctions.udf.CIQ(InputTicker, "IQ_STOCK_BASED_OTHER",Input!K$2,Date,,,Ccy,Conv)</f>
        <v>0</v>
      </c>
      <c r="J171" s="4">
        <f>_xll.ciqfunctions.udf.CIQ(InputTicker, "IQ_STOCK_BASED_OTHER",Input!L$2,Date,,,Ccy,Conv)</f>
        <v>0</v>
      </c>
      <c r="K171" s="4">
        <f>_xll.ciqfunctions.udf.CIQ(InputTicker, "IQ_STOCK_BASED_OTHER",Input!M$2,Date,,,Ccy,Conv)</f>
        <v>0</v>
      </c>
      <c r="L171" s="4">
        <f>_xll.ciqfunctions.udf.CIQ(InputTicker, "IQ_STOCK_BASED_OTHER",Input!N$2,Date,,,Ccy,Conv)</f>
        <v>0</v>
      </c>
      <c r="M171" s="4">
        <f>_xll.ciqfunctions.udf.CIQ(InputTicker, "IQ_STOCK_BASED_OTHER",Input!O$2,Date,,,Ccy,Conv)</f>
        <v>0</v>
      </c>
      <c r="N171" s="49"/>
      <c r="P171" s="51"/>
      <c r="Q171" s="51"/>
      <c r="R171" s="51"/>
      <c r="T171" s="42"/>
      <c r="U171" s="42"/>
      <c r="V171" s="51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  <c r="BA171" s="42"/>
      <c r="BB171" s="42"/>
      <c r="BC171" s="42"/>
      <c r="BD171" s="42"/>
      <c r="BE171" s="42"/>
      <c r="BF171" s="42"/>
      <c r="BG171" s="42"/>
      <c r="BH171" s="42"/>
      <c r="BI171" s="42"/>
      <c r="BJ171" s="42"/>
      <c r="BK171" s="42"/>
      <c r="BL171" s="42"/>
      <c r="BM171" s="42"/>
      <c r="BN171" s="42"/>
    </row>
    <row r="172" spans="1:66" ht="12.75" customHeight="1" x14ac:dyDescent="0.2">
      <c r="A172" s="1" t="s">
        <v>342</v>
      </c>
      <c r="B172" s="4">
        <f>_xll.ciqfunctions.udf.CIQ(InputTicker, "IQ_STOCK_BASED_AT",Input!D$2,Date,,,Ccy,Conv)</f>
        <v>0</v>
      </c>
      <c r="C172" s="4">
        <f>_xll.ciqfunctions.udf.CIQ(InputTicker, "IQ_STOCK_BASED_AT",Input!E$2,Date,,,Ccy,Conv)</f>
        <v>0</v>
      </c>
      <c r="D172" s="4">
        <f>_xll.ciqfunctions.udf.CIQ(InputTicker, "IQ_STOCK_BASED_AT",Input!F$2,Date,,,Ccy,Conv)</f>
        <v>0</v>
      </c>
      <c r="E172" s="4">
        <f>_xll.ciqfunctions.udf.CIQ(InputTicker, "IQ_STOCK_BASED_AT",Input!G$2,Date,,,Ccy,Conv)</f>
        <v>0</v>
      </c>
      <c r="F172" s="4">
        <f>_xll.ciqfunctions.udf.CIQ(InputTicker, "IQ_STOCK_BASED_AT",Input!H$2,Date,,,Ccy,Conv)</f>
        <v>0</v>
      </c>
      <c r="G172" s="4">
        <f>_xll.ciqfunctions.udf.CIQ(InputTicker, "IQ_STOCK_BASED_AT",Input!I$2,Date,,,Ccy,Conv)</f>
        <v>0</v>
      </c>
      <c r="H172" s="4">
        <f>_xll.ciqfunctions.udf.CIQ(InputTicker, "IQ_STOCK_BASED_AT",Input!J$2,Date,,,Ccy,Conv)</f>
        <v>0</v>
      </c>
      <c r="I172" s="4">
        <f>_xll.ciqfunctions.udf.CIQ(InputTicker, "IQ_STOCK_BASED_AT",Input!K$2,Date,,,Ccy,Conv)</f>
        <v>0</v>
      </c>
      <c r="J172" s="4">
        <f>_xll.ciqfunctions.udf.CIQ(InputTicker, "IQ_STOCK_BASED_AT",Input!L$2,Date,,,Ccy,Conv)</f>
        <v>0</v>
      </c>
      <c r="K172" s="4">
        <f>_xll.ciqfunctions.udf.CIQ(InputTicker, "IQ_STOCK_BASED_AT",Input!M$2,Date,,,Ccy,Conv)</f>
        <v>0</v>
      </c>
      <c r="L172" s="4">
        <f>_xll.ciqfunctions.udf.CIQ(InputTicker, "IQ_STOCK_BASED_AT",Input!N$2,Date,,,Ccy,Conv)</f>
        <v>0</v>
      </c>
      <c r="M172" s="4">
        <f>_xll.ciqfunctions.udf.CIQ(InputTicker, "IQ_STOCK_BASED_AT",Input!O$2,Date,,,Ccy,Conv)</f>
        <v>0</v>
      </c>
      <c r="N172" s="49"/>
      <c r="P172" s="51"/>
      <c r="Q172" s="51"/>
      <c r="R172" s="51"/>
      <c r="T172" s="42"/>
      <c r="U172" s="42"/>
      <c r="V172" s="51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  <c r="BA172" s="42"/>
      <c r="BB172" s="42"/>
      <c r="BC172" s="42"/>
      <c r="BD172" s="42"/>
      <c r="BE172" s="42"/>
      <c r="BF172" s="42"/>
      <c r="BG172" s="42"/>
      <c r="BH172" s="42"/>
      <c r="BI172" s="42"/>
      <c r="BJ172" s="42"/>
      <c r="BK172" s="42"/>
      <c r="BL172" s="42"/>
      <c r="BM172" s="42"/>
      <c r="BN172" s="42"/>
    </row>
    <row r="173" spans="1:66" ht="12.75" customHeight="1" x14ac:dyDescent="0.2">
      <c r="A173" s="1" t="s">
        <v>343</v>
      </c>
      <c r="B173" s="4">
        <f>_xll.ciqfunctions.udf.CIQ(InputTicker, "IQ_STOCK_BASED_TOTAL",Input!D$2,Date,,,Ccy,Conv)</f>
        <v>468</v>
      </c>
      <c r="C173" s="4">
        <f>_xll.ciqfunctions.udf.CIQ(InputTicker, "IQ_STOCK_BASED_TOTAL",Input!E$2,Date,,,Ccy,Conv)</f>
        <v>544</v>
      </c>
      <c r="D173" s="4">
        <f>_xll.ciqfunctions.udf.CIQ(InputTicker, "IQ_STOCK_BASED_TOTAL",Input!F$2,Date,,,Ccy,Conv)</f>
        <v>534</v>
      </c>
      <c r="E173" s="4">
        <f>_xll.ciqfunctions.udf.CIQ(InputTicker, "IQ_STOCK_BASED_TOTAL",Input!G$2,Date,,,Ccy,Conv)</f>
        <v>510</v>
      </c>
      <c r="F173" s="4">
        <f>_xll.ciqfunctions.udf.CIQ(InputTicker, "IQ_STOCK_BASED_TOTAL",Input!H$2,Date,,,Ccy,Conv)</f>
        <v>679</v>
      </c>
      <c r="G173" s="4">
        <f>_xll.ciqfunctions.udf.CIQ(InputTicker, "IQ_STOCK_BASED_TOTAL",Input!I$2,Date,,,Ccy,Conv)</f>
        <v>937</v>
      </c>
      <c r="H173" s="4">
        <f>_xll.ciqfunctions.udf.CIQ(InputTicker, "IQ_STOCK_BASED_TOTAL",Input!J$2,Date,,,Ccy,Conv)</f>
        <v>982</v>
      </c>
      <c r="I173" s="4">
        <f>_xll.ciqfunctions.udf.CIQ(InputTicker, "IQ_STOCK_BASED_TOTAL",Input!K$2,Date,,,Ccy,Conv)</f>
        <v>988</v>
      </c>
      <c r="J173" s="4">
        <f>_xll.ciqfunctions.udf.CIQ(InputTicker, "IQ_STOCK_BASED_TOTAL",Input!L$2,Date,,,Ccy,Conv)</f>
        <v>1134</v>
      </c>
      <c r="K173" s="4">
        <f>_xll.ciqfunctions.udf.CIQ(InputTicker, "IQ_STOCK_BASED_TOTAL",Input!M$2,Date,,,Ccy,Conv)</f>
        <v>1311</v>
      </c>
      <c r="L173" s="4">
        <f>_xll.ciqfunctions.udf.CIQ(InputTicker, "IQ_STOCK_BASED_TOTAL",Input!N$2,Date,,,Ccy,Conv)</f>
        <v>1715</v>
      </c>
      <c r="M173" s="4">
        <f>_xll.ciqfunctions.udf.CIQ(InputTicker, "IQ_STOCK_BASED_TOTAL",Input!O$2,Date,,,Ccy,Conv)</f>
        <v>1715</v>
      </c>
      <c r="N173" s="49"/>
      <c r="P173" s="51"/>
      <c r="Q173" s="51"/>
      <c r="R173" s="51"/>
      <c r="T173" s="42"/>
      <c r="U173" s="42"/>
      <c r="V173" s="51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  <c r="BA173" s="42"/>
      <c r="BB173" s="42"/>
      <c r="BC173" s="42"/>
      <c r="BD173" s="42"/>
      <c r="BE173" s="42"/>
      <c r="BF173" s="42"/>
      <c r="BG173" s="42"/>
      <c r="BH173" s="42"/>
      <c r="BI173" s="42"/>
      <c r="BJ173" s="42"/>
      <c r="BK173" s="42"/>
      <c r="BL173" s="42"/>
      <c r="BM173" s="42"/>
      <c r="BN173" s="42"/>
    </row>
    <row r="174" spans="1:66" ht="12.75" customHeight="1" x14ac:dyDescent="0.2">
      <c r="A174" s="1" t="s">
        <v>298</v>
      </c>
      <c r="B174" s="4">
        <f>_xll.ciqfunctions.udf.CIQ(InputTicker,"IQ_RESTR_STOCK_COMP_PRETAX",Input!D$2,Date,,,Ccy,Conv)</f>
        <v>0</v>
      </c>
      <c r="C174" s="4">
        <f>_xll.ciqfunctions.udf.CIQ(InputTicker,"IQ_RESTR_STOCK_COMP_PRETAX",Input!E$2,Date,,,Ccy,Conv)</f>
        <v>0</v>
      </c>
      <c r="D174" s="4">
        <f>_xll.ciqfunctions.udf.CIQ(InputTicker,"IQ_RESTR_STOCK_COMP_PRETAX",Input!F$2,Date,,,Ccy,Conv)</f>
        <v>0</v>
      </c>
      <c r="E174" s="4">
        <f>_xll.ciqfunctions.udf.CIQ(InputTicker,"IQ_RESTR_STOCK_COMP_PRETAX",Input!G$2,Date,,,Ccy,Conv)</f>
        <v>0</v>
      </c>
      <c r="F174" s="4">
        <f>_xll.ciqfunctions.udf.CIQ(InputTicker,"IQ_RESTR_STOCK_COMP_PRETAX",Input!H$2,Date,,,Ccy,Conv)</f>
        <v>0</v>
      </c>
      <c r="G174" s="4">
        <f>_xll.ciqfunctions.udf.CIQ(InputTicker,"IQ_RESTR_STOCK_COMP_PRETAX",Input!I$2,Date,,,Ccy,Conv)</f>
        <v>0</v>
      </c>
      <c r="H174" s="4">
        <f>_xll.ciqfunctions.udf.CIQ(InputTicker,"IQ_RESTR_STOCK_COMP_PRETAX",Input!J$2,Date,,,Ccy,Conv)</f>
        <v>0</v>
      </c>
      <c r="I174" s="4">
        <f>_xll.ciqfunctions.udf.CIQ(InputTicker,"IQ_RESTR_STOCK_COMP_PRETAX",Input!K$2,Date,,,Ccy,Conv)</f>
        <v>0</v>
      </c>
      <c r="J174" s="4">
        <f>_xll.ciqfunctions.udf.CIQ(InputTicker,"IQ_RESTR_STOCK_COMP_PRETAX",Input!L$2,Date,,,Ccy,Conv)</f>
        <v>0</v>
      </c>
      <c r="K174" s="4">
        <f>_xll.ciqfunctions.udf.CIQ(InputTicker,"IQ_RESTR_STOCK_COMP_PRETAX",Input!M$2,Date,,,Ccy,Conv)</f>
        <v>0</v>
      </c>
      <c r="L174" s="4">
        <f>_xll.ciqfunctions.udf.CIQ(InputTicker,"IQ_RESTR_STOCK_COMP_PRETAX",Input!N$2,Date,,,Ccy,Conv)</f>
        <v>0</v>
      </c>
      <c r="M174" s="4">
        <f>_xll.ciqfunctions.udf.CIQ(InputTicker,"IQ_RESTR_STOCK_COMP_PRETAX",Input!O$2,Date,,,Ccy,Conv)</f>
        <v>0</v>
      </c>
      <c r="N174" s="49"/>
      <c r="P174" s="51"/>
      <c r="Q174" s="51"/>
      <c r="R174" s="51"/>
      <c r="T174" s="42"/>
      <c r="U174" s="42"/>
      <c r="V174" s="51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  <c r="BA174" s="42"/>
      <c r="BB174" s="42"/>
      <c r="BC174" s="42"/>
      <c r="BD174" s="42"/>
      <c r="BE174" s="42"/>
      <c r="BF174" s="42"/>
      <c r="BG174" s="42"/>
      <c r="BH174" s="42"/>
      <c r="BI174" s="42"/>
      <c r="BJ174" s="42"/>
      <c r="BK174" s="42"/>
      <c r="BL174" s="42"/>
      <c r="BM174" s="42"/>
      <c r="BN174" s="42"/>
    </row>
    <row r="175" spans="1:66" ht="12.75" customHeight="1" x14ac:dyDescent="0.2">
      <c r="A175" s="1" t="s">
        <v>299</v>
      </c>
      <c r="B175" s="4">
        <f>_xll.ciqfunctions.udf.CIQ(InputTicker,"IQ_RESTR_STOCK_COMP_TAX",Input!D$2,Date,,,Ccy,Conv)</f>
        <v>0</v>
      </c>
      <c r="C175" s="4">
        <f>_xll.ciqfunctions.udf.CIQ(InputTicker,"IQ_RESTR_STOCK_COMP_TAX",Input!E$2,Date,,,Ccy,Conv)</f>
        <v>0</v>
      </c>
      <c r="D175" s="4">
        <f>_xll.ciqfunctions.udf.CIQ(InputTicker,"IQ_RESTR_STOCK_COMP_TAX",Input!F$2,Date,,,Ccy,Conv)</f>
        <v>0</v>
      </c>
      <c r="E175" s="4">
        <f>_xll.ciqfunctions.udf.CIQ(InputTicker,"IQ_RESTR_STOCK_COMP_TAX",Input!G$2,Date,,,Ccy,Conv)</f>
        <v>0</v>
      </c>
      <c r="F175" s="4">
        <f>_xll.ciqfunctions.udf.CIQ(InputTicker,"IQ_RESTR_STOCK_COMP_TAX",Input!H$2,Date,,,Ccy,Conv)</f>
        <v>0</v>
      </c>
      <c r="G175" s="4">
        <f>_xll.ciqfunctions.udf.CIQ(InputTicker,"IQ_RESTR_STOCK_COMP_TAX",Input!I$2,Date,,,Ccy,Conv)</f>
        <v>0</v>
      </c>
      <c r="H175" s="4">
        <f>_xll.ciqfunctions.udf.CIQ(InputTicker,"IQ_RESTR_STOCK_COMP_TAX",Input!J$2,Date,,,Ccy,Conv)</f>
        <v>0</v>
      </c>
      <c r="I175" s="4">
        <f>_xll.ciqfunctions.udf.CIQ(InputTicker,"IQ_RESTR_STOCK_COMP_TAX",Input!K$2,Date,,,Ccy,Conv)</f>
        <v>0</v>
      </c>
      <c r="J175" s="4">
        <f>_xll.ciqfunctions.udf.CIQ(InputTicker,"IQ_RESTR_STOCK_COMP_TAX",Input!L$2,Date,,,Ccy,Conv)</f>
        <v>0</v>
      </c>
      <c r="K175" s="4">
        <f>_xll.ciqfunctions.udf.CIQ(InputTicker,"IQ_RESTR_STOCK_COMP_TAX",Input!M$2,Date,,,Ccy,Conv)</f>
        <v>0</v>
      </c>
      <c r="L175" s="4">
        <f>_xll.ciqfunctions.udf.CIQ(InputTicker,"IQ_RESTR_STOCK_COMP_TAX",Input!N$2,Date,,,Ccy,Conv)</f>
        <v>0</v>
      </c>
      <c r="M175" s="4">
        <f>_xll.ciqfunctions.udf.CIQ(InputTicker,"IQ_RESTR_STOCK_COMP_TAX",Input!O$2,Date,,,Ccy,Conv)</f>
        <v>0</v>
      </c>
      <c r="N175" s="49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  <c r="BA175" s="42"/>
      <c r="BB175" s="42"/>
      <c r="BC175" s="42"/>
      <c r="BD175" s="42"/>
      <c r="BE175" s="42"/>
      <c r="BF175" s="42"/>
      <c r="BG175" s="42"/>
      <c r="BH175" s="42"/>
      <c r="BI175" s="42"/>
      <c r="BJ175" s="42"/>
      <c r="BK175" s="42"/>
      <c r="BL175" s="42"/>
      <c r="BM175" s="42"/>
      <c r="BN175" s="42"/>
    </row>
    <row r="176" spans="1:66" ht="12.75" customHeight="1" x14ac:dyDescent="0.2">
      <c r="A176" s="1" t="s">
        <v>300</v>
      </c>
      <c r="B176" s="4">
        <f>_xll.ciqfunctions.udf.CIQ(InputTicker,"IQ_RESTR_STOCK_COMP",Input!D$2,Date,,,Ccy,Conv)</f>
        <v>0</v>
      </c>
      <c r="C176" s="4">
        <f>_xll.ciqfunctions.udf.CIQ(InputTicker,"IQ_RESTR_STOCK_COMP",Input!E$2,Date,,,Ccy,Conv)</f>
        <v>0</v>
      </c>
      <c r="D176" s="4">
        <f>_xll.ciqfunctions.udf.CIQ(InputTicker,"IQ_RESTR_STOCK_COMP",Input!F$2,Date,,,Ccy,Conv)</f>
        <v>0</v>
      </c>
      <c r="E176" s="4">
        <f>_xll.ciqfunctions.udf.CIQ(InputTicker,"IQ_RESTR_STOCK_COMP",Input!G$2,Date,,,Ccy,Conv)</f>
        <v>0</v>
      </c>
      <c r="F176" s="4">
        <f>_xll.ciqfunctions.udf.CIQ(InputTicker,"IQ_RESTR_STOCK_COMP",Input!H$2,Date,,,Ccy,Conv)</f>
        <v>0</v>
      </c>
      <c r="G176" s="4">
        <f>_xll.ciqfunctions.udf.CIQ(InputTicker,"IQ_RESTR_STOCK_COMP",Input!I$2,Date,,,Ccy,Conv)</f>
        <v>0</v>
      </c>
      <c r="H176" s="4">
        <f>_xll.ciqfunctions.udf.CIQ(InputTicker,"IQ_RESTR_STOCK_COMP",Input!J$2,Date,,,Ccy,Conv)</f>
        <v>0</v>
      </c>
      <c r="I176" s="4">
        <f>_xll.ciqfunctions.udf.CIQ(InputTicker,"IQ_RESTR_STOCK_COMP",Input!K$2,Date,,,Ccy,Conv)</f>
        <v>0</v>
      </c>
      <c r="J176" s="4">
        <f>_xll.ciqfunctions.udf.CIQ(InputTicker,"IQ_RESTR_STOCK_COMP",Input!L$2,Date,,,Ccy,Conv)</f>
        <v>0</v>
      </c>
      <c r="K176" s="4">
        <f>_xll.ciqfunctions.udf.CIQ(InputTicker,"IQ_RESTR_STOCK_COMP",Input!M$2,Date,,,Ccy,Conv)</f>
        <v>0</v>
      </c>
      <c r="L176" s="4">
        <f>_xll.ciqfunctions.udf.CIQ(InputTicker,"IQ_RESTR_STOCK_COMP",Input!N$2,Date,,,Ccy,Conv)</f>
        <v>0</v>
      </c>
      <c r="M176" s="4">
        <f>_xll.ciqfunctions.udf.CIQ(InputTicker,"IQ_RESTR_STOCK_COMP",Input!O$2,Date,,,Ccy,Conv)</f>
        <v>0</v>
      </c>
      <c r="N176" s="49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  <c r="AO176" s="42"/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  <c r="BA176" s="42"/>
      <c r="BB176" s="42"/>
      <c r="BC176" s="42"/>
      <c r="BD176" s="42"/>
      <c r="BE176" s="42"/>
      <c r="BF176" s="42"/>
      <c r="BG176" s="42"/>
      <c r="BH176" s="42"/>
      <c r="BI176" s="42"/>
      <c r="BJ176" s="42"/>
      <c r="BK176" s="42"/>
      <c r="BL176" s="42"/>
      <c r="BM176" s="42"/>
      <c r="BN176" s="42"/>
    </row>
    <row r="177" spans="1:66" ht="12.75" customHeight="1" x14ac:dyDescent="0.2">
      <c r="A177" s="1" t="s">
        <v>301</v>
      </c>
      <c r="B177" s="4">
        <f>_xll.ciqfunctions.udf.CIQ(InputTicker,"IQ_STOCK_OPTIONS_COMP_PRETAX",Input!D$2,Date,,,Ccy,Conv)</f>
        <v>0</v>
      </c>
      <c r="C177" s="4">
        <f>_xll.ciqfunctions.udf.CIQ(InputTicker,"IQ_STOCK_OPTIONS_COMP_PRETAX",Input!E$2,Date,,,Ccy,Conv)</f>
        <v>0</v>
      </c>
      <c r="D177" s="4">
        <f>_xll.ciqfunctions.udf.CIQ(InputTicker,"IQ_STOCK_OPTIONS_COMP_PRETAX",Input!F$2,Date,,,Ccy,Conv)</f>
        <v>0</v>
      </c>
      <c r="E177" s="4">
        <f>_xll.ciqfunctions.udf.CIQ(InputTicker,"IQ_STOCK_OPTIONS_COMP_PRETAX",Input!G$2,Date,,,Ccy,Conv)</f>
        <v>0</v>
      </c>
      <c r="F177" s="4">
        <f>_xll.ciqfunctions.udf.CIQ(InputTicker,"IQ_STOCK_OPTIONS_COMP_PRETAX",Input!H$2,Date,,,Ccy,Conv)</f>
        <v>0</v>
      </c>
      <c r="G177" s="4">
        <f>_xll.ciqfunctions.udf.CIQ(InputTicker,"IQ_STOCK_OPTIONS_COMP_PRETAX",Input!I$2,Date,,,Ccy,Conv)</f>
        <v>0</v>
      </c>
      <c r="H177" s="4">
        <f>_xll.ciqfunctions.udf.CIQ(InputTicker,"IQ_STOCK_OPTIONS_COMP_PRETAX",Input!J$2,Date,,,Ccy,Conv)</f>
        <v>0</v>
      </c>
      <c r="I177" s="4">
        <f>_xll.ciqfunctions.udf.CIQ(InputTicker,"IQ_STOCK_OPTIONS_COMP_PRETAX",Input!K$2,Date,,,Ccy,Conv)</f>
        <v>0</v>
      </c>
      <c r="J177" s="4">
        <f>_xll.ciqfunctions.udf.CIQ(InputTicker,"IQ_STOCK_OPTIONS_COMP_PRETAX",Input!L$2,Date,,,Ccy,Conv)</f>
        <v>0</v>
      </c>
      <c r="K177" s="4">
        <f>_xll.ciqfunctions.udf.CIQ(InputTicker,"IQ_STOCK_OPTIONS_COMP_PRETAX",Input!M$2,Date,,,Ccy,Conv)</f>
        <v>0</v>
      </c>
      <c r="L177" s="4">
        <f>_xll.ciqfunctions.udf.CIQ(InputTicker,"IQ_STOCK_OPTIONS_COMP_PRETAX",Input!N$2,Date,,,Ccy,Conv)</f>
        <v>0</v>
      </c>
      <c r="M177" s="4">
        <f>_xll.ciqfunctions.udf.CIQ(InputTicker,"IQ_STOCK_OPTIONS_COMP_PRETAX",Input!O$2,Date,,,Ccy,Conv)</f>
        <v>0</v>
      </c>
      <c r="N177" s="49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  <c r="BA177" s="42"/>
      <c r="BB177" s="42"/>
      <c r="BC177" s="42"/>
      <c r="BD177" s="42"/>
      <c r="BE177" s="42"/>
      <c r="BF177" s="42"/>
      <c r="BG177" s="42"/>
      <c r="BH177" s="42"/>
      <c r="BI177" s="42"/>
      <c r="BJ177" s="42"/>
      <c r="BK177" s="42"/>
      <c r="BL177" s="42"/>
      <c r="BM177" s="42"/>
      <c r="BN177" s="42"/>
    </row>
    <row r="178" spans="1:66" ht="12.75" customHeight="1" x14ac:dyDescent="0.2">
      <c r="A178" s="1" t="s">
        <v>302</v>
      </c>
      <c r="B178" s="4">
        <f>_xll.ciqfunctions.udf.CIQ(InputTicker,"IQ_STOCK_OPTIONS_COMP_TAX",Input!D$2,Date,,,Ccy,Conv)</f>
        <v>0</v>
      </c>
      <c r="C178" s="4">
        <f>_xll.ciqfunctions.udf.CIQ(InputTicker,"IQ_STOCK_OPTIONS_COMP_TAX",Input!E$2,Date,,,Ccy,Conv)</f>
        <v>0</v>
      </c>
      <c r="D178" s="4">
        <f>_xll.ciqfunctions.udf.CIQ(InputTicker,"IQ_STOCK_OPTIONS_COMP_TAX",Input!F$2,Date,,,Ccy,Conv)</f>
        <v>0</v>
      </c>
      <c r="E178" s="4">
        <f>_xll.ciqfunctions.udf.CIQ(InputTicker,"IQ_STOCK_OPTIONS_COMP_TAX",Input!G$2,Date,,,Ccy,Conv)</f>
        <v>0</v>
      </c>
      <c r="F178" s="4">
        <f>_xll.ciqfunctions.udf.CIQ(InputTicker,"IQ_STOCK_OPTIONS_COMP_TAX",Input!H$2,Date,,,Ccy,Conv)</f>
        <v>0</v>
      </c>
      <c r="G178" s="4">
        <f>_xll.ciqfunctions.udf.CIQ(InputTicker,"IQ_STOCK_OPTIONS_COMP_TAX",Input!I$2,Date,,,Ccy,Conv)</f>
        <v>0</v>
      </c>
      <c r="H178" s="4">
        <f>_xll.ciqfunctions.udf.CIQ(InputTicker,"IQ_STOCK_OPTIONS_COMP_TAX",Input!J$2,Date,,,Ccy,Conv)</f>
        <v>0</v>
      </c>
      <c r="I178" s="4">
        <f>_xll.ciqfunctions.udf.CIQ(InputTicker,"IQ_STOCK_OPTIONS_COMP_TAX",Input!K$2,Date,,,Ccy,Conv)</f>
        <v>0</v>
      </c>
      <c r="J178" s="4">
        <f>_xll.ciqfunctions.udf.CIQ(InputTicker,"IQ_STOCK_OPTIONS_COMP_TAX",Input!L$2,Date,,,Ccy,Conv)</f>
        <v>0</v>
      </c>
      <c r="K178" s="4">
        <f>_xll.ciqfunctions.udf.CIQ(InputTicker,"IQ_STOCK_OPTIONS_COMP_TAX",Input!M$2,Date,,,Ccy,Conv)</f>
        <v>0</v>
      </c>
      <c r="L178" s="4">
        <f>_xll.ciqfunctions.udf.CIQ(InputTicker,"IQ_STOCK_OPTIONS_COMP_TAX",Input!N$2,Date,,,Ccy,Conv)</f>
        <v>0</v>
      </c>
      <c r="M178" s="4">
        <f>_xll.ciqfunctions.udf.CIQ(InputTicker,"IQ_STOCK_OPTIONS_COMP_TAX",Input!O$2,Date,,,Ccy,Conv)</f>
        <v>0</v>
      </c>
      <c r="N178" s="49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  <c r="BA178" s="42"/>
      <c r="BB178" s="42"/>
      <c r="BC178" s="42"/>
      <c r="BD178" s="42"/>
      <c r="BE178" s="42"/>
      <c r="BF178" s="42"/>
      <c r="BG178" s="42"/>
      <c r="BH178" s="42"/>
      <c r="BI178" s="42"/>
      <c r="BJ178" s="42"/>
      <c r="BK178" s="42"/>
      <c r="BL178" s="42"/>
      <c r="BM178" s="42"/>
      <c r="BN178" s="42"/>
    </row>
    <row r="179" spans="1:66" ht="12.75" customHeight="1" x14ac:dyDescent="0.2">
      <c r="A179" s="1" t="s">
        <v>303</v>
      </c>
      <c r="B179" s="4">
        <f>_xll.ciqfunctions.udf.CIQ(InputTicker,"IQ_STOCK_OPTIONS_COMP",Input!D$2,Date,,,Ccy,Conv)</f>
        <v>0</v>
      </c>
      <c r="C179" s="4">
        <f>_xll.ciqfunctions.udf.CIQ(InputTicker,"IQ_STOCK_OPTIONS_COMP",Input!E$2,Date,,,Ccy,Conv)</f>
        <v>0</v>
      </c>
      <c r="D179" s="4">
        <f>_xll.ciqfunctions.udf.CIQ(InputTicker,"IQ_STOCK_OPTIONS_COMP",Input!F$2,Date,,,Ccy,Conv)</f>
        <v>0</v>
      </c>
      <c r="E179" s="4">
        <f>_xll.ciqfunctions.udf.CIQ(InputTicker,"IQ_STOCK_OPTIONS_COMP",Input!G$2,Date,,,Ccy,Conv)</f>
        <v>0</v>
      </c>
      <c r="F179" s="4">
        <f>_xll.ciqfunctions.udf.CIQ(InputTicker,"IQ_STOCK_OPTIONS_COMP",Input!H$2,Date,,,Ccy,Conv)</f>
        <v>0</v>
      </c>
      <c r="G179" s="4">
        <f>_xll.ciqfunctions.udf.CIQ(InputTicker,"IQ_STOCK_OPTIONS_COMP",Input!I$2,Date,,,Ccy,Conv)</f>
        <v>0</v>
      </c>
      <c r="H179" s="4">
        <f>_xll.ciqfunctions.udf.CIQ(InputTicker,"IQ_STOCK_OPTIONS_COMP",Input!J$2,Date,,,Ccy,Conv)</f>
        <v>0</v>
      </c>
      <c r="I179" s="4">
        <f>_xll.ciqfunctions.udf.CIQ(InputTicker,"IQ_STOCK_OPTIONS_COMP",Input!K$2,Date,,,Ccy,Conv)</f>
        <v>0</v>
      </c>
      <c r="J179" s="4">
        <f>_xll.ciqfunctions.udf.CIQ(InputTicker,"IQ_STOCK_OPTIONS_COMP",Input!L$2,Date,,,Ccy,Conv)</f>
        <v>0</v>
      </c>
      <c r="K179" s="4">
        <f>_xll.ciqfunctions.udf.CIQ(InputTicker,"IQ_STOCK_OPTIONS_COMP",Input!M$2,Date,,,Ccy,Conv)</f>
        <v>0</v>
      </c>
      <c r="L179" s="4">
        <f>_xll.ciqfunctions.udf.CIQ(InputTicker,"IQ_STOCK_OPTIONS_COMP",Input!N$2,Date,,,Ccy,Conv)</f>
        <v>0</v>
      </c>
      <c r="M179" s="4">
        <f>_xll.ciqfunctions.udf.CIQ(InputTicker,"IQ_STOCK_OPTIONS_COMP",Input!O$2,Date,,,Ccy,Conv)</f>
        <v>0</v>
      </c>
      <c r="N179" s="49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  <c r="BA179" s="42"/>
      <c r="BB179" s="42"/>
      <c r="BC179" s="42"/>
      <c r="BD179" s="42"/>
      <c r="BE179" s="42"/>
      <c r="BF179" s="42"/>
      <c r="BG179" s="42"/>
      <c r="BH179" s="42"/>
      <c r="BI179" s="42"/>
      <c r="BJ179" s="42"/>
      <c r="BK179" s="42"/>
      <c r="BL179" s="42"/>
      <c r="BM179" s="42"/>
      <c r="BN179" s="42"/>
    </row>
    <row r="180" spans="1:66" ht="12.75" customHeight="1" x14ac:dyDescent="0.2">
      <c r="A180" s="1" t="s">
        <v>304</v>
      </c>
      <c r="B180" s="4">
        <f>_xll.ciqfunctions.udf.CIQ(InputTicker,"IQ_STOCK_BASED_COMP_PRETAX",Input!D$2,Date,,,Ccy,Conv)</f>
        <v>468</v>
      </c>
      <c r="C180" s="4">
        <f>_xll.ciqfunctions.udf.CIQ(InputTicker,"IQ_STOCK_BASED_COMP_PRETAX",Input!E$2,Date,,,Ccy,Conv)</f>
        <v>544</v>
      </c>
      <c r="D180" s="4">
        <f>_xll.ciqfunctions.udf.CIQ(InputTicker,"IQ_STOCK_BASED_COMP_PRETAX",Input!F$2,Date,,,Ccy,Conv)</f>
        <v>534</v>
      </c>
      <c r="E180" s="4">
        <f>_xll.ciqfunctions.udf.CIQ(InputTicker,"IQ_STOCK_BASED_COMP_PRETAX",Input!G$2,Date,,,Ccy,Conv)</f>
        <v>510</v>
      </c>
      <c r="F180" s="4">
        <f>_xll.ciqfunctions.udf.CIQ(InputTicker,"IQ_STOCK_BASED_COMP_PRETAX",Input!H$2,Date,,,Ccy,Conv)</f>
        <v>679</v>
      </c>
      <c r="G180" s="4">
        <f>_xll.ciqfunctions.udf.CIQ(InputTicker,"IQ_STOCK_BASED_COMP_PRETAX",Input!I$2,Date,,,Ccy,Conv)</f>
        <v>937</v>
      </c>
      <c r="H180" s="4">
        <f>_xll.ciqfunctions.udf.CIQ(InputTicker,"IQ_STOCK_BASED_COMP_PRETAX",Input!J$2,Date,,,Ccy,Conv)</f>
        <v>982</v>
      </c>
      <c r="I180" s="4">
        <f>_xll.ciqfunctions.udf.CIQ(InputTicker,"IQ_STOCK_BASED_COMP_PRETAX",Input!K$2,Date,,,Ccy,Conv)</f>
        <v>988</v>
      </c>
      <c r="J180" s="4">
        <f>_xll.ciqfunctions.udf.CIQ(InputTicker,"IQ_STOCK_BASED_COMP_PRETAX",Input!L$2,Date,,,Ccy,Conv)</f>
        <v>1134</v>
      </c>
      <c r="K180" s="4">
        <f>_xll.ciqfunctions.udf.CIQ(InputTicker,"IQ_STOCK_BASED_COMP_PRETAX",Input!M$2,Date,,,Ccy,Conv)</f>
        <v>1311</v>
      </c>
      <c r="L180" s="4">
        <f>_xll.ciqfunctions.udf.CIQ(InputTicker,"IQ_STOCK_BASED_COMP_PRETAX",Input!N$2,Date,,,Ccy,Conv)</f>
        <v>1715</v>
      </c>
      <c r="M180" s="4">
        <f>_xll.ciqfunctions.udf.CIQ(InputTicker,"IQ_STOCK_BASED_COMP_PRETAX",Input!O$2,Date,,,Ccy,Conv)</f>
        <v>1715</v>
      </c>
      <c r="N180" s="49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  <c r="BA180" s="42"/>
      <c r="BB180" s="42"/>
      <c r="BC180" s="42"/>
      <c r="BD180" s="42"/>
      <c r="BE180" s="42"/>
      <c r="BF180" s="42"/>
      <c r="BG180" s="42"/>
      <c r="BH180" s="42"/>
      <c r="BI180" s="42"/>
      <c r="BJ180" s="42"/>
      <c r="BK180" s="42"/>
      <c r="BL180" s="42"/>
      <c r="BM180" s="42"/>
      <c r="BN180" s="42"/>
    </row>
    <row r="181" spans="1:66" ht="12.75" customHeight="1" x14ac:dyDescent="0.2">
      <c r="A181" s="1" t="s">
        <v>305</v>
      </c>
      <c r="B181" s="4">
        <f>_xll.ciqfunctions.udf.CIQ(InputTicker,"IQ_STOCK_BASED_COMP_TAX",Input!D$2,Date,,,Ccy,Conv)</f>
        <v>-156</v>
      </c>
      <c r="C181" s="4">
        <f>_xll.ciqfunctions.udf.CIQ(InputTicker,"IQ_STOCK_BASED_COMP_TAX",Input!E$2,Date,,,Ccy,Conv)</f>
        <v>-179</v>
      </c>
      <c r="D181" s="4">
        <f>_xll.ciqfunctions.udf.CIQ(InputTicker,"IQ_STOCK_BASED_COMP_TAX",Input!F$2,Date,,,Ccy,Conv)</f>
        <v>-131</v>
      </c>
      <c r="E181" s="4">
        <f>_xll.ciqfunctions.udf.CIQ(InputTicker,"IQ_STOCK_BASED_COMP_TAX",Input!G$2,Date,,,Ccy,Conv)</f>
        <v>-116</v>
      </c>
      <c r="F181" s="4">
        <f>_xll.ciqfunctions.udf.CIQ(InputTicker,"IQ_STOCK_BASED_COMP_TAX",Input!H$2,Date,,,Ccy,Conv)</f>
        <v>-143</v>
      </c>
      <c r="G181" s="4">
        <f>_xll.ciqfunctions.udf.CIQ(InputTicker,"IQ_STOCK_BASED_COMP_TAX",Input!I$2,Date,,,Ccy,Conv)</f>
        <v>-198</v>
      </c>
      <c r="H181" s="4">
        <f>_xll.ciqfunctions.udf.CIQ(InputTicker,"IQ_STOCK_BASED_COMP_TAX",Input!J$2,Date,,,Ccy,Conv)</f>
        <v>-223</v>
      </c>
      <c r="I181" s="4">
        <f>_xll.ciqfunctions.udf.CIQ(InputTicker,"IQ_STOCK_BASED_COMP_TAX",Input!K$2,Date,,,Ccy,Conv)</f>
        <v>-249</v>
      </c>
      <c r="J181" s="4">
        <f>_xll.ciqfunctions.udf.CIQ(InputTicker,"IQ_STOCK_BASED_COMP_TAX",Input!L$2,Date,,,Ccy,Conv)</f>
        <v>-290</v>
      </c>
      <c r="K181" s="4">
        <f>_xll.ciqfunctions.udf.CIQ(InputTicker,"IQ_STOCK_BASED_COMP_TAX",Input!M$2,Date,,,Ccy,Conv)</f>
        <v>-469</v>
      </c>
      <c r="L181" s="4">
        <f>_xll.ciqfunctions.udf.CIQ(InputTicker,"IQ_STOCK_BASED_COMP_TAX",Input!N$2,Date,,,Ccy,Conv)</f>
        <v>-740</v>
      </c>
      <c r="M181" s="4">
        <f>_xll.ciqfunctions.udf.CIQ(InputTicker,"IQ_STOCK_BASED_COMP_TAX",Input!O$2,Date,,,Ccy,Conv)</f>
        <v>-740</v>
      </c>
      <c r="N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  <c r="BA181" s="42"/>
      <c r="BB181" s="42"/>
      <c r="BC181" s="42"/>
      <c r="BD181" s="42"/>
      <c r="BE181" s="42"/>
      <c r="BF181" s="42"/>
      <c r="BG181" s="42"/>
      <c r="BH181" s="42"/>
      <c r="BI181" s="42"/>
      <c r="BJ181" s="42"/>
      <c r="BK181" s="42"/>
      <c r="BL181" s="42"/>
      <c r="BM181" s="42"/>
      <c r="BN181" s="42"/>
    </row>
    <row r="182" spans="1:66" ht="12.75" customHeight="1" x14ac:dyDescent="0.2">
      <c r="A182" s="1" t="s">
        <v>306</v>
      </c>
      <c r="B182" s="4">
        <f>_xll.ciqfunctions.udf.CIQ(InputTicker,"IQ_STOCK_BASED_COMP",Input!D$2,Date,,,Ccy,Conv)</f>
        <v>312</v>
      </c>
      <c r="C182" s="4">
        <f>_xll.ciqfunctions.udf.CIQ(InputTicker,"IQ_STOCK_BASED_COMP",Input!E$2,Date,,,Ccy,Conv)</f>
        <v>364</v>
      </c>
      <c r="D182" s="4">
        <f>_xll.ciqfunctions.udf.CIQ(InputTicker,"IQ_STOCK_BASED_COMP",Input!F$2,Date,,,Ccy,Conv)</f>
        <v>403</v>
      </c>
      <c r="E182" s="4">
        <f>_xll.ciqfunctions.udf.CIQ(InputTicker,"IQ_STOCK_BASED_COMP",Input!G$2,Date,,,Ccy,Conv)</f>
        <v>393</v>
      </c>
      <c r="F182" s="4">
        <f>_xll.ciqfunctions.udf.CIQ(InputTicker,"IQ_STOCK_BASED_COMP",Input!H$2,Date,,,Ccy,Conv)</f>
        <v>484</v>
      </c>
      <c r="G182" s="4">
        <f>_xll.ciqfunctions.udf.CIQ(InputTicker,"IQ_STOCK_BASED_COMP",Input!I$2,Date,,,Ccy,Conv)</f>
        <v>675</v>
      </c>
      <c r="H182" s="4">
        <f>_xll.ciqfunctions.udf.CIQ(InputTicker,"IQ_STOCK_BASED_COMP",Input!J$2,Date,,,Ccy,Conv)</f>
        <v>695</v>
      </c>
      <c r="I182" s="4">
        <f>_xll.ciqfunctions.udf.CIQ(InputTicker,"IQ_STOCK_BASED_COMP",Input!K$2,Date,,,Ccy,Conv)</f>
        <v>738</v>
      </c>
      <c r="J182" s="4">
        <f>_xll.ciqfunctions.udf.CIQ(InputTicker,"IQ_STOCK_BASED_COMP",Input!L$2,Date,,,Ccy,Conv)</f>
        <v>843</v>
      </c>
      <c r="K182" s="4">
        <f>_xll.ciqfunctions.udf.CIQ(InputTicker,"IQ_STOCK_BASED_COMP",Input!M$2,Date,,,Ccy,Conv)</f>
        <v>842</v>
      </c>
      <c r="L182" s="4">
        <f>_xll.ciqfunctions.udf.CIQ(InputTicker,"IQ_STOCK_BASED_COMP",Input!N$2,Date,,,Ccy,Conv)</f>
        <v>975</v>
      </c>
      <c r="M182" s="4">
        <f>_xll.ciqfunctions.udf.CIQ(InputTicker,"IQ_STOCK_BASED_COMP",Input!O$2,Date,,,Ccy,Conv)</f>
        <v>975</v>
      </c>
      <c r="N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  <c r="BA182" s="42"/>
      <c r="BB182" s="42"/>
      <c r="BC182" s="42"/>
      <c r="BD182" s="42"/>
      <c r="BE182" s="42"/>
      <c r="BF182" s="42"/>
      <c r="BG182" s="42"/>
      <c r="BH182" s="42"/>
      <c r="BI182" s="42"/>
      <c r="BJ182" s="42"/>
      <c r="BK182" s="42"/>
      <c r="BL182" s="42"/>
      <c r="BM182" s="42"/>
      <c r="BN182" s="42"/>
    </row>
    <row r="183" spans="1:66" ht="12.75" customHeight="1" x14ac:dyDescent="0.2">
      <c r="A183" s="3" t="s">
        <v>44</v>
      </c>
      <c r="B183" s="7">
        <f>_xll.ciqfunctions.udf.CIQ(InputTicker, "IQ_NI_CF",Input!D$2,Date,,,Ccy,Conv)</f>
        <v>13190</v>
      </c>
      <c r="C183" s="7">
        <f>_xll.ciqfunctions.udf.CIQ(InputTicker, "IQ_NI_CF",Input!E$2,Date,,,Ccy,Conv)</f>
        <v>11872</v>
      </c>
      <c r="D183" s="7">
        <f>_xll.ciqfunctions.udf.CIQ(InputTicker, "IQ_NI_CF",Input!F$2,Date,,,Ccy,Conv)</f>
        <v>5753</v>
      </c>
      <c r="E183" s="7">
        <f>_xll.ciqfunctions.udf.CIQ(InputTicker, "IQ_NI_CF",Input!G$2,Date,,,Ccy,Conv)</f>
        <v>8728</v>
      </c>
      <c r="F183" s="7">
        <f>_xll.ciqfunctions.udf.CIQ(InputTicker, "IQ_NI_CF",Input!H$2,Date,,,Ccy,Conv)</f>
        <v>9431</v>
      </c>
      <c r="G183" s="7">
        <f>_xll.ciqfunctions.udf.CIQ(InputTicker, "IQ_NI_CF",Input!I$2,Date,,,Ccy,Conv)</f>
        <v>5590</v>
      </c>
      <c r="H183" s="7">
        <f>_xll.ciqfunctions.udf.CIQ(InputTicker, "IQ_NI_CF",Input!J$2,Date,,,Ccy,Conv)</f>
        <v>5743</v>
      </c>
      <c r="I183" s="7">
        <f>_xll.ciqfunctions.udf.CIQ(InputTicker, "IQ_NI_CF",Input!K$2,Date,,,Ccy,Conv)</f>
        <v>1639</v>
      </c>
      <c r="J183" s="7">
        <f>_xll.ciqfunctions.udf.CIQ(InputTicker, "IQ_NI_CF",Input!L$2,Date,,,Ccy,Conv)</f>
        <v>7502</v>
      </c>
      <c r="K183" s="7">
        <f>_xll.ciqfunctions.udf.CIQ(InputTicker, "IQ_NI_CF",Input!M$2,Date,,,Ccy,Conv)</f>
        <v>6023</v>
      </c>
      <c r="L183" s="7">
        <f>_xll.ciqfunctions.udf.CIQ(InputTicker, "IQ_NI_CF",Input!N$2,Date,,,Ccy,Conv)</f>
        <v>10593</v>
      </c>
      <c r="M183" s="7">
        <f>_xll.ciqfunctions.udf.CIQ(InputTicker, "IQ_NI_CF",Input!O$2,Date,,,Ccy,Conv)</f>
        <v>10593</v>
      </c>
      <c r="N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  <c r="AO183" s="42"/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  <c r="BA183" s="42"/>
      <c r="BB183" s="42"/>
      <c r="BC183" s="42"/>
      <c r="BD183" s="42"/>
      <c r="BE183" s="42"/>
      <c r="BF183" s="42"/>
      <c r="BG183" s="42"/>
      <c r="BH183" s="42"/>
      <c r="BI183" s="42"/>
      <c r="BJ183" s="42"/>
      <c r="BK183" s="42"/>
      <c r="BL183" s="42"/>
      <c r="BM183" s="42"/>
      <c r="BN183" s="42"/>
    </row>
    <row r="184" spans="1:66" ht="12.75" customHeight="1" x14ac:dyDescent="0.2">
      <c r="A184" s="1" t="s">
        <v>126</v>
      </c>
      <c r="B184" s="4">
        <f>_xll.ciqfunctions.udf.CIQ(InputTicker, "IQ_DA_SUPPL_CF",Input!D$2,Date,,,Ccy,Conv)</f>
        <v>2662</v>
      </c>
      <c r="C184" s="4">
        <f>_xll.ciqfunctions.udf.CIQ(InputTicker, "IQ_DA_SUPPL_CF",Input!E$2,Date,,,Ccy,Conv)</f>
        <v>2837</v>
      </c>
      <c r="D184" s="4">
        <f>_xll.ciqfunctions.udf.CIQ(InputTicker, "IQ_DA_SUPPL_CF",Input!F$2,Date,,,Ccy,Conv)</f>
        <v>3021</v>
      </c>
      <c r="E184" s="4">
        <f>_xll.ciqfunctions.udf.CIQ(InputTicker, "IQ_DA_SUPPL_CF",Input!G$2,Date,,,Ccy,Conv)</f>
        <v>3127</v>
      </c>
      <c r="F184" s="4">
        <f>_xll.ciqfunctions.udf.CIQ(InputTicker, "IQ_DA_SUPPL_CF",Input!H$2,Date,,,Ccy,Conv)</f>
        <v>4209</v>
      </c>
      <c r="G184" s="4">
        <f>_xll.ciqfunctions.udf.CIQ(InputTicker, "IQ_DA_SUPPL_CF",Input!I$2,Date,,,Ccy,Conv)</f>
        <v>4227</v>
      </c>
      <c r="H184" s="4">
        <f>_xll.ciqfunctions.udf.CIQ(InputTicker, "IQ_DA_SUPPL_CF",Input!J$2,Date,,,Ccy,Conv)</f>
        <v>3888</v>
      </c>
      <c r="I184" s="4">
        <f>_xll.ciqfunctions.udf.CIQ(InputTicker, "IQ_DA_SUPPL_CF",Input!K$2,Date,,,Ccy,Conv)</f>
        <v>2407</v>
      </c>
      <c r="J184" s="4">
        <f>_xll.ciqfunctions.udf.CIQ(InputTicker, "IQ_DA_SUPPL_CF",Input!L$2,Date,,,Ccy,Conv)</f>
        <v>2109</v>
      </c>
      <c r="K184" s="4">
        <f>_xll.ciqfunctions.udf.CIQ(InputTicker, "IQ_DA_SUPPL_CF",Input!M$2,Date,,,Ccy,Conv)</f>
        <v>2168</v>
      </c>
      <c r="L184" s="4">
        <f>_xll.ciqfunctions.udf.CIQ(InputTicker, "IQ_DA_SUPPL_CF",Input!N$2,Date,,,Ccy,Conv)</f>
        <v>2284</v>
      </c>
      <c r="M184" s="4">
        <f>_xll.ciqfunctions.udf.CIQ(InputTicker, "IQ_DA_SUPPL_CF",Input!O$2,Date,,,Ccy,Conv)</f>
        <v>2284</v>
      </c>
      <c r="N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  <c r="AO184" s="42"/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  <c r="BA184" s="42"/>
      <c r="BB184" s="42"/>
      <c r="BC184" s="42"/>
      <c r="BD184" s="42"/>
      <c r="BE184" s="42"/>
      <c r="BF184" s="42"/>
      <c r="BG184" s="42"/>
      <c r="BH184" s="42"/>
      <c r="BI184" s="42"/>
      <c r="BJ184" s="42"/>
      <c r="BK184" s="42"/>
      <c r="BL184" s="42"/>
      <c r="BM184" s="42"/>
      <c r="BN184" s="42"/>
    </row>
    <row r="185" spans="1:66" ht="12.75" customHeight="1" x14ac:dyDescent="0.2">
      <c r="A185" s="1" t="s">
        <v>141</v>
      </c>
      <c r="B185" s="4">
        <f>_xll.ciqfunctions.udf.CIQ(InputTicker, "IQ_GW_INTAN_AMORT_CF",Input!D$2,Date,,,Ccy,Conv)</f>
        <v>1193</v>
      </c>
      <c r="C185" s="4">
        <f>_xll.ciqfunctions.udf.CIQ(InputTicker, "IQ_GW_INTAN_AMORT_CF",Input!E$2,Date,,,Ccy,Conv)</f>
        <v>1544</v>
      </c>
      <c r="D185" s="4">
        <f>_xll.ciqfunctions.udf.CIQ(InputTicker, "IQ_GW_INTAN_AMORT_CF",Input!F$2,Date,,,Ccy,Conv)</f>
        <v>1520</v>
      </c>
      <c r="E185" s="4">
        <f>_xll.ciqfunctions.udf.CIQ(InputTicker, "IQ_GW_INTAN_AMORT_CF",Input!G$2,Date,,,Ccy,Conv)</f>
        <v>1353</v>
      </c>
      <c r="F185" s="4">
        <f>_xll.ciqfunctions.udf.CIQ(InputTicker, "IQ_GW_INTAN_AMORT_CF",Input!H$2,Date,,,Ccy,Conv)</f>
        <v>1850</v>
      </c>
      <c r="G185" s="4">
        <f>_xll.ciqfunctions.udf.CIQ(InputTicker, "IQ_GW_INTAN_AMORT_CF",Input!I$2,Date,,,Ccy,Conv)</f>
        <v>2468</v>
      </c>
      <c r="H185" s="4">
        <f>_xll.ciqfunctions.udf.CIQ(InputTicker, "IQ_GW_INTAN_AMORT_CF",Input!J$2,Date,,,Ccy,Conv)</f>
        <v>1838</v>
      </c>
      <c r="I185" s="4">
        <f>_xll.ciqfunctions.udf.CIQ(InputTicker, "IQ_GW_INTAN_AMORT_CF",Input!K$2,Date,,,Ccy,Conv)</f>
        <v>1747</v>
      </c>
      <c r="J185" s="4">
        <f>_xll.ciqfunctions.udf.CIQ(InputTicker, "IQ_GW_INTAN_AMORT_CF",Input!L$2,Date,,,Ccy,Conv)</f>
        <v>1627</v>
      </c>
      <c r="K185" s="4">
        <f>_xll.ciqfunctions.udf.CIQ(InputTicker, "IQ_GW_INTAN_AMORT_CF",Input!M$2,Date,,,Ccy,Conv)</f>
        <v>1830</v>
      </c>
      <c r="L185" s="4">
        <f>_xll.ciqfunctions.udf.CIQ(InputTicker, "IQ_GW_INTAN_AMORT_CF",Input!N$2,Date,,,Ccy,Conv)</f>
        <v>2166</v>
      </c>
      <c r="M185" s="4">
        <f>_xll.ciqfunctions.udf.CIQ(InputTicker, "IQ_GW_INTAN_AMORT_CF",Input!O$2,Date,,,Ccy,Conv)</f>
        <v>2166</v>
      </c>
      <c r="N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  <c r="BA185" s="42"/>
      <c r="BB185" s="42"/>
      <c r="BC185" s="42"/>
      <c r="BD185" s="42"/>
      <c r="BE185" s="42"/>
      <c r="BF185" s="42"/>
      <c r="BG185" s="42"/>
      <c r="BH185" s="42"/>
      <c r="BI185" s="42"/>
      <c r="BJ185" s="42"/>
      <c r="BK185" s="42"/>
      <c r="BL185" s="42"/>
      <c r="BM185" s="42"/>
      <c r="BN185" s="42"/>
    </row>
    <row r="186" spans="1:66" ht="12.75" customHeight="1" x14ac:dyDescent="0.2">
      <c r="A186" s="1" t="s">
        <v>197</v>
      </c>
      <c r="B186" s="4">
        <f>_xll.ciqfunctions.udf.CIQ(InputTicker, "IQ_OIL_IMPAIR",Input!D$2,Date,,,Ccy,Conv)</f>
        <v>0</v>
      </c>
      <c r="C186" s="4">
        <f>_xll.ciqfunctions.udf.CIQ(InputTicker, "IQ_OIL_IMPAIR",Input!E$2,Date,,,Ccy,Conv)</f>
        <v>0</v>
      </c>
      <c r="D186" s="4">
        <f>_xll.ciqfunctions.udf.CIQ(InputTicker, "IQ_OIL_IMPAIR",Input!F$2,Date,,,Ccy,Conv)</f>
        <v>0</v>
      </c>
      <c r="E186" s="4">
        <f>_xll.ciqfunctions.udf.CIQ(InputTicker, "IQ_OIL_IMPAIR",Input!G$2,Date,,,Ccy,Conv)</f>
        <v>0</v>
      </c>
      <c r="F186" s="4">
        <f>_xll.ciqfunctions.udf.CIQ(InputTicker, "IQ_OIL_IMPAIR",Input!H$2,Date,,,Ccy,Conv)</f>
        <v>0</v>
      </c>
      <c r="G186" s="4">
        <f>_xll.ciqfunctions.udf.CIQ(InputTicker, "IQ_OIL_IMPAIR",Input!I$2,Date,,,Ccy,Conv)</f>
        <v>0</v>
      </c>
      <c r="H186" s="4">
        <f>_xll.ciqfunctions.udf.CIQ(InputTicker, "IQ_OIL_IMPAIR",Input!J$2,Date,,,Ccy,Conv)</f>
        <v>0</v>
      </c>
      <c r="I186" s="4">
        <f>_xll.ciqfunctions.udf.CIQ(InputTicker, "IQ_OIL_IMPAIR",Input!K$2,Date,,,Ccy,Conv)</f>
        <v>0</v>
      </c>
      <c r="J186" s="4">
        <f>_xll.ciqfunctions.udf.CIQ(InputTicker, "IQ_OIL_IMPAIR",Input!L$2,Date,,,Ccy,Conv)</f>
        <v>0</v>
      </c>
      <c r="K186" s="4">
        <f>_xll.ciqfunctions.udf.CIQ(InputTicker, "IQ_OIL_IMPAIR",Input!M$2,Date,,,Ccy,Conv)</f>
        <v>0</v>
      </c>
      <c r="L186" s="4">
        <f>_xll.ciqfunctions.udf.CIQ(InputTicker, "IQ_OIL_IMPAIR",Input!N$2,Date,,,Ccy,Conv)</f>
        <v>0</v>
      </c>
      <c r="M186" s="4">
        <f>_xll.ciqfunctions.udf.CIQ(InputTicker, "IQ_OIL_IMPAIR",Input!O$2,Date,,,Ccy,Conv)</f>
        <v>0</v>
      </c>
      <c r="N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  <c r="BA186" s="42"/>
      <c r="BB186" s="42"/>
      <c r="BC186" s="42"/>
      <c r="BD186" s="42"/>
      <c r="BE186" s="42"/>
      <c r="BF186" s="42"/>
      <c r="BG186" s="42"/>
      <c r="BH186" s="42"/>
      <c r="BI186" s="42"/>
      <c r="BJ186" s="42"/>
      <c r="BK186" s="42"/>
      <c r="BL186" s="42"/>
      <c r="BM186" s="42"/>
      <c r="BN186" s="42"/>
    </row>
    <row r="187" spans="1:66" ht="12.75" customHeight="1" x14ac:dyDescent="0.2">
      <c r="A187" s="5" t="s">
        <v>60</v>
      </c>
      <c r="B187" s="6">
        <f>_xll.ciqfunctions.udf.CIQ(InputTicker, "IQ_DA_CF",Input!D$2,Date,,,Ccy,Conv)</f>
        <v>3855</v>
      </c>
      <c r="C187" s="6">
        <f>_xll.ciqfunctions.udf.CIQ(InputTicker, "IQ_DA_CF",Input!E$2,Date,,,Ccy,Conv)</f>
        <v>4381</v>
      </c>
      <c r="D187" s="6">
        <f>_xll.ciqfunctions.udf.CIQ(InputTicker, "IQ_DA_CF",Input!F$2,Date,,,Ccy,Conv)</f>
        <v>4541</v>
      </c>
      <c r="E187" s="6">
        <f>_xll.ciqfunctions.udf.CIQ(InputTicker, "IQ_DA_CF",Input!G$2,Date,,,Ccy,Conv)</f>
        <v>4480</v>
      </c>
      <c r="F187" s="6">
        <f>_xll.ciqfunctions.udf.CIQ(InputTicker, "IQ_DA_CF",Input!H$2,Date,,,Ccy,Conv)</f>
        <v>6059</v>
      </c>
      <c r="G187" s="6">
        <f>_xll.ciqfunctions.udf.CIQ(InputTicker, "IQ_DA_CF",Input!I$2,Date,,,Ccy,Conv)</f>
        <v>6695</v>
      </c>
      <c r="H187" s="6">
        <f>_xll.ciqfunctions.udf.CIQ(InputTicker, "IQ_DA_CF",Input!J$2,Date,,,Ccy,Conv)</f>
        <v>5726</v>
      </c>
      <c r="I187" s="6">
        <f>_xll.ciqfunctions.udf.CIQ(InputTicker, "IQ_DA_CF",Input!K$2,Date,,,Ccy,Conv)</f>
        <v>4154</v>
      </c>
      <c r="J187" s="6">
        <f>_xll.ciqfunctions.udf.CIQ(InputTicker, "IQ_DA_CF",Input!L$2,Date,,,Ccy,Conv)</f>
        <v>3736</v>
      </c>
      <c r="K187" s="6">
        <f>_xll.ciqfunctions.udf.CIQ(InputTicker, "IQ_DA_CF",Input!M$2,Date,,,Ccy,Conv)</f>
        <v>3998</v>
      </c>
      <c r="L187" s="6">
        <f>_xll.ciqfunctions.udf.CIQ(InputTicker, "IQ_DA_CF",Input!N$2,Date,,,Ccy,Conv)</f>
        <v>4450</v>
      </c>
      <c r="M187" s="6">
        <f>_xll.ciqfunctions.udf.CIQ(InputTicker, "IQ_DA_CF",Input!O$2,Date,,,Ccy,Conv)</f>
        <v>4450</v>
      </c>
      <c r="N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  <c r="BA187" s="42"/>
      <c r="BB187" s="42"/>
      <c r="BC187" s="42"/>
      <c r="BD187" s="42"/>
      <c r="BE187" s="42"/>
      <c r="BF187" s="42"/>
      <c r="BG187" s="42"/>
      <c r="BH187" s="42"/>
      <c r="BI187" s="42"/>
      <c r="BJ187" s="42"/>
      <c r="BK187" s="42"/>
      <c r="BL187" s="42"/>
      <c r="BM187" s="42"/>
      <c r="BN187" s="42"/>
    </row>
    <row r="188" spans="1:66" ht="12.75" customHeight="1" x14ac:dyDescent="0.2">
      <c r="A188" s="1" t="s">
        <v>424</v>
      </c>
      <c r="B188" s="4">
        <f>_xll.ciqfunctions.udf.CIQ(InputTicker, "IQ_OTHER_AMORT",Input!D$2,Date,,,Ccy,Conv)</f>
        <v>0</v>
      </c>
      <c r="C188" s="4">
        <f>_xll.ciqfunctions.udf.CIQ(InputTicker, "IQ_OTHER_AMORT",Input!E$2,Date,,,Ccy,Conv)</f>
        <v>0</v>
      </c>
      <c r="D188" s="4">
        <f>_xll.ciqfunctions.udf.CIQ(InputTicker, "IQ_OTHER_AMORT",Input!F$2,Date,,,Ccy,Conv)</f>
        <v>0</v>
      </c>
      <c r="E188" s="4">
        <f>_xll.ciqfunctions.udf.CIQ(InputTicker, "IQ_OTHER_AMORT",Input!G$2,Date,,,Ccy,Conv)</f>
        <v>0</v>
      </c>
      <c r="F188" s="4">
        <f>_xll.ciqfunctions.udf.CIQ(InputTicker, "IQ_OTHER_AMORT",Input!H$2,Date,,,Ccy,Conv)</f>
        <v>0</v>
      </c>
      <c r="G188" s="4">
        <f>_xll.ciqfunctions.udf.CIQ(InputTicker, "IQ_OTHER_AMORT",Input!I$2,Date,,,Ccy,Conv)</f>
        <v>0</v>
      </c>
      <c r="H188" s="4">
        <f>_xll.ciqfunctions.udf.CIQ(InputTicker, "IQ_OTHER_AMORT",Input!J$2,Date,,,Ccy,Conv)</f>
        <v>691</v>
      </c>
      <c r="I188" s="4">
        <f>_xll.ciqfunctions.udf.CIQ(InputTicker, "IQ_OTHER_AMORT",Input!K$2,Date,,,Ccy,Conv)</f>
        <v>648</v>
      </c>
      <c r="J188" s="4">
        <f>_xll.ciqfunctions.udf.CIQ(InputTicker, "IQ_OTHER_AMORT",Input!L$2,Date,,,Ccy,Conv)</f>
        <v>660</v>
      </c>
      <c r="K188" s="4">
        <f>_xll.ciqfunctions.udf.CIQ(InputTicker, "IQ_OTHER_AMORT",Input!M$2,Date,,,Ccy,Conv)</f>
        <v>669</v>
      </c>
      <c r="L188" s="4">
        <f>_xll.ciqfunctions.udf.CIQ(InputTicker, "IQ_OTHER_AMORT",Input!N$2,Date,,,Ccy,Conv)</f>
        <v>571</v>
      </c>
      <c r="M188" s="4">
        <f>_xll.ciqfunctions.udf.CIQ(InputTicker, "IQ_OTHER_AMORT",Input!O$2,Date,,,Ccy,Conv)</f>
        <v>571</v>
      </c>
      <c r="N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  <c r="BA188" s="42"/>
      <c r="BB188" s="42"/>
      <c r="BC188" s="42"/>
      <c r="BD188" s="42"/>
      <c r="BE188" s="42"/>
      <c r="BF188" s="42"/>
      <c r="BG188" s="42"/>
      <c r="BH188" s="42"/>
      <c r="BI188" s="42"/>
      <c r="BJ188" s="42"/>
      <c r="BK188" s="42"/>
      <c r="BL188" s="42"/>
      <c r="BM188" s="42"/>
      <c r="BN188" s="42"/>
    </row>
    <row r="189" spans="1:66" ht="12.75" customHeight="1" x14ac:dyDescent="0.2">
      <c r="A189" s="1" t="s">
        <v>169</v>
      </c>
      <c r="B189" s="4">
        <f>_xll.ciqfunctions.udf.CIQ(InputTicker, "IQ_MINORITY_INTEREST_CF",Input!D$2,Date,,,Ccy,Conv)</f>
        <v>0</v>
      </c>
      <c r="C189" s="4">
        <f>_xll.ciqfunctions.udf.CIQ(InputTicker, "IQ_MINORITY_INTEREST_CF",Input!E$2,Date,,,Ccy,Conv)</f>
        <v>0</v>
      </c>
      <c r="D189" s="4">
        <f>_xll.ciqfunctions.udf.CIQ(InputTicker, "IQ_MINORITY_INTEREST_CF",Input!F$2,Date,,,Ccy,Conv)</f>
        <v>0</v>
      </c>
      <c r="E189" s="4">
        <f>_xll.ciqfunctions.udf.CIQ(InputTicker, "IQ_MINORITY_INTEREST_CF",Input!G$2,Date,,,Ccy,Conv)</f>
        <v>0</v>
      </c>
      <c r="F189" s="4">
        <f>_xll.ciqfunctions.udf.CIQ(InputTicker, "IQ_MINORITY_INTEREST_CF",Input!H$2,Date,,,Ccy,Conv)</f>
        <v>0</v>
      </c>
      <c r="G189" s="4">
        <f>_xll.ciqfunctions.udf.CIQ(InputTicker, "IQ_MINORITY_INTEREST_CF",Input!I$2,Date,,,Ccy,Conv)</f>
        <v>0</v>
      </c>
      <c r="H189" s="4">
        <f>_xll.ciqfunctions.udf.CIQ(InputTicker, "IQ_MINORITY_INTEREST_CF",Input!J$2,Date,,,Ccy,Conv)</f>
        <v>0</v>
      </c>
      <c r="I189" s="4">
        <f>_xll.ciqfunctions.udf.CIQ(InputTicker, "IQ_MINORITY_INTEREST_CF",Input!K$2,Date,,,Ccy,Conv)</f>
        <v>0</v>
      </c>
      <c r="J189" s="4">
        <f>_xll.ciqfunctions.udf.CIQ(InputTicker, "IQ_MINORITY_INTEREST_CF",Input!L$2,Date,,,Ccy,Conv)</f>
        <v>0</v>
      </c>
      <c r="K189" s="4">
        <f>_xll.ciqfunctions.udf.CIQ(InputTicker, "IQ_MINORITY_INTEREST_CF",Input!M$2,Date,,,Ccy,Conv)</f>
        <v>0</v>
      </c>
      <c r="L189" s="4">
        <f>_xll.ciqfunctions.udf.CIQ(InputTicker, "IQ_MINORITY_INTEREST_CF",Input!N$2,Date,,,Ccy,Conv)</f>
        <v>0</v>
      </c>
      <c r="M189" s="4">
        <f>_xll.ciqfunctions.udf.CIQ(InputTicker, "IQ_MINORITY_INTEREST_CF",Input!O$2,Date,,,Ccy,Conv)</f>
        <v>0</v>
      </c>
      <c r="N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  <c r="BA189" s="42"/>
      <c r="BB189" s="42"/>
      <c r="BC189" s="42"/>
      <c r="BD189" s="42"/>
      <c r="BE189" s="42"/>
      <c r="BF189" s="42"/>
      <c r="BG189" s="42"/>
      <c r="BH189" s="42"/>
      <c r="BI189" s="42"/>
      <c r="BJ189" s="42"/>
      <c r="BK189" s="42"/>
      <c r="BL189" s="42"/>
      <c r="BM189" s="42"/>
      <c r="BN189" s="42"/>
    </row>
    <row r="190" spans="1:66" ht="12.75" customHeight="1" x14ac:dyDescent="0.2">
      <c r="A190" s="1" t="s">
        <v>198</v>
      </c>
      <c r="B190" s="4">
        <f>_xll.ciqfunctions.udf.CIQ(InputTicker, "IQ_GAIN_ASSETS_CF",Input!D$2,Date,,,Ccy,Conv)</f>
        <v>481</v>
      </c>
      <c r="C190" s="4">
        <f>_xll.ciqfunctions.udf.CIQ(InputTicker, "IQ_GAIN_ASSETS_CF",Input!E$2,Date,,,Ccy,Conv)</f>
        <v>62</v>
      </c>
      <c r="D190" s="4">
        <f>_xll.ciqfunctions.udf.CIQ(InputTicker, "IQ_GAIN_ASSETS_CF",Input!F$2,Date,,,Ccy,Conv)</f>
        <v>14</v>
      </c>
      <c r="E190" s="4">
        <f>_xll.ciqfunctions.udf.CIQ(InputTicker, "IQ_GAIN_ASSETS_CF",Input!G$2,Date,,,Ccy,Conv)</f>
        <v>123</v>
      </c>
      <c r="F190" s="4">
        <f>_xll.ciqfunctions.udf.CIQ(InputTicker, "IQ_GAIN_ASSETS_CF",Input!H$2,Date,,,Ccy,Conv)</f>
        <v>-1096</v>
      </c>
      <c r="G190" s="4">
        <f>_xll.ciqfunctions.udf.CIQ(InputTicker, "IQ_GAIN_ASSETS_CF",Input!I$2,Date,,,Ccy,Conv)</f>
        <v>-70</v>
      </c>
      <c r="H190" s="4">
        <f>_xll.ciqfunctions.udf.CIQ(InputTicker, "IQ_GAIN_ASSETS_CF",Input!J$2,Date,,,Ccy,Conv)</f>
        <v>-136</v>
      </c>
      <c r="I190" s="4">
        <f>_xll.ciqfunctions.udf.CIQ(InputTicker, "IQ_GAIN_ASSETS_CF",Input!K$2,Date,,,Ccy,Conv)</f>
        <v>-363</v>
      </c>
      <c r="J190" s="4">
        <f>_xll.ciqfunctions.udf.CIQ(InputTicker, "IQ_GAIN_ASSETS_CF",Input!L$2,Date,,,Ccy,Conv)</f>
        <v>-170</v>
      </c>
      <c r="K190" s="4">
        <f>_xll.ciqfunctions.udf.CIQ(InputTicker, "IQ_GAIN_ASSETS_CF",Input!M$2,Date,,,Ccy,Conv)</f>
        <v>-652</v>
      </c>
      <c r="L190" s="4">
        <f>_xll.ciqfunctions.udf.CIQ(InputTicker, "IQ_GAIN_ASSETS_CF",Input!N$2,Date,,,Ccy,Conv)</f>
        <v>-39</v>
      </c>
      <c r="M190" s="4">
        <f>_xll.ciqfunctions.udf.CIQ(InputTicker, "IQ_GAIN_ASSETS_CF",Input!O$2,Date,,,Ccy,Conv)</f>
        <v>-39</v>
      </c>
      <c r="N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  <c r="BA190" s="42"/>
      <c r="BB190" s="42"/>
      <c r="BC190" s="42"/>
      <c r="BD190" s="42"/>
      <c r="BE190" s="42"/>
      <c r="BF190" s="42"/>
      <c r="BG190" s="42"/>
      <c r="BH190" s="42"/>
      <c r="BI190" s="42"/>
      <c r="BJ190" s="42"/>
      <c r="BK190" s="42"/>
      <c r="BL190" s="42"/>
      <c r="BM190" s="42"/>
      <c r="BN190" s="42"/>
    </row>
    <row r="191" spans="1:66" ht="12.75" customHeight="1" x14ac:dyDescent="0.2">
      <c r="A191" s="1" t="s">
        <v>142</v>
      </c>
      <c r="B191" s="4">
        <f>_xll.ciqfunctions.udf.CIQ(InputTicker, "IQ_GAIN_INVEST_CF",Input!D$2,Date,,,Ccy,Conv)</f>
        <v>0</v>
      </c>
      <c r="C191" s="4">
        <f>_xll.ciqfunctions.udf.CIQ(InputTicker, "IQ_GAIN_INVEST_CF",Input!E$2,Date,,,Ccy,Conv)</f>
        <v>0</v>
      </c>
      <c r="D191" s="4">
        <f>_xll.ciqfunctions.udf.CIQ(InputTicker, "IQ_GAIN_INVEST_CF",Input!F$2,Date,,,Ccy,Conv)</f>
        <v>0</v>
      </c>
      <c r="E191" s="4">
        <f>_xll.ciqfunctions.udf.CIQ(InputTicker, "IQ_GAIN_INVEST_CF",Input!G$2,Date,,,Ccy,Conv)</f>
        <v>0</v>
      </c>
      <c r="F191" s="4">
        <f>_xll.ciqfunctions.udf.CIQ(InputTicker, "IQ_GAIN_INVEST_CF",Input!H$2,Date,,,Ccy,Conv)</f>
        <v>0</v>
      </c>
      <c r="G191" s="4">
        <f>_xll.ciqfunctions.udf.CIQ(InputTicker, "IQ_GAIN_INVEST_CF",Input!I$2,Date,,,Ccy,Conv)</f>
        <v>0</v>
      </c>
      <c r="H191" s="4">
        <f>_xll.ciqfunctions.udf.CIQ(InputTicker, "IQ_GAIN_INVEST_CF",Input!J$2,Date,,,Ccy,Conv)</f>
        <v>0</v>
      </c>
      <c r="I191" s="4">
        <f>_xll.ciqfunctions.udf.CIQ(InputTicker, "IQ_GAIN_INVEST_CF",Input!K$2,Date,,,Ccy,Conv)</f>
        <v>0</v>
      </c>
      <c r="J191" s="4">
        <f>_xll.ciqfunctions.udf.CIQ(InputTicker, "IQ_GAIN_INVEST_CF",Input!L$2,Date,,,Ccy,Conv)</f>
        <v>0</v>
      </c>
      <c r="K191" s="4">
        <f>_xll.ciqfunctions.udf.CIQ(InputTicker, "IQ_GAIN_INVEST_CF",Input!M$2,Date,,,Ccy,Conv)</f>
        <v>0</v>
      </c>
      <c r="L191" s="4">
        <f>_xll.ciqfunctions.udf.CIQ(InputTicker, "IQ_GAIN_INVEST_CF",Input!N$2,Date,,,Ccy,Conv)</f>
        <v>0</v>
      </c>
      <c r="M191" s="4">
        <f>_xll.ciqfunctions.udf.CIQ(InputTicker, "IQ_GAIN_INVEST_CF",Input!O$2,Date,,,Ccy,Conv)</f>
        <v>0</v>
      </c>
      <c r="N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  <c r="BA191" s="42"/>
      <c r="BB191" s="42"/>
      <c r="BC191" s="42"/>
      <c r="BD191" s="42"/>
      <c r="BE191" s="42"/>
      <c r="BF191" s="42"/>
      <c r="BG191" s="42"/>
      <c r="BH191" s="42"/>
      <c r="BI191" s="42"/>
      <c r="BJ191" s="42"/>
      <c r="BK191" s="42"/>
      <c r="BL191" s="42"/>
      <c r="BM191" s="42"/>
      <c r="BN191" s="42"/>
    </row>
    <row r="192" spans="1:66" ht="12.75" customHeight="1" x14ac:dyDescent="0.2">
      <c r="A192" s="1" t="s">
        <v>199</v>
      </c>
      <c r="B192" s="4">
        <f>_xll.ciqfunctions.udf.CIQ(InputTicker, "IQ_ASSET_WRITEDOWN_CF",Input!D$2,Date,,,Ccy,Conv)</f>
        <v>0</v>
      </c>
      <c r="C192" s="4">
        <f>_xll.ciqfunctions.udf.CIQ(InputTicker, "IQ_ASSET_WRITEDOWN_CF",Input!E$2,Date,,,Ccy,Conv)</f>
        <v>0</v>
      </c>
      <c r="D192" s="4">
        <f>_xll.ciqfunctions.udf.CIQ(InputTicker, "IQ_ASSET_WRITEDOWN_CF",Input!F$2,Date,,,Ccy,Conv)</f>
        <v>0</v>
      </c>
      <c r="E192" s="4">
        <f>_xll.ciqfunctions.udf.CIQ(InputTicker, "IQ_ASSET_WRITEDOWN_CF",Input!G$2,Date,,,Ccy,Conv)</f>
        <v>0</v>
      </c>
      <c r="F192" s="4">
        <f>_xll.ciqfunctions.udf.CIQ(InputTicker, "IQ_ASSET_WRITEDOWN_CF",Input!H$2,Date,,,Ccy,Conv)</f>
        <v>0</v>
      </c>
      <c r="G192" s="4">
        <f>_xll.ciqfunctions.udf.CIQ(InputTicker, "IQ_ASSET_WRITEDOWN_CF",Input!I$2,Date,,,Ccy,Conv)</f>
        <v>0</v>
      </c>
      <c r="H192" s="4">
        <f>_xll.ciqfunctions.udf.CIQ(InputTicker, "IQ_ASSET_WRITEDOWN_CF",Input!J$2,Date,,,Ccy,Conv)</f>
        <v>0</v>
      </c>
      <c r="I192" s="4">
        <f>_xll.ciqfunctions.udf.CIQ(InputTicker, "IQ_ASSET_WRITEDOWN_CF",Input!K$2,Date,,,Ccy,Conv)</f>
        <v>0</v>
      </c>
      <c r="J192" s="4">
        <f>_xll.ciqfunctions.udf.CIQ(InputTicker, "IQ_ASSET_WRITEDOWN_CF",Input!L$2,Date,,,Ccy,Conv)</f>
        <v>0</v>
      </c>
      <c r="K192" s="4">
        <f>_xll.ciqfunctions.udf.CIQ(InputTicker, "IQ_ASSET_WRITEDOWN_CF",Input!M$2,Date,,,Ccy,Conv)</f>
        <v>0</v>
      </c>
      <c r="L192" s="4">
        <f>_xll.ciqfunctions.udf.CIQ(InputTicker, "IQ_ASSET_WRITEDOWN_CF",Input!N$2,Date,,,Ccy,Conv)</f>
        <v>0</v>
      </c>
      <c r="M192" s="4">
        <f>_xll.ciqfunctions.udf.CIQ(InputTicker, "IQ_ASSET_WRITEDOWN_CF",Input!O$2,Date,,,Ccy,Conv)</f>
        <v>0</v>
      </c>
      <c r="N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  <c r="BA192" s="42"/>
      <c r="BB192" s="42"/>
      <c r="BC192" s="42"/>
      <c r="BD192" s="42"/>
      <c r="BE192" s="42"/>
      <c r="BF192" s="42"/>
      <c r="BG192" s="42"/>
      <c r="BH192" s="42"/>
      <c r="BI192" s="42"/>
      <c r="BJ192" s="42"/>
      <c r="BK192" s="42"/>
      <c r="BL192" s="42"/>
      <c r="BM192" s="42"/>
      <c r="BN192" s="42"/>
    </row>
    <row r="193" spans="1:66" ht="12.75" customHeight="1" x14ac:dyDescent="0.2">
      <c r="A193" s="1" t="s">
        <v>200</v>
      </c>
      <c r="B193" s="4">
        <f>_xll.ciqfunctions.udf.CIQ(InputTicker, "IQ_LOANS_CF",Input!D$2,Date,,,Ccy,Conv)</f>
        <v>0</v>
      </c>
      <c r="C193" s="4">
        <f>_xll.ciqfunctions.udf.CIQ(InputTicker, "IQ_LOANS_CF",Input!E$2,Date,,,Ccy,Conv)</f>
        <v>0</v>
      </c>
      <c r="D193" s="4">
        <f>_xll.ciqfunctions.udf.CIQ(InputTicker, "IQ_LOANS_CF",Input!F$2,Date,,,Ccy,Conv)</f>
        <v>0</v>
      </c>
      <c r="E193" s="4">
        <f>_xll.ciqfunctions.udf.CIQ(InputTicker, "IQ_LOANS_CF",Input!G$2,Date,,,Ccy,Conv)</f>
        <v>0</v>
      </c>
      <c r="F193" s="4">
        <f>_xll.ciqfunctions.udf.CIQ(InputTicker, "IQ_LOANS_CF",Input!H$2,Date,,,Ccy,Conv)</f>
        <v>0</v>
      </c>
      <c r="G193" s="4">
        <f>_xll.ciqfunctions.udf.CIQ(InputTicker, "IQ_LOANS_CF",Input!I$2,Date,,,Ccy,Conv)</f>
        <v>0</v>
      </c>
      <c r="H193" s="4">
        <f>_xll.ciqfunctions.udf.CIQ(InputTicker, "IQ_LOANS_CF",Input!J$2,Date,,,Ccy,Conv)</f>
        <v>0</v>
      </c>
      <c r="I193" s="4">
        <f>_xll.ciqfunctions.udf.CIQ(InputTicker, "IQ_LOANS_CF",Input!K$2,Date,,,Ccy,Conv)</f>
        <v>0</v>
      </c>
      <c r="J193" s="4">
        <f>_xll.ciqfunctions.udf.CIQ(InputTicker, "IQ_LOANS_CF",Input!L$2,Date,,,Ccy,Conv)</f>
        <v>0</v>
      </c>
      <c r="K193" s="4">
        <f>_xll.ciqfunctions.udf.CIQ(InputTicker, "IQ_LOANS_CF",Input!M$2,Date,,,Ccy,Conv)</f>
        <v>0</v>
      </c>
      <c r="L193" s="4">
        <f>_xll.ciqfunctions.udf.CIQ(InputTicker, "IQ_LOANS_CF",Input!N$2,Date,,,Ccy,Conv)</f>
        <v>0</v>
      </c>
      <c r="M193" s="4">
        <f>_xll.ciqfunctions.udf.CIQ(InputTicker, "IQ_LOANS_CF",Input!O$2,Date,,,Ccy,Conv)</f>
        <v>0</v>
      </c>
      <c r="N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  <c r="BA193" s="42"/>
      <c r="BB193" s="42"/>
      <c r="BC193" s="42"/>
      <c r="BD193" s="42"/>
      <c r="BE193" s="42"/>
      <c r="BF193" s="42"/>
      <c r="BG193" s="42"/>
      <c r="BH193" s="42"/>
      <c r="BI193" s="42"/>
      <c r="BJ193" s="42"/>
      <c r="BK193" s="42"/>
      <c r="BL193" s="42"/>
      <c r="BM193" s="42"/>
      <c r="BN193" s="42"/>
    </row>
    <row r="194" spans="1:66" ht="12.75" customHeight="1" x14ac:dyDescent="0.2">
      <c r="A194" s="1" t="s">
        <v>201</v>
      </c>
      <c r="B194" s="4">
        <f>_xll.ciqfunctions.udf.CIQ(InputTicker, "IQ_CREDIT_LOSS_CF",Input!D$2,Date,,,Ccy,Conv)</f>
        <v>0</v>
      </c>
      <c r="C194" s="4">
        <f>_xll.ciqfunctions.udf.CIQ(InputTicker, "IQ_CREDIT_LOSS_CF",Input!E$2,Date,,,Ccy,Conv)</f>
        <v>0</v>
      </c>
      <c r="D194" s="4">
        <f>_xll.ciqfunctions.udf.CIQ(InputTicker, "IQ_CREDIT_LOSS_CF",Input!F$2,Date,,,Ccy,Conv)</f>
        <v>0</v>
      </c>
      <c r="E194" s="4">
        <f>_xll.ciqfunctions.udf.CIQ(InputTicker, "IQ_CREDIT_LOSS_CF",Input!G$2,Date,,,Ccy,Conv)</f>
        <v>0</v>
      </c>
      <c r="F194" s="4">
        <f>_xll.ciqfunctions.udf.CIQ(InputTicker, "IQ_CREDIT_LOSS_CF",Input!H$2,Date,,,Ccy,Conv)</f>
        <v>0</v>
      </c>
      <c r="G194" s="4">
        <f>_xll.ciqfunctions.udf.CIQ(InputTicker, "IQ_CREDIT_LOSS_CF",Input!I$2,Date,,,Ccy,Conv)</f>
        <v>0</v>
      </c>
      <c r="H194" s="4">
        <f>_xll.ciqfunctions.udf.CIQ(InputTicker, "IQ_CREDIT_LOSS_CF",Input!J$2,Date,,,Ccy,Conv)</f>
        <v>0</v>
      </c>
      <c r="I194" s="4">
        <f>_xll.ciqfunctions.udf.CIQ(InputTicker, "IQ_CREDIT_LOSS_CF",Input!K$2,Date,,,Ccy,Conv)</f>
        <v>0</v>
      </c>
      <c r="J194" s="4">
        <f>_xll.ciqfunctions.udf.CIQ(InputTicker, "IQ_CREDIT_LOSS_CF",Input!L$2,Date,,,Ccy,Conv)</f>
        <v>0</v>
      </c>
      <c r="K194" s="4">
        <f>_xll.ciqfunctions.udf.CIQ(InputTicker, "IQ_CREDIT_LOSS_CF",Input!M$2,Date,,,Ccy,Conv)</f>
        <v>0</v>
      </c>
      <c r="L194" s="4">
        <f>_xll.ciqfunctions.udf.CIQ(InputTicker, "IQ_CREDIT_LOSS_CF",Input!N$2,Date,,,Ccy,Conv)</f>
        <v>0</v>
      </c>
      <c r="M194" s="4">
        <f>_xll.ciqfunctions.udf.CIQ(InputTicker, "IQ_CREDIT_LOSS_CF",Input!O$2,Date,,,Ccy,Conv)</f>
        <v>0</v>
      </c>
      <c r="N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  <c r="BA194" s="42"/>
      <c r="BB194" s="42"/>
      <c r="BC194" s="42"/>
      <c r="BD194" s="42"/>
      <c r="BE194" s="42"/>
      <c r="BF194" s="42"/>
      <c r="BG194" s="42"/>
      <c r="BH194" s="42"/>
      <c r="BI194" s="42"/>
      <c r="BJ194" s="42"/>
      <c r="BK194" s="42"/>
      <c r="BL194" s="42"/>
      <c r="BM194" s="42"/>
      <c r="BN194" s="42"/>
    </row>
    <row r="195" spans="1:66" ht="12.75" customHeight="1" x14ac:dyDescent="0.2">
      <c r="A195" s="1" t="s">
        <v>202</v>
      </c>
      <c r="B195" s="4">
        <f>_xll.ciqfunctions.udf.CIQ(InputTicker, "IQ_INC_EQUITY_CF",Input!D$2,Date,,,Ccy,Conv)</f>
        <v>0</v>
      </c>
      <c r="C195" s="4">
        <f>_xll.ciqfunctions.udf.CIQ(InputTicker, "IQ_INC_EQUITY_CF",Input!E$2,Date,,,Ccy,Conv)</f>
        <v>0</v>
      </c>
      <c r="D195" s="4">
        <f>_xll.ciqfunctions.udf.CIQ(InputTicker, "IQ_INC_EQUITY_CF",Input!F$2,Date,,,Ccy,Conv)</f>
        <v>0</v>
      </c>
      <c r="E195" s="4">
        <f>_xll.ciqfunctions.udf.CIQ(InputTicker, "IQ_INC_EQUITY_CF",Input!G$2,Date,,,Ccy,Conv)</f>
        <v>0</v>
      </c>
      <c r="F195" s="4">
        <f>_xll.ciqfunctions.udf.CIQ(InputTicker, "IQ_INC_EQUITY_CF",Input!H$2,Date,,,Ccy,Conv)</f>
        <v>0</v>
      </c>
      <c r="G195" s="4">
        <f>_xll.ciqfunctions.udf.CIQ(InputTicker, "IQ_INC_EQUITY_CF",Input!I$2,Date,,,Ccy,Conv)</f>
        <v>0</v>
      </c>
      <c r="H195" s="4">
        <f>_xll.ciqfunctions.udf.CIQ(InputTicker, "IQ_INC_EQUITY_CF",Input!J$2,Date,,,Ccy,Conv)</f>
        <v>0</v>
      </c>
      <c r="I195" s="4">
        <f>_xll.ciqfunctions.udf.CIQ(InputTicker, "IQ_INC_EQUITY_CF",Input!K$2,Date,,,Ccy,Conv)</f>
        <v>0</v>
      </c>
      <c r="J195" s="4">
        <f>_xll.ciqfunctions.udf.CIQ(InputTicker, "IQ_INC_EQUITY_CF",Input!L$2,Date,,,Ccy,Conv)</f>
        <v>0</v>
      </c>
      <c r="K195" s="4">
        <f>_xll.ciqfunctions.udf.CIQ(InputTicker, "IQ_INC_EQUITY_CF",Input!M$2,Date,,,Ccy,Conv)</f>
        <v>0</v>
      </c>
      <c r="L195" s="4">
        <f>_xll.ciqfunctions.udf.CIQ(InputTicker, "IQ_INC_EQUITY_CF",Input!N$2,Date,,,Ccy,Conv)</f>
        <v>0</v>
      </c>
      <c r="M195" s="4">
        <f>_xll.ciqfunctions.udf.CIQ(InputTicker, "IQ_INC_EQUITY_CF",Input!O$2,Date,,,Ccy,Conv)</f>
        <v>0</v>
      </c>
      <c r="N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  <c r="BA195" s="42"/>
      <c r="BB195" s="42"/>
      <c r="BC195" s="42"/>
      <c r="BD195" s="42"/>
      <c r="BE195" s="42"/>
      <c r="BF195" s="42"/>
      <c r="BG195" s="42"/>
      <c r="BH195" s="42"/>
      <c r="BI195" s="42"/>
      <c r="BJ195" s="42"/>
      <c r="BK195" s="42"/>
      <c r="BL195" s="42"/>
      <c r="BM195" s="42"/>
      <c r="BN195" s="42"/>
    </row>
    <row r="196" spans="1:66" ht="12.75" customHeight="1" x14ac:dyDescent="0.2">
      <c r="A196" s="1" t="s">
        <v>203</v>
      </c>
      <c r="B196" s="4">
        <f>_xll.ciqfunctions.udf.CIQ(InputTicker, "IQ_STOCK_BASED_CF",Input!D$2,Date,,,Ccy,Conv)</f>
        <v>468</v>
      </c>
      <c r="C196" s="4">
        <f>_xll.ciqfunctions.udf.CIQ(InputTicker, "IQ_STOCK_BASED_CF",Input!E$2,Date,,,Ccy,Conv)</f>
        <v>544</v>
      </c>
      <c r="D196" s="4">
        <f>_xll.ciqfunctions.udf.CIQ(InputTicker, "IQ_STOCK_BASED_CF",Input!F$2,Date,,,Ccy,Conv)</f>
        <v>534</v>
      </c>
      <c r="E196" s="4">
        <f>_xll.ciqfunctions.udf.CIQ(InputTicker, "IQ_STOCK_BASED_CF",Input!G$2,Date,,,Ccy,Conv)</f>
        <v>510</v>
      </c>
      <c r="F196" s="4">
        <f>_xll.ciqfunctions.udf.CIQ(InputTicker, "IQ_STOCK_BASED_CF",Input!H$2,Date,,,Ccy,Conv)</f>
        <v>679</v>
      </c>
      <c r="G196" s="4">
        <f>_xll.ciqfunctions.udf.CIQ(InputTicker, "IQ_STOCK_BASED_CF",Input!I$2,Date,,,Ccy,Conv)</f>
        <v>937</v>
      </c>
      <c r="H196" s="4">
        <f>_xll.ciqfunctions.udf.CIQ(InputTicker, "IQ_STOCK_BASED_CF",Input!J$2,Date,,,Ccy,Conv)</f>
        <v>982</v>
      </c>
      <c r="I196" s="4">
        <f>_xll.ciqfunctions.udf.CIQ(InputTicker, "IQ_STOCK_BASED_CF",Input!K$2,Date,,,Ccy,Conv)</f>
        <v>987</v>
      </c>
      <c r="J196" s="4">
        <f>_xll.ciqfunctions.udf.CIQ(InputTicker, "IQ_STOCK_BASED_CF",Input!L$2,Date,,,Ccy,Conv)</f>
        <v>1133</v>
      </c>
      <c r="K196" s="4">
        <f>_xll.ciqfunctions.udf.CIQ(InputTicker, "IQ_STOCK_BASED_CF",Input!M$2,Date,,,Ccy,Conv)</f>
        <v>1311</v>
      </c>
      <c r="L196" s="4">
        <f>_xll.ciqfunctions.udf.CIQ(InputTicker, "IQ_STOCK_BASED_CF",Input!N$2,Date,,,Ccy,Conv)</f>
        <v>1715</v>
      </c>
      <c r="M196" s="4">
        <f>_xll.ciqfunctions.udf.CIQ(InputTicker, "IQ_STOCK_BASED_CF",Input!O$2,Date,,,Ccy,Conv)</f>
        <v>1715</v>
      </c>
      <c r="N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  <c r="BA196" s="42"/>
      <c r="BB196" s="42"/>
      <c r="BC196" s="42"/>
      <c r="BD196" s="42"/>
      <c r="BE196" s="42"/>
      <c r="BF196" s="42"/>
      <c r="BG196" s="42"/>
      <c r="BH196" s="42"/>
      <c r="BI196" s="42"/>
      <c r="BJ196" s="42"/>
      <c r="BK196" s="42"/>
      <c r="BL196" s="42"/>
      <c r="BM196" s="42"/>
      <c r="BN196" s="42"/>
    </row>
    <row r="197" spans="1:66" ht="12.75" customHeight="1" x14ac:dyDescent="0.2">
      <c r="A197" s="1" t="s">
        <v>143</v>
      </c>
      <c r="B197" s="4">
        <f>_xll.ciqfunctions.udf.CIQ(InputTicker, "IQ_TAX_BENEFIT_OPTIONS",Input!D$2,Date,,,Ccy,Conv)</f>
        <v>0</v>
      </c>
      <c r="C197" s="4">
        <f>_xll.ciqfunctions.udf.CIQ(InputTicker, "IQ_TAX_BENEFIT_OPTIONS",Input!E$2,Date,,,Ccy,Conv)</f>
        <v>0</v>
      </c>
      <c r="D197" s="4">
        <f>_xll.ciqfunctions.udf.CIQ(InputTicker, "IQ_TAX_BENEFIT_OPTIONS",Input!F$2,Date,,,Ccy,Conv)</f>
        <v>0</v>
      </c>
      <c r="E197" s="4">
        <f>_xll.ciqfunctions.udf.CIQ(InputTicker, "IQ_TAX_BENEFIT_OPTIONS",Input!G$2,Date,,,Ccy,Conv)</f>
        <v>0</v>
      </c>
      <c r="F197" s="4">
        <f>_xll.ciqfunctions.udf.CIQ(InputTicker, "IQ_TAX_BENEFIT_OPTIONS",Input!H$2,Date,,,Ccy,Conv)</f>
        <v>0</v>
      </c>
      <c r="G197" s="4">
        <f>_xll.ciqfunctions.udf.CIQ(InputTicker, "IQ_TAX_BENEFIT_OPTIONS",Input!I$2,Date,,,Ccy,Conv)</f>
        <v>0</v>
      </c>
      <c r="H197" s="4">
        <f>_xll.ciqfunctions.udf.CIQ(InputTicker, "IQ_TAX_BENEFIT_OPTIONS",Input!J$2,Date,,,Ccy,Conv)</f>
        <v>0</v>
      </c>
      <c r="I197" s="4">
        <f>_xll.ciqfunctions.udf.CIQ(InputTicker, "IQ_TAX_BENEFIT_OPTIONS",Input!K$2,Date,,,Ccy,Conv)</f>
        <v>0</v>
      </c>
      <c r="J197" s="4">
        <f>_xll.ciqfunctions.udf.CIQ(InputTicker, "IQ_TAX_BENEFIT_OPTIONS",Input!L$2,Date,,,Ccy,Conv)</f>
        <v>0</v>
      </c>
      <c r="K197" s="4">
        <f>_xll.ciqfunctions.udf.CIQ(InputTicker, "IQ_TAX_BENEFIT_OPTIONS",Input!M$2,Date,,,Ccy,Conv)</f>
        <v>0</v>
      </c>
      <c r="L197" s="4">
        <f>_xll.ciqfunctions.udf.CIQ(InputTicker, "IQ_TAX_BENEFIT_OPTIONS",Input!N$2,Date,,,Ccy,Conv)</f>
        <v>0</v>
      </c>
      <c r="M197" s="4">
        <f>_xll.ciqfunctions.udf.CIQ(InputTicker, "IQ_TAX_BENEFIT_OPTIONS",Input!O$2,Date,,,Ccy,Conv)</f>
        <v>0</v>
      </c>
      <c r="N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  <c r="BA197" s="42"/>
      <c r="BB197" s="42"/>
      <c r="BC197" s="42"/>
      <c r="BD197" s="42"/>
      <c r="BE197" s="42"/>
      <c r="BF197" s="42"/>
      <c r="BG197" s="42"/>
      <c r="BH197" s="42"/>
      <c r="BI197" s="42"/>
      <c r="BJ197" s="42"/>
      <c r="BK197" s="42"/>
      <c r="BL197" s="42"/>
      <c r="BM197" s="42"/>
      <c r="BN197" s="42"/>
    </row>
    <row r="198" spans="1:66" ht="12.75" customHeight="1" x14ac:dyDescent="0.2">
      <c r="A198" s="1" t="s">
        <v>204</v>
      </c>
      <c r="B198" s="4">
        <f>_xll.ciqfunctions.udf.CIQ(InputTicker, "IQ_PROV_BAD_DEBTS_CF",Input!D$2,Date,,,Ccy,Conv)</f>
        <v>0</v>
      </c>
      <c r="C198" s="4">
        <f>_xll.ciqfunctions.udf.CIQ(InputTicker, "IQ_PROV_BAD_DEBTS_CF",Input!E$2,Date,,,Ccy,Conv)</f>
        <v>0</v>
      </c>
      <c r="D198" s="4">
        <f>_xll.ciqfunctions.udf.CIQ(InputTicker, "IQ_PROV_BAD_DEBTS_CF",Input!F$2,Date,,,Ccy,Conv)</f>
        <v>0</v>
      </c>
      <c r="E198" s="4">
        <f>_xll.ciqfunctions.udf.CIQ(InputTicker, "IQ_PROV_BAD_DEBTS_CF",Input!G$2,Date,,,Ccy,Conv)</f>
        <v>0</v>
      </c>
      <c r="F198" s="4">
        <f>_xll.ciqfunctions.udf.CIQ(InputTicker, "IQ_PROV_BAD_DEBTS_CF",Input!H$2,Date,,,Ccy,Conv)</f>
        <v>0</v>
      </c>
      <c r="G198" s="4">
        <f>_xll.ciqfunctions.udf.CIQ(InputTicker, "IQ_PROV_BAD_DEBTS_CF",Input!I$2,Date,,,Ccy,Conv)</f>
        <v>0</v>
      </c>
      <c r="H198" s="4">
        <f>_xll.ciqfunctions.udf.CIQ(InputTicker, "IQ_PROV_BAD_DEBTS_CF",Input!J$2,Date,,,Ccy,Conv)</f>
        <v>0</v>
      </c>
      <c r="I198" s="4">
        <f>_xll.ciqfunctions.udf.CIQ(InputTicker, "IQ_PROV_BAD_DEBTS_CF",Input!K$2,Date,,,Ccy,Conv)</f>
        <v>0</v>
      </c>
      <c r="J198" s="4">
        <f>_xll.ciqfunctions.udf.CIQ(InputTicker, "IQ_PROV_BAD_DEBTS_CF",Input!L$2,Date,,,Ccy,Conv)</f>
        <v>0</v>
      </c>
      <c r="K198" s="4">
        <f>_xll.ciqfunctions.udf.CIQ(InputTicker, "IQ_PROV_BAD_DEBTS_CF",Input!M$2,Date,,,Ccy,Conv)</f>
        <v>0</v>
      </c>
      <c r="L198" s="4">
        <f>_xll.ciqfunctions.udf.CIQ(InputTicker, "IQ_PROV_BAD_DEBTS_CF",Input!N$2,Date,,,Ccy,Conv)</f>
        <v>0</v>
      </c>
      <c r="M198" s="4">
        <f>_xll.ciqfunctions.udf.CIQ(InputTicker, "IQ_PROV_BAD_DEBTS_CF",Input!O$2,Date,,,Ccy,Conv)</f>
        <v>0</v>
      </c>
      <c r="N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  <c r="BA198" s="42"/>
      <c r="BB198" s="42"/>
      <c r="BC198" s="42"/>
      <c r="BD198" s="42"/>
      <c r="BE198" s="42"/>
      <c r="BF198" s="42"/>
      <c r="BG198" s="42"/>
      <c r="BH198" s="42"/>
      <c r="BI198" s="42"/>
      <c r="BJ198" s="42"/>
      <c r="BK198" s="42"/>
      <c r="BL198" s="42"/>
      <c r="BM198" s="42"/>
      <c r="BN198" s="42"/>
    </row>
    <row r="199" spans="1:66" ht="12.75" customHeight="1" x14ac:dyDescent="0.2">
      <c r="A199" s="1" t="s">
        <v>205</v>
      </c>
      <c r="B199" s="4">
        <f>_xll.ciqfunctions.udf.CIQ(InputTicker, "IQ_DO_CF",Input!D$2,Date,,,Ccy,Conv)</f>
        <v>71</v>
      </c>
      <c r="C199" s="4">
        <f>_xll.ciqfunctions.udf.CIQ(InputTicker, "IQ_DO_CF",Input!E$2,Date,,,Ccy,Conv)</f>
        <v>0</v>
      </c>
      <c r="D199" s="4">
        <f>_xll.ciqfunctions.udf.CIQ(InputTicker, "IQ_DO_CF",Input!F$2,Date,,,Ccy,Conv)</f>
        <v>0</v>
      </c>
      <c r="E199" s="4">
        <f>_xll.ciqfunctions.udf.CIQ(InputTicker, "IQ_DO_CF",Input!G$2,Date,,,Ccy,Conv)</f>
        <v>0</v>
      </c>
      <c r="F199" s="4">
        <f>_xll.ciqfunctions.udf.CIQ(InputTicker, "IQ_DO_CF",Input!H$2,Date,,,Ccy,Conv)</f>
        <v>0</v>
      </c>
      <c r="G199" s="4">
        <f>_xll.ciqfunctions.udf.CIQ(InputTicker, "IQ_DO_CF",Input!I$2,Date,,,Ccy,Conv)</f>
        <v>0</v>
      </c>
      <c r="H199" s="4">
        <f>_xll.ciqfunctions.udf.CIQ(InputTicker, "IQ_DO_CF",Input!J$2,Date,,,Ccy,Conv)</f>
        <v>0</v>
      </c>
      <c r="I199" s="4">
        <f>_xll.ciqfunctions.udf.CIQ(InputTicker, "IQ_DO_CF",Input!K$2,Date,,,Ccy,Conv)</f>
        <v>0</v>
      </c>
      <c r="J199" s="4">
        <f>_xll.ciqfunctions.udf.CIQ(InputTicker, "IQ_DO_CF",Input!L$2,Date,,,Ccy,Conv)</f>
        <v>0</v>
      </c>
      <c r="K199" s="4">
        <f>_xll.ciqfunctions.udf.CIQ(InputTicker, "IQ_DO_CF",Input!M$2,Date,,,Ccy,Conv)</f>
        <v>0</v>
      </c>
      <c r="L199" s="4">
        <f>_xll.ciqfunctions.udf.CIQ(InputTicker, "IQ_DO_CF",Input!N$2,Date,,,Ccy,Conv)</f>
        <v>0</v>
      </c>
      <c r="M199" s="4">
        <f>_xll.ciqfunctions.udf.CIQ(InputTicker, "IQ_DO_CF",Input!O$2,Date,,,Ccy,Conv)</f>
        <v>0</v>
      </c>
      <c r="N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  <c r="BA199" s="42"/>
      <c r="BB199" s="42"/>
      <c r="BC199" s="42"/>
      <c r="BD199" s="42"/>
      <c r="BE199" s="42"/>
      <c r="BF199" s="42"/>
      <c r="BG199" s="42"/>
      <c r="BH199" s="42"/>
      <c r="BI199" s="42"/>
      <c r="BJ199" s="42"/>
      <c r="BK199" s="42"/>
      <c r="BL199" s="42"/>
      <c r="BM199" s="42"/>
      <c r="BN199" s="42"/>
    </row>
    <row r="200" spans="1:66" ht="12.75" customHeight="1" x14ac:dyDescent="0.2">
      <c r="A200" s="1" t="s">
        <v>206</v>
      </c>
      <c r="B200" s="4">
        <f>_xll.ciqfunctions.udf.CIQ(InputTicker, "IQ_OTHER_OPER_ACT",Input!D$2,Date,,,Ccy,Conv)</f>
        <v>1386</v>
      </c>
      <c r="C200" s="4">
        <f>_xll.ciqfunctions.udf.CIQ(InputTicker, "IQ_OTHER_OPER_ACT",Input!E$2,Date,,,Ccy,Conv)</f>
        <v>-1132</v>
      </c>
      <c r="D200" s="4">
        <f>_xll.ciqfunctions.udf.CIQ(InputTicker, "IQ_OTHER_OPER_ACT",Input!F$2,Date,,,Ccy,Conv)</f>
        <v>-931</v>
      </c>
      <c r="E200" s="4">
        <f>_xll.ciqfunctions.udf.CIQ(InputTicker, "IQ_OTHER_OPER_ACT",Input!G$2,Date,,,Ccy,Conv)</f>
        <v>852</v>
      </c>
      <c r="F200" s="4">
        <f>_xll.ciqfunctions.udf.CIQ(InputTicker, "IQ_OTHER_OPER_ACT",Input!H$2,Date,,,Ccy,Conv)</f>
        <v>-1528</v>
      </c>
      <c r="G200" s="4">
        <f>_xll.ciqfunctions.udf.CIQ(InputTicker, "IQ_OTHER_OPER_ACT",Input!I$2,Date,,,Ccy,Conv)</f>
        <v>-3204</v>
      </c>
      <c r="H200" s="4">
        <f>_xll.ciqfunctions.udf.CIQ(InputTicker, "IQ_OTHER_OPER_ACT",Input!J$2,Date,,,Ccy,Conv)</f>
        <v>-2001</v>
      </c>
      <c r="I200" s="4">
        <f>_xll.ciqfunctions.udf.CIQ(InputTicker, "IQ_OTHER_OPER_ACT",Input!K$2,Date,,,Ccy,Conv)</f>
        <v>3168</v>
      </c>
      <c r="J200" s="4">
        <f>_xll.ciqfunctions.udf.CIQ(InputTicker, "IQ_OTHER_OPER_ACT",Input!L$2,Date,,,Ccy,Conv)</f>
        <v>-1114</v>
      </c>
      <c r="K200" s="4">
        <f>_xll.ciqfunctions.udf.CIQ(InputTicker, "IQ_OTHER_OPER_ACT",Input!M$2,Date,,,Ccy,Conv)</f>
        <v>783</v>
      </c>
      <c r="L200" s="4">
        <f>_xll.ciqfunctions.udf.CIQ(InputTicker, "IQ_OTHER_OPER_ACT",Input!N$2,Date,,,Ccy,Conv)</f>
        <v>-958</v>
      </c>
      <c r="M200" s="4">
        <f>_xll.ciqfunctions.udf.CIQ(InputTicker, "IQ_OTHER_OPER_ACT",Input!O$2,Date,,,Ccy,Conv)</f>
        <v>-958</v>
      </c>
      <c r="N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  <c r="BA200" s="42"/>
      <c r="BB200" s="42"/>
      <c r="BC200" s="42"/>
      <c r="BD200" s="42"/>
      <c r="BE200" s="42"/>
      <c r="BF200" s="42"/>
      <c r="BG200" s="42"/>
      <c r="BH200" s="42"/>
      <c r="BI200" s="42"/>
      <c r="BJ200" s="42"/>
      <c r="BK200" s="42"/>
      <c r="BL200" s="42"/>
      <c r="BM200" s="42"/>
      <c r="BN200" s="42"/>
    </row>
    <row r="201" spans="1:66" ht="12.75" customHeight="1" x14ac:dyDescent="0.2">
      <c r="A201" s="1" t="s">
        <v>207</v>
      </c>
      <c r="B201" s="4">
        <f>_xll.ciqfunctions.udf.CIQ(InputTicker, "IQ_CHANGE_TRADING_ASSETS",Input!D$2,Date,,,Ccy,Conv)</f>
        <v>0</v>
      </c>
      <c r="C201" s="4">
        <f>_xll.ciqfunctions.udf.CIQ(InputTicker, "IQ_CHANGE_TRADING_ASSETS",Input!E$2,Date,,,Ccy,Conv)</f>
        <v>0</v>
      </c>
      <c r="D201" s="4">
        <f>_xll.ciqfunctions.udf.CIQ(InputTicker, "IQ_CHANGE_TRADING_ASSETS",Input!F$2,Date,,,Ccy,Conv)</f>
        <v>0</v>
      </c>
      <c r="E201" s="4">
        <f>_xll.ciqfunctions.udf.CIQ(InputTicker, "IQ_CHANGE_TRADING_ASSETS",Input!G$2,Date,,,Ccy,Conv)</f>
        <v>0</v>
      </c>
      <c r="F201" s="4">
        <f>_xll.ciqfunctions.udf.CIQ(InputTicker, "IQ_CHANGE_TRADING_ASSETS",Input!H$2,Date,,,Ccy,Conv)</f>
        <v>0</v>
      </c>
      <c r="G201" s="4">
        <f>_xll.ciqfunctions.udf.CIQ(InputTicker, "IQ_CHANGE_TRADING_ASSETS",Input!I$2,Date,,,Ccy,Conv)</f>
        <v>0</v>
      </c>
      <c r="H201" s="4">
        <f>_xll.ciqfunctions.udf.CIQ(InputTicker, "IQ_CHANGE_TRADING_ASSETS",Input!J$2,Date,,,Ccy,Conv)</f>
        <v>0</v>
      </c>
      <c r="I201" s="4">
        <f>_xll.ciqfunctions.udf.CIQ(InputTicker, "IQ_CHANGE_TRADING_ASSETS",Input!K$2,Date,,,Ccy,Conv)</f>
        <v>0</v>
      </c>
      <c r="J201" s="4">
        <f>_xll.ciqfunctions.udf.CIQ(InputTicker, "IQ_CHANGE_TRADING_ASSETS",Input!L$2,Date,,,Ccy,Conv)</f>
        <v>0</v>
      </c>
      <c r="K201" s="4">
        <f>_xll.ciqfunctions.udf.CIQ(InputTicker, "IQ_CHANGE_TRADING_ASSETS",Input!M$2,Date,,,Ccy,Conv)</f>
        <v>0</v>
      </c>
      <c r="L201" s="4">
        <f>_xll.ciqfunctions.udf.CIQ(InputTicker, "IQ_CHANGE_TRADING_ASSETS",Input!N$2,Date,,,Ccy,Conv)</f>
        <v>0</v>
      </c>
      <c r="M201" s="4">
        <f>_xll.ciqfunctions.udf.CIQ(InputTicker, "IQ_CHANGE_TRADING_ASSETS",Input!O$2,Date,,,Ccy,Conv)</f>
        <v>0</v>
      </c>
      <c r="N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/>
      <c r="AS201" s="42"/>
      <c r="AT201" s="42"/>
      <c r="AU201" s="42"/>
      <c r="AV201" s="42"/>
      <c r="AW201" s="42"/>
      <c r="AX201" s="42"/>
      <c r="AY201" s="42"/>
      <c r="AZ201" s="42"/>
      <c r="BA201" s="42"/>
      <c r="BB201" s="42"/>
      <c r="BC201" s="42"/>
      <c r="BD201" s="42"/>
      <c r="BE201" s="42"/>
      <c r="BF201" s="42"/>
      <c r="BG201" s="42"/>
      <c r="BH201" s="42"/>
      <c r="BI201" s="42"/>
      <c r="BJ201" s="42"/>
      <c r="BK201" s="42"/>
      <c r="BL201" s="42"/>
      <c r="BM201" s="42"/>
      <c r="BN201" s="42"/>
    </row>
    <row r="202" spans="1:66" ht="12.75" customHeight="1" x14ac:dyDescent="0.2">
      <c r="A202" s="1" t="s">
        <v>144</v>
      </c>
      <c r="B202" s="4">
        <f>_xll.ciqfunctions.udf.CIQ(InputTicker, "IQ_CHANGE_AR",Input!D$2,Date,,,Ccy,Conv)</f>
        <v>812</v>
      </c>
      <c r="C202" s="4">
        <f>_xll.ciqfunctions.udf.CIQ(InputTicker, "IQ_CHANGE_AR",Input!E$2,Date,,,Ccy,Conv)</f>
        <v>712</v>
      </c>
      <c r="D202" s="4">
        <f>_xll.ciqfunctions.udf.CIQ(InputTicker, "IQ_CHANGE_AR",Input!F$2,Date,,,Ccy,Conv)</f>
        <v>1297</v>
      </c>
      <c r="E202" s="4">
        <f>_xll.ciqfunctions.udf.CIQ(InputTicker, "IQ_CHANGE_AR",Input!G$2,Date,,,Ccy,Conv)</f>
        <v>1006</v>
      </c>
      <c r="F202" s="4">
        <f>_xll.ciqfunctions.udf.CIQ(InputTicker, "IQ_CHANGE_AR",Input!H$2,Date,,,Ccy,Conv)</f>
        <v>502</v>
      </c>
      <c r="G202" s="4">
        <f>_xll.ciqfunctions.udf.CIQ(InputTicker, "IQ_CHANGE_AR",Input!I$2,Date,,,Ccy,Conv)</f>
        <v>5297</v>
      </c>
      <c r="H202" s="4">
        <f>_xll.ciqfunctions.udf.CIQ(InputTicker, "IQ_CHANGE_AR",Input!J$2,Date,,,Ccy,Conv)</f>
        <v>1372</v>
      </c>
      <c r="I202" s="4">
        <f>_xll.ciqfunctions.udf.CIQ(InputTicker, "IQ_CHANGE_AR",Input!K$2,Date,,,Ccy,Conv)</f>
        <v>-539</v>
      </c>
      <c r="J202" s="4">
        <f>_xll.ciqfunctions.udf.CIQ(InputTicker, "IQ_CHANGE_AR",Input!L$2,Date,,,Ccy,Conv)</f>
        <v>725</v>
      </c>
      <c r="K202" s="4">
        <f>_xll.ciqfunctions.udf.CIQ(InputTicker, "IQ_CHANGE_AR",Input!M$2,Date,,,Ccy,Conv)</f>
        <v>-374</v>
      </c>
      <c r="L202" s="4">
        <f>_xll.ciqfunctions.udf.CIQ(InputTicker, "IQ_CHANGE_AR",Input!N$2,Date,,,Ccy,Conv)</f>
        <v>-4278</v>
      </c>
      <c r="M202" s="4">
        <f>_xll.ciqfunctions.udf.CIQ(InputTicker, "IQ_CHANGE_AR",Input!O$2,Date,,,Ccy,Conv)</f>
        <v>-4278</v>
      </c>
      <c r="N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  <c r="AV202" s="42"/>
      <c r="AW202" s="42"/>
      <c r="AX202" s="42"/>
      <c r="AY202" s="42"/>
      <c r="AZ202" s="42"/>
      <c r="BA202" s="42"/>
      <c r="BB202" s="42"/>
      <c r="BC202" s="42"/>
      <c r="BD202" s="42"/>
      <c r="BE202" s="42"/>
      <c r="BF202" s="42"/>
      <c r="BG202" s="42"/>
      <c r="BH202" s="42"/>
      <c r="BI202" s="42"/>
      <c r="BJ202" s="42"/>
      <c r="BK202" s="42"/>
      <c r="BL202" s="42"/>
      <c r="BM202" s="42"/>
      <c r="BN202" s="42"/>
    </row>
    <row r="203" spans="1:66" ht="12.75" customHeight="1" x14ac:dyDescent="0.2">
      <c r="A203" s="1" t="s">
        <v>145</v>
      </c>
      <c r="B203" s="4">
        <f>_xll.ciqfunctions.udf.CIQ(InputTicker, "IQ_CHANGE_INVENTORY",Input!D$2,Date,,,Ccy,Conv)</f>
        <v>133</v>
      </c>
      <c r="C203" s="4">
        <f>_xll.ciqfunctions.udf.CIQ(InputTicker, "IQ_CHANGE_INVENTORY",Input!E$2,Date,,,Ccy,Conv)</f>
        <v>-14</v>
      </c>
      <c r="D203" s="4">
        <f>_xll.ciqfunctions.udf.CIQ(InputTicker, "IQ_CHANGE_INVENTORY",Input!F$2,Date,,,Ccy,Conv)</f>
        <v>18</v>
      </c>
      <c r="E203" s="4">
        <f>_xll.ciqfunctions.udf.CIQ(InputTicker, "IQ_CHANGE_INVENTORY",Input!G$2,Date,,,Ccy,Conv)</f>
        <v>-127</v>
      </c>
      <c r="F203" s="4">
        <f>_xll.ciqfunctions.udf.CIQ(InputTicker, "IQ_CHANGE_INVENTORY",Input!H$2,Date,,,Ccy,Conv)</f>
        <v>67</v>
      </c>
      <c r="G203" s="4">
        <f>_xll.ciqfunctions.udf.CIQ(InputTicker, "IQ_CHANGE_INVENTORY",Input!I$2,Date,,,Ccy,Conv)</f>
        <v>-209</v>
      </c>
      <c r="H203" s="4">
        <f>_xll.ciqfunctions.udf.CIQ(InputTicker, "IQ_CHANGE_INVENTORY",Input!J$2,Date,,,Ccy,Conv)</f>
        <v>138</v>
      </c>
      <c r="I203" s="4">
        <f>_xll.ciqfunctions.udf.CIQ(InputTicker, "IQ_CHANGE_INVENTORY",Input!K$2,Date,,,Ccy,Conv)</f>
        <v>71</v>
      </c>
      <c r="J203" s="4">
        <f>_xll.ciqfunctions.udf.CIQ(InputTicker, "IQ_CHANGE_INVENTORY",Input!L$2,Date,,,Ccy,Conv)</f>
        <v>390</v>
      </c>
      <c r="K203" s="4">
        <f>_xll.ciqfunctions.udf.CIQ(InputTicker, "IQ_CHANGE_INVENTORY",Input!M$2,Date,,,Ccy,Conv)</f>
        <v>-166</v>
      </c>
      <c r="L203" s="4">
        <f>_xll.ciqfunctions.udf.CIQ(InputTicker, "IQ_CHANGE_INVENTORY",Input!N$2,Date,,,Ccy,Conv)</f>
        <v>70</v>
      </c>
      <c r="M203" s="4">
        <f>_xll.ciqfunctions.udf.CIQ(InputTicker, "IQ_CHANGE_INVENTORY",Input!O$2,Date,,,Ccy,Conv)</f>
        <v>70</v>
      </c>
      <c r="N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  <c r="BA203" s="42"/>
      <c r="BB203" s="42"/>
      <c r="BC203" s="42"/>
      <c r="BD203" s="42"/>
      <c r="BE203" s="42"/>
      <c r="BF203" s="42"/>
      <c r="BG203" s="42"/>
      <c r="BH203" s="42"/>
      <c r="BI203" s="42"/>
      <c r="BJ203" s="42"/>
      <c r="BK203" s="42"/>
      <c r="BL203" s="42"/>
      <c r="BM203" s="42"/>
      <c r="BN203" s="42"/>
    </row>
    <row r="204" spans="1:66" ht="12.75" customHeight="1" x14ac:dyDescent="0.2">
      <c r="A204" s="1" t="s">
        <v>146</v>
      </c>
      <c r="B204" s="4">
        <f>_xll.ciqfunctions.udf.CIQ(InputTicker, "IQ_CHANGE_AP",Input!D$2,Date,,,Ccy,Conv)</f>
        <v>81</v>
      </c>
      <c r="C204" s="4">
        <f>_xll.ciqfunctions.udf.CIQ(InputTicker, "IQ_CHANGE_AP",Input!E$2,Date,,,Ccy,Conv)</f>
        <v>197</v>
      </c>
      <c r="D204" s="4">
        <f>_xll.ciqfunctions.udf.CIQ(InputTicker, "IQ_CHANGE_AP",Input!F$2,Date,,,Ccy,Conv)</f>
        <v>47</v>
      </c>
      <c r="E204" s="4">
        <f>_xll.ciqfunctions.udf.CIQ(InputTicker, "IQ_CHANGE_AP",Input!G$2,Date,,,Ccy,Conv)</f>
        <v>126</v>
      </c>
      <c r="F204" s="4">
        <f>_xll.ciqfunctions.udf.CIQ(InputTicker, "IQ_CHANGE_AP",Input!H$2,Date,,,Ccy,Conv)</f>
        <v>-503</v>
      </c>
      <c r="G204" s="4">
        <f>_xll.ciqfunctions.udf.CIQ(InputTicker, "IQ_CHANGE_AP",Input!I$2,Date,,,Ccy,Conv)</f>
        <v>138</v>
      </c>
      <c r="H204" s="4">
        <f>_xll.ciqfunctions.udf.CIQ(InputTicker, "IQ_CHANGE_AP",Input!J$2,Date,,,Ccy,Conv)</f>
        <v>85</v>
      </c>
      <c r="I204" s="4">
        <f>_xll.ciqfunctions.udf.CIQ(InputTicker, "IQ_CHANGE_AP",Input!K$2,Date,,,Ccy,Conv)</f>
        <v>213</v>
      </c>
      <c r="J204" s="4">
        <f>_xll.ciqfunctions.udf.CIQ(InputTicker, "IQ_CHANGE_AP",Input!L$2,Date,,,Ccy,Conv)</f>
        <v>65</v>
      </c>
      <c r="K204" s="4">
        <f>_xll.ciqfunctions.udf.CIQ(InputTicker, "IQ_CHANGE_AP",Input!M$2,Date,,,Ccy,Conv)</f>
        <v>-13</v>
      </c>
      <c r="L204" s="4">
        <f>_xll.ciqfunctions.udf.CIQ(InputTicker, "IQ_CHANGE_AP",Input!N$2,Date,,,Ccy,Conv)</f>
        <v>624</v>
      </c>
      <c r="M204" s="4">
        <f>_xll.ciqfunctions.udf.CIQ(InputTicker, "IQ_CHANGE_AP",Input!O$2,Date,,,Ccy,Conv)</f>
        <v>624</v>
      </c>
      <c r="N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/>
      <c r="AS204" s="42"/>
      <c r="AT204" s="42"/>
      <c r="AU204" s="42"/>
      <c r="AV204" s="42"/>
      <c r="AW204" s="42"/>
      <c r="AX204" s="42"/>
      <c r="AY204" s="42"/>
      <c r="AZ204" s="42"/>
      <c r="BA204" s="42"/>
      <c r="BB204" s="42"/>
      <c r="BC204" s="42"/>
      <c r="BD204" s="42"/>
      <c r="BE204" s="42"/>
      <c r="BF204" s="42"/>
      <c r="BG204" s="42"/>
      <c r="BH204" s="42"/>
      <c r="BI204" s="42"/>
      <c r="BJ204" s="42"/>
      <c r="BK204" s="42"/>
      <c r="BL204" s="42"/>
      <c r="BM204" s="42"/>
      <c r="BN204" s="42"/>
    </row>
    <row r="205" spans="1:66" ht="12.75" customHeight="1" x14ac:dyDescent="0.2">
      <c r="A205" s="1" t="s">
        <v>147</v>
      </c>
      <c r="B205" s="4">
        <f>_xll.ciqfunctions.udf.CIQ(InputTicker, "IQ_CHANGE_UNEARN_REV",Input!D$2,Date,,,Ccy,Conv)</f>
        <v>0</v>
      </c>
      <c r="C205" s="4">
        <f>_xll.ciqfunctions.udf.CIQ(InputTicker, "IQ_CHANGE_UNEARN_REV",Input!E$2,Date,,,Ccy,Conv)</f>
        <v>0</v>
      </c>
      <c r="D205" s="4">
        <f>_xll.ciqfunctions.udf.CIQ(InputTicker, "IQ_CHANGE_UNEARN_REV",Input!F$2,Date,,,Ccy,Conv)</f>
        <v>0</v>
      </c>
      <c r="E205" s="4">
        <f>_xll.ciqfunctions.udf.CIQ(InputTicker, "IQ_CHANGE_UNEARN_REV",Input!G$2,Date,,,Ccy,Conv)</f>
        <v>0</v>
      </c>
      <c r="F205" s="4">
        <f>_xll.ciqfunctions.udf.CIQ(InputTicker, "IQ_CHANGE_UNEARN_REV",Input!H$2,Date,,,Ccy,Conv)</f>
        <v>0</v>
      </c>
      <c r="G205" s="4">
        <f>_xll.ciqfunctions.udf.CIQ(InputTicker, "IQ_CHANGE_UNEARN_REV",Input!I$2,Date,,,Ccy,Conv)</f>
        <v>0</v>
      </c>
      <c r="H205" s="4">
        <f>_xll.ciqfunctions.udf.CIQ(InputTicker, "IQ_CHANGE_UNEARN_REV",Input!J$2,Date,,,Ccy,Conv)</f>
        <v>0</v>
      </c>
      <c r="I205" s="4">
        <f>_xll.ciqfunctions.udf.CIQ(InputTicker, "IQ_CHANGE_UNEARN_REV",Input!K$2,Date,,,Ccy,Conv)</f>
        <v>0</v>
      </c>
      <c r="J205" s="4">
        <f>_xll.ciqfunctions.udf.CIQ(InputTicker, "IQ_CHANGE_UNEARN_REV",Input!L$2,Date,,,Ccy,Conv)</f>
        <v>0</v>
      </c>
      <c r="K205" s="4">
        <f>_xll.ciqfunctions.udf.CIQ(InputTicker, "IQ_CHANGE_UNEARN_REV",Input!M$2,Date,,,Ccy,Conv)</f>
        <v>0</v>
      </c>
      <c r="L205" s="4">
        <f>_xll.ciqfunctions.udf.CIQ(InputTicker, "IQ_CHANGE_UNEARN_REV",Input!N$2,Date,,,Ccy,Conv)</f>
        <v>0</v>
      </c>
      <c r="M205" s="4">
        <f>_xll.ciqfunctions.udf.CIQ(InputTicker, "IQ_CHANGE_UNEARN_REV",Input!O$2,Date,,,Ccy,Conv)</f>
        <v>0</v>
      </c>
      <c r="N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/>
      <c r="AS205" s="42"/>
      <c r="AT205" s="42"/>
      <c r="AU205" s="42"/>
      <c r="AV205" s="42"/>
      <c r="AW205" s="42"/>
      <c r="AX205" s="42"/>
      <c r="AY205" s="42"/>
      <c r="AZ205" s="42"/>
      <c r="BA205" s="42"/>
      <c r="BB205" s="42"/>
      <c r="BC205" s="42"/>
      <c r="BD205" s="42"/>
      <c r="BE205" s="42"/>
      <c r="BF205" s="42"/>
      <c r="BG205" s="42"/>
      <c r="BH205" s="42"/>
      <c r="BI205" s="42"/>
      <c r="BJ205" s="42"/>
      <c r="BK205" s="42"/>
      <c r="BL205" s="42"/>
      <c r="BM205" s="42"/>
      <c r="BN205" s="42"/>
    </row>
    <row r="206" spans="1:66" ht="12.75" customHeight="1" x14ac:dyDescent="0.2">
      <c r="A206" s="1" t="s">
        <v>208</v>
      </c>
      <c r="B206" s="4">
        <f>_xll.ciqfunctions.udf.CIQ(InputTicker, "IQ_CHANGE_INC_TAX",Input!D$2,Date,,,Ccy,Conv)</f>
        <v>0</v>
      </c>
      <c r="C206" s="4">
        <f>_xll.ciqfunctions.udf.CIQ(InputTicker, "IQ_CHANGE_INC_TAX",Input!E$2,Date,,,Ccy,Conv)</f>
        <v>0</v>
      </c>
      <c r="D206" s="4">
        <f>_xll.ciqfunctions.udf.CIQ(InputTicker, "IQ_CHANGE_INC_TAX",Input!F$2,Date,,,Ccy,Conv)</f>
        <v>0</v>
      </c>
      <c r="E206" s="4">
        <f>_xll.ciqfunctions.udf.CIQ(InputTicker, "IQ_CHANGE_INC_TAX",Input!G$2,Date,,,Ccy,Conv)</f>
        <v>0</v>
      </c>
      <c r="F206" s="4">
        <f>_xll.ciqfunctions.udf.CIQ(InputTicker, "IQ_CHANGE_INC_TAX",Input!H$2,Date,,,Ccy,Conv)</f>
        <v>0</v>
      </c>
      <c r="G206" s="4">
        <f>_xll.ciqfunctions.udf.CIQ(InputTicker, "IQ_CHANGE_INC_TAX",Input!I$2,Date,,,Ccy,Conv)</f>
        <v>0</v>
      </c>
      <c r="H206" s="4">
        <f>_xll.ciqfunctions.udf.CIQ(InputTicker, "IQ_CHANGE_INC_TAX",Input!J$2,Date,,,Ccy,Conv)</f>
        <v>0</v>
      </c>
      <c r="I206" s="4">
        <f>_xll.ciqfunctions.udf.CIQ(InputTicker, "IQ_CHANGE_INC_TAX",Input!K$2,Date,,,Ccy,Conv)</f>
        <v>0</v>
      </c>
      <c r="J206" s="4">
        <f>_xll.ciqfunctions.udf.CIQ(InputTicker, "IQ_CHANGE_INC_TAX",Input!L$2,Date,,,Ccy,Conv)</f>
        <v>0</v>
      </c>
      <c r="K206" s="4">
        <f>_xll.ciqfunctions.udf.CIQ(InputTicker, "IQ_CHANGE_INC_TAX",Input!M$2,Date,,,Ccy,Conv)</f>
        <v>0</v>
      </c>
      <c r="L206" s="4">
        <f>_xll.ciqfunctions.udf.CIQ(InputTicker, "IQ_CHANGE_INC_TAX",Input!N$2,Date,,,Ccy,Conv)</f>
        <v>0</v>
      </c>
      <c r="M206" s="4">
        <f>_xll.ciqfunctions.udf.CIQ(InputTicker, "IQ_CHANGE_INC_TAX",Input!O$2,Date,,,Ccy,Conv)</f>
        <v>0</v>
      </c>
      <c r="N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  <c r="BA206" s="42"/>
      <c r="BB206" s="42"/>
      <c r="BC206" s="42"/>
      <c r="BD206" s="42"/>
      <c r="BE206" s="42"/>
      <c r="BF206" s="42"/>
      <c r="BG206" s="42"/>
      <c r="BH206" s="42"/>
      <c r="BI206" s="42"/>
      <c r="BJ206" s="42"/>
      <c r="BK206" s="42"/>
      <c r="BL206" s="42"/>
      <c r="BM206" s="42"/>
      <c r="BN206" s="42"/>
    </row>
    <row r="207" spans="1:66" ht="12.75" customHeight="1" x14ac:dyDescent="0.2">
      <c r="A207" s="1" t="s">
        <v>148</v>
      </c>
      <c r="B207" s="4">
        <f>_xll.ciqfunctions.udf.CIQ(InputTicker, "IQ_CHANGE_DEF_TAX",Input!D$2,Date,,,Ccy,Conv)</f>
        <v>0</v>
      </c>
      <c r="C207" s="4">
        <f>_xll.ciqfunctions.udf.CIQ(InputTicker, "IQ_CHANGE_DEF_TAX",Input!E$2,Date,,,Ccy,Conv)</f>
        <v>0</v>
      </c>
      <c r="D207" s="4">
        <f>_xll.ciqfunctions.udf.CIQ(InputTicker, "IQ_CHANGE_DEF_TAX",Input!F$2,Date,,,Ccy,Conv)</f>
        <v>0</v>
      </c>
      <c r="E207" s="4">
        <f>_xll.ciqfunctions.udf.CIQ(InputTicker, "IQ_CHANGE_DEF_TAX",Input!G$2,Date,,,Ccy,Conv)</f>
        <v>0</v>
      </c>
      <c r="F207" s="4">
        <f>_xll.ciqfunctions.udf.CIQ(InputTicker, "IQ_CHANGE_DEF_TAX",Input!H$2,Date,,,Ccy,Conv)</f>
        <v>0</v>
      </c>
      <c r="G207" s="4">
        <f>_xll.ciqfunctions.udf.CIQ(InputTicker, "IQ_CHANGE_DEF_TAX",Input!I$2,Date,,,Ccy,Conv)</f>
        <v>0</v>
      </c>
      <c r="H207" s="4">
        <f>_xll.ciqfunctions.udf.CIQ(InputTicker, "IQ_CHANGE_DEF_TAX",Input!J$2,Date,,,Ccy,Conv)</f>
        <v>0</v>
      </c>
      <c r="I207" s="4">
        <f>_xll.ciqfunctions.udf.CIQ(InputTicker, "IQ_CHANGE_DEF_TAX",Input!K$2,Date,,,Ccy,Conv)</f>
        <v>0</v>
      </c>
      <c r="J207" s="4">
        <f>_xll.ciqfunctions.udf.CIQ(InputTicker, "IQ_CHANGE_DEF_TAX",Input!L$2,Date,,,Ccy,Conv)</f>
        <v>0</v>
      </c>
      <c r="K207" s="4">
        <f>_xll.ciqfunctions.udf.CIQ(InputTicker, "IQ_CHANGE_DEF_TAX",Input!M$2,Date,,,Ccy,Conv)</f>
        <v>0</v>
      </c>
      <c r="L207" s="4">
        <f>_xll.ciqfunctions.udf.CIQ(InputTicker, "IQ_CHANGE_DEF_TAX",Input!N$2,Date,,,Ccy,Conv)</f>
        <v>0</v>
      </c>
      <c r="M207" s="4">
        <f>_xll.ciqfunctions.udf.CIQ(InputTicker, "IQ_CHANGE_DEF_TAX",Input!O$2,Date,,,Ccy,Conv)</f>
        <v>0</v>
      </c>
      <c r="N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  <c r="AS207" s="42"/>
      <c r="AT207" s="42"/>
      <c r="AU207" s="42"/>
      <c r="AV207" s="42"/>
      <c r="AW207" s="42"/>
      <c r="AX207" s="42"/>
      <c r="AY207" s="42"/>
      <c r="AZ207" s="42"/>
      <c r="BA207" s="42"/>
      <c r="BB207" s="42"/>
      <c r="BC207" s="42"/>
      <c r="BD207" s="42"/>
      <c r="BE207" s="42"/>
      <c r="BF207" s="42"/>
      <c r="BG207" s="42"/>
      <c r="BH207" s="42"/>
      <c r="BI207" s="42"/>
      <c r="BJ207" s="42"/>
      <c r="BK207" s="42"/>
      <c r="BL207" s="42"/>
      <c r="BM207" s="42"/>
      <c r="BN207" s="42"/>
    </row>
    <row r="208" spans="1:66" ht="12.75" customHeight="1" x14ac:dyDescent="0.2">
      <c r="A208" s="1" t="s">
        <v>370</v>
      </c>
      <c r="B208" s="4">
        <f>_xll.ciqfunctions.udf.CIQ(InputTicker, "IQ_CHANGE_OTHER_NET_OPER_ASSETS",Input!D$2,Date,,,Ccy,Conv)</f>
        <v>-3222</v>
      </c>
      <c r="C208" s="4">
        <f>_xll.ciqfunctions.udf.CIQ(InputTicker, "IQ_CHANGE_OTHER_NET_OPER_ASSETS",Input!E$2,Date,,,Ccy,Conv)</f>
        <v>462</v>
      </c>
      <c r="D208" s="4">
        <f>_xll.ciqfunctions.udf.CIQ(InputTicker, "IQ_CHANGE_OTHER_NET_OPER_ASSETS",Input!F$2,Date,,,Ccy,Conv)</f>
        <v>5451</v>
      </c>
      <c r="E208" s="4">
        <f>_xll.ciqfunctions.udf.CIQ(InputTicker, "IQ_CHANGE_OTHER_NET_OPER_ASSETS",Input!G$2,Date,,,Ccy,Conv)</f>
        <v>-451</v>
      </c>
      <c r="F208" s="4">
        <f>_xll.ciqfunctions.udf.CIQ(InputTicker, "IQ_CHANGE_OTHER_NET_OPER_ASSETS",Input!H$2,Date,,,Ccy,Conv)</f>
        <v>1159</v>
      </c>
      <c r="G208" s="4">
        <f>_xll.ciqfunctions.udf.CIQ(InputTicker, "IQ_CHANGE_OTHER_NET_OPER_ASSETS",Input!I$2,Date,,,Ccy,Conv)</f>
        <v>3023</v>
      </c>
      <c r="H208" s="4">
        <f>_xll.ciqfunctions.udf.CIQ(InputTicker, "IQ_CHANGE_OTHER_NET_OPER_ASSETS",Input!J$2,Date,,,Ccy,Conv)</f>
        <v>196</v>
      </c>
      <c r="I208" s="4">
        <f>_xll.ciqfunctions.udf.CIQ(InputTicker, "IQ_CHANGE_OTHER_NET_OPER_ASSETS",Input!K$2,Date,,,Ccy,Conv)</f>
        <v>457</v>
      </c>
      <c r="J208" s="4">
        <f>_xll.ciqfunctions.udf.CIQ(InputTicker, "IQ_CHANGE_OTHER_NET_OPER_ASSETS",Input!L$2,Date,,,Ccy,Conv)</f>
        <v>1004</v>
      </c>
      <c r="K208" s="4">
        <f>_xll.ciqfunctions.udf.CIQ(InputTicker, "IQ_CHANGE_OTHER_NET_OPER_ASSETS",Input!M$2,Date,,,Ccy,Conv)</f>
        <v>1866</v>
      </c>
      <c r="L208" s="4">
        <f>_xll.ciqfunctions.udf.CIQ(InputTicker, "IQ_CHANGE_OTHER_NET_OPER_ASSETS",Input!N$2,Date,,,Ccy,Conv)</f>
        <v>445</v>
      </c>
      <c r="M208" s="4">
        <f>_xll.ciqfunctions.udf.CIQ(InputTicker, "IQ_CHANGE_OTHER_NET_OPER_ASSETS",Input!O$2,Date,,,Ccy,Conv)</f>
        <v>445</v>
      </c>
      <c r="N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/>
      <c r="AS208" s="42"/>
      <c r="AT208" s="42"/>
      <c r="AU208" s="42"/>
      <c r="AV208" s="42"/>
      <c r="AW208" s="42"/>
      <c r="AX208" s="42"/>
      <c r="AY208" s="42"/>
      <c r="AZ208" s="42"/>
      <c r="BA208" s="42"/>
      <c r="BB208" s="42"/>
      <c r="BC208" s="42"/>
      <c r="BD208" s="42"/>
      <c r="BE208" s="42"/>
      <c r="BF208" s="42"/>
      <c r="BG208" s="42"/>
      <c r="BH208" s="42"/>
      <c r="BI208" s="42"/>
      <c r="BJ208" s="42"/>
      <c r="BK208" s="42"/>
      <c r="BL208" s="42"/>
      <c r="BM208" s="42"/>
      <c r="BN208" s="42"/>
    </row>
    <row r="209" spans="1:66" ht="12.75" customHeight="1" thickBot="1" x14ac:dyDescent="0.25">
      <c r="A209" s="5" t="s">
        <v>103</v>
      </c>
      <c r="B209" s="9">
        <f>_xll.ciqfunctions.udf.CIQ(InputTicker, "IQ_CASH_OPER",Input!D$2,Date,,,Ccy,Conv)</f>
        <v>17255</v>
      </c>
      <c r="C209" s="9">
        <f>_xll.ciqfunctions.udf.CIQ(InputTicker, "IQ_CASH_OPER",Input!E$2,Date,,,Ccy,Conv)</f>
        <v>17084</v>
      </c>
      <c r="D209" s="9">
        <f>_xll.ciqfunctions.udf.CIQ(InputTicker, "IQ_CASH_OPER",Input!F$2,Date,,,Ccy,Conv)</f>
        <v>16724</v>
      </c>
      <c r="E209" s="9">
        <f>_xll.ciqfunctions.udf.CIQ(InputTicker, "IQ_CASH_OPER",Input!G$2,Date,,,Ccy,Conv)</f>
        <v>15247</v>
      </c>
      <c r="F209" s="9">
        <f>_xll.ciqfunctions.udf.CIQ(InputTicker, "IQ_CASH_OPER",Input!H$2,Date,,,Ccy,Conv)</f>
        <v>14770</v>
      </c>
      <c r="G209" s="9">
        <f>_xll.ciqfunctions.udf.CIQ(InputTicker, "IQ_CASH_OPER",Input!I$2,Date,,,Ccy,Conv)</f>
        <v>18197</v>
      </c>
      <c r="H209" s="9">
        <f>_xll.ciqfunctions.udf.CIQ(InputTicker, "IQ_CASH_OPER",Input!J$2,Date,,,Ccy,Conv)</f>
        <v>12796</v>
      </c>
      <c r="I209" s="9">
        <f>_xll.ciqfunctions.udf.CIQ(InputTicker, "IQ_CASH_OPER",Input!K$2,Date,,,Ccy,Conv)</f>
        <v>10435</v>
      </c>
      <c r="J209" s="9">
        <f>_xll.ciqfunctions.udf.CIQ(InputTicker, "IQ_CASH_OPER",Input!L$2,Date,,,Ccy,Conv)</f>
        <v>13931</v>
      </c>
      <c r="K209" s="9">
        <f>_xll.ciqfunctions.udf.CIQ(InputTicker, "IQ_CASH_OPER",Input!M$2,Date,,,Ccy,Conv)</f>
        <v>13445</v>
      </c>
      <c r="L209" s="9">
        <f>_xll.ciqfunctions.udf.CIQ(InputTicker, "IQ_CASH_OPER",Input!N$2,Date,,,Ccy,Conv)</f>
        <v>13193</v>
      </c>
      <c r="M209" s="9">
        <f>_xll.ciqfunctions.udf.CIQ(InputTicker, "IQ_CASH_OPER",Input!O$2,Date,,,Ccy,Conv)</f>
        <v>13193</v>
      </c>
      <c r="N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/>
      <c r="AT209" s="42"/>
      <c r="AU209" s="42"/>
      <c r="AV209" s="42"/>
      <c r="AW209" s="42"/>
      <c r="AX209" s="42"/>
      <c r="AY209" s="42"/>
      <c r="AZ209" s="42"/>
      <c r="BA209" s="42"/>
      <c r="BB209" s="42"/>
      <c r="BC209" s="42"/>
      <c r="BD209" s="42"/>
      <c r="BE209" s="42"/>
      <c r="BF209" s="42"/>
      <c r="BG209" s="42"/>
      <c r="BH209" s="42"/>
      <c r="BI209" s="42"/>
      <c r="BJ209" s="42"/>
      <c r="BK209" s="42"/>
      <c r="BL209" s="42"/>
      <c r="BM209" s="42"/>
      <c r="BN209" s="42"/>
    </row>
    <row r="210" spans="1:66" ht="12.75" customHeight="1" thickTop="1" x14ac:dyDescent="0.2">
      <c r="A210" s="1" t="s">
        <v>104</v>
      </c>
      <c r="B210" s="4">
        <f>_xll.ciqfunctions.udf.CIQ(InputTicker, "IQ_CAPEX",Input!D$2,Date,,,Ccy,Conv)</f>
        <v>-3579</v>
      </c>
      <c r="C210" s="4">
        <f>_xll.ciqfunctions.udf.CIQ(InputTicker, "IQ_CAPEX",Input!E$2,Date,,,Ccy,Conv)</f>
        <v>-3567</v>
      </c>
      <c r="D210" s="4">
        <f>_xll.ciqfunctions.udf.CIQ(InputTicker, "IQ_CAPEX",Input!F$2,Date,,,Ccy,Conv)</f>
        <v>-3229</v>
      </c>
      <c r="E210" s="4">
        <f>_xll.ciqfunctions.udf.CIQ(InputTicker, "IQ_CAPEX",Input!G$2,Date,,,Ccy,Conv)</f>
        <v>-3395</v>
      </c>
      <c r="F210" s="4">
        <f>_xll.ciqfunctions.udf.CIQ(InputTicker, "IQ_CAPEX",Input!H$2,Date,,,Ccy,Conv)</f>
        <v>-2286</v>
      </c>
      <c r="G210" s="4">
        <f>_xll.ciqfunctions.udf.CIQ(InputTicker, "IQ_CAPEX",Input!I$2,Date,,,Ccy,Conv)</f>
        <v>-2618</v>
      </c>
      <c r="H210" s="4">
        <f>_xll.ciqfunctions.udf.CIQ(InputTicker, "IQ_CAPEX",Input!J$2,Date,,,Ccy,Conv)</f>
        <v>-2062</v>
      </c>
      <c r="I210" s="4">
        <f>_xll.ciqfunctions.udf.CIQ(InputTicker, "IQ_CAPEX",Input!K$2,Date,,,Ccy,Conv)</f>
        <v>-1346</v>
      </c>
      <c r="J210" s="4">
        <f>_xll.ciqfunctions.udf.CIQ(InputTicker, "IQ_CAPEX",Input!L$2,Date,,,Ccy,Conv)</f>
        <v>-1245</v>
      </c>
      <c r="K210" s="4">
        <f>_xll.ciqfunctions.udf.CIQ(InputTicker, "IQ_CAPEX",Input!M$2,Date,,,Ccy,Conv)</f>
        <v>-1048</v>
      </c>
      <c r="L210" s="4">
        <f>_xll.ciqfunctions.udf.CIQ(InputTicker, "IQ_CAPEX",Input!N$2,Date,,,Ccy,Conv)</f>
        <v>-1091</v>
      </c>
      <c r="M210" s="4">
        <f>_xll.ciqfunctions.udf.CIQ(InputTicker, "IQ_CAPEX",Input!O$2,Date,,,Ccy,Conv)</f>
        <v>-1091</v>
      </c>
      <c r="N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/>
      <c r="AS210" s="42"/>
      <c r="AT210" s="42"/>
      <c r="AU210" s="42"/>
      <c r="AV210" s="42"/>
      <c r="AW210" s="42"/>
      <c r="AX210" s="42"/>
      <c r="AY210" s="42"/>
      <c r="AZ210" s="42"/>
      <c r="BA210" s="42"/>
      <c r="BB210" s="42"/>
      <c r="BC210" s="42"/>
      <c r="BD210" s="42"/>
      <c r="BE210" s="42"/>
      <c r="BF210" s="42"/>
      <c r="BG210" s="42"/>
      <c r="BH210" s="42"/>
      <c r="BI210" s="42"/>
      <c r="BJ210" s="42"/>
      <c r="BK210" s="42"/>
      <c r="BL210" s="42"/>
      <c r="BM210" s="42"/>
      <c r="BN210" s="42"/>
    </row>
    <row r="211" spans="1:66" ht="12.75" customHeight="1" x14ac:dyDescent="0.2">
      <c r="A211" s="1" t="s">
        <v>105</v>
      </c>
      <c r="B211" s="4">
        <f>_xll.ciqfunctions.udf.CIQ(InputTicker, "IQ_SALE_PPE_CF",Input!D$2,Date,,,Ccy,Conv)</f>
        <v>370</v>
      </c>
      <c r="C211" s="4">
        <f>_xll.ciqfunctions.udf.CIQ(InputTicker, "IQ_SALE_PPE_CF",Input!E$2,Date,,,Ccy,Conv)</f>
        <v>424</v>
      </c>
      <c r="D211" s="4">
        <f>_xll.ciqfunctions.udf.CIQ(InputTicker, "IQ_SALE_PPE_CF",Input!F$2,Date,,,Ccy,Conv)</f>
        <v>460</v>
      </c>
      <c r="E211" s="4">
        <f>_xll.ciqfunctions.udf.CIQ(InputTicker, "IQ_SALE_PPE_CF",Input!G$2,Date,,,Ccy,Conv)</f>
        <v>248</v>
      </c>
      <c r="F211" s="4">
        <f>_xll.ciqfunctions.udf.CIQ(InputTicker, "IQ_SALE_PPE_CF",Input!H$2,Date,,,Ccy,Conv)</f>
        <v>537</v>
      </c>
      <c r="G211" s="4">
        <f>_xll.ciqfunctions.udf.CIQ(InputTicker, "IQ_SALE_PPE_CF",Input!I$2,Date,,,Ccy,Conv)</f>
        <v>188</v>
      </c>
      <c r="H211" s="4">
        <f>_xll.ciqfunctions.udf.CIQ(InputTicker, "IQ_SALE_PPE_CF",Input!J$2,Date,,,Ccy,Conv)</f>
        <v>387</v>
      </c>
      <c r="I211" s="4">
        <f>_xll.ciqfunctions.udf.CIQ(InputTicker, "IQ_SALE_PPE_CF",Input!K$2,Date,,,Ccy,Conv)</f>
        <v>111</v>
      </c>
      <c r="J211" s="4">
        <f>_xll.ciqfunctions.udf.CIQ(InputTicker, "IQ_SALE_PPE_CF",Input!L$2,Date,,,Ccy,Conv)</f>
        <v>321</v>
      </c>
      <c r="K211" s="4">
        <f>_xll.ciqfunctions.udf.CIQ(InputTicker, "IQ_SALE_PPE_CF",Input!M$2,Date,,,Ccy,Conv)</f>
        <v>557</v>
      </c>
      <c r="L211" s="4">
        <f>_xll.ciqfunctions.udf.CIQ(InputTicker, "IQ_SALE_PPE_CF",Input!N$2,Date,,,Ccy,Conv)</f>
        <v>121</v>
      </c>
      <c r="M211" s="4">
        <f>_xll.ciqfunctions.udf.CIQ(InputTicker, "IQ_SALE_PPE_CF",Input!O$2,Date,,,Ccy,Conv)</f>
        <v>121</v>
      </c>
      <c r="N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/>
      <c r="AU211" s="42"/>
      <c r="AV211" s="42"/>
      <c r="AW211" s="42"/>
      <c r="AX211" s="42"/>
      <c r="AY211" s="42"/>
      <c r="AZ211" s="42"/>
      <c r="BA211" s="42"/>
      <c r="BB211" s="42"/>
      <c r="BC211" s="42"/>
      <c r="BD211" s="42"/>
      <c r="BE211" s="42"/>
      <c r="BF211" s="42"/>
      <c r="BG211" s="42"/>
      <c r="BH211" s="42"/>
      <c r="BI211" s="42"/>
      <c r="BJ211" s="42"/>
      <c r="BK211" s="42"/>
      <c r="BL211" s="42"/>
      <c r="BM211" s="42"/>
      <c r="BN211" s="42"/>
    </row>
    <row r="212" spans="1:66" ht="12.75" customHeight="1" x14ac:dyDescent="0.2">
      <c r="A212" s="1" t="s">
        <v>106</v>
      </c>
      <c r="B212" s="4">
        <f>_xll.ciqfunctions.udf.CIQ(InputTicker, "IQ_CASH_ACQUIRE_CF",Input!D$2,Date,,,Ccy,Conv)</f>
        <v>-3349</v>
      </c>
      <c r="C212" s="4">
        <f>_xll.ciqfunctions.udf.CIQ(InputTicker, "IQ_CASH_ACQUIRE_CF",Input!E$2,Date,,,Ccy,Conv)</f>
        <v>-5696</v>
      </c>
      <c r="D212" s="4">
        <f>_xll.ciqfunctions.udf.CIQ(InputTicker, "IQ_CASH_ACQUIRE_CF",Input!F$2,Date,,,Ccy,Conv)</f>
        <v>-496</v>
      </c>
      <c r="E212" s="4">
        <f>_xll.ciqfunctions.udf.CIQ(InputTicker, "IQ_CASH_ACQUIRE_CF",Input!G$2,Date,,,Ccy,Conv)</f>
        <v>-139</v>
      </c>
      <c r="F212" s="4">
        <f>_xll.ciqfunctions.udf.CIQ(InputTicker, "IQ_CASH_ACQUIRE_CF",Input!H$2,Date,,,Ccy,Conv)</f>
        <v>-32630</v>
      </c>
      <c r="G212" s="4">
        <f>_xll.ciqfunctions.udf.CIQ(InputTicker, "IQ_CASH_ACQUIRE_CF",Input!I$2,Date,,,Ccy,Conv)</f>
        <v>-336</v>
      </c>
      <c r="H212" s="4">
        <f>_xll.ciqfunctions.udf.CIQ(InputTicker, "IQ_CASH_ACQUIRE_CF",Input!J$2,Date,,,Ccy,Conv)</f>
        <v>-3293</v>
      </c>
      <c r="I212" s="4">
        <f>_xll.ciqfunctions.udf.CIQ(InputTicker, "IQ_CASH_ACQUIRE_CF",Input!K$2,Date,,,Ccy,Conv)</f>
        <v>-2348</v>
      </c>
      <c r="J212" s="4">
        <f>_xll.ciqfunctions.udf.CIQ(InputTicker, "IQ_CASH_ACQUIRE_CF",Input!L$2,Date,,,Ccy,Conv)</f>
        <v>-5082</v>
      </c>
      <c r="K212" s="4">
        <f>_xll.ciqfunctions.udf.CIQ(InputTicker, "IQ_CASH_ACQUIRE_CF",Input!M$2,Date,,,Ccy,Conv)</f>
        <v>-3289</v>
      </c>
      <c r="L212" s="4">
        <f>_xll.ciqfunctions.udf.CIQ(InputTicker, "IQ_CASH_ACQUIRE_CF",Input!N$2,Date,,,Ccy,Conv)</f>
        <v>-8294</v>
      </c>
      <c r="M212" s="4">
        <f>_xll.ciqfunctions.udf.CIQ(InputTicker, "IQ_CASH_ACQUIRE_CF",Input!O$2,Date,,,Ccy,Conv)</f>
        <v>-8294</v>
      </c>
      <c r="N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/>
      <c r="AS212" s="42"/>
      <c r="AT212" s="42"/>
      <c r="AU212" s="42"/>
      <c r="AV212" s="42"/>
      <c r="AW212" s="42"/>
      <c r="AX212" s="42"/>
      <c r="AY212" s="42"/>
      <c r="AZ212" s="42"/>
      <c r="BA212" s="42"/>
      <c r="BB212" s="42"/>
      <c r="BC212" s="42"/>
      <c r="BD212" s="42"/>
      <c r="BE212" s="42"/>
      <c r="BF212" s="42"/>
      <c r="BG212" s="42"/>
      <c r="BH212" s="42"/>
      <c r="BI212" s="42"/>
      <c r="BJ212" s="42"/>
      <c r="BK212" s="42"/>
      <c r="BL212" s="42"/>
      <c r="BM212" s="42"/>
      <c r="BN212" s="42"/>
    </row>
    <row r="213" spans="1:66" ht="12.75" customHeight="1" x14ac:dyDescent="0.2">
      <c r="A213" s="1" t="s">
        <v>107</v>
      </c>
      <c r="B213" s="4">
        <f>_xll.ciqfunctions.udf.CIQ(InputTicker, "IQ_DIVEST_CF",Input!D$2,Date,,,Ccy,Conv)</f>
        <v>-401</v>
      </c>
      <c r="C213" s="4">
        <f>_xll.ciqfunctions.udf.CIQ(InputTicker, "IQ_DIVEST_CF",Input!E$2,Date,,,Ccy,Conv)</f>
        <v>-454</v>
      </c>
      <c r="D213" s="4">
        <f>_xll.ciqfunctions.udf.CIQ(InputTicker, "IQ_DIVEST_CF",Input!F$2,Date,,,Ccy,Conv)</f>
        <v>-205</v>
      </c>
      <c r="E213" s="4">
        <f>_xll.ciqfunctions.udf.CIQ(InputTicker, "IQ_DIVEST_CF",Input!G$2,Date,,,Ccy,Conv)</f>
        <v>0</v>
      </c>
      <c r="F213" s="4">
        <f>_xll.ciqfunctions.udf.CIQ(InputTicker, "IQ_DIVEST_CF",Input!H$2,Date,,,Ccy,Conv)</f>
        <v>1076</v>
      </c>
      <c r="G213" s="4">
        <f>_xll.ciqfunctions.udf.CIQ(InputTicker, "IQ_DIVEST_CF",Input!I$2,Date,,,Ccy,Conv)</f>
        <v>503</v>
      </c>
      <c r="H213" s="4">
        <f>_xll.ciqfunctions.udf.CIQ(InputTicker, "IQ_DIVEST_CF",Input!J$2,Date,,,Ccy,Conv)</f>
        <v>114</v>
      </c>
      <c r="I213" s="4">
        <f>_xll.ciqfunctions.udf.CIQ(InputTicker, "IQ_DIVEST_CF",Input!K$2,Date,,,Ccy,Conv)</f>
        <v>1272</v>
      </c>
      <c r="J213" s="4">
        <f>_xll.ciqfunctions.udf.CIQ(InputTicker, "IQ_DIVEST_CF",Input!L$2,Date,,,Ccy,Conv)</f>
        <v>-4</v>
      </c>
      <c r="K213" s="4">
        <f>_xll.ciqfunctions.udf.CIQ(InputTicker, "IQ_DIVEST_CF",Input!M$2,Date,,,Ccy,Conv)</f>
        <v>698</v>
      </c>
      <c r="L213" s="4">
        <f>_xll.ciqfunctions.udf.CIQ(InputTicker, "IQ_DIVEST_CF",Input!N$2,Date,,,Ccy,Conv)</f>
        <v>-1</v>
      </c>
      <c r="M213" s="4">
        <f>_xll.ciqfunctions.udf.CIQ(InputTicker, "IQ_DIVEST_CF",Input!O$2,Date,,,Ccy,Conv)</f>
        <v>-1</v>
      </c>
      <c r="N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  <c r="BA213" s="42"/>
      <c r="BB213" s="42"/>
      <c r="BC213" s="42"/>
      <c r="BD213" s="42"/>
      <c r="BE213" s="42"/>
      <c r="BF213" s="42"/>
      <c r="BG213" s="42"/>
      <c r="BH213" s="42"/>
      <c r="BI213" s="42"/>
      <c r="BJ213" s="42"/>
      <c r="BK213" s="42"/>
      <c r="BL213" s="42"/>
      <c r="BM213" s="42"/>
      <c r="BN213" s="42"/>
    </row>
    <row r="214" spans="1:66" ht="12.75" customHeight="1" x14ac:dyDescent="0.2">
      <c r="A214" s="1" t="s">
        <v>279</v>
      </c>
      <c r="B214" s="4">
        <f>_xll.ciqfunctions.udf.CIQ(InputTicker, "IQ_SALE_REAL_ESTATE_CF",Input!D$2,Date,,,Ccy,Conv)</f>
        <v>0</v>
      </c>
      <c r="C214" s="4">
        <f>_xll.ciqfunctions.udf.CIQ(InputTicker, "IQ_SALE_REAL_ESTATE_CF",Input!E$2,Date,,,Ccy,Conv)</f>
        <v>0</v>
      </c>
      <c r="D214" s="4">
        <f>_xll.ciqfunctions.udf.CIQ(InputTicker, "IQ_SALE_REAL_ESTATE_CF",Input!F$2,Date,,,Ccy,Conv)</f>
        <v>0</v>
      </c>
      <c r="E214" s="4">
        <f>_xll.ciqfunctions.udf.CIQ(InputTicker, "IQ_SALE_REAL_ESTATE_CF",Input!G$2,Date,,,Ccy,Conv)</f>
        <v>0</v>
      </c>
      <c r="F214" s="4">
        <f>_xll.ciqfunctions.udf.CIQ(InputTicker, "IQ_SALE_REAL_ESTATE_CF",Input!H$2,Date,,,Ccy,Conv)</f>
        <v>0</v>
      </c>
      <c r="G214" s="4">
        <f>_xll.ciqfunctions.udf.CIQ(InputTicker, "IQ_SALE_REAL_ESTATE_CF",Input!I$2,Date,,,Ccy,Conv)</f>
        <v>0</v>
      </c>
      <c r="H214" s="4">
        <f>_xll.ciqfunctions.udf.CIQ(InputTicker, "IQ_SALE_REAL_ESTATE_CF",Input!J$2,Date,,,Ccy,Conv)</f>
        <v>0</v>
      </c>
      <c r="I214" s="4">
        <f>_xll.ciqfunctions.udf.CIQ(InputTicker, "IQ_SALE_REAL_ESTATE_CF",Input!K$2,Date,,,Ccy,Conv)</f>
        <v>0</v>
      </c>
      <c r="J214" s="4">
        <f>_xll.ciqfunctions.udf.CIQ(InputTicker, "IQ_SALE_REAL_ESTATE_CF",Input!L$2,Date,,,Ccy,Conv)</f>
        <v>0</v>
      </c>
      <c r="K214" s="4">
        <f>_xll.ciqfunctions.udf.CIQ(InputTicker, "IQ_SALE_REAL_ESTATE_CF",Input!M$2,Date,,,Ccy,Conv)</f>
        <v>0</v>
      </c>
      <c r="L214" s="4">
        <f>_xll.ciqfunctions.udf.CIQ(InputTicker, "IQ_SALE_REAL_ESTATE_CF",Input!N$2,Date,,,Ccy,Conv)</f>
        <v>0</v>
      </c>
      <c r="M214" s="4">
        <f>_xll.ciqfunctions.udf.CIQ(InputTicker, "IQ_SALE_REAL_ESTATE_CF",Input!O$2,Date,,,Ccy,Conv)</f>
        <v>0</v>
      </c>
      <c r="N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/>
      <c r="AV214" s="42"/>
      <c r="AW214" s="42"/>
      <c r="AX214" s="42"/>
      <c r="AY214" s="42"/>
      <c r="AZ214" s="42"/>
      <c r="BA214" s="42"/>
      <c r="BB214" s="42"/>
      <c r="BC214" s="42"/>
      <c r="BD214" s="42"/>
      <c r="BE214" s="42"/>
      <c r="BF214" s="42"/>
      <c r="BG214" s="42"/>
      <c r="BH214" s="42"/>
      <c r="BI214" s="42"/>
      <c r="BJ214" s="42"/>
      <c r="BK214" s="42"/>
      <c r="BL214" s="42"/>
      <c r="BM214" s="42"/>
      <c r="BN214" s="42"/>
    </row>
    <row r="215" spans="1:66" ht="12.75" customHeight="1" x14ac:dyDescent="0.2">
      <c r="A215" s="1" t="s">
        <v>280</v>
      </c>
      <c r="B215" s="4">
        <f>_xll.ciqfunctions.udf.CIQ(InputTicker, "IQ_SALE_INTAN_CF",Input!D$2,Date,,,Ccy,Conv)</f>
        <v>-572</v>
      </c>
      <c r="C215" s="4">
        <f>_xll.ciqfunctions.udf.CIQ(InputTicker, "IQ_SALE_INTAN_CF",Input!E$2,Date,,,Ccy,Conv)</f>
        <v>-583</v>
      </c>
      <c r="D215" s="4">
        <f>_xll.ciqfunctions.udf.CIQ(InputTicker, "IQ_SALE_INTAN_CF",Input!F$2,Date,,,Ccy,Conv)</f>
        <v>-544</v>
      </c>
      <c r="E215" s="4">
        <f>_xll.ciqfunctions.udf.CIQ(InputTicker, "IQ_SALE_INTAN_CF",Input!G$2,Date,,,Ccy,Conv)</f>
        <v>-569</v>
      </c>
      <c r="F215" s="4">
        <f>_xll.ciqfunctions.udf.CIQ(InputTicker, "IQ_SALE_INTAN_CF",Input!H$2,Date,,,Ccy,Conv)</f>
        <v>-621</v>
      </c>
      <c r="G215" s="4">
        <f>_xll.ciqfunctions.udf.CIQ(InputTicker, "IQ_SALE_INTAN_CF",Input!I$2,Date,,,Ccy,Conv)</f>
        <v>-612</v>
      </c>
      <c r="H215" s="4">
        <f>_xll.ciqfunctions.udf.CIQ(InputTicker, "IQ_SALE_INTAN_CF",Input!J$2,Date,,,Ccy,Conv)</f>
        <v>-706</v>
      </c>
      <c r="I215" s="4">
        <f>_xll.ciqfunctions.udf.CIQ(InputTicker, "IQ_SALE_INTAN_CF",Input!K$2,Date,,,Ccy,Conv)</f>
        <v>-626</v>
      </c>
      <c r="J215" s="4">
        <f>_xll.ciqfunctions.udf.CIQ(InputTicker, "IQ_SALE_INTAN_CF",Input!L$2,Date,,,Ccy,Conv)</f>
        <v>-565</v>
      </c>
      <c r="K215" s="4">
        <f>_xll.ciqfunctions.udf.CIQ(InputTicker, "IQ_SALE_INTAN_CF",Input!M$2,Date,,,Ccy,Conv)</f>
        <v>-637</v>
      </c>
      <c r="L215" s="4">
        <f>_xll.ciqfunctions.udf.CIQ(InputTicker, "IQ_SALE_INTAN_CF",Input!N$2,Date,,,Ccy,Conv)</f>
        <v>-647</v>
      </c>
      <c r="M215" s="4">
        <f>_xll.ciqfunctions.udf.CIQ(InputTicker, "IQ_SALE_INTAN_CF",Input!O$2,Date,,,Ccy,Conv)</f>
        <v>-647</v>
      </c>
      <c r="N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/>
      <c r="AV215" s="42"/>
      <c r="AW215" s="42"/>
      <c r="AX215" s="42"/>
      <c r="AY215" s="42"/>
      <c r="AZ215" s="42"/>
      <c r="BA215" s="42"/>
      <c r="BB215" s="42"/>
      <c r="BC215" s="42"/>
      <c r="BD215" s="42"/>
      <c r="BE215" s="42"/>
      <c r="BF215" s="42"/>
      <c r="BG215" s="42"/>
      <c r="BH215" s="42"/>
      <c r="BI215" s="42"/>
      <c r="BJ215" s="42"/>
      <c r="BK215" s="42"/>
      <c r="BL215" s="42"/>
      <c r="BM215" s="42"/>
      <c r="BN215" s="42"/>
    </row>
    <row r="216" spans="1:66" ht="12.75" customHeight="1" x14ac:dyDescent="0.2">
      <c r="A216" s="1" t="s">
        <v>281</v>
      </c>
      <c r="B216" s="4">
        <f>_xll.ciqfunctions.udf.CIQ(InputTicker, "IQ_INVEST_SECURITY_CF",Input!D$2,Date,,,Ccy,Conv)</f>
        <v>-231</v>
      </c>
      <c r="C216" s="4">
        <f>_xll.ciqfunctions.udf.CIQ(InputTicker, "IQ_INVEST_SECURITY_CF",Input!E$2,Date,,,Ccy,Conv)</f>
        <v>-161</v>
      </c>
      <c r="D216" s="4">
        <f>_xll.ciqfunctions.udf.CIQ(InputTicker, "IQ_INVEST_SECURITY_CF",Input!F$2,Date,,,Ccy,Conv)</f>
        <v>-1039</v>
      </c>
      <c r="E216" s="4">
        <f>_xll.ciqfunctions.udf.CIQ(InputTicker, "IQ_INVEST_SECURITY_CF",Input!G$2,Date,,,Ccy,Conv)</f>
        <v>-554</v>
      </c>
      <c r="F216" s="4">
        <f>_xll.ciqfunctions.udf.CIQ(InputTicker, "IQ_INVEST_SECURITY_CF",Input!H$2,Date,,,Ccy,Conv)</f>
        <v>268</v>
      </c>
      <c r="G216" s="4">
        <f>_xll.ciqfunctions.udf.CIQ(InputTicker, "IQ_INVEST_SECURITY_CF",Input!I$2,Date,,,Ccy,Conv)</f>
        <v>-628</v>
      </c>
      <c r="H216" s="4">
        <f>_xll.ciqfunctions.udf.CIQ(InputTicker, "IQ_INVEST_SECURITY_CF",Input!J$2,Date,,,Ccy,Conv)</f>
        <v>-414</v>
      </c>
      <c r="I216" s="4">
        <f>_xll.ciqfunctions.udf.CIQ(InputTicker, "IQ_INVEST_SECURITY_CF",Input!K$2,Date,,,Ccy,Conv)</f>
        <v>-1265</v>
      </c>
      <c r="J216" s="4">
        <f>_xll.ciqfunctions.udf.CIQ(InputTicker, "IQ_INVEST_SECURITY_CF",Input!L$2,Date,,,Ccy,Conv)</f>
        <v>-496</v>
      </c>
      <c r="K216" s="4">
        <f>_xll.ciqfunctions.udf.CIQ(InputTicker, "IQ_INVEST_SECURITY_CF",Input!M$2,Date,,,Ccy,Conv)</f>
        <v>-1218</v>
      </c>
      <c r="L216" s="4">
        <f>_xll.ciqfunctions.udf.CIQ(InputTicker, "IQ_INVEST_SECURITY_CF",Input!N$2,Date,,,Ccy,Conv)</f>
        <v>-391</v>
      </c>
      <c r="M216" s="4">
        <f>_xll.ciqfunctions.udf.CIQ(InputTicker, "IQ_INVEST_SECURITY_CF",Input!O$2,Date,,,Ccy,Conv)</f>
        <v>-391</v>
      </c>
      <c r="N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  <c r="BA216" s="42"/>
      <c r="BB216" s="42"/>
      <c r="BC216" s="42"/>
      <c r="BD216" s="42"/>
      <c r="BE216" s="42"/>
      <c r="BF216" s="42"/>
      <c r="BG216" s="42"/>
      <c r="BH216" s="42"/>
      <c r="BI216" s="42"/>
      <c r="BJ216" s="42"/>
      <c r="BK216" s="42"/>
      <c r="BL216" s="42"/>
      <c r="BM216" s="42"/>
      <c r="BN216" s="42"/>
    </row>
    <row r="217" spans="1:66" ht="12.75" customHeight="1" x14ac:dyDescent="0.2">
      <c r="A217" s="1" t="s">
        <v>149</v>
      </c>
      <c r="B217" s="4">
        <f>_xll.ciqfunctions.udf.CIQ(InputTicker, "IQ_INVEST_LOANS_CF",Input!D$2,Date,,,Ccy,Conv)</f>
        <v>-398</v>
      </c>
      <c r="C217" s="4">
        <f>_xll.ciqfunctions.udf.CIQ(InputTicker, "IQ_INVEST_LOANS_CF",Input!E$2,Date,,,Ccy,Conv)</f>
        <v>-891</v>
      </c>
      <c r="D217" s="4">
        <f>_xll.ciqfunctions.udf.CIQ(InputTicker, "IQ_INVEST_LOANS_CF",Input!F$2,Date,,,Ccy,Conv)</f>
        <v>-2028</v>
      </c>
      <c r="E217" s="4">
        <f>_xll.ciqfunctions.udf.CIQ(InputTicker, "IQ_INVEST_LOANS_CF",Input!G$2,Date,,,Ccy,Conv)</f>
        <v>-503</v>
      </c>
      <c r="F217" s="4">
        <f>_xll.ciqfunctions.udf.CIQ(InputTicker, "IQ_INVEST_LOANS_CF",Input!H$2,Date,,,Ccy,Conv)</f>
        <v>6720</v>
      </c>
      <c r="G217" s="4">
        <f>_xll.ciqfunctions.udf.CIQ(InputTicker, "IQ_INVEST_LOANS_CF",Input!I$2,Date,,,Ccy,Conv)</f>
        <v>475</v>
      </c>
      <c r="H217" s="4">
        <f>_xll.ciqfunctions.udf.CIQ(InputTicker, "IQ_INVEST_LOANS_CF",Input!J$2,Date,,,Ccy,Conv)</f>
        <v>0</v>
      </c>
      <c r="I217" s="4">
        <f>_xll.ciqfunctions.udf.CIQ(InputTicker, "IQ_INVEST_LOANS_CF",Input!K$2,Date,,,Ccy,Conv)</f>
        <v>0</v>
      </c>
      <c r="J217" s="4">
        <f>_xll.ciqfunctions.udf.CIQ(InputTicker, "IQ_INVEST_LOANS_CF",Input!L$2,Date,,,Ccy,Conv)</f>
        <v>0</v>
      </c>
      <c r="K217" s="4">
        <f>_xll.ciqfunctions.udf.CIQ(InputTicker, "IQ_INVEST_LOANS_CF",Input!M$2,Date,,,Ccy,Conv)</f>
        <v>0</v>
      </c>
      <c r="L217" s="4">
        <f>_xll.ciqfunctions.udf.CIQ(InputTicker, "IQ_INVEST_LOANS_CF",Input!N$2,Date,,,Ccy,Conv)</f>
        <v>0</v>
      </c>
      <c r="M217" s="4">
        <f>_xll.ciqfunctions.udf.CIQ(InputTicker, "IQ_INVEST_LOANS_CF",Input!O$2,Date,,,Ccy,Conv)</f>
        <v>0</v>
      </c>
      <c r="N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/>
      <c r="AV217" s="42"/>
      <c r="AW217" s="42"/>
      <c r="AX217" s="42"/>
      <c r="AY217" s="42"/>
      <c r="AZ217" s="42"/>
      <c r="BA217" s="42"/>
      <c r="BB217" s="42"/>
      <c r="BC217" s="42"/>
      <c r="BD217" s="42"/>
      <c r="BE217" s="42"/>
      <c r="BF217" s="42"/>
      <c r="BG217" s="42"/>
      <c r="BH217" s="42"/>
      <c r="BI217" s="42"/>
      <c r="BJ217" s="42"/>
      <c r="BK217" s="42"/>
      <c r="BL217" s="42"/>
      <c r="BM217" s="42"/>
      <c r="BN217" s="42"/>
    </row>
    <row r="218" spans="1:66" ht="12.75" customHeight="1" x14ac:dyDescent="0.2">
      <c r="A218" s="1" t="s">
        <v>150</v>
      </c>
      <c r="B218" s="4">
        <f>_xll.ciqfunctions.udf.CIQ(InputTicker, "IQ_OTHER_INVEST_ACT_SUPPL",Input!D$2,Date,,,Ccy,Conv)</f>
        <v>1</v>
      </c>
      <c r="C218" s="4">
        <f>_xll.ciqfunctions.udf.CIQ(InputTicker, "IQ_OTHER_INVEST_ACT_SUPPL",Input!E$2,Date,,,Ccy,Conv)</f>
        <v>0</v>
      </c>
      <c r="D218" s="4">
        <f>_xll.ciqfunctions.udf.CIQ(InputTicker, "IQ_OTHER_INVEST_ACT_SUPPL",Input!F$2,Date,,,Ccy,Conv)</f>
        <v>0</v>
      </c>
      <c r="E218" s="4">
        <f>_xll.ciqfunctions.udf.CIQ(InputTicker, "IQ_OTHER_INVEST_ACT_SUPPL",Input!G$2,Date,,,Ccy,Conv)</f>
        <v>-1</v>
      </c>
      <c r="F218" s="4">
        <f>_xll.ciqfunctions.udf.CIQ(InputTicker, "IQ_OTHER_INVEST_ACT_SUPPL",Input!H$2,Date,,,Ccy,Conv)</f>
        <v>0</v>
      </c>
      <c r="G218" s="4">
        <f>_xll.ciqfunctions.udf.CIQ(InputTicker, "IQ_OTHER_INVEST_ACT_SUPPL",Input!I$2,Date,,,Ccy,Conv)</f>
        <v>0</v>
      </c>
      <c r="H218" s="4">
        <f>_xll.ciqfunctions.udf.CIQ(InputTicker, "IQ_OTHER_INVEST_ACT_SUPPL",Input!J$2,Date,,,Ccy,Conv)</f>
        <v>-1</v>
      </c>
      <c r="I218" s="4">
        <f>_xll.ciqfunctions.udf.CIQ(InputTicker, "IQ_OTHER_INVEST_ACT_SUPPL",Input!K$2,Date,,,Ccy,Conv)</f>
        <v>0</v>
      </c>
      <c r="J218" s="4">
        <f>_xll.ciqfunctions.udf.CIQ(InputTicker, "IQ_OTHER_INVEST_ACT_SUPPL",Input!L$2,Date,,,Ccy,Conv)</f>
        <v>1</v>
      </c>
      <c r="K218" s="4">
        <f>_xll.ciqfunctions.udf.CIQ(InputTicker, "IQ_OTHER_INVEST_ACT_SUPPL",Input!M$2,Date,,,Ccy,Conv)</f>
        <v>0</v>
      </c>
      <c r="L218" s="4">
        <f>_xll.ciqfunctions.udf.CIQ(InputTicker, "IQ_OTHER_INVEST_ACT_SUPPL",Input!N$2,Date,,,Ccy,Conv)</f>
        <v>1</v>
      </c>
      <c r="M218" s="4">
        <f>_xll.ciqfunctions.udf.CIQ(InputTicker, "IQ_OTHER_INVEST_ACT_SUPPL",Input!O$2,Date,,,Ccy,Conv)</f>
        <v>1</v>
      </c>
      <c r="N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/>
      <c r="AV218" s="42"/>
      <c r="AW218" s="42"/>
      <c r="AX218" s="42"/>
      <c r="AY218" s="42"/>
      <c r="AZ218" s="42"/>
      <c r="BA218" s="42"/>
      <c r="BB218" s="42"/>
      <c r="BC218" s="42"/>
      <c r="BD218" s="42"/>
      <c r="BE218" s="42"/>
      <c r="BF218" s="42"/>
      <c r="BG218" s="42"/>
      <c r="BH218" s="42"/>
      <c r="BI218" s="42"/>
      <c r="BJ218" s="42"/>
      <c r="BK218" s="42"/>
      <c r="BL218" s="42"/>
      <c r="BM218" s="42"/>
      <c r="BN218" s="42"/>
    </row>
    <row r="219" spans="1:66" ht="12.75" customHeight="1" thickBot="1" x14ac:dyDescent="0.25">
      <c r="A219" s="5" t="s">
        <v>108</v>
      </c>
      <c r="B219" s="9">
        <f>_xll.ciqfunctions.udf.CIQ(InputTicker, "IQ_CASH_INVEST",Input!D$2,Date,,,Ccy,Conv)</f>
        <v>-8159</v>
      </c>
      <c r="C219" s="9">
        <f>_xll.ciqfunctions.udf.CIQ(InputTicker, "IQ_CASH_INVEST",Input!E$2,Date,,,Ccy,Conv)</f>
        <v>-10928</v>
      </c>
      <c r="D219" s="9">
        <f>_xll.ciqfunctions.udf.CIQ(InputTicker, "IQ_CASH_INVEST",Input!F$2,Date,,,Ccy,Conv)</f>
        <v>-7081</v>
      </c>
      <c r="E219" s="9">
        <f>_xll.ciqfunctions.udf.CIQ(InputTicker, "IQ_CASH_INVEST",Input!G$2,Date,,,Ccy,Conv)</f>
        <v>-4913</v>
      </c>
      <c r="F219" s="9">
        <f>_xll.ciqfunctions.udf.CIQ(InputTicker, "IQ_CASH_INVEST",Input!H$2,Date,,,Ccy,Conv)</f>
        <v>-26936</v>
      </c>
      <c r="G219" s="9">
        <f>_xll.ciqfunctions.udf.CIQ(InputTicker, "IQ_CASH_INVEST",Input!I$2,Date,,,Ccy,Conv)</f>
        <v>-3028</v>
      </c>
      <c r="H219" s="9">
        <f>_xll.ciqfunctions.udf.CIQ(InputTicker, "IQ_CASH_INVEST",Input!J$2,Date,,,Ccy,Conv)</f>
        <v>-5975</v>
      </c>
      <c r="I219" s="9">
        <f>_xll.ciqfunctions.udf.CIQ(InputTicker, "IQ_CASH_INVEST",Input!K$2,Date,,,Ccy,Conv)</f>
        <v>-4202</v>
      </c>
      <c r="J219" s="9">
        <f>_xll.ciqfunctions.udf.CIQ(InputTicker, "IQ_CASH_INVEST",Input!L$2,Date,,,Ccy,Conv)</f>
        <v>-7070</v>
      </c>
      <c r="K219" s="9">
        <f>_xll.ciqfunctions.udf.CIQ(InputTicker, "IQ_CASH_INVEST",Input!M$2,Date,,,Ccy,Conv)</f>
        <v>-4937</v>
      </c>
      <c r="L219" s="9">
        <f>_xll.ciqfunctions.udf.CIQ(InputTicker, "IQ_CASH_INVEST",Input!N$2,Date,,,Ccy,Conv)</f>
        <v>-10302</v>
      </c>
      <c r="M219" s="9">
        <f>_xll.ciqfunctions.udf.CIQ(InputTicker, "IQ_CASH_INVEST",Input!O$2,Date,,,Ccy,Conv)</f>
        <v>-10302</v>
      </c>
      <c r="N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  <c r="BA219" s="42"/>
      <c r="BB219" s="42"/>
      <c r="BC219" s="42"/>
      <c r="BD219" s="42"/>
      <c r="BE219" s="42"/>
      <c r="BF219" s="42"/>
      <c r="BG219" s="42"/>
      <c r="BH219" s="42"/>
      <c r="BI219" s="42"/>
      <c r="BJ219" s="42"/>
      <c r="BK219" s="42"/>
      <c r="BL219" s="42"/>
      <c r="BM219" s="42"/>
      <c r="BN219" s="42"/>
    </row>
    <row r="220" spans="1:66" ht="12.75" customHeight="1" thickTop="1" x14ac:dyDescent="0.2">
      <c r="A220" s="1" t="s">
        <v>109</v>
      </c>
      <c r="B220" s="4">
        <f>_xll.ciqfunctions.udf.CIQ(InputTicker, "IQ_ST_DEBT_ISSUED",Input!D$2,Date,,,Ccy,Conv)</f>
        <v>101</v>
      </c>
      <c r="C220" s="4">
        <f>_xll.ciqfunctions.udf.CIQ(InputTicker, "IQ_ST_DEBT_ISSUED",Input!E$2,Date,,,Ccy,Conv)</f>
        <v>26</v>
      </c>
      <c r="D220" s="4">
        <f>_xll.ciqfunctions.udf.CIQ(InputTicker, "IQ_ST_DEBT_ISSUED",Input!F$2,Date,,,Ccy,Conv)</f>
        <v>620</v>
      </c>
      <c r="E220" s="4">
        <f>_xll.ciqfunctions.udf.CIQ(InputTicker, "IQ_ST_DEBT_ISSUED",Input!G$2,Date,,,Ccy,Conv)</f>
        <v>1341</v>
      </c>
      <c r="F220" s="4">
        <f>_xll.ciqfunctions.udf.CIQ(InputTicker, "IQ_ST_DEBT_ISSUED",Input!H$2,Date,,,Ccy,Conv)</f>
        <v>0</v>
      </c>
      <c r="G220" s="4">
        <f>_xll.ciqfunctions.udf.CIQ(InputTicker, "IQ_ST_DEBT_ISSUED",Input!I$2,Date,,,Ccy,Conv)</f>
        <v>0</v>
      </c>
      <c r="H220" s="4">
        <f>_xll.ciqfunctions.udf.CIQ(InputTicker, "IQ_ST_DEBT_ISSUED",Input!J$2,Date,,,Ccy,Conv)</f>
        <v>0</v>
      </c>
      <c r="I220" s="4">
        <f>_xll.ciqfunctions.udf.CIQ(InputTicker, "IQ_ST_DEBT_ISSUED",Input!K$2,Date,,,Ccy,Conv)</f>
        <v>217</v>
      </c>
      <c r="J220" s="4">
        <f>_xll.ciqfunctions.udf.CIQ(InputTicker, "IQ_ST_DEBT_ISSUED",Input!L$2,Date,,,Ccy,Conv)</f>
        <v>0</v>
      </c>
      <c r="K220" s="4">
        <f>_xll.ciqfunctions.udf.CIQ(InputTicker, "IQ_ST_DEBT_ISSUED",Input!M$2,Date,,,Ccy,Conv)</f>
        <v>30</v>
      </c>
      <c r="L220" s="4">
        <f>_xll.ciqfunctions.udf.CIQ(InputTicker, "IQ_ST_DEBT_ISSUED",Input!N$2,Date,,,Ccy,Conv)</f>
        <v>0</v>
      </c>
      <c r="M220" s="4">
        <f>_xll.ciqfunctions.udf.CIQ(InputTicker, "IQ_ST_DEBT_ISSUED",Input!O$2,Date,,,Ccy,Conv)</f>
        <v>0</v>
      </c>
      <c r="N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/>
      <c r="AV220" s="42"/>
      <c r="AW220" s="42"/>
      <c r="AX220" s="42"/>
      <c r="AY220" s="42"/>
      <c r="AZ220" s="42"/>
      <c r="BA220" s="42"/>
      <c r="BB220" s="42"/>
      <c r="BC220" s="42"/>
      <c r="BD220" s="42"/>
      <c r="BE220" s="42"/>
      <c r="BF220" s="42"/>
      <c r="BG220" s="42"/>
      <c r="BH220" s="42"/>
      <c r="BI220" s="42"/>
      <c r="BJ220" s="42"/>
      <c r="BK220" s="42"/>
      <c r="BL220" s="42"/>
      <c r="BM220" s="42"/>
      <c r="BN220" s="42"/>
    </row>
    <row r="221" spans="1:66" ht="12.75" customHeight="1" x14ac:dyDescent="0.2">
      <c r="A221" s="1" t="s">
        <v>110</v>
      </c>
      <c r="B221" s="4">
        <f>_xll.ciqfunctions.udf.CIQ(InputTicker, "IQ_LT_DEBT_ISSUED",Input!D$2,Date,,,Ccy,Conv)</f>
        <v>5540</v>
      </c>
      <c r="C221" s="4">
        <f>_xll.ciqfunctions.udf.CIQ(InputTicker, "IQ_LT_DEBT_ISSUED",Input!E$2,Date,,,Ccy,Conv)</f>
        <v>9132</v>
      </c>
      <c r="D221" s="4">
        <f>_xll.ciqfunctions.udf.CIQ(InputTicker, "IQ_LT_DEBT_ISSUED",Input!F$2,Date,,,Ccy,Conv)</f>
        <v>9643</v>
      </c>
      <c r="E221" s="4">
        <f>_xll.ciqfunctions.udf.CIQ(InputTicker, "IQ_LT_DEBT_ISSUED",Input!G$2,Date,,,Ccy,Conv)</f>
        <v>6891</v>
      </c>
      <c r="F221" s="4">
        <f>_xll.ciqfunctions.udf.CIQ(InputTicker, "IQ_LT_DEBT_ISSUED",Input!H$2,Date,,,Ccy,Conv)</f>
        <v>31825</v>
      </c>
      <c r="G221" s="4">
        <f>_xll.ciqfunctions.udf.CIQ(InputTicker, "IQ_LT_DEBT_ISSUED",Input!I$2,Date,,,Ccy,Conv)</f>
        <v>10504</v>
      </c>
      <c r="H221" s="4">
        <f>_xll.ciqfunctions.udf.CIQ(InputTicker, "IQ_LT_DEBT_ISSUED",Input!J$2,Date,,,Ccy,Conv)</f>
        <v>522</v>
      </c>
      <c r="I221" s="4">
        <f>_xll.ciqfunctions.udf.CIQ(InputTicker, "IQ_LT_DEBT_ISSUED",Input!K$2,Date,,,Ccy,Conv)</f>
        <v>7804</v>
      </c>
      <c r="J221" s="4">
        <f>_xll.ciqfunctions.udf.CIQ(InputTicker, "IQ_LT_DEBT_ISSUED",Input!L$2,Date,,,Ccy,Conv)</f>
        <v>9586</v>
      </c>
      <c r="K221" s="4">
        <f>_xll.ciqfunctions.udf.CIQ(InputTicker, "IQ_LT_DEBT_ISSUED",Input!M$2,Date,,,Ccy,Conv)</f>
        <v>5705</v>
      </c>
      <c r="L221" s="4">
        <f>_xll.ciqfunctions.udf.CIQ(InputTicker, "IQ_LT_DEBT_ISSUED",Input!N$2,Date,,,Ccy,Conv)</f>
        <v>8391</v>
      </c>
      <c r="M221" s="4">
        <f>_xll.ciqfunctions.udf.CIQ(InputTicker, "IQ_LT_DEBT_ISSUED",Input!O$2,Date,,,Ccy,Conv)</f>
        <v>8391</v>
      </c>
      <c r="N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/>
      <c r="AV221" s="42"/>
      <c r="AW221" s="42"/>
      <c r="AX221" s="42"/>
      <c r="AY221" s="42"/>
      <c r="AZ221" s="42"/>
      <c r="BA221" s="42"/>
      <c r="BB221" s="42"/>
      <c r="BC221" s="42"/>
      <c r="BD221" s="42"/>
      <c r="BE221" s="42"/>
      <c r="BF221" s="42"/>
      <c r="BG221" s="42"/>
      <c r="BH221" s="42"/>
      <c r="BI221" s="42"/>
      <c r="BJ221" s="42"/>
      <c r="BK221" s="42"/>
      <c r="BL221" s="42"/>
      <c r="BM221" s="42"/>
      <c r="BN221" s="42"/>
    </row>
    <row r="222" spans="1:66" ht="12.75" customHeight="1" x14ac:dyDescent="0.2">
      <c r="A222" s="5" t="s">
        <v>111</v>
      </c>
      <c r="B222" s="6">
        <f>_xll.ciqfunctions.udf.CIQ(InputTicker, "IQ_TOTAL_DEBT_ISSUED",Input!D$2,Date,,,Ccy,Conv)</f>
        <v>5641</v>
      </c>
      <c r="C222" s="6">
        <f>_xll.ciqfunctions.udf.CIQ(InputTicker, "IQ_TOTAL_DEBT_ISSUED",Input!E$2,Date,,,Ccy,Conv)</f>
        <v>9158</v>
      </c>
      <c r="D222" s="6">
        <f>_xll.ciqfunctions.udf.CIQ(InputTicker, "IQ_TOTAL_DEBT_ISSUED",Input!F$2,Date,,,Ccy,Conv)</f>
        <v>10263</v>
      </c>
      <c r="E222" s="6">
        <f>_xll.ciqfunctions.udf.CIQ(InputTicker, "IQ_TOTAL_DEBT_ISSUED",Input!G$2,Date,,,Ccy,Conv)</f>
        <v>8232</v>
      </c>
      <c r="F222" s="6">
        <f>_xll.ciqfunctions.udf.CIQ(InputTicker, "IQ_TOTAL_DEBT_ISSUED",Input!H$2,Date,,,Ccy,Conv)</f>
        <v>31825</v>
      </c>
      <c r="G222" s="6">
        <f>_xll.ciqfunctions.udf.CIQ(InputTicker, "IQ_TOTAL_DEBT_ISSUED",Input!I$2,Date,,,Ccy,Conv)</f>
        <v>10504</v>
      </c>
      <c r="H222" s="6">
        <f>_xll.ciqfunctions.udf.CIQ(InputTicker, "IQ_TOTAL_DEBT_ISSUED",Input!J$2,Date,,,Ccy,Conv)</f>
        <v>522</v>
      </c>
      <c r="I222" s="6">
        <f>_xll.ciqfunctions.udf.CIQ(InputTicker, "IQ_TOTAL_DEBT_ISSUED",Input!K$2,Date,,,Ccy,Conv)</f>
        <v>8021</v>
      </c>
      <c r="J222" s="6">
        <f>_xll.ciqfunctions.udf.CIQ(InputTicker, "IQ_TOTAL_DEBT_ISSUED",Input!L$2,Date,,,Ccy,Conv)</f>
        <v>9586</v>
      </c>
      <c r="K222" s="6">
        <f>_xll.ciqfunctions.udf.CIQ(InputTicker, "IQ_TOTAL_DEBT_ISSUED",Input!M$2,Date,,,Ccy,Conv)</f>
        <v>5735</v>
      </c>
      <c r="L222" s="6">
        <f>_xll.ciqfunctions.udf.CIQ(InputTicker, "IQ_TOTAL_DEBT_ISSUED",Input!N$2,Date,,,Ccy,Conv)</f>
        <v>8391</v>
      </c>
      <c r="M222" s="6">
        <f>_xll.ciqfunctions.udf.CIQ(InputTicker, "IQ_TOTAL_DEBT_ISSUED",Input!O$2,Date,,,Ccy,Conv)</f>
        <v>8391</v>
      </c>
      <c r="N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  <c r="BA222" s="42"/>
      <c r="BB222" s="42"/>
      <c r="BC222" s="42"/>
      <c r="BD222" s="42"/>
      <c r="BE222" s="42"/>
      <c r="BF222" s="42"/>
      <c r="BG222" s="42"/>
      <c r="BH222" s="42"/>
      <c r="BI222" s="42"/>
      <c r="BJ222" s="42"/>
      <c r="BK222" s="42"/>
      <c r="BL222" s="42"/>
      <c r="BM222" s="42"/>
      <c r="BN222" s="42"/>
    </row>
    <row r="223" spans="1:66" ht="12.75" customHeight="1" x14ac:dyDescent="0.2">
      <c r="A223" s="1" t="s">
        <v>112</v>
      </c>
      <c r="B223" s="4">
        <f>_xll.ciqfunctions.udf.CIQ(InputTicker, "IQ_ST_DEBT_REPAID",Input!D$2,Date,,,Ccy,Conv)</f>
        <v>0</v>
      </c>
      <c r="C223" s="4">
        <f>_xll.ciqfunctions.udf.CIQ(InputTicker, "IQ_ST_DEBT_REPAID",Input!E$2,Date,,,Ccy,Conv)</f>
        <v>0</v>
      </c>
      <c r="D223" s="4">
        <f>_xll.ciqfunctions.udf.CIQ(InputTicker, "IQ_ST_DEBT_REPAID",Input!F$2,Date,,,Ccy,Conv)</f>
        <v>0</v>
      </c>
      <c r="E223" s="4">
        <f>_xll.ciqfunctions.udf.CIQ(InputTicker, "IQ_ST_DEBT_REPAID",Input!G$2,Date,,,Ccy,Conv)</f>
        <v>0</v>
      </c>
      <c r="F223" s="4">
        <f>_xll.ciqfunctions.udf.CIQ(InputTicker, "IQ_ST_DEBT_REPAID",Input!H$2,Date,,,Ccy,Conv)</f>
        <v>-2597</v>
      </c>
      <c r="G223" s="4">
        <f>_xll.ciqfunctions.udf.CIQ(InputTicker, "IQ_ST_DEBT_REPAID",Input!I$2,Date,,,Ccy,Conv)</f>
        <v>-853</v>
      </c>
      <c r="H223" s="4">
        <f>_xll.ciqfunctions.udf.CIQ(InputTicker, "IQ_ST_DEBT_REPAID",Input!J$2,Date,,,Ccy,Conv)</f>
        <v>-40</v>
      </c>
      <c r="I223" s="4">
        <f>_xll.ciqfunctions.udf.CIQ(InputTicker, "IQ_ST_DEBT_REPAID",Input!K$2,Date,,,Ccy,Conv)</f>
        <v>0</v>
      </c>
      <c r="J223" s="4">
        <f>_xll.ciqfunctions.udf.CIQ(InputTicker, "IQ_ST_DEBT_REPAID",Input!L$2,Date,,,Ccy,Conv)</f>
        <v>-7</v>
      </c>
      <c r="K223" s="4">
        <f>_xll.ciqfunctions.udf.CIQ(InputTicker, "IQ_ST_DEBT_REPAID",Input!M$2,Date,,,Ccy,Conv)</f>
        <v>0</v>
      </c>
      <c r="L223" s="4">
        <f>_xll.ciqfunctions.udf.CIQ(InputTicker, "IQ_ST_DEBT_REPAID",Input!N$2,Date,,,Ccy,Conv)</f>
        <v>-29</v>
      </c>
      <c r="M223" s="4">
        <f>_xll.ciqfunctions.udf.CIQ(InputTicker, "IQ_ST_DEBT_REPAID",Input!O$2,Date,,,Ccy,Conv)</f>
        <v>-29</v>
      </c>
      <c r="N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/>
      <c r="AV223" s="42"/>
      <c r="AW223" s="42"/>
      <c r="AX223" s="42"/>
      <c r="AY223" s="42"/>
      <c r="AZ223" s="42"/>
      <c r="BA223" s="42"/>
      <c r="BB223" s="42"/>
      <c r="BC223" s="42"/>
      <c r="BD223" s="42"/>
      <c r="BE223" s="42"/>
      <c r="BF223" s="42"/>
      <c r="BG223" s="42"/>
      <c r="BH223" s="42"/>
      <c r="BI223" s="42"/>
      <c r="BJ223" s="42"/>
      <c r="BK223" s="42"/>
      <c r="BL223" s="42"/>
      <c r="BM223" s="42"/>
      <c r="BN223" s="42"/>
    </row>
    <row r="224" spans="1:66" ht="12.75" customHeight="1" x14ac:dyDescent="0.2">
      <c r="A224" s="1" t="s">
        <v>113</v>
      </c>
      <c r="B224" s="4">
        <f>_xll.ciqfunctions.udf.CIQ(InputTicker, "IQ_LT_DEBT_REPAID",Input!D$2,Date,,,Ccy,Conv)</f>
        <v>-5622</v>
      </c>
      <c r="C224" s="4">
        <f>_xll.ciqfunctions.udf.CIQ(InputTicker, "IQ_LT_DEBT_REPAID",Input!E$2,Date,,,Ccy,Conv)</f>
        <v>-6395</v>
      </c>
      <c r="D224" s="4">
        <f>_xll.ciqfunctions.udf.CIQ(InputTicker, "IQ_LT_DEBT_REPAID",Input!F$2,Date,,,Ccy,Conv)</f>
        <v>-6816</v>
      </c>
      <c r="E224" s="4">
        <f>_xll.ciqfunctions.udf.CIQ(InputTicker, "IQ_LT_DEBT_REPAID",Input!G$2,Date,,,Ccy,Conv)</f>
        <v>-8533</v>
      </c>
      <c r="F224" s="4">
        <f>_xll.ciqfunctions.udf.CIQ(InputTicker, "IQ_LT_DEBT_REPAID",Input!H$2,Date,,,Ccy,Conv)</f>
        <v>-12944</v>
      </c>
      <c r="G224" s="4">
        <f>_xll.ciqfunctions.udf.CIQ(InputTicker, "IQ_LT_DEBT_REPAID",Input!I$2,Date,,,Ccy,Conv)</f>
        <v>-13365</v>
      </c>
      <c r="H224" s="4">
        <f>_xll.ciqfunctions.udf.CIQ(InputTicker, "IQ_LT_DEBT_REPAID",Input!J$2,Date,,,Ccy,Conv)</f>
        <v>-8597</v>
      </c>
      <c r="I224" s="4">
        <f>_xll.ciqfunctions.udf.CIQ(InputTicker, "IQ_LT_DEBT_REPAID",Input!K$2,Date,,,Ccy,Conv)</f>
        <v>-6800</v>
      </c>
      <c r="J224" s="4">
        <f>_xll.ciqfunctions.udf.CIQ(InputTicker, "IQ_LT_DEBT_REPAID",Input!L$2,Date,,,Ccy,Conv)</f>
        <v>-5082</v>
      </c>
      <c r="K224" s="4">
        <f>_xll.ciqfunctions.udf.CIQ(InputTicker, "IQ_LT_DEBT_REPAID",Input!M$2,Date,,,Ccy,Conv)</f>
        <v>-6615</v>
      </c>
      <c r="L224" s="4">
        <f>_xll.ciqfunctions.udf.CIQ(InputTicker, "IQ_LT_DEBT_REPAID",Input!N$2,Date,,,Ccy,Conv)</f>
        <v>-5489</v>
      </c>
      <c r="M224" s="4">
        <f>_xll.ciqfunctions.udf.CIQ(InputTicker, "IQ_LT_DEBT_REPAID",Input!O$2,Date,,,Ccy,Conv)</f>
        <v>-5489</v>
      </c>
      <c r="N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/>
      <c r="AV224" s="42"/>
      <c r="AW224" s="42"/>
      <c r="AX224" s="42"/>
      <c r="AY224" s="42"/>
      <c r="AZ224" s="42"/>
      <c r="BA224" s="42"/>
      <c r="BB224" s="42"/>
      <c r="BC224" s="42"/>
      <c r="BD224" s="42"/>
      <c r="BE224" s="42"/>
      <c r="BF224" s="42"/>
      <c r="BG224" s="42"/>
      <c r="BH224" s="42"/>
      <c r="BI224" s="42"/>
      <c r="BJ224" s="42"/>
      <c r="BK224" s="42"/>
      <c r="BL224" s="42"/>
      <c r="BM224" s="42"/>
      <c r="BN224" s="42"/>
    </row>
    <row r="225" spans="1:66" ht="12.75" customHeight="1" x14ac:dyDescent="0.2">
      <c r="A225" s="5" t="s">
        <v>114</v>
      </c>
      <c r="B225" s="6">
        <f>_xll.ciqfunctions.udf.CIQ(InputTicker, "IQ_TOTAL_DEBT_REPAID",Input!D$2,Date,,,Ccy,Conv)</f>
        <v>-5622</v>
      </c>
      <c r="C225" s="6">
        <f>_xll.ciqfunctions.udf.CIQ(InputTicker, "IQ_TOTAL_DEBT_REPAID",Input!E$2,Date,,,Ccy,Conv)</f>
        <v>-6395</v>
      </c>
      <c r="D225" s="6">
        <f>_xll.ciqfunctions.udf.CIQ(InputTicker, "IQ_TOTAL_DEBT_REPAID",Input!F$2,Date,,,Ccy,Conv)</f>
        <v>-6816</v>
      </c>
      <c r="E225" s="6">
        <f>_xll.ciqfunctions.udf.CIQ(InputTicker, "IQ_TOTAL_DEBT_REPAID",Input!G$2,Date,,,Ccy,Conv)</f>
        <v>-8533</v>
      </c>
      <c r="F225" s="6">
        <f>_xll.ciqfunctions.udf.CIQ(InputTicker, "IQ_TOTAL_DEBT_REPAID",Input!H$2,Date,,,Ccy,Conv)</f>
        <v>-15541</v>
      </c>
      <c r="G225" s="6">
        <f>_xll.ciqfunctions.udf.CIQ(InputTicker, "IQ_TOTAL_DEBT_REPAID",Input!I$2,Date,,,Ccy,Conv)</f>
        <v>-14218</v>
      </c>
      <c r="H225" s="6">
        <f>_xll.ciqfunctions.udf.CIQ(InputTicker, "IQ_TOTAL_DEBT_REPAID",Input!J$2,Date,,,Ccy,Conv)</f>
        <v>-8637</v>
      </c>
      <c r="I225" s="6">
        <f>_xll.ciqfunctions.udf.CIQ(InputTicker, "IQ_TOTAL_DEBT_REPAID",Input!K$2,Date,,,Ccy,Conv)</f>
        <v>-6800</v>
      </c>
      <c r="J225" s="6">
        <f>_xll.ciqfunctions.udf.CIQ(InputTicker, "IQ_TOTAL_DEBT_REPAID",Input!L$2,Date,,,Ccy,Conv)</f>
        <v>-5089</v>
      </c>
      <c r="K225" s="6">
        <f>_xll.ciqfunctions.udf.CIQ(InputTicker, "IQ_TOTAL_DEBT_REPAID",Input!M$2,Date,,,Ccy,Conv)</f>
        <v>-6615</v>
      </c>
      <c r="L225" s="6">
        <f>_xll.ciqfunctions.udf.CIQ(InputTicker, "IQ_TOTAL_DEBT_REPAID",Input!N$2,Date,,,Ccy,Conv)</f>
        <v>-5518</v>
      </c>
      <c r="M225" s="6">
        <f>_xll.ciqfunctions.udf.CIQ(InputTicker, "IQ_TOTAL_DEBT_REPAID",Input!O$2,Date,,,Ccy,Conv)</f>
        <v>-5518</v>
      </c>
      <c r="N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/>
      <c r="AV225" s="42"/>
      <c r="AW225" s="42"/>
      <c r="AX225" s="42"/>
      <c r="AY225" s="42"/>
      <c r="AZ225" s="42"/>
      <c r="BA225" s="42"/>
      <c r="BB225" s="42"/>
      <c r="BC225" s="42"/>
      <c r="BD225" s="42"/>
      <c r="BE225" s="42"/>
      <c r="BF225" s="42"/>
      <c r="BG225" s="42"/>
      <c r="BH225" s="42"/>
      <c r="BI225" s="42"/>
      <c r="BJ225" s="42"/>
      <c r="BK225" s="42"/>
      <c r="BL225" s="42"/>
      <c r="BM225" s="42"/>
      <c r="BN225" s="42"/>
    </row>
    <row r="226" spans="1:66" ht="12.75" customHeight="1" x14ac:dyDescent="0.2">
      <c r="A226" s="1" t="s">
        <v>115</v>
      </c>
      <c r="B226" s="4">
        <f>_xll.ciqfunctions.udf.CIQ(InputTicker, "IQ_COMMON_ISSUED",Input!D$2,Date,,,Ccy,Conv)</f>
        <v>322</v>
      </c>
      <c r="C226" s="4">
        <f>_xll.ciqfunctions.udf.CIQ(InputTicker, "IQ_COMMON_ISSUED",Input!E$2,Date,,,Ccy,Conv)</f>
        <v>0</v>
      </c>
      <c r="D226" s="4">
        <f>_xll.ciqfunctions.udf.CIQ(InputTicker, "IQ_COMMON_ISSUED",Input!F$2,Date,,,Ccy,Conv)</f>
        <v>0</v>
      </c>
      <c r="E226" s="4">
        <f>_xll.ciqfunctions.udf.CIQ(InputTicker, "IQ_COMMON_ISSUED",Input!G$2,Date,,,Ccy,Conv)</f>
        <v>0</v>
      </c>
      <c r="F226" s="4">
        <f>_xll.ciqfunctions.udf.CIQ(InputTicker, "IQ_COMMON_ISSUED",Input!H$2,Date,,,Ccy,Conv)</f>
        <v>0</v>
      </c>
      <c r="G226" s="4">
        <f>_xll.ciqfunctions.udf.CIQ(InputTicker, "IQ_COMMON_ISSUED",Input!I$2,Date,,,Ccy,Conv)</f>
        <v>0</v>
      </c>
      <c r="H226" s="4">
        <f>_xll.ciqfunctions.udf.CIQ(InputTicker, "IQ_COMMON_ISSUED",Input!J$2,Date,,,Ccy,Conv)</f>
        <v>0</v>
      </c>
      <c r="I226" s="4">
        <f>_xll.ciqfunctions.udf.CIQ(InputTicker, "IQ_COMMON_ISSUED",Input!K$2,Date,,,Ccy,Conv)</f>
        <v>279</v>
      </c>
      <c r="J226" s="4">
        <f>_xll.ciqfunctions.udf.CIQ(InputTicker, "IQ_COMMON_ISSUED",Input!L$2,Date,,,Ccy,Conv)</f>
        <v>414</v>
      </c>
      <c r="K226" s="4">
        <f>_xll.ciqfunctions.udf.CIQ(InputTicker, "IQ_COMMON_ISSUED",Input!M$2,Date,,,Ccy,Conv)</f>
        <v>745</v>
      </c>
      <c r="L226" s="4">
        <f>_xll.ciqfunctions.udf.CIQ(InputTicker, "IQ_COMMON_ISSUED",Input!N$2,Date,,,Ccy,Conv)</f>
        <v>710</v>
      </c>
      <c r="M226" s="4">
        <f>_xll.ciqfunctions.udf.CIQ(InputTicker, "IQ_COMMON_ISSUED",Input!O$2,Date,,,Ccy,Conv)</f>
        <v>710</v>
      </c>
      <c r="N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/>
      <c r="AV226" s="42"/>
      <c r="AW226" s="42"/>
      <c r="AX226" s="42"/>
      <c r="AY226" s="42"/>
      <c r="AZ226" s="42"/>
      <c r="BA226" s="42"/>
      <c r="BB226" s="42"/>
      <c r="BC226" s="42"/>
      <c r="BD226" s="42"/>
      <c r="BE226" s="42"/>
      <c r="BF226" s="42"/>
      <c r="BG226" s="42"/>
      <c r="BH226" s="42"/>
      <c r="BI226" s="42"/>
      <c r="BJ226" s="42"/>
      <c r="BK226" s="42"/>
      <c r="BL226" s="42"/>
      <c r="BM226" s="42"/>
      <c r="BN226" s="42"/>
    </row>
    <row r="227" spans="1:66" ht="12.75" customHeight="1" x14ac:dyDescent="0.2">
      <c r="A227" s="1" t="s">
        <v>116</v>
      </c>
      <c r="B227" s="4">
        <f>_xll.ciqfunctions.udf.CIQ(InputTicker, "IQ_COMMON_REP",Input!D$2,Date,,,Ccy,Conv)</f>
        <v>-4857</v>
      </c>
      <c r="C227" s="4">
        <f>_xll.ciqfunctions.udf.CIQ(InputTicker, "IQ_COMMON_REP",Input!E$2,Date,,,Ccy,Conv)</f>
        <v>-3628</v>
      </c>
      <c r="D227" s="4">
        <f>_xll.ciqfunctions.udf.CIQ(InputTicker, "IQ_COMMON_REP",Input!F$2,Date,,,Ccy,Conv)</f>
        <v>-4533</v>
      </c>
      <c r="E227" s="4">
        <f>_xll.ciqfunctions.udf.CIQ(InputTicker, "IQ_COMMON_REP",Input!G$2,Date,,,Ccy,Conv)</f>
        <v>-4614</v>
      </c>
      <c r="F227" s="4">
        <f>_xll.ciqfunctions.udf.CIQ(InputTicker, "IQ_COMMON_REP",Input!H$2,Date,,,Ccy,Conv)</f>
        <v>-1633</v>
      </c>
      <c r="G227" s="4">
        <f>_xll.ciqfunctions.udf.CIQ(InputTicker, "IQ_COMMON_REP",Input!I$2,Date,,,Ccy,Conv)</f>
        <v>-302</v>
      </c>
      <c r="H227" s="4">
        <f>_xll.ciqfunctions.udf.CIQ(InputTicker, "IQ_COMMON_REP",Input!J$2,Date,,,Ccy,Conv)</f>
        <v>-319</v>
      </c>
      <c r="I227" s="4">
        <f>_xll.ciqfunctions.udf.CIQ(InputTicker, "IQ_COMMON_REP",Input!K$2,Date,,,Ccy,Conv)</f>
        <v>-407</v>
      </c>
      <c r="J227" s="4">
        <f>_xll.ciqfunctions.udf.CIQ(InputTicker, "IQ_COMMON_REP",Input!L$2,Date,,,Ccy,Conv)</f>
        <v>-402</v>
      </c>
      <c r="K227" s="4">
        <f>_xll.ciqfunctions.udf.CIQ(InputTicker, "IQ_COMMON_REP",Input!M$2,Date,,,Ccy,Conv)</f>
        <v>-651</v>
      </c>
      <c r="L227" s="4">
        <f>_xll.ciqfunctions.udf.CIQ(InputTicker, "IQ_COMMON_REP",Input!N$2,Date,,,Ccy,Conv)</f>
        <v>-1018</v>
      </c>
      <c r="M227" s="4">
        <f>_xll.ciqfunctions.udf.CIQ(InputTicker, "IQ_COMMON_REP",Input!O$2,Date,,,Ccy,Conv)</f>
        <v>-1018</v>
      </c>
      <c r="N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/>
      <c r="AV227" s="42"/>
      <c r="AW227" s="42"/>
      <c r="AX227" s="42"/>
      <c r="AY227" s="42"/>
      <c r="AZ227" s="42"/>
      <c r="BA227" s="42"/>
      <c r="BB227" s="42"/>
      <c r="BC227" s="42"/>
      <c r="BD227" s="42"/>
      <c r="BE227" s="42"/>
      <c r="BF227" s="42"/>
      <c r="BG227" s="42"/>
      <c r="BH227" s="42"/>
      <c r="BI227" s="42"/>
      <c r="BJ227" s="42"/>
      <c r="BK227" s="42"/>
      <c r="BL227" s="42"/>
      <c r="BM227" s="42"/>
      <c r="BN227" s="42"/>
    </row>
    <row r="228" spans="1:66" ht="12.75" customHeight="1" x14ac:dyDescent="0.2">
      <c r="A228" s="1" t="s">
        <v>117</v>
      </c>
      <c r="B228" s="4">
        <f>_xll.ciqfunctions.udf.CIQ(InputTicker, "IQ_PREF_ISSUED",Input!D$2,Date,,,Ccy,Conv)</f>
        <v>0</v>
      </c>
      <c r="C228" s="4">
        <f>_xll.ciqfunctions.udf.CIQ(InputTicker, "IQ_PREF_ISSUED",Input!E$2,Date,,,Ccy,Conv)</f>
        <v>0</v>
      </c>
      <c r="D228" s="4">
        <f>_xll.ciqfunctions.udf.CIQ(InputTicker, "IQ_PREF_ISSUED",Input!F$2,Date,,,Ccy,Conv)</f>
        <v>0</v>
      </c>
      <c r="E228" s="4">
        <f>_xll.ciqfunctions.udf.CIQ(InputTicker, "IQ_PREF_ISSUED",Input!G$2,Date,,,Ccy,Conv)</f>
        <v>0</v>
      </c>
      <c r="F228" s="4">
        <f>_xll.ciqfunctions.udf.CIQ(InputTicker, "IQ_PREF_ISSUED",Input!H$2,Date,,,Ccy,Conv)</f>
        <v>0</v>
      </c>
      <c r="G228" s="4">
        <f>_xll.ciqfunctions.udf.CIQ(InputTicker, "IQ_PREF_ISSUED",Input!I$2,Date,,,Ccy,Conv)</f>
        <v>0</v>
      </c>
      <c r="H228" s="4">
        <f>_xll.ciqfunctions.udf.CIQ(InputTicker, "IQ_PREF_ISSUED",Input!J$2,Date,,,Ccy,Conv)</f>
        <v>0</v>
      </c>
      <c r="I228" s="4">
        <f>_xll.ciqfunctions.udf.CIQ(InputTicker, "IQ_PREF_ISSUED",Input!K$2,Date,,,Ccy,Conv)</f>
        <v>0</v>
      </c>
      <c r="J228" s="4">
        <f>_xll.ciqfunctions.udf.CIQ(InputTicker, "IQ_PREF_ISSUED",Input!L$2,Date,,,Ccy,Conv)</f>
        <v>0</v>
      </c>
      <c r="K228" s="4">
        <f>_xll.ciqfunctions.udf.CIQ(InputTicker, "IQ_PREF_ISSUED",Input!M$2,Date,,,Ccy,Conv)</f>
        <v>0</v>
      </c>
      <c r="L228" s="4">
        <f>_xll.ciqfunctions.udf.CIQ(InputTicker, "IQ_PREF_ISSUED",Input!N$2,Date,,,Ccy,Conv)</f>
        <v>0</v>
      </c>
      <c r="M228" s="4">
        <f>_xll.ciqfunctions.udf.CIQ(InputTicker, "IQ_PREF_ISSUED",Input!O$2,Date,,,Ccy,Conv)</f>
        <v>0</v>
      </c>
      <c r="N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  <c r="BA228" s="42"/>
      <c r="BB228" s="42"/>
      <c r="BC228" s="42"/>
      <c r="BD228" s="42"/>
      <c r="BE228" s="42"/>
      <c r="BF228" s="42"/>
      <c r="BG228" s="42"/>
      <c r="BH228" s="42"/>
      <c r="BI228" s="42"/>
      <c r="BJ228" s="42"/>
      <c r="BK228" s="42"/>
      <c r="BL228" s="42"/>
      <c r="BM228" s="42"/>
      <c r="BN228" s="42"/>
    </row>
    <row r="229" spans="1:66" ht="12.75" customHeight="1" x14ac:dyDescent="0.2">
      <c r="A229" s="1" t="s">
        <v>118</v>
      </c>
      <c r="B229" s="4">
        <f>_xll.ciqfunctions.udf.CIQ(InputTicker, "IQ_PREF_REP",Input!D$2,Date,,,Ccy,Conv)</f>
        <v>0</v>
      </c>
      <c r="C229" s="4">
        <f>_xll.ciqfunctions.udf.CIQ(InputTicker, "IQ_PREF_REP",Input!E$2,Date,,,Ccy,Conv)</f>
        <v>0</v>
      </c>
      <c r="D229" s="4">
        <f>_xll.ciqfunctions.udf.CIQ(InputTicker, "IQ_PREF_REP",Input!F$2,Date,,,Ccy,Conv)</f>
        <v>0</v>
      </c>
      <c r="E229" s="4">
        <f>_xll.ciqfunctions.udf.CIQ(InputTicker, "IQ_PREF_REP",Input!G$2,Date,,,Ccy,Conv)</f>
        <v>0</v>
      </c>
      <c r="F229" s="4">
        <f>_xll.ciqfunctions.udf.CIQ(InputTicker, "IQ_PREF_REP",Input!H$2,Date,,,Ccy,Conv)</f>
        <v>0</v>
      </c>
      <c r="G229" s="4">
        <f>_xll.ciqfunctions.udf.CIQ(InputTicker, "IQ_PREF_REP",Input!I$2,Date,,,Ccy,Conv)</f>
        <v>0</v>
      </c>
      <c r="H229" s="4">
        <f>_xll.ciqfunctions.udf.CIQ(InputTicker, "IQ_PREF_REP",Input!J$2,Date,,,Ccy,Conv)</f>
        <v>0</v>
      </c>
      <c r="I229" s="4">
        <f>_xll.ciqfunctions.udf.CIQ(InputTicker, "IQ_PREF_REP",Input!K$2,Date,,,Ccy,Conv)</f>
        <v>0</v>
      </c>
      <c r="J229" s="4">
        <f>_xll.ciqfunctions.udf.CIQ(InputTicker, "IQ_PREF_REP",Input!L$2,Date,,,Ccy,Conv)</f>
        <v>0</v>
      </c>
      <c r="K229" s="4">
        <f>_xll.ciqfunctions.udf.CIQ(InputTicker, "IQ_PREF_REP",Input!M$2,Date,,,Ccy,Conv)</f>
        <v>0</v>
      </c>
      <c r="L229" s="4">
        <f>_xll.ciqfunctions.udf.CIQ(InputTicker, "IQ_PREF_REP",Input!N$2,Date,,,Ccy,Conv)</f>
        <v>0</v>
      </c>
      <c r="M229" s="4">
        <f>_xll.ciqfunctions.udf.CIQ(InputTicker, "IQ_PREF_REP",Input!O$2,Date,,,Ccy,Conv)</f>
        <v>0</v>
      </c>
      <c r="N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/>
      <c r="AV229" s="42"/>
      <c r="AW229" s="42"/>
      <c r="AX229" s="42"/>
      <c r="AY229" s="42"/>
      <c r="AZ229" s="42"/>
      <c r="BA229" s="42"/>
      <c r="BB229" s="42"/>
      <c r="BC229" s="42"/>
      <c r="BD229" s="42"/>
      <c r="BE229" s="42"/>
      <c r="BF229" s="42"/>
      <c r="BG229" s="42"/>
      <c r="BH229" s="42"/>
      <c r="BI229" s="42"/>
      <c r="BJ229" s="42"/>
      <c r="BK229" s="42"/>
      <c r="BL229" s="42"/>
      <c r="BM229" s="42"/>
      <c r="BN229" s="42"/>
    </row>
    <row r="230" spans="1:66" ht="12.75" customHeight="1" x14ac:dyDescent="0.2">
      <c r="A230" s="1" t="s">
        <v>151</v>
      </c>
      <c r="B230" s="4">
        <f>_xll.ciqfunctions.udf.CIQ(InputTicker, "IQ_COMMON_DIV_CF",Input!D$2,Date,,,Ccy,Conv)</f>
        <v>-4897</v>
      </c>
      <c r="C230" s="4">
        <f>_xll.ciqfunctions.udf.CIQ(InputTicker, "IQ_COMMON_DIV_CF",Input!E$2,Date,,,Ccy,Conv)</f>
        <v>-5256</v>
      </c>
      <c r="D230" s="4">
        <f>_xll.ciqfunctions.udf.CIQ(InputTicker, "IQ_COMMON_DIV_CF",Input!F$2,Date,,,Ccy,Conv)</f>
        <v>-5506</v>
      </c>
      <c r="E230" s="4">
        <f>_xll.ciqfunctions.udf.CIQ(InputTicker, "IQ_COMMON_DIV_CF",Input!G$2,Date,,,Ccy,Conv)</f>
        <v>-5666</v>
      </c>
      <c r="F230" s="4">
        <f>_xll.ciqfunctions.udf.CIQ(InputTicker, "IQ_COMMON_DIV_CF",Input!H$2,Date,,,Ccy,Conv)</f>
        <v>-5707</v>
      </c>
      <c r="G230" s="4">
        <f>_xll.ciqfunctions.udf.CIQ(InputTicker, "IQ_COMMON_DIV_CF",Input!I$2,Date,,,Ccy,Conv)</f>
        <v>-5797</v>
      </c>
      <c r="H230" s="4">
        <f>_xll.ciqfunctions.udf.CIQ(InputTicker, "IQ_COMMON_DIV_CF",Input!J$2,Date,,,Ccy,Conv)</f>
        <v>-5869</v>
      </c>
      <c r="I230" s="4">
        <f>_xll.ciqfunctions.udf.CIQ(InputTicker, "IQ_COMMON_DIV_CF",Input!K$2,Date,,,Ccy,Conv)</f>
        <v>-5948</v>
      </c>
      <c r="J230" s="4">
        <f>_xll.ciqfunctions.udf.CIQ(InputTicker, "IQ_COMMON_DIV_CF",Input!L$2,Date,,,Ccy,Conv)</f>
        <v>-6040</v>
      </c>
      <c r="K230" s="4">
        <f>_xll.ciqfunctions.udf.CIQ(InputTicker, "IQ_COMMON_DIV_CF",Input!M$2,Date,,,Ccy,Conv)</f>
        <v>-6147</v>
      </c>
      <c r="L230" s="4">
        <f>_xll.ciqfunctions.udf.CIQ(InputTicker, "IQ_COMMON_DIV_CF",Input!N$2,Date,,,Ccy,Conv)</f>
        <v>-6255</v>
      </c>
      <c r="M230" s="4">
        <f>_xll.ciqfunctions.udf.CIQ(InputTicker, "IQ_COMMON_DIV_CF",Input!O$2,Date,,,Ccy,Conv)</f>
        <v>-6255</v>
      </c>
      <c r="N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/>
      <c r="AV230" s="42"/>
      <c r="AW230" s="42"/>
      <c r="AX230" s="42"/>
      <c r="AY230" s="42"/>
      <c r="AZ230" s="42"/>
      <c r="BA230" s="42"/>
      <c r="BB230" s="42"/>
      <c r="BC230" s="42"/>
      <c r="BD230" s="42"/>
      <c r="BE230" s="42"/>
      <c r="BF230" s="42"/>
      <c r="BG230" s="42"/>
      <c r="BH230" s="42"/>
      <c r="BI230" s="42"/>
      <c r="BJ230" s="42"/>
      <c r="BK230" s="42"/>
      <c r="BL230" s="42"/>
      <c r="BM230" s="42"/>
      <c r="BN230" s="42"/>
    </row>
    <row r="231" spans="1:66" ht="12.75" customHeight="1" x14ac:dyDescent="0.2">
      <c r="A231" s="1" t="s">
        <v>152</v>
      </c>
      <c r="B231" s="4">
        <f>_xll.ciqfunctions.udf.CIQ(InputTicker, "IQ_PREF_DIV_CF",Input!D$2,Date,,,Ccy,Conv)</f>
        <v>0</v>
      </c>
      <c r="C231" s="4">
        <f>_xll.ciqfunctions.udf.CIQ(InputTicker, "IQ_PREF_DIV_CF",Input!E$2,Date,,,Ccy,Conv)</f>
        <v>0</v>
      </c>
      <c r="D231" s="4">
        <f>_xll.ciqfunctions.udf.CIQ(InputTicker, "IQ_PREF_DIV_CF",Input!F$2,Date,,,Ccy,Conv)</f>
        <v>0</v>
      </c>
      <c r="E231" s="4">
        <f>_xll.ciqfunctions.udf.CIQ(InputTicker, "IQ_PREF_DIV_CF",Input!G$2,Date,,,Ccy,Conv)</f>
        <v>0</v>
      </c>
      <c r="F231" s="4">
        <f>_xll.ciqfunctions.udf.CIQ(InputTicker, "IQ_PREF_DIV_CF",Input!H$2,Date,,,Ccy,Conv)</f>
        <v>0</v>
      </c>
      <c r="G231" s="4">
        <f>_xll.ciqfunctions.udf.CIQ(InputTicker, "IQ_PREF_DIV_CF",Input!I$2,Date,,,Ccy,Conv)</f>
        <v>0</v>
      </c>
      <c r="H231" s="4">
        <f>_xll.ciqfunctions.udf.CIQ(InputTicker, "IQ_PREF_DIV_CF",Input!J$2,Date,,,Ccy,Conv)</f>
        <v>0</v>
      </c>
      <c r="I231" s="4">
        <f>_xll.ciqfunctions.udf.CIQ(InputTicker, "IQ_PREF_DIV_CF",Input!K$2,Date,,,Ccy,Conv)</f>
        <v>0</v>
      </c>
      <c r="J231" s="4">
        <f>_xll.ciqfunctions.udf.CIQ(InputTicker, "IQ_PREF_DIV_CF",Input!L$2,Date,,,Ccy,Conv)</f>
        <v>0</v>
      </c>
      <c r="K231" s="4">
        <f>_xll.ciqfunctions.udf.CIQ(InputTicker, "IQ_PREF_DIV_CF",Input!M$2,Date,,,Ccy,Conv)</f>
        <v>0</v>
      </c>
      <c r="L231" s="4">
        <f>_xll.ciqfunctions.udf.CIQ(InputTicker, "IQ_PREF_DIV_CF",Input!N$2,Date,,,Ccy,Conv)</f>
        <v>0</v>
      </c>
      <c r="M231" s="4">
        <f>_xll.ciqfunctions.udf.CIQ(InputTicker, "IQ_PREF_DIV_CF",Input!O$2,Date,,,Ccy,Conv)</f>
        <v>0</v>
      </c>
      <c r="N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/>
      <c r="AV231" s="42"/>
      <c r="AW231" s="42"/>
      <c r="AX231" s="42"/>
      <c r="AY231" s="42"/>
      <c r="AZ231" s="42"/>
      <c r="BA231" s="42"/>
      <c r="BB231" s="42"/>
      <c r="BC231" s="42"/>
      <c r="BD231" s="42"/>
      <c r="BE231" s="42"/>
      <c r="BF231" s="42"/>
      <c r="BG231" s="42"/>
      <c r="BH231" s="42"/>
      <c r="BI231" s="42"/>
      <c r="BJ231" s="42"/>
      <c r="BK231" s="42"/>
      <c r="BL231" s="42"/>
      <c r="BM231" s="42"/>
      <c r="BN231" s="42"/>
    </row>
    <row r="232" spans="1:66" ht="12.75" customHeight="1" x14ac:dyDescent="0.2">
      <c r="A232" s="1" t="s">
        <v>153</v>
      </c>
      <c r="B232" s="4">
        <f>_xll.ciqfunctions.udf.CIQ(InputTicker, "IQ_COMMON_PREF_DIV_CF",Input!D$2,Date,,,Ccy,Conv)</f>
        <v>0</v>
      </c>
      <c r="C232" s="4">
        <f>_xll.ciqfunctions.udf.CIQ(InputTicker, "IQ_COMMON_PREF_DIV_CF",Input!E$2,Date,,,Ccy,Conv)</f>
        <v>0</v>
      </c>
      <c r="D232" s="4">
        <f>_xll.ciqfunctions.udf.CIQ(InputTicker, "IQ_COMMON_PREF_DIV_CF",Input!F$2,Date,,,Ccy,Conv)</f>
        <v>0</v>
      </c>
      <c r="E232" s="4">
        <f>_xll.ciqfunctions.udf.CIQ(InputTicker, "IQ_COMMON_PREF_DIV_CF",Input!G$2,Date,,,Ccy,Conv)</f>
        <v>0</v>
      </c>
      <c r="F232" s="4">
        <f>_xll.ciqfunctions.udf.CIQ(InputTicker, "IQ_COMMON_PREF_DIV_CF",Input!H$2,Date,,,Ccy,Conv)</f>
        <v>0</v>
      </c>
      <c r="G232" s="4">
        <f>_xll.ciqfunctions.udf.CIQ(InputTicker, "IQ_COMMON_PREF_DIV_CF",Input!I$2,Date,,,Ccy,Conv)</f>
        <v>0</v>
      </c>
      <c r="H232" s="4">
        <f>_xll.ciqfunctions.udf.CIQ(InputTicker, "IQ_COMMON_PREF_DIV_CF",Input!J$2,Date,,,Ccy,Conv)</f>
        <v>0</v>
      </c>
      <c r="I232" s="4">
        <f>_xll.ciqfunctions.udf.CIQ(InputTicker, "IQ_COMMON_PREF_DIV_CF",Input!K$2,Date,,,Ccy,Conv)</f>
        <v>0</v>
      </c>
      <c r="J232" s="4">
        <f>_xll.ciqfunctions.udf.CIQ(InputTicker, "IQ_COMMON_PREF_DIV_CF",Input!L$2,Date,,,Ccy,Conv)</f>
        <v>0</v>
      </c>
      <c r="K232" s="4">
        <f>_xll.ciqfunctions.udf.CIQ(InputTicker, "IQ_COMMON_PREF_DIV_CF",Input!M$2,Date,,,Ccy,Conv)</f>
        <v>0</v>
      </c>
      <c r="L232" s="4">
        <f>_xll.ciqfunctions.udf.CIQ(InputTicker, "IQ_COMMON_PREF_DIV_CF",Input!N$2,Date,,,Ccy,Conv)</f>
        <v>0</v>
      </c>
      <c r="M232" s="4">
        <f>_xll.ciqfunctions.udf.CIQ(InputTicker, "IQ_COMMON_PREF_DIV_CF",Input!O$2,Date,,,Ccy,Conv)</f>
        <v>0</v>
      </c>
      <c r="N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  <c r="BA232" s="42"/>
      <c r="BB232" s="42"/>
      <c r="BC232" s="42"/>
      <c r="BD232" s="42"/>
      <c r="BE232" s="42"/>
      <c r="BF232" s="42"/>
      <c r="BG232" s="42"/>
      <c r="BH232" s="42"/>
      <c r="BI232" s="42"/>
      <c r="BJ232" s="42"/>
      <c r="BK232" s="42"/>
      <c r="BL232" s="42"/>
      <c r="BM232" s="42"/>
      <c r="BN232" s="42"/>
    </row>
    <row r="233" spans="1:66" ht="12.75" customHeight="1" x14ac:dyDescent="0.2">
      <c r="A233" s="1" t="s">
        <v>119</v>
      </c>
      <c r="B233" s="6">
        <f>_xll.ciqfunctions.udf.CIQ(InputTicker, "IQ_TOTAL_DIV_PAID_CF",Input!D$2,Date,,,Ccy,Conv)</f>
        <v>-4897</v>
      </c>
      <c r="C233" s="6">
        <f>_xll.ciqfunctions.udf.CIQ(InputTicker, "IQ_TOTAL_DIV_PAID_CF",Input!E$2,Date,,,Ccy,Conv)</f>
        <v>-5256</v>
      </c>
      <c r="D233" s="6">
        <f>_xll.ciqfunctions.udf.CIQ(InputTicker, "IQ_TOTAL_DIV_PAID_CF",Input!F$2,Date,,,Ccy,Conv)</f>
        <v>-5506</v>
      </c>
      <c r="E233" s="6">
        <f>_xll.ciqfunctions.udf.CIQ(InputTicker, "IQ_TOTAL_DIV_PAID_CF",Input!G$2,Date,,,Ccy,Conv)</f>
        <v>-5666</v>
      </c>
      <c r="F233" s="6">
        <f>_xll.ciqfunctions.udf.CIQ(InputTicker, "IQ_TOTAL_DIV_PAID_CF",Input!H$2,Date,,,Ccy,Conv)</f>
        <v>-5707</v>
      </c>
      <c r="G233" s="6">
        <f>_xll.ciqfunctions.udf.CIQ(InputTicker, "IQ_TOTAL_DIV_PAID_CF",Input!I$2,Date,,,Ccy,Conv)</f>
        <v>-5797</v>
      </c>
      <c r="H233" s="6">
        <f>_xll.ciqfunctions.udf.CIQ(InputTicker, "IQ_TOTAL_DIV_PAID_CF",Input!J$2,Date,,,Ccy,Conv)</f>
        <v>-5869</v>
      </c>
      <c r="I233" s="6">
        <f>_xll.ciqfunctions.udf.CIQ(InputTicker, "IQ_TOTAL_DIV_PAID_CF",Input!K$2,Date,,,Ccy,Conv)</f>
        <v>-5948</v>
      </c>
      <c r="J233" s="6">
        <f>_xll.ciqfunctions.udf.CIQ(InputTicker, "IQ_TOTAL_DIV_PAID_CF",Input!L$2,Date,,,Ccy,Conv)</f>
        <v>-6040</v>
      </c>
      <c r="K233" s="6">
        <f>_xll.ciqfunctions.udf.CIQ(InputTicker, "IQ_TOTAL_DIV_PAID_CF",Input!M$2,Date,,,Ccy,Conv)</f>
        <v>-6147</v>
      </c>
      <c r="L233" s="6">
        <f>_xll.ciqfunctions.udf.CIQ(InputTicker, "IQ_TOTAL_DIV_PAID_CF",Input!N$2,Date,,,Ccy,Conv)</f>
        <v>-6255</v>
      </c>
      <c r="M233" s="6">
        <f>_xll.ciqfunctions.udf.CIQ(InputTicker, "IQ_TOTAL_DIV_PAID_CF",Input!O$2,Date,,,Ccy,Conv)</f>
        <v>-6255</v>
      </c>
      <c r="N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/>
      <c r="AV233" s="42"/>
      <c r="AW233" s="42"/>
      <c r="AX233" s="42"/>
      <c r="AY233" s="42"/>
      <c r="AZ233" s="42"/>
      <c r="BA233" s="42"/>
      <c r="BB233" s="42"/>
      <c r="BC233" s="42"/>
      <c r="BD233" s="42"/>
      <c r="BE233" s="42"/>
      <c r="BF233" s="42"/>
      <c r="BG233" s="42"/>
      <c r="BH233" s="42"/>
      <c r="BI233" s="42"/>
      <c r="BJ233" s="42"/>
      <c r="BK233" s="42"/>
      <c r="BL233" s="42"/>
      <c r="BM233" s="42"/>
      <c r="BN233" s="42"/>
    </row>
    <row r="234" spans="1:66" ht="12.75" customHeight="1" x14ac:dyDescent="0.2">
      <c r="A234" s="1" t="s">
        <v>154</v>
      </c>
      <c r="B234" s="4">
        <f>_xll.ciqfunctions.udf.CIQ(InputTicker, "IQ_SPECIAL_DIV_CF",Input!D$2,Date,,,Ccy,Conv)</f>
        <v>0</v>
      </c>
      <c r="C234" s="4">
        <f>_xll.ciqfunctions.udf.CIQ(InputTicker, "IQ_SPECIAL_DIV_CF",Input!E$2,Date,,,Ccy,Conv)</f>
        <v>0</v>
      </c>
      <c r="D234" s="4">
        <f>_xll.ciqfunctions.udf.CIQ(InputTicker, "IQ_SPECIAL_DIV_CF",Input!F$2,Date,,,Ccy,Conv)</f>
        <v>0</v>
      </c>
      <c r="E234" s="4">
        <f>_xll.ciqfunctions.udf.CIQ(InputTicker, "IQ_SPECIAL_DIV_CF",Input!G$2,Date,,,Ccy,Conv)</f>
        <v>0</v>
      </c>
      <c r="F234" s="4">
        <f>_xll.ciqfunctions.udf.CIQ(InputTicker, "IQ_SPECIAL_DIV_CF",Input!H$2,Date,,,Ccy,Conv)</f>
        <v>0</v>
      </c>
      <c r="G234" s="4">
        <f>_xll.ciqfunctions.udf.CIQ(InputTicker, "IQ_SPECIAL_DIV_CF",Input!I$2,Date,,,Ccy,Conv)</f>
        <v>0</v>
      </c>
      <c r="H234" s="4">
        <f>_xll.ciqfunctions.udf.CIQ(InputTicker, "IQ_SPECIAL_DIV_CF",Input!J$2,Date,,,Ccy,Conv)</f>
        <v>0</v>
      </c>
      <c r="I234" s="4">
        <f>_xll.ciqfunctions.udf.CIQ(InputTicker, "IQ_SPECIAL_DIV_CF",Input!K$2,Date,,,Ccy,Conv)</f>
        <v>0</v>
      </c>
      <c r="J234" s="4">
        <f>_xll.ciqfunctions.udf.CIQ(InputTicker, "IQ_SPECIAL_DIV_CF",Input!L$2,Date,,,Ccy,Conv)</f>
        <v>0</v>
      </c>
      <c r="K234" s="4">
        <f>_xll.ciqfunctions.udf.CIQ(InputTicker, "IQ_SPECIAL_DIV_CF",Input!M$2,Date,,,Ccy,Conv)</f>
        <v>0</v>
      </c>
      <c r="L234" s="4">
        <f>_xll.ciqfunctions.udf.CIQ(InputTicker, "IQ_SPECIAL_DIV_CF",Input!N$2,Date,,,Ccy,Conv)</f>
        <v>0</v>
      </c>
      <c r="M234" s="4">
        <f>_xll.ciqfunctions.udf.CIQ(InputTicker, "IQ_SPECIAL_DIV_CF",Input!O$2,Date,,,Ccy,Conv)</f>
        <v>0</v>
      </c>
      <c r="N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/>
      <c r="AY234" s="42"/>
      <c r="AZ234" s="42"/>
      <c r="BA234" s="42"/>
      <c r="BB234" s="42"/>
      <c r="BC234" s="42"/>
      <c r="BD234" s="42"/>
      <c r="BE234" s="42"/>
      <c r="BF234" s="42"/>
      <c r="BG234" s="42"/>
      <c r="BH234" s="42"/>
      <c r="BI234" s="42"/>
      <c r="BJ234" s="42"/>
      <c r="BK234" s="42"/>
      <c r="BL234" s="42"/>
      <c r="BM234" s="42"/>
      <c r="BN234" s="42"/>
    </row>
    <row r="235" spans="1:66" ht="12.75" customHeight="1" x14ac:dyDescent="0.2">
      <c r="A235" s="1" t="s">
        <v>155</v>
      </c>
      <c r="B235" s="4">
        <f>_xll.ciqfunctions.udf.CIQ(InputTicker, "IQ_OTHER_FINANCE_ACT_SUPPL",Input!D$2,Date,,,Ccy,Conv)</f>
        <v>0</v>
      </c>
      <c r="C235" s="4">
        <f>_xll.ciqfunctions.udf.CIQ(InputTicker, "IQ_OTHER_FINANCE_ACT_SUPPL",Input!E$2,Date,,,Ccy,Conv)</f>
        <v>204</v>
      </c>
      <c r="D235" s="4">
        <f>_xll.ciqfunctions.udf.CIQ(InputTicker, "IQ_OTHER_FINANCE_ACT_SUPPL",Input!F$2,Date,,,Ccy,Conv)</f>
        <v>174</v>
      </c>
      <c r="E235" s="4">
        <f>_xll.ciqfunctions.udf.CIQ(InputTicker, "IQ_OTHER_FINANCE_ACT_SUPPL",Input!G$2,Date,,,Ccy,Conv)</f>
        <v>112</v>
      </c>
      <c r="F235" s="4">
        <f>_xll.ciqfunctions.udf.CIQ(InputTicker, "IQ_OTHER_FINANCE_ACT_SUPPL",Input!H$2,Date,,,Ccy,Conv)</f>
        <v>98</v>
      </c>
      <c r="G235" s="4">
        <f>_xll.ciqfunctions.udf.CIQ(InputTicker, "IQ_OTHER_FINANCE_ACT_SUPPL",Input!I$2,Date,,,Ccy,Conv)</f>
        <v>92</v>
      </c>
      <c r="H235" s="4">
        <f>_xll.ciqfunctions.udf.CIQ(InputTicker, "IQ_OTHER_FINANCE_ACT_SUPPL",Input!J$2,Date,,,Ccy,Conv)</f>
        <v>949</v>
      </c>
      <c r="I235" s="4">
        <f>_xll.ciqfunctions.udf.CIQ(InputTicker, "IQ_OTHER_FINANCE_ACT_SUPPL",Input!K$2,Date,,,Ccy,Conv)</f>
        <v>-103</v>
      </c>
      <c r="J235" s="4">
        <f>_xll.ciqfunctions.udf.CIQ(InputTicker, "IQ_OTHER_FINANCE_ACT_SUPPL",Input!L$2,Date,,,Ccy,Conv)</f>
        <v>-238</v>
      </c>
      <c r="K235" s="4">
        <f>_xll.ciqfunctions.udf.CIQ(InputTicker, "IQ_OTHER_FINANCE_ACT_SUPPL",Input!M$2,Date,,,Ccy,Conv)</f>
        <v>-146</v>
      </c>
      <c r="L235" s="4">
        <f>_xll.ciqfunctions.udf.CIQ(InputTicker, "IQ_OTHER_FINANCE_ACT_SUPPL",Input!N$2,Date,,,Ccy,Conv)</f>
        <v>-139</v>
      </c>
      <c r="M235" s="4">
        <f>_xll.ciqfunctions.udf.CIQ(InputTicker, "IQ_OTHER_FINANCE_ACT_SUPPL",Input!O$2,Date,,,Ccy,Conv)</f>
        <v>-139</v>
      </c>
      <c r="N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  <c r="BA235" s="42"/>
      <c r="BB235" s="42"/>
      <c r="BC235" s="42"/>
      <c r="BD235" s="42"/>
      <c r="BE235" s="42"/>
      <c r="BF235" s="42"/>
      <c r="BG235" s="42"/>
      <c r="BH235" s="42"/>
      <c r="BI235" s="42"/>
      <c r="BJ235" s="42"/>
      <c r="BK235" s="42"/>
      <c r="BL235" s="42"/>
      <c r="BM235" s="42"/>
      <c r="BN235" s="42"/>
    </row>
    <row r="236" spans="1:66" ht="12.75" customHeight="1" thickBot="1" x14ac:dyDescent="0.25">
      <c r="A236" s="5" t="s">
        <v>120</v>
      </c>
      <c r="B236" s="9">
        <f>_xll.ciqfunctions.udf.CIQ(InputTicker, "IQ_CASH_FINAN",Input!D$2,Date,,,Ccy,Conv)</f>
        <v>-9413</v>
      </c>
      <c r="C236" s="9">
        <f>_xll.ciqfunctions.udf.CIQ(InputTicker, "IQ_CASH_FINAN",Input!E$2,Date,,,Ccy,Conv)</f>
        <v>-5917</v>
      </c>
      <c r="D236" s="9">
        <f>_xll.ciqfunctions.udf.CIQ(InputTicker, "IQ_CASH_FINAN",Input!F$2,Date,,,Ccy,Conv)</f>
        <v>-6418</v>
      </c>
      <c r="E236" s="9">
        <f>_xll.ciqfunctions.udf.CIQ(InputTicker, "IQ_CASH_FINAN",Input!G$2,Date,,,Ccy,Conv)</f>
        <v>-10469</v>
      </c>
      <c r="F236" s="9">
        <f>_xll.ciqfunctions.udf.CIQ(InputTicker, "IQ_CASH_FINAN",Input!H$2,Date,,,Ccy,Conv)</f>
        <v>9042</v>
      </c>
      <c r="G236" s="9">
        <f>_xll.ciqfunctions.udf.CIQ(InputTicker, "IQ_CASH_FINAN",Input!I$2,Date,,,Ccy,Conv)</f>
        <v>-9721</v>
      </c>
      <c r="H236" s="9">
        <f>_xll.ciqfunctions.udf.CIQ(InputTicker, "IQ_CASH_FINAN",Input!J$2,Date,,,Ccy,Conv)</f>
        <v>-13354</v>
      </c>
      <c r="I236" s="9">
        <f>_xll.ciqfunctions.udf.CIQ(InputTicker, "IQ_CASH_FINAN",Input!K$2,Date,,,Ccy,Conv)</f>
        <v>-4958</v>
      </c>
      <c r="J236" s="9">
        <f>_xll.ciqfunctions.udf.CIQ(InputTicker, "IQ_CASH_FINAN",Input!L$2,Date,,,Ccy,Conv)</f>
        <v>-1769</v>
      </c>
      <c r="K236" s="9">
        <f>_xll.ciqfunctions.udf.CIQ(InputTicker, "IQ_CASH_FINAN",Input!M$2,Date,,,Ccy,Conv)</f>
        <v>-7079</v>
      </c>
      <c r="L236" s="9">
        <f>_xll.ciqfunctions.udf.CIQ(InputTicker, "IQ_CASH_FINAN",Input!N$2,Date,,,Ccy,Conv)</f>
        <v>-3829</v>
      </c>
      <c r="M236" s="9">
        <f>_xll.ciqfunctions.udf.CIQ(InputTicker, "IQ_CASH_FINAN",Input!O$2,Date,,,Ccy,Conv)</f>
        <v>-3829</v>
      </c>
      <c r="N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  <c r="BA236" s="42"/>
      <c r="BB236" s="42"/>
      <c r="BC236" s="42"/>
      <c r="BD236" s="42"/>
      <c r="BE236" s="42"/>
      <c r="BF236" s="42"/>
      <c r="BG236" s="42"/>
      <c r="BH236" s="42"/>
      <c r="BI236" s="42"/>
      <c r="BJ236" s="42"/>
      <c r="BK236" s="42"/>
      <c r="BL236" s="42"/>
      <c r="BM236" s="42"/>
      <c r="BN236" s="42"/>
    </row>
    <row r="237" spans="1:66" ht="12.75" customHeight="1" thickTop="1" x14ac:dyDescent="0.2">
      <c r="A237" s="1" t="s">
        <v>156</v>
      </c>
      <c r="B237" s="4">
        <f>_xll.ciqfunctions.udf.CIQ(InputTicker, "IQ_FX",Input!D$2,Date,,,Ccy,Conv)</f>
        <v>-473</v>
      </c>
      <c r="C237" s="4">
        <f>_xll.ciqfunctions.udf.CIQ(InputTicker, "IQ_FX",Input!E$2,Date,,,Ccy,Conv)</f>
        <v>-51</v>
      </c>
      <c r="D237" s="4">
        <f>_xll.ciqfunctions.udf.CIQ(InputTicker, "IQ_FX",Input!F$2,Date,,,Ccy,Conv)</f>
        <v>937</v>
      </c>
      <c r="E237" s="4">
        <f>_xll.ciqfunctions.udf.CIQ(InputTicker, "IQ_FX",Input!G$2,Date,,,Ccy,Conv)</f>
        <v>-495</v>
      </c>
      <c r="F237" s="4">
        <f>_xll.ciqfunctions.udf.CIQ(InputTicker, "IQ_FX",Input!H$2,Date,,,Ccy,Conv)</f>
        <v>-167</v>
      </c>
      <c r="G237" s="4">
        <f>_xll.ciqfunctions.udf.CIQ(InputTicker, "IQ_FX",Input!I$2,Date,,,Ccy,Conv)</f>
        <v>-87</v>
      </c>
      <c r="H237" s="4">
        <f>_xll.ciqfunctions.udf.CIQ(InputTicker, "IQ_FX",Input!J$2,Date,,,Ccy,Conv)</f>
        <v>-185</v>
      </c>
      <c r="I237" s="4">
        <f>_xll.ciqfunctions.udf.CIQ(InputTicker, "IQ_FX",Input!K$2,Date,,,Ccy,Conv)</f>
        <v>-244</v>
      </c>
      <c r="J237" s="4">
        <f>_xll.ciqfunctions.udf.CIQ(InputTicker, "IQ_FX",Input!L$2,Date,,,Ccy,Conv)</f>
        <v>9</v>
      </c>
      <c r="K237" s="4">
        <f>_xll.ciqfunctions.udf.CIQ(InputTicker, "IQ_FX",Input!M$2,Date,,,Ccy,Conv)</f>
        <v>-359</v>
      </c>
      <c r="L237" s="4">
        <f>_xll.ciqfunctions.udf.CIQ(InputTicker, "IQ_FX",Input!N$2,Date,,,Ccy,Conv)</f>
        <v>418</v>
      </c>
      <c r="M237" s="4">
        <f>_xll.ciqfunctions.udf.CIQ(InputTicker, "IQ_FX",Input!O$2,Date,,,Ccy,Conv)</f>
        <v>418</v>
      </c>
      <c r="N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  <c r="AK237" s="42"/>
      <c r="AL237" s="42"/>
      <c r="AM237" s="42"/>
      <c r="AN237" s="42"/>
      <c r="AO237" s="42"/>
      <c r="AP237" s="42"/>
      <c r="AQ237" s="42"/>
      <c r="AR237" s="42"/>
      <c r="AS237" s="42"/>
      <c r="AT237" s="42"/>
      <c r="AU237" s="42"/>
      <c r="AV237" s="42"/>
      <c r="AW237" s="42"/>
      <c r="AX237" s="42"/>
      <c r="AY237" s="42"/>
      <c r="AZ237" s="42"/>
      <c r="BA237" s="42"/>
      <c r="BB237" s="42"/>
      <c r="BC237" s="42"/>
      <c r="BD237" s="42"/>
      <c r="BE237" s="42"/>
      <c r="BF237" s="42"/>
      <c r="BG237" s="42"/>
      <c r="BH237" s="42"/>
      <c r="BI237" s="42"/>
      <c r="BJ237" s="42"/>
      <c r="BK237" s="42"/>
      <c r="BL237" s="42"/>
      <c r="BM237" s="42"/>
      <c r="BN237" s="42"/>
    </row>
    <row r="238" spans="1:66" ht="12.75" customHeight="1" x14ac:dyDescent="0.2">
      <c r="A238" s="1" t="s">
        <v>212</v>
      </c>
      <c r="B238" s="4">
        <f>_xll.ciqfunctions.udf.CIQ(InputTicker, "IQ_MISC_ADJUST_CF",Input!D$2,Date,,,Ccy,Conv)</f>
        <v>0</v>
      </c>
      <c r="C238" s="4">
        <f>_xll.ciqfunctions.udf.CIQ(InputTicker, "IQ_MISC_ADJUST_CF",Input!E$2,Date,,,Ccy,Conv)</f>
        <v>0</v>
      </c>
      <c r="D238" s="4">
        <f>_xll.ciqfunctions.udf.CIQ(InputTicker, "IQ_MISC_ADJUST_CF",Input!F$2,Date,,,Ccy,Conv)</f>
        <v>-1</v>
      </c>
      <c r="E238" s="4">
        <f>_xll.ciqfunctions.udf.CIQ(InputTicker, "IQ_MISC_ADJUST_CF",Input!G$2,Date,,,Ccy,Conv)</f>
        <v>0</v>
      </c>
      <c r="F238" s="4">
        <f>_xll.ciqfunctions.udf.CIQ(InputTicker, "IQ_MISC_ADJUST_CF",Input!H$2,Date,,,Ccy,Conv)</f>
        <v>1</v>
      </c>
      <c r="G238" s="4">
        <f>_xll.ciqfunctions.udf.CIQ(InputTicker, "IQ_MISC_ADJUST_CF",Input!I$2,Date,,,Ccy,Conv)</f>
        <v>0</v>
      </c>
      <c r="H238" s="4">
        <f>_xll.ciqfunctions.udf.CIQ(InputTicker, "IQ_MISC_ADJUST_CF",Input!J$2,Date,,,Ccy,Conv)</f>
        <v>0</v>
      </c>
      <c r="I238" s="4">
        <f>_xll.ciqfunctions.udf.CIQ(InputTicker, "IQ_MISC_ADJUST_CF",Input!K$2,Date,,,Ccy,Conv)</f>
        <v>0</v>
      </c>
      <c r="J238" s="4">
        <f>_xll.ciqfunctions.udf.CIQ(InputTicker, "IQ_MISC_ADJUST_CF",Input!L$2,Date,,,Ccy,Conv)</f>
        <v>0</v>
      </c>
      <c r="K238" s="4">
        <f>_xll.ciqfunctions.udf.CIQ(InputTicker, "IQ_MISC_ADJUST_CF",Input!M$2,Date,,,Ccy,Conv)</f>
        <v>1</v>
      </c>
      <c r="L238" s="4">
        <f>_xll.ciqfunctions.udf.CIQ(InputTicker, "IQ_MISC_ADJUST_CF",Input!N$2,Date,,,Ccy,Conv)</f>
        <v>0</v>
      </c>
      <c r="M238" s="4">
        <f>_xll.ciqfunctions.udf.CIQ(InputTicker, "IQ_MISC_ADJUST_CF",Input!O$2,Date,,,Ccy,Conv)</f>
        <v>0</v>
      </c>
      <c r="N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  <c r="AK238" s="42"/>
      <c r="AL238" s="42"/>
      <c r="AM238" s="42"/>
      <c r="AN238" s="42"/>
      <c r="AO238" s="42"/>
      <c r="AP238" s="42"/>
      <c r="AQ238" s="42"/>
      <c r="AR238" s="42"/>
      <c r="AS238" s="42"/>
      <c r="AT238" s="42"/>
      <c r="AU238" s="42"/>
      <c r="AV238" s="42"/>
      <c r="AW238" s="42"/>
      <c r="AX238" s="42"/>
      <c r="AY238" s="42"/>
      <c r="AZ238" s="42"/>
      <c r="BA238" s="42"/>
      <c r="BB238" s="42"/>
      <c r="BC238" s="42"/>
      <c r="BD238" s="42"/>
      <c r="BE238" s="42"/>
      <c r="BF238" s="42"/>
      <c r="BG238" s="42"/>
      <c r="BH238" s="42"/>
      <c r="BI238" s="42"/>
      <c r="BJ238" s="42"/>
      <c r="BK238" s="42"/>
      <c r="BL238" s="42"/>
      <c r="BM238" s="42"/>
      <c r="BN238" s="42"/>
    </row>
    <row r="239" spans="1:66" ht="12.75" customHeight="1" thickBot="1" x14ac:dyDescent="0.25">
      <c r="A239" s="5" t="s">
        <v>121</v>
      </c>
      <c r="B239" s="9">
        <f>_xll.ciqfunctions.udf.CIQ(InputTicker, "IQ_NET_CHANGE",Input!D$2,Date,,,Ccy,Conv)</f>
        <v>-790</v>
      </c>
      <c r="C239" s="9">
        <f>_xll.ciqfunctions.udf.CIQ(InputTicker, "IQ_NET_CHANGE",Input!E$2,Date,,,Ccy,Conv)</f>
        <v>188</v>
      </c>
      <c r="D239" s="9">
        <f>_xll.ciqfunctions.udf.CIQ(InputTicker, "IQ_NET_CHANGE",Input!F$2,Date,,,Ccy,Conv)</f>
        <v>4161</v>
      </c>
      <c r="E239" s="9">
        <f>_xll.ciqfunctions.udf.CIQ(InputTicker, "IQ_NET_CHANGE",Input!G$2,Date,,,Ccy,Conv)</f>
        <v>-630</v>
      </c>
      <c r="F239" s="9">
        <f>_xll.ciqfunctions.udf.CIQ(InputTicker, "IQ_NET_CHANGE",Input!H$2,Date,,,Ccy,Conv)</f>
        <v>-3290</v>
      </c>
      <c r="G239" s="9">
        <f>_xll.ciqfunctions.udf.CIQ(InputTicker, "IQ_NET_CHANGE",Input!I$2,Date,,,Ccy,Conv)</f>
        <v>5361</v>
      </c>
      <c r="H239" s="9">
        <f>_xll.ciqfunctions.udf.CIQ(InputTicker, "IQ_NET_CHANGE",Input!J$2,Date,,,Ccy,Conv)</f>
        <v>-6718</v>
      </c>
      <c r="I239" s="9">
        <f>_xll.ciqfunctions.udf.CIQ(InputTicker, "IQ_NET_CHANGE",Input!K$2,Date,,,Ccy,Conv)</f>
        <v>1031</v>
      </c>
      <c r="J239" s="9">
        <f>_xll.ciqfunctions.udf.CIQ(InputTicker, "IQ_NET_CHANGE",Input!L$2,Date,,,Ccy,Conv)</f>
        <v>5101</v>
      </c>
      <c r="K239" s="9">
        <f>_xll.ciqfunctions.udf.CIQ(InputTicker, "IQ_NET_CHANGE",Input!M$2,Date,,,Ccy,Conv)</f>
        <v>1071</v>
      </c>
      <c r="L239" s="9">
        <f>_xll.ciqfunctions.udf.CIQ(InputTicker, "IQ_NET_CHANGE",Input!N$2,Date,,,Ccy,Conv)</f>
        <v>-520</v>
      </c>
      <c r="M239" s="9">
        <f>_xll.ciqfunctions.udf.CIQ(InputTicker, "IQ_NET_CHANGE",Input!O$2,Date,,,Ccy,Conv)</f>
        <v>-520</v>
      </c>
      <c r="N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  <c r="AO239" s="42"/>
      <c r="AP239" s="42"/>
      <c r="AQ239" s="42"/>
      <c r="AR239" s="42"/>
      <c r="AS239" s="42"/>
      <c r="AT239" s="42"/>
      <c r="AU239" s="42"/>
      <c r="AV239" s="42"/>
      <c r="AW239" s="42"/>
      <c r="AX239" s="42"/>
      <c r="AY239" s="42"/>
      <c r="AZ239" s="42"/>
      <c r="BA239" s="42"/>
      <c r="BB239" s="42"/>
      <c r="BC239" s="42"/>
      <c r="BD239" s="42"/>
      <c r="BE239" s="42"/>
      <c r="BF239" s="42"/>
      <c r="BG239" s="42"/>
      <c r="BH239" s="42"/>
      <c r="BI239" s="42"/>
      <c r="BJ239" s="42"/>
      <c r="BK239" s="42"/>
      <c r="BL239" s="42"/>
      <c r="BM239" s="42"/>
      <c r="BN239" s="42"/>
    </row>
    <row r="240" spans="1:66" ht="12.75" customHeight="1" thickTop="1" x14ac:dyDescent="0.2">
      <c r="A240" s="1" t="s">
        <v>317</v>
      </c>
      <c r="B240" s="18">
        <f>_xll.ciqfunctions.udf.CIQ(InputTicker,"IQ_PERIODLENGTH_CF",Input!D$2,Date)</f>
        <v>12</v>
      </c>
      <c r="C240" s="18">
        <f>_xll.ciqfunctions.udf.CIQ(InputTicker,"IQ_PERIODLENGTH_CF",Input!E$2,Date)</f>
        <v>12</v>
      </c>
      <c r="D240" s="18">
        <f>_xll.ciqfunctions.udf.CIQ(InputTicker,"IQ_PERIODLENGTH_CF",Input!F$2,Date)</f>
        <v>12</v>
      </c>
      <c r="E240" s="18">
        <f>_xll.ciqfunctions.udf.CIQ(InputTicker,"IQ_PERIODLENGTH_CF",Input!G$2,Date)</f>
        <v>12</v>
      </c>
      <c r="F240" s="18">
        <f>_xll.ciqfunctions.udf.CIQ(InputTicker,"IQ_PERIODLENGTH_CF",Input!H$2,Date)</f>
        <v>12</v>
      </c>
      <c r="G240" s="18">
        <f>_xll.ciqfunctions.udf.CIQ(InputTicker,"IQ_PERIODLENGTH_CF",Input!I$2,Date)</f>
        <v>12</v>
      </c>
      <c r="H240" s="18">
        <f>_xll.ciqfunctions.udf.CIQ(InputTicker,"IQ_PERIODLENGTH_CF",Input!J$2,Date)</f>
        <v>12</v>
      </c>
      <c r="I240" s="18">
        <f>_xll.ciqfunctions.udf.CIQ(InputTicker,"IQ_PERIODLENGTH_CF",Input!K$2,Date)</f>
        <v>12</v>
      </c>
      <c r="J240" s="18">
        <f>_xll.ciqfunctions.udf.CIQ(InputTicker,"IQ_PERIODLENGTH_CF",Input!L$2,Date)</f>
        <v>12</v>
      </c>
      <c r="K240" s="18">
        <f>_xll.ciqfunctions.udf.CIQ(InputTicker,"IQ_PERIODLENGTH_CF",Input!M$2,Date)</f>
        <v>12</v>
      </c>
      <c r="L240" s="18">
        <f>_xll.ciqfunctions.udf.CIQ(InputTicker,"IQ_PERIODLENGTH_CF",Input!N$2,Date)</f>
        <v>12</v>
      </c>
      <c r="M240" s="18">
        <f>_xll.ciqfunctions.udf.CIQ(InputTicker,"IQ_PERIODLENGTH_CF",Input!O$2,Date)</f>
        <v>12</v>
      </c>
      <c r="N240" s="49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  <c r="BA240" s="42"/>
      <c r="BB240" s="42"/>
      <c r="BC240" s="42"/>
      <c r="BD240" s="42"/>
      <c r="BE240" s="42"/>
      <c r="BF240" s="42"/>
      <c r="BG240" s="42"/>
      <c r="BH240" s="42"/>
      <c r="BI240" s="42"/>
      <c r="BJ240" s="42"/>
      <c r="BK240" s="42"/>
      <c r="BL240" s="42"/>
      <c r="BM240" s="42"/>
      <c r="BN240" s="42"/>
    </row>
    <row r="241" spans="1:66" ht="12.75" customHeight="1" x14ac:dyDescent="0.2">
      <c r="A241" s="1" t="s">
        <v>5</v>
      </c>
      <c r="B241" s="4">
        <f>_xll.ciqfunctions.udf.CIQ(InputTicker, "IQ_DA_SUPPL_PARTIAL_CF",Input!D$2,Date,,,Ccy,Conv)</f>
        <v>0</v>
      </c>
      <c r="C241" s="4">
        <f>_xll.ciqfunctions.udf.CIQ(InputTicker, "IQ_DA_SUPPL_PARTIAL_CF",Input!E$2,Date,,,Ccy,Conv)</f>
        <v>0</v>
      </c>
      <c r="D241" s="4">
        <f>_xll.ciqfunctions.udf.CIQ(InputTicker, "IQ_DA_SUPPL_PARTIAL_CF",Input!F$2,Date,,,Ccy,Conv)</f>
        <v>0</v>
      </c>
      <c r="E241" s="4">
        <f>_xll.ciqfunctions.udf.CIQ(InputTicker, "IQ_DA_SUPPL_PARTIAL_CF",Input!G$2,Date,,,Ccy,Conv)</f>
        <v>0</v>
      </c>
      <c r="F241" s="4">
        <f>_xll.ciqfunctions.udf.CIQ(InputTicker, "IQ_DA_SUPPL_PARTIAL_CF",Input!H$2,Date,,,Ccy,Conv)</f>
        <v>0</v>
      </c>
      <c r="G241" s="4">
        <f>_xll.ciqfunctions.udf.CIQ(InputTicker, "IQ_DA_SUPPL_PARTIAL_CF",Input!I$2,Date,,,Ccy,Conv)</f>
        <v>0</v>
      </c>
      <c r="H241" s="4">
        <f>_xll.ciqfunctions.udf.CIQ(InputTicker, "IQ_DA_SUPPL_PARTIAL_CF",Input!J$2,Date,,,Ccy,Conv)</f>
        <v>0</v>
      </c>
      <c r="I241" s="4">
        <f>_xll.ciqfunctions.udf.CIQ(InputTicker, "IQ_DA_SUPPL_PARTIAL_CF",Input!K$2,Date,,,Ccy,Conv)</f>
        <v>0</v>
      </c>
      <c r="J241" s="4">
        <f>_xll.ciqfunctions.udf.CIQ(InputTicker, "IQ_DA_SUPPL_PARTIAL_CF",Input!L$2,Date,,,Ccy,Conv)</f>
        <v>0</v>
      </c>
      <c r="K241" s="4">
        <f>_xll.ciqfunctions.udf.CIQ(InputTicker, "IQ_DA_SUPPL_PARTIAL_CF",Input!M$2,Date,,,Ccy,Conv)</f>
        <v>0</v>
      </c>
      <c r="L241" s="4">
        <f>_xll.ciqfunctions.udf.CIQ(InputTicker, "IQ_DA_SUPPL_PARTIAL_CF",Input!N$2,Date,,,Ccy,Conv)</f>
        <v>0</v>
      </c>
      <c r="M241" s="4">
        <f>_xll.ciqfunctions.udf.CIQ(InputTicker, "IQ_DA_SUPPL_PARTIAL_CF",Input!O$2,Date,,,Ccy,Conv)</f>
        <v>0</v>
      </c>
      <c r="N241" s="49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  <c r="AK241" s="42"/>
      <c r="AL241" s="42"/>
      <c r="AM241" s="42"/>
      <c r="AN241" s="42"/>
      <c r="AO241" s="42"/>
      <c r="AP241" s="42"/>
      <c r="AQ241" s="42"/>
      <c r="AR241" s="42"/>
      <c r="AS241" s="42"/>
      <c r="AT241" s="42"/>
      <c r="AU241" s="42"/>
      <c r="AV241" s="42"/>
      <c r="AW241" s="42"/>
      <c r="AX241" s="42"/>
      <c r="AY241" s="42"/>
      <c r="AZ241" s="42"/>
      <c r="BA241" s="42"/>
      <c r="BB241" s="42"/>
      <c r="BC241" s="42"/>
      <c r="BD241" s="42"/>
      <c r="BE241" s="42"/>
      <c r="BF241" s="42"/>
      <c r="BG241" s="42"/>
      <c r="BH241" s="42"/>
      <c r="BI241" s="42"/>
      <c r="BJ241" s="42"/>
      <c r="BK241" s="42"/>
      <c r="BL241" s="42"/>
      <c r="BM241" s="42"/>
      <c r="BN241" s="42"/>
    </row>
    <row r="242" spans="1:66" ht="12.75" customHeight="1" x14ac:dyDescent="0.2">
      <c r="A242" s="1" t="s">
        <v>6</v>
      </c>
      <c r="B242" s="4">
        <f>_xll.ciqfunctions.udf.CIQ(InputTicker, "IQ_GW_INTAN_AMORT_PARTIAL_CF",Input!D$2,Date,,,Ccy,Conv)</f>
        <v>0</v>
      </c>
      <c r="C242" s="4">
        <f>_xll.ciqfunctions.udf.CIQ(InputTicker, "IQ_GW_INTAN_AMORT_PARTIAL_CF",Input!E$2,Date,,,Ccy,Conv)</f>
        <v>0</v>
      </c>
      <c r="D242" s="4">
        <f>_xll.ciqfunctions.udf.CIQ(InputTicker, "IQ_GW_INTAN_AMORT_PARTIAL_CF",Input!F$2,Date,,,Ccy,Conv)</f>
        <v>0</v>
      </c>
      <c r="E242" s="4">
        <f>_xll.ciqfunctions.udf.CIQ(InputTicker, "IQ_GW_INTAN_AMORT_PARTIAL_CF",Input!G$2,Date,,,Ccy,Conv)</f>
        <v>0</v>
      </c>
      <c r="F242" s="4">
        <f>_xll.ciqfunctions.udf.CIQ(InputTicker, "IQ_GW_INTAN_AMORT_PARTIAL_CF",Input!H$2,Date,,,Ccy,Conv)</f>
        <v>0</v>
      </c>
      <c r="G242" s="4">
        <f>_xll.ciqfunctions.udf.CIQ(InputTicker, "IQ_GW_INTAN_AMORT_PARTIAL_CF",Input!I$2,Date,,,Ccy,Conv)</f>
        <v>0</v>
      </c>
      <c r="H242" s="4">
        <f>_xll.ciqfunctions.udf.CIQ(InputTicker, "IQ_GW_INTAN_AMORT_PARTIAL_CF",Input!J$2,Date,,,Ccy,Conv)</f>
        <v>0</v>
      </c>
      <c r="I242" s="4">
        <f>_xll.ciqfunctions.udf.CIQ(InputTicker, "IQ_GW_INTAN_AMORT_PARTIAL_CF",Input!K$2,Date,,,Ccy,Conv)</f>
        <v>0</v>
      </c>
      <c r="J242" s="4">
        <f>_xll.ciqfunctions.udf.CIQ(InputTicker, "IQ_GW_INTAN_AMORT_PARTIAL_CF",Input!L$2,Date,,,Ccy,Conv)</f>
        <v>0</v>
      </c>
      <c r="K242" s="4">
        <f>_xll.ciqfunctions.udf.CIQ(InputTicker, "IQ_GW_INTAN_AMORT_PARTIAL_CF",Input!M$2,Date,,,Ccy,Conv)</f>
        <v>0</v>
      </c>
      <c r="L242" s="4">
        <f>_xll.ciqfunctions.udf.CIQ(InputTicker, "IQ_GW_INTAN_AMORT_PARTIAL_CF",Input!N$2,Date,,,Ccy,Conv)</f>
        <v>0</v>
      </c>
      <c r="M242" s="4">
        <f>_xll.ciqfunctions.udf.CIQ(InputTicker, "IQ_GW_INTAN_AMORT_PARTIAL_CF",Input!O$2,Date,,,Ccy,Conv)</f>
        <v>0</v>
      </c>
      <c r="N242" s="49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42"/>
      <c r="AN242" s="42"/>
      <c r="AO242" s="42"/>
      <c r="AP242" s="42"/>
      <c r="AQ242" s="42"/>
      <c r="AR242" s="42"/>
      <c r="AS242" s="42"/>
      <c r="AT242" s="42"/>
      <c r="AU242" s="42"/>
      <c r="AV242" s="42"/>
      <c r="AW242" s="42"/>
      <c r="AX242" s="42"/>
      <c r="AY242" s="42"/>
      <c r="AZ242" s="42"/>
      <c r="BA242" s="42"/>
      <c r="BB242" s="42"/>
      <c r="BC242" s="42"/>
      <c r="BD242" s="42"/>
      <c r="BE242" s="42"/>
      <c r="BF242" s="42"/>
      <c r="BG242" s="42"/>
      <c r="BH242" s="42"/>
      <c r="BI242" s="42"/>
      <c r="BJ242" s="42"/>
      <c r="BK242" s="42"/>
      <c r="BL242" s="42"/>
      <c r="BM242" s="42"/>
      <c r="BN242" s="42"/>
    </row>
    <row r="243" spans="1:66" ht="12.75" customHeight="1" x14ac:dyDescent="0.2">
      <c r="A243" s="1" t="s">
        <v>349</v>
      </c>
      <c r="B243" s="4">
        <f>_xll.ciqfunctions.udf.CIQ(InputTicker, "IQ_DEPRE_SUPP",Input!D$2,Date,,,Ccy,Conv)</f>
        <v>0</v>
      </c>
      <c r="C243" s="4">
        <f>_xll.ciqfunctions.udf.CIQ(InputTicker, "IQ_DEPRE_SUPP",Input!E$2,Date,,,Ccy,Conv)</f>
        <v>0</v>
      </c>
      <c r="D243" s="4">
        <f>_xll.ciqfunctions.udf.CIQ(InputTicker, "IQ_DEPRE_SUPP",Input!F$2,Date,,,Ccy,Conv)</f>
        <v>0</v>
      </c>
      <c r="E243" s="4">
        <f>_xll.ciqfunctions.udf.CIQ(InputTicker, "IQ_DEPRE_SUPP",Input!G$2,Date,,,Ccy,Conv)</f>
        <v>0</v>
      </c>
      <c r="F243" s="4">
        <f>_xll.ciqfunctions.udf.CIQ(InputTicker, "IQ_DEPRE_SUPP",Input!H$2,Date,,,Ccy,Conv)</f>
        <v>0</v>
      </c>
      <c r="G243" s="4">
        <f>_xll.ciqfunctions.udf.CIQ(InputTicker, "IQ_DEPRE_SUPP",Input!I$2,Date,,,Ccy,Conv)</f>
        <v>0</v>
      </c>
      <c r="H243" s="4">
        <f>_xll.ciqfunctions.udf.CIQ(InputTicker, "IQ_DEPRE_SUPP",Input!J$2,Date,,,Ccy,Conv)</f>
        <v>0</v>
      </c>
      <c r="I243" s="4">
        <f>_xll.ciqfunctions.udf.CIQ(InputTicker, "IQ_DEPRE_SUPP",Input!K$2,Date,,,Ccy,Conv)</f>
        <v>0</v>
      </c>
      <c r="J243" s="4">
        <f>_xll.ciqfunctions.udf.CIQ(InputTicker, "IQ_DEPRE_SUPP",Input!L$2,Date,,,Ccy,Conv)</f>
        <v>0</v>
      </c>
      <c r="K243" s="4">
        <f>_xll.ciqfunctions.udf.CIQ(InputTicker, "IQ_DEPRE_SUPP",Input!M$2,Date,,,Ccy,Conv)</f>
        <v>0</v>
      </c>
      <c r="L243" s="4">
        <f>_xll.ciqfunctions.udf.CIQ(InputTicker, "IQ_DEPRE_SUPP",Input!N$2,Date,,,Ccy,Conv)</f>
        <v>0</v>
      </c>
      <c r="M243" s="4">
        <f>_xll.ciqfunctions.udf.CIQ(InputTicker, "IQ_DEPRE_SUPP",Input!O$2,Date,,,Ccy,Conv)</f>
        <v>0</v>
      </c>
      <c r="N243" s="49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  <c r="BA243" s="42"/>
      <c r="BB243" s="42"/>
      <c r="BC243" s="42"/>
      <c r="BD243" s="42"/>
      <c r="BE243" s="42"/>
      <c r="BF243" s="42"/>
      <c r="BG243" s="42"/>
      <c r="BH243" s="42"/>
      <c r="BI243" s="42"/>
      <c r="BJ243" s="42"/>
      <c r="BK243" s="42"/>
      <c r="BL243" s="42"/>
      <c r="BM243" s="42"/>
      <c r="BN243" s="42"/>
    </row>
    <row r="244" spans="1:66" ht="12.75" customHeight="1" x14ac:dyDescent="0.2">
      <c r="A244" s="1" t="s">
        <v>31</v>
      </c>
      <c r="B244" s="4">
        <f>_xll.ciqfunctions.udf.CIQ(InputTicker, "IQ_DEPRECIATION_RENTAL_ASSETS_CF",Input!D$2,Date,,,Ccy,Conv)</f>
        <v>0</v>
      </c>
      <c r="C244" s="4">
        <f>_xll.ciqfunctions.udf.CIQ(InputTicker, "IQ_DEPRECIATION_RENTAL_ASSETS_CF",Input!E$2,Date,,,Ccy,Conv)</f>
        <v>0</v>
      </c>
      <c r="D244" s="4">
        <f>_xll.ciqfunctions.udf.CIQ(InputTicker, "IQ_DEPRECIATION_RENTAL_ASSETS_CF",Input!F$2,Date,,,Ccy,Conv)</f>
        <v>0</v>
      </c>
      <c r="E244" s="4">
        <f>_xll.ciqfunctions.udf.CIQ(InputTicker, "IQ_DEPRECIATION_RENTAL_ASSETS_CF",Input!G$2,Date,,,Ccy,Conv)</f>
        <v>0</v>
      </c>
      <c r="F244" s="4">
        <f>_xll.ciqfunctions.udf.CIQ(InputTicker, "IQ_DEPRECIATION_RENTAL_ASSETS_CF",Input!H$2,Date,,,Ccy,Conv)</f>
        <v>0</v>
      </c>
      <c r="G244" s="4">
        <f>_xll.ciqfunctions.udf.CIQ(InputTicker, "IQ_DEPRECIATION_RENTAL_ASSETS_CF",Input!I$2,Date,,,Ccy,Conv)</f>
        <v>0</v>
      </c>
      <c r="H244" s="4">
        <f>_xll.ciqfunctions.udf.CIQ(InputTicker, "IQ_DEPRECIATION_RENTAL_ASSETS_CF",Input!J$2,Date,,,Ccy,Conv)</f>
        <v>0</v>
      </c>
      <c r="I244" s="4">
        <f>_xll.ciqfunctions.udf.CIQ(InputTicker, "IQ_DEPRECIATION_RENTAL_ASSETS_CF",Input!K$2,Date,,,Ccy,Conv)</f>
        <v>0</v>
      </c>
      <c r="J244" s="4">
        <f>_xll.ciqfunctions.udf.CIQ(InputTicker, "IQ_DEPRECIATION_RENTAL_ASSETS_CF",Input!L$2,Date,,,Ccy,Conv)</f>
        <v>0</v>
      </c>
      <c r="K244" s="4">
        <f>_xll.ciqfunctions.udf.CIQ(InputTicker, "IQ_DEPRECIATION_RENTAL_ASSETS_CF",Input!M$2,Date,,,Ccy,Conv)</f>
        <v>0</v>
      </c>
      <c r="L244" s="4">
        <f>_xll.ciqfunctions.udf.CIQ(InputTicker, "IQ_DEPRECIATION_RENTAL_ASSETS_CF",Input!N$2,Date,,,Ccy,Conv)</f>
        <v>0</v>
      </c>
      <c r="M244" s="4">
        <f>_xll.ciqfunctions.udf.CIQ(InputTicker, "IQ_DEPRECIATION_RENTAL_ASSETS_CF",Input!O$2,Date,,,Ccy,Conv)</f>
        <v>0</v>
      </c>
      <c r="N244" s="49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  <c r="AK244" s="42"/>
      <c r="AL244" s="42"/>
      <c r="AM244" s="42"/>
      <c r="AN244" s="42"/>
      <c r="AO244" s="42"/>
      <c r="AP244" s="42"/>
      <c r="AQ244" s="42"/>
      <c r="AR244" s="42"/>
      <c r="AS244" s="42"/>
      <c r="AT244" s="42"/>
      <c r="AU244" s="42"/>
      <c r="AV244" s="42"/>
      <c r="AW244" s="42"/>
      <c r="AX244" s="42"/>
      <c r="AY244" s="42"/>
      <c r="AZ244" s="42"/>
      <c r="BA244" s="42"/>
      <c r="BB244" s="42"/>
      <c r="BC244" s="42"/>
      <c r="BD244" s="42"/>
      <c r="BE244" s="42"/>
      <c r="BF244" s="42"/>
      <c r="BG244" s="42"/>
      <c r="BH244" s="42"/>
      <c r="BI244" s="42"/>
      <c r="BJ244" s="42"/>
      <c r="BK244" s="42"/>
      <c r="BL244" s="42"/>
      <c r="BM244" s="42"/>
      <c r="BN244" s="42"/>
    </row>
    <row r="245" spans="1:66" ht="12.75" customHeight="1" x14ac:dyDescent="0.2">
      <c r="A245" s="1" t="s">
        <v>445</v>
      </c>
      <c r="B245" s="4">
        <f>_xll.ciqfunctions.udf.CIQ(InputTicker, "IQ_DEP_RUA",Input!D$2,Date,,,Ccy,Conv)</f>
        <v>0</v>
      </c>
      <c r="C245" s="4">
        <f>_xll.ciqfunctions.udf.CIQ(InputTicker, "IQ_DEP_RUA",Input!E$2,Date,,,Ccy,Conv)</f>
        <v>0</v>
      </c>
      <c r="D245" s="4">
        <f>_xll.ciqfunctions.udf.CIQ(InputTicker, "IQ_DEP_RUA",Input!F$2,Date,,,Ccy,Conv)</f>
        <v>0</v>
      </c>
      <c r="E245" s="4">
        <f>_xll.ciqfunctions.udf.CIQ(InputTicker, "IQ_DEP_RUA",Input!G$2,Date,,,Ccy,Conv)</f>
        <v>0</v>
      </c>
      <c r="F245" s="4">
        <f>_xll.ciqfunctions.udf.CIQ(InputTicker, "IQ_DEP_RUA",Input!H$2,Date,,,Ccy,Conv)</f>
        <v>0</v>
      </c>
      <c r="G245" s="4">
        <f>_xll.ciqfunctions.udf.CIQ(InputTicker, "IQ_DEP_RUA",Input!I$2,Date,,,Ccy,Conv)</f>
        <v>0</v>
      </c>
      <c r="H245" s="4">
        <f>_xll.ciqfunctions.udf.CIQ(InputTicker, "IQ_DEP_RUA",Input!J$2,Date,,,Ccy,Conv)</f>
        <v>0</v>
      </c>
      <c r="I245" s="4">
        <f>_xll.ciqfunctions.udf.CIQ(InputTicker, "IQ_DEP_RUA",Input!K$2,Date,,,Ccy,Conv)</f>
        <v>900</v>
      </c>
      <c r="J245" s="4">
        <f>_xll.ciqfunctions.udf.CIQ(InputTicker, "IQ_DEP_RUA",Input!L$2,Date,,,Ccy,Conv)</f>
        <v>900</v>
      </c>
      <c r="K245" s="4">
        <f>_xll.ciqfunctions.udf.CIQ(InputTicker, "IQ_DEP_RUA",Input!M$2,Date,,,Ccy,Conv)</f>
        <v>900</v>
      </c>
      <c r="L245" s="4">
        <f>_xll.ciqfunctions.udf.CIQ(InputTicker, "IQ_DEP_RUA",Input!N$2,Date,,,Ccy,Conv)</f>
        <v>900</v>
      </c>
      <c r="M245" s="4">
        <f>_xll.ciqfunctions.udf.CIQ(InputTicker, "IQ_DEP_RUA",Input!O$2,Date,,,Ccy,Conv)</f>
        <v>900</v>
      </c>
      <c r="N245" s="49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42"/>
      <c r="AN245" s="42"/>
      <c r="AO245" s="42"/>
      <c r="AP245" s="42"/>
      <c r="AQ245" s="42"/>
      <c r="AR245" s="42"/>
      <c r="AS245" s="42"/>
      <c r="AT245" s="42"/>
      <c r="AU245" s="42"/>
      <c r="AV245" s="42"/>
      <c r="AW245" s="42"/>
      <c r="AX245" s="42"/>
      <c r="AY245" s="42"/>
      <c r="AZ245" s="42"/>
      <c r="BA245" s="42"/>
      <c r="BB245" s="42"/>
      <c r="BC245" s="42"/>
      <c r="BD245" s="42"/>
      <c r="BE245" s="42"/>
      <c r="BF245" s="42"/>
      <c r="BG245" s="42"/>
      <c r="BH245" s="42"/>
      <c r="BI245" s="42"/>
      <c r="BJ245" s="42"/>
      <c r="BK245" s="42"/>
      <c r="BL245" s="42"/>
      <c r="BM245" s="42"/>
      <c r="BN245" s="42"/>
    </row>
    <row r="246" spans="1:66" ht="12.75" customHeight="1" x14ac:dyDescent="0.2">
      <c r="A246" s="1" t="s">
        <v>466</v>
      </c>
      <c r="B246" s="4">
        <f>_xll.ciqfunctions.udf.CIQ(InputTicker, "IQ_DA_SUPPL_CF_EXCL_OPER_LEASES",Input!D$2,Date,,,Ccy,Conv)</f>
        <v>2662</v>
      </c>
      <c r="C246" s="4">
        <f>_xll.ciqfunctions.udf.CIQ(InputTicker, "IQ_DA_SUPPL_CF_EXCL_OPER_LEASES",Input!E$2,Date,,,Ccy,Conv)</f>
        <v>2837</v>
      </c>
      <c r="D246" s="4">
        <f>_xll.ciqfunctions.udf.CIQ(InputTicker, "IQ_DA_SUPPL_CF_EXCL_OPER_LEASES",Input!F$2,Date,,,Ccy,Conv)</f>
        <v>3021</v>
      </c>
      <c r="E246" s="4">
        <f>_xll.ciqfunctions.udf.CIQ(InputTicker, "IQ_DA_SUPPL_CF_EXCL_OPER_LEASES",Input!G$2,Date,,,Ccy,Conv)</f>
        <v>3127</v>
      </c>
      <c r="F246" s="4">
        <f>_xll.ciqfunctions.udf.CIQ(InputTicker, "IQ_DA_SUPPL_CF_EXCL_OPER_LEASES",Input!H$2,Date,,,Ccy,Conv)</f>
        <v>4209</v>
      </c>
      <c r="G246" s="4">
        <f>_xll.ciqfunctions.udf.CIQ(InputTicker, "IQ_DA_SUPPL_CF_EXCL_OPER_LEASES",Input!I$2,Date,,,Ccy,Conv)</f>
        <v>4227</v>
      </c>
      <c r="H246" s="4">
        <f>_xll.ciqfunctions.udf.CIQ(InputTicker, "IQ_DA_SUPPL_CF_EXCL_OPER_LEASES",Input!J$2,Date,,,Ccy,Conv)</f>
        <v>3888</v>
      </c>
      <c r="I246" s="4">
        <f>_xll.ciqfunctions.udf.CIQ(InputTicker, "IQ_DA_SUPPL_CF_EXCL_OPER_LEASES",Input!K$2,Date,,,Ccy,Conv)</f>
        <v>1507</v>
      </c>
      <c r="J246" s="4">
        <f>_xll.ciqfunctions.udf.CIQ(InputTicker, "IQ_DA_SUPPL_CF_EXCL_OPER_LEASES",Input!L$2,Date,,,Ccy,Conv)</f>
        <v>1209</v>
      </c>
      <c r="K246" s="4">
        <f>_xll.ciqfunctions.udf.CIQ(InputTicker, "IQ_DA_SUPPL_CF_EXCL_OPER_LEASES",Input!M$2,Date,,,Ccy,Conv)</f>
        <v>1268</v>
      </c>
      <c r="L246" s="4">
        <f>_xll.ciqfunctions.udf.CIQ(InputTicker, "IQ_DA_SUPPL_CF_EXCL_OPER_LEASES",Input!N$2,Date,,,Ccy,Conv)</f>
        <v>1384</v>
      </c>
      <c r="M246" s="4">
        <f>_xll.ciqfunctions.udf.CIQ(InputTicker, "IQ_DA_SUPPL_CF_EXCL_OPER_LEASES",Input!O$2,Date,,,Ccy,Conv)</f>
        <v>1384</v>
      </c>
      <c r="N246" s="49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  <c r="AK246" s="42"/>
      <c r="AL246" s="42"/>
      <c r="AM246" s="42"/>
      <c r="AN246" s="42"/>
      <c r="AO246" s="42"/>
      <c r="AP246" s="42"/>
      <c r="AQ246" s="42"/>
      <c r="AR246" s="42"/>
      <c r="AS246" s="42"/>
      <c r="AT246" s="42"/>
      <c r="AU246" s="42"/>
      <c r="AV246" s="42"/>
      <c r="AW246" s="42"/>
      <c r="AX246" s="42"/>
      <c r="AY246" s="42"/>
      <c r="AZ246" s="42"/>
      <c r="BA246" s="42"/>
      <c r="BB246" s="42"/>
      <c r="BC246" s="42"/>
      <c r="BD246" s="42"/>
      <c r="BE246" s="42"/>
      <c r="BF246" s="42"/>
      <c r="BG246" s="42"/>
      <c r="BH246" s="42"/>
      <c r="BI246" s="42"/>
      <c r="BJ246" s="42"/>
      <c r="BK246" s="42"/>
      <c r="BL246" s="42"/>
      <c r="BM246" s="42"/>
      <c r="BN246" s="42"/>
    </row>
    <row r="247" spans="1:66" ht="12.75" customHeight="1" x14ac:dyDescent="0.2">
      <c r="A247" s="1" t="s">
        <v>467</v>
      </c>
      <c r="B247" s="4">
        <f>_xll.ciqfunctions.udf.CIQ(InputTicker, "IQ_DA_CF_EXCL_OPER_LEASES",Input!D$2,Date,,,Ccy,Conv)</f>
        <v>3855</v>
      </c>
      <c r="C247" s="4">
        <f>_xll.ciqfunctions.udf.CIQ(InputTicker, "IQ_DA_CF_EXCL_OPER_LEASES",Input!E$2,Date,,,Ccy,Conv)</f>
        <v>4381</v>
      </c>
      <c r="D247" s="4">
        <f>_xll.ciqfunctions.udf.CIQ(InputTicker, "IQ_DA_CF_EXCL_OPER_LEASES",Input!F$2,Date,,,Ccy,Conv)</f>
        <v>4541</v>
      </c>
      <c r="E247" s="4">
        <f>_xll.ciqfunctions.udf.CIQ(InputTicker, "IQ_DA_CF_EXCL_OPER_LEASES",Input!G$2,Date,,,Ccy,Conv)</f>
        <v>4480</v>
      </c>
      <c r="F247" s="4">
        <f>_xll.ciqfunctions.udf.CIQ(InputTicker, "IQ_DA_CF_EXCL_OPER_LEASES",Input!H$2,Date,,,Ccy,Conv)</f>
        <v>6059</v>
      </c>
      <c r="G247" s="4">
        <f>_xll.ciqfunctions.udf.CIQ(InputTicker, "IQ_DA_CF_EXCL_OPER_LEASES",Input!I$2,Date,,,Ccy,Conv)</f>
        <v>6695</v>
      </c>
      <c r="H247" s="4">
        <f>_xll.ciqfunctions.udf.CIQ(InputTicker, "IQ_DA_CF_EXCL_OPER_LEASES",Input!J$2,Date,,,Ccy,Conv)</f>
        <v>5726</v>
      </c>
      <c r="I247" s="4">
        <f>_xll.ciqfunctions.udf.CIQ(InputTicker, "IQ_DA_CF_EXCL_OPER_LEASES",Input!K$2,Date,,,Ccy,Conv)</f>
        <v>3254</v>
      </c>
      <c r="J247" s="4">
        <f>_xll.ciqfunctions.udf.CIQ(InputTicker, "IQ_DA_CF_EXCL_OPER_LEASES",Input!L$2,Date,,,Ccy,Conv)</f>
        <v>2836</v>
      </c>
      <c r="K247" s="4">
        <f>_xll.ciqfunctions.udf.CIQ(InputTicker, "IQ_DA_CF_EXCL_OPER_LEASES",Input!M$2,Date,,,Ccy,Conv)</f>
        <v>3098</v>
      </c>
      <c r="L247" s="4">
        <f>_xll.ciqfunctions.udf.CIQ(InputTicker, "IQ_DA_CF_EXCL_OPER_LEASES",Input!N$2,Date,,,Ccy,Conv)</f>
        <v>3550</v>
      </c>
      <c r="M247" s="4">
        <f>_xll.ciqfunctions.udf.CIQ(InputTicker, "IQ_DA_CF_EXCL_OPER_LEASES",Input!O$2,Date,,,Ccy,Conv)</f>
        <v>3550</v>
      </c>
      <c r="N247" s="49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  <c r="BA247" s="42"/>
      <c r="BB247" s="42"/>
      <c r="BC247" s="42"/>
      <c r="BD247" s="42"/>
      <c r="BE247" s="42"/>
      <c r="BF247" s="42"/>
      <c r="BG247" s="42"/>
      <c r="BH247" s="42"/>
      <c r="BI247" s="42"/>
      <c r="BJ247" s="42"/>
      <c r="BK247" s="42"/>
      <c r="BL247" s="42"/>
      <c r="BM247" s="42"/>
      <c r="BN247" s="42"/>
    </row>
    <row r="248" spans="1:66" ht="12.75" customHeight="1" x14ac:dyDescent="0.2">
      <c r="A248" s="1" t="s">
        <v>40</v>
      </c>
      <c r="B248" s="4">
        <f>_xll.ciqfunctions.udf.CIQ(InputTicker, "IQ_NEGATIVE_GW_AMORT_CF",Input!D$2,Date,,,Ccy,Conv)</f>
        <v>0</v>
      </c>
      <c r="C248" s="4">
        <f>_xll.ciqfunctions.udf.CIQ(InputTicker, "IQ_NEGATIVE_GW_AMORT_CF",Input!E$2,Date,,,Ccy,Conv)</f>
        <v>0</v>
      </c>
      <c r="D248" s="4">
        <f>_xll.ciqfunctions.udf.CIQ(InputTicker, "IQ_NEGATIVE_GW_AMORT_CF",Input!F$2,Date,,,Ccy,Conv)</f>
        <v>0</v>
      </c>
      <c r="E248" s="4">
        <f>_xll.ciqfunctions.udf.CIQ(InputTicker, "IQ_NEGATIVE_GW_AMORT_CF",Input!G$2,Date,,,Ccy,Conv)</f>
        <v>0</v>
      </c>
      <c r="F248" s="4">
        <f>_xll.ciqfunctions.udf.CIQ(InputTicker, "IQ_NEGATIVE_GW_AMORT_CF",Input!H$2,Date,,,Ccy,Conv)</f>
        <v>0</v>
      </c>
      <c r="G248" s="4">
        <f>_xll.ciqfunctions.udf.CIQ(InputTicker, "IQ_NEGATIVE_GW_AMORT_CF",Input!I$2,Date,,,Ccy,Conv)</f>
        <v>0</v>
      </c>
      <c r="H248" s="4">
        <f>_xll.ciqfunctions.udf.CIQ(InputTicker, "IQ_NEGATIVE_GW_AMORT_CF",Input!J$2,Date,,,Ccy,Conv)</f>
        <v>0</v>
      </c>
      <c r="I248" s="4">
        <f>_xll.ciqfunctions.udf.CIQ(InputTicker, "IQ_NEGATIVE_GW_AMORT_CF",Input!K$2,Date,,,Ccy,Conv)</f>
        <v>0</v>
      </c>
      <c r="J248" s="4">
        <f>_xll.ciqfunctions.udf.CIQ(InputTicker, "IQ_NEGATIVE_GW_AMORT_CF",Input!L$2,Date,,,Ccy,Conv)</f>
        <v>0</v>
      </c>
      <c r="K248" s="4">
        <f>_xll.ciqfunctions.udf.CIQ(InputTicker, "IQ_NEGATIVE_GW_AMORT_CF",Input!M$2,Date,,,Ccy,Conv)</f>
        <v>0</v>
      </c>
      <c r="L248" s="4">
        <f>_xll.ciqfunctions.udf.CIQ(InputTicker, "IQ_NEGATIVE_GW_AMORT_CF",Input!N$2,Date,,,Ccy,Conv)</f>
        <v>0</v>
      </c>
      <c r="M248" s="4">
        <f>_xll.ciqfunctions.udf.CIQ(InputTicker, "IQ_NEGATIVE_GW_AMORT_CF",Input!O$2,Date,,,Ccy,Conv)</f>
        <v>0</v>
      </c>
      <c r="N248" s="49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  <c r="AK248" s="42"/>
      <c r="AL248" s="42"/>
      <c r="AM248" s="42"/>
      <c r="AN248" s="42"/>
      <c r="AO248" s="42"/>
      <c r="AP248" s="42"/>
      <c r="AQ248" s="42"/>
      <c r="AR248" s="42"/>
      <c r="AS248" s="42"/>
      <c r="AT248" s="42"/>
      <c r="AU248" s="42"/>
      <c r="AV248" s="42"/>
      <c r="AW248" s="42"/>
      <c r="AX248" s="42"/>
      <c r="AY248" s="42"/>
      <c r="AZ248" s="42"/>
      <c r="BA248" s="42"/>
      <c r="BB248" s="42"/>
      <c r="BC248" s="42"/>
      <c r="BD248" s="42"/>
      <c r="BE248" s="42"/>
      <c r="BF248" s="42"/>
      <c r="BG248" s="42"/>
      <c r="BH248" s="42"/>
      <c r="BI248" s="42"/>
      <c r="BJ248" s="42"/>
      <c r="BK248" s="42"/>
      <c r="BL248" s="42"/>
      <c r="BM248" s="42"/>
      <c r="BN248" s="42"/>
    </row>
    <row r="249" spans="1:66" ht="12.75" customHeight="1" x14ac:dyDescent="0.2">
      <c r="A249" s="1" t="s">
        <v>439</v>
      </c>
      <c r="B249" s="4">
        <f>_xll.ciqfunctions.udf.CIQ(InputTicker, "IQ_AMORT_DIC_CF",Input!D$2,Date,,,Ccy,Conv)</f>
        <v>0</v>
      </c>
      <c r="C249" s="4">
        <f>_xll.ciqfunctions.udf.CIQ(InputTicker, "IQ_AMORT_DIC_CF",Input!E$2,Date,,,Ccy,Conv)</f>
        <v>0</v>
      </c>
      <c r="D249" s="4">
        <f>_xll.ciqfunctions.udf.CIQ(InputTicker, "IQ_AMORT_DIC_CF",Input!F$2,Date,,,Ccy,Conv)</f>
        <v>0</v>
      </c>
      <c r="E249" s="4">
        <f>_xll.ciqfunctions.udf.CIQ(InputTicker, "IQ_AMORT_DIC_CF",Input!G$2,Date,,,Ccy,Conv)</f>
        <v>0</v>
      </c>
      <c r="F249" s="4">
        <f>_xll.ciqfunctions.udf.CIQ(InputTicker, "IQ_AMORT_DIC_CF",Input!H$2,Date,,,Ccy,Conv)</f>
        <v>0</v>
      </c>
      <c r="G249" s="4">
        <f>_xll.ciqfunctions.udf.CIQ(InputTicker, "IQ_AMORT_DIC_CF",Input!I$2,Date,,,Ccy,Conv)</f>
        <v>0</v>
      </c>
      <c r="H249" s="4">
        <f>_xll.ciqfunctions.udf.CIQ(InputTicker, "IQ_AMORT_DIC_CF",Input!J$2,Date,,,Ccy,Conv)</f>
        <v>0</v>
      </c>
      <c r="I249" s="4">
        <f>_xll.ciqfunctions.udf.CIQ(InputTicker, "IQ_AMORT_DIC_CF",Input!K$2,Date,,,Ccy,Conv)</f>
        <v>0</v>
      </c>
      <c r="J249" s="4">
        <f>_xll.ciqfunctions.udf.CIQ(InputTicker, "IQ_AMORT_DIC_CF",Input!L$2,Date,,,Ccy,Conv)</f>
        <v>0</v>
      </c>
      <c r="K249" s="4">
        <f>_xll.ciqfunctions.udf.CIQ(InputTicker, "IQ_AMORT_DIC_CF",Input!M$2,Date,,,Ccy,Conv)</f>
        <v>0</v>
      </c>
      <c r="L249" s="4">
        <f>_xll.ciqfunctions.udf.CIQ(InputTicker, "IQ_AMORT_DIC_CF",Input!N$2,Date,,,Ccy,Conv)</f>
        <v>0</v>
      </c>
      <c r="M249" s="4">
        <f>_xll.ciqfunctions.udf.CIQ(InputTicker, "IQ_AMORT_DIC_CF",Input!O$2,Date,,,Ccy,Conv)</f>
        <v>0</v>
      </c>
      <c r="N249" s="49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  <c r="AN249" s="42"/>
      <c r="AO249" s="42"/>
      <c r="AP249" s="42"/>
      <c r="AQ249" s="42"/>
      <c r="AR249" s="42"/>
      <c r="AS249" s="42"/>
      <c r="AT249" s="42"/>
      <c r="AU249" s="42"/>
      <c r="AV249" s="42"/>
      <c r="AW249" s="42"/>
      <c r="AX249" s="42"/>
      <c r="AY249" s="42"/>
      <c r="AZ249" s="42"/>
      <c r="BA249" s="42"/>
      <c r="BB249" s="42"/>
      <c r="BC249" s="42"/>
      <c r="BD249" s="42"/>
      <c r="BE249" s="42"/>
      <c r="BF249" s="42"/>
      <c r="BG249" s="42"/>
      <c r="BH249" s="42"/>
      <c r="BI249" s="42"/>
      <c r="BJ249" s="42"/>
      <c r="BK249" s="42"/>
      <c r="BL249" s="42"/>
      <c r="BM249" s="42"/>
      <c r="BN249" s="42"/>
    </row>
    <row r="250" spans="1:66" ht="12.75" customHeight="1" x14ac:dyDescent="0.2">
      <c r="A250" s="1" t="s">
        <v>440</v>
      </c>
      <c r="B250" s="4">
        <f>_xll.ciqfunctions.udf.CIQ(InputTicker, "IQ_AMORT_SOFTWARE_ASSETS_CF",Input!D$2,Date,,,Ccy,Conv)</f>
        <v>0</v>
      </c>
      <c r="C250" s="4">
        <f>_xll.ciqfunctions.udf.CIQ(InputTicker, "IQ_AMORT_SOFTWARE_ASSETS_CF",Input!E$2,Date,,,Ccy,Conv)</f>
        <v>0</v>
      </c>
      <c r="D250" s="4">
        <f>_xll.ciqfunctions.udf.CIQ(InputTicker, "IQ_AMORT_SOFTWARE_ASSETS_CF",Input!F$2,Date,,,Ccy,Conv)</f>
        <v>0</v>
      </c>
      <c r="E250" s="4">
        <f>_xll.ciqfunctions.udf.CIQ(InputTicker, "IQ_AMORT_SOFTWARE_ASSETS_CF",Input!G$2,Date,,,Ccy,Conv)</f>
        <v>0</v>
      </c>
      <c r="F250" s="4">
        <f>_xll.ciqfunctions.udf.CIQ(InputTicker, "IQ_AMORT_SOFTWARE_ASSETS_CF",Input!H$2,Date,,,Ccy,Conv)</f>
        <v>0</v>
      </c>
      <c r="G250" s="4">
        <f>_xll.ciqfunctions.udf.CIQ(InputTicker, "IQ_AMORT_SOFTWARE_ASSETS_CF",Input!I$2,Date,,,Ccy,Conv)</f>
        <v>0</v>
      </c>
      <c r="H250" s="4">
        <f>_xll.ciqfunctions.udf.CIQ(InputTicker, "IQ_AMORT_SOFTWARE_ASSETS_CF",Input!J$2,Date,,,Ccy,Conv)</f>
        <v>691</v>
      </c>
      <c r="I250" s="4">
        <f>_xll.ciqfunctions.udf.CIQ(InputTicker, "IQ_AMORT_SOFTWARE_ASSETS_CF",Input!K$2,Date,,,Ccy,Conv)</f>
        <v>648</v>
      </c>
      <c r="J250" s="4">
        <f>_xll.ciqfunctions.udf.CIQ(InputTicker, "IQ_AMORT_SOFTWARE_ASSETS_CF",Input!L$2,Date,,,Ccy,Conv)</f>
        <v>660</v>
      </c>
      <c r="K250" s="4">
        <f>_xll.ciqfunctions.udf.CIQ(InputTicker, "IQ_AMORT_SOFTWARE_ASSETS_CF",Input!M$2,Date,,,Ccy,Conv)</f>
        <v>669</v>
      </c>
      <c r="L250" s="4">
        <f>_xll.ciqfunctions.udf.CIQ(InputTicker, "IQ_AMORT_SOFTWARE_ASSETS_CF",Input!N$2,Date,,,Ccy,Conv)</f>
        <v>571</v>
      </c>
      <c r="M250" s="4">
        <f>_xll.ciqfunctions.udf.CIQ(InputTicker, "IQ_AMORT_SOFTWARE_ASSETS_CF",Input!O$2,Date,,,Ccy,Conv)</f>
        <v>571</v>
      </c>
      <c r="N250" s="49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  <c r="BA250" s="42"/>
      <c r="BB250" s="42"/>
      <c r="BC250" s="42"/>
      <c r="BD250" s="42"/>
      <c r="BE250" s="42"/>
      <c r="BF250" s="42"/>
      <c r="BG250" s="42"/>
      <c r="BH250" s="42"/>
      <c r="BI250" s="42"/>
      <c r="BJ250" s="42"/>
      <c r="BK250" s="42"/>
      <c r="BL250" s="42"/>
      <c r="BM250" s="42"/>
      <c r="BN250" s="42"/>
    </row>
    <row r="251" spans="1:66" ht="12.75" customHeight="1" x14ac:dyDescent="0.2">
      <c r="A251" s="1" t="s">
        <v>32</v>
      </c>
      <c r="B251" s="4">
        <f>_xll.ciqfunctions.udf.CIQ(InputTicker, "IQ_SALE_PROCEEDS_RENTAL_ASSETS",Input!D$2,Date,,,Ccy,Conv)</f>
        <v>0</v>
      </c>
      <c r="C251" s="4">
        <f>_xll.ciqfunctions.udf.CIQ(InputTicker, "IQ_SALE_PROCEEDS_RENTAL_ASSETS",Input!E$2,Date,,,Ccy,Conv)</f>
        <v>0</v>
      </c>
      <c r="D251" s="4">
        <f>_xll.ciqfunctions.udf.CIQ(InputTicker, "IQ_SALE_PROCEEDS_RENTAL_ASSETS",Input!F$2,Date,,,Ccy,Conv)</f>
        <v>0</v>
      </c>
      <c r="E251" s="4">
        <f>_xll.ciqfunctions.udf.CIQ(InputTicker, "IQ_SALE_PROCEEDS_RENTAL_ASSETS",Input!G$2,Date,,,Ccy,Conv)</f>
        <v>0</v>
      </c>
      <c r="F251" s="4">
        <f>_xll.ciqfunctions.udf.CIQ(InputTicker, "IQ_SALE_PROCEEDS_RENTAL_ASSETS",Input!H$2,Date,,,Ccy,Conv)</f>
        <v>0</v>
      </c>
      <c r="G251" s="4">
        <f>_xll.ciqfunctions.udf.CIQ(InputTicker, "IQ_SALE_PROCEEDS_RENTAL_ASSETS",Input!I$2,Date,,,Ccy,Conv)</f>
        <v>0</v>
      </c>
      <c r="H251" s="4">
        <f>_xll.ciqfunctions.udf.CIQ(InputTicker, "IQ_SALE_PROCEEDS_RENTAL_ASSETS",Input!J$2,Date,,,Ccy,Conv)</f>
        <v>0</v>
      </c>
      <c r="I251" s="4">
        <f>_xll.ciqfunctions.udf.CIQ(InputTicker, "IQ_SALE_PROCEEDS_RENTAL_ASSETS",Input!K$2,Date,,,Ccy,Conv)</f>
        <v>0</v>
      </c>
      <c r="J251" s="4">
        <f>_xll.ciqfunctions.udf.CIQ(InputTicker, "IQ_SALE_PROCEEDS_RENTAL_ASSETS",Input!L$2,Date,,,Ccy,Conv)</f>
        <v>0</v>
      </c>
      <c r="K251" s="4">
        <f>_xll.ciqfunctions.udf.CIQ(InputTicker, "IQ_SALE_PROCEEDS_RENTAL_ASSETS",Input!M$2,Date,,,Ccy,Conv)</f>
        <v>0</v>
      </c>
      <c r="L251" s="4">
        <f>_xll.ciqfunctions.udf.CIQ(InputTicker, "IQ_SALE_PROCEEDS_RENTAL_ASSETS",Input!N$2,Date,,,Ccy,Conv)</f>
        <v>0</v>
      </c>
      <c r="M251" s="4">
        <f>_xll.ciqfunctions.udf.CIQ(InputTicker, "IQ_SALE_PROCEEDS_RENTAL_ASSETS",Input!O$2,Date,,,Ccy,Conv)</f>
        <v>0</v>
      </c>
      <c r="N251" s="49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  <c r="AK251" s="42"/>
      <c r="AL251" s="42"/>
      <c r="AM251" s="42"/>
      <c r="AN251" s="42"/>
      <c r="AO251" s="42"/>
      <c r="AP251" s="42"/>
      <c r="AQ251" s="42"/>
      <c r="AR251" s="42"/>
      <c r="AS251" s="42"/>
      <c r="AT251" s="42"/>
      <c r="AU251" s="42"/>
      <c r="AV251" s="42"/>
      <c r="AW251" s="42"/>
      <c r="AX251" s="42"/>
      <c r="AY251" s="42"/>
      <c r="AZ251" s="42"/>
      <c r="BA251" s="42"/>
      <c r="BB251" s="42"/>
      <c r="BC251" s="42"/>
      <c r="BD251" s="42"/>
      <c r="BE251" s="42"/>
      <c r="BF251" s="42"/>
      <c r="BG251" s="42"/>
      <c r="BH251" s="42"/>
      <c r="BI251" s="42"/>
      <c r="BJ251" s="42"/>
      <c r="BK251" s="42"/>
      <c r="BL251" s="42"/>
      <c r="BM251" s="42"/>
      <c r="BN251" s="42"/>
    </row>
    <row r="252" spans="1:66" ht="12.75" customHeight="1" x14ac:dyDescent="0.2">
      <c r="A252" s="1" t="s">
        <v>48</v>
      </c>
      <c r="B252" s="4">
        <f>_xll.ciqfunctions.udf.CIQ(InputTicker, "IQ_CASH_INTEREST",Input!D$2,Date,,,Ccy,Conv)</f>
        <v>995</v>
      </c>
      <c r="C252" s="4">
        <f>_xll.ciqfunctions.udf.CIQ(InputTicker, "IQ_CASH_INTEREST",Input!E$2,Date,,,Ccy,Conv)</f>
        <v>1158</v>
      </c>
      <c r="D252" s="4">
        <f>_xll.ciqfunctions.udf.CIQ(InputTicker, "IQ_CASH_INTEREST",Input!F$2,Date,,,Ccy,Conv)</f>
        <v>1208</v>
      </c>
      <c r="E252" s="4">
        <f>_xll.ciqfunctions.udf.CIQ(InputTicker, "IQ_CASH_INTEREST",Input!G$2,Date,,,Ccy,Conv)</f>
        <v>1423</v>
      </c>
      <c r="F252" s="4">
        <f>_xll.ciqfunctions.udf.CIQ(InputTicker, "IQ_CASH_INTEREST",Input!H$2,Date,,,Ccy,Conv)</f>
        <v>1685</v>
      </c>
      <c r="G252" s="4">
        <f>_xll.ciqfunctions.udf.CIQ(InputTicker, "IQ_CASH_INTEREST",Input!I$2,Date,,,Ccy,Conv)</f>
        <v>1830</v>
      </c>
      <c r="H252" s="4">
        <f>_xll.ciqfunctions.udf.CIQ(InputTicker, "IQ_CASH_INTEREST",Input!J$2,Date,,,Ccy,Conv)</f>
        <v>1512</v>
      </c>
      <c r="I252" s="4">
        <f>_xll.ciqfunctions.udf.CIQ(InputTicker, "IQ_CASH_INTEREST",Input!K$2,Date,,,Ccy,Conv)</f>
        <v>1401</v>
      </c>
      <c r="J252" s="4">
        <f>_xll.ciqfunctions.udf.CIQ(InputTicker, "IQ_CASH_INTEREST",Input!L$2,Date,,,Ccy,Conv)</f>
        <v>1668</v>
      </c>
      <c r="K252" s="4">
        <f>_xll.ciqfunctions.udf.CIQ(InputTicker, "IQ_CASH_INTEREST",Input!M$2,Date,,,Ccy,Conv)</f>
        <v>1978</v>
      </c>
      <c r="L252" s="4">
        <f>_xll.ciqfunctions.udf.CIQ(InputTicker, "IQ_CASH_INTEREST",Input!N$2,Date,,,Ccy,Conv)</f>
        <v>2042</v>
      </c>
      <c r="M252" s="4">
        <f>_xll.ciqfunctions.udf.CIQ(InputTicker, "IQ_CASH_INTEREST",Input!O$2,Date,,,Ccy,Conv)</f>
        <v>2042</v>
      </c>
      <c r="N252" s="49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  <c r="AK252" s="42"/>
      <c r="AL252" s="42"/>
      <c r="AM252" s="42"/>
      <c r="AN252" s="42"/>
      <c r="AO252" s="42"/>
      <c r="AP252" s="42"/>
      <c r="AQ252" s="42"/>
      <c r="AR252" s="42"/>
      <c r="AS252" s="42"/>
      <c r="AT252" s="42"/>
      <c r="AU252" s="42"/>
      <c r="AV252" s="42"/>
      <c r="AW252" s="42"/>
      <c r="AX252" s="42"/>
      <c r="AY252" s="42"/>
      <c r="AZ252" s="42"/>
      <c r="BA252" s="42"/>
      <c r="BB252" s="42"/>
      <c r="BC252" s="42"/>
      <c r="BD252" s="42"/>
      <c r="BE252" s="42"/>
      <c r="BF252" s="42"/>
      <c r="BG252" s="42"/>
      <c r="BH252" s="42"/>
      <c r="BI252" s="42"/>
      <c r="BJ252" s="42"/>
      <c r="BK252" s="42"/>
      <c r="BL252" s="42"/>
      <c r="BM252" s="42"/>
      <c r="BN252" s="42"/>
    </row>
    <row r="253" spans="1:66" ht="12.75" customHeight="1" x14ac:dyDescent="0.2">
      <c r="A253" s="1" t="s">
        <v>409</v>
      </c>
      <c r="B253" s="4">
        <f>_xll.ciqfunctions.udf.CIQ(InputTicker, "IQ_CASH_INTEREST_NET",Input!D$2,Date,,,Ccy,Conv)</f>
        <v>0</v>
      </c>
      <c r="C253" s="4">
        <f>_xll.ciqfunctions.udf.CIQ(InputTicker, "IQ_CASH_INTEREST_NET",Input!E$2,Date,,,Ccy,Conv)</f>
        <v>0</v>
      </c>
      <c r="D253" s="4">
        <f>_xll.ciqfunctions.udf.CIQ(InputTicker, "IQ_CASH_INTEREST_NET",Input!F$2,Date,,,Ccy,Conv)</f>
        <v>0</v>
      </c>
      <c r="E253" s="4">
        <f>_xll.ciqfunctions.udf.CIQ(InputTicker, "IQ_CASH_INTEREST_NET",Input!G$2,Date,,,Ccy,Conv)</f>
        <v>0</v>
      </c>
      <c r="F253" s="4">
        <f>_xll.ciqfunctions.udf.CIQ(InputTicker, "IQ_CASH_INTEREST_NET",Input!H$2,Date,,,Ccy,Conv)</f>
        <v>0</v>
      </c>
      <c r="G253" s="4">
        <f>_xll.ciqfunctions.udf.CIQ(InputTicker, "IQ_CASH_INTEREST_NET",Input!I$2,Date,,,Ccy,Conv)</f>
        <v>0</v>
      </c>
      <c r="H253" s="4">
        <f>_xll.ciqfunctions.udf.CIQ(InputTicker, "IQ_CASH_INTEREST_NET",Input!J$2,Date,,,Ccy,Conv)</f>
        <v>0</v>
      </c>
      <c r="I253" s="4">
        <f>_xll.ciqfunctions.udf.CIQ(InputTicker, "IQ_CASH_INTEREST_NET",Input!K$2,Date,,,Ccy,Conv)</f>
        <v>0</v>
      </c>
      <c r="J253" s="4">
        <f>_xll.ciqfunctions.udf.CIQ(InputTicker, "IQ_CASH_INTEREST_NET",Input!L$2,Date,,,Ccy,Conv)</f>
        <v>0</v>
      </c>
      <c r="K253" s="4">
        <f>_xll.ciqfunctions.udf.CIQ(InputTicker, "IQ_CASH_INTEREST_NET",Input!M$2,Date,,,Ccy,Conv)</f>
        <v>0</v>
      </c>
      <c r="L253" s="4">
        <f>_xll.ciqfunctions.udf.CIQ(InputTicker, "IQ_CASH_INTEREST_NET",Input!N$2,Date,,,Ccy,Conv)</f>
        <v>0</v>
      </c>
      <c r="M253" s="4">
        <f>_xll.ciqfunctions.udf.CIQ(InputTicker, "IQ_CASH_INTEREST_NET",Input!O$2,Date,,,Ccy,Conv)</f>
        <v>0</v>
      </c>
      <c r="N253" s="49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  <c r="BA253" s="42"/>
      <c r="BB253" s="42"/>
      <c r="BC253" s="42"/>
      <c r="BD253" s="42"/>
      <c r="BE253" s="42"/>
      <c r="BF253" s="42"/>
      <c r="BG253" s="42"/>
      <c r="BH253" s="42"/>
      <c r="BI253" s="42"/>
      <c r="BJ253" s="42"/>
      <c r="BK253" s="42"/>
      <c r="BL253" s="42"/>
      <c r="BM253" s="42"/>
      <c r="BN253" s="42"/>
    </row>
    <row r="254" spans="1:66" ht="12.75" customHeight="1" x14ac:dyDescent="0.2">
      <c r="A254" s="1" t="s">
        <v>507</v>
      </c>
      <c r="B254" s="4">
        <f>_xll.ciqfunctions.udf.CIQ(InputTicker, "IQ_CASH_INTEREST_RECEIVED",Input!D$2,Date,,,Ccy,Conv)</f>
        <v>0</v>
      </c>
      <c r="C254" s="4">
        <f>_xll.ciqfunctions.udf.CIQ(InputTicker, "IQ_CASH_INTEREST_RECEIVED",Input!E$2,Date,,,Ccy,Conv)</f>
        <v>0</v>
      </c>
      <c r="D254" s="4">
        <f>_xll.ciqfunctions.udf.CIQ(InputTicker, "IQ_CASH_INTEREST_RECEIVED",Input!F$2,Date,,,Ccy,Conv)</f>
        <v>0</v>
      </c>
      <c r="E254" s="4">
        <f>_xll.ciqfunctions.udf.CIQ(InputTicker, "IQ_CASH_INTEREST_RECEIVED",Input!G$2,Date,,,Ccy,Conv)</f>
        <v>0</v>
      </c>
      <c r="F254" s="4">
        <f>_xll.ciqfunctions.udf.CIQ(InputTicker, "IQ_CASH_INTEREST_RECEIVED",Input!H$2,Date,,,Ccy,Conv)</f>
        <v>0</v>
      </c>
      <c r="G254" s="4">
        <f>_xll.ciqfunctions.udf.CIQ(InputTicker, "IQ_CASH_INTEREST_RECEIVED",Input!I$2,Date,,,Ccy,Conv)</f>
        <v>0</v>
      </c>
      <c r="H254" s="4">
        <f>_xll.ciqfunctions.udf.CIQ(InputTicker, "IQ_CASH_INTEREST_RECEIVED",Input!J$2,Date,,,Ccy,Conv)</f>
        <v>0</v>
      </c>
      <c r="I254" s="4">
        <f>_xll.ciqfunctions.udf.CIQ(InputTicker, "IQ_CASH_INTEREST_RECEIVED",Input!K$2,Date,,,Ccy,Conv)</f>
        <v>0</v>
      </c>
      <c r="J254" s="4">
        <f>_xll.ciqfunctions.udf.CIQ(InputTicker, "IQ_CASH_INTEREST_RECEIVED",Input!L$2,Date,,,Ccy,Conv)</f>
        <v>0</v>
      </c>
      <c r="K254" s="4">
        <f>_xll.ciqfunctions.udf.CIQ(InputTicker, "IQ_CASH_INTEREST_RECEIVED",Input!M$2,Date,,,Ccy,Conv)</f>
        <v>0</v>
      </c>
      <c r="L254" s="4">
        <f>_xll.ciqfunctions.udf.CIQ(InputTicker, "IQ_CASH_INTEREST_RECEIVED",Input!N$2,Date,,,Ccy,Conv)</f>
        <v>0</v>
      </c>
      <c r="M254" s="4">
        <f>_xll.ciqfunctions.udf.CIQ(InputTicker, "IQ_CASH_INTEREST_RECEIVED",Input!O$2,Date,,,Ccy,Conv)</f>
        <v>0</v>
      </c>
      <c r="N254" s="49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  <c r="AN254" s="42"/>
      <c r="AO254" s="42"/>
      <c r="AP254" s="42"/>
      <c r="AQ254" s="42"/>
      <c r="AR254" s="42"/>
      <c r="AS254" s="42"/>
      <c r="AT254" s="42"/>
      <c r="AU254" s="42"/>
      <c r="AV254" s="42"/>
      <c r="AW254" s="42"/>
      <c r="AX254" s="42"/>
      <c r="AY254" s="42"/>
      <c r="AZ254" s="42"/>
      <c r="BA254" s="42"/>
      <c r="BB254" s="42"/>
      <c r="BC254" s="42"/>
      <c r="BD254" s="42"/>
      <c r="BE254" s="42"/>
      <c r="BF254" s="42"/>
      <c r="BG254" s="42"/>
      <c r="BH254" s="42"/>
      <c r="BI254" s="42"/>
      <c r="BJ254" s="42"/>
      <c r="BK254" s="42"/>
      <c r="BL254" s="42"/>
      <c r="BM254" s="42"/>
      <c r="BN254" s="42"/>
    </row>
    <row r="255" spans="1:66" ht="12.75" customHeight="1" x14ac:dyDescent="0.2">
      <c r="A255" s="1" t="s">
        <v>381</v>
      </c>
      <c r="B255" s="4">
        <f>_xll.ciqfunctions.udf.CIQ(InputTicker, "IQ_CASH_INTEREST_OPER",Input!D$2,Date,,,Ccy,Conv)</f>
        <v>0</v>
      </c>
      <c r="C255" s="4">
        <f>_xll.ciqfunctions.udf.CIQ(InputTicker, "IQ_CASH_INTEREST_OPER",Input!E$2,Date,,,Ccy,Conv)</f>
        <v>0</v>
      </c>
      <c r="D255" s="4">
        <f>_xll.ciqfunctions.udf.CIQ(InputTicker, "IQ_CASH_INTEREST_OPER",Input!F$2,Date,,,Ccy,Conv)</f>
        <v>0</v>
      </c>
      <c r="E255" s="4">
        <f>_xll.ciqfunctions.udf.CIQ(InputTicker, "IQ_CASH_INTEREST_OPER",Input!G$2,Date,,,Ccy,Conv)</f>
        <v>0</v>
      </c>
      <c r="F255" s="4">
        <f>_xll.ciqfunctions.udf.CIQ(InputTicker, "IQ_CASH_INTEREST_OPER",Input!H$2,Date,,,Ccy,Conv)</f>
        <v>0</v>
      </c>
      <c r="G255" s="4">
        <f>_xll.ciqfunctions.udf.CIQ(InputTicker, "IQ_CASH_INTEREST_OPER",Input!I$2,Date,,,Ccy,Conv)</f>
        <v>0</v>
      </c>
      <c r="H255" s="4">
        <f>_xll.ciqfunctions.udf.CIQ(InputTicker, "IQ_CASH_INTEREST_OPER",Input!J$2,Date,,,Ccy,Conv)</f>
        <v>0</v>
      </c>
      <c r="I255" s="4">
        <f>_xll.ciqfunctions.udf.CIQ(InputTicker, "IQ_CASH_INTEREST_OPER",Input!K$2,Date,,,Ccy,Conv)</f>
        <v>0</v>
      </c>
      <c r="J255" s="4">
        <f>_xll.ciqfunctions.udf.CIQ(InputTicker, "IQ_CASH_INTEREST_OPER",Input!L$2,Date,,,Ccy,Conv)</f>
        <v>0</v>
      </c>
      <c r="K255" s="4">
        <f>_xll.ciqfunctions.udf.CIQ(InputTicker, "IQ_CASH_INTEREST_OPER",Input!M$2,Date,,,Ccy,Conv)</f>
        <v>0</v>
      </c>
      <c r="L255" s="4">
        <f>_xll.ciqfunctions.udf.CIQ(InputTicker, "IQ_CASH_INTEREST_OPER",Input!N$2,Date,,,Ccy,Conv)</f>
        <v>0</v>
      </c>
      <c r="M255" s="4">
        <f>_xll.ciqfunctions.udf.CIQ(InputTicker, "IQ_CASH_INTEREST_OPER",Input!O$2,Date,,,Ccy,Conv)</f>
        <v>0</v>
      </c>
      <c r="N255" s="49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  <c r="AK255" s="42"/>
      <c r="AL255" s="42"/>
      <c r="AM255" s="42"/>
      <c r="AN255" s="42"/>
      <c r="AO255" s="42"/>
      <c r="AP255" s="42"/>
      <c r="AQ255" s="42"/>
      <c r="AR255" s="42"/>
      <c r="AS255" s="42"/>
      <c r="AT255" s="42"/>
      <c r="AU255" s="42"/>
      <c r="AV255" s="42"/>
      <c r="AW255" s="42"/>
      <c r="AX255" s="42"/>
      <c r="AY255" s="42"/>
      <c r="AZ255" s="42"/>
      <c r="BA255" s="42"/>
      <c r="BB255" s="42"/>
      <c r="BC255" s="42"/>
      <c r="BD255" s="42"/>
      <c r="BE255" s="42"/>
      <c r="BF255" s="42"/>
      <c r="BG255" s="42"/>
      <c r="BH255" s="42"/>
      <c r="BI255" s="42"/>
      <c r="BJ255" s="42"/>
      <c r="BK255" s="42"/>
      <c r="BL255" s="42"/>
      <c r="BM255" s="42"/>
      <c r="BN255" s="42"/>
    </row>
    <row r="256" spans="1:66" ht="12.75" customHeight="1" x14ac:dyDescent="0.2">
      <c r="A256" s="1" t="s">
        <v>382</v>
      </c>
      <c r="B256" s="4">
        <f>_xll.ciqfunctions.udf.CIQ(InputTicker, "IQ_CASH_INTEREST_INVEST",Input!D$2,Date,,,Ccy,Conv)</f>
        <v>0</v>
      </c>
      <c r="C256" s="4">
        <f>_xll.ciqfunctions.udf.CIQ(InputTicker, "IQ_CASH_INTEREST_INVEST",Input!E$2,Date,,,Ccy,Conv)</f>
        <v>0</v>
      </c>
      <c r="D256" s="4">
        <f>_xll.ciqfunctions.udf.CIQ(InputTicker, "IQ_CASH_INTEREST_INVEST",Input!F$2,Date,,,Ccy,Conv)</f>
        <v>0</v>
      </c>
      <c r="E256" s="4">
        <f>_xll.ciqfunctions.udf.CIQ(InputTicker, "IQ_CASH_INTEREST_INVEST",Input!G$2,Date,,,Ccy,Conv)</f>
        <v>0</v>
      </c>
      <c r="F256" s="4">
        <f>_xll.ciqfunctions.udf.CIQ(InputTicker, "IQ_CASH_INTEREST_INVEST",Input!H$2,Date,,,Ccy,Conv)</f>
        <v>0</v>
      </c>
      <c r="G256" s="4">
        <f>_xll.ciqfunctions.udf.CIQ(InputTicker, "IQ_CASH_INTEREST_INVEST",Input!I$2,Date,,,Ccy,Conv)</f>
        <v>0</v>
      </c>
      <c r="H256" s="4">
        <f>_xll.ciqfunctions.udf.CIQ(InputTicker, "IQ_CASH_INTEREST_INVEST",Input!J$2,Date,,,Ccy,Conv)</f>
        <v>0</v>
      </c>
      <c r="I256" s="4">
        <f>_xll.ciqfunctions.udf.CIQ(InputTicker, "IQ_CASH_INTEREST_INVEST",Input!K$2,Date,,,Ccy,Conv)</f>
        <v>0</v>
      </c>
      <c r="J256" s="4">
        <f>_xll.ciqfunctions.udf.CIQ(InputTicker, "IQ_CASH_INTEREST_INVEST",Input!L$2,Date,,,Ccy,Conv)</f>
        <v>0</v>
      </c>
      <c r="K256" s="4">
        <f>_xll.ciqfunctions.udf.CIQ(InputTicker, "IQ_CASH_INTEREST_INVEST",Input!M$2,Date,,,Ccy,Conv)</f>
        <v>0</v>
      </c>
      <c r="L256" s="4">
        <f>_xll.ciqfunctions.udf.CIQ(InputTicker, "IQ_CASH_INTEREST_INVEST",Input!N$2,Date,,,Ccy,Conv)</f>
        <v>0</v>
      </c>
      <c r="M256" s="4">
        <f>_xll.ciqfunctions.udf.CIQ(InputTicker, "IQ_CASH_INTEREST_INVEST",Input!O$2,Date,,,Ccy,Conv)</f>
        <v>0</v>
      </c>
      <c r="N256" s="49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  <c r="BA256" s="42"/>
      <c r="BB256" s="42"/>
      <c r="BC256" s="42"/>
      <c r="BD256" s="42"/>
      <c r="BE256" s="42"/>
      <c r="BF256" s="42"/>
      <c r="BG256" s="42"/>
      <c r="BH256" s="42"/>
      <c r="BI256" s="42"/>
      <c r="BJ256" s="42"/>
      <c r="BK256" s="42"/>
      <c r="BL256" s="42"/>
      <c r="BM256" s="42"/>
      <c r="BN256" s="42"/>
    </row>
    <row r="257" spans="1:66" ht="12.75" customHeight="1" x14ac:dyDescent="0.2">
      <c r="A257" s="1" t="s">
        <v>383</v>
      </c>
      <c r="B257" s="4">
        <f>_xll.ciqfunctions.udf.CIQ(InputTicker, "IQ_CASH_INTEREST_FINAN",Input!D$2,Date,,,Ccy,Conv)</f>
        <v>0</v>
      </c>
      <c r="C257" s="4">
        <f>_xll.ciqfunctions.udf.CIQ(InputTicker, "IQ_CASH_INTEREST_FINAN",Input!E$2,Date,,,Ccy,Conv)</f>
        <v>0</v>
      </c>
      <c r="D257" s="4">
        <f>_xll.ciqfunctions.udf.CIQ(InputTicker, "IQ_CASH_INTEREST_FINAN",Input!F$2,Date,,,Ccy,Conv)</f>
        <v>0</v>
      </c>
      <c r="E257" s="4">
        <f>_xll.ciqfunctions.udf.CIQ(InputTicker, "IQ_CASH_INTEREST_FINAN",Input!G$2,Date,,,Ccy,Conv)</f>
        <v>0</v>
      </c>
      <c r="F257" s="4">
        <f>_xll.ciqfunctions.udf.CIQ(InputTicker, "IQ_CASH_INTEREST_FINAN",Input!H$2,Date,,,Ccy,Conv)</f>
        <v>0</v>
      </c>
      <c r="G257" s="4">
        <f>_xll.ciqfunctions.udf.CIQ(InputTicker, "IQ_CASH_INTEREST_FINAN",Input!I$2,Date,,,Ccy,Conv)</f>
        <v>0</v>
      </c>
      <c r="H257" s="4">
        <f>_xll.ciqfunctions.udf.CIQ(InputTicker, "IQ_CASH_INTEREST_FINAN",Input!J$2,Date,,,Ccy,Conv)</f>
        <v>0</v>
      </c>
      <c r="I257" s="4">
        <f>_xll.ciqfunctions.udf.CIQ(InputTicker, "IQ_CASH_INTEREST_FINAN",Input!K$2,Date,,,Ccy,Conv)</f>
        <v>0</v>
      </c>
      <c r="J257" s="4">
        <f>_xll.ciqfunctions.udf.CIQ(InputTicker, "IQ_CASH_INTEREST_FINAN",Input!L$2,Date,,,Ccy,Conv)</f>
        <v>0</v>
      </c>
      <c r="K257" s="4">
        <f>_xll.ciqfunctions.udf.CIQ(InputTicker, "IQ_CASH_INTEREST_FINAN",Input!M$2,Date,,,Ccy,Conv)</f>
        <v>0</v>
      </c>
      <c r="L257" s="4">
        <f>_xll.ciqfunctions.udf.CIQ(InputTicker, "IQ_CASH_INTEREST_FINAN",Input!N$2,Date,,,Ccy,Conv)</f>
        <v>0</v>
      </c>
      <c r="M257" s="4">
        <f>_xll.ciqfunctions.udf.CIQ(InputTicker, "IQ_CASH_INTEREST_FINAN",Input!O$2,Date,,,Ccy,Conv)</f>
        <v>0</v>
      </c>
      <c r="N257" s="49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  <c r="AK257" s="42"/>
      <c r="AL257" s="42"/>
      <c r="AM257" s="42"/>
      <c r="AN257" s="42"/>
      <c r="AO257" s="42"/>
      <c r="AP257" s="42"/>
      <c r="AQ257" s="42"/>
      <c r="AR257" s="42"/>
      <c r="AS257" s="42"/>
      <c r="AT257" s="42"/>
      <c r="AU257" s="42"/>
      <c r="AV257" s="42"/>
      <c r="AW257" s="42"/>
      <c r="AX257" s="42"/>
      <c r="AY257" s="42"/>
      <c r="AZ257" s="42"/>
      <c r="BA257" s="42"/>
      <c r="BB257" s="42"/>
      <c r="BC257" s="42"/>
      <c r="BD257" s="42"/>
      <c r="BE257" s="42"/>
      <c r="BF257" s="42"/>
      <c r="BG257" s="42"/>
      <c r="BH257" s="42"/>
      <c r="BI257" s="42"/>
      <c r="BJ257" s="42"/>
      <c r="BK257" s="42"/>
      <c r="BL257" s="42"/>
      <c r="BM257" s="42"/>
      <c r="BN257" s="42"/>
    </row>
    <row r="258" spans="1:66" ht="12.75" customHeight="1" x14ac:dyDescent="0.2">
      <c r="A258" s="1" t="s">
        <v>49</v>
      </c>
      <c r="B258" s="4">
        <f>_xll.ciqfunctions.udf.CIQ(InputTicker, "IQ_CASH_TAXES",Input!D$2,Date,,,Ccy,Conv)</f>
        <v>2657</v>
      </c>
      <c r="C258" s="4">
        <f>_xll.ciqfunctions.udf.CIQ(InputTicker, "IQ_CASH_TAXES",Input!E$2,Date,,,Ccy,Conv)</f>
        <v>1078</v>
      </c>
      <c r="D258" s="4">
        <f>_xll.ciqfunctions.udf.CIQ(InputTicker, "IQ_CASH_TAXES",Input!F$2,Date,,,Ccy,Conv)</f>
        <v>1597</v>
      </c>
      <c r="E258" s="4">
        <f>_xll.ciqfunctions.udf.CIQ(InputTicker, "IQ_CASH_TAXES",Input!G$2,Date,,,Ccy,Conv)</f>
        <v>1745</v>
      </c>
      <c r="F258" s="4">
        <f>_xll.ciqfunctions.udf.CIQ(InputTicker, "IQ_CASH_TAXES",Input!H$2,Date,,,Ccy,Conv)</f>
        <v>2091</v>
      </c>
      <c r="G258" s="4">
        <f>_xll.ciqfunctions.udf.CIQ(InputTicker, "IQ_CASH_TAXES",Input!I$2,Date,,,Ccy,Conv)</f>
        <v>2253</v>
      </c>
      <c r="H258" s="4">
        <f>_xll.ciqfunctions.udf.CIQ(InputTicker, "IQ_CASH_TAXES",Input!J$2,Date,,,Ccy,Conv)</f>
        <v>2103</v>
      </c>
      <c r="I258" s="4">
        <f>_xll.ciqfunctions.udf.CIQ(InputTicker, "IQ_CASH_TAXES",Input!K$2,Date,,,Ccy,Conv)</f>
        <v>1865</v>
      </c>
      <c r="J258" s="4">
        <f>_xll.ciqfunctions.udf.CIQ(InputTicker, "IQ_CASH_TAXES",Input!L$2,Date,,,Ccy,Conv)</f>
        <v>1564</v>
      </c>
      <c r="K258" s="4">
        <f>_xll.ciqfunctions.udf.CIQ(InputTicker, "IQ_CASH_TAXES",Input!M$2,Date,,,Ccy,Conv)</f>
        <v>1723</v>
      </c>
      <c r="L258" s="4">
        <f>_xll.ciqfunctions.udf.CIQ(InputTicker, "IQ_CASH_TAXES",Input!N$2,Date,,,Ccy,Conv)</f>
        <v>1948</v>
      </c>
      <c r="M258" s="4">
        <f>_xll.ciqfunctions.udf.CIQ(InputTicker, "IQ_CASH_TAXES",Input!O$2,Date,,,Ccy,Conv)</f>
        <v>1948</v>
      </c>
      <c r="N258" s="49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42"/>
      <c r="AN258" s="42"/>
      <c r="AO258" s="42"/>
      <c r="AP258" s="42"/>
      <c r="AQ258" s="42"/>
      <c r="AR258" s="42"/>
      <c r="AS258" s="42"/>
      <c r="AT258" s="42"/>
      <c r="AU258" s="42"/>
      <c r="AV258" s="42"/>
      <c r="AW258" s="42"/>
      <c r="AX258" s="42"/>
      <c r="AY258" s="42"/>
      <c r="AZ258" s="42"/>
      <c r="BA258" s="42"/>
      <c r="BB258" s="42"/>
      <c r="BC258" s="42"/>
      <c r="BD258" s="42"/>
      <c r="BE258" s="42"/>
      <c r="BF258" s="42"/>
      <c r="BG258" s="42"/>
      <c r="BH258" s="42"/>
      <c r="BI258" s="42"/>
      <c r="BJ258" s="42"/>
      <c r="BK258" s="42"/>
      <c r="BL258" s="42"/>
      <c r="BM258" s="42"/>
      <c r="BN258" s="42"/>
    </row>
    <row r="259" spans="1:66" ht="12.75" customHeight="1" x14ac:dyDescent="0.2">
      <c r="A259" s="1" t="s">
        <v>384</v>
      </c>
      <c r="B259" s="4">
        <f>_xll.ciqfunctions.udf.CIQ(InputTicker, "IQ_CASH_TAXES_OPER",Input!D$2,Date,,,Ccy,Conv)</f>
        <v>0</v>
      </c>
      <c r="C259" s="4">
        <f>_xll.ciqfunctions.udf.CIQ(InputTicker, "IQ_CASH_TAXES_OPER",Input!E$2,Date,,,Ccy,Conv)</f>
        <v>0</v>
      </c>
      <c r="D259" s="4">
        <f>_xll.ciqfunctions.udf.CIQ(InputTicker, "IQ_CASH_TAXES_OPER",Input!F$2,Date,,,Ccy,Conv)</f>
        <v>0</v>
      </c>
      <c r="E259" s="4">
        <f>_xll.ciqfunctions.udf.CIQ(InputTicker, "IQ_CASH_TAXES_OPER",Input!G$2,Date,,,Ccy,Conv)</f>
        <v>0</v>
      </c>
      <c r="F259" s="4">
        <f>_xll.ciqfunctions.udf.CIQ(InputTicker, "IQ_CASH_TAXES_OPER",Input!H$2,Date,,,Ccy,Conv)</f>
        <v>0</v>
      </c>
      <c r="G259" s="4">
        <f>_xll.ciqfunctions.udf.CIQ(InputTicker, "IQ_CASH_TAXES_OPER",Input!I$2,Date,,,Ccy,Conv)</f>
        <v>0</v>
      </c>
      <c r="H259" s="4">
        <f>_xll.ciqfunctions.udf.CIQ(InputTicker, "IQ_CASH_TAXES_OPER",Input!J$2,Date,,,Ccy,Conv)</f>
        <v>0</v>
      </c>
      <c r="I259" s="4">
        <f>_xll.ciqfunctions.udf.CIQ(InputTicker, "IQ_CASH_TAXES_OPER",Input!K$2,Date,,,Ccy,Conv)</f>
        <v>0</v>
      </c>
      <c r="J259" s="4">
        <f>_xll.ciqfunctions.udf.CIQ(InputTicker, "IQ_CASH_TAXES_OPER",Input!L$2,Date,,,Ccy,Conv)</f>
        <v>0</v>
      </c>
      <c r="K259" s="4">
        <f>_xll.ciqfunctions.udf.CIQ(InputTicker, "IQ_CASH_TAXES_OPER",Input!M$2,Date,,,Ccy,Conv)</f>
        <v>0</v>
      </c>
      <c r="L259" s="4">
        <f>_xll.ciqfunctions.udf.CIQ(InputTicker, "IQ_CASH_TAXES_OPER",Input!N$2,Date,,,Ccy,Conv)</f>
        <v>0</v>
      </c>
      <c r="M259" s="4">
        <f>_xll.ciqfunctions.udf.CIQ(InputTicker, "IQ_CASH_TAXES_OPER",Input!O$2,Date,,,Ccy,Conv)</f>
        <v>0</v>
      </c>
      <c r="N259" s="49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  <c r="AK259" s="42"/>
      <c r="AL259" s="42"/>
      <c r="AM259" s="42"/>
      <c r="AN259" s="42"/>
      <c r="AO259" s="42"/>
      <c r="AP259" s="42"/>
      <c r="AQ259" s="42"/>
      <c r="AR259" s="42"/>
      <c r="AS259" s="42"/>
      <c r="AT259" s="42"/>
      <c r="AU259" s="42"/>
      <c r="AV259" s="42"/>
      <c r="AW259" s="42"/>
      <c r="AX259" s="42"/>
      <c r="AY259" s="42"/>
      <c r="AZ259" s="42"/>
      <c r="BA259" s="42"/>
      <c r="BB259" s="42"/>
      <c r="BC259" s="42"/>
      <c r="BD259" s="42"/>
      <c r="BE259" s="42"/>
      <c r="BF259" s="42"/>
      <c r="BG259" s="42"/>
      <c r="BH259" s="42"/>
      <c r="BI259" s="42"/>
      <c r="BJ259" s="42"/>
      <c r="BK259" s="42"/>
      <c r="BL259" s="42"/>
      <c r="BM259" s="42"/>
      <c r="BN259" s="42"/>
    </row>
    <row r="260" spans="1:66" ht="12.75" customHeight="1" x14ac:dyDescent="0.2">
      <c r="A260" s="1" t="s">
        <v>385</v>
      </c>
      <c r="B260" s="4">
        <f>_xll.ciqfunctions.udf.CIQ(InputTicker, "IQ_CASH_TAXES_INVEST",Input!D$2,Date,,,Ccy,Conv)</f>
        <v>0</v>
      </c>
      <c r="C260" s="4">
        <f>_xll.ciqfunctions.udf.CIQ(InputTicker, "IQ_CASH_TAXES_INVEST",Input!E$2,Date,,,Ccy,Conv)</f>
        <v>0</v>
      </c>
      <c r="D260" s="4">
        <f>_xll.ciqfunctions.udf.CIQ(InputTicker, "IQ_CASH_TAXES_INVEST",Input!F$2,Date,,,Ccy,Conv)</f>
        <v>0</v>
      </c>
      <c r="E260" s="4">
        <f>_xll.ciqfunctions.udf.CIQ(InputTicker, "IQ_CASH_TAXES_INVEST",Input!G$2,Date,,,Ccy,Conv)</f>
        <v>0</v>
      </c>
      <c r="F260" s="4">
        <f>_xll.ciqfunctions.udf.CIQ(InputTicker, "IQ_CASH_TAXES_INVEST",Input!H$2,Date,,,Ccy,Conv)</f>
        <v>0</v>
      </c>
      <c r="G260" s="4">
        <f>_xll.ciqfunctions.udf.CIQ(InputTicker, "IQ_CASH_TAXES_INVEST",Input!I$2,Date,,,Ccy,Conv)</f>
        <v>0</v>
      </c>
      <c r="H260" s="4">
        <f>_xll.ciqfunctions.udf.CIQ(InputTicker, "IQ_CASH_TAXES_INVEST",Input!J$2,Date,,,Ccy,Conv)</f>
        <v>0</v>
      </c>
      <c r="I260" s="4">
        <f>_xll.ciqfunctions.udf.CIQ(InputTicker, "IQ_CASH_TAXES_INVEST",Input!K$2,Date,,,Ccy,Conv)</f>
        <v>0</v>
      </c>
      <c r="J260" s="4">
        <f>_xll.ciqfunctions.udf.CIQ(InputTicker, "IQ_CASH_TAXES_INVEST",Input!L$2,Date,,,Ccy,Conv)</f>
        <v>0</v>
      </c>
      <c r="K260" s="4">
        <f>_xll.ciqfunctions.udf.CIQ(InputTicker, "IQ_CASH_TAXES_INVEST",Input!M$2,Date,,,Ccy,Conv)</f>
        <v>0</v>
      </c>
      <c r="L260" s="4">
        <f>_xll.ciqfunctions.udf.CIQ(InputTicker, "IQ_CASH_TAXES_INVEST",Input!N$2,Date,,,Ccy,Conv)</f>
        <v>0</v>
      </c>
      <c r="M260" s="4">
        <f>_xll.ciqfunctions.udf.CIQ(InputTicker, "IQ_CASH_TAXES_INVEST",Input!O$2,Date,,,Ccy,Conv)</f>
        <v>0</v>
      </c>
      <c r="N260" s="49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  <c r="AK260" s="42"/>
      <c r="AL260" s="42"/>
      <c r="AM260" s="42"/>
      <c r="AN260" s="42"/>
      <c r="AO260" s="42"/>
      <c r="AP260" s="42"/>
      <c r="AQ260" s="42"/>
      <c r="AR260" s="42"/>
      <c r="AS260" s="42"/>
      <c r="AT260" s="42"/>
      <c r="AU260" s="42"/>
      <c r="AV260" s="42"/>
      <c r="AW260" s="42"/>
      <c r="AX260" s="42"/>
      <c r="AY260" s="42"/>
      <c r="AZ260" s="42"/>
      <c r="BA260" s="42"/>
      <c r="BB260" s="42"/>
      <c r="BC260" s="42"/>
      <c r="BD260" s="42"/>
      <c r="BE260" s="42"/>
      <c r="BF260" s="42"/>
      <c r="BG260" s="42"/>
      <c r="BH260" s="42"/>
      <c r="BI260" s="42"/>
      <c r="BJ260" s="42"/>
      <c r="BK260" s="42"/>
      <c r="BL260" s="42"/>
      <c r="BM260" s="42"/>
      <c r="BN260" s="42"/>
    </row>
    <row r="261" spans="1:66" ht="12.75" customHeight="1" x14ac:dyDescent="0.2">
      <c r="A261" s="1" t="s">
        <v>386</v>
      </c>
      <c r="B261" s="4">
        <f>_xll.ciqfunctions.udf.CIQ(InputTicker, "IQ_CASH_TAXES_FINAN",Input!D$2,Date,,,Ccy,Conv)</f>
        <v>0</v>
      </c>
      <c r="C261" s="4">
        <f>_xll.ciqfunctions.udf.CIQ(InputTicker, "IQ_CASH_TAXES_FINAN",Input!E$2,Date,,,Ccy,Conv)</f>
        <v>0</v>
      </c>
      <c r="D261" s="4">
        <f>_xll.ciqfunctions.udf.CIQ(InputTicker, "IQ_CASH_TAXES_FINAN",Input!F$2,Date,,,Ccy,Conv)</f>
        <v>0</v>
      </c>
      <c r="E261" s="4">
        <f>_xll.ciqfunctions.udf.CIQ(InputTicker, "IQ_CASH_TAXES_FINAN",Input!G$2,Date,,,Ccy,Conv)</f>
        <v>0</v>
      </c>
      <c r="F261" s="4">
        <f>_xll.ciqfunctions.udf.CIQ(InputTicker, "IQ_CASH_TAXES_FINAN",Input!H$2,Date,,,Ccy,Conv)</f>
        <v>0</v>
      </c>
      <c r="G261" s="4">
        <f>_xll.ciqfunctions.udf.CIQ(InputTicker, "IQ_CASH_TAXES_FINAN",Input!I$2,Date,,,Ccy,Conv)</f>
        <v>0</v>
      </c>
      <c r="H261" s="4">
        <f>_xll.ciqfunctions.udf.CIQ(InputTicker, "IQ_CASH_TAXES_FINAN",Input!J$2,Date,,,Ccy,Conv)</f>
        <v>0</v>
      </c>
      <c r="I261" s="4">
        <f>_xll.ciqfunctions.udf.CIQ(InputTicker, "IQ_CASH_TAXES_FINAN",Input!K$2,Date,,,Ccy,Conv)</f>
        <v>0</v>
      </c>
      <c r="J261" s="4">
        <f>_xll.ciqfunctions.udf.CIQ(InputTicker, "IQ_CASH_TAXES_FINAN",Input!L$2,Date,,,Ccy,Conv)</f>
        <v>0</v>
      </c>
      <c r="K261" s="4">
        <f>_xll.ciqfunctions.udf.CIQ(InputTicker, "IQ_CASH_TAXES_FINAN",Input!M$2,Date,,,Ccy,Conv)</f>
        <v>0</v>
      </c>
      <c r="L261" s="4">
        <f>_xll.ciqfunctions.udf.CIQ(InputTicker, "IQ_CASH_TAXES_FINAN",Input!N$2,Date,,,Ccy,Conv)</f>
        <v>0</v>
      </c>
      <c r="M261" s="4">
        <f>_xll.ciqfunctions.udf.CIQ(InputTicker, "IQ_CASH_TAXES_FINAN",Input!O$2,Date,,,Ccy,Conv)</f>
        <v>0</v>
      </c>
      <c r="N261" s="49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42"/>
      <c r="AN261" s="42"/>
      <c r="AO261" s="42"/>
      <c r="AP261" s="42"/>
      <c r="AQ261" s="42"/>
      <c r="AR261" s="42"/>
      <c r="AS261" s="42"/>
      <c r="AT261" s="42"/>
      <c r="AU261" s="42"/>
      <c r="AV261" s="42"/>
      <c r="AW261" s="42"/>
      <c r="AX261" s="42"/>
      <c r="AY261" s="42"/>
      <c r="AZ261" s="42"/>
      <c r="BA261" s="42"/>
      <c r="BB261" s="42"/>
      <c r="BC261" s="42"/>
      <c r="BD261" s="42"/>
      <c r="BE261" s="42"/>
      <c r="BF261" s="42"/>
      <c r="BG261" s="42"/>
      <c r="BH261" s="42"/>
      <c r="BI261" s="42"/>
      <c r="BJ261" s="42"/>
      <c r="BK261" s="42"/>
      <c r="BL261" s="42"/>
      <c r="BM261" s="42"/>
      <c r="BN261" s="42"/>
    </row>
    <row r="262" spans="1:66" ht="12.75" customHeight="1" x14ac:dyDescent="0.2">
      <c r="A262" s="1" t="s">
        <v>388</v>
      </c>
      <c r="B262" s="4">
        <f>_xll.ciqfunctions.udf.CIQ(InputTicker, "IQ_CHANGE_DEF_TAX_TOTAL",Input!D$2,Date,,,Ccy,Conv)</f>
        <v>1387</v>
      </c>
      <c r="C262" s="4">
        <f>_xll.ciqfunctions.udf.CIQ(InputTicker, "IQ_CHANGE_DEF_TAX_TOTAL",Input!E$2,Date,,,Ccy,Conv)</f>
        <v>-1132</v>
      </c>
      <c r="D262" s="4">
        <f>_xll.ciqfunctions.udf.CIQ(InputTicker, "IQ_CHANGE_DEF_TAX_TOTAL",Input!F$2,Date,,,Ccy,Conv)</f>
        <v>-931</v>
      </c>
      <c r="E262" s="4">
        <f>_xll.ciqfunctions.udf.CIQ(InputTicker, "IQ_CHANGE_DEF_TAX_TOTAL",Input!G$2,Date,,,Ccy,Conv)</f>
        <v>853</v>
      </c>
      <c r="F262" s="4">
        <f>_xll.ciqfunctions.udf.CIQ(InputTicker, "IQ_CHANGE_DEF_TAX_TOTAL",Input!H$2,Date,,,Ccy,Conv)</f>
        <v>-1527</v>
      </c>
      <c r="G262" s="4">
        <f>_xll.ciqfunctions.udf.CIQ(InputTicker, "IQ_CHANGE_DEF_TAX_TOTAL",Input!I$2,Date,,,Ccy,Conv)</f>
        <v>-3203</v>
      </c>
      <c r="H262" s="4">
        <f>_xll.ciqfunctions.udf.CIQ(InputTicker, "IQ_CHANGE_DEF_TAX_TOTAL",Input!J$2,Date,,,Ccy,Conv)</f>
        <v>-2001</v>
      </c>
      <c r="I262" s="4">
        <f>_xll.ciqfunctions.udf.CIQ(InputTicker, "IQ_CHANGE_DEF_TAX_TOTAL",Input!K$2,Date,,,Ccy,Conv)</f>
        <v>-2726</v>
      </c>
      <c r="J262" s="4">
        <f>_xll.ciqfunctions.udf.CIQ(InputTicker, "IQ_CHANGE_DEF_TAX_TOTAL",Input!L$2,Date,,,Ccy,Conv)</f>
        <v>-1114</v>
      </c>
      <c r="K262" s="4">
        <f>_xll.ciqfunctions.udf.CIQ(InputTicker, "IQ_CHANGE_DEF_TAX_TOTAL",Input!M$2,Date,,,Ccy,Conv)</f>
        <v>-2330</v>
      </c>
      <c r="L262" s="4">
        <f>_xll.ciqfunctions.udf.CIQ(InputTicker, "IQ_CHANGE_DEF_TAX_TOTAL",Input!N$2,Date,,,Ccy,Conv)</f>
        <v>-957</v>
      </c>
      <c r="M262" s="4">
        <f>_xll.ciqfunctions.udf.CIQ(InputTicker, "IQ_CHANGE_DEF_TAX_TOTAL",Input!O$2,Date,,,Ccy,Conv)</f>
        <v>-957</v>
      </c>
      <c r="N262" s="49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  <c r="BA262" s="42"/>
      <c r="BB262" s="42"/>
      <c r="BC262" s="42"/>
      <c r="BD262" s="42"/>
      <c r="BE262" s="42"/>
      <c r="BF262" s="42"/>
      <c r="BG262" s="42"/>
      <c r="BH262" s="42"/>
      <c r="BI262" s="42"/>
      <c r="BJ262" s="42"/>
      <c r="BK262" s="42"/>
      <c r="BL262" s="42"/>
      <c r="BM262" s="42"/>
      <c r="BN262" s="42"/>
    </row>
    <row r="263" spans="1:66" ht="12.75" customHeight="1" x14ac:dyDescent="0.2">
      <c r="A263" s="1" t="s">
        <v>350</v>
      </c>
      <c r="B263" s="4">
        <f>_xll.ciqfunctions.udf.CIQ(InputTicker, "IQ_CHANGE_NET_WORKING_CAPITAL",Input!D$2,Date,,,Ccy,Conv)</f>
        <v>1456</v>
      </c>
      <c r="C263" s="4">
        <f>_xll.ciqfunctions.udf.CIQ(InputTicker, "IQ_CHANGE_NET_WORKING_CAPITAL",Input!E$2,Date,,,Ccy,Conv)</f>
        <v>98</v>
      </c>
      <c r="D263" s="4">
        <f>_xll.ciqfunctions.udf.CIQ(InputTicker, "IQ_CHANGE_NET_WORKING_CAPITAL",Input!F$2,Date,,,Ccy,Conv)</f>
        <v>177</v>
      </c>
      <c r="E263" s="4">
        <f>_xll.ciqfunctions.udf.CIQ(InputTicker, "IQ_CHANGE_NET_WORKING_CAPITAL",Input!G$2,Date,,,Ccy,Conv)</f>
        <v>2352</v>
      </c>
      <c r="F263" s="4">
        <f>_xll.ciqfunctions.udf.CIQ(InputTicker, "IQ_CHANGE_NET_WORKING_CAPITAL",Input!H$2,Date,,,Ccy,Conv)</f>
        <v>-7101</v>
      </c>
      <c r="G263" s="4">
        <f>_xll.ciqfunctions.udf.CIQ(InputTicker, "IQ_CHANGE_NET_WORKING_CAPITAL",Input!I$2,Date,,,Ccy,Conv)</f>
        <v>-8369</v>
      </c>
      <c r="H263" s="4">
        <f>_xll.ciqfunctions.udf.CIQ(InputTicker, "IQ_CHANGE_NET_WORKING_CAPITAL",Input!J$2,Date,,,Ccy,Conv)</f>
        <v>2772</v>
      </c>
      <c r="I263" s="4">
        <f>_xll.ciqfunctions.udf.CIQ(InputTicker, "IQ_CHANGE_NET_WORKING_CAPITAL",Input!K$2,Date,,,Ccy,Conv)</f>
        <v>-1922</v>
      </c>
      <c r="J263" s="4">
        <f>_xll.ciqfunctions.udf.CIQ(InputTicker, "IQ_CHANGE_NET_WORKING_CAPITAL",Input!L$2,Date,,,Ccy,Conv)</f>
        <v>-1918</v>
      </c>
      <c r="K263" s="4">
        <f>_xll.ciqfunctions.udf.CIQ(InputTicker, "IQ_CHANGE_NET_WORKING_CAPITAL",Input!M$2,Date,,,Ccy,Conv)</f>
        <v>15</v>
      </c>
      <c r="L263" s="4">
        <f>_xll.ciqfunctions.udf.CIQ(InputTicker, "IQ_CHANGE_NET_WORKING_CAPITAL",Input!N$2,Date,,,Ccy,Conv)</f>
        <v>-1513</v>
      </c>
      <c r="M263" s="4">
        <f>_xll.ciqfunctions.udf.CIQ(InputTicker, "IQ_CHANGE_NET_WORKING_CAPITAL",Input!O$2,Date,,,Ccy,Conv)</f>
        <v>-1513</v>
      </c>
      <c r="N263" s="49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  <c r="AK263" s="42"/>
      <c r="AL263" s="42"/>
      <c r="AM263" s="42"/>
      <c r="AN263" s="42"/>
      <c r="AO263" s="42"/>
      <c r="AP263" s="42"/>
      <c r="AQ263" s="42"/>
      <c r="AR263" s="42"/>
      <c r="AS263" s="42"/>
      <c r="AT263" s="42"/>
      <c r="AU263" s="42"/>
      <c r="AV263" s="42"/>
      <c r="AW263" s="42"/>
      <c r="AX263" s="42"/>
      <c r="AY263" s="42"/>
      <c r="AZ263" s="42"/>
      <c r="BA263" s="42"/>
      <c r="BB263" s="42"/>
      <c r="BC263" s="42"/>
      <c r="BD263" s="42"/>
      <c r="BE263" s="42"/>
      <c r="BF263" s="42"/>
      <c r="BG263" s="42"/>
      <c r="BH263" s="42"/>
      <c r="BI263" s="42"/>
      <c r="BJ263" s="42"/>
      <c r="BK263" s="42"/>
      <c r="BL263" s="42"/>
      <c r="BM263" s="42"/>
      <c r="BN263" s="42"/>
    </row>
    <row r="264" spans="1:66" ht="12.75" customHeight="1" x14ac:dyDescent="0.2">
      <c r="A264" s="1" t="s">
        <v>508</v>
      </c>
      <c r="B264" s="4">
        <f>_xll.ciqfunctions.udf.CIQ(InputTicker, "IQ_LEVERED_FCF",Input!D$2,Date,,,Ccy,Conv)</f>
        <v>8746.625</v>
      </c>
      <c r="C264" s="4">
        <f>_xll.ciqfunctions.udf.CIQ(InputTicker, "IQ_LEVERED_FCF",Input!E$2,Date,,,Ccy,Conv)</f>
        <v>9139.5</v>
      </c>
      <c r="D264" s="4">
        <f>_xll.ciqfunctions.udf.CIQ(InputTicker, "IQ_LEVERED_FCF",Input!F$2,Date,,,Ccy,Conv)</f>
        <v>8041.875</v>
      </c>
      <c r="E264" s="4">
        <f>_xll.ciqfunctions.udf.CIQ(InputTicker, "IQ_LEVERED_FCF",Input!G$2,Date,,,Ccy,Conv)</f>
        <v>6483.375</v>
      </c>
      <c r="F264" s="4">
        <f>_xll.ciqfunctions.udf.CIQ(InputTicker, "IQ_LEVERED_FCF",Input!H$2,Date,,,Ccy,Conv)</f>
        <v>14803.875</v>
      </c>
      <c r="G264" s="4">
        <f>_xll.ciqfunctions.udf.CIQ(InputTicker, "IQ_LEVERED_FCF",Input!I$2,Date,,,Ccy,Conv)</f>
        <v>14879.75</v>
      </c>
      <c r="H264" s="4">
        <f>_xll.ciqfunctions.udf.CIQ(InputTicker, "IQ_LEVERED_FCF",Input!J$2,Date,,,Ccy,Conv)</f>
        <v>4626.5</v>
      </c>
      <c r="I264" s="4">
        <f>_xll.ciqfunctions.udf.CIQ(InputTicker, "IQ_LEVERED_FCF",Input!K$2,Date,,,Ccy,Conv)</f>
        <v>9680.625</v>
      </c>
      <c r="J264" s="4">
        <f>_xll.ciqfunctions.udf.CIQ(InputTicker, "IQ_LEVERED_FCF",Input!L$2,Date,,,Ccy,Conv)</f>
        <v>10521.75</v>
      </c>
      <c r="K264" s="4">
        <f>_xll.ciqfunctions.udf.CIQ(InputTicker, "IQ_LEVERED_FCF",Input!M$2,Date,,,Ccy,Conv)</f>
        <v>9325.5</v>
      </c>
      <c r="L264" s="4">
        <f>_xll.ciqfunctions.udf.CIQ(InputTicker, "IQ_LEVERED_FCF",Input!N$2,Date,,,Ccy,Conv)</f>
        <v>13156.625</v>
      </c>
      <c r="M264" s="4">
        <f>_xll.ciqfunctions.udf.CIQ(InputTicker, "IQ_LEVERED_FCF",Input!O$2,Date,,,Ccy,Conv)</f>
        <v>13156.625</v>
      </c>
      <c r="N264" s="49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42"/>
      <c r="AN264" s="42"/>
      <c r="AO264" s="42"/>
      <c r="AP264" s="42"/>
      <c r="AQ264" s="42"/>
      <c r="AR264" s="42"/>
      <c r="AS264" s="42"/>
      <c r="AT264" s="42"/>
      <c r="AU264" s="42"/>
      <c r="AV264" s="42"/>
      <c r="AW264" s="42"/>
      <c r="AX264" s="42"/>
      <c r="AY264" s="42"/>
      <c r="AZ264" s="42"/>
      <c r="BA264" s="42"/>
      <c r="BB264" s="42"/>
      <c r="BC264" s="42"/>
      <c r="BD264" s="42"/>
      <c r="BE264" s="42"/>
      <c r="BF264" s="42"/>
      <c r="BG264" s="42"/>
      <c r="BH264" s="42"/>
      <c r="BI264" s="42"/>
      <c r="BJ264" s="42"/>
      <c r="BK264" s="42"/>
      <c r="BL264" s="42"/>
      <c r="BM264" s="42"/>
      <c r="BN264" s="42"/>
    </row>
    <row r="265" spans="1:66" ht="12.75" customHeight="1" x14ac:dyDescent="0.2">
      <c r="A265" s="1" t="s">
        <v>509</v>
      </c>
      <c r="B265" s="4">
        <f>_xll.ciqfunctions.udf.CIQ(InputTicker, "IQ_UNLEVERED_FCF",Input!D$2,Date,,,Ccy,Conv)</f>
        <v>9039.125</v>
      </c>
      <c r="C265" s="4">
        <f>_xll.ciqfunctions.udf.CIQ(InputTicker, "IQ_UNLEVERED_FCF",Input!E$2,Date,,,Ccy,Conv)</f>
        <v>9533.25</v>
      </c>
      <c r="D265" s="4">
        <f>_xll.ciqfunctions.udf.CIQ(InputTicker, "IQ_UNLEVERED_FCF",Input!F$2,Date,,,Ccy,Conv)</f>
        <v>8426.25</v>
      </c>
      <c r="E265" s="4">
        <f>_xll.ciqfunctions.udf.CIQ(InputTicker, "IQ_UNLEVERED_FCF",Input!G$2,Date,,,Ccy,Conv)</f>
        <v>6935.25</v>
      </c>
      <c r="F265" s="4">
        <f>_xll.ciqfunctions.udf.CIQ(InputTicker, "IQ_UNLEVERED_FCF",Input!H$2,Date,,,Ccy,Conv)</f>
        <v>15643.875</v>
      </c>
      <c r="G265" s="4">
        <f>_xll.ciqfunctions.udf.CIQ(InputTicker, "IQ_UNLEVERED_FCF",Input!I$2,Date,,,Ccy,Conv)</f>
        <v>15684.75</v>
      </c>
      <c r="H265" s="4">
        <f>_xll.ciqfunctions.udf.CIQ(InputTicker, "IQ_UNLEVERED_FCF",Input!J$2,Date,,,Ccy,Conv)</f>
        <v>5348.375</v>
      </c>
      <c r="I265" s="4">
        <f>_xll.ciqfunctions.udf.CIQ(InputTicker, "IQ_UNLEVERED_FCF",Input!K$2,Date,,,Ccy,Conv)</f>
        <v>10440.625</v>
      </c>
      <c r="J265" s="4">
        <f>_xll.ciqfunctions.udf.CIQ(InputTicker, "IQ_UNLEVERED_FCF",Input!L$2,Date,,,Ccy,Conv)</f>
        <v>11526.125</v>
      </c>
      <c r="K265" s="4">
        <f>_xll.ciqfunctions.udf.CIQ(InputTicker, "IQ_UNLEVERED_FCF",Input!M$2,Date,,,Ccy,Conv)</f>
        <v>10395.5</v>
      </c>
      <c r="L265" s="4">
        <f>_xll.ciqfunctions.udf.CIQ(InputTicker, "IQ_UNLEVERED_FCF",Input!N$2,Date,,,Ccy,Conv)</f>
        <v>14366</v>
      </c>
      <c r="M265" s="4">
        <f>_xll.ciqfunctions.udf.CIQ(InputTicker, "IQ_UNLEVERED_FCF",Input!O$2,Date,,,Ccy,Conv)</f>
        <v>14366</v>
      </c>
      <c r="N265" s="49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  <c r="BA265" s="42"/>
      <c r="BB265" s="42"/>
      <c r="BC265" s="42"/>
      <c r="BD265" s="42"/>
      <c r="BE265" s="42"/>
      <c r="BF265" s="42"/>
      <c r="BG265" s="42"/>
      <c r="BH265" s="42"/>
      <c r="BI265" s="42"/>
      <c r="BJ265" s="42"/>
      <c r="BK265" s="42"/>
      <c r="BL265" s="42"/>
      <c r="BM265" s="42"/>
      <c r="BN265" s="42"/>
    </row>
    <row r="266" spans="1:66" ht="12.75" customHeight="1" x14ac:dyDescent="0.2">
      <c r="A266" s="1" t="s">
        <v>33</v>
      </c>
      <c r="B266" s="11">
        <f>_xll.ciqfunctions.udf.CIQ(InputTicker, "IQ_CF_SHARE",Input!D$2,Date,,,Ccy,Conv)</f>
        <v>13.388579999999999</v>
      </c>
      <c r="C266" s="11">
        <f>_xll.ciqfunctions.udf.CIQ(InputTicker, "IQ_CF_SHARE",Input!E$2,Date,,,Ccy,Conv)</f>
        <v>13.537470000000001</v>
      </c>
      <c r="D266" s="11">
        <f>_xll.ciqfunctions.udf.CIQ(InputTicker, "IQ_CF_SHARE",Input!F$2,Date,,,Ccy,Conv)</f>
        <v>13.88358</v>
      </c>
      <c r="E266" s="11">
        <f>_xll.ciqfunctions.udf.CIQ(InputTicker, "IQ_CF_SHARE",Input!G$2,Date,,,Ccy,Conv)</f>
        <v>12.37106</v>
      </c>
      <c r="F266" s="11">
        <f>_xll.ciqfunctions.udf.CIQ(InputTicker, "IQ_CF_SHARE",Input!H$2,Date,,,Ccy,Conv)</f>
        <v>13.370749999999999</v>
      </c>
      <c r="G266" s="11">
        <f>_xll.ciqfunctions.udf.CIQ(InputTicker, "IQ_CF_SHARE",Input!I$2,Date,,,Ccy,Conv)</f>
        <v>16.810269999999999</v>
      </c>
      <c r="H266" s="11">
        <f>_xll.ciqfunctions.udf.CIQ(InputTicker, "IQ_CF_SHARE",Input!J$2,Date,,,Ccy,Conv)</f>
        <v>11.192080000000001</v>
      </c>
      <c r="I266" s="11">
        <f>_xll.ciqfunctions.udf.CIQ(InputTicker, "IQ_CF_SHARE",Input!K$2,Date,,,Ccy,Conv)</f>
        <v>9.3755799999999994</v>
      </c>
      <c r="J266" s="11">
        <f>_xll.ciqfunctions.udf.CIQ(InputTicker, "IQ_CF_SHARE",Input!L$2,Date,,,Ccy,Conv)</f>
        <v>13.30209</v>
      </c>
      <c r="K266" s="11">
        <f>_xll.ciqfunctions.udf.CIQ(InputTicker, "IQ_CF_SHARE",Input!M$2,Date,,,Ccy,Conv)</f>
        <v>12.758089999999999</v>
      </c>
      <c r="L266" s="11">
        <f>_xll.ciqfunctions.udf.CIQ(InputTicker, "IQ_CF_SHARE",Input!N$2,Date,,,Ccy,Conv)</f>
        <v>12.286899999999999</v>
      </c>
      <c r="M266" s="11">
        <f>_xll.ciqfunctions.udf.CIQ(InputTicker, "IQ_CF_SHARE",Input!O$2,Date,,,Ccy,Conv)</f>
        <v>12.286899999999999</v>
      </c>
      <c r="N266" s="49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  <c r="AK266" s="42"/>
      <c r="AL266" s="42"/>
      <c r="AM266" s="42"/>
      <c r="AN266" s="42"/>
      <c r="AO266" s="42"/>
      <c r="AP266" s="42"/>
      <c r="AQ266" s="42"/>
      <c r="AR266" s="42"/>
      <c r="AS266" s="42"/>
      <c r="AT266" s="42"/>
      <c r="AU266" s="42"/>
      <c r="AV266" s="42"/>
      <c r="AW266" s="42"/>
      <c r="AX266" s="42"/>
      <c r="AY266" s="42"/>
      <c r="AZ266" s="42"/>
      <c r="BA266" s="42"/>
      <c r="BB266" s="42"/>
      <c r="BC266" s="42"/>
      <c r="BD266" s="42"/>
      <c r="BE266" s="42"/>
      <c r="BF266" s="42"/>
      <c r="BG266" s="42"/>
      <c r="BH266" s="42"/>
      <c r="BI266" s="42"/>
      <c r="BJ266" s="42"/>
      <c r="BK266" s="42"/>
      <c r="BL266" s="42"/>
      <c r="BM266" s="42"/>
      <c r="BN266" s="42"/>
    </row>
    <row r="267" spans="1:66" ht="12.75" customHeight="1" x14ac:dyDescent="0.2">
      <c r="A267" s="1" t="s">
        <v>122</v>
      </c>
      <c r="B267" s="4">
        <f>_xll.ciqfunctions.udf.CIQ(InputTicker, "IQ_NET_DEBT_ISSUED",Input!D$2,Date,,,Ccy,Conv)</f>
        <v>19</v>
      </c>
      <c r="C267" s="4">
        <f>_xll.ciqfunctions.udf.CIQ(InputTicker, "IQ_NET_DEBT_ISSUED",Input!E$2,Date,,,Ccy,Conv)</f>
        <v>2763</v>
      </c>
      <c r="D267" s="4">
        <f>_xll.ciqfunctions.udf.CIQ(InputTicker, "IQ_NET_DEBT_ISSUED",Input!F$2,Date,,,Ccy,Conv)</f>
        <v>3447</v>
      </c>
      <c r="E267" s="4">
        <f>_xll.ciqfunctions.udf.CIQ(InputTicker, "IQ_NET_DEBT_ISSUED",Input!G$2,Date,,,Ccy,Conv)</f>
        <v>-301</v>
      </c>
      <c r="F267" s="4">
        <f>_xll.ciqfunctions.udf.CIQ(InputTicker, "IQ_NET_DEBT_ISSUED",Input!H$2,Date,,,Ccy,Conv)</f>
        <v>16284</v>
      </c>
      <c r="G267" s="4">
        <f>_xll.ciqfunctions.udf.CIQ(InputTicker, "IQ_NET_DEBT_ISSUED",Input!I$2,Date,,,Ccy,Conv)</f>
        <v>-3714</v>
      </c>
      <c r="H267" s="4">
        <f>_xll.ciqfunctions.udf.CIQ(InputTicker, "IQ_NET_DEBT_ISSUED",Input!J$2,Date,,,Ccy,Conv)</f>
        <v>-8115</v>
      </c>
      <c r="I267" s="4">
        <f>_xll.ciqfunctions.udf.CIQ(InputTicker, "IQ_NET_DEBT_ISSUED",Input!K$2,Date,,,Ccy,Conv)</f>
        <v>1221</v>
      </c>
      <c r="J267" s="4">
        <f>_xll.ciqfunctions.udf.CIQ(InputTicker, "IQ_NET_DEBT_ISSUED",Input!L$2,Date,,,Ccy,Conv)</f>
        <v>4497</v>
      </c>
      <c r="K267" s="4">
        <f>_xll.ciqfunctions.udf.CIQ(InputTicker, "IQ_NET_DEBT_ISSUED",Input!M$2,Date,,,Ccy,Conv)</f>
        <v>-880</v>
      </c>
      <c r="L267" s="4">
        <f>_xll.ciqfunctions.udf.CIQ(InputTicker, "IQ_NET_DEBT_ISSUED",Input!N$2,Date,,,Ccy,Conv)</f>
        <v>2873</v>
      </c>
      <c r="M267" s="4">
        <f>_xll.ciqfunctions.udf.CIQ(InputTicker, "IQ_NET_DEBT_ISSUED",Input!O$2,Date,,,Ccy,Conv)</f>
        <v>2873</v>
      </c>
      <c r="N267" s="49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  <c r="AK267" s="42"/>
      <c r="AL267" s="42"/>
      <c r="AM267" s="42"/>
      <c r="AN267" s="42"/>
      <c r="AO267" s="42"/>
      <c r="AP267" s="42"/>
      <c r="AQ267" s="42"/>
      <c r="AR267" s="42"/>
      <c r="AS267" s="42"/>
      <c r="AT267" s="42"/>
      <c r="AU267" s="42"/>
      <c r="AV267" s="42"/>
      <c r="AW267" s="42"/>
      <c r="AX267" s="42"/>
      <c r="AY267" s="42"/>
      <c r="AZ267" s="42"/>
      <c r="BA267" s="42"/>
      <c r="BB267" s="42"/>
      <c r="BC267" s="42"/>
      <c r="BD267" s="42"/>
      <c r="BE267" s="42"/>
      <c r="BF267" s="42"/>
      <c r="BG267" s="42"/>
      <c r="BH267" s="42"/>
      <c r="BI267" s="42"/>
      <c r="BJ267" s="42"/>
      <c r="BK267" s="42"/>
      <c r="BL267" s="42"/>
      <c r="BM267" s="42"/>
      <c r="BN267" s="42"/>
    </row>
    <row r="268" spans="1:66" ht="12.75" customHeight="1" x14ac:dyDescent="0.2">
      <c r="A268" s="1" t="s">
        <v>351</v>
      </c>
      <c r="B268" s="4">
        <f>_xll.ciqfunctions.udf.CIQ(InputTicker, "IQ_MAINT_CAPEX",Input!D$2,Date,,,Ccy,Conv)</f>
        <v>0</v>
      </c>
      <c r="C268" s="4">
        <f>_xll.ciqfunctions.udf.CIQ(InputTicker, "IQ_MAINT_CAPEX",Input!E$2,Date,,,Ccy,Conv)</f>
        <v>0</v>
      </c>
      <c r="D268" s="4">
        <f>_xll.ciqfunctions.udf.CIQ(InputTicker, "IQ_MAINT_CAPEX",Input!F$2,Date,,,Ccy,Conv)</f>
        <v>0</v>
      </c>
      <c r="E268" s="4">
        <f>_xll.ciqfunctions.udf.CIQ(InputTicker, "IQ_MAINT_CAPEX",Input!G$2,Date,,,Ccy,Conv)</f>
        <v>0</v>
      </c>
      <c r="F268" s="4">
        <f>_xll.ciqfunctions.udf.CIQ(InputTicker, "IQ_MAINT_CAPEX",Input!H$2,Date,,,Ccy,Conv)</f>
        <v>0</v>
      </c>
      <c r="G268" s="4">
        <f>_xll.ciqfunctions.udf.CIQ(InputTicker, "IQ_MAINT_CAPEX",Input!I$2,Date,,,Ccy,Conv)</f>
        <v>0</v>
      </c>
      <c r="H268" s="4">
        <f>_xll.ciqfunctions.udf.CIQ(InputTicker, "IQ_MAINT_CAPEX",Input!J$2,Date,,,Ccy,Conv)</f>
        <v>0</v>
      </c>
      <c r="I268" s="4">
        <f>_xll.ciqfunctions.udf.CIQ(InputTicker, "IQ_MAINT_CAPEX",Input!K$2,Date,,,Ccy,Conv)</f>
        <v>0</v>
      </c>
      <c r="J268" s="4">
        <f>_xll.ciqfunctions.udf.CIQ(InputTicker, "IQ_MAINT_CAPEX",Input!L$2,Date,,,Ccy,Conv)</f>
        <v>0</v>
      </c>
      <c r="K268" s="4">
        <f>_xll.ciqfunctions.udf.CIQ(InputTicker, "IQ_MAINT_CAPEX",Input!M$2,Date,,,Ccy,Conv)</f>
        <v>0</v>
      </c>
      <c r="L268" s="4">
        <f>_xll.ciqfunctions.udf.CIQ(InputTicker, "IQ_MAINT_CAPEX",Input!N$2,Date,,,Ccy,Conv)</f>
        <v>0</v>
      </c>
      <c r="M268" s="4">
        <f>_xll.ciqfunctions.udf.CIQ(InputTicker, "IQ_MAINT_CAPEX",Input!O$2,Date,,,Ccy,Conv)</f>
        <v>0</v>
      </c>
      <c r="N268" s="49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  <c r="AK268" s="42"/>
      <c r="AL268" s="42"/>
      <c r="AM268" s="42"/>
      <c r="AN268" s="42"/>
      <c r="AO268" s="42"/>
      <c r="AP268" s="42"/>
      <c r="AQ268" s="42"/>
      <c r="AR268" s="42"/>
      <c r="AS268" s="42"/>
      <c r="AT268" s="42"/>
      <c r="AU268" s="42"/>
      <c r="AV268" s="42"/>
      <c r="AW268" s="42"/>
      <c r="AX268" s="42"/>
      <c r="AY268" s="42"/>
      <c r="AZ268" s="42"/>
      <c r="BA268" s="42"/>
      <c r="BB268" s="42"/>
      <c r="BC268" s="42"/>
      <c r="BD268" s="42"/>
      <c r="BE268" s="42"/>
      <c r="BF268" s="42"/>
      <c r="BG268" s="42"/>
      <c r="BH268" s="42"/>
      <c r="BI268" s="42"/>
      <c r="BJ268" s="42"/>
      <c r="BK268" s="42"/>
      <c r="BL268" s="42"/>
      <c r="BM268" s="42"/>
      <c r="BN268" s="42"/>
    </row>
    <row r="269" spans="1:66" ht="12.75" customHeight="1" x14ac:dyDescent="0.2">
      <c r="A269" s="1" t="s">
        <v>34</v>
      </c>
      <c r="B269" s="4">
        <f>_xll.ciqfunctions.udf.CIQ(InputTicker, "IQ_DO_INVEST_CF",Input!D$2,Date,,,Ccy,Conv)</f>
        <v>0</v>
      </c>
      <c r="C269" s="4">
        <f>_xll.ciqfunctions.udf.CIQ(InputTicker, "IQ_DO_INVEST_CF",Input!E$2,Date,,,Ccy,Conv)</f>
        <v>0</v>
      </c>
      <c r="D269" s="4">
        <f>_xll.ciqfunctions.udf.CIQ(InputTicker, "IQ_DO_INVEST_CF",Input!F$2,Date,,,Ccy,Conv)</f>
        <v>0</v>
      </c>
      <c r="E269" s="4">
        <f>_xll.ciqfunctions.udf.CIQ(InputTicker, "IQ_DO_INVEST_CF",Input!G$2,Date,,,Ccy,Conv)</f>
        <v>0</v>
      </c>
      <c r="F269" s="4">
        <f>_xll.ciqfunctions.udf.CIQ(InputTicker, "IQ_DO_INVEST_CF",Input!H$2,Date,,,Ccy,Conv)</f>
        <v>0</v>
      </c>
      <c r="G269" s="4">
        <f>_xll.ciqfunctions.udf.CIQ(InputTicker, "IQ_DO_INVEST_CF",Input!I$2,Date,,,Ccy,Conv)</f>
        <v>0</v>
      </c>
      <c r="H269" s="4">
        <f>_xll.ciqfunctions.udf.CIQ(InputTicker, "IQ_DO_INVEST_CF",Input!J$2,Date,,,Ccy,Conv)</f>
        <v>0</v>
      </c>
      <c r="I269" s="4">
        <f>_xll.ciqfunctions.udf.CIQ(InputTicker, "IQ_DO_INVEST_CF",Input!K$2,Date,,,Ccy,Conv)</f>
        <v>0</v>
      </c>
      <c r="J269" s="4">
        <f>_xll.ciqfunctions.udf.CIQ(InputTicker, "IQ_DO_INVEST_CF",Input!L$2,Date,,,Ccy,Conv)</f>
        <v>0</v>
      </c>
      <c r="K269" s="4">
        <f>_xll.ciqfunctions.udf.CIQ(InputTicker, "IQ_DO_INVEST_CF",Input!M$2,Date,,,Ccy,Conv)</f>
        <v>0</v>
      </c>
      <c r="L269" s="4">
        <f>_xll.ciqfunctions.udf.CIQ(InputTicker, "IQ_DO_INVEST_CF",Input!N$2,Date,,,Ccy,Conv)</f>
        <v>0</v>
      </c>
      <c r="M269" s="4">
        <f>_xll.ciqfunctions.udf.CIQ(InputTicker, "IQ_DO_INVEST_CF",Input!O$2,Date,,,Ccy,Conv)</f>
        <v>0</v>
      </c>
      <c r="N269" s="49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  <c r="AK269" s="42"/>
      <c r="AL269" s="42"/>
      <c r="AM269" s="42"/>
      <c r="AN269" s="42"/>
      <c r="AO269" s="42"/>
      <c r="AP269" s="42"/>
      <c r="AQ269" s="42"/>
      <c r="AR269" s="42"/>
      <c r="AS269" s="42"/>
      <c r="AT269" s="42"/>
      <c r="AU269" s="42"/>
      <c r="AV269" s="42"/>
      <c r="AW269" s="42"/>
      <c r="AX269" s="42"/>
      <c r="AY269" s="42"/>
      <c r="AZ269" s="42"/>
      <c r="BA269" s="42"/>
      <c r="BB269" s="42"/>
      <c r="BC269" s="42"/>
      <c r="BD269" s="42"/>
      <c r="BE269" s="42"/>
      <c r="BF269" s="42"/>
      <c r="BG269" s="42"/>
      <c r="BH269" s="42"/>
      <c r="BI269" s="42"/>
      <c r="BJ269" s="42"/>
      <c r="BK269" s="42"/>
      <c r="BL269" s="42"/>
      <c r="BM269" s="42"/>
      <c r="BN269" s="42"/>
    </row>
    <row r="270" spans="1:66" ht="12.75" customHeight="1" x14ac:dyDescent="0.2">
      <c r="A270" s="1" t="s">
        <v>35</v>
      </c>
      <c r="B270" s="4">
        <f>_xll.ciqfunctions.udf.CIQ(InputTicker, "IQ_DO_FINANCE_CF",Input!D$2,Date,,,Ccy,Conv)</f>
        <v>0</v>
      </c>
      <c r="C270" s="4">
        <f>_xll.ciqfunctions.udf.CIQ(InputTicker, "IQ_DO_FINANCE_CF",Input!E$2,Date,,,Ccy,Conv)</f>
        <v>0</v>
      </c>
      <c r="D270" s="4">
        <f>_xll.ciqfunctions.udf.CIQ(InputTicker, "IQ_DO_FINANCE_CF",Input!F$2,Date,,,Ccy,Conv)</f>
        <v>0</v>
      </c>
      <c r="E270" s="4">
        <f>_xll.ciqfunctions.udf.CIQ(InputTicker, "IQ_DO_FINANCE_CF",Input!G$2,Date,,,Ccy,Conv)</f>
        <v>0</v>
      </c>
      <c r="F270" s="4">
        <f>_xll.ciqfunctions.udf.CIQ(InputTicker, "IQ_DO_FINANCE_CF",Input!H$2,Date,,,Ccy,Conv)</f>
        <v>0</v>
      </c>
      <c r="G270" s="4">
        <f>_xll.ciqfunctions.udf.CIQ(InputTicker, "IQ_DO_FINANCE_CF",Input!I$2,Date,,,Ccy,Conv)</f>
        <v>0</v>
      </c>
      <c r="H270" s="4">
        <f>_xll.ciqfunctions.udf.CIQ(InputTicker, "IQ_DO_FINANCE_CF",Input!J$2,Date,,,Ccy,Conv)</f>
        <v>0</v>
      </c>
      <c r="I270" s="4">
        <f>_xll.ciqfunctions.udf.CIQ(InputTicker, "IQ_DO_FINANCE_CF",Input!K$2,Date,,,Ccy,Conv)</f>
        <v>0</v>
      </c>
      <c r="J270" s="4">
        <f>_xll.ciqfunctions.udf.CIQ(InputTicker, "IQ_DO_FINANCE_CF",Input!L$2,Date,,,Ccy,Conv)</f>
        <v>0</v>
      </c>
      <c r="K270" s="4">
        <f>_xll.ciqfunctions.udf.CIQ(InputTicker, "IQ_DO_FINANCE_CF",Input!M$2,Date,,,Ccy,Conv)</f>
        <v>0</v>
      </c>
      <c r="L270" s="4">
        <f>_xll.ciqfunctions.udf.CIQ(InputTicker, "IQ_DO_FINANCE_CF",Input!N$2,Date,,,Ccy,Conv)</f>
        <v>0</v>
      </c>
      <c r="M270" s="4">
        <f>_xll.ciqfunctions.udf.CIQ(InputTicker, "IQ_DO_FINANCE_CF",Input!O$2,Date,,,Ccy,Conv)</f>
        <v>0</v>
      </c>
      <c r="N270" s="49"/>
      <c r="T270" s="46"/>
      <c r="U270" s="46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  <c r="AK270" s="42"/>
      <c r="AL270" s="42"/>
      <c r="AM270" s="42"/>
      <c r="AN270" s="42"/>
      <c r="AO270" s="42"/>
      <c r="AP270" s="42"/>
      <c r="AQ270" s="42"/>
      <c r="AR270" s="42"/>
      <c r="AS270" s="42"/>
      <c r="AT270" s="42"/>
      <c r="AU270" s="42"/>
      <c r="AV270" s="42"/>
      <c r="AW270" s="42"/>
      <c r="AX270" s="42"/>
      <c r="AY270" s="42"/>
      <c r="AZ270" s="42"/>
      <c r="BA270" s="42"/>
      <c r="BB270" s="42"/>
      <c r="BC270" s="42"/>
      <c r="BD270" s="42"/>
      <c r="BE270" s="42"/>
      <c r="BF270" s="42"/>
      <c r="BG270" s="42"/>
      <c r="BH270" s="42"/>
      <c r="BI270" s="42"/>
      <c r="BJ270" s="42"/>
      <c r="BK270" s="42"/>
      <c r="BL270" s="42"/>
      <c r="BM270" s="42"/>
      <c r="BN270" s="42"/>
    </row>
    <row r="271" spans="1:66" ht="12.75" customHeight="1" x14ac:dyDescent="0.2">
      <c r="A271" s="1" t="s">
        <v>446</v>
      </c>
      <c r="B271" s="4">
        <f>_xll.ciqfunctions.udf.CIQ(InputTicker, "IQ_OPERATING_LEASE_PAYMENTS",Input!D$2,Date,,,Ccy,Conv)</f>
        <v>0</v>
      </c>
      <c r="C271" s="4">
        <f>_xll.ciqfunctions.udf.CIQ(InputTicker, "IQ_OPERATING_LEASE_PAYMENTS",Input!E$2,Date,,,Ccy,Conv)</f>
        <v>0</v>
      </c>
      <c r="D271" s="4">
        <f>_xll.ciqfunctions.udf.CIQ(InputTicker, "IQ_OPERATING_LEASE_PAYMENTS",Input!F$2,Date,,,Ccy,Conv)</f>
        <v>0</v>
      </c>
      <c r="E271" s="4">
        <f>_xll.ciqfunctions.udf.CIQ(InputTicker, "IQ_OPERATING_LEASE_PAYMENTS",Input!G$2,Date,,,Ccy,Conv)</f>
        <v>0</v>
      </c>
      <c r="F271" s="4">
        <f>_xll.ciqfunctions.udf.CIQ(InputTicker, "IQ_OPERATING_LEASE_PAYMENTS",Input!H$2,Date,,,Ccy,Conv)</f>
        <v>0</v>
      </c>
      <c r="G271" s="4">
        <f>_xll.ciqfunctions.udf.CIQ(InputTicker, "IQ_OPERATING_LEASE_PAYMENTS",Input!I$2,Date,,,Ccy,Conv)</f>
        <v>0</v>
      </c>
      <c r="H271" s="4">
        <f>_xll.ciqfunctions.udf.CIQ(InputTicker, "IQ_OPERATING_LEASE_PAYMENTS",Input!J$2,Date,,,Ccy,Conv)</f>
        <v>0</v>
      </c>
      <c r="I271" s="4">
        <f>_xll.ciqfunctions.udf.CIQ(InputTicker, "IQ_OPERATING_LEASE_PAYMENTS",Input!K$2,Date,,,Ccy,Conv)</f>
        <v>0</v>
      </c>
      <c r="J271" s="4">
        <f>_xll.ciqfunctions.udf.CIQ(InputTicker, "IQ_OPERATING_LEASE_PAYMENTS",Input!L$2,Date,,,Ccy,Conv)</f>
        <v>0</v>
      </c>
      <c r="K271" s="4">
        <f>_xll.ciqfunctions.udf.CIQ(InputTicker, "IQ_OPERATING_LEASE_PAYMENTS",Input!M$2,Date,,,Ccy,Conv)</f>
        <v>0</v>
      </c>
      <c r="L271" s="4">
        <f>_xll.ciqfunctions.udf.CIQ(InputTicker, "IQ_OPERATING_LEASE_PAYMENTS",Input!N$2,Date,,,Ccy,Conv)</f>
        <v>0</v>
      </c>
      <c r="M271" s="4">
        <f>_xll.ciqfunctions.udf.CIQ(InputTicker, "IQ_OPERATING_LEASE_PAYMENTS",Input!O$2,Date,,,Ccy,Conv)</f>
        <v>0</v>
      </c>
      <c r="N271" s="5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  <c r="BA271" s="42"/>
      <c r="BB271" s="42"/>
      <c r="BC271" s="42"/>
      <c r="BD271" s="42"/>
      <c r="BE271" s="42"/>
      <c r="BF271" s="42"/>
      <c r="BG271" s="42"/>
      <c r="BH271" s="42"/>
      <c r="BI271" s="42"/>
      <c r="BJ271" s="42"/>
      <c r="BK271" s="42"/>
      <c r="BL271" s="42"/>
      <c r="BM271" s="42"/>
      <c r="BN271" s="42"/>
    </row>
    <row r="272" spans="1:66" ht="12.75" customHeight="1" x14ac:dyDescent="0.2">
      <c r="A272" s="1" t="s">
        <v>447</v>
      </c>
      <c r="B272" s="4">
        <f>_xll.ciqfunctions.udf.CIQ(InputTicker, "IQ_OPERATING_LEASE_LIABILITIES",Input!D$2,Date,,,Ccy,Conv)</f>
        <v>0</v>
      </c>
      <c r="C272" s="4">
        <f>_xll.ciqfunctions.udf.CIQ(InputTicker, "IQ_OPERATING_LEASE_LIABILITIES",Input!E$2,Date,,,Ccy,Conv)</f>
        <v>0</v>
      </c>
      <c r="D272" s="4">
        <f>_xll.ciqfunctions.udf.CIQ(InputTicker, "IQ_OPERATING_LEASE_LIABILITIES",Input!F$2,Date,,,Ccy,Conv)</f>
        <v>0</v>
      </c>
      <c r="E272" s="4">
        <f>_xll.ciqfunctions.udf.CIQ(InputTicker, "IQ_OPERATING_LEASE_LIABILITIES",Input!G$2,Date,,,Ccy,Conv)</f>
        <v>0</v>
      </c>
      <c r="F272" s="4">
        <f>_xll.ciqfunctions.udf.CIQ(InputTicker, "IQ_OPERATING_LEASE_LIABILITIES",Input!H$2,Date,,,Ccy,Conv)</f>
        <v>0</v>
      </c>
      <c r="G272" s="4">
        <f>_xll.ciqfunctions.udf.CIQ(InputTicker, "IQ_OPERATING_LEASE_LIABILITIES",Input!I$2,Date,,,Ccy,Conv)</f>
        <v>0</v>
      </c>
      <c r="H272" s="4">
        <f>_xll.ciqfunctions.udf.CIQ(InputTicker, "IQ_OPERATING_LEASE_LIABILITIES",Input!J$2,Date,,,Ccy,Conv)</f>
        <v>0</v>
      </c>
      <c r="I272" s="4">
        <f>_xll.ciqfunctions.udf.CIQ(InputTicker, "IQ_OPERATING_LEASE_LIABILITIES",Input!K$2,Date,,,Ccy,Conv)</f>
        <v>0</v>
      </c>
      <c r="J272" s="4">
        <f>_xll.ciqfunctions.udf.CIQ(InputTicker, "IQ_OPERATING_LEASE_LIABILITIES",Input!L$2,Date,,,Ccy,Conv)</f>
        <v>0</v>
      </c>
      <c r="K272" s="4">
        <f>_xll.ciqfunctions.udf.CIQ(InputTicker, "IQ_OPERATING_LEASE_LIABILITIES",Input!M$2,Date,,,Ccy,Conv)</f>
        <v>0</v>
      </c>
      <c r="L272" s="4">
        <f>_xll.ciqfunctions.udf.CIQ(InputTicker, "IQ_OPERATING_LEASE_LIABILITIES",Input!N$2,Date,,,Ccy,Conv)</f>
        <v>0</v>
      </c>
      <c r="M272" s="4">
        <f>_xll.ciqfunctions.udf.CIQ(InputTicker, "IQ_OPERATING_LEASE_LIABILITIES",Input!O$2,Date,,,Ccy,Conv)</f>
        <v>0</v>
      </c>
      <c r="N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  <c r="AK272" s="42"/>
      <c r="AL272" s="42"/>
      <c r="AM272" s="42"/>
      <c r="AN272" s="42"/>
      <c r="AO272" s="42"/>
      <c r="AP272" s="42"/>
      <c r="AQ272" s="42"/>
      <c r="AR272" s="42"/>
      <c r="AS272" s="42"/>
      <c r="AT272" s="42"/>
      <c r="AU272" s="42"/>
      <c r="AV272" s="42"/>
      <c r="AW272" s="42"/>
      <c r="AX272" s="42"/>
      <c r="AY272" s="42"/>
      <c r="AZ272" s="42"/>
      <c r="BA272" s="42"/>
      <c r="BB272" s="42"/>
      <c r="BC272" s="42"/>
      <c r="BD272" s="42"/>
      <c r="BE272" s="42"/>
      <c r="BF272" s="42"/>
      <c r="BG272" s="42"/>
      <c r="BH272" s="42"/>
      <c r="BI272" s="42"/>
      <c r="BJ272" s="42"/>
      <c r="BK272" s="42"/>
      <c r="BL272" s="42"/>
      <c r="BM272" s="42"/>
      <c r="BN272" s="42"/>
    </row>
    <row r="273" spans="1:66" ht="12.75" customHeight="1" x14ac:dyDescent="0.2">
      <c r="A273" s="1" t="s">
        <v>448</v>
      </c>
      <c r="B273" s="4">
        <f>_xll.ciqfunctions.udf.CIQ(InputTicker, "IQ_OPERATING_LEASE_LIABILITIES_NONCASH",Input!D$2,Date,,,Ccy,Conv)</f>
        <v>0</v>
      </c>
      <c r="C273" s="4">
        <f>_xll.ciqfunctions.udf.CIQ(InputTicker, "IQ_OPERATING_LEASE_LIABILITIES_NONCASH",Input!E$2,Date,,,Ccy,Conv)</f>
        <v>0</v>
      </c>
      <c r="D273" s="4">
        <f>_xll.ciqfunctions.udf.CIQ(InputTicker, "IQ_OPERATING_LEASE_LIABILITIES_NONCASH",Input!F$2,Date,,,Ccy,Conv)</f>
        <v>0</v>
      </c>
      <c r="E273" s="4">
        <f>_xll.ciqfunctions.udf.CIQ(InputTicker, "IQ_OPERATING_LEASE_LIABILITIES_NONCASH",Input!G$2,Date,,,Ccy,Conv)</f>
        <v>0</v>
      </c>
      <c r="F273" s="4">
        <f>_xll.ciqfunctions.udf.CIQ(InputTicker, "IQ_OPERATING_LEASE_LIABILITIES_NONCASH",Input!H$2,Date,,,Ccy,Conv)</f>
        <v>0</v>
      </c>
      <c r="G273" s="4">
        <f>_xll.ciqfunctions.udf.CIQ(InputTicker, "IQ_OPERATING_LEASE_LIABILITIES_NONCASH",Input!I$2,Date,,,Ccy,Conv)</f>
        <v>0</v>
      </c>
      <c r="H273" s="4">
        <f>_xll.ciqfunctions.udf.CIQ(InputTicker, "IQ_OPERATING_LEASE_LIABILITIES_NONCASH",Input!J$2,Date,,,Ccy,Conv)</f>
        <v>0</v>
      </c>
      <c r="I273" s="4">
        <f>_xll.ciqfunctions.udf.CIQ(InputTicker, "IQ_OPERATING_LEASE_LIABILITIES_NONCASH",Input!K$2,Date,,,Ccy,Conv)</f>
        <v>0</v>
      </c>
      <c r="J273" s="4">
        <f>_xll.ciqfunctions.udf.CIQ(InputTicker, "IQ_OPERATING_LEASE_LIABILITIES_NONCASH",Input!L$2,Date,,,Ccy,Conv)</f>
        <v>0</v>
      </c>
      <c r="K273" s="4">
        <f>_xll.ciqfunctions.udf.CIQ(InputTicker, "IQ_OPERATING_LEASE_LIABILITIES_NONCASH",Input!M$2,Date,,,Ccy,Conv)</f>
        <v>0</v>
      </c>
      <c r="L273" s="4">
        <f>_xll.ciqfunctions.udf.CIQ(InputTicker, "IQ_OPERATING_LEASE_LIABILITIES_NONCASH",Input!N$2,Date,,,Ccy,Conv)</f>
        <v>0</v>
      </c>
      <c r="M273" s="4">
        <f>_xll.ciqfunctions.udf.CIQ(InputTicker, "IQ_OPERATING_LEASE_LIABILITIES_NONCASH",Input!O$2,Date,,,Ccy,Conv)</f>
        <v>0</v>
      </c>
      <c r="N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  <c r="AK273" s="42"/>
      <c r="AL273" s="42"/>
      <c r="AM273" s="42"/>
      <c r="AN273" s="42"/>
      <c r="AO273" s="42"/>
      <c r="AP273" s="42"/>
      <c r="AQ273" s="42"/>
      <c r="AR273" s="42"/>
      <c r="AS273" s="42"/>
      <c r="AT273" s="42"/>
      <c r="AU273" s="42"/>
      <c r="AV273" s="42"/>
      <c r="AW273" s="42"/>
      <c r="AX273" s="42"/>
      <c r="AY273" s="42"/>
      <c r="AZ273" s="42"/>
      <c r="BA273" s="42"/>
      <c r="BB273" s="42"/>
      <c r="BC273" s="42"/>
      <c r="BD273" s="42"/>
      <c r="BE273" s="42"/>
      <c r="BF273" s="42"/>
      <c r="BG273" s="42"/>
      <c r="BH273" s="42"/>
      <c r="BI273" s="42"/>
      <c r="BJ273" s="42"/>
      <c r="BK273" s="42"/>
      <c r="BL273" s="42"/>
      <c r="BM273" s="42"/>
      <c r="BN273" s="42"/>
    </row>
    <row r="274" spans="1:66" ht="12.75" customHeight="1" x14ac:dyDescent="0.2">
      <c r="A274" s="1" t="s">
        <v>468</v>
      </c>
      <c r="B274" s="4">
        <f>_xll.ciqfunctions.udf.CIQ(InputTicker, "IQ_LONG_TERM_DEBT_REPAID_EXCL_LEASES",Input!D$2,Date,,,Ccy,Conv)</f>
        <v>-5622</v>
      </c>
      <c r="C274" s="4">
        <f>_xll.ciqfunctions.udf.CIQ(InputTicker, "IQ_LONG_TERM_DEBT_REPAID_EXCL_LEASES",Input!E$2,Date,,,Ccy,Conv)</f>
        <v>-6395</v>
      </c>
      <c r="D274" s="4">
        <f>_xll.ciqfunctions.udf.CIQ(InputTicker, "IQ_LONG_TERM_DEBT_REPAID_EXCL_LEASES",Input!F$2,Date,,,Ccy,Conv)</f>
        <v>-6816</v>
      </c>
      <c r="E274" s="4">
        <f>_xll.ciqfunctions.udf.CIQ(InputTicker, "IQ_LONG_TERM_DEBT_REPAID_EXCL_LEASES",Input!G$2,Date,,,Ccy,Conv)</f>
        <v>-8533</v>
      </c>
      <c r="F274" s="4">
        <f>_xll.ciqfunctions.udf.CIQ(InputTicker, "IQ_LONG_TERM_DEBT_REPAID_EXCL_LEASES",Input!H$2,Date,,,Ccy,Conv)</f>
        <v>-12944</v>
      </c>
      <c r="G274" s="4">
        <f>_xll.ciqfunctions.udf.CIQ(InputTicker, "IQ_LONG_TERM_DEBT_REPAID_EXCL_LEASES",Input!I$2,Date,,,Ccy,Conv)</f>
        <v>-13365</v>
      </c>
      <c r="H274" s="4">
        <f>_xll.ciqfunctions.udf.CIQ(InputTicker, "IQ_LONG_TERM_DEBT_REPAID_EXCL_LEASES",Input!J$2,Date,,,Ccy,Conv)</f>
        <v>-8597</v>
      </c>
      <c r="I274" s="4">
        <f>_xll.ciqfunctions.udf.CIQ(InputTicker, "IQ_LONG_TERM_DEBT_REPAID_EXCL_LEASES",Input!K$2,Date,,,Ccy,Conv)</f>
        <v>-6800</v>
      </c>
      <c r="J274" s="4">
        <f>_xll.ciqfunctions.udf.CIQ(InputTicker, "IQ_LONG_TERM_DEBT_REPAID_EXCL_LEASES",Input!L$2,Date,,,Ccy,Conv)</f>
        <v>-5082</v>
      </c>
      <c r="K274" s="4">
        <f>_xll.ciqfunctions.udf.CIQ(InputTicker, "IQ_LONG_TERM_DEBT_REPAID_EXCL_LEASES",Input!M$2,Date,,,Ccy,Conv)</f>
        <v>-6615</v>
      </c>
      <c r="L274" s="4">
        <f>_xll.ciqfunctions.udf.CIQ(InputTicker, "IQ_LONG_TERM_DEBT_REPAID_EXCL_LEASES",Input!N$2,Date,,,Ccy,Conv)</f>
        <v>-5489</v>
      </c>
      <c r="M274" s="4">
        <f>_xll.ciqfunctions.udf.CIQ(InputTicker, "IQ_LONG_TERM_DEBT_REPAID_EXCL_LEASES",Input!O$2,Date,,,Ccy,Conv)</f>
        <v>-5489</v>
      </c>
      <c r="N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  <c r="BA274" s="42"/>
      <c r="BB274" s="42"/>
      <c r="BC274" s="42"/>
      <c r="BD274" s="42"/>
      <c r="BE274" s="42"/>
      <c r="BF274" s="42"/>
      <c r="BG274" s="42"/>
      <c r="BH274" s="42"/>
      <c r="BI274" s="42"/>
      <c r="BJ274" s="42"/>
      <c r="BK274" s="42"/>
      <c r="BL274" s="42"/>
      <c r="BM274" s="42"/>
      <c r="BN274" s="42"/>
    </row>
    <row r="275" spans="1:66" ht="12.75" customHeight="1" x14ac:dyDescent="0.2">
      <c r="A275" s="1" t="s">
        <v>469</v>
      </c>
      <c r="B275" s="4">
        <f>_xll.ciqfunctions.udf.CIQ(InputTicker, "IQ_TOTAL_DEBT_REPAID_EXCL_LEASES",Input!D$2,Date,,,Ccy,Conv)</f>
        <v>-5622</v>
      </c>
      <c r="C275" s="4">
        <f>_xll.ciqfunctions.udf.CIQ(InputTicker, "IQ_TOTAL_DEBT_REPAID_EXCL_LEASES",Input!E$2,Date,,,Ccy,Conv)</f>
        <v>-6395</v>
      </c>
      <c r="D275" s="4">
        <f>_xll.ciqfunctions.udf.CIQ(InputTicker, "IQ_TOTAL_DEBT_REPAID_EXCL_LEASES",Input!F$2,Date,,,Ccy,Conv)</f>
        <v>-6816</v>
      </c>
      <c r="E275" s="4">
        <f>_xll.ciqfunctions.udf.CIQ(InputTicker, "IQ_TOTAL_DEBT_REPAID_EXCL_LEASES",Input!G$2,Date,,,Ccy,Conv)</f>
        <v>-8533</v>
      </c>
      <c r="F275" s="4">
        <f>_xll.ciqfunctions.udf.CIQ(InputTicker, "IQ_TOTAL_DEBT_REPAID_EXCL_LEASES",Input!H$2,Date,,,Ccy,Conv)</f>
        <v>-15541</v>
      </c>
      <c r="G275" s="4">
        <f>_xll.ciqfunctions.udf.CIQ(InputTicker, "IQ_TOTAL_DEBT_REPAID_EXCL_LEASES",Input!I$2,Date,,,Ccy,Conv)</f>
        <v>-14218</v>
      </c>
      <c r="H275" s="4">
        <f>_xll.ciqfunctions.udf.CIQ(InputTicker, "IQ_TOTAL_DEBT_REPAID_EXCL_LEASES",Input!J$2,Date,,,Ccy,Conv)</f>
        <v>-8637</v>
      </c>
      <c r="I275" s="4">
        <f>_xll.ciqfunctions.udf.CIQ(InputTicker, "IQ_TOTAL_DEBT_REPAID_EXCL_LEASES",Input!K$2,Date,,,Ccy,Conv)</f>
        <v>-6800</v>
      </c>
      <c r="J275" s="4">
        <f>_xll.ciqfunctions.udf.CIQ(InputTicker, "IQ_TOTAL_DEBT_REPAID_EXCL_LEASES",Input!L$2,Date,,,Ccy,Conv)</f>
        <v>-5089</v>
      </c>
      <c r="K275" s="4">
        <f>_xll.ciqfunctions.udf.CIQ(InputTicker, "IQ_TOTAL_DEBT_REPAID_EXCL_LEASES",Input!M$2,Date,,,Ccy,Conv)</f>
        <v>-6615</v>
      </c>
      <c r="L275" s="4">
        <f>_xll.ciqfunctions.udf.CIQ(InputTicker, "IQ_TOTAL_DEBT_REPAID_EXCL_LEASES",Input!N$2,Date,,,Ccy,Conv)</f>
        <v>-5518</v>
      </c>
      <c r="M275" s="4">
        <f>_xll.ciqfunctions.udf.CIQ(InputTicker, "IQ_TOTAL_DEBT_REPAID_EXCL_LEASES",Input!O$2,Date,,,Ccy,Conv)</f>
        <v>-5518</v>
      </c>
      <c r="N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  <c r="AK275" s="42"/>
      <c r="AL275" s="42"/>
      <c r="AM275" s="42"/>
      <c r="AN275" s="42"/>
      <c r="AO275" s="42"/>
      <c r="AP275" s="42"/>
      <c r="AQ275" s="42"/>
      <c r="AR275" s="42"/>
      <c r="AS275" s="42"/>
      <c r="AT275" s="42"/>
      <c r="AU275" s="42"/>
      <c r="AV275" s="42"/>
      <c r="AW275" s="42"/>
      <c r="AX275" s="42"/>
      <c r="AY275" s="42"/>
      <c r="AZ275" s="42"/>
      <c r="BA275" s="42"/>
      <c r="BB275" s="42"/>
      <c r="BC275" s="42"/>
      <c r="BD275" s="42"/>
      <c r="BE275" s="42"/>
      <c r="BF275" s="42"/>
      <c r="BG275" s="42"/>
      <c r="BH275" s="42"/>
      <c r="BI275" s="42"/>
      <c r="BJ275" s="42"/>
      <c r="BK275" s="42"/>
      <c r="BL275" s="42"/>
      <c r="BM275" s="42"/>
      <c r="BN275" s="42"/>
    </row>
    <row r="276" spans="1:66" ht="12.75" customHeight="1" x14ac:dyDescent="0.2">
      <c r="A276" s="1" t="s">
        <v>470</v>
      </c>
      <c r="B276" s="4">
        <f>_xll.ciqfunctions.udf.CIQ(InputTicker, "IQ_GAIN_BARGAIN_ACQ_CF",Input!D$2,Date,,,Ccy,Conv)</f>
        <v>0</v>
      </c>
      <c r="C276" s="4">
        <f>_xll.ciqfunctions.udf.CIQ(InputTicker, "IQ_GAIN_BARGAIN_ACQ_CF",Input!E$2,Date,,,Ccy,Conv)</f>
        <v>0</v>
      </c>
      <c r="D276" s="4">
        <f>_xll.ciqfunctions.udf.CIQ(InputTicker, "IQ_GAIN_BARGAIN_ACQ_CF",Input!F$2,Date,,,Ccy,Conv)</f>
        <v>0</v>
      </c>
      <c r="E276" s="4">
        <f>_xll.ciqfunctions.udf.CIQ(InputTicker, "IQ_GAIN_BARGAIN_ACQ_CF",Input!G$2,Date,,,Ccy,Conv)</f>
        <v>0</v>
      </c>
      <c r="F276" s="4">
        <f>_xll.ciqfunctions.udf.CIQ(InputTicker, "IQ_GAIN_BARGAIN_ACQ_CF",Input!H$2,Date,,,Ccy,Conv)</f>
        <v>0</v>
      </c>
      <c r="G276" s="4">
        <f>_xll.ciqfunctions.udf.CIQ(InputTicker, "IQ_GAIN_BARGAIN_ACQ_CF",Input!I$2,Date,,,Ccy,Conv)</f>
        <v>0</v>
      </c>
      <c r="H276" s="4">
        <f>_xll.ciqfunctions.udf.CIQ(InputTicker, "IQ_GAIN_BARGAIN_ACQ_CF",Input!J$2,Date,,,Ccy,Conv)</f>
        <v>0</v>
      </c>
      <c r="I276" s="4">
        <f>_xll.ciqfunctions.udf.CIQ(InputTicker, "IQ_GAIN_BARGAIN_ACQ_CF",Input!K$2,Date,,,Ccy,Conv)</f>
        <v>0</v>
      </c>
      <c r="J276" s="4">
        <f>_xll.ciqfunctions.udf.CIQ(InputTicker, "IQ_GAIN_BARGAIN_ACQ_CF",Input!L$2,Date,,,Ccy,Conv)</f>
        <v>0</v>
      </c>
      <c r="K276" s="4">
        <f>_xll.ciqfunctions.udf.CIQ(InputTicker, "IQ_GAIN_BARGAIN_ACQ_CF",Input!M$2,Date,,,Ccy,Conv)</f>
        <v>0</v>
      </c>
      <c r="L276" s="4">
        <f>_xll.ciqfunctions.udf.CIQ(InputTicker, "IQ_GAIN_BARGAIN_ACQ_CF",Input!N$2,Date,,,Ccy,Conv)</f>
        <v>0</v>
      </c>
      <c r="M276" s="4">
        <f>_xll.ciqfunctions.udf.CIQ(InputTicker, "IQ_GAIN_BARGAIN_ACQ_CF",Input!O$2,Date,,,Ccy,Conv)</f>
        <v>0</v>
      </c>
      <c r="N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  <c r="AK276" s="42"/>
      <c r="AL276" s="42"/>
      <c r="AM276" s="42"/>
      <c r="AN276" s="42"/>
      <c r="AO276" s="42"/>
      <c r="AP276" s="42"/>
      <c r="AQ276" s="42"/>
      <c r="AR276" s="42"/>
      <c r="AS276" s="42"/>
      <c r="AT276" s="42"/>
      <c r="AU276" s="42"/>
      <c r="AV276" s="42"/>
      <c r="AW276" s="42"/>
      <c r="AX276" s="42"/>
      <c r="AY276" s="42"/>
      <c r="AZ276" s="42"/>
      <c r="BA276" s="42"/>
      <c r="BB276" s="42"/>
      <c r="BC276" s="42"/>
      <c r="BD276" s="42"/>
      <c r="BE276" s="42"/>
      <c r="BF276" s="42"/>
      <c r="BG276" s="42"/>
      <c r="BH276" s="42"/>
      <c r="BI276" s="42"/>
      <c r="BJ276" s="42"/>
      <c r="BK276" s="42"/>
      <c r="BL276" s="42"/>
      <c r="BM276" s="42"/>
      <c r="BN276" s="42"/>
    </row>
    <row r="277" spans="1:66" ht="12.75" customHeight="1" x14ac:dyDescent="0.2">
      <c r="A277" s="1" t="s">
        <v>347</v>
      </c>
      <c r="B277" s="15" t="str">
        <f>_xll.ciqfunctions.udf.CIQ(InputTicker, "IQ_FILING_CURRENCY",Input!D$2,Date)</f>
        <v>USD</v>
      </c>
      <c r="C277" s="15" t="str">
        <f>_xll.ciqfunctions.udf.CIQ(InputTicker, "IQ_FILING_CURRENCY",Input!E$2,Date)</f>
        <v>USD</v>
      </c>
      <c r="D277" s="15" t="str">
        <f>_xll.ciqfunctions.udf.CIQ(InputTicker, "IQ_FILING_CURRENCY",Input!F$2,Date)</f>
        <v>USD</v>
      </c>
      <c r="E277" s="15" t="str">
        <f>_xll.ciqfunctions.udf.CIQ(InputTicker, "IQ_FILING_CURRENCY",Input!G$2,Date)</f>
        <v>USD</v>
      </c>
      <c r="F277" s="15" t="str">
        <f>_xll.ciqfunctions.udf.CIQ(InputTicker, "IQ_FILING_CURRENCY",Input!H$2,Date)</f>
        <v>USD</v>
      </c>
      <c r="G277" s="15" t="str">
        <f>_xll.ciqfunctions.udf.CIQ(InputTicker, "IQ_FILING_CURRENCY",Input!I$2,Date)</f>
        <v>USD</v>
      </c>
      <c r="H277" s="15" t="str">
        <f>_xll.ciqfunctions.udf.CIQ(InputTicker, "IQ_FILING_CURRENCY",Input!J$2,Date)</f>
        <v>USD</v>
      </c>
      <c r="I277" s="15" t="str">
        <f>_xll.ciqfunctions.udf.CIQ(InputTicker, "IQ_FILING_CURRENCY",Input!K$2,Date)</f>
        <v>USD</v>
      </c>
      <c r="J277" s="15" t="str">
        <f>_xll.ciqfunctions.udf.CIQ(InputTicker, "IQ_FILING_CURRENCY",Input!L$2,Date)</f>
        <v>USD</v>
      </c>
      <c r="K277" s="15" t="str">
        <f>_xll.ciqfunctions.udf.CIQ(InputTicker, "IQ_FILING_CURRENCY",Input!M$2,Date)</f>
        <v>USD</v>
      </c>
      <c r="L277" s="15" t="str">
        <f>_xll.ciqfunctions.udf.CIQ(InputTicker, "IQ_FILING_CURRENCY",Input!N$2,Date)</f>
        <v>USD</v>
      </c>
      <c r="M277" s="15" t="str">
        <f>_xll.ciqfunctions.udf.CIQ(InputTicker, "IQ_FILING_CURRENCY",Input!O$2,Date)</f>
        <v>USD</v>
      </c>
      <c r="N277" s="42"/>
      <c r="P277" s="46"/>
      <c r="Q277" s="46"/>
      <c r="R277" s="46"/>
      <c r="S277" s="46"/>
      <c r="T277" s="42"/>
      <c r="U277" s="42"/>
      <c r="V277" s="46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  <c r="AK277" s="42"/>
      <c r="AL277" s="42"/>
      <c r="AM277" s="42"/>
      <c r="AN277" s="42"/>
      <c r="AO277" s="42"/>
      <c r="AP277" s="42"/>
      <c r="AQ277" s="42"/>
      <c r="AR277" s="42"/>
      <c r="AS277" s="42"/>
      <c r="AT277" s="42"/>
      <c r="AU277" s="42"/>
      <c r="AV277" s="42"/>
      <c r="AW277" s="42"/>
      <c r="AX277" s="42"/>
      <c r="AY277" s="42"/>
      <c r="AZ277" s="42"/>
      <c r="BA277" s="42"/>
      <c r="BB277" s="42"/>
      <c r="BC277" s="42"/>
      <c r="BD277" s="42"/>
      <c r="BE277" s="42"/>
      <c r="BF277" s="42"/>
      <c r="BG277" s="42"/>
      <c r="BH277" s="42"/>
      <c r="BI277" s="42"/>
      <c r="BJ277" s="42"/>
      <c r="BK277" s="42"/>
      <c r="BL277" s="42"/>
      <c r="BM277" s="42"/>
      <c r="BN277" s="42"/>
    </row>
    <row r="278" spans="1:66" ht="12.75" customHeight="1" x14ac:dyDescent="0.2">
      <c r="A278" s="1" t="s">
        <v>345</v>
      </c>
      <c r="B278" s="15" t="str">
        <f>_xll.ciqfunctions.udf.CIQ(InputTicker, "IQ_RESTATEMENT_CF",Input!D$2,Date)</f>
        <v>RS</v>
      </c>
      <c r="C278" s="15" t="str">
        <f>_xll.ciqfunctions.udf.CIQ(InputTicker, "IQ_RESTATEMENT_CF",Input!E$2,Date)</f>
        <v>RS</v>
      </c>
      <c r="D278" s="15" t="str">
        <f>_xll.ciqfunctions.udf.CIQ(InputTicker, "IQ_RESTATEMENT_CF",Input!F$2,Date)</f>
        <v>RS</v>
      </c>
      <c r="E278" s="15" t="str">
        <f>_xll.ciqfunctions.udf.CIQ(InputTicker, "IQ_RESTATEMENT_CF",Input!G$2,Date)</f>
        <v>NC</v>
      </c>
      <c r="F278" s="15" t="str">
        <f>_xll.ciqfunctions.udf.CIQ(InputTicker, "IQ_RESTATEMENT_CF",Input!H$2,Date)</f>
        <v>NC</v>
      </c>
      <c r="G278" s="15" t="str">
        <f>_xll.ciqfunctions.udf.CIQ(InputTicker, "IQ_RESTATEMENT_CF",Input!I$2,Date)</f>
        <v>NC</v>
      </c>
      <c r="H278" s="15" t="str">
        <f>_xll.ciqfunctions.udf.CIQ(InputTicker, "IQ_RESTATEMENT_CF",Input!J$2,Date)</f>
        <v>NC</v>
      </c>
      <c r="I278" s="15" t="str">
        <f>_xll.ciqfunctions.udf.CIQ(InputTicker, "IQ_RESTATEMENT_CF",Input!K$2,Date)</f>
        <v>RS</v>
      </c>
      <c r="J278" s="15" t="str">
        <f>_xll.ciqfunctions.udf.CIQ(InputTicker, "IQ_RESTATEMENT_CF",Input!L$2,Date)</f>
        <v>NC</v>
      </c>
      <c r="K278" s="15" t="str">
        <f>_xll.ciqfunctions.udf.CIQ(InputTicker, "IQ_RESTATEMENT_CF",Input!M$2,Date)</f>
        <v>NC</v>
      </c>
      <c r="L278" s="15" t="str">
        <f>_xll.ciqfunctions.udf.CIQ(InputTicker, "IQ_RESTATEMENT_CF",Input!N$2,Date)</f>
        <v>O</v>
      </c>
      <c r="M278" s="15" t="str">
        <f>_xll.ciqfunctions.udf.CIQ(InputTicker, "IQ_RESTATEMENT_CF",Input!O$2,Date)</f>
        <v>O</v>
      </c>
      <c r="N278" s="42"/>
      <c r="T278" s="46"/>
      <c r="U278" s="46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  <c r="BA278" s="42"/>
      <c r="BB278" s="42"/>
      <c r="BC278" s="42"/>
      <c r="BD278" s="42"/>
      <c r="BE278" s="42"/>
      <c r="BF278" s="42"/>
      <c r="BG278" s="42"/>
      <c r="BH278" s="42"/>
      <c r="BI278" s="42"/>
      <c r="BJ278" s="42"/>
      <c r="BK278" s="42"/>
      <c r="BL278" s="42"/>
      <c r="BM278" s="42"/>
      <c r="BN278" s="42"/>
    </row>
    <row r="279" spans="1:66" ht="12.75" customHeight="1" x14ac:dyDescent="0.2">
      <c r="A279" s="1" t="s">
        <v>346</v>
      </c>
      <c r="B279" s="15" t="str">
        <f>_xll.ciqfunctions.udf.CIQ(InputTicker, "IQ_CALC_TYPE_CF",Input!D$2,Date)</f>
        <v>REP</v>
      </c>
      <c r="C279" s="15" t="str">
        <f>_xll.ciqfunctions.udf.CIQ(InputTicker, "IQ_CALC_TYPE_CF",Input!E$2,Date)</f>
        <v>REP</v>
      </c>
      <c r="D279" s="15" t="str">
        <f>_xll.ciqfunctions.udf.CIQ(InputTicker, "IQ_CALC_TYPE_CF",Input!F$2,Date)</f>
        <v>RUP</v>
      </c>
      <c r="E279" s="15" t="str">
        <f>_xll.ciqfunctions.udf.CIQ(InputTicker, "IQ_CALC_TYPE_CF",Input!G$2,Date)</f>
        <v>REP</v>
      </c>
      <c r="F279" s="15" t="str">
        <f>_xll.ciqfunctions.udf.CIQ(InputTicker, "IQ_CALC_TYPE_CF",Input!H$2,Date)</f>
        <v>REP</v>
      </c>
      <c r="G279" s="15" t="str">
        <f>_xll.ciqfunctions.udf.CIQ(InputTicker, "IQ_CALC_TYPE_CF",Input!I$2,Date)</f>
        <v>REP</v>
      </c>
      <c r="H279" s="15" t="str">
        <f>_xll.ciqfunctions.udf.CIQ(InputTicker, "IQ_CALC_TYPE_CF",Input!J$2,Date)</f>
        <v>REP</v>
      </c>
      <c r="I279" s="15" t="str">
        <f>_xll.ciqfunctions.udf.CIQ(InputTicker, "IQ_CALC_TYPE_CF",Input!K$2,Date)</f>
        <v>REP</v>
      </c>
      <c r="J279" s="15" t="str">
        <f>_xll.ciqfunctions.udf.CIQ(InputTicker, "IQ_CALC_TYPE_CF",Input!L$2,Date)</f>
        <v>REP</v>
      </c>
      <c r="K279" s="15" t="str">
        <f>_xll.ciqfunctions.udf.CIQ(InputTicker, "IQ_CALC_TYPE_CF",Input!M$2,Date)</f>
        <v>REP</v>
      </c>
      <c r="L279" s="15" t="str">
        <f>_xll.ciqfunctions.udf.CIQ(InputTicker, "IQ_CALC_TYPE_CF",Input!N$2,Date)</f>
        <v>REP</v>
      </c>
      <c r="M279" s="15" t="str">
        <f>_xll.ciqfunctions.udf.CIQ(InputTicker, "IQ_CALC_TYPE_CF",Input!O$2,Date)</f>
        <v>REP</v>
      </c>
      <c r="N279" s="42"/>
      <c r="S279" s="46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  <c r="AN279" s="42"/>
      <c r="AO279" s="42"/>
      <c r="AP279" s="42"/>
      <c r="AQ279" s="42"/>
      <c r="AR279" s="42"/>
      <c r="AS279" s="42"/>
      <c r="AT279" s="42"/>
      <c r="AU279" s="42"/>
      <c r="AV279" s="42"/>
      <c r="AW279" s="42"/>
      <c r="AX279" s="42"/>
      <c r="AY279" s="42"/>
      <c r="AZ279" s="42"/>
      <c r="BA279" s="42"/>
      <c r="BB279" s="42"/>
      <c r="BC279" s="42"/>
      <c r="BD279" s="42"/>
      <c r="BE279" s="42"/>
      <c r="BF279" s="42"/>
      <c r="BG279" s="42"/>
      <c r="BH279" s="42"/>
      <c r="BI279" s="42"/>
      <c r="BJ279" s="42"/>
      <c r="BK279" s="42"/>
      <c r="BL279" s="42"/>
      <c r="BM279" s="42"/>
      <c r="BN279" s="42"/>
    </row>
    <row r="280" spans="1:66" ht="12.75" customHeight="1" x14ac:dyDescent="0.2">
      <c r="A280" s="1" t="s">
        <v>376</v>
      </c>
      <c r="B280" s="15" t="str">
        <f>_xll.ciqfunctions.udf.CIQ(InputTicker, "IQ_GAAP_CF",Input!D$2,Date)</f>
        <v>US GAAP</v>
      </c>
      <c r="C280" s="15" t="str">
        <f>_xll.ciqfunctions.udf.CIQ(InputTicker, "IQ_GAAP_CF",Input!E$2,Date)</f>
        <v>US GAAP</v>
      </c>
      <c r="D280" s="15" t="str">
        <f>_xll.ciqfunctions.udf.CIQ(InputTicker, "IQ_GAAP_CF",Input!F$2,Date)</f>
        <v>US GAAP</v>
      </c>
      <c r="E280" s="15" t="str">
        <f>_xll.ciqfunctions.udf.CIQ(InputTicker, "IQ_GAAP_CF",Input!G$2,Date)</f>
        <v>US GAAP</v>
      </c>
      <c r="F280" s="15" t="str">
        <f>_xll.ciqfunctions.udf.CIQ(InputTicker, "IQ_GAAP_CF",Input!H$2,Date)</f>
        <v>US GAAP</v>
      </c>
      <c r="G280" s="15" t="str">
        <f>_xll.ciqfunctions.udf.CIQ(InputTicker, "IQ_GAAP_CF",Input!I$2,Date)</f>
        <v>US GAAP</v>
      </c>
      <c r="H280" s="15" t="str">
        <f>_xll.ciqfunctions.udf.CIQ(InputTicker, "IQ_GAAP_CF",Input!J$2,Date)</f>
        <v>US GAAP</v>
      </c>
      <c r="I280" s="15" t="str">
        <f>_xll.ciqfunctions.udf.CIQ(InputTicker, "IQ_GAAP_CF",Input!K$2,Date)</f>
        <v>US GAAP</v>
      </c>
      <c r="J280" s="15" t="str">
        <f>_xll.ciqfunctions.udf.CIQ(InputTicker, "IQ_GAAP_CF",Input!L$2,Date)</f>
        <v>US GAAP</v>
      </c>
      <c r="K280" s="15" t="str">
        <f>_xll.ciqfunctions.udf.CIQ(InputTicker, "IQ_GAAP_CF",Input!M$2,Date)</f>
        <v>US GAAP</v>
      </c>
      <c r="L280" s="15" t="str">
        <f>_xll.ciqfunctions.udf.CIQ(InputTicker, "IQ_GAAP_CF",Input!N$2,Date)</f>
        <v>US GAAP</v>
      </c>
      <c r="M280" s="15" t="str">
        <f>_xll.ciqfunctions.udf.CIQ(InputTicker, "IQ_GAAP_CF",Input!O$2,Date)</f>
        <v>US GAAP</v>
      </c>
      <c r="N280" s="42"/>
      <c r="P280" s="46"/>
      <c r="Q280" s="46"/>
      <c r="R280" s="46"/>
      <c r="T280" s="46"/>
      <c r="U280" s="46"/>
      <c r="V280" s="46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  <c r="AK280" s="42"/>
      <c r="AL280" s="42"/>
      <c r="AM280" s="42"/>
      <c r="AN280" s="42"/>
      <c r="AO280" s="42"/>
      <c r="AP280" s="42"/>
      <c r="AQ280" s="42"/>
      <c r="AR280" s="42"/>
      <c r="AS280" s="42"/>
      <c r="AT280" s="42"/>
      <c r="AU280" s="42"/>
      <c r="AV280" s="42"/>
      <c r="AW280" s="42"/>
      <c r="AX280" s="42"/>
      <c r="AY280" s="42"/>
      <c r="AZ280" s="42"/>
      <c r="BA280" s="42"/>
      <c r="BB280" s="42"/>
      <c r="BC280" s="42"/>
      <c r="BD280" s="42"/>
      <c r="BE280" s="42"/>
      <c r="BF280" s="42"/>
      <c r="BG280" s="42"/>
      <c r="BH280" s="42"/>
      <c r="BI280" s="42"/>
      <c r="BJ280" s="42"/>
      <c r="BK280" s="42"/>
      <c r="BL280" s="42"/>
      <c r="BM280" s="42"/>
      <c r="BN280" s="42"/>
    </row>
    <row r="281" spans="1:66" ht="12.75" customHeight="1" x14ac:dyDescent="0.2">
      <c r="A281" s="1" t="s">
        <v>85</v>
      </c>
      <c r="B281" s="4">
        <f>_xll.ciqfunctions.udf.CIQ(InputTicker, "IQ_CASH_EQUIV",Input!D$2,Date,,,Ccy,Conv)</f>
        <v>7686</v>
      </c>
      <c r="C281" s="4">
        <f>_xll.ciqfunctions.udf.CIQ(InputTicker, "IQ_CASH_EQUIV",Input!E$2,Date,,,Ccy,Conv)</f>
        <v>7826</v>
      </c>
      <c r="D281" s="4">
        <f>_xll.ciqfunctions.udf.CIQ(InputTicker, "IQ_CASH_EQUIV",Input!F$2,Date,,,Ccy,Conv)</f>
        <v>11972</v>
      </c>
      <c r="E281" s="4">
        <f>_xll.ciqfunctions.udf.CIQ(InputTicker, "IQ_CASH_EQUIV",Input!G$2,Date,,,Ccy,Conv)</f>
        <v>11379</v>
      </c>
      <c r="F281" s="4">
        <f>_xll.ciqfunctions.udf.CIQ(InputTicker, "IQ_CASH_EQUIV",Input!H$2,Date,,,Ccy,Conv)</f>
        <v>8172</v>
      </c>
      <c r="G281" s="4">
        <f>_xll.ciqfunctions.udf.CIQ(InputTicker, "IQ_CASH_EQUIV",Input!I$2,Date,,,Ccy,Conv)</f>
        <v>13188</v>
      </c>
      <c r="H281" s="4">
        <f>_xll.ciqfunctions.udf.CIQ(InputTicker, "IQ_CASH_EQUIV",Input!J$2,Date,,,Ccy,Conv)</f>
        <v>6650</v>
      </c>
      <c r="I281" s="4">
        <f>_xll.ciqfunctions.udf.CIQ(InputTicker, "IQ_CASH_EQUIV",Input!K$2,Date,,,Ccy,Conv)</f>
        <v>7886</v>
      </c>
      <c r="J281" s="4">
        <f>_xll.ciqfunctions.udf.CIQ(InputTicker, "IQ_CASH_EQUIV",Input!L$2,Date,,,Ccy,Conv)</f>
        <v>13068</v>
      </c>
      <c r="K281" s="4">
        <f>_xll.ciqfunctions.udf.CIQ(InputTicker, "IQ_CASH_EQUIV",Input!M$2,Date,,,Ccy,Conv)</f>
        <v>13947</v>
      </c>
      <c r="L281" s="4">
        <f>_xll.ciqfunctions.udf.CIQ(InputTicker, "IQ_CASH_EQUIV",Input!N$2,Date,,,Ccy,Conv)</f>
        <v>13587</v>
      </c>
      <c r="M281" s="4">
        <f>_xll.ciqfunctions.udf.CIQ(InputTicker, "IQ_CASH_EQUIV",Input!O$2,Date,,,Ccy,Conv)</f>
        <v>13587</v>
      </c>
      <c r="N281" s="42"/>
      <c r="S281" s="46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  <c r="AK281" s="42"/>
      <c r="AL281" s="42"/>
      <c r="AM281" s="42"/>
      <c r="AN281" s="42"/>
      <c r="AO281" s="42"/>
      <c r="AP281" s="42"/>
      <c r="AQ281" s="42"/>
      <c r="AR281" s="42"/>
      <c r="AS281" s="42"/>
      <c r="AT281" s="42"/>
      <c r="AU281" s="42"/>
      <c r="AV281" s="42"/>
      <c r="AW281" s="42"/>
      <c r="AX281" s="42"/>
      <c r="AY281" s="42"/>
      <c r="AZ281" s="42"/>
      <c r="BA281" s="42"/>
      <c r="BB281" s="42"/>
      <c r="BC281" s="42"/>
      <c r="BD281" s="42"/>
      <c r="BE281" s="42"/>
      <c r="BF281" s="42"/>
      <c r="BG281" s="42"/>
      <c r="BH281" s="42"/>
      <c r="BI281" s="42"/>
      <c r="BJ281" s="42"/>
      <c r="BK281" s="42"/>
      <c r="BL281" s="42"/>
      <c r="BM281" s="42"/>
      <c r="BN281" s="42"/>
    </row>
    <row r="282" spans="1:66" ht="12.75" customHeight="1" x14ac:dyDescent="0.2">
      <c r="A282" s="1" t="s">
        <v>86</v>
      </c>
      <c r="B282" s="4">
        <f>_xll.ciqfunctions.udf.CIQ(InputTicker, "IQ_ST_INVEST",Input!D$2,Date,,,Ccy,Conv)</f>
        <v>508</v>
      </c>
      <c r="C282" s="4">
        <f>_xll.ciqfunctions.udf.CIQ(InputTicker, "IQ_ST_INVEST",Input!E$2,Date,,,Ccy,Conv)</f>
        <v>701</v>
      </c>
      <c r="D282" s="4">
        <f>_xll.ciqfunctions.udf.CIQ(InputTicker, "IQ_ST_INVEST",Input!F$2,Date,,,Ccy,Conv)</f>
        <v>608</v>
      </c>
      <c r="E282" s="4">
        <f>_xll.ciqfunctions.udf.CIQ(InputTicker, "IQ_ST_INVEST",Input!G$2,Date,,,Ccy,Conv)</f>
        <v>618</v>
      </c>
      <c r="F282" s="4">
        <f>_xll.ciqfunctions.udf.CIQ(InputTicker, "IQ_ST_INVEST",Input!H$2,Date,,,Ccy,Conv)</f>
        <v>696</v>
      </c>
      <c r="G282" s="4">
        <f>_xll.ciqfunctions.udf.CIQ(InputTicker, "IQ_ST_INVEST",Input!I$2,Date,,,Ccy,Conv)</f>
        <v>600</v>
      </c>
      <c r="H282" s="4">
        <f>_xll.ciqfunctions.udf.CIQ(InputTicker, "IQ_ST_INVEST",Input!J$2,Date,,,Ccy,Conv)</f>
        <v>600</v>
      </c>
      <c r="I282" s="4">
        <f>_xll.ciqfunctions.udf.CIQ(InputTicker, "IQ_ST_INVEST",Input!K$2,Date,,,Ccy,Conv)</f>
        <v>852</v>
      </c>
      <c r="J282" s="4">
        <f>_xll.ciqfunctions.udf.CIQ(InputTicker, "IQ_ST_INVEST",Input!L$2,Date,,,Ccy,Conv)</f>
        <v>373</v>
      </c>
      <c r="K282" s="4">
        <f>_xll.ciqfunctions.udf.CIQ(InputTicker, "IQ_ST_INVEST",Input!M$2,Date,,,Ccy,Conv)</f>
        <v>644</v>
      </c>
      <c r="L282" s="4">
        <f>_xll.ciqfunctions.udf.CIQ(InputTicker, "IQ_ST_INVEST",Input!N$2,Date,,,Ccy,Conv)</f>
        <v>830</v>
      </c>
      <c r="M282" s="4">
        <f>_xll.ciqfunctions.udf.CIQ(InputTicker, "IQ_ST_INVEST",Input!O$2,Date,,,Ccy,Conv)</f>
        <v>830</v>
      </c>
      <c r="N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  <c r="BA282" s="42"/>
      <c r="BB282" s="42"/>
      <c r="BC282" s="42"/>
      <c r="BD282" s="42"/>
      <c r="BE282" s="42"/>
      <c r="BF282" s="42"/>
      <c r="BG282" s="42"/>
      <c r="BH282" s="42"/>
      <c r="BI282" s="42"/>
      <c r="BJ282" s="42"/>
      <c r="BK282" s="42"/>
      <c r="BL282" s="42"/>
      <c r="BM282" s="42"/>
      <c r="BN282" s="42"/>
    </row>
    <row r="283" spans="1:66" ht="12.75" customHeight="1" x14ac:dyDescent="0.2">
      <c r="A283" s="1" t="s">
        <v>170</v>
      </c>
      <c r="B283" s="4">
        <f>_xll.ciqfunctions.udf.CIQ(InputTicker, "IQ_TRADING_ASSETS",Input!D$2,Date,,,Ccy,Conv)</f>
        <v>0</v>
      </c>
      <c r="C283" s="4">
        <f>_xll.ciqfunctions.udf.CIQ(InputTicker, "IQ_TRADING_ASSETS",Input!E$2,Date,,,Ccy,Conv)</f>
        <v>0</v>
      </c>
      <c r="D283" s="4">
        <f>_xll.ciqfunctions.udf.CIQ(InputTicker, "IQ_TRADING_ASSETS",Input!F$2,Date,,,Ccy,Conv)</f>
        <v>2</v>
      </c>
      <c r="E283" s="4">
        <f>_xll.ciqfunctions.udf.CIQ(InputTicker, "IQ_TRADING_ASSETS",Input!G$2,Date,,,Ccy,Conv)</f>
        <v>0</v>
      </c>
      <c r="F283" s="4">
        <f>_xll.ciqfunctions.udf.CIQ(InputTicker, "IQ_TRADING_ASSETS",Input!H$2,Date,,,Ccy,Conv)</f>
        <v>0</v>
      </c>
      <c r="G283" s="4">
        <f>_xll.ciqfunctions.udf.CIQ(InputTicker, "IQ_TRADING_ASSETS",Input!I$2,Date,,,Ccy,Conv)</f>
        <v>0</v>
      </c>
      <c r="H283" s="4">
        <f>_xll.ciqfunctions.udf.CIQ(InputTicker, "IQ_TRADING_ASSETS",Input!J$2,Date,,,Ccy,Conv)</f>
        <v>0</v>
      </c>
      <c r="I283" s="4">
        <f>_xll.ciqfunctions.udf.CIQ(InputTicker, "IQ_TRADING_ASSETS",Input!K$2,Date,,,Ccy,Conv)</f>
        <v>0</v>
      </c>
      <c r="J283" s="4">
        <f>_xll.ciqfunctions.udf.CIQ(InputTicker, "IQ_TRADING_ASSETS",Input!L$2,Date,,,Ccy,Conv)</f>
        <v>0</v>
      </c>
      <c r="K283" s="4">
        <f>_xll.ciqfunctions.udf.CIQ(InputTicker, "IQ_TRADING_ASSETS",Input!M$2,Date,,,Ccy,Conv)</f>
        <v>0</v>
      </c>
      <c r="L283" s="4">
        <f>_xll.ciqfunctions.udf.CIQ(InputTicker, "IQ_TRADING_ASSETS",Input!N$2,Date,,,Ccy,Conv)</f>
        <v>0</v>
      </c>
      <c r="M283" s="4">
        <f>_xll.ciqfunctions.udf.CIQ(InputTicker, "IQ_TRADING_ASSETS",Input!O$2,Date,,,Ccy,Conv)</f>
        <v>0</v>
      </c>
      <c r="N283" s="46"/>
      <c r="S283" s="46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42"/>
      <c r="AN283" s="42"/>
      <c r="AO283" s="42"/>
      <c r="AP283" s="42"/>
      <c r="AQ283" s="42"/>
      <c r="AR283" s="42"/>
      <c r="AS283" s="42"/>
      <c r="AT283" s="42"/>
      <c r="AU283" s="42"/>
      <c r="AV283" s="42"/>
      <c r="AW283" s="42"/>
      <c r="AX283" s="42"/>
      <c r="AY283" s="42"/>
      <c r="AZ283" s="42"/>
      <c r="BA283" s="42"/>
      <c r="BB283" s="42"/>
      <c r="BC283" s="42"/>
      <c r="BD283" s="42"/>
      <c r="BE283" s="42"/>
      <c r="BF283" s="42"/>
      <c r="BG283" s="42"/>
      <c r="BH283" s="42"/>
      <c r="BI283" s="42"/>
      <c r="BJ283" s="42"/>
      <c r="BK283" s="42"/>
      <c r="BL283" s="42"/>
      <c r="BM283" s="42"/>
      <c r="BN283" s="42"/>
    </row>
    <row r="284" spans="1:66" ht="12.75" customHeight="1" x14ac:dyDescent="0.2">
      <c r="A284" s="5" t="s">
        <v>87</v>
      </c>
      <c r="B284" s="6">
        <f>_xll.ciqfunctions.udf.CIQ(InputTicker, "IQ_CASH_ST_INVEST",Input!D$2,Date,,,Ccy,Conv)</f>
        <v>8194</v>
      </c>
      <c r="C284" s="6">
        <f>_xll.ciqfunctions.udf.CIQ(InputTicker, "IQ_CASH_ST_INVEST",Input!E$2,Date,,,Ccy,Conv)</f>
        <v>8527</v>
      </c>
      <c r="D284" s="6">
        <f>_xll.ciqfunctions.udf.CIQ(InputTicker, "IQ_CASH_ST_INVEST",Input!F$2,Date,,,Ccy,Conv)</f>
        <v>12582</v>
      </c>
      <c r="E284" s="6">
        <f>_xll.ciqfunctions.udf.CIQ(InputTicker, "IQ_CASH_ST_INVEST",Input!G$2,Date,,,Ccy,Conv)</f>
        <v>11997</v>
      </c>
      <c r="F284" s="6">
        <f>_xll.ciqfunctions.udf.CIQ(InputTicker, "IQ_CASH_ST_INVEST",Input!H$2,Date,,,Ccy,Conv)</f>
        <v>8868</v>
      </c>
      <c r="G284" s="6">
        <f>_xll.ciqfunctions.udf.CIQ(InputTicker, "IQ_CASH_ST_INVEST",Input!I$2,Date,,,Ccy,Conv)</f>
        <v>13788</v>
      </c>
      <c r="H284" s="6">
        <f>_xll.ciqfunctions.udf.CIQ(InputTicker, "IQ_CASH_ST_INVEST",Input!J$2,Date,,,Ccy,Conv)</f>
        <v>7250</v>
      </c>
      <c r="I284" s="6">
        <f>_xll.ciqfunctions.udf.CIQ(InputTicker, "IQ_CASH_ST_INVEST",Input!K$2,Date,,,Ccy,Conv)</f>
        <v>8738</v>
      </c>
      <c r="J284" s="6">
        <f>_xll.ciqfunctions.udf.CIQ(InputTicker, "IQ_CASH_ST_INVEST",Input!L$2,Date,,,Ccy,Conv)</f>
        <v>13441</v>
      </c>
      <c r="K284" s="6">
        <f>_xll.ciqfunctions.udf.CIQ(InputTicker, "IQ_CASH_ST_INVEST",Input!M$2,Date,,,Ccy,Conv)</f>
        <v>14591</v>
      </c>
      <c r="L284" s="6">
        <f>_xll.ciqfunctions.udf.CIQ(InputTicker, "IQ_CASH_ST_INVEST",Input!N$2,Date,,,Ccy,Conv)</f>
        <v>14417</v>
      </c>
      <c r="M284" s="6">
        <f>_xll.ciqfunctions.udf.CIQ(InputTicker, "IQ_CASH_ST_INVEST",Input!O$2,Date,,,Ccy,Conv)</f>
        <v>14417</v>
      </c>
      <c r="N284" s="42"/>
      <c r="P284" s="46"/>
      <c r="Q284" s="46"/>
      <c r="R284" s="46"/>
      <c r="T284" s="42"/>
      <c r="U284" s="42"/>
      <c r="V284" s="46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  <c r="AK284" s="42"/>
      <c r="AL284" s="42"/>
      <c r="AM284" s="42"/>
      <c r="AN284" s="42"/>
      <c r="AO284" s="42"/>
      <c r="AP284" s="42"/>
      <c r="AQ284" s="42"/>
      <c r="AR284" s="42"/>
      <c r="AS284" s="42"/>
      <c r="AT284" s="42"/>
      <c r="AU284" s="42"/>
      <c r="AV284" s="42"/>
      <c r="AW284" s="42"/>
      <c r="AX284" s="42"/>
      <c r="AY284" s="42"/>
      <c r="AZ284" s="42"/>
      <c r="BA284" s="42"/>
      <c r="BB284" s="42"/>
      <c r="BC284" s="42"/>
      <c r="BD284" s="42"/>
      <c r="BE284" s="42"/>
      <c r="BF284" s="42"/>
      <c r="BG284" s="42"/>
      <c r="BH284" s="42"/>
      <c r="BI284" s="42"/>
      <c r="BJ284" s="42"/>
      <c r="BK284" s="42"/>
      <c r="BL284" s="42"/>
      <c r="BM284" s="42"/>
      <c r="BN284" s="42"/>
    </row>
    <row r="285" spans="1:66" ht="12.75" customHeight="1" x14ac:dyDescent="0.2">
      <c r="A285" s="1" t="s">
        <v>55</v>
      </c>
      <c r="B285" s="4">
        <f>_xll.ciqfunctions.udf.CIQ(InputTicker, "IQ_AR",Input!D$2,Date,,,Ccy,Conv)</f>
        <v>8333</v>
      </c>
      <c r="C285" s="4">
        <f>_xll.ciqfunctions.udf.CIQ(InputTicker, "IQ_AR",Input!E$2,Date,,,Ccy,Conv)</f>
        <v>9182</v>
      </c>
      <c r="D285" s="4">
        <f>_xll.ciqfunctions.udf.CIQ(InputTicker, "IQ_AR",Input!F$2,Date,,,Ccy,Conv)</f>
        <v>9399</v>
      </c>
      <c r="E285" s="4">
        <f>_xll.ciqfunctions.udf.CIQ(InputTicker, "IQ_AR",Input!G$2,Date,,,Ccy,Conv)</f>
        <v>7902</v>
      </c>
      <c r="F285" s="4">
        <f>_xll.ciqfunctions.udf.CIQ(InputTicker, "IQ_AR",Input!H$2,Date,,,Ccy,Conv)</f>
        <v>8362</v>
      </c>
      <c r="G285" s="4">
        <f>_xll.ciqfunctions.udf.CIQ(InputTicker, "IQ_AR",Input!I$2,Date,,,Ccy,Conv)</f>
        <v>6215</v>
      </c>
      <c r="H285" s="4">
        <f>_xll.ciqfunctions.udf.CIQ(InputTicker, "IQ_AR",Input!J$2,Date,,,Ccy,Conv)</f>
        <v>7225</v>
      </c>
      <c r="I285" s="4">
        <f>_xll.ciqfunctions.udf.CIQ(InputTicker, "IQ_AR",Input!K$2,Date,,,Ccy,Conv)</f>
        <v>7005</v>
      </c>
      <c r="J285" s="4">
        <f>_xll.ciqfunctions.udf.CIQ(InputTicker, "IQ_AR",Input!L$2,Date,,,Ccy,Conv)</f>
        <v>7719</v>
      </c>
      <c r="K285" s="4">
        <f>_xll.ciqfunctions.udf.CIQ(InputTicker, "IQ_AR",Input!M$2,Date,,,Ccy,Conv)</f>
        <v>7237</v>
      </c>
      <c r="L285" s="4">
        <f>_xll.ciqfunctions.udf.CIQ(InputTicker, "IQ_AR",Input!N$2,Date,,,Ccy,Conv)</f>
        <v>8594</v>
      </c>
      <c r="M285" s="4">
        <f>_xll.ciqfunctions.udf.CIQ(InputTicker, "IQ_AR",Input!O$2,Date,,,Ccy,Conv)</f>
        <v>8594</v>
      </c>
      <c r="N285" s="42"/>
      <c r="P285" s="46"/>
      <c r="Q285" s="46"/>
      <c r="R285" s="46"/>
      <c r="T285" s="42"/>
      <c r="U285" s="42"/>
      <c r="V285" s="46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  <c r="AK285" s="42"/>
      <c r="AL285" s="42"/>
      <c r="AM285" s="42"/>
      <c r="AN285" s="42"/>
      <c r="AO285" s="42"/>
      <c r="AP285" s="42"/>
      <c r="AQ285" s="42"/>
      <c r="AR285" s="42"/>
      <c r="AS285" s="42"/>
      <c r="AT285" s="42"/>
      <c r="AU285" s="42"/>
      <c r="AV285" s="42"/>
      <c r="AW285" s="42"/>
      <c r="AX285" s="42"/>
      <c r="AY285" s="42"/>
      <c r="AZ285" s="42"/>
      <c r="BA285" s="42"/>
      <c r="BB285" s="42"/>
      <c r="BC285" s="42"/>
      <c r="BD285" s="42"/>
      <c r="BE285" s="42"/>
      <c r="BF285" s="42"/>
      <c r="BG285" s="42"/>
      <c r="BH285" s="42"/>
      <c r="BI285" s="42"/>
      <c r="BJ285" s="42"/>
      <c r="BK285" s="42"/>
      <c r="BL285" s="42"/>
      <c r="BM285" s="42"/>
      <c r="BN285" s="42"/>
    </row>
    <row r="286" spans="1:66" ht="12.75" customHeight="1" x14ac:dyDescent="0.2">
      <c r="A286" s="1" t="s">
        <v>171</v>
      </c>
      <c r="B286" s="4">
        <f>_xll.ciqfunctions.udf.CIQ(InputTicker, "IQ_OTHER_RECEIV",Input!D$2,Date,,,Ccy,Conv)</f>
        <v>1201</v>
      </c>
      <c r="C286" s="4">
        <f>_xll.ciqfunctions.udf.CIQ(InputTicker, "IQ_OTHER_RECEIV",Input!E$2,Date,,,Ccy,Conv)</f>
        <v>1057</v>
      </c>
      <c r="D286" s="4">
        <f>_xll.ciqfunctions.udf.CIQ(InputTicker, "IQ_OTHER_RECEIV",Input!F$2,Date,,,Ccy,Conv)</f>
        <v>981</v>
      </c>
      <c r="E286" s="4">
        <f>_xll.ciqfunctions.udf.CIQ(InputTicker, "IQ_OTHER_RECEIV",Input!G$2,Date,,,Ccy,Conv)</f>
        <v>743</v>
      </c>
      <c r="F286" s="4">
        <f>_xll.ciqfunctions.udf.CIQ(InputTicker, "IQ_OTHER_RECEIV",Input!H$2,Date,,,Ccy,Conv)</f>
        <v>1707</v>
      </c>
      <c r="G286" s="4">
        <f>_xll.ciqfunctions.udf.CIQ(InputTicker, "IQ_OTHER_RECEIV",Input!I$2,Date,,,Ccy,Conv)</f>
        <v>695</v>
      </c>
      <c r="H286" s="4">
        <f>_xll.ciqfunctions.udf.CIQ(InputTicker, "IQ_OTHER_RECEIV",Input!J$2,Date,,,Ccy,Conv)</f>
        <v>1000</v>
      </c>
      <c r="I286" s="4">
        <f>_xll.ciqfunctions.udf.CIQ(InputTicker, "IQ_OTHER_RECEIV",Input!K$2,Date,,,Ccy,Conv)</f>
        <v>677</v>
      </c>
      <c r="J286" s="4">
        <f>_xll.ciqfunctions.udf.CIQ(InputTicker, "IQ_OTHER_RECEIV",Input!L$2,Date,,,Ccy,Conv)</f>
        <v>629</v>
      </c>
      <c r="K286" s="4">
        <f>_xll.ciqfunctions.udf.CIQ(InputTicker, "IQ_OTHER_RECEIV",Input!M$2,Date,,,Ccy,Conv)</f>
        <v>947</v>
      </c>
      <c r="L286" s="4">
        <f>_xll.ciqfunctions.udf.CIQ(InputTicker, "IQ_OTHER_RECEIV",Input!N$2,Date,,,Ccy,Conv)</f>
        <v>1052</v>
      </c>
      <c r="M286" s="4">
        <f>_xll.ciqfunctions.udf.CIQ(InputTicker, "IQ_OTHER_RECEIV",Input!O$2,Date,,,Ccy,Conv)</f>
        <v>1052</v>
      </c>
      <c r="N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  <c r="BA286" s="42"/>
      <c r="BB286" s="42"/>
      <c r="BC286" s="42"/>
      <c r="BD286" s="42"/>
      <c r="BE286" s="42"/>
      <c r="BF286" s="42"/>
      <c r="BG286" s="42"/>
      <c r="BH286" s="42"/>
      <c r="BI286" s="42"/>
      <c r="BJ286" s="42"/>
      <c r="BK286" s="42"/>
      <c r="BL286" s="42"/>
      <c r="BM286" s="42"/>
      <c r="BN286" s="42"/>
    </row>
    <row r="287" spans="1:66" ht="12.75" customHeight="1" x14ac:dyDescent="0.2">
      <c r="A287" s="1" t="s">
        <v>88</v>
      </c>
      <c r="B287" s="4">
        <f>_xll.ciqfunctions.udf.CIQ(InputTicker, "IQ_ST_NOTE_RECEIV",Input!D$2,Date,,,Ccy,Conv)</f>
        <v>0</v>
      </c>
      <c r="C287" s="4">
        <f>_xll.ciqfunctions.udf.CIQ(InputTicker, "IQ_ST_NOTE_RECEIV",Input!E$2,Date,,,Ccy,Conv)</f>
        <v>0</v>
      </c>
      <c r="D287" s="4">
        <f>_xll.ciqfunctions.udf.CIQ(InputTicker, "IQ_ST_NOTE_RECEIV",Input!F$2,Date,,,Ccy,Conv)</f>
        <v>0</v>
      </c>
      <c r="E287" s="4">
        <f>_xll.ciqfunctions.udf.CIQ(InputTicker, "IQ_ST_NOTE_RECEIV",Input!G$2,Date,,,Ccy,Conv)</f>
        <v>0</v>
      </c>
      <c r="F287" s="4">
        <f>_xll.ciqfunctions.udf.CIQ(InputTicker, "IQ_ST_NOTE_RECEIV",Input!H$2,Date,,,Ccy,Conv)</f>
        <v>0</v>
      </c>
      <c r="G287" s="4">
        <f>_xll.ciqfunctions.udf.CIQ(InputTicker, "IQ_ST_NOTE_RECEIV",Input!I$2,Date,,,Ccy,Conv)</f>
        <v>0</v>
      </c>
      <c r="H287" s="4">
        <f>_xll.ciqfunctions.udf.CIQ(InputTicker, "IQ_ST_NOTE_RECEIV",Input!J$2,Date,,,Ccy,Conv)</f>
        <v>0</v>
      </c>
      <c r="I287" s="4">
        <f>_xll.ciqfunctions.udf.CIQ(InputTicker, "IQ_ST_NOTE_RECEIV",Input!K$2,Date,,,Ccy,Conv)</f>
        <v>0</v>
      </c>
      <c r="J287" s="4">
        <f>_xll.ciqfunctions.udf.CIQ(InputTicker, "IQ_ST_NOTE_RECEIV",Input!L$2,Date,,,Ccy,Conv)</f>
        <v>0</v>
      </c>
      <c r="K287" s="4">
        <f>_xll.ciqfunctions.udf.CIQ(InputTicker, "IQ_ST_NOTE_RECEIV",Input!M$2,Date,,,Ccy,Conv)</f>
        <v>0</v>
      </c>
      <c r="L287" s="4">
        <f>_xll.ciqfunctions.udf.CIQ(InputTicker, "IQ_ST_NOTE_RECEIV",Input!N$2,Date,,,Ccy,Conv)</f>
        <v>0</v>
      </c>
      <c r="M287" s="4">
        <f>_xll.ciqfunctions.udf.CIQ(InputTicker, "IQ_ST_NOTE_RECEIV",Input!O$2,Date,,,Ccy,Conv)</f>
        <v>0</v>
      </c>
      <c r="N287" s="42"/>
      <c r="P287" s="46"/>
      <c r="Q287" s="46"/>
      <c r="R287" s="46"/>
      <c r="T287" s="42"/>
      <c r="U287" s="42"/>
      <c r="V287" s="46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  <c r="AK287" s="42"/>
      <c r="AL287" s="42"/>
      <c r="AM287" s="42"/>
      <c r="AN287" s="42"/>
      <c r="AO287" s="42"/>
      <c r="AP287" s="42"/>
      <c r="AQ287" s="42"/>
      <c r="AR287" s="42"/>
      <c r="AS287" s="42"/>
      <c r="AT287" s="42"/>
      <c r="AU287" s="42"/>
      <c r="AV287" s="42"/>
      <c r="AW287" s="42"/>
      <c r="AX287" s="42"/>
      <c r="AY287" s="42"/>
      <c r="AZ287" s="42"/>
      <c r="BA287" s="42"/>
      <c r="BB287" s="42"/>
      <c r="BC287" s="42"/>
      <c r="BD287" s="42"/>
      <c r="BE287" s="42"/>
      <c r="BF287" s="42"/>
      <c r="BG287" s="42"/>
      <c r="BH287" s="42"/>
      <c r="BI287" s="42"/>
      <c r="BJ287" s="42"/>
      <c r="BK287" s="42"/>
      <c r="BL287" s="42"/>
      <c r="BM287" s="42"/>
      <c r="BN287" s="42"/>
    </row>
    <row r="288" spans="1:66" ht="12.75" customHeight="1" x14ac:dyDescent="0.2">
      <c r="A288" s="5" t="s">
        <v>89</v>
      </c>
      <c r="B288" s="6">
        <f>_xll.ciqfunctions.udf.CIQ(InputTicker, "IQ_TOTAL_RECEIV",Input!D$2,Date,,,Ccy,Conv)</f>
        <v>9534</v>
      </c>
      <c r="C288" s="6">
        <f>_xll.ciqfunctions.udf.CIQ(InputTicker, "IQ_TOTAL_RECEIV",Input!E$2,Date,,,Ccy,Conv)</f>
        <v>10239</v>
      </c>
      <c r="D288" s="6">
        <f>_xll.ciqfunctions.udf.CIQ(InputTicker, "IQ_TOTAL_RECEIV",Input!F$2,Date,,,Ccy,Conv)</f>
        <v>10380</v>
      </c>
      <c r="E288" s="6">
        <f>_xll.ciqfunctions.udf.CIQ(InputTicker, "IQ_TOTAL_RECEIV",Input!G$2,Date,,,Ccy,Conv)</f>
        <v>8645</v>
      </c>
      <c r="F288" s="6">
        <f>_xll.ciqfunctions.udf.CIQ(InputTicker, "IQ_TOTAL_RECEIV",Input!H$2,Date,,,Ccy,Conv)</f>
        <v>10069</v>
      </c>
      <c r="G288" s="6">
        <f>_xll.ciqfunctions.udf.CIQ(InputTicker, "IQ_TOTAL_RECEIV",Input!I$2,Date,,,Ccy,Conv)</f>
        <v>6910</v>
      </c>
      <c r="H288" s="6">
        <f>_xll.ciqfunctions.udf.CIQ(InputTicker, "IQ_TOTAL_RECEIV",Input!J$2,Date,,,Ccy,Conv)</f>
        <v>8225</v>
      </c>
      <c r="I288" s="6">
        <f>_xll.ciqfunctions.udf.CIQ(InputTicker, "IQ_TOTAL_RECEIV",Input!K$2,Date,,,Ccy,Conv)</f>
        <v>7682</v>
      </c>
      <c r="J288" s="6">
        <f>_xll.ciqfunctions.udf.CIQ(InputTicker, "IQ_TOTAL_RECEIV",Input!L$2,Date,,,Ccy,Conv)</f>
        <v>8348</v>
      </c>
      <c r="K288" s="6">
        <f>_xll.ciqfunctions.udf.CIQ(InputTicker, "IQ_TOTAL_RECEIV",Input!M$2,Date,,,Ccy,Conv)</f>
        <v>8184</v>
      </c>
      <c r="L288" s="6">
        <f>_xll.ciqfunctions.udf.CIQ(InputTicker, "IQ_TOTAL_RECEIV",Input!N$2,Date,,,Ccy,Conv)</f>
        <v>9646</v>
      </c>
      <c r="M288" s="6">
        <f>_xll.ciqfunctions.udf.CIQ(InputTicker, "IQ_TOTAL_RECEIV",Input!O$2,Date,,,Ccy,Conv)</f>
        <v>9646</v>
      </c>
      <c r="N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  <c r="AK288" s="42"/>
      <c r="AL288" s="42"/>
      <c r="AM288" s="42"/>
      <c r="AN288" s="42"/>
      <c r="AO288" s="42"/>
      <c r="AP288" s="42"/>
      <c r="AQ288" s="42"/>
      <c r="AR288" s="42"/>
      <c r="AS288" s="42"/>
      <c r="AT288" s="42"/>
      <c r="AU288" s="42"/>
      <c r="AV288" s="42"/>
      <c r="AW288" s="42"/>
      <c r="AX288" s="42"/>
      <c r="AY288" s="42"/>
      <c r="AZ288" s="42"/>
      <c r="BA288" s="42"/>
      <c r="BB288" s="42"/>
      <c r="BC288" s="42"/>
      <c r="BD288" s="42"/>
      <c r="BE288" s="42"/>
      <c r="BF288" s="42"/>
      <c r="BG288" s="42"/>
      <c r="BH288" s="42"/>
      <c r="BI288" s="42"/>
      <c r="BJ288" s="42"/>
      <c r="BK288" s="42"/>
      <c r="BL288" s="42"/>
      <c r="BM288" s="42"/>
      <c r="BN288" s="42"/>
    </row>
    <row r="289" spans="1:66" ht="12.75" customHeight="1" x14ac:dyDescent="0.2">
      <c r="A289" s="1" t="s">
        <v>90</v>
      </c>
      <c r="B289" s="4">
        <f>_xll.ciqfunctions.udf.CIQ(InputTicker, "IQ_INVENTORY",Input!D$2,Date,,,Ccy,Conv)</f>
        <v>1551</v>
      </c>
      <c r="C289" s="4">
        <f>_xll.ciqfunctions.udf.CIQ(InputTicker, "IQ_INVENTORY",Input!E$2,Date,,,Ccy,Conv)</f>
        <v>1553</v>
      </c>
      <c r="D289" s="4">
        <f>_xll.ciqfunctions.udf.CIQ(InputTicker, "IQ_INVENTORY",Input!F$2,Date,,,Ccy,Conv)</f>
        <v>1583</v>
      </c>
      <c r="E289" s="4">
        <f>_xll.ciqfunctions.udf.CIQ(InputTicker, "IQ_INVENTORY",Input!G$2,Date,,,Ccy,Conv)</f>
        <v>1682</v>
      </c>
      <c r="F289" s="4">
        <f>_xll.ciqfunctions.udf.CIQ(InputTicker, "IQ_INVENTORY",Input!H$2,Date,,,Ccy,Conv)</f>
        <v>1619</v>
      </c>
      <c r="G289" s="4">
        <f>_xll.ciqfunctions.udf.CIQ(InputTicker, "IQ_INVENTORY",Input!I$2,Date,,,Ccy,Conv)</f>
        <v>1812</v>
      </c>
      <c r="H289" s="4">
        <f>_xll.ciqfunctions.udf.CIQ(InputTicker, "IQ_INVENTORY",Input!J$2,Date,,,Ccy,Conv)</f>
        <v>1649</v>
      </c>
      <c r="I289" s="4">
        <f>_xll.ciqfunctions.udf.CIQ(InputTicker, "IQ_INVENTORY",Input!K$2,Date,,,Ccy,Conv)</f>
        <v>1552</v>
      </c>
      <c r="J289" s="4">
        <f>_xll.ciqfunctions.udf.CIQ(InputTicker, "IQ_INVENTORY",Input!L$2,Date,,,Ccy,Conv)</f>
        <v>1161</v>
      </c>
      <c r="K289" s="4">
        <f>_xll.ciqfunctions.udf.CIQ(InputTicker, "IQ_INVENTORY",Input!M$2,Date,,,Ccy,Conv)</f>
        <v>1289</v>
      </c>
      <c r="L289" s="4">
        <f>_xll.ciqfunctions.udf.CIQ(InputTicker, "IQ_INVENTORY",Input!N$2,Date,,,Ccy,Conv)</f>
        <v>1220</v>
      </c>
      <c r="M289" s="4">
        <f>_xll.ciqfunctions.udf.CIQ(InputTicker, "IQ_INVENTORY",Input!O$2,Date,,,Ccy,Conv)</f>
        <v>1220</v>
      </c>
      <c r="N289" s="42"/>
      <c r="T289" s="46"/>
      <c r="U289" s="46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  <c r="AK289" s="42"/>
      <c r="AL289" s="42"/>
      <c r="AM289" s="42"/>
      <c r="AN289" s="42"/>
      <c r="AO289" s="42"/>
      <c r="AP289" s="42"/>
      <c r="AQ289" s="42"/>
      <c r="AR289" s="42"/>
      <c r="AS289" s="42"/>
      <c r="AT289" s="42"/>
      <c r="AU289" s="42"/>
      <c r="AV289" s="42"/>
      <c r="AW289" s="42"/>
      <c r="AX289" s="42"/>
      <c r="AY289" s="42"/>
      <c r="AZ289" s="42"/>
      <c r="BA289" s="42"/>
      <c r="BB289" s="42"/>
      <c r="BC289" s="42"/>
      <c r="BD289" s="42"/>
      <c r="BE289" s="42"/>
      <c r="BF289" s="42"/>
      <c r="BG289" s="42"/>
      <c r="BH289" s="42"/>
      <c r="BI289" s="42"/>
      <c r="BJ289" s="42"/>
      <c r="BK289" s="42"/>
      <c r="BL289" s="42"/>
      <c r="BM289" s="42"/>
      <c r="BN289" s="42"/>
    </row>
    <row r="290" spans="1:66" ht="12.75" customHeight="1" x14ac:dyDescent="0.2">
      <c r="A290" s="1" t="s">
        <v>91</v>
      </c>
      <c r="B290" s="4">
        <f>_xll.ciqfunctions.udf.CIQ(InputTicker, "IQ_PREPAID_EXP",Input!D$2,Date,,,Ccy,Conv)</f>
        <v>3912</v>
      </c>
      <c r="C290" s="4">
        <f>_xll.ciqfunctions.udf.CIQ(InputTicker, "IQ_PREPAID_EXP",Input!E$2,Date,,,Ccy,Conv)</f>
        <v>4032</v>
      </c>
      <c r="D290" s="4">
        <f>_xll.ciqfunctions.udf.CIQ(InputTicker, "IQ_PREPAID_EXP",Input!F$2,Date,,,Ccy,Conv)</f>
        <v>1203</v>
      </c>
      <c r="E290" s="4">
        <f>_xll.ciqfunctions.udf.CIQ(InputTicker, "IQ_PREPAID_EXP",Input!G$2,Date,,,Ccy,Conv)</f>
        <v>1523</v>
      </c>
      <c r="F290" s="4">
        <f>_xll.ciqfunctions.udf.CIQ(InputTicker, "IQ_PREPAID_EXP",Input!H$2,Date,,,Ccy,Conv)</f>
        <v>1460</v>
      </c>
      <c r="G290" s="4">
        <f>_xll.ciqfunctions.udf.CIQ(InputTicker, "IQ_PREPAID_EXP",Input!I$2,Date,,,Ccy,Conv)</f>
        <v>1579</v>
      </c>
      <c r="H290" s="4">
        <f>_xll.ciqfunctions.udf.CIQ(InputTicker, "IQ_PREPAID_EXP",Input!J$2,Date,,,Ccy,Conv)</f>
        <v>1830</v>
      </c>
      <c r="I290" s="4">
        <f>_xll.ciqfunctions.udf.CIQ(InputTicker, "IQ_PREPAID_EXP",Input!K$2,Date,,,Ccy,Conv)</f>
        <v>1876</v>
      </c>
      <c r="J290" s="4">
        <f>_xll.ciqfunctions.udf.CIQ(InputTicker, "IQ_PREPAID_EXP",Input!L$2,Date,,,Ccy,Conv)</f>
        <v>1830</v>
      </c>
      <c r="K290" s="4">
        <f>_xll.ciqfunctions.udf.CIQ(InputTicker, "IQ_PREPAID_EXP",Input!M$2,Date,,,Ccy,Conv)</f>
        <v>1512</v>
      </c>
      <c r="L290" s="4">
        <f>_xll.ciqfunctions.udf.CIQ(InputTicker, "IQ_PREPAID_EXP",Input!N$2,Date,,,Ccy,Conv)</f>
        <v>1816</v>
      </c>
      <c r="M290" s="4">
        <f>_xll.ciqfunctions.udf.CIQ(InputTicker, "IQ_PREPAID_EXP",Input!O$2,Date,,,Ccy,Conv)</f>
        <v>1816</v>
      </c>
      <c r="N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  <c r="AK290" s="42"/>
      <c r="AL290" s="42"/>
      <c r="AM290" s="42"/>
      <c r="AN290" s="42"/>
      <c r="AO290" s="42"/>
      <c r="AP290" s="42"/>
      <c r="AQ290" s="42"/>
      <c r="AR290" s="42"/>
      <c r="AS290" s="42"/>
      <c r="AT290" s="42"/>
      <c r="AU290" s="42"/>
      <c r="AV290" s="42"/>
      <c r="AW290" s="42"/>
      <c r="AX290" s="42"/>
      <c r="AY290" s="42"/>
      <c r="AZ290" s="42"/>
      <c r="BA290" s="42"/>
      <c r="BB290" s="42"/>
      <c r="BC290" s="42"/>
      <c r="BD290" s="42"/>
      <c r="BE290" s="42"/>
      <c r="BF290" s="42"/>
      <c r="BG290" s="42"/>
      <c r="BH290" s="42"/>
      <c r="BI290" s="42"/>
      <c r="BJ290" s="42"/>
      <c r="BK290" s="42"/>
      <c r="BL290" s="42"/>
      <c r="BM290" s="42"/>
      <c r="BN290" s="42"/>
    </row>
    <row r="291" spans="1:66" ht="12.75" customHeight="1" x14ac:dyDescent="0.2">
      <c r="A291" s="1" t="s">
        <v>172</v>
      </c>
      <c r="B291" s="4">
        <f>_xll.ciqfunctions.udf.CIQ(InputTicker, "IQ_FIN_DIV_LOANS_CURRENT",Input!D$2,Date,,,Ccy,Conv)</f>
        <v>19020</v>
      </c>
      <c r="C291" s="4">
        <f>_xll.ciqfunctions.udf.CIQ(InputTicker, "IQ_FIN_DIV_LOANS_CURRENT",Input!E$2,Date,,,Ccy,Conv)</f>
        <v>19006</v>
      </c>
      <c r="D291" s="4">
        <f>_xll.ciqfunctions.udf.CIQ(InputTicker, "IQ_FIN_DIV_LOANS_CURRENT",Input!F$2,Date,,,Ccy,Conv)</f>
        <v>21721</v>
      </c>
      <c r="E291" s="4">
        <f>_xll.ciqfunctions.udf.CIQ(InputTicker, "IQ_FIN_DIV_LOANS_CURRENT",Input!G$2,Date,,,Ccy,Conv)</f>
        <v>22388</v>
      </c>
      <c r="F291" s="4">
        <f>_xll.ciqfunctions.udf.CIQ(InputTicker, "IQ_FIN_DIV_LOANS_CURRENT",Input!H$2,Date,,,Ccy,Conv)</f>
        <v>14192</v>
      </c>
      <c r="G291" s="4">
        <f>_xll.ciqfunctions.udf.CIQ(InputTicker, "IQ_FIN_DIV_LOANS_CURRENT",Input!I$2,Date,,,Ccy,Conv)</f>
        <v>10509</v>
      </c>
      <c r="H291" s="4">
        <f>_xll.ciqfunctions.udf.CIQ(InputTicker, "IQ_FIN_DIV_LOANS_CURRENT",Input!J$2,Date,,,Ccy,Conv)</f>
        <v>7221</v>
      </c>
      <c r="I291" s="4">
        <f>_xll.ciqfunctions.udf.CIQ(InputTicker, "IQ_FIN_DIV_LOANS_CURRENT",Input!K$2,Date,,,Ccy,Conv)</f>
        <v>6851</v>
      </c>
      <c r="J291" s="4">
        <f>_xll.ciqfunctions.udf.CIQ(InputTicker, "IQ_FIN_DIV_LOANS_CURRENT",Input!L$2,Date,,,Ccy,Conv)</f>
        <v>6102</v>
      </c>
      <c r="K291" s="4">
        <f>_xll.ciqfunctions.udf.CIQ(InputTicker, "IQ_FIN_DIV_LOANS_CURRENT",Input!M$2,Date,,,Ccy,Conv)</f>
        <v>6259</v>
      </c>
      <c r="L291" s="4">
        <f>_xll.ciqfunctions.udf.CIQ(InputTicker, "IQ_FIN_DIV_LOANS_CURRENT",Input!N$2,Date,,,Ccy,Conv)</f>
        <v>7344</v>
      </c>
      <c r="M291" s="4">
        <f>_xll.ciqfunctions.udf.CIQ(InputTicker, "IQ_FIN_DIV_LOANS_CURRENT",Input!O$2,Date,,,Ccy,Conv)</f>
        <v>7344</v>
      </c>
      <c r="N291" s="46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  <c r="AK291" s="42"/>
      <c r="AL291" s="42"/>
      <c r="AM291" s="42"/>
      <c r="AN291" s="42"/>
      <c r="AO291" s="42"/>
      <c r="AP291" s="42"/>
      <c r="AQ291" s="42"/>
      <c r="AR291" s="42"/>
      <c r="AS291" s="42"/>
      <c r="AT291" s="42"/>
      <c r="AU291" s="42"/>
      <c r="AV291" s="42"/>
      <c r="AW291" s="42"/>
      <c r="AX291" s="42"/>
      <c r="AY291" s="42"/>
      <c r="AZ291" s="42"/>
      <c r="BA291" s="42"/>
      <c r="BB291" s="42"/>
      <c r="BC291" s="42"/>
      <c r="BD291" s="42"/>
      <c r="BE291" s="42"/>
      <c r="BF291" s="42"/>
      <c r="BG291" s="42"/>
      <c r="BH291" s="42"/>
      <c r="BI291" s="42"/>
      <c r="BJ291" s="42"/>
      <c r="BK291" s="42"/>
      <c r="BL291" s="42"/>
      <c r="BM291" s="42"/>
      <c r="BN291" s="42"/>
    </row>
    <row r="292" spans="1:66" ht="12.75" customHeight="1" x14ac:dyDescent="0.2">
      <c r="A292" s="1" t="s">
        <v>173</v>
      </c>
      <c r="B292" s="4">
        <f>_xll.ciqfunctions.udf.CIQ(InputTicker, "IQ_FIN_DIV_ASSETS_CURRENT",Input!D$2,Date,,,Ccy,Conv)</f>
        <v>0</v>
      </c>
      <c r="C292" s="4">
        <f>_xll.ciqfunctions.udf.CIQ(InputTicker, "IQ_FIN_DIV_ASSETS_CURRENT",Input!E$2,Date,,,Ccy,Conv)</f>
        <v>0</v>
      </c>
      <c r="D292" s="4">
        <f>_xll.ciqfunctions.udf.CIQ(InputTicker, "IQ_FIN_DIV_ASSETS_CURRENT",Input!F$2,Date,,,Ccy,Conv)</f>
        <v>0</v>
      </c>
      <c r="E292" s="4">
        <f>_xll.ciqfunctions.udf.CIQ(InputTicker, "IQ_FIN_DIV_ASSETS_CURRENT",Input!G$2,Date,,,Ccy,Conv)</f>
        <v>0</v>
      </c>
      <c r="F292" s="4">
        <f>_xll.ciqfunctions.udf.CIQ(InputTicker, "IQ_FIN_DIV_ASSETS_CURRENT",Input!H$2,Date,,,Ccy,Conv)</f>
        <v>0</v>
      </c>
      <c r="G292" s="4">
        <f>_xll.ciqfunctions.udf.CIQ(InputTicker, "IQ_FIN_DIV_ASSETS_CURRENT",Input!I$2,Date,,,Ccy,Conv)</f>
        <v>383</v>
      </c>
      <c r="H292" s="4">
        <f>_xll.ciqfunctions.udf.CIQ(InputTicker, "IQ_FIN_DIV_ASSETS_CURRENT",Input!J$2,Date,,,Ccy,Conv)</f>
        <v>793</v>
      </c>
      <c r="I292" s="4">
        <f>_xll.ciqfunctions.udf.CIQ(InputTicker, "IQ_FIN_DIV_ASSETS_CURRENT",Input!K$2,Date,,,Ccy,Conv)</f>
        <v>939</v>
      </c>
      <c r="J292" s="4">
        <f>_xll.ciqfunctions.udf.CIQ(InputTicker, "IQ_FIN_DIV_ASSETS_CURRENT",Input!L$2,Date,,,Ccy,Conv)</f>
        <v>692</v>
      </c>
      <c r="K292" s="4">
        <f>_xll.ciqfunctions.udf.CIQ(InputTicker, "IQ_FIN_DIV_ASSETS_CURRENT",Input!M$2,Date,,,Ccy,Conv)</f>
        <v>900</v>
      </c>
      <c r="L292" s="4">
        <f>_xll.ciqfunctions.udf.CIQ(InputTicker, "IQ_FIN_DIV_ASSETS_CURRENT",Input!N$2,Date,,,Ccy,Conv)</f>
        <v>1131</v>
      </c>
      <c r="M292" s="4">
        <f>_xll.ciqfunctions.udf.CIQ(InputTicker, "IQ_FIN_DIV_ASSETS_CURRENT",Input!O$2,Date,,,Ccy,Conv)</f>
        <v>1131</v>
      </c>
      <c r="N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  <c r="BA292" s="42"/>
      <c r="BB292" s="42"/>
      <c r="BC292" s="42"/>
      <c r="BD292" s="42"/>
      <c r="BE292" s="42"/>
      <c r="BF292" s="42"/>
      <c r="BG292" s="42"/>
      <c r="BH292" s="42"/>
      <c r="BI292" s="42"/>
      <c r="BJ292" s="42"/>
      <c r="BK292" s="42"/>
      <c r="BL292" s="42"/>
      <c r="BM292" s="42"/>
      <c r="BN292" s="42"/>
    </row>
    <row r="293" spans="1:66" ht="12.75" customHeight="1" x14ac:dyDescent="0.2">
      <c r="A293" s="1" t="s">
        <v>174</v>
      </c>
      <c r="B293" s="4">
        <f>_xll.ciqfunctions.udf.CIQ(InputTicker, "IQ_LOANS_FOR_SALE",Input!D$2,Date,,,Ccy,Conv)</f>
        <v>0</v>
      </c>
      <c r="C293" s="4">
        <f>_xll.ciqfunctions.udf.CIQ(InputTicker, "IQ_LOANS_FOR_SALE",Input!E$2,Date,,,Ccy,Conv)</f>
        <v>0</v>
      </c>
      <c r="D293" s="4">
        <f>_xll.ciqfunctions.udf.CIQ(InputTicker, "IQ_LOANS_FOR_SALE",Input!F$2,Date,,,Ccy,Conv)</f>
        <v>0</v>
      </c>
      <c r="E293" s="4">
        <f>_xll.ciqfunctions.udf.CIQ(InputTicker, "IQ_LOANS_FOR_SALE",Input!G$2,Date,,,Ccy,Conv)</f>
        <v>0</v>
      </c>
      <c r="F293" s="4">
        <f>_xll.ciqfunctions.udf.CIQ(InputTicker, "IQ_LOANS_FOR_SALE",Input!H$2,Date,,,Ccy,Conv)</f>
        <v>0</v>
      </c>
      <c r="G293" s="4">
        <f>_xll.ciqfunctions.udf.CIQ(InputTicker, "IQ_LOANS_FOR_SALE",Input!I$2,Date,,,Ccy,Conv)</f>
        <v>0</v>
      </c>
      <c r="H293" s="4">
        <f>_xll.ciqfunctions.udf.CIQ(InputTicker, "IQ_LOANS_FOR_SALE",Input!J$2,Date,,,Ccy,Conv)</f>
        <v>0</v>
      </c>
      <c r="I293" s="4">
        <f>_xll.ciqfunctions.udf.CIQ(InputTicker, "IQ_LOANS_FOR_SALE",Input!K$2,Date,,,Ccy,Conv)</f>
        <v>0</v>
      </c>
      <c r="J293" s="4">
        <f>_xll.ciqfunctions.udf.CIQ(InputTicker, "IQ_LOANS_FOR_SALE",Input!L$2,Date,,,Ccy,Conv)</f>
        <v>0</v>
      </c>
      <c r="K293" s="4">
        <f>_xll.ciqfunctions.udf.CIQ(InputTicker, "IQ_LOANS_FOR_SALE",Input!M$2,Date,,,Ccy,Conv)</f>
        <v>0</v>
      </c>
      <c r="L293" s="4">
        <f>_xll.ciqfunctions.udf.CIQ(InputTicker, "IQ_LOANS_FOR_SALE",Input!N$2,Date,,,Ccy,Conv)</f>
        <v>0</v>
      </c>
      <c r="M293" s="4">
        <f>_xll.ciqfunctions.udf.CIQ(InputTicker, "IQ_LOANS_FOR_SALE",Input!O$2,Date,,,Ccy,Conv)</f>
        <v>0</v>
      </c>
      <c r="N293" s="46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42"/>
      <c r="AN293" s="42"/>
      <c r="AO293" s="42"/>
      <c r="AP293" s="42"/>
      <c r="AQ293" s="42"/>
      <c r="AR293" s="42"/>
      <c r="AS293" s="42"/>
      <c r="AT293" s="42"/>
      <c r="AU293" s="42"/>
      <c r="AV293" s="42"/>
      <c r="AW293" s="42"/>
      <c r="AX293" s="42"/>
      <c r="AY293" s="42"/>
      <c r="AZ293" s="42"/>
      <c r="BA293" s="42"/>
      <c r="BB293" s="42"/>
      <c r="BC293" s="42"/>
      <c r="BD293" s="42"/>
      <c r="BE293" s="42"/>
      <c r="BF293" s="42"/>
      <c r="BG293" s="42"/>
      <c r="BH293" s="42"/>
      <c r="BI293" s="42"/>
      <c r="BJ293" s="42"/>
      <c r="BK293" s="42"/>
      <c r="BL293" s="42"/>
      <c r="BM293" s="42"/>
      <c r="BN293" s="42"/>
    </row>
    <row r="294" spans="1:66" ht="12.75" customHeight="1" x14ac:dyDescent="0.2">
      <c r="A294" s="1" t="s">
        <v>130</v>
      </c>
      <c r="B294" s="4">
        <f>_xll.ciqfunctions.udf.CIQ(InputTicker, "IQ_DEF_TAX_ASSETS_CURRENT",Input!D$2,Date,,,Ccy,Conv)</f>
        <v>0</v>
      </c>
      <c r="C294" s="4">
        <f>_xll.ciqfunctions.udf.CIQ(InputTicker, "IQ_DEF_TAX_ASSETS_CURRENT",Input!E$2,Date,,,Ccy,Conv)</f>
        <v>0</v>
      </c>
      <c r="D294" s="4">
        <f>_xll.ciqfunctions.udf.CIQ(InputTicker, "IQ_DEF_TAX_ASSETS_CURRENT",Input!F$2,Date,,,Ccy,Conv)</f>
        <v>0</v>
      </c>
      <c r="E294" s="4">
        <f>_xll.ciqfunctions.udf.CIQ(InputTicker, "IQ_DEF_TAX_ASSETS_CURRENT",Input!G$2,Date,,,Ccy,Conv)</f>
        <v>0</v>
      </c>
      <c r="F294" s="4">
        <f>_xll.ciqfunctions.udf.CIQ(InputTicker, "IQ_DEF_TAX_ASSETS_CURRENT",Input!H$2,Date,,,Ccy,Conv)</f>
        <v>0</v>
      </c>
      <c r="G294" s="4">
        <f>_xll.ciqfunctions.udf.CIQ(InputTicker, "IQ_DEF_TAX_ASSETS_CURRENT",Input!I$2,Date,,,Ccy,Conv)</f>
        <v>0</v>
      </c>
      <c r="H294" s="4">
        <f>_xll.ciqfunctions.udf.CIQ(InputTicker, "IQ_DEF_TAX_ASSETS_CURRENT",Input!J$2,Date,,,Ccy,Conv)</f>
        <v>0</v>
      </c>
      <c r="I294" s="4">
        <f>_xll.ciqfunctions.udf.CIQ(InputTicker, "IQ_DEF_TAX_ASSETS_CURRENT",Input!K$2,Date,,,Ccy,Conv)</f>
        <v>0</v>
      </c>
      <c r="J294" s="4">
        <f>_xll.ciqfunctions.udf.CIQ(InputTicker, "IQ_DEF_TAX_ASSETS_CURRENT",Input!L$2,Date,,,Ccy,Conv)</f>
        <v>0</v>
      </c>
      <c r="K294" s="4">
        <f>_xll.ciqfunctions.udf.CIQ(InputTicker, "IQ_DEF_TAX_ASSETS_CURRENT",Input!M$2,Date,,,Ccy,Conv)</f>
        <v>0</v>
      </c>
      <c r="L294" s="4">
        <f>_xll.ciqfunctions.udf.CIQ(InputTicker, "IQ_DEF_TAX_ASSETS_CURRENT",Input!N$2,Date,,,Ccy,Conv)</f>
        <v>0</v>
      </c>
      <c r="M294" s="4">
        <f>_xll.ciqfunctions.udf.CIQ(InputTicker, "IQ_DEF_TAX_ASSETS_CURRENT",Input!O$2,Date,,,Ccy,Conv)</f>
        <v>0</v>
      </c>
      <c r="N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  <c r="AK294" s="42"/>
      <c r="AL294" s="42"/>
      <c r="AM294" s="42"/>
      <c r="AN294" s="42"/>
      <c r="AO294" s="42"/>
      <c r="AP294" s="42"/>
      <c r="AQ294" s="42"/>
      <c r="AR294" s="42"/>
      <c r="AS294" s="42"/>
      <c r="AT294" s="42"/>
      <c r="AU294" s="42"/>
      <c r="AV294" s="42"/>
      <c r="AW294" s="42"/>
      <c r="AX294" s="42"/>
      <c r="AY294" s="42"/>
      <c r="AZ294" s="42"/>
      <c r="BA294" s="42"/>
      <c r="BB294" s="42"/>
      <c r="BC294" s="42"/>
      <c r="BD294" s="42"/>
      <c r="BE294" s="42"/>
      <c r="BF294" s="42"/>
      <c r="BG294" s="42"/>
      <c r="BH294" s="42"/>
      <c r="BI294" s="42"/>
      <c r="BJ294" s="42"/>
      <c r="BK294" s="42"/>
      <c r="BL294" s="42"/>
      <c r="BM294" s="42"/>
      <c r="BN294" s="42"/>
    </row>
    <row r="295" spans="1:66" ht="12.75" customHeight="1" x14ac:dyDescent="0.2">
      <c r="A295" s="1" t="s">
        <v>175</v>
      </c>
      <c r="B295" s="4">
        <f>_xll.ciqfunctions.udf.CIQ(InputTicker, "IQ_RESTRICTED_CASH",Input!D$2,Date,,,Ccy,Conv)</f>
        <v>0</v>
      </c>
      <c r="C295" s="4">
        <f>_xll.ciqfunctions.udf.CIQ(InputTicker, "IQ_RESTRICTED_CASH",Input!E$2,Date,,,Ccy,Conv)</f>
        <v>0</v>
      </c>
      <c r="D295" s="4">
        <f>_xll.ciqfunctions.udf.CIQ(InputTicker, "IQ_RESTRICTED_CASH",Input!F$2,Date,,,Ccy,Conv)</f>
        <v>262</v>
      </c>
      <c r="E295" s="4">
        <f>_xll.ciqfunctions.udf.CIQ(InputTicker, "IQ_RESTRICTED_CASH",Input!G$2,Date,,,Ccy,Conv)</f>
        <v>225</v>
      </c>
      <c r="F295" s="4">
        <f>_xll.ciqfunctions.udf.CIQ(InputTicker, "IQ_RESTRICTED_CASH",Input!H$2,Date,,,Ccy,Conv)</f>
        <v>141</v>
      </c>
      <c r="G295" s="4">
        <f>_xll.ciqfunctions.udf.CIQ(InputTicker, "IQ_RESTRICTED_CASH",Input!I$2,Date,,,Ccy,Conv)</f>
        <v>463</v>
      </c>
      <c r="H295" s="4">
        <f>_xll.ciqfunctions.udf.CIQ(InputTicker, "IQ_RESTRICTED_CASH",Input!J$2,Date,,,Ccy,Conv)</f>
        <v>307</v>
      </c>
      <c r="I295" s="4">
        <f>_xll.ciqfunctions.udf.CIQ(InputTicker, "IQ_RESTRICTED_CASH",Input!K$2,Date,,,Ccy,Conv)</f>
        <v>103</v>
      </c>
      <c r="J295" s="4">
        <f>_xll.ciqfunctions.udf.CIQ(InputTicker, "IQ_RESTRICTED_CASH",Input!L$2,Date,,,Ccy,Conv)</f>
        <v>21</v>
      </c>
      <c r="K295" s="4">
        <f>_xll.ciqfunctions.udf.CIQ(InputTicker, "IQ_RESTRICTED_CASH",Input!M$2,Date,,,Ccy,Conv)</f>
        <v>214</v>
      </c>
      <c r="L295" s="4">
        <f>_xll.ciqfunctions.udf.CIQ(InputTicker, "IQ_RESTRICTED_CASH",Input!N$2,Date,,,Ccy,Conv)</f>
        <v>54</v>
      </c>
      <c r="M295" s="4">
        <f>_xll.ciqfunctions.udf.CIQ(InputTicker, "IQ_RESTRICTED_CASH",Input!O$2,Date,,,Ccy,Conv)</f>
        <v>54</v>
      </c>
      <c r="N295" s="46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2"/>
      <c r="AQ295" s="42"/>
      <c r="AR295" s="42"/>
      <c r="AS295" s="42"/>
      <c r="AT295" s="42"/>
      <c r="AU295" s="42"/>
      <c r="AV295" s="42"/>
      <c r="AW295" s="42"/>
      <c r="AX295" s="42"/>
      <c r="AY295" s="42"/>
      <c r="AZ295" s="42"/>
      <c r="BA295" s="42"/>
      <c r="BB295" s="42"/>
      <c r="BC295" s="42"/>
      <c r="BD295" s="42"/>
      <c r="BE295" s="42"/>
      <c r="BF295" s="42"/>
      <c r="BG295" s="42"/>
      <c r="BH295" s="42"/>
      <c r="BI295" s="42"/>
      <c r="BJ295" s="42"/>
      <c r="BK295" s="42"/>
      <c r="BL295" s="42"/>
      <c r="BM295" s="42"/>
      <c r="BN295" s="42"/>
    </row>
    <row r="296" spans="1:66" ht="12.75" customHeight="1" x14ac:dyDescent="0.2">
      <c r="A296" s="1" t="s">
        <v>131</v>
      </c>
      <c r="B296" s="4">
        <f>_xll.ciqfunctions.udf.CIQ(InputTicker, "IQ_OTHER_CA_SUPPL",Input!D$2,Date,,,Ccy,Conv)</f>
        <v>293</v>
      </c>
      <c r="C296" s="4">
        <f>_xll.ciqfunctions.udf.CIQ(InputTicker, "IQ_OTHER_CA_SUPPL",Input!E$2,Date,,,Ccy,Conv)</f>
        <v>532</v>
      </c>
      <c r="D296" s="4">
        <f>_xll.ciqfunctions.udf.CIQ(InputTicker, "IQ_OTHER_CA_SUPPL",Input!F$2,Date,,,Ccy,Conv)</f>
        <v>2004</v>
      </c>
      <c r="E296" s="4">
        <f>_xll.ciqfunctions.udf.CIQ(InputTicker, "IQ_OTHER_CA_SUPPL",Input!G$2,Date,,,Ccy,Conv)</f>
        <v>2686</v>
      </c>
      <c r="F296" s="4">
        <f>_xll.ciqfunctions.udf.CIQ(InputTicker, "IQ_OTHER_CA_SUPPL",Input!H$2,Date,,,Ccy,Conv)</f>
        <v>2071</v>
      </c>
      <c r="G296" s="4">
        <f>_xll.ciqfunctions.udf.CIQ(InputTicker, "IQ_OTHER_CA_SUPPL",Input!I$2,Date,,,Ccy,Conv)</f>
        <v>3721</v>
      </c>
      <c r="H296" s="4">
        <f>_xll.ciqfunctions.udf.CIQ(InputTicker, "IQ_OTHER_CA_SUPPL",Input!J$2,Date,,,Ccy,Conv)</f>
        <v>2264</v>
      </c>
      <c r="I296" s="4">
        <f>_xll.ciqfunctions.udf.CIQ(InputTicker, "IQ_OTHER_CA_SUPPL",Input!K$2,Date,,,Ccy,Conv)</f>
        <v>1377</v>
      </c>
      <c r="J296" s="4">
        <f>_xll.ciqfunctions.udf.CIQ(InputTicker, "IQ_OTHER_CA_SUPPL",Input!L$2,Date,,,Ccy,Conv)</f>
        <v>1313</v>
      </c>
      <c r="K296" s="4">
        <f>_xll.ciqfunctions.udf.CIQ(InputTicker, "IQ_OTHER_CA_SUPPL",Input!M$2,Date,,,Ccy,Conv)</f>
        <v>1533</v>
      </c>
      <c r="L296" s="4">
        <f>_xll.ciqfunctions.udf.CIQ(InputTicker, "IQ_OTHER_CA_SUPPL",Input!N$2,Date,,,Ccy,Conv)</f>
        <v>1316</v>
      </c>
      <c r="M296" s="4">
        <f>_xll.ciqfunctions.udf.CIQ(InputTicker, "IQ_OTHER_CA_SUPPL",Input!O$2,Date,,,Ccy,Conv)</f>
        <v>1316</v>
      </c>
      <c r="N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  <c r="BA296" s="42"/>
      <c r="BB296" s="42"/>
      <c r="BC296" s="42"/>
      <c r="BD296" s="42"/>
      <c r="BE296" s="42"/>
      <c r="BF296" s="42"/>
      <c r="BG296" s="42"/>
      <c r="BH296" s="42"/>
      <c r="BI296" s="42"/>
      <c r="BJ296" s="42"/>
      <c r="BK296" s="42"/>
      <c r="BL296" s="42"/>
      <c r="BM296" s="42"/>
      <c r="BN296" s="42"/>
    </row>
    <row r="297" spans="1:66" ht="12.75" customHeight="1" x14ac:dyDescent="0.2">
      <c r="A297" s="5" t="s">
        <v>45</v>
      </c>
      <c r="B297" s="6">
        <f>_xll.ciqfunctions.udf.CIQ(InputTicker, "IQ_TOTAL_CA",Input!D$2,Date,,,Ccy,Conv)</f>
        <v>42504</v>
      </c>
      <c r="C297" s="6">
        <f>_xll.ciqfunctions.udf.CIQ(InputTicker, "IQ_TOTAL_CA",Input!E$2,Date,,,Ccy,Conv)</f>
        <v>43889</v>
      </c>
      <c r="D297" s="6">
        <f>_xll.ciqfunctions.udf.CIQ(InputTicker, "IQ_TOTAL_CA",Input!F$2,Date,,,Ccy,Conv)</f>
        <v>49735</v>
      </c>
      <c r="E297" s="6">
        <f>_xll.ciqfunctions.udf.CIQ(InputTicker, "IQ_TOTAL_CA",Input!G$2,Date,,,Ccy,Conv)</f>
        <v>49146</v>
      </c>
      <c r="F297" s="6">
        <f>_xll.ciqfunctions.udf.CIQ(InputTicker, "IQ_TOTAL_CA",Input!H$2,Date,,,Ccy,Conv)</f>
        <v>38420</v>
      </c>
      <c r="G297" s="6">
        <f>_xll.ciqfunctions.udf.CIQ(InputTicker, "IQ_TOTAL_CA",Input!I$2,Date,,,Ccy,Conv)</f>
        <v>39165</v>
      </c>
      <c r="H297" s="6">
        <f>_xll.ciqfunctions.udf.CIQ(InputTicker, "IQ_TOTAL_CA",Input!J$2,Date,,,Ccy,Conv)</f>
        <v>29539</v>
      </c>
      <c r="I297" s="6">
        <f>_xll.ciqfunctions.udf.CIQ(InputTicker, "IQ_TOTAL_CA",Input!K$2,Date,,,Ccy,Conv)</f>
        <v>29118</v>
      </c>
      <c r="J297" s="6">
        <f>_xll.ciqfunctions.udf.CIQ(InputTicker, "IQ_TOTAL_CA",Input!L$2,Date,,,Ccy,Conv)</f>
        <v>32908</v>
      </c>
      <c r="K297" s="6">
        <f>_xll.ciqfunctions.udf.CIQ(InputTicker, "IQ_TOTAL_CA",Input!M$2,Date,,,Ccy,Conv)</f>
        <v>34482</v>
      </c>
      <c r="L297" s="6">
        <f>_xll.ciqfunctions.udf.CIQ(InputTicker, "IQ_TOTAL_CA",Input!N$2,Date,,,Ccy,Conv)</f>
        <v>36944</v>
      </c>
      <c r="M297" s="6">
        <f>_xll.ciqfunctions.udf.CIQ(InputTicker, "IQ_TOTAL_CA",Input!O$2,Date,,,Ccy,Conv)</f>
        <v>36944</v>
      </c>
      <c r="N297" s="46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  <c r="AN297" s="42"/>
      <c r="AO297" s="42"/>
      <c r="AP297" s="42"/>
      <c r="AQ297" s="42"/>
      <c r="AR297" s="42"/>
      <c r="AS297" s="42"/>
      <c r="AT297" s="42"/>
      <c r="AU297" s="42"/>
      <c r="AV297" s="42"/>
      <c r="AW297" s="42"/>
      <c r="AX297" s="42"/>
      <c r="AY297" s="42"/>
      <c r="AZ297" s="42"/>
      <c r="BA297" s="42"/>
      <c r="BB297" s="42"/>
      <c r="BC297" s="42"/>
      <c r="BD297" s="42"/>
      <c r="BE297" s="42"/>
      <c r="BF297" s="42"/>
      <c r="BG297" s="42"/>
      <c r="BH297" s="42"/>
      <c r="BI297" s="42"/>
      <c r="BJ297" s="42"/>
      <c r="BK297" s="42"/>
      <c r="BL297" s="42"/>
      <c r="BM297" s="42"/>
      <c r="BN297" s="42"/>
    </row>
    <row r="298" spans="1:66" ht="12.75" customHeight="1" x14ac:dyDescent="0.2">
      <c r="A298" s="1" t="s">
        <v>92</v>
      </c>
      <c r="B298" s="4">
        <f>_xll.ciqfunctions.udf.CIQ(InputTicker, "IQ_GPPE",Input!D$2,Date,,,Ccy,Conv)</f>
        <v>29343</v>
      </c>
      <c r="C298" s="4">
        <f>_xll.ciqfunctions.udf.CIQ(InputTicker, "IQ_GPPE",Input!E$2,Date,,,Ccy,Conv)</f>
        <v>30133</v>
      </c>
      <c r="D298" s="4">
        <f>_xll.ciqfunctions.udf.CIQ(InputTicker, "IQ_GPPE",Input!F$2,Date,,,Ccy,Conv)</f>
        <v>32331</v>
      </c>
      <c r="E298" s="4">
        <f>_xll.ciqfunctions.udf.CIQ(InputTicker, "IQ_GPPE",Input!G$2,Date,,,Ccy,Conv)</f>
        <v>32460</v>
      </c>
      <c r="F298" s="4">
        <f>_xll.ciqfunctions.udf.CIQ(InputTicker, "IQ_GPPE",Input!H$2,Date,,,Ccy,Conv)</f>
        <v>37024</v>
      </c>
      <c r="G298" s="4">
        <f>_xll.ciqfunctions.udf.CIQ(InputTicker, "IQ_GPPE",Input!I$2,Date,,,Ccy,Conv)</f>
        <v>23667</v>
      </c>
      <c r="H298" s="4">
        <f>_xll.ciqfunctions.udf.CIQ(InputTicker, "IQ_GPPE",Input!J$2,Date,,,Ccy,Conv)</f>
        <v>23306</v>
      </c>
      <c r="I298" s="4">
        <f>_xll.ciqfunctions.udf.CIQ(InputTicker, "IQ_GPPE",Input!K$2,Date,,,Ccy,Conv)</f>
        <v>21573</v>
      </c>
      <c r="J298" s="4">
        <f>_xll.ciqfunctions.udf.CIQ(InputTicker, "IQ_GPPE",Input!L$2,Date,,,Ccy,Conv)</f>
        <v>21342</v>
      </c>
      <c r="K298" s="4">
        <f>_xll.ciqfunctions.udf.CIQ(InputTicker, "IQ_GPPE",Input!M$2,Date,,,Ccy,Conv)</f>
        <v>20888</v>
      </c>
      <c r="L298" s="4">
        <f>_xll.ciqfunctions.udf.CIQ(InputTicker, "IQ_GPPE",Input!N$2,Date,,,Ccy,Conv)</f>
        <v>21003</v>
      </c>
      <c r="M298" s="4">
        <f>_xll.ciqfunctions.udf.CIQ(InputTicker, "IQ_GPPE",Input!O$2,Date,,,Ccy,Conv)</f>
        <v>21003</v>
      </c>
      <c r="N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  <c r="AK298" s="42"/>
      <c r="AL298" s="42"/>
      <c r="AM298" s="42"/>
      <c r="AN298" s="42"/>
      <c r="AO298" s="42"/>
      <c r="AP298" s="42"/>
      <c r="AQ298" s="42"/>
      <c r="AR298" s="42"/>
      <c r="AS298" s="42"/>
      <c r="AT298" s="42"/>
      <c r="AU298" s="42"/>
      <c r="AV298" s="42"/>
      <c r="AW298" s="42"/>
      <c r="AX298" s="42"/>
      <c r="AY298" s="42"/>
      <c r="AZ298" s="42"/>
      <c r="BA298" s="42"/>
      <c r="BB298" s="42"/>
      <c r="BC298" s="42"/>
      <c r="BD298" s="42"/>
      <c r="BE298" s="42"/>
      <c r="BF298" s="42"/>
      <c r="BG298" s="42"/>
      <c r="BH298" s="42"/>
      <c r="BI298" s="42"/>
      <c r="BJ298" s="42"/>
      <c r="BK298" s="42"/>
      <c r="BL298" s="42"/>
      <c r="BM298" s="42"/>
      <c r="BN298" s="42"/>
    </row>
    <row r="299" spans="1:66" ht="12.75" customHeight="1" x14ac:dyDescent="0.2">
      <c r="A299" s="1" t="s">
        <v>93</v>
      </c>
      <c r="B299" s="4">
        <f>_xll.ciqfunctions.udf.CIQ(InputTicker, "IQ_AD",Input!D$2,Date,,,Ccy,Conv)</f>
        <v>-18616</v>
      </c>
      <c r="C299" s="4">
        <f>_xll.ciqfunctions.udf.CIQ(InputTicker, "IQ_AD",Input!E$2,Date,,,Ccy,Conv)</f>
        <v>-19303</v>
      </c>
      <c r="D299" s="4">
        <f>_xll.ciqfunctions.udf.CIQ(InputTicker, "IQ_AD",Input!F$2,Date,,,Ccy,Conv)</f>
        <v>-21215</v>
      </c>
      <c r="E299" s="4">
        <f>_xll.ciqfunctions.udf.CIQ(InputTicker, "IQ_AD",Input!G$2,Date,,,Ccy,Conv)</f>
        <v>-21668</v>
      </c>
      <c r="F299" s="4">
        <f>_xll.ciqfunctions.udf.CIQ(InputTicker, "IQ_AD",Input!H$2,Date,,,Ccy,Conv)</f>
        <v>-22018</v>
      </c>
      <c r="G299" s="4">
        <f>_xll.ciqfunctions.udf.CIQ(InputTicker, "IQ_AD",Input!I$2,Date,,,Ccy,Conv)</f>
        <v>-13896</v>
      </c>
      <c r="H299" s="4">
        <f>_xll.ciqfunctions.udf.CIQ(InputTicker, "IQ_AD",Input!J$2,Date,,,Ccy,Conv)</f>
        <v>-14390</v>
      </c>
      <c r="I299" s="4">
        <f>_xll.ciqfunctions.udf.CIQ(InputTicker, "IQ_AD",Input!K$2,Date,,,Ccy,Conv)</f>
        <v>-13361</v>
      </c>
      <c r="J299" s="4">
        <f>_xll.ciqfunctions.udf.CIQ(InputTicker, "IQ_AD",Input!L$2,Date,,,Ccy,Conv)</f>
        <v>-12621</v>
      </c>
      <c r="K299" s="4">
        <f>_xll.ciqfunctions.udf.CIQ(InputTicker, "IQ_AD",Input!M$2,Date,,,Ccy,Conv)</f>
        <v>-11959</v>
      </c>
      <c r="L299" s="4">
        <f>_xll.ciqfunctions.udf.CIQ(InputTicker, "IQ_AD",Input!N$2,Date,,,Ccy,Conv)</f>
        <v>-11975</v>
      </c>
      <c r="M299" s="4">
        <f>_xll.ciqfunctions.udf.CIQ(InputTicker, "IQ_AD",Input!O$2,Date,,,Ccy,Conv)</f>
        <v>-11975</v>
      </c>
      <c r="N299" s="42"/>
      <c r="T299" s="46"/>
      <c r="U299" s="46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  <c r="AK299" s="42"/>
      <c r="AL299" s="42"/>
      <c r="AM299" s="42"/>
      <c r="AN299" s="42"/>
      <c r="AO299" s="42"/>
      <c r="AP299" s="42"/>
      <c r="AQ299" s="42"/>
      <c r="AR299" s="42"/>
      <c r="AS299" s="42"/>
      <c r="AT299" s="42"/>
      <c r="AU299" s="42"/>
      <c r="AV299" s="42"/>
      <c r="AW299" s="42"/>
      <c r="AX299" s="42"/>
      <c r="AY299" s="42"/>
      <c r="AZ299" s="42"/>
      <c r="BA299" s="42"/>
      <c r="BB299" s="42"/>
      <c r="BC299" s="42"/>
      <c r="BD299" s="42"/>
      <c r="BE299" s="42"/>
      <c r="BF299" s="42"/>
      <c r="BG299" s="42"/>
      <c r="BH299" s="42"/>
      <c r="BI299" s="42"/>
      <c r="BJ299" s="42"/>
      <c r="BK299" s="42"/>
      <c r="BL299" s="42"/>
      <c r="BM299" s="42"/>
      <c r="BN299" s="42"/>
    </row>
    <row r="300" spans="1:66" ht="12.75" customHeight="1" x14ac:dyDescent="0.2">
      <c r="A300" s="5" t="s">
        <v>94</v>
      </c>
      <c r="B300" s="6">
        <f>_xll.ciqfunctions.udf.CIQ(InputTicker, "IQ_NPPE",Input!D$2,Date,,,Ccy,Conv)</f>
        <v>10727</v>
      </c>
      <c r="C300" s="6">
        <f>_xll.ciqfunctions.udf.CIQ(InputTicker, "IQ_NPPE",Input!E$2,Date,,,Ccy,Conv)</f>
        <v>10830</v>
      </c>
      <c r="D300" s="6">
        <f>_xll.ciqfunctions.udf.CIQ(InputTicker, "IQ_NPPE",Input!F$2,Date,,,Ccy,Conv)</f>
        <v>11116</v>
      </c>
      <c r="E300" s="6">
        <f>_xll.ciqfunctions.udf.CIQ(InputTicker, "IQ_NPPE",Input!G$2,Date,,,Ccy,Conv)</f>
        <v>10792</v>
      </c>
      <c r="F300" s="6">
        <f>_xll.ciqfunctions.udf.CIQ(InputTicker, "IQ_NPPE",Input!H$2,Date,,,Ccy,Conv)</f>
        <v>15006</v>
      </c>
      <c r="G300" s="6">
        <f>_xll.ciqfunctions.udf.CIQ(InputTicker, "IQ_NPPE",Input!I$2,Date,,,Ccy,Conv)</f>
        <v>9771</v>
      </c>
      <c r="H300" s="6">
        <f>_xll.ciqfunctions.udf.CIQ(InputTicker, "IQ_NPPE",Input!J$2,Date,,,Ccy,Conv)</f>
        <v>8916</v>
      </c>
      <c r="I300" s="6">
        <f>_xll.ciqfunctions.udf.CIQ(InputTicker, "IQ_NPPE",Input!K$2,Date,,,Ccy,Conv)</f>
        <v>8212</v>
      </c>
      <c r="J300" s="6">
        <f>_xll.ciqfunctions.udf.CIQ(InputTicker, "IQ_NPPE",Input!L$2,Date,,,Ccy,Conv)</f>
        <v>8721</v>
      </c>
      <c r="K300" s="6">
        <f>_xll.ciqfunctions.udf.CIQ(InputTicker, "IQ_NPPE",Input!M$2,Date,,,Ccy,Conv)</f>
        <v>8929</v>
      </c>
      <c r="L300" s="6">
        <f>_xll.ciqfunctions.udf.CIQ(InputTicker, "IQ_NPPE",Input!N$2,Date,,,Ccy,Conv)</f>
        <v>9028</v>
      </c>
      <c r="M300" s="6">
        <f>_xll.ciqfunctions.udf.CIQ(InputTicker, "IQ_NPPE",Input!O$2,Date,,,Ccy,Conv)</f>
        <v>9028</v>
      </c>
      <c r="N300" s="42"/>
      <c r="P300" s="46"/>
      <c r="Q300" s="46"/>
      <c r="R300" s="46"/>
      <c r="T300" s="42"/>
      <c r="U300" s="42"/>
      <c r="V300" s="46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  <c r="AK300" s="42"/>
      <c r="AL300" s="42"/>
      <c r="AM300" s="42"/>
      <c r="AN300" s="42"/>
      <c r="AO300" s="42"/>
      <c r="AP300" s="42"/>
      <c r="AQ300" s="42"/>
      <c r="AR300" s="42"/>
      <c r="AS300" s="42"/>
      <c r="AT300" s="42"/>
      <c r="AU300" s="42"/>
      <c r="AV300" s="42"/>
      <c r="AW300" s="42"/>
      <c r="AX300" s="42"/>
      <c r="AY300" s="42"/>
      <c r="AZ300" s="42"/>
      <c r="BA300" s="42"/>
      <c r="BB300" s="42"/>
      <c r="BC300" s="42"/>
      <c r="BD300" s="42"/>
      <c r="BE300" s="42"/>
      <c r="BF300" s="42"/>
      <c r="BG300" s="42"/>
      <c r="BH300" s="42"/>
      <c r="BI300" s="42"/>
      <c r="BJ300" s="42"/>
      <c r="BK300" s="42"/>
      <c r="BL300" s="42"/>
      <c r="BM300" s="42"/>
      <c r="BN300" s="42"/>
    </row>
    <row r="301" spans="1:66" ht="12.75" customHeight="1" x14ac:dyDescent="0.2">
      <c r="A301" s="1" t="s">
        <v>176</v>
      </c>
      <c r="B301" s="4">
        <f>_xll.ciqfunctions.udf.CIQ(InputTicker, "IQ_LT_INVEST",Input!D$2,Date,,,Ccy,Conv)</f>
        <v>1131</v>
      </c>
      <c r="C301" s="4">
        <f>_xll.ciqfunctions.udf.CIQ(InputTicker, "IQ_LT_INVEST",Input!E$2,Date,,,Ccy,Conv)</f>
        <v>659</v>
      </c>
      <c r="D301" s="4">
        <f>_xll.ciqfunctions.udf.CIQ(InputTicker, "IQ_LT_INVEST",Input!F$2,Date,,,Ccy,Conv)</f>
        <v>581</v>
      </c>
      <c r="E301" s="4">
        <f>_xll.ciqfunctions.udf.CIQ(InputTicker, "IQ_LT_INVEST",Input!G$2,Date,,,Ccy,Conv)</f>
        <v>226</v>
      </c>
      <c r="F301" s="4">
        <f>_xll.ciqfunctions.udf.CIQ(InputTicker, "IQ_LT_INVEST",Input!H$2,Date,,,Ccy,Conv)</f>
        <v>222</v>
      </c>
      <c r="G301" s="4">
        <f>_xll.ciqfunctions.udf.CIQ(InputTicker, "IQ_LT_INVEST",Input!I$2,Date,,,Ccy,Conv)</f>
        <v>216</v>
      </c>
      <c r="H301" s="4">
        <f>_xll.ciqfunctions.udf.CIQ(InputTicker, "IQ_LT_INVEST",Input!J$2,Date,,,Ccy,Conv)</f>
        <v>1783</v>
      </c>
      <c r="I301" s="4">
        <f>_xll.ciqfunctions.udf.CIQ(InputTicker, "IQ_LT_INVEST",Input!K$2,Date,,,Ccy,Conv)</f>
        <v>1610</v>
      </c>
      <c r="J301" s="4">
        <f>_xll.ciqfunctions.udf.CIQ(InputTicker, "IQ_LT_INVEST",Input!L$2,Date,,,Ccy,Conv)</f>
        <v>1589</v>
      </c>
      <c r="K301" s="4">
        <f>_xll.ciqfunctions.udf.CIQ(InputTicker, "IQ_LT_INVEST",Input!M$2,Date,,,Ccy,Conv)</f>
        <v>1691</v>
      </c>
      <c r="L301" s="4">
        <f>_xll.ciqfunctions.udf.CIQ(InputTicker, "IQ_LT_INVEST",Input!N$2,Date,,,Ccy,Conv)</f>
        <v>1751</v>
      </c>
      <c r="M301" s="4">
        <f>_xll.ciqfunctions.udf.CIQ(InputTicker, "IQ_LT_INVEST",Input!O$2,Date,,,Ccy,Conv)</f>
        <v>1751</v>
      </c>
      <c r="N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  <c r="AN301" s="42"/>
      <c r="AO301" s="42"/>
      <c r="AP301" s="42"/>
      <c r="AQ301" s="42"/>
      <c r="AR301" s="42"/>
      <c r="AS301" s="42"/>
      <c r="AT301" s="42"/>
      <c r="AU301" s="42"/>
      <c r="AV301" s="42"/>
      <c r="AW301" s="42"/>
      <c r="AX301" s="42"/>
      <c r="AY301" s="42"/>
      <c r="AZ301" s="42"/>
      <c r="BA301" s="42"/>
      <c r="BB301" s="42"/>
      <c r="BC301" s="42"/>
      <c r="BD301" s="42"/>
      <c r="BE301" s="42"/>
      <c r="BF301" s="42"/>
      <c r="BG301" s="42"/>
      <c r="BH301" s="42"/>
      <c r="BI301" s="42"/>
      <c r="BJ301" s="42"/>
      <c r="BK301" s="42"/>
      <c r="BL301" s="42"/>
      <c r="BM301" s="42"/>
      <c r="BN301" s="42"/>
    </row>
    <row r="302" spans="1:66" ht="12.75" customHeight="1" x14ac:dyDescent="0.2">
      <c r="A302" s="1" t="s">
        <v>56</v>
      </c>
      <c r="B302" s="4">
        <f>_xll.ciqfunctions.udf.CIQ(InputTicker, "IQ_GW",Input!D$2,Date,,,Ccy,Conv)</f>
        <v>32021</v>
      </c>
      <c r="C302" s="4">
        <f>_xll.ciqfunctions.udf.CIQ(InputTicker, "IQ_GW",Input!E$2,Date,,,Ccy,Conv)</f>
        <v>36199</v>
      </c>
      <c r="D302" s="4">
        <f>_xll.ciqfunctions.udf.CIQ(InputTicker, "IQ_GW",Input!F$2,Date,,,Ccy,Conv)</f>
        <v>36788</v>
      </c>
      <c r="E302" s="4">
        <f>_xll.ciqfunctions.udf.CIQ(InputTicker, "IQ_GW",Input!G$2,Date,,,Ccy,Conv)</f>
        <v>36265</v>
      </c>
      <c r="F302" s="4">
        <f>_xll.ciqfunctions.udf.CIQ(InputTicker, "IQ_GW",Input!H$2,Date,,,Ccy,Conv)</f>
        <v>58222</v>
      </c>
      <c r="G302" s="4">
        <f>_xll.ciqfunctions.udf.CIQ(InputTicker, "IQ_GW",Input!I$2,Date,,,Ccy,Conv)</f>
        <v>53765</v>
      </c>
      <c r="H302" s="4">
        <f>_xll.ciqfunctions.udf.CIQ(InputTicker, "IQ_GW",Input!J$2,Date,,,Ccy,Conv)</f>
        <v>55643</v>
      </c>
      <c r="I302" s="4">
        <f>_xll.ciqfunctions.udf.CIQ(InputTicker, "IQ_GW",Input!K$2,Date,,,Ccy,Conv)</f>
        <v>55949</v>
      </c>
      <c r="J302" s="4">
        <f>_xll.ciqfunctions.udf.CIQ(InputTicker, "IQ_GW",Input!L$2,Date,,,Ccy,Conv)</f>
        <v>60178</v>
      </c>
      <c r="K302" s="4">
        <f>_xll.ciqfunctions.udf.CIQ(InputTicker, "IQ_GW",Input!M$2,Date,,,Ccy,Conv)</f>
        <v>60706</v>
      </c>
      <c r="L302" s="4">
        <f>_xll.ciqfunctions.udf.CIQ(InputTicker, "IQ_GW",Input!N$2,Date,,,Ccy,Conv)</f>
        <v>67717</v>
      </c>
      <c r="M302" s="4">
        <f>_xll.ciqfunctions.udf.CIQ(InputTicker, "IQ_GW",Input!O$2,Date,,,Ccy,Conv)</f>
        <v>67717</v>
      </c>
      <c r="N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  <c r="BA302" s="42"/>
      <c r="BB302" s="42"/>
      <c r="BC302" s="42"/>
      <c r="BD302" s="42"/>
      <c r="BE302" s="42"/>
      <c r="BF302" s="42"/>
      <c r="BG302" s="42"/>
      <c r="BH302" s="42"/>
      <c r="BI302" s="42"/>
      <c r="BJ302" s="42"/>
      <c r="BK302" s="42"/>
      <c r="BL302" s="42"/>
      <c r="BM302" s="42"/>
      <c r="BN302" s="42"/>
    </row>
    <row r="303" spans="1:66" ht="12.75" customHeight="1" x14ac:dyDescent="0.2">
      <c r="A303" s="1" t="s">
        <v>95</v>
      </c>
      <c r="B303" s="4">
        <f>_xll.ciqfunctions.udf.CIQ(InputTicker, "IQ_OTHER_INTAN",Input!D$2,Date,,,Ccy,Conv)</f>
        <v>3487</v>
      </c>
      <c r="C303" s="4">
        <f>_xll.ciqfunctions.udf.CIQ(InputTicker, "IQ_OTHER_INTAN",Input!E$2,Date,,,Ccy,Conv)</f>
        <v>4688</v>
      </c>
      <c r="D303" s="4">
        <f>_xll.ciqfunctions.udf.CIQ(InputTicker, "IQ_OTHER_INTAN",Input!F$2,Date,,,Ccy,Conv)</f>
        <v>3742</v>
      </c>
      <c r="E303" s="4">
        <f>_xll.ciqfunctions.udf.CIQ(InputTicker, "IQ_OTHER_INTAN",Input!G$2,Date,,,Ccy,Conv)</f>
        <v>3087</v>
      </c>
      <c r="F303" s="4">
        <f>_xll.ciqfunctions.udf.CIQ(InputTicker, "IQ_OTHER_INTAN",Input!H$2,Date,,,Ccy,Conv)</f>
        <v>15235</v>
      </c>
      <c r="G303" s="4">
        <f>_xll.ciqfunctions.udf.CIQ(InputTicker, "IQ_OTHER_INTAN",Input!I$2,Date,,,Ccy,Conv)</f>
        <v>13739</v>
      </c>
      <c r="H303" s="4">
        <f>_xll.ciqfunctions.udf.CIQ(InputTicker, "IQ_OTHER_INTAN",Input!J$2,Date,,,Ccy,Conv)</f>
        <v>12511</v>
      </c>
      <c r="I303" s="4">
        <f>_xll.ciqfunctions.udf.CIQ(InputTicker, "IQ_OTHER_INTAN",Input!K$2,Date,,,Ccy,Conv)</f>
        <v>11184</v>
      </c>
      <c r="J303" s="4">
        <f>_xll.ciqfunctions.udf.CIQ(InputTicker, "IQ_OTHER_INTAN",Input!L$2,Date,,,Ccy,Conv)</f>
        <v>11036</v>
      </c>
      <c r="K303" s="4">
        <f>_xll.ciqfunctions.udf.CIQ(InputTicker, "IQ_OTHER_INTAN",Input!M$2,Date,,,Ccy,Conv)</f>
        <v>10660</v>
      </c>
      <c r="L303" s="4">
        <f>_xll.ciqfunctions.udf.CIQ(InputTicker, "IQ_OTHER_INTAN",Input!N$2,Date,,,Ccy,Conv)</f>
        <v>11391</v>
      </c>
      <c r="M303" s="4">
        <f>_xll.ciqfunctions.udf.CIQ(InputTicker, "IQ_OTHER_INTAN",Input!O$2,Date,,,Ccy,Conv)</f>
        <v>11391</v>
      </c>
      <c r="N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  <c r="AK303" s="42"/>
      <c r="AL303" s="42"/>
      <c r="AM303" s="42"/>
      <c r="AN303" s="42"/>
      <c r="AO303" s="42"/>
      <c r="AP303" s="42"/>
      <c r="AQ303" s="42"/>
      <c r="AR303" s="42"/>
      <c r="AS303" s="42"/>
      <c r="AT303" s="42"/>
      <c r="AU303" s="42"/>
      <c r="AV303" s="42"/>
      <c r="AW303" s="42"/>
      <c r="AX303" s="42"/>
      <c r="AY303" s="42"/>
      <c r="AZ303" s="42"/>
      <c r="BA303" s="42"/>
      <c r="BB303" s="42"/>
      <c r="BC303" s="42"/>
      <c r="BD303" s="42"/>
      <c r="BE303" s="42"/>
      <c r="BF303" s="42"/>
      <c r="BG303" s="42"/>
      <c r="BH303" s="42"/>
      <c r="BI303" s="42"/>
      <c r="BJ303" s="42"/>
      <c r="BK303" s="42"/>
      <c r="BL303" s="42"/>
      <c r="BM303" s="42"/>
      <c r="BN303" s="42"/>
    </row>
    <row r="304" spans="1:66" ht="12.75" customHeight="1" x14ac:dyDescent="0.2">
      <c r="A304" s="1" t="s">
        <v>177</v>
      </c>
      <c r="B304" s="4">
        <f>_xll.ciqfunctions.udf.CIQ(InputTicker, "IQ_FIN_DIV_LOANS_LT",Input!D$2,Date,,,Ccy,Conv)</f>
        <v>10013</v>
      </c>
      <c r="C304" s="4">
        <f>_xll.ciqfunctions.udf.CIQ(InputTicker, "IQ_FIN_DIV_LOANS_LT",Input!E$2,Date,,,Ccy,Conv)</f>
        <v>9021</v>
      </c>
      <c r="D304" s="4">
        <f>_xll.ciqfunctions.udf.CIQ(InputTicker, "IQ_FIN_DIV_LOANS_LT",Input!F$2,Date,,,Ccy,Conv)</f>
        <v>9550</v>
      </c>
      <c r="E304" s="4">
        <f>_xll.ciqfunctions.udf.CIQ(InputTicker, "IQ_FIN_DIV_LOANS_LT",Input!G$2,Date,,,Ccy,Conv)</f>
        <v>9148</v>
      </c>
      <c r="F304" s="4">
        <f>_xll.ciqfunctions.udf.CIQ(InputTicker, "IQ_FIN_DIV_LOANS_LT",Input!H$2,Date,,,Ccy,Conv)</f>
        <v>8712</v>
      </c>
      <c r="G304" s="4">
        <f>_xll.ciqfunctions.udf.CIQ(InputTicker, "IQ_FIN_DIV_LOANS_LT",Input!I$2,Date,,,Ccy,Conv)</f>
        <v>7086</v>
      </c>
      <c r="H304" s="4">
        <f>_xll.ciqfunctions.udf.CIQ(InputTicker, "IQ_FIN_DIV_LOANS_LT",Input!J$2,Date,,,Ccy,Conv)</f>
        <v>5425</v>
      </c>
      <c r="I304" s="4">
        <f>_xll.ciqfunctions.udf.CIQ(InputTicker, "IQ_FIN_DIV_LOANS_LT",Input!K$2,Date,,,Ccy,Conv)</f>
        <v>5806</v>
      </c>
      <c r="J304" s="4">
        <f>_xll.ciqfunctions.udf.CIQ(InputTicker, "IQ_FIN_DIV_LOANS_LT",Input!L$2,Date,,,Ccy,Conv)</f>
        <v>5766</v>
      </c>
      <c r="K304" s="4">
        <f>_xll.ciqfunctions.udf.CIQ(InputTicker, "IQ_FIN_DIV_LOANS_LT",Input!M$2,Date,,,Ccy,Conv)</f>
        <v>5353</v>
      </c>
      <c r="L304" s="4">
        <f>_xll.ciqfunctions.udf.CIQ(InputTicker, "IQ_FIN_DIV_LOANS_LT",Input!N$2,Date,,,Ccy,Conv)</f>
        <v>7708</v>
      </c>
      <c r="M304" s="4">
        <f>_xll.ciqfunctions.udf.CIQ(InputTicker, "IQ_FIN_DIV_LOANS_LT",Input!O$2,Date,,,Ccy,Conv)</f>
        <v>7708</v>
      </c>
      <c r="N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  <c r="AK304" s="42"/>
      <c r="AL304" s="42"/>
      <c r="AM304" s="42"/>
      <c r="AN304" s="42"/>
      <c r="AO304" s="42"/>
      <c r="AP304" s="42"/>
      <c r="AQ304" s="42"/>
      <c r="AR304" s="42"/>
      <c r="AS304" s="42"/>
      <c r="AT304" s="42"/>
      <c r="AU304" s="42"/>
      <c r="AV304" s="42"/>
      <c r="AW304" s="42"/>
      <c r="AX304" s="42"/>
      <c r="AY304" s="42"/>
      <c r="AZ304" s="42"/>
      <c r="BA304" s="42"/>
      <c r="BB304" s="42"/>
      <c r="BC304" s="42"/>
      <c r="BD304" s="42"/>
      <c r="BE304" s="42"/>
      <c r="BF304" s="42"/>
      <c r="BG304" s="42"/>
      <c r="BH304" s="42"/>
      <c r="BI304" s="42"/>
      <c r="BJ304" s="42"/>
      <c r="BK304" s="42"/>
      <c r="BL304" s="42"/>
      <c r="BM304" s="42"/>
      <c r="BN304" s="42"/>
    </row>
    <row r="305" spans="1:66" ht="12.75" customHeight="1" x14ac:dyDescent="0.2">
      <c r="A305" s="1" t="s">
        <v>178</v>
      </c>
      <c r="B305" s="4">
        <f>_xll.ciqfunctions.udf.CIQ(InputTicker, "IQ_FIN_DIV_ASSETS_LT",Input!D$2,Date,,,Ccy,Conv)</f>
        <v>0</v>
      </c>
      <c r="C305" s="4">
        <f>_xll.ciqfunctions.udf.CIQ(InputTicker, "IQ_FIN_DIV_ASSETS_LT",Input!E$2,Date,,,Ccy,Conv)</f>
        <v>0</v>
      </c>
      <c r="D305" s="4">
        <f>_xll.ciqfunctions.udf.CIQ(InputTicker, "IQ_FIN_DIV_ASSETS_LT",Input!F$2,Date,,,Ccy,Conv)</f>
        <v>0</v>
      </c>
      <c r="E305" s="4">
        <f>_xll.ciqfunctions.udf.CIQ(InputTicker, "IQ_FIN_DIV_ASSETS_LT",Input!G$2,Date,,,Ccy,Conv)</f>
        <v>0</v>
      </c>
      <c r="F305" s="4">
        <f>_xll.ciqfunctions.udf.CIQ(InputTicker, "IQ_FIN_DIV_ASSETS_LT",Input!H$2,Date,,,Ccy,Conv)</f>
        <v>0</v>
      </c>
      <c r="G305" s="4">
        <f>_xll.ciqfunctions.udf.CIQ(InputTicker, "IQ_FIN_DIV_ASSETS_LT",Input!I$2,Date,,,Ccy,Conv)</f>
        <v>0</v>
      </c>
      <c r="H305" s="4">
        <f>_xll.ciqfunctions.udf.CIQ(InputTicker, "IQ_FIN_DIV_ASSETS_LT",Input!J$2,Date,,,Ccy,Conv)</f>
        <v>0</v>
      </c>
      <c r="I305" s="4">
        <f>_xll.ciqfunctions.udf.CIQ(InputTicker, "IQ_FIN_DIV_ASSETS_LT",Input!K$2,Date,,,Ccy,Conv)</f>
        <v>0</v>
      </c>
      <c r="J305" s="4">
        <f>_xll.ciqfunctions.udf.CIQ(InputTicker, "IQ_FIN_DIV_ASSETS_LT",Input!L$2,Date,,,Ccy,Conv)</f>
        <v>0</v>
      </c>
      <c r="K305" s="4">
        <f>_xll.ciqfunctions.udf.CIQ(InputTicker, "IQ_FIN_DIV_ASSETS_LT",Input!M$2,Date,,,Ccy,Conv)</f>
        <v>0</v>
      </c>
      <c r="L305" s="4">
        <f>_xll.ciqfunctions.udf.CIQ(InputTicker, "IQ_FIN_DIV_ASSETS_LT",Input!N$2,Date,,,Ccy,Conv)</f>
        <v>0</v>
      </c>
      <c r="M305" s="4">
        <f>_xll.ciqfunctions.udf.CIQ(InputTicker, "IQ_FIN_DIV_ASSETS_LT",Input!O$2,Date,,,Ccy,Conv)</f>
        <v>0</v>
      </c>
      <c r="N305" s="46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  <c r="AN305" s="42"/>
      <c r="AO305" s="42"/>
      <c r="AP305" s="42"/>
      <c r="AQ305" s="42"/>
      <c r="AR305" s="42"/>
      <c r="AS305" s="42"/>
      <c r="AT305" s="42"/>
      <c r="AU305" s="42"/>
      <c r="AV305" s="42"/>
      <c r="AW305" s="42"/>
      <c r="AX305" s="42"/>
      <c r="AY305" s="42"/>
      <c r="AZ305" s="42"/>
      <c r="BA305" s="42"/>
      <c r="BB305" s="42"/>
      <c r="BC305" s="42"/>
      <c r="BD305" s="42"/>
      <c r="BE305" s="42"/>
      <c r="BF305" s="42"/>
      <c r="BG305" s="42"/>
      <c r="BH305" s="42"/>
      <c r="BI305" s="42"/>
      <c r="BJ305" s="42"/>
      <c r="BK305" s="42"/>
      <c r="BL305" s="42"/>
      <c r="BM305" s="42"/>
      <c r="BN305" s="42"/>
    </row>
    <row r="306" spans="1:66" ht="12.75" customHeight="1" x14ac:dyDescent="0.2">
      <c r="A306" s="1" t="s">
        <v>179</v>
      </c>
      <c r="B306" s="4">
        <f>_xll.ciqfunctions.udf.CIQ(InputTicker, "IQ_AR_LT",Input!D$2,Date,,,Ccy,Conv)</f>
        <v>0</v>
      </c>
      <c r="C306" s="4">
        <f>_xll.ciqfunctions.udf.CIQ(InputTicker, "IQ_AR_LT",Input!E$2,Date,,,Ccy,Conv)</f>
        <v>0</v>
      </c>
      <c r="D306" s="4">
        <f>_xll.ciqfunctions.udf.CIQ(InputTicker, "IQ_AR_LT",Input!F$2,Date,,,Ccy,Conv)</f>
        <v>0</v>
      </c>
      <c r="E306" s="4">
        <f>_xll.ciqfunctions.udf.CIQ(InputTicker, "IQ_AR_LT",Input!G$2,Date,,,Ccy,Conv)</f>
        <v>0</v>
      </c>
      <c r="F306" s="4">
        <f>_xll.ciqfunctions.udf.CIQ(InputTicker, "IQ_AR_LT",Input!H$2,Date,,,Ccy,Conv)</f>
        <v>0</v>
      </c>
      <c r="G306" s="4">
        <f>_xll.ciqfunctions.udf.CIQ(InputTicker, "IQ_AR_LT",Input!I$2,Date,,,Ccy,Conv)</f>
        <v>0</v>
      </c>
      <c r="H306" s="4">
        <f>_xll.ciqfunctions.udf.CIQ(InputTicker, "IQ_AR_LT",Input!J$2,Date,,,Ccy,Conv)</f>
        <v>0</v>
      </c>
      <c r="I306" s="4">
        <f>_xll.ciqfunctions.udf.CIQ(InputTicker, "IQ_AR_LT",Input!K$2,Date,,,Ccy,Conv)</f>
        <v>0</v>
      </c>
      <c r="J306" s="4">
        <f>_xll.ciqfunctions.udf.CIQ(InputTicker, "IQ_AR_LT",Input!L$2,Date,,,Ccy,Conv)</f>
        <v>0</v>
      </c>
      <c r="K306" s="4">
        <f>_xll.ciqfunctions.udf.CIQ(InputTicker, "IQ_AR_LT",Input!M$2,Date,,,Ccy,Conv)</f>
        <v>0</v>
      </c>
      <c r="L306" s="4">
        <f>_xll.ciqfunctions.udf.CIQ(InputTicker, "IQ_AR_LT",Input!N$2,Date,,,Ccy,Conv)</f>
        <v>0</v>
      </c>
      <c r="M306" s="4">
        <f>_xll.ciqfunctions.udf.CIQ(InputTicker, "IQ_AR_LT",Input!O$2,Date,,,Ccy,Conv)</f>
        <v>0</v>
      </c>
      <c r="N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  <c r="AK306" s="42"/>
      <c r="AL306" s="42"/>
      <c r="AM306" s="42"/>
      <c r="AN306" s="42"/>
      <c r="AO306" s="42"/>
      <c r="AP306" s="42"/>
      <c r="AQ306" s="42"/>
      <c r="AR306" s="42"/>
      <c r="AS306" s="42"/>
      <c r="AT306" s="42"/>
      <c r="AU306" s="42"/>
      <c r="AV306" s="42"/>
      <c r="AW306" s="42"/>
      <c r="AX306" s="42"/>
      <c r="AY306" s="42"/>
      <c r="AZ306" s="42"/>
      <c r="BA306" s="42"/>
      <c r="BB306" s="42"/>
      <c r="BC306" s="42"/>
      <c r="BD306" s="42"/>
      <c r="BE306" s="42"/>
      <c r="BF306" s="42"/>
      <c r="BG306" s="42"/>
      <c r="BH306" s="42"/>
      <c r="BI306" s="42"/>
      <c r="BJ306" s="42"/>
      <c r="BK306" s="42"/>
      <c r="BL306" s="42"/>
      <c r="BM306" s="42"/>
      <c r="BN306" s="42"/>
    </row>
    <row r="307" spans="1:66" ht="12.75" customHeight="1" x14ac:dyDescent="0.2">
      <c r="A307" s="1" t="s">
        <v>132</v>
      </c>
      <c r="B307" s="4">
        <f>_xll.ciqfunctions.udf.CIQ(InputTicker, "IQ_LOANS_RECEIV_LT",Input!D$2,Date,,,Ccy,Conv)</f>
        <v>0</v>
      </c>
      <c r="C307" s="4">
        <f>_xll.ciqfunctions.udf.CIQ(InputTicker, "IQ_LOANS_RECEIV_LT",Input!E$2,Date,,,Ccy,Conv)</f>
        <v>0</v>
      </c>
      <c r="D307" s="4">
        <f>_xll.ciqfunctions.udf.CIQ(InputTicker, "IQ_LOANS_RECEIV_LT",Input!F$2,Date,,,Ccy,Conv)</f>
        <v>0</v>
      </c>
      <c r="E307" s="4">
        <f>_xll.ciqfunctions.udf.CIQ(InputTicker, "IQ_LOANS_RECEIV_LT",Input!G$2,Date,,,Ccy,Conv)</f>
        <v>0</v>
      </c>
      <c r="F307" s="4">
        <f>_xll.ciqfunctions.udf.CIQ(InputTicker, "IQ_LOANS_RECEIV_LT",Input!H$2,Date,,,Ccy,Conv)</f>
        <v>0</v>
      </c>
      <c r="G307" s="4">
        <f>_xll.ciqfunctions.udf.CIQ(InputTicker, "IQ_LOANS_RECEIV_LT",Input!I$2,Date,,,Ccy,Conv)</f>
        <v>0</v>
      </c>
      <c r="H307" s="4">
        <f>_xll.ciqfunctions.udf.CIQ(InputTicker, "IQ_LOANS_RECEIV_LT",Input!J$2,Date,,,Ccy,Conv)</f>
        <v>0</v>
      </c>
      <c r="I307" s="4">
        <f>_xll.ciqfunctions.udf.CIQ(InputTicker, "IQ_LOANS_RECEIV_LT",Input!K$2,Date,,,Ccy,Conv)</f>
        <v>0</v>
      </c>
      <c r="J307" s="4">
        <f>_xll.ciqfunctions.udf.CIQ(InputTicker, "IQ_LOANS_RECEIV_LT",Input!L$2,Date,,,Ccy,Conv)</f>
        <v>0</v>
      </c>
      <c r="K307" s="4">
        <f>_xll.ciqfunctions.udf.CIQ(InputTicker, "IQ_LOANS_RECEIV_LT",Input!M$2,Date,,,Ccy,Conv)</f>
        <v>0</v>
      </c>
      <c r="L307" s="4">
        <f>_xll.ciqfunctions.udf.CIQ(InputTicker, "IQ_LOANS_RECEIV_LT",Input!N$2,Date,,,Ccy,Conv)</f>
        <v>0</v>
      </c>
      <c r="M307" s="4">
        <f>_xll.ciqfunctions.udf.CIQ(InputTicker, "IQ_LOANS_RECEIV_LT",Input!O$2,Date,,,Ccy,Conv)</f>
        <v>0</v>
      </c>
      <c r="N307" s="42"/>
      <c r="S307" s="46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  <c r="AK307" s="42"/>
      <c r="AL307" s="42"/>
      <c r="AM307" s="42"/>
      <c r="AN307" s="42"/>
      <c r="AO307" s="42"/>
      <c r="AP307" s="42"/>
      <c r="AQ307" s="42"/>
      <c r="AR307" s="42"/>
      <c r="AS307" s="42"/>
      <c r="AT307" s="42"/>
      <c r="AU307" s="42"/>
      <c r="AV307" s="42"/>
      <c r="AW307" s="42"/>
      <c r="AX307" s="42"/>
      <c r="AY307" s="42"/>
      <c r="AZ307" s="42"/>
      <c r="BA307" s="42"/>
      <c r="BB307" s="42"/>
      <c r="BC307" s="42"/>
      <c r="BD307" s="42"/>
      <c r="BE307" s="42"/>
      <c r="BF307" s="42"/>
      <c r="BG307" s="42"/>
      <c r="BH307" s="42"/>
      <c r="BI307" s="42"/>
      <c r="BJ307" s="42"/>
      <c r="BK307" s="42"/>
      <c r="BL307" s="42"/>
      <c r="BM307" s="42"/>
      <c r="BN307" s="42"/>
    </row>
    <row r="308" spans="1:66" ht="12.75" customHeight="1" x14ac:dyDescent="0.2">
      <c r="A308" s="1" t="s">
        <v>133</v>
      </c>
      <c r="B308" s="4">
        <f>_xll.ciqfunctions.udf.CIQ(InputTicker, "IQ_DEF_TAX_ASSETS_LT",Input!D$2,Date,,,Ccy,Conv)</f>
        <v>4822</v>
      </c>
      <c r="C308" s="4">
        <f>_xll.ciqfunctions.udf.CIQ(InputTicker, "IQ_DEF_TAX_ASSETS_LT",Input!E$2,Date,,,Ccy,Conv)</f>
        <v>5224</v>
      </c>
      <c r="D308" s="4">
        <f>_xll.ciqfunctions.udf.CIQ(InputTicker, "IQ_DEF_TAX_ASSETS_LT",Input!F$2,Date,,,Ccy,Conv)</f>
        <v>4862</v>
      </c>
      <c r="E308" s="4">
        <f>_xll.ciqfunctions.udf.CIQ(InputTicker, "IQ_DEF_TAX_ASSETS_LT",Input!G$2,Date,,,Ccy,Conv)</f>
        <v>5216</v>
      </c>
      <c r="F308" s="4">
        <f>_xll.ciqfunctions.udf.CIQ(InputTicker, "IQ_DEF_TAX_ASSETS_LT",Input!H$2,Date,,,Ccy,Conv)</f>
        <v>5182</v>
      </c>
      <c r="G308" s="4">
        <f>_xll.ciqfunctions.udf.CIQ(InputTicker, "IQ_DEF_TAX_ASSETS_LT",Input!I$2,Date,,,Ccy,Conv)</f>
        <v>8404</v>
      </c>
      <c r="H308" s="4">
        <f>_xll.ciqfunctions.udf.CIQ(InputTicker, "IQ_DEF_TAX_ASSETS_LT",Input!J$2,Date,,,Ccy,Conv)</f>
        <v>7370</v>
      </c>
      <c r="I308" s="4">
        <f>_xll.ciqfunctions.udf.CIQ(InputTicker, "IQ_DEF_TAX_ASSETS_LT",Input!K$2,Date,,,Ccy,Conv)</f>
        <v>6256</v>
      </c>
      <c r="J308" s="4">
        <f>_xll.ciqfunctions.udf.CIQ(InputTicker, "IQ_DEF_TAX_ASSETS_LT",Input!L$2,Date,,,Ccy,Conv)</f>
        <v>6656</v>
      </c>
      <c r="K308" s="4">
        <f>_xll.ciqfunctions.udf.CIQ(InputTicker, "IQ_DEF_TAX_ASSETS_LT",Input!M$2,Date,,,Ccy,Conv)</f>
        <v>6978</v>
      </c>
      <c r="L308" s="4">
        <f>_xll.ciqfunctions.udf.CIQ(InputTicker, "IQ_DEF_TAX_ASSETS_LT",Input!N$2,Date,,,Ccy,Conv)</f>
        <v>8610</v>
      </c>
      <c r="M308" s="4">
        <f>_xll.ciqfunctions.udf.CIQ(InputTicker, "IQ_DEF_TAX_ASSETS_LT",Input!O$2,Date,,,Ccy,Conv)</f>
        <v>8610</v>
      </c>
      <c r="N308" s="46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  <c r="BA308" s="42"/>
      <c r="BB308" s="42"/>
      <c r="BC308" s="42"/>
      <c r="BD308" s="42"/>
      <c r="BE308" s="42"/>
      <c r="BF308" s="42"/>
      <c r="BG308" s="42"/>
      <c r="BH308" s="42"/>
      <c r="BI308" s="42"/>
      <c r="BJ308" s="42"/>
      <c r="BK308" s="42"/>
      <c r="BL308" s="42"/>
      <c r="BM308" s="42"/>
      <c r="BN308" s="42"/>
    </row>
    <row r="309" spans="1:66" ht="12.75" customHeight="1" x14ac:dyDescent="0.2">
      <c r="A309" s="1" t="s">
        <v>180</v>
      </c>
      <c r="B309" s="4">
        <f>_xll.ciqfunctions.udf.CIQ(InputTicker, "IQ_DEF_CHARGES_LT",Input!D$2,Date,,,Ccy,Conv)</f>
        <v>1626</v>
      </c>
      <c r="C309" s="4">
        <f>_xll.ciqfunctions.udf.CIQ(InputTicker, "IQ_DEF_CHARGES_LT",Input!E$2,Date,,,Ccy,Conv)</f>
        <v>1496</v>
      </c>
      <c r="D309" s="4">
        <f>_xll.ciqfunctions.udf.CIQ(InputTicker, "IQ_DEF_CHARGES_LT",Input!F$2,Date,,,Ccy,Conv)</f>
        <v>2136</v>
      </c>
      <c r="E309" s="4">
        <f>_xll.ciqfunctions.udf.CIQ(InputTicker, "IQ_DEF_CHARGES_LT",Input!G$2,Date,,,Ccy,Conv)</f>
        <v>2676</v>
      </c>
      <c r="F309" s="4">
        <f>_xll.ciqfunctions.udf.CIQ(InputTicker, "IQ_DEF_CHARGES_LT",Input!H$2,Date,,,Ccy,Conv)</f>
        <v>2472</v>
      </c>
      <c r="G309" s="4">
        <f>_xll.ciqfunctions.udf.CIQ(InputTicker, "IQ_DEF_CHARGES_LT",Input!I$2,Date,,,Ccy,Conv)</f>
        <v>1150</v>
      </c>
      <c r="H309" s="4">
        <f>_xll.ciqfunctions.udf.CIQ(InputTicker, "IQ_DEF_CHARGES_LT",Input!J$2,Date,,,Ccy,Conv)</f>
        <v>924</v>
      </c>
      <c r="I309" s="4">
        <f>_xll.ciqfunctions.udf.CIQ(InputTicker, "IQ_DEF_CHARGES_LT",Input!K$2,Date,,,Ccy,Conv)</f>
        <v>866</v>
      </c>
      <c r="J309" s="4">
        <f>_xll.ciqfunctions.udf.CIQ(InputTicker, "IQ_DEF_CHARGES_LT",Input!L$2,Date,,,Ccy,Conv)</f>
        <v>842</v>
      </c>
      <c r="K309" s="4">
        <f>_xll.ciqfunctions.udf.CIQ(InputTicker, "IQ_DEF_CHARGES_LT",Input!M$2,Date,,,Ccy,Conv)</f>
        <v>788</v>
      </c>
      <c r="L309" s="4">
        <f>_xll.ciqfunctions.udf.CIQ(InputTicker, "IQ_DEF_CHARGES_LT",Input!N$2,Date,,,Ccy,Conv)</f>
        <v>825</v>
      </c>
      <c r="M309" s="4">
        <f>_xll.ciqfunctions.udf.CIQ(InputTicker, "IQ_DEF_CHARGES_LT",Input!O$2,Date,,,Ccy,Conv)</f>
        <v>825</v>
      </c>
      <c r="N309" s="42"/>
      <c r="S309" s="46"/>
      <c r="T309" s="46"/>
      <c r="U309" s="46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  <c r="AN309" s="42"/>
      <c r="AO309" s="42"/>
      <c r="AP309" s="42"/>
      <c r="AQ309" s="42"/>
      <c r="AR309" s="42"/>
      <c r="AS309" s="42"/>
      <c r="AT309" s="42"/>
      <c r="AU309" s="42"/>
      <c r="AV309" s="42"/>
      <c r="AW309" s="42"/>
      <c r="AX309" s="42"/>
      <c r="AY309" s="42"/>
      <c r="AZ309" s="42"/>
      <c r="BA309" s="42"/>
      <c r="BB309" s="42"/>
      <c r="BC309" s="42"/>
      <c r="BD309" s="42"/>
      <c r="BE309" s="42"/>
      <c r="BF309" s="42"/>
      <c r="BG309" s="42"/>
      <c r="BH309" s="42"/>
      <c r="BI309" s="42"/>
      <c r="BJ309" s="42"/>
      <c r="BK309" s="42"/>
      <c r="BL309" s="42"/>
      <c r="BM309" s="42"/>
      <c r="BN309" s="42"/>
    </row>
    <row r="310" spans="1:66" ht="12.75" customHeight="1" x14ac:dyDescent="0.2">
      <c r="A310" s="1" t="s">
        <v>134</v>
      </c>
      <c r="B310" s="4">
        <f>_xll.ciqfunctions.udf.CIQ(InputTicker, "IQ_OTHER_LT_ASSETS",Input!D$2,Date,,,Ccy,Conv)</f>
        <v>4164</v>
      </c>
      <c r="C310" s="4">
        <f>_xll.ciqfunctions.udf.CIQ(InputTicker, "IQ_OTHER_LT_ASSETS",Input!E$2,Date,,,Ccy,Conv)</f>
        <v>5464</v>
      </c>
      <c r="D310" s="4">
        <f>_xll.ciqfunctions.udf.CIQ(InputTicker, "IQ_OTHER_LT_ASSETS",Input!F$2,Date,,,Ccy,Conv)</f>
        <v>6846</v>
      </c>
      <c r="E310" s="4">
        <f>_xll.ciqfunctions.udf.CIQ(InputTicker, "IQ_OTHER_LT_ASSETS",Input!G$2,Date,,,Ccy,Conv)</f>
        <v>6826</v>
      </c>
      <c r="F310" s="4">
        <f>_xll.ciqfunctions.udf.CIQ(InputTicker, "IQ_OTHER_LT_ASSETS",Input!H$2,Date,,,Ccy,Conv)</f>
        <v>8715</v>
      </c>
      <c r="G310" s="4">
        <f>_xll.ciqfunctions.udf.CIQ(InputTicker, "IQ_OTHER_LT_ASSETS",Input!I$2,Date,,,Ccy,Conv)</f>
        <v>22675</v>
      </c>
      <c r="H310" s="4">
        <f>_xll.ciqfunctions.udf.CIQ(InputTicker, "IQ_OTHER_LT_ASSETS",Input!J$2,Date,,,Ccy,Conv)</f>
        <v>9890</v>
      </c>
      <c r="I310" s="4">
        <f>_xll.ciqfunctions.udf.CIQ(InputTicker, "IQ_OTHER_LT_ASSETS",Input!K$2,Date,,,Ccy,Conv)</f>
        <v>8242</v>
      </c>
      <c r="J310" s="4">
        <f>_xll.ciqfunctions.udf.CIQ(InputTicker, "IQ_OTHER_LT_ASSETS",Input!L$2,Date,,,Ccy,Conv)</f>
        <v>7545</v>
      </c>
      <c r="K310" s="4">
        <f>_xll.ciqfunctions.udf.CIQ(InputTicker, "IQ_OTHER_LT_ASSETS",Input!M$2,Date,,,Ccy,Conv)</f>
        <v>7588</v>
      </c>
      <c r="L310" s="4">
        <f>_xll.ciqfunctions.udf.CIQ(InputTicker, "IQ_OTHER_LT_ASSETS",Input!N$2,Date,,,Ccy,Conv)</f>
        <v>7906</v>
      </c>
      <c r="M310" s="4">
        <f>_xll.ciqfunctions.udf.CIQ(InputTicker, "IQ_OTHER_LT_ASSETS",Input!O$2,Date,,,Ccy,Conv)</f>
        <v>7906</v>
      </c>
      <c r="N310" s="42"/>
      <c r="P310" s="46"/>
      <c r="Q310" s="46"/>
      <c r="R310" s="46"/>
      <c r="T310" s="42"/>
      <c r="U310" s="42"/>
      <c r="V310" s="46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  <c r="AK310" s="42"/>
      <c r="AL310" s="42"/>
      <c r="AM310" s="42"/>
      <c r="AN310" s="42"/>
      <c r="AO310" s="42"/>
      <c r="AP310" s="42"/>
      <c r="AQ310" s="42"/>
      <c r="AR310" s="42"/>
      <c r="AS310" s="42"/>
      <c r="AT310" s="42"/>
      <c r="AU310" s="42"/>
      <c r="AV310" s="42"/>
      <c r="AW310" s="42"/>
      <c r="AX310" s="42"/>
      <c r="AY310" s="42"/>
      <c r="AZ310" s="42"/>
      <c r="BA310" s="42"/>
      <c r="BB310" s="42"/>
      <c r="BC310" s="42"/>
      <c r="BD310" s="42"/>
      <c r="BE310" s="42"/>
      <c r="BF310" s="42"/>
      <c r="BG310" s="42"/>
      <c r="BH310" s="42"/>
      <c r="BI310" s="42"/>
      <c r="BJ310" s="42"/>
      <c r="BK310" s="42"/>
      <c r="BL310" s="42"/>
      <c r="BM310" s="42"/>
      <c r="BN310" s="42"/>
    </row>
    <row r="311" spans="1:66" ht="12.75" customHeight="1" thickBot="1" x14ac:dyDescent="0.25">
      <c r="A311" s="5" t="s">
        <v>267</v>
      </c>
      <c r="B311" s="9">
        <f>_xll.ciqfunctions.udf.CIQ(InputTicker, "IQ_TOTAL_ASSETS",Input!D$2,Date,,,Ccy,Conv)</f>
        <v>110495</v>
      </c>
      <c r="C311" s="9">
        <f>_xll.ciqfunctions.udf.CIQ(InputTicker, "IQ_TOTAL_ASSETS",Input!E$2,Date,,,Ccy,Conv)</f>
        <v>117470</v>
      </c>
      <c r="D311" s="9">
        <f>_xll.ciqfunctions.udf.CIQ(InputTicker, "IQ_TOTAL_ASSETS",Input!F$2,Date,,,Ccy,Conv)</f>
        <v>125356</v>
      </c>
      <c r="E311" s="9">
        <f>_xll.ciqfunctions.udf.CIQ(InputTicker, "IQ_TOTAL_ASSETS",Input!G$2,Date,,,Ccy,Conv)</f>
        <v>123382</v>
      </c>
      <c r="F311" s="9">
        <f>_xll.ciqfunctions.udf.CIQ(InputTicker, "IQ_TOTAL_ASSETS",Input!H$2,Date,,,Ccy,Conv)</f>
        <v>152186</v>
      </c>
      <c r="G311" s="9">
        <f>_xll.ciqfunctions.udf.CIQ(InputTicker, "IQ_TOTAL_ASSETS",Input!I$2,Date,,,Ccy,Conv)</f>
        <v>155971</v>
      </c>
      <c r="H311" s="9">
        <f>_xll.ciqfunctions.udf.CIQ(InputTicker, "IQ_TOTAL_ASSETS",Input!J$2,Date,,,Ccy,Conv)</f>
        <v>132001</v>
      </c>
      <c r="I311" s="9">
        <f>_xll.ciqfunctions.udf.CIQ(InputTicker, "IQ_TOTAL_ASSETS",Input!K$2,Date,,,Ccy,Conv)</f>
        <v>127243</v>
      </c>
      <c r="J311" s="9">
        <f>_xll.ciqfunctions.udf.CIQ(InputTicker, "IQ_TOTAL_ASSETS",Input!L$2,Date,,,Ccy,Conv)</f>
        <v>135241</v>
      </c>
      <c r="K311" s="9">
        <f>_xll.ciqfunctions.udf.CIQ(InputTicker, "IQ_TOTAL_ASSETS",Input!M$2,Date,,,Ccy,Conv)</f>
        <v>137175</v>
      </c>
      <c r="L311" s="9">
        <f>_xll.ciqfunctions.udf.CIQ(InputTicker, "IQ_TOTAL_ASSETS",Input!N$2,Date,,,Ccy,Conv)</f>
        <v>151880</v>
      </c>
      <c r="M311" s="9">
        <f>_xll.ciqfunctions.udf.CIQ(InputTicker, "IQ_TOTAL_ASSETS",Input!O$2,Date,,,Ccy,Conv)</f>
        <v>151880</v>
      </c>
      <c r="N311" s="42"/>
      <c r="T311" s="46"/>
      <c r="U311" s="46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  <c r="BA311" s="42"/>
      <c r="BB311" s="42"/>
      <c r="BC311" s="42"/>
      <c r="BD311" s="42"/>
      <c r="BE311" s="42"/>
      <c r="BF311" s="42"/>
      <c r="BG311" s="42"/>
      <c r="BH311" s="42"/>
      <c r="BI311" s="42"/>
      <c r="BJ311" s="42"/>
      <c r="BK311" s="42"/>
      <c r="BL311" s="42"/>
      <c r="BM311" s="42"/>
      <c r="BN311" s="42"/>
    </row>
    <row r="312" spans="1:66" ht="12.75" customHeight="1" thickTop="1" x14ac:dyDescent="0.2">
      <c r="A312" s="1" t="s">
        <v>50</v>
      </c>
      <c r="B312" s="4">
        <f>_xll.ciqfunctions.udf.CIQ(InputTicker, "IQ_AP",Input!D$2,Date,,,Ccy,Conv)</f>
        <v>6028</v>
      </c>
      <c r="C312" s="4">
        <f>_xll.ciqfunctions.udf.CIQ(InputTicker, "IQ_AP",Input!E$2,Date,,,Ccy,Conv)</f>
        <v>6209</v>
      </c>
      <c r="D312" s="4">
        <f>_xll.ciqfunctions.udf.CIQ(InputTicker, "IQ_AP",Input!F$2,Date,,,Ccy,Conv)</f>
        <v>6451</v>
      </c>
      <c r="E312" s="4">
        <f>_xll.ciqfunctions.udf.CIQ(InputTicker, "IQ_AP",Input!G$2,Date,,,Ccy,Conv)</f>
        <v>6558</v>
      </c>
      <c r="F312" s="4">
        <f>_xll.ciqfunctions.udf.CIQ(InputTicker, "IQ_AP",Input!H$2,Date,,,Ccy,Conv)</f>
        <v>4896</v>
      </c>
      <c r="G312" s="4">
        <f>_xll.ciqfunctions.udf.CIQ(InputTicker, "IQ_AP",Input!I$2,Date,,,Ccy,Conv)</f>
        <v>4033</v>
      </c>
      <c r="H312" s="4">
        <f>_xll.ciqfunctions.udf.CIQ(InputTicker, "IQ_AP",Input!J$2,Date,,,Ccy,Conv)</f>
        <v>3955</v>
      </c>
      <c r="I312" s="4">
        <f>_xll.ciqfunctions.udf.CIQ(InputTicker, "IQ_AP",Input!K$2,Date,,,Ccy,Conv)</f>
        <v>4051</v>
      </c>
      <c r="J312" s="4">
        <f>_xll.ciqfunctions.udf.CIQ(InputTicker, "IQ_AP",Input!L$2,Date,,,Ccy,Conv)</f>
        <v>4132</v>
      </c>
      <c r="K312" s="4">
        <f>_xll.ciqfunctions.udf.CIQ(InputTicker, "IQ_AP",Input!M$2,Date,,,Ccy,Conv)</f>
        <v>4032</v>
      </c>
      <c r="L312" s="4">
        <f>_xll.ciqfunctions.udf.CIQ(InputTicker, "IQ_AP",Input!N$2,Date,,,Ccy,Conv)</f>
        <v>4756</v>
      </c>
      <c r="M312" s="4">
        <f>_xll.ciqfunctions.udf.CIQ(InputTicker, "IQ_AP",Input!O$2,Date,,,Ccy,Conv)</f>
        <v>4756</v>
      </c>
      <c r="N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  <c r="AK312" s="42"/>
      <c r="AL312" s="42"/>
      <c r="AM312" s="42"/>
      <c r="AN312" s="42"/>
      <c r="AO312" s="42"/>
      <c r="AP312" s="42"/>
      <c r="AQ312" s="42"/>
      <c r="AR312" s="42"/>
      <c r="AS312" s="42"/>
      <c r="AT312" s="42"/>
      <c r="AU312" s="42"/>
      <c r="AV312" s="42"/>
      <c r="AW312" s="42"/>
      <c r="AX312" s="42"/>
      <c r="AY312" s="42"/>
      <c r="AZ312" s="42"/>
      <c r="BA312" s="42"/>
      <c r="BB312" s="42"/>
      <c r="BC312" s="42"/>
      <c r="BD312" s="42"/>
      <c r="BE312" s="42"/>
      <c r="BF312" s="42"/>
      <c r="BG312" s="42"/>
      <c r="BH312" s="42"/>
      <c r="BI312" s="42"/>
      <c r="BJ312" s="42"/>
      <c r="BK312" s="42"/>
      <c r="BL312" s="42"/>
      <c r="BM312" s="42"/>
      <c r="BN312" s="42"/>
    </row>
    <row r="313" spans="1:66" ht="12.75" customHeight="1" x14ac:dyDescent="0.2">
      <c r="A313" s="1" t="s">
        <v>96</v>
      </c>
      <c r="B313" s="4">
        <f>_xll.ciqfunctions.udf.CIQ(InputTicker, "IQ_AE",Input!D$2,Date,,,Ccy,Conv)</f>
        <v>7499</v>
      </c>
      <c r="C313" s="4">
        <f>_xll.ciqfunctions.udf.CIQ(InputTicker, "IQ_AE",Input!E$2,Date,,,Ccy,Conv)</f>
        <v>7860</v>
      </c>
      <c r="D313" s="4">
        <f>_xll.ciqfunctions.udf.CIQ(InputTicker, "IQ_AE",Input!F$2,Date,,,Ccy,Conv)</f>
        <v>7474</v>
      </c>
      <c r="E313" s="4">
        <f>_xll.ciqfunctions.udf.CIQ(InputTicker, "IQ_AE",Input!G$2,Date,,,Ccy,Conv)</f>
        <v>6803</v>
      </c>
      <c r="F313" s="4">
        <f>_xll.ciqfunctions.udf.CIQ(InputTicker, "IQ_AE",Input!H$2,Date,,,Ccy,Conv)</f>
        <v>7369</v>
      </c>
      <c r="G313" s="4">
        <f>_xll.ciqfunctions.udf.CIQ(InputTicker, "IQ_AE",Input!I$2,Date,,,Ccy,Conv)</f>
        <v>7935</v>
      </c>
      <c r="H313" s="4">
        <f>_xll.ciqfunctions.udf.CIQ(InputTicker, "IQ_AE",Input!J$2,Date,,,Ccy,Conv)</f>
        <v>7036</v>
      </c>
      <c r="I313" s="4">
        <f>_xll.ciqfunctions.udf.CIQ(InputTicker, "IQ_AE",Input!K$2,Date,,,Ccy,Conv)</f>
        <v>7046</v>
      </c>
      <c r="J313" s="4">
        <f>_xll.ciqfunctions.udf.CIQ(InputTicker, "IQ_AE",Input!L$2,Date,,,Ccy,Conv)</f>
        <v>6728</v>
      </c>
      <c r="K313" s="4">
        <f>_xll.ciqfunctions.udf.CIQ(InputTicker, "IQ_AE",Input!M$2,Date,,,Ccy,Conv)</f>
        <v>7052</v>
      </c>
      <c r="L313" s="4">
        <f>_xll.ciqfunctions.udf.CIQ(InputTicker, "IQ_AE",Input!N$2,Date,,,Ccy,Conv)</f>
        <v>7976</v>
      </c>
      <c r="M313" s="4">
        <f>_xll.ciqfunctions.udf.CIQ(InputTicker, "IQ_AE",Input!O$2,Date,,,Ccy,Conv)</f>
        <v>7976</v>
      </c>
      <c r="N313" s="42"/>
      <c r="T313" s="17"/>
      <c r="U313" s="17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  <c r="AK313" s="42"/>
      <c r="AL313" s="42"/>
      <c r="AM313" s="42"/>
      <c r="AN313" s="42"/>
      <c r="AO313" s="42"/>
      <c r="AP313" s="42"/>
      <c r="AQ313" s="42"/>
      <c r="AR313" s="42"/>
      <c r="AS313" s="42"/>
      <c r="AT313" s="42"/>
      <c r="AU313" s="42"/>
      <c r="AV313" s="42"/>
      <c r="AW313" s="42"/>
      <c r="AX313" s="42"/>
      <c r="AY313" s="42"/>
      <c r="AZ313" s="42"/>
      <c r="BA313" s="42"/>
      <c r="BB313" s="42"/>
      <c r="BC313" s="42"/>
      <c r="BD313" s="42"/>
      <c r="BE313" s="42"/>
      <c r="BF313" s="42"/>
      <c r="BG313" s="42"/>
      <c r="BH313" s="42"/>
      <c r="BI313" s="42"/>
      <c r="BJ313" s="42"/>
      <c r="BK313" s="42"/>
      <c r="BL313" s="42"/>
      <c r="BM313" s="42"/>
      <c r="BN313" s="42"/>
    </row>
    <row r="314" spans="1:66" ht="12.75" customHeight="1" x14ac:dyDescent="0.2">
      <c r="A314" s="1" t="s">
        <v>181</v>
      </c>
      <c r="B314" s="4">
        <f>_xll.ciqfunctions.udf.CIQ(InputTicker, "IQ_ST_DEBT",Input!D$2,Date,,,Ccy,Conv)</f>
        <v>1190</v>
      </c>
      <c r="C314" s="4">
        <f>_xll.ciqfunctions.udf.CIQ(InputTicker, "IQ_ST_DEBT",Input!E$2,Date,,,Ccy,Conv)</f>
        <v>1274</v>
      </c>
      <c r="D314" s="4">
        <f>_xll.ciqfunctions.udf.CIQ(InputTicker, "IQ_ST_DEBT",Input!F$2,Date,,,Ccy,Conv)</f>
        <v>1772</v>
      </c>
      <c r="E314" s="4">
        <f>_xll.ciqfunctions.udf.CIQ(InputTicker, "IQ_ST_DEBT",Input!G$2,Date,,,Ccy,Conv)</f>
        <v>3156</v>
      </c>
      <c r="F314" s="4">
        <f>_xll.ciqfunctions.udf.CIQ(InputTicker, "IQ_ST_DEBT",Input!H$2,Date,,,Ccy,Conv)</f>
        <v>1275</v>
      </c>
      <c r="G314" s="4">
        <f>_xll.ciqfunctions.udf.CIQ(InputTicker, "IQ_ST_DEBT",Input!I$2,Date,,,Ccy,Conv)</f>
        <v>130</v>
      </c>
      <c r="H314" s="4">
        <f>_xll.ciqfunctions.udf.CIQ(InputTicker, "IQ_ST_DEBT",Input!J$2,Date,,,Ccy,Conv)</f>
        <v>22</v>
      </c>
      <c r="I314" s="4">
        <f>_xll.ciqfunctions.udf.CIQ(InputTicker, "IQ_ST_DEBT",Input!K$2,Date,,,Ccy,Conv)</f>
        <v>0</v>
      </c>
      <c r="J314" s="4">
        <f>_xll.ciqfunctions.udf.CIQ(InputTicker, "IQ_ST_DEBT",Input!L$2,Date,,,Ccy,Conv)</f>
        <v>1</v>
      </c>
      <c r="K314" s="4">
        <f>_xll.ciqfunctions.udf.CIQ(InputTicker, "IQ_ST_DEBT",Input!M$2,Date,,,Ccy,Conv)</f>
        <v>30</v>
      </c>
      <c r="L314" s="4">
        <f>_xll.ciqfunctions.udf.CIQ(InputTicker, "IQ_ST_DEBT",Input!N$2,Date,,,Ccy,Conv)</f>
        <v>0</v>
      </c>
      <c r="M314" s="4">
        <f>_xll.ciqfunctions.udf.CIQ(InputTicker, "IQ_ST_DEBT",Input!O$2,Date,,,Ccy,Conv)</f>
        <v>0</v>
      </c>
      <c r="N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  <c r="BA314" s="42"/>
      <c r="BB314" s="42"/>
      <c r="BC314" s="42"/>
      <c r="BD314" s="42"/>
      <c r="BE314" s="42"/>
      <c r="BF314" s="42"/>
      <c r="BG314" s="42"/>
      <c r="BH314" s="42"/>
      <c r="BI314" s="42"/>
      <c r="BJ314" s="42"/>
      <c r="BK314" s="42"/>
      <c r="BL314" s="42"/>
      <c r="BM314" s="42"/>
      <c r="BN314" s="42"/>
    </row>
    <row r="315" spans="1:66" ht="12.75" customHeight="1" x14ac:dyDescent="0.2">
      <c r="A315" s="1" t="s">
        <v>182</v>
      </c>
      <c r="B315" s="4">
        <f>_xll.ciqfunctions.udf.CIQ(InputTicker, "IQ_CURRENT_PORT_DEBT",Input!D$2,Date,,,Ccy,Conv)</f>
        <v>5271</v>
      </c>
      <c r="C315" s="4">
        <f>_xll.ciqfunctions.udf.CIQ(InputTicker, "IQ_CURRENT_PORT_DEBT",Input!E$2,Date,,,Ccy,Conv)</f>
        <v>6239</v>
      </c>
      <c r="D315" s="4">
        <f>_xll.ciqfunctions.udf.CIQ(InputTicker, "IQ_CURRENT_PORT_DEBT",Input!F$2,Date,,,Ccy,Conv)</f>
        <v>5215</v>
      </c>
      <c r="E315" s="4">
        <f>_xll.ciqfunctions.udf.CIQ(InputTicker, "IQ_CURRENT_PORT_DEBT",Input!G$2,Date,,,Ccy,Conv)</f>
        <v>7048</v>
      </c>
      <c r="F315" s="4">
        <f>_xll.ciqfunctions.udf.CIQ(InputTicker, "IQ_CURRENT_PORT_DEBT",Input!H$2,Date,,,Ccy,Conv)</f>
        <v>7470</v>
      </c>
      <c r="G315" s="4">
        <f>_xll.ciqfunctions.udf.CIQ(InputTicker, "IQ_CURRENT_PORT_DEBT",Input!I$2,Date,,,Ccy,Conv)</f>
        <v>6956</v>
      </c>
      <c r="H315" s="4">
        <f>_xll.ciqfunctions.udf.CIQ(InputTicker, "IQ_CURRENT_PORT_DEBT",Input!J$2,Date,,,Ccy,Conv)</f>
        <v>6729</v>
      </c>
      <c r="I315" s="4">
        <f>_xll.ciqfunctions.udf.CIQ(InputTicker, "IQ_CURRENT_PORT_DEBT",Input!K$2,Date,,,Ccy,Conv)</f>
        <v>4685</v>
      </c>
      <c r="J315" s="4">
        <f>_xll.ciqfunctions.udf.CIQ(InputTicker, "IQ_CURRENT_PORT_DEBT",Input!L$2,Date,,,Ccy,Conv)</f>
        <v>6304</v>
      </c>
      <c r="K315" s="4">
        <f>_xll.ciqfunctions.udf.CIQ(InputTicker, "IQ_CURRENT_PORT_DEBT",Input!M$2,Date,,,Ccy,Conv)</f>
        <v>4861</v>
      </c>
      <c r="L315" s="4">
        <f>_xll.ciqfunctions.udf.CIQ(InputTicker, "IQ_CURRENT_PORT_DEBT",Input!N$2,Date,,,Ccy,Conv)</f>
        <v>6145</v>
      </c>
      <c r="M315" s="4">
        <f>_xll.ciqfunctions.udf.CIQ(InputTicker, "IQ_CURRENT_PORT_DEBT",Input!O$2,Date,,,Ccy,Conv)</f>
        <v>6145</v>
      </c>
      <c r="N315" s="42"/>
      <c r="T315" s="46"/>
      <c r="U315" s="46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  <c r="AK315" s="42"/>
      <c r="AL315" s="42"/>
      <c r="AM315" s="42"/>
      <c r="AN315" s="42"/>
      <c r="AO315" s="42"/>
      <c r="AP315" s="42"/>
      <c r="AQ315" s="42"/>
      <c r="AR315" s="42"/>
      <c r="AS315" s="42"/>
      <c r="AT315" s="42"/>
      <c r="AU315" s="42"/>
      <c r="AV315" s="42"/>
      <c r="AW315" s="42"/>
      <c r="AX315" s="42"/>
      <c r="AY315" s="42"/>
      <c r="AZ315" s="42"/>
      <c r="BA315" s="42"/>
      <c r="BB315" s="42"/>
      <c r="BC315" s="42"/>
      <c r="BD315" s="42"/>
      <c r="BE315" s="42"/>
      <c r="BF315" s="42"/>
      <c r="BG315" s="42"/>
      <c r="BH315" s="42"/>
      <c r="BI315" s="42"/>
      <c r="BJ315" s="42"/>
      <c r="BK315" s="42"/>
      <c r="BL315" s="42"/>
      <c r="BM315" s="42"/>
      <c r="BN315" s="42"/>
    </row>
    <row r="316" spans="1:66" ht="12.75" customHeight="1" x14ac:dyDescent="0.2">
      <c r="A316" s="1" t="s">
        <v>471</v>
      </c>
      <c r="B316" s="4">
        <f>_xll.ciqfunctions.udf.CIQ(InputTicker, "IQ_CURRENT_PORT_LEASES",Input!D$2,Date,,,Ccy,Conv)</f>
        <v>0</v>
      </c>
      <c r="C316" s="4">
        <f>_xll.ciqfunctions.udf.CIQ(InputTicker, "IQ_CURRENT_PORT_LEASES",Input!E$2,Date,,,Ccy,Conv)</f>
        <v>0</v>
      </c>
      <c r="D316" s="4">
        <f>_xll.ciqfunctions.udf.CIQ(InputTicker, "IQ_CURRENT_PORT_LEASES",Input!F$2,Date,,,Ccy,Conv)</f>
        <v>0</v>
      </c>
      <c r="E316" s="4">
        <f>_xll.ciqfunctions.udf.CIQ(InputTicker, "IQ_CURRENT_PORT_LEASES",Input!G$2,Date,,,Ccy,Conv)</f>
        <v>3</v>
      </c>
      <c r="F316" s="4">
        <f>_xll.ciqfunctions.udf.CIQ(InputTicker, "IQ_CURRENT_PORT_LEASES",Input!H$2,Date,,,Ccy,Conv)</f>
        <v>1432</v>
      </c>
      <c r="G316" s="4">
        <f>_xll.ciqfunctions.udf.CIQ(InputTicker, "IQ_CURRENT_PORT_LEASES",Input!I$2,Date,,,Ccy,Conv)</f>
        <v>1065</v>
      </c>
      <c r="H316" s="4">
        <f>_xll.ciqfunctions.udf.CIQ(InputTicker, "IQ_CURRENT_PORT_LEASES",Input!J$2,Date,,,Ccy,Conv)</f>
        <v>1010</v>
      </c>
      <c r="I316" s="4">
        <f>_xll.ciqfunctions.udf.CIQ(InputTicker, "IQ_CURRENT_PORT_LEASES",Input!K$2,Date,,,Ccy,Conv)</f>
        <v>949</v>
      </c>
      <c r="J316" s="4">
        <f>_xll.ciqfunctions.udf.CIQ(InputTicker, "IQ_CURRENT_PORT_LEASES",Input!L$2,Date,,,Ccy,Conv)</f>
        <v>941</v>
      </c>
      <c r="K316" s="4">
        <f>_xll.ciqfunctions.udf.CIQ(InputTicker, "IQ_CURRENT_PORT_LEASES",Input!M$2,Date,,,Ccy,Conv)</f>
        <v>966</v>
      </c>
      <c r="L316" s="4">
        <f>_xll.ciqfunctions.udf.CIQ(InputTicker, "IQ_CURRENT_PORT_LEASES",Input!N$2,Date,,,Ccy,Conv)</f>
        <v>1079</v>
      </c>
      <c r="M316" s="4">
        <f>_xll.ciqfunctions.udf.CIQ(InputTicker, "IQ_CURRENT_PORT_LEASES",Input!O$2,Date,,,Ccy,Conv)</f>
        <v>1079</v>
      </c>
      <c r="N316" s="42"/>
      <c r="S316" s="46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  <c r="AK316" s="42"/>
      <c r="AL316" s="42"/>
      <c r="AM316" s="42"/>
      <c r="AN316" s="42"/>
      <c r="AO316" s="42"/>
      <c r="AP316" s="42"/>
      <c r="AQ316" s="42"/>
      <c r="AR316" s="42"/>
      <c r="AS316" s="42"/>
      <c r="AT316" s="42"/>
      <c r="AU316" s="42"/>
      <c r="AV316" s="42"/>
      <c r="AW316" s="42"/>
      <c r="AX316" s="42"/>
      <c r="AY316" s="42"/>
      <c r="AZ316" s="42"/>
      <c r="BA316" s="42"/>
      <c r="BB316" s="42"/>
      <c r="BC316" s="42"/>
      <c r="BD316" s="42"/>
      <c r="BE316" s="42"/>
      <c r="BF316" s="42"/>
      <c r="BG316" s="42"/>
      <c r="BH316" s="42"/>
      <c r="BI316" s="42"/>
      <c r="BJ316" s="42"/>
      <c r="BK316" s="42"/>
      <c r="BL316" s="42"/>
      <c r="BM316" s="42"/>
      <c r="BN316" s="42"/>
    </row>
    <row r="317" spans="1:66" ht="12.75" customHeight="1" x14ac:dyDescent="0.2">
      <c r="A317" s="1" t="s">
        <v>183</v>
      </c>
      <c r="B317" s="4">
        <f>_xll.ciqfunctions.udf.CIQ(InputTicker, "IQ_FIN_DIV_DEBT_CURRENT",Input!D$2,Date,,,Ccy,Conv)</f>
        <v>0</v>
      </c>
      <c r="C317" s="4">
        <f>_xll.ciqfunctions.udf.CIQ(InputTicker, "IQ_FIN_DIV_DEBT_CURRENT",Input!E$2,Date,,,Ccy,Conv)</f>
        <v>0</v>
      </c>
      <c r="D317" s="4">
        <f>_xll.ciqfunctions.udf.CIQ(InputTicker, "IQ_FIN_DIV_DEBT_CURRENT",Input!F$2,Date,,,Ccy,Conv)</f>
        <v>0</v>
      </c>
      <c r="E317" s="4">
        <f>_xll.ciqfunctions.udf.CIQ(InputTicker, "IQ_FIN_DIV_DEBT_CURRENT",Input!G$2,Date,,,Ccy,Conv)</f>
        <v>0</v>
      </c>
      <c r="F317" s="4">
        <f>_xll.ciqfunctions.udf.CIQ(InputTicker, "IQ_FIN_DIV_DEBT_CURRENT",Input!H$2,Date,,,Ccy,Conv)</f>
        <v>0</v>
      </c>
      <c r="G317" s="4">
        <f>_xll.ciqfunctions.udf.CIQ(InputTicker, "IQ_FIN_DIV_DEBT_CURRENT",Input!I$2,Date,,,Ccy,Conv)</f>
        <v>0</v>
      </c>
      <c r="H317" s="4">
        <f>_xll.ciqfunctions.udf.CIQ(InputTicker, "IQ_FIN_DIV_DEBT_CURRENT",Input!J$2,Date,,,Ccy,Conv)</f>
        <v>0</v>
      </c>
      <c r="I317" s="4">
        <f>_xll.ciqfunctions.udf.CIQ(InputTicker, "IQ_FIN_DIV_DEBT_CURRENT",Input!K$2,Date,,,Ccy,Conv)</f>
        <v>0</v>
      </c>
      <c r="J317" s="4">
        <f>_xll.ciqfunctions.udf.CIQ(InputTicker, "IQ_FIN_DIV_DEBT_CURRENT",Input!L$2,Date,,,Ccy,Conv)</f>
        <v>0</v>
      </c>
      <c r="K317" s="4">
        <f>_xll.ciqfunctions.udf.CIQ(InputTicker, "IQ_FIN_DIV_DEBT_CURRENT",Input!M$2,Date,,,Ccy,Conv)</f>
        <v>0</v>
      </c>
      <c r="L317" s="4">
        <f>_xll.ciqfunctions.udf.CIQ(InputTicker, "IQ_FIN_DIV_DEBT_CURRENT",Input!N$2,Date,,,Ccy,Conv)</f>
        <v>0</v>
      </c>
      <c r="M317" s="4">
        <f>_xll.ciqfunctions.udf.CIQ(InputTicker, "IQ_FIN_DIV_DEBT_CURRENT",Input!O$2,Date,,,Ccy,Conv)</f>
        <v>0</v>
      </c>
      <c r="N317" s="46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  <c r="BA317" s="42"/>
      <c r="BB317" s="42"/>
      <c r="BC317" s="42"/>
      <c r="BD317" s="42"/>
      <c r="BE317" s="42"/>
      <c r="BF317" s="42"/>
      <c r="BG317" s="42"/>
      <c r="BH317" s="42"/>
      <c r="BI317" s="42"/>
      <c r="BJ317" s="42"/>
      <c r="BK317" s="42"/>
      <c r="BL317" s="42"/>
      <c r="BM317" s="42"/>
      <c r="BN317" s="42"/>
    </row>
    <row r="318" spans="1:66" ht="12.75" customHeight="1" x14ac:dyDescent="0.2">
      <c r="A318" s="1" t="s">
        <v>184</v>
      </c>
      <c r="B318" s="4">
        <f>_xll.ciqfunctions.udf.CIQ(InputTicker, "IQ_FIN_DIV_LIAB_CURRENT",Input!D$2,Date,,,Ccy,Conv)</f>
        <v>0</v>
      </c>
      <c r="C318" s="4">
        <f>_xll.ciqfunctions.udf.CIQ(InputTicker, "IQ_FIN_DIV_LIAB_CURRENT",Input!E$2,Date,,,Ccy,Conv)</f>
        <v>0</v>
      </c>
      <c r="D318" s="4">
        <f>_xll.ciqfunctions.udf.CIQ(InputTicker, "IQ_FIN_DIV_LIAB_CURRENT",Input!F$2,Date,,,Ccy,Conv)</f>
        <v>0</v>
      </c>
      <c r="E318" s="4">
        <f>_xll.ciqfunctions.udf.CIQ(InputTicker, "IQ_FIN_DIV_LIAB_CURRENT",Input!G$2,Date,,,Ccy,Conv)</f>
        <v>0</v>
      </c>
      <c r="F318" s="4">
        <f>_xll.ciqfunctions.udf.CIQ(InputTicker, "IQ_FIN_DIV_LIAB_CURRENT",Input!H$2,Date,,,Ccy,Conv)</f>
        <v>0</v>
      </c>
      <c r="G318" s="4">
        <f>_xll.ciqfunctions.udf.CIQ(InputTicker, "IQ_FIN_DIV_LIAB_CURRENT",Input!I$2,Date,,,Ccy,Conv)</f>
        <v>0</v>
      </c>
      <c r="H318" s="4">
        <f>_xll.ciqfunctions.udf.CIQ(InputTicker, "IQ_FIN_DIV_LIAB_CURRENT",Input!J$2,Date,,,Ccy,Conv)</f>
        <v>0</v>
      </c>
      <c r="I318" s="4">
        <f>_xll.ciqfunctions.udf.CIQ(InputTicker, "IQ_FIN_DIV_LIAB_CURRENT",Input!K$2,Date,,,Ccy,Conv)</f>
        <v>0</v>
      </c>
      <c r="J318" s="4">
        <f>_xll.ciqfunctions.udf.CIQ(InputTicker, "IQ_FIN_DIV_LIAB_CURRENT",Input!L$2,Date,,,Ccy,Conv)</f>
        <v>0</v>
      </c>
      <c r="K318" s="4">
        <f>_xll.ciqfunctions.udf.CIQ(InputTicker, "IQ_FIN_DIV_LIAB_CURRENT",Input!M$2,Date,,,Ccy,Conv)</f>
        <v>0</v>
      </c>
      <c r="L318" s="4">
        <f>_xll.ciqfunctions.udf.CIQ(InputTicker, "IQ_FIN_DIV_LIAB_CURRENT",Input!N$2,Date,,,Ccy,Conv)</f>
        <v>0</v>
      </c>
      <c r="M318" s="4">
        <f>_xll.ciqfunctions.udf.CIQ(InputTicker, "IQ_FIN_DIV_LIAB_CURRENT",Input!O$2,Date,,,Ccy,Conv)</f>
        <v>0</v>
      </c>
      <c r="N318" s="42"/>
      <c r="S318" s="46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  <c r="AN318" s="42"/>
      <c r="AO318" s="42"/>
      <c r="AP318" s="42"/>
      <c r="AQ318" s="42"/>
      <c r="AR318" s="42"/>
      <c r="AS318" s="42"/>
      <c r="AT318" s="42"/>
      <c r="AU318" s="42"/>
      <c r="AV318" s="42"/>
      <c r="AW318" s="42"/>
      <c r="AX318" s="42"/>
      <c r="AY318" s="42"/>
      <c r="AZ318" s="42"/>
      <c r="BA318" s="42"/>
      <c r="BB318" s="42"/>
      <c r="BC318" s="42"/>
      <c r="BD318" s="42"/>
      <c r="BE318" s="42"/>
      <c r="BF318" s="42"/>
      <c r="BG318" s="42"/>
      <c r="BH318" s="42"/>
      <c r="BI318" s="42"/>
      <c r="BJ318" s="42"/>
      <c r="BK318" s="42"/>
      <c r="BL318" s="42"/>
      <c r="BM318" s="42"/>
      <c r="BN318" s="42"/>
    </row>
    <row r="319" spans="1:66" ht="12.75" customHeight="1" x14ac:dyDescent="0.2">
      <c r="A319" s="1" t="s">
        <v>185</v>
      </c>
      <c r="B319" s="4">
        <f>_xll.ciqfunctions.udf.CIQ(InputTicker, "IQ_INC_TAX_PAY_CURRENT",Input!D$2,Date,,,Ccy,Conv)</f>
        <v>2847</v>
      </c>
      <c r="C319" s="4">
        <f>_xll.ciqfunctions.udf.CIQ(InputTicker, "IQ_INC_TAX_PAY_CURRENT",Input!E$2,Date,,,Ccy,Conv)</f>
        <v>3235</v>
      </c>
      <c r="D319" s="4">
        <f>_xll.ciqfunctions.udf.CIQ(InputTicker, "IQ_INC_TAX_PAY_CURRENT",Input!F$2,Date,,,Ccy,Conv)</f>
        <v>4219</v>
      </c>
      <c r="E319" s="4">
        <f>_xll.ciqfunctions.udf.CIQ(InputTicker, "IQ_INC_TAX_PAY_CURRENT",Input!G$2,Date,,,Ccy,Conv)</f>
        <v>3046</v>
      </c>
      <c r="F319" s="4">
        <f>_xll.ciqfunctions.udf.CIQ(InputTicker, "IQ_INC_TAX_PAY_CURRENT",Input!H$2,Date,,,Ccy,Conv)</f>
        <v>2839</v>
      </c>
      <c r="G319" s="4">
        <f>_xll.ciqfunctions.udf.CIQ(InputTicker, "IQ_INC_TAX_PAY_CURRENT",Input!I$2,Date,,,Ccy,Conv)</f>
        <v>3198</v>
      </c>
      <c r="H319" s="4">
        <f>_xll.ciqfunctions.udf.CIQ(InputTicker, "IQ_INC_TAX_PAY_CURRENT",Input!J$2,Date,,,Ccy,Conv)</f>
        <v>2289</v>
      </c>
      <c r="I319" s="4">
        <f>_xll.ciqfunctions.udf.CIQ(InputTicker, "IQ_INC_TAX_PAY_CURRENT",Input!K$2,Date,,,Ccy,Conv)</f>
        <v>2196</v>
      </c>
      <c r="J319" s="4">
        <f>_xll.ciqfunctions.udf.CIQ(InputTicker, "IQ_INC_TAX_PAY_CURRENT",Input!L$2,Date,,,Ccy,Conv)</f>
        <v>2270</v>
      </c>
      <c r="K319" s="4">
        <f>_xll.ciqfunctions.udf.CIQ(InputTicker, "IQ_INC_TAX_PAY_CURRENT",Input!M$2,Date,,,Ccy,Conv)</f>
        <v>2033</v>
      </c>
      <c r="L319" s="4">
        <f>_xll.ciqfunctions.udf.CIQ(InputTicker, "IQ_INC_TAX_PAY_CURRENT",Input!N$2,Date,,,Ccy,Conv)</f>
        <v>2347</v>
      </c>
      <c r="M319" s="4">
        <f>_xll.ciqfunctions.udf.CIQ(InputTicker, "IQ_INC_TAX_PAY_CURRENT",Input!O$2,Date,,,Ccy,Conv)</f>
        <v>2347</v>
      </c>
      <c r="N319" s="46"/>
      <c r="P319" s="46"/>
      <c r="Q319" s="46"/>
      <c r="R319" s="46"/>
      <c r="T319" s="42"/>
      <c r="U319" s="42"/>
      <c r="V319" s="46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  <c r="AK319" s="42"/>
      <c r="AL319" s="42"/>
      <c r="AM319" s="42"/>
      <c r="AN319" s="42"/>
      <c r="AO319" s="42"/>
      <c r="AP319" s="42"/>
      <c r="AQ319" s="42"/>
      <c r="AR319" s="42"/>
      <c r="AS319" s="42"/>
      <c r="AT319" s="42"/>
      <c r="AU319" s="42"/>
      <c r="AV319" s="42"/>
      <c r="AW319" s="42"/>
      <c r="AX319" s="42"/>
      <c r="AY319" s="42"/>
      <c r="AZ319" s="42"/>
      <c r="BA319" s="42"/>
      <c r="BB319" s="42"/>
      <c r="BC319" s="42"/>
      <c r="BD319" s="42"/>
      <c r="BE319" s="42"/>
      <c r="BF319" s="42"/>
      <c r="BG319" s="42"/>
      <c r="BH319" s="42"/>
      <c r="BI319" s="42"/>
      <c r="BJ319" s="42"/>
      <c r="BK319" s="42"/>
      <c r="BL319" s="42"/>
      <c r="BM319" s="42"/>
      <c r="BN319" s="42"/>
    </row>
    <row r="320" spans="1:66" ht="12.75" customHeight="1" x14ac:dyDescent="0.2">
      <c r="A320" s="1" t="s">
        <v>135</v>
      </c>
      <c r="B320" s="4">
        <f>_xll.ciqfunctions.udf.CIQ(InputTicker, "IQ_UNEARN_REV_CURRENT",Input!D$2,Date,,,Ccy,Conv)</f>
        <v>11259</v>
      </c>
      <c r="C320" s="4">
        <f>_xll.ciqfunctions.udf.CIQ(InputTicker, "IQ_UNEARN_REV_CURRENT",Input!E$2,Date,,,Ccy,Conv)</f>
        <v>11299</v>
      </c>
      <c r="D320" s="4">
        <f>_xll.ciqfunctions.udf.CIQ(InputTicker, "IQ_UNEARN_REV_CURRENT",Input!F$2,Date,,,Ccy,Conv)</f>
        <v>11829</v>
      </c>
      <c r="E320" s="4">
        <f>_xll.ciqfunctions.udf.CIQ(InputTicker, "IQ_UNEARN_REV_CURRENT",Input!G$2,Date,,,Ccy,Conv)</f>
        <v>11436</v>
      </c>
      <c r="F320" s="4">
        <f>_xll.ciqfunctions.udf.CIQ(InputTicker, "IQ_UNEARN_REV_CURRENT",Input!H$2,Date,,,Ccy,Conv)</f>
        <v>12253</v>
      </c>
      <c r="G320" s="4">
        <f>_xll.ciqfunctions.udf.CIQ(InputTicker, "IQ_UNEARN_REV_CURRENT",Input!I$2,Date,,,Ccy,Conv)</f>
        <v>12146</v>
      </c>
      <c r="H320" s="4">
        <f>_xll.ciqfunctions.udf.CIQ(InputTicker, "IQ_UNEARN_REV_CURRENT",Input!J$2,Date,,,Ccy,Conv)</f>
        <v>12518</v>
      </c>
      <c r="I320" s="4">
        <f>_xll.ciqfunctions.udf.CIQ(InputTicker, "IQ_UNEARN_REV_CURRENT",Input!K$2,Date,,,Ccy,Conv)</f>
        <v>12032</v>
      </c>
      <c r="J320" s="4">
        <f>_xll.ciqfunctions.udf.CIQ(InputTicker, "IQ_UNEARN_REV_CURRENT",Input!L$2,Date,,,Ccy,Conv)</f>
        <v>13451</v>
      </c>
      <c r="K320" s="4">
        <f>_xll.ciqfunctions.udf.CIQ(InputTicker, "IQ_UNEARN_REV_CURRENT",Input!M$2,Date,,,Ccy,Conv)</f>
        <v>13907</v>
      </c>
      <c r="L320" s="4">
        <f>_xll.ciqfunctions.udf.CIQ(InputTicker, "IQ_UNEARN_REV_CURRENT",Input!N$2,Date,,,Ccy,Conv)</f>
        <v>16101</v>
      </c>
      <c r="M320" s="4">
        <f>_xll.ciqfunctions.udf.CIQ(InputTicker, "IQ_UNEARN_REV_CURRENT",Input!O$2,Date,,,Ccy,Conv)</f>
        <v>16101</v>
      </c>
      <c r="N320" s="42"/>
      <c r="T320" s="46"/>
      <c r="U320" s="46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  <c r="AK320" s="42"/>
      <c r="AL320" s="42"/>
      <c r="AM320" s="42"/>
      <c r="AN320" s="42"/>
      <c r="AO320" s="42"/>
      <c r="AP320" s="42"/>
      <c r="AQ320" s="42"/>
      <c r="AR320" s="42"/>
      <c r="AS320" s="42"/>
      <c r="AT320" s="42"/>
      <c r="AU320" s="42"/>
      <c r="AV320" s="42"/>
      <c r="AW320" s="42"/>
      <c r="AX320" s="42"/>
      <c r="AY320" s="42"/>
      <c r="AZ320" s="42"/>
      <c r="BA320" s="42"/>
      <c r="BB320" s="42"/>
      <c r="BC320" s="42"/>
      <c r="BD320" s="42"/>
      <c r="BE320" s="42"/>
      <c r="BF320" s="42"/>
      <c r="BG320" s="42"/>
      <c r="BH320" s="42"/>
      <c r="BI320" s="42"/>
      <c r="BJ320" s="42"/>
      <c r="BK320" s="42"/>
      <c r="BL320" s="42"/>
      <c r="BM320" s="42"/>
      <c r="BN320" s="42"/>
    </row>
    <row r="321" spans="1:66" ht="12.75" customHeight="1" x14ac:dyDescent="0.2">
      <c r="A321" s="1" t="s">
        <v>186</v>
      </c>
      <c r="B321" s="4">
        <f>_xll.ciqfunctions.udf.CIQ(InputTicker, "IQ_DEF_TAX_LIAB_CURRENT",Input!D$2,Date,,,Ccy,Conv)</f>
        <v>0</v>
      </c>
      <c r="C321" s="4">
        <f>_xll.ciqfunctions.udf.CIQ(InputTicker, "IQ_DEF_TAX_LIAB_CURRENT",Input!E$2,Date,,,Ccy,Conv)</f>
        <v>0</v>
      </c>
      <c r="D321" s="4">
        <f>_xll.ciqfunctions.udf.CIQ(InputTicker, "IQ_DEF_TAX_LIAB_CURRENT",Input!F$2,Date,,,Ccy,Conv)</f>
        <v>0</v>
      </c>
      <c r="E321" s="4">
        <f>_xll.ciqfunctions.udf.CIQ(InputTicker, "IQ_DEF_TAX_LIAB_CURRENT",Input!G$2,Date,,,Ccy,Conv)</f>
        <v>0</v>
      </c>
      <c r="F321" s="4">
        <f>_xll.ciqfunctions.udf.CIQ(InputTicker, "IQ_DEF_TAX_LIAB_CURRENT",Input!H$2,Date,,,Ccy,Conv)</f>
        <v>0</v>
      </c>
      <c r="G321" s="4">
        <f>_xll.ciqfunctions.udf.CIQ(InputTicker, "IQ_DEF_TAX_LIAB_CURRENT",Input!I$2,Date,,,Ccy,Conv)</f>
        <v>0</v>
      </c>
      <c r="H321" s="4">
        <f>_xll.ciqfunctions.udf.CIQ(InputTicker, "IQ_DEF_TAX_LIAB_CURRENT",Input!J$2,Date,,,Ccy,Conv)</f>
        <v>0</v>
      </c>
      <c r="I321" s="4">
        <f>_xll.ciqfunctions.udf.CIQ(InputTicker, "IQ_DEF_TAX_LIAB_CURRENT",Input!K$2,Date,,,Ccy,Conv)</f>
        <v>0</v>
      </c>
      <c r="J321" s="4">
        <f>_xll.ciqfunctions.udf.CIQ(InputTicker, "IQ_DEF_TAX_LIAB_CURRENT",Input!L$2,Date,,,Ccy,Conv)</f>
        <v>0</v>
      </c>
      <c r="K321" s="4">
        <f>_xll.ciqfunctions.udf.CIQ(InputTicker, "IQ_DEF_TAX_LIAB_CURRENT",Input!M$2,Date,,,Ccy,Conv)</f>
        <v>0</v>
      </c>
      <c r="L321" s="4">
        <f>_xll.ciqfunctions.udf.CIQ(InputTicker, "IQ_DEF_TAX_LIAB_CURRENT",Input!N$2,Date,,,Ccy,Conv)</f>
        <v>0</v>
      </c>
      <c r="M321" s="4">
        <f>_xll.ciqfunctions.udf.CIQ(InputTicker, "IQ_DEF_TAX_LIAB_CURRENT",Input!O$2,Date,,,Ccy,Conv)</f>
        <v>0</v>
      </c>
      <c r="N321" s="42"/>
      <c r="S321" s="17"/>
      <c r="T321" s="46"/>
      <c r="U321" s="46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  <c r="BA321" s="42"/>
      <c r="BB321" s="42"/>
      <c r="BC321" s="42"/>
      <c r="BD321" s="42"/>
      <c r="BE321" s="42"/>
      <c r="BF321" s="42"/>
      <c r="BG321" s="42"/>
      <c r="BH321" s="42"/>
      <c r="BI321" s="42"/>
      <c r="BJ321" s="42"/>
      <c r="BK321" s="42"/>
      <c r="BL321" s="42"/>
      <c r="BM321" s="42"/>
      <c r="BN321" s="42"/>
    </row>
    <row r="322" spans="1:66" ht="12.75" customHeight="1" x14ac:dyDescent="0.2">
      <c r="A322" s="1" t="s">
        <v>136</v>
      </c>
      <c r="B322" s="4">
        <f>_xll.ciqfunctions.udf.CIQ(InputTicker, "IQ_OTHER_CL_SUPPL",Input!D$2,Date,,,Ccy,Conv)</f>
        <v>175</v>
      </c>
      <c r="C322" s="4">
        <f>_xll.ciqfunctions.udf.CIQ(InputTicker, "IQ_OTHER_CL_SUPPL",Input!E$2,Date,,,Ccy,Conv)</f>
        <v>159</v>
      </c>
      <c r="D322" s="4">
        <f>_xll.ciqfunctions.udf.CIQ(InputTicker, "IQ_OTHER_CL_SUPPL",Input!F$2,Date,,,Ccy,Conv)</f>
        <v>403</v>
      </c>
      <c r="E322" s="4">
        <f>_xll.ciqfunctions.udf.CIQ(InputTicker, "IQ_OTHER_CL_SUPPL",Input!G$2,Date,,,Ccy,Conv)</f>
        <v>177</v>
      </c>
      <c r="F322" s="4">
        <f>_xll.ciqfunctions.udf.CIQ(InputTicker, "IQ_OTHER_CL_SUPPL",Input!H$2,Date,,,Ccy,Conv)</f>
        <v>167</v>
      </c>
      <c r="G322" s="4">
        <f>_xll.ciqfunctions.udf.CIQ(InputTicker, "IQ_OTHER_CL_SUPPL",Input!I$2,Date,,,Ccy,Conv)</f>
        <v>4406</v>
      </c>
      <c r="H322" s="4">
        <f>_xll.ciqfunctions.udf.CIQ(InputTicker, "IQ_OTHER_CL_SUPPL",Input!J$2,Date,,,Ccy,Conv)</f>
        <v>60</v>
      </c>
      <c r="I322" s="4">
        <f>_xll.ciqfunctions.udf.CIQ(InputTicker, "IQ_OTHER_CL_SUPPL",Input!K$2,Date,,,Ccy,Conv)</f>
        <v>546</v>
      </c>
      <c r="J322" s="4">
        <f>_xll.ciqfunctions.udf.CIQ(InputTicker, "IQ_OTHER_CL_SUPPL",Input!L$2,Date,,,Ccy,Conv)</f>
        <v>295</v>
      </c>
      <c r="K322" s="4">
        <f>_xll.ciqfunctions.udf.CIQ(InputTicker, "IQ_OTHER_CL_SUPPL",Input!M$2,Date,,,Ccy,Conv)</f>
        <v>261</v>
      </c>
      <c r="L322" s="4">
        <f>_xll.ciqfunctions.udf.CIQ(InputTicker, "IQ_OTHER_CL_SUPPL",Input!N$2,Date,,,Ccy,Conv)</f>
        <v>254</v>
      </c>
      <c r="M322" s="4">
        <f>_xll.ciqfunctions.udf.CIQ(InputTicker, "IQ_OTHER_CL_SUPPL",Input!O$2,Date,,,Ccy,Conv)</f>
        <v>254</v>
      </c>
      <c r="N322" s="42"/>
      <c r="T322" s="46"/>
      <c r="U322" s="46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  <c r="AN322" s="42"/>
      <c r="AO322" s="42"/>
      <c r="AP322" s="42"/>
      <c r="AQ322" s="42"/>
      <c r="AR322" s="42"/>
      <c r="AS322" s="42"/>
      <c r="AT322" s="42"/>
      <c r="AU322" s="42"/>
      <c r="AV322" s="42"/>
      <c r="AW322" s="42"/>
      <c r="AX322" s="42"/>
      <c r="AY322" s="42"/>
      <c r="AZ322" s="42"/>
      <c r="BA322" s="42"/>
      <c r="BB322" s="42"/>
      <c r="BC322" s="42"/>
      <c r="BD322" s="42"/>
      <c r="BE322" s="42"/>
      <c r="BF322" s="42"/>
      <c r="BG322" s="42"/>
      <c r="BH322" s="42"/>
      <c r="BI322" s="42"/>
      <c r="BJ322" s="42"/>
      <c r="BK322" s="42"/>
      <c r="BL322" s="42"/>
      <c r="BM322" s="42"/>
      <c r="BN322" s="42"/>
    </row>
    <row r="323" spans="1:66" ht="12.75" customHeight="1" x14ac:dyDescent="0.2">
      <c r="A323" s="5" t="s">
        <v>97</v>
      </c>
      <c r="B323" s="6">
        <f>_xll.ciqfunctions.udf.CIQ(InputTicker, "IQ_TOTAL_CL",Input!D$2,Date,,,Ccy,Conv)</f>
        <v>34269</v>
      </c>
      <c r="C323" s="6">
        <f>_xll.ciqfunctions.udf.CIQ(InputTicker, "IQ_TOTAL_CL",Input!E$2,Date,,,Ccy,Conv)</f>
        <v>36275</v>
      </c>
      <c r="D323" s="6">
        <f>_xll.ciqfunctions.udf.CIQ(InputTicker, "IQ_TOTAL_CL",Input!F$2,Date,,,Ccy,Conv)</f>
        <v>37363</v>
      </c>
      <c r="E323" s="6">
        <f>_xll.ciqfunctions.udf.CIQ(InputTicker, "IQ_TOTAL_CL",Input!G$2,Date,,,Ccy,Conv)</f>
        <v>38227</v>
      </c>
      <c r="F323" s="6">
        <f>_xll.ciqfunctions.udf.CIQ(InputTicker, "IQ_TOTAL_CL",Input!H$2,Date,,,Ccy,Conv)</f>
        <v>37701</v>
      </c>
      <c r="G323" s="6">
        <f>_xll.ciqfunctions.udf.CIQ(InputTicker, "IQ_TOTAL_CL",Input!I$2,Date,,,Ccy,Conv)</f>
        <v>39869</v>
      </c>
      <c r="H323" s="6">
        <f>_xll.ciqfunctions.udf.CIQ(InputTicker, "IQ_TOTAL_CL",Input!J$2,Date,,,Ccy,Conv)</f>
        <v>33619</v>
      </c>
      <c r="I323" s="6">
        <f>_xll.ciqfunctions.udf.CIQ(InputTicker, "IQ_TOTAL_CL",Input!K$2,Date,,,Ccy,Conv)</f>
        <v>31505</v>
      </c>
      <c r="J323" s="6">
        <f>_xll.ciqfunctions.udf.CIQ(InputTicker, "IQ_TOTAL_CL",Input!L$2,Date,,,Ccy,Conv)</f>
        <v>34122</v>
      </c>
      <c r="K323" s="6">
        <f>_xll.ciqfunctions.udf.CIQ(InputTicker, "IQ_TOTAL_CL",Input!M$2,Date,,,Ccy,Conv)</f>
        <v>33142</v>
      </c>
      <c r="L323" s="6">
        <f>_xll.ciqfunctions.udf.CIQ(InputTicker, "IQ_TOTAL_CL",Input!N$2,Date,,,Ccy,Conv)</f>
        <v>38658</v>
      </c>
      <c r="M323" s="6">
        <f>_xll.ciqfunctions.udf.CIQ(InputTicker, "IQ_TOTAL_CL",Input!O$2,Date,,,Ccy,Conv)</f>
        <v>38658</v>
      </c>
      <c r="N323" s="42"/>
      <c r="S323" s="46"/>
      <c r="T323" s="46"/>
      <c r="U323" s="46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  <c r="AK323" s="42"/>
      <c r="AL323" s="42"/>
      <c r="AM323" s="42"/>
      <c r="AN323" s="42"/>
      <c r="AO323" s="42"/>
      <c r="AP323" s="42"/>
      <c r="AQ323" s="42"/>
      <c r="AR323" s="42"/>
      <c r="AS323" s="42"/>
      <c r="AT323" s="42"/>
      <c r="AU323" s="42"/>
      <c r="AV323" s="42"/>
      <c r="AW323" s="42"/>
      <c r="AX323" s="42"/>
      <c r="AY323" s="42"/>
      <c r="AZ323" s="42"/>
      <c r="BA323" s="42"/>
      <c r="BB323" s="42"/>
      <c r="BC323" s="42"/>
      <c r="BD323" s="42"/>
      <c r="BE323" s="42"/>
      <c r="BF323" s="42"/>
      <c r="BG323" s="42"/>
      <c r="BH323" s="42"/>
      <c r="BI323" s="42"/>
      <c r="BJ323" s="42"/>
      <c r="BK323" s="42"/>
      <c r="BL323" s="42"/>
      <c r="BM323" s="42"/>
      <c r="BN323" s="42"/>
    </row>
    <row r="324" spans="1:66" ht="12.75" customHeight="1" x14ac:dyDescent="0.2">
      <c r="A324" s="1" t="s">
        <v>187</v>
      </c>
      <c r="B324" s="4">
        <f>_xll.ciqfunctions.udf.CIQ(InputTicker, "IQ_LT_DEBT",Input!D$2,Date,,,Ccy,Conv)</f>
        <v>33431</v>
      </c>
      <c r="C324" s="4">
        <f>_xll.ciqfunctions.udf.CIQ(InputTicker, "IQ_LT_DEBT",Input!E$2,Date,,,Ccy,Conv)</f>
        <v>34663</v>
      </c>
      <c r="D324" s="4">
        <f>_xll.ciqfunctions.udf.CIQ(InputTicker, "IQ_LT_DEBT",Input!F$2,Date,,,Ccy,Conv)</f>
        <v>39871</v>
      </c>
      <c r="E324" s="4">
        <f>_xll.ciqfunctions.udf.CIQ(InputTicker, "IQ_LT_DEBT",Input!G$2,Date,,,Ccy,Conv)</f>
        <v>35567</v>
      </c>
      <c r="F324" s="4">
        <f>_xll.ciqfunctions.udf.CIQ(InputTicker, "IQ_LT_DEBT",Input!H$2,Date,,,Ccy,Conv)</f>
        <v>53951</v>
      </c>
      <c r="G324" s="4">
        <f>_xll.ciqfunctions.udf.CIQ(InputTicker, "IQ_LT_DEBT",Input!I$2,Date,,,Ccy,Conv)</f>
        <v>54157</v>
      </c>
      <c r="H324" s="4">
        <f>_xll.ciqfunctions.udf.CIQ(InputTicker, "IQ_LT_DEBT",Input!J$2,Date,,,Ccy,Conv)</f>
        <v>44854</v>
      </c>
      <c r="I324" s="4">
        <f>_xll.ciqfunctions.udf.CIQ(InputTicker, "IQ_LT_DEBT",Input!K$2,Date,,,Ccy,Conv)</f>
        <v>46025</v>
      </c>
      <c r="J324" s="4">
        <f>_xll.ciqfunctions.udf.CIQ(InputTicker, "IQ_LT_DEBT",Input!L$2,Date,,,Ccy,Conv)</f>
        <v>49742</v>
      </c>
      <c r="K324" s="4">
        <f>_xll.ciqfunctions.udf.CIQ(InputTicker, "IQ_LT_DEBT",Input!M$2,Date,,,Ccy,Conv)</f>
        <v>49081</v>
      </c>
      <c r="L324" s="4">
        <f>_xll.ciqfunctions.udf.CIQ(InputTicker, "IQ_LT_DEBT",Input!N$2,Date,,,Ccy,Conv)</f>
        <v>53962</v>
      </c>
      <c r="M324" s="4">
        <f>_xll.ciqfunctions.udf.CIQ(InputTicker, "IQ_LT_DEBT",Input!O$2,Date,,,Ccy,Conv)</f>
        <v>53962</v>
      </c>
      <c r="N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  <c r="AK324" s="42"/>
      <c r="AL324" s="42"/>
      <c r="AM324" s="42"/>
      <c r="AN324" s="42"/>
      <c r="AO324" s="42"/>
      <c r="AP324" s="42"/>
      <c r="AQ324" s="42"/>
      <c r="AR324" s="42"/>
      <c r="AS324" s="42"/>
      <c r="AT324" s="42"/>
      <c r="AU324" s="42"/>
      <c r="AV324" s="42"/>
      <c r="AW324" s="42"/>
      <c r="AX324" s="42"/>
      <c r="AY324" s="42"/>
      <c r="AZ324" s="42"/>
      <c r="BA324" s="42"/>
      <c r="BB324" s="42"/>
      <c r="BC324" s="42"/>
      <c r="BD324" s="42"/>
      <c r="BE324" s="42"/>
      <c r="BF324" s="42"/>
      <c r="BG324" s="42"/>
      <c r="BH324" s="42"/>
      <c r="BI324" s="42"/>
      <c r="BJ324" s="42"/>
      <c r="BK324" s="42"/>
      <c r="BL324" s="42"/>
      <c r="BM324" s="42"/>
      <c r="BN324" s="42"/>
    </row>
    <row r="325" spans="1:66" ht="12.75" customHeight="1" x14ac:dyDescent="0.2">
      <c r="A325" s="42" t="s">
        <v>472</v>
      </c>
      <c r="B325" s="4">
        <f>_xll.ciqfunctions.udf.CIQ(InputTicker, "IQ_LONG_TERM_LEASES",Input!D$2,Date,,,Ccy,Conv)</f>
        <v>0</v>
      </c>
      <c r="C325" s="4">
        <f>_xll.ciqfunctions.udf.CIQ(InputTicker, "IQ_LONG_TERM_LEASES",Input!E$2,Date,,,Ccy,Conv)</f>
        <v>0</v>
      </c>
      <c r="D325" s="4">
        <f>_xll.ciqfunctions.udf.CIQ(InputTicker, "IQ_LONG_TERM_LEASES",Input!F$2,Date,,,Ccy,Conv)</f>
        <v>0</v>
      </c>
      <c r="E325" s="4">
        <f>_xll.ciqfunctions.udf.CIQ(InputTicker, "IQ_LONG_TERM_LEASES",Input!G$2,Date,,,Ccy,Conv)</f>
        <v>38</v>
      </c>
      <c r="F325" s="4">
        <f>_xll.ciqfunctions.udf.CIQ(InputTicker, "IQ_LONG_TERM_LEASES",Input!H$2,Date,,,Ccy,Conv)</f>
        <v>4030</v>
      </c>
      <c r="G325" s="4">
        <f>_xll.ciqfunctions.udf.CIQ(InputTicker, "IQ_LONG_TERM_LEASES",Input!I$2,Date,,,Ccy,Conv)</f>
        <v>2780</v>
      </c>
      <c r="H325" s="4">
        <f>_xll.ciqfunctions.udf.CIQ(InputTicker, "IQ_LONG_TERM_LEASES",Input!J$2,Date,,,Ccy,Conv)</f>
        <v>2525</v>
      </c>
      <c r="I325" s="4">
        <f>_xll.ciqfunctions.udf.CIQ(InputTicker, "IQ_LONG_TERM_LEASES",Input!K$2,Date,,,Ccy,Conv)</f>
        <v>2354</v>
      </c>
      <c r="J325" s="4">
        <f>_xll.ciqfunctions.udf.CIQ(InputTicker, "IQ_LONG_TERM_LEASES",Input!L$2,Date,,,Ccy,Conv)</f>
        <v>2947</v>
      </c>
      <c r="K325" s="4">
        <f>_xll.ciqfunctions.udf.CIQ(InputTicker, "IQ_LONG_TERM_LEASES",Input!M$2,Date,,,Ccy,Conv)</f>
        <v>3458</v>
      </c>
      <c r="L325" s="4">
        <f>_xll.ciqfunctions.udf.CIQ(InputTicker, "IQ_LONG_TERM_LEASES",Input!N$2,Date,,,Ccy,Conv)</f>
        <v>3421</v>
      </c>
      <c r="M325" s="4">
        <f>_xll.ciqfunctions.udf.CIQ(InputTicker, "IQ_LONG_TERM_LEASES",Input!O$2,Date,,,Ccy,Conv)</f>
        <v>3421</v>
      </c>
      <c r="N325" s="42"/>
      <c r="P325" s="46"/>
      <c r="Q325" s="46"/>
      <c r="R325" s="46"/>
      <c r="T325" s="42"/>
      <c r="U325" s="42"/>
      <c r="V325" s="46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  <c r="BA325" s="42"/>
      <c r="BB325" s="42"/>
      <c r="BC325" s="42"/>
      <c r="BD325" s="42"/>
      <c r="BE325" s="42"/>
      <c r="BF325" s="42"/>
      <c r="BG325" s="42"/>
      <c r="BH325" s="42"/>
      <c r="BI325" s="42"/>
      <c r="BJ325" s="42"/>
      <c r="BK325" s="42"/>
      <c r="BL325" s="42"/>
      <c r="BM325" s="42"/>
      <c r="BN325" s="42"/>
    </row>
    <row r="326" spans="1:66" ht="12.75" customHeight="1" x14ac:dyDescent="0.2">
      <c r="A326" s="42" t="s">
        <v>189</v>
      </c>
      <c r="B326" s="4">
        <f>_xll.ciqfunctions.udf.CIQ(InputTicker, "IQ_FIN_DIV_DEBT_LT",Input!D$2,Date,,,Ccy,Conv)</f>
        <v>0</v>
      </c>
      <c r="C326" s="4">
        <f>_xll.ciqfunctions.udf.CIQ(InputTicker, "IQ_FIN_DIV_DEBT_LT",Input!E$2,Date,,,Ccy,Conv)</f>
        <v>0</v>
      </c>
      <c r="D326" s="4">
        <f>_xll.ciqfunctions.udf.CIQ(InputTicker, "IQ_FIN_DIV_DEBT_LT",Input!F$2,Date,,,Ccy,Conv)</f>
        <v>0</v>
      </c>
      <c r="E326" s="4">
        <f>_xll.ciqfunctions.udf.CIQ(InputTicker, "IQ_FIN_DIV_DEBT_LT",Input!G$2,Date,,,Ccy,Conv)</f>
        <v>0</v>
      </c>
      <c r="F326" s="4">
        <f>_xll.ciqfunctions.udf.CIQ(InputTicker, "IQ_FIN_DIV_DEBT_LT",Input!H$2,Date,,,Ccy,Conv)</f>
        <v>0</v>
      </c>
      <c r="G326" s="4">
        <f>_xll.ciqfunctions.udf.CIQ(InputTicker, "IQ_FIN_DIV_DEBT_LT",Input!I$2,Date,,,Ccy,Conv)</f>
        <v>0</v>
      </c>
      <c r="H326" s="4">
        <f>_xll.ciqfunctions.udf.CIQ(InputTicker, "IQ_FIN_DIV_DEBT_LT",Input!J$2,Date,,,Ccy,Conv)</f>
        <v>0</v>
      </c>
      <c r="I326" s="4">
        <f>_xll.ciqfunctions.udf.CIQ(InputTicker, "IQ_FIN_DIV_DEBT_LT",Input!K$2,Date,,,Ccy,Conv)</f>
        <v>0</v>
      </c>
      <c r="J326" s="4">
        <f>_xll.ciqfunctions.udf.CIQ(InputTicker, "IQ_FIN_DIV_DEBT_LT",Input!L$2,Date,,,Ccy,Conv)</f>
        <v>0</v>
      </c>
      <c r="K326" s="4">
        <f>_xll.ciqfunctions.udf.CIQ(InputTicker, "IQ_FIN_DIV_DEBT_LT",Input!M$2,Date,,,Ccy,Conv)</f>
        <v>0</v>
      </c>
      <c r="L326" s="4">
        <f>_xll.ciqfunctions.udf.CIQ(InputTicker, "IQ_FIN_DIV_DEBT_LT",Input!N$2,Date,,,Ccy,Conv)</f>
        <v>0</v>
      </c>
      <c r="M326" s="4">
        <f>_xll.ciqfunctions.udf.CIQ(InputTicker, "IQ_FIN_DIV_DEBT_LT",Input!O$2,Date,,,Ccy,Conv)</f>
        <v>0</v>
      </c>
      <c r="N326" s="46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  <c r="AK326" s="42"/>
      <c r="AL326" s="42"/>
      <c r="AM326" s="42"/>
      <c r="AN326" s="42"/>
      <c r="AO326" s="42"/>
      <c r="AP326" s="42"/>
      <c r="AQ326" s="42"/>
      <c r="AR326" s="42"/>
      <c r="AS326" s="42"/>
      <c r="AT326" s="42"/>
      <c r="AU326" s="42"/>
      <c r="AV326" s="42"/>
      <c r="AW326" s="42"/>
      <c r="AX326" s="42"/>
      <c r="AY326" s="42"/>
      <c r="AZ326" s="42"/>
      <c r="BA326" s="42"/>
      <c r="BB326" s="42"/>
      <c r="BC326" s="42"/>
      <c r="BD326" s="42"/>
      <c r="BE326" s="42"/>
      <c r="BF326" s="42"/>
      <c r="BG326" s="42"/>
      <c r="BH326" s="42"/>
      <c r="BI326" s="42"/>
      <c r="BJ326" s="42"/>
      <c r="BK326" s="42"/>
      <c r="BL326" s="42"/>
      <c r="BM326" s="42"/>
      <c r="BN326" s="42"/>
    </row>
    <row r="327" spans="1:66" ht="12.75" customHeight="1" x14ac:dyDescent="0.2">
      <c r="A327" s="42" t="s">
        <v>190</v>
      </c>
      <c r="B327" s="4">
        <f>_xll.ciqfunctions.udf.CIQ(InputTicker, "IQ_FIN_DIV_LIAB_LT",Input!D$2,Date,,,Ccy,Conv)</f>
        <v>0</v>
      </c>
      <c r="C327" s="4">
        <f>_xll.ciqfunctions.udf.CIQ(InputTicker, "IQ_FIN_DIV_LIAB_LT",Input!E$2,Date,,,Ccy,Conv)</f>
        <v>0</v>
      </c>
      <c r="D327" s="4">
        <f>_xll.ciqfunctions.udf.CIQ(InputTicker, "IQ_FIN_DIV_LIAB_LT",Input!F$2,Date,,,Ccy,Conv)</f>
        <v>0</v>
      </c>
      <c r="E327" s="4">
        <f>_xll.ciqfunctions.udf.CIQ(InputTicker, "IQ_FIN_DIV_LIAB_LT",Input!G$2,Date,,,Ccy,Conv)</f>
        <v>0</v>
      </c>
      <c r="F327" s="4">
        <f>_xll.ciqfunctions.udf.CIQ(InputTicker, "IQ_FIN_DIV_LIAB_LT",Input!H$2,Date,,,Ccy,Conv)</f>
        <v>0</v>
      </c>
      <c r="G327" s="4">
        <f>_xll.ciqfunctions.udf.CIQ(InputTicker, "IQ_FIN_DIV_LIAB_LT",Input!I$2,Date,,,Ccy,Conv)</f>
        <v>0</v>
      </c>
      <c r="H327" s="4">
        <f>_xll.ciqfunctions.udf.CIQ(InputTicker, "IQ_FIN_DIV_LIAB_LT",Input!J$2,Date,,,Ccy,Conv)</f>
        <v>0</v>
      </c>
      <c r="I327" s="4">
        <f>_xll.ciqfunctions.udf.CIQ(InputTicker, "IQ_FIN_DIV_LIAB_LT",Input!K$2,Date,,,Ccy,Conv)</f>
        <v>0</v>
      </c>
      <c r="J327" s="4">
        <f>_xll.ciqfunctions.udf.CIQ(InputTicker, "IQ_FIN_DIV_LIAB_LT",Input!L$2,Date,,,Ccy,Conv)</f>
        <v>0</v>
      </c>
      <c r="K327" s="4">
        <f>_xll.ciqfunctions.udf.CIQ(InputTicker, "IQ_FIN_DIV_LIAB_LT",Input!M$2,Date,,,Ccy,Conv)</f>
        <v>0</v>
      </c>
      <c r="L327" s="4">
        <f>_xll.ciqfunctions.udf.CIQ(InputTicker, "IQ_FIN_DIV_LIAB_LT",Input!N$2,Date,,,Ccy,Conv)</f>
        <v>0</v>
      </c>
      <c r="M327" s="4">
        <f>_xll.ciqfunctions.udf.CIQ(InputTicker, "IQ_FIN_DIV_LIAB_LT",Input!O$2,Date,,,Ccy,Conv)</f>
        <v>0</v>
      </c>
      <c r="N327" s="42"/>
      <c r="S327" s="46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  <c r="AK327" s="42"/>
      <c r="AL327" s="42"/>
      <c r="AM327" s="42"/>
      <c r="AN327" s="42"/>
      <c r="AO327" s="42"/>
      <c r="AP327" s="42"/>
      <c r="AQ327" s="42"/>
      <c r="AR327" s="42"/>
      <c r="AS327" s="42"/>
      <c r="AT327" s="42"/>
      <c r="AU327" s="42"/>
      <c r="AV327" s="42"/>
      <c r="AW327" s="42"/>
      <c r="AX327" s="42"/>
      <c r="AY327" s="42"/>
      <c r="AZ327" s="42"/>
      <c r="BA327" s="42"/>
      <c r="BB327" s="42"/>
      <c r="BC327" s="42"/>
      <c r="BD327" s="42"/>
      <c r="BE327" s="42"/>
      <c r="BF327" s="42"/>
      <c r="BG327" s="42"/>
      <c r="BH327" s="42"/>
      <c r="BI327" s="42"/>
      <c r="BJ327" s="42"/>
      <c r="BK327" s="42"/>
      <c r="BL327" s="42"/>
      <c r="BM327" s="42"/>
      <c r="BN327" s="42"/>
    </row>
    <row r="328" spans="1:66" ht="12.75" customHeight="1" x14ac:dyDescent="0.2">
      <c r="A328" s="42" t="s">
        <v>191</v>
      </c>
      <c r="B328" s="4">
        <f>_xll.ciqfunctions.udf.CIQ(InputTicker, "IQ_UNEARN_REV_LT",Input!D$2,Date,,,Ccy,Conv)</f>
        <v>3771</v>
      </c>
      <c r="C328" s="4">
        <f>_xll.ciqfunctions.udf.CIQ(InputTicker, "IQ_UNEARN_REV_LT",Input!E$2,Date,,,Ccy,Conv)</f>
        <v>3600</v>
      </c>
      <c r="D328" s="4">
        <f>_xll.ciqfunctions.udf.CIQ(InputTicker, "IQ_UNEARN_REV_LT",Input!F$2,Date,,,Ccy,Conv)</f>
        <v>3746</v>
      </c>
      <c r="E328" s="4">
        <f>_xll.ciqfunctions.udf.CIQ(InputTicker, "IQ_UNEARN_REV_LT",Input!G$2,Date,,,Ccy,Conv)</f>
        <v>3445</v>
      </c>
      <c r="F328" s="4">
        <f>_xll.ciqfunctions.udf.CIQ(InputTicker, "IQ_UNEARN_REV_LT",Input!H$2,Date,,,Ccy,Conv)</f>
        <v>3851</v>
      </c>
      <c r="G328" s="4">
        <f>_xll.ciqfunctions.udf.CIQ(InputTicker, "IQ_UNEARN_REV_LT",Input!I$2,Date,,,Ccy,Conv)</f>
        <v>3758</v>
      </c>
      <c r="H328" s="4">
        <f>_xll.ciqfunctions.udf.CIQ(InputTicker, "IQ_UNEARN_REV_LT",Input!J$2,Date,,,Ccy,Conv)</f>
        <v>3577</v>
      </c>
      <c r="I328" s="4">
        <f>_xll.ciqfunctions.udf.CIQ(InputTicker, "IQ_UNEARN_REV_LT",Input!K$2,Date,,,Ccy,Conv)</f>
        <v>3499</v>
      </c>
      <c r="J328" s="4">
        <f>_xll.ciqfunctions.udf.CIQ(InputTicker, "IQ_UNEARN_REV_LT",Input!L$2,Date,,,Ccy,Conv)</f>
        <v>3533</v>
      </c>
      <c r="K328" s="4">
        <f>_xll.ciqfunctions.udf.CIQ(InputTicker, "IQ_UNEARN_REV_LT",Input!M$2,Date,,,Ccy,Conv)</f>
        <v>3622</v>
      </c>
      <c r="L328" s="4">
        <f>_xll.ciqfunctions.udf.CIQ(InputTicker, "IQ_UNEARN_REV_LT",Input!N$2,Date,,,Ccy,Conv)</f>
        <v>4271</v>
      </c>
      <c r="M328" s="4">
        <f>_xll.ciqfunctions.udf.CIQ(InputTicker, "IQ_UNEARN_REV_LT",Input!O$2,Date,,,Ccy,Conv)</f>
        <v>4271</v>
      </c>
      <c r="N328" s="42"/>
      <c r="P328" s="46"/>
      <c r="Q328" s="46"/>
      <c r="R328" s="46"/>
      <c r="T328" s="46"/>
      <c r="U328" s="46"/>
      <c r="V328" s="46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  <c r="BA328" s="42"/>
      <c r="BB328" s="42"/>
      <c r="BC328" s="42"/>
      <c r="BD328" s="42"/>
      <c r="BE328" s="42"/>
      <c r="BF328" s="42"/>
      <c r="BG328" s="42"/>
      <c r="BH328" s="42"/>
      <c r="BI328" s="42"/>
      <c r="BJ328" s="42"/>
      <c r="BK328" s="42"/>
      <c r="BL328" s="42"/>
      <c r="BM328" s="42"/>
      <c r="BN328" s="42"/>
    </row>
    <row r="329" spans="1:66" ht="12.75" customHeight="1" x14ac:dyDescent="0.2">
      <c r="A329" s="42" t="s">
        <v>192</v>
      </c>
      <c r="B329" s="4">
        <f>_xll.ciqfunctions.udf.CIQ(InputTicker, "IQ_PENSION",Input!D$2,Date,,,Ccy,Conv)</f>
        <v>16504</v>
      </c>
      <c r="C329" s="4">
        <f>_xll.ciqfunctions.udf.CIQ(InputTicker, "IQ_PENSION",Input!E$2,Date,,,Ccy,Conv)</f>
        <v>17070</v>
      </c>
      <c r="D329" s="4">
        <f>_xll.ciqfunctions.udf.CIQ(InputTicker, "IQ_PENSION",Input!F$2,Date,,,Ccy,Conv)</f>
        <v>16720</v>
      </c>
      <c r="E329" s="4">
        <f>_xll.ciqfunctions.udf.CIQ(InputTicker, "IQ_PENSION",Input!G$2,Date,,,Ccy,Conv)</f>
        <v>17002</v>
      </c>
      <c r="F329" s="4">
        <f>_xll.ciqfunctions.udf.CIQ(InputTicker, "IQ_PENSION",Input!H$2,Date,,,Ccy,Conv)</f>
        <v>17142</v>
      </c>
      <c r="G329" s="4">
        <f>_xll.ciqfunctions.udf.CIQ(InputTicker, "IQ_PENSION",Input!I$2,Date,,,Ccy,Conv)</f>
        <v>17184</v>
      </c>
      <c r="H329" s="4">
        <f>_xll.ciqfunctions.udf.CIQ(InputTicker, "IQ_PENSION",Input!J$2,Date,,,Ccy,Conv)</f>
        <v>14435</v>
      </c>
      <c r="I329" s="4">
        <f>_xll.ciqfunctions.udf.CIQ(InputTicker, "IQ_PENSION",Input!K$2,Date,,,Ccy,Conv)</f>
        <v>9596</v>
      </c>
      <c r="J329" s="4">
        <f>_xll.ciqfunctions.udf.CIQ(InputTicker, "IQ_PENSION",Input!L$2,Date,,,Ccy,Conv)</f>
        <v>10808</v>
      </c>
      <c r="K329" s="4">
        <f>_xll.ciqfunctions.udf.CIQ(InputTicker, "IQ_PENSION",Input!M$2,Date,,,Ccy,Conv)</f>
        <v>9432</v>
      </c>
      <c r="L329" s="4">
        <f>_xll.ciqfunctions.udf.CIQ(InputTicker, "IQ_PENSION",Input!N$2,Date,,,Ccy,Conv)</f>
        <v>9018</v>
      </c>
      <c r="M329" s="4">
        <f>_xll.ciqfunctions.udf.CIQ(InputTicker, "IQ_PENSION",Input!O$2,Date,,,Ccy,Conv)</f>
        <v>9018</v>
      </c>
      <c r="N329" s="46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  <c r="AK329" s="42"/>
      <c r="AL329" s="42"/>
      <c r="AM329" s="42"/>
      <c r="AN329" s="42"/>
      <c r="AO329" s="42"/>
      <c r="AP329" s="42"/>
      <c r="AQ329" s="42"/>
      <c r="AR329" s="42"/>
      <c r="AS329" s="42"/>
      <c r="AT329" s="42"/>
      <c r="AU329" s="42"/>
      <c r="AV329" s="42"/>
      <c r="AW329" s="42"/>
      <c r="AX329" s="42"/>
      <c r="AY329" s="42"/>
      <c r="AZ329" s="42"/>
      <c r="BA329" s="42"/>
      <c r="BB329" s="42"/>
      <c r="BC329" s="42"/>
      <c r="BD329" s="42"/>
      <c r="BE329" s="42"/>
      <c r="BF329" s="42"/>
      <c r="BG329" s="42"/>
      <c r="BH329" s="42"/>
      <c r="BI329" s="42"/>
      <c r="BJ329" s="42"/>
      <c r="BK329" s="42"/>
      <c r="BL329" s="42"/>
      <c r="BM329" s="42"/>
      <c r="BN329" s="42"/>
    </row>
    <row r="330" spans="1:66" ht="12.75" customHeight="1" x14ac:dyDescent="0.2">
      <c r="A330" s="42" t="s">
        <v>137</v>
      </c>
      <c r="B330" s="4">
        <f>_xll.ciqfunctions.udf.CIQ(InputTicker, "IQ_DEF_TAX_LIAB_LT",Input!D$2,Date,,,Ccy,Conv)</f>
        <v>253</v>
      </c>
      <c r="C330" s="4">
        <f>_xll.ciqfunctions.udf.CIQ(InputTicker, "IQ_DEF_TAX_LIAB_LT",Input!E$2,Date,,,Ccy,Conv)</f>
        <v>424</v>
      </c>
      <c r="D330" s="4">
        <f>_xll.ciqfunctions.udf.CIQ(InputTicker, "IQ_DEF_TAX_LIAB_LT",Input!F$2,Date,,,Ccy,Conv)</f>
        <v>545</v>
      </c>
      <c r="E330" s="4">
        <f>_xll.ciqfunctions.udf.CIQ(InputTicker, "IQ_DEF_TAX_LIAB_LT",Input!G$2,Date,,,Ccy,Conv)</f>
        <v>3696</v>
      </c>
      <c r="F330" s="4">
        <f>_xll.ciqfunctions.udf.CIQ(InputTicker, "IQ_DEF_TAX_LIAB_LT",Input!H$2,Date,,,Ccy,Conv)</f>
        <v>5230</v>
      </c>
      <c r="G330" s="4">
        <f>_xll.ciqfunctions.udf.CIQ(InputTicker, "IQ_DEF_TAX_LIAB_LT",Input!I$2,Date,,,Ccy,Conv)</f>
        <v>4958</v>
      </c>
      <c r="H330" s="4">
        <f>_xll.ciqfunctions.udf.CIQ(InputTicker, "IQ_DEF_TAX_LIAB_LT",Input!J$2,Date,,,Ccy,Conv)</f>
        <v>3956</v>
      </c>
      <c r="I330" s="4">
        <f>_xll.ciqfunctions.udf.CIQ(InputTicker, "IQ_DEF_TAX_LIAB_LT",Input!K$2,Date,,,Ccy,Conv)</f>
        <v>2292</v>
      </c>
      <c r="J330" s="4">
        <f>_xll.ciqfunctions.udf.CIQ(InputTicker, "IQ_DEF_TAX_LIAB_LT",Input!L$2,Date,,,Ccy,Conv)</f>
        <v>1146</v>
      </c>
      <c r="K330" s="4">
        <f>_xll.ciqfunctions.udf.CIQ(InputTicker, "IQ_DEF_TAX_LIAB_LT",Input!M$2,Date,,,Ccy,Conv)</f>
        <v>815</v>
      </c>
      <c r="L330" s="4">
        <f>_xll.ciqfunctions.udf.CIQ(InputTicker, "IQ_DEF_TAX_LIAB_LT",Input!N$2,Date,,,Ccy,Conv)</f>
        <v>781</v>
      </c>
      <c r="M330" s="4">
        <f>_xll.ciqfunctions.udf.CIQ(InputTicker, "IQ_DEF_TAX_LIAB_LT",Input!O$2,Date,,,Ccy,Conv)</f>
        <v>781</v>
      </c>
      <c r="N330" s="42"/>
      <c r="S330" s="46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  <c r="AK330" s="42"/>
      <c r="AL330" s="42"/>
      <c r="AM330" s="42"/>
      <c r="AN330" s="42"/>
      <c r="AO330" s="42"/>
      <c r="AP330" s="42"/>
      <c r="AQ330" s="42"/>
      <c r="AR330" s="42"/>
      <c r="AS330" s="42"/>
      <c r="AT330" s="42"/>
      <c r="AU330" s="42"/>
      <c r="AV330" s="42"/>
      <c r="AW330" s="42"/>
      <c r="AX330" s="42"/>
      <c r="AY330" s="42"/>
      <c r="AZ330" s="42"/>
      <c r="BA330" s="42"/>
      <c r="BB330" s="42"/>
      <c r="BC330" s="42"/>
      <c r="BD330" s="42"/>
      <c r="BE330" s="42"/>
      <c r="BF330" s="42"/>
      <c r="BG330" s="42"/>
      <c r="BH330" s="42"/>
      <c r="BI330" s="42"/>
      <c r="BJ330" s="42"/>
      <c r="BK330" s="42"/>
      <c r="BL330" s="42"/>
      <c r="BM330" s="42"/>
      <c r="BN330" s="42"/>
    </row>
    <row r="331" spans="1:66" ht="12.75" customHeight="1" x14ac:dyDescent="0.2">
      <c r="A331" s="42" t="s">
        <v>138</v>
      </c>
      <c r="B331" s="4">
        <f>_xll.ciqfunctions.udf.CIQ(InputTicker, "IQ_OTHER_LIAB_LT",Input!D$2,Date,,,Ccy,Conv)</f>
        <v>7843</v>
      </c>
      <c r="C331" s="4">
        <f>_xll.ciqfunctions.udf.CIQ(InputTicker, "IQ_OTHER_LIAB_LT",Input!E$2,Date,,,Ccy,Conv)</f>
        <v>7046</v>
      </c>
      <c r="D331" s="4">
        <f>_xll.ciqfunctions.udf.CIQ(InputTicker, "IQ_OTHER_LIAB_LT",Input!F$2,Date,,,Ccy,Conv)</f>
        <v>9386</v>
      </c>
      <c r="E331" s="4">
        <f>_xll.ciqfunctions.udf.CIQ(InputTicker, "IQ_OTHER_LIAB_LT",Input!G$2,Date,,,Ccy,Conv)</f>
        <v>8477</v>
      </c>
      <c r="F331" s="4">
        <f>_xll.ciqfunctions.udf.CIQ(InputTicker, "IQ_OTHER_LIAB_LT",Input!H$2,Date,,,Ccy,Conv)</f>
        <v>9296</v>
      </c>
      <c r="G331" s="4">
        <f>_xll.ciqfunctions.udf.CIQ(InputTicker, "IQ_OTHER_LIAB_LT",Input!I$2,Date,,,Ccy,Conv)</f>
        <v>12539</v>
      </c>
      <c r="H331" s="4">
        <f>_xll.ciqfunctions.udf.CIQ(InputTicker, "IQ_OTHER_LIAB_LT",Input!J$2,Date,,,Ccy,Conv)</f>
        <v>10039</v>
      </c>
      <c r="I331" s="4">
        <f>_xll.ciqfunctions.udf.CIQ(InputTicker, "IQ_OTHER_LIAB_LT",Input!K$2,Date,,,Ccy,Conv)</f>
        <v>9951</v>
      </c>
      <c r="J331" s="4">
        <f>_xll.ciqfunctions.udf.CIQ(InputTicker, "IQ_OTHER_LIAB_LT",Input!L$2,Date,,,Ccy,Conv)</f>
        <v>10330</v>
      </c>
      <c r="K331" s="4">
        <f>_xll.ciqfunctions.udf.CIQ(InputTicker, "IQ_OTHER_LIAB_LT",Input!M$2,Date,,,Ccy,Conv)</f>
        <v>10232</v>
      </c>
      <c r="L331" s="4">
        <f>_xll.ciqfunctions.udf.CIQ(InputTicker, "IQ_OTHER_LIAB_LT",Input!N$2,Date,,,Ccy,Conv)</f>
        <v>9028</v>
      </c>
      <c r="M331" s="4">
        <f>_xll.ciqfunctions.udf.CIQ(InputTicker, "IQ_OTHER_LIAB_LT",Input!O$2,Date,,,Ccy,Conv)</f>
        <v>9028</v>
      </c>
      <c r="N331" s="42"/>
      <c r="P331" s="46"/>
      <c r="Q331" s="46"/>
      <c r="R331" s="46"/>
      <c r="S331" s="46"/>
      <c r="T331" s="42"/>
      <c r="U331" s="42"/>
      <c r="V331" s="46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  <c r="BA331" s="42"/>
      <c r="BB331" s="42"/>
      <c r="BC331" s="42"/>
      <c r="BD331" s="42"/>
      <c r="BE331" s="42"/>
      <c r="BF331" s="42"/>
      <c r="BG331" s="42"/>
      <c r="BH331" s="42"/>
      <c r="BI331" s="42"/>
      <c r="BJ331" s="42"/>
      <c r="BK331" s="42"/>
      <c r="BL331" s="42"/>
      <c r="BM331" s="42"/>
      <c r="BN331" s="42"/>
    </row>
    <row r="332" spans="1:66" ht="12.75" customHeight="1" thickBot="1" x14ac:dyDescent="0.25">
      <c r="A332" s="5" t="s">
        <v>510</v>
      </c>
      <c r="B332" s="9">
        <f>_xll.ciqfunctions.udf.CIQ(InputTicker, "IQ_TOTAL_LIAB",Input!D$2,Date,,,Ccy,Conv)</f>
        <v>96071</v>
      </c>
      <c r="C332" s="9">
        <f>_xll.ciqfunctions.udf.CIQ(InputTicker, "IQ_TOTAL_LIAB",Input!E$2,Date,,,Ccy,Conv)</f>
        <v>99078</v>
      </c>
      <c r="D332" s="9">
        <f>_xll.ciqfunctions.udf.CIQ(InputTicker, "IQ_TOTAL_LIAB",Input!F$2,Date,,,Ccy,Conv)</f>
        <v>107631</v>
      </c>
      <c r="E332" s="9">
        <f>_xll.ciqfunctions.udf.CIQ(InputTicker, "IQ_TOTAL_LIAB",Input!G$2,Date,,,Ccy,Conv)</f>
        <v>106452</v>
      </c>
      <c r="F332" s="9">
        <f>_xll.ciqfunctions.udf.CIQ(InputTicker, "IQ_TOTAL_LIAB",Input!H$2,Date,,,Ccy,Conv)</f>
        <v>131201</v>
      </c>
      <c r="G332" s="9">
        <f>_xll.ciqfunctions.udf.CIQ(InputTicker, "IQ_TOTAL_LIAB",Input!I$2,Date,,,Ccy,Conv)</f>
        <v>135245</v>
      </c>
      <c r="H332" s="9">
        <f>_xll.ciqfunctions.udf.CIQ(InputTicker, "IQ_TOTAL_LIAB",Input!J$2,Date,,,Ccy,Conv)</f>
        <v>113005</v>
      </c>
      <c r="I332" s="9">
        <f>_xll.ciqfunctions.udf.CIQ(InputTicker, "IQ_TOTAL_LIAB",Input!K$2,Date,,,Ccy,Conv)</f>
        <v>105222</v>
      </c>
      <c r="J332" s="9">
        <f>_xll.ciqfunctions.udf.CIQ(InputTicker, "IQ_TOTAL_LIAB",Input!L$2,Date,,,Ccy,Conv)</f>
        <v>112628</v>
      </c>
      <c r="K332" s="9">
        <f>_xll.ciqfunctions.udf.CIQ(InputTicker, "IQ_TOTAL_LIAB",Input!M$2,Date,,,Ccy,Conv)</f>
        <v>109782</v>
      </c>
      <c r="L332" s="9">
        <f>_xll.ciqfunctions.udf.CIQ(InputTicker, "IQ_TOTAL_LIAB",Input!N$2,Date,,,Ccy,Conv)</f>
        <v>119139</v>
      </c>
      <c r="M332" s="9">
        <f>_xll.ciqfunctions.udf.CIQ(InputTicker, "IQ_TOTAL_LIAB",Input!O$2,Date,,,Ccy,Conv)</f>
        <v>119139</v>
      </c>
      <c r="N332" s="42"/>
      <c r="S332" s="46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  <c r="AK332" s="42"/>
      <c r="AL332" s="42"/>
      <c r="AM332" s="42"/>
      <c r="AN332" s="42"/>
      <c r="AO332" s="42"/>
      <c r="AP332" s="42"/>
      <c r="AQ332" s="42"/>
      <c r="AR332" s="42"/>
      <c r="AS332" s="42"/>
      <c r="AT332" s="42"/>
      <c r="AU332" s="42"/>
      <c r="AV332" s="42"/>
      <c r="AW332" s="42"/>
      <c r="AX332" s="42"/>
      <c r="AY332" s="42"/>
      <c r="AZ332" s="42"/>
      <c r="BA332" s="42"/>
      <c r="BB332" s="42"/>
      <c r="BC332" s="42"/>
      <c r="BD332" s="42"/>
      <c r="BE332" s="42"/>
      <c r="BF332" s="42"/>
      <c r="BG332" s="42"/>
      <c r="BH332" s="42"/>
      <c r="BI332" s="42"/>
      <c r="BJ332" s="42"/>
      <c r="BK332" s="42"/>
      <c r="BL332" s="42"/>
      <c r="BM332" s="42"/>
      <c r="BN332" s="42"/>
    </row>
    <row r="333" spans="1:66" ht="12.75" customHeight="1" thickTop="1" x14ac:dyDescent="0.2">
      <c r="A333" s="1" t="s">
        <v>193</v>
      </c>
      <c r="B333" s="4">
        <f>_xll.ciqfunctions.udf.CIQ(InputTicker, "IQ_PREF_REDEEM",Input!D$2,Date,,,Ccy,Conv)</f>
        <v>0</v>
      </c>
      <c r="C333" s="4">
        <f>_xll.ciqfunctions.udf.CIQ(InputTicker, "IQ_PREF_REDEEM",Input!E$2,Date,,,Ccy,Conv)</f>
        <v>0</v>
      </c>
      <c r="D333" s="4">
        <f>_xll.ciqfunctions.udf.CIQ(InputTicker, "IQ_PREF_REDEEM",Input!F$2,Date,,,Ccy,Conv)</f>
        <v>0</v>
      </c>
      <c r="E333" s="4">
        <f>_xll.ciqfunctions.udf.CIQ(InputTicker, "IQ_PREF_REDEEM",Input!G$2,Date,,,Ccy,Conv)</f>
        <v>0</v>
      </c>
      <c r="F333" s="4">
        <f>_xll.ciqfunctions.udf.CIQ(InputTicker, "IQ_PREF_REDEEM",Input!H$2,Date,,,Ccy,Conv)</f>
        <v>0</v>
      </c>
      <c r="G333" s="4">
        <f>_xll.ciqfunctions.udf.CIQ(InputTicker, "IQ_PREF_REDEEM",Input!I$2,Date,,,Ccy,Conv)</f>
        <v>0</v>
      </c>
      <c r="H333" s="4">
        <f>_xll.ciqfunctions.udf.CIQ(InputTicker, "IQ_PREF_REDEEM",Input!J$2,Date,,,Ccy,Conv)</f>
        <v>0</v>
      </c>
      <c r="I333" s="4">
        <f>_xll.ciqfunctions.udf.CIQ(InputTicker, "IQ_PREF_REDEEM",Input!K$2,Date,,,Ccy,Conv)</f>
        <v>0</v>
      </c>
      <c r="J333" s="4">
        <f>_xll.ciqfunctions.udf.CIQ(InputTicker, "IQ_PREF_REDEEM",Input!L$2,Date,,,Ccy,Conv)</f>
        <v>0</v>
      </c>
      <c r="K333" s="4">
        <f>_xll.ciqfunctions.udf.CIQ(InputTicker, "IQ_PREF_REDEEM",Input!M$2,Date,,,Ccy,Conv)</f>
        <v>0</v>
      </c>
      <c r="L333" s="4">
        <f>_xll.ciqfunctions.udf.CIQ(InputTicker, "IQ_PREF_REDEEM",Input!N$2,Date,,,Ccy,Conv)</f>
        <v>0</v>
      </c>
      <c r="M333" s="4">
        <f>_xll.ciqfunctions.udf.CIQ(InputTicker, "IQ_PREF_REDEEM",Input!O$2,Date,,,Ccy,Conv)</f>
        <v>0</v>
      </c>
      <c r="N333" s="46"/>
      <c r="P333" s="46"/>
      <c r="Q333" s="46"/>
      <c r="R333" s="46"/>
      <c r="T333" s="42"/>
      <c r="U333" s="42"/>
      <c r="V333" s="46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  <c r="AN333" s="42"/>
      <c r="AO333" s="42"/>
      <c r="AP333" s="42"/>
      <c r="AQ333" s="42"/>
      <c r="AR333" s="42"/>
      <c r="AS333" s="42"/>
      <c r="AT333" s="42"/>
      <c r="AU333" s="42"/>
      <c r="AV333" s="42"/>
      <c r="AW333" s="42"/>
      <c r="AX333" s="42"/>
      <c r="AY333" s="42"/>
      <c r="AZ333" s="42"/>
      <c r="BA333" s="42"/>
      <c r="BB333" s="42"/>
      <c r="BC333" s="42"/>
      <c r="BD333" s="42"/>
      <c r="BE333" s="42"/>
      <c r="BF333" s="42"/>
      <c r="BG333" s="42"/>
      <c r="BH333" s="42"/>
      <c r="BI333" s="42"/>
      <c r="BJ333" s="42"/>
      <c r="BK333" s="42"/>
      <c r="BL333" s="42"/>
      <c r="BM333" s="42"/>
      <c r="BN333" s="42"/>
    </row>
    <row r="334" spans="1:66" ht="12.75" customHeight="1" x14ac:dyDescent="0.2">
      <c r="A334" s="1" t="s">
        <v>194</v>
      </c>
      <c r="B334" s="4">
        <f>_xll.ciqfunctions.udf.CIQ(InputTicker, "IQ_PREF_NON_REDEEM",Input!D$2,Date,,,Ccy,Conv)</f>
        <v>0</v>
      </c>
      <c r="C334" s="4">
        <f>_xll.ciqfunctions.udf.CIQ(InputTicker, "IQ_PREF_NON_REDEEM",Input!E$2,Date,,,Ccy,Conv)</f>
        <v>0</v>
      </c>
      <c r="D334" s="4">
        <f>_xll.ciqfunctions.udf.CIQ(InputTicker, "IQ_PREF_NON_REDEEM",Input!F$2,Date,,,Ccy,Conv)</f>
        <v>0</v>
      </c>
      <c r="E334" s="4">
        <f>_xll.ciqfunctions.udf.CIQ(InputTicker, "IQ_PREF_NON_REDEEM",Input!G$2,Date,,,Ccy,Conv)</f>
        <v>0</v>
      </c>
      <c r="F334" s="4">
        <f>_xll.ciqfunctions.udf.CIQ(InputTicker, "IQ_PREF_NON_REDEEM",Input!H$2,Date,,,Ccy,Conv)</f>
        <v>0</v>
      </c>
      <c r="G334" s="4">
        <f>_xll.ciqfunctions.udf.CIQ(InputTicker, "IQ_PREF_NON_REDEEM",Input!I$2,Date,,,Ccy,Conv)</f>
        <v>0</v>
      </c>
      <c r="H334" s="4">
        <f>_xll.ciqfunctions.udf.CIQ(InputTicker, "IQ_PREF_NON_REDEEM",Input!J$2,Date,,,Ccy,Conv)</f>
        <v>0</v>
      </c>
      <c r="I334" s="4">
        <f>_xll.ciqfunctions.udf.CIQ(InputTicker, "IQ_PREF_NON_REDEEM",Input!K$2,Date,,,Ccy,Conv)</f>
        <v>0</v>
      </c>
      <c r="J334" s="4">
        <f>_xll.ciqfunctions.udf.CIQ(InputTicker, "IQ_PREF_NON_REDEEM",Input!L$2,Date,,,Ccy,Conv)</f>
        <v>0</v>
      </c>
      <c r="K334" s="4">
        <f>_xll.ciqfunctions.udf.CIQ(InputTicker, "IQ_PREF_NON_REDEEM",Input!M$2,Date,,,Ccy,Conv)</f>
        <v>0</v>
      </c>
      <c r="L334" s="4">
        <f>_xll.ciqfunctions.udf.CIQ(InputTicker, "IQ_PREF_NON_REDEEM",Input!N$2,Date,,,Ccy,Conv)</f>
        <v>0</v>
      </c>
      <c r="M334" s="4">
        <f>_xll.ciqfunctions.udf.CIQ(InputTicker, "IQ_PREF_NON_REDEEM",Input!O$2,Date,,,Ccy,Conv)</f>
        <v>0</v>
      </c>
      <c r="N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  <c r="BA334" s="42"/>
      <c r="BB334" s="42"/>
      <c r="BC334" s="42"/>
      <c r="BD334" s="42"/>
      <c r="BE334" s="42"/>
      <c r="BF334" s="42"/>
      <c r="BG334" s="42"/>
      <c r="BH334" s="42"/>
      <c r="BI334" s="42"/>
      <c r="BJ334" s="42"/>
      <c r="BK334" s="42"/>
      <c r="BL334" s="42"/>
      <c r="BM334" s="42"/>
      <c r="BN334" s="42"/>
    </row>
    <row r="335" spans="1:66" ht="12.75" customHeight="1" x14ac:dyDescent="0.2">
      <c r="A335" s="1" t="s">
        <v>195</v>
      </c>
      <c r="B335" s="4">
        <f>_xll.ciqfunctions.udf.CIQ(InputTicker, "IQ_PREF_CONVERT",Input!D$2,Date,,,Ccy,Conv)</f>
        <v>0</v>
      </c>
      <c r="C335" s="4">
        <f>_xll.ciqfunctions.udf.CIQ(InputTicker, "IQ_PREF_CONVERT",Input!E$2,Date,,,Ccy,Conv)</f>
        <v>0</v>
      </c>
      <c r="D335" s="4">
        <f>_xll.ciqfunctions.udf.CIQ(InputTicker, "IQ_PREF_CONVERT",Input!F$2,Date,,,Ccy,Conv)</f>
        <v>0</v>
      </c>
      <c r="E335" s="4">
        <f>_xll.ciqfunctions.udf.CIQ(InputTicker, "IQ_PREF_CONVERT",Input!G$2,Date,,,Ccy,Conv)</f>
        <v>0</v>
      </c>
      <c r="F335" s="4">
        <f>_xll.ciqfunctions.udf.CIQ(InputTicker, "IQ_PREF_CONVERT",Input!H$2,Date,,,Ccy,Conv)</f>
        <v>0</v>
      </c>
      <c r="G335" s="4">
        <f>_xll.ciqfunctions.udf.CIQ(InputTicker, "IQ_PREF_CONVERT",Input!I$2,Date,,,Ccy,Conv)</f>
        <v>0</v>
      </c>
      <c r="H335" s="4">
        <f>_xll.ciqfunctions.udf.CIQ(InputTicker, "IQ_PREF_CONVERT",Input!J$2,Date,,,Ccy,Conv)</f>
        <v>0</v>
      </c>
      <c r="I335" s="4">
        <f>_xll.ciqfunctions.udf.CIQ(InputTicker, "IQ_PREF_CONVERT",Input!K$2,Date,,,Ccy,Conv)</f>
        <v>0</v>
      </c>
      <c r="J335" s="4">
        <f>_xll.ciqfunctions.udf.CIQ(InputTicker, "IQ_PREF_CONVERT",Input!L$2,Date,,,Ccy,Conv)</f>
        <v>0</v>
      </c>
      <c r="K335" s="4">
        <f>_xll.ciqfunctions.udf.CIQ(InputTicker, "IQ_PREF_CONVERT",Input!M$2,Date,,,Ccy,Conv)</f>
        <v>0</v>
      </c>
      <c r="L335" s="4">
        <f>_xll.ciqfunctions.udf.CIQ(InputTicker, "IQ_PREF_CONVERT",Input!N$2,Date,,,Ccy,Conv)</f>
        <v>0</v>
      </c>
      <c r="M335" s="4">
        <f>_xll.ciqfunctions.udf.CIQ(InputTicker, "IQ_PREF_CONVERT",Input!O$2,Date,,,Ccy,Conv)</f>
        <v>0</v>
      </c>
      <c r="N335" s="42"/>
      <c r="T335" s="51"/>
      <c r="U335" s="51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  <c r="AK335" s="42"/>
      <c r="AL335" s="42"/>
      <c r="AM335" s="42"/>
      <c r="AN335" s="42"/>
      <c r="AO335" s="42"/>
      <c r="AP335" s="42"/>
      <c r="AQ335" s="42"/>
      <c r="AR335" s="42"/>
      <c r="AS335" s="42"/>
      <c r="AT335" s="42"/>
      <c r="AU335" s="42"/>
      <c r="AV335" s="42"/>
      <c r="AW335" s="42"/>
      <c r="AX335" s="42"/>
      <c r="AY335" s="42"/>
      <c r="AZ335" s="42"/>
      <c r="BA335" s="42"/>
      <c r="BB335" s="42"/>
      <c r="BC335" s="42"/>
      <c r="BD335" s="42"/>
      <c r="BE335" s="42"/>
      <c r="BF335" s="42"/>
      <c r="BG335" s="42"/>
      <c r="BH335" s="42"/>
      <c r="BI335" s="42"/>
      <c r="BJ335" s="42"/>
      <c r="BK335" s="42"/>
      <c r="BL335" s="42"/>
      <c r="BM335" s="42"/>
      <c r="BN335" s="42"/>
    </row>
    <row r="336" spans="1:66" ht="12.75" customHeight="1" x14ac:dyDescent="0.2">
      <c r="A336" s="1" t="s">
        <v>196</v>
      </c>
      <c r="B336" s="4">
        <f>_xll.ciqfunctions.udf.CIQ(InputTicker, "IQ_PREF_OTHER",Input!D$2,Date,,,Ccy,Conv)</f>
        <v>0</v>
      </c>
      <c r="C336" s="4">
        <f>_xll.ciqfunctions.udf.CIQ(InputTicker, "IQ_PREF_OTHER",Input!E$2,Date,,,Ccy,Conv)</f>
        <v>0</v>
      </c>
      <c r="D336" s="4">
        <f>_xll.ciqfunctions.udf.CIQ(InputTicker, "IQ_PREF_OTHER",Input!F$2,Date,,,Ccy,Conv)</f>
        <v>0</v>
      </c>
      <c r="E336" s="4">
        <f>_xll.ciqfunctions.udf.CIQ(InputTicker, "IQ_PREF_OTHER",Input!G$2,Date,,,Ccy,Conv)</f>
        <v>0</v>
      </c>
      <c r="F336" s="4">
        <f>_xll.ciqfunctions.udf.CIQ(InputTicker, "IQ_PREF_OTHER",Input!H$2,Date,,,Ccy,Conv)</f>
        <v>0</v>
      </c>
      <c r="G336" s="4">
        <f>_xll.ciqfunctions.udf.CIQ(InputTicker, "IQ_PREF_OTHER",Input!I$2,Date,,,Ccy,Conv)</f>
        <v>0</v>
      </c>
      <c r="H336" s="4">
        <f>_xll.ciqfunctions.udf.CIQ(InputTicker, "IQ_PREF_OTHER",Input!J$2,Date,,,Ccy,Conv)</f>
        <v>0</v>
      </c>
      <c r="I336" s="4">
        <f>_xll.ciqfunctions.udf.CIQ(InputTicker, "IQ_PREF_OTHER",Input!K$2,Date,,,Ccy,Conv)</f>
        <v>0</v>
      </c>
      <c r="J336" s="4">
        <f>_xll.ciqfunctions.udf.CIQ(InputTicker, "IQ_PREF_OTHER",Input!L$2,Date,,,Ccy,Conv)</f>
        <v>0</v>
      </c>
      <c r="K336" s="4">
        <f>_xll.ciqfunctions.udf.CIQ(InputTicker, "IQ_PREF_OTHER",Input!M$2,Date,,,Ccy,Conv)</f>
        <v>0</v>
      </c>
      <c r="L336" s="4">
        <f>_xll.ciqfunctions.udf.CIQ(InputTicker, "IQ_PREF_OTHER",Input!N$2,Date,,,Ccy,Conv)</f>
        <v>0</v>
      </c>
      <c r="M336" s="4">
        <f>_xll.ciqfunctions.udf.CIQ(InputTicker, "IQ_PREF_OTHER",Input!O$2,Date,,,Ccy,Conv)</f>
        <v>0</v>
      </c>
      <c r="N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  <c r="AK336" s="42"/>
      <c r="AL336" s="42"/>
      <c r="AM336" s="42"/>
      <c r="AN336" s="42"/>
      <c r="AO336" s="42"/>
      <c r="AP336" s="42"/>
      <c r="AQ336" s="42"/>
      <c r="AR336" s="42"/>
      <c r="AS336" s="42"/>
      <c r="AT336" s="42"/>
      <c r="AU336" s="42"/>
      <c r="AV336" s="42"/>
      <c r="AW336" s="42"/>
      <c r="AX336" s="42"/>
      <c r="AY336" s="42"/>
      <c r="AZ336" s="42"/>
      <c r="BA336" s="42"/>
      <c r="BB336" s="42"/>
      <c r="BC336" s="42"/>
      <c r="BD336" s="42"/>
      <c r="BE336" s="42"/>
      <c r="BF336" s="42"/>
      <c r="BG336" s="42"/>
      <c r="BH336" s="42"/>
      <c r="BI336" s="42"/>
      <c r="BJ336" s="42"/>
      <c r="BK336" s="42"/>
      <c r="BL336" s="42"/>
      <c r="BM336" s="42"/>
      <c r="BN336" s="42"/>
    </row>
    <row r="337" spans="1:66" ht="12.75" customHeight="1" x14ac:dyDescent="0.2">
      <c r="A337" s="5" t="s">
        <v>511</v>
      </c>
      <c r="B337" s="10">
        <f>_xll.ciqfunctions.udf.CIQ(InputTicker, "IQ_PREF_EQUITY",Input!D$2,Date,,,Ccy,Conv)</f>
        <v>0</v>
      </c>
      <c r="C337" s="10">
        <f>_xll.ciqfunctions.udf.CIQ(InputTicker, "IQ_PREF_EQUITY",Input!E$2,Date,,,Ccy,Conv)</f>
        <v>0</v>
      </c>
      <c r="D337" s="10">
        <f>_xll.ciqfunctions.udf.CIQ(InputTicker, "IQ_PREF_EQUITY",Input!F$2,Date,,,Ccy,Conv)</f>
        <v>0</v>
      </c>
      <c r="E337" s="10">
        <f>_xll.ciqfunctions.udf.CIQ(InputTicker, "IQ_PREF_EQUITY",Input!G$2,Date,,,Ccy,Conv)</f>
        <v>0</v>
      </c>
      <c r="F337" s="10">
        <f>_xll.ciqfunctions.udf.CIQ(InputTicker, "IQ_PREF_EQUITY",Input!H$2,Date,,,Ccy,Conv)</f>
        <v>0</v>
      </c>
      <c r="G337" s="10">
        <f>_xll.ciqfunctions.udf.CIQ(InputTicker, "IQ_PREF_EQUITY",Input!I$2,Date,,,Ccy,Conv)</f>
        <v>0</v>
      </c>
      <c r="H337" s="10">
        <f>_xll.ciqfunctions.udf.CIQ(InputTicker, "IQ_PREF_EQUITY",Input!J$2,Date,,,Ccy,Conv)</f>
        <v>0</v>
      </c>
      <c r="I337" s="10">
        <f>_xll.ciqfunctions.udf.CIQ(InputTicker, "IQ_PREF_EQUITY",Input!K$2,Date,,,Ccy,Conv)</f>
        <v>0</v>
      </c>
      <c r="J337" s="10">
        <f>_xll.ciqfunctions.udf.CIQ(InputTicker, "IQ_PREF_EQUITY",Input!L$2,Date,,,Ccy,Conv)</f>
        <v>0</v>
      </c>
      <c r="K337" s="10">
        <f>_xll.ciqfunctions.udf.CIQ(InputTicker, "IQ_PREF_EQUITY",Input!M$2,Date,,,Ccy,Conv)</f>
        <v>0</v>
      </c>
      <c r="L337" s="10">
        <f>_xll.ciqfunctions.udf.CIQ(InputTicker, "IQ_PREF_EQUITY",Input!N$2,Date,,,Ccy,Conv)</f>
        <v>0</v>
      </c>
      <c r="M337" s="10">
        <f>_xll.ciqfunctions.udf.CIQ(InputTicker, "IQ_PREF_EQUITY",Input!O$2,Date,,,Ccy,Conv)</f>
        <v>0</v>
      </c>
      <c r="N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  <c r="BA337" s="42"/>
      <c r="BB337" s="42"/>
      <c r="BC337" s="42"/>
      <c r="BD337" s="42"/>
      <c r="BE337" s="42"/>
      <c r="BF337" s="42"/>
      <c r="BG337" s="42"/>
      <c r="BH337" s="42"/>
      <c r="BI337" s="42"/>
      <c r="BJ337" s="42"/>
      <c r="BK337" s="42"/>
      <c r="BL337" s="42"/>
      <c r="BM337" s="42"/>
      <c r="BN337" s="42"/>
    </row>
    <row r="338" spans="1:66" ht="12.75" customHeight="1" x14ac:dyDescent="0.2">
      <c r="A338" s="1" t="s">
        <v>47</v>
      </c>
      <c r="B338" s="4">
        <f>_xll.ciqfunctions.udf.CIQ(InputTicker, "IQ_COMMON",Input!D$2,Date,,,Ccy,Conv)</f>
        <v>53262</v>
      </c>
      <c r="C338" s="4">
        <f>_xll.ciqfunctions.udf.CIQ(InputTicker, "IQ_COMMON",Input!E$2,Date,,,Ccy,Conv)</f>
        <v>53935</v>
      </c>
      <c r="D338" s="4">
        <f>_xll.ciqfunctions.udf.CIQ(InputTicker, "IQ_COMMON",Input!F$2,Date,,,Ccy,Conv)</f>
        <v>54566</v>
      </c>
      <c r="E338" s="4">
        <f>_xll.ciqfunctions.udf.CIQ(InputTicker, "IQ_COMMON",Input!G$2,Date,,,Ccy,Conv)</f>
        <v>55151</v>
      </c>
      <c r="F338" s="4">
        <f>_xll.ciqfunctions.udf.CIQ(InputTicker, "IQ_COMMON",Input!H$2,Date,,,Ccy,Conv)</f>
        <v>55895</v>
      </c>
      <c r="G338" s="4">
        <f>_xll.ciqfunctions.udf.CIQ(InputTicker, "IQ_COMMON",Input!I$2,Date,,,Ccy,Conv)</f>
        <v>56556</v>
      </c>
      <c r="H338" s="4">
        <f>_xll.ciqfunctions.udf.CIQ(InputTicker, "IQ_COMMON",Input!J$2,Date,,,Ccy,Conv)</f>
        <v>57319</v>
      </c>
      <c r="I338" s="4">
        <f>_xll.ciqfunctions.udf.CIQ(InputTicker, "IQ_COMMON",Input!K$2,Date,,,Ccy,Conv)</f>
        <v>58343</v>
      </c>
      <c r="J338" s="4">
        <f>_xll.ciqfunctions.udf.CIQ(InputTicker, "IQ_COMMON",Input!L$2,Date,,,Ccy,Conv)</f>
        <v>59643</v>
      </c>
      <c r="K338" s="4">
        <f>_xll.ciqfunctions.udf.CIQ(InputTicker, "IQ_COMMON",Input!M$2,Date,,,Ccy,Conv)</f>
        <v>61380</v>
      </c>
      <c r="L338" s="4">
        <f>_xll.ciqfunctions.udf.CIQ(InputTicker, "IQ_COMMON",Input!N$2,Date,,,Ccy,Conv)</f>
        <v>63318</v>
      </c>
      <c r="M338" s="4">
        <f>_xll.ciqfunctions.udf.CIQ(InputTicker, "IQ_COMMON",Input!O$2,Date,,,Ccy,Conv)</f>
        <v>63318</v>
      </c>
      <c r="N338" s="46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  <c r="AK338" s="42"/>
      <c r="AL338" s="42"/>
      <c r="AM338" s="42"/>
      <c r="AN338" s="42"/>
      <c r="AO338" s="42"/>
      <c r="AP338" s="42"/>
      <c r="AQ338" s="42"/>
      <c r="AR338" s="42"/>
      <c r="AS338" s="42"/>
      <c r="AT338" s="42"/>
      <c r="AU338" s="42"/>
      <c r="AV338" s="42"/>
      <c r="AW338" s="42"/>
      <c r="AX338" s="42"/>
      <c r="AY338" s="42"/>
      <c r="AZ338" s="42"/>
      <c r="BA338" s="42"/>
      <c r="BB338" s="42"/>
      <c r="BC338" s="42"/>
      <c r="BD338" s="42"/>
      <c r="BE338" s="42"/>
      <c r="BF338" s="42"/>
      <c r="BG338" s="42"/>
      <c r="BH338" s="42"/>
      <c r="BI338" s="42"/>
      <c r="BJ338" s="42"/>
      <c r="BK338" s="42"/>
      <c r="BL338" s="42"/>
      <c r="BM338" s="42"/>
      <c r="BN338" s="42"/>
    </row>
    <row r="339" spans="1:66" ht="12.75" customHeight="1" x14ac:dyDescent="0.2">
      <c r="A339" s="1" t="s">
        <v>139</v>
      </c>
      <c r="B339" s="4">
        <f>_xll.ciqfunctions.udf.CIQ(InputTicker, "IQ_APIC",Input!D$2,Date,,,Ccy,Conv)</f>
        <v>0</v>
      </c>
      <c r="C339" s="4">
        <f>_xll.ciqfunctions.udf.CIQ(InputTicker, "IQ_APIC",Input!E$2,Date,,,Ccy,Conv)</f>
        <v>0</v>
      </c>
      <c r="D339" s="4">
        <f>_xll.ciqfunctions.udf.CIQ(InputTicker, "IQ_APIC",Input!F$2,Date,,,Ccy,Conv)</f>
        <v>0</v>
      </c>
      <c r="E339" s="4">
        <f>_xll.ciqfunctions.udf.CIQ(InputTicker, "IQ_APIC",Input!G$2,Date,,,Ccy,Conv)</f>
        <v>0</v>
      </c>
      <c r="F339" s="4">
        <f>_xll.ciqfunctions.udf.CIQ(InputTicker, "IQ_APIC",Input!H$2,Date,,,Ccy,Conv)</f>
        <v>0</v>
      </c>
      <c r="G339" s="4">
        <f>_xll.ciqfunctions.udf.CIQ(InputTicker, "IQ_APIC",Input!I$2,Date,,,Ccy,Conv)</f>
        <v>0</v>
      </c>
      <c r="H339" s="4">
        <f>_xll.ciqfunctions.udf.CIQ(InputTicker, "IQ_APIC",Input!J$2,Date,,,Ccy,Conv)</f>
        <v>0</v>
      </c>
      <c r="I339" s="4">
        <f>_xll.ciqfunctions.udf.CIQ(InputTicker, "IQ_APIC",Input!K$2,Date,,,Ccy,Conv)</f>
        <v>0</v>
      </c>
      <c r="J339" s="4">
        <f>_xll.ciqfunctions.udf.CIQ(InputTicker, "IQ_APIC",Input!L$2,Date,,,Ccy,Conv)</f>
        <v>0</v>
      </c>
      <c r="K339" s="4">
        <f>_xll.ciqfunctions.udf.CIQ(InputTicker, "IQ_APIC",Input!M$2,Date,,,Ccy,Conv)</f>
        <v>0</v>
      </c>
      <c r="L339" s="4">
        <f>_xll.ciqfunctions.udf.CIQ(InputTicker, "IQ_APIC",Input!N$2,Date,,,Ccy,Conv)</f>
        <v>0</v>
      </c>
      <c r="M339" s="4">
        <f>_xll.ciqfunctions.udf.CIQ(InputTicker, "IQ_APIC",Input!O$2,Date,,,Ccy,Conv)</f>
        <v>0</v>
      </c>
      <c r="N339" s="42"/>
      <c r="S339" s="46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  <c r="AK339" s="42"/>
      <c r="AL339" s="42"/>
      <c r="AM339" s="42"/>
      <c r="AN339" s="42"/>
      <c r="AO339" s="42"/>
      <c r="AP339" s="42"/>
      <c r="AQ339" s="42"/>
      <c r="AR339" s="42"/>
      <c r="AS339" s="42"/>
      <c r="AT339" s="42"/>
      <c r="AU339" s="42"/>
      <c r="AV339" s="42"/>
      <c r="AW339" s="42"/>
      <c r="AX339" s="42"/>
      <c r="AY339" s="42"/>
      <c r="AZ339" s="42"/>
      <c r="BA339" s="42"/>
      <c r="BB339" s="42"/>
      <c r="BC339" s="42"/>
      <c r="BD339" s="42"/>
      <c r="BE339" s="42"/>
      <c r="BF339" s="42"/>
      <c r="BG339" s="42"/>
      <c r="BH339" s="42"/>
      <c r="BI339" s="42"/>
      <c r="BJ339" s="42"/>
      <c r="BK339" s="42"/>
      <c r="BL339" s="42"/>
      <c r="BM339" s="42"/>
      <c r="BN339" s="42"/>
    </row>
    <row r="340" spans="1:66" ht="12.75" customHeight="1" x14ac:dyDescent="0.2">
      <c r="A340" s="1" t="s">
        <v>98</v>
      </c>
      <c r="B340" s="4">
        <f>_xll.ciqfunctions.udf.CIQ(InputTicker, "IQ_RE",Input!D$2,Date,,,Ccy,Conv)</f>
        <v>146124</v>
      </c>
      <c r="C340" s="4">
        <f>_xll.ciqfunctions.udf.CIQ(InputTicker, "IQ_RE",Input!E$2,Date,,,Ccy,Conv)</f>
        <v>152759</v>
      </c>
      <c r="D340" s="4">
        <f>_xll.ciqfunctions.udf.CIQ(InputTicker, "IQ_RE",Input!F$2,Date,,,Ccy,Conv)</f>
        <v>153126</v>
      </c>
      <c r="E340" s="4">
        <f>_xll.ciqfunctions.udf.CIQ(InputTicker, "IQ_RE",Input!G$2,Date,,,Ccy,Conv)</f>
        <v>159206</v>
      </c>
      <c r="F340" s="4">
        <f>_xll.ciqfunctions.udf.CIQ(InputTicker, "IQ_RE",Input!H$2,Date,,,Ccy,Conv)</f>
        <v>162954</v>
      </c>
      <c r="G340" s="4">
        <f>_xll.ciqfunctions.udf.CIQ(InputTicker, "IQ_RE",Input!I$2,Date,,,Ccy,Conv)</f>
        <v>162717</v>
      </c>
      <c r="H340" s="4">
        <f>_xll.ciqfunctions.udf.CIQ(InputTicker, "IQ_RE",Input!J$2,Date,,,Ccy,Conv)</f>
        <v>154209</v>
      </c>
      <c r="I340" s="4">
        <f>_xll.ciqfunctions.udf.CIQ(InputTicker, "IQ_RE",Input!K$2,Date,,,Ccy,Conv)</f>
        <v>149825</v>
      </c>
      <c r="J340" s="4">
        <f>_xll.ciqfunctions.udf.CIQ(InputTicker, "IQ_RE",Input!L$2,Date,,,Ccy,Conv)</f>
        <v>151276</v>
      </c>
      <c r="K340" s="4">
        <f>_xll.ciqfunctions.udf.CIQ(InputTicker, "IQ_RE",Input!M$2,Date,,,Ccy,Conv)</f>
        <v>151163</v>
      </c>
      <c r="L340" s="4">
        <f>_xll.ciqfunctions.udf.CIQ(InputTicker, "IQ_RE",Input!N$2,Date,,,Ccy,Conv)</f>
        <v>155648</v>
      </c>
      <c r="M340" s="4">
        <f>_xll.ciqfunctions.udf.CIQ(InputTicker, "IQ_RE",Input!O$2,Date,,,Ccy,Conv)</f>
        <v>155648</v>
      </c>
      <c r="N340" s="46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  <c r="BA340" s="42"/>
      <c r="BB340" s="42"/>
      <c r="BC340" s="42"/>
      <c r="BD340" s="42"/>
      <c r="BE340" s="42"/>
      <c r="BF340" s="42"/>
      <c r="BG340" s="42"/>
      <c r="BH340" s="42"/>
      <c r="BI340" s="42"/>
      <c r="BJ340" s="42"/>
      <c r="BK340" s="42"/>
      <c r="BL340" s="42"/>
      <c r="BM340" s="42"/>
      <c r="BN340" s="42"/>
    </row>
    <row r="341" spans="1:66" ht="12.75" customHeight="1" x14ac:dyDescent="0.2">
      <c r="A341" s="1" t="s">
        <v>54</v>
      </c>
      <c r="B341" s="4">
        <f>_xll.ciqfunctions.udf.CIQ(InputTicker, "IQ_TREASURY",Input!D$2,Date,,,Ccy,Conv)</f>
        <v>-155518</v>
      </c>
      <c r="C341" s="4">
        <f>_xll.ciqfunctions.udf.CIQ(InputTicker, "IQ_TREASURY",Input!E$2,Date,,,Ccy,Conv)</f>
        <v>-159050</v>
      </c>
      <c r="D341" s="4">
        <f>_xll.ciqfunctions.udf.CIQ(InputTicker, "IQ_TREASURY",Input!F$2,Date,,,Ccy,Conv)</f>
        <v>-163507</v>
      </c>
      <c r="E341" s="4">
        <f>_xll.ciqfunctions.udf.CIQ(InputTicker, "IQ_TREASURY",Input!G$2,Date,,,Ccy,Conv)</f>
        <v>-168071</v>
      </c>
      <c r="F341" s="4">
        <f>_xll.ciqfunctions.udf.CIQ(InputTicker, "IQ_TREASURY",Input!H$2,Date,,,Ccy,Conv)</f>
        <v>-169413</v>
      </c>
      <c r="G341" s="4">
        <f>_xll.ciqfunctions.udf.CIQ(InputTicker, "IQ_TREASURY",Input!I$2,Date,,,Ccy,Conv)</f>
        <v>-169339</v>
      </c>
      <c r="H341" s="4">
        <f>_xll.ciqfunctions.udf.CIQ(InputTicker, "IQ_TREASURY",Input!J$2,Date,,,Ccy,Conv)</f>
        <v>-169392</v>
      </c>
      <c r="I341" s="4">
        <f>_xll.ciqfunctions.udf.CIQ(InputTicker, "IQ_TREASURY",Input!K$2,Date,,,Ccy,Conv)</f>
        <v>-169484</v>
      </c>
      <c r="J341" s="4">
        <f>_xll.ciqfunctions.udf.CIQ(InputTicker, "IQ_TREASURY",Input!L$2,Date,,,Ccy,Conv)</f>
        <v>-169624</v>
      </c>
      <c r="K341" s="4">
        <f>_xll.ciqfunctions.udf.CIQ(InputTicker, "IQ_TREASURY",Input!M$2,Date,,,Ccy,Conv)</f>
        <v>-169968</v>
      </c>
      <c r="L341" s="4">
        <f>_xll.ciqfunctions.udf.CIQ(InputTicker, "IQ_TREASURY",Input!N$2,Date,,,Ccy,Conv)</f>
        <v>-170605</v>
      </c>
      <c r="M341" s="4">
        <f>_xll.ciqfunctions.udf.CIQ(InputTicker, "IQ_TREASURY",Input!O$2,Date,,,Ccy,Conv)</f>
        <v>-170605</v>
      </c>
      <c r="N341" s="46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42"/>
      <c r="AN341" s="42"/>
      <c r="AO341" s="42"/>
      <c r="AP341" s="42"/>
      <c r="AQ341" s="42"/>
      <c r="AR341" s="42"/>
      <c r="AS341" s="42"/>
      <c r="AT341" s="42"/>
      <c r="AU341" s="42"/>
      <c r="AV341" s="42"/>
      <c r="AW341" s="42"/>
      <c r="AX341" s="42"/>
      <c r="AY341" s="42"/>
      <c r="AZ341" s="42"/>
      <c r="BA341" s="42"/>
      <c r="BB341" s="42"/>
      <c r="BC341" s="42"/>
      <c r="BD341" s="42"/>
      <c r="BE341" s="42"/>
      <c r="BF341" s="42"/>
      <c r="BG341" s="42"/>
      <c r="BH341" s="42"/>
      <c r="BI341" s="42"/>
      <c r="BJ341" s="42"/>
      <c r="BK341" s="42"/>
      <c r="BL341" s="42"/>
      <c r="BM341" s="42"/>
      <c r="BN341" s="42"/>
    </row>
    <row r="342" spans="1:66" ht="12.75" customHeight="1" x14ac:dyDescent="0.2">
      <c r="A342" s="1" t="s">
        <v>140</v>
      </c>
      <c r="B342" s="4">
        <f>_xll.ciqfunctions.udf.CIQ(InputTicker, "IQ_OTHER_EQUITY",Input!D$2,Date,,,Ccy,Conv)</f>
        <v>-29606</v>
      </c>
      <c r="C342" s="4">
        <f>_xll.ciqfunctions.udf.CIQ(InputTicker, "IQ_OTHER_EQUITY",Input!E$2,Date,,,Ccy,Conv)</f>
        <v>-29398</v>
      </c>
      <c r="D342" s="4">
        <f>_xll.ciqfunctions.udf.CIQ(InputTicker, "IQ_OTHER_EQUITY",Input!F$2,Date,,,Ccy,Conv)</f>
        <v>-26591</v>
      </c>
      <c r="E342" s="4">
        <f>_xll.ciqfunctions.udf.CIQ(InputTicker, "IQ_OTHER_EQUITY",Input!G$2,Date,,,Ccy,Conv)</f>
        <v>-29490</v>
      </c>
      <c r="F342" s="4">
        <f>_xll.ciqfunctions.udf.CIQ(InputTicker, "IQ_OTHER_EQUITY",Input!H$2,Date,,,Ccy,Conv)</f>
        <v>-28595</v>
      </c>
      <c r="G342" s="4">
        <f>_xll.ciqfunctions.udf.CIQ(InputTicker, "IQ_OTHER_EQUITY",Input!I$2,Date,,,Ccy,Conv)</f>
        <v>-29337</v>
      </c>
      <c r="H342" s="4">
        <f>_xll.ciqfunctions.udf.CIQ(InputTicker, "IQ_OTHER_EQUITY",Input!J$2,Date,,,Ccy,Conv)</f>
        <v>-23235</v>
      </c>
      <c r="I342" s="4">
        <f>_xll.ciqfunctions.udf.CIQ(InputTicker, "IQ_OTHER_EQUITY",Input!K$2,Date,,,Ccy,Conv)</f>
        <v>-16740</v>
      </c>
      <c r="J342" s="4">
        <f>_xll.ciqfunctions.udf.CIQ(InputTicker, "IQ_OTHER_EQUITY",Input!L$2,Date,,,Ccy,Conv)</f>
        <v>-18762</v>
      </c>
      <c r="K342" s="4">
        <f>_xll.ciqfunctions.udf.CIQ(InputTicker, "IQ_OTHER_EQUITY",Input!M$2,Date,,,Ccy,Conv)</f>
        <v>-15268</v>
      </c>
      <c r="L342" s="4">
        <f>_xll.ciqfunctions.udf.CIQ(InputTicker, "IQ_OTHER_EQUITY",Input!N$2,Date,,,Ccy,Conv)</f>
        <v>-15713</v>
      </c>
      <c r="M342" s="4">
        <f>_xll.ciqfunctions.udf.CIQ(InputTicker, "IQ_OTHER_EQUITY",Input!O$2,Date,,,Ccy,Conv)</f>
        <v>-15713</v>
      </c>
      <c r="N342" s="46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  <c r="AK342" s="42"/>
      <c r="AL342" s="42"/>
      <c r="AM342" s="42"/>
      <c r="AN342" s="42"/>
      <c r="AO342" s="42"/>
      <c r="AP342" s="42"/>
      <c r="AQ342" s="42"/>
      <c r="AR342" s="42"/>
      <c r="AS342" s="42"/>
      <c r="AT342" s="42"/>
      <c r="AU342" s="42"/>
      <c r="AV342" s="42"/>
      <c r="AW342" s="42"/>
      <c r="AX342" s="42"/>
      <c r="AY342" s="42"/>
      <c r="AZ342" s="42"/>
      <c r="BA342" s="42"/>
      <c r="BB342" s="42"/>
      <c r="BC342" s="42"/>
      <c r="BD342" s="42"/>
      <c r="BE342" s="42"/>
      <c r="BF342" s="42"/>
      <c r="BG342" s="42"/>
      <c r="BH342" s="42"/>
      <c r="BI342" s="42"/>
      <c r="BJ342" s="42"/>
      <c r="BK342" s="42"/>
      <c r="BL342" s="42"/>
      <c r="BM342" s="42"/>
      <c r="BN342" s="42"/>
    </row>
    <row r="343" spans="1:66" ht="12.75" customHeight="1" x14ac:dyDescent="0.2">
      <c r="A343" s="5" t="s">
        <v>99</v>
      </c>
      <c r="B343" s="6">
        <f>_xll.ciqfunctions.udf.CIQ(InputTicker, "IQ_TOTAL_COMMON_EQUITY",Input!D$2,Date,,,Ccy,Conv)</f>
        <v>14262</v>
      </c>
      <c r="C343" s="6">
        <f>_xll.ciqfunctions.udf.CIQ(InputTicker, "IQ_TOTAL_COMMON_EQUITY",Input!E$2,Date,,,Ccy,Conv)</f>
        <v>18246</v>
      </c>
      <c r="D343" s="6">
        <f>_xll.ciqfunctions.udf.CIQ(InputTicker, "IQ_TOTAL_COMMON_EQUITY",Input!F$2,Date,,,Ccy,Conv)</f>
        <v>17594</v>
      </c>
      <c r="E343" s="6">
        <f>_xll.ciqfunctions.udf.CIQ(InputTicker, "IQ_TOTAL_COMMON_EQUITY",Input!G$2,Date,,,Ccy,Conv)</f>
        <v>16796</v>
      </c>
      <c r="F343" s="6">
        <f>_xll.ciqfunctions.udf.CIQ(InputTicker, "IQ_TOTAL_COMMON_EQUITY",Input!H$2,Date,,,Ccy,Conv)</f>
        <v>20841</v>
      </c>
      <c r="G343" s="6">
        <f>_xll.ciqfunctions.udf.CIQ(InputTicker, "IQ_TOTAL_COMMON_EQUITY",Input!I$2,Date,,,Ccy,Conv)</f>
        <v>20597</v>
      </c>
      <c r="H343" s="6">
        <f>_xll.ciqfunctions.udf.CIQ(InputTicker, "IQ_TOTAL_COMMON_EQUITY",Input!J$2,Date,,,Ccy,Conv)</f>
        <v>18901</v>
      </c>
      <c r="I343" s="6">
        <f>_xll.ciqfunctions.udf.CIQ(InputTicker, "IQ_TOTAL_COMMON_EQUITY",Input!K$2,Date,,,Ccy,Conv)</f>
        <v>21944</v>
      </c>
      <c r="J343" s="6">
        <f>_xll.ciqfunctions.udf.CIQ(InputTicker, "IQ_TOTAL_COMMON_EQUITY",Input!L$2,Date,,,Ccy,Conv)</f>
        <v>22533</v>
      </c>
      <c r="K343" s="6">
        <f>_xll.ciqfunctions.udf.CIQ(InputTicker, "IQ_TOTAL_COMMON_EQUITY",Input!M$2,Date,,,Ccy,Conv)</f>
        <v>27307</v>
      </c>
      <c r="L343" s="6">
        <f>_xll.ciqfunctions.udf.CIQ(InputTicker, "IQ_TOTAL_COMMON_EQUITY",Input!N$2,Date,,,Ccy,Conv)</f>
        <v>32648</v>
      </c>
      <c r="M343" s="6">
        <f>_xll.ciqfunctions.udf.CIQ(InputTicker, "IQ_TOTAL_COMMON_EQUITY",Input!O$2,Date,,,Ccy,Conv)</f>
        <v>32648</v>
      </c>
      <c r="N343" s="42"/>
      <c r="P343" s="51"/>
      <c r="Q343" s="51"/>
      <c r="R343" s="51"/>
      <c r="T343" s="42"/>
      <c r="U343" s="42"/>
      <c r="V343" s="51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  <c r="BA343" s="42"/>
      <c r="BB343" s="42"/>
      <c r="BC343" s="42"/>
      <c r="BD343" s="42"/>
      <c r="BE343" s="42"/>
      <c r="BF343" s="42"/>
      <c r="BG343" s="42"/>
      <c r="BH343" s="42"/>
      <c r="BI343" s="42"/>
      <c r="BJ343" s="42"/>
      <c r="BK343" s="42"/>
      <c r="BL343" s="42"/>
      <c r="BM343" s="42"/>
      <c r="BN343" s="42"/>
    </row>
    <row r="344" spans="1:66" ht="12.75" customHeight="1" x14ac:dyDescent="0.2">
      <c r="A344" s="1" t="s">
        <v>188</v>
      </c>
      <c r="B344" s="4">
        <f>_xll.ciqfunctions.udf.CIQ(InputTicker, "IQ_MINORITY_INTEREST",Input!D$2,Date,,,Ccy,Conv)</f>
        <v>162</v>
      </c>
      <c r="C344" s="4">
        <f>_xll.ciqfunctions.udf.CIQ(InputTicker, "IQ_MINORITY_INTEREST",Input!E$2,Date,,,Ccy,Conv)</f>
        <v>146</v>
      </c>
      <c r="D344" s="4">
        <f>_xll.ciqfunctions.udf.CIQ(InputTicker, "IQ_MINORITY_INTEREST",Input!F$2,Date,,,Ccy,Conv)</f>
        <v>131</v>
      </c>
      <c r="E344" s="4">
        <f>_xll.ciqfunctions.udf.CIQ(InputTicker, "IQ_MINORITY_INTEREST",Input!G$2,Date,,,Ccy,Conv)</f>
        <v>134</v>
      </c>
      <c r="F344" s="4">
        <f>_xll.ciqfunctions.udf.CIQ(InputTicker, "IQ_MINORITY_INTEREST",Input!H$2,Date,,,Ccy,Conv)</f>
        <v>144</v>
      </c>
      <c r="G344" s="4">
        <f>_xll.ciqfunctions.udf.CIQ(InputTicker, "IQ_MINORITY_INTEREST",Input!I$2,Date,,,Ccy,Conv)</f>
        <v>129</v>
      </c>
      <c r="H344" s="4">
        <f>_xll.ciqfunctions.udf.CIQ(InputTicker, "IQ_MINORITY_INTEREST",Input!J$2,Date,,,Ccy,Conv)</f>
        <v>95</v>
      </c>
      <c r="I344" s="4">
        <f>_xll.ciqfunctions.udf.CIQ(InputTicker, "IQ_MINORITY_INTEREST",Input!K$2,Date,,,Ccy,Conv)</f>
        <v>77</v>
      </c>
      <c r="J344" s="4">
        <f>_xll.ciqfunctions.udf.CIQ(InputTicker, "IQ_MINORITY_INTEREST",Input!L$2,Date,,,Ccy,Conv)</f>
        <v>80</v>
      </c>
      <c r="K344" s="4">
        <f>_xll.ciqfunctions.udf.CIQ(InputTicker, "IQ_MINORITY_INTEREST",Input!M$2,Date,,,Ccy,Conv)</f>
        <v>86</v>
      </c>
      <c r="L344" s="4">
        <f>_xll.ciqfunctions.udf.CIQ(InputTicker, "IQ_MINORITY_INTEREST",Input!N$2,Date,,,Ccy,Conv)</f>
        <v>93</v>
      </c>
      <c r="M344" s="4">
        <f>_xll.ciqfunctions.udf.CIQ(InputTicker, "IQ_MINORITY_INTEREST",Input!O$2,Date,,,Ccy,Conv)</f>
        <v>93</v>
      </c>
      <c r="N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  <c r="AK344" s="42"/>
      <c r="AL344" s="42"/>
      <c r="AM344" s="42"/>
      <c r="AN344" s="42"/>
      <c r="AO344" s="42"/>
      <c r="AP344" s="42"/>
      <c r="AQ344" s="42"/>
      <c r="AR344" s="42"/>
      <c r="AS344" s="42"/>
      <c r="AT344" s="42"/>
      <c r="AU344" s="42"/>
      <c r="AV344" s="42"/>
      <c r="AW344" s="42"/>
      <c r="AX344" s="42"/>
      <c r="AY344" s="42"/>
      <c r="AZ344" s="42"/>
      <c r="BA344" s="42"/>
      <c r="BB344" s="42"/>
      <c r="BC344" s="42"/>
      <c r="BD344" s="42"/>
      <c r="BE344" s="42"/>
      <c r="BF344" s="42"/>
      <c r="BG344" s="42"/>
      <c r="BH344" s="42"/>
      <c r="BI344" s="42"/>
      <c r="BJ344" s="42"/>
      <c r="BK344" s="42"/>
      <c r="BL344" s="42"/>
      <c r="BM344" s="42"/>
      <c r="BN344" s="42"/>
    </row>
    <row r="345" spans="1:66" ht="12.75" customHeight="1" x14ac:dyDescent="0.2">
      <c r="A345" s="5" t="s">
        <v>46</v>
      </c>
      <c r="B345" s="6">
        <f>_xll.ciqfunctions.udf.CIQ(InputTicker, "IQ_TOTAL_EQUITY",Input!D$2,Date,,,Ccy,Conv)</f>
        <v>14424</v>
      </c>
      <c r="C345" s="6">
        <f>_xll.ciqfunctions.udf.CIQ(InputTicker, "IQ_TOTAL_EQUITY",Input!E$2,Date,,,Ccy,Conv)</f>
        <v>18392</v>
      </c>
      <c r="D345" s="6">
        <f>_xll.ciqfunctions.udf.CIQ(InputTicker, "IQ_TOTAL_EQUITY",Input!F$2,Date,,,Ccy,Conv)</f>
        <v>17725</v>
      </c>
      <c r="E345" s="6">
        <f>_xll.ciqfunctions.udf.CIQ(InputTicker, "IQ_TOTAL_EQUITY",Input!G$2,Date,,,Ccy,Conv)</f>
        <v>16930</v>
      </c>
      <c r="F345" s="6">
        <f>_xll.ciqfunctions.udf.CIQ(InputTicker, "IQ_TOTAL_EQUITY",Input!H$2,Date,,,Ccy,Conv)</f>
        <v>20985</v>
      </c>
      <c r="G345" s="6">
        <f>_xll.ciqfunctions.udf.CIQ(InputTicker, "IQ_TOTAL_EQUITY",Input!I$2,Date,,,Ccy,Conv)</f>
        <v>20726</v>
      </c>
      <c r="H345" s="6">
        <f>_xll.ciqfunctions.udf.CIQ(InputTicker, "IQ_TOTAL_EQUITY",Input!J$2,Date,,,Ccy,Conv)</f>
        <v>18996</v>
      </c>
      <c r="I345" s="6">
        <f>_xll.ciqfunctions.udf.CIQ(InputTicker, "IQ_TOTAL_EQUITY",Input!K$2,Date,,,Ccy,Conv)</f>
        <v>22021</v>
      </c>
      <c r="J345" s="6">
        <f>_xll.ciqfunctions.udf.CIQ(InputTicker, "IQ_TOTAL_EQUITY",Input!L$2,Date,,,Ccy,Conv)</f>
        <v>22613</v>
      </c>
      <c r="K345" s="6">
        <f>_xll.ciqfunctions.udf.CIQ(InputTicker, "IQ_TOTAL_EQUITY",Input!M$2,Date,,,Ccy,Conv)</f>
        <v>27393</v>
      </c>
      <c r="L345" s="6">
        <f>_xll.ciqfunctions.udf.CIQ(InputTicker, "IQ_TOTAL_EQUITY",Input!N$2,Date,,,Ccy,Conv)</f>
        <v>32741</v>
      </c>
      <c r="M345" s="6">
        <f>_xll.ciqfunctions.udf.CIQ(InputTicker, "IQ_TOTAL_EQUITY",Input!O$2,Date,,,Ccy,Conv)</f>
        <v>32741</v>
      </c>
      <c r="N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42"/>
      <c r="AN345" s="42"/>
      <c r="AO345" s="42"/>
      <c r="AP345" s="42"/>
      <c r="AQ345" s="42"/>
      <c r="AR345" s="42"/>
      <c r="AS345" s="42"/>
      <c r="AT345" s="42"/>
      <c r="AU345" s="42"/>
      <c r="AV345" s="42"/>
      <c r="AW345" s="42"/>
      <c r="AX345" s="42"/>
      <c r="AY345" s="42"/>
      <c r="AZ345" s="42"/>
      <c r="BA345" s="42"/>
      <c r="BB345" s="42"/>
      <c r="BC345" s="42"/>
      <c r="BD345" s="42"/>
      <c r="BE345" s="42"/>
      <c r="BF345" s="42"/>
      <c r="BG345" s="42"/>
      <c r="BH345" s="42"/>
      <c r="BI345" s="42"/>
      <c r="BJ345" s="42"/>
      <c r="BK345" s="42"/>
      <c r="BL345" s="42"/>
      <c r="BM345" s="42"/>
      <c r="BN345" s="42"/>
    </row>
    <row r="346" spans="1:66" ht="12.75" customHeight="1" thickBot="1" x14ac:dyDescent="0.25">
      <c r="A346" s="5" t="s">
        <v>100</v>
      </c>
      <c r="B346" s="9">
        <f>_xll.ciqfunctions.udf.CIQ(InputTicker, "IQ_TOTAL_LIAB_EQUITY",Input!D$2,Date,,,Ccy,Conv)</f>
        <v>110495</v>
      </c>
      <c r="C346" s="9">
        <f>_xll.ciqfunctions.udf.CIQ(InputTicker, "IQ_TOTAL_LIAB_EQUITY",Input!E$2,Date,,,Ccy,Conv)</f>
        <v>117470</v>
      </c>
      <c r="D346" s="9">
        <f>_xll.ciqfunctions.udf.CIQ(InputTicker, "IQ_TOTAL_LIAB_EQUITY",Input!F$2,Date,,,Ccy,Conv)</f>
        <v>125356</v>
      </c>
      <c r="E346" s="9">
        <f>_xll.ciqfunctions.udf.CIQ(InputTicker, "IQ_TOTAL_LIAB_EQUITY",Input!G$2,Date,,,Ccy,Conv)</f>
        <v>123382</v>
      </c>
      <c r="F346" s="9">
        <f>_xll.ciqfunctions.udf.CIQ(InputTicker, "IQ_TOTAL_LIAB_EQUITY",Input!H$2,Date,,,Ccy,Conv)</f>
        <v>152186</v>
      </c>
      <c r="G346" s="9">
        <f>_xll.ciqfunctions.udf.CIQ(InputTicker, "IQ_TOTAL_LIAB_EQUITY",Input!I$2,Date,,,Ccy,Conv)</f>
        <v>155971</v>
      </c>
      <c r="H346" s="9">
        <f>_xll.ciqfunctions.udf.CIQ(InputTicker, "IQ_TOTAL_LIAB_EQUITY",Input!J$2,Date,,,Ccy,Conv)</f>
        <v>132001</v>
      </c>
      <c r="I346" s="9">
        <f>_xll.ciqfunctions.udf.CIQ(InputTicker, "IQ_TOTAL_LIAB_EQUITY",Input!K$2,Date,,,Ccy,Conv)</f>
        <v>127243</v>
      </c>
      <c r="J346" s="9">
        <f>_xll.ciqfunctions.udf.CIQ(InputTicker, "IQ_TOTAL_LIAB_EQUITY",Input!L$2,Date,,,Ccy,Conv)</f>
        <v>135241</v>
      </c>
      <c r="K346" s="9">
        <f>_xll.ciqfunctions.udf.CIQ(InputTicker, "IQ_TOTAL_LIAB_EQUITY",Input!M$2,Date,,,Ccy,Conv)</f>
        <v>137175</v>
      </c>
      <c r="L346" s="9">
        <f>_xll.ciqfunctions.udf.CIQ(InputTicker, "IQ_TOTAL_LIAB_EQUITY",Input!N$2,Date,,,Ccy,Conv)</f>
        <v>151880</v>
      </c>
      <c r="M346" s="9">
        <f>_xll.ciqfunctions.udf.CIQ(InputTicker, "IQ_TOTAL_LIAB_EQUITY",Input!O$2,Date,,,Ccy,Conv)</f>
        <v>151880</v>
      </c>
      <c r="N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  <c r="AK346" s="42"/>
      <c r="AL346" s="42"/>
      <c r="AM346" s="42"/>
      <c r="AN346" s="42"/>
      <c r="AO346" s="42"/>
      <c r="AP346" s="42"/>
      <c r="AQ346" s="42"/>
      <c r="AR346" s="42"/>
      <c r="AS346" s="42"/>
      <c r="AT346" s="42"/>
      <c r="AU346" s="42"/>
      <c r="AV346" s="42"/>
      <c r="AW346" s="42"/>
      <c r="AX346" s="42"/>
      <c r="AY346" s="42"/>
      <c r="AZ346" s="42"/>
      <c r="BA346" s="42"/>
      <c r="BB346" s="42"/>
      <c r="BC346" s="42"/>
      <c r="BD346" s="42"/>
      <c r="BE346" s="42"/>
      <c r="BF346" s="42"/>
      <c r="BG346" s="42"/>
      <c r="BH346" s="42"/>
      <c r="BI346" s="42"/>
      <c r="BJ346" s="42"/>
      <c r="BK346" s="42"/>
      <c r="BL346" s="42"/>
      <c r="BM346" s="42"/>
      <c r="BN346" s="42"/>
    </row>
    <row r="347" spans="1:66" ht="12.75" customHeight="1" thickTop="1" x14ac:dyDescent="0.2">
      <c r="A347" s="1" t="s">
        <v>449</v>
      </c>
      <c r="B347" s="4">
        <f>_xll.ciqfunctions.udf.CIQ(InputTicker, "IQ_RUA_GROSS",Input!D$2,Date,,,Ccy,Conv)</f>
        <v>0</v>
      </c>
      <c r="C347" s="4">
        <f>_xll.ciqfunctions.udf.CIQ(InputTicker, "IQ_RUA_GROSS",Input!E$2,Date,,,Ccy,Conv)</f>
        <v>0</v>
      </c>
      <c r="D347" s="4">
        <f>_xll.ciqfunctions.udf.CIQ(InputTicker, "IQ_RUA_GROSS",Input!F$2,Date,,,Ccy,Conv)</f>
        <v>0</v>
      </c>
      <c r="E347" s="4">
        <f>_xll.ciqfunctions.udf.CIQ(InputTicker, "IQ_RUA_GROSS",Input!G$2,Date,,,Ccy,Conv)</f>
        <v>0</v>
      </c>
      <c r="F347" s="4">
        <f>_xll.ciqfunctions.udf.CIQ(InputTicker, "IQ_RUA_GROSS",Input!H$2,Date,,,Ccy,Conv)</f>
        <v>0</v>
      </c>
      <c r="G347" s="4">
        <f>_xll.ciqfunctions.udf.CIQ(InputTicker, "IQ_RUA_GROSS",Input!I$2,Date,,,Ccy,Conv)</f>
        <v>0</v>
      </c>
      <c r="H347" s="4">
        <f>_xll.ciqfunctions.udf.CIQ(InputTicker, "IQ_RUA_GROSS",Input!J$2,Date,,,Ccy,Conv)</f>
        <v>0</v>
      </c>
      <c r="I347" s="4">
        <f>_xll.ciqfunctions.udf.CIQ(InputTicker, "IQ_RUA_GROSS",Input!K$2,Date,,,Ccy,Conv)</f>
        <v>0</v>
      </c>
      <c r="J347" s="4">
        <f>_xll.ciqfunctions.udf.CIQ(InputTicker, "IQ_RUA_GROSS",Input!L$2,Date,,,Ccy,Conv)</f>
        <v>0</v>
      </c>
      <c r="K347" s="4">
        <f>_xll.ciqfunctions.udf.CIQ(InputTicker, "IQ_RUA_GROSS",Input!M$2,Date,,,Ccy,Conv)</f>
        <v>0</v>
      </c>
      <c r="L347" s="4">
        <f>_xll.ciqfunctions.udf.CIQ(InputTicker, "IQ_RUA_GROSS",Input!N$2,Date,,,Ccy,Conv)</f>
        <v>0</v>
      </c>
      <c r="M347" s="4">
        <f>_xll.ciqfunctions.udf.CIQ(InputTicker, "IQ_RUA_GROSS",Input!O$2,Date,,,Ccy,Conv)</f>
        <v>0</v>
      </c>
      <c r="N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  <c r="AK347" s="42"/>
      <c r="AL347" s="42"/>
      <c r="AM347" s="42"/>
      <c r="AN347" s="42"/>
      <c r="AO347" s="42"/>
      <c r="AP347" s="42"/>
      <c r="AQ347" s="42"/>
      <c r="AR347" s="42"/>
      <c r="AS347" s="42"/>
      <c r="AT347" s="42"/>
      <c r="AU347" s="42"/>
      <c r="AV347" s="42"/>
      <c r="AW347" s="42"/>
      <c r="AX347" s="42"/>
      <c r="AY347" s="42"/>
      <c r="AZ347" s="42"/>
      <c r="BA347" s="42"/>
      <c r="BB347" s="42"/>
      <c r="BC347" s="42"/>
      <c r="BD347" s="42"/>
      <c r="BE347" s="42"/>
      <c r="BF347" s="42"/>
      <c r="BG347" s="42"/>
      <c r="BH347" s="42"/>
      <c r="BI347" s="42"/>
      <c r="BJ347" s="42"/>
      <c r="BK347" s="42"/>
      <c r="BL347" s="42"/>
      <c r="BM347" s="42"/>
      <c r="BN347" s="42"/>
    </row>
    <row r="348" spans="1:66" ht="12.75" customHeight="1" x14ac:dyDescent="0.2">
      <c r="A348" s="1" t="s">
        <v>450</v>
      </c>
      <c r="B348" s="4">
        <f>_xll.ciqfunctions.udf.CIQ(InputTicker, "IQ_RUA_ACCUM_DEP",Input!D$2,Date,,,Ccy,Conv)</f>
        <v>0</v>
      </c>
      <c r="C348" s="4">
        <f>_xll.ciqfunctions.udf.CIQ(InputTicker, "IQ_RUA_ACCUM_DEP",Input!E$2,Date,,,Ccy,Conv)</f>
        <v>0</v>
      </c>
      <c r="D348" s="4">
        <f>_xll.ciqfunctions.udf.CIQ(InputTicker, "IQ_RUA_ACCUM_DEP",Input!F$2,Date,,,Ccy,Conv)</f>
        <v>0</v>
      </c>
      <c r="E348" s="4">
        <f>_xll.ciqfunctions.udf.CIQ(InputTicker, "IQ_RUA_ACCUM_DEP",Input!G$2,Date,,,Ccy,Conv)</f>
        <v>0</v>
      </c>
      <c r="F348" s="4">
        <f>_xll.ciqfunctions.udf.CIQ(InputTicker, "IQ_RUA_ACCUM_DEP",Input!H$2,Date,,,Ccy,Conv)</f>
        <v>0</v>
      </c>
      <c r="G348" s="4">
        <f>_xll.ciqfunctions.udf.CIQ(InputTicker, "IQ_RUA_ACCUM_DEP",Input!I$2,Date,,,Ccy,Conv)</f>
        <v>0</v>
      </c>
      <c r="H348" s="4">
        <f>_xll.ciqfunctions.udf.CIQ(InputTicker, "IQ_RUA_ACCUM_DEP",Input!J$2,Date,,,Ccy,Conv)</f>
        <v>0</v>
      </c>
      <c r="I348" s="4">
        <f>_xll.ciqfunctions.udf.CIQ(InputTicker, "IQ_RUA_ACCUM_DEP",Input!K$2,Date,,,Ccy,Conv)</f>
        <v>0</v>
      </c>
      <c r="J348" s="4">
        <f>_xll.ciqfunctions.udf.CIQ(InputTicker, "IQ_RUA_ACCUM_DEP",Input!L$2,Date,,,Ccy,Conv)</f>
        <v>0</v>
      </c>
      <c r="K348" s="4">
        <f>_xll.ciqfunctions.udf.CIQ(InputTicker, "IQ_RUA_ACCUM_DEP",Input!M$2,Date,,,Ccy,Conv)</f>
        <v>0</v>
      </c>
      <c r="L348" s="4">
        <f>_xll.ciqfunctions.udf.CIQ(InputTicker, "IQ_RUA_ACCUM_DEP",Input!N$2,Date,,,Ccy,Conv)</f>
        <v>0</v>
      </c>
      <c r="M348" s="4">
        <f>_xll.ciqfunctions.udf.CIQ(InputTicker, "IQ_RUA_ACCUM_DEP",Input!O$2,Date,,,Ccy,Conv)</f>
        <v>0</v>
      </c>
      <c r="N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  <c r="AK348" s="42"/>
      <c r="AL348" s="42"/>
      <c r="AM348" s="42"/>
      <c r="AN348" s="42"/>
      <c r="AO348" s="42"/>
      <c r="AP348" s="42"/>
      <c r="AQ348" s="42"/>
      <c r="AR348" s="42"/>
      <c r="AS348" s="42"/>
      <c r="AT348" s="42"/>
      <c r="AU348" s="42"/>
      <c r="AV348" s="42"/>
      <c r="AW348" s="42"/>
      <c r="AX348" s="42"/>
      <c r="AY348" s="42"/>
      <c r="AZ348" s="42"/>
      <c r="BA348" s="42"/>
      <c r="BB348" s="42"/>
      <c r="BC348" s="42"/>
      <c r="BD348" s="42"/>
      <c r="BE348" s="42"/>
      <c r="BF348" s="42"/>
      <c r="BG348" s="42"/>
      <c r="BH348" s="42"/>
      <c r="BI348" s="42"/>
      <c r="BJ348" s="42"/>
      <c r="BK348" s="42"/>
      <c r="BL348" s="42"/>
      <c r="BM348" s="42"/>
      <c r="BN348" s="42"/>
    </row>
    <row r="349" spans="1:66" ht="12.75" customHeight="1" x14ac:dyDescent="0.2">
      <c r="A349" s="1" t="s">
        <v>451</v>
      </c>
      <c r="B349" s="4">
        <f>_xll.ciqfunctions.udf.CIQ(InputTicker, "IQ_RUA_NET",Input!D$2,Date,,,Ccy,Conv)</f>
        <v>0</v>
      </c>
      <c r="C349" s="4">
        <f>_xll.ciqfunctions.udf.CIQ(InputTicker, "IQ_RUA_NET",Input!E$2,Date,,,Ccy,Conv)</f>
        <v>0</v>
      </c>
      <c r="D349" s="4">
        <f>_xll.ciqfunctions.udf.CIQ(InputTicker, "IQ_RUA_NET",Input!F$2,Date,,,Ccy,Conv)</f>
        <v>0</v>
      </c>
      <c r="E349" s="4">
        <f>_xll.ciqfunctions.udf.CIQ(InputTicker, "IQ_RUA_NET",Input!G$2,Date,,,Ccy,Conv)</f>
        <v>0</v>
      </c>
      <c r="F349" s="4">
        <f>_xll.ciqfunctions.udf.CIQ(InputTicker, "IQ_RUA_NET",Input!H$2,Date,,,Ccy,Conv)</f>
        <v>0</v>
      </c>
      <c r="G349" s="4">
        <f>_xll.ciqfunctions.udf.CIQ(InputTicker, "IQ_RUA_NET",Input!I$2,Date,,,Ccy,Conv)</f>
        <v>0</v>
      </c>
      <c r="H349" s="4">
        <f>_xll.ciqfunctions.udf.CIQ(InputTicker, "IQ_RUA_NET",Input!J$2,Date,,,Ccy,Conv)</f>
        <v>0</v>
      </c>
      <c r="I349" s="4">
        <f>_xll.ciqfunctions.udf.CIQ(InputTicker, "IQ_RUA_NET",Input!K$2,Date,,,Ccy,Conv)</f>
        <v>0</v>
      </c>
      <c r="J349" s="4">
        <f>_xll.ciqfunctions.udf.CIQ(InputTicker, "IQ_RUA_NET",Input!L$2,Date,,,Ccy,Conv)</f>
        <v>0</v>
      </c>
      <c r="K349" s="4">
        <f>_xll.ciqfunctions.udf.CIQ(InputTicker, "IQ_RUA_NET",Input!M$2,Date,,,Ccy,Conv)</f>
        <v>0</v>
      </c>
      <c r="L349" s="4">
        <f>_xll.ciqfunctions.udf.CIQ(InputTicker, "IQ_RUA_NET",Input!N$2,Date,,,Ccy,Conv)</f>
        <v>0</v>
      </c>
      <c r="M349" s="4">
        <f>_xll.ciqfunctions.udf.CIQ(InputTicker, "IQ_RUA_NET",Input!O$2,Date,,,Ccy,Conv)</f>
        <v>0</v>
      </c>
      <c r="N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  <c r="BA349" s="42"/>
      <c r="BB349" s="42"/>
      <c r="BC349" s="42"/>
      <c r="BD349" s="42"/>
      <c r="BE349" s="42"/>
      <c r="BF349" s="42"/>
      <c r="BG349" s="42"/>
      <c r="BH349" s="42"/>
      <c r="BI349" s="42"/>
      <c r="BJ349" s="42"/>
      <c r="BK349" s="42"/>
      <c r="BL349" s="42"/>
      <c r="BM349" s="42"/>
      <c r="BN349" s="42"/>
    </row>
    <row r="350" spans="1:66" ht="12.75" customHeight="1" x14ac:dyDescent="0.2">
      <c r="A350" s="1" t="s">
        <v>452</v>
      </c>
      <c r="B350" s="4">
        <f>_xll.ciqfunctions.udf.CIQ(InputTicker, "IQ_RUA_CAPITAL_LEASE_GROSS",Input!D$2,Date,,,Ccy,Conv)</f>
        <v>0</v>
      </c>
      <c r="C350" s="4">
        <f>_xll.ciqfunctions.udf.CIQ(InputTicker, "IQ_RUA_CAPITAL_LEASE_GROSS",Input!E$2,Date,,,Ccy,Conv)</f>
        <v>0</v>
      </c>
      <c r="D350" s="4">
        <f>_xll.ciqfunctions.udf.CIQ(InputTicker, "IQ_RUA_CAPITAL_LEASE_GROSS",Input!F$2,Date,,,Ccy,Conv)</f>
        <v>0</v>
      </c>
      <c r="E350" s="4">
        <f>_xll.ciqfunctions.udf.CIQ(InputTicker, "IQ_RUA_CAPITAL_LEASE_GROSS",Input!G$2,Date,,,Ccy,Conv)</f>
        <v>0</v>
      </c>
      <c r="F350" s="4">
        <f>_xll.ciqfunctions.udf.CIQ(InputTicker, "IQ_RUA_CAPITAL_LEASE_GROSS",Input!H$2,Date,,,Ccy,Conv)</f>
        <v>0</v>
      </c>
      <c r="G350" s="4">
        <f>_xll.ciqfunctions.udf.CIQ(InputTicker, "IQ_RUA_CAPITAL_LEASE_GROSS",Input!I$2,Date,,,Ccy,Conv)</f>
        <v>0</v>
      </c>
      <c r="H350" s="4">
        <f>_xll.ciqfunctions.udf.CIQ(InputTicker, "IQ_RUA_CAPITAL_LEASE_GROSS",Input!J$2,Date,,,Ccy,Conv)</f>
        <v>0</v>
      </c>
      <c r="I350" s="4">
        <f>_xll.ciqfunctions.udf.CIQ(InputTicker, "IQ_RUA_CAPITAL_LEASE_GROSS",Input!K$2,Date,,,Ccy,Conv)</f>
        <v>0</v>
      </c>
      <c r="J350" s="4">
        <f>_xll.ciqfunctions.udf.CIQ(InputTicker, "IQ_RUA_CAPITAL_LEASE_GROSS",Input!L$2,Date,,,Ccy,Conv)</f>
        <v>0</v>
      </c>
      <c r="K350" s="4">
        <f>_xll.ciqfunctions.udf.CIQ(InputTicker, "IQ_RUA_CAPITAL_LEASE_GROSS",Input!M$2,Date,,,Ccy,Conv)</f>
        <v>0</v>
      </c>
      <c r="L350" s="4">
        <f>_xll.ciqfunctions.udf.CIQ(InputTicker, "IQ_RUA_CAPITAL_LEASE_GROSS",Input!N$2,Date,,,Ccy,Conv)</f>
        <v>0</v>
      </c>
      <c r="M350" s="4">
        <f>_xll.ciqfunctions.udf.CIQ(InputTicker, "IQ_RUA_CAPITAL_LEASE_GROSS",Input!O$2,Date,,,Ccy,Conv)</f>
        <v>0</v>
      </c>
      <c r="N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  <c r="AK350" s="42"/>
      <c r="AL350" s="42"/>
      <c r="AM350" s="42"/>
      <c r="AN350" s="42"/>
      <c r="AO350" s="42"/>
      <c r="AP350" s="42"/>
      <c r="AQ350" s="42"/>
      <c r="AR350" s="42"/>
      <c r="AS350" s="42"/>
      <c r="AT350" s="42"/>
      <c r="AU350" s="42"/>
      <c r="AV350" s="42"/>
      <c r="AW350" s="42"/>
      <c r="AX350" s="42"/>
      <c r="AY350" s="42"/>
      <c r="AZ350" s="42"/>
      <c r="BA350" s="42"/>
      <c r="BB350" s="42"/>
      <c r="BC350" s="42"/>
      <c r="BD350" s="42"/>
      <c r="BE350" s="42"/>
      <c r="BF350" s="42"/>
      <c r="BG350" s="42"/>
      <c r="BH350" s="42"/>
      <c r="BI350" s="42"/>
      <c r="BJ350" s="42"/>
      <c r="BK350" s="42"/>
      <c r="BL350" s="42"/>
      <c r="BM350" s="42"/>
      <c r="BN350" s="42"/>
    </row>
    <row r="351" spans="1:66" ht="12.75" customHeight="1" x14ac:dyDescent="0.2">
      <c r="A351" s="1" t="s">
        <v>453</v>
      </c>
      <c r="B351" s="4">
        <f>_xll.ciqfunctions.udf.CIQ(InputTicker, "IQ_RUA_CAPITAL_LEASE_ACCUM_DEP",Input!D$2,Date,,,Ccy,Conv)</f>
        <v>0</v>
      </c>
      <c r="C351" s="4">
        <f>_xll.ciqfunctions.udf.CIQ(InputTicker, "IQ_RUA_CAPITAL_LEASE_ACCUM_DEP",Input!E$2,Date,,,Ccy,Conv)</f>
        <v>0</v>
      </c>
      <c r="D351" s="4">
        <f>_xll.ciqfunctions.udf.CIQ(InputTicker, "IQ_RUA_CAPITAL_LEASE_ACCUM_DEP",Input!F$2,Date,,,Ccy,Conv)</f>
        <v>0</v>
      </c>
      <c r="E351" s="4">
        <f>_xll.ciqfunctions.udf.CIQ(InputTicker, "IQ_RUA_CAPITAL_LEASE_ACCUM_DEP",Input!G$2,Date,,,Ccy,Conv)</f>
        <v>0</v>
      </c>
      <c r="F351" s="4">
        <f>_xll.ciqfunctions.udf.CIQ(InputTicker, "IQ_RUA_CAPITAL_LEASE_ACCUM_DEP",Input!H$2,Date,,,Ccy,Conv)</f>
        <v>0</v>
      </c>
      <c r="G351" s="4">
        <f>_xll.ciqfunctions.udf.CIQ(InputTicker, "IQ_RUA_CAPITAL_LEASE_ACCUM_DEP",Input!I$2,Date,,,Ccy,Conv)</f>
        <v>0</v>
      </c>
      <c r="H351" s="4">
        <f>_xll.ciqfunctions.udf.CIQ(InputTicker, "IQ_RUA_CAPITAL_LEASE_ACCUM_DEP",Input!J$2,Date,,,Ccy,Conv)</f>
        <v>0</v>
      </c>
      <c r="I351" s="4">
        <f>_xll.ciqfunctions.udf.CIQ(InputTicker, "IQ_RUA_CAPITAL_LEASE_ACCUM_DEP",Input!K$2,Date,,,Ccy,Conv)</f>
        <v>0</v>
      </c>
      <c r="J351" s="4">
        <f>_xll.ciqfunctions.udf.CIQ(InputTicker, "IQ_RUA_CAPITAL_LEASE_ACCUM_DEP",Input!L$2,Date,,,Ccy,Conv)</f>
        <v>0</v>
      </c>
      <c r="K351" s="4">
        <f>_xll.ciqfunctions.udf.CIQ(InputTicker, "IQ_RUA_CAPITAL_LEASE_ACCUM_DEP",Input!M$2,Date,,,Ccy,Conv)</f>
        <v>0</v>
      </c>
      <c r="L351" s="4">
        <f>_xll.ciqfunctions.udf.CIQ(InputTicker, "IQ_RUA_CAPITAL_LEASE_ACCUM_DEP",Input!N$2,Date,,,Ccy,Conv)</f>
        <v>0</v>
      </c>
      <c r="M351" s="4">
        <f>_xll.ciqfunctions.udf.CIQ(InputTicker, "IQ_RUA_CAPITAL_LEASE_ACCUM_DEP",Input!O$2,Date,,,Ccy,Conv)</f>
        <v>0</v>
      </c>
      <c r="N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  <c r="AN351" s="42"/>
      <c r="AO351" s="42"/>
      <c r="AP351" s="42"/>
      <c r="AQ351" s="42"/>
      <c r="AR351" s="42"/>
      <c r="AS351" s="42"/>
      <c r="AT351" s="42"/>
      <c r="AU351" s="42"/>
      <c r="AV351" s="42"/>
      <c r="AW351" s="42"/>
      <c r="AX351" s="42"/>
      <c r="AY351" s="42"/>
      <c r="AZ351" s="42"/>
      <c r="BA351" s="42"/>
      <c r="BB351" s="42"/>
      <c r="BC351" s="42"/>
      <c r="BD351" s="42"/>
      <c r="BE351" s="42"/>
      <c r="BF351" s="42"/>
      <c r="BG351" s="42"/>
      <c r="BH351" s="42"/>
      <c r="BI351" s="42"/>
      <c r="BJ351" s="42"/>
      <c r="BK351" s="42"/>
      <c r="BL351" s="42"/>
      <c r="BM351" s="42"/>
      <c r="BN351" s="42"/>
    </row>
    <row r="352" spans="1:66" ht="12.75" customHeight="1" x14ac:dyDescent="0.2">
      <c r="A352" s="1" t="s">
        <v>454</v>
      </c>
      <c r="B352" s="4">
        <f>_xll.ciqfunctions.udf.CIQ(InputTicker, "IQ_RUA_CAPITAL_LEASE_NET",Input!D$2,Date,,,Ccy,Conv)</f>
        <v>0</v>
      </c>
      <c r="C352" s="4">
        <f>_xll.ciqfunctions.udf.CIQ(InputTicker, "IQ_RUA_CAPITAL_LEASE_NET",Input!E$2,Date,,,Ccy,Conv)</f>
        <v>0</v>
      </c>
      <c r="D352" s="4">
        <f>_xll.ciqfunctions.udf.CIQ(InputTicker, "IQ_RUA_CAPITAL_LEASE_NET",Input!F$2,Date,,,Ccy,Conv)</f>
        <v>0</v>
      </c>
      <c r="E352" s="4">
        <f>_xll.ciqfunctions.udf.CIQ(InputTicker, "IQ_RUA_CAPITAL_LEASE_NET",Input!G$2,Date,,,Ccy,Conv)</f>
        <v>0</v>
      </c>
      <c r="F352" s="4">
        <f>_xll.ciqfunctions.udf.CIQ(InputTicker, "IQ_RUA_CAPITAL_LEASE_NET",Input!H$2,Date,,,Ccy,Conv)</f>
        <v>0</v>
      </c>
      <c r="G352" s="4">
        <f>_xll.ciqfunctions.udf.CIQ(InputTicker, "IQ_RUA_CAPITAL_LEASE_NET",Input!I$2,Date,,,Ccy,Conv)</f>
        <v>0</v>
      </c>
      <c r="H352" s="4">
        <f>_xll.ciqfunctions.udf.CIQ(InputTicker, "IQ_RUA_CAPITAL_LEASE_NET",Input!J$2,Date,,,Ccy,Conv)</f>
        <v>0</v>
      </c>
      <c r="I352" s="4">
        <f>_xll.ciqfunctions.udf.CIQ(InputTicker, "IQ_RUA_CAPITAL_LEASE_NET",Input!K$2,Date,,,Ccy,Conv)</f>
        <v>0</v>
      </c>
      <c r="J352" s="4">
        <f>_xll.ciqfunctions.udf.CIQ(InputTicker, "IQ_RUA_CAPITAL_LEASE_NET",Input!L$2,Date,,,Ccy,Conv)</f>
        <v>0</v>
      </c>
      <c r="K352" s="4">
        <f>_xll.ciqfunctions.udf.CIQ(InputTicker, "IQ_RUA_CAPITAL_LEASE_NET",Input!M$2,Date,,,Ccy,Conv)</f>
        <v>0</v>
      </c>
      <c r="L352" s="4">
        <f>_xll.ciqfunctions.udf.CIQ(InputTicker, "IQ_RUA_CAPITAL_LEASE_NET",Input!N$2,Date,,,Ccy,Conv)</f>
        <v>0</v>
      </c>
      <c r="M352" s="4">
        <f>_xll.ciqfunctions.udf.CIQ(InputTicker, "IQ_RUA_CAPITAL_LEASE_NET",Input!O$2,Date,,,Ccy,Conv)</f>
        <v>0</v>
      </c>
      <c r="N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  <c r="BA352" s="42"/>
      <c r="BB352" s="42"/>
      <c r="BC352" s="42"/>
      <c r="BD352" s="42"/>
      <c r="BE352" s="42"/>
      <c r="BF352" s="42"/>
      <c r="BG352" s="42"/>
      <c r="BH352" s="42"/>
      <c r="BI352" s="42"/>
      <c r="BJ352" s="42"/>
      <c r="BK352" s="42"/>
      <c r="BL352" s="42"/>
      <c r="BM352" s="42"/>
      <c r="BN352" s="42"/>
    </row>
    <row r="353" spans="1:66" ht="12.75" customHeight="1" x14ac:dyDescent="0.2">
      <c r="A353" s="1" t="s">
        <v>455</v>
      </c>
      <c r="B353" s="4">
        <f>_xll.ciqfunctions.udf.CIQ(InputTicker, "IQ_RUA_OPERATING_LEASE_GROSS",Input!D$2,Date,,,Ccy,Conv)</f>
        <v>0</v>
      </c>
      <c r="C353" s="4">
        <f>_xll.ciqfunctions.udf.CIQ(InputTicker, "IQ_RUA_OPERATING_LEASE_GROSS",Input!E$2,Date,,,Ccy,Conv)</f>
        <v>0</v>
      </c>
      <c r="D353" s="4">
        <f>_xll.ciqfunctions.udf.CIQ(InputTicker, "IQ_RUA_OPERATING_LEASE_GROSS",Input!F$2,Date,,,Ccy,Conv)</f>
        <v>0</v>
      </c>
      <c r="E353" s="4">
        <f>_xll.ciqfunctions.udf.CIQ(InputTicker, "IQ_RUA_OPERATING_LEASE_GROSS",Input!G$2,Date,,,Ccy,Conv)</f>
        <v>0</v>
      </c>
      <c r="F353" s="4">
        <f>_xll.ciqfunctions.udf.CIQ(InputTicker, "IQ_RUA_OPERATING_LEASE_GROSS",Input!H$2,Date,,,Ccy,Conv)</f>
        <v>4996</v>
      </c>
      <c r="G353" s="4">
        <f>_xll.ciqfunctions.udf.CIQ(InputTicker, "IQ_RUA_OPERATING_LEASE_GROSS",Input!I$2,Date,,,Ccy,Conv)</f>
        <v>3566</v>
      </c>
      <c r="H353" s="4">
        <f>_xll.ciqfunctions.udf.CIQ(InputTicker, "IQ_RUA_OPERATING_LEASE_GROSS",Input!J$2,Date,,,Ccy,Conv)</f>
        <v>3222</v>
      </c>
      <c r="I353" s="4">
        <f>_xll.ciqfunctions.udf.CIQ(InputTicker, "IQ_RUA_OPERATING_LEASE_GROSS",Input!K$2,Date,,,Ccy,Conv)</f>
        <v>2878</v>
      </c>
      <c r="J353" s="4">
        <f>_xll.ciqfunctions.udf.CIQ(InputTicker, "IQ_RUA_OPERATING_LEASE_GROSS",Input!L$2,Date,,,Ccy,Conv)</f>
        <v>3220</v>
      </c>
      <c r="K353" s="4">
        <f>_xll.ciqfunctions.udf.CIQ(InputTicker, "IQ_RUA_OPERATING_LEASE_GROSS",Input!M$2,Date,,,Ccy,Conv)</f>
        <v>3197</v>
      </c>
      <c r="L353" s="4">
        <f>_xll.ciqfunctions.udf.CIQ(InputTicker, "IQ_RUA_OPERATING_LEASE_GROSS",Input!N$2,Date,,,Ccy,Conv)</f>
        <v>3129</v>
      </c>
      <c r="M353" s="4">
        <f>_xll.ciqfunctions.udf.CIQ(InputTicker, "IQ_RUA_OPERATING_LEASE_GROSS",Input!O$2,Date,,,Ccy,Conv)</f>
        <v>3129</v>
      </c>
      <c r="N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  <c r="AK353" s="42"/>
      <c r="AL353" s="42"/>
      <c r="AM353" s="42"/>
      <c r="AN353" s="42"/>
      <c r="AO353" s="42"/>
      <c r="AP353" s="42"/>
      <c r="AQ353" s="42"/>
      <c r="AR353" s="42"/>
      <c r="AS353" s="42"/>
      <c r="AT353" s="42"/>
      <c r="AU353" s="42"/>
      <c r="AV353" s="42"/>
      <c r="AW353" s="42"/>
      <c r="AX353" s="42"/>
      <c r="AY353" s="42"/>
      <c r="AZ353" s="42"/>
      <c r="BA353" s="42"/>
      <c r="BB353" s="42"/>
      <c r="BC353" s="42"/>
      <c r="BD353" s="42"/>
      <c r="BE353" s="42"/>
      <c r="BF353" s="42"/>
      <c r="BG353" s="42"/>
      <c r="BH353" s="42"/>
      <c r="BI353" s="42"/>
      <c r="BJ353" s="42"/>
      <c r="BK353" s="42"/>
      <c r="BL353" s="42"/>
      <c r="BM353" s="42"/>
      <c r="BN353" s="42"/>
    </row>
    <row r="354" spans="1:66" ht="12.75" customHeight="1" x14ac:dyDescent="0.2">
      <c r="A354" s="1" t="s">
        <v>456</v>
      </c>
      <c r="B354" s="4">
        <f>_xll.ciqfunctions.udf.CIQ(InputTicker, "IQ_RUA_OPERATING_LEASE_ACCUM_DEP",Input!D$2,Date,,,Ccy,Conv)</f>
        <v>0</v>
      </c>
      <c r="C354" s="4">
        <f>_xll.ciqfunctions.udf.CIQ(InputTicker, "IQ_RUA_OPERATING_LEASE_ACCUM_DEP",Input!E$2,Date,,,Ccy,Conv)</f>
        <v>0</v>
      </c>
      <c r="D354" s="4">
        <f>_xll.ciqfunctions.udf.CIQ(InputTicker, "IQ_RUA_OPERATING_LEASE_ACCUM_DEP",Input!F$2,Date,,,Ccy,Conv)</f>
        <v>0</v>
      </c>
      <c r="E354" s="4">
        <f>_xll.ciqfunctions.udf.CIQ(InputTicker, "IQ_RUA_OPERATING_LEASE_ACCUM_DEP",Input!G$2,Date,,,Ccy,Conv)</f>
        <v>0</v>
      </c>
      <c r="F354" s="4">
        <f>_xll.ciqfunctions.udf.CIQ(InputTicker, "IQ_RUA_OPERATING_LEASE_ACCUM_DEP",Input!H$2,Date,,,Ccy,Conv)</f>
        <v>0</v>
      </c>
      <c r="G354" s="4">
        <f>_xll.ciqfunctions.udf.CIQ(InputTicker, "IQ_RUA_OPERATING_LEASE_ACCUM_DEP",Input!I$2,Date,,,Ccy,Conv)</f>
        <v>0</v>
      </c>
      <c r="H354" s="4">
        <f>_xll.ciqfunctions.udf.CIQ(InputTicker, "IQ_RUA_OPERATING_LEASE_ACCUM_DEP",Input!J$2,Date,,,Ccy,Conv)</f>
        <v>0</v>
      </c>
      <c r="I354" s="4">
        <f>_xll.ciqfunctions.udf.CIQ(InputTicker, "IQ_RUA_OPERATING_LEASE_ACCUM_DEP",Input!K$2,Date,,,Ccy,Conv)</f>
        <v>0</v>
      </c>
      <c r="J354" s="4">
        <f>_xll.ciqfunctions.udf.CIQ(InputTicker, "IQ_RUA_OPERATING_LEASE_ACCUM_DEP",Input!L$2,Date,,,Ccy,Conv)</f>
        <v>0</v>
      </c>
      <c r="K354" s="4">
        <f>_xll.ciqfunctions.udf.CIQ(InputTicker, "IQ_RUA_OPERATING_LEASE_ACCUM_DEP",Input!M$2,Date,,,Ccy,Conv)</f>
        <v>0</v>
      </c>
      <c r="L354" s="4">
        <f>_xll.ciqfunctions.udf.CIQ(InputTicker, "IQ_RUA_OPERATING_LEASE_ACCUM_DEP",Input!N$2,Date,,,Ccy,Conv)</f>
        <v>0</v>
      </c>
      <c r="M354" s="4">
        <f>_xll.ciqfunctions.udf.CIQ(InputTicker, "IQ_RUA_OPERATING_LEASE_ACCUM_DEP",Input!O$2,Date,,,Ccy,Conv)</f>
        <v>0</v>
      </c>
      <c r="N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  <c r="AK354" s="42"/>
      <c r="AL354" s="42"/>
      <c r="AM354" s="42"/>
      <c r="AN354" s="42"/>
      <c r="AO354" s="42"/>
      <c r="AP354" s="42"/>
      <c r="AQ354" s="42"/>
      <c r="AR354" s="42"/>
      <c r="AS354" s="42"/>
      <c r="AT354" s="42"/>
      <c r="AU354" s="42"/>
      <c r="AV354" s="42"/>
      <c r="AW354" s="42"/>
      <c r="AX354" s="42"/>
      <c r="AY354" s="42"/>
      <c r="AZ354" s="42"/>
      <c r="BA354" s="42"/>
      <c r="BB354" s="42"/>
      <c r="BC354" s="42"/>
      <c r="BD354" s="42"/>
      <c r="BE354" s="42"/>
      <c r="BF354" s="42"/>
      <c r="BG354" s="42"/>
      <c r="BH354" s="42"/>
      <c r="BI354" s="42"/>
      <c r="BJ354" s="42"/>
      <c r="BK354" s="42"/>
      <c r="BL354" s="42"/>
      <c r="BM354" s="42"/>
      <c r="BN354" s="42"/>
    </row>
    <row r="355" spans="1:66" ht="12.75" customHeight="1" x14ac:dyDescent="0.2">
      <c r="A355" s="1" t="s">
        <v>457</v>
      </c>
      <c r="B355" s="4">
        <f>_xll.ciqfunctions.udf.CIQ(InputTicker, "IQ_RUA_OPERATING_LEASE_NET",Input!D$2,Date,,,Ccy,Conv)</f>
        <v>0</v>
      </c>
      <c r="C355" s="4">
        <f>_xll.ciqfunctions.udf.CIQ(InputTicker, "IQ_RUA_OPERATING_LEASE_NET",Input!E$2,Date,,,Ccy,Conv)</f>
        <v>0</v>
      </c>
      <c r="D355" s="4">
        <f>_xll.ciqfunctions.udf.CIQ(InputTicker, "IQ_RUA_OPERATING_LEASE_NET",Input!F$2,Date,,,Ccy,Conv)</f>
        <v>0</v>
      </c>
      <c r="E355" s="4">
        <f>_xll.ciqfunctions.udf.CIQ(InputTicker, "IQ_RUA_OPERATING_LEASE_NET",Input!G$2,Date,,,Ccy,Conv)</f>
        <v>0</v>
      </c>
      <c r="F355" s="4">
        <f>_xll.ciqfunctions.udf.CIQ(InputTicker, "IQ_RUA_OPERATING_LEASE_NET",Input!H$2,Date,,,Ccy,Conv)</f>
        <v>0</v>
      </c>
      <c r="G355" s="4">
        <f>_xll.ciqfunctions.udf.CIQ(InputTicker, "IQ_RUA_OPERATING_LEASE_NET",Input!I$2,Date,,,Ccy,Conv)</f>
        <v>0</v>
      </c>
      <c r="H355" s="4">
        <f>_xll.ciqfunctions.udf.CIQ(InputTicker, "IQ_RUA_OPERATING_LEASE_NET",Input!J$2,Date,,,Ccy,Conv)</f>
        <v>0</v>
      </c>
      <c r="I355" s="4">
        <f>_xll.ciqfunctions.udf.CIQ(InputTicker, "IQ_RUA_OPERATING_LEASE_NET",Input!K$2,Date,,,Ccy,Conv)</f>
        <v>0</v>
      </c>
      <c r="J355" s="4">
        <f>_xll.ciqfunctions.udf.CIQ(InputTicker, "IQ_RUA_OPERATING_LEASE_NET",Input!L$2,Date,,,Ccy,Conv)</f>
        <v>0</v>
      </c>
      <c r="K355" s="4">
        <f>_xll.ciqfunctions.udf.CIQ(InputTicker, "IQ_RUA_OPERATING_LEASE_NET",Input!M$2,Date,,,Ccy,Conv)</f>
        <v>0</v>
      </c>
      <c r="L355" s="4">
        <f>_xll.ciqfunctions.udf.CIQ(InputTicker, "IQ_RUA_OPERATING_LEASE_NET",Input!N$2,Date,,,Ccy,Conv)</f>
        <v>0</v>
      </c>
      <c r="M355" s="4">
        <f>_xll.ciqfunctions.udf.CIQ(InputTicker, "IQ_RUA_OPERATING_LEASE_NET",Input!O$2,Date,,,Ccy,Conv)</f>
        <v>0</v>
      </c>
      <c r="N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  <c r="BA355" s="42"/>
      <c r="BB355" s="42"/>
      <c r="BC355" s="42"/>
      <c r="BD355" s="42"/>
      <c r="BE355" s="42"/>
      <c r="BF355" s="42"/>
      <c r="BG355" s="42"/>
      <c r="BH355" s="42"/>
      <c r="BI355" s="42"/>
      <c r="BJ355" s="42"/>
      <c r="BK355" s="42"/>
      <c r="BL355" s="42"/>
      <c r="BM355" s="42"/>
      <c r="BN355" s="42"/>
    </row>
    <row r="356" spans="1:66" ht="12.75" customHeight="1" x14ac:dyDescent="0.2">
      <c r="A356" s="1" t="s">
        <v>473</v>
      </c>
      <c r="B356" s="4">
        <f>_xll.ciqfunctions.udf.CIQ(InputTicker, "IQ_GPPE_EXCL_OPER_LEASES",Input!D$2,Date,,,Ccy,Conv)</f>
        <v>29343</v>
      </c>
      <c r="C356" s="4">
        <f>_xll.ciqfunctions.udf.CIQ(InputTicker, "IQ_GPPE_EXCL_OPER_LEASES",Input!E$2,Date,,,Ccy,Conv)</f>
        <v>30133</v>
      </c>
      <c r="D356" s="4">
        <f>_xll.ciqfunctions.udf.CIQ(InputTicker, "IQ_GPPE_EXCL_OPER_LEASES",Input!F$2,Date,,,Ccy,Conv)</f>
        <v>32331</v>
      </c>
      <c r="E356" s="4">
        <f>_xll.ciqfunctions.udf.CIQ(InputTicker, "IQ_GPPE_EXCL_OPER_LEASES",Input!G$2,Date,,,Ccy,Conv)</f>
        <v>32460</v>
      </c>
      <c r="F356" s="4">
        <f>_xll.ciqfunctions.udf.CIQ(InputTicker, "IQ_GPPE_EXCL_OPER_LEASES",Input!H$2,Date,,,Ccy,Conv)</f>
        <v>32028</v>
      </c>
      <c r="G356" s="4">
        <f>_xll.ciqfunctions.udf.CIQ(InputTicker, "IQ_GPPE_EXCL_OPER_LEASES",Input!I$2,Date,,,Ccy,Conv)</f>
        <v>20101</v>
      </c>
      <c r="H356" s="4">
        <f>_xll.ciqfunctions.udf.CIQ(InputTicker, "IQ_GPPE_EXCL_OPER_LEASES",Input!J$2,Date,,,Ccy,Conv)</f>
        <v>20084</v>
      </c>
      <c r="I356" s="4">
        <f>_xll.ciqfunctions.udf.CIQ(InputTicker, "IQ_GPPE_EXCL_OPER_LEASES",Input!K$2,Date,,,Ccy,Conv)</f>
        <v>18695</v>
      </c>
      <c r="J356" s="4">
        <f>_xll.ciqfunctions.udf.CIQ(InputTicker, "IQ_GPPE_EXCL_OPER_LEASES",Input!L$2,Date,,,Ccy,Conv)</f>
        <v>18122</v>
      </c>
      <c r="K356" s="4">
        <f>_xll.ciqfunctions.udf.CIQ(InputTicker, "IQ_GPPE_EXCL_OPER_LEASES",Input!M$2,Date,,,Ccy,Conv)</f>
        <v>17691</v>
      </c>
      <c r="L356" s="4">
        <f>_xll.ciqfunctions.udf.CIQ(InputTicker, "IQ_GPPE_EXCL_OPER_LEASES",Input!N$2,Date,,,Ccy,Conv)</f>
        <v>17874</v>
      </c>
      <c r="M356" s="4">
        <f>_xll.ciqfunctions.udf.CIQ(InputTicker, "IQ_GPPE_EXCL_OPER_LEASES",Input!O$2,Date,,,Ccy,Conv)</f>
        <v>17874</v>
      </c>
      <c r="N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  <c r="AK356" s="42"/>
      <c r="AL356" s="42"/>
      <c r="AM356" s="42"/>
      <c r="AN356" s="42"/>
      <c r="AO356" s="42"/>
      <c r="AP356" s="42"/>
      <c r="AQ356" s="42"/>
      <c r="AR356" s="42"/>
      <c r="AS356" s="42"/>
      <c r="AT356" s="42"/>
      <c r="AU356" s="42"/>
      <c r="AV356" s="42"/>
      <c r="AW356" s="42"/>
      <c r="AX356" s="42"/>
      <c r="AY356" s="42"/>
      <c r="AZ356" s="42"/>
      <c r="BA356" s="42"/>
      <c r="BB356" s="42"/>
      <c r="BC356" s="42"/>
      <c r="BD356" s="42"/>
      <c r="BE356" s="42"/>
      <c r="BF356" s="42"/>
      <c r="BG356" s="42"/>
      <c r="BH356" s="42"/>
      <c r="BI356" s="42"/>
      <c r="BJ356" s="42"/>
      <c r="BK356" s="42"/>
      <c r="BL356" s="42"/>
      <c r="BM356" s="42"/>
      <c r="BN356" s="42"/>
    </row>
    <row r="357" spans="1:66" ht="12.75" customHeight="1" x14ac:dyDescent="0.2">
      <c r="A357" s="1" t="s">
        <v>474</v>
      </c>
      <c r="B357" s="4">
        <f>_xll.ciqfunctions.udf.CIQ(InputTicker, "IQ_AD_EXCL_OPER_LEASES",Input!D$2,Date,,,Ccy,Conv)</f>
        <v>-18616</v>
      </c>
      <c r="C357" s="4">
        <f>_xll.ciqfunctions.udf.CIQ(InputTicker, "IQ_AD_EXCL_OPER_LEASES",Input!E$2,Date,,,Ccy,Conv)</f>
        <v>-19303</v>
      </c>
      <c r="D357" s="4">
        <f>_xll.ciqfunctions.udf.CIQ(InputTicker, "IQ_AD_EXCL_OPER_LEASES",Input!F$2,Date,,,Ccy,Conv)</f>
        <v>-21215</v>
      </c>
      <c r="E357" s="4">
        <f>_xll.ciqfunctions.udf.CIQ(InputTicker, "IQ_AD_EXCL_OPER_LEASES",Input!G$2,Date,,,Ccy,Conv)</f>
        <v>-21668</v>
      </c>
      <c r="F357" s="4">
        <f>_xll.ciqfunctions.udf.CIQ(InputTicker, "IQ_AD_EXCL_OPER_LEASES",Input!H$2,Date,,,Ccy,Conv)</f>
        <v>-22018</v>
      </c>
      <c r="G357" s="4">
        <f>_xll.ciqfunctions.udf.CIQ(InputTicker, "IQ_AD_EXCL_OPER_LEASES",Input!I$2,Date,,,Ccy,Conv)</f>
        <v>-13896</v>
      </c>
      <c r="H357" s="4">
        <f>_xll.ciqfunctions.udf.CIQ(InputTicker, "IQ_AD_EXCL_OPER_LEASES",Input!J$2,Date,,,Ccy,Conv)</f>
        <v>-14390</v>
      </c>
      <c r="I357" s="4">
        <f>_xll.ciqfunctions.udf.CIQ(InputTicker, "IQ_AD_EXCL_OPER_LEASES",Input!K$2,Date,,,Ccy,Conv)</f>
        <v>-13361</v>
      </c>
      <c r="J357" s="4">
        <f>_xll.ciqfunctions.udf.CIQ(InputTicker, "IQ_AD_EXCL_OPER_LEASES",Input!L$2,Date,,,Ccy,Conv)</f>
        <v>-12621</v>
      </c>
      <c r="K357" s="4">
        <f>_xll.ciqfunctions.udf.CIQ(InputTicker, "IQ_AD_EXCL_OPER_LEASES",Input!M$2,Date,,,Ccy,Conv)</f>
        <v>-11959</v>
      </c>
      <c r="L357" s="4">
        <f>_xll.ciqfunctions.udf.CIQ(InputTicker, "IQ_AD_EXCL_OPER_LEASES",Input!N$2,Date,,,Ccy,Conv)</f>
        <v>-11975</v>
      </c>
      <c r="M357" s="4">
        <f>_xll.ciqfunctions.udf.CIQ(InputTicker, "IQ_AD_EXCL_OPER_LEASES",Input!O$2,Date,,,Ccy,Conv)</f>
        <v>-11975</v>
      </c>
      <c r="N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  <c r="BA357" s="42"/>
      <c r="BB357" s="42"/>
      <c r="BC357" s="42"/>
      <c r="BD357" s="42"/>
      <c r="BE357" s="42"/>
      <c r="BF357" s="42"/>
      <c r="BG357" s="42"/>
      <c r="BH357" s="42"/>
      <c r="BI357" s="42"/>
      <c r="BJ357" s="42"/>
      <c r="BK357" s="42"/>
      <c r="BL357" s="42"/>
      <c r="BM357" s="42"/>
      <c r="BN357" s="42"/>
    </row>
    <row r="358" spans="1:66" ht="12.75" customHeight="1" x14ac:dyDescent="0.2">
      <c r="A358" s="1" t="s">
        <v>475</v>
      </c>
      <c r="B358" s="4">
        <f>_xll.ciqfunctions.udf.CIQ(InputTicker, "IQ_NPPE_EXCL_OPER_LEASES",Input!D$2,Date,,,Ccy,Conv)</f>
        <v>10727</v>
      </c>
      <c r="C358" s="4">
        <f>_xll.ciqfunctions.udf.CIQ(InputTicker, "IQ_NPPE_EXCL_OPER_LEASES",Input!E$2,Date,,,Ccy,Conv)</f>
        <v>10830</v>
      </c>
      <c r="D358" s="4">
        <f>_xll.ciqfunctions.udf.CIQ(InputTicker, "IQ_NPPE_EXCL_OPER_LEASES",Input!F$2,Date,,,Ccy,Conv)</f>
        <v>11116</v>
      </c>
      <c r="E358" s="4">
        <f>_xll.ciqfunctions.udf.CIQ(InputTicker, "IQ_NPPE_EXCL_OPER_LEASES",Input!G$2,Date,,,Ccy,Conv)</f>
        <v>10792</v>
      </c>
      <c r="F358" s="4">
        <f>_xll.ciqfunctions.udf.CIQ(InputTicker, "IQ_NPPE_EXCL_OPER_LEASES",Input!H$2,Date,,,Ccy,Conv)</f>
        <v>10010</v>
      </c>
      <c r="G358" s="4">
        <f>_xll.ciqfunctions.udf.CIQ(InputTicker, "IQ_NPPE_EXCL_OPER_LEASES",Input!I$2,Date,,,Ccy,Conv)</f>
        <v>6205</v>
      </c>
      <c r="H358" s="4">
        <f>_xll.ciqfunctions.udf.CIQ(InputTicker, "IQ_NPPE_EXCL_OPER_LEASES",Input!J$2,Date,,,Ccy,Conv)</f>
        <v>5694</v>
      </c>
      <c r="I358" s="4">
        <f>_xll.ciqfunctions.udf.CIQ(InputTicker, "IQ_NPPE_EXCL_OPER_LEASES",Input!K$2,Date,,,Ccy,Conv)</f>
        <v>5334</v>
      </c>
      <c r="J358" s="4">
        <f>_xll.ciqfunctions.udf.CIQ(InputTicker, "IQ_NPPE_EXCL_OPER_LEASES",Input!L$2,Date,,,Ccy,Conv)</f>
        <v>5501</v>
      </c>
      <c r="K358" s="4">
        <f>_xll.ciqfunctions.udf.CIQ(InputTicker, "IQ_NPPE_EXCL_OPER_LEASES",Input!M$2,Date,,,Ccy,Conv)</f>
        <v>5732</v>
      </c>
      <c r="L358" s="4">
        <f>_xll.ciqfunctions.udf.CIQ(InputTicker, "IQ_NPPE_EXCL_OPER_LEASES",Input!N$2,Date,,,Ccy,Conv)</f>
        <v>5899</v>
      </c>
      <c r="M358" s="4">
        <f>_xll.ciqfunctions.udf.CIQ(InputTicker, "IQ_NPPE_EXCL_OPER_LEASES",Input!O$2,Date,,,Ccy,Conv)</f>
        <v>5899</v>
      </c>
      <c r="N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  <c r="AK358" s="42"/>
      <c r="AL358" s="42"/>
      <c r="AM358" s="42"/>
      <c r="AN358" s="42"/>
      <c r="AO358" s="42"/>
      <c r="AP358" s="42"/>
      <c r="AQ358" s="42"/>
      <c r="AR358" s="42"/>
      <c r="AS358" s="42"/>
      <c r="AT358" s="42"/>
      <c r="AU358" s="42"/>
      <c r="AV358" s="42"/>
      <c r="AW358" s="42"/>
      <c r="AX358" s="42"/>
      <c r="AY358" s="42"/>
      <c r="AZ358" s="42"/>
      <c r="BA358" s="42"/>
      <c r="BB358" s="42"/>
      <c r="BC358" s="42"/>
      <c r="BD358" s="42"/>
      <c r="BE358" s="42"/>
      <c r="BF358" s="42"/>
      <c r="BG358" s="42"/>
      <c r="BH358" s="42"/>
      <c r="BI358" s="42"/>
      <c r="BJ358" s="42"/>
      <c r="BK358" s="42"/>
      <c r="BL358" s="42"/>
      <c r="BM358" s="42"/>
      <c r="BN358" s="42"/>
    </row>
    <row r="359" spans="1:66" ht="12.75" customHeight="1" x14ac:dyDescent="0.2">
      <c r="A359" s="1" t="s">
        <v>476</v>
      </c>
      <c r="B359" s="4">
        <f>_xll.ciqfunctions.udf.CIQ(InputTicker, "IQ_FINANCE_LEASES_CURRENT",Input!D$2,Date,,,Ccy,Conv)</f>
        <v>0</v>
      </c>
      <c r="C359" s="4">
        <f>_xll.ciqfunctions.udf.CIQ(InputTicker, "IQ_FINANCE_LEASES_CURRENT",Input!E$2,Date,,,Ccy,Conv)</f>
        <v>0</v>
      </c>
      <c r="D359" s="4">
        <f>_xll.ciqfunctions.udf.CIQ(InputTicker, "IQ_FINANCE_LEASES_CURRENT",Input!F$2,Date,,,Ccy,Conv)</f>
        <v>0</v>
      </c>
      <c r="E359" s="4">
        <f>_xll.ciqfunctions.udf.CIQ(InputTicker, "IQ_FINANCE_LEASES_CURRENT",Input!G$2,Date,,,Ccy,Conv)</f>
        <v>3</v>
      </c>
      <c r="F359" s="4">
        <f>_xll.ciqfunctions.udf.CIQ(InputTicker, "IQ_FINANCE_LEASES_CURRENT",Input!H$2,Date,,,Ccy,Conv)</f>
        <v>52</v>
      </c>
      <c r="G359" s="4">
        <f>_xll.ciqfunctions.udf.CIQ(InputTicker, "IQ_FINANCE_LEASES_CURRENT",Input!I$2,Date,,,Ccy,Conv)</f>
        <v>30</v>
      </c>
      <c r="H359" s="4">
        <f>_xll.ciqfunctions.udf.CIQ(InputTicker, "IQ_FINANCE_LEASES_CURRENT",Input!J$2,Date,,,Ccy,Conv)</f>
        <v>36</v>
      </c>
      <c r="I359" s="4">
        <f>_xll.ciqfunctions.udf.CIQ(InputTicker, "IQ_FINANCE_LEASES_CURRENT",Input!K$2,Date,,,Ccy,Conv)</f>
        <v>75</v>
      </c>
      <c r="J359" s="4">
        <f>_xll.ciqfunctions.udf.CIQ(InputTicker, "IQ_FINANCE_LEASES_CURRENT",Input!L$2,Date,,,Ccy,Conv)</f>
        <v>121</v>
      </c>
      <c r="K359" s="4">
        <f>_xll.ciqfunctions.udf.CIQ(InputTicker, "IQ_FINANCE_LEASES_CURRENT",Input!M$2,Date,,,Ccy,Conv)</f>
        <v>198</v>
      </c>
      <c r="L359" s="4">
        <f>_xll.ciqfunctions.udf.CIQ(InputTicker, "IQ_FINANCE_LEASES_CURRENT",Input!N$2,Date,,,Ccy,Conv)</f>
        <v>279</v>
      </c>
      <c r="M359" s="4">
        <f>_xll.ciqfunctions.udf.CIQ(InputTicker, "IQ_FINANCE_LEASES_CURRENT",Input!O$2,Date,,,Ccy,Conv)</f>
        <v>279</v>
      </c>
      <c r="N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42"/>
      <c r="AN359" s="42"/>
      <c r="AO359" s="42"/>
      <c r="AP359" s="42"/>
      <c r="AQ359" s="42"/>
      <c r="AR359" s="42"/>
      <c r="AS359" s="42"/>
      <c r="AT359" s="42"/>
      <c r="AU359" s="42"/>
      <c r="AV359" s="42"/>
      <c r="AW359" s="42"/>
      <c r="AX359" s="42"/>
      <c r="AY359" s="42"/>
      <c r="AZ359" s="42"/>
      <c r="BA359" s="42"/>
      <c r="BB359" s="42"/>
      <c r="BC359" s="42"/>
      <c r="BD359" s="42"/>
      <c r="BE359" s="42"/>
      <c r="BF359" s="42"/>
      <c r="BG359" s="42"/>
      <c r="BH359" s="42"/>
      <c r="BI359" s="42"/>
      <c r="BJ359" s="42"/>
      <c r="BK359" s="42"/>
      <c r="BL359" s="42"/>
      <c r="BM359" s="42"/>
      <c r="BN359" s="42"/>
    </row>
    <row r="360" spans="1:66" ht="12.75" customHeight="1" x14ac:dyDescent="0.2">
      <c r="A360" s="1" t="s">
        <v>477</v>
      </c>
      <c r="B360" s="4">
        <f>_xll.ciqfunctions.udf.CIQ(InputTicker, "IQ_FINANCE_LEASES_LONG_TERM",Input!D$2,Date,,,Ccy,Conv)</f>
        <v>0</v>
      </c>
      <c r="C360" s="4">
        <f>_xll.ciqfunctions.udf.CIQ(InputTicker, "IQ_FINANCE_LEASES_LONG_TERM",Input!E$2,Date,,,Ccy,Conv)</f>
        <v>0</v>
      </c>
      <c r="D360" s="4">
        <f>_xll.ciqfunctions.udf.CIQ(InputTicker, "IQ_FINANCE_LEASES_LONG_TERM",Input!F$2,Date,,,Ccy,Conv)</f>
        <v>0</v>
      </c>
      <c r="E360" s="4">
        <f>_xll.ciqfunctions.udf.CIQ(InputTicker, "IQ_FINANCE_LEASES_LONG_TERM",Input!G$2,Date,,,Ccy,Conv)</f>
        <v>38</v>
      </c>
      <c r="F360" s="4">
        <f>_xll.ciqfunctions.udf.CIQ(InputTicker, "IQ_FINANCE_LEASES_LONG_TERM",Input!H$2,Date,,,Ccy,Conv)</f>
        <v>151</v>
      </c>
      <c r="G360" s="4">
        <f>_xll.ciqfunctions.udf.CIQ(InputTicker, "IQ_FINANCE_LEASES_LONG_TERM",Input!I$2,Date,,,Ccy,Conv)</f>
        <v>60</v>
      </c>
      <c r="H360" s="4">
        <f>_xll.ciqfunctions.udf.CIQ(InputTicker, "IQ_FINANCE_LEASES_LONG_TERM",Input!J$2,Date,,,Ccy,Conv)</f>
        <v>63</v>
      </c>
      <c r="I360" s="4">
        <f>_xll.ciqfunctions.udf.CIQ(InputTicker, "IQ_FINANCE_LEASES_LONG_TERM",Input!K$2,Date,,,Ccy,Conv)</f>
        <v>164</v>
      </c>
      <c r="J360" s="4">
        <f>_xll.ciqfunctions.udf.CIQ(InputTicker, "IQ_FINANCE_LEASES_LONG_TERM",Input!L$2,Date,,,Ccy,Conv)</f>
        <v>379</v>
      </c>
      <c r="K360" s="4">
        <f>_xll.ciqfunctions.udf.CIQ(InputTicker, "IQ_FINANCE_LEASES_LONG_TERM",Input!M$2,Date,,,Ccy,Conv)</f>
        <v>803</v>
      </c>
      <c r="L360" s="4">
        <f>_xll.ciqfunctions.udf.CIQ(InputTicker, "IQ_FINANCE_LEASES_LONG_TERM",Input!N$2,Date,,,Ccy,Conv)</f>
        <v>874</v>
      </c>
      <c r="M360" s="4">
        <f>_xll.ciqfunctions.udf.CIQ(InputTicker, "IQ_FINANCE_LEASES_LONG_TERM",Input!O$2,Date,,,Ccy,Conv)</f>
        <v>874</v>
      </c>
      <c r="N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  <c r="BA360" s="42"/>
      <c r="BB360" s="42"/>
      <c r="BC360" s="42"/>
      <c r="BD360" s="42"/>
      <c r="BE360" s="42"/>
      <c r="BF360" s="42"/>
      <c r="BG360" s="42"/>
      <c r="BH360" s="42"/>
      <c r="BI360" s="42"/>
      <c r="BJ360" s="42"/>
      <c r="BK360" s="42"/>
      <c r="BL360" s="42"/>
      <c r="BM360" s="42"/>
      <c r="BN360" s="42"/>
    </row>
    <row r="361" spans="1:66" ht="12.75" customHeight="1" x14ac:dyDescent="0.2">
      <c r="A361" s="1" t="s">
        <v>478</v>
      </c>
      <c r="B361" s="4">
        <f>_xll.ciqfunctions.udf.CIQ(InputTicker, "IQ_TOTAL_FINANCE_LEASES",Input!D$2,Date,,,Ccy,Conv)</f>
        <v>0</v>
      </c>
      <c r="C361" s="4">
        <f>_xll.ciqfunctions.udf.CIQ(InputTicker, "IQ_TOTAL_FINANCE_LEASES",Input!E$2,Date,,,Ccy,Conv)</f>
        <v>0</v>
      </c>
      <c r="D361" s="4">
        <f>_xll.ciqfunctions.udf.CIQ(InputTicker, "IQ_TOTAL_FINANCE_LEASES",Input!F$2,Date,,,Ccy,Conv)</f>
        <v>0</v>
      </c>
      <c r="E361" s="4">
        <f>_xll.ciqfunctions.udf.CIQ(InputTicker, "IQ_TOTAL_FINANCE_LEASES",Input!G$2,Date,,,Ccy,Conv)</f>
        <v>41</v>
      </c>
      <c r="F361" s="4">
        <f>_xll.ciqfunctions.udf.CIQ(InputTicker, "IQ_TOTAL_FINANCE_LEASES",Input!H$2,Date,,,Ccy,Conv)</f>
        <v>203</v>
      </c>
      <c r="G361" s="4">
        <f>_xll.ciqfunctions.udf.CIQ(InputTicker, "IQ_TOTAL_FINANCE_LEASES",Input!I$2,Date,,,Ccy,Conv)</f>
        <v>90</v>
      </c>
      <c r="H361" s="4">
        <f>_xll.ciqfunctions.udf.CIQ(InputTicker, "IQ_TOTAL_FINANCE_LEASES",Input!J$2,Date,,,Ccy,Conv)</f>
        <v>99</v>
      </c>
      <c r="I361" s="4">
        <f>_xll.ciqfunctions.udf.CIQ(InputTicker, "IQ_TOTAL_FINANCE_LEASES",Input!K$2,Date,,,Ccy,Conv)</f>
        <v>239</v>
      </c>
      <c r="J361" s="4">
        <f>_xll.ciqfunctions.udf.CIQ(InputTicker, "IQ_TOTAL_FINANCE_LEASES",Input!L$2,Date,,,Ccy,Conv)</f>
        <v>500</v>
      </c>
      <c r="K361" s="4">
        <f>_xll.ciqfunctions.udf.CIQ(InputTicker, "IQ_TOTAL_FINANCE_LEASES",Input!M$2,Date,,,Ccy,Conv)</f>
        <v>1001</v>
      </c>
      <c r="L361" s="4">
        <f>_xll.ciqfunctions.udf.CIQ(InputTicker, "IQ_TOTAL_FINANCE_LEASES",Input!N$2,Date,,,Ccy,Conv)</f>
        <v>1153</v>
      </c>
      <c r="M361" s="4">
        <f>_xll.ciqfunctions.udf.CIQ(InputTicker, "IQ_TOTAL_FINANCE_LEASES",Input!O$2,Date,,,Ccy,Conv)</f>
        <v>1153</v>
      </c>
      <c r="N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  <c r="AK361" s="42"/>
      <c r="AL361" s="42"/>
      <c r="AM361" s="42"/>
      <c r="AN361" s="42"/>
      <c r="AO361" s="42"/>
      <c r="AP361" s="42"/>
      <c r="AQ361" s="42"/>
      <c r="AR361" s="42"/>
      <c r="AS361" s="42"/>
      <c r="AT361" s="42"/>
      <c r="AU361" s="42"/>
      <c r="AV361" s="42"/>
      <c r="AW361" s="42"/>
      <c r="AX361" s="42"/>
      <c r="AY361" s="42"/>
      <c r="AZ361" s="42"/>
      <c r="BA361" s="42"/>
      <c r="BB361" s="42"/>
      <c r="BC361" s="42"/>
      <c r="BD361" s="42"/>
      <c r="BE361" s="42"/>
      <c r="BF361" s="42"/>
      <c r="BG361" s="42"/>
      <c r="BH361" s="42"/>
      <c r="BI361" s="42"/>
      <c r="BJ361" s="42"/>
      <c r="BK361" s="42"/>
      <c r="BL361" s="42"/>
      <c r="BM361" s="42"/>
      <c r="BN361" s="42"/>
    </row>
    <row r="362" spans="1:66" ht="12.75" customHeight="1" x14ac:dyDescent="0.2">
      <c r="A362" s="1" t="s">
        <v>479</v>
      </c>
      <c r="B362" s="4">
        <f>_xll.ciqfunctions.udf.CIQ(InputTicker, "IQ_CURRENT_PORTION_OPER_LEASE_LIABILITIES",Input!D$2,Date,,,Ccy,Conv)</f>
        <v>0</v>
      </c>
      <c r="C362" s="4">
        <f>_xll.ciqfunctions.udf.CIQ(InputTicker, "IQ_CURRENT_PORTION_OPER_LEASE_LIABILITIES",Input!E$2,Date,,,Ccy,Conv)</f>
        <v>0</v>
      </c>
      <c r="D362" s="4">
        <f>_xll.ciqfunctions.udf.CIQ(InputTicker, "IQ_CURRENT_PORTION_OPER_LEASE_LIABILITIES",Input!F$2,Date,,,Ccy,Conv)</f>
        <v>0</v>
      </c>
      <c r="E362" s="4">
        <f>_xll.ciqfunctions.udf.CIQ(InputTicker, "IQ_CURRENT_PORTION_OPER_LEASE_LIABILITIES",Input!G$2,Date,,,Ccy,Conv)</f>
        <v>0</v>
      </c>
      <c r="F362" s="4">
        <f>_xll.ciqfunctions.udf.CIQ(InputTicker, "IQ_CURRENT_PORTION_OPER_LEASE_LIABILITIES",Input!H$2,Date,,,Ccy,Conv)</f>
        <v>1380</v>
      </c>
      <c r="G362" s="4">
        <f>_xll.ciqfunctions.udf.CIQ(InputTicker, "IQ_CURRENT_PORTION_OPER_LEASE_LIABILITIES",Input!I$2,Date,,,Ccy,Conv)</f>
        <v>1035</v>
      </c>
      <c r="H362" s="4">
        <f>_xll.ciqfunctions.udf.CIQ(InputTicker, "IQ_CURRENT_PORTION_OPER_LEASE_LIABILITIES",Input!J$2,Date,,,Ccy,Conv)</f>
        <v>974</v>
      </c>
      <c r="I362" s="4">
        <f>_xll.ciqfunctions.udf.CIQ(InputTicker, "IQ_CURRENT_PORTION_OPER_LEASE_LIABILITIES",Input!K$2,Date,,,Ccy,Conv)</f>
        <v>874</v>
      </c>
      <c r="J362" s="4">
        <f>_xll.ciqfunctions.udf.CIQ(InputTicker, "IQ_CURRENT_PORTION_OPER_LEASE_LIABILITIES",Input!L$2,Date,,,Ccy,Conv)</f>
        <v>820</v>
      </c>
      <c r="K362" s="4">
        <f>_xll.ciqfunctions.udf.CIQ(InputTicker, "IQ_CURRENT_PORTION_OPER_LEASE_LIABILITIES",Input!M$2,Date,,,Ccy,Conv)</f>
        <v>768</v>
      </c>
      <c r="L362" s="4">
        <f>_xll.ciqfunctions.udf.CIQ(InputTicker, "IQ_CURRENT_PORTION_OPER_LEASE_LIABILITIES",Input!N$2,Date,,,Ccy,Conv)</f>
        <v>800</v>
      </c>
      <c r="M362" s="4">
        <f>_xll.ciqfunctions.udf.CIQ(InputTicker, "IQ_CURRENT_PORTION_OPER_LEASE_LIABILITIES",Input!O$2,Date,,,Ccy,Conv)</f>
        <v>800</v>
      </c>
      <c r="N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  <c r="AK362" s="42"/>
      <c r="AL362" s="42"/>
      <c r="AM362" s="42"/>
      <c r="AN362" s="42"/>
      <c r="AO362" s="42"/>
      <c r="AP362" s="42"/>
      <c r="AQ362" s="42"/>
      <c r="AR362" s="42"/>
      <c r="AS362" s="42"/>
      <c r="AT362" s="42"/>
      <c r="AU362" s="42"/>
      <c r="AV362" s="42"/>
      <c r="AW362" s="42"/>
      <c r="AX362" s="42"/>
      <c r="AY362" s="42"/>
      <c r="AZ362" s="42"/>
      <c r="BA362" s="42"/>
      <c r="BB362" s="42"/>
      <c r="BC362" s="42"/>
      <c r="BD362" s="42"/>
      <c r="BE362" s="42"/>
      <c r="BF362" s="42"/>
      <c r="BG362" s="42"/>
      <c r="BH362" s="42"/>
      <c r="BI362" s="42"/>
      <c r="BJ362" s="42"/>
      <c r="BK362" s="42"/>
      <c r="BL362" s="42"/>
      <c r="BM362" s="42"/>
      <c r="BN362" s="42"/>
    </row>
    <row r="363" spans="1:66" ht="12.75" customHeight="1" x14ac:dyDescent="0.2">
      <c r="A363" s="1" t="s">
        <v>480</v>
      </c>
      <c r="B363" s="4">
        <f>_xll.ciqfunctions.udf.CIQ(InputTicker, "IQ_LT_PORTION_OPER_LEASE_LIABILITIES",Input!D$2,Date,,,Ccy,Conv)</f>
        <v>0</v>
      </c>
      <c r="C363" s="4">
        <f>_xll.ciqfunctions.udf.CIQ(InputTicker, "IQ_LT_PORTION_OPER_LEASE_LIABILITIES",Input!E$2,Date,,,Ccy,Conv)</f>
        <v>0</v>
      </c>
      <c r="D363" s="4">
        <f>_xll.ciqfunctions.udf.CIQ(InputTicker, "IQ_LT_PORTION_OPER_LEASE_LIABILITIES",Input!F$2,Date,,,Ccy,Conv)</f>
        <v>0</v>
      </c>
      <c r="E363" s="4">
        <f>_xll.ciqfunctions.udf.CIQ(InputTicker, "IQ_LT_PORTION_OPER_LEASE_LIABILITIES",Input!G$2,Date,,,Ccy,Conv)</f>
        <v>0</v>
      </c>
      <c r="F363" s="4">
        <f>_xll.ciqfunctions.udf.CIQ(InputTicker, "IQ_LT_PORTION_OPER_LEASE_LIABILITIES",Input!H$2,Date,,,Ccy,Conv)</f>
        <v>3879</v>
      </c>
      <c r="G363" s="4">
        <f>_xll.ciqfunctions.udf.CIQ(InputTicker, "IQ_LT_PORTION_OPER_LEASE_LIABILITIES",Input!I$2,Date,,,Ccy,Conv)</f>
        <v>2720</v>
      </c>
      <c r="H363" s="4">
        <f>_xll.ciqfunctions.udf.CIQ(InputTicker, "IQ_LT_PORTION_OPER_LEASE_LIABILITIES",Input!J$2,Date,,,Ccy,Conv)</f>
        <v>2462</v>
      </c>
      <c r="I363" s="4">
        <f>_xll.ciqfunctions.udf.CIQ(InputTicker, "IQ_LT_PORTION_OPER_LEASE_LIABILITIES",Input!K$2,Date,,,Ccy,Conv)</f>
        <v>2190</v>
      </c>
      <c r="J363" s="4">
        <f>_xll.ciqfunctions.udf.CIQ(InputTicker, "IQ_LT_PORTION_OPER_LEASE_LIABILITIES",Input!L$2,Date,,,Ccy,Conv)</f>
        <v>2568</v>
      </c>
      <c r="K363" s="4">
        <f>_xll.ciqfunctions.udf.CIQ(InputTicker, "IQ_LT_PORTION_OPER_LEASE_LIABILITIES",Input!M$2,Date,,,Ccy,Conv)</f>
        <v>2655</v>
      </c>
      <c r="L363" s="4">
        <f>_xll.ciqfunctions.udf.CIQ(InputTicker, "IQ_LT_PORTION_OPER_LEASE_LIABILITIES",Input!N$2,Date,,,Ccy,Conv)</f>
        <v>2547</v>
      </c>
      <c r="M363" s="4">
        <f>_xll.ciqfunctions.udf.CIQ(InputTicker, "IQ_LT_PORTION_OPER_LEASE_LIABILITIES",Input!O$2,Date,,,Ccy,Conv)</f>
        <v>2547</v>
      </c>
      <c r="N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  <c r="BA363" s="42"/>
      <c r="BB363" s="42"/>
      <c r="BC363" s="42"/>
      <c r="BD363" s="42"/>
      <c r="BE363" s="42"/>
      <c r="BF363" s="42"/>
      <c r="BG363" s="42"/>
      <c r="BH363" s="42"/>
      <c r="BI363" s="42"/>
      <c r="BJ363" s="42"/>
      <c r="BK363" s="42"/>
      <c r="BL363" s="42"/>
      <c r="BM363" s="42"/>
      <c r="BN363" s="42"/>
    </row>
    <row r="364" spans="1:66" ht="12.75" customHeight="1" x14ac:dyDescent="0.2">
      <c r="A364" s="1" t="s">
        <v>481</v>
      </c>
      <c r="B364" s="4">
        <f>_xll.ciqfunctions.udf.CIQ(InputTicker, "IQ_TOTAL_OPER_LEASES",Input!D$2,Date,,,Ccy,Conv)</f>
        <v>0</v>
      </c>
      <c r="C364" s="4">
        <f>_xll.ciqfunctions.udf.CIQ(InputTicker, "IQ_TOTAL_OPER_LEASES",Input!E$2,Date,,,Ccy,Conv)</f>
        <v>0</v>
      </c>
      <c r="D364" s="4">
        <f>_xll.ciqfunctions.udf.CIQ(InputTicker, "IQ_TOTAL_OPER_LEASES",Input!F$2,Date,,,Ccy,Conv)</f>
        <v>0</v>
      </c>
      <c r="E364" s="4">
        <f>_xll.ciqfunctions.udf.CIQ(InputTicker, "IQ_TOTAL_OPER_LEASES",Input!G$2,Date,,,Ccy,Conv)</f>
        <v>0</v>
      </c>
      <c r="F364" s="4">
        <f>_xll.ciqfunctions.udf.CIQ(InputTicker, "IQ_TOTAL_OPER_LEASES",Input!H$2,Date,,,Ccy,Conv)</f>
        <v>5259</v>
      </c>
      <c r="G364" s="4">
        <f>_xll.ciqfunctions.udf.CIQ(InputTicker, "IQ_TOTAL_OPER_LEASES",Input!I$2,Date,,,Ccy,Conv)</f>
        <v>3755</v>
      </c>
      <c r="H364" s="4">
        <f>_xll.ciqfunctions.udf.CIQ(InputTicker, "IQ_TOTAL_OPER_LEASES",Input!J$2,Date,,,Ccy,Conv)</f>
        <v>3436</v>
      </c>
      <c r="I364" s="4">
        <f>_xll.ciqfunctions.udf.CIQ(InputTicker, "IQ_TOTAL_OPER_LEASES",Input!K$2,Date,,,Ccy,Conv)</f>
        <v>3064</v>
      </c>
      <c r="J364" s="4">
        <f>_xll.ciqfunctions.udf.CIQ(InputTicker, "IQ_TOTAL_OPER_LEASES",Input!L$2,Date,,,Ccy,Conv)</f>
        <v>3388</v>
      </c>
      <c r="K364" s="4">
        <f>_xll.ciqfunctions.udf.CIQ(InputTicker, "IQ_TOTAL_OPER_LEASES",Input!M$2,Date,,,Ccy,Conv)</f>
        <v>3423</v>
      </c>
      <c r="L364" s="4">
        <f>_xll.ciqfunctions.udf.CIQ(InputTicker, "IQ_TOTAL_OPER_LEASES",Input!N$2,Date,,,Ccy,Conv)</f>
        <v>3347</v>
      </c>
      <c r="M364" s="4">
        <f>_xll.ciqfunctions.udf.CIQ(InputTicker, "IQ_TOTAL_OPER_LEASES",Input!O$2,Date,,,Ccy,Conv)</f>
        <v>3347</v>
      </c>
      <c r="N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  <c r="AK364" s="42"/>
      <c r="AL364" s="42"/>
      <c r="AM364" s="42"/>
      <c r="AN364" s="42"/>
      <c r="AO364" s="42"/>
      <c r="AP364" s="42"/>
      <c r="AQ364" s="42"/>
      <c r="AR364" s="42"/>
      <c r="AS364" s="42"/>
      <c r="AT364" s="42"/>
      <c r="AU364" s="42"/>
      <c r="AV364" s="42"/>
      <c r="AW364" s="42"/>
      <c r="AX364" s="42"/>
      <c r="AY364" s="42"/>
      <c r="AZ364" s="42"/>
      <c r="BA364" s="42"/>
      <c r="BB364" s="42"/>
      <c r="BC364" s="42"/>
      <c r="BD364" s="42"/>
      <c r="BE364" s="42"/>
      <c r="BF364" s="42"/>
      <c r="BG364" s="42"/>
      <c r="BH364" s="42"/>
      <c r="BI364" s="42"/>
      <c r="BJ364" s="42"/>
      <c r="BK364" s="42"/>
      <c r="BL364" s="42"/>
      <c r="BM364" s="42"/>
      <c r="BN364" s="42"/>
    </row>
    <row r="365" spans="1:66" ht="12.75" customHeight="1" x14ac:dyDescent="0.2">
      <c r="A365" s="1" t="s">
        <v>482</v>
      </c>
      <c r="B365" s="4">
        <f>_xll.ciqfunctions.udf.CIQ(InputTicker, "IQ_TOTAL_LEASES",Input!D$2,Date,,,Ccy,Conv)</f>
        <v>0</v>
      </c>
      <c r="C365" s="4">
        <f>_xll.ciqfunctions.udf.CIQ(InputTicker, "IQ_TOTAL_LEASES",Input!E$2,Date,,,Ccy,Conv)</f>
        <v>0</v>
      </c>
      <c r="D365" s="4">
        <f>_xll.ciqfunctions.udf.CIQ(InputTicker, "IQ_TOTAL_LEASES",Input!F$2,Date,,,Ccy,Conv)</f>
        <v>0</v>
      </c>
      <c r="E365" s="4">
        <f>_xll.ciqfunctions.udf.CIQ(InputTicker, "IQ_TOTAL_LEASES",Input!G$2,Date,,,Ccy,Conv)</f>
        <v>41</v>
      </c>
      <c r="F365" s="4">
        <f>_xll.ciqfunctions.udf.CIQ(InputTicker, "IQ_TOTAL_LEASES",Input!H$2,Date,,,Ccy,Conv)</f>
        <v>5462</v>
      </c>
      <c r="G365" s="4">
        <f>_xll.ciqfunctions.udf.CIQ(InputTicker, "IQ_TOTAL_LEASES",Input!I$2,Date,,,Ccy,Conv)</f>
        <v>3845</v>
      </c>
      <c r="H365" s="4">
        <f>_xll.ciqfunctions.udf.CIQ(InputTicker, "IQ_TOTAL_LEASES",Input!J$2,Date,,,Ccy,Conv)</f>
        <v>3535</v>
      </c>
      <c r="I365" s="4">
        <f>_xll.ciqfunctions.udf.CIQ(InputTicker, "IQ_TOTAL_LEASES",Input!K$2,Date,,,Ccy,Conv)</f>
        <v>3303</v>
      </c>
      <c r="J365" s="4">
        <f>_xll.ciqfunctions.udf.CIQ(InputTicker, "IQ_TOTAL_LEASES",Input!L$2,Date,,,Ccy,Conv)</f>
        <v>3888</v>
      </c>
      <c r="K365" s="4">
        <f>_xll.ciqfunctions.udf.CIQ(InputTicker, "IQ_TOTAL_LEASES",Input!M$2,Date,,,Ccy,Conv)</f>
        <v>4424</v>
      </c>
      <c r="L365" s="4">
        <f>_xll.ciqfunctions.udf.CIQ(InputTicker, "IQ_TOTAL_LEASES",Input!N$2,Date,,,Ccy,Conv)</f>
        <v>4500</v>
      </c>
      <c r="M365" s="4">
        <f>_xll.ciqfunctions.udf.CIQ(InputTicker, "IQ_TOTAL_LEASES",Input!O$2,Date,,,Ccy,Conv)</f>
        <v>4500</v>
      </c>
      <c r="N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  <c r="AK365" s="42"/>
      <c r="AL365" s="42"/>
      <c r="AM365" s="42"/>
      <c r="AN365" s="42"/>
      <c r="AO365" s="42"/>
      <c r="AP365" s="42"/>
      <c r="AQ365" s="42"/>
      <c r="AR365" s="42"/>
      <c r="AS365" s="42"/>
      <c r="AT365" s="42"/>
      <c r="AU365" s="42"/>
      <c r="AV365" s="42"/>
      <c r="AW365" s="42"/>
      <c r="AX365" s="42"/>
      <c r="AY365" s="42"/>
      <c r="AZ365" s="42"/>
      <c r="BA365" s="42"/>
      <c r="BB365" s="42"/>
      <c r="BC365" s="42"/>
      <c r="BD365" s="42"/>
      <c r="BE365" s="42"/>
      <c r="BF365" s="42"/>
      <c r="BG365" s="42"/>
      <c r="BH365" s="42"/>
      <c r="BI365" s="42"/>
      <c r="BJ365" s="42"/>
      <c r="BK365" s="42"/>
      <c r="BL365" s="42"/>
      <c r="BM365" s="42"/>
      <c r="BN365" s="42"/>
    </row>
    <row r="366" spans="1:66" ht="12.75" customHeight="1" x14ac:dyDescent="0.2">
      <c r="A366" s="1" t="s">
        <v>483</v>
      </c>
      <c r="B366" s="4">
        <f>_xll.ciqfunctions.udf.CIQ(InputTicker, "IQ_FINANCING_OBLIG_CURRENT_EXCL_OPER_LEASES",Input!D$2,Date,,,Ccy,Conv)</f>
        <v>6461</v>
      </c>
      <c r="C366" s="4">
        <f>_xll.ciqfunctions.udf.CIQ(InputTicker, "IQ_FINANCING_OBLIG_CURRENT_EXCL_OPER_LEASES",Input!E$2,Date,,,Ccy,Conv)</f>
        <v>7513</v>
      </c>
      <c r="D366" s="4">
        <f>_xll.ciqfunctions.udf.CIQ(InputTicker, "IQ_FINANCING_OBLIG_CURRENT_EXCL_OPER_LEASES",Input!F$2,Date,,,Ccy,Conv)</f>
        <v>6987</v>
      </c>
      <c r="E366" s="4">
        <f>_xll.ciqfunctions.udf.CIQ(InputTicker, "IQ_FINANCING_OBLIG_CURRENT_EXCL_OPER_LEASES",Input!G$2,Date,,,Ccy,Conv)</f>
        <v>10207</v>
      </c>
      <c r="F366" s="4">
        <f>_xll.ciqfunctions.udf.CIQ(InputTicker, "IQ_FINANCING_OBLIG_CURRENT_EXCL_OPER_LEASES",Input!H$2,Date,,,Ccy,Conv)</f>
        <v>8797</v>
      </c>
      <c r="G366" s="4">
        <f>_xll.ciqfunctions.udf.CIQ(InputTicker, "IQ_FINANCING_OBLIG_CURRENT_EXCL_OPER_LEASES",Input!I$2,Date,,,Ccy,Conv)</f>
        <v>7116</v>
      </c>
      <c r="H366" s="4">
        <f>_xll.ciqfunctions.udf.CIQ(InputTicker, "IQ_FINANCING_OBLIG_CURRENT_EXCL_OPER_LEASES",Input!J$2,Date,,,Ccy,Conv)</f>
        <v>6787</v>
      </c>
      <c r="I366" s="4">
        <f>_xll.ciqfunctions.udf.CIQ(InputTicker, "IQ_FINANCING_OBLIG_CURRENT_EXCL_OPER_LEASES",Input!K$2,Date,,,Ccy,Conv)</f>
        <v>4760</v>
      </c>
      <c r="J366" s="4">
        <f>_xll.ciqfunctions.udf.CIQ(InputTicker, "IQ_FINANCING_OBLIG_CURRENT_EXCL_OPER_LEASES",Input!L$2,Date,,,Ccy,Conv)</f>
        <v>6426</v>
      </c>
      <c r="K366" s="4">
        <f>_xll.ciqfunctions.udf.CIQ(InputTicker, "IQ_FINANCING_OBLIG_CURRENT_EXCL_OPER_LEASES",Input!M$2,Date,,,Ccy,Conv)</f>
        <v>5089</v>
      </c>
      <c r="L366" s="4">
        <f>_xll.ciqfunctions.udf.CIQ(InputTicker, "IQ_FINANCING_OBLIG_CURRENT_EXCL_OPER_LEASES",Input!N$2,Date,,,Ccy,Conv)</f>
        <v>6424</v>
      </c>
      <c r="M366" s="4">
        <f>_xll.ciqfunctions.udf.CIQ(InputTicker, "IQ_FINANCING_OBLIG_CURRENT_EXCL_OPER_LEASES",Input!O$2,Date,,,Ccy,Conv)</f>
        <v>6424</v>
      </c>
      <c r="N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  <c r="AK366" s="42"/>
      <c r="AL366" s="42"/>
      <c r="AM366" s="42"/>
      <c r="AN366" s="42"/>
      <c r="AO366" s="42"/>
      <c r="AP366" s="42"/>
      <c r="AQ366" s="42"/>
      <c r="AR366" s="42"/>
      <c r="AS366" s="42"/>
      <c r="AT366" s="42"/>
      <c r="AU366" s="42"/>
      <c r="AV366" s="42"/>
      <c r="AW366" s="42"/>
      <c r="AX366" s="42"/>
      <c r="AY366" s="42"/>
      <c r="AZ366" s="42"/>
      <c r="BA366" s="42"/>
      <c r="BB366" s="42"/>
      <c r="BC366" s="42"/>
      <c r="BD366" s="42"/>
      <c r="BE366" s="42"/>
      <c r="BF366" s="42"/>
      <c r="BG366" s="42"/>
      <c r="BH366" s="42"/>
      <c r="BI366" s="42"/>
      <c r="BJ366" s="42"/>
      <c r="BK366" s="42"/>
      <c r="BL366" s="42"/>
      <c r="BM366" s="42"/>
      <c r="BN366" s="42"/>
    </row>
    <row r="367" spans="1:66" ht="12.75" customHeight="1" x14ac:dyDescent="0.2">
      <c r="A367" s="1" t="s">
        <v>484</v>
      </c>
      <c r="B367" s="4">
        <f>_xll.ciqfunctions.udf.CIQ(InputTicker, "IQ_FINANCING_OBLIG_NON_CURRENT_EXCL_OPER_LEASES",Input!D$2,Date,,,Ccy,Conv)</f>
        <v>33431</v>
      </c>
      <c r="C367" s="4">
        <f>_xll.ciqfunctions.udf.CIQ(InputTicker, "IQ_FINANCING_OBLIG_NON_CURRENT_EXCL_OPER_LEASES",Input!E$2,Date,,,Ccy,Conv)</f>
        <v>34663</v>
      </c>
      <c r="D367" s="4">
        <f>_xll.ciqfunctions.udf.CIQ(InputTicker, "IQ_FINANCING_OBLIG_NON_CURRENT_EXCL_OPER_LEASES",Input!F$2,Date,,,Ccy,Conv)</f>
        <v>39871</v>
      </c>
      <c r="E367" s="4">
        <f>_xll.ciqfunctions.udf.CIQ(InputTicker, "IQ_FINANCING_OBLIG_NON_CURRENT_EXCL_OPER_LEASES",Input!G$2,Date,,,Ccy,Conv)</f>
        <v>35605</v>
      </c>
      <c r="F367" s="4">
        <f>_xll.ciqfunctions.udf.CIQ(InputTicker, "IQ_FINANCING_OBLIG_NON_CURRENT_EXCL_OPER_LEASES",Input!H$2,Date,,,Ccy,Conv)</f>
        <v>54102</v>
      </c>
      <c r="G367" s="4">
        <f>_xll.ciqfunctions.udf.CIQ(InputTicker, "IQ_FINANCING_OBLIG_NON_CURRENT_EXCL_OPER_LEASES",Input!I$2,Date,,,Ccy,Conv)</f>
        <v>54217</v>
      </c>
      <c r="H367" s="4">
        <f>_xll.ciqfunctions.udf.CIQ(InputTicker, "IQ_FINANCING_OBLIG_NON_CURRENT_EXCL_OPER_LEASES",Input!J$2,Date,,,Ccy,Conv)</f>
        <v>44917</v>
      </c>
      <c r="I367" s="4">
        <f>_xll.ciqfunctions.udf.CIQ(InputTicker, "IQ_FINANCING_OBLIG_NON_CURRENT_EXCL_OPER_LEASES",Input!K$2,Date,,,Ccy,Conv)</f>
        <v>46189</v>
      </c>
      <c r="J367" s="4">
        <f>_xll.ciqfunctions.udf.CIQ(InputTicker, "IQ_FINANCING_OBLIG_NON_CURRENT_EXCL_OPER_LEASES",Input!L$2,Date,,,Ccy,Conv)</f>
        <v>50121</v>
      </c>
      <c r="K367" s="4">
        <f>_xll.ciqfunctions.udf.CIQ(InputTicker, "IQ_FINANCING_OBLIG_NON_CURRENT_EXCL_OPER_LEASES",Input!M$2,Date,,,Ccy,Conv)</f>
        <v>49884</v>
      </c>
      <c r="L367" s="4">
        <f>_xll.ciqfunctions.udf.CIQ(InputTicker, "IQ_FINANCING_OBLIG_NON_CURRENT_EXCL_OPER_LEASES",Input!N$2,Date,,,Ccy,Conv)</f>
        <v>54836</v>
      </c>
      <c r="M367" s="4">
        <f>_xll.ciqfunctions.udf.CIQ(InputTicker, "IQ_FINANCING_OBLIG_NON_CURRENT_EXCL_OPER_LEASES",Input!O$2,Date,,,Ccy,Conv)</f>
        <v>54836</v>
      </c>
      <c r="N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  <c r="BA367" s="42"/>
      <c r="BB367" s="42"/>
      <c r="BC367" s="42"/>
      <c r="BD367" s="42"/>
      <c r="BE367" s="42"/>
      <c r="BF367" s="42"/>
      <c r="BG367" s="42"/>
      <c r="BH367" s="42"/>
      <c r="BI367" s="42"/>
      <c r="BJ367" s="42"/>
      <c r="BK367" s="42"/>
      <c r="BL367" s="42"/>
      <c r="BM367" s="42"/>
      <c r="BN367" s="42"/>
    </row>
    <row r="368" spans="1:66" ht="12.75" customHeight="1" x14ac:dyDescent="0.2">
      <c r="A368" s="1" t="s">
        <v>485</v>
      </c>
      <c r="B368" s="4">
        <f>_xll.ciqfunctions.udf.CIQ(InputTicker, "IQ_TOTAL_DEBT_EXCL_OPER_LEASES",Input!D$2,Date,,,Ccy,Conv)</f>
        <v>39892</v>
      </c>
      <c r="C368" s="4">
        <f>_xll.ciqfunctions.udf.CIQ(InputTicker, "IQ_TOTAL_DEBT_EXCL_OPER_LEASES",Input!E$2,Date,,,Ccy,Conv)</f>
        <v>42176</v>
      </c>
      <c r="D368" s="4">
        <f>_xll.ciqfunctions.udf.CIQ(InputTicker, "IQ_TOTAL_DEBT_EXCL_OPER_LEASES",Input!F$2,Date,,,Ccy,Conv)</f>
        <v>46858</v>
      </c>
      <c r="E368" s="4">
        <f>_xll.ciqfunctions.udf.CIQ(InputTicker, "IQ_TOTAL_DEBT_EXCL_OPER_LEASES",Input!G$2,Date,,,Ccy,Conv)</f>
        <v>45812</v>
      </c>
      <c r="F368" s="4">
        <f>_xll.ciqfunctions.udf.CIQ(InputTicker, "IQ_TOTAL_DEBT_EXCL_OPER_LEASES",Input!H$2,Date,,,Ccy,Conv)</f>
        <v>62899</v>
      </c>
      <c r="G368" s="4">
        <f>_xll.ciqfunctions.udf.CIQ(InputTicker, "IQ_TOTAL_DEBT_EXCL_OPER_LEASES",Input!I$2,Date,,,Ccy,Conv)</f>
        <v>61333</v>
      </c>
      <c r="H368" s="4">
        <f>_xll.ciqfunctions.udf.CIQ(InputTicker, "IQ_TOTAL_DEBT_EXCL_OPER_LEASES",Input!J$2,Date,,,Ccy,Conv)</f>
        <v>51704</v>
      </c>
      <c r="I368" s="4">
        <f>_xll.ciqfunctions.udf.CIQ(InputTicker, "IQ_TOTAL_DEBT_EXCL_OPER_LEASES",Input!K$2,Date,,,Ccy,Conv)</f>
        <v>50949</v>
      </c>
      <c r="J368" s="4">
        <f>_xll.ciqfunctions.udf.CIQ(InputTicker, "IQ_TOTAL_DEBT_EXCL_OPER_LEASES",Input!L$2,Date,,,Ccy,Conv)</f>
        <v>56547</v>
      </c>
      <c r="K368" s="4">
        <f>_xll.ciqfunctions.udf.CIQ(InputTicker, "IQ_TOTAL_DEBT_EXCL_OPER_LEASES",Input!M$2,Date,,,Ccy,Conv)</f>
        <v>54973</v>
      </c>
      <c r="L368" s="4">
        <f>_xll.ciqfunctions.udf.CIQ(InputTicker, "IQ_TOTAL_DEBT_EXCL_OPER_LEASES",Input!N$2,Date,,,Ccy,Conv)</f>
        <v>61260</v>
      </c>
      <c r="M368" s="4">
        <f>_xll.ciqfunctions.udf.CIQ(InputTicker, "IQ_TOTAL_DEBT_EXCL_OPER_LEASES",Input!O$2,Date,,,Ccy,Conv)</f>
        <v>61260</v>
      </c>
      <c r="N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  <c r="AK368" s="42"/>
      <c r="AL368" s="42"/>
      <c r="AM368" s="42"/>
      <c r="AN368" s="42"/>
      <c r="AO368" s="42"/>
      <c r="AP368" s="42"/>
      <c r="AQ368" s="42"/>
      <c r="AR368" s="42"/>
      <c r="AS368" s="42"/>
      <c r="AT368" s="42"/>
      <c r="AU368" s="42"/>
      <c r="AV368" s="42"/>
      <c r="AW368" s="42"/>
      <c r="AX368" s="42"/>
      <c r="AY368" s="42"/>
      <c r="AZ368" s="42"/>
      <c r="BA368" s="42"/>
      <c r="BB368" s="42"/>
      <c r="BC368" s="42"/>
      <c r="BD368" s="42"/>
      <c r="BE368" s="42"/>
      <c r="BF368" s="42"/>
      <c r="BG368" s="42"/>
      <c r="BH368" s="42"/>
      <c r="BI368" s="42"/>
      <c r="BJ368" s="42"/>
      <c r="BK368" s="42"/>
      <c r="BL368" s="42"/>
      <c r="BM368" s="42"/>
      <c r="BN368" s="42"/>
    </row>
    <row r="369" spans="1:66" ht="12.75" customHeight="1" x14ac:dyDescent="0.2">
      <c r="A369" s="1" t="s">
        <v>486</v>
      </c>
      <c r="B369" s="4">
        <f>_xll.ciqfunctions.udf.CIQ(InputTicker, "IQ_TOTAL_DEBT_EXCL_LEASES",Input!D$2,Date,,,Ccy,Conv)</f>
        <v>39892</v>
      </c>
      <c r="C369" s="4">
        <f>_xll.ciqfunctions.udf.CIQ(InputTicker, "IQ_TOTAL_DEBT_EXCL_LEASES",Input!E$2,Date,,,Ccy,Conv)</f>
        <v>42176</v>
      </c>
      <c r="D369" s="4">
        <f>_xll.ciqfunctions.udf.CIQ(InputTicker, "IQ_TOTAL_DEBT_EXCL_LEASES",Input!F$2,Date,,,Ccy,Conv)</f>
        <v>46858</v>
      </c>
      <c r="E369" s="4">
        <f>_xll.ciqfunctions.udf.CIQ(InputTicker, "IQ_TOTAL_DEBT_EXCL_LEASES",Input!G$2,Date,,,Ccy,Conv)</f>
        <v>45771</v>
      </c>
      <c r="F369" s="4">
        <f>_xll.ciqfunctions.udf.CIQ(InputTicker, "IQ_TOTAL_DEBT_EXCL_LEASES",Input!H$2,Date,,,Ccy,Conv)</f>
        <v>62696</v>
      </c>
      <c r="G369" s="4">
        <f>_xll.ciqfunctions.udf.CIQ(InputTicker, "IQ_TOTAL_DEBT_EXCL_LEASES",Input!I$2,Date,,,Ccy,Conv)</f>
        <v>61243</v>
      </c>
      <c r="H369" s="4">
        <f>_xll.ciqfunctions.udf.CIQ(InputTicker, "IQ_TOTAL_DEBT_EXCL_LEASES",Input!J$2,Date,,,Ccy,Conv)</f>
        <v>51605</v>
      </c>
      <c r="I369" s="4">
        <f>_xll.ciqfunctions.udf.CIQ(InputTicker, "IQ_TOTAL_DEBT_EXCL_LEASES",Input!K$2,Date,,,Ccy,Conv)</f>
        <v>50710</v>
      </c>
      <c r="J369" s="4">
        <f>_xll.ciqfunctions.udf.CIQ(InputTicker, "IQ_TOTAL_DEBT_EXCL_LEASES",Input!L$2,Date,,,Ccy,Conv)</f>
        <v>56047</v>
      </c>
      <c r="K369" s="4">
        <f>_xll.ciqfunctions.udf.CIQ(InputTicker, "IQ_TOTAL_DEBT_EXCL_LEASES",Input!M$2,Date,,,Ccy,Conv)</f>
        <v>53972</v>
      </c>
      <c r="L369" s="4">
        <f>_xll.ciqfunctions.udf.CIQ(InputTicker, "IQ_TOTAL_DEBT_EXCL_LEASES",Input!N$2,Date,,,Ccy,Conv)</f>
        <v>60107</v>
      </c>
      <c r="M369" s="4">
        <f>_xll.ciqfunctions.udf.CIQ(InputTicker, "IQ_TOTAL_DEBT_EXCL_LEASES",Input!O$2,Date,,,Ccy,Conv)</f>
        <v>60107</v>
      </c>
      <c r="N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  <c r="BA369" s="42"/>
      <c r="BB369" s="42"/>
      <c r="BC369" s="42"/>
      <c r="BD369" s="42"/>
      <c r="BE369" s="42"/>
      <c r="BF369" s="42"/>
      <c r="BG369" s="42"/>
      <c r="BH369" s="42"/>
      <c r="BI369" s="42"/>
      <c r="BJ369" s="42"/>
      <c r="BK369" s="42"/>
      <c r="BL369" s="42"/>
      <c r="BM369" s="42"/>
      <c r="BN369" s="42"/>
    </row>
    <row r="370" spans="1:66" ht="12.75" customHeight="1" x14ac:dyDescent="0.2">
      <c r="A370" s="1" t="s">
        <v>419</v>
      </c>
      <c r="B370" s="12">
        <f>_xll.ciqfunctions.udf.CIQ(InputTicker, "IQ_TOTAL_OUTSTANDING_FILING_DATE",Input!D$2,Date)</f>
        <v>960.88091999999995</v>
      </c>
      <c r="C370" s="12">
        <f>_xll.ciqfunctions.udf.CIQ(InputTicker, "IQ_TOTAL_OUTSTANDING_FILING_DATE",Input!E$2,Date)</f>
        <v>943.21254999999996</v>
      </c>
      <c r="D370" s="12">
        <f>_xll.ciqfunctions.udf.CIQ(InputTicker, "IQ_TOTAL_OUTSTANDING_FILING_DATE",Input!F$2,Date)</f>
        <v>921.16789000000006</v>
      </c>
      <c r="E370" s="12">
        <f>_xll.ciqfunctions.udf.CIQ(InputTicker, "IQ_TOTAL_OUTSTANDING_FILING_DATE",Input!G$2,Date)</f>
        <v>889.86626000000001</v>
      </c>
      <c r="F370" s="12">
        <f>_xll.ciqfunctions.udf.CIQ(InputTicker, "IQ_TOTAL_OUTSTANDING_FILING_DATE",Input!H$2,Date)</f>
        <v>887.11045000000001</v>
      </c>
      <c r="G370" s="12">
        <f>_xll.ciqfunctions.udf.CIQ(InputTicker, "IQ_TOTAL_OUTSTANDING_FILING_DATE",Input!I$2,Date)</f>
        <v>893.59409000000005</v>
      </c>
      <c r="H370" s="12">
        <f>_xll.ciqfunctions.udf.CIQ(InputTicker, "IQ_TOTAL_OUTSTANDING_FILING_DATE",Input!J$2,Date)</f>
        <v>899.30998999999997</v>
      </c>
      <c r="I370" s="12">
        <f>_xll.ciqfunctions.udf.CIQ(InputTicker, "IQ_TOTAL_OUTSTANDING_FILING_DATE",Input!K$2,Date)</f>
        <v>907.10560999999996</v>
      </c>
      <c r="J370" s="12">
        <f>_xll.ciqfunctions.udf.CIQ(InputTicker, "IQ_TOTAL_OUTSTANDING_FILING_DATE",Input!L$2,Date)</f>
        <v>916.74485000000004</v>
      </c>
      <c r="K370" s="12">
        <f>_xll.ciqfunctions.udf.CIQ(InputTicker, "IQ_TOTAL_OUTSTANDING_FILING_DATE",Input!M$2,Date)</f>
        <v>927.26432999999997</v>
      </c>
      <c r="L370" s="12">
        <f>_xll.ciqfunctions.udf.CIQ(InputTicker, "IQ_TOTAL_OUTSTANDING_FILING_DATE",Input!N$2,Date)</f>
        <v>938.03440000000001</v>
      </c>
      <c r="M370" s="12">
        <f>_xll.ciqfunctions.udf.CIQ(InputTicker, "IQ_TOTAL_OUTSTANDING_FILING_DATE",Input!O$2,Date)</f>
        <v>938.03440000000001</v>
      </c>
      <c r="N370" s="53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  <c r="AK370" s="42"/>
      <c r="AL370" s="42"/>
      <c r="AM370" s="42"/>
      <c r="AN370" s="42"/>
      <c r="AO370" s="42"/>
      <c r="AP370" s="42"/>
      <c r="AQ370" s="42"/>
      <c r="AR370" s="42"/>
      <c r="AS370" s="42"/>
      <c r="AT370" s="42"/>
      <c r="AU370" s="42"/>
      <c r="AV370" s="42"/>
      <c r="AW370" s="42"/>
      <c r="AX370" s="42"/>
      <c r="AY370" s="42"/>
      <c r="AZ370" s="42"/>
      <c r="BA370" s="42"/>
      <c r="BB370" s="42"/>
      <c r="BC370" s="42"/>
      <c r="BD370" s="42"/>
      <c r="BE370" s="42"/>
      <c r="BF370" s="42"/>
      <c r="BG370" s="42"/>
      <c r="BH370" s="42"/>
      <c r="BI370" s="42"/>
      <c r="BJ370" s="42"/>
      <c r="BK370" s="42"/>
      <c r="BL370" s="42"/>
      <c r="BM370" s="42"/>
      <c r="BN370" s="42"/>
    </row>
    <row r="371" spans="1:66" ht="12.75" customHeight="1" x14ac:dyDescent="0.2">
      <c r="A371" s="1" t="s">
        <v>285</v>
      </c>
      <c r="B371" s="12">
        <f>_xll.ciqfunctions.udf.CIQ(InputTicker,"IQ_TOTAL_OUTSTANDING_BS_DATE",Input!D$2,Date)</f>
        <v>965.72873000000004</v>
      </c>
      <c r="C371" s="12">
        <f>_xll.ciqfunctions.udf.CIQ(InputTicker,"IQ_TOTAL_OUTSTANDING_BS_DATE",Input!E$2,Date)</f>
        <v>945.86739999999998</v>
      </c>
      <c r="D371" s="12">
        <f>_xll.ciqfunctions.udf.CIQ(InputTicker,"IQ_TOTAL_OUTSTANDING_BS_DATE",Input!F$2,Date)</f>
        <v>922.17922999999996</v>
      </c>
      <c r="E371" s="12">
        <f>_xll.ciqfunctions.udf.CIQ(InputTicker,"IQ_TOTAL_OUTSTANDING_BS_DATE",Input!G$2,Date)</f>
        <v>892.47941000000003</v>
      </c>
      <c r="F371" s="12">
        <f>_xll.ciqfunctions.udf.CIQ(InputTicker,"IQ_TOTAL_OUTSTANDING_BS_DATE",Input!H$2,Date)</f>
        <v>887.11045000000001</v>
      </c>
      <c r="G371" s="12">
        <f>_xll.ciqfunctions.udf.CIQ(InputTicker,"IQ_TOTAL_OUTSTANDING_BS_DATE",Input!I$2,Date)</f>
        <v>892.65341999999998</v>
      </c>
      <c r="H371" s="12">
        <f>_xll.ciqfunctions.udf.CIQ(InputTicker,"IQ_TOTAL_OUTSTANDING_BS_DATE",Input!J$2,Date)</f>
        <v>898.06859999999995</v>
      </c>
      <c r="I371" s="12">
        <f>_xll.ciqfunctions.udf.CIQ(InputTicker,"IQ_TOTAL_OUTSTANDING_BS_DATE",Input!K$2,Date)</f>
        <v>906.09198000000004</v>
      </c>
      <c r="J371" s="12">
        <f>_xll.ciqfunctions.udf.CIQ(InputTicker,"IQ_TOTAL_OUTSTANDING_BS_DATE",Input!L$2,Date)</f>
        <v>915.01364999999998</v>
      </c>
      <c r="K371" s="12">
        <f>_xll.ciqfunctions.udf.CIQ(InputTicker,"IQ_TOTAL_OUTSTANDING_BS_DATE",Input!M$2,Date)</f>
        <v>926.29007000000001</v>
      </c>
      <c r="L371" s="12">
        <f>_xll.ciqfunctions.udf.CIQ(InputTicker,"IQ_TOTAL_OUTSTANDING_BS_DATE",Input!N$2,Date)</f>
        <v>936.95213000000001</v>
      </c>
      <c r="M371" s="12">
        <f>_xll.ciqfunctions.udf.CIQ(InputTicker,"IQ_TOTAL_OUTSTANDING_BS_DATE",Input!O$2,Date)</f>
        <v>936.95213000000001</v>
      </c>
      <c r="N371" s="53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42"/>
      <c r="AN371" s="42"/>
      <c r="AO371" s="42"/>
      <c r="AP371" s="42"/>
      <c r="AQ371" s="42"/>
      <c r="AR371" s="42"/>
      <c r="AS371" s="42"/>
      <c r="AT371" s="42"/>
      <c r="AU371" s="42"/>
      <c r="AV371" s="42"/>
      <c r="AW371" s="42"/>
      <c r="AX371" s="42"/>
      <c r="AY371" s="42"/>
      <c r="AZ371" s="42"/>
      <c r="BA371" s="42"/>
      <c r="BB371" s="42"/>
      <c r="BC371" s="42"/>
      <c r="BD371" s="42"/>
      <c r="BE371" s="42"/>
      <c r="BF371" s="42"/>
      <c r="BG371" s="42"/>
      <c r="BH371" s="42"/>
      <c r="BI371" s="42"/>
      <c r="BJ371" s="42"/>
      <c r="BK371" s="42"/>
      <c r="BL371" s="42"/>
      <c r="BM371" s="42"/>
      <c r="BN371" s="42"/>
    </row>
    <row r="372" spans="1:66" ht="12.75" customHeight="1" x14ac:dyDescent="0.2">
      <c r="A372" s="1" t="s">
        <v>101</v>
      </c>
      <c r="B372" s="11">
        <f>_xll.ciqfunctions.udf.CIQ(InputTicker,"IQ_BV_SHARE",Input!D$2,Date,,,Ccy,Conv)</f>
        <v>14.76812</v>
      </c>
      <c r="C372" s="11">
        <f>_xll.ciqfunctions.udf.CIQ(InputTicker,"IQ_BV_SHARE",Input!E$2,Date,,,Ccy,Conv)</f>
        <v>19.290230000000001</v>
      </c>
      <c r="D372" s="11">
        <f>_xll.ciqfunctions.udf.CIQ(InputTicker,"IQ_BV_SHARE",Input!F$2,Date,,,Ccy,Conv)</f>
        <v>19.078720000000001</v>
      </c>
      <c r="E372" s="11">
        <f>_xll.ciqfunctions.udf.CIQ(InputTicker,"IQ_BV_SHARE",Input!G$2,Date,,,Ccy,Conv)</f>
        <v>18.819479999999999</v>
      </c>
      <c r="F372" s="11">
        <f>_xll.ciqfunctions.udf.CIQ(InputTicker,"IQ_BV_SHARE",Input!H$2,Date,,,Ccy,Conv)</f>
        <v>23.493130000000001</v>
      </c>
      <c r="G372" s="11">
        <f>_xll.ciqfunctions.udf.CIQ(InputTicker,"IQ_BV_SHARE",Input!I$2,Date,,,Ccy,Conv)</f>
        <v>23.073899999999998</v>
      </c>
      <c r="H372" s="11">
        <f>_xll.ciqfunctions.udf.CIQ(InputTicker,"IQ_BV_SHARE",Input!J$2,Date,,,Ccy,Conv)</f>
        <v>21.046279999999999</v>
      </c>
      <c r="I372" s="11">
        <f>_xll.ciqfunctions.udf.CIQ(InputTicker,"IQ_BV_SHARE",Input!K$2,Date,,,Ccy,Conv)</f>
        <v>24.21829</v>
      </c>
      <c r="J372" s="11">
        <f>_xll.ciqfunctions.udf.CIQ(InputTicker,"IQ_BV_SHARE",Input!L$2,Date,,,Ccy,Conv)</f>
        <v>24.625859999999999</v>
      </c>
      <c r="K372" s="11">
        <f>_xll.ciqfunctions.udf.CIQ(InputTicker,"IQ_BV_SHARE",Input!M$2,Date,,,Ccy,Conv)</f>
        <v>29.479970000000002</v>
      </c>
      <c r="L372" s="11">
        <f>_xll.ciqfunctions.udf.CIQ(InputTicker,"IQ_BV_SHARE",Input!N$2,Date,,,Ccy,Conv)</f>
        <v>34.844900000000003</v>
      </c>
      <c r="M372" s="11">
        <f>_xll.ciqfunctions.udf.CIQ(InputTicker,"IQ_BV_SHARE",Input!O$2,Date,,,Ccy,Conv)</f>
        <v>34.844900000000003</v>
      </c>
      <c r="N372" s="53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  <c r="BA372" s="42"/>
      <c r="BB372" s="42"/>
      <c r="BC372" s="42"/>
      <c r="BD372" s="42"/>
      <c r="BE372" s="42"/>
      <c r="BF372" s="42"/>
      <c r="BG372" s="42"/>
      <c r="BH372" s="42"/>
      <c r="BI372" s="42"/>
      <c r="BJ372" s="42"/>
      <c r="BK372" s="42"/>
      <c r="BL372" s="42"/>
      <c r="BM372" s="42"/>
      <c r="BN372" s="42"/>
    </row>
    <row r="373" spans="1:66" ht="12.75" customHeight="1" x14ac:dyDescent="0.2">
      <c r="A373" s="1" t="s">
        <v>42</v>
      </c>
      <c r="B373" s="11">
        <f>_xll.ciqfunctions.udf.CIQ(InputTicker,"IQ_BV_SHARE_REPORTED",Input!D$2,Date,,,Ccy,Conv)</f>
        <v>0</v>
      </c>
      <c r="C373" s="11">
        <f>_xll.ciqfunctions.udf.CIQ(InputTicker,"IQ_BV_SHARE_REPORTED",Input!E$2,Date,,,Ccy,Conv)</f>
        <v>0</v>
      </c>
      <c r="D373" s="11">
        <f>_xll.ciqfunctions.udf.CIQ(InputTicker,"IQ_BV_SHARE_REPORTED",Input!F$2,Date,,,Ccy,Conv)</f>
        <v>0</v>
      </c>
      <c r="E373" s="11">
        <f>_xll.ciqfunctions.udf.CIQ(InputTicker,"IQ_BV_SHARE_REPORTED",Input!G$2,Date,,,Ccy,Conv)</f>
        <v>0</v>
      </c>
      <c r="F373" s="11">
        <f>_xll.ciqfunctions.udf.CIQ(InputTicker,"IQ_BV_SHARE_REPORTED",Input!H$2,Date,,,Ccy,Conv)</f>
        <v>0</v>
      </c>
      <c r="G373" s="11">
        <f>_xll.ciqfunctions.udf.CIQ(InputTicker,"IQ_BV_SHARE_REPORTED",Input!I$2,Date,,,Ccy,Conv)</f>
        <v>0</v>
      </c>
      <c r="H373" s="11">
        <f>_xll.ciqfunctions.udf.CIQ(InputTicker,"IQ_BV_SHARE_REPORTED",Input!J$2,Date,,,Ccy,Conv)</f>
        <v>0</v>
      </c>
      <c r="I373" s="11">
        <f>_xll.ciqfunctions.udf.CIQ(InputTicker,"IQ_BV_SHARE_REPORTED",Input!K$2,Date,,,Ccy,Conv)</f>
        <v>0</v>
      </c>
      <c r="J373" s="11">
        <f>_xll.ciqfunctions.udf.CIQ(InputTicker,"IQ_BV_SHARE_REPORTED",Input!L$2,Date,,,Ccy,Conv)</f>
        <v>0</v>
      </c>
      <c r="K373" s="11">
        <f>_xll.ciqfunctions.udf.CIQ(InputTicker,"IQ_BV_SHARE_REPORTED",Input!M$2,Date,,,Ccy,Conv)</f>
        <v>0</v>
      </c>
      <c r="L373" s="11">
        <f>_xll.ciqfunctions.udf.CIQ(InputTicker,"IQ_BV_SHARE_REPORTED",Input!N$2,Date,,,Ccy,Conv)</f>
        <v>0</v>
      </c>
      <c r="M373" s="11">
        <f>_xll.ciqfunctions.udf.CIQ(InputTicker,"IQ_BV_SHARE_REPORTED",Input!O$2,Date,,,Ccy,Conv)</f>
        <v>0</v>
      </c>
      <c r="N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  <c r="BA373" s="42"/>
      <c r="BB373" s="42"/>
      <c r="BC373" s="42"/>
      <c r="BD373" s="42"/>
      <c r="BE373" s="42"/>
      <c r="BF373" s="42"/>
      <c r="BG373" s="42"/>
      <c r="BH373" s="42"/>
      <c r="BI373" s="42"/>
      <c r="BJ373" s="42"/>
      <c r="BK373" s="42"/>
      <c r="BL373" s="42"/>
      <c r="BM373" s="42"/>
      <c r="BN373" s="42"/>
    </row>
    <row r="374" spans="1:66" ht="12.75" customHeight="1" x14ac:dyDescent="0.2">
      <c r="A374" s="1" t="s">
        <v>217</v>
      </c>
      <c r="B374" s="11">
        <f>_xll.ciqfunctions.udf.CIQ(InputTicker, "IQ_TBV_SHARE",Input!D$2,Date,,,Ccy,Conv)</f>
        <v>-21.999970000000001</v>
      </c>
      <c r="C374" s="11">
        <f>_xll.ciqfunctions.udf.CIQ(InputTicker, "IQ_TBV_SHARE",Input!E$2,Date,,,Ccy,Conv)</f>
        <v>-23.93676</v>
      </c>
      <c r="D374" s="11">
        <f>_xll.ciqfunctions.udf.CIQ(InputTicker, "IQ_TBV_SHARE",Input!F$2,Date,,,Ccy,Conv)</f>
        <v>-24.87152</v>
      </c>
      <c r="E374" s="11">
        <f>_xll.ciqfunctions.udf.CIQ(InputTicker, "IQ_TBV_SHARE",Input!G$2,Date,,,Ccy,Conv)</f>
        <v>-25.273409999999998</v>
      </c>
      <c r="F374" s="11">
        <f>_xll.ciqfunctions.udf.CIQ(InputTicker, "IQ_TBV_SHARE",Input!H$2,Date,,,Ccy,Conv)</f>
        <v>-59.311669999999999</v>
      </c>
      <c r="G374" s="11">
        <f>_xll.ciqfunctions.udf.CIQ(InputTicker, "IQ_TBV_SHARE",Input!I$2,Date,,,Ccy,Conv)</f>
        <v>-52.547829999999998</v>
      </c>
      <c r="H374" s="11">
        <f>_xll.ciqfunctions.udf.CIQ(InputTicker, "IQ_TBV_SHARE",Input!J$2,Date,,,Ccy,Conv)</f>
        <v>-54.843249999999998</v>
      </c>
      <c r="I374" s="11">
        <f>_xll.ciqfunctions.udf.CIQ(InputTicker, "IQ_TBV_SHARE",Input!K$2,Date,,,Ccy,Conv)</f>
        <v>-49.872419999999998</v>
      </c>
      <c r="J374" s="11">
        <f>_xll.ciqfunctions.udf.CIQ(InputTicker, "IQ_TBV_SHARE",Input!L$2,Date,,,Ccy,Conv)</f>
        <v>-53.202489999999997</v>
      </c>
      <c r="K374" s="11">
        <f>_xll.ciqfunctions.udf.CIQ(InputTicker, "IQ_TBV_SHARE",Input!M$2,Date,,,Ccy,Conv)</f>
        <v>-47.565010000000001</v>
      </c>
      <c r="L374" s="11">
        <f>_xll.ciqfunctions.udf.CIQ(InputTicker, "IQ_TBV_SHARE",Input!N$2,Date,,,Ccy,Conv)</f>
        <v>-49.586309999999997</v>
      </c>
      <c r="M374" s="11">
        <f>_xll.ciqfunctions.udf.CIQ(InputTicker, "IQ_TBV_SHARE",Input!O$2,Date,,,Ccy,Conv)</f>
        <v>-49.586309999999997</v>
      </c>
      <c r="N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  <c r="AK374" s="42"/>
      <c r="AL374" s="42"/>
      <c r="AM374" s="42"/>
      <c r="AN374" s="42"/>
      <c r="AO374" s="42"/>
      <c r="AP374" s="42"/>
      <c r="AQ374" s="42"/>
      <c r="AR374" s="42"/>
      <c r="AS374" s="42"/>
      <c r="AT374" s="42"/>
      <c r="AU374" s="42"/>
      <c r="AV374" s="42"/>
      <c r="AW374" s="42"/>
      <c r="AX374" s="42"/>
      <c r="AY374" s="42"/>
      <c r="AZ374" s="42"/>
      <c r="BA374" s="42"/>
      <c r="BB374" s="42"/>
      <c r="BC374" s="42"/>
      <c r="BD374" s="42"/>
      <c r="BE374" s="42"/>
      <c r="BF374" s="42"/>
      <c r="BG374" s="42"/>
      <c r="BH374" s="42"/>
      <c r="BI374" s="42"/>
      <c r="BJ374" s="42"/>
      <c r="BK374" s="42"/>
      <c r="BL374" s="42"/>
      <c r="BM374" s="42"/>
      <c r="BN374" s="42"/>
    </row>
    <row r="375" spans="1:66" ht="12.75" customHeight="1" x14ac:dyDescent="0.2">
      <c r="A375" s="1" t="s">
        <v>431</v>
      </c>
      <c r="B375" s="11">
        <f>_xll.ciqfunctions.udf.CIQ(InputTicker, "IQ_TBV_SHARE_REPORTED",Input!D$2,Date,,,Ccy,Conv)</f>
        <v>0</v>
      </c>
      <c r="C375" s="11">
        <f>_xll.ciqfunctions.udf.CIQ(InputTicker, "IQ_TBV_SHARE_REPORTED",Input!E$2,Date,,,Ccy,Conv)</f>
        <v>0</v>
      </c>
      <c r="D375" s="11">
        <f>_xll.ciqfunctions.udf.CIQ(InputTicker, "IQ_TBV_SHARE_REPORTED",Input!F$2,Date,,,Ccy,Conv)</f>
        <v>0</v>
      </c>
      <c r="E375" s="11">
        <f>_xll.ciqfunctions.udf.CIQ(InputTicker, "IQ_TBV_SHARE_REPORTED",Input!G$2,Date,,,Ccy,Conv)</f>
        <v>0</v>
      </c>
      <c r="F375" s="11">
        <f>_xll.ciqfunctions.udf.CIQ(InputTicker, "IQ_TBV_SHARE_REPORTED",Input!H$2,Date,,,Ccy,Conv)</f>
        <v>0</v>
      </c>
      <c r="G375" s="11">
        <f>_xll.ciqfunctions.udf.CIQ(InputTicker, "IQ_TBV_SHARE_REPORTED",Input!I$2,Date,,,Ccy,Conv)</f>
        <v>0</v>
      </c>
      <c r="H375" s="11">
        <f>_xll.ciqfunctions.udf.CIQ(InputTicker, "IQ_TBV_SHARE_REPORTED",Input!J$2,Date,,,Ccy,Conv)</f>
        <v>0</v>
      </c>
      <c r="I375" s="11">
        <f>_xll.ciqfunctions.udf.CIQ(InputTicker, "IQ_TBV_SHARE_REPORTED",Input!K$2,Date,,,Ccy,Conv)</f>
        <v>0</v>
      </c>
      <c r="J375" s="11">
        <f>_xll.ciqfunctions.udf.CIQ(InputTicker, "IQ_TBV_SHARE_REPORTED",Input!L$2,Date,,,Ccy,Conv)</f>
        <v>0</v>
      </c>
      <c r="K375" s="11">
        <f>_xll.ciqfunctions.udf.CIQ(InputTicker, "IQ_TBV_SHARE_REPORTED",Input!M$2,Date,,,Ccy,Conv)</f>
        <v>0</v>
      </c>
      <c r="L375" s="11">
        <f>_xll.ciqfunctions.udf.CIQ(InputTicker, "IQ_TBV_SHARE_REPORTED",Input!N$2,Date,,,Ccy,Conv)</f>
        <v>0</v>
      </c>
      <c r="M375" s="11">
        <f>_xll.ciqfunctions.udf.CIQ(InputTicker, "IQ_TBV_SHARE_REPORTED",Input!O$2,Date,,,Ccy,Conv)</f>
        <v>0</v>
      </c>
      <c r="N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  <c r="AK375" s="42"/>
      <c r="AL375" s="42"/>
      <c r="AM375" s="42"/>
      <c r="AN375" s="42"/>
      <c r="AO375" s="42"/>
      <c r="AP375" s="42"/>
      <c r="AQ375" s="42"/>
      <c r="AR375" s="42"/>
      <c r="AS375" s="42"/>
      <c r="AT375" s="42"/>
      <c r="AU375" s="42"/>
      <c r="AV375" s="42"/>
      <c r="AW375" s="42"/>
      <c r="AX375" s="42"/>
      <c r="AY375" s="42"/>
      <c r="AZ375" s="42"/>
      <c r="BA375" s="42"/>
      <c r="BB375" s="42"/>
      <c r="BC375" s="42"/>
      <c r="BD375" s="42"/>
      <c r="BE375" s="42"/>
      <c r="BF375" s="42"/>
      <c r="BG375" s="42"/>
      <c r="BH375" s="42"/>
      <c r="BI375" s="42"/>
      <c r="BJ375" s="42"/>
      <c r="BK375" s="42"/>
      <c r="BL375" s="42"/>
      <c r="BM375" s="42"/>
      <c r="BN375" s="42"/>
    </row>
    <row r="376" spans="1:66" ht="12.75" customHeight="1" x14ac:dyDescent="0.2">
      <c r="A376" s="1" t="s">
        <v>284</v>
      </c>
      <c r="B376" s="4">
        <f>_xll.ciqfunctions.udf.CIQ(InputTicker, "IQ_TBV",Input!D$2,Date,,,Ccy,Conv)</f>
        <v>-21246</v>
      </c>
      <c r="C376" s="4">
        <f>_xll.ciqfunctions.udf.CIQ(InputTicker, "IQ_TBV",Input!E$2,Date,,,Ccy,Conv)</f>
        <v>-22641</v>
      </c>
      <c r="D376" s="4">
        <f>_xll.ciqfunctions.udf.CIQ(InputTicker, "IQ_TBV",Input!F$2,Date,,,Ccy,Conv)</f>
        <v>-22936</v>
      </c>
      <c r="E376" s="4">
        <f>_xll.ciqfunctions.udf.CIQ(InputTicker, "IQ_TBV",Input!G$2,Date,,,Ccy,Conv)</f>
        <v>-22556</v>
      </c>
      <c r="F376" s="4">
        <f>_xll.ciqfunctions.udf.CIQ(InputTicker, "IQ_TBV",Input!H$2,Date,,,Ccy,Conv)</f>
        <v>-52616</v>
      </c>
      <c r="G376" s="4">
        <f>_xll.ciqfunctions.udf.CIQ(InputTicker, "IQ_TBV",Input!I$2,Date,,,Ccy,Conv)</f>
        <v>-46907</v>
      </c>
      <c r="H376" s="4">
        <f>_xll.ciqfunctions.udf.CIQ(InputTicker, "IQ_TBV",Input!J$2,Date,,,Ccy,Conv)</f>
        <v>-49253</v>
      </c>
      <c r="I376" s="4">
        <f>_xll.ciqfunctions.udf.CIQ(InputTicker, "IQ_TBV",Input!K$2,Date,,,Ccy,Conv)</f>
        <v>-45189</v>
      </c>
      <c r="J376" s="4">
        <f>_xll.ciqfunctions.udf.CIQ(InputTicker, "IQ_TBV",Input!L$2,Date,,,Ccy,Conv)</f>
        <v>-48681</v>
      </c>
      <c r="K376" s="4">
        <f>_xll.ciqfunctions.udf.CIQ(InputTicker, "IQ_TBV",Input!M$2,Date,,,Ccy,Conv)</f>
        <v>-44059</v>
      </c>
      <c r="L376" s="4">
        <f>_xll.ciqfunctions.udf.CIQ(InputTicker, "IQ_TBV",Input!N$2,Date,,,Ccy,Conv)</f>
        <v>-46460</v>
      </c>
      <c r="M376" s="4">
        <f>_xll.ciqfunctions.udf.CIQ(InputTicker, "IQ_TBV",Input!O$2,Date,,,Ccy,Conv)</f>
        <v>-46460</v>
      </c>
      <c r="N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  <c r="AK376" s="42"/>
      <c r="AL376" s="42"/>
      <c r="AM376" s="42"/>
      <c r="AN376" s="42"/>
      <c r="AO376" s="42"/>
      <c r="AP376" s="42"/>
      <c r="AQ376" s="42"/>
      <c r="AR376" s="42"/>
      <c r="AS376" s="42"/>
      <c r="AT376" s="42"/>
      <c r="AU376" s="42"/>
      <c r="AV376" s="42"/>
      <c r="AW376" s="42"/>
      <c r="AX376" s="42"/>
      <c r="AY376" s="42"/>
      <c r="AZ376" s="42"/>
      <c r="BA376" s="42"/>
      <c r="BB376" s="42"/>
      <c r="BC376" s="42"/>
      <c r="BD376" s="42"/>
      <c r="BE376" s="42"/>
      <c r="BF376" s="42"/>
      <c r="BG376" s="42"/>
      <c r="BH376" s="42"/>
      <c r="BI376" s="42"/>
      <c r="BJ376" s="42"/>
      <c r="BK376" s="42"/>
      <c r="BL376" s="42"/>
      <c r="BM376" s="42"/>
      <c r="BN376" s="42"/>
    </row>
    <row r="377" spans="1:66" ht="12.75" customHeight="1" x14ac:dyDescent="0.2">
      <c r="A377" s="1" t="s">
        <v>435</v>
      </c>
      <c r="B377" s="11">
        <f>_xll.ciqfunctions.udf.CIQ(InputTicker, "IQ_GW_INTAN",Input!D$2,Date,,,Ccy,Conv)</f>
        <v>35508</v>
      </c>
      <c r="C377" s="11">
        <f>_xll.ciqfunctions.udf.CIQ(InputTicker, "IQ_GW_INTAN",Input!E$2,Date,,,Ccy,Conv)</f>
        <v>40887</v>
      </c>
      <c r="D377" s="11">
        <f>_xll.ciqfunctions.udf.CIQ(InputTicker, "IQ_GW_INTAN",Input!F$2,Date,,,Ccy,Conv)</f>
        <v>40530</v>
      </c>
      <c r="E377" s="11">
        <f>_xll.ciqfunctions.udf.CIQ(InputTicker, "IQ_GW_INTAN",Input!G$2,Date,,,Ccy,Conv)</f>
        <v>39352</v>
      </c>
      <c r="F377" s="11">
        <f>_xll.ciqfunctions.udf.CIQ(InputTicker, "IQ_GW_INTAN",Input!H$2,Date,,,Ccy,Conv)</f>
        <v>73457</v>
      </c>
      <c r="G377" s="11">
        <f>_xll.ciqfunctions.udf.CIQ(InputTicker, "IQ_GW_INTAN",Input!I$2,Date,,,Ccy,Conv)</f>
        <v>67504</v>
      </c>
      <c r="H377" s="11">
        <f>_xll.ciqfunctions.udf.CIQ(InputTicker, "IQ_GW_INTAN",Input!J$2,Date,,,Ccy,Conv)</f>
        <v>68154</v>
      </c>
      <c r="I377" s="11">
        <f>_xll.ciqfunctions.udf.CIQ(InputTicker, "IQ_GW_INTAN",Input!K$2,Date,,,Ccy,Conv)</f>
        <v>67133</v>
      </c>
      <c r="J377" s="11">
        <f>_xll.ciqfunctions.udf.CIQ(InputTicker, "IQ_GW_INTAN",Input!L$2,Date,,,Ccy,Conv)</f>
        <v>71214</v>
      </c>
      <c r="K377" s="11">
        <f>_xll.ciqfunctions.udf.CIQ(InputTicker, "IQ_GW_INTAN",Input!M$2,Date,,,Ccy,Conv)</f>
        <v>71366</v>
      </c>
      <c r="L377" s="11">
        <f>_xll.ciqfunctions.udf.CIQ(InputTicker, "IQ_GW_INTAN",Input!N$2,Date,,,Ccy,Conv)</f>
        <v>79108</v>
      </c>
      <c r="M377" s="11">
        <f>_xll.ciqfunctions.udf.CIQ(InputTicker, "IQ_GW_INTAN",Input!O$2,Date,,,Ccy,Conv)</f>
        <v>79108</v>
      </c>
      <c r="N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42"/>
      <c r="AN377" s="42"/>
      <c r="AO377" s="42"/>
      <c r="AP377" s="42"/>
      <c r="AQ377" s="42"/>
      <c r="AR377" s="42"/>
      <c r="AS377" s="42"/>
      <c r="AT377" s="42"/>
      <c r="AU377" s="42"/>
      <c r="AV377" s="42"/>
      <c r="AW377" s="42"/>
      <c r="AX377" s="42"/>
      <c r="AY377" s="42"/>
      <c r="AZ377" s="42"/>
      <c r="BA377" s="42"/>
      <c r="BB377" s="42"/>
      <c r="BC377" s="42"/>
      <c r="BD377" s="42"/>
      <c r="BE377" s="42"/>
      <c r="BF377" s="42"/>
      <c r="BG377" s="42"/>
      <c r="BH377" s="42"/>
      <c r="BI377" s="42"/>
      <c r="BJ377" s="42"/>
      <c r="BK377" s="42"/>
      <c r="BL377" s="42"/>
      <c r="BM377" s="42"/>
      <c r="BN377" s="42"/>
    </row>
    <row r="378" spans="1:66" ht="12.75" customHeight="1" x14ac:dyDescent="0.2">
      <c r="A378" s="1" t="s">
        <v>352</v>
      </c>
      <c r="B378" s="11">
        <f>_xll.ciqfunctions.udf.CIQ(InputTicker, "IQ_CASH_SHARE",Input!D$2,Date,,,Ccy,Conv)</f>
        <v>7.9587599999999998</v>
      </c>
      <c r="C378" s="11">
        <f>_xll.ciqfunctions.udf.CIQ(InputTicker, "IQ_CASH_SHARE",Input!E$2,Date,,,Ccy,Conv)</f>
        <v>8.2738899999999997</v>
      </c>
      <c r="D378" s="11">
        <f>_xll.ciqfunctions.udf.CIQ(InputTicker, "IQ_CASH_SHARE",Input!F$2,Date,,,Ccy,Conv)</f>
        <v>12.982290000000001</v>
      </c>
      <c r="E378" s="11">
        <f>_xll.ciqfunctions.udf.CIQ(InputTicker, "IQ_CASH_SHARE",Input!G$2,Date,,,Ccy,Conv)</f>
        <v>12.74987</v>
      </c>
      <c r="F378" s="11">
        <f>_xll.ciqfunctions.udf.CIQ(InputTicker, "IQ_CASH_SHARE",Input!H$2,Date,,,Ccy,Conv)</f>
        <v>9.2119300000000006</v>
      </c>
      <c r="G378" s="11">
        <f>_xll.ciqfunctions.udf.CIQ(InputTicker, "IQ_CASH_SHARE",Input!I$2,Date,,,Ccy,Conv)</f>
        <v>14.77393</v>
      </c>
      <c r="H378" s="11">
        <f>_xll.ciqfunctions.udf.CIQ(InputTicker, "IQ_CASH_SHARE",Input!J$2,Date,,,Ccy,Conv)</f>
        <v>7.4047799999999997</v>
      </c>
      <c r="I378" s="11">
        <f>_xll.ciqfunctions.udf.CIQ(InputTicker, "IQ_CASH_SHARE",Input!K$2,Date,,,Ccy,Conv)</f>
        <v>8.7033100000000001</v>
      </c>
      <c r="J378" s="11">
        <f>_xll.ciqfunctions.udf.CIQ(InputTicker, "IQ_CASH_SHARE",Input!L$2,Date,,,Ccy,Conv)</f>
        <v>14.281750000000001</v>
      </c>
      <c r="K378" s="11">
        <f>_xll.ciqfunctions.udf.CIQ(InputTicker, "IQ_CASH_SHARE",Input!M$2,Date,,,Ccy,Conv)</f>
        <v>15.056839999999999</v>
      </c>
      <c r="L378" s="11">
        <f>_xll.ciqfunctions.udf.CIQ(InputTicker, "IQ_CASH_SHARE",Input!N$2,Date,,,Ccy,Conv)</f>
        <v>14.50127</v>
      </c>
      <c r="M378" s="11">
        <f>_xll.ciqfunctions.udf.CIQ(InputTicker, "IQ_CASH_SHARE",Input!O$2,Date,,,Ccy,Conv)</f>
        <v>14.50127</v>
      </c>
      <c r="N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  <c r="AK378" s="42"/>
      <c r="AL378" s="42"/>
      <c r="AM378" s="42"/>
      <c r="AN378" s="42"/>
      <c r="AO378" s="42"/>
      <c r="AP378" s="42"/>
      <c r="AQ378" s="42"/>
      <c r="AR378" s="42"/>
      <c r="AS378" s="42"/>
      <c r="AT378" s="42"/>
      <c r="AU378" s="42"/>
      <c r="AV378" s="42"/>
      <c r="AW378" s="42"/>
      <c r="AX378" s="42"/>
      <c r="AY378" s="42"/>
      <c r="AZ378" s="42"/>
      <c r="BA378" s="42"/>
      <c r="BB378" s="42"/>
      <c r="BC378" s="42"/>
      <c r="BD378" s="42"/>
      <c r="BE378" s="42"/>
      <c r="BF378" s="42"/>
      <c r="BG378" s="42"/>
      <c r="BH378" s="42"/>
      <c r="BI378" s="42"/>
      <c r="BJ378" s="42"/>
      <c r="BK378" s="42"/>
      <c r="BL378" s="42"/>
      <c r="BM378" s="42"/>
      <c r="BN378" s="42"/>
    </row>
    <row r="379" spans="1:66" ht="12.75" customHeight="1" x14ac:dyDescent="0.2">
      <c r="A379" s="1" t="s">
        <v>51</v>
      </c>
      <c r="B379" s="4">
        <f>_xll.ciqfunctions.udf.CIQ(InputTicker, "IQ_TOTAL_DEBT",Input!D$2,Date,,,Ccy,Conv)</f>
        <v>39892</v>
      </c>
      <c r="C379" s="4">
        <f>_xll.ciqfunctions.udf.CIQ(InputTicker, "IQ_TOTAL_DEBT",Input!E$2,Date,,,Ccy,Conv)</f>
        <v>42176</v>
      </c>
      <c r="D379" s="4">
        <f>_xll.ciqfunctions.udf.CIQ(InputTicker, "IQ_TOTAL_DEBT",Input!F$2,Date,,,Ccy,Conv)</f>
        <v>46858</v>
      </c>
      <c r="E379" s="4">
        <f>_xll.ciqfunctions.udf.CIQ(InputTicker, "IQ_TOTAL_DEBT",Input!G$2,Date,,,Ccy,Conv)</f>
        <v>45812</v>
      </c>
      <c r="F379" s="4">
        <f>_xll.ciqfunctions.udf.CIQ(InputTicker, "IQ_TOTAL_DEBT",Input!H$2,Date,,,Ccy,Conv)</f>
        <v>68158</v>
      </c>
      <c r="G379" s="4">
        <f>_xll.ciqfunctions.udf.CIQ(InputTicker, "IQ_TOTAL_DEBT",Input!I$2,Date,,,Ccy,Conv)</f>
        <v>65088</v>
      </c>
      <c r="H379" s="4">
        <f>_xll.ciqfunctions.udf.CIQ(InputTicker, "IQ_TOTAL_DEBT",Input!J$2,Date,,,Ccy,Conv)</f>
        <v>55140</v>
      </c>
      <c r="I379" s="4">
        <f>_xll.ciqfunctions.udf.CIQ(InputTicker, "IQ_TOTAL_DEBT",Input!K$2,Date,,,Ccy,Conv)</f>
        <v>54013</v>
      </c>
      <c r="J379" s="4">
        <f>_xll.ciqfunctions.udf.CIQ(InputTicker, "IQ_TOTAL_DEBT",Input!L$2,Date,,,Ccy,Conv)</f>
        <v>59935</v>
      </c>
      <c r="K379" s="4">
        <f>_xll.ciqfunctions.udf.CIQ(InputTicker, "IQ_TOTAL_DEBT",Input!M$2,Date,,,Ccy,Conv)</f>
        <v>58396</v>
      </c>
      <c r="L379" s="4">
        <f>_xll.ciqfunctions.udf.CIQ(InputTicker, "IQ_TOTAL_DEBT",Input!N$2,Date,,,Ccy,Conv)</f>
        <v>64607</v>
      </c>
      <c r="M379" s="4">
        <f>_xll.ciqfunctions.udf.CIQ(InputTicker, "IQ_TOTAL_DEBT",Input!O$2,Date,,,Ccy,Conv)</f>
        <v>64607</v>
      </c>
      <c r="N379" s="53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  <c r="BA379" s="42"/>
      <c r="BB379" s="42"/>
      <c r="BC379" s="42"/>
      <c r="BD379" s="42"/>
      <c r="BE379" s="42"/>
      <c r="BF379" s="42"/>
      <c r="BG379" s="42"/>
      <c r="BH379" s="42"/>
      <c r="BI379" s="42"/>
      <c r="BJ379" s="42"/>
      <c r="BK379" s="42"/>
      <c r="BL379" s="42"/>
      <c r="BM379" s="42"/>
      <c r="BN379" s="42"/>
    </row>
    <row r="380" spans="1:66" ht="12.75" customHeight="1" x14ac:dyDescent="0.2">
      <c r="A380" s="1" t="s">
        <v>377</v>
      </c>
      <c r="B380" s="4">
        <f>_xll.ciqfunctions.udf.CIQ(InputTicker, "IQ_TOTAL_DEBT_CURRENT",Input!D$2,Date,,,Ccy,Conv)</f>
        <v>6461</v>
      </c>
      <c r="C380" s="4">
        <f>_xll.ciqfunctions.udf.CIQ(InputTicker, "IQ_TOTAL_DEBT_CURRENT",Input!E$2,Date,,,Ccy,Conv)</f>
        <v>7513</v>
      </c>
      <c r="D380" s="4">
        <f>_xll.ciqfunctions.udf.CIQ(InputTicker, "IQ_TOTAL_DEBT_CURRENT",Input!F$2,Date,,,Ccy,Conv)</f>
        <v>6987</v>
      </c>
      <c r="E380" s="4">
        <f>_xll.ciqfunctions.udf.CIQ(InputTicker, "IQ_TOTAL_DEBT_CURRENT",Input!G$2,Date,,,Ccy,Conv)</f>
        <v>10207</v>
      </c>
      <c r="F380" s="4">
        <f>_xll.ciqfunctions.udf.CIQ(InputTicker, "IQ_TOTAL_DEBT_CURRENT",Input!H$2,Date,,,Ccy,Conv)</f>
        <v>10177</v>
      </c>
      <c r="G380" s="4">
        <f>_xll.ciqfunctions.udf.CIQ(InputTicker, "IQ_TOTAL_DEBT_CURRENT",Input!I$2,Date,,,Ccy,Conv)</f>
        <v>8151</v>
      </c>
      <c r="H380" s="4">
        <f>_xll.ciqfunctions.udf.CIQ(InputTicker, "IQ_TOTAL_DEBT_CURRENT",Input!J$2,Date,,,Ccy,Conv)</f>
        <v>7761</v>
      </c>
      <c r="I380" s="4">
        <f>_xll.ciqfunctions.udf.CIQ(InputTicker, "IQ_TOTAL_DEBT_CURRENT",Input!K$2,Date,,,Ccy,Conv)</f>
        <v>5634</v>
      </c>
      <c r="J380" s="4">
        <f>_xll.ciqfunctions.udf.CIQ(InputTicker, "IQ_TOTAL_DEBT_CURRENT",Input!L$2,Date,,,Ccy,Conv)</f>
        <v>7246</v>
      </c>
      <c r="K380" s="4">
        <f>_xll.ciqfunctions.udf.CIQ(InputTicker, "IQ_TOTAL_DEBT_CURRENT",Input!M$2,Date,,,Ccy,Conv)</f>
        <v>5857</v>
      </c>
      <c r="L380" s="4">
        <f>_xll.ciqfunctions.udf.CIQ(InputTicker, "IQ_TOTAL_DEBT_CURRENT",Input!N$2,Date,,,Ccy,Conv)</f>
        <v>7224</v>
      </c>
      <c r="M380" s="4">
        <f>_xll.ciqfunctions.udf.CIQ(InputTicker, "IQ_TOTAL_DEBT_CURRENT",Input!O$2,Date,,,Ccy,Conv)</f>
        <v>7224</v>
      </c>
      <c r="N380" s="53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  <c r="AK380" s="42"/>
      <c r="AL380" s="42"/>
      <c r="AM380" s="42"/>
      <c r="AN380" s="42"/>
      <c r="AO380" s="42"/>
      <c r="AP380" s="42"/>
      <c r="AQ380" s="42"/>
      <c r="AR380" s="42"/>
      <c r="AS380" s="42"/>
      <c r="AT380" s="42"/>
      <c r="AU380" s="42"/>
      <c r="AV380" s="42"/>
      <c r="AW380" s="42"/>
      <c r="AX380" s="42"/>
      <c r="AY380" s="42"/>
      <c r="AZ380" s="42"/>
      <c r="BA380" s="42"/>
      <c r="BB380" s="42"/>
      <c r="BC380" s="42"/>
      <c r="BD380" s="42"/>
      <c r="BE380" s="42"/>
      <c r="BF380" s="42"/>
      <c r="BG380" s="42"/>
      <c r="BH380" s="42"/>
      <c r="BI380" s="42"/>
      <c r="BJ380" s="42"/>
      <c r="BK380" s="42"/>
      <c r="BL380" s="42"/>
      <c r="BM380" s="42"/>
      <c r="BN380" s="42"/>
    </row>
    <row r="381" spans="1:66" ht="12.75" customHeight="1" x14ac:dyDescent="0.2">
      <c r="A381" s="1" t="s">
        <v>512</v>
      </c>
      <c r="B381" s="4">
        <f>_xll.ciqfunctions.udf.CIQ(InputTicker, "IQ_TOTAL_DEBT_NON_CURRENT",Input!D$2,Date,,,Ccy,Conv)</f>
        <v>33431</v>
      </c>
      <c r="C381" s="4">
        <f>_xll.ciqfunctions.udf.CIQ(InputTicker, "IQ_TOTAL_DEBT_NON_CURRENT",Input!E$2,Date,,,Ccy,Conv)</f>
        <v>34663</v>
      </c>
      <c r="D381" s="4">
        <f>_xll.ciqfunctions.udf.CIQ(InputTicker, "IQ_TOTAL_DEBT_NON_CURRENT",Input!F$2,Date,,,Ccy,Conv)</f>
        <v>39871</v>
      </c>
      <c r="E381" s="4">
        <f>_xll.ciqfunctions.udf.CIQ(InputTicker, "IQ_TOTAL_DEBT_NON_CURRENT",Input!G$2,Date,,,Ccy,Conv)</f>
        <v>35605</v>
      </c>
      <c r="F381" s="4">
        <f>_xll.ciqfunctions.udf.CIQ(InputTicker, "IQ_TOTAL_DEBT_NON_CURRENT",Input!H$2,Date,,,Ccy,Conv)</f>
        <v>57981</v>
      </c>
      <c r="G381" s="4">
        <f>_xll.ciqfunctions.udf.CIQ(InputTicker, "IQ_TOTAL_DEBT_NON_CURRENT",Input!I$2,Date,,,Ccy,Conv)</f>
        <v>56937</v>
      </c>
      <c r="H381" s="4">
        <f>_xll.ciqfunctions.udf.CIQ(InputTicker, "IQ_TOTAL_DEBT_NON_CURRENT",Input!J$2,Date,,,Ccy,Conv)</f>
        <v>47379</v>
      </c>
      <c r="I381" s="4">
        <f>_xll.ciqfunctions.udf.CIQ(InputTicker, "IQ_TOTAL_DEBT_NON_CURRENT",Input!K$2,Date,,,Ccy,Conv)</f>
        <v>48379</v>
      </c>
      <c r="J381" s="4">
        <f>_xll.ciqfunctions.udf.CIQ(InputTicker, "IQ_TOTAL_DEBT_NON_CURRENT",Input!L$2,Date,,,Ccy,Conv)</f>
        <v>52689</v>
      </c>
      <c r="K381" s="4">
        <f>_xll.ciqfunctions.udf.CIQ(InputTicker, "IQ_TOTAL_DEBT_NON_CURRENT",Input!M$2,Date,,,Ccy,Conv)</f>
        <v>52539</v>
      </c>
      <c r="L381" s="4">
        <f>_xll.ciqfunctions.udf.CIQ(InputTicker, "IQ_TOTAL_DEBT_NON_CURRENT",Input!N$2,Date,,,Ccy,Conv)</f>
        <v>57383</v>
      </c>
      <c r="M381" s="4">
        <f>_xll.ciqfunctions.udf.CIQ(InputTicker, "IQ_TOTAL_DEBT_NON_CURRENT",Input!O$2,Date,,,Ccy,Conv)</f>
        <v>57383</v>
      </c>
      <c r="N381" s="53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  <c r="AK381" s="42"/>
      <c r="AL381" s="42"/>
      <c r="AM381" s="42"/>
      <c r="AN381" s="42"/>
      <c r="AO381" s="42"/>
      <c r="AP381" s="42"/>
      <c r="AQ381" s="42"/>
      <c r="AR381" s="42"/>
      <c r="AS381" s="42"/>
      <c r="AT381" s="42"/>
      <c r="AU381" s="42"/>
      <c r="AV381" s="42"/>
      <c r="AW381" s="42"/>
      <c r="AX381" s="42"/>
      <c r="AY381" s="42"/>
      <c r="AZ381" s="42"/>
      <c r="BA381" s="42"/>
      <c r="BB381" s="42"/>
      <c r="BC381" s="42"/>
      <c r="BD381" s="42"/>
      <c r="BE381" s="42"/>
      <c r="BF381" s="42"/>
      <c r="BG381" s="42"/>
      <c r="BH381" s="42"/>
      <c r="BI381" s="42"/>
      <c r="BJ381" s="42"/>
      <c r="BK381" s="42"/>
      <c r="BL381" s="42"/>
      <c r="BM381" s="42"/>
      <c r="BN381" s="42"/>
    </row>
    <row r="382" spans="1:66" ht="12.75" customHeight="1" x14ac:dyDescent="0.2">
      <c r="A382" s="1" t="s">
        <v>102</v>
      </c>
      <c r="B382" s="4">
        <f>_xll.ciqfunctions.udf.CIQ(InputTicker, "IQ_NET_DEBT",Input!D$2,Date,,,Ccy,Conv)</f>
        <v>31698</v>
      </c>
      <c r="C382" s="4">
        <f>_xll.ciqfunctions.udf.CIQ(InputTicker, "IQ_NET_DEBT",Input!E$2,Date,,,Ccy,Conv)</f>
        <v>33649</v>
      </c>
      <c r="D382" s="4">
        <f>_xll.ciqfunctions.udf.CIQ(InputTicker, "IQ_NET_DEBT",Input!F$2,Date,,,Ccy,Conv)</f>
        <v>34276</v>
      </c>
      <c r="E382" s="4">
        <f>_xll.ciqfunctions.udf.CIQ(InputTicker, "IQ_NET_DEBT",Input!G$2,Date,,,Ccy,Conv)</f>
        <v>33815</v>
      </c>
      <c r="F382" s="4">
        <f>_xll.ciqfunctions.udf.CIQ(InputTicker, "IQ_NET_DEBT",Input!H$2,Date,,,Ccy,Conv)</f>
        <v>59290</v>
      </c>
      <c r="G382" s="4">
        <f>_xll.ciqfunctions.udf.CIQ(InputTicker, "IQ_NET_DEBT",Input!I$2,Date,,,Ccy,Conv)</f>
        <v>51300</v>
      </c>
      <c r="H382" s="4">
        <f>_xll.ciqfunctions.udf.CIQ(InputTicker, "IQ_NET_DEBT",Input!J$2,Date,,,Ccy,Conv)</f>
        <v>47890</v>
      </c>
      <c r="I382" s="4">
        <f>_xll.ciqfunctions.udf.CIQ(InputTicker, "IQ_NET_DEBT",Input!K$2,Date,,,Ccy,Conv)</f>
        <v>45275</v>
      </c>
      <c r="J382" s="4">
        <f>_xll.ciqfunctions.udf.CIQ(InputTicker, "IQ_NET_DEBT",Input!L$2,Date,,,Ccy,Conv)</f>
        <v>46494</v>
      </c>
      <c r="K382" s="4">
        <f>_xll.ciqfunctions.udf.CIQ(InputTicker, "IQ_NET_DEBT",Input!M$2,Date,,,Ccy,Conv)</f>
        <v>43805</v>
      </c>
      <c r="L382" s="4">
        <f>_xll.ciqfunctions.udf.CIQ(InputTicker, "IQ_NET_DEBT",Input!N$2,Date,,,Ccy,Conv)</f>
        <v>50190</v>
      </c>
      <c r="M382" s="4">
        <f>_xll.ciqfunctions.udf.CIQ(InputTicker, "IQ_NET_DEBT",Input!O$2,Date,,,Ccy,Conv)</f>
        <v>50190</v>
      </c>
      <c r="N382" s="53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  <c r="BA382" s="42"/>
      <c r="BB382" s="42"/>
      <c r="BC382" s="42"/>
      <c r="BD382" s="42"/>
      <c r="BE382" s="42"/>
      <c r="BF382" s="42"/>
      <c r="BG382" s="42"/>
      <c r="BH382" s="42"/>
      <c r="BI382" s="42"/>
      <c r="BJ382" s="42"/>
      <c r="BK382" s="42"/>
      <c r="BL382" s="42"/>
      <c r="BM382" s="42"/>
      <c r="BN382" s="42"/>
    </row>
    <row r="383" spans="1:66" ht="12.75" customHeight="1" x14ac:dyDescent="0.2">
      <c r="A383" s="1" t="s">
        <v>368</v>
      </c>
      <c r="B383" s="4">
        <f>_xll.ciqfunctions.udf.CIQ(InputTicker, "IQ_MINORITY_INTEREST_TOTAL",Input!D$2,Date,,,Ccy,Conv)</f>
        <v>162</v>
      </c>
      <c r="C383" s="4">
        <f>_xll.ciqfunctions.udf.CIQ(InputTicker, "IQ_MINORITY_INTEREST_TOTAL",Input!E$2,Date,,,Ccy,Conv)</f>
        <v>146</v>
      </c>
      <c r="D383" s="4">
        <f>_xll.ciqfunctions.udf.CIQ(InputTicker, "IQ_MINORITY_INTEREST_TOTAL",Input!F$2,Date,,,Ccy,Conv)</f>
        <v>131</v>
      </c>
      <c r="E383" s="4">
        <f>_xll.ciqfunctions.udf.CIQ(InputTicker, "IQ_MINORITY_INTEREST_TOTAL",Input!G$2,Date,,,Ccy,Conv)</f>
        <v>134</v>
      </c>
      <c r="F383" s="4">
        <f>_xll.ciqfunctions.udf.CIQ(InputTicker, "IQ_MINORITY_INTEREST_TOTAL",Input!H$2,Date,,,Ccy,Conv)</f>
        <v>144</v>
      </c>
      <c r="G383" s="4">
        <f>_xll.ciqfunctions.udf.CIQ(InputTicker, "IQ_MINORITY_INTEREST_TOTAL",Input!I$2,Date,,,Ccy,Conv)</f>
        <v>129</v>
      </c>
      <c r="H383" s="4">
        <f>_xll.ciqfunctions.udf.CIQ(InputTicker, "IQ_MINORITY_INTEREST_TOTAL",Input!J$2,Date,,,Ccy,Conv)</f>
        <v>95</v>
      </c>
      <c r="I383" s="4">
        <f>_xll.ciqfunctions.udf.CIQ(InputTicker, "IQ_MINORITY_INTEREST_TOTAL",Input!K$2,Date,,,Ccy,Conv)</f>
        <v>77</v>
      </c>
      <c r="J383" s="4">
        <f>_xll.ciqfunctions.udf.CIQ(InputTicker, "IQ_MINORITY_INTEREST_TOTAL",Input!L$2,Date,,,Ccy,Conv)</f>
        <v>80</v>
      </c>
      <c r="K383" s="4">
        <f>_xll.ciqfunctions.udf.CIQ(InputTicker, "IQ_MINORITY_INTEREST_TOTAL",Input!M$2,Date,,,Ccy,Conv)</f>
        <v>86</v>
      </c>
      <c r="L383" s="4">
        <f>_xll.ciqfunctions.udf.CIQ(InputTicker, "IQ_MINORITY_INTEREST_TOTAL",Input!N$2,Date,,,Ccy,Conv)</f>
        <v>93</v>
      </c>
      <c r="M383" s="4">
        <f>_xll.ciqfunctions.udf.CIQ(InputTicker, "IQ_MINORITY_INTEREST_TOTAL",Input!O$2,Date,,,Ccy,Conv)</f>
        <v>93</v>
      </c>
      <c r="N383" s="53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  <c r="AK383" s="42"/>
      <c r="AL383" s="42"/>
      <c r="AM383" s="42"/>
      <c r="AN383" s="42"/>
      <c r="AO383" s="42"/>
      <c r="AP383" s="42"/>
      <c r="AQ383" s="42"/>
      <c r="AR383" s="42"/>
      <c r="AS383" s="42"/>
      <c r="AT383" s="42"/>
      <c r="AU383" s="42"/>
      <c r="AV383" s="42"/>
      <c r="AW383" s="42"/>
      <c r="AX383" s="42"/>
      <c r="AY383" s="42"/>
      <c r="AZ383" s="42"/>
      <c r="BA383" s="42"/>
      <c r="BB383" s="42"/>
      <c r="BC383" s="42"/>
      <c r="BD383" s="42"/>
      <c r="BE383" s="42"/>
      <c r="BF383" s="42"/>
      <c r="BG383" s="42"/>
      <c r="BH383" s="42"/>
      <c r="BI383" s="42"/>
      <c r="BJ383" s="42"/>
      <c r="BK383" s="42"/>
      <c r="BL383" s="42"/>
      <c r="BM383" s="42"/>
      <c r="BN383" s="42"/>
    </row>
    <row r="384" spans="1:66" ht="12.75" customHeight="1" x14ac:dyDescent="0.2">
      <c r="A384" s="1" t="s">
        <v>218</v>
      </c>
      <c r="B384" s="4">
        <f>_xll.ciqfunctions.udf.CIQ(InputTicker, "IQ_TOTAL_CAP",Input!D$2,Date,,,Ccy,Conv)</f>
        <v>54316</v>
      </c>
      <c r="C384" s="4">
        <f>_xll.ciqfunctions.udf.CIQ(InputTicker, "IQ_TOTAL_CAP",Input!E$2,Date,,,Ccy,Conv)</f>
        <v>60568</v>
      </c>
      <c r="D384" s="4">
        <f>_xll.ciqfunctions.udf.CIQ(InputTicker, "IQ_TOTAL_CAP",Input!F$2,Date,,,Ccy,Conv)</f>
        <v>64583</v>
      </c>
      <c r="E384" s="4">
        <f>_xll.ciqfunctions.udf.CIQ(InputTicker, "IQ_TOTAL_CAP",Input!G$2,Date,,,Ccy,Conv)</f>
        <v>62742</v>
      </c>
      <c r="F384" s="4">
        <f>_xll.ciqfunctions.udf.CIQ(InputTicker, "IQ_TOTAL_CAP",Input!H$2,Date,,,Ccy,Conv)</f>
        <v>89143</v>
      </c>
      <c r="G384" s="4">
        <f>_xll.ciqfunctions.udf.CIQ(InputTicker, "IQ_TOTAL_CAP",Input!I$2,Date,,,Ccy,Conv)</f>
        <v>85814</v>
      </c>
      <c r="H384" s="4">
        <f>_xll.ciqfunctions.udf.CIQ(InputTicker, "IQ_TOTAL_CAP",Input!J$2,Date,,,Ccy,Conv)</f>
        <v>74136</v>
      </c>
      <c r="I384" s="4">
        <f>_xll.ciqfunctions.udf.CIQ(InputTicker, "IQ_TOTAL_CAP",Input!K$2,Date,,,Ccy,Conv)</f>
        <v>76034</v>
      </c>
      <c r="J384" s="4">
        <f>_xll.ciqfunctions.udf.CIQ(InputTicker, "IQ_TOTAL_CAP",Input!L$2,Date,,,Ccy,Conv)</f>
        <v>82548</v>
      </c>
      <c r="K384" s="4">
        <f>_xll.ciqfunctions.udf.CIQ(InputTicker, "IQ_TOTAL_CAP",Input!M$2,Date,,,Ccy,Conv)</f>
        <v>85789</v>
      </c>
      <c r="L384" s="4">
        <f>_xll.ciqfunctions.udf.CIQ(InputTicker, "IQ_TOTAL_CAP",Input!N$2,Date,,,Ccy,Conv)</f>
        <v>97348</v>
      </c>
      <c r="M384" s="4">
        <f>_xll.ciqfunctions.udf.CIQ(InputTicker, "IQ_TOTAL_CAP",Input!O$2,Date,,,Ccy,Conv)</f>
        <v>97348</v>
      </c>
      <c r="N384" s="53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  <c r="AK384" s="42"/>
      <c r="AL384" s="42"/>
      <c r="AM384" s="42"/>
      <c r="AN384" s="42"/>
      <c r="AO384" s="42"/>
      <c r="AP384" s="42"/>
      <c r="AQ384" s="42"/>
      <c r="AR384" s="42"/>
      <c r="AS384" s="42"/>
      <c r="AT384" s="42"/>
      <c r="AU384" s="42"/>
      <c r="AV384" s="42"/>
      <c r="AW384" s="42"/>
      <c r="AX384" s="42"/>
      <c r="AY384" s="42"/>
      <c r="AZ384" s="42"/>
      <c r="BA384" s="42"/>
      <c r="BB384" s="42"/>
      <c r="BC384" s="42"/>
      <c r="BD384" s="42"/>
      <c r="BE384" s="42"/>
      <c r="BF384" s="42"/>
      <c r="BG384" s="42"/>
      <c r="BH384" s="42"/>
      <c r="BI384" s="42"/>
      <c r="BJ384" s="42"/>
      <c r="BK384" s="42"/>
      <c r="BL384" s="42"/>
      <c r="BM384" s="42"/>
      <c r="BN384" s="42"/>
    </row>
    <row r="385" spans="1:66" ht="12.75" customHeight="1" x14ac:dyDescent="0.2">
      <c r="A385" s="1" t="s">
        <v>353</v>
      </c>
      <c r="B385" s="4">
        <f>_xll.ciqfunctions.udf.CIQ(InputTicker, "IQ_WORKING_CAP",Input!D$2,Date,,,Ccy,Conv)</f>
        <v>8235</v>
      </c>
      <c r="C385" s="4">
        <f>_xll.ciqfunctions.udf.CIQ(InputTicker, "IQ_WORKING_CAP",Input!E$2,Date,,,Ccy,Conv)</f>
        <v>7614</v>
      </c>
      <c r="D385" s="4">
        <f>_xll.ciqfunctions.udf.CIQ(InputTicker, "IQ_WORKING_CAP",Input!F$2,Date,,,Ccy,Conv)</f>
        <v>12372</v>
      </c>
      <c r="E385" s="4">
        <f>_xll.ciqfunctions.udf.CIQ(InputTicker, "IQ_WORKING_CAP",Input!G$2,Date,,,Ccy,Conv)</f>
        <v>10919</v>
      </c>
      <c r="F385" s="4">
        <f>_xll.ciqfunctions.udf.CIQ(InputTicker, "IQ_WORKING_CAP",Input!H$2,Date,,,Ccy,Conv)</f>
        <v>719</v>
      </c>
      <c r="G385" s="4">
        <f>_xll.ciqfunctions.udf.CIQ(InputTicker, "IQ_WORKING_CAP",Input!I$2,Date,,,Ccy,Conv)</f>
        <v>-704</v>
      </c>
      <c r="H385" s="4">
        <f>_xll.ciqfunctions.udf.CIQ(InputTicker, "IQ_WORKING_CAP",Input!J$2,Date,,,Ccy,Conv)</f>
        <v>-4080</v>
      </c>
      <c r="I385" s="4">
        <f>_xll.ciqfunctions.udf.CIQ(InputTicker, "IQ_WORKING_CAP",Input!K$2,Date,,,Ccy,Conv)</f>
        <v>-2387</v>
      </c>
      <c r="J385" s="4">
        <f>_xll.ciqfunctions.udf.CIQ(InputTicker, "IQ_WORKING_CAP",Input!L$2,Date,,,Ccy,Conv)</f>
        <v>-1214</v>
      </c>
      <c r="K385" s="4">
        <f>_xll.ciqfunctions.udf.CIQ(InputTicker, "IQ_WORKING_CAP",Input!M$2,Date,,,Ccy,Conv)</f>
        <v>1340</v>
      </c>
      <c r="L385" s="4">
        <f>_xll.ciqfunctions.udf.CIQ(InputTicker, "IQ_WORKING_CAP",Input!N$2,Date,,,Ccy,Conv)</f>
        <v>-1714</v>
      </c>
      <c r="M385" s="4">
        <f>_xll.ciqfunctions.udf.CIQ(InputTicker, "IQ_WORKING_CAP",Input!O$2,Date,,,Ccy,Conv)</f>
        <v>-1714</v>
      </c>
      <c r="N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  <c r="BA385" s="42"/>
      <c r="BB385" s="42"/>
      <c r="BC385" s="42"/>
      <c r="BD385" s="42"/>
      <c r="BE385" s="42"/>
      <c r="BF385" s="42"/>
      <c r="BG385" s="42"/>
      <c r="BH385" s="42"/>
      <c r="BI385" s="42"/>
      <c r="BJ385" s="42"/>
      <c r="BK385" s="42"/>
      <c r="BL385" s="42"/>
      <c r="BM385" s="42"/>
      <c r="BN385" s="42"/>
    </row>
    <row r="386" spans="1:66" ht="12.75" customHeight="1" x14ac:dyDescent="0.2">
      <c r="A386" s="1" t="s">
        <v>354</v>
      </c>
      <c r="B386" s="4">
        <f>_xll.ciqfunctions.udf.CIQ(InputTicker, "IQ_NET_WORKING_CAP",Input!D$2,Date,,,Ccy,Conv)</f>
        <v>6502</v>
      </c>
      <c r="C386" s="4">
        <f>_xll.ciqfunctions.udf.CIQ(InputTicker, "IQ_NET_WORKING_CAP",Input!E$2,Date,,,Ccy,Conv)</f>
        <v>6600</v>
      </c>
      <c r="D386" s="4">
        <f>_xll.ciqfunctions.udf.CIQ(InputTicker, "IQ_NET_WORKING_CAP",Input!F$2,Date,,,Ccy,Conv)</f>
        <v>6777</v>
      </c>
      <c r="E386" s="4">
        <f>_xll.ciqfunctions.udf.CIQ(InputTicker, "IQ_NET_WORKING_CAP",Input!G$2,Date,,,Ccy,Conv)</f>
        <v>9129</v>
      </c>
      <c r="F386" s="4">
        <f>_xll.ciqfunctions.udf.CIQ(InputTicker, "IQ_NET_WORKING_CAP",Input!H$2,Date,,,Ccy,Conv)</f>
        <v>2028</v>
      </c>
      <c r="G386" s="4">
        <f>_xll.ciqfunctions.udf.CIQ(InputTicker, "IQ_NET_WORKING_CAP",Input!I$2,Date,,,Ccy,Conv)</f>
        <v>-6341</v>
      </c>
      <c r="H386" s="4">
        <f>_xll.ciqfunctions.udf.CIQ(InputTicker, "IQ_NET_WORKING_CAP",Input!J$2,Date,,,Ccy,Conv)</f>
        <v>-3569</v>
      </c>
      <c r="I386" s="4">
        <f>_xll.ciqfunctions.udf.CIQ(InputTicker, "IQ_NET_WORKING_CAP",Input!K$2,Date,,,Ccy,Conv)</f>
        <v>-5491</v>
      </c>
      <c r="J386" s="4">
        <f>_xll.ciqfunctions.udf.CIQ(InputTicker, "IQ_NET_WORKING_CAP",Input!L$2,Date,,,Ccy,Conv)</f>
        <v>-7409</v>
      </c>
      <c r="K386" s="4">
        <f>_xll.ciqfunctions.udf.CIQ(InputTicker, "IQ_NET_WORKING_CAP",Input!M$2,Date,,,Ccy,Conv)</f>
        <v>-7394</v>
      </c>
      <c r="L386" s="4">
        <f>_xll.ciqfunctions.udf.CIQ(InputTicker, "IQ_NET_WORKING_CAP",Input!N$2,Date,,,Ccy,Conv)</f>
        <v>-8907</v>
      </c>
      <c r="M386" s="4">
        <f>_xll.ciqfunctions.udf.CIQ(InputTicker, "IQ_NET_WORKING_CAP",Input!O$2,Date,,,Ccy,Conv)</f>
        <v>-8907</v>
      </c>
      <c r="N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  <c r="AK386" s="42"/>
      <c r="AL386" s="42"/>
      <c r="AM386" s="42"/>
      <c r="AN386" s="42"/>
      <c r="AO386" s="42"/>
      <c r="AP386" s="42"/>
      <c r="AQ386" s="42"/>
      <c r="AR386" s="42"/>
      <c r="AS386" s="42"/>
      <c r="AT386" s="42"/>
      <c r="AU386" s="42"/>
      <c r="AV386" s="42"/>
      <c r="AW386" s="42"/>
      <c r="AX386" s="42"/>
      <c r="AY386" s="42"/>
      <c r="AZ386" s="42"/>
      <c r="BA386" s="42"/>
      <c r="BB386" s="42"/>
      <c r="BC386" s="42"/>
      <c r="BD386" s="42"/>
      <c r="BE386" s="42"/>
      <c r="BF386" s="42"/>
      <c r="BG386" s="42"/>
      <c r="BH386" s="42"/>
      <c r="BI386" s="42"/>
      <c r="BJ386" s="42"/>
      <c r="BK386" s="42"/>
      <c r="BL386" s="42"/>
      <c r="BM386" s="42"/>
      <c r="BN386" s="42"/>
    </row>
    <row r="387" spans="1:66" ht="12.75" customHeight="1" x14ac:dyDescent="0.2">
      <c r="A387" s="1" t="s">
        <v>367</v>
      </c>
      <c r="B387" s="4">
        <f>_xll.ciqfunctions.udf.CIQ(InputTicker, "IQ_ALLOW_DOUBT_ACCT",Input!D$2,Date,,,Ccy,Conv)</f>
        <v>367</v>
      </c>
      <c r="C387" s="4">
        <f>_xll.ciqfunctions.udf.CIQ(InputTicker, "IQ_ALLOW_DOUBT_ACCT",Input!E$2,Date,,,Ccy,Conv)</f>
        <v>290</v>
      </c>
      <c r="D387" s="4">
        <f>_xll.ciqfunctions.udf.CIQ(InputTicker, "IQ_ALLOW_DOUBT_ACCT",Input!F$2,Date,,,Ccy,Conv)</f>
        <v>297</v>
      </c>
      <c r="E387" s="4">
        <f>_xll.ciqfunctions.udf.CIQ(InputTicker, "IQ_ALLOW_DOUBT_ACCT",Input!G$2,Date,,,Ccy,Conv)</f>
        <v>309</v>
      </c>
      <c r="F387" s="4">
        <f>_xll.ciqfunctions.udf.CIQ(InputTicker, "IQ_ALLOW_DOUBT_ACCT",Input!H$2,Date,,,Ccy,Conv)</f>
        <v>299</v>
      </c>
      <c r="G387" s="4">
        <f>_xll.ciqfunctions.udf.CIQ(InputTicker, "IQ_ALLOW_DOUBT_ACCT",Input!I$2,Date,,,Ccy,Conv)</f>
        <v>260</v>
      </c>
      <c r="H387" s="4">
        <f>_xll.ciqfunctions.udf.CIQ(InputTicker, "IQ_ALLOW_DOUBT_ACCT",Input!J$2,Date,,,Ccy,Conv)</f>
        <v>218</v>
      </c>
      <c r="I387" s="4">
        <f>_xll.ciqfunctions.udf.CIQ(InputTicker, "IQ_ALLOW_DOUBT_ACCT",Input!K$2,Date,,,Ccy,Conv)</f>
        <v>233</v>
      </c>
      <c r="J387" s="4">
        <f>_xll.ciqfunctions.udf.CIQ(InputTicker, "IQ_ALLOW_DOUBT_ACCT",Input!L$2,Date,,,Ccy,Conv)</f>
        <v>192</v>
      </c>
      <c r="K387" s="4">
        <f>_xll.ciqfunctions.udf.CIQ(InputTicker, "IQ_ALLOW_DOUBT_ACCT",Input!M$2,Date,,,Ccy,Conv)</f>
        <v>114</v>
      </c>
      <c r="L387" s="4">
        <f>_xll.ciqfunctions.udf.CIQ(InputTicker, "IQ_ALLOW_DOUBT_ACCT",Input!N$2,Date,,,Ccy,Conv)</f>
        <v>99</v>
      </c>
      <c r="M387" s="4">
        <f>_xll.ciqfunctions.udf.CIQ(InputTicker, "IQ_ALLOW_DOUBT_ACCT",Input!O$2,Date,,,Ccy,Conv)</f>
        <v>99</v>
      </c>
      <c r="N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  <c r="AK387" s="42"/>
      <c r="AL387" s="42"/>
      <c r="AM387" s="42"/>
      <c r="AN387" s="42"/>
      <c r="AO387" s="42"/>
      <c r="AP387" s="42"/>
      <c r="AQ387" s="42"/>
      <c r="AR387" s="42"/>
      <c r="AS387" s="42"/>
      <c r="AT387" s="42"/>
      <c r="AU387" s="42"/>
      <c r="AV387" s="42"/>
      <c r="AW387" s="42"/>
      <c r="AX387" s="42"/>
      <c r="AY387" s="42"/>
      <c r="AZ387" s="42"/>
      <c r="BA387" s="42"/>
      <c r="BB387" s="42"/>
      <c r="BC387" s="42"/>
      <c r="BD387" s="42"/>
      <c r="BE387" s="42"/>
      <c r="BF387" s="42"/>
      <c r="BG387" s="42"/>
      <c r="BH387" s="42"/>
      <c r="BI387" s="42"/>
      <c r="BJ387" s="42"/>
      <c r="BK387" s="42"/>
      <c r="BL387" s="42"/>
      <c r="BM387" s="42"/>
      <c r="BN387" s="42"/>
    </row>
    <row r="388" spans="1:66" ht="12.75" customHeight="1" x14ac:dyDescent="0.2">
      <c r="A388" s="1" t="s">
        <v>355</v>
      </c>
      <c r="B388" s="4">
        <f>_xll.ciqfunctions.udf.CIQ(InputTicker, "IQ_EQUITY_METHOD",Input!D$2,Date,,,Ccy,Conv)</f>
        <v>82</v>
      </c>
      <c r="C388" s="4">
        <f>_xll.ciqfunctions.udf.CIQ(InputTicker, "IQ_EQUITY_METHOD",Input!E$2,Date,,,Ccy,Conv)</f>
        <v>85</v>
      </c>
      <c r="D388" s="4">
        <f>_xll.ciqfunctions.udf.CIQ(InputTicker, "IQ_EQUITY_METHOD",Input!F$2,Date,,,Ccy,Conv)</f>
        <v>90</v>
      </c>
      <c r="E388" s="4">
        <f>_xll.ciqfunctions.udf.CIQ(InputTicker, "IQ_EQUITY_METHOD",Input!G$2,Date,,,Ccy,Conv)</f>
        <v>192</v>
      </c>
      <c r="F388" s="4">
        <f>_xll.ciqfunctions.udf.CIQ(InputTicker, "IQ_EQUITY_METHOD",Input!H$2,Date,,,Ccy,Conv)</f>
        <v>184</v>
      </c>
      <c r="G388" s="4">
        <f>_xll.ciqfunctions.udf.CIQ(InputTicker, "IQ_EQUITY_METHOD",Input!I$2,Date,,,Ccy,Conv)</f>
        <v>170</v>
      </c>
      <c r="H388" s="4">
        <f>_xll.ciqfunctions.udf.CIQ(InputTicker, "IQ_EQUITY_METHOD",Input!J$2,Date,,,Ccy,Conv)</f>
        <v>159</v>
      </c>
      <c r="I388" s="4">
        <f>_xll.ciqfunctions.udf.CIQ(InputTicker, "IQ_EQUITY_METHOD",Input!K$2,Date,,,Ccy,Conv)</f>
        <v>142</v>
      </c>
      <c r="J388" s="4">
        <f>_xll.ciqfunctions.udf.CIQ(InputTicker, "IQ_EQUITY_METHOD",Input!L$2,Date,,,Ccy,Conv)</f>
        <v>125</v>
      </c>
      <c r="K388" s="4">
        <f>_xll.ciqfunctions.udf.CIQ(InputTicker, "IQ_EQUITY_METHOD",Input!M$2,Date,,,Ccy,Conv)</f>
        <v>108</v>
      </c>
      <c r="L388" s="4">
        <f>_xll.ciqfunctions.udf.CIQ(InputTicker, "IQ_EQUITY_METHOD",Input!N$2,Date,,,Ccy,Conv)</f>
        <v>60</v>
      </c>
      <c r="M388" s="4">
        <f>_xll.ciqfunctions.udf.CIQ(InputTicker, "IQ_EQUITY_METHOD",Input!O$2,Date,,,Ccy,Conv)</f>
        <v>60</v>
      </c>
      <c r="N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  <c r="BA388" s="42"/>
      <c r="BB388" s="42"/>
      <c r="BC388" s="42"/>
      <c r="BD388" s="42"/>
      <c r="BE388" s="42"/>
      <c r="BF388" s="42"/>
      <c r="BG388" s="42"/>
      <c r="BH388" s="42"/>
      <c r="BI388" s="42"/>
      <c r="BJ388" s="42"/>
      <c r="BK388" s="42"/>
      <c r="BL388" s="42"/>
      <c r="BM388" s="42"/>
      <c r="BN388" s="42"/>
    </row>
    <row r="389" spans="1:66" ht="12.75" customHeight="1" x14ac:dyDescent="0.2">
      <c r="A389" s="1" t="s">
        <v>43</v>
      </c>
      <c r="B389" s="4">
        <f>_xll.ciqfunctions.udf.CIQ(InputTicker, "IQ_AR_UNBILLED",Input!D$2,Date,,,Ccy,Conv)</f>
        <v>1630</v>
      </c>
      <c r="C389" s="4">
        <f>_xll.ciqfunctions.udf.CIQ(InputTicker, "IQ_AR_UNBILLED",Input!E$2,Date,,,Ccy,Conv)</f>
        <v>1611</v>
      </c>
      <c r="D389" s="4">
        <f>_xll.ciqfunctions.udf.CIQ(InputTicker, "IQ_AR_UNBILLED",Input!F$2,Date,,,Ccy,Conv)</f>
        <v>2227</v>
      </c>
      <c r="E389" s="4">
        <f>_xll.ciqfunctions.udf.CIQ(InputTicker, "IQ_AR_UNBILLED",Input!G$2,Date,,,Ccy,Conv)</f>
        <v>1545</v>
      </c>
      <c r="F389" s="4">
        <f>_xll.ciqfunctions.udf.CIQ(InputTicker, "IQ_AR_UNBILLED",Input!H$2,Date,,,Ccy,Conv)</f>
        <v>1563</v>
      </c>
      <c r="G389" s="4">
        <f>_xll.ciqfunctions.udf.CIQ(InputTicker, "IQ_AR_UNBILLED",Input!I$2,Date,,,Ccy,Conv)</f>
        <v>1075</v>
      </c>
      <c r="H389" s="4">
        <f>_xll.ciqfunctions.udf.CIQ(InputTicker, "IQ_AR_UNBILLED",Input!J$2,Date,,,Ccy,Conv)</f>
        <v>1194</v>
      </c>
      <c r="I389" s="4">
        <f>_xll.ciqfunctions.udf.CIQ(InputTicker, "IQ_AR_UNBILLED",Input!K$2,Date,,,Ccy,Conv)</f>
        <v>1252</v>
      </c>
      <c r="J389" s="4">
        <f>_xll.ciqfunctions.udf.CIQ(InputTicker, "IQ_AR_UNBILLED",Input!L$2,Date,,,Ccy,Conv)</f>
        <v>1321</v>
      </c>
      <c r="K389" s="4">
        <f>_xll.ciqfunctions.udf.CIQ(InputTicker, "IQ_AR_UNBILLED",Input!M$2,Date,,,Ccy,Conv)</f>
        <v>433</v>
      </c>
      <c r="L389" s="4">
        <f>_xll.ciqfunctions.udf.CIQ(InputTicker, "IQ_AR_UNBILLED",Input!N$2,Date,,,Ccy,Conv)</f>
        <v>482</v>
      </c>
      <c r="M389" s="4">
        <f>_xll.ciqfunctions.udf.CIQ(InputTicker, "IQ_AR_UNBILLED",Input!O$2,Date,,,Ccy,Conv)</f>
        <v>482</v>
      </c>
      <c r="N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  <c r="AK389" s="42"/>
      <c r="AL389" s="42"/>
      <c r="AM389" s="42"/>
      <c r="AN389" s="42"/>
      <c r="AO389" s="42"/>
      <c r="AP389" s="42"/>
      <c r="AQ389" s="42"/>
      <c r="AR389" s="42"/>
      <c r="AS389" s="42"/>
      <c r="AT389" s="42"/>
      <c r="AU389" s="42"/>
      <c r="AV389" s="42"/>
      <c r="AW389" s="42"/>
      <c r="AX389" s="42"/>
      <c r="AY389" s="42"/>
      <c r="AZ389" s="42"/>
      <c r="BA389" s="42"/>
      <c r="BB389" s="42"/>
      <c r="BC389" s="42"/>
      <c r="BD389" s="42"/>
      <c r="BE389" s="42"/>
      <c r="BF389" s="42"/>
      <c r="BG389" s="42"/>
      <c r="BH389" s="42"/>
      <c r="BI389" s="42"/>
      <c r="BJ389" s="42"/>
      <c r="BK389" s="42"/>
      <c r="BL389" s="42"/>
      <c r="BM389" s="42"/>
      <c r="BN389" s="42"/>
    </row>
    <row r="390" spans="1:66" ht="12.75" customHeight="1" x14ac:dyDescent="0.2">
      <c r="A390" s="1" t="s">
        <v>356</v>
      </c>
      <c r="B390" s="4" t="str">
        <f>_xll.ciqfunctions.udf.CIQ(InputTicker, "IQ_INV_METHOD",Input!D$2,Date)</f>
        <v>Avg Cost</v>
      </c>
      <c r="C390" s="4" t="str">
        <f>_xll.ciqfunctions.udf.CIQ(InputTicker, "IQ_INV_METHOD",Input!E$2,Date)</f>
        <v>Avg Cost</v>
      </c>
      <c r="D390" s="4" t="str">
        <f>_xll.ciqfunctions.udf.CIQ(InputTicker, "IQ_INV_METHOD",Input!F$2,Date)</f>
        <v>Avg Cost</v>
      </c>
      <c r="E390" s="4" t="str">
        <f>_xll.ciqfunctions.udf.CIQ(InputTicker, "IQ_INV_METHOD",Input!G$2,Date)</f>
        <v>Avg Cost</v>
      </c>
      <c r="F390" s="4" t="str">
        <f>_xll.ciqfunctions.udf.CIQ(InputTicker, "IQ_INV_METHOD",Input!H$2,Date)</f>
        <v>Avg Cost</v>
      </c>
      <c r="G390" s="4" t="str">
        <f>_xll.ciqfunctions.udf.CIQ(InputTicker, "IQ_INV_METHOD",Input!I$2,Date)</f>
        <v>Avg Cost</v>
      </c>
      <c r="H390" s="4" t="str">
        <f>_xll.ciqfunctions.udf.CIQ(InputTicker, "IQ_INV_METHOD",Input!J$2,Date)</f>
        <v>Avg Cost</v>
      </c>
      <c r="I390" s="4" t="str">
        <f>_xll.ciqfunctions.udf.CIQ(InputTicker, "IQ_INV_METHOD",Input!K$2,Date)</f>
        <v>Avg Cost</v>
      </c>
      <c r="J390" s="4" t="str">
        <f>_xll.ciqfunctions.udf.CIQ(InputTicker, "IQ_INV_METHOD",Input!L$2,Date)</f>
        <v>Avg Cost</v>
      </c>
      <c r="K390" s="4" t="str">
        <f>_xll.ciqfunctions.udf.CIQ(InputTicker, "IQ_INV_METHOD",Input!M$2,Date)</f>
        <v>Avg Cost</v>
      </c>
      <c r="L390" s="4" t="str">
        <f>_xll.ciqfunctions.udf.CIQ(InputTicker, "IQ_INV_METHOD",Input!N$2,Date)</f>
        <v>Avg Cost</v>
      </c>
      <c r="M390" s="4" t="str">
        <f>_xll.ciqfunctions.udf.CIQ(InputTicker, "IQ_INV_METHOD",Input!O$2,Date)</f>
        <v>Avg Cost</v>
      </c>
      <c r="N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  <c r="AK390" s="42"/>
      <c r="AL390" s="42"/>
      <c r="AM390" s="42"/>
      <c r="AN390" s="42"/>
      <c r="AO390" s="42"/>
      <c r="AP390" s="42"/>
      <c r="AQ390" s="42"/>
      <c r="AR390" s="42"/>
      <c r="AS390" s="42"/>
      <c r="AT390" s="42"/>
      <c r="AU390" s="42"/>
      <c r="AV390" s="42"/>
      <c r="AW390" s="42"/>
      <c r="AX390" s="42"/>
      <c r="AY390" s="42"/>
      <c r="AZ390" s="42"/>
      <c r="BA390" s="42"/>
      <c r="BB390" s="42"/>
      <c r="BC390" s="42"/>
      <c r="BD390" s="42"/>
      <c r="BE390" s="42"/>
      <c r="BF390" s="42"/>
      <c r="BG390" s="42"/>
      <c r="BH390" s="42"/>
      <c r="BI390" s="42"/>
      <c r="BJ390" s="42"/>
      <c r="BK390" s="42"/>
      <c r="BL390" s="42"/>
      <c r="BM390" s="42"/>
      <c r="BN390" s="42"/>
    </row>
    <row r="391" spans="1:66" ht="12.75" customHeight="1" x14ac:dyDescent="0.2">
      <c r="A391" s="1" t="s">
        <v>219</v>
      </c>
      <c r="B391" s="4">
        <f>_xll.ciqfunctions.udf.CIQ(InputTicker, "IQ_LIFOR",Input!D$2,Date,,,Ccy,Conv)</f>
        <v>0</v>
      </c>
      <c r="C391" s="4">
        <f>_xll.ciqfunctions.udf.CIQ(InputTicker, "IQ_LIFOR",Input!E$2,Date,,,Ccy,Conv)</f>
        <v>0</v>
      </c>
      <c r="D391" s="4">
        <f>_xll.ciqfunctions.udf.CIQ(InputTicker, "IQ_LIFOR",Input!F$2,Date,,,Ccy,Conv)</f>
        <v>0</v>
      </c>
      <c r="E391" s="4">
        <f>_xll.ciqfunctions.udf.CIQ(InputTicker, "IQ_LIFOR",Input!G$2,Date,,,Ccy,Conv)</f>
        <v>0</v>
      </c>
      <c r="F391" s="4">
        <f>_xll.ciqfunctions.udf.CIQ(InputTicker, "IQ_LIFOR",Input!H$2,Date,,,Ccy,Conv)</f>
        <v>0</v>
      </c>
      <c r="G391" s="4">
        <f>_xll.ciqfunctions.udf.CIQ(InputTicker, "IQ_LIFOR",Input!I$2,Date,,,Ccy,Conv)</f>
        <v>0</v>
      </c>
      <c r="H391" s="4">
        <f>_xll.ciqfunctions.udf.CIQ(InputTicker, "IQ_LIFOR",Input!J$2,Date,,,Ccy,Conv)</f>
        <v>0</v>
      </c>
      <c r="I391" s="4">
        <f>_xll.ciqfunctions.udf.CIQ(InputTicker, "IQ_LIFOR",Input!K$2,Date,,,Ccy,Conv)</f>
        <v>0</v>
      </c>
      <c r="J391" s="4">
        <f>_xll.ciqfunctions.udf.CIQ(InputTicker, "IQ_LIFOR",Input!L$2,Date,,,Ccy,Conv)</f>
        <v>0</v>
      </c>
      <c r="K391" s="4">
        <f>_xll.ciqfunctions.udf.CIQ(InputTicker, "IQ_LIFOR",Input!M$2,Date,,,Ccy,Conv)</f>
        <v>0</v>
      </c>
      <c r="L391" s="4">
        <f>_xll.ciqfunctions.udf.CIQ(InputTicker, "IQ_LIFOR",Input!N$2,Date,,,Ccy,Conv)</f>
        <v>0</v>
      </c>
      <c r="M391" s="4">
        <f>_xll.ciqfunctions.udf.CIQ(InputTicker, "IQ_LIFOR",Input!O$2,Date,,,Ccy,Conv)</f>
        <v>0</v>
      </c>
      <c r="N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  <c r="AK391" s="42"/>
      <c r="AL391" s="42"/>
      <c r="AM391" s="42"/>
      <c r="AN391" s="42"/>
      <c r="AO391" s="42"/>
      <c r="AP391" s="42"/>
      <c r="AQ391" s="42"/>
      <c r="AR391" s="42"/>
      <c r="AS391" s="42"/>
      <c r="AT391" s="42"/>
      <c r="AU391" s="42"/>
      <c r="AV391" s="42"/>
      <c r="AW391" s="42"/>
      <c r="AX391" s="42"/>
      <c r="AY391" s="42"/>
      <c r="AZ391" s="42"/>
      <c r="BA391" s="42"/>
      <c r="BB391" s="42"/>
      <c r="BC391" s="42"/>
      <c r="BD391" s="42"/>
      <c r="BE391" s="42"/>
      <c r="BF391" s="42"/>
      <c r="BG391" s="42"/>
      <c r="BH391" s="42"/>
      <c r="BI391" s="42"/>
      <c r="BJ391" s="42"/>
      <c r="BK391" s="42"/>
      <c r="BL391" s="42"/>
      <c r="BM391" s="42"/>
      <c r="BN391" s="42"/>
    </row>
    <row r="392" spans="1:66" ht="12.75" customHeight="1" x14ac:dyDescent="0.2">
      <c r="A392" s="1" t="s">
        <v>220</v>
      </c>
      <c r="B392" s="4">
        <f>_xll.ciqfunctions.udf.CIQ(InputTicker,"IQ_RAW_INV",Input!D$2,Date,,,Ccy,Conv)</f>
        <v>0</v>
      </c>
      <c r="C392" s="4">
        <f>_xll.ciqfunctions.udf.CIQ(InputTicker,"IQ_RAW_INV",Input!E$2,Date,,,Ccy,Conv)</f>
        <v>0</v>
      </c>
      <c r="D392" s="4">
        <f>_xll.ciqfunctions.udf.CIQ(InputTicker,"IQ_RAW_INV",Input!F$2,Date,,,Ccy,Conv)</f>
        <v>0</v>
      </c>
      <c r="E392" s="4">
        <f>_xll.ciqfunctions.udf.CIQ(InputTicker,"IQ_RAW_INV",Input!G$2,Date,,,Ccy,Conv)</f>
        <v>0</v>
      </c>
      <c r="F392" s="4">
        <f>_xll.ciqfunctions.udf.CIQ(InputTicker,"IQ_RAW_INV",Input!H$2,Date,,,Ccy,Conv)</f>
        <v>0</v>
      </c>
      <c r="G392" s="4">
        <f>_xll.ciqfunctions.udf.CIQ(InputTicker,"IQ_RAW_INV",Input!I$2,Date,,,Ccy,Conv)</f>
        <v>0</v>
      </c>
      <c r="H392" s="4">
        <f>_xll.ciqfunctions.udf.CIQ(InputTicker,"IQ_RAW_INV",Input!J$2,Date,,,Ccy,Conv)</f>
        <v>0</v>
      </c>
      <c r="I392" s="4">
        <f>_xll.ciqfunctions.udf.CIQ(InputTicker,"IQ_RAW_INV",Input!K$2,Date,,,Ccy,Conv)</f>
        <v>0</v>
      </c>
      <c r="J392" s="4">
        <f>_xll.ciqfunctions.udf.CIQ(InputTicker,"IQ_RAW_INV",Input!L$2,Date,,,Ccy,Conv)</f>
        <v>0</v>
      </c>
      <c r="K392" s="4">
        <f>_xll.ciqfunctions.udf.CIQ(InputTicker,"IQ_RAW_INV",Input!M$2,Date,,,Ccy,Conv)</f>
        <v>0</v>
      </c>
      <c r="L392" s="4">
        <f>_xll.ciqfunctions.udf.CIQ(InputTicker,"IQ_RAW_INV",Input!N$2,Date,,,Ccy,Conv)</f>
        <v>0</v>
      </c>
      <c r="M392" s="4">
        <f>_xll.ciqfunctions.udf.CIQ(InputTicker,"IQ_RAW_INV",Input!O$2,Date,,,Ccy,Conv)</f>
        <v>0</v>
      </c>
      <c r="N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  <c r="AK392" s="42"/>
      <c r="AL392" s="42"/>
      <c r="AM392" s="42"/>
      <c r="AN392" s="42"/>
      <c r="AO392" s="42"/>
      <c r="AP392" s="42"/>
      <c r="AQ392" s="42"/>
      <c r="AR392" s="42"/>
      <c r="AS392" s="42"/>
      <c r="AT392" s="42"/>
      <c r="AU392" s="42"/>
      <c r="AV392" s="42"/>
      <c r="AW392" s="42"/>
      <c r="AX392" s="42"/>
      <c r="AY392" s="42"/>
      <c r="AZ392" s="42"/>
      <c r="BA392" s="42"/>
      <c r="BB392" s="42"/>
      <c r="BC392" s="42"/>
      <c r="BD392" s="42"/>
      <c r="BE392" s="42"/>
      <c r="BF392" s="42"/>
      <c r="BG392" s="42"/>
      <c r="BH392" s="42"/>
      <c r="BI392" s="42"/>
      <c r="BJ392" s="42"/>
      <c r="BK392" s="42"/>
      <c r="BL392" s="42"/>
      <c r="BM392" s="42"/>
      <c r="BN392" s="42"/>
    </row>
    <row r="393" spans="1:66" ht="12.75" customHeight="1" x14ac:dyDescent="0.2">
      <c r="A393" s="1" t="s">
        <v>221</v>
      </c>
      <c r="B393" s="4">
        <f>_xll.ciqfunctions.udf.CIQ(InputTicker, "IQ_WIP_INV",Input!D$2,Date,,,Ccy,Conv)</f>
        <v>1199</v>
      </c>
      <c r="C393" s="4">
        <f>_xll.ciqfunctions.udf.CIQ(InputTicker, "IQ_WIP_INV",Input!E$2,Date,,,Ccy,Conv)</f>
        <v>1195</v>
      </c>
      <c r="D393" s="4">
        <f>_xll.ciqfunctions.udf.CIQ(InputTicker, "IQ_WIP_INV",Input!F$2,Date,,,Ccy,Conv)</f>
        <v>1250</v>
      </c>
      <c r="E393" s="4">
        <f>_xll.ciqfunctions.udf.CIQ(InputTicker, "IQ_WIP_INV",Input!G$2,Date,,,Ccy,Conv)</f>
        <v>1415</v>
      </c>
      <c r="F393" s="4">
        <f>_xll.ciqfunctions.udf.CIQ(InputTicker, "IQ_WIP_INV",Input!H$2,Date,,,Ccy,Conv)</f>
        <v>1399</v>
      </c>
      <c r="G393" s="4">
        <f>_xll.ciqfunctions.udf.CIQ(InputTicker, "IQ_WIP_INV",Input!I$2,Date,,,Ccy,Conv)</f>
        <v>1649</v>
      </c>
      <c r="H393" s="4">
        <f>_xll.ciqfunctions.udf.CIQ(InputTicker, "IQ_WIP_INV",Input!J$2,Date,,,Ccy,Conv)</f>
        <v>1441</v>
      </c>
      <c r="I393" s="4">
        <f>_xll.ciqfunctions.udf.CIQ(InputTicker, "IQ_WIP_INV",Input!K$2,Date,,,Ccy,Conv)</f>
        <v>1394</v>
      </c>
      <c r="J393" s="4">
        <f>_xll.ciqfunctions.udf.CIQ(InputTicker, "IQ_WIP_INV",Input!L$2,Date,,,Ccy,Conv)</f>
        <v>1083</v>
      </c>
      <c r="K393" s="4">
        <f>_xll.ciqfunctions.udf.CIQ(InputTicker, "IQ_WIP_INV",Input!M$2,Date,,,Ccy,Conv)</f>
        <v>1155</v>
      </c>
      <c r="L393" s="4">
        <f>_xll.ciqfunctions.udf.CIQ(InputTicker, "IQ_WIP_INV",Input!N$2,Date,,,Ccy,Conv)</f>
        <v>990</v>
      </c>
      <c r="M393" s="4">
        <f>_xll.ciqfunctions.udf.CIQ(InputTicker, "IQ_WIP_INV",Input!O$2,Date,,,Ccy,Conv)</f>
        <v>990</v>
      </c>
      <c r="N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  <c r="AK393" s="42"/>
      <c r="AL393" s="42"/>
      <c r="AM393" s="42"/>
      <c r="AN393" s="42"/>
      <c r="AO393" s="42"/>
      <c r="AP393" s="42"/>
      <c r="AQ393" s="42"/>
      <c r="AR393" s="42"/>
      <c r="AS393" s="42"/>
      <c r="AT393" s="42"/>
      <c r="AU393" s="42"/>
      <c r="AV393" s="42"/>
      <c r="AW393" s="42"/>
      <c r="AX393" s="42"/>
      <c r="AY393" s="42"/>
      <c r="AZ393" s="42"/>
      <c r="BA393" s="42"/>
      <c r="BB393" s="42"/>
      <c r="BC393" s="42"/>
      <c r="BD393" s="42"/>
      <c r="BE393" s="42"/>
      <c r="BF393" s="42"/>
      <c r="BG393" s="42"/>
      <c r="BH393" s="42"/>
      <c r="BI393" s="42"/>
      <c r="BJ393" s="42"/>
      <c r="BK393" s="42"/>
      <c r="BL393" s="42"/>
      <c r="BM393" s="42"/>
      <c r="BN393" s="42"/>
    </row>
    <row r="394" spans="1:66" ht="12.75" customHeight="1" x14ac:dyDescent="0.2">
      <c r="A394" s="1" t="s">
        <v>222</v>
      </c>
      <c r="B394" s="4">
        <f>_xll.ciqfunctions.udf.CIQ(InputTicker, "IQ_FINISHED_INV",Input!D$2,Date,,,Ccy,Conv)</f>
        <v>352</v>
      </c>
      <c r="C394" s="4">
        <f>_xll.ciqfunctions.udf.CIQ(InputTicker, "IQ_FINISHED_INV",Input!E$2,Date,,,Ccy,Conv)</f>
        <v>358</v>
      </c>
      <c r="D394" s="4">
        <f>_xll.ciqfunctions.udf.CIQ(InputTicker, "IQ_FINISHED_INV",Input!F$2,Date,,,Ccy,Conv)</f>
        <v>333</v>
      </c>
      <c r="E394" s="4">
        <f>_xll.ciqfunctions.udf.CIQ(InputTicker, "IQ_FINISHED_INV",Input!G$2,Date,,,Ccy,Conv)</f>
        <v>267</v>
      </c>
      <c r="F394" s="4">
        <f>_xll.ciqfunctions.udf.CIQ(InputTicker, "IQ_FINISHED_INV",Input!H$2,Date,,,Ccy,Conv)</f>
        <v>220</v>
      </c>
      <c r="G394" s="4">
        <f>_xll.ciqfunctions.udf.CIQ(InputTicker, "IQ_FINISHED_INV",Input!I$2,Date,,,Ccy,Conv)</f>
        <v>163</v>
      </c>
      <c r="H394" s="4">
        <f>_xll.ciqfunctions.udf.CIQ(InputTicker, "IQ_FINISHED_INV",Input!J$2,Date,,,Ccy,Conv)</f>
        <v>208</v>
      </c>
      <c r="I394" s="4">
        <f>_xll.ciqfunctions.udf.CIQ(InputTicker, "IQ_FINISHED_INV",Input!K$2,Date,,,Ccy,Conv)</f>
        <v>158</v>
      </c>
      <c r="J394" s="4">
        <f>_xll.ciqfunctions.udf.CIQ(InputTicker, "IQ_FINISHED_INV",Input!L$2,Date,,,Ccy,Conv)</f>
        <v>78</v>
      </c>
      <c r="K394" s="4">
        <f>_xll.ciqfunctions.udf.CIQ(InputTicker, "IQ_FINISHED_INV",Input!M$2,Date,,,Ccy,Conv)</f>
        <v>134</v>
      </c>
      <c r="L394" s="4">
        <f>_xll.ciqfunctions.udf.CIQ(InputTicker, "IQ_FINISHED_INV",Input!N$2,Date,,,Ccy,Conv)</f>
        <v>230</v>
      </c>
      <c r="M394" s="4">
        <f>_xll.ciqfunctions.udf.CIQ(InputTicker, "IQ_FINISHED_INV",Input!O$2,Date,,,Ccy,Conv)</f>
        <v>230</v>
      </c>
      <c r="N394" s="53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  <c r="BA394" s="42"/>
      <c r="BB394" s="42"/>
      <c r="BC394" s="42"/>
      <c r="BD394" s="42"/>
      <c r="BE394" s="42"/>
      <c r="BF394" s="42"/>
      <c r="BG394" s="42"/>
      <c r="BH394" s="42"/>
      <c r="BI394" s="42"/>
      <c r="BJ394" s="42"/>
      <c r="BK394" s="42"/>
      <c r="BL394" s="42"/>
      <c r="BM394" s="42"/>
      <c r="BN394" s="42"/>
    </row>
    <row r="395" spans="1:66" ht="12.75" customHeight="1" x14ac:dyDescent="0.2">
      <c r="A395" s="1" t="s">
        <v>223</v>
      </c>
      <c r="B395" s="4">
        <f>_xll.ciqfunctions.udf.CIQ(InputTicker, "IQ_OTHER_INV",Input!D$2,Date,,,Ccy,Conv)</f>
        <v>0</v>
      </c>
      <c r="C395" s="4">
        <f>_xll.ciqfunctions.udf.CIQ(InputTicker, "IQ_OTHER_INV",Input!E$2,Date,,,Ccy,Conv)</f>
        <v>0</v>
      </c>
      <c r="D395" s="4">
        <f>_xll.ciqfunctions.udf.CIQ(InputTicker, "IQ_OTHER_INV",Input!F$2,Date,,,Ccy,Conv)</f>
        <v>0</v>
      </c>
      <c r="E395" s="4">
        <f>_xll.ciqfunctions.udf.CIQ(InputTicker, "IQ_OTHER_INV",Input!G$2,Date,,,Ccy,Conv)</f>
        <v>0</v>
      </c>
      <c r="F395" s="4">
        <f>_xll.ciqfunctions.udf.CIQ(InputTicker, "IQ_OTHER_INV",Input!H$2,Date,,,Ccy,Conv)</f>
        <v>0</v>
      </c>
      <c r="G395" s="4">
        <f>_xll.ciqfunctions.udf.CIQ(InputTicker, "IQ_OTHER_INV",Input!I$2,Date,,,Ccy,Conv)</f>
        <v>0</v>
      </c>
      <c r="H395" s="4">
        <f>_xll.ciqfunctions.udf.CIQ(InputTicker, "IQ_OTHER_INV",Input!J$2,Date,,,Ccy,Conv)</f>
        <v>0</v>
      </c>
      <c r="I395" s="4">
        <f>_xll.ciqfunctions.udf.CIQ(InputTicker, "IQ_OTHER_INV",Input!K$2,Date,,,Ccy,Conv)</f>
        <v>0</v>
      </c>
      <c r="J395" s="4">
        <f>_xll.ciqfunctions.udf.CIQ(InputTicker, "IQ_OTHER_INV",Input!L$2,Date,,,Ccy,Conv)</f>
        <v>0</v>
      </c>
      <c r="K395" s="4">
        <f>_xll.ciqfunctions.udf.CIQ(InputTicker, "IQ_OTHER_INV",Input!M$2,Date,,,Ccy,Conv)</f>
        <v>0</v>
      </c>
      <c r="L395" s="4">
        <f>_xll.ciqfunctions.udf.CIQ(InputTicker, "IQ_OTHER_INV",Input!N$2,Date,,,Ccy,Conv)</f>
        <v>0</v>
      </c>
      <c r="M395" s="4">
        <f>_xll.ciqfunctions.udf.CIQ(InputTicker, "IQ_OTHER_INV",Input!O$2,Date,,,Ccy,Conv)</f>
        <v>0</v>
      </c>
      <c r="N395" s="53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  <c r="AK395" s="42"/>
      <c r="AL395" s="42"/>
      <c r="AM395" s="42"/>
      <c r="AN395" s="42"/>
      <c r="AO395" s="42"/>
      <c r="AP395" s="42"/>
      <c r="AQ395" s="42"/>
      <c r="AR395" s="42"/>
      <c r="AS395" s="42"/>
      <c r="AT395" s="42"/>
      <c r="AU395" s="42"/>
      <c r="AV395" s="42"/>
      <c r="AW395" s="42"/>
      <c r="AX395" s="42"/>
      <c r="AY395" s="42"/>
      <c r="AZ395" s="42"/>
      <c r="BA395" s="42"/>
      <c r="BB395" s="42"/>
      <c r="BC395" s="42"/>
      <c r="BD395" s="42"/>
      <c r="BE395" s="42"/>
      <c r="BF395" s="42"/>
      <c r="BG395" s="42"/>
      <c r="BH395" s="42"/>
      <c r="BI395" s="42"/>
      <c r="BJ395" s="42"/>
      <c r="BK395" s="42"/>
      <c r="BL395" s="42"/>
      <c r="BM395" s="42"/>
      <c r="BN395" s="42"/>
    </row>
    <row r="396" spans="1:66" ht="12.75" customHeight="1" x14ac:dyDescent="0.2">
      <c r="A396" s="1" t="s">
        <v>224</v>
      </c>
      <c r="B396" s="4">
        <f>_xll.ciqfunctions.udf.CIQ(InputTicker, "IQ_LAND",Input!D$2,Date,,,Ccy,Conv)</f>
        <v>558</v>
      </c>
      <c r="C396" s="4">
        <f>_xll.ciqfunctions.udf.CIQ(InputTicker, "IQ_LAND",Input!E$2,Date,,,Ccy,Conv)</f>
        <v>506</v>
      </c>
      <c r="D396" s="4">
        <f>_xll.ciqfunctions.udf.CIQ(InputTicker, "IQ_LAND",Input!F$2,Date,,,Ccy,Conv)</f>
        <v>480</v>
      </c>
      <c r="E396" s="4">
        <f>_xll.ciqfunctions.udf.CIQ(InputTicker, "IQ_LAND",Input!G$2,Date,,,Ccy,Conv)</f>
        <v>447</v>
      </c>
      <c r="F396" s="4">
        <f>_xll.ciqfunctions.udf.CIQ(InputTicker, "IQ_LAND",Input!H$2,Date,,,Ccy,Conv)</f>
        <v>365</v>
      </c>
      <c r="G396" s="4">
        <f>_xll.ciqfunctions.udf.CIQ(InputTicker, "IQ_LAND",Input!I$2,Date,,,Ccy,Conv)</f>
        <v>234</v>
      </c>
      <c r="H396" s="4">
        <f>_xll.ciqfunctions.udf.CIQ(InputTicker, "IQ_LAND",Input!J$2,Date,,,Ccy,Conv)</f>
        <v>224</v>
      </c>
      <c r="I396" s="4">
        <f>_xll.ciqfunctions.udf.CIQ(InputTicker, "IQ_LAND",Input!K$2,Date,,,Ccy,Conv)</f>
        <v>213</v>
      </c>
      <c r="J396" s="4">
        <f>_xll.ciqfunctions.udf.CIQ(InputTicker, "IQ_LAND",Input!L$2,Date,,,Ccy,Conv)</f>
        <v>182</v>
      </c>
      <c r="K396" s="4">
        <f>_xll.ciqfunctions.udf.CIQ(InputTicker, "IQ_LAND",Input!M$2,Date,,,Ccy,Conv)</f>
        <v>179</v>
      </c>
      <c r="L396" s="4">
        <f>_xll.ciqfunctions.udf.CIQ(InputTicker, "IQ_LAND",Input!N$2,Date,,,Ccy,Conv)</f>
        <v>182</v>
      </c>
      <c r="M396" s="4">
        <f>_xll.ciqfunctions.udf.CIQ(InputTicker, "IQ_LAND",Input!O$2,Date,,,Ccy,Conv)</f>
        <v>182</v>
      </c>
      <c r="N396" s="53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  <c r="AK396" s="42"/>
      <c r="AL396" s="42"/>
      <c r="AM396" s="42"/>
      <c r="AN396" s="42"/>
      <c r="AO396" s="42"/>
      <c r="AP396" s="42"/>
      <c r="AQ396" s="42"/>
      <c r="AR396" s="42"/>
      <c r="AS396" s="42"/>
      <c r="AT396" s="42"/>
      <c r="AU396" s="42"/>
      <c r="AV396" s="42"/>
      <c r="AW396" s="42"/>
      <c r="AX396" s="42"/>
      <c r="AY396" s="42"/>
      <c r="AZ396" s="42"/>
      <c r="BA396" s="42"/>
      <c r="BB396" s="42"/>
      <c r="BC396" s="42"/>
      <c r="BD396" s="42"/>
      <c r="BE396" s="42"/>
      <c r="BF396" s="42"/>
      <c r="BG396" s="42"/>
      <c r="BH396" s="42"/>
      <c r="BI396" s="42"/>
      <c r="BJ396" s="42"/>
      <c r="BK396" s="42"/>
      <c r="BL396" s="42"/>
      <c r="BM396" s="42"/>
      <c r="BN396" s="42"/>
    </row>
    <row r="397" spans="1:66" ht="12.75" customHeight="1" x14ac:dyDescent="0.2">
      <c r="A397" s="1" t="s">
        <v>225</v>
      </c>
      <c r="B397" s="4">
        <f>_xll.ciqfunctions.udf.CIQ(InputTicker, "IQ_BUILDINGS",Input!D$2,Date,,,Ccy,Conv)</f>
        <v>6552</v>
      </c>
      <c r="C397" s="4">
        <f>_xll.ciqfunctions.udf.CIQ(InputTicker, "IQ_BUILDINGS",Input!E$2,Date,,,Ccy,Conv)</f>
        <v>9763</v>
      </c>
      <c r="D397" s="4">
        <f>_xll.ciqfunctions.udf.CIQ(InputTicker, "IQ_BUILDINGS",Input!F$2,Date,,,Ccy,Conv)</f>
        <v>10073</v>
      </c>
      <c r="E397" s="4">
        <f>_xll.ciqfunctions.udf.CIQ(InputTicker, "IQ_BUILDINGS",Input!G$2,Date,,,Ccy,Conv)</f>
        <v>9640</v>
      </c>
      <c r="F397" s="4">
        <f>_xll.ciqfunctions.udf.CIQ(InputTicker, "IQ_BUILDINGS",Input!H$2,Date,,,Ccy,Conv)</f>
        <v>9364</v>
      </c>
      <c r="G397" s="4">
        <f>_xll.ciqfunctions.udf.CIQ(InputTicker, "IQ_BUILDINGS",Input!I$2,Date,,,Ccy,Conv)</f>
        <v>6407</v>
      </c>
      <c r="H397" s="4">
        <f>_xll.ciqfunctions.udf.CIQ(InputTicker, "IQ_BUILDINGS",Input!J$2,Date,,,Ccy,Conv)</f>
        <v>6049</v>
      </c>
      <c r="I397" s="4">
        <f>_xll.ciqfunctions.udf.CIQ(InputTicker, "IQ_BUILDINGS",Input!K$2,Date,,,Ccy,Conv)</f>
        <v>5678</v>
      </c>
      <c r="J397" s="4">
        <f>_xll.ciqfunctions.udf.CIQ(InputTicker, "IQ_BUILDINGS",Input!L$2,Date,,,Ccy,Conv)</f>
        <v>5333</v>
      </c>
      <c r="K397" s="4">
        <f>_xll.ciqfunctions.udf.CIQ(InputTicker, "IQ_BUILDINGS",Input!M$2,Date,,,Ccy,Conv)</f>
        <v>4825</v>
      </c>
      <c r="L397" s="4">
        <f>_xll.ciqfunctions.udf.CIQ(InputTicker, "IQ_BUILDINGS",Input!N$2,Date,,,Ccy,Conv)</f>
        <v>4807</v>
      </c>
      <c r="M397" s="4">
        <f>_xll.ciqfunctions.udf.CIQ(InputTicker, "IQ_BUILDINGS",Input!O$2,Date,,,Ccy,Conv)</f>
        <v>4807</v>
      </c>
      <c r="N397" s="53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  <c r="BA397" s="42"/>
      <c r="BB397" s="42"/>
      <c r="BC397" s="42"/>
      <c r="BD397" s="42"/>
      <c r="BE397" s="42"/>
      <c r="BF397" s="42"/>
      <c r="BG397" s="42"/>
      <c r="BH397" s="42"/>
      <c r="BI397" s="42"/>
      <c r="BJ397" s="42"/>
      <c r="BK397" s="42"/>
      <c r="BL397" s="42"/>
      <c r="BM397" s="42"/>
      <c r="BN397" s="42"/>
    </row>
    <row r="398" spans="1:66" ht="12.75" customHeight="1" x14ac:dyDescent="0.2">
      <c r="A398" s="1" t="s">
        <v>226</v>
      </c>
      <c r="B398" s="4">
        <f>_xll.ciqfunctions.udf.CIQ(InputTicker, "IQ_MACHINERY",Input!D$2,Date,,,Ccy,Conv)</f>
        <v>22233</v>
      </c>
      <c r="C398" s="4">
        <f>_xll.ciqfunctions.udf.CIQ(InputTicker, "IQ_MACHINERY",Input!E$2,Date,,,Ccy,Conv)</f>
        <v>15995</v>
      </c>
      <c r="D398" s="4">
        <f>_xll.ciqfunctions.udf.CIQ(InputTicker, "IQ_MACHINERY",Input!F$2,Date,,,Ccy,Conv)</f>
        <v>17718</v>
      </c>
      <c r="E398" s="4">
        <f>_xll.ciqfunctions.udf.CIQ(InputTicker, "IQ_MACHINERY",Input!G$2,Date,,,Ccy,Conv)</f>
        <v>18292</v>
      </c>
      <c r="F398" s="4">
        <f>_xll.ciqfunctions.udf.CIQ(InputTicker, "IQ_MACHINERY",Input!H$2,Date,,,Ccy,Conv)</f>
        <v>18578</v>
      </c>
      <c r="G398" s="4">
        <f>_xll.ciqfunctions.udf.CIQ(InputTicker, "IQ_MACHINERY",Input!I$2,Date,,,Ccy,Conv)</f>
        <v>13460</v>
      </c>
      <c r="H398" s="4">
        <f>_xll.ciqfunctions.udf.CIQ(InputTicker, "IQ_MACHINERY",Input!J$2,Date,,,Ccy,Conv)</f>
        <v>13811</v>
      </c>
      <c r="I398" s="4">
        <f>_xll.ciqfunctions.udf.CIQ(InputTicker, "IQ_MACHINERY",Input!K$2,Date,,,Ccy,Conv)</f>
        <v>12804</v>
      </c>
      <c r="J398" s="4">
        <f>_xll.ciqfunctions.udf.CIQ(InputTicker, "IQ_MACHINERY",Input!L$2,Date,,,Ccy,Conv)</f>
        <v>12607</v>
      </c>
      <c r="K398" s="4">
        <f>_xll.ciqfunctions.udf.CIQ(InputTicker, "IQ_MACHINERY",Input!M$2,Date,,,Ccy,Conv)</f>
        <v>12687</v>
      </c>
      <c r="L398" s="4">
        <f>_xll.ciqfunctions.udf.CIQ(InputTicker, "IQ_MACHINERY",Input!N$2,Date,,,Ccy,Conv)</f>
        <v>12885</v>
      </c>
      <c r="M398" s="4">
        <f>_xll.ciqfunctions.udf.CIQ(InputTicker, "IQ_MACHINERY",Input!O$2,Date,,,Ccy,Conv)</f>
        <v>12885</v>
      </c>
      <c r="N398" s="53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  <c r="AK398" s="42"/>
      <c r="AL398" s="42"/>
      <c r="AM398" s="42"/>
      <c r="AN398" s="42"/>
      <c r="AO398" s="42"/>
      <c r="AP398" s="42"/>
      <c r="AQ398" s="42"/>
      <c r="AR398" s="42"/>
      <c r="AS398" s="42"/>
      <c r="AT398" s="42"/>
      <c r="AU398" s="42"/>
      <c r="AV398" s="42"/>
      <c r="AW398" s="42"/>
      <c r="AX398" s="42"/>
      <c r="AY398" s="42"/>
      <c r="AZ398" s="42"/>
      <c r="BA398" s="42"/>
      <c r="BB398" s="42"/>
      <c r="BC398" s="42"/>
      <c r="BD398" s="42"/>
      <c r="BE398" s="42"/>
      <c r="BF398" s="42"/>
      <c r="BG398" s="42"/>
      <c r="BH398" s="42"/>
      <c r="BI398" s="42"/>
      <c r="BJ398" s="42"/>
      <c r="BK398" s="42"/>
      <c r="BL398" s="42"/>
      <c r="BM398" s="42"/>
      <c r="BN398" s="42"/>
    </row>
    <row r="399" spans="1:66" ht="12.75" customHeight="1" x14ac:dyDescent="0.2">
      <c r="A399" s="1" t="s">
        <v>28</v>
      </c>
      <c r="B399" s="4">
        <f>_xll.ciqfunctions.udf.CIQ(InputTicker, "IQ_SOFTWARE",Input!D$2,Date,,,Ccy,Conv)</f>
        <v>0</v>
      </c>
      <c r="C399" s="4">
        <f>_xll.ciqfunctions.udf.CIQ(InputTicker, "IQ_SOFTWARE",Input!E$2,Date,,,Ccy,Conv)</f>
        <v>0</v>
      </c>
      <c r="D399" s="4">
        <f>_xll.ciqfunctions.udf.CIQ(InputTicker, "IQ_SOFTWARE",Input!F$2,Date,,,Ccy,Conv)</f>
        <v>0</v>
      </c>
      <c r="E399" s="4">
        <f>_xll.ciqfunctions.udf.CIQ(InputTicker, "IQ_SOFTWARE",Input!G$2,Date,,,Ccy,Conv)</f>
        <v>0</v>
      </c>
      <c r="F399" s="4">
        <f>_xll.ciqfunctions.udf.CIQ(InputTicker, "IQ_SOFTWARE",Input!H$2,Date,,,Ccy,Conv)</f>
        <v>0</v>
      </c>
      <c r="G399" s="4">
        <f>_xll.ciqfunctions.udf.CIQ(InputTicker, "IQ_SOFTWARE",Input!I$2,Date,,,Ccy,Conv)</f>
        <v>0</v>
      </c>
      <c r="H399" s="4">
        <f>_xll.ciqfunctions.udf.CIQ(InputTicker, "IQ_SOFTWARE",Input!J$2,Date,,,Ccy,Conv)</f>
        <v>0</v>
      </c>
      <c r="I399" s="4">
        <f>_xll.ciqfunctions.udf.CIQ(InputTicker, "IQ_SOFTWARE",Input!K$2,Date,,,Ccy,Conv)</f>
        <v>0</v>
      </c>
      <c r="J399" s="4">
        <f>_xll.ciqfunctions.udf.CIQ(InputTicker, "IQ_SOFTWARE",Input!L$2,Date,,,Ccy,Conv)</f>
        <v>0</v>
      </c>
      <c r="K399" s="4">
        <f>_xll.ciqfunctions.udf.CIQ(InputTicker, "IQ_SOFTWARE",Input!M$2,Date,,,Ccy,Conv)</f>
        <v>0</v>
      </c>
      <c r="L399" s="4">
        <f>_xll.ciqfunctions.udf.CIQ(InputTicker, "IQ_SOFTWARE",Input!N$2,Date,,,Ccy,Conv)</f>
        <v>0</v>
      </c>
      <c r="M399" s="4">
        <f>_xll.ciqfunctions.udf.CIQ(InputTicker, "IQ_SOFTWARE",Input!O$2,Date,,,Ccy,Conv)</f>
        <v>0</v>
      </c>
      <c r="N399" s="53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  <c r="AK399" s="42"/>
      <c r="AL399" s="42"/>
      <c r="AM399" s="42"/>
      <c r="AN399" s="42"/>
      <c r="AO399" s="42"/>
      <c r="AP399" s="42"/>
      <c r="AQ399" s="42"/>
      <c r="AR399" s="42"/>
      <c r="AS399" s="42"/>
      <c r="AT399" s="42"/>
      <c r="AU399" s="42"/>
      <c r="AV399" s="42"/>
      <c r="AW399" s="42"/>
      <c r="AX399" s="42"/>
      <c r="AY399" s="42"/>
      <c r="AZ399" s="42"/>
      <c r="BA399" s="42"/>
      <c r="BB399" s="42"/>
      <c r="BC399" s="42"/>
      <c r="BD399" s="42"/>
      <c r="BE399" s="42"/>
      <c r="BF399" s="42"/>
      <c r="BG399" s="42"/>
      <c r="BH399" s="42"/>
      <c r="BI399" s="42"/>
      <c r="BJ399" s="42"/>
      <c r="BK399" s="42"/>
      <c r="BL399" s="42"/>
      <c r="BM399" s="42"/>
      <c r="BN399" s="42"/>
    </row>
    <row r="400" spans="1:66" ht="12.75" customHeight="1" x14ac:dyDescent="0.2">
      <c r="A400" s="1" t="s">
        <v>501</v>
      </c>
      <c r="B400" s="4">
        <f>_xll.ciqfunctions.udf.CIQ(InputTicker, "IQ_NATURAL_RESOURCES_COST",Input!D$2,Date,,,Ccy,Conv)</f>
        <v>0</v>
      </c>
      <c r="C400" s="4">
        <f>_xll.ciqfunctions.udf.CIQ(InputTicker, "IQ_NATURAL_RESOURCES_COST",Input!E$2,Date,,,Ccy,Conv)</f>
        <v>0</v>
      </c>
      <c r="D400" s="4">
        <f>_xll.ciqfunctions.udf.CIQ(InputTicker, "IQ_NATURAL_RESOURCES_COST",Input!F$2,Date,,,Ccy,Conv)</f>
        <v>0</v>
      </c>
      <c r="E400" s="4">
        <f>_xll.ciqfunctions.udf.CIQ(InputTicker, "IQ_NATURAL_RESOURCES_COST",Input!G$2,Date,,,Ccy,Conv)</f>
        <v>0</v>
      </c>
      <c r="F400" s="4">
        <f>_xll.ciqfunctions.udf.CIQ(InputTicker, "IQ_NATURAL_RESOURCES_COST",Input!H$2,Date,,,Ccy,Conv)</f>
        <v>0</v>
      </c>
      <c r="G400" s="4">
        <f>_xll.ciqfunctions.udf.CIQ(InputTicker, "IQ_NATURAL_RESOURCES_COST",Input!I$2,Date,,,Ccy,Conv)</f>
        <v>0</v>
      </c>
      <c r="H400" s="4">
        <f>_xll.ciqfunctions.udf.CIQ(InputTicker, "IQ_NATURAL_RESOURCES_COST",Input!J$2,Date,,,Ccy,Conv)</f>
        <v>0</v>
      </c>
      <c r="I400" s="4">
        <f>_xll.ciqfunctions.udf.CIQ(InputTicker, "IQ_NATURAL_RESOURCES_COST",Input!K$2,Date,,,Ccy,Conv)</f>
        <v>0</v>
      </c>
      <c r="J400" s="4">
        <f>_xll.ciqfunctions.udf.CIQ(InputTicker, "IQ_NATURAL_RESOURCES_COST",Input!L$2,Date,,,Ccy,Conv)</f>
        <v>0</v>
      </c>
      <c r="K400" s="4">
        <f>_xll.ciqfunctions.udf.CIQ(InputTicker, "IQ_NATURAL_RESOURCES_COST",Input!M$2,Date,,,Ccy,Conv)</f>
        <v>0</v>
      </c>
      <c r="L400" s="4">
        <f>_xll.ciqfunctions.udf.CIQ(InputTicker, "IQ_NATURAL_RESOURCES_COST",Input!N$2,Date,,,Ccy,Conv)</f>
        <v>0</v>
      </c>
      <c r="M400" s="4">
        <f>_xll.ciqfunctions.udf.CIQ(InputTicker, "IQ_NATURAL_RESOURCES_COST",Input!O$2,Date,,,Ccy,Conv)</f>
        <v>0</v>
      </c>
      <c r="N400" s="53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  <c r="AK400" s="42"/>
      <c r="AL400" s="42"/>
      <c r="AM400" s="42"/>
      <c r="AN400" s="42"/>
      <c r="AO400" s="42"/>
      <c r="AP400" s="42"/>
      <c r="AQ400" s="42"/>
      <c r="AR400" s="42"/>
      <c r="AS400" s="42"/>
      <c r="AT400" s="42"/>
      <c r="AU400" s="42"/>
      <c r="AV400" s="42"/>
      <c r="AW400" s="42"/>
      <c r="AX400" s="42"/>
      <c r="AY400" s="42"/>
      <c r="AZ400" s="42"/>
      <c r="BA400" s="42"/>
      <c r="BB400" s="42"/>
      <c r="BC400" s="42"/>
      <c r="BD400" s="42"/>
      <c r="BE400" s="42"/>
      <c r="BF400" s="42"/>
      <c r="BG400" s="42"/>
      <c r="BH400" s="42"/>
      <c r="BI400" s="42"/>
      <c r="BJ400" s="42"/>
      <c r="BK400" s="42"/>
      <c r="BL400" s="42"/>
      <c r="BM400" s="42"/>
      <c r="BN400" s="42"/>
    </row>
    <row r="401" spans="1:66" ht="12.75" customHeight="1" x14ac:dyDescent="0.2">
      <c r="A401" s="1" t="s">
        <v>437</v>
      </c>
      <c r="B401" s="4">
        <f>_xll.ciqfunctions.udf.CIQ(InputTicker, "IQ_CIP",Input!D$2,Date,,,Ccy,Conv)</f>
        <v>0</v>
      </c>
      <c r="C401" s="4">
        <f>_xll.ciqfunctions.udf.CIQ(InputTicker, "IQ_CIP",Input!E$2,Date,,,Ccy,Conv)</f>
        <v>0</v>
      </c>
      <c r="D401" s="4">
        <f>_xll.ciqfunctions.udf.CIQ(InputTicker, "IQ_CIP",Input!F$2,Date,,,Ccy,Conv)</f>
        <v>0</v>
      </c>
      <c r="E401" s="4">
        <f>_xll.ciqfunctions.udf.CIQ(InputTicker, "IQ_CIP",Input!G$2,Date,,,Ccy,Conv)</f>
        <v>0</v>
      </c>
      <c r="F401" s="4">
        <f>_xll.ciqfunctions.udf.CIQ(InputTicker, "IQ_CIP",Input!H$2,Date,,,Ccy,Conv)</f>
        <v>0</v>
      </c>
      <c r="G401" s="4">
        <f>_xll.ciqfunctions.udf.CIQ(InputTicker, "IQ_CIP",Input!I$2,Date,,,Ccy,Conv)</f>
        <v>0</v>
      </c>
      <c r="H401" s="4">
        <f>_xll.ciqfunctions.udf.CIQ(InputTicker, "IQ_CIP",Input!J$2,Date,,,Ccy,Conv)</f>
        <v>0</v>
      </c>
      <c r="I401" s="4">
        <f>_xll.ciqfunctions.udf.CIQ(InputTicker, "IQ_CIP",Input!K$2,Date,,,Ccy,Conv)</f>
        <v>0</v>
      </c>
      <c r="J401" s="4">
        <f>_xll.ciqfunctions.udf.CIQ(InputTicker, "IQ_CIP",Input!L$2,Date,,,Ccy,Conv)</f>
        <v>0</v>
      </c>
      <c r="K401" s="4">
        <f>_xll.ciqfunctions.udf.CIQ(InputTicker, "IQ_CIP",Input!M$2,Date,,,Ccy,Conv)</f>
        <v>0</v>
      </c>
      <c r="L401" s="4">
        <f>_xll.ciqfunctions.udf.CIQ(InputTicker, "IQ_CIP",Input!N$2,Date,,,Ccy,Conv)</f>
        <v>0</v>
      </c>
      <c r="M401" s="4">
        <f>_xll.ciqfunctions.udf.CIQ(InputTicker, "IQ_CIP",Input!O$2,Date,,,Ccy,Conv)</f>
        <v>0</v>
      </c>
      <c r="N401" s="53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  <c r="BA401" s="42"/>
      <c r="BB401" s="42"/>
      <c r="BC401" s="42"/>
      <c r="BD401" s="42"/>
      <c r="BE401" s="42"/>
      <c r="BF401" s="42"/>
      <c r="BG401" s="42"/>
      <c r="BH401" s="42"/>
      <c r="BI401" s="42"/>
      <c r="BJ401" s="42"/>
      <c r="BK401" s="42"/>
      <c r="BL401" s="42"/>
      <c r="BM401" s="42"/>
      <c r="BN401" s="42"/>
    </row>
    <row r="402" spans="1:66" ht="12.75" customHeight="1" x14ac:dyDescent="0.2">
      <c r="A402" s="1" t="s">
        <v>438</v>
      </c>
      <c r="B402" s="4">
        <f>_xll.ciqfunctions.udf.CIQ(InputTicker, "IQ_LEASEHOLD_IMPROVEMENT",Input!D$2,Date,,,Ccy,Conv)</f>
        <v>0</v>
      </c>
      <c r="C402" s="4">
        <f>_xll.ciqfunctions.udf.CIQ(InputTicker, "IQ_LEASEHOLD_IMPROVEMENT",Input!E$2,Date,,,Ccy,Conv)</f>
        <v>0</v>
      </c>
      <c r="D402" s="4">
        <f>_xll.ciqfunctions.udf.CIQ(InputTicker, "IQ_LEASEHOLD_IMPROVEMENT",Input!F$2,Date,,,Ccy,Conv)</f>
        <v>0</v>
      </c>
      <c r="E402" s="4">
        <f>_xll.ciqfunctions.udf.CIQ(InputTicker, "IQ_LEASEHOLD_IMPROVEMENT",Input!G$2,Date,,,Ccy,Conv)</f>
        <v>0</v>
      </c>
      <c r="F402" s="4">
        <f>_xll.ciqfunctions.udf.CIQ(InputTicker, "IQ_LEASEHOLD_IMPROVEMENT",Input!H$2,Date,,,Ccy,Conv)</f>
        <v>0</v>
      </c>
      <c r="G402" s="4">
        <f>_xll.ciqfunctions.udf.CIQ(InputTicker, "IQ_LEASEHOLD_IMPROVEMENT",Input!I$2,Date,,,Ccy,Conv)</f>
        <v>0</v>
      </c>
      <c r="H402" s="4">
        <f>_xll.ciqfunctions.udf.CIQ(InputTicker, "IQ_LEASEHOLD_IMPROVEMENT",Input!J$2,Date,,,Ccy,Conv)</f>
        <v>0</v>
      </c>
      <c r="I402" s="4">
        <f>_xll.ciqfunctions.udf.CIQ(InputTicker, "IQ_LEASEHOLD_IMPROVEMENT",Input!K$2,Date,,,Ccy,Conv)</f>
        <v>0</v>
      </c>
      <c r="J402" s="4">
        <f>_xll.ciqfunctions.udf.CIQ(InputTicker, "IQ_LEASEHOLD_IMPROVEMENT",Input!L$2,Date,,,Ccy,Conv)</f>
        <v>0</v>
      </c>
      <c r="K402" s="4">
        <f>_xll.ciqfunctions.udf.CIQ(InputTicker, "IQ_LEASEHOLD_IMPROVEMENT",Input!M$2,Date,,,Ccy,Conv)</f>
        <v>0</v>
      </c>
      <c r="L402" s="4">
        <f>_xll.ciqfunctions.udf.CIQ(InputTicker, "IQ_LEASEHOLD_IMPROVEMENT",Input!N$2,Date,,,Ccy,Conv)</f>
        <v>0</v>
      </c>
      <c r="M402" s="4">
        <f>_xll.ciqfunctions.udf.CIQ(InputTicker, "IQ_LEASEHOLD_IMPROVEMENT",Input!O$2,Date,,,Ccy,Conv)</f>
        <v>0</v>
      </c>
      <c r="N402" s="53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  <c r="AK402" s="42"/>
      <c r="AL402" s="42"/>
      <c r="AM402" s="42"/>
      <c r="AN402" s="42"/>
      <c r="AO402" s="42"/>
      <c r="AP402" s="42"/>
      <c r="AQ402" s="42"/>
      <c r="AR402" s="42"/>
      <c r="AS402" s="42"/>
      <c r="AT402" s="42"/>
      <c r="AU402" s="42"/>
      <c r="AV402" s="42"/>
      <c r="AW402" s="42"/>
      <c r="AX402" s="42"/>
      <c r="AY402" s="42"/>
      <c r="AZ402" s="42"/>
      <c r="BA402" s="42"/>
      <c r="BB402" s="42"/>
      <c r="BC402" s="42"/>
      <c r="BD402" s="42"/>
      <c r="BE402" s="42"/>
      <c r="BF402" s="42"/>
      <c r="BG402" s="42"/>
      <c r="BH402" s="42"/>
      <c r="BI402" s="42"/>
      <c r="BJ402" s="42"/>
      <c r="BK402" s="42"/>
      <c r="BL402" s="42"/>
      <c r="BM402" s="42"/>
      <c r="BN402" s="42"/>
    </row>
    <row r="403" spans="1:66" ht="12.75" customHeight="1" x14ac:dyDescent="0.2">
      <c r="A403" s="1" t="s">
        <v>24</v>
      </c>
      <c r="B403" s="4">
        <f>_xll.ciqfunctions.udf.CIQ(InputTicker, "IQ_MINORITY_INT_REDEEM",Input!D$2,Date,,,Ccy,Conv)</f>
        <v>0</v>
      </c>
      <c r="C403" s="4">
        <f>_xll.ciqfunctions.udf.CIQ(InputTicker, "IQ_MINORITY_INT_REDEEM",Input!E$2,Date,,,Ccy,Conv)</f>
        <v>0</v>
      </c>
      <c r="D403" s="4">
        <f>_xll.ciqfunctions.udf.CIQ(InputTicker, "IQ_MINORITY_INT_REDEEM",Input!F$2,Date,,,Ccy,Conv)</f>
        <v>0</v>
      </c>
      <c r="E403" s="4">
        <f>_xll.ciqfunctions.udf.CIQ(InputTicker, "IQ_MINORITY_INT_REDEEM",Input!G$2,Date,,,Ccy,Conv)</f>
        <v>0</v>
      </c>
      <c r="F403" s="4">
        <f>_xll.ciqfunctions.udf.CIQ(InputTicker, "IQ_MINORITY_INT_REDEEM",Input!H$2,Date,,,Ccy,Conv)</f>
        <v>0</v>
      </c>
      <c r="G403" s="4">
        <f>_xll.ciqfunctions.udf.CIQ(InputTicker, "IQ_MINORITY_INT_REDEEM",Input!I$2,Date,,,Ccy,Conv)</f>
        <v>0</v>
      </c>
      <c r="H403" s="4">
        <f>_xll.ciqfunctions.udf.CIQ(InputTicker, "IQ_MINORITY_INT_REDEEM",Input!J$2,Date,,,Ccy,Conv)</f>
        <v>0</v>
      </c>
      <c r="I403" s="4">
        <f>_xll.ciqfunctions.udf.CIQ(InputTicker, "IQ_MINORITY_INT_REDEEM",Input!K$2,Date,,,Ccy,Conv)</f>
        <v>0</v>
      </c>
      <c r="J403" s="4">
        <f>_xll.ciqfunctions.udf.CIQ(InputTicker, "IQ_MINORITY_INT_REDEEM",Input!L$2,Date,,,Ccy,Conv)</f>
        <v>0</v>
      </c>
      <c r="K403" s="4">
        <f>_xll.ciqfunctions.udf.CIQ(InputTicker, "IQ_MINORITY_INT_REDEEM",Input!M$2,Date,,,Ccy,Conv)</f>
        <v>0</v>
      </c>
      <c r="L403" s="4">
        <f>_xll.ciqfunctions.udf.CIQ(InputTicker, "IQ_MINORITY_INT_REDEEM",Input!N$2,Date,,,Ccy,Conv)</f>
        <v>0</v>
      </c>
      <c r="M403" s="4">
        <f>_xll.ciqfunctions.udf.CIQ(InputTicker, "IQ_MINORITY_INT_REDEEM",Input!O$2,Date,,,Ccy,Conv)</f>
        <v>0</v>
      </c>
      <c r="N403" s="53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  <c r="AK403" s="42"/>
      <c r="AL403" s="42"/>
      <c r="AM403" s="42"/>
      <c r="AN403" s="42"/>
      <c r="AO403" s="42"/>
      <c r="AP403" s="42"/>
      <c r="AQ403" s="42"/>
      <c r="AR403" s="42"/>
      <c r="AS403" s="42"/>
      <c r="AT403" s="42"/>
      <c r="AU403" s="42"/>
      <c r="AV403" s="42"/>
      <c r="AW403" s="42"/>
      <c r="AX403" s="42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  <c r="BJ403" s="42"/>
      <c r="BK403" s="42"/>
      <c r="BL403" s="42"/>
      <c r="BM403" s="42"/>
      <c r="BN403" s="42"/>
    </row>
    <row r="404" spans="1:66" ht="12.75" customHeight="1" x14ac:dyDescent="0.2">
      <c r="A404" s="1" t="s">
        <v>25</v>
      </c>
      <c r="B404" s="4">
        <f>_xll.ciqfunctions.udf.CIQ(InputTicker, "IQ_FIN_DIV_MINORITY_INT_REDEEM",Input!D$2,Date,,,Ccy,Conv)</f>
        <v>0</v>
      </c>
      <c r="C404" s="4">
        <f>_xll.ciqfunctions.udf.CIQ(InputTicker, "IQ_FIN_DIV_MINORITY_INT_REDEEM",Input!E$2,Date,,,Ccy,Conv)</f>
        <v>0</v>
      </c>
      <c r="D404" s="4">
        <f>_xll.ciqfunctions.udf.CIQ(InputTicker, "IQ_FIN_DIV_MINORITY_INT_REDEEM",Input!F$2,Date,,,Ccy,Conv)</f>
        <v>0</v>
      </c>
      <c r="E404" s="4">
        <f>_xll.ciqfunctions.udf.CIQ(InputTicker, "IQ_FIN_DIV_MINORITY_INT_REDEEM",Input!G$2,Date,,,Ccy,Conv)</f>
        <v>0</v>
      </c>
      <c r="F404" s="4">
        <f>_xll.ciqfunctions.udf.CIQ(InputTicker, "IQ_FIN_DIV_MINORITY_INT_REDEEM",Input!H$2,Date,,,Ccy,Conv)</f>
        <v>0</v>
      </c>
      <c r="G404" s="4">
        <f>_xll.ciqfunctions.udf.CIQ(InputTicker, "IQ_FIN_DIV_MINORITY_INT_REDEEM",Input!I$2,Date,,,Ccy,Conv)</f>
        <v>0</v>
      </c>
      <c r="H404" s="4">
        <f>_xll.ciqfunctions.udf.CIQ(InputTicker, "IQ_FIN_DIV_MINORITY_INT_REDEEM",Input!J$2,Date,,,Ccy,Conv)</f>
        <v>0</v>
      </c>
      <c r="I404" s="4">
        <f>_xll.ciqfunctions.udf.CIQ(InputTicker, "IQ_FIN_DIV_MINORITY_INT_REDEEM",Input!K$2,Date,,,Ccy,Conv)</f>
        <v>0</v>
      </c>
      <c r="J404" s="4">
        <f>_xll.ciqfunctions.udf.CIQ(InputTicker, "IQ_FIN_DIV_MINORITY_INT_REDEEM",Input!L$2,Date,,,Ccy,Conv)</f>
        <v>0</v>
      </c>
      <c r="K404" s="4">
        <f>_xll.ciqfunctions.udf.CIQ(InputTicker, "IQ_FIN_DIV_MINORITY_INT_REDEEM",Input!M$2,Date,,,Ccy,Conv)</f>
        <v>0</v>
      </c>
      <c r="L404" s="4">
        <f>_xll.ciqfunctions.udf.CIQ(InputTicker, "IQ_FIN_DIV_MINORITY_INT_REDEEM",Input!N$2,Date,,,Ccy,Conv)</f>
        <v>0</v>
      </c>
      <c r="M404" s="4">
        <f>_xll.ciqfunctions.udf.CIQ(InputTicker, "IQ_FIN_DIV_MINORITY_INT_REDEEM",Input!O$2,Date,,,Ccy,Conv)</f>
        <v>0</v>
      </c>
      <c r="N404" s="53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  <c r="BJ404" s="42"/>
      <c r="BK404" s="42"/>
      <c r="BL404" s="42"/>
      <c r="BM404" s="42"/>
      <c r="BN404" s="42"/>
    </row>
    <row r="405" spans="1:66" ht="12.75" customHeight="1" x14ac:dyDescent="0.2">
      <c r="A405" s="1" t="s">
        <v>26</v>
      </c>
      <c r="B405" s="4">
        <f>_xll.ciqfunctions.udf.CIQ(InputTicker, "IQ_MINORITY_INT_REDEEM_TOT",Input!D$2,Date,,,Ccy,Conv)</f>
        <v>0</v>
      </c>
      <c r="C405" s="4">
        <f>_xll.ciqfunctions.udf.CIQ(InputTicker, "IQ_MINORITY_INT_REDEEM_TOT",Input!E$2,Date,,,Ccy,Conv)</f>
        <v>0</v>
      </c>
      <c r="D405" s="4">
        <f>_xll.ciqfunctions.udf.CIQ(InputTicker, "IQ_MINORITY_INT_REDEEM_TOT",Input!F$2,Date,,,Ccy,Conv)</f>
        <v>0</v>
      </c>
      <c r="E405" s="4">
        <f>_xll.ciqfunctions.udf.CIQ(InputTicker, "IQ_MINORITY_INT_REDEEM_TOT",Input!G$2,Date,,,Ccy,Conv)</f>
        <v>0</v>
      </c>
      <c r="F405" s="4">
        <f>_xll.ciqfunctions.udf.CIQ(InputTicker, "IQ_MINORITY_INT_REDEEM_TOT",Input!H$2,Date,,,Ccy,Conv)</f>
        <v>0</v>
      </c>
      <c r="G405" s="4">
        <f>_xll.ciqfunctions.udf.CIQ(InputTicker, "IQ_MINORITY_INT_REDEEM_TOT",Input!I$2,Date,,,Ccy,Conv)</f>
        <v>0</v>
      </c>
      <c r="H405" s="4">
        <f>_xll.ciqfunctions.udf.CIQ(InputTicker, "IQ_MINORITY_INT_REDEEM_TOT",Input!J$2,Date,,,Ccy,Conv)</f>
        <v>0</v>
      </c>
      <c r="I405" s="4">
        <f>_xll.ciqfunctions.udf.CIQ(InputTicker, "IQ_MINORITY_INT_REDEEM_TOT",Input!K$2,Date,,,Ccy,Conv)</f>
        <v>0</v>
      </c>
      <c r="J405" s="4">
        <f>_xll.ciqfunctions.udf.CIQ(InputTicker, "IQ_MINORITY_INT_REDEEM_TOT",Input!L$2,Date,,,Ccy,Conv)</f>
        <v>0</v>
      </c>
      <c r="K405" s="4">
        <f>_xll.ciqfunctions.udf.CIQ(InputTicker, "IQ_MINORITY_INT_REDEEM_TOT",Input!M$2,Date,,,Ccy,Conv)</f>
        <v>0</v>
      </c>
      <c r="L405" s="4">
        <f>_xll.ciqfunctions.udf.CIQ(InputTicker, "IQ_MINORITY_INT_REDEEM_TOT",Input!N$2,Date,,,Ccy,Conv)</f>
        <v>0</v>
      </c>
      <c r="M405" s="4">
        <f>_xll.ciqfunctions.udf.CIQ(InputTicker, "IQ_MINORITY_INT_REDEEM_TOT",Input!O$2,Date,,,Ccy,Conv)</f>
        <v>0</v>
      </c>
      <c r="N405" s="53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  <c r="AK405" s="42"/>
      <c r="AL405" s="42"/>
      <c r="AM405" s="42"/>
      <c r="AN405" s="42"/>
      <c r="AO405" s="42"/>
      <c r="AP405" s="42"/>
      <c r="AQ405" s="42"/>
      <c r="AR405" s="42"/>
      <c r="AS405" s="42"/>
      <c r="AT405" s="42"/>
      <c r="AU405" s="42"/>
      <c r="AV405" s="42"/>
      <c r="AW405" s="42"/>
      <c r="AX405" s="42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  <c r="BJ405" s="42"/>
      <c r="BK405" s="42"/>
      <c r="BL405" s="42"/>
      <c r="BM405" s="42"/>
      <c r="BN405" s="42"/>
    </row>
    <row r="406" spans="1:66" ht="12.75" customHeight="1" x14ac:dyDescent="0.2">
      <c r="A406" s="1" t="s">
        <v>27</v>
      </c>
      <c r="B406" s="4">
        <f>_xll.ciqfunctions.udf.CIQ(InputTicker, "IQ_FIN_DIV_MINORITY_INTEREST",Input!D$2,Date,,,Ccy,Conv)</f>
        <v>0</v>
      </c>
      <c r="C406" s="4">
        <f>_xll.ciqfunctions.udf.CIQ(InputTicker, "IQ_FIN_DIV_MINORITY_INTEREST",Input!E$2,Date,,,Ccy,Conv)</f>
        <v>0</v>
      </c>
      <c r="D406" s="4">
        <f>_xll.ciqfunctions.udf.CIQ(InputTicker, "IQ_FIN_DIV_MINORITY_INTEREST",Input!F$2,Date,,,Ccy,Conv)</f>
        <v>0</v>
      </c>
      <c r="E406" s="4">
        <f>_xll.ciqfunctions.udf.CIQ(InputTicker, "IQ_FIN_DIV_MINORITY_INTEREST",Input!G$2,Date,,,Ccy,Conv)</f>
        <v>0</v>
      </c>
      <c r="F406" s="4">
        <f>_xll.ciqfunctions.udf.CIQ(InputTicker, "IQ_FIN_DIV_MINORITY_INTEREST",Input!H$2,Date,,,Ccy,Conv)</f>
        <v>0</v>
      </c>
      <c r="G406" s="4">
        <f>_xll.ciqfunctions.udf.CIQ(InputTicker, "IQ_FIN_DIV_MINORITY_INTEREST",Input!I$2,Date,,,Ccy,Conv)</f>
        <v>0</v>
      </c>
      <c r="H406" s="4">
        <f>_xll.ciqfunctions.udf.CIQ(InputTicker, "IQ_FIN_DIV_MINORITY_INTEREST",Input!J$2,Date,,,Ccy,Conv)</f>
        <v>0</v>
      </c>
      <c r="I406" s="4">
        <f>_xll.ciqfunctions.udf.CIQ(InputTicker, "IQ_FIN_DIV_MINORITY_INTEREST",Input!K$2,Date,,,Ccy,Conv)</f>
        <v>0</v>
      </c>
      <c r="J406" s="4">
        <f>_xll.ciqfunctions.udf.CIQ(InputTicker, "IQ_FIN_DIV_MINORITY_INTEREST",Input!L$2,Date,,,Ccy,Conv)</f>
        <v>0</v>
      </c>
      <c r="K406" s="4">
        <f>_xll.ciqfunctions.udf.CIQ(InputTicker, "IQ_FIN_DIV_MINORITY_INTEREST",Input!M$2,Date,,,Ccy,Conv)</f>
        <v>0</v>
      </c>
      <c r="L406" s="4">
        <f>_xll.ciqfunctions.udf.CIQ(InputTicker, "IQ_FIN_DIV_MINORITY_INTEREST",Input!N$2,Date,,,Ccy,Conv)</f>
        <v>0</v>
      </c>
      <c r="M406" s="4">
        <f>_xll.ciqfunctions.udf.CIQ(InputTicker, "IQ_FIN_DIV_MINORITY_INTEREST",Input!O$2,Date,,,Ccy,Conv)</f>
        <v>0</v>
      </c>
      <c r="N406" s="53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  <c r="AK406" s="42"/>
      <c r="AL406" s="42"/>
      <c r="AM406" s="42"/>
      <c r="AN406" s="42"/>
      <c r="AO406" s="42"/>
      <c r="AP406" s="42"/>
      <c r="AQ406" s="42"/>
      <c r="AR406" s="42"/>
      <c r="AS406" s="42"/>
      <c r="AT406" s="42"/>
      <c r="AU406" s="42"/>
      <c r="AV406" s="42"/>
      <c r="AW406" s="42"/>
      <c r="AX406" s="42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  <c r="BJ406" s="42"/>
      <c r="BK406" s="42"/>
      <c r="BL406" s="42"/>
      <c r="BM406" s="42"/>
      <c r="BN406" s="42"/>
    </row>
    <row r="407" spans="1:66" ht="12.75" customHeight="1" x14ac:dyDescent="0.2">
      <c r="A407" s="1" t="s">
        <v>441</v>
      </c>
      <c r="B407" s="4">
        <f>_xll.ciqfunctions.udf.CIQ(InputTicker, "IQ_DEF_TAX_VALUATION_ALLOWANCE",Input!D$2,Date,,,Ccy,Conv)</f>
        <v>740</v>
      </c>
      <c r="C407" s="4">
        <f>_xll.ciqfunctions.udf.CIQ(InputTicker, "IQ_DEF_TAX_VALUATION_ALLOWANCE",Input!E$2,Date,,,Ccy,Conv)</f>
        <v>916</v>
      </c>
      <c r="D407" s="4">
        <f>_xll.ciqfunctions.udf.CIQ(InputTicker, "IQ_DEF_TAX_VALUATION_ALLOWANCE",Input!F$2,Date,,,Ccy,Conv)</f>
        <v>1004</v>
      </c>
      <c r="E407" s="4">
        <f>_xll.ciqfunctions.udf.CIQ(InputTicker, "IQ_DEF_TAX_VALUATION_ALLOWANCE",Input!G$2,Date,,,Ccy,Conv)</f>
        <v>915</v>
      </c>
      <c r="F407" s="4">
        <f>_xll.ciqfunctions.udf.CIQ(InputTicker, "IQ_DEF_TAX_VALUATION_ALLOWANCE",Input!H$2,Date,,,Ccy,Conv)</f>
        <v>608</v>
      </c>
      <c r="G407" s="4">
        <f>_xll.ciqfunctions.udf.CIQ(InputTicker, "IQ_DEF_TAX_VALUATION_ALLOWANCE",Input!I$2,Date,,,Ccy,Conv)</f>
        <v>850</v>
      </c>
      <c r="H407" s="4">
        <f>_xll.ciqfunctions.udf.CIQ(InputTicker, "IQ_DEF_TAX_VALUATION_ALLOWANCE",Input!J$2,Date,,,Ccy,Conv)</f>
        <v>883</v>
      </c>
      <c r="I407" s="4">
        <f>_xll.ciqfunctions.udf.CIQ(InputTicker, "IQ_DEF_TAX_VALUATION_ALLOWANCE",Input!K$2,Date,,,Ccy,Conv)</f>
        <v>770</v>
      </c>
      <c r="J407" s="4">
        <f>_xll.ciqfunctions.udf.CIQ(InputTicker, "IQ_DEF_TAX_VALUATION_ALLOWANCE",Input!L$2,Date,,,Ccy,Conv)</f>
        <v>765</v>
      </c>
      <c r="K407" s="4">
        <f>_xll.ciqfunctions.udf.CIQ(InputTicker, "IQ_DEF_TAX_VALUATION_ALLOWANCE",Input!M$2,Date,,,Ccy,Conv)</f>
        <v>1223</v>
      </c>
      <c r="L407" s="4">
        <f>_xll.ciqfunctions.udf.CIQ(InputTicker, "IQ_DEF_TAX_VALUATION_ALLOWANCE",Input!N$2,Date,,,Ccy,Conv)</f>
        <v>1143</v>
      </c>
      <c r="M407" s="4">
        <f>_xll.ciqfunctions.udf.CIQ(InputTicker, "IQ_DEF_TAX_VALUATION_ALLOWANCE",Input!O$2,Date,,,Ccy,Conv)</f>
        <v>1143</v>
      </c>
      <c r="N407" s="53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  <c r="BJ407" s="42"/>
      <c r="BK407" s="42"/>
      <c r="BL407" s="42"/>
      <c r="BM407" s="42"/>
      <c r="BN407" s="42"/>
    </row>
    <row r="408" spans="1:66" ht="12.75" customHeight="1" x14ac:dyDescent="0.2">
      <c r="A408" s="1" t="s">
        <v>1</v>
      </c>
      <c r="B408" s="4">
        <f>_xll.ciqfunctions.udf.CIQ(InputTicker, "IQ_GENERAL_PARTNER_COMMON_EQUITY",Input!D$2,Date,,,Ccy,Conv)</f>
        <v>0</v>
      </c>
      <c r="C408" s="4">
        <f>_xll.ciqfunctions.udf.CIQ(InputTicker, "IQ_GENERAL_PARTNER_COMMON_EQUITY",Input!E$2,Date,,,Ccy,Conv)</f>
        <v>0</v>
      </c>
      <c r="D408" s="4">
        <f>_xll.ciqfunctions.udf.CIQ(InputTicker, "IQ_GENERAL_PARTNER_COMMON_EQUITY",Input!F$2,Date,,,Ccy,Conv)</f>
        <v>0</v>
      </c>
      <c r="E408" s="4">
        <f>_xll.ciqfunctions.udf.CIQ(InputTicker, "IQ_GENERAL_PARTNER_COMMON_EQUITY",Input!G$2,Date,,,Ccy,Conv)</f>
        <v>0</v>
      </c>
      <c r="F408" s="4">
        <f>_xll.ciqfunctions.udf.CIQ(InputTicker, "IQ_GENERAL_PARTNER_COMMON_EQUITY",Input!H$2,Date,,,Ccy,Conv)</f>
        <v>0</v>
      </c>
      <c r="G408" s="4">
        <f>_xll.ciqfunctions.udf.CIQ(InputTicker, "IQ_GENERAL_PARTNER_COMMON_EQUITY",Input!I$2,Date,,,Ccy,Conv)</f>
        <v>0</v>
      </c>
      <c r="H408" s="4">
        <f>_xll.ciqfunctions.udf.CIQ(InputTicker, "IQ_GENERAL_PARTNER_COMMON_EQUITY",Input!J$2,Date,,,Ccy,Conv)</f>
        <v>0</v>
      </c>
      <c r="I408" s="4">
        <f>_xll.ciqfunctions.udf.CIQ(InputTicker, "IQ_GENERAL_PARTNER_COMMON_EQUITY",Input!K$2,Date,,,Ccy,Conv)</f>
        <v>0</v>
      </c>
      <c r="J408" s="4">
        <f>_xll.ciqfunctions.udf.CIQ(InputTicker, "IQ_GENERAL_PARTNER_COMMON_EQUITY",Input!L$2,Date,,,Ccy,Conv)</f>
        <v>0</v>
      </c>
      <c r="K408" s="4">
        <f>_xll.ciqfunctions.udf.CIQ(InputTicker, "IQ_GENERAL_PARTNER_COMMON_EQUITY",Input!M$2,Date,,,Ccy,Conv)</f>
        <v>0</v>
      </c>
      <c r="L408" s="4">
        <f>_xll.ciqfunctions.udf.CIQ(InputTicker, "IQ_GENERAL_PARTNER_COMMON_EQUITY",Input!N$2,Date,,,Ccy,Conv)</f>
        <v>0</v>
      </c>
      <c r="M408" s="4">
        <f>_xll.ciqfunctions.udf.CIQ(InputTicker, "IQ_GENERAL_PARTNER_COMMON_EQUITY",Input!O$2,Date,,,Ccy,Conv)</f>
        <v>0</v>
      </c>
      <c r="N408" s="53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  <c r="AK408" s="42"/>
      <c r="AL408" s="42"/>
      <c r="AM408" s="42"/>
      <c r="AN408" s="42"/>
      <c r="AO408" s="42"/>
      <c r="AP408" s="42"/>
      <c r="AQ408" s="42"/>
      <c r="AR408" s="42"/>
      <c r="AS408" s="42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  <c r="BJ408" s="42"/>
      <c r="BK408" s="42"/>
      <c r="BL408" s="42"/>
      <c r="BM408" s="42"/>
      <c r="BN408" s="42"/>
    </row>
    <row r="409" spans="1:66" ht="12.75" customHeight="1" x14ac:dyDescent="0.2">
      <c r="A409" s="1" t="s">
        <v>2</v>
      </c>
      <c r="B409" s="4">
        <f>_xll.ciqfunctions.udf.CIQ(InputTicker, "IQ_GENERAL_PARTNER_PREF_EQUITY",Input!D$2,Date,,,Ccy,Conv)</f>
        <v>0</v>
      </c>
      <c r="C409" s="4">
        <f>_xll.ciqfunctions.udf.CIQ(InputTicker, "IQ_GENERAL_PARTNER_PREF_EQUITY",Input!E$2,Date,,,Ccy,Conv)</f>
        <v>0</v>
      </c>
      <c r="D409" s="4">
        <f>_xll.ciqfunctions.udf.CIQ(InputTicker, "IQ_GENERAL_PARTNER_PREF_EQUITY",Input!F$2,Date,,,Ccy,Conv)</f>
        <v>0</v>
      </c>
      <c r="E409" s="4">
        <f>_xll.ciqfunctions.udf.CIQ(InputTicker, "IQ_GENERAL_PARTNER_PREF_EQUITY",Input!G$2,Date,,,Ccy,Conv)</f>
        <v>0</v>
      </c>
      <c r="F409" s="4">
        <f>_xll.ciqfunctions.udf.CIQ(InputTicker, "IQ_GENERAL_PARTNER_PREF_EQUITY",Input!H$2,Date,,,Ccy,Conv)</f>
        <v>0</v>
      </c>
      <c r="G409" s="4">
        <f>_xll.ciqfunctions.udf.CIQ(InputTicker, "IQ_GENERAL_PARTNER_PREF_EQUITY",Input!I$2,Date,,,Ccy,Conv)</f>
        <v>0</v>
      </c>
      <c r="H409" s="4">
        <f>_xll.ciqfunctions.udf.CIQ(InputTicker, "IQ_GENERAL_PARTNER_PREF_EQUITY",Input!J$2,Date,,,Ccy,Conv)</f>
        <v>0</v>
      </c>
      <c r="I409" s="4">
        <f>_xll.ciqfunctions.udf.CIQ(InputTicker, "IQ_GENERAL_PARTNER_PREF_EQUITY",Input!K$2,Date,,,Ccy,Conv)</f>
        <v>0</v>
      </c>
      <c r="J409" s="4">
        <f>_xll.ciqfunctions.udf.CIQ(InputTicker, "IQ_GENERAL_PARTNER_PREF_EQUITY",Input!L$2,Date,,,Ccy,Conv)</f>
        <v>0</v>
      </c>
      <c r="K409" s="4">
        <f>_xll.ciqfunctions.udf.CIQ(InputTicker, "IQ_GENERAL_PARTNER_PREF_EQUITY",Input!M$2,Date,,,Ccy,Conv)</f>
        <v>0</v>
      </c>
      <c r="L409" s="4">
        <f>_xll.ciqfunctions.udf.CIQ(InputTicker, "IQ_GENERAL_PARTNER_PREF_EQUITY",Input!N$2,Date,,,Ccy,Conv)</f>
        <v>0</v>
      </c>
      <c r="M409" s="4">
        <f>_xll.ciqfunctions.udf.CIQ(InputTicker, "IQ_GENERAL_PARTNER_PREF_EQUITY",Input!O$2,Date,,,Ccy,Conv)</f>
        <v>0</v>
      </c>
      <c r="N409" s="53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  <c r="AK409" s="42"/>
      <c r="AL409" s="42"/>
      <c r="AM409" s="42"/>
      <c r="AN409" s="42"/>
      <c r="AO409" s="42"/>
      <c r="AP409" s="42"/>
      <c r="AQ409" s="42"/>
      <c r="AR409" s="42"/>
      <c r="AS409" s="42"/>
      <c r="AT409" s="42"/>
      <c r="AU409" s="42"/>
      <c r="AV409" s="42"/>
      <c r="AW409" s="42"/>
      <c r="AX409" s="42"/>
      <c r="AY409" s="42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  <c r="BJ409" s="42"/>
      <c r="BK409" s="42"/>
      <c r="BL409" s="42"/>
      <c r="BM409" s="42"/>
      <c r="BN409" s="42"/>
    </row>
    <row r="410" spans="1:66" ht="12.75" customHeight="1" x14ac:dyDescent="0.2">
      <c r="A410" s="1" t="s">
        <v>3</v>
      </c>
      <c r="B410" s="4">
        <f>_xll.ciqfunctions.udf.CIQ(InputTicker, "IQ_GENERAL_PARTNER_MINORITY_INTEREST",Input!D$2,Date,,,Ccy,Conv)</f>
        <v>0</v>
      </c>
      <c r="C410" s="4">
        <f>_xll.ciqfunctions.udf.CIQ(InputTicker, "IQ_GENERAL_PARTNER_MINORITY_INTEREST",Input!E$2,Date,,,Ccy,Conv)</f>
        <v>0</v>
      </c>
      <c r="D410" s="4">
        <f>_xll.ciqfunctions.udf.CIQ(InputTicker, "IQ_GENERAL_PARTNER_MINORITY_INTEREST",Input!F$2,Date,,,Ccy,Conv)</f>
        <v>0</v>
      </c>
      <c r="E410" s="4">
        <f>_xll.ciqfunctions.udf.CIQ(InputTicker, "IQ_GENERAL_PARTNER_MINORITY_INTEREST",Input!G$2,Date,,,Ccy,Conv)</f>
        <v>0</v>
      </c>
      <c r="F410" s="4">
        <f>_xll.ciqfunctions.udf.CIQ(InputTicker, "IQ_GENERAL_PARTNER_MINORITY_INTEREST",Input!H$2,Date,,,Ccy,Conv)</f>
        <v>0</v>
      </c>
      <c r="G410" s="4">
        <f>_xll.ciqfunctions.udf.CIQ(InputTicker, "IQ_GENERAL_PARTNER_MINORITY_INTEREST",Input!I$2,Date,,,Ccy,Conv)</f>
        <v>0</v>
      </c>
      <c r="H410" s="4">
        <f>_xll.ciqfunctions.udf.CIQ(InputTicker, "IQ_GENERAL_PARTNER_MINORITY_INTEREST",Input!J$2,Date,,,Ccy,Conv)</f>
        <v>0</v>
      </c>
      <c r="I410" s="4">
        <f>_xll.ciqfunctions.udf.CIQ(InputTicker, "IQ_GENERAL_PARTNER_MINORITY_INTEREST",Input!K$2,Date,,,Ccy,Conv)</f>
        <v>0</v>
      </c>
      <c r="J410" s="4">
        <f>_xll.ciqfunctions.udf.CIQ(InputTicker, "IQ_GENERAL_PARTNER_MINORITY_INTEREST",Input!L$2,Date,,,Ccy,Conv)</f>
        <v>0</v>
      </c>
      <c r="K410" s="4">
        <f>_xll.ciqfunctions.udf.CIQ(InputTicker, "IQ_GENERAL_PARTNER_MINORITY_INTEREST",Input!M$2,Date,,,Ccy,Conv)</f>
        <v>0</v>
      </c>
      <c r="L410" s="4">
        <f>_xll.ciqfunctions.udf.CIQ(InputTicker, "IQ_GENERAL_PARTNER_MINORITY_INTEREST",Input!N$2,Date,,,Ccy,Conv)</f>
        <v>0</v>
      </c>
      <c r="M410" s="4">
        <f>_xll.ciqfunctions.udf.CIQ(InputTicker, "IQ_GENERAL_PARTNER_MINORITY_INTEREST",Input!O$2,Date,,,Ccy,Conv)</f>
        <v>0</v>
      </c>
      <c r="N410" s="53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  <c r="BJ410" s="42"/>
      <c r="BK410" s="42"/>
      <c r="BL410" s="42"/>
      <c r="BM410" s="42"/>
      <c r="BN410" s="42"/>
    </row>
    <row r="411" spans="1:66" ht="12.75" customHeight="1" x14ac:dyDescent="0.2">
      <c r="A411" s="1" t="s">
        <v>4</v>
      </c>
      <c r="B411" s="4">
        <f>_xll.ciqfunctions.udf.CIQ(InputTicker, "IQ_TOTAL_GENERAL_PARTNER_INTEREST",Input!D$2,Date,,,Ccy,Conv)</f>
        <v>0</v>
      </c>
      <c r="C411" s="4">
        <f>_xll.ciqfunctions.udf.CIQ(InputTicker, "IQ_TOTAL_GENERAL_PARTNER_INTEREST",Input!E$2,Date,,,Ccy,Conv)</f>
        <v>0</v>
      </c>
      <c r="D411" s="4">
        <f>_xll.ciqfunctions.udf.CIQ(InputTicker, "IQ_TOTAL_GENERAL_PARTNER_INTEREST",Input!F$2,Date,,,Ccy,Conv)</f>
        <v>0</v>
      </c>
      <c r="E411" s="4">
        <f>_xll.ciqfunctions.udf.CIQ(InputTicker, "IQ_TOTAL_GENERAL_PARTNER_INTEREST",Input!G$2,Date,,,Ccy,Conv)</f>
        <v>0</v>
      </c>
      <c r="F411" s="4">
        <f>_xll.ciqfunctions.udf.CIQ(InputTicker, "IQ_TOTAL_GENERAL_PARTNER_INTEREST",Input!H$2,Date,,,Ccy,Conv)</f>
        <v>0</v>
      </c>
      <c r="G411" s="4">
        <f>_xll.ciqfunctions.udf.CIQ(InputTicker, "IQ_TOTAL_GENERAL_PARTNER_INTEREST",Input!I$2,Date,,,Ccy,Conv)</f>
        <v>0</v>
      </c>
      <c r="H411" s="4">
        <f>_xll.ciqfunctions.udf.CIQ(InputTicker, "IQ_TOTAL_GENERAL_PARTNER_INTEREST",Input!J$2,Date,,,Ccy,Conv)</f>
        <v>0</v>
      </c>
      <c r="I411" s="4">
        <f>_xll.ciqfunctions.udf.CIQ(InputTicker, "IQ_TOTAL_GENERAL_PARTNER_INTEREST",Input!K$2,Date,,,Ccy,Conv)</f>
        <v>0</v>
      </c>
      <c r="J411" s="4">
        <f>_xll.ciqfunctions.udf.CIQ(InputTicker, "IQ_TOTAL_GENERAL_PARTNER_INTEREST",Input!L$2,Date,,,Ccy,Conv)</f>
        <v>0</v>
      </c>
      <c r="K411" s="4">
        <f>_xll.ciqfunctions.udf.CIQ(InputTicker, "IQ_TOTAL_GENERAL_PARTNER_INTEREST",Input!M$2,Date,,,Ccy,Conv)</f>
        <v>0</v>
      </c>
      <c r="L411" s="4">
        <f>_xll.ciqfunctions.udf.CIQ(InputTicker, "IQ_TOTAL_GENERAL_PARTNER_INTEREST",Input!N$2,Date,,,Ccy,Conv)</f>
        <v>0</v>
      </c>
      <c r="M411" s="4">
        <f>_xll.ciqfunctions.udf.CIQ(InputTicker, "IQ_TOTAL_GENERAL_PARTNER_INTEREST",Input!O$2,Date,,,Ccy,Conv)</f>
        <v>0</v>
      </c>
      <c r="N411" s="53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  <c r="AK411" s="42"/>
      <c r="AL411" s="42"/>
      <c r="AM411" s="42"/>
      <c r="AN411" s="42"/>
      <c r="AO411" s="42"/>
      <c r="AP411" s="42"/>
      <c r="AQ411" s="42"/>
      <c r="AR411" s="42"/>
      <c r="AS411" s="42"/>
      <c r="AT411" s="42"/>
      <c r="AU411" s="42"/>
      <c r="AV411" s="42"/>
      <c r="AW411" s="42"/>
      <c r="AX411" s="42"/>
      <c r="AY411" s="42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  <c r="BJ411" s="42"/>
      <c r="BK411" s="42"/>
      <c r="BL411" s="42"/>
      <c r="BM411" s="42"/>
      <c r="BN411" s="42"/>
    </row>
    <row r="412" spans="1:66" ht="12.75" customHeight="1" x14ac:dyDescent="0.2">
      <c r="A412" s="1" t="s">
        <v>396</v>
      </c>
      <c r="B412" s="4">
        <f>_xll.ciqfunctions.udf.CIQ(InputTicker, "IQ_LIQUIDATION_VALUE_PREFERRED_CONVERT",Input!D$2,Date,,,Ccy,Conv)</f>
        <v>0</v>
      </c>
      <c r="C412" s="4">
        <f>_xll.ciqfunctions.udf.CIQ(InputTicker, "IQ_LIQUIDATION_VALUE_PREFERRED_CONVERT",Input!E$2,Date,,,Ccy,Conv)</f>
        <v>0</v>
      </c>
      <c r="D412" s="4">
        <f>_xll.ciqfunctions.udf.CIQ(InputTicker, "IQ_LIQUIDATION_VALUE_PREFERRED_CONVERT",Input!F$2,Date,,,Ccy,Conv)</f>
        <v>0</v>
      </c>
      <c r="E412" s="4">
        <f>_xll.ciqfunctions.udf.CIQ(InputTicker, "IQ_LIQUIDATION_VALUE_PREFERRED_CONVERT",Input!G$2,Date,,,Ccy,Conv)</f>
        <v>0</v>
      </c>
      <c r="F412" s="4">
        <f>_xll.ciqfunctions.udf.CIQ(InputTicker, "IQ_LIQUIDATION_VALUE_PREFERRED_CONVERT",Input!H$2,Date,,,Ccy,Conv)</f>
        <v>0</v>
      </c>
      <c r="G412" s="4">
        <f>_xll.ciqfunctions.udf.CIQ(InputTicker, "IQ_LIQUIDATION_VALUE_PREFERRED_CONVERT",Input!I$2,Date,,,Ccy,Conv)</f>
        <v>0</v>
      </c>
      <c r="H412" s="4">
        <f>_xll.ciqfunctions.udf.CIQ(InputTicker, "IQ_LIQUIDATION_VALUE_PREFERRED_CONVERT",Input!J$2,Date,,,Ccy,Conv)</f>
        <v>0</v>
      </c>
      <c r="I412" s="4">
        <f>_xll.ciqfunctions.udf.CIQ(InputTicker, "IQ_LIQUIDATION_VALUE_PREFERRED_CONVERT",Input!K$2,Date,,,Ccy,Conv)</f>
        <v>0</v>
      </c>
      <c r="J412" s="4">
        <f>_xll.ciqfunctions.udf.CIQ(InputTicker, "IQ_LIQUIDATION_VALUE_PREFERRED_CONVERT",Input!L$2,Date,,,Ccy,Conv)</f>
        <v>0</v>
      </c>
      <c r="K412" s="4">
        <f>_xll.ciqfunctions.udf.CIQ(InputTicker, "IQ_LIQUIDATION_VALUE_PREFERRED_CONVERT",Input!M$2,Date,,,Ccy,Conv)</f>
        <v>0</v>
      </c>
      <c r="L412" s="4">
        <f>_xll.ciqfunctions.udf.CIQ(InputTicker, "IQ_LIQUIDATION_VALUE_PREFERRED_CONVERT",Input!N$2,Date,,,Ccy,Conv)</f>
        <v>0</v>
      </c>
      <c r="M412" s="4">
        <f>_xll.ciqfunctions.udf.CIQ(InputTicker, "IQ_LIQUIDATION_VALUE_PREFERRED_CONVERT",Input!O$2,Date,,,Ccy,Conv)</f>
        <v>0</v>
      </c>
      <c r="N412" s="53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  <c r="AK412" s="42"/>
      <c r="AL412" s="42"/>
      <c r="AM412" s="42"/>
      <c r="AN412" s="42"/>
      <c r="AO412" s="42"/>
      <c r="AP412" s="42"/>
      <c r="AQ412" s="42"/>
      <c r="AR412" s="42"/>
      <c r="AS412" s="42"/>
      <c r="AT412" s="42"/>
      <c r="AU412" s="42"/>
      <c r="AV412" s="42"/>
      <c r="AW412" s="42"/>
      <c r="AX412" s="42"/>
      <c r="AY412" s="42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  <c r="BJ412" s="42"/>
      <c r="BK412" s="42"/>
      <c r="BL412" s="42"/>
      <c r="BM412" s="42"/>
      <c r="BN412" s="42"/>
    </row>
    <row r="413" spans="1:66" ht="12.75" customHeight="1" x14ac:dyDescent="0.2">
      <c r="A413" s="1" t="s">
        <v>397</v>
      </c>
      <c r="B413" s="4">
        <f>_xll.ciqfunctions.udf.CIQ(InputTicker, "IQ_LIQUIDATION_VALUE_PREFERRED_NON_REDEEM",Input!D$2,Date,,,Ccy,Conv)</f>
        <v>0</v>
      </c>
      <c r="C413" s="4">
        <f>_xll.ciqfunctions.udf.CIQ(InputTicker, "IQ_LIQUIDATION_VALUE_PREFERRED_NON_REDEEM",Input!E$2,Date,,,Ccy,Conv)</f>
        <v>0</v>
      </c>
      <c r="D413" s="4">
        <f>_xll.ciqfunctions.udf.CIQ(InputTicker, "IQ_LIQUIDATION_VALUE_PREFERRED_NON_REDEEM",Input!F$2,Date,,,Ccy,Conv)</f>
        <v>0</v>
      </c>
      <c r="E413" s="4">
        <f>_xll.ciqfunctions.udf.CIQ(InputTicker, "IQ_LIQUIDATION_VALUE_PREFERRED_NON_REDEEM",Input!G$2,Date,,,Ccy,Conv)</f>
        <v>0</v>
      </c>
      <c r="F413" s="4">
        <f>_xll.ciqfunctions.udf.CIQ(InputTicker, "IQ_LIQUIDATION_VALUE_PREFERRED_NON_REDEEM",Input!H$2,Date,,,Ccy,Conv)</f>
        <v>0</v>
      </c>
      <c r="G413" s="4">
        <f>_xll.ciqfunctions.udf.CIQ(InputTicker, "IQ_LIQUIDATION_VALUE_PREFERRED_NON_REDEEM",Input!I$2,Date,,,Ccy,Conv)</f>
        <v>0</v>
      </c>
      <c r="H413" s="4">
        <f>_xll.ciqfunctions.udf.CIQ(InputTicker, "IQ_LIQUIDATION_VALUE_PREFERRED_NON_REDEEM",Input!J$2,Date,,,Ccy,Conv)</f>
        <v>0</v>
      </c>
      <c r="I413" s="4">
        <f>_xll.ciqfunctions.udf.CIQ(InputTicker, "IQ_LIQUIDATION_VALUE_PREFERRED_NON_REDEEM",Input!K$2,Date,,,Ccy,Conv)</f>
        <v>0</v>
      </c>
      <c r="J413" s="4">
        <f>_xll.ciqfunctions.udf.CIQ(InputTicker, "IQ_LIQUIDATION_VALUE_PREFERRED_NON_REDEEM",Input!L$2,Date,,,Ccy,Conv)</f>
        <v>0</v>
      </c>
      <c r="K413" s="4">
        <f>_xll.ciqfunctions.udf.CIQ(InputTicker, "IQ_LIQUIDATION_VALUE_PREFERRED_NON_REDEEM",Input!M$2,Date,,,Ccy,Conv)</f>
        <v>0</v>
      </c>
      <c r="L413" s="4">
        <f>_xll.ciqfunctions.udf.CIQ(InputTicker, "IQ_LIQUIDATION_VALUE_PREFERRED_NON_REDEEM",Input!N$2,Date,,,Ccy,Conv)</f>
        <v>0</v>
      </c>
      <c r="M413" s="4">
        <f>_xll.ciqfunctions.udf.CIQ(InputTicker, "IQ_LIQUIDATION_VALUE_PREFERRED_NON_REDEEM",Input!O$2,Date,,,Ccy,Conv)</f>
        <v>0</v>
      </c>
      <c r="N413" s="53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  <c r="BJ413" s="42"/>
      <c r="BK413" s="42"/>
      <c r="BL413" s="42"/>
      <c r="BM413" s="42"/>
      <c r="BN413" s="42"/>
    </row>
    <row r="414" spans="1:66" ht="12.75" customHeight="1" x14ac:dyDescent="0.2">
      <c r="A414" s="1" t="s">
        <v>398</v>
      </c>
      <c r="B414" s="4">
        <f>_xll.ciqfunctions.udf.CIQ(InputTicker, "IQ_LIQUIDATION_VALUE_PREFERRED_REDEEM",Input!D$2,Date,,,Ccy,Conv)</f>
        <v>0</v>
      </c>
      <c r="C414" s="4">
        <f>_xll.ciqfunctions.udf.CIQ(InputTicker, "IQ_LIQUIDATION_VALUE_PREFERRED_REDEEM",Input!E$2,Date,,,Ccy,Conv)</f>
        <v>0</v>
      </c>
      <c r="D414" s="4">
        <f>_xll.ciqfunctions.udf.CIQ(InputTicker, "IQ_LIQUIDATION_VALUE_PREFERRED_REDEEM",Input!F$2,Date,,,Ccy,Conv)</f>
        <v>0</v>
      </c>
      <c r="E414" s="4">
        <f>_xll.ciqfunctions.udf.CIQ(InputTicker, "IQ_LIQUIDATION_VALUE_PREFERRED_REDEEM",Input!G$2,Date,,,Ccy,Conv)</f>
        <v>0</v>
      </c>
      <c r="F414" s="4">
        <f>_xll.ciqfunctions.udf.CIQ(InputTicker, "IQ_LIQUIDATION_VALUE_PREFERRED_REDEEM",Input!H$2,Date,,,Ccy,Conv)</f>
        <v>0</v>
      </c>
      <c r="G414" s="4">
        <f>_xll.ciqfunctions.udf.CIQ(InputTicker, "IQ_LIQUIDATION_VALUE_PREFERRED_REDEEM",Input!I$2,Date,,,Ccy,Conv)</f>
        <v>0</v>
      </c>
      <c r="H414" s="4">
        <f>_xll.ciqfunctions.udf.CIQ(InputTicker, "IQ_LIQUIDATION_VALUE_PREFERRED_REDEEM",Input!J$2,Date,,,Ccy,Conv)</f>
        <v>0</v>
      </c>
      <c r="I414" s="4">
        <f>_xll.ciqfunctions.udf.CIQ(InputTicker, "IQ_LIQUIDATION_VALUE_PREFERRED_REDEEM",Input!K$2,Date,,,Ccy,Conv)</f>
        <v>0</v>
      </c>
      <c r="J414" s="4">
        <f>_xll.ciqfunctions.udf.CIQ(InputTicker, "IQ_LIQUIDATION_VALUE_PREFERRED_REDEEM",Input!L$2,Date,,,Ccy,Conv)</f>
        <v>0</v>
      </c>
      <c r="K414" s="4">
        <f>_xll.ciqfunctions.udf.CIQ(InputTicker, "IQ_LIQUIDATION_VALUE_PREFERRED_REDEEM",Input!M$2,Date,,,Ccy,Conv)</f>
        <v>0</v>
      </c>
      <c r="L414" s="4">
        <f>_xll.ciqfunctions.udf.CIQ(InputTicker, "IQ_LIQUIDATION_VALUE_PREFERRED_REDEEM",Input!N$2,Date,,,Ccy,Conv)</f>
        <v>0</v>
      </c>
      <c r="M414" s="4">
        <f>_xll.ciqfunctions.udf.CIQ(InputTicker, "IQ_LIQUIDATION_VALUE_PREFERRED_REDEEM",Input!O$2,Date,,,Ccy,Conv)</f>
        <v>0</v>
      </c>
      <c r="N414" s="53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  <c r="AK414" s="42"/>
      <c r="AL414" s="42"/>
      <c r="AM414" s="42"/>
      <c r="AN414" s="42"/>
      <c r="AO414" s="42"/>
      <c r="AP414" s="42"/>
      <c r="AQ414" s="42"/>
      <c r="AR414" s="42"/>
      <c r="AS414" s="42"/>
      <c r="AT414" s="42"/>
      <c r="AU414" s="42"/>
      <c r="AV414" s="42"/>
      <c r="AW414" s="42"/>
      <c r="AX414" s="42"/>
      <c r="AY414" s="42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  <c r="BJ414" s="42"/>
      <c r="BK414" s="42"/>
      <c r="BL414" s="42"/>
      <c r="BM414" s="42"/>
      <c r="BN414" s="42"/>
    </row>
    <row r="415" spans="1:66" ht="12.75" customHeight="1" x14ac:dyDescent="0.2">
      <c r="A415" s="1" t="s">
        <v>399</v>
      </c>
      <c r="B415" s="4">
        <f>_xll.ciqfunctions.udf.CIQ(InputTicker, "IQ_ASSETS_LEVEL_1",Input!D$2,Date,,,Ccy,Conv)</f>
        <v>2290</v>
      </c>
      <c r="C415" s="4">
        <f>_xll.ciqfunctions.udf.CIQ(InputTicker, "IQ_ASSETS_LEVEL_1",Input!E$2,Date,,,Ccy,Conv)</f>
        <v>1212</v>
      </c>
      <c r="D415" s="4">
        <f>_xll.ciqfunctions.udf.CIQ(InputTicker, "IQ_ASSETS_LEVEL_1",Input!F$2,Date,,,Ccy,Conv)</f>
        <v>34</v>
      </c>
      <c r="E415" s="4">
        <f>_xll.ciqfunctions.udf.CIQ(InputTicker, "IQ_ASSETS_LEVEL_1",Input!G$2,Date,,,Ccy,Conv)</f>
        <v>25</v>
      </c>
      <c r="F415" s="4">
        <f>_xll.ciqfunctions.udf.CIQ(InputTicker, "IQ_ASSETS_LEVEL_1",Input!H$2,Date,,,Ccy,Conv)</f>
        <v>427</v>
      </c>
      <c r="G415" s="4">
        <f>_xll.ciqfunctions.udf.CIQ(InputTicker, "IQ_ASSETS_LEVEL_1",Input!I$2,Date,,,Ccy,Conv)</f>
        <v>150</v>
      </c>
      <c r="H415" s="4">
        <f>_xll.ciqfunctions.udf.CIQ(InputTicker, "IQ_ASSETS_LEVEL_1",Input!J$2,Date,,,Ccy,Conv)</f>
        <v>1070</v>
      </c>
      <c r="I415" s="4">
        <f>_xll.ciqfunctions.udf.CIQ(InputTicker, "IQ_ASSETS_LEVEL_1",Input!K$2,Date,,,Ccy,Conv)</f>
        <v>306</v>
      </c>
      <c r="J415" s="4">
        <f>_xll.ciqfunctions.udf.CIQ(InputTicker, "IQ_ASSETS_LEVEL_1",Input!L$2,Date,,,Ccy,Conv)</f>
        <v>519</v>
      </c>
      <c r="K415" s="4">
        <f>_xll.ciqfunctions.udf.CIQ(InputTicker, "IQ_ASSETS_LEVEL_1",Input!M$2,Date,,,Ccy,Conv)</f>
        <v>284</v>
      </c>
      <c r="L415" s="4">
        <f>_xll.ciqfunctions.udf.CIQ(InputTicker, "IQ_ASSETS_LEVEL_1",Input!N$2,Date,,,Ccy,Conv)</f>
        <v>413</v>
      </c>
      <c r="M415" s="4">
        <f>_xll.ciqfunctions.udf.CIQ(InputTicker, "IQ_ASSETS_LEVEL_1",Input!O$2,Date,,,Ccy,Conv)</f>
        <v>413</v>
      </c>
      <c r="N415" s="53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  <c r="AK415" s="42"/>
      <c r="AL415" s="42"/>
      <c r="AM415" s="42"/>
      <c r="AN415" s="42"/>
      <c r="AO415" s="42"/>
      <c r="AP415" s="42"/>
      <c r="AQ415" s="42"/>
      <c r="AR415" s="42"/>
      <c r="AS415" s="42"/>
      <c r="AT415" s="42"/>
      <c r="AU415" s="42"/>
      <c r="AV415" s="42"/>
      <c r="AW415" s="42"/>
      <c r="AX415" s="42"/>
      <c r="AY415" s="42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  <c r="BJ415" s="42"/>
      <c r="BK415" s="42"/>
      <c r="BL415" s="42"/>
      <c r="BM415" s="42"/>
      <c r="BN415" s="42"/>
    </row>
    <row r="416" spans="1:66" ht="12.75" customHeight="1" x14ac:dyDescent="0.2">
      <c r="A416" s="1" t="s">
        <v>420</v>
      </c>
      <c r="B416" s="4">
        <f>_xll.ciqfunctions.udf.CIQ(InputTicker, "IQ_ASSETS_LEVEL_2",Input!D$2,Date,,,Ccy,Conv)</f>
        <v>4381</v>
      </c>
      <c r="C416" s="4">
        <f>_xll.ciqfunctions.udf.CIQ(InputTicker, "IQ_ASSETS_LEVEL_2",Input!E$2,Date,,,Ccy,Conv)</f>
        <v>5460</v>
      </c>
      <c r="D416" s="4">
        <f>_xll.ciqfunctions.udf.CIQ(InputTicker, "IQ_ASSETS_LEVEL_2",Input!F$2,Date,,,Ccy,Conv)</f>
        <v>10117</v>
      </c>
      <c r="E416" s="4">
        <f>_xll.ciqfunctions.udf.CIQ(InputTicker, "IQ_ASSETS_LEVEL_2",Input!G$2,Date,,,Ccy,Conv)</f>
        <v>9026</v>
      </c>
      <c r="F416" s="4">
        <f>_xll.ciqfunctions.udf.CIQ(InputTicker, "IQ_ASSETS_LEVEL_2",Input!H$2,Date,,,Ccy,Conv)</f>
        <v>5394</v>
      </c>
      <c r="G416" s="4">
        <f>_xll.ciqfunctions.udf.CIQ(InputTicker, "IQ_ASSETS_LEVEL_2",Input!I$2,Date,,,Ccy,Conv)</f>
        <v>8982</v>
      </c>
      <c r="H416" s="4">
        <f>_xll.ciqfunctions.udf.CIQ(InputTicker, "IQ_ASSETS_LEVEL_2",Input!J$2,Date,,,Ccy,Conv)</f>
        <v>3494</v>
      </c>
      <c r="I416" s="4">
        <f>_xll.ciqfunctions.udf.CIQ(InputTicker, "IQ_ASSETS_LEVEL_2",Input!K$2,Date,,,Ccy,Conv)</f>
        <v>4842</v>
      </c>
      <c r="J416" s="4">
        <f>_xll.ciqfunctions.udf.CIQ(InputTicker, "IQ_ASSETS_LEVEL_2",Input!L$2,Date,,,Ccy,Conv)</f>
        <v>7920</v>
      </c>
      <c r="K416" s="4">
        <f>_xll.ciqfunctions.udf.CIQ(InputTicker, "IQ_ASSETS_LEVEL_2",Input!M$2,Date,,,Ccy,Conv)</f>
        <v>7978</v>
      </c>
      <c r="L416" s="4">
        <f>_xll.ciqfunctions.udf.CIQ(InputTicker, "IQ_ASSETS_LEVEL_2",Input!N$2,Date,,,Ccy,Conv)</f>
        <v>8495</v>
      </c>
      <c r="M416" s="4">
        <f>_xll.ciqfunctions.udf.CIQ(InputTicker, "IQ_ASSETS_LEVEL_2",Input!O$2,Date,,,Ccy,Conv)</f>
        <v>8495</v>
      </c>
      <c r="N416" s="53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  <c r="AK416" s="42"/>
      <c r="AL416" s="42"/>
      <c r="AM416" s="42"/>
      <c r="AN416" s="42"/>
      <c r="AO416" s="42"/>
      <c r="AP416" s="42"/>
      <c r="AQ416" s="42"/>
      <c r="AR416" s="42"/>
      <c r="AS416" s="42"/>
      <c r="AT416" s="42"/>
      <c r="AU416" s="42"/>
      <c r="AV416" s="42"/>
      <c r="AW416" s="42"/>
      <c r="AX416" s="42"/>
      <c r="AY416" s="42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  <c r="BJ416" s="42"/>
      <c r="BK416" s="42"/>
      <c r="BL416" s="42"/>
      <c r="BM416" s="42"/>
      <c r="BN416" s="42"/>
    </row>
    <row r="417" spans="1:66" ht="12.75" customHeight="1" x14ac:dyDescent="0.2">
      <c r="A417" s="1" t="s">
        <v>421</v>
      </c>
      <c r="B417" s="4">
        <f>_xll.ciqfunctions.udf.CIQ(InputTicker, "IQ_ASSETS_LEVEL_3",Input!D$2,Date,,,Ccy,Conv)</f>
        <v>0</v>
      </c>
      <c r="C417" s="4">
        <f>_xll.ciqfunctions.udf.CIQ(InputTicker, "IQ_ASSETS_LEVEL_3",Input!E$2,Date,,,Ccy,Conv)</f>
        <v>0</v>
      </c>
      <c r="D417" s="4">
        <f>_xll.ciqfunctions.udf.CIQ(InputTicker, "IQ_ASSETS_LEVEL_3",Input!F$2,Date,,,Ccy,Conv)</f>
        <v>0</v>
      </c>
      <c r="E417" s="4">
        <f>_xll.ciqfunctions.udf.CIQ(InputTicker, "IQ_ASSETS_LEVEL_3",Input!G$2,Date,,,Ccy,Conv)</f>
        <v>0</v>
      </c>
      <c r="F417" s="4">
        <f>_xll.ciqfunctions.udf.CIQ(InputTicker, "IQ_ASSETS_LEVEL_3",Input!H$2,Date,,,Ccy,Conv)</f>
        <v>0</v>
      </c>
      <c r="G417" s="4">
        <f>_xll.ciqfunctions.udf.CIQ(InputTicker, "IQ_ASSETS_LEVEL_3",Input!I$2,Date,,,Ccy,Conv)</f>
        <v>0</v>
      </c>
      <c r="H417" s="4">
        <f>_xll.ciqfunctions.udf.CIQ(InputTicker, "IQ_ASSETS_LEVEL_3",Input!J$2,Date,,,Ccy,Conv)</f>
        <v>0</v>
      </c>
      <c r="I417" s="4">
        <f>_xll.ciqfunctions.udf.CIQ(InputTicker, "IQ_ASSETS_LEVEL_3",Input!K$2,Date,,,Ccy,Conv)</f>
        <v>0</v>
      </c>
      <c r="J417" s="4">
        <f>_xll.ciqfunctions.udf.CIQ(InputTicker, "IQ_ASSETS_LEVEL_3",Input!L$2,Date,,,Ccy,Conv)</f>
        <v>0</v>
      </c>
      <c r="K417" s="4">
        <f>_xll.ciqfunctions.udf.CIQ(InputTicker, "IQ_ASSETS_LEVEL_3",Input!M$2,Date,,,Ccy,Conv)</f>
        <v>0</v>
      </c>
      <c r="L417" s="4">
        <f>_xll.ciqfunctions.udf.CIQ(InputTicker, "IQ_ASSETS_LEVEL_3",Input!N$2,Date,,,Ccy,Conv)</f>
        <v>0</v>
      </c>
      <c r="M417" s="4">
        <f>_xll.ciqfunctions.udf.CIQ(InputTicker, "IQ_ASSETS_LEVEL_3",Input!O$2,Date,,,Ccy,Conv)</f>
        <v>0</v>
      </c>
      <c r="N417" s="53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  <c r="AK417" s="42"/>
      <c r="AL417" s="42"/>
      <c r="AM417" s="42"/>
      <c r="AN417" s="42"/>
      <c r="AO417" s="42"/>
      <c r="AP417" s="42"/>
      <c r="AQ417" s="42"/>
      <c r="AR417" s="42"/>
      <c r="AS417" s="42"/>
      <c r="AT417" s="42"/>
      <c r="AU417" s="42"/>
      <c r="AV417" s="42"/>
      <c r="AW417" s="42"/>
      <c r="AX417" s="42"/>
      <c r="AY417" s="42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  <c r="BJ417" s="42"/>
      <c r="BK417" s="42"/>
      <c r="BL417" s="42"/>
      <c r="BM417" s="42"/>
      <c r="BN417" s="42"/>
    </row>
    <row r="418" spans="1:66" ht="12.75" customHeight="1" x14ac:dyDescent="0.2">
      <c r="A418" s="1" t="s">
        <v>400</v>
      </c>
      <c r="B418" s="4">
        <f>_xll.ciqfunctions.udf.CIQ(InputTicker, "IQ_ASSETS_NETTING_OTHER_ADJUSTMENTS",Input!D$2,Date,,,Ccy,Conv)</f>
        <v>0</v>
      </c>
      <c r="C418" s="4">
        <f>_xll.ciqfunctions.udf.CIQ(InputTicker, "IQ_ASSETS_NETTING_OTHER_ADJUSTMENTS",Input!E$2,Date,,,Ccy,Conv)</f>
        <v>0</v>
      </c>
      <c r="D418" s="4">
        <f>_xll.ciqfunctions.udf.CIQ(InputTicker, "IQ_ASSETS_NETTING_OTHER_ADJUSTMENTS",Input!F$2,Date,,,Ccy,Conv)</f>
        <v>0</v>
      </c>
      <c r="E418" s="4">
        <f>_xll.ciqfunctions.udf.CIQ(InputTicker, "IQ_ASSETS_NETTING_OTHER_ADJUSTMENTS",Input!G$2,Date,,,Ccy,Conv)</f>
        <v>0</v>
      </c>
      <c r="F418" s="4">
        <f>_xll.ciqfunctions.udf.CIQ(InputTicker, "IQ_ASSETS_NETTING_OTHER_ADJUSTMENTS",Input!H$2,Date,,,Ccy,Conv)</f>
        <v>0</v>
      </c>
      <c r="G418" s="4">
        <f>_xll.ciqfunctions.udf.CIQ(InputTicker, "IQ_ASSETS_NETTING_OTHER_ADJUSTMENTS",Input!I$2,Date,,,Ccy,Conv)</f>
        <v>0</v>
      </c>
      <c r="H418" s="4">
        <f>_xll.ciqfunctions.udf.CIQ(InputTicker, "IQ_ASSETS_NETTING_OTHER_ADJUSTMENTS",Input!J$2,Date,,,Ccy,Conv)</f>
        <v>0</v>
      </c>
      <c r="I418" s="4">
        <f>_xll.ciqfunctions.udf.CIQ(InputTicker, "IQ_ASSETS_NETTING_OTHER_ADJUSTMENTS",Input!K$2,Date,,,Ccy,Conv)</f>
        <v>0</v>
      </c>
      <c r="J418" s="4">
        <f>_xll.ciqfunctions.udf.CIQ(InputTicker, "IQ_ASSETS_NETTING_OTHER_ADJUSTMENTS",Input!L$2,Date,,,Ccy,Conv)</f>
        <v>0</v>
      </c>
      <c r="K418" s="4">
        <f>_xll.ciqfunctions.udf.CIQ(InputTicker, "IQ_ASSETS_NETTING_OTHER_ADJUSTMENTS",Input!M$2,Date,,,Ccy,Conv)</f>
        <v>0</v>
      </c>
      <c r="L418" s="4">
        <f>_xll.ciqfunctions.udf.CIQ(InputTicker, "IQ_ASSETS_NETTING_OTHER_ADJUSTMENTS",Input!N$2,Date,,,Ccy,Conv)</f>
        <v>0</v>
      </c>
      <c r="M418" s="4">
        <f>_xll.ciqfunctions.udf.CIQ(InputTicker, "IQ_ASSETS_NETTING_OTHER_ADJUSTMENTS",Input!O$2,Date,,,Ccy,Conv)</f>
        <v>0</v>
      </c>
      <c r="N418" s="53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  <c r="BJ418" s="42"/>
      <c r="BK418" s="42"/>
      <c r="BL418" s="42"/>
      <c r="BM418" s="42"/>
      <c r="BN418" s="42"/>
    </row>
    <row r="419" spans="1:66" ht="12.75" customHeight="1" x14ac:dyDescent="0.2">
      <c r="A419" s="1" t="s">
        <v>401</v>
      </c>
      <c r="B419" s="4">
        <f>_xll.ciqfunctions.udf.CIQ(InputTicker, "IQ_ASSETS_FAIR_VALUE",Input!D$2,Date,,,Ccy,Conv)</f>
        <v>6671</v>
      </c>
      <c r="C419" s="4">
        <f>_xll.ciqfunctions.udf.CIQ(InputTicker, "IQ_ASSETS_FAIR_VALUE",Input!E$2,Date,,,Ccy,Conv)</f>
        <v>6672</v>
      </c>
      <c r="D419" s="4">
        <f>_xll.ciqfunctions.udf.CIQ(InputTicker, "IQ_ASSETS_FAIR_VALUE",Input!F$2,Date,,,Ccy,Conv)</f>
        <v>10151</v>
      </c>
      <c r="E419" s="4">
        <f>_xll.ciqfunctions.udf.CIQ(InputTicker, "IQ_ASSETS_FAIR_VALUE",Input!G$2,Date,,,Ccy,Conv)</f>
        <v>9051</v>
      </c>
      <c r="F419" s="4">
        <f>_xll.ciqfunctions.udf.CIQ(InputTicker, "IQ_ASSETS_FAIR_VALUE",Input!H$2,Date,,,Ccy,Conv)</f>
        <v>5821</v>
      </c>
      <c r="G419" s="4">
        <f>_xll.ciqfunctions.udf.CIQ(InputTicker, "IQ_ASSETS_FAIR_VALUE",Input!I$2,Date,,,Ccy,Conv)</f>
        <v>9132</v>
      </c>
      <c r="H419" s="4">
        <f>_xll.ciqfunctions.udf.CIQ(InputTicker, "IQ_ASSETS_FAIR_VALUE",Input!J$2,Date,,,Ccy,Conv)</f>
        <v>4564</v>
      </c>
      <c r="I419" s="4">
        <f>_xll.ciqfunctions.udf.CIQ(InputTicker, "IQ_ASSETS_FAIR_VALUE",Input!K$2,Date,,,Ccy,Conv)</f>
        <v>5148</v>
      </c>
      <c r="J419" s="4">
        <f>_xll.ciqfunctions.udf.CIQ(InputTicker, "IQ_ASSETS_FAIR_VALUE",Input!L$2,Date,,,Ccy,Conv)</f>
        <v>8439</v>
      </c>
      <c r="K419" s="4">
        <f>_xll.ciqfunctions.udf.CIQ(InputTicker, "IQ_ASSETS_FAIR_VALUE",Input!M$2,Date,,,Ccy,Conv)</f>
        <v>8262</v>
      </c>
      <c r="L419" s="4">
        <f>_xll.ciqfunctions.udf.CIQ(InputTicker, "IQ_ASSETS_FAIR_VALUE",Input!N$2,Date,,,Ccy,Conv)</f>
        <v>8908</v>
      </c>
      <c r="M419" s="4">
        <f>_xll.ciqfunctions.udf.CIQ(InputTicker, "IQ_ASSETS_FAIR_VALUE",Input!O$2,Date,,,Ccy,Conv)</f>
        <v>8908</v>
      </c>
      <c r="N419" s="53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  <c r="AK419" s="42"/>
      <c r="AL419" s="42"/>
      <c r="AM419" s="42"/>
      <c r="AN419" s="42"/>
      <c r="AO419" s="42"/>
      <c r="AP419" s="42"/>
      <c r="AQ419" s="42"/>
      <c r="AR419" s="42"/>
      <c r="AS419" s="42"/>
      <c r="AT419" s="42"/>
      <c r="AU419" s="42"/>
      <c r="AV419" s="42"/>
      <c r="AW419" s="42"/>
      <c r="AX419" s="42"/>
      <c r="AY419" s="42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  <c r="BJ419" s="42"/>
      <c r="BK419" s="42"/>
      <c r="BL419" s="42"/>
      <c r="BM419" s="42"/>
      <c r="BN419" s="42"/>
    </row>
    <row r="420" spans="1:66" ht="12.75" customHeight="1" x14ac:dyDescent="0.2">
      <c r="A420" s="1" t="s">
        <v>402</v>
      </c>
      <c r="B420" s="4">
        <f>_xll.ciqfunctions.udf.CIQ(InputTicker, "IQ_LIABILITIES_LEVEL_1",Input!D$2,Date,,,Ccy,Conv)</f>
        <v>0</v>
      </c>
      <c r="C420" s="4">
        <f>_xll.ciqfunctions.udf.CIQ(InputTicker, "IQ_LIABILITIES_LEVEL_1",Input!E$2,Date,,,Ccy,Conv)</f>
        <v>0</v>
      </c>
      <c r="D420" s="4">
        <f>_xll.ciqfunctions.udf.CIQ(InputTicker, "IQ_LIABILITIES_LEVEL_1",Input!F$2,Date,,,Ccy,Conv)</f>
        <v>0</v>
      </c>
      <c r="E420" s="4">
        <f>_xll.ciqfunctions.udf.CIQ(InputTicker, "IQ_LIABILITIES_LEVEL_1",Input!G$2,Date,,,Ccy,Conv)</f>
        <v>0</v>
      </c>
      <c r="F420" s="4">
        <f>_xll.ciqfunctions.udf.CIQ(InputTicker, "IQ_LIABILITIES_LEVEL_1",Input!H$2,Date,,,Ccy,Conv)</f>
        <v>0</v>
      </c>
      <c r="G420" s="4">
        <f>_xll.ciqfunctions.udf.CIQ(InputTicker, "IQ_LIABILITIES_LEVEL_1",Input!I$2,Date,,,Ccy,Conv)</f>
        <v>0</v>
      </c>
      <c r="H420" s="4">
        <f>_xll.ciqfunctions.udf.CIQ(InputTicker, "IQ_LIABILITIES_LEVEL_1",Input!J$2,Date,,,Ccy,Conv)</f>
        <v>0</v>
      </c>
      <c r="I420" s="4">
        <f>_xll.ciqfunctions.udf.CIQ(InputTicker, "IQ_LIABILITIES_LEVEL_1",Input!K$2,Date,,,Ccy,Conv)</f>
        <v>0</v>
      </c>
      <c r="J420" s="4">
        <f>_xll.ciqfunctions.udf.CIQ(InputTicker, "IQ_LIABILITIES_LEVEL_1",Input!L$2,Date,,,Ccy,Conv)</f>
        <v>0</v>
      </c>
      <c r="K420" s="4">
        <f>_xll.ciqfunctions.udf.CIQ(InputTicker, "IQ_LIABILITIES_LEVEL_1",Input!M$2,Date,,,Ccy,Conv)</f>
        <v>0</v>
      </c>
      <c r="L420" s="4">
        <f>_xll.ciqfunctions.udf.CIQ(InputTicker, "IQ_LIABILITIES_LEVEL_1",Input!N$2,Date,,,Ccy,Conv)</f>
        <v>0</v>
      </c>
      <c r="M420" s="4">
        <f>_xll.ciqfunctions.udf.CIQ(InputTicker, "IQ_LIABILITIES_LEVEL_1",Input!O$2,Date,,,Ccy,Conv)</f>
        <v>0</v>
      </c>
      <c r="N420" s="53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  <c r="AK420" s="42"/>
      <c r="AL420" s="42"/>
      <c r="AM420" s="42"/>
      <c r="AN420" s="42"/>
      <c r="AO420" s="42"/>
      <c r="AP420" s="42"/>
      <c r="AQ420" s="42"/>
      <c r="AR420" s="42"/>
      <c r="AS420" s="42"/>
      <c r="AT420" s="42"/>
      <c r="AU420" s="42"/>
      <c r="AV420" s="42"/>
      <c r="AW420" s="42"/>
      <c r="AX420" s="42"/>
      <c r="AY420" s="42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  <c r="BJ420" s="42"/>
      <c r="BK420" s="42"/>
      <c r="BL420" s="42"/>
      <c r="BM420" s="42"/>
      <c r="BN420" s="42"/>
    </row>
    <row r="421" spans="1:66" ht="12.75" customHeight="1" x14ac:dyDescent="0.2">
      <c r="A421" s="1" t="s">
        <v>422</v>
      </c>
      <c r="B421" s="4">
        <f>_xll.ciqfunctions.udf.CIQ(InputTicker, "IQ_LIABILITIES_LEVEL_2",Input!D$2,Date,,,Ccy,Conv)</f>
        <v>35406</v>
      </c>
      <c r="C421" s="4">
        <f>_xll.ciqfunctions.udf.CIQ(InputTicker, "IQ_LIABILITIES_LEVEL_2",Input!E$2,Date,,,Ccy,Conv)</f>
        <v>37044</v>
      </c>
      <c r="D421" s="4">
        <f>_xll.ciqfunctions.udf.CIQ(InputTicker, "IQ_LIABILITIES_LEVEL_2",Input!F$2,Date,,,Ccy,Conv)</f>
        <v>42679</v>
      </c>
      <c r="E421" s="4">
        <f>_xll.ciqfunctions.udf.CIQ(InputTicker, "IQ_LIABILITIES_LEVEL_2",Input!G$2,Date,,,Ccy,Conv)</f>
        <v>36931</v>
      </c>
      <c r="F421" s="4">
        <f>_xll.ciqfunctions.udf.CIQ(InputTicker, "IQ_LIABILITIES_LEVEL_2",Input!H$2,Date,,,Ccy,Conv)</f>
        <v>59099</v>
      </c>
      <c r="G421" s="4">
        <f>_xll.ciqfunctions.udf.CIQ(InputTicker, "IQ_LIABILITIES_LEVEL_2",Input!I$2,Date,,,Ccy,Conv)</f>
        <v>62087</v>
      </c>
      <c r="H421" s="4">
        <f>_xll.ciqfunctions.udf.CIQ(InputTicker, "IQ_LIABILITIES_LEVEL_2",Input!J$2,Date,,,Ccy,Conv)</f>
        <v>49624</v>
      </c>
      <c r="I421" s="4">
        <f>_xll.ciqfunctions.udf.CIQ(InputTicker, "IQ_LIABILITIES_LEVEL_2",Input!K$2,Date,,,Ccy,Conv)</f>
        <v>43548</v>
      </c>
      <c r="J421" s="4">
        <f>_xll.ciqfunctions.udf.CIQ(InputTicker, "IQ_LIABILITIES_LEVEL_2",Input!L$2,Date,,,Ccy,Conv)</f>
        <v>48877</v>
      </c>
      <c r="K421" s="4">
        <f>_xll.ciqfunctions.udf.CIQ(InputTicker, "IQ_LIABILITIES_LEVEL_2",Input!M$2,Date,,,Ccy,Conv)</f>
        <v>726</v>
      </c>
      <c r="L421" s="4">
        <f>_xll.ciqfunctions.udf.CIQ(InputTicker, "IQ_LIABILITIES_LEVEL_2",Input!N$2,Date,,,Ccy,Conv)</f>
        <v>513</v>
      </c>
      <c r="M421" s="4">
        <f>_xll.ciqfunctions.udf.CIQ(InputTicker, "IQ_LIABILITIES_LEVEL_2",Input!O$2,Date,,,Ccy,Conv)</f>
        <v>513</v>
      </c>
      <c r="N421" s="53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  <c r="AK421" s="42"/>
      <c r="AL421" s="42"/>
      <c r="AM421" s="42"/>
      <c r="AN421" s="42"/>
      <c r="AO421" s="42"/>
      <c r="AP421" s="42"/>
      <c r="AQ421" s="42"/>
      <c r="AR421" s="42"/>
      <c r="AS421" s="42"/>
      <c r="AT421" s="42"/>
      <c r="AU421" s="42"/>
      <c r="AV421" s="42"/>
      <c r="AW421" s="42"/>
      <c r="AX421" s="42"/>
      <c r="AY421" s="42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  <c r="BJ421" s="42"/>
      <c r="BK421" s="42"/>
      <c r="BL421" s="42"/>
      <c r="BM421" s="42"/>
      <c r="BN421" s="42"/>
    </row>
    <row r="422" spans="1:66" ht="12.75" customHeight="1" x14ac:dyDescent="0.2">
      <c r="A422" s="1" t="s">
        <v>423</v>
      </c>
      <c r="B422" s="4">
        <f>_xll.ciqfunctions.udf.CIQ(InputTicker, "IQ_LIABILITIES_LEVEL_3",Input!D$2,Date,,,Ccy,Conv)</f>
        <v>0</v>
      </c>
      <c r="C422" s="4">
        <f>_xll.ciqfunctions.udf.CIQ(InputTicker, "IQ_LIABILITIES_LEVEL_3",Input!E$2,Date,,,Ccy,Conv)</f>
        <v>0</v>
      </c>
      <c r="D422" s="4">
        <f>_xll.ciqfunctions.udf.CIQ(InputTicker, "IQ_LIABILITIES_LEVEL_3",Input!F$2,Date,,,Ccy,Conv)</f>
        <v>0</v>
      </c>
      <c r="E422" s="4">
        <f>_xll.ciqfunctions.udf.CIQ(InputTicker, "IQ_LIABILITIES_LEVEL_3",Input!G$2,Date,,,Ccy,Conv)</f>
        <v>0</v>
      </c>
      <c r="F422" s="4">
        <f>_xll.ciqfunctions.udf.CIQ(InputTicker, "IQ_LIABILITIES_LEVEL_3",Input!H$2,Date,,,Ccy,Conv)</f>
        <v>0</v>
      </c>
      <c r="G422" s="4">
        <f>_xll.ciqfunctions.udf.CIQ(InputTicker, "IQ_LIABILITIES_LEVEL_3",Input!I$2,Date,,,Ccy,Conv)</f>
        <v>0</v>
      </c>
      <c r="H422" s="4">
        <f>_xll.ciqfunctions.udf.CIQ(InputTicker, "IQ_LIABILITIES_LEVEL_3",Input!J$2,Date,,,Ccy,Conv)</f>
        <v>0</v>
      </c>
      <c r="I422" s="4">
        <f>_xll.ciqfunctions.udf.CIQ(InputTicker, "IQ_LIABILITIES_LEVEL_3",Input!K$2,Date,,,Ccy,Conv)</f>
        <v>0</v>
      </c>
      <c r="J422" s="4">
        <f>_xll.ciqfunctions.udf.CIQ(InputTicker, "IQ_LIABILITIES_LEVEL_3",Input!L$2,Date,,,Ccy,Conv)</f>
        <v>0</v>
      </c>
      <c r="K422" s="4">
        <f>_xll.ciqfunctions.udf.CIQ(InputTicker, "IQ_LIABILITIES_LEVEL_3",Input!M$2,Date,,,Ccy,Conv)</f>
        <v>0</v>
      </c>
      <c r="L422" s="4">
        <f>_xll.ciqfunctions.udf.CIQ(InputTicker, "IQ_LIABILITIES_LEVEL_3",Input!N$2,Date,,,Ccy,Conv)</f>
        <v>0</v>
      </c>
      <c r="M422" s="4">
        <f>_xll.ciqfunctions.udf.CIQ(InputTicker, "IQ_LIABILITIES_LEVEL_3",Input!O$2,Date,,,Ccy,Conv)</f>
        <v>0</v>
      </c>
      <c r="N422" s="53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  <c r="BJ422" s="42"/>
      <c r="BK422" s="42"/>
      <c r="BL422" s="42"/>
      <c r="BM422" s="42"/>
      <c r="BN422" s="42"/>
    </row>
    <row r="423" spans="1:66" ht="12.75" customHeight="1" x14ac:dyDescent="0.2">
      <c r="A423" s="1" t="s">
        <v>403</v>
      </c>
      <c r="B423" s="4">
        <f>_xll.ciqfunctions.udf.CIQ(InputTicker, "IQ_LIABILITIES_NETTING_OTHER_ADJUSTMENTS",Input!D$2,Date,,,Ccy,Conv)</f>
        <v>0</v>
      </c>
      <c r="C423" s="4">
        <f>_xll.ciqfunctions.udf.CIQ(InputTicker, "IQ_LIABILITIES_NETTING_OTHER_ADJUSTMENTS",Input!E$2,Date,,,Ccy,Conv)</f>
        <v>0</v>
      </c>
      <c r="D423" s="4">
        <f>_xll.ciqfunctions.udf.CIQ(InputTicker, "IQ_LIABILITIES_NETTING_OTHER_ADJUSTMENTS",Input!F$2,Date,,,Ccy,Conv)</f>
        <v>0</v>
      </c>
      <c r="E423" s="4">
        <f>_xll.ciqfunctions.udf.CIQ(InputTicker, "IQ_LIABILITIES_NETTING_OTHER_ADJUSTMENTS",Input!G$2,Date,,,Ccy,Conv)</f>
        <v>0</v>
      </c>
      <c r="F423" s="4">
        <f>_xll.ciqfunctions.udf.CIQ(InputTicker, "IQ_LIABILITIES_NETTING_OTHER_ADJUSTMENTS",Input!H$2,Date,,,Ccy,Conv)</f>
        <v>0</v>
      </c>
      <c r="G423" s="4">
        <f>_xll.ciqfunctions.udf.CIQ(InputTicker, "IQ_LIABILITIES_NETTING_OTHER_ADJUSTMENTS",Input!I$2,Date,,,Ccy,Conv)</f>
        <v>0</v>
      </c>
      <c r="H423" s="4">
        <f>_xll.ciqfunctions.udf.CIQ(InputTicker, "IQ_LIABILITIES_NETTING_OTHER_ADJUSTMENTS",Input!J$2,Date,,,Ccy,Conv)</f>
        <v>0</v>
      </c>
      <c r="I423" s="4">
        <f>_xll.ciqfunctions.udf.CIQ(InputTicker, "IQ_LIABILITIES_NETTING_OTHER_ADJUSTMENTS",Input!K$2,Date,,,Ccy,Conv)</f>
        <v>0</v>
      </c>
      <c r="J423" s="4">
        <f>_xll.ciqfunctions.udf.CIQ(InputTicker, "IQ_LIABILITIES_NETTING_OTHER_ADJUSTMENTS",Input!L$2,Date,,,Ccy,Conv)</f>
        <v>0</v>
      </c>
      <c r="K423" s="4">
        <f>_xll.ciqfunctions.udf.CIQ(InputTicker, "IQ_LIABILITIES_NETTING_OTHER_ADJUSTMENTS",Input!M$2,Date,,,Ccy,Conv)</f>
        <v>0</v>
      </c>
      <c r="L423" s="4">
        <f>_xll.ciqfunctions.udf.CIQ(InputTicker, "IQ_LIABILITIES_NETTING_OTHER_ADJUSTMENTS",Input!N$2,Date,,,Ccy,Conv)</f>
        <v>0</v>
      </c>
      <c r="M423" s="4">
        <f>_xll.ciqfunctions.udf.CIQ(InputTicker, "IQ_LIABILITIES_NETTING_OTHER_ADJUSTMENTS",Input!O$2,Date,,,Ccy,Conv)</f>
        <v>0</v>
      </c>
      <c r="N423" s="53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  <c r="AK423" s="42"/>
      <c r="AL423" s="42"/>
      <c r="AM423" s="42"/>
      <c r="AN423" s="42"/>
      <c r="AO423" s="42"/>
      <c r="AP423" s="42"/>
      <c r="AQ423" s="42"/>
      <c r="AR423" s="42"/>
      <c r="AS423" s="42"/>
      <c r="AT423" s="42"/>
      <c r="AU423" s="42"/>
      <c r="AV423" s="42"/>
      <c r="AW423" s="42"/>
      <c r="AX423" s="42"/>
      <c r="AY423" s="42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  <c r="BJ423" s="42"/>
      <c r="BK423" s="42"/>
      <c r="BL423" s="42"/>
      <c r="BM423" s="42"/>
      <c r="BN423" s="42"/>
    </row>
    <row r="424" spans="1:66" ht="12.75" customHeight="1" x14ac:dyDescent="0.2">
      <c r="A424" s="1" t="s">
        <v>404</v>
      </c>
      <c r="B424" s="4">
        <f>_xll.ciqfunctions.udf.CIQ(InputTicker, "IQ_LIABILITIES_FAIR_VALUE",Input!D$2,Date,,,Ccy,Conv)</f>
        <v>35406</v>
      </c>
      <c r="C424" s="4">
        <f>_xll.ciqfunctions.udf.CIQ(InputTicker, "IQ_LIABILITIES_FAIR_VALUE",Input!E$2,Date,,,Ccy,Conv)</f>
        <v>37044</v>
      </c>
      <c r="D424" s="4">
        <f>_xll.ciqfunctions.udf.CIQ(InputTicker, "IQ_LIABILITIES_FAIR_VALUE",Input!F$2,Date,,,Ccy,Conv)</f>
        <v>42679</v>
      </c>
      <c r="E424" s="4">
        <f>_xll.ciqfunctions.udf.CIQ(InputTicker, "IQ_LIABILITIES_FAIR_VALUE",Input!G$2,Date,,,Ccy,Conv)</f>
        <v>36931</v>
      </c>
      <c r="F424" s="4">
        <f>_xll.ciqfunctions.udf.CIQ(InputTicker, "IQ_LIABILITIES_FAIR_VALUE",Input!H$2,Date,,,Ccy,Conv)</f>
        <v>59099</v>
      </c>
      <c r="G424" s="4">
        <f>_xll.ciqfunctions.udf.CIQ(InputTicker, "IQ_LIABILITIES_FAIR_VALUE",Input!I$2,Date,,,Ccy,Conv)</f>
        <v>62087</v>
      </c>
      <c r="H424" s="4">
        <f>_xll.ciqfunctions.udf.CIQ(InputTicker, "IQ_LIABILITIES_FAIR_VALUE",Input!J$2,Date,,,Ccy,Conv)</f>
        <v>49624</v>
      </c>
      <c r="I424" s="4">
        <f>_xll.ciqfunctions.udf.CIQ(InputTicker, "IQ_LIABILITIES_FAIR_VALUE",Input!K$2,Date,,,Ccy,Conv)</f>
        <v>43548</v>
      </c>
      <c r="J424" s="4">
        <f>_xll.ciqfunctions.udf.CIQ(InputTicker, "IQ_LIABILITIES_FAIR_VALUE",Input!L$2,Date,,,Ccy,Conv)</f>
        <v>48877</v>
      </c>
      <c r="K424" s="4">
        <f>_xll.ciqfunctions.udf.CIQ(InputTicker, "IQ_LIABILITIES_FAIR_VALUE",Input!M$2,Date,,,Ccy,Conv)</f>
        <v>726</v>
      </c>
      <c r="L424" s="4">
        <f>_xll.ciqfunctions.udf.CIQ(InputTicker, "IQ_LIABILITIES_FAIR_VALUE",Input!N$2,Date,,,Ccy,Conv)</f>
        <v>513</v>
      </c>
      <c r="M424" s="4">
        <f>_xll.ciqfunctions.udf.CIQ(InputTicker, "IQ_LIABILITIES_FAIR_VALUE",Input!O$2,Date,,,Ccy,Conv)</f>
        <v>513</v>
      </c>
      <c r="N424" s="54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  <c r="AK424" s="42"/>
      <c r="AL424" s="42"/>
      <c r="AM424" s="42"/>
      <c r="AN424" s="42"/>
      <c r="AO424" s="42"/>
      <c r="AP424" s="42"/>
      <c r="AQ424" s="42"/>
      <c r="AR424" s="42"/>
      <c r="AS424" s="42"/>
      <c r="AT424" s="42"/>
      <c r="AU424" s="42"/>
      <c r="AV424" s="42"/>
      <c r="AW424" s="42"/>
      <c r="AX424" s="42"/>
      <c r="AY424" s="42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  <c r="BJ424" s="42"/>
      <c r="BK424" s="42"/>
      <c r="BL424" s="42"/>
      <c r="BM424" s="42"/>
      <c r="BN424" s="42"/>
    </row>
    <row r="425" spans="1:66" ht="12.75" customHeight="1" x14ac:dyDescent="0.2">
      <c r="A425" s="1" t="s">
        <v>405</v>
      </c>
      <c r="B425" s="4">
        <f>_xll.ciqfunctions.udf.CIQ(InputTicker, "IQ_FAIR_VALUE_CHANGE_INCL_EARNINGS",Input!D$2,Date,,,Ccy,Conv)</f>
        <v>0</v>
      </c>
      <c r="C425" s="4">
        <f>_xll.ciqfunctions.udf.CIQ(InputTicker, "IQ_FAIR_VALUE_CHANGE_INCL_EARNINGS",Input!E$2,Date,,,Ccy,Conv)</f>
        <v>0</v>
      </c>
      <c r="D425" s="4">
        <f>_xll.ciqfunctions.udf.CIQ(InputTicker, "IQ_FAIR_VALUE_CHANGE_INCL_EARNINGS",Input!F$2,Date,,,Ccy,Conv)</f>
        <v>0</v>
      </c>
      <c r="E425" s="4">
        <f>_xll.ciqfunctions.udf.CIQ(InputTicker, "IQ_FAIR_VALUE_CHANGE_INCL_EARNINGS",Input!G$2,Date,,,Ccy,Conv)</f>
        <v>0</v>
      </c>
      <c r="F425" s="4">
        <f>_xll.ciqfunctions.udf.CIQ(InputTicker, "IQ_FAIR_VALUE_CHANGE_INCL_EARNINGS",Input!H$2,Date,,,Ccy,Conv)</f>
        <v>0</v>
      </c>
      <c r="G425" s="4">
        <f>_xll.ciqfunctions.udf.CIQ(InputTicker, "IQ_FAIR_VALUE_CHANGE_INCL_EARNINGS",Input!I$2,Date,,,Ccy,Conv)</f>
        <v>0</v>
      </c>
      <c r="H425" s="4">
        <f>_xll.ciqfunctions.udf.CIQ(InputTicker, "IQ_FAIR_VALUE_CHANGE_INCL_EARNINGS",Input!J$2,Date,,,Ccy,Conv)</f>
        <v>0</v>
      </c>
      <c r="I425" s="4">
        <f>_xll.ciqfunctions.udf.CIQ(InputTicker, "IQ_FAIR_VALUE_CHANGE_INCL_EARNINGS",Input!K$2,Date,,,Ccy,Conv)</f>
        <v>0</v>
      </c>
      <c r="J425" s="4">
        <f>_xll.ciqfunctions.udf.CIQ(InputTicker, "IQ_FAIR_VALUE_CHANGE_INCL_EARNINGS",Input!L$2,Date,,,Ccy,Conv)</f>
        <v>0</v>
      </c>
      <c r="K425" s="4">
        <f>_xll.ciqfunctions.udf.CIQ(InputTicker, "IQ_FAIR_VALUE_CHANGE_INCL_EARNINGS",Input!M$2,Date,,,Ccy,Conv)</f>
        <v>0</v>
      </c>
      <c r="L425" s="4">
        <f>_xll.ciqfunctions.udf.CIQ(InputTicker, "IQ_FAIR_VALUE_CHANGE_INCL_EARNINGS",Input!N$2,Date,,,Ccy,Conv)</f>
        <v>0</v>
      </c>
      <c r="M425" s="4">
        <f>_xll.ciqfunctions.udf.CIQ(InputTicker, "IQ_FAIR_VALUE_CHANGE_INCL_EARNINGS",Input!O$2,Date,,,Ccy,Conv)</f>
        <v>0</v>
      </c>
      <c r="N425" s="54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  <c r="AK425" s="42"/>
      <c r="AL425" s="42"/>
      <c r="AM425" s="42"/>
      <c r="AN425" s="42"/>
      <c r="AO425" s="42"/>
      <c r="AP425" s="42"/>
      <c r="AQ425" s="42"/>
      <c r="AR425" s="42"/>
      <c r="AS425" s="42"/>
      <c r="AT425" s="42"/>
      <c r="AU425" s="42"/>
      <c r="AV425" s="42"/>
      <c r="AW425" s="42"/>
      <c r="AX425" s="42"/>
      <c r="AY425" s="42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  <c r="BJ425" s="42"/>
      <c r="BK425" s="42"/>
      <c r="BL425" s="42"/>
      <c r="BM425" s="42"/>
      <c r="BN425" s="42"/>
    </row>
    <row r="426" spans="1:66" ht="12.75" customHeight="1" x14ac:dyDescent="0.2">
      <c r="A426" s="1" t="s">
        <v>357</v>
      </c>
      <c r="B426" s="18">
        <f>_xll.ciqfunctions.udf.CIQ(InputTicker, "IQ_FULL_TIME",Input!D$2,Date)</f>
        <v>377757</v>
      </c>
      <c r="C426" s="18">
        <f>_xll.ciqfunctions.udf.CIQ(InputTicker, "IQ_FULL_TIME",Input!E$2,Date)</f>
        <v>380300</v>
      </c>
      <c r="D426" s="18">
        <f>_xll.ciqfunctions.udf.CIQ(InputTicker, "IQ_FULL_TIME",Input!F$2,Date)</f>
        <v>366600</v>
      </c>
      <c r="E426" s="18">
        <f>_xll.ciqfunctions.udf.CIQ(InputTicker, "IQ_FULL_TIME",Input!G$2,Date)</f>
        <v>350600</v>
      </c>
      <c r="F426" s="18">
        <f>_xll.ciqfunctions.udf.CIQ(InputTicker, "IQ_FULL_TIME",Input!H$2,Date)</f>
        <v>352600</v>
      </c>
      <c r="G426" s="18">
        <f>_xll.ciqfunctions.udf.CIQ(InputTicker, "IQ_FULL_TIME",Input!I$2,Date)</f>
        <v>345900</v>
      </c>
      <c r="H426" s="18">
        <f>_xll.ciqfunctions.udf.CIQ(InputTicker, "IQ_FULL_TIME",Input!J$2,Date)</f>
        <v>282100</v>
      </c>
      <c r="I426" s="18">
        <f>_xll.ciqfunctions.udf.CIQ(InputTicker, "IQ_FULL_TIME",Input!K$2,Date)</f>
        <v>288300</v>
      </c>
      <c r="J426" s="18">
        <f>_xll.ciqfunctions.udf.CIQ(InputTicker, "IQ_FULL_TIME",Input!L$2,Date)</f>
        <v>282200</v>
      </c>
      <c r="K426" s="18">
        <f>_xll.ciqfunctions.udf.CIQ(InputTicker, "IQ_FULL_TIME",Input!M$2,Date)</f>
        <v>270300</v>
      </c>
      <c r="L426" s="18">
        <f>_xll.ciqfunctions.udf.CIQ(InputTicker, "IQ_FULL_TIME",Input!N$2,Date)</f>
        <v>264300</v>
      </c>
      <c r="M426" s="18">
        <f>_xll.ciqfunctions.udf.CIQ(InputTicker, "IQ_FULL_TIME",Input!O$2,Date)</f>
        <v>264300</v>
      </c>
      <c r="N426" s="53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  <c r="BJ426" s="42"/>
      <c r="BK426" s="42"/>
      <c r="BL426" s="42"/>
      <c r="BM426" s="42"/>
      <c r="BN426" s="42"/>
    </row>
    <row r="427" spans="1:66" ht="12.75" customHeight="1" x14ac:dyDescent="0.2">
      <c r="A427" s="1" t="s">
        <v>358</v>
      </c>
      <c r="B427" s="18">
        <f>_xll.ciqfunctions.udf.CIQ(InputTicker, "IQ_PART_TIME",Input!D$2,Date)</f>
        <v>0</v>
      </c>
      <c r="C427" s="18">
        <f>_xll.ciqfunctions.udf.CIQ(InputTicker, "IQ_PART_TIME",Input!E$2,Date)</f>
        <v>0</v>
      </c>
      <c r="D427" s="18">
        <f>_xll.ciqfunctions.udf.CIQ(InputTicker, "IQ_PART_TIME",Input!F$2,Date)</f>
        <v>0</v>
      </c>
      <c r="E427" s="18">
        <f>_xll.ciqfunctions.udf.CIQ(InputTicker, "IQ_PART_TIME",Input!G$2,Date)</f>
        <v>0</v>
      </c>
      <c r="F427" s="18">
        <f>_xll.ciqfunctions.udf.CIQ(InputTicker, "IQ_PART_TIME",Input!H$2,Date)</f>
        <v>0</v>
      </c>
      <c r="G427" s="18">
        <f>_xll.ciqfunctions.udf.CIQ(InputTicker, "IQ_PART_TIME",Input!I$2,Date)</f>
        <v>0</v>
      </c>
      <c r="H427" s="18">
        <f>_xll.ciqfunctions.udf.CIQ(InputTicker, "IQ_PART_TIME",Input!J$2,Date)</f>
        <v>0</v>
      </c>
      <c r="I427" s="18">
        <f>_xll.ciqfunctions.udf.CIQ(InputTicker, "IQ_PART_TIME",Input!K$2,Date)</f>
        <v>0</v>
      </c>
      <c r="J427" s="18">
        <f>_xll.ciqfunctions.udf.CIQ(InputTicker, "IQ_PART_TIME",Input!L$2,Date)</f>
        <v>0</v>
      </c>
      <c r="K427" s="18">
        <f>_xll.ciqfunctions.udf.CIQ(InputTicker, "IQ_PART_TIME",Input!M$2,Date)</f>
        <v>0</v>
      </c>
      <c r="L427" s="18">
        <f>_xll.ciqfunctions.udf.CIQ(InputTicker, "IQ_PART_TIME",Input!N$2,Date)</f>
        <v>0</v>
      </c>
      <c r="M427" s="18">
        <f>_xll.ciqfunctions.udf.CIQ(InputTicker, "IQ_PART_TIME",Input!O$2,Date)</f>
        <v>0</v>
      </c>
      <c r="N427" s="53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  <c r="AK427" s="42"/>
      <c r="AL427" s="42"/>
      <c r="AM427" s="42"/>
      <c r="AN427" s="42"/>
      <c r="AO427" s="42"/>
      <c r="AP427" s="42"/>
      <c r="AQ427" s="42"/>
      <c r="AR427" s="42"/>
      <c r="AS427" s="42"/>
      <c r="AT427" s="42"/>
      <c r="AU427" s="42"/>
      <c r="AV427" s="42"/>
      <c r="AW427" s="42"/>
      <c r="AX427" s="42"/>
      <c r="AY427" s="42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  <c r="BJ427" s="42"/>
      <c r="BK427" s="42"/>
      <c r="BL427" s="42"/>
      <c r="BM427" s="42"/>
      <c r="BN427" s="42"/>
    </row>
    <row r="428" spans="1:66" ht="12.75" customHeight="1" x14ac:dyDescent="0.2">
      <c r="A428" s="1" t="s">
        <v>359</v>
      </c>
      <c r="B428" s="18">
        <f>_xll.ciqfunctions.udf.CIQ(InputTicker, "IQ_TOTAL_EMPLOYEES",Input!D$2,Date)</f>
        <v>377757</v>
      </c>
      <c r="C428" s="18">
        <f>_xll.ciqfunctions.udf.CIQ(InputTicker, "IQ_TOTAL_EMPLOYEES",Input!E$2,Date)</f>
        <v>380300</v>
      </c>
      <c r="D428" s="18">
        <f>_xll.ciqfunctions.udf.CIQ(InputTicker, "IQ_TOTAL_EMPLOYEES",Input!F$2,Date)</f>
        <v>366600</v>
      </c>
      <c r="E428" s="18">
        <f>_xll.ciqfunctions.udf.CIQ(InputTicker, "IQ_TOTAL_EMPLOYEES",Input!G$2,Date)</f>
        <v>350600</v>
      </c>
      <c r="F428" s="18">
        <f>_xll.ciqfunctions.udf.CIQ(InputTicker, "IQ_TOTAL_EMPLOYEES",Input!H$2,Date)</f>
        <v>352600</v>
      </c>
      <c r="G428" s="18">
        <f>_xll.ciqfunctions.udf.CIQ(InputTicker, "IQ_TOTAL_EMPLOYEES",Input!I$2,Date)</f>
        <v>345900</v>
      </c>
      <c r="H428" s="18">
        <f>_xll.ciqfunctions.udf.CIQ(InputTicker, "IQ_TOTAL_EMPLOYEES",Input!J$2,Date)</f>
        <v>282100</v>
      </c>
      <c r="I428" s="18">
        <f>_xll.ciqfunctions.udf.CIQ(InputTicker, "IQ_TOTAL_EMPLOYEES",Input!K$2,Date)</f>
        <v>288300</v>
      </c>
      <c r="J428" s="18">
        <f>_xll.ciqfunctions.udf.CIQ(InputTicker, "IQ_TOTAL_EMPLOYEES",Input!L$2,Date)</f>
        <v>282200</v>
      </c>
      <c r="K428" s="18">
        <f>_xll.ciqfunctions.udf.CIQ(InputTicker, "IQ_TOTAL_EMPLOYEES",Input!M$2,Date)</f>
        <v>270300</v>
      </c>
      <c r="L428" s="18">
        <f>_xll.ciqfunctions.udf.CIQ(InputTicker, "IQ_TOTAL_EMPLOYEES",Input!N$2,Date)</f>
        <v>264300</v>
      </c>
      <c r="M428" s="18">
        <f>_xll.ciqfunctions.udf.CIQ(InputTicker, "IQ_TOTAL_EMPLOYEES",Input!O$2,Date)</f>
        <v>264300</v>
      </c>
      <c r="N428" s="53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  <c r="AK428" s="42"/>
      <c r="AL428" s="42"/>
      <c r="AM428" s="42"/>
      <c r="AN428" s="42"/>
      <c r="AO428" s="42"/>
      <c r="AP428" s="42"/>
      <c r="AQ428" s="42"/>
      <c r="AR428" s="42"/>
      <c r="AS428" s="42"/>
      <c r="AT428" s="42"/>
      <c r="AU428" s="42"/>
      <c r="AV428" s="42"/>
      <c r="AW428" s="42"/>
      <c r="AX428" s="42"/>
      <c r="AY428" s="42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  <c r="BJ428" s="42"/>
      <c r="BK428" s="42"/>
      <c r="BL428" s="42"/>
      <c r="BM428" s="42"/>
      <c r="BN428" s="42"/>
    </row>
    <row r="429" spans="1:66" ht="12.75" customHeight="1" x14ac:dyDescent="0.2">
      <c r="A429" s="1" t="s">
        <v>394</v>
      </c>
      <c r="B429" s="18">
        <f>_xll.ciqfunctions.udf.CIQ(InputTicker, "IQ_EMPLOYEES_UNDER_UNION_CONTRACTS",Input!D$2,Date)</f>
        <v>0</v>
      </c>
      <c r="C429" s="18">
        <f>_xll.ciqfunctions.udf.CIQ(InputTicker, "IQ_EMPLOYEES_UNDER_UNION_CONTRACTS",Input!E$2,Date)</f>
        <v>0</v>
      </c>
      <c r="D429" s="18">
        <f>_xll.ciqfunctions.udf.CIQ(InputTicker, "IQ_EMPLOYEES_UNDER_UNION_CONTRACTS",Input!F$2,Date)</f>
        <v>0</v>
      </c>
      <c r="E429" s="18">
        <f>_xll.ciqfunctions.udf.CIQ(InputTicker, "IQ_EMPLOYEES_UNDER_UNION_CONTRACTS",Input!G$2,Date)</f>
        <v>0</v>
      </c>
      <c r="F429" s="18">
        <f>_xll.ciqfunctions.udf.CIQ(InputTicker, "IQ_EMPLOYEES_UNDER_UNION_CONTRACTS",Input!H$2,Date)</f>
        <v>0</v>
      </c>
      <c r="G429" s="18">
        <f>_xll.ciqfunctions.udf.CIQ(InputTicker, "IQ_EMPLOYEES_UNDER_UNION_CONTRACTS",Input!I$2,Date)</f>
        <v>0</v>
      </c>
      <c r="H429" s="18">
        <f>_xll.ciqfunctions.udf.CIQ(InputTicker, "IQ_EMPLOYEES_UNDER_UNION_CONTRACTS",Input!J$2,Date)</f>
        <v>0</v>
      </c>
      <c r="I429" s="18">
        <f>_xll.ciqfunctions.udf.CIQ(InputTicker, "IQ_EMPLOYEES_UNDER_UNION_CONTRACTS",Input!K$2,Date)</f>
        <v>0</v>
      </c>
      <c r="J429" s="18">
        <f>_xll.ciqfunctions.udf.CIQ(InputTicker, "IQ_EMPLOYEES_UNDER_UNION_CONTRACTS",Input!L$2,Date)</f>
        <v>0</v>
      </c>
      <c r="K429" s="18">
        <f>_xll.ciqfunctions.udf.CIQ(InputTicker, "IQ_EMPLOYEES_UNDER_UNION_CONTRACTS",Input!M$2,Date)</f>
        <v>0</v>
      </c>
      <c r="L429" s="18">
        <f>_xll.ciqfunctions.udf.CIQ(InputTicker, "IQ_EMPLOYEES_UNDER_UNION_CONTRACTS",Input!N$2,Date)</f>
        <v>0</v>
      </c>
      <c r="M429" s="18">
        <f>_xll.ciqfunctions.udf.CIQ(InputTicker, "IQ_EMPLOYEES_UNDER_UNION_CONTRACTS",Input!O$2,Date)</f>
        <v>0</v>
      </c>
      <c r="N429" s="53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  <c r="AK429" s="42"/>
      <c r="AL429" s="42"/>
      <c r="AM429" s="42"/>
      <c r="AN429" s="42"/>
      <c r="AO429" s="42"/>
      <c r="AP429" s="42"/>
      <c r="AQ429" s="42"/>
      <c r="AR429" s="42"/>
      <c r="AS429" s="42"/>
      <c r="AT429" s="42"/>
      <c r="AU429" s="42"/>
      <c r="AV429" s="42"/>
      <c r="AW429" s="42"/>
      <c r="AX429" s="42"/>
      <c r="AY429" s="42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  <c r="BJ429" s="42"/>
      <c r="BK429" s="42"/>
      <c r="BL429" s="42"/>
      <c r="BM429" s="42"/>
      <c r="BN429" s="42"/>
    </row>
    <row r="430" spans="1:66" ht="12.75" customHeight="1" x14ac:dyDescent="0.2">
      <c r="A430" s="1" t="s">
        <v>371</v>
      </c>
      <c r="B430" s="18">
        <f>_xll.ciqfunctions.udf.CIQ(InputTicker, "IQ_AVG_EMPLOYEES",Input!D$2,Date)</f>
        <v>0</v>
      </c>
      <c r="C430" s="18">
        <f>_xll.ciqfunctions.udf.CIQ(InputTicker, "IQ_AVG_EMPLOYEES",Input!E$2,Date)</f>
        <v>0</v>
      </c>
      <c r="D430" s="18">
        <f>_xll.ciqfunctions.udf.CIQ(InputTicker, "IQ_AVG_EMPLOYEES",Input!F$2,Date)</f>
        <v>0</v>
      </c>
      <c r="E430" s="18">
        <f>_xll.ciqfunctions.udf.CIQ(InputTicker, "IQ_AVG_EMPLOYEES",Input!G$2,Date)</f>
        <v>0</v>
      </c>
      <c r="F430" s="18">
        <f>_xll.ciqfunctions.udf.CIQ(InputTicker, "IQ_AVG_EMPLOYEES",Input!H$2,Date)</f>
        <v>0</v>
      </c>
      <c r="G430" s="18">
        <f>_xll.ciqfunctions.udf.CIQ(InputTicker, "IQ_AVG_EMPLOYEES",Input!I$2,Date)</f>
        <v>0</v>
      </c>
      <c r="H430" s="18">
        <f>_xll.ciqfunctions.udf.CIQ(InputTicker, "IQ_AVG_EMPLOYEES",Input!J$2,Date)</f>
        <v>0</v>
      </c>
      <c r="I430" s="18">
        <f>_xll.ciqfunctions.udf.CIQ(InputTicker, "IQ_AVG_EMPLOYEES",Input!K$2,Date)</f>
        <v>0</v>
      </c>
      <c r="J430" s="18">
        <f>_xll.ciqfunctions.udf.CIQ(InputTicker, "IQ_AVG_EMPLOYEES",Input!L$2,Date)</f>
        <v>0</v>
      </c>
      <c r="K430" s="18">
        <f>_xll.ciqfunctions.udf.CIQ(InputTicker, "IQ_AVG_EMPLOYEES",Input!M$2,Date)</f>
        <v>0</v>
      </c>
      <c r="L430" s="18">
        <f>_xll.ciqfunctions.udf.CIQ(InputTicker, "IQ_AVG_EMPLOYEES",Input!N$2,Date)</f>
        <v>0</v>
      </c>
      <c r="M430" s="18">
        <f>_xll.ciqfunctions.udf.CIQ(InputTicker, "IQ_AVG_EMPLOYEES",Input!O$2,Date)</f>
        <v>0</v>
      </c>
      <c r="N430" s="53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  <c r="AK430" s="42"/>
      <c r="AL430" s="42"/>
      <c r="AM430" s="42"/>
      <c r="AN430" s="42"/>
      <c r="AO430" s="42"/>
      <c r="AP430" s="42"/>
      <c r="AQ430" s="42"/>
      <c r="AR430" s="42"/>
      <c r="AS430" s="42"/>
      <c r="AT430" s="42"/>
      <c r="AU430" s="42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  <c r="BJ430" s="42"/>
      <c r="BK430" s="42"/>
      <c r="BL430" s="42"/>
      <c r="BM430" s="42"/>
      <c r="BN430" s="42"/>
    </row>
    <row r="431" spans="1:66" ht="12.75" customHeight="1" x14ac:dyDescent="0.2">
      <c r="A431" s="1" t="s">
        <v>372</v>
      </c>
      <c r="B431" s="18">
        <f>_xll.ciqfunctions.udf.CIQ(InputTicker, "IQ_AVG_TEMP_EMPLOYEES",Input!D$2,Date)</f>
        <v>24464</v>
      </c>
      <c r="C431" s="18">
        <f>_xll.ciqfunctions.udf.CIQ(InputTicker, "IQ_AVG_TEMP_EMPLOYEES",Input!E$2,Date)</f>
        <v>24500</v>
      </c>
      <c r="D431" s="18">
        <f>_xll.ciqfunctions.udf.CIQ(InputTicker, "IQ_AVG_TEMP_EMPLOYEES",Input!F$2,Date)</f>
        <v>21900</v>
      </c>
      <c r="E431" s="18">
        <f>_xll.ciqfunctions.udf.CIQ(InputTicker, "IQ_AVG_TEMP_EMPLOYEES",Input!G$2,Date)</f>
        <v>21100</v>
      </c>
      <c r="F431" s="18">
        <f>_xll.ciqfunctions.udf.CIQ(InputTicker, "IQ_AVG_TEMP_EMPLOYEES",Input!H$2,Date)</f>
        <v>21600</v>
      </c>
      <c r="G431" s="18">
        <f>_xll.ciqfunctions.udf.CIQ(InputTicker, "IQ_AVG_TEMP_EMPLOYEES",Input!I$2,Date)</f>
        <v>18900</v>
      </c>
      <c r="H431" s="18">
        <f>_xll.ciqfunctions.udf.CIQ(InputTicker, "IQ_AVG_TEMP_EMPLOYEES",Input!J$2,Date)</f>
        <v>15700</v>
      </c>
      <c r="I431" s="18">
        <f>_xll.ciqfunctions.udf.CIQ(InputTicker, "IQ_AVG_TEMP_EMPLOYEES",Input!K$2,Date)</f>
        <v>14800</v>
      </c>
      <c r="J431" s="18">
        <f>_xll.ciqfunctions.udf.CIQ(InputTicker, "IQ_AVG_TEMP_EMPLOYEES",Input!L$2,Date)</f>
        <v>14400</v>
      </c>
      <c r="K431" s="18">
        <f>_xll.ciqfunctions.udf.CIQ(InputTicker, "IQ_AVG_TEMP_EMPLOYEES",Input!M$2,Date)</f>
        <v>14200</v>
      </c>
      <c r="L431" s="18">
        <f>_xll.ciqfunctions.udf.CIQ(InputTicker, "IQ_AVG_TEMP_EMPLOYEES",Input!N$2,Date)</f>
        <v>13800</v>
      </c>
      <c r="M431" s="18">
        <f>_xll.ciqfunctions.udf.CIQ(InputTicker, "IQ_AVG_TEMP_EMPLOYEES",Input!O$2,Date)</f>
        <v>13800</v>
      </c>
      <c r="N431" s="53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  <c r="BJ431" s="42"/>
      <c r="BK431" s="42"/>
      <c r="BL431" s="42"/>
      <c r="BM431" s="42"/>
      <c r="BN431" s="42"/>
    </row>
    <row r="432" spans="1:66" ht="12.75" customHeight="1" x14ac:dyDescent="0.2">
      <c r="A432" s="1" t="s">
        <v>502</v>
      </c>
      <c r="B432" s="18">
        <f>_xll.ciqfunctions.udf.CIQ(InputTicker, "IQ_NUMBER_ADRHOLDERS",Input!D$2,Date)</f>
        <v>0</v>
      </c>
      <c r="C432" s="18">
        <f>_xll.ciqfunctions.udf.CIQ(InputTicker, "IQ_NUMBER_ADRHOLDERS",Input!E$2,Date)</f>
        <v>0</v>
      </c>
      <c r="D432" s="18">
        <f>_xll.ciqfunctions.udf.CIQ(InputTicker, "IQ_NUMBER_ADRHOLDERS",Input!F$2,Date)</f>
        <v>0</v>
      </c>
      <c r="E432" s="18">
        <f>_xll.ciqfunctions.udf.CIQ(InputTicker, "IQ_NUMBER_ADRHOLDERS",Input!G$2,Date)</f>
        <v>0</v>
      </c>
      <c r="F432" s="18">
        <f>_xll.ciqfunctions.udf.CIQ(InputTicker, "IQ_NUMBER_ADRHOLDERS",Input!H$2,Date)</f>
        <v>0</v>
      </c>
      <c r="G432" s="18">
        <f>_xll.ciqfunctions.udf.CIQ(InputTicker, "IQ_NUMBER_ADRHOLDERS",Input!I$2,Date)</f>
        <v>0</v>
      </c>
      <c r="H432" s="18">
        <f>_xll.ciqfunctions.udf.CIQ(InputTicker, "IQ_NUMBER_ADRHOLDERS",Input!J$2,Date)</f>
        <v>0</v>
      </c>
      <c r="I432" s="18">
        <f>_xll.ciqfunctions.udf.CIQ(InputTicker, "IQ_NUMBER_ADRHOLDERS",Input!K$2,Date)</f>
        <v>0</v>
      </c>
      <c r="J432" s="18">
        <f>_xll.ciqfunctions.udf.CIQ(InputTicker, "IQ_NUMBER_ADRHOLDERS",Input!L$2,Date)</f>
        <v>0</v>
      </c>
      <c r="K432" s="18">
        <f>_xll.ciqfunctions.udf.CIQ(InputTicker, "IQ_NUMBER_ADRHOLDERS",Input!M$2,Date)</f>
        <v>0</v>
      </c>
      <c r="L432" s="18">
        <f>_xll.ciqfunctions.udf.CIQ(InputTicker, "IQ_NUMBER_ADRHOLDERS",Input!N$2,Date)</f>
        <v>0</v>
      </c>
      <c r="M432" s="18">
        <f>_xll.ciqfunctions.udf.CIQ(InputTicker, "IQ_NUMBER_ADRHOLDERS",Input!O$2,Date)</f>
        <v>0</v>
      </c>
      <c r="N432" s="53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  <c r="AK432" s="42"/>
      <c r="AL432" s="42"/>
      <c r="AM432" s="42"/>
      <c r="AN432" s="42"/>
      <c r="AO432" s="42"/>
      <c r="AP432" s="42"/>
      <c r="AQ432" s="42"/>
      <c r="AR432" s="42"/>
      <c r="AS432" s="42"/>
      <c r="AT432" s="42"/>
      <c r="AU432" s="42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  <c r="BJ432" s="42"/>
      <c r="BK432" s="42"/>
      <c r="BL432" s="42"/>
      <c r="BM432" s="42"/>
      <c r="BN432" s="42"/>
    </row>
    <row r="433" spans="1:66" ht="12.75" customHeight="1" x14ac:dyDescent="0.2">
      <c r="A433" s="1" t="s">
        <v>360</v>
      </c>
      <c r="B433" s="4">
        <f>_xll.ciqfunctions.udf.CIQ(InputTicker, "IQ_FIN_DIV_LT_DEBT_TOTAL",Input!D$2,Date,,,Ccy,Conv)</f>
        <v>27205</v>
      </c>
      <c r="C433" s="4">
        <f>_xll.ciqfunctions.udf.CIQ(InputTicker, "IQ_FIN_DIV_LT_DEBT_TOTAL",Input!E$2,Date,,,Ccy,Conv)</f>
        <v>27859</v>
      </c>
      <c r="D433" s="4">
        <f>_xll.ciqfunctions.udf.CIQ(InputTicker, "IQ_FIN_DIV_LT_DEBT_TOTAL",Input!F$2,Date,,,Ccy,Conv)</f>
        <v>31434</v>
      </c>
      <c r="E433" s="4">
        <f>_xll.ciqfunctions.udf.CIQ(InputTicker, "IQ_FIN_DIV_LT_DEBT_TOTAL",Input!G$2,Date,,,Ccy,Conv)</f>
        <v>31227</v>
      </c>
      <c r="F433" s="4">
        <f>_xll.ciqfunctions.udf.CIQ(InputTicker, "IQ_FIN_DIV_LT_DEBT_TOTAL",Input!H$2,Date,,,Ccy,Conv)</f>
        <v>24727</v>
      </c>
      <c r="G433" s="4">
        <f>_xll.ciqfunctions.udf.CIQ(InputTicker, "IQ_FIN_DIV_LT_DEBT_TOTAL",Input!I$2,Date,,,Ccy,Conv)</f>
        <v>21098</v>
      </c>
      <c r="H433" s="4">
        <f>_xll.ciqfunctions.udf.CIQ(InputTicker, "IQ_FIN_DIV_LT_DEBT_TOTAL",Input!J$2,Date,,,Ccy,Conv)</f>
        <v>13929</v>
      </c>
      <c r="I433" s="4">
        <f>_xll.ciqfunctions.udf.CIQ(InputTicker, "IQ_FIN_DIV_LT_DEBT_TOTAL",Input!K$2,Date,,,Ccy,Conv)</f>
        <v>12872</v>
      </c>
      <c r="J433" s="4">
        <f>_xll.ciqfunctions.udf.CIQ(InputTicker, "IQ_FIN_DIV_LT_DEBT_TOTAL",Input!L$2,Date,,,Ccy,Conv)</f>
        <v>11879</v>
      </c>
      <c r="K433" s="4">
        <f>_xll.ciqfunctions.udf.CIQ(InputTicker, "IQ_FIN_DIV_LT_DEBT_TOTAL",Input!M$2,Date,,,Ccy,Conv)</f>
        <v>12116</v>
      </c>
      <c r="L433" s="4">
        <f>_xll.ciqfunctions.udf.CIQ(InputTicker, "IQ_FIN_DIV_LT_DEBT_TOTAL",Input!N$2,Date,,,Ccy,Conv)</f>
        <v>15093</v>
      </c>
      <c r="M433" s="4">
        <f>_xll.ciqfunctions.udf.CIQ(InputTicker, "IQ_FIN_DIV_LT_DEBT_TOTAL",Input!O$2,Date,,,Ccy,Conv)</f>
        <v>15093</v>
      </c>
      <c r="N433" s="53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  <c r="AK433" s="42"/>
      <c r="AL433" s="42"/>
      <c r="AM433" s="42"/>
      <c r="AN433" s="42"/>
      <c r="AO433" s="42"/>
      <c r="AP433" s="42"/>
      <c r="AQ433" s="42"/>
      <c r="AR433" s="42"/>
      <c r="AS433" s="42"/>
      <c r="AT433" s="42"/>
      <c r="AU433" s="42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  <c r="BJ433" s="42"/>
      <c r="BK433" s="42"/>
      <c r="BL433" s="42"/>
      <c r="BM433" s="42"/>
      <c r="BN433" s="42"/>
    </row>
    <row r="434" spans="1:66" ht="12.75" customHeight="1" x14ac:dyDescent="0.2">
      <c r="A434" s="1" t="s">
        <v>361</v>
      </c>
      <c r="B434" s="4">
        <f>_xll.ciqfunctions.udf.CIQ(InputTicker,"IQ_FIN_DIV_ST_DEBT_TOTAL",Input!D$2,Date,,,Ccy,Conv)</f>
        <v>0</v>
      </c>
      <c r="C434" s="4">
        <f>_xll.ciqfunctions.udf.CIQ(InputTicker,"IQ_FIN_DIV_ST_DEBT_TOTAL",Input!E$2,Date,,,Ccy,Conv)</f>
        <v>0</v>
      </c>
      <c r="D434" s="4">
        <f>_xll.ciqfunctions.udf.CIQ(InputTicker,"IQ_FIN_DIV_ST_DEBT_TOTAL",Input!F$2,Date,,,Ccy,Conv)</f>
        <v>0</v>
      </c>
      <c r="E434" s="4">
        <f>_xll.ciqfunctions.udf.CIQ(InputTicker,"IQ_FIN_DIV_ST_DEBT_TOTAL",Input!G$2,Date,,,Ccy,Conv)</f>
        <v>0</v>
      </c>
      <c r="F434" s="4">
        <f>_xll.ciqfunctions.udf.CIQ(InputTicker,"IQ_FIN_DIV_ST_DEBT_TOTAL",Input!H$2,Date,,,Ccy,Conv)</f>
        <v>0</v>
      </c>
      <c r="G434" s="4">
        <f>_xll.ciqfunctions.udf.CIQ(InputTicker,"IQ_FIN_DIV_ST_DEBT_TOTAL",Input!I$2,Date,,,Ccy,Conv)</f>
        <v>0</v>
      </c>
      <c r="H434" s="4">
        <f>_xll.ciqfunctions.udf.CIQ(InputTicker,"IQ_FIN_DIV_ST_DEBT_TOTAL",Input!J$2,Date,,,Ccy,Conv)</f>
        <v>0</v>
      </c>
      <c r="I434" s="4">
        <f>_xll.ciqfunctions.udf.CIQ(InputTicker,"IQ_FIN_DIV_ST_DEBT_TOTAL",Input!K$2,Date,,,Ccy,Conv)</f>
        <v>0</v>
      </c>
      <c r="J434" s="4">
        <f>_xll.ciqfunctions.udf.CIQ(InputTicker,"IQ_FIN_DIV_ST_DEBT_TOTAL",Input!L$2,Date,,,Ccy,Conv)</f>
        <v>0</v>
      </c>
      <c r="K434" s="4">
        <f>_xll.ciqfunctions.udf.CIQ(InputTicker,"IQ_FIN_DIV_ST_DEBT_TOTAL",Input!M$2,Date,,,Ccy,Conv)</f>
        <v>0</v>
      </c>
      <c r="L434" s="4">
        <f>_xll.ciqfunctions.udf.CIQ(InputTicker,"IQ_FIN_DIV_ST_DEBT_TOTAL",Input!N$2,Date,,,Ccy,Conv)</f>
        <v>0</v>
      </c>
      <c r="M434" s="4">
        <f>_xll.ciqfunctions.udf.CIQ(InputTicker,"IQ_FIN_DIV_ST_DEBT_TOTAL",Input!O$2,Date,,,Ccy,Conv)</f>
        <v>0</v>
      </c>
      <c r="N434" s="53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  <c r="AK434" s="42"/>
      <c r="AL434" s="42"/>
      <c r="AM434" s="42"/>
      <c r="AN434" s="42"/>
      <c r="AO434" s="42"/>
      <c r="AP434" s="42"/>
      <c r="AQ434" s="42"/>
      <c r="AR434" s="42"/>
      <c r="AS434" s="42"/>
      <c r="AT434" s="42"/>
      <c r="AU434" s="42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  <c r="BJ434" s="42"/>
      <c r="BK434" s="42"/>
      <c r="BL434" s="42"/>
      <c r="BM434" s="42"/>
      <c r="BN434" s="42"/>
    </row>
    <row r="435" spans="1:66" ht="12.75" customHeight="1" x14ac:dyDescent="0.2">
      <c r="A435" s="1" t="s">
        <v>375</v>
      </c>
      <c r="B435" s="4">
        <f>_xll.ciqfunctions.udf.CIQ(InputTicker,"IQ_FIN_DIV_DEBT_TOTAL",Input!D$2,Date,,,Ccy,Conv)</f>
        <v>27205</v>
      </c>
      <c r="C435" s="4">
        <f>_xll.ciqfunctions.udf.CIQ(InputTicker,"IQ_FIN_DIV_DEBT_TOTAL",Input!E$2,Date,,,Ccy,Conv)</f>
        <v>27859</v>
      </c>
      <c r="D435" s="4">
        <f>_xll.ciqfunctions.udf.CIQ(InputTicker,"IQ_FIN_DIV_DEBT_TOTAL",Input!F$2,Date,,,Ccy,Conv)</f>
        <v>31434</v>
      </c>
      <c r="E435" s="4">
        <f>_xll.ciqfunctions.udf.CIQ(InputTicker,"IQ_FIN_DIV_DEBT_TOTAL",Input!G$2,Date,,,Ccy,Conv)</f>
        <v>31227</v>
      </c>
      <c r="F435" s="4">
        <f>_xll.ciqfunctions.udf.CIQ(InputTicker,"IQ_FIN_DIV_DEBT_TOTAL",Input!H$2,Date,,,Ccy,Conv)</f>
        <v>24727</v>
      </c>
      <c r="G435" s="4">
        <f>_xll.ciqfunctions.udf.CIQ(InputTicker,"IQ_FIN_DIV_DEBT_TOTAL",Input!I$2,Date,,,Ccy,Conv)</f>
        <v>21098</v>
      </c>
      <c r="H435" s="4">
        <f>_xll.ciqfunctions.udf.CIQ(InputTicker,"IQ_FIN_DIV_DEBT_TOTAL",Input!J$2,Date,,,Ccy,Conv)</f>
        <v>13929</v>
      </c>
      <c r="I435" s="4">
        <f>_xll.ciqfunctions.udf.CIQ(InputTicker,"IQ_FIN_DIV_DEBT_TOTAL",Input!K$2,Date,,,Ccy,Conv)</f>
        <v>12872</v>
      </c>
      <c r="J435" s="4">
        <f>_xll.ciqfunctions.udf.CIQ(InputTicker,"IQ_FIN_DIV_DEBT_TOTAL",Input!L$2,Date,,,Ccy,Conv)</f>
        <v>11879</v>
      </c>
      <c r="K435" s="4">
        <f>_xll.ciqfunctions.udf.CIQ(InputTicker,"IQ_FIN_DIV_DEBT_TOTAL",Input!M$2,Date,,,Ccy,Conv)</f>
        <v>12116</v>
      </c>
      <c r="L435" s="4">
        <f>_xll.ciqfunctions.udf.CIQ(InputTicker,"IQ_FIN_DIV_DEBT_TOTAL",Input!N$2,Date,,,Ccy,Conv)</f>
        <v>15093</v>
      </c>
      <c r="M435" s="4">
        <f>_xll.ciqfunctions.udf.CIQ(InputTicker,"IQ_FIN_DIV_DEBT_TOTAL",Input!O$2,Date,,,Ccy,Conv)</f>
        <v>15093</v>
      </c>
      <c r="N435" s="53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  <c r="BJ435" s="42"/>
      <c r="BK435" s="42"/>
      <c r="BL435" s="42"/>
      <c r="BM435" s="42"/>
      <c r="BN435" s="42"/>
    </row>
    <row r="436" spans="1:66" ht="12.75" customHeight="1" x14ac:dyDescent="0.2">
      <c r="A436" s="1" t="s">
        <v>379</v>
      </c>
      <c r="B436" s="4">
        <f>_xll.ciqfunctions.udf.CIQ(InputTicker, "IQ_FIN_DIV_CASH_EQUIV",Input!D$2,Date,,,Ccy,Conv)</f>
        <v>0</v>
      </c>
      <c r="C436" s="4">
        <f>_xll.ciqfunctions.udf.CIQ(InputTicker, "IQ_FIN_DIV_CASH_EQUIV",Input!E$2,Date,,,Ccy,Conv)</f>
        <v>0</v>
      </c>
      <c r="D436" s="4">
        <f>_xll.ciqfunctions.udf.CIQ(InputTicker, "IQ_FIN_DIV_CASH_EQUIV",Input!F$2,Date,,,Ccy,Conv)</f>
        <v>0</v>
      </c>
      <c r="E436" s="4">
        <f>_xll.ciqfunctions.udf.CIQ(InputTicker, "IQ_FIN_DIV_CASH_EQUIV",Input!G$2,Date,,,Ccy,Conv)</f>
        <v>0</v>
      </c>
      <c r="F436" s="4">
        <f>_xll.ciqfunctions.udf.CIQ(InputTicker, "IQ_FIN_DIV_CASH_EQUIV",Input!H$2,Date,,,Ccy,Conv)</f>
        <v>0</v>
      </c>
      <c r="G436" s="4">
        <f>_xll.ciqfunctions.udf.CIQ(InputTicker, "IQ_FIN_DIV_CASH_EQUIV",Input!I$2,Date,,,Ccy,Conv)</f>
        <v>0</v>
      </c>
      <c r="H436" s="4">
        <f>_xll.ciqfunctions.udf.CIQ(InputTicker, "IQ_FIN_DIV_CASH_EQUIV",Input!J$2,Date,,,Ccy,Conv)</f>
        <v>0</v>
      </c>
      <c r="I436" s="4">
        <f>_xll.ciqfunctions.udf.CIQ(InputTicker, "IQ_FIN_DIV_CASH_EQUIV",Input!K$2,Date,,,Ccy,Conv)</f>
        <v>0</v>
      </c>
      <c r="J436" s="4">
        <f>_xll.ciqfunctions.udf.CIQ(InputTicker, "IQ_FIN_DIV_CASH_EQUIV",Input!L$2,Date,,,Ccy,Conv)</f>
        <v>0</v>
      </c>
      <c r="K436" s="4">
        <f>_xll.ciqfunctions.udf.CIQ(InputTicker, "IQ_FIN_DIV_CASH_EQUIV",Input!M$2,Date,,,Ccy,Conv)</f>
        <v>0</v>
      </c>
      <c r="L436" s="4">
        <f>_xll.ciqfunctions.udf.CIQ(InputTicker, "IQ_FIN_DIV_CASH_EQUIV",Input!N$2,Date,,,Ccy,Conv)</f>
        <v>0</v>
      </c>
      <c r="M436" s="4">
        <f>_xll.ciqfunctions.udf.CIQ(InputTicker, "IQ_FIN_DIV_CASH_EQUIV",Input!O$2,Date,,,Ccy,Conv)</f>
        <v>0</v>
      </c>
      <c r="N436" s="53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  <c r="AK436" s="42"/>
      <c r="AL436" s="42"/>
      <c r="AM436" s="42"/>
      <c r="AN436" s="42"/>
      <c r="AO436" s="42"/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  <c r="BJ436" s="42"/>
      <c r="BK436" s="42"/>
      <c r="BL436" s="42"/>
      <c r="BM436" s="42"/>
      <c r="BN436" s="42"/>
    </row>
    <row r="437" spans="1:66" ht="12.75" customHeight="1" x14ac:dyDescent="0.2">
      <c r="A437" s="1" t="s">
        <v>380</v>
      </c>
      <c r="B437" s="4">
        <f>_xll.ciqfunctions.udf.CIQ(InputTicker, "IQ_FIN_DIV_ST_INVEST",Input!D$2,Date,,,Ccy,Conv)</f>
        <v>0</v>
      </c>
      <c r="C437" s="4">
        <f>_xll.ciqfunctions.udf.CIQ(InputTicker, "IQ_FIN_DIV_ST_INVEST",Input!E$2,Date,,,Ccy,Conv)</f>
        <v>0</v>
      </c>
      <c r="D437" s="4">
        <f>_xll.ciqfunctions.udf.CIQ(InputTicker, "IQ_FIN_DIV_ST_INVEST",Input!F$2,Date,,,Ccy,Conv)</f>
        <v>0</v>
      </c>
      <c r="E437" s="4">
        <f>_xll.ciqfunctions.udf.CIQ(InputTicker, "IQ_FIN_DIV_ST_INVEST",Input!G$2,Date,,,Ccy,Conv)</f>
        <v>0</v>
      </c>
      <c r="F437" s="4">
        <f>_xll.ciqfunctions.udf.CIQ(InputTicker, "IQ_FIN_DIV_ST_INVEST",Input!H$2,Date,,,Ccy,Conv)</f>
        <v>0</v>
      </c>
      <c r="G437" s="4">
        <f>_xll.ciqfunctions.udf.CIQ(InputTicker, "IQ_FIN_DIV_ST_INVEST",Input!I$2,Date,,,Ccy,Conv)</f>
        <v>0</v>
      </c>
      <c r="H437" s="4">
        <f>_xll.ciqfunctions.udf.CIQ(InputTicker, "IQ_FIN_DIV_ST_INVEST",Input!J$2,Date,,,Ccy,Conv)</f>
        <v>0</v>
      </c>
      <c r="I437" s="4">
        <f>_xll.ciqfunctions.udf.CIQ(InputTicker, "IQ_FIN_DIV_ST_INVEST",Input!K$2,Date,,,Ccy,Conv)</f>
        <v>0</v>
      </c>
      <c r="J437" s="4">
        <f>_xll.ciqfunctions.udf.CIQ(InputTicker, "IQ_FIN_DIV_ST_INVEST",Input!L$2,Date,,,Ccy,Conv)</f>
        <v>0</v>
      </c>
      <c r="K437" s="4">
        <f>_xll.ciqfunctions.udf.CIQ(InputTicker, "IQ_FIN_DIV_ST_INVEST",Input!M$2,Date,,,Ccy,Conv)</f>
        <v>0</v>
      </c>
      <c r="L437" s="4">
        <f>_xll.ciqfunctions.udf.CIQ(InputTicker, "IQ_FIN_DIV_ST_INVEST",Input!N$2,Date,,,Ccy,Conv)</f>
        <v>0</v>
      </c>
      <c r="M437" s="4">
        <f>_xll.ciqfunctions.udf.CIQ(InputTicker, "IQ_FIN_DIV_ST_INVEST",Input!O$2,Date,,,Ccy,Conv)</f>
        <v>0</v>
      </c>
      <c r="N437" s="53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  <c r="BJ437" s="42"/>
      <c r="BK437" s="42"/>
      <c r="BL437" s="42"/>
      <c r="BM437" s="42"/>
      <c r="BN437" s="42"/>
    </row>
    <row r="438" spans="1:66" ht="12.75" customHeight="1" x14ac:dyDescent="0.2">
      <c r="A438" s="1" t="s">
        <v>503</v>
      </c>
      <c r="B438" s="4">
        <f>_xll.ciqfunctions.udf.CIQ(InputTicker, "IQ_DEBT_EQUIV_NET_PBO",Input!D$2,Date,,,Ccy,Conv)</f>
        <v>10373</v>
      </c>
      <c r="C438" s="4">
        <f>_xll.ciqfunctions.udf.CIQ(InputTicker, "IQ_DEBT_EQUIV_NET_PBO",Input!E$2,Date,,,Ccy,Conv)</f>
        <v>9774</v>
      </c>
      <c r="D438" s="4">
        <f>_xll.ciqfunctions.udf.CIQ(InputTicker, "IQ_DEBT_EQUIV_NET_PBO",Input!F$2,Date,,,Ccy,Conv)</f>
        <v>8063</v>
      </c>
      <c r="E438" s="4">
        <f>_xll.ciqfunctions.udf.CIQ(InputTicker, "IQ_DEBT_EQUIV_NET_PBO",Input!G$2,Date,,,Ccy,Conv)</f>
        <v>8611</v>
      </c>
      <c r="F438" s="4">
        <f>_xll.ciqfunctions.udf.CIQ(InputTicker, "IQ_DEBT_EQUIV_NET_PBO",Input!H$2,Date,,,Ccy,Conv)</f>
        <v>6453</v>
      </c>
      <c r="G438" s="4">
        <f>_xll.ciqfunctions.udf.CIQ(InputTicker, "IQ_DEBT_EQUIV_NET_PBO",Input!I$2,Date,,,Ccy,Conv)</f>
        <v>5990</v>
      </c>
      <c r="H438" s="4">
        <f>_xll.ciqfunctions.udf.CIQ(InputTicker, "IQ_DEBT_EQUIV_NET_PBO",Input!J$2,Date,,,Ccy,Conv)</f>
        <v>1448</v>
      </c>
      <c r="I438" s="4">
        <f>_xll.ciqfunctions.udf.CIQ(InputTicker, "IQ_DEBT_EQUIV_NET_PBO",Input!K$2,Date,,,Ccy,Conv)</f>
        <v>-711</v>
      </c>
      <c r="J438" s="4">
        <f>_xll.ciqfunctions.udf.CIQ(InputTicker, "IQ_DEBT_EQUIV_NET_PBO",Input!L$2,Date,,,Ccy,Conv)</f>
        <v>1218</v>
      </c>
      <c r="K438" s="4">
        <f>_xll.ciqfunctions.udf.CIQ(InputTicker, "IQ_DEBT_EQUIV_NET_PBO",Input!M$2,Date,,,Ccy,Conv)</f>
        <v>-87</v>
      </c>
      <c r="L438" s="4">
        <f>_xll.ciqfunctions.udf.CIQ(InputTicker, "IQ_DEBT_EQUIV_NET_PBO",Input!N$2,Date,,,Ccy,Conv)</f>
        <v>-474</v>
      </c>
      <c r="M438" s="4">
        <f>_xll.ciqfunctions.udf.CIQ(InputTicker, "IQ_DEBT_EQUIV_NET_PBO",Input!O$2,Date,,,Ccy,Conv)</f>
        <v>-474</v>
      </c>
      <c r="N438" s="53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  <c r="BJ438" s="42"/>
      <c r="BK438" s="42"/>
      <c r="BL438" s="42"/>
      <c r="BM438" s="42"/>
      <c r="BN438" s="42"/>
    </row>
    <row r="439" spans="1:66" ht="12.75" customHeight="1" x14ac:dyDescent="0.2">
      <c r="A439" s="1" t="s">
        <v>504</v>
      </c>
      <c r="B439" s="4">
        <f>_xll.ciqfunctions.udf.CIQ(InputTicker, "IQ_DEBT_EQUIV_OPER_LEASE",Input!D$2,Date,,,Ccy,Conv)</f>
        <v>11560</v>
      </c>
      <c r="C439" s="4">
        <f>_xll.ciqfunctions.udf.CIQ(InputTicker, "IQ_DEBT_EQUIV_OPER_LEASE",Input!E$2,Date,,,Ccy,Conv)</f>
        <v>0</v>
      </c>
      <c r="D439" s="4">
        <f>_xll.ciqfunctions.udf.CIQ(InputTicker, "IQ_DEBT_EQUIV_OPER_LEASE",Input!F$2,Date,,,Ccy,Conv)</f>
        <v>0</v>
      </c>
      <c r="E439" s="4">
        <f>_xll.ciqfunctions.udf.CIQ(InputTicker, "IQ_DEBT_EQUIV_OPER_LEASE",Input!G$2,Date,,,Ccy,Conv)</f>
        <v>0</v>
      </c>
      <c r="F439" s="4">
        <f>_xll.ciqfunctions.udf.CIQ(InputTicker, "IQ_DEBT_EQUIV_OPER_LEASE",Input!H$2,Date,,,Ccy,Conv)</f>
        <v>12984</v>
      </c>
      <c r="G439" s="4">
        <f>_xll.ciqfunctions.udf.CIQ(InputTicker, "IQ_DEBT_EQUIV_OPER_LEASE",Input!I$2,Date,,,Ccy,Conv)</f>
        <v>12192</v>
      </c>
      <c r="H439" s="4">
        <f>_xll.ciqfunctions.udf.CIQ(InputTicker, "IQ_DEBT_EQUIV_OPER_LEASE",Input!J$2,Date,,,Ccy,Conv)</f>
        <v>11496</v>
      </c>
      <c r="I439" s="4">
        <f>_xll.ciqfunctions.udf.CIQ(InputTicker, "IQ_DEBT_EQUIV_OPER_LEASE",Input!K$2,Date,,,Ccy,Conv)</f>
        <v>9976</v>
      </c>
      <c r="J439" s="4">
        <f>_xll.ciqfunctions.udf.CIQ(InputTicker, "IQ_DEBT_EQUIV_OPER_LEASE",Input!L$2,Date,,,Ccy,Conv)</f>
        <v>10336</v>
      </c>
      <c r="K439" s="4">
        <f>_xll.ciqfunctions.udf.CIQ(InputTicker, "IQ_DEBT_EQUIV_OPER_LEASE",Input!M$2,Date,,,Ccy,Conv)</f>
        <v>10472</v>
      </c>
      <c r="L439" s="4">
        <f>_xll.ciqfunctions.udf.CIQ(InputTicker, "IQ_DEBT_EQUIV_OPER_LEASE",Input!N$2,Date,,,Ccy,Conv)</f>
        <v>10464</v>
      </c>
      <c r="M439" s="4">
        <f>_xll.ciqfunctions.udf.CIQ(InputTicker, "IQ_DEBT_EQUIV_OPER_LEASE",Input!O$2,Date,,,Ccy,Conv)</f>
        <v>10464</v>
      </c>
      <c r="N439" s="53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  <c r="AK439" s="42"/>
      <c r="AL439" s="42"/>
      <c r="AM439" s="42"/>
      <c r="AN439" s="42"/>
      <c r="AO439" s="42"/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  <c r="BJ439" s="42"/>
      <c r="BK439" s="42"/>
      <c r="BL439" s="42"/>
      <c r="BM439" s="42"/>
      <c r="BN439" s="42"/>
    </row>
    <row r="440" spans="1:66" ht="12.75" customHeight="1" x14ac:dyDescent="0.2">
      <c r="A440" s="1" t="s">
        <v>362</v>
      </c>
      <c r="B440" s="4">
        <f>_xll.ciqfunctions.udf.CIQ(InputTicker,"IQ_COST_BORROWING",Input!D$2,Date)</f>
        <v>1.161</v>
      </c>
      <c r="C440" s="4">
        <f>_xll.ciqfunctions.udf.CIQ(InputTicker,"IQ_COST_BORROWING",Input!E$2,Date)</f>
        <v>1.5401</v>
      </c>
      <c r="D440" s="4">
        <f>_xll.ciqfunctions.udf.CIQ(InputTicker,"IQ_COST_BORROWING",Input!F$2,Date)</f>
        <v>1.3927</v>
      </c>
      <c r="E440" s="4">
        <f>_xll.ciqfunctions.udf.CIQ(InputTicker,"IQ_COST_BORROWING",Input!G$2,Date)</f>
        <v>1.5668</v>
      </c>
      <c r="F440" s="4">
        <f>_xll.ciqfunctions.udf.CIQ(InputTicker,"IQ_COST_BORROWING",Input!H$2,Date)</f>
        <v>2.3654999999999999</v>
      </c>
      <c r="G440" s="4">
        <f>_xll.ciqfunctions.udf.CIQ(InputTicker,"IQ_COST_BORROWING",Input!I$2,Date)</f>
        <v>1.9407000000000001</v>
      </c>
      <c r="H440" s="4">
        <f>_xll.ciqfunctions.udf.CIQ(InputTicker,"IQ_COST_BORROWING",Input!J$2,Date)</f>
        <v>1.9262999999999999</v>
      </c>
      <c r="I440" s="4">
        <f>_xll.ciqfunctions.udf.CIQ(InputTicker,"IQ_COST_BORROWING",Input!K$2,Date)</f>
        <v>2.2372000000000001</v>
      </c>
      <c r="J440" s="4">
        <f>_xll.ciqfunctions.udf.CIQ(InputTicker,"IQ_COST_BORROWING",Input!L$2,Date)</f>
        <v>2.8363</v>
      </c>
      <c r="K440" s="4">
        <f>_xll.ciqfunctions.udf.CIQ(InputTicker,"IQ_COST_BORROWING",Input!M$2,Date)</f>
        <v>2.9138000000000002</v>
      </c>
      <c r="L440" s="4">
        <f>_xll.ciqfunctions.udf.CIQ(InputTicker,"IQ_COST_BORROWING",Input!N$2,Date)</f>
        <v>3.1526999999999998</v>
      </c>
      <c r="M440" s="4">
        <f>_xll.ciqfunctions.udf.CIQ(InputTicker,"IQ_COST_BORROWING",Input!O$2,Date)</f>
        <v>3.1526999999999998</v>
      </c>
      <c r="N440" s="53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  <c r="AK440" s="42"/>
      <c r="AL440" s="42"/>
      <c r="AM440" s="42"/>
      <c r="AN440" s="42"/>
      <c r="AO440" s="42"/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  <c r="BJ440" s="42"/>
      <c r="BK440" s="42"/>
      <c r="BL440" s="42"/>
      <c r="BM440" s="42"/>
      <c r="BN440" s="42"/>
    </row>
    <row r="441" spans="1:66" ht="12.75" customHeight="1" x14ac:dyDescent="0.2">
      <c r="A441" s="1" t="s">
        <v>378</v>
      </c>
      <c r="B441" s="4">
        <f>_xll.ciqfunctions.udf.CIQ(InputTicker,"IQ_RESTRICTED_CASH_NON_CURRENT",Input!D$2,Date,,,Ccy,Conv)</f>
        <v>0</v>
      </c>
      <c r="C441" s="4">
        <f>_xll.ciqfunctions.udf.CIQ(InputTicker,"IQ_RESTRICTED_CASH_NON_CURRENT",Input!E$2,Date,,,Ccy,Conv)</f>
        <v>0</v>
      </c>
      <c r="D441" s="4">
        <f>_xll.ciqfunctions.udf.CIQ(InputTicker,"IQ_RESTRICTED_CASH_NON_CURRENT",Input!F$2,Date,,,Ccy,Conv)</f>
        <v>0</v>
      </c>
      <c r="E441" s="4">
        <f>_xll.ciqfunctions.udf.CIQ(InputTicker,"IQ_RESTRICTED_CASH_NON_CURRENT",Input!G$2,Date,,,Ccy,Conv)</f>
        <v>0</v>
      </c>
      <c r="F441" s="4">
        <f>_xll.ciqfunctions.udf.CIQ(InputTicker,"IQ_RESTRICTED_CASH_NON_CURRENT",Input!H$2,Date,,,Ccy,Conv)</f>
        <v>0</v>
      </c>
      <c r="G441" s="4">
        <f>_xll.ciqfunctions.udf.CIQ(InputTicker,"IQ_RESTRICTED_CASH_NON_CURRENT",Input!I$2,Date,,,Ccy,Conv)</f>
        <v>0</v>
      </c>
      <c r="H441" s="4">
        <f>_xll.ciqfunctions.udf.CIQ(InputTicker,"IQ_RESTRICTED_CASH_NON_CURRENT",Input!J$2,Date,,,Ccy,Conv)</f>
        <v>0</v>
      </c>
      <c r="I441" s="4">
        <f>_xll.ciqfunctions.udf.CIQ(InputTicker,"IQ_RESTRICTED_CASH_NON_CURRENT",Input!K$2,Date,,,Ccy,Conv)</f>
        <v>0</v>
      </c>
      <c r="J441" s="4">
        <f>_xll.ciqfunctions.udf.CIQ(InputTicker,"IQ_RESTRICTED_CASH_NON_CURRENT",Input!L$2,Date,,,Ccy,Conv)</f>
        <v>0</v>
      </c>
      <c r="K441" s="4">
        <f>_xll.ciqfunctions.udf.CIQ(InputTicker,"IQ_RESTRICTED_CASH_NON_CURRENT",Input!M$2,Date,,,Ccy,Conv)</f>
        <v>0</v>
      </c>
      <c r="L441" s="4">
        <f>_xll.ciqfunctions.udf.CIQ(InputTicker,"IQ_RESTRICTED_CASH_NON_CURRENT",Input!N$2,Date,,,Ccy,Conv)</f>
        <v>0</v>
      </c>
      <c r="M441" s="4">
        <f>_xll.ciqfunctions.udf.CIQ(InputTicker,"IQ_RESTRICTED_CASH_NON_CURRENT",Input!O$2,Date,,,Ccy,Conv)</f>
        <v>0</v>
      </c>
      <c r="N441" s="53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  <c r="BJ441" s="42"/>
      <c r="BK441" s="42"/>
      <c r="BL441" s="42"/>
      <c r="BM441" s="42"/>
      <c r="BN441" s="42"/>
    </row>
    <row r="442" spans="1:66" ht="12.75" customHeight="1" x14ac:dyDescent="0.2">
      <c r="A442" s="1" t="s">
        <v>505</v>
      </c>
      <c r="B442" s="4">
        <f>_xll.ciqfunctions.udf.CIQ(InputTicker,"IQ_RESTRICTED_CASH_TOTAL",Input!D$2,Date,,,Ccy,Conv)</f>
        <v>0</v>
      </c>
      <c r="C442" s="4">
        <f>_xll.ciqfunctions.udf.CIQ(InputTicker,"IQ_RESTRICTED_CASH_TOTAL",Input!E$2,Date,,,Ccy,Conv)</f>
        <v>0</v>
      </c>
      <c r="D442" s="4">
        <f>_xll.ciqfunctions.udf.CIQ(InputTicker,"IQ_RESTRICTED_CASH_TOTAL",Input!F$2,Date,,,Ccy,Conv)</f>
        <v>262</v>
      </c>
      <c r="E442" s="4">
        <f>_xll.ciqfunctions.udf.CIQ(InputTicker,"IQ_RESTRICTED_CASH_TOTAL",Input!G$2,Date,,,Ccy,Conv)</f>
        <v>225</v>
      </c>
      <c r="F442" s="4">
        <f>_xll.ciqfunctions.udf.CIQ(InputTicker,"IQ_RESTRICTED_CASH_TOTAL",Input!H$2,Date,,,Ccy,Conv)</f>
        <v>141</v>
      </c>
      <c r="G442" s="4">
        <f>_xll.ciqfunctions.udf.CIQ(InputTicker,"IQ_RESTRICTED_CASH_TOTAL",Input!I$2,Date,,,Ccy,Conv)</f>
        <v>463</v>
      </c>
      <c r="H442" s="4">
        <f>_xll.ciqfunctions.udf.CIQ(InputTicker,"IQ_RESTRICTED_CASH_TOTAL",Input!J$2,Date,,,Ccy,Conv)</f>
        <v>307</v>
      </c>
      <c r="I442" s="4">
        <f>_xll.ciqfunctions.udf.CIQ(InputTicker,"IQ_RESTRICTED_CASH_TOTAL",Input!K$2,Date,,,Ccy,Conv)</f>
        <v>103</v>
      </c>
      <c r="J442" s="4">
        <f>_xll.ciqfunctions.udf.CIQ(InputTicker,"IQ_RESTRICTED_CASH_TOTAL",Input!L$2,Date,,,Ccy,Conv)</f>
        <v>21</v>
      </c>
      <c r="K442" s="4">
        <f>_xll.ciqfunctions.udf.CIQ(InputTicker,"IQ_RESTRICTED_CASH_TOTAL",Input!M$2,Date,,,Ccy,Conv)</f>
        <v>214</v>
      </c>
      <c r="L442" s="4">
        <f>_xll.ciqfunctions.udf.CIQ(InputTicker,"IQ_RESTRICTED_CASH_TOTAL",Input!N$2,Date,,,Ccy,Conv)</f>
        <v>54</v>
      </c>
      <c r="M442" s="4">
        <f>_xll.ciqfunctions.udf.CIQ(InputTicker,"IQ_RESTRICTED_CASH_TOTAL",Input!O$2,Date,,,Ccy,Conv)</f>
        <v>54</v>
      </c>
      <c r="N442" s="53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  <c r="AK442" s="42"/>
      <c r="AL442" s="42"/>
      <c r="AM442" s="42"/>
      <c r="AN442" s="42"/>
      <c r="AO442" s="42"/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  <c r="BJ442" s="42"/>
      <c r="BK442" s="42"/>
      <c r="BL442" s="42"/>
      <c r="BM442" s="42"/>
      <c r="BN442" s="42"/>
    </row>
    <row r="443" spans="1:66" ht="12.75" customHeight="1" x14ac:dyDescent="0.2">
      <c r="A443" s="1" t="s">
        <v>363</v>
      </c>
      <c r="B443" s="4">
        <f>_xll.ciqfunctions.udf.CIQ(InputTicker,"IQ_TOTAL_DEBT_EXCL_FIN",Input!D$2,Date,,,Ccy,Conv)</f>
        <v>39892</v>
      </c>
      <c r="C443" s="4">
        <f>_xll.ciqfunctions.udf.CIQ(InputTicker,"IQ_TOTAL_DEBT_EXCL_FIN",Input!E$2,Date,,,Ccy,Conv)</f>
        <v>42176</v>
      </c>
      <c r="D443" s="4">
        <f>_xll.ciqfunctions.udf.CIQ(InputTicker,"IQ_TOTAL_DEBT_EXCL_FIN",Input!F$2,Date,,,Ccy,Conv)</f>
        <v>46858</v>
      </c>
      <c r="E443" s="4">
        <f>_xll.ciqfunctions.udf.CIQ(InputTicker,"IQ_TOTAL_DEBT_EXCL_FIN",Input!G$2,Date,,,Ccy,Conv)</f>
        <v>45812</v>
      </c>
      <c r="F443" s="4">
        <f>_xll.ciqfunctions.udf.CIQ(InputTicker,"IQ_TOTAL_DEBT_EXCL_FIN",Input!H$2,Date,,,Ccy,Conv)</f>
        <v>68158</v>
      </c>
      <c r="G443" s="4">
        <f>_xll.ciqfunctions.udf.CIQ(InputTicker,"IQ_TOTAL_DEBT_EXCL_FIN",Input!I$2,Date,,,Ccy,Conv)</f>
        <v>65088</v>
      </c>
      <c r="H443" s="4">
        <f>_xll.ciqfunctions.udf.CIQ(InputTicker,"IQ_TOTAL_DEBT_EXCL_FIN",Input!J$2,Date,,,Ccy,Conv)</f>
        <v>55140</v>
      </c>
      <c r="I443" s="4">
        <f>_xll.ciqfunctions.udf.CIQ(InputTicker,"IQ_TOTAL_DEBT_EXCL_FIN",Input!K$2,Date,,,Ccy,Conv)</f>
        <v>54013</v>
      </c>
      <c r="J443" s="4">
        <f>_xll.ciqfunctions.udf.CIQ(InputTicker,"IQ_TOTAL_DEBT_EXCL_FIN",Input!L$2,Date,,,Ccy,Conv)</f>
        <v>59935</v>
      </c>
      <c r="K443" s="4">
        <f>_xll.ciqfunctions.udf.CIQ(InputTicker,"IQ_TOTAL_DEBT_EXCL_FIN",Input!M$2,Date,,,Ccy,Conv)</f>
        <v>58396</v>
      </c>
      <c r="L443" s="4">
        <f>_xll.ciqfunctions.udf.CIQ(InputTicker,"IQ_TOTAL_DEBT_EXCL_FIN",Input!N$2,Date,,,Ccy,Conv)</f>
        <v>64607</v>
      </c>
      <c r="M443" s="4">
        <f>_xll.ciqfunctions.udf.CIQ(InputTicker,"IQ_TOTAL_DEBT_EXCL_FIN",Input!O$2,Date,,,Ccy,Conv)</f>
        <v>64607</v>
      </c>
      <c r="N443" s="53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  <c r="AK443" s="42"/>
      <c r="AL443" s="42"/>
      <c r="AM443" s="42"/>
      <c r="AN443" s="42"/>
      <c r="AO443" s="42"/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  <c r="BJ443" s="42"/>
      <c r="BK443" s="42"/>
      <c r="BL443" s="42"/>
      <c r="BM443" s="42"/>
      <c r="BN443" s="42"/>
    </row>
    <row r="444" spans="1:66" ht="12.75" customHeight="1" x14ac:dyDescent="0.2">
      <c r="A444" s="1" t="s">
        <v>364</v>
      </c>
      <c r="B444" s="4">
        <f>_xll.ciqfunctions.udf.CIQ(InputTicker,"IQ_ORDER_BACKLOG",Input!D$2,Date,,,Ccy,Conv)</f>
        <v>0</v>
      </c>
      <c r="C444" s="4">
        <f>_xll.ciqfunctions.udf.CIQ(InputTicker,"IQ_ORDER_BACKLOG",Input!E$2,Date,,,Ccy,Conv)</f>
        <v>0</v>
      </c>
      <c r="D444" s="4">
        <f>_xll.ciqfunctions.udf.CIQ(InputTicker,"IQ_ORDER_BACKLOG",Input!F$2,Date,,,Ccy,Conv)</f>
        <v>0</v>
      </c>
      <c r="E444" s="4">
        <f>_xll.ciqfunctions.udf.CIQ(InputTicker,"IQ_ORDER_BACKLOG",Input!G$2,Date,,,Ccy,Conv)</f>
        <v>0</v>
      </c>
      <c r="F444" s="4">
        <f>_xll.ciqfunctions.udf.CIQ(InputTicker,"IQ_ORDER_BACKLOG",Input!H$2,Date,,,Ccy,Conv)</f>
        <v>0</v>
      </c>
      <c r="G444" s="4">
        <f>_xll.ciqfunctions.udf.CIQ(InputTicker,"IQ_ORDER_BACKLOG",Input!I$2,Date,,,Ccy,Conv)</f>
        <v>0</v>
      </c>
      <c r="H444" s="4">
        <f>_xll.ciqfunctions.udf.CIQ(InputTicker,"IQ_ORDER_BACKLOG",Input!J$2,Date,,,Ccy,Conv)</f>
        <v>0</v>
      </c>
      <c r="I444" s="4">
        <f>_xll.ciqfunctions.udf.CIQ(InputTicker,"IQ_ORDER_BACKLOG",Input!K$2,Date,,,Ccy,Conv)</f>
        <v>0</v>
      </c>
      <c r="J444" s="4">
        <f>_xll.ciqfunctions.udf.CIQ(InputTicker,"IQ_ORDER_BACKLOG",Input!L$2,Date,,,Ccy,Conv)</f>
        <v>0</v>
      </c>
      <c r="K444" s="4">
        <f>_xll.ciqfunctions.udf.CIQ(InputTicker,"IQ_ORDER_BACKLOG",Input!M$2,Date,,,Ccy,Conv)</f>
        <v>0</v>
      </c>
      <c r="L444" s="4">
        <f>_xll.ciqfunctions.udf.CIQ(InputTicker,"IQ_ORDER_BACKLOG",Input!N$2,Date,,,Ccy,Conv)</f>
        <v>31900</v>
      </c>
      <c r="M444" s="4">
        <f>_xll.ciqfunctions.udf.CIQ(InputTicker,"IQ_ORDER_BACKLOG",Input!O$2,Date,,,Ccy,Conv)</f>
        <v>31900</v>
      </c>
      <c r="N444" s="53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  <c r="AK444" s="42"/>
      <c r="AL444" s="42"/>
      <c r="AM444" s="42"/>
      <c r="AN444" s="42"/>
      <c r="AO444" s="42"/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  <c r="BJ444" s="42"/>
      <c r="BK444" s="42"/>
      <c r="BL444" s="42"/>
      <c r="BM444" s="42"/>
      <c r="BN444" s="42"/>
    </row>
    <row r="445" spans="1:66" ht="12.75" customHeight="1" x14ac:dyDescent="0.2">
      <c r="A445" s="1" t="s">
        <v>395</v>
      </c>
      <c r="B445" s="4">
        <f>_xll.ciqfunctions.udf.CIQ(InputTicker,"IQ_CONTINGENT_LIABILITIES",Input!D$2,Date,,,Ccy,Conv)</f>
        <v>0</v>
      </c>
      <c r="C445" s="4">
        <f>_xll.ciqfunctions.udf.CIQ(InputTicker,"IQ_CONTINGENT_LIABILITIES",Input!E$2,Date,,,Ccy,Conv)</f>
        <v>0</v>
      </c>
      <c r="D445" s="4">
        <f>_xll.ciqfunctions.udf.CIQ(InputTicker,"IQ_CONTINGENT_LIABILITIES",Input!F$2,Date,,,Ccy,Conv)</f>
        <v>0</v>
      </c>
      <c r="E445" s="4">
        <f>_xll.ciqfunctions.udf.CIQ(InputTicker,"IQ_CONTINGENT_LIABILITIES",Input!G$2,Date,,,Ccy,Conv)</f>
        <v>0</v>
      </c>
      <c r="F445" s="4">
        <f>_xll.ciqfunctions.udf.CIQ(InputTicker,"IQ_CONTINGENT_LIABILITIES",Input!H$2,Date,,,Ccy,Conv)</f>
        <v>0</v>
      </c>
      <c r="G445" s="4">
        <f>_xll.ciqfunctions.udf.CIQ(InputTicker,"IQ_CONTINGENT_LIABILITIES",Input!I$2,Date,,,Ccy,Conv)</f>
        <v>0</v>
      </c>
      <c r="H445" s="4">
        <f>_xll.ciqfunctions.udf.CIQ(InputTicker,"IQ_CONTINGENT_LIABILITIES",Input!J$2,Date,,,Ccy,Conv)</f>
        <v>0</v>
      </c>
      <c r="I445" s="4">
        <f>_xll.ciqfunctions.udf.CIQ(InputTicker,"IQ_CONTINGENT_LIABILITIES",Input!K$2,Date,,,Ccy,Conv)</f>
        <v>0</v>
      </c>
      <c r="J445" s="4">
        <f>_xll.ciqfunctions.udf.CIQ(InputTicker,"IQ_CONTINGENT_LIABILITIES",Input!L$2,Date,,,Ccy,Conv)</f>
        <v>0</v>
      </c>
      <c r="K445" s="4">
        <f>_xll.ciqfunctions.udf.CIQ(InputTicker,"IQ_CONTINGENT_LIABILITIES",Input!M$2,Date,,,Ccy,Conv)</f>
        <v>0</v>
      </c>
      <c r="L445" s="4">
        <f>_xll.ciqfunctions.udf.CIQ(InputTicker,"IQ_CONTINGENT_LIABILITIES",Input!N$2,Date,,,Ccy,Conv)</f>
        <v>0</v>
      </c>
      <c r="M445" s="4">
        <f>_xll.ciqfunctions.udf.CIQ(InputTicker,"IQ_CONTINGENT_LIABILITIES",Input!O$2,Date,,,Ccy,Conv)</f>
        <v>0</v>
      </c>
      <c r="N445" s="53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  <c r="BJ445" s="42"/>
      <c r="BK445" s="42"/>
      <c r="BL445" s="42"/>
      <c r="BM445" s="42"/>
      <c r="BN445" s="42"/>
    </row>
    <row r="446" spans="1:66" ht="12.75" customHeight="1" x14ac:dyDescent="0.2">
      <c r="A446" s="1" t="s">
        <v>443</v>
      </c>
      <c r="B446" s="4">
        <f>_xll.ciqfunctions.udf.CIQ(InputTicker,"IQ_WARRANTY_LIABILITIES",Input!D$2,Date,,,Ccy,Conv)</f>
        <v>0</v>
      </c>
      <c r="C446" s="4">
        <f>_xll.ciqfunctions.udf.CIQ(InputTicker,"IQ_WARRANTY_LIABILITIES",Input!E$2,Date,,,Ccy,Conv)</f>
        <v>0</v>
      </c>
      <c r="D446" s="4">
        <f>_xll.ciqfunctions.udf.CIQ(InputTicker,"IQ_WARRANTY_LIABILITIES",Input!F$2,Date,,,Ccy,Conv)</f>
        <v>0</v>
      </c>
      <c r="E446" s="4">
        <f>_xll.ciqfunctions.udf.CIQ(InputTicker,"IQ_WARRANTY_LIABILITIES",Input!G$2,Date,,,Ccy,Conv)</f>
        <v>0</v>
      </c>
      <c r="F446" s="4">
        <f>_xll.ciqfunctions.udf.CIQ(InputTicker,"IQ_WARRANTY_LIABILITIES",Input!H$2,Date,,,Ccy,Conv)</f>
        <v>0</v>
      </c>
      <c r="G446" s="4">
        <f>_xll.ciqfunctions.udf.CIQ(InputTicker,"IQ_WARRANTY_LIABILITIES",Input!I$2,Date,,,Ccy,Conv)</f>
        <v>0</v>
      </c>
      <c r="H446" s="4">
        <f>_xll.ciqfunctions.udf.CIQ(InputTicker,"IQ_WARRANTY_LIABILITIES",Input!J$2,Date,,,Ccy,Conv)</f>
        <v>0</v>
      </c>
      <c r="I446" s="4">
        <f>_xll.ciqfunctions.udf.CIQ(InputTicker,"IQ_WARRANTY_LIABILITIES",Input!K$2,Date,,,Ccy,Conv)</f>
        <v>0</v>
      </c>
      <c r="J446" s="4">
        <f>_xll.ciqfunctions.udf.CIQ(InputTicker,"IQ_WARRANTY_LIABILITIES",Input!L$2,Date,,,Ccy,Conv)</f>
        <v>0</v>
      </c>
      <c r="K446" s="4">
        <f>_xll.ciqfunctions.udf.CIQ(InputTicker,"IQ_WARRANTY_LIABILITIES",Input!M$2,Date,,,Ccy,Conv)</f>
        <v>0</v>
      </c>
      <c r="L446" s="4">
        <f>_xll.ciqfunctions.udf.CIQ(InputTicker,"IQ_WARRANTY_LIABILITIES",Input!N$2,Date,,,Ccy,Conv)</f>
        <v>0</v>
      </c>
      <c r="M446" s="4">
        <f>_xll.ciqfunctions.udf.CIQ(InputTicker,"IQ_WARRANTY_LIABILITIES",Input!O$2,Date,,,Ccy,Conv)</f>
        <v>0</v>
      </c>
      <c r="N446" s="53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  <c r="BJ446" s="42"/>
      <c r="BK446" s="42"/>
      <c r="BL446" s="42"/>
      <c r="BM446" s="42"/>
      <c r="BN446" s="42"/>
    </row>
    <row r="447" spans="1:66" ht="12.75" customHeight="1" x14ac:dyDescent="0.2">
      <c r="A447" s="1" t="s">
        <v>8</v>
      </c>
      <c r="B447" s="4">
        <f>_xll.ciqfunctions.udf.CIQ(InputTicker,"IQ_ST_DEBT_DERIVATIVES",Input!D$2,Date,,,Ccy,Conv)</f>
        <v>0</v>
      </c>
      <c r="C447" s="4">
        <f>_xll.ciqfunctions.udf.CIQ(InputTicker,"IQ_ST_DEBT_DERIVATIVES",Input!E$2,Date,,,Ccy,Conv)</f>
        <v>0</v>
      </c>
      <c r="D447" s="4">
        <f>_xll.ciqfunctions.udf.CIQ(InputTicker,"IQ_ST_DEBT_DERIVATIVES",Input!F$2,Date,,,Ccy,Conv)</f>
        <v>0</v>
      </c>
      <c r="E447" s="4">
        <f>_xll.ciqfunctions.udf.CIQ(InputTicker,"IQ_ST_DEBT_DERIVATIVES",Input!G$2,Date,,,Ccy,Conv)</f>
        <v>0</v>
      </c>
      <c r="F447" s="4">
        <f>_xll.ciqfunctions.udf.CIQ(InputTicker,"IQ_ST_DEBT_DERIVATIVES",Input!H$2,Date,,,Ccy,Conv)</f>
        <v>0</v>
      </c>
      <c r="G447" s="4">
        <f>_xll.ciqfunctions.udf.CIQ(InputTicker,"IQ_ST_DEBT_DERIVATIVES",Input!I$2,Date,,,Ccy,Conv)</f>
        <v>0</v>
      </c>
      <c r="H447" s="4">
        <f>_xll.ciqfunctions.udf.CIQ(InputTicker,"IQ_ST_DEBT_DERIVATIVES",Input!J$2,Date,,,Ccy,Conv)</f>
        <v>0</v>
      </c>
      <c r="I447" s="4">
        <f>_xll.ciqfunctions.udf.CIQ(InputTicker,"IQ_ST_DEBT_DERIVATIVES",Input!K$2,Date,,,Ccy,Conv)</f>
        <v>0</v>
      </c>
      <c r="J447" s="4">
        <f>_xll.ciqfunctions.udf.CIQ(InputTicker,"IQ_ST_DEBT_DERIVATIVES",Input!L$2,Date,,,Ccy,Conv)</f>
        <v>0</v>
      </c>
      <c r="K447" s="4">
        <f>_xll.ciqfunctions.udf.CIQ(InputTicker,"IQ_ST_DEBT_DERIVATIVES",Input!M$2,Date,,,Ccy,Conv)</f>
        <v>0</v>
      </c>
      <c r="L447" s="4">
        <f>_xll.ciqfunctions.udf.CIQ(InputTicker,"IQ_ST_DEBT_DERIVATIVES",Input!N$2,Date,,,Ccy,Conv)</f>
        <v>0</v>
      </c>
      <c r="M447" s="4">
        <f>_xll.ciqfunctions.udf.CIQ(InputTicker,"IQ_ST_DEBT_DERIVATIVES",Input!O$2,Date,,,Ccy,Conv)</f>
        <v>0</v>
      </c>
      <c r="N447" s="53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  <c r="BJ447" s="42"/>
      <c r="BK447" s="42"/>
      <c r="BL447" s="42"/>
      <c r="BM447" s="42"/>
      <c r="BN447" s="42"/>
    </row>
    <row r="448" spans="1:66" ht="12.75" customHeight="1" x14ac:dyDescent="0.2">
      <c r="A448" s="1" t="s">
        <v>9</v>
      </c>
      <c r="B448" s="4">
        <f>_xll.ciqfunctions.udf.CIQ(InputTicker,"IQ_CURRENT_PORT_DEBT_DERIVATIVES",Input!D$2,Date,,,Ccy,Conv)</f>
        <v>0</v>
      </c>
      <c r="C448" s="4">
        <f>_xll.ciqfunctions.udf.CIQ(InputTicker,"IQ_CURRENT_PORT_DEBT_DERIVATIVES",Input!E$2,Date,,,Ccy,Conv)</f>
        <v>1125</v>
      </c>
      <c r="D448" s="4">
        <f>_xll.ciqfunctions.udf.CIQ(InputTicker,"IQ_CURRENT_PORT_DEBT_DERIVATIVES",Input!F$2,Date,,,Ccy,Conv)</f>
        <v>0</v>
      </c>
      <c r="E448" s="4">
        <f>_xll.ciqfunctions.udf.CIQ(InputTicker,"IQ_CURRENT_PORT_DEBT_DERIVATIVES",Input!G$2,Date,,,Ccy,Conv)</f>
        <v>0</v>
      </c>
      <c r="F448" s="4">
        <f>_xll.ciqfunctions.udf.CIQ(InputTicker,"IQ_CURRENT_PORT_DEBT_DERIVATIVES",Input!H$2,Date,,,Ccy,Conv)</f>
        <v>0</v>
      </c>
      <c r="G448" s="4">
        <f>_xll.ciqfunctions.udf.CIQ(InputTicker,"IQ_CURRENT_PORT_DEBT_DERIVATIVES",Input!I$2,Date,,,Ccy,Conv)</f>
        <v>0</v>
      </c>
      <c r="H448" s="4">
        <f>_xll.ciqfunctions.udf.CIQ(InputTicker,"IQ_CURRENT_PORT_DEBT_DERIVATIVES",Input!J$2,Date,,,Ccy,Conv)</f>
        <v>0</v>
      </c>
      <c r="I448" s="4">
        <f>_xll.ciqfunctions.udf.CIQ(InputTicker,"IQ_CURRENT_PORT_DEBT_DERIVATIVES",Input!K$2,Date,,,Ccy,Conv)</f>
        <v>0</v>
      </c>
      <c r="J448" s="4">
        <f>_xll.ciqfunctions.udf.CIQ(InputTicker,"IQ_CURRENT_PORT_DEBT_DERIVATIVES",Input!L$2,Date,,,Ccy,Conv)</f>
        <v>0</v>
      </c>
      <c r="K448" s="4">
        <f>_xll.ciqfunctions.udf.CIQ(InputTicker,"IQ_CURRENT_PORT_DEBT_DERIVATIVES",Input!M$2,Date,,,Ccy,Conv)</f>
        <v>0</v>
      </c>
      <c r="L448" s="4">
        <f>_xll.ciqfunctions.udf.CIQ(InputTicker,"IQ_CURRENT_PORT_DEBT_DERIVATIVES",Input!N$2,Date,,,Ccy,Conv)</f>
        <v>0</v>
      </c>
      <c r="M448" s="4">
        <f>_xll.ciqfunctions.udf.CIQ(InputTicker,"IQ_CURRENT_PORT_DEBT_DERIVATIVES",Input!O$2,Date,,,Ccy,Conv)</f>
        <v>0</v>
      </c>
      <c r="N448" s="53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  <c r="BJ448" s="42"/>
      <c r="BK448" s="42"/>
      <c r="BL448" s="42"/>
      <c r="BM448" s="42"/>
      <c r="BN448" s="42"/>
    </row>
    <row r="449" spans="1:66" ht="12.75" customHeight="1" x14ac:dyDescent="0.2">
      <c r="A449" s="1" t="s">
        <v>10</v>
      </c>
      <c r="B449" s="4">
        <f>_xll.ciqfunctions.udf.CIQ(InputTicker,"IQ_LT_DEBT_DERIVATIVES",Input!D$2,Date,,,Ccy,Conv)</f>
        <v>7948</v>
      </c>
      <c r="C449" s="4">
        <f>_xll.ciqfunctions.udf.CIQ(InputTicker,"IQ_LT_DEBT_DERIVATIVES",Input!E$2,Date,,,Ccy,Conv)</f>
        <v>7852</v>
      </c>
      <c r="D449" s="4">
        <f>_xll.ciqfunctions.udf.CIQ(InputTicker,"IQ_LT_DEBT_DERIVATIVES",Input!F$2,Date,,,Ccy,Conv)</f>
        <v>6505</v>
      </c>
      <c r="E449" s="4">
        <f>_xll.ciqfunctions.udf.CIQ(InputTicker,"IQ_LT_DEBT_DERIVATIVES",Input!G$2,Date,,,Ccy,Conv)</f>
        <v>6261</v>
      </c>
      <c r="F449" s="4">
        <f>_xll.ciqfunctions.udf.CIQ(InputTicker,"IQ_LT_DEBT_DERIVATIVES",Input!H$2,Date,,,Ccy,Conv)</f>
        <v>7300</v>
      </c>
      <c r="G449" s="4">
        <f>_xll.ciqfunctions.udf.CIQ(InputTicker,"IQ_LT_DEBT_DERIVATIVES",Input!I$2,Date,,,Ccy,Conv)</f>
        <v>0</v>
      </c>
      <c r="H449" s="4">
        <f>_xll.ciqfunctions.udf.CIQ(InputTicker,"IQ_LT_DEBT_DERIVATIVES",Input!J$2,Date,,,Ccy,Conv)</f>
        <v>0</v>
      </c>
      <c r="I449" s="4">
        <f>_xll.ciqfunctions.udf.CIQ(InputTicker,"IQ_LT_DEBT_DERIVATIVES",Input!K$2,Date,,,Ccy,Conv)</f>
        <v>0</v>
      </c>
      <c r="J449" s="4">
        <f>_xll.ciqfunctions.udf.CIQ(InputTicker,"IQ_LT_DEBT_DERIVATIVES",Input!L$2,Date,,,Ccy,Conv)</f>
        <v>0</v>
      </c>
      <c r="K449" s="4">
        <f>_xll.ciqfunctions.udf.CIQ(InputTicker,"IQ_LT_DEBT_DERIVATIVES",Input!M$2,Date,,,Ccy,Conv)</f>
        <v>0</v>
      </c>
      <c r="L449" s="4">
        <f>_xll.ciqfunctions.udf.CIQ(InputTicker,"IQ_LT_DEBT_DERIVATIVES",Input!N$2,Date,,,Ccy,Conv)</f>
        <v>0</v>
      </c>
      <c r="M449" s="4">
        <f>_xll.ciqfunctions.udf.CIQ(InputTicker,"IQ_LT_DEBT_DERIVATIVES",Input!O$2,Date,,,Ccy,Conv)</f>
        <v>0</v>
      </c>
      <c r="N449" s="53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  <c r="BJ449" s="42"/>
      <c r="BK449" s="42"/>
      <c r="BL449" s="42"/>
      <c r="BM449" s="42"/>
      <c r="BN449" s="42"/>
    </row>
    <row r="450" spans="1:66" ht="12.75" customHeight="1" x14ac:dyDescent="0.2">
      <c r="A450" s="1" t="s">
        <v>18</v>
      </c>
      <c r="B450" s="4">
        <f>_xll.ciqfunctions.udf.CIQ(InputTicker,"IQ_DERIVATIVE_LIAB_CURRENT",Input!D$2,Date,,,Ccy,Conv)</f>
        <v>164</v>
      </c>
      <c r="C450" s="4">
        <f>_xll.ciqfunctions.udf.CIQ(InputTicker,"IQ_DERIVATIVE_LIAB_CURRENT",Input!E$2,Date,,,Ccy,Conv)</f>
        <v>145</v>
      </c>
      <c r="D450" s="4">
        <f>_xll.ciqfunctions.udf.CIQ(InputTicker,"IQ_DERIVATIVE_LIAB_CURRENT",Input!F$2,Date,,,Ccy,Conv)</f>
        <v>378</v>
      </c>
      <c r="E450" s="4">
        <f>_xll.ciqfunctions.udf.CIQ(InputTicker,"IQ_DERIVATIVE_LIAB_CURRENT",Input!G$2,Date,,,Ccy,Conv)</f>
        <v>177</v>
      </c>
      <c r="F450" s="4">
        <f>_xll.ciqfunctions.udf.CIQ(InputTicker,"IQ_DERIVATIVE_LIAB_CURRENT",Input!H$2,Date,,,Ccy,Conv)</f>
        <v>167</v>
      </c>
      <c r="G450" s="4">
        <f>_xll.ciqfunctions.udf.CIQ(InputTicker,"IQ_DERIVATIVE_LIAB_CURRENT",Input!I$2,Date,,,Ccy,Conv)</f>
        <v>587</v>
      </c>
      <c r="H450" s="4">
        <f>_xll.ciqfunctions.udf.CIQ(InputTicker,"IQ_DERIVATIVE_LIAB_CURRENT",Input!J$2,Date,,,Ccy,Conv)</f>
        <v>60</v>
      </c>
      <c r="I450" s="4">
        <f>_xll.ciqfunctions.udf.CIQ(InputTicker,"IQ_DERIVATIVE_LIAB_CURRENT",Input!K$2,Date,,,Ccy,Conv)</f>
        <v>546</v>
      </c>
      <c r="J450" s="4">
        <f>_xll.ciqfunctions.udf.CIQ(InputTicker,"IQ_DERIVATIVE_LIAB_CURRENT",Input!L$2,Date,,,Ccy,Conv)</f>
        <v>294</v>
      </c>
      <c r="K450" s="4">
        <f>_xll.ciqfunctions.udf.CIQ(InputTicker,"IQ_DERIVATIVE_LIAB_CURRENT",Input!M$2,Date,,,Ccy,Conv)</f>
        <v>262</v>
      </c>
      <c r="L450" s="4">
        <f>_xll.ciqfunctions.udf.CIQ(InputTicker,"IQ_DERIVATIVE_LIAB_CURRENT",Input!N$2,Date,,,Ccy,Conv)</f>
        <v>254</v>
      </c>
      <c r="M450" s="4">
        <f>_xll.ciqfunctions.udf.CIQ(InputTicker,"IQ_DERIVATIVE_LIAB_CURRENT",Input!O$2,Date,,,Ccy,Conv)</f>
        <v>254</v>
      </c>
      <c r="N450" s="53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  <c r="AK450" s="42"/>
      <c r="AL450" s="42"/>
      <c r="AM450" s="42"/>
      <c r="AN450" s="42"/>
      <c r="AO450" s="42"/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  <c r="BJ450" s="42"/>
      <c r="BK450" s="42"/>
      <c r="BL450" s="42"/>
      <c r="BM450" s="42"/>
      <c r="BN450" s="42"/>
    </row>
    <row r="451" spans="1:66" ht="12.75" customHeight="1" x14ac:dyDescent="0.2">
      <c r="A451" s="1" t="s">
        <v>19</v>
      </c>
      <c r="B451" s="4">
        <f>_xll.ciqfunctions.udf.CIQ(InputTicker,"IQ_DERIVATIVE_LIAB_NON_CURRENT",Input!D$2,Date,,,Ccy,Conv)</f>
        <v>19</v>
      </c>
      <c r="C451" s="4">
        <f>_xll.ciqfunctions.udf.CIQ(InputTicker,"IQ_DERIVATIVE_LIAB_NON_CURRENT",Input!E$2,Date,,,Ccy,Conv)</f>
        <v>53</v>
      </c>
      <c r="D451" s="4">
        <f>_xll.ciqfunctions.udf.CIQ(InputTicker,"IQ_DERIVATIVE_LIAB_NON_CURRENT",Input!F$2,Date,,,Ccy,Conv)</f>
        <v>4</v>
      </c>
      <c r="E451" s="4">
        <f>_xll.ciqfunctions.udf.CIQ(InputTicker,"IQ_DERIVATIVE_LIAB_NON_CURRENT",Input!G$2,Date,,,Ccy,Conv)</f>
        <v>206</v>
      </c>
      <c r="F451" s="4">
        <f>_xll.ciqfunctions.udf.CIQ(InputTicker,"IQ_DERIVATIVE_LIAB_NON_CURRENT",Input!H$2,Date,,,Ccy,Conv)</f>
        <v>506</v>
      </c>
      <c r="G451" s="4">
        <f>_xll.ciqfunctions.udf.CIQ(InputTicker,"IQ_DERIVATIVE_LIAB_NON_CURRENT",Input!I$2,Date,,,Ccy,Conv)</f>
        <v>40</v>
      </c>
      <c r="H451" s="4">
        <f>_xll.ciqfunctions.udf.CIQ(InputTicker,"IQ_DERIVATIVE_LIAB_NON_CURRENT",Input!J$2,Date,,,Ccy,Conv)</f>
        <v>103</v>
      </c>
      <c r="I451" s="4">
        <f>_xll.ciqfunctions.udf.CIQ(InputTicker,"IQ_DERIVATIVE_LIAB_NON_CURRENT",Input!K$2,Date,,,Ccy,Conv)</f>
        <v>488</v>
      </c>
      <c r="J451" s="4">
        <f>_xll.ciqfunctions.udf.CIQ(InputTicker,"IQ_DERIVATIVE_LIAB_NON_CURRENT",Input!L$2,Date,,,Ccy,Conv)</f>
        <v>299</v>
      </c>
      <c r="K451" s="4">
        <f>_xll.ciqfunctions.udf.CIQ(InputTicker,"IQ_DERIVATIVE_LIAB_NON_CURRENT",Input!M$2,Date,,,Ccy,Conv)</f>
        <v>463</v>
      </c>
      <c r="L451" s="4">
        <f>_xll.ciqfunctions.udf.CIQ(InputTicker,"IQ_DERIVATIVE_LIAB_NON_CURRENT",Input!N$2,Date,,,Ccy,Conv)</f>
        <v>259</v>
      </c>
      <c r="M451" s="4">
        <f>_xll.ciqfunctions.udf.CIQ(InputTicker,"IQ_DERIVATIVE_LIAB_NON_CURRENT",Input!O$2,Date,,,Ccy,Conv)</f>
        <v>259</v>
      </c>
      <c r="N451" s="53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  <c r="BJ451" s="42"/>
      <c r="BK451" s="42"/>
      <c r="BL451" s="42"/>
      <c r="BM451" s="42"/>
      <c r="BN451" s="42"/>
    </row>
    <row r="452" spans="1:66" ht="12.75" customHeight="1" x14ac:dyDescent="0.2">
      <c r="A452" s="1" t="s">
        <v>20</v>
      </c>
      <c r="B452" s="4">
        <f>_xll.ciqfunctions.udf.CIQ(InputTicker,"IQ_DERIVATIVE_TRADING_ASSETS",Input!D$2,Date,,,Ccy,Conv)</f>
        <v>0</v>
      </c>
      <c r="C452" s="4">
        <f>_xll.ciqfunctions.udf.CIQ(InputTicker,"IQ_DERIVATIVE_TRADING_ASSETS",Input!E$2,Date,,,Ccy,Conv)</f>
        <v>0</v>
      </c>
      <c r="D452" s="4">
        <f>_xll.ciqfunctions.udf.CIQ(InputTicker,"IQ_DERIVATIVE_TRADING_ASSETS",Input!F$2,Date,,,Ccy,Conv)</f>
        <v>2</v>
      </c>
      <c r="E452" s="4">
        <f>_xll.ciqfunctions.udf.CIQ(InputTicker,"IQ_DERIVATIVE_TRADING_ASSETS",Input!G$2,Date,,,Ccy,Conv)</f>
        <v>0</v>
      </c>
      <c r="F452" s="4">
        <f>_xll.ciqfunctions.udf.CIQ(InputTicker,"IQ_DERIVATIVE_TRADING_ASSETS",Input!H$2,Date,,,Ccy,Conv)</f>
        <v>0</v>
      </c>
      <c r="G452" s="4">
        <f>_xll.ciqfunctions.udf.CIQ(InputTicker,"IQ_DERIVATIVE_TRADING_ASSETS",Input!I$2,Date,,,Ccy,Conv)</f>
        <v>0</v>
      </c>
      <c r="H452" s="4">
        <f>_xll.ciqfunctions.udf.CIQ(InputTicker,"IQ_DERIVATIVE_TRADING_ASSETS",Input!J$2,Date,,,Ccy,Conv)</f>
        <v>0</v>
      </c>
      <c r="I452" s="4">
        <f>_xll.ciqfunctions.udf.CIQ(InputTicker,"IQ_DERIVATIVE_TRADING_ASSETS",Input!K$2,Date,,,Ccy,Conv)</f>
        <v>0</v>
      </c>
      <c r="J452" s="4">
        <f>_xll.ciqfunctions.udf.CIQ(InputTicker,"IQ_DERIVATIVE_TRADING_ASSETS",Input!L$2,Date,,,Ccy,Conv)</f>
        <v>0</v>
      </c>
      <c r="K452" s="4">
        <f>_xll.ciqfunctions.udf.CIQ(InputTicker,"IQ_DERIVATIVE_TRADING_ASSETS",Input!M$2,Date,,,Ccy,Conv)</f>
        <v>0</v>
      </c>
      <c r="L452" s="4">
        <f>_xll.ciqfunctions.udf.CIQ(InputTicker,"IQ_DERIVATIVE_TRADING_ASSETS",Input!N$2,Date,,,Ccy,Conv)</f>
        <v>0</v>
      </c>
      <c r="M452" s="4">
        <f>_xll.ciqfunctions.udf.CIQ(InputTicker,"IQ_DERIVATIVE_TRADING_ASSETS",Input!O$2,Date,,,Ccy,Conv)</f>
        <v>0</v>
      </c>
      <c r="N452" s="53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  <c r="BJ452" s="42"/>
      <c r="BK452" s="42"/>
      <c r="BL452" s="42"/>
      <c r="BM452" s="42"/>
      <c r="BN452" s="42"/>
    </row>
    <row r="453" spans="1:66" ht="12.75" customHeight="1" x14ac:dyDescent="0.2">
      <c r="A453" s="1" t="s">
        <v>11</v>
      </c>
      <c r="B453" s="4">
        <f>_xll.ciqfunctions.udf.CIQ(InputTicker,"IQ_DERIVATIVE_ASSETS_CURRENT",Input!D$2,Date,,,Ccy,Conv)</f>
        <v>293</v>
      </c>
      <c r="C453" s="4">
        <f>_xll.ciqfunctions.udf.CIQ(InputTicker,"IQ_DERIVATIVE_ASSETS_CURRENT",Input!E$2,Date,,,Ccy,Conv)</f>
        <v>532</v>
      </c>
      <c r="D453" s="4">
        <f>_xll.ciqfunctions.udf.CIQ(InputTicker,"IQ_DERIVATIVE_ASSETS_CURRENT",Input!F$2,Date,,,Ccy,Conv)</f>
        <v>184</v>
      </c>
      <c r="E453" s="4">
        <f>_xll.ciqfunctions.udf.CIQ(InputTicker,"IQ_DERIVATIVE_ASSETS_CURRENT",Input!G$2,Date,,,Ccy,Conv)</f>
        <v>385</v>
      </c>
      <c r="F453" s="4">
        <f>_xll.ciqfunctions.udf.CIQ(InputTicker,"IQ_DERIVATIVE_ASSETS_CURRENT",Input!H$2,Date,,,Ccy,Conv)</f>
        <v>149</v>
      </c>
      <c r="G453" s="4">
        <f>_xll.ciqfunctions.udf.CIQ(InputTicker,"IQ_DERIVATIVE_ASSETS_CURRENT",Input!I$2,Date,,,Ccy,Conv)</f>
        <v>85</v>
      </c>
      <c r="H453" s="4">
        <f>_xll.ciqfunctions.udf.CIQ(InputTicker,"IQ_DERIVATIVE_ASSETS_CURRENT",Input!J$2,Date,,,Ccy,Conv)</f>
        <v>358</v>
      </c>
      <c r="I453" s="4">
        <f>_xll.ciqfunctions.udf.CIQ(InputTicker,"IQ_DERIVATIVE_ASSETS_CURRENT",Input!K$2,Date,,,Ccy,Conv)</f>
        <v>271</v>
      </c>
      <c r="J453" s="4">
        <f>_xll.ciqfunctions.udf.CIQ(InputTicker,"IQ_DERIVATIVE_ASSETS_CURRENT",Input!L$2,Date,,,Ccy,Conv)</f>
        <v>304</v>
      </c>
      <c r="K453" s="4">
        <f>_xll.ciqfunctions.udf.CIQ(InputTicker,"IQ_DERIVATIVE_ASSETS_CURRENT",Input!M$2,Date,,,Ccy,Conv)</f>
        <v>575</v>
      </c>
      <c r="L453" s="4">
        <f>_xll.ciqfunctions.udf.CIQ(InputTicker,"IQ_DERIVATIVE_ASSETS_CURRENT",Input!N$2,Date,,,Ccy,Conv)</f>
        <v>232</v>
      </c>
      <c r="M453" s="4">
        <f>_xll.ciqfunctions.udf.CIQ(InputTicker,"IQ_DERIVATIVE_ASSETS_CURRENT",Input!O$2,Date,,,Ccy,Conv)</f>
        <v>232</v>
      </c>
      <c r="N453" s="53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  <c r="AK453" s="42"/>
      <c r="AL453" s="42"/>
      <c r="AM453" s="42"/>
      <c r="AN453" s="42"/>
      <c r="AO453" s="42"/>
      <c r="AP453" s="42"/>
      <c r="AQ453" s="42"/>
      <c r="AR453" s="42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  <c r="BJ453" s="42"/>
      <c r="BK453" s="42"/>
      <c r="BL453" s="42"/>
      <c r="BM453" s="42"/>
      <c r="BN453" s="42"/>
    </row>
    <row r="454" spans="1:66" ht="12.75" customHeight="1" x14ac:dyDescent="0.2">
      <c r="A454" s="1" t="s">
        <v>12</v>
      </c>
      <c r="B454" s="4">
        <f>_xll.ciqfunctions.udf.CIQ(InputTicker,"IQ_DERIVATIVE_ASSETS_LT",Input!D$2,Date,,,Ccy,Conv)</f>
        <v>45</v>
      </c>
      <c r="C454" s="4">
        <f>_xll.ciqfunctions.udf.CIQ(InputTicker,"IQ_DERIVATIVE_ASSETS_LT",Input!E$2,Date,,,Ccy,Conv)</f>
        <v>39</v>
      </c>
      <c r="D454" s="4">
        <f>_xll.ciqfunctions.udf.CIQ(InputTicker,"IQ_DERIVATIVE_ASSETS_LT",Input!F$2,Date,,,Ccy,Conv)</f>
        <v>298</v>
      </c>
      <c r="E454" s="4">
        <f>_xll.ciqfunctions.udf.CIQ(InputTicker,"IQ_DERIVATIVE_ASSETS_LT",Input!G$2,Date,,,Ccy,Conv)</f>
        <v>347</v>
      </c>
      <c r="F454" s="4">
        <f>_xll.ciqfunctions.udf.CIQ(InputTicker,"IQ_DERIVATIVE_ASSETS_LT",Input!H$2,Date,,,Ccy,Conv)</f>
        <v>94</v>
      </c>
      <c r="G454" s="4">
        <f>_xll.ciqfunctions.udf.CIQ(InputTicker,"IQ_DERIVATIVE_ASSETS_LT",Input!I$2,Date,,,Ccy,Conv)</f>
        <v>151</v>
      </c>
      <c r="H454" s="4">
        <f>_xll.ciqfunctions.udf.CIQ(InputTicker,"IQ_DERIVATIVE_ASSETS_LT",Input!J$2,Date,,,Ccy,Conv)</f>
        <v>40</v>
      </c>
      <c r="I454" s="4">
        <f>_xll.ciqfunctions.udf.CIQ(InputTicker,"IQ_DERIVATIVE_ASSETS_LT",Input!K$2,Date,,,Ccy,Conv)</f>
        <v>7</v>
      </c>
      <c r="J454" s="4">
        <f>_xll.ciqfunctions.udf.CIQ(InputTicker,"IQ_DERIVATIVE_ASSETS_LT",Input!L$2,Date,,,Ccy,Conv)</f>
        <v>37</v>
      </c>
      <c r="K454" s="4">
        <f>_xll.ciqfunctions.udf.CIQ(InputTicker,"IQ_DERIVATIVE_ASSETS_LT",Input!M$2,Date,,,Ccy,Conv)</f>
        <v>96</v>
      </c>
      <c r="L454" s="4">
        <f>_xll.ciqfunctions.udf.CIQ(InputTicker,"IQ_DERIVATIVE_ASSETS_LT",Input!N$2,Date,,,Ccy,Conv)</f>
        <v>361</v>
      </c>
      <c r="M454" s="4">
        <f>_xll.ciqfunctions.udf.CIQ(InputTicker,"IQ_DERIVATIVE_ASSETS_LT",Input!O$2,Date,,,Ccy,Conv)</f>
        <v>361</v>
      </c>
      <c r="N454" s="53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  <c r="AK454" s="42"/>
      <c r="AL454" s="42"/>
      <c r="AM454" s="42"/>
      <c r="AN454" s="42"/>
      <c r="AO454" s="42"/>
      <c r="AP454" s="42"/>
      <c r="AQ454" s="42"/>
      <c r="AR454" s="42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  <c r="BJ454" s="42"/>
      <c r="BK454" s="42"/>
      <c r="BL454" s="42"/>
      <c r="BM454" s="42"/>
      <c r="BN454" s="42"/>
    </row>
    <row r="455" spans="1:66" ht="12.75" customHeight="1" x14ac:dyDescent="0.2">
      <c r="A455" s="1" t="s">
        <v>13</v>
      </c>
      <c r="B455" s="4">
        <f>_xll.ciqfunctions.udf.CIQ(InputTicker,"IQ_GROSS_INTAN_ASSETS",Input!D$2,Date,,,Ccy,Conv)</f>
        <v>5196</v>
      </c>
      <c r="C455" s="4">
        <f>_xll.ciqfunctions.udf.CIQ(InputTicker,"IQ_GROSS_INTAN_ASSETS",Input!E$2,Date,,,Ccy,Conv)</f>
        <v>6928</v>
      </c>
      <c r="D455" s="4">
        <f>_xll.ciqfunctions.udf.CIQ(InputTicker,"IQ_GROSS_INTAN_ASSETS",Input!F$2,Date,,,Ccy,Conv)</f>
        <v>5660</v>
      </c>
      <c r="E455" s="4">
        <f>_xll.ciqfunctions.udf.CIQ(InputTicker,"IQ_GROSS_INTAN_ASSETS",Input!G$2,Date,,,Ccy,Conv)</f>
        <v>4921</v>
      </c>
      <c r="F455" s="4">
        <f>_xll.ciqfunctions.udf.CIQ(InputTicker,"IQ_GROSS_INTAN_ASSETS",Input!H$2,Date,,,Ccy,Conv)</f>
        <v>17538</v>
      </c>
      <c r="G455" s="4">
        <f>_xll.ciqfunctions.udf.CIQ(InputTicker,"IQ_GROSS_INTAN_ASSETS",Input!I$2,Date,,,Ccy,Conv)</f>
        <v>16945</v>
      </c>
      <c r="H455" s="4">
        <f>_xll.ciqfunctions.udf.CIQ(InputTicker,"IQ_GROSS_INTAN_ASSETS",Input!J$2,Date,,,Ccy,Conv)</f>
        <v>17335</v>
      </c>
      <c r="I455" s="4">
        <f>_xll.ciqfunctions.udf.CIQ(InputTicker,"IQ_GROSS_INTAN_ASSETS",Input!K$2,Date,,,Ccy,Conv)</f>
        <v>15938</v>
      </c>
      <c r="J455" s="4">
        <f>_xll.ciqfunctions.udf.CIQ(InputTicker,"IQ_GROSS_INTAN_ASSETS",Input!L$2,Date,,,Ccy,Conv)</f>
        <v>16628</v>
      </c>
      <c r="K455" s="4">
        <f>_xll.ciqfunctions.udf.CIQ(InputTicker,"IQ_GROSS_INTAN_ASSETS",Input!M$2,Date,,,Ccy,Conv)</f>
        <v>17964</v>
      </c>
      <c r="L455" s="4">
        <f>_xll.ciqfunctions.udf.CIQ(InputTicker,"IQ_GROSS_INTAN_ASSETS",Input!N$2,Date,,,Ccy,Conv)</f>
        <v>20830</v>
      </c>
      <c r="M455" s="4">
        <f>_xll.ciqfunctions.udf.CIQ(InputTicker,"IQ_GROSS_INTAN_ASSETS",Input!O$2,Date,,,Ccy,Conv)</f>
        <v>20830</v>
      </c>
      <c r="N455" s="53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  <c r="BJ455" s="42"/>
      <c r="BK455" s="42"/>
      <c r="BL455" s="42"/>
      <c r="BM455" s="42"/>
      <c r="BN455" s="42"/>
    </row>
    <row r="456" spans="1:66" ht="12.75" customHeight="1" x14ac:dyDescent="0.2">
      <c r="A456" s="1" t="s">
        <v>14</v>
      </c>
      <c r="B456" s="4">
        <f>_xll.ciqfunctions.udf.CIQ(InputTicker,"IQ_ACCUM_AMORT_INTAN_ASSETS",Input!D$2,Date,,,Ccy,Conv)</f>
        <v>-2476</v>
      </c>
      <c r="C456" s="4">
        <f>_xll.ciqfunctions.udf.CIQ(InputTicker,"IQ_ACCUM_AMORT_INTAN_ASSETS",Input!E$2,Date,,,Ccy,Conv)</f>
        <v>-3116</v>
      </c>
      <c r="D456" s="4">
        <f>_xll.ciqfunctions.udf.CIQ(InputTicker,"IQ_ACCUM_AMORT_INTAN_ASSETS",Input!F$2,Date,,,Ccy,Conv)</f>
        <v>-2728</v>
      </c>
      <c r="E456" s="4">
        <f>_xll.ciqfunctions.udf.CIQ(InputTicker,"IQ_ACCUM_AMORT_INTAN_ASSETS",Input!G$2,Date,,,Ccy,Conv)</f>
        <v>-2772</v>
      </c>
      <c r="F456" s="4">
        <f>_xll.ciqfunctions.udf.CIQ(InputTicker,"IQ_ACCUM_AMORT_INTAN_ASSETS",Input!H$2,Date,,,Ccy,Conv)</f>
        <v>-3309</v>
      </c>
      <c r="G456" s="4">
        <f>_xll.ciqfunctions.udf.CIQ(InputTicker,"IQ_ACCUM_AMORT_INTAN_ASSETS",Input!I$2,Date,,,Ccy,Conv)</f>
        <v>-4169</v>
      </c>
      <c r="H456" s="4">
        <f>_xll.ciqfunctions.udf.CIQ(InputTicker,"IQ_ACCUM_AMORT_INTAN_ASSETS",Input!J$2,Date,,,Ccy,Conv)</f>
        <v>-5769</v>
      </c>
      <c r="I456" s="4">
        <f>_xll.ciqfunctions.udf.CIQ(InputTicker,"IQ_ACCUM_AMORT_INTAN_ASSETS",Input!K$2,Date,,,Ccy,Conv)</f>
        <v>-5699</v>
      </c>
      <c r="J456" s="4">
        <f>_xll.ciqfunctions.udf.CIQ(InputTicker,"IQ_ACCUM_AMORT_INTAN_ASSETS",Input!L$2,Date,,,Ccy,Conv)</f>
        <v>-6466</v>
      </c>
      <c r="K456" s="4">
        <f>_xll.ciqfunctions.udf.CIQ(InputTicker,"IQ_ACCUM_AMORT_INTAN_ASSETS",Input!M$2,Date,,,Ccy,Conv)</f>
        <v>-8094</v>
      </c>
      <c r="L456" s="4">
        <f>_xll.ciqfunctions.udf.CIQ(InputTicker,"IQ_ACCUM_AMORT_INTAN_ASSETS",Input!N$2,Date,,,Ccy,Conv)</f>
        <v>-10403</v>
      </c>
      <c r="M456" s="4">
        <f>_xll.ciqfunctions.udf.CIQ(InputTicker,"IQ_ACCUM_AMORT_INTAN_ASSETS",Input!O$2,Date,,,Ccy,Conv)</f>
        <v>-10403</v>
      </c>
      <c r="N456" s="53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  <c r="BJ456" s="42"/>
      <c r="BK456" s="42"/>
      <c r="BL456" s="42"/>
      <c r="BM456" s="42"/>
      <c r="BN456" s="42"/>
    </row>
    <row r="457" spans="1:66" ht="12.75" customHeight="1" x14ac:dyDescent="0.2">
      <c r="A457" s="1" t="s">
        <v>15</v>
      </c>
      <c r="B457" s="4">
        <f>_xll.ciqfunctions.udf.CIQ(InputTicker,"IQ_GROSS_GW",Input!D$2,Date,,,Ccy,Conv)</f>
        <v>0</v>
      </c>
      <c r="C457" s="4">
        <f>_xll.ciqfunctions.udf.CIQ(InputTicker,"IQ_GROSS_GW",Input!E$2,Date,,,Ccy,Conv)</f>
        <v>0</v>
      </c>
      <c r="D457" s="4">
        <f>_xll.ciqfunctions.udf.CIQ(InputTicker,"IQ_GROSS_GW",Input!F$2,Date,,,Ccy,Conv)</f>
        <v>0</v>
      </c>
      <c r="E457" s="4">
        <f>_xll.ciqfunctions.udf.CIQ(InputTicker,"IQ_GROSS_GW",Input!G$2,Date,,,Ccy,Conv)</f>
        <v>0</v>
      </c>
      <c r="F457" s="4">
        <f>_xll.ciqfunctions.udf.CIQ(InputTicker,"IQ_GROSS_GW",Input!H$2,Date,,,Ccy,Conv)</f>
        <v>0</v>
      </c>
      <c r="G457" s="4">
        <f>_xll.ciqfunctions.udf.CIQ(InputTicker,"IQ_GROSS_GW",Input!I$2,Date,,,Ccy,Conv)</f>
        <v>0</v>
      </c>
      <c r="H457" s="4">
        <f>_xll.ciqfunctions.udf.CIQ(InputTicker,"IQ_GROSS_GW",Input!J$2,Date,,,Ccy,Conv)</f>
        <v>0</v>
      </c>
      <c r="I457" s="4">
        <f>_xll.ciqfunctions.udf.CIQ(InputTicker,"IQ_GROSS_GW",Input!K$2,Date,,,Ccy,Conv)</f>
        <v>0</v>
      </c>
      <c r="J457" s="4">
        <f>_xll.ciqfunctions.udf.CIQ(InputTicker,"IQ_GROSS_GW",Input!L$2,Date,,,Ccy,Conv)</f>
        <v>0</v>
      </c>
      <c r="K457" s="4">
        <f>_xll.ciqfunctions.udf.CIQ(InputTicker,"IQ_GROSS_GW",Input!M$2,Date,,,Ccy,Conv)</f>
        <v>0</v>
      </c>
      <c r="L457" s="4">
        <f>_xll.ciqfunctions.udf.CIQ(InputTicker,"IQ_GROSS_GW",Input!N$2,Date,,,Ccy,Conv)</f>
        <v>0</v>
      </c>
      <c r="M457" s="4">
        <f>_xll.ciqfunctions.udf.CIQ(InputTicker,"IQ_GROSS_GW",Input!O$2,Date,,,Ccy,Conv)</f>
        <v>0</v>
      </c>
      <c r="N457" s="55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  <c r="BJ457" s="42"/>
      <c r="BK457" s="42"/>
      <c r="BL457" s="42"/>
      <c r="BM457" s="42"/>
      <c r="BN457" s="42"/>
    </row>
    <row r="458" spans="1:66" ht="12.75" customHeight="1" x14ac:dyDescent="0.2">
      <c r="A458" s="1" t="s">
        <v>16</v>
      </c>
      <c r="B458" s="4">
        <f>_xll.ciqfunctions.udf.CIQ(InputTicker,"IQ_ACCUM_AMORT_GW",Input!D$2,Date,,,Ccy,Conv)</f>
        <v>0</v>
      </c>
      <c r="C458" s="4">
        <f>_xll.ciqfunctions.udf.CIQ(InputTicker,"IQ_ACCUM_AMORT_GW",Input!E$2,Date,,,Ccy,Conv)</f>
        <v>0</v>
      </c>
      <c r="D458" s="4">
        <f>_xll.ciqfunctions.udf.CIQ(InputTicker,"IQ_ACCUM_AMORT_GW",Input!F$2,Date,,,Ccy,Conv)</f>
        <v>0</v>
      </c>
      <c r="E458" s="4">
        <f>_xll.ciqfunctions.udf.CIQ(InputTicker,"IQ_ACCUM_AMORT_GW",Input!G$2,Date,,,Ccy,Conv)</f>
        <v>0</v>
      </c>
      <c r="F458" s="4">
        <f>_xll.ciqfunctions.udf.CIQ(InputTicker,"IQ_ACCUM_AMORT_GW",Input!H$2,Date,,,Ccy,Conv)</f>
        <v>0</v>
      </c>
      <c r="G458" s="4">
        <f>_xll.ciqfunctions.udf.CIQ(InputTicker,"IQ_ACCUM_AMORT_GW",Input!I$2,Date,,,Ccy,Conv)</f>
        <v>0</v>
      </c>
      <c r="H458" s="4">
        <f>_xll.ciqfunctions.udf.CIQ(InputTicker,"IQ_ACCUM_AMORT_GW",Input!J$2,Date,,,Ccy,Conv)</f>
        <v>0</v>
      </c>
      <c r="I458" s="4">
        <f>_xll.ciqfunctions.udf.CIQ(InputTicker,"IQ_ACCUM_AMORT_GW",Input!K$2,Date,,,Ccy,Conv)</f>
        <v>0</v>
      </c>
      <c r="J458" s="4">
        <f>_xll.ciqfunctions.udf.CIQ(InputTicker,"IQ_ACCUM_AMORT_GW",Input!L$2,Date,,,Ccy,Conv)</f>
        <v>0</v>
      </c>
      <c r="K458" s="4">
        <f>_xll.ciqfunctions.udf.CIQ(InputTicker,"IQ_ACCUM_AMORT_GW",Input!M$2,Date,,,Ccy,Conv)</f>
        <v>0</v>
      </c>
      <c r="L458" s="4">
        <f>_xll.ciqfunctions.udf.CIQ(InputTicker,"IQ_ACCUM_AMORT_GW",Input!N$2,Date,,,Ccy,Conv)</f>
        <v>0</v>
      </c>
      <c r="M458" s="4">
        <f>_xll.ciqfunctions.udf.CIQ(InputTicker,"IQ_ACCUM_AMORT_GW",Input!O$2,Date,,,Ccy,Conv)</f>
        <v>0</v>
      </c>
      <c r="N458" s="55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  <c r="BJ458" s="42"/>
      <c r="BK458" s="42"/>
      <c r="BL458" s="42"/>
      <c r="BM458" s="42"/>
      <c r="BN458" s="42"/>
    </row>
    <row r="459" spans="1:66" ht="12.75" customHeight="1" x14ac:dyDescent="0.2">
      <c r="A459" s="1" t="s">
        <v>487</v>
      </c>
      <c r="B459" s="4">
        <f>_xll.ciqfunctions.udf.CIQ(InputTicker,"IQ_LT_MARK_SECURITIES",Input!D$2,Date,,,Ccy,Conv)</f>
        <v>0</v>
      </c>
      <c r="C459" s="4">
        <f>_xll.ciqfunctions.udf.CIQ(InputTicker,"IQ_LT_MARK_SECURITIES",Input!E$2,Date,,,Ccy,Conv)</f>
        <v>0</v>
      </c>
      <c r="D459" s="4">
        <f>_xll.ciqfunctions.udf.CIQ(InputTicker,"IQ_LT_MARK_SECURITIES",Input!F$2,Date,,,Ccy,Conv)</f>
        <v>0</v>
      </c>
      <c r="E459" s="4">
        <f>_xll.ciqfunctions.udf.CIQ(InputTicker,"IQ_LT_MARK_SECURITIES",Input!G$2,Date,,,Ccy,Conv)</f>
        <v>0</v>
      </c>
      <c r="F459" s="4">
        <f>_xll.ciqfunctions.udf.CIQ(InputTicker,"IQ_LT_MARK_SECURITIES",Input!H$2,Date,,,Ccy,Conv)</f>
        <v>0</v>
      </c>
      <c r="G459" s="4">
        <f>_xll.ciqfunctions.udf.CIQ(InputTicker,"IQ_LT_MARK_SECURITIES",Input!I$2,Date,,,Ccy,Conv)</f>
        <v>0</v>
      </c>
      <c r="H459" s="4">
        <f>_xll.ciqfunctions.udf.CIQ(InputTicker,"IQ_LT_MARK_SECURITIES",Input!J$2,Date,,,Ccy,Conv)</f>
        <v>0</v>
      </c>
      <c r="I459" s="4">
        <f>_xll.ciqfunctions.udf.CIQ(InputTicker,"IQ_LT_MARK_SECURITIES",Input!K$2,Date,,,Ccy,Conv)</f>
        <v>0</v>
      </c>
      <c r="J459" s="4">
        <f>_xll.ciqfunctions.udf.CIQ(InputTicker,"IQ_LT_MARK_SECURITIES",Input!L$2,Date,,,Ccy,Conv)</f>
        <v>0</v>
      </c>
      <c r="K459" s="4">
        <f>_xll.ciqfunctions.udf.CIQ(InputTicker,"IQ_LT_MARK_SECURITIES",Input!M$2,Date,,,Ccy,Conv)</f>
        <v>0</v>
      </c>
      <c r="L459" s="4">
        <f>_xll.ciqfunctions.udf.CIQ(InputTicker,"IQ_LT_MARK_SECURITIES",Input!N$2,Date,,,Ccy,Conv)</f>
        <v>0</v>
      </c>
      <c r="M459" s="4">
        <f>_xll.ciqfunctions.udf.CIQ(InputTicker,"IQ_LT_MARK_SECURITIES",Input!O$2,Date,,,Ccy,Conv)</f>
        <v>0</v>
      </c>
      <c r="N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  <c r="AK459" s="42"/>
      <c r="AL459" s="42"/>
      <c r="AM459" s="42"/>
      <c r="AN459" s="42"/>
      <c r="AO459" s="42"/>
      <c r="AP459" s="42"/>
      <c r="AQ459" s="42"/>
      <c r="AR459" s="42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  <c r="BJ459" s="42"/>
      <c r="BK459" s="42"/>
      <c r="BL459" s="42"/>
      <c r="BM459" s="42"/>
      <c r="BN459" s="42"/>
    </row>
    <row r="460" spans="1:66" ht="12.75" customHeight="1" x14ac:dyDescent="0.2">
      <c r="A460" s="1" t="s">
        <v>488</v>
      </c>
      <c r="B460" s="4">
        <f>_xll.ciqfunctions.udf.CIQ(InputTicker,"IQ_ADVANCES_FOR_SUPPLIES",Input!D$2,Date,,,Ccy,Conv)</f>
        <v>0</v>
      </c>
      <c r="C460" s="4">
        <f>_xll.ciqfunctions.udf.CIQ(InputTicker,"IQ_ADVANCES_FOR_SUPPLIES",Input!E$2,Date,,,Ccy,Conv)</f>
        <v>0</v>
      </c>
      <c r="D460" s="4">
        <f>_xll.ciqfunctions.udf.CIQ(InputTicker,"IQ_ADVANCES_FOR_SUPPLIES",Input!F$2,Date,,,Ccy,Conv)</f>
        <v>0</v>
      </c>
      <c r="E460" s="4">
        <f>_xll.ciqfunctions.udf.CIQ(InputTicker,"IQ_ADVANCES_FOR_SUPPLIES",Input!G$2,Date,,,Ccy,Conv)</f>
        <v>0</v>
      </c>
      <c r="F460" s="4">
        <f>_xll.ciqfunctions.udf.CIQ(InputTicker,"IQ_ADVANCES_FOR_SUPPLIES",Input!H$2,Date,,,Ccy,Conv)</f>
        <v>0</v>
      </c>
      <c r="G460" s="4">
        <f>_xll.ciqfunctions.udf.CIQ(InputTicker,"IQ_ADVANCES_FOR_SUPPLIES",Input!I$2,Date,,,Ccy,Conv)</f>
        <v>0</v>
      </c>
      <c r="H460" s="4">
        <f>_xll.ciqfunctions.udf.CIQ(InputTicker,"IQ_ADVANCES_FOR_SUPPLIES",Input!J$2,Date,,,Ccy,Conv)</f>
        <v>0</v>
      </c>
      <c r="I460" s="4">
        <f>_xll.ciqfunctions.udf.CIQ(InputTicker,"IQ_ADVANCES_FOR_SUPPLIES",Input!K$2,Date,,,Ccy,Conv)</f>
        <v>0</v>
      </c>
      <c r="J460" s="4">
        <f>_xll.ciqfunctions.udf.CIQ(InputTicker,"IQ_ADVANCES_FOR_SUPPLIES",Input!L$2,Date,,,Ccy,Conv)</f>
        <v>0</v>
      </c>
      <c r="K460" s="4">
        <f>_xll.ciqfunctions.udf.CIQ(InputTicker,"IQ_ADVANCES_FOR_SUPPLIES",Input!M$2,Date,,,Ccy,Conv)</f>
        <v>0</v>
      </c>
      <c r="L460" s="4">
        <f>_xll.ciqfunctions.udf.CIQ(InputTicker,"IQ_ADVANCES_FOR_SUPPLIES",Input!N$2,Date,,,Ccy,Conv)</f>
        <v>0</v>
      </c>
      <c r="M460" s="4">
        <f>_xll.ciqfunctions.udf.CIQ(InputTicker,"IQ_ADVANCES_FOR_SUPPLIES",Input!O$2,Date,,,Ccy,Conv)</f>
        <v>0</v>
      </c>
      <c r="N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  <c r="BJ460" s="42"/>
      <c r="BK460" s="42"/>
      <c r="BL460" s="42"/>
      <c r="BM460" s="42"/>
      <c r="BN460" s="42"/>
    </row>
    <row r="461" spans="1:66" ht="12.75" customHeight="1" x14ac:dyDescent="0.2">
      <c r="A461" s="1" t="s">
        <v>489</v>
      </c>
      <c r="B461" s="4">
        <f>_xll.ciqfunctions.udf.CIQ(InputTicker,"IQ_GW_INTAN_NET",Input!D$2,Date,,,Ccy,Conv)</f>
        <v>0</v>
      </c>
      <c r="C461" s="4">
        <f>_xll.ciqfunctions.udf.CIQ(InputTicker,"IQ_GW_INTAN_NET",Input!E$2,Date,,,Ccy,Conv)</f>
        <v>0</v>
      </c>
      <c r="D461" s="4">
        <f>_xll.ciqfunctions.udf.CIQ(InputTicker,"IQ_GW_INTAN_NET",Input!F$2,Date,,,Ccy,Conv)</f>
        <v>0</v>
      </c>
      <c r="E461" s="4">
        <f>_xll.ciqfunctions.udf.CIQ(InputTicker,"IQ_GW_INTAN_NET",Input!G$2,Date,,,Ccy,Conv)</f>
        <v>0</v>
      </c>
      <c r="F461" s="4">
        <f>_xll.ciqfunctions.udf.CIQ(InputTicker,"IQ_GW_INTAN_NET",Input!H$2,Date,,,Ccy,Conv)</f>
        <v>0</v>
      </c>
      <c r="G461" s="4">
        <f>_xll.ciqfunctions.udf.CIQ(InputTicker,"IQ_GW_INTAN_NET",Input!I$2,Date,,,Ccy,Conv)</f>
        <v>0</v>
      </c>
      <c r="H461" s="4">
        <f>_xll.ciqfunctions.udf.CIQ(InputTicker,"IQ_GW_INTAN_NET",Input!J$2,Date,,,Ccy,Conv)</f>
        <v>0</v>
      </c>
      <c r="I461" s="4">
        <f>_xll.ciqfunctions.udf.CIQ(InputTicker,"IQ_GW_INTAN_NET",Input!K$2,Date,,,Ccy,Conv)</f>
        <v>0</v>
      </c>
      <c r="J461" s="4">
        <f>_xll.ciqfunctions.udf.CIQ(InputTicker,"IQ_GW_INTAN_NET",Input!L$2,Date,,,Ccy,Conv)</f>
        <v>0</v>
      </c>
      <c r="K461" s="4">
        <f>_xll.ciqfunctions.udf.CIQ(InputTicker,"IQ_GW_INTAN_NET",Input!M$2,Date,,,Ccy,Conv)</f>
        <v>0</v>
      </c>
      <c r="L461" s="4">
        <f>_xll.ciqfunctions.udf.CIQ(InputTicker,"IQ_GW_INTAN_NET",Input!N$2,Date,,,Ccy,Conv)</f>
        <v>0</v>
      </c>
      <c r="M461" s="4">
        <f>_xll.ciqfunctions.udf.CIQ(InputTicker,"IQ_GW_INTAN_NET",Input!O$2,Date,,,Ccy,Conv)</f>
        <v>0</v>
      </c>
      <c r="N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  <c r="AK461" s="42"/>
      <c r="AL461" s="42"/>
      <c r="AM461" s="42"/>
      <c r="AN461" s="42"/>
      <c r="AO461" s="42"/>
      <c r="AP461" s="42"/>
      <c r="AQ461" s="42"/>
      <c r="AR461" s="42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  <c r="BJ461" s="42"/>
      <c r="BK461" s="42"/>
      <c r="BL461" s="42"/>
      <c r="BM461" s="42"/>
      <c r="BN461" s="42"/>
    </row>
    <row r="462" spans="1:66" ht="12.75" customHeight="1" x14ac:dyDescent="0.2">
      <c r="A462" s="1" t="s">
        <v>490</v>
      </c>
      <c r="B462" s="4">
        <f>_xll.ciqfunctions.udf.CIQ(InputTicker,"IQ_GW_NET",Input!D$2,Date,,,Ccy,Conv)</f>
        <v>0</v>
      </c>
      <c r="C462" s="4">
        <f>_xll.ciqfunctions.udf.CIQ(InputTicker,"IQ_GW_NET",Input!E$2,Date,,,Ccy,Conv)</f>
        <v>0</v>
      </c>
      <c r="D462" s="4">
        <f>_xll.ciqfunctions.udf.CIQ(InputTicker,"IQ_GW_NET",Input!F$2,Date,,,Ccy,Conv)</f>
        <v>0</v>
      </c>
      <c r="E462" s="4">
        <f>_xll.ciqfunctions.udf.CIQ(InputTicker,"IQ_GW_NET",Input!G$2,Date,,,Ccy,Conv)</f>
        <v>36265</v>
      </c>
      <c r="F462" s="4">
        <f>_xll.ciqfunctions.udf.CIQ(InputTicker,"IQ_GW_NET",Input!H$2,Date,,,Ccy,Conv)</f>
        <v>58222</v>
      </c>
      <c r="G462" s="4">
        <f>_xll.ciqfunctions.udf.CIQ(InputTicker,"IQ_GW_NET",Input!I$2,Date,,,Ccy,Conv)</f>
        <v>53765</v>
      </c>
      <c r="H462" s="4">
        <f>_xll.ciqfunctions.udf.CIQ(InputTicker,"IQ_GW_NET",Input!J$2,Date,,,Ccy,Conv)</f>
        <v>55643</v>
      </c>
      <c r="I462" s="4">
        <f>_xll.ciqfunctions.udf.CIQ(InputTicker,"IQ_GW_NET",Input!K$2,Date,,,Ccy,Conv)</f>
        <v>55949</v>
      </c>
      <c r="J462" s="4">
        <f>_xll.ciqfunctions.udf.CIQ(InputTicker,"IQ_GW_NET",Input!L$2,Date,,,Ccy,Conv)</f>
        <v>60178</v>
      </c>
      <c r="K462" s="4">
        <f>_xll.ciqfunctions.udf.CIQ(InputTicker,"IQ_GW_NET",Input!M$2,Date,,,Ccy,Conv)</f>
        <v>60706</v>
      </c>
      <c r="L462" s="4">
        <f>_xll.ciqfunctions.udf.CIQ(InputTicker,"IQ_GW_NET",Input!N$2,Date,,,Ccy,Conv)</f>
        <v>67717</v>
      </c>
      <c r="M462" s="4">
        <f>_xll.ciqfunctions.udf.CIQ(InputTicker,"IQ_GW_NET",Input!O$2,Date,,,Ccy,Conv)</f>
        <v>67717</v>
      </c>
      <c r="N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  <c r="AK462" s="42"/>
      <c r="AL462" s="42"/>
      <c r="AM462" s="42"/>
      <c r="AN462" s="42"/>
      <c r="AO462" s="42"/>
      <c r="AP462" s="42"/>
      <c r="AQ462" s="42"/>
      <c r="AR462" s="42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  <c r="BJ462" s="42"/>
      <c r="BK462" s="42"/>
      <c r="BL462" s="42"/>
      <c r="BM462" s="42"/>
      <c r="BN462" s="42"/>
    </row>
    <row r="463" spans="1:66" ht="12.75" customHeight="1" x14ac:dyDescent="0.2">
      <c r="A463" s="1" t="s">
        <v>491</v>
      </c>
      <c r="B463" s="4">
        <f>_xll.ciqfunctions.udf.CIQ(InputTicker,"IQ_INTAN_NET",Input!D$2,Date,,,Ccy,Conv)</f>
        <v>0</v>
      </c>
      <c r="C463" s="4">
        <f>_xll.ciqfunctions.udf.CIQ(InputTicker,"IQ_INTAN_NET",Input!E$2,Date,,,Ccy,Conv)</f>
        <v>0</v>
      </c>
      <c r="D463" s="4">
        <f>_xll.ciqfunctions.udf.CIQ(InputTicker,"IQ_INTAN_NET",Input!F$2,Date,,,Ccy,Conv)</f>
        <v>0</v>
      </c>
      <c r="E463" s="4">
        <f>_xll.ciqfunctions.udf.CIQ(InputTicker,"IQ_INTAN_NET",Input!G$2,Date,,,Ccy,Conv)</f>
        <v>3087</v>
      </c>
      <c r="F463" s="4">
        <f>_xll.ciqfunctions.udf.CIQ(InputTicker,"IQ_INTAN_NET",Input!H$2,Date,,,Ccy,Conv)</f>
        <v>15235</v>
      </c>
      <c r="G463" s="4">
        <f>_xll.ciqfunctions.udf.CIQ(InputTicker,"IQ_INTAN_NET",Input!I$2,Date,,,Ccy,Conv)</f>
        <v>13739</v>
      </c>
      <c r="H463" s="4">
        <f>_xll.ciqfunctions.udf.CIQ(InputTicker,"IQ_INTAN_NET",Input!J$2,Date,,,Ccy,Conv)</f>
        <v>12511</v>
      </c>
      <c r="I463" s="4">
        <f>_xll.ciqfunctions.udf.CIQ(InputTicker,"IQ_INTAN_NET",Input!K$2,Date,,,Ccy,Conv)</f>
        <v>11184</v>
      </c>
      <c r="J463" s="4">
        <f>_xll.ciqfunctions.udf.CIQ(InputTicker,"IQ_INTAN_NET",Input!L$2,Date,,,Ccy,Conv)</f>
        <v>11036</v>
      </c>
      <c r="K463" s="4">
        <f>_xll.ciqfunctions.udf.CIQ(InputTicker,"IQ_INTAN_NET",Input!M$2,Date,,,Ccy,Conv)</f>
        <v>10660</v>
      </c>
      <c r="L463" s="4">
        <f>_xll.ciqfunctions.udf.CIQ(InputTicker,"IQ_INTAN_NET",Input!N$2,Date,,,Ccy,Conv)</f>
        <v>11391</v>
      </c>
      <c r="M463" s="4">
        <f>_xll.ciqfunctions.udf.CIQ(InputTicker,"IQ_INTAN_NET",Input!O$2,Date,,,Ccy,Conv)</f>
        <v>11391</v>
      </c>
      <c r="N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  <c r="AK463" s="42"/>
      <c r="AL463" s="42"/>
      <c r="AM463" s="42"/>
      <c r="AN463" s="42"/>
      <c r="AO463" s="42"/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  <c r="BJ463" s="42"/>
      <c r="BK463" s="42"/>
      <c r="BL463" s="42"/>
      <c r="BM463" s="42"/>
      <c r="BN463" s="42"/>
    </row>
    <row r="464" spans="1:66" ht="12.75" customHeight="1" x14ac:dyDescent="0.2">
      <c r="A464" s="1" t="s">
        <v>506</v>
      </c>
      <c r="B464" s="4">
        <f>_xll.ciqfunctions.udf.CIQ(InputTicker,"IQ_INTERCOMPANY_CA",Input!D$2,Date,,,Ccy,Conv)</f>
        <v>0</v>
      </c>
      <c r="C464" s="4">
        <f>_xll.ciqfunctions.udf.CIQ(InputTicker,"IQ_INTERCOMPANY_CA",Input!E$2,Date,,,Ccy,Conv)</f>
        <v>0</v>
      </c>
      <c r="D464" s="4">
        <f>_xll.ciqfunctions.udf.CIQ(InputTicker,"IQ_INTERCOMPANY_CA",Input!F$2,Date,,,Ccy,Conv)</f>
        <v>0</v>
      </c>
      <c r="E464" s="4">
        <f>_xll.ciqfunctions.udf.CIQ(InputTicker,"IQ_INTERCOMPANY_CA",Input!G$2,Date,,,Ccy,Conv)</f>
        <v>0</v>
      </c>
      <c r="F464" s="4">
        <f>_xll.ciqfunctions.udf.CIQ(InputTicker,"IQ_INTERCOMPANY_CA",Input!H$2,Date,,,Ccy,Conv)</f>
        <v>0</v>
      </c>
      <c r="G464" s="4">
        <f>_xll.ciqfunctions.udf.CIQ(InputTicker,"IQ_INTERCOMPANY_CA",Input!I$2,Date,,,Ccy,Conv)</f>
        <v>0</v>
      </c>
      <c r="H464" s="4">
        <f>_xll.ciqfunctions.udf.CIQ(InputTicker,"IQ_INTERCOMPANY_CA",Input!J$2,Date,,,Ccy,Conv)</f>
        <v>0</v>
      </c>
      <c r="I464" s="4">
        <f>_xll.ciqfunctions.udf.CIQ(InputTicker,"IQ_INTERCOMPANY_CA",Input!K$2,Date,,,Ccy,Conv)</f>
        <v>0</v>
      </c>
      <c r="J464" s="4">
        <f>_xll.ciqfunctions.udf.CIQ(InputTicker,"IQ_INTERCOMPANY_CA",Input!L$2,Date,,,Ccy,Conv)</f>
        <v>0</v>
      </c>
      <c r="K464" s="4">
        <f>_xll.ciqfunctions.udf.CIQ(InputTicker,"IQ_INTERCOMPANY_CA",Input!M$2,Date,,,Ccy,Conv)</f>
        <v>0</v>
      </c>
      <c r="L464" s="4">
        <f>_xll.ciqfunctions.udf.CIQ(InputTicker,"IQ_INTERCOMPANY_CA",Input!N$2,Date,,,Ccy,Conv)</f>
        <v>0</v>
      </c>
      <c r="M464" s="4">
        <f>_xll.ciqfunctions.udf.CIQ(InputTicker,"IQ_INTERCOMPANY_CA",Input!O$2,Date,,,Ccy,Conv)</f>
        <v>0</v>
      </c>
      <c r="N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  <c r="BJ464" s="42"/>
      <c r="BK464" s="42"/>
      <c r="BL464" s="42"/>
      <c r="BM464" s="42"/>
      <c r="BN464" s="42"/>
    </row>
    <row r="465" spans="1:66" ht="12.75" customHeight="1" x14ac:dyDescent="0.2">
      <c r="A465" s="1" t="s">
        <v>492</v>
      </c>
      <c r="B465" s="4">
        <f>_xll.ciqfunctions.udf.CIQ(InputTicker,"IQ_INTERCOMPANY_NON_CA",Input!D$2,Date,,,Ccy,Conv)</f>
        <v>0</v>
      </c>
      <c r="C465" s="4">
        <f>_xll.ciqfunctions.udf.CIQ(InputTicker,"IQ_INTERCOMPANY_NON_CA",Input!E$2,Date,,,Ccy,Conv)</f>
        <v>0</v>
      </c>
      <c r="D465" s="4">
        <f>_xll.ciqfunctions.udf.CIQ(InputTicker,"IQ_INTERCOMPANY_NON_CA",Input!F$2,Date,,,Ccy,Conv)</f>
        <v>0</v>
      </c>
      <c r="E465" s="4">
        <f>_xll.ciqfunctions.udf.CIQ(InputTicker,"IQ_INTERCOMPANY_NON_CA",Input!G$2,Date,,,Ccy,Conv)</f>
        <v>0</v>
      </c>
      <c r="F465" s="4">
        <f>_xll.ciqfunctions.udf.CIQ(InputTicker,"IQ_INTERCOMPANY_NON_CA",Input!H$2,Date,,,Ccy,Conv)</f>
        <v>0</v>
      </c>
      <c r="G465" s="4">
        <f>_xll.ciqfunctions.udf.CIQ(InputTicker,"IQ_INTERCOMPANY_NON_CA",Input!I$2,Date,,,Ccy,Conv)</f>
        <v>0</v>
      </c>
      <c r="H465" s="4">
        <f>_xll.ciqfunctions.udf.CIQ(InputTicker,"IQ_INTERCOMPANY_NON_CA",Input!J$2,Date,,,Ccy,Conv)</f>
        <v>0</v>
      </c>
      <c r="I465" s="4">
        <f>_xll.ciqfunctions.udf.CIQ(InputTicker,"IQ_INTERCOMPANY_NON_CA",Input!K$2,Date,,,Ccy,Conv)</f>
        <v>0</v>
      </c>
      <c r="J465" s="4">
        <f>_xll.ciqfunctions.udf.CIQ(InputTicker,"IQ_INTERCOMPANY_NON_CA",Input!L$2,Date,,,Ccy,Conv)</f>
        <v>0</v>
      </c>
      <c r="K465" s="4">
        <f>_xll.ciqfunctions.udf.CIQ(InputTicker,"IQ_INTERCOMPANY_NON_CA",Input!M$2,Date,,,Ccy,Conv)</f>
        <v>0</v>
      </c>
      <c r="L465" s="4">
        <f>_xll.ciqfunctions.udf.CIQ(InputTicker,"IQ_INTERCOMPANY_NON_CA",Input!N$2,Date,,,Ccy,Conv)</f>
        <v>0</v>
      </c>
      <c r="M465" s="4">
        <f>_xll.ciqfunctions.udf.CIQ(InputTicker,"IQ_INTERCOMPANY_NON_CA",Input!O$2,Date,,,Ccy,Conv)</f>
        <v>0</v>
      </c>
      <c r="N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  <c r="AK465" s="42"/>
      <c r="AL465" s="42"/>
      <c r="AM465" s="42"/>
      <c r="AN465" s="42"/>
      <c r="AO465" s="42"/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  <c r="BJ465" s="42"/>
      <c r="BK465" s="42"/>
      <c r="BL465" s="42"/>
      <c r="BM465" s="42"/>
      <c r="BN465" s="42"/>
    </row>
    <row r="466" spans="1:66" ht="12.75" customHeight="1" x14ac:dyDescent="0.2">
      <c r="A466" s="1" t="s">
        <v>493</v>
      </c>
      <c r="B466" s="4">
        <f>_xll.ciqfunctions.udf.CIQ(InputTicker,"IQ_INTERCOMPANY_CL",Input!D$2,Date,,,Ccy,Conv)</f>
        <v>0</v>
      </c>
      <c r="C466" s="4">
        <f>_xll.ciqfunctions.udf.CIQ(InputTicker,"IQ_INTERCOMPANY_CL",Input!E$2,Date,,,Ccy,Conv)</f>
        <v>0</v>
      </c>
      <c r="D466" s="4">
        <f>_xll.ciqfunctions.udf.CIQ(InputTicker,"IQ_INTERCOMPANY_CL",Input!F$2,Date,,,Ccy,Conv)</f>
        <v>0</v>
      </c>
      <c r="E466" s="4">
        <f>_xll.ciqfunctions.udf.CIQ(InputTicker,"IQ_INTERCOMPANY_CL",Input!G$2,Date,,,Ccy,Conv)</f>
        <v>0</v>
      </c>
      <c r="F466" s="4">
        <f>_xll.ciqfunctions.udf.CIQ(InputTicker,"IQ_INTERCOMPANY_CL",Input!H$2,Date,,,Ccy,Conv)</f>
        <v>0</v>
      </c>
      <c r="G466" s="4">
        <f>_xll.ciqfunctions.udf.CIQ(InputTicker,"IQ_INTERCOMPANY_CL",Input!I$2,Date,,,Ccy,Conv)</f>
        <v>0</v>
      </c>
      <c r="H466" s="4">
        <f>_xll.ciqfunctions.udf.CIQ(InputTicker,"IQ_INTERCOMPANY_CL",Input!J$2,Date,,,Ccy,Conv)</f>
        <v>0</v>
      </c>
      <c r="I466" s="4">
        <f>_xll.ciqfunctions.udf.CIQ(InputTicker,"IQ_INTERCOMPANY_CL",Input!K$2,Date,,,Ccy,Conv)</f>
        <v>0</v>
      </c>
      <c r="J466" s="4">
        <f>_xll.ciqfunctions.udf.CIQ(InputTicker,"IQ_INTERCOMPANY_CL",Input!L$2,Date,,,Ccy,Conv)</f>
        <v>0</v>
      </c>
      <c r="K466" s="4">
        <f>_xll.ciqfunctions.udf.CIQ(InputTicker,"IQ_INTERCOMPANY_CL",Input!M$2,Date,,,Ccy,Conv)</f>
        <v>0</v>
      </c>
      <c r="L466" s="4">
        <f>_xll.ciqfunctions.udf.CIQ(InputTicker,"IQ_INTERCOMPANY_CL",Input!N$2,Date,,,Ccy,Conv)</f>
        <v>0</v>
      </c>
      <c r="M466" s="4">
        <f>_xll.ciqfunctions.udf.CIQ(InputTicker,"IQ_INTERCOMPANY_CL",Input!O$2,Date,,,Ccy,Conv)</f>
        <v>0</v>
      </c>
      <c r="N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  <c r="BJ466" s="42"/>
      <c r="BK466" s="42"/>
      <c r="BL466" s="42"/>
      <c r="BM466" s="42"/>
      <c r="BN466" s="42"/>
    </row>
    <row r="467" spans="1:66" ht="12.75" customHeight="1" x14ac:dyDescent="0.2">
      <c r="A467" s="1" t="s">
        <v>494</v>
      </c>
      <c r="B467" s="4">
        <f>_xll.ciqfunctions.udf.CIQ(InputTicker,"IQ_INTERCOMPANY_NON_CL",Input!D$2,Date,,,Ccy,Conv)</f>
        <v>0</v>
      </c>
      <c r="C467" s="4">
        <f>_xll.ciqfunctions.udf.CIQ(InputTicker,"IQ_INTERCOMPANY_NON_CL",Input!E$2,Date,,,Ccy,Conv)</f>
        <v>0</v>
      </c>
      <c r="D467" s="4">
        <f>_xll.ciqfunctions.udf.CIQ(InputTicker,"IQ_INTERCOMPANY_NON_CL",Input!F$2,Date,,,Ccy,Conv)</f>
        <v>0</v>
      </c>
      <c r="E467" s="4">
        <f>_xll.ciqfunctions.udf.CIQ(InputTicker,"IQ_INTERCOMPANY_NON_CL",Input!G$2,Date,,,Ccy,Conv)</f>
        <v>0</v>
      </c>
      <c r="F467" s="4">
        <f>_xll.ciqfunctions.udf.CIQ(InputTicker,"IQ_INTERCOMPANY_NON_CL",Input!H$2,Date,,,Ccy,Conv)</f>
        <v>0</v>
      </c>
      <c r="G467" s="4">
        <f>_xll.ciqfunctions.udf.CIQ(InputTicker,"IQ_INTERCOMPANY_NON_CL",Input!I$2,Date,,,Ccy,Conv)</f>
        <v>0</v>
      </c>
      <c r="H467" s="4">
        <f>_xll.ciqfunctions.udf.CIQ(InputTicker,"IQ_INTERCOMPANY_NON_CL",Input!J$2,Date,,,Ccy,Conv)</f>
        <v>0</v>
      </c>
      <c r="I467" s="4">
        <f>_xll.ciqfunctions.udf.CIQ(InputTicker,"IQ_INTERCOMPANY_NON_CL",Input!K$2,Date,,,Ccy,Conv)</f>
        <v>0</v>
      </c>
      <c r="J467" s="4">
        <f>_xll.ciqfunctions.udf.CIQ(InputTicker,"IQ_INTERCOMPANY_NON_CL",Input!L$2,Date,,,Ccy,Conv)</f>
        <v>0</v>
      </c>
      <c r="K467" s="4">
        <f>_xll.ciqfunctions.udf.CIQ(InputTicker,"IQ_INTERCOMPANY_NON_CL",Input!M$2,Date,,,Ccy,Conv)</f>
        <v>0</v>
      </c>
      <c r="L467" s="4">
        <f>_xll.ciqfunctions.udf.CIQ(InputTicker,"IQ_INTERCOMPANY_NON_CL",Input!N$2,Date,,,Ccy,Conv)</f>
        <v>0</v>
      </c>
      <c r="M467" s="4">
        <f>_xll.ciqfunctions.udf.CIQ(InputTicker,"IQ_INTERCOMPANY_NON_CL",Input!O$2,Date,,,Ccy,Conv)</f>
        <v>0</v>
      </c>
      <c r="N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  <c r="AK467" s="42"/>
      <c r="AL467" s="42"/>
      <c r="AM467" s="42"/>
      <c r="AN467" s="42"/>
      <c r="AO467" s="42"/>
      <c r="AP467" s="42"/>
      <c r="AQ467" s="42"/>
      <c r="AR467" s="42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  <c r="BJ467" s="42"/>
      <c r="BK467" s="42"/>
      <c r="BL467" s="42"/>
      <c r="BM467" s="42"/>
      <c r="BN467" s="42"/>
    </row>
    <row r="468" spans="1:66" ht="12.75" customHeight="1" x14ac:dyDescent="0.2">
      <c r="A468" s="1" t="s">
        <v>347</v>
      </c>
      <c r="B468" s="15" t="str">
        <f>_xll.ciqfunctions.udf.CIQ(InputTicker, "IQ_FILING_CURRENCY",Input!D$2,Date)</f>
        <v>USD</v>
      </c>
      <c r="C468" s="15" t="str">
        <f>_xll.ciqfunctions.udf.CIQ(InputTicker, "IQ_FILING_CURRENCY",Input!E$2,Date)</f>
        <v>USD</v>
      </c>
      <c r="D468" s="15" t="str">
        <f>_xll.ciqfunctions.udf.CIQ(InputTicker, "IQ_FILING_CURRENCY",Input!F$2,Date)</f>
        <v>USD</v>
      </c>
      <c r="E468" s="15" t="str">
        <f>_xll.ciqfunctions.udf.CIQ(InputTicker, "IQ_FILING_CURRENCY",Input!G$2,Date)</f>
        <v>USD</v>
      </c>
      <c r="F468" s="15" t="str">
        <f>_xll.ciqfunctions.udf.CIQ(InputTicker, "IQ_FILING_CURRENCY",Input!H$2,Date)</f>
        <v>USD</v>
      </c>
      <c r="G468" s="15" t="str">
        <f>_xll.ciqfunctions.udf.CIQ(InputTicker, "IQ_FILING_CURRENCY",Input!I$2,Date)</f>
        <v>USD</v>
      </c>
      <c r="H468" s="15" t="str">
        <f>_xll.ciqfunctions.udf.CIQ(InputTicker, "IQ_FILING_CURRENCY",Input!J$2,Date)</f>
        <v>USD</v>
      </c>
      <c r="I468" s="15" t="str">
        <f>_xll.ciqfunctions.udf.CIQ(InputTicker, "IQ_FILING_CURRENCY",Input!K$2,Date)</f>
        <v>USD</v>
      </c>
      <c r="J468" s="15" t="str">
        <f>_xll.ciqfunctions.udf.CIQ(InputTicker, "IQ_FILING_CURRENCY",Input!L$2,Date)</f>
        <v>USD</v>
      </c>
      <c r="K468" s="15" t="str">
        <f>_xll.ciqfunctions.udf.CIQ(InputTicker, "IQ_FILING_CURRENCY",Input!M$2,Date)</f>
        <v>USD</v>
      </c>
      <c r="L468" s="15" t="str">
        <f>_xll.ciqfunctions.udf.CIQ(InputTicker, "IQ_FILING_CURRENCY",Input!N$2,Date)</f>
        <v>USD</v>
      </c>
      <c r="M468" s="15" t="str">
        <f>_xll.ciqfunctions.udf.CIQ(InputTicker, "IQ_FILING_CURRENCY",Input!O$2,Date)</f>
        <v>USD</v>
      </c>
      <c r="N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  <c r="AK468" s="42"/>
      <c r="AL468" s="42"/>
      <c r="AM468" s="42"/>
      <c r="AN468" s="42"/>
      <c r="AO468" s="42"/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  <c r="BJ468" s="42"/>
      <c r="BK468" s="42"/>
      <c r="BL468" s="42"/>
      <c r="BM468" s="42"/>
      <c r="BN468" s="42"/>
    </row>
    <row r="469" spans="1:66" ht="12.75" customHeight="1" x14ac:dyDescent="0.2">
      <c r="A469" s="1" t="s">
        <v>345</v>
      </c>
      <c r="B469" s="15" t="str">
        <f>_xll.ciqfunctions.udf.CIQ(InputTicker, "IQ_RESTATEMENT_BS",Input!D$2,Date)</f>
        <v>NC</v>
      </c>
      <c r="C469" s="15" t="str">
        <f>_xll.ciqfunctions.udf.CIQ(InputTicker, "IQ_RESTATEMENT_BS",Input!E$2,Date)</f>
        <v>NC</v>
      </c>
      <c r="D469" s="15" t="str">
        <f>_xll.ciqfunctions.udf.CIQ(InputTicker, "IQ_RESTATEMENT_BS",Input!F$2,Date)</f>
        <v>NC</v>
      </c>
      <c r="E469" s="15" t="str">
        <f>_xll.ciqfunctions.udf.CIQ(InputTicker, "IQ_RESTATEMENT_BS",Input!G$2,Date)</f>
        <v>NC</v>
      </c>
      <c r="F469" s="15" t="str">
        <f>_xll.ciqfunctions.udf.CIQ(InputTicker, "IQ_RESTATEMENT_BS",Input!H$2,Date)</f>
        <v>NC</v>
      </c>
      <c r="G469" s="15" t="str">
        <f>_xll.ciqfunctions.udf.CIQ(InputTicker, "IQ_RESTATEMENT_BS",Input!I$2,Date)</f>
        <v>RD</v>
      </c>
      <c r="H469" s="15" t="str">
        <f>_xll.ciqfunctions.udf.CIQ(InputTicker, "IQ_RESTATEMENT_BS",Input!J$2,Date)</f>
        <v>NC</v>
      </c>
      <c r="I469" s="15" t="str">
        <f>_xll.ciqfunctions.udf.CIQ(InputTicker, "IQ_RESTATEMENT_BS",Input!K$2,Date)</f>
        <v>NC</v>
      </c>
      <c r="J469" s="15" t="str">
        <f>_xll.ciqfunctions.udf.CIQ(InputTicker, "IQ_RESTATEMENT_BS",Input!L$2,Date)</f>
        <v>NC</v>
      </c>
      <c r="K469" s="15" t="str">
        <f>_xll.ciqfunctions.udf.CIQ(InputTicker, "IQ_RESTATEMENT_BS",Input!M$2,Date)</f>
        <v>NC</v>
      </c>
      <c r="L469" s="15" t="str">
        <f>_xll.ciqfunctions.udf.CIQ(InputTicker, "IQ_RESTATEMENT_BS",Input!N$2,Date)</f>
        <v>O</v>
      </c>
      <c r="M469" s="15" t="str">
        <f>_xll.ciqfunctions.udf.CIQ(InputTicker, "IQ_RESTATEMENT_BS",Input!O$2,Date)</f>
        <v>O</v>
      </c>
      <c r="N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  <c r="AK469" s="42"/>
      <c r="AL469" s="42"/>
      <c r="AM469" s="42"/>
      <c r="AN469" s="42"/>
      <c r="AO469" s="42"/>
      <c r="AP469" s="42"/>
      <c r="AQ469" s="42"/>
      <c r="AR469" s="42"/>
      <c r="AS469" s="42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  <c r="BJ469" s="42"/>
      <c r="BK469" s="42"/>
      <c r="BL469" s="42"/>
      <c r="BM469" s="42"/>
      <c r="BN469" s="42"/>
    </row>
    <row r="470" spans="1:66" ht="12.75" customHeight="1" x14ac:dyDescent="0.2">
      <c r="A470" s="1" t="s">
        <v>346</v>
      </c>
      <c r="B470" s="15" t="str">
        <f>_xll.ciqfunctions.udf.CIQ(InputTicker, "IQ_CALC_TYPE_BS",Input!D$2,Date)</f>
        <v>RUP</v>
      </c>
      <c r="C470" s="15" t="str">
        <f>_xll.ciqfunctions.udf.CIQ(InputTicker, "IQ_CALC_TYPE_BS",Input!E$2,Date)</f>
        <v>RUP</v>
      </c>
      <c r="D470" s="15" t="str">
        <f>_xll.ciqfunctions.udf.CIQ(InputTicker, "IQ_CALC_TYPE_BS",Input!F$2,Date)</f>
        <v>RUP</v>
      </c>
      <c r="E470" s="15" t="str">
        <f>_xll.ciqfunctions.udf.CIQ(InputTicker, "IQ_CALC_TYPE_BS",Input!G$2,Date)</f>
        <v>RUP</v>
      </c>
      <c r="F470" s="15" t="str">
        <f>_xll.ciqfunctions.udf.CIQ(InputTicker, "IQ_CALC_TYPE_BS",Input!H$2,Date)</f>
        <v>RUP</v>
      </c>
      <c r="G470" s="15" t="str">
        <f>_xll.ciqfunctions.udf.CIQ(InputTicker, "IQ_CALC_TYPE_BS",Input!I$2,Date)</f>
        <v>RUP</v>
      </c>
      <c r="H470" s="15" t="str">
        <f>_xll.ciqfunctions.udf.CIQ(InputTicker, "IQ_CALC_TYPE_BS",Input!J$2,Date)</f>
        <v>RUP</v>
      </c>
      <c r="I470" s="15" t="str">
        <f>_xll.ciqfunctions.udf.CIQ(InputTicker, "IQ_CALC_TYPE_BS",Input!K$2,Date)</f>
        <v>RUP</v>
      </c>
      <c r="J470" s="15" t="str">
        <f>_xll.ciqfunctions.udf.CIQ(InputTicker, "IQ_CALC_TYPE_BS",Input!L$2,Date)</f>
        <v>RUP</v>
      </c>
      <c r="K470" s="15" t="str">
        <f>_xll.ciqfunctions.udf.CIQ(InputTicker, "IQ_CALC_TYPE_BS",Input!M$2,Date)</f>
        <v>REP</v>
      </c>
      <c r="L470" s="15" t="str">
        <f>_xll.ciqfunctions.udf.CIQ(InputTicker, "IQ_CALC_TYPE_BS",Input!N$2,Date)</f>
        <v>REP</v>
      </c>
      <c r="M470" s="15" t="str">
        <f>_xll.ciqfunctions.udf.CIQ(InputTicker, "IQ_CALC_TYPE_BS",Input!O$2,Date)</f>
        <v>REP</v>
      </c>
      <c r="N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  <c r="BJ470" s="42"/>
      <c r="BK470" s="42"/>
      <c r="BL470" s="42"/>
      <c r="BM470" s="42"/>
      <c r="BN470" s="42"/>
    </row>
    <row r="471" spans="1:66" ht="12.75" customHeight="1" x14ac:dyDescent="0.2">
      <c r="A471" s="1" t="s">
        <v>376</v>
      </c>
      <c r="B471" s="15" t="str">
        <f>_xll.ciqfunctions.udf.CIQ(InputTicker, "IQ_GAAP_BS",Input!D$2,Date)</f>
        <v>US GAAP</v>
      </c>
      <c r="C471" s="15" t="str">
        <f>_xll.ciqfunctions.udf.CIQ(InputTicker, "IQ_GAAP_BS",Input!E$2,Date)</f>
        <v>US GAAP</v>
      </c>
      <c r="D471" s="15" t="str">
        <f>_xll.ciqfunctions.udf.CIQ(InputTicker, "IQ_GAAP_BS",Input!F$2,Date)</f>
        <v>US GAAP</v>
      </c>
      <c r="E471" s="15" t="str">
        <f>_xll.ciqfunctions.udf.CIQ(InputTicker, "IQ_GAAP_BS",Input!G$2,Date)</f>
        <v>US GAAP</v>
      </c>
      <c r="F471" s="15" t="str">
        <f>_xll.ciqfunctions.udf.CIQ(InputTicker, "IQ_GAAP_BS",Input!H$2,Date)</f>
        <v>US GAAP</v>
      </c>
      <c r="G471" s="15" t="str">
        <f>_xll.ciqfunctions.udf.CIQ(InputTicker, "IQ_GAAP_BS",Input!I$2,Date)</f>
        <v>US GAAP</v>
      </c>
      <c r="H471" s="15" t="str">
        <f>_xll.ciqfunctions.udf.CIQ(InputTicker, "IQ_GAAP_BS",Input!J$2,Date)</f>
        <v>US GAAP</v>
      </c>
      <c r="I471" s="15" t="str">
        <f>_xll.ciqfunctions.udf.CIQ(InputTicker, "IQ_GAAP_BS",Input!K$2,Date)</f>
        <v>US GAAP</v>
      </c>
      <c r="J471" s="15" t="str">
        <f>_xll.ciqfunctions.udf.CIQ(InputTicker, "IQ_GAAP_BS",Input!L$2,Date)</f>
        <v>US GAAP</v>
      </c>
      <c r="K471" s="15" t="str">
        <f>_xll.ciqfunctions.udf.CIQ(InputTicker, "IQ_GAAP_BS",Input!M$2,Date)</f>
        <v>US GAAP</v>
      </c>
      <c r="L471" s="15" t="str">
        <f>_xll.ciqfunctions.udf.CIQ(InputTicker, "IQ_GAAP_BS",Input!N$2,Date)</f>
        <v>US GAAP</v>
      </c>
      <c r="M471" s="15" t="str">
        <f>_xll.ciqfunctions.udf.CIQ(InputTicker, "IQ_GAAP_BS",Input!O$2,Date)</f>
        <v>US GAAP</v>
      </c>
      <c r="N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  <c r="AK471" s="42"/>
      <c r="AL471" s="42"/>
      <c r="AM471" s="42"/>
      <c r="AN471" s="42"/>
      <c r="AO471" s="42"/>
      <c r="AP471" s="42"/>
      <c r="AQ471" s="42"/>
      <c r="AR471" s="42"/>
      <c r="AS471" s="42"/>
      <c r="AT471" s="42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  <c r="BJ471" s="42"/>
      <c r="BK471" s="42"/>
      <c r="BL471" s="42"/>
      <c r="BM471" s="42"/>
      <c r="BN471" s="42"/>
    </row>
    <row r="472" spans="1:66" ht="12.75" customHeight="1" x14ac:dyDescent="0.2">
      <c r="A472" s="42" t="s">
        <v>603</v>
      </c>
      <c r="B472" s="13">
        <f>_xll.ciqfunctions.udf.CIQ(InputTicker, "IQ_PERIODDATE",Input!D$2-1,Date)</f>
        <v>42004</v>
      </c>
      <c r="C472" s="13">
        <f>_xll.ciqfunctions.udf.CIQ(InputTicker, "IQ_PERIODDATE",Input!E$2-1,Date)</f>
        <v>42369</v>
      </c>
      <c r="D472" s="13">
        <f>_xll.ciqfunctions.udf.CIQ(InputTicker, "IQ_PERIODDATE",Input!F$2-1,Date)</f>
        <v>42735</v>
      </c>
      <c r="E472" s="13">
        <f>_xll.ciqfunctions.udf.CIQ(InputTicker, "IQ_PERIODDATE",Input!G$2-1,Date)</f>
        <v>43100</v>
      </c>
      <c r="F472" s="13">
        <f>_xll.ciqfunctions.udf.CIQ(InputTicker, "IQ_PERIODDATE",Input!H$2-1,Date)</f>
        <v>43465</v>
      </c>
      <c r="G472" s="13">
        <f>_xll.ciqfunctions.udf.CIQ(InputTicker, "IQ_PERIODDATE",Input!I$2-1,Date)</f>
        <v>43830</v>
      </c>
      <c r="H472" s="13">
        <f>_xll.ciqfunctions.udf.CIQ(InputTicker, "IQ_PERIODDATE",Input!J$2-1,Date)</f>
        <v>44196</v>
      </c>
      <c r="I472" s="13">
        <f>_xll.ciqfunctions.udf.CIQ(InputTicker, "IQ_PERIODDATE",Input!K$2-1,Date)</f>
        <v>44561</v>
      </c>
      <c r="J472" s="13">
        <f>_xll.ciqfunctions.udf.CIQ(InputTicker, "IQ_PERIODDATE",Input!L$2-1,Date)</f>
        <v>44926</v>
      </c>
      <c r="K472" s="13">
        <f>_xll.ciqfunctions.udf.CIQ(InputTicker, "IQ_PERIODDATE",Input!M$2-1,Date)</f>
        <v>45291</v>
      </c>
      <c r="L472" s="13">
        <f>_xll.ciqfunctions.udf.CIQ(InputTicker, "IQ_PERIODDATE",Input!N$2-1,Date)</f>
        <v>45657</v>
      </c>
      <c r="M472" s="13">
        <f>_xll.ciqfunctions.udf.CIQ(InputTicker, "IQ_PERIODDATE",Input!O$2-1,Date)</f>
        <v>45930</v>
      </c>
      <c r="N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  <c r="AK472" s="42"/>
      <c r="AL472" s="42"/>
      <c r="AM472" s="42"/>
      <c r="AN472" s="42"/>
      <c r="AO472" s="42"/>
      <c r="AP472" s="42"/>
      <c r="AQ472" s="42"/>
      <c r="AR472" s="42"/>
      <c r="AS472" s="42"/>
      <c r="AT472" s="42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  <c r="BJ472" s="42"/>
      <c r="BK472" s="42"/>
      <c r="BL472" s="42"/>
      <c r="BM472" s="42"/>
      <c r="BN472" s="42"/>
    </row>
    <row r="473" spans="1:66" ht="12.75" customHeight="1" x14ac:dyDescent="0.2">
      <c r="A473" s="19" t="s">
        <v>268</v>
      </c>
      <c r="B473" s="20">
        <f>_xll.ciqfunctions.udf.CIQAVG(InputTicker, "IQ_TEV_TOTAL_REV",[0]!IQ_LTM,B$472,B$2)</f>
        <v>2.0616400000000001</v>
      </c>
      <c r="C473" s="20">
        <f>_xll.ciqfunctions.udf.CIQAVG(InputTicker, "IQ_TEV_TOTAL_REV",[0]!IQ_LTM,C$472,C$2)</f>
        <v>2.1814499999999999</v>
      </c>
      <c r="D473" s="20">
        <f>_xll.ciqfunctions.udf.CIQAVG(InputTicker, "IQ_TEV_TOTAL_REV",[0]!IQ_LTM,D$472,D$2)</f>
        <v>2.2896899999999998</v>
      </c>
      <c r="E473" s="20">
        <f>_xll.ciqfunctions.udf.CIQAVG(InputTicker, "IQ_TEV_TOTAL_REV",[0]!IQ_LTM,E$472,E$2)</f>
        <v>2.0723099999999999</v>
      </c>
      <c r="F473" s="20">
        <f>_xll.ciqfunctions.udf.CIQAVG(InputTicker, "IQ_TEV_TOTAL_REV",[0]!IQ_LTM,F$472,F$2)</f>
        <v>2.0626600000000002</v>
      </c>
      <c r="G473" s="20">
        <f>_xll.ciqfunctions.udf.CIQAVG(InputTicker, "IQ_TEV_TOTAL_REV",[0]!IQ_LTM,G$472,G$2)</f>
        <v>2.2038500000000001</v>
      </c>
      <c r="H473" s="20">
        <f>_xll.ciqfunctions.udf.CIQAVG(InputTicker, "IQ_TEV_TOTAL_REV",[0]!IQ_LTM,H$472,H$2)</f>
        <v>2.3143400000000001</v>
      </c>
      <c r="I473" s="20">
        <f>_xll.ciqfunctions.udf.CIQAVG(InputTicker, "IQ_TEV_TOTAL_REV",[0]!IQ_LTM,I$472,I$2)</f>
        <v>2.7988900000000001</v>
      </c>
      <c r="J473" s="20">
        <f>_xll.ciqfunctions.udf.CIQAVG(InputTicker, "IQ_TEV_TOTAL_REV",[0]!IQ_LTM,J$472,J$2)</f>
        <v>2.8281000000000001</v>
      </c>
      <c r="K473" s="20">
        <f>_xll.ciqfunctions.udf.CIQAVG(InputTicker, "IQ_TEV_TOTAL_REV",[0]!IQ_LTM,K$472,K$2)</f>
        <v>3.60724</v>
      </c>
      <c r="L473" s="20">
        <f>_xll.ciqfunctions.udf.CIQAVG(InputTicker, "IQ_TEV_TOTAL_REV",[0]!IQ_LTM,L$472,L$2)</f>
        <v>4.6602300000000003</v>
      </c>
      <c r="M473" s="20">
        <f>_xll.ciqfunctions.udf.CIQAVG(InputTicker, "IQ_TEV_TOTAL_REV",[0]!IQ_LTM,M$472,M$2)</f>
        <v>5.0923100000000003</v>
      </c>
      <c r="N473" s="49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  <c r="BJ473" s="42"/>
      <c r="BK473" s="42"/>
      <c r="BL473" s="42"/>
      <c r="BM473" s="42"/>
      <c r="BN473" s="42"/>
    </row>
    <row r="474" spans="1:66" ht="12.75" customHeight="1" x14ac:dyDescent="0.2">
      <c r="A474" s="19" t="s">
        <v>269</v>
      </c>
      <c r="B474" s="20">
        <f>_xll.ciqfunctions.udf.CIQAVG(InputTicker, "IQ_TEV_EBITDA",[0]!IQ_LTM,B$472,B$2)</f>
        <v>7.9882499999999999</v>
      </c>
      <c r="C474" s="20">
        <f>_xll.ciqfunctions.udf.CIQAVG(InputTicker, "IQ_TEV_EBITDA",[0]!IQ_LTM,C$472,C$2)</f>
        <v>9.4575800000000001</v>
      </c>
      <c r="D474" s="20">
        <f>_xll.ciqfunctions.udf.CIQAVG(InputTicker, "IQ_TEV_EBITDA",[0]!IQ_LTM,D$472,D$2)</f>
        <v>10.289260000000001</v>
      </c>
      <c r="E474" s="20">
        <f>_xll.ciqfunctions.udf.CIQAVG(InputTicker, "IQ_TEV_EBITDA",[0]!IQ_LTM,E$472,E$2)</f>
        <v>9.9247300000000003</v>
      </c>
      <c r="F474" s="20">
        <f>_xll.ciqfunctions.udf.CIQAVG(InputTicker, "IQ_TEV_EBITDA",[0]!IQ_LTM,F$472,F$2)</f>
        <v>8.7968299999999999</v>
      </c>
      <c r="G474" s="20">
        <f>_xll.ciqfunctions.udf.CIQAVG(InputTicker, "IQ_TEV_EBITDA",[0]!IQ_LTM,G$472,G$2)</f>
        <v>9.2023799999999998</v>
      </c>
      <c r="H474" s="20">
        <f>_xll.ciqfunctions.udf.CIQAVG(InputTicker, "IQ_TEV_EBITDA",[0]!IQ_LTM,H$472,H$2)</f>
        <v>9.7242700000000006</v>
      </c>
      <c r="I474" s="20">
        <f>_xll.ciqfunctions.udf.CIQAVG(InputTicker, "IQ_TEV_EBITDA",[0]!IQ_LTM,I$472,I$2)</f>
        <v>12.14148</v>
      </c>
      <c r="J474" s="20">
        <f>_xll.ciqfunctions.udf.CIQAVG(InputTicker, "IQ_TEV_EBITDA",[0]!IQ_LTM,J$472,J$2)</f>
        <v>12.23784</v>
      </c>
      <c r="K474" s="20">
        <f>_xll.ciqfunctions.udf.CIQAVG(InputTicker, "IQ_TEV_EBITDA",[0]!IQ_LTM,K$472,K$2)</f>
        <v>14.845090000000001</v>
      </c>
      <c r="L474" s="20">
        <f>_xll.ciqfunctions.udf.CIQAVG(InputTicker, "IQ_TEV_EBITDA",[0]!IQ_LTM,L$472,L$2)</f>
        <v>19.531510000000001</v>
      </c>
      <c r="M474" s="20">
        <f>_xll.ciqfunctions.udf.CIQAVG(InputTicker, "IQ_TEV_EBITDA",[0]!IQ_LTM,M$472,M$2)</f>
        <v>20.516500000000001</v>
      </c>
      <c r="N474" s="56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  <c r="AK474" s="42"/>
      <c r="AL474" s="42"/>
      <c r="AM474" s="42"/>
      <c r="AN474" s="42"/>
      <c r="AO474" s="42"/>
      <c r="AP474" s="42"/>
      <c r="AQ474" s="42"/>
      <c r="AR474" s="42"/>
      <c r="AS474" s="42"/>
      <c r="AT474" s="42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  <c r="BJ474" s="42"/>
      <c r="BK474" s="42"/>
      <c r="BL474" s="42"/>
      <c r="BM474" s="42"/>
      <c r="BN474" s="42"/>
    </row>
    <row r="475" spans="1:66" ht="12.75" customHeight="1" x14ac:dyDescent="0.2">
      <c r="A475" s="19" t="s">
        <v>270</v>
      </c>
      <c r="B475" s="20">
        <f>_xll.ciqfunctions.udf.CIQAVG(InputTicker, "IQ_TEV_EBIT",[0]!IQ_LTM,B$472,B$2)</f>
        <v>9.7993400000000008</v>
      </c>
      <c r="C475" s="20">
        <f>_xll.ciqfunctions.udf.CIQAVG(InputTicker, "IQ_TEV_EBIT",[0]!IQ_LTM,C$472,C$2)</f>
        <v>12.07606</v>
      </c>
      <c r="D475" s="20">
        <f>_xll.ciqfunctions.udf.CIQAVG(InputTicker, "IQ_TEV_EBIT",[0]!IQ_LTM,D$472,D$2)</f>
        <v>13.769679999999999</v>
      </c>
      <c r="E475" s="20">
        <f>_xll.ciqfunctions.udf.CIQAVG(InputTicker, "IQ_TEV_EBIT",[0]!IQ_LTM,E$472,E$2)</f>
        <v>13.63631</v>
      </c>
      <c r="F475" s="20">
        <f>_xll.ciqfunctions.udf.CIQAVG(InputTicker, "IQ_TEV_EBIT",[0]!IQ_LTM,F$472,F$2)</f>
        <v>13.482340000000001</v>
      </c>
      <c r="G475" s="20">
        <f>_xll.ciqfunctions.udf.CIQAVG(InputTicker, "IQ_TEV_EBIT",[0]!IQ_LTM,G$472,G$2)</f>
        <v>17.384730000000001</v>
      </c>
      <c r="H475" s="20">
        <f>_xll.ciqfunctions.udf.CIQAVG(InputTicker, "IQ_TEV_EBIT",[0]!IQ_LTM,H$472,H$2)</f>
        <v>19.41366</v>
      </c>
      <c r="I475" s="20">
        <f>_xll.ciqfunctions.udf.CIQAVG(InputTicker, "IQ_TEV_EBIT",[0]!IQ_LTM,I$472,I$2)</f>
        <v>26.037970000000001</v>
      </c>
      <c r="J475" s="20">
        <f>_xll.ciqfunctions.udf.CIQAVG(InputTicker, "IQ_TEV_EBIT",[0]!IQ_LTM,J$472,J$2)</f>
        <v>20.968350000000001</v>
      </c>
      <c r="K475" s="20">
        <f>_xll.ciqfunctions.udf.CIQAVG(InputTicker, "IQ_TEV_EBIT",[0]!IQ_LTM,K$472,K$2)</f>
        <v>22.748940000000001</v>
      </c>
      <c r="L475" s="20">
        <f>_xll.ciqfunctions.udf.CIQAVG(InputTicker, "IQ_TEV_EBIT",[0]!IQ_LTM,L$472,L$2)</f>
        <v>28.4175</v>
      </c>
      <c r="M475" s="20">
        <f>_xll.ciqfunctions.udf.CIQAVG(InputTicker, "IQ_TEV_EBIT",[0]!IQ_LTM,M$472,M$2)</f>
        <v>29.134460000000001</v>
      </c>
      <c r="N475" s="56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  <c r="AK475" s="42"/>
      <c r="AL475" s="42"/>
      <c r="AM475" s="42"/>
      <c r="AN475" s="42"/>
      <c r="AO475" s="42"/>
      <c r="AP475" s="42"/>
      <c r="AQ475" s="42"/>
      <c r="AR475" s="42"/>
      <c r="AS475" s="42"/>
      <c r="AT475" s="42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  <c r="BJ475" s="42"/>
      <c r="BK475" s="42"/>
      <c r="BL475" s="42"/>
      <c r="BM475" s="42"/>
      <c r="BN475" s="42"/>
    </row>
    <row r="476" spans="1:66" ht="12.75" customHeight="1" x14ac:dyDescent="0.2">
      <c r="A476" s="19" t="s">
        <v>271</v>
      </c>
      <c r="B476" s="20">
        <f>_xll.ciqfunctions.udf.CIQAVG(InputTicker, "IQ_PE_EXCL",[0]!IQ_LTM,B$472,B$2)</f>
        <v>10.170059999999999</v>
      </c>
      <c r="C476" s="20">
        <f>_xll.ciqfunctions.udf.CIQAVG(InputTicker, "IQ_PE_EXCL",[0]!IQ_LTM,C$472,C$2)</f>
        <v>11.677239999999999</v>
      </c>
      <c r="D476" s="20">
        <f>_xll.ciqfunctions.udf.CIQAVG(InputTicker, "IQ_PE_EXCL",[0]!IQ_LTM,D$472,D$2)</f>
        <v>12.952920000000001</v>
      </c>
      <c r="E476" s="20">
        <f>_xll.ciqfunctions.udf.CIQAVG(InputTicker, "IQ_PE_EXCL",[0]!IQ_LTM,E$472,E$2)</f>
        <v>22.805720000000001</v>
      </c>
      <c r="F476" s="20">
        <f>_xll.ciqfunctions.udf.CIQAVG(InputTicker, "IQ_PE_EXCL",[0]!IQ_LTM,F$472,F$2)</f>
        <v>15.007059999999999</v>
      </c>
      <c r="G476" s="20">
        <f>_xll.ciqfunctions.udf.CIQAVG(InputTicker, "IQ_PE_EXCL",[0]!IQ_LTM,G$472,G$2)</f>
        <v>13.102819999999999</v>
      </c>
      <c r="H476" s="20">
        <f>_xll.ciqfunctions.udf.CIQAVG(InputTicker, "IQ_PE_EXCL",[0]!IQ_LTM,H$472,H$2)</f>
        <v>22.83906</v>
      </c>
      <c r="I476" s="20">
        <f>_xll.ciqfunctions.udf.CIQAVG(InputTicker, "IQ_PE_EXCL",[0]!IQ_LTM,I$472,I$2)</f>
        <v>37.705730000000003</v>
      </c>
      <c r="J476" s="20">
        <f>_xll.ciqfunctions.udf.CIQAVG(InputTicker, "IQ_PE_EXCL",[0]!IQ_LTM,J$472,J$2)</f>
        <v>55.973849999999999</v>
      </c>
      <c r="K476" s="20">
        <f>_xll.ciqfunctions.udf.CIQAVG(InputTicker, "IQ_PE_EXCL",[0]!IQ_LTM,K$472,K$2)</f>
        <v>23.839320000000001</v>
      </c>
      <c r="L476" s="20">
        <f>_xll.ciqfunctions.udf.CIQAVG(InputTicker, "IQ_PE_EXCL",[0]!IQ_LTM,L$472,L$2)</f>
        <v>40.51285</v>
      </c>
      <c r="M476" s="20">
        <f>_xll.ciqfunctions.udf.CIQAVG(InputTicker, "IQ_PE_EXCL",[0]!IQ_LTM,M$472,M$2)</f>
        <v>38.649299999999997</v>
      </c>
      <c r="N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  <c r="AK476" s="42"/>
      <c r="AL476" s="42"/>
      <c r="AM476" s="42"/>
      <c r="AN476" s="42"/>
      <c r="AO476" s="42"/>
      <c r="AP476" s="42"/>
      <c r="AQ476" s="42"/>
      <c r="AR476" s="42"/>
      <c r="AS476" s="42"/>
      <c r="AT476" s="42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  <c r="BJ476" s="42"/>
      <c r="BK476" s="42"/>
      <c r="BL476" s="42"/>
      <c r="BM476" s="42"/>
      <c r="BN476" s="42"/>
    </row>
    <row r="477" spans="1:66" ht="12.75" customHeight="1" x14ac:dyDescent="0.2">
      <c r="A477" s="19" t="s">
        <v>272</v>
      </c>
      <c r="B477" s="20">
        <f>_xll.ciqfunctions.udf.CIQAVG(InputTicker, "IQ_PBV",[0]!IQ_LTM,B$472,B$2)</f>
        <v>12.01159</v>
      </c>
      <c r="C477" s="20">
        <f>_xll.ciqfunctions.udf.CIQAVG(InputTicker, "IQ_PBV",[0]!IQ_LTM,C$472,C$2)</f>
        <v>9.4179300000000001</v>
      </c>
      <c r="D477" s="20">
        <f>_xll.ciqfunctions.udf.CIQAVG(InputTicker, "IQ_PBV",[0]!IQ_LTM,D$472,D$2)</f>
        <v>7.9913100000000004</v>
      </c>
      <c r="E477" s="20">
        <f>_xll.ciqfunctions.udf.CIQAVG(InputTicker, "IQ_PBV",[0]!IQ_LTM,E$472,E$2)</f>
        <v>7.1599399999999997</v>
      </c>
      <c r="F477" s="20">
        <f>_xll.ciqfunctions.udf.CIQAVG(InputTicker, "IQ_PBV",[0]!IQ_LTM,F$472,F$2)</f>
        <v>7.0448399999999998</v>
      </c>
      <c r="G477" s="20">
        <f>_xll.ciqfunctions.udf.CIQAVG(InputTicker, "IQ_PBV",[0]!IQ_LTM,G$472,G$2)</f>
        <v>5.4097099999999996</v>
      </c>
      <c r="H477" s="20">
        <f>_xll.ciqfunctions.udf.CIQAVG(InputTicker, "IQ_PBV",[0]!IQ_LTM,H$472,H$2)</f>
        <v>5.5750200000000003</v>
      </c>
      <c r="I477" s="20">
        <f>_xll.ciqfunctions.udf.CIQAVG(InputTicker, "IQ_PBV",[0]!IQ_LTM,I$472,I$2)</f>
        <v>6.17828</v>
      </c>
      <c r="J477" s="20">
        <f>_xll.ciqfunctions.udf.CIQAVG(InputTicker, "IQ_PBV",[0]!IQ_LTM,J$472,J$2)</f>
        <v>5.7404000000000002</v>
      </c>
      <c r="K477" s="20">
        <f>_xll.ciqfunctions.udf.CIQAVG(InputTicker, "IQ_PBV",[0]!IQ_LTM,K$472,K$2)</f>
        <v>7.58087</v>
      </c>
      <c r="L477" s="20">
        <f>_xll.ciqfunctions.udf.CIQAVG(InputTicker, "IQ_PBV",[0]!IQ_LTM,L$472,L$2)</f>
        <v>9.1025500000000008</v>
      </c>
      <c r="M477" s="20">
        <f>_xll.ciqfunctions.udf.CIQAVG(InputTicker, "IQ_PBV",[0]!IQ_LTM,M$472,M$2)</f>
        <v>10.048439999999999</v>
      </c>
      <c r="N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  <c r="BJ477" s="42"/>
      <c r="BK477" s="42"/>
      <c r="BL477" s="42"/>
      <c r="BM477" s="42"/>
      <c r="BN477" s="42"/>
    </row>
    <row r="478" spans="1:66" ht="12.75" customHeight="1" x14ac:dyDescent="0.2">
      <c r="A478" s="19" t="s">
        <v>273</v>
      </c>
      <c r="B478" s="20" t="str">
        <f>_xll.ciqfunctions.udf.CIQAVG(InputTicker, "IQ_PTBV",[0]!IQ_LTM,B$472,B$2)</f>
        <v>NM</v>
      </c>
      <c r="C478" s="20" t="str">
        <f>_xll.ciqfunctions.udf.CIQAVG(InputTicker, "IQ_PTBV",[0]!IQ_LTM,C$472,C$2)</f>
        <v>NM</v>
      </c>
      <c r="D478" s="20" t="str">
        <f>_xll.ciqfunctions.udf.CIQAVG(InputTicker, "IQ_PTBV",[0]!IQ_LTM,D$472,D$2)</f>
        <v>NM</v>
      </c>
      <c r="E478" s="20" t="str">
        <f>_xll.ciqfunctions.udf.CIQAVG(InputTicker, "IQ_PTBV",[0]!IQ_LTM,E$472,E$2)</f>
        <v>NM</v>
      </c>
      <c r="F478" s="20" t="str">
        <f>_xll.ciqfunctions.udf.CIQAVG(InputTicker, "IQ_PTBV",[0]!IQ_LTM,F$472,F$2)</f>
        <v>NM</v>
      </c>
      <c r="G478" s="20" t="str">
        <f>_xll.ciqfunctions.udf.CIQAVG(InputTicker, "IQ_PTBV",[0]!IQ_LTM,G$472,G$2)</f>
        <v>NM</v>
      </c>
      <c r="H478" s="20" t="str">
        <f>_xll.ciqfunctions.udf.CIQAVG(InputTicker, "IQ_PTBV",[0]!IQ_LTM,H$472,H$2)</f>
        <v>NM</v>
      </c>
      <c r="I478" s="20" t="str">
        <f>_xll.ciqfunctions.udf.CIQAVG(InputTicker, "IQ_PTBV",[0]!IQ_LTM,I$472,I$2)</f>
        <v>NM</v>
      </c>
      <c r="J478" s="20" t="str">
        <f>_xll.ciqfunctions.udf.CIQAVG(InputTicker, "IQ_PTBV",[0]!IQ_LTM,J$472,J$2)</f>
        <v>NM</v>
      </c>
      <c r="K478" s="20" t="str">
        <f>_xll.ciqfunctions.udf.CIQAVG(InputTicker, "IQ_PTBV",[0]!IQ_LTM,K$472,K$2)</f>
        <v>NM</v>
      </c>
      <c r="L478" s="20" t="str">
        <f>_xll.ciqfunctions.udf.CIQAVG(InputTicker, "IQ_PTBV",[0]!IQ_LTM,L$472,L$2)</f>
        <v>NM</v>
      </c>
      <c r="M478" s="20" t="str">
        <f>_xll.ciqfunctions.udf.CIQAVG(InputTicker, "IQ_PTBV",[0]!IQ_LTM,M$472,M$2)</f>
        <v>NM</v>
      </c>
      <c r="N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  <c r="AK478" s="42"/>
      <c r="AL478" s="42"/>
      <c r="AM478" s="42"/>
      <c r="AN478" s="42"/>
      <c r="AO478" s="42"/>
      <c r="AP478" s="42"/>
      <c r="AQ478" s="42"/>
      <c r="AR478" s="42"/>
      <c r="AS478" s="42"/>
      <c r="AT478" s="42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  <c r="BJ478" s="42"/>
      <c r="BK478" s="42"/>
      <c r="BL478" s="42"/>
      <c r="BM478" s="42"/>
      <c r="BN478" s="42"/>
    </row>
    <row r="479" spans="1:66" ht="12.75" customHeight="1" x14ac:dyDescent="0.2">
      <c r="A479" s="19" t="s">
        <v>227</v>
      </c>
      <c r="B479" s="4">
        <f>_xll.ciqfunctions.udf.CIQ(InputTicker, "IQ_RETURN_ASSETS",Input!D$2,Date)</f>
        <v>9.0646000000000004</v>
      </c>
      <c r="C479" s="4">
        <f>_xll.ciqfunctions.udf.CIQ(InputTicker, "IQ_RETURN_ASSETS",Input!E$2,Date)</f>
        <v>7.7698</v>
      </c>
      <c r="D479" s="4">
        <f>_xll.ciqfunctions.udf.CIQ(InputTicker, "IQ_RETURN_ASSETS",Input!F$2,Date)</f>
        <v>6.0134999999999996</v>
      </c>
      <c r="E479" s="4">
        <f>_xll.ciqfunctions.udf.CIQ(InputTicker, "IQ_RETURN_ASSETS",Input!G$2,Date)</f>
        <v>6.6425000000000001</v>
      </c>
      <c r="F479" s="4">
        <f>_xll.ciqfunctions.udf.CIQ(InputTicker, "IQ_RETURN_ASSETS",Input!H$2,Date)</f>
        <v>3.4197000000000002</v>
      </c>
      <c r="G479" s="4">
        <f>_xll.ciqfunctions.udf.CIQ(InputTicker, "IQ_RETURN_ASSETS",Input!I$2,Date)</f>
        <v>1.891</v>
      </c>
      <c r="H479" s="4">
        <f>_xll.ciqfunctions.udf.CIQ(InputTicker, "IQ_RETURN_ASSETS",Input!J$2,Date)</f>
        <v>2.4234</v>
      </c>
      <c r="I479" s="4">
        <f>_xll.ciqfunctions.udf.CIQ(InputTicker, "IQ_RETURN_ASSETS",Input!K$2,Date)</f>
        <v>3.6263999999999998</v>
      </c>
      <c r="J479" s="4">
        <f>_xll.ciqfunctions.udf.CIQ(InputTicker, "IQ_RETURN_ASSETS",Input!L$2,Date)</f>
        <v>4.4863999999999997</v>
      </c>
      <c r="K479" s="4">
        <f>_xll.ciqfunctions.udf.CIQ(InputTicker, "IQ_RETURN_ASSETS",Input!M$2,Date)</f>
        <v>4.4912000000000001</v>
      </c>
      <c r="L479" s="4">
        <f>_xll.ciqfunctions.udf.CIQ(InputTicker, "IQ_RETURN_ASSETS",Input!N$2,Date)</f>
        <v>5.4348999999999998</v>
      </c>
      <c r="M479" s="4">
        <f>_xll.ciqfunctions.udf.CIQ(InputTicker, "IQ_RETURN_ASSETS",Input!O$2,Date)</f>
        <v>5.4348999999999998</v>
      </c>
      <c r="N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  <c r="BJ479" s="42"/>
      <c r="BK479" s="42"/>
      <c r="BL479" s="42"/>
      <c r="BM479" s="42"/>
      <c r="BN479" s="42"/>
    </row>
    <row r="480" spans="1:66" ht="12.75" customHeight="1" x14ac:dyDescent="0.2">
      <c r="A480" s="19" t="s">
        <v>228</v>
      </c>
      <c r="B480" s="4">
        <f>_xll.ciqfunctions.udf.CIQ(InputTicker, "IQ_RETURN_CAPITAL",Input!D$2,Date)</f>
        <v>19.286100000000001</v>
      </c>
      <c r="C480" s="4">
        <f>_xll.ciqfunctions.udf.CIQ(InputTicker, "IQ_RETURN_CAPITAL",Input!E$2,Date)</f>
        <v>15.4177</v>
      </c>
      <c r="D480" s="4">
        <f>_xll.ciqfunctions.udf.CIQ(InputTicker, "IQ_RETURN_CAPITAL",Input!F$2,Date)</f>
        <v>11.667899999999999</v>
      </c>
      <c r="E480" s="4">
        <f>_xll.ciqfunctions.udf.CIQ(InputTicker, "IQ_RETURN_CAPITAL",Input!G$2,Date)</f>
        <v>12.976599999999999</v>
      </c>
      <c r="F480" s="4">
        <f>_xll.ciqfunctions.udf.CIQ(InputTicker, "IQ_RETURN_CAPITAL",Input!H$2,Date)</f>
        <v>6.2045000000000003</v>
      </c>
      <c r="G480" s="4">
        <f>_xll.ciqfunctions.udf.CIQ(InputTicker, "IQ_RETURN_CAPITAL",Input!I$2,Date)</f>
        <v>3.3308</v>
      </c>
      <c r="H480" s="4">
        <f>_xll.ciqfunctions.udf.CIQ(InputTicker, "IQ_RETURN_CAPITAL",Input!J$2,Date)</f>
        <v>4.3630000000000004</v>
      </c>
      <c r="I480" s="4">
        <f>_xll.ciqfunctions.udf.CIQ(InputTicker, "IQ_RETURN_CAPITAL",Input!K$2,Date)</f>
        <v>6.2603999999999997</v>
      </c>
      <c r="J480" s="4">
        <f>_xll.ciqfunctions.udf.CIQ(InputTicker, "IQ_RETURN_CAPITAL",Input!L$2,Date)</f>
        <v>7.4259000000000004</v>
      </c>
      <c r="K480" s="4">
        <f>_xll.ciqfunctions.udf.CIQ(InputTicker, "IQ_RETURN_CAPITAL",Input!M$2,Date)</f>
        <v>7.2680999999999996</v>
      </c>
      <c r="L480" s="4">
        <f>_xll.ciqfunctions.udf.CIQ(InputTicker, "IQ_RETURN_CAPITAL",Input!N$2,Date)</f>
        <v>8.5782000000000007</v>
      </c>
      <c r="M480" s="4">
        <f>_xll.ciqfunctions.udf.CIQ(InputTicker, "IQ_RETURN_CAPITAL",Input!O$2,Date)</f>
        <v>8.5782000000000007</v>
      </c>
      <c r="N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  <c r="AK480" s="42"/>
      <c r="AL480" s="42"/>
      <c r="AM480" s="42"/>
      <c r="AN480" s="42"/>
      <c r="AO480" s="42"/>
      <c r="AP480" s="42"/>
      <c r="AQ480" s="42"/>
      <c r="AR480" s="42"/>
      <c r="AS480" s="42"/>
      <c r="AT480" s="42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  <c r="BJ480" s="42"/>
      <c r="BK480" s="42"/>
      <c r="BL480" s="42"/>
      <c r="BM480" s="42"/>
      <c r="BN480" s="42"/>
    </row>
    <row r="481" spans="1:66" ht="12.75" customHeight="1" x14ac:dyDescent="0.2">
      <c r="A481" s="19" t="s">
        <v>229</v>
      </c>
      <c r="B481" s="4">
        <f>_xll.ciqfunctions.udf.CIQ(InputTicker,  "IQ_RETURN_EQUITY",Input!D$2,Date)</f>
        <v>101.09690000000001</v>
      </c>
      <c r="C481" s="4">
        <f>_xll.ciqfunctions.udf.CIQ(InputTicker,  "IQ_RETURN_EQUITY",Input!E$2,Date)</f>
        <v>72.409800000000004</v>
      </c>
      <c r="D481" s="4">
        <f>_xll.ciqfunctions.udf.CIQ(InputTicker,  "IQ_RETURN_EQUITY",Input!F$2,Date)</f>
        <v>31.885200000000001</v>
      </c>
      <c r="E481" s="4">
        <f>_xll.ciqfunctions.udf.CIQ(InputTicker,  "IQ_RETURN_EQUITY",Input!G$2,Date)</f>
        <v>50.341900000000003</v>
      </c>
      <c r="F481" s="4">
        <f>_xll.ciqfunctions.udf.CIQ(InputTicker,  "IQ_RETURN_EQUITY",Input!H$2,Date)</f>
        <v>37.694800000000001</v>
      </c>
      <c r="G481" s="4">
        <f>_xll.ciqfunctions.udf.CIQ(InputTicker,  "IQ_RETURN_EQUITY",Input!I$2,Date)</f>
        <v>18.8535</v>
      </c>
      <c r="H481" s="4">
        <f>_xll.ciqfunctions.udf.CIQ(InputTicker,  "IQ_RETURN_EQUITY",Input!J$2,Date)</f>
        <v>23.729900000000001</v>
      </c>
      <c r="I481" s="4">
        <f>_xll.ciqfunctions.udf.CIQ(InputTicker,  "IQ_RETURN_EQUITY",Input!K$2,Date)</f>
        <v>8.6890000000000001</v>
      </c>
      <c r="J481" s="4">
        <f>_xll.ciqfunctions.udf.CIQ(InputTicker,  "IQ_RETURN_EQUITY",Input!L$2,Date)</f>
        <v>33.669400000000003</v>
      </c>
      <c r="K481" s="4">
        <f>_xll.ciqfunctions.udf.CIQ(InputTicker,  "IQ_RETURN_EQUITY",Input!M$2,Date)</f>
        <v>24.057099999999998</v>
      </c>
      <c r="L481" s="4">
        <f>_xll.ciqfunctions.udf.CIQ(InputTicker,  "IQ_RETURN_EQUITY",Input!N$2,Date)</f>
        <v>35.158099999999997</v>
      </c>
      <c r="M481" s="4">
        <f>_xll.ciqfunctions.udf.CIQ(InputTicker,  "IQ_RETURN_EQUITY",Input!O$2,Date)</f>
        <v>35.158099999999997</v>
      </c>
      <c r="N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  <c r="BJ481" s="42"/>
      <c r="BK481" s="42"/>
      <c r="BL481" s="42"/>
      <c r="BM481" s="42"/>
      <c r="BN481" s="42"/>
    </row>
    <row r="482" spans="1:66" ht="12.75" customHeight="1" x14ac:dyDescent="0.2">
      <c r="A482" s="19" t="s">
        <v>425</v>
      </c>
      <c r="B482" s="4">
        <f>_xll.ciqfunctions.udf.CIQ(InputTicker,  "IQ_RETURN_COMMON_EQUITY",Input!D$2,Date)</f>
        <v>102.2885</v>
      </c>
      <c r="C482" s="4">
        <f>_xll.ciqfunctions.udf.CIQ(InputTicker,  "IQ_RETURN_COMMON_EQUITY",Input!E$2,Date)</f>
        <v>73.095799999999997</v>
      </c>
      <c r="D482" s="4">
        <f>_xll.ciqfunctions.udf.CIQ(InputTicker,  "IQ_RETURN_COMMON_EQUITY",Input!F$2,Date)</f>
        <v>32.131599999999999</v>
      </c>
      <c r="E482" s="4">
        <f>_xll.ciqfunctions.udf.CIQ(InputTicker,  "IQ_RETURN_COMMON_EQUITY",Input!G$2,Date)</f>
        <v>50.729799999999997</v>
      </c>
      <c r="F482" s="4">
        <f>_xll.ciqfunctions.udf.CIQ(InputTicker,  "IQ_RETURN_COMMON_EQUITY",Input!H$2,Date)</f>
        <v>37.973199999999999</v>
      </c>
      <c r="G482" s="4">
        <f>_xll.ciqfunctions.udf.CIQ(InputTicker,  "IQ_RETURN_COMMON_EQUITY",Input!I$2,Date)</f>
        <v>18.977699999999999</v>
      </c>
      <c r="H482" s="4">
        <f>_xll.ciqfunctions.udf.CIQ(InputTicker,  "IQ_RETURN_COMMON_EQUITY",Input!J$2,Date)</f>
        <v>23.8644</v>
      </c>
      <c r="I482" s="4">
        <f>_xll.ciqfunctions.udf.CIQ(InputTicker,  "IQ_RETURN_COMMON_EQUITY",Input!K$2,Date)</f>
        <v>8.7256</v>
      </c>
      <c r="J482" s="4">
        <f>_xll.ciqfunctions.udf.CIQ(InputTicker,  "IQ_RETURN_COMMON_EQUITY",Input!L$2,Date)</f>
        <v>33.788200000000003</v>
      </c>
      <c r="K482" s="4">
        <f>_xll.ciqfunctions.udf.CIQ(InputTicker,  "IQ_RETURN_COMMON_EQUITY",Input!M$2,Date)</f>
        <v>24.1372</v>
      </c>
      <c r="L482" s="4">
        <f>_xll.ciqfunctions.udf.CIQ(InputTicker,  "IQ_RETURN_COMMON_EQUITY",Input!N$2,Date)</f>
        <v>35.263100000000001</v>
      </c>
      <c r="M482" s="4">
        <f>_xll.ciqfunctions.udf.CIQ(InputTicker,  "IQ_RETURN_COMMON_EQUITY",Input!O$2,Date)</f>
        <v>35.263100000000001</v>
      </c>
      <c r="N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  <c r="AK482" s="42"/>
      <c r="AL482" s="42"/>
      <c r="AM482" s="42"/>
      <c r="AN482" s="42"/>
      <c r="AO482" s="42"/>
      <c r="AP482" s="42"/>
      <c r="AQ482" s="42"/>
      <c r="AR482" s="42"/>
      <c r="AS482" s="42"/>
      <c r="AT482" s="42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  <c r="BJ482" s="42"/>
      <c r="BK482" s="42"/>
      <c r="BL482" s="42"/>
      <c r="BM482" s="42"/>
      <c r="BN482" s="42"/>
    </row>
    <row r="483" spans="1:66" ht="12.75" customHeight="1" x14ac:dyDescent="0.2">
      <c r="A483" s="19" t="s">
        <v>230</v>
      </c>
      <c r="B483" s="4">
        <f>_xll.ciqfunctions.udf.CIQ(InputTicker, "IQ_GROSS_MARGIN",Input!D$2,Date)</f>
        <v>49.771799999999999</v>
      </c>
      <c r="C483" s="4">
        <f>_xll.ciqfunctions.udf.CIQ(InputTicker, "IQ_GROSS_MARGIN",Input!E$2,Date)</f>
        <v>48.195</v>
      </c>
      <c r="D483" s="4">
        <f>_xll.ciqfunctions.udf.CIQ(InputTicker, "IQ_GROSS_MARGIN",Input!F$2,Date)</f>
        <v>46.681100000000001</v>
      </c>
      <c r="E483" s="4">
        <f>_xll.ciqfunctions.udf.CIQ(InputTicker, "IQ_GROSS_MARGIN",Input!G$2,Date)</f>
        <v>46.408499999999997</v>
      </c>
      <c r="F483" s="4">
        <f>_xll.ciqfunctions.udf.CIQ(InputTicker, "IQ_GROSS_MARGIN",Input!H$2,Date)</f>
        <v>54.638300000000001</v>
      </c>
      <c r="G483" s="4">
        <f>_xll.ciqfunctions.udf.CIQ(InputTicker, "IQ_GROSS_MARGIN",Input!I$2,Date)</f>
        <v>55.936100000000003</v>
      </c>
      <c r="H483" s="4">
        <f>_xll.ciqfunctions.udf.CIQ(InputTicker, "IQ_GROSS_MARGIN",Input!J$2,Date)</f>
        <v>54.900500000000001</v>
      </c>
      <c r="I483" s="4">
        <f>_xll.ciqfunctions.udf.CIQ(InputTicker, "IQ_GROSS_MARGIN",Input!K$2,Date)</f>
        <v>54.002899999999997</v>
      </c>
      <c r="J483" s="4">
        <f>_xll.ciqfunctions.udf.CIQ(InputTicker, "IQ_GROSS_MARGIN",Input!L$2,Date)</f>
        <v>55.447699999999998</v>
      </c>
      <c r="K483" s="4">
        <f>_xll.ciqfunctions.udf.CIQ(InputTicker, "IQ_GROSS_MARGIN",Input!M$2,Date)</f>
        <v>56.653799999999997</v>
      </c>
      <c r="L483" s="4">
        <f>_xll.ciqfunctions.udf.CIQ(InputTicker, "IQ_GROSS_MARGIN",Input!N$2,Date)</f>
        <v>58.186100000000003</v>
      </c>
      <c r="M483" s="4">
        <f>_xll.ciqfunctions.udf.CIQ(InputTicker, "IQ_GROSS_MARGIN",Input!O$2,Date)</f>
        <v>58.186100000000003</v>
      </c>
      <c r="N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  <c r="AK483" s="42"/>
      <c r="AL483" s="42"/>
      <c r="AM483" s="42"/>
      <c r="AN483" s="42"/>
      <c r="AO483" s="42"/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  <c r="BJ483" s="42"/>
      <c r="BK483" s="42"/>
      <c r="BL483" s="42"/>
      <c r="BM483" s="42"/>
      <c r="BN483" s="42"/>
    </row>
    <row r="484" spans="1:66" ht="12.75" customHeight="1" x14ac:dyDescent="0.2">
      <c r="A484" s="19" t="s">
        <v>231</v>
      </c>
      <c r="B484" s="4">
        <f>_xll.ciqfunctions.udf.CIQ(InputTicker,  "IQ_EBITDA_MARGIN",Input!D$2,Date)</f>
        <v>24.922599999999999</v>
      </c>
      <c r="C484" s="4">
        <f>_xll.ciqfunctions.udf.CIQ(InputTicker,  "IQ_EBITDA_MARGIN",Input!E$2,Date)</f>
        <v>23.212199999999999</v>
      </c>
      <c r="D484" s="4">
        <f>_xll.ciqfunctions.udf.CIQ(InputTicker,  "IQ_EBITDA_MARGIN",Input!F$2,Date)</f>
        <v>20.499300000000002</v>
      </c>
      <c r="E484" s="4">
        <f>_xll.ciqfunctions.udf.CIQ(InputTicker,  "IQ_EBITDA_MARGIN",Input!G$2,Date)</f>
        <v>22.2361</v>
      </c>
      <c r="F484" s="4">
        <f>_xll.ciqfunctions.udf.CIQ(InputTicker,  "IQ_EBITDA_MARGIN",Input!H$2,Date)</f>
        <v>23.561</v>
      </c>
      <c r="G484" s="4">
        <f>_xll.ciqfunctions.udf.CIQ(InputTicker,  "IQ_EBITDA_MARGIN",Input!I$2,Date)</f>
        <v>20.582100000000001</v>
      </c>
      <c r="H484" s="4">
        <f>_xll.ciqfunctions.udf.CIQ(InputTicker,  "IQ_EBITDA_MARGIN",Input!J$2,Date)</f>
        <v>19.718900000000001</v>
      </c>
      <c r="I484" s="4">
        <f>_xll.ciqfunctions.udf.CIQ(InputTicker,  "IQ_EBITDA_MARGIN",Input!K$2,Date)</f>
        <v>17.800999999999998</v>
      </c>
      <c r="J484" s="4">
        <f>_xll.ciqfunctions.udf.CIQ(InputTicker,  "IQ_EBITDA_MARGIN",Input!L$2,Date)</f>
        <v>19.814</v>
      </c>
      <c r="K484" s="4">
        <f>_xll.ciqfunctions.udf.CIQ(InputTicker,  "IQ_EBITDA_MARGIN",Input!M$2,Date)</f>
        <v>20.534400000000002</v>
      </c>
      <c r="L484" s="4">
        <f>_xll.ciqfunctions.udf.CIQ(InputTicker,  "IQ_EBITDA_MARGIN",Input!N$2,Date)</f>
        <v>23.866099999999999</v>
      </c>
      <c r="M484" s="4">
        <f>_xll.ciqfunctions.udf.CIQ(InputTicker,  "IQ_EBITDA_MARGIN",Input!O$2,Date)</f>
        <v>23.866099999999999</v>
      </c>
      <c r="N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  <c r="BJ484" s="42"/>
      <c r="BK484" s="42"/>
      <c r="BL484" s="42"/>
      <c r="BM484" s="42"/>
      <c r="BN484" s="42"/>
    </row>
    <row r="485" spans="1:66" ht="12.75" customHeight="1" x14ac:dyDescent="0.2">
      <c r="A485" s="19" t="s">
        <v>232</v>
      </c>
      <c r="B485" s="4">
        <f>_xll.ciqfunctions.udf.CIQ(InputTicker, "IQ_EBIT_MARGIN",Input!D$2,Date)</f>
        <v>20.206499999999998</v>
      </c>
      <c r="C485" s="4">
        <f>_xll.ciqfunctions.udf.CIQ(InputTicker, "IQ_EBIT_MARGIN",Input!E$2,Date)</f>
        <v>17.730399999999999</v>
      </c>
      <c r="D485" s="4">
        <f>_xll.ciqfunctions.udf.CIQ(InputTicker, "IQ_EBIT_MARGIN",Input!F$2,Date)</f>
        <v>14.7613</v>
      </c>
      <c r="E485" s="4">
        <f>_xll.ciqfunctions.udf.CIQ(InputTicker, "IQ_EBIT_MARGIN",Input!G$2,Date)</f>
        <v>16.607399999999998</v>
      </c>
      <c r="F485" s="4">
        <f>_xll.ciqfunctions.udf.CIQ(InputTicker, "IQ_EBIT_MARGIN",Input!H$2,Date)</f>
        <v>13.0626</v>
      </c>
      <c r="G485" s="4">
        <f>_xll.ciqfunctions.udf.CIQ(InputTicker, "IQ_EBIT_MARGIN",Input!I$2,Date)</f>
        <v>8.4488000000000003</v>
      </c>
      <c r="H485" s="4">
        <f>_xll.ciqfunctions.udf.CIQ(InputTicker, "IQ_EBIT_MARGIN",Input!J$2,Date)</f>
        <v>9.7347000000000001</v>
      </c>
      <c r="I485" s="4">
        <f>_xll.ciqfunctions.udf.CIQ(InputTicker, "IQ_EBIT_MARGIN",Input!K$2,Date)</f>
        <v>12.4252</v>
      </c>
      <c r="J485" s="4">
        <f>_xll.ciqfunctions.udf.CIQ(InputTicker, "IQ_EBIT_MARGIN",Input!L$2,Date)</f>
        <v>15.2295</v>
      </c>
      <c r="K485" s="4">
        <f>_xll.ciqfunctions.udf.CIQ(InputTicker, "IQ_EBIT_MARGIN",Input!M$2,Date)</f>
        <v>15.5976</v>
      </c>
      <c r="L485" s="4">
        <f>_xll.ciqfunctions.udf.CIQ(InputTicker, "IQ_EBIT_MARGIN",Input!N$2,Date)</f>
        <v>18.6096</v>
      </c>
      <c r="M485" s="4">
        <f>_xll.ciqfunctions.udf.CIQ(InputTicker, "IQ_EBIT_MARGIN",Input!O$2,Date)</f>
        <v>18.6096</v>
      </c>
      <c r="N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  <c r="AK485" s="42"/>
      <c r="AL485" s="42"/>
      <c r="AM485" s="42"/>
      <c r="AN485" s="42"/>
      <c r="AO485" s="42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  <c r="BJ485" s="42"/>
      <c r="BK485" s="42"/>
      <c r="BL485" s="42"/>
      <c r="BM485" s="42"/>
      <c r="BN485" s="42"/>
    </row>
    <row r="486" spans="1:66" ht="12.75" customHeight="1" x14ac:dyDescent="0.2">
      <c r="A486" s="19" t="s">
        <v>233</v>
      </c>
      <c r="B486" s="4">
        <f>_xll.ciqfunctions.udf.CIQ(InputTicker, "IQ_NI_MARGIN",Input!D$2,Date)</f>
        <v>16.136299999999999</v>
      </c>
      <c r="C486" s="4">
        <f>_xll.ciqfunctions.udf.CIQ(InputTicker, "IQ_NI_MARGIN",Input!E$2,Date)</f>
        <v>14.855</v>
      </c>
      <c r="D486" s="4">
        <f>_xll.ciqfunctions.udf.CIQ(InputTicker, "IQ_NI_MARGIN",Input!F$2,Date)</f>
        <v>7.2694000000000001</v>
      </c>
      <c r="E486" s="4">
        <f>_xll.ciqfunctions.udf.CIQ(InputTicker, "IQ_NI_MARGIN",Input!G$2,Date)</f>
        <v>10.965999999999999</v>
      </c>
      <c r="F486" s="4">
        <f>_xll.ciqfunctions.udf.CIQ(InputTicker, "IQ_NI_MARGIN",Input!H$2,Date)</f>
        <v>16.340900000000001</v>
      </c>
      <c r="G486" s="4">
        <f>_xll.ciqfunctions.udf.CIQ(InputTicker, "IQ_NI_MARGIN",Input!I$2,Date)</f>
        <v>10.130599999999999</v>
      </c>
      <c r="H486" s="4">
        <f>_xll.ciqfunctions.udf.CIQ(InputTicker, "IQ_NI_MARGIN",Input!J$2,Date)</f>
        <v>10.0137</v>
      </c>
      <c r="I486" s="4">
        <f>_xll.ciqfunctions.udf.CIQ(InputTicker, "IQ_NI_MARGIN",Input!K$2,Date)</f>
        <v>2.7077</v>
      </c>
      <c r="J486" s="4">
        <f>_xll.ciqfunctions.udf.CIQ(InputTicker, "IQ_NI_MARGIN",Input!L$2,Date)</f>
        <v>12.1273</v>
      </c>
      <c r="K486" s="4">
        <f>_xll.ciqfunctions.udf.CIQ(InputTicker, "IQ_NI_MARGIN",Input!M$2,Date)</f>
        <v>9.5978999999999992</v>
      </c>
      <c r="L486" s="4">
        <f>_xll.ciqfunctions.udf.CIQ(InputTicker, "IQ_NI_MARGIN",Input!N$2,Date)</f>
        <v>15.6852</v>
      </c>
      <c r="M486" s="4">
        <f>_xll.ciqfunctions.udf.CIQ(InputTicker, "IQ_NI_MARGIN",Input!O$2,Date)</f>
        <v>15.6852</v>
      </c>
      <c r="N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  <c r="AK486" s="42"/>
      <c r="AL486" s="42"/>
      <c r="AM486" s="42"/>
      <c r="AN486" s="42"/>
      <c r="AO486" s="42"/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  <c r="BJ486" s="42"/>
      <c r="BK486" s="42"/>
      <c r="BL486" s="42"/>
      <c r="BM486" s="42"/>
      <c r="BN486" s="42"/>
    </row>
    <row r="487" spans="1:66" ht="12.75" customHeight="1" x14ac:dyDescent="0.2">
      <c r="A487" s="19" t="s">
        <v>434</v>
      </c>
      <c r="B487" s="21">
        <f>_xll.ciqfunctions.udf.CIQ(InputTicker, "IQ_CAPEX_PCT_REV",Input!D$2,Date)</f>
        <v>4.3784000000000001</v>
      </c>
      <c r="C487" s="21">
        <f>_xll.ciqfunctions.udf.CIQ(InputTicker, "IQ_CAPEX_PCT_REV",Input!E$2,Date)</f>
        <v>4.4631999999999996</v>
      </c>
      <c r="D487" s="21">
        <f>_xll.ciqfunctions.udf.CIQ(InputTicker, "IQ_CAPEX_PCT_REV",Input!F$2,Date)</f>
        <v>4.0800999999999998</v>
      </c>
      <c r="E487" s="21">
        <f>_xll.ciqfunctions.udf.CIQ(InputTicker, "IQ_CAPEX_PCT_REV",Input!G$2,Date)</f>
        <v>4.2655000000000003</v>
      </c>
      <c r="F487" s="21">
        <f>_xll.ciqfunctions.udf.CIQ(InputTicker, "IQ_CAPEX_PCT_REV",Input!H$2,Date)</f>
        <v>3.9609000000000001</v>
      </c>
      <c r="G487" s="21">
        <f>_xll.ciqfunctions.udf.CIQ(InputTicker, "IQ_CAPEX_PCT_REV",Input!I$2,Date)</f>
        <v>4.7445000000000004</v>
      </c>
      <c r="H487" s="21">
        <f>_xll.ciqfunctions.udf.CIQ(InputTicker, "IQ_CAPEX_PCT_REV",Input!J$2,Date)</f>
        <v>3.5954000000000002</v>
      </c>
      <c r="I487" s="21">
        <f>_xll.ciqfunctions.udf.CIQ(InputTicker, "IQ_CAPEX_PCT_REV",Input!K$2,Date)</f>
        <v>2.2235999999999998</v>
      </c>
      <c r="J487" s="21">
        <f>_xll.ciqfunctions.udf.CIQ(InputTicker, "IQ_CAPEX_PCT_REV",Input!L$2,Date)</f>
        <v>2.0125999999999999</v>
      </c>
      <c r="K487" s="21">
        <f>_xll.ciqfunctions.udf.CIQ(InputTicker, "IQ_CAPEX_PCT_REV",Input!M$2,Date)</f>
        <v>1.67</v>
      </c>
      <c r="L487" s="21">
        <f>_xll.ciqfunctions.udf.CIQ(InputTicker, "IQ_CAPEX_PCT_REV",Input!N$2,Date)</f>
        <v>1.6153999999999999</v>
      </c>
      <c r="M487" s="21">
        <f>_xll.ciqfunctions.udf.CIQ(InputTicker, "IQ_CAPEX_PCT_REV",Input!O$2,Date)</f>
        <v>1.6153999999999999</v>
      </c>
      <c r="N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  <c r="BJ487" s="42"/>
      <c r="BK487" s="42"/>
      <c r="BL487" s="42"/>
      <c r="BM487" s="42"/>
      <c r="BN487" s="42"/>
    </row>
    <row r="488" spans="1:66" ht="12.75" customHeight="1" x14ac:dyDescent="0.2">
      <c r="A488" s="19" t="s">
        <v>234</v>
      </c>
      <c r="B488" s="20">
        <f>_xll.ciqfunctions.udf.CIQ(InputTicker, "IQ_ASSET_TURNS",Input!D$2,Date)</f>
        <v>0.71775999999999995</v>
      </c>
      <c r="C488" s="20">
        <f>_xll.ciqfunctions.udf.CIQ(InputTicker, "IQ_ASSET_TURNS",Input!E$2,Date)</f>
        <v>0.70115000000000005</v>
      </c>
      <c r="D488" s="20">
        <f>_xll.ciqfunctions.udf.CIQ(InputTicker, "IQ_ASSET_TURNS",Input!F$2,Date)</f>
        <v>0.65181999999999995</v>
      </c>
      <c r="E488" s="20">
        <f>_xll.ciqfunctions.udf.CIQ(InputTicker, "IQ_ASSET_TURNS",Input!G$2,Date)</f>
        <v>0.63995999999999997</v>
      </c>
      <c r="F488" s="20">
        <f>_xll.ciqfunctions.udf.CIQ(InputTicker, "IQ_ASSET_TURNS",Input!H$2,Date)</f>
        <v>0.41887000000000002</v>
      </c>
      <c r="G488" s="20">
        <f>_xll.ciqfunctions.udf.CIQ(InputTicker, "IQ_ASSET_TURNS",Input!I$2,Date)</f>
        <v>0.35811999999999999</v>
      </c>
      <c r="H488" s="20">
        <f>_xll.ciqfunctions.udf.CIQ(InputTicker, "IQ_ASSET_TURNS",Input!J$2,Date)</f>
        <v>0.39831</v>
      </c>
      <c r="I488" s="20">
        <f>_xll.ciqfunctions.udf.CIQ(InputTicker, "IQ_ASSET_TURNS",Input!K$2,Date)</f>
        <v>0.46697</v>
      </c>
      <c r="J488" s="20">
        <f>_xll.ciqfunctions.udf.CIQ(InputTicker, "IQ_ASSET_TURNS",Input!L$2,Date)</f>
        <v>0.47133999999999998</v>
      </c>
      <c r="K488" s="20">
        <f>_xll.ciqfunctions.udf.CIQ(InputTicker, "IQ_ASSET_TURNS",Input!M$2,Date)</f>
        <v>0.46071000000000001</v>
      </c>
      <c r="L488" s="20">
        <f>_xll.ciqfunctions.udf.CIQ(InputTicker, "IQ_ASSET_TURNS",Input!N$2,Date)</f>
        <v>0.46727999999999997</v>
      </c>
      <c r="M488" s="20">
        <f>_xll.ciqfunctions.udf.CIQ(InputTicker, "IQ_ASSET_TURNS",Input!O$2,Date)</f>
        <v>0.46727999999999997</v>
      </c>
      <c r="N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  <c r="AK488" s="42"/>
      <c r="AL488" s="42"/>
      <c r="AM488" s="42"/>
      <c r="AN488" s="42"/>
      <c r="AO488" s="42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  <c r="BJ488" s="42"/>
      <c r="BK488" s="42"/>
      <c r="BL488" s="42"/>
      <c r="BM488" s="42"/>
      <c r="BN488" s="42"/>
    </row>
    <row r="489" spans="1:66" ht="12.75" customHeight="1" x14ac:dyDescent="0.2">
      <c r="A489" s="19" t="s">
        <v>235</v>
      </c>
      <c r="B489" s="20">
        <f>_xll.ciqfunctions.udf.CIQ(InputTicker,  "IQ_FIXED_ASSET_TURNS",Input!D$2,Date)</f>
        <v>7.6045199999999999</v>
      </c>
      <c r="C489" s="20">
        <f>_xll.ciqfunctions.udf.CIQ(InputTicker,  "IQ_FIXED_ASSET_TURNS",Input!E$2,Date)</f>
        <v>7.4146700000000001</v>
      </c>
      <c r="D489" s="20">
        <f>_xll.ciqfunctions.udf.CIQ(InputTicker,  "IQ_FIXED_ASSET_TURNS",Input!F$2,Date)</f>
        <v>7.2121599999999999</v>
      </c>
      <c r="E489" s="20">
        <f>_xll.ciqfunctions.udf.CIQ(InputTicker,  "IQ_FIXED_ASSET_TURNS",Input!G$2,Date)</f>
        <v>7.26593</v>
      </c>
      <c r="F489" s="20">
        <f>_xll.ciqfunctions.udf.CIQ(InputTicker,  "IQ_FIXED_ASSET_TURNS",Input!H$2,Date)</f>
        <v>4.4743000000000004</v>
      </c>
      <c r="G489" s="20">
        <f>_xll.ciqfunctions.udf.CIQ(InputTicker,  "IQ_FIXED_ASSET_TURNS",Input!I$2,Date)</f>
        <v>4.4540499999999996</v>
      </c>
      <c r="H489" s="20">
        <f>_xll.ciqfunctions.udf.CIQ(InputTicker,  "IQ_FIXED_ASSET_TURNS",Input!J$2,Date)</f>
        <v>6.1380600000000003</v>
      </c>
      <c r="I489" s="20">
        <f>_xll.ciqfunctions.udf.CIQ(InputTicker,  "IQ_FIXED_ASSET_TURNS",Input!K$2,Date)</f>
        <v>7.0679600000000002</v>
      </c>
      <c r="J489" s="20">
        <f>_xll.ciqfunctions.udf.CIQ(InputTicker,  "IQ_FIXED_ASSET_TURNS",Input!L$2,Date)</f>
        <v>7.3064400000000003</v>
      </c>
      <c r="K489" s="20">
        <f>_xll.ciqfunctions.udf.CIQ(InputTicker,  "IQ_FIXED_ASSET_TURNS",Input!M$2,Date)</f>
        <v>7.1108200000000004</v>
      </c>
      <c r="L489" s="20">
        <f>_xll.ciqfunctions.udf.CIQ(InputTicker,  "IQ_FIXED_ASSET_TURNS",Input!N$2,Date)</f>
        <v>7.5218600000000002</v>
      </c>
      <c r="M489" s="20">
        <f>_xll.ciqfunctions.udf.CIQ(InputTicker,  "IQ_FIXED_ASSET_TURNS",Input!O$2,Date)</f>
        <v>7.5218600000000002</v>
      </c>
      <c r="N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  <c r="BJ489" s="42"/>
      <c r="BK489" s="42"/>
      <c r="BL489" s="42"/>
      <c r="BM489" s="42"/>
      <c r="BN489" s="42"/>
    </row>
    <row r="490" spans="1:66" ht="12.75" customHeight="1" x14ac:dyDescent="0.2">
      <c r="A490" s="19" t="s">
        <v>236</v>
      </c>
      <c r="B490" s="20">
        <f>_xll.ciqfunctions.udf.CIQ(InputTicker, "IQ_AR_TURNS",Input!D$2,Date)</f>
        <v>9.1692599999999995</v>
      </c>
      <c r="C490" s="20">
        <f>_xll.ciqfunctions.udf.CIQ(InputTicker, "IQ_AR_TURNS",Input!E$2,Date)</f>
        <v>8.9306300000000007</v>
      </c>
      <c r="D490" s="20">
        <f>_xll.ciqfunctions.udf.CIQ(InputTicker, "IQ_AR_TURNS",Input!F$2,Date)</f>
        <v>8.3336699999999997</v>
      </c>
      <c r="E490" s="20">
        <f>_xll.ciqfunctions.udf.CIQ(InputTicker, "IQ_AR_TURNS",Input!G$2,Date)</f>
        <v>9.0159000000000002</v>
      </c>
      <c r="F490" s="20">
        <f>_xll.ciqfunctions.udf.CIQ(InputTicker, "IQ_AR_TURNS",Input!H$2,Date)</f>
        <v>6.9476100000000001</v>
      </c>
      <c r="G490" s="20">
        <f>_xll.ciqfunctions.udf.CIQ(InputTicker, "IQ_AR_TURNS",Input!I$2,Date)</f>
        <v>7.4356900000000001</v>
      </c>
      <c r="H490" s="20">
        <f>_xll.ciqfunctions.udf.CIQ(InputTicker, "IQ_AR_TURNS",Input!J$2,Date)</f>
        <v>8.4183000000000003</v>
      </c>
      <c r="I490" s="20">
        <f>_xll.ciqfunctions.udf.CIQ(InputTicker, "IQ_AR_TURNS",Input!K$2,Date)</f>
        <v>8.4158799999999996</v>
      </c>
      <c r="J490" s="20">
        <f>_xll.ciqfunctions.udf.CIQ(InputTicker, "IQ_AR_TURNS",Input!L$2,Date)</f>
        <v>8.3025000000000002</v>
      </c>
      <c r="K490" s="20">
        <f>_xll.ciqfunctions.udf.CIQ(InputTicker, "IQ_AR_TURNS",Input!M$2,Date)</f>
        <v>8.2968700000000002</v>
      </c>
      <c r="L490" s="20">
        <f>_xll.ciqfunctions.udf.CIQ(InputTicker, "IQ_AR_TURNS",Input!N$2,Date)</f>
        <v>8.4390099999999997</v>
      </c>
      <c r="M490" s="20">
        <f>_xll.ciqfunctions.udf.CIQ(InputTicker, "IQ_AR_TURNS",Input!O$2,Date)</f>
        <v>8.4390099999999997</v>
      </c>
      <c r="N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  <c r="AK490" s="42"/>
      <c r="AL490" s="42"/>
      <c r="AM490" s="42"/>
      <c r="AN490" s="42"/>
      <c r="AO490" s="42"/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  <c r="BJ490" s="42"/>
      <c r="BK490" s="42"/>
      <c r="BL490" s="42"/>
      <c r="BM490" s="42"/>
      <c r="BN490" s="42"/>
    </row>
    <row r="491" spans="1:66" ht="12.75" customHeight="1" x14ac:dyDescent="0.2">
      <c r="A491" s="19" t="s">
        <v>237</v>
      </c>
      <c r="B491" s="20">
        <f>_xll.ciqfunctions.udf.CIQ(InputTicker,"IQ_INVENTORY_TURNS",Input!D$2,Date)</f>
        <v>21.918990000000001</v>
      </c>
      <c r="C491" s="20">
        <f>_xll.ciqfunctions.udf.CIQ(InputTicker,"IQ_INVENTORY_TURNS",Input!E$2,Date)</f>
        <v>26.003869999999999</v>
      </c>
      <c r="D491" s="20">
        <f>_xll.ciqfunctions.udf.CIQ(InputTicker,"IQ_INVENTORY_TURNS",Input!F$2,Date)</f>
        <v>26.139030000000002</v>
      </c>
      <c r="E491" s="20">
        <f>_xll.ciqfunctions.udf.CIQ(InputTicker,"IQ_INVENTORY_TURNS",Input!G$2,Date)</f>
        <v>25.434609999999999</v>
      </c>
      <c r="F491" s="20">
        <f>_xll.ciqfunctions.udf.CIQ(InputTicker,"IQ_INVENTORY_TURNS",Input!H$2,Date)</f>
        <v>15.435320000000001</v>
      </c>
      <c r="G491" s="20">
        <f>_xll.ciqfunctions.udf.CIQ(InputTicker,"IQ_INVENTORY_TURNS",Input!I$2,Date)</f>
        <v>13.836779999999999</v>
      </c>
      <c r="H491" s="20">
        <f>_xll.ciqfunctions.udf.CIQ(InputTicker,"IQ_INVENTORY_TURNS",Input!J$2,Date)</f>
        <v>14.637969999999999</v>
      </c>
      <c r="I491" s="20">
        <f>_xll.ciqfunctions.udf.CIQ(InputTicker,"IQ_INVENTORY_TURNS",Input!K$2,Date)</f>
        <v>17.142140000000001</v>
      </c>
      <c r="J491" s="20">
        <f>_xll.ciqfunctions.udf.CIQ(InputTicker,"IQ_INVENTORY_TURNS",Input!L$2,Date)</f>
        <v>20.03539</v>
      </c>
      <c r="K491" s="20">
        <f>_xll.ciqfunctions.udf.CIQ(InputTicker,"IQ_INVENTORY_TURNS",Input!M$2,Date)</f>
        <v>21.903670000000002</v>
      </c>
      <c r="L491" s="20">
        <f>_xll.ciqfunctions.udf.CIQ(InputTicker,"IQ_INVENTORY_TURNS",Input!N$2,Date)</f>
        <v>22.18892</v>
      </c>
      <c r="M491" s="20">
        <f>_xll.ciqfunctions.udf.CIQ(InputTicker,"IQ_INVENTORY_TURNS",Input!O$2,Date)</f>
        <v>22.18892</v>
      </c>
      <c r="N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  <c r="AK491" s="42"/>
      <c r="AL491" s="42"/>
      <c r="AM491" s="42"/>
      <c r="AN491" s="42"/>
      <c r="AO491" s="42"/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  <c r="BJ491" s="42"/>
      <c r="BK491" s="42"/>
      <c r="BL491" s="42"/>
      <c r="BM491" s="42"/>
      <c r="BN491" s="42"/>
    </row>
    <row r="492" spans="1:66" ht="12.75" customHeight="1" x14ac:dyDescent="0.2">
      <c r="A492" s="19" t="s">
        <v>238</v>
      </c>
      <c r="B492" s="20">
        <f>_xll.ciqfunctions.udf.CIQ(InputTicker, "IQ_CURRENT_RATIO",Input!D$2,Date)</f>
        <v>1.2403</v>
      </c>
      <c r="C492" s="20">
        <f>_xll.ciqfunctions.udf.CIQ(InputTicker, "IQ_CURRENT_RATIO",Input!E$2,Date)</f>
        <v>1.2099</v>
      </c>
      <c r="D492" s="20">
        <f>_xll.ciqfunctions.udf.CIQ(InputTicker, "IQ_CURRENT_RATIO",Input!F$2,Date)</f>
        <v>1.3311299999999999</v>
      </c>
      <c r="E492" s="20">
        <f>_xll.ciqfunctions.udf.CIQ(InputTicker, "IQ_CURRENT_RATIO",Input!G$2,Date)</f>
        <v>1.2856399999999999</v>
      </c>
      <c r="F492" s="20">
        <f>_xll.ciqfunctions.udf.CIQ(InputTicker, "IQ_CURRENT_RATIO",Input!H$2,Date)</f>
        <v>1.0190699999999999</v>
      </c>
      <c r="G492" s="20">
        <f>_xll.ciqfunctions.udf.CIQ(InputTicker, "IQ_CURRENT_RATIO",Input!I$2,Date)</f>
        <v>0.98233999999999999</v>
      </c>
      <c r="H492" s="20">
        <f>_xll.ciqfunctions.udf.CIQ(InputTicker, "IQ_CURRENT_RATIO",Input!J$2,Date)</f>
        <v>0.87863999999999998</v>
      </c>
      <c r="I492" s="20">
        <f>_xll.ciqfunctions.udf.CIQ(InputTicker, "IQ_CURRENT_RATIO",Input!K$2,Date)</f>
        <v>0.92423</v>
      </c>
      <c r="J492" s="20">
        <f>_xll.ciqfunctions.udf.CIQ(InputTicker, "IQ_CURRENT_RATIO",Input!L$2,Date)</f>
        <v>0.96442000000000005</v>
      </c>
      <c r="K492" s="20">
        <f>_xll.ciqfunctions.udf.CIQ(InputTicker, "IQ_CURRENT_RATIO",Input!M$2,Date)</f>
        <v>1.04043</v>
      </c>
      <c r="L492" s="20">
        <f>_xll.ciqfunctions.udf.CIQ(InputTicker, "IQ_CURRENT_RATIO",Input!N$2,Date)</f>
        <v>0.95565999999999995</v>
      </c>
      <c r="M492" s="20">
        <f>_xll.ciqfunctions.udf.CIQ(InputTicker, "IQ_CURRENT_RATIO",Input!O$2,Date)</f>
        <v>0.95565999999999995</v>
      </c>
      <c r="N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  <c r="BJ492" s="42"/>
      <c r="BK492" s="42"/>
      <c r="BL492" s="42"/>
      <c r="BM492" s="42"/>
      <c r="BN492" s="42"/>
    </row>
    <row r="493" spans="1:66" ht="12.75" customHeight="1" x14ac:dyDescent="0.2">
      <c r="A493" s="19" t="s">
        <v>239</v>
      </c>
      <c r="B493" s="20">
        <f>_xll.ciqfunctions.udf.CIQ(InputTicker, "IQ_QUICK_RATIO",Input!D$2,Date)</f>
        <v>1.0723400000000001</v>
      </c>
      <c r="C493" s="20">
        <f>_xll.ciqfunctions.udf.CIQ(InputTicker, "IQ_QUICK_RATIO",Input!E$2,Date)</f>
        <v>1.0412699999999999</v>
      </c>
      <c r="D493" s="20">
        <f>_xll.ciqfunctions.udf.CIQ(InputTicker, "IQ_QUICK_RATIO",Input!F$2,Date)</f>
        <v>1.1959200000000001</v>
      </c>
      <c r="E493" s="20">
        <f>_xll.ciqfunctions.udf.CIQ(InputTicker, "IQ_QUICK_RATIO",Input!G$2,Date)</f>
        <v>1.12564</v>
      </c>
      <c r="F493" s="20">
        <f>_xll.ciqfunctions.udf.CIQ(InputTicker, "IQ_QUICK_RATIO",Input!H$2,Date)</f>
        <v>0.87873000000000001</v>
      </c>
      <c r="G493" s="20">
        <f>_xll.ciqfunctions.udf.CIQ(InputTicker, "IQ_QUICK_RATIO",Input!I$2,Date)</f>
        <v>0.78273999999999999</v>
      </c>
      <c r="H493" s="20">
        <f>_xll.ciqfunctions.udf.CIQ(InputTicker, "IQ_QUICK_RATIO",Input!J$2,Date)</f>
        <v>0.67508999999999997</v>
      </c>
      <c r="I493" s="20">
        <f>_xll.ciqfunctions.udf.CIQ(InputTicker, "IQ_QUICK_RATIO",Input!K$2,Date)</f>
        <v>0.73863999999999996</v>
      </c>
      <c r="J493" s="20">
        <f>_xll.ciqfunctions.udf.CIQ(InputTicker, "IQ_QUICK_RATIO",Input!L$2,Date)</f>
        <v>0.81738999999999995</v>
      </c>
      <c r="K493" s="20">
        <f>_xll.ciqfunctions.udf.CIQ(InputTicker, "IQ_QUICK_RATIO",Input!M$2,Date)</f>
        <v>0.87605</v>
      </c>
      <c r="L493" s="20">
        <f>_xll.ciqfunctions.udf.CIQ(InputTicker, "IQ_QUICK_RATIO",Input!N$2,Date)</f>
        <v>0.81242999999999999</v>
      </c>
      <c r="M493" s="20">
        <f>_xll.ciqfunctions.udf.CIQ(InputTicker, "IQ_QUICK_RATIO",Input!O$2,Date)</f>
        <v>0.81242999999999999</v>
      </c>
      <c r="N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  <c r="AK493" s="42"/>
      <c r="AL493" s="42"/>
      <c r="AM493" s="42"/>
      <c r="AN493" s="42"/>
      <c r="AO493" s="42"/>
      <c r="AP493" s="42"/>
      <c r="AQ493" s="42"/>
      <c r="AR493" s="42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  <c r="BJ493" s="42"/>
      <c r="BK493" s="42"/>
      <c r="BL493" s="42"/>
      <c r="BM493" s="42"/>
      <c r="BN493" s="42"/>
    </row>
    <row r="494" spans="1:66" ht="12.75" customHeight="1" x14ac:dyDescent="0.2">
      <c r="A494" s="19" t="s">
        <v>250</v>
      </c>
      <c r="B494" s="20">
        <f>_xll.ciqfunctions.udf.CIQ(InputTicker,"IQ_CFO_CURRENT_LIAB",Input!D$2,Date)</f>
        <v>0.50351999999999997</v>
      </c>
      <c r="C494" s="20">
        <f>_xll.ciqfunctions.udf.CIQ(InputTicker,"IQ_CFO_CURRENT_LIAB",Input!E$2,Date)</f>
        <v>0.47095999999999999</v>
      </c>
      <c r="D494" s="20">
        <f>_xll.ciqfunctions.udf.CIQ(InputTicker,"IQ_CFO_CURRENT_LIAB",Input!F$2,Date)</f>
        <v>0.44761000000000001</v>
      </c>
      <c r="E494" s="20">
        <f>_xll.ciqfunctions.udf.CIQ(InputTicker,"IQ_CFO_CURRENT_LIAB",Input!G$2,Date)</f>
        <v>0.39884999999999998</v>
      </c>
      <c r="F494" s="20">
        <f>_xll.ciqfunctions.udf.CIQ(InputTicker,"IQ_CFO_CURRENT_LIAB",Input!H$2,Date)</f>
        <v>0.39177000000000001</v>
      </c>
      <c r="G494" s="20">
        <f>_xll.ciqfunctions.udf.CIQ(InputTicker,"IQ_CFO_CURRENT_LIAB",Input!I$2,Date)</f>
        <v>0.45641999999999999</v>
      </c>
      <c r="H494" s="20">
        <f>_xll.ciqfunctions.udf.CIQ(InputTicker,"IQ_CFO_CURRENT_LIAB",Input!J$2,Date)</f>
        <v>0.38062000000000001</v>
      </c>
      <c r="I494" s="20">
        <f>_xll.ciqfunctions.udf.CIQ(InputTicker,"IQ_CFO_CURRENT_LIAB",Input!K$2,Date)</f>
        <v>0.33122000000000001</v>
      </c>
      <c r="J494" s="20">
        <f>_xll.ciqfunctions.udf.CIQ(InputTicker,"IQ_CFO_CURRENT_LIAB",Input!L$2,Date)</f>
        <v>0.40827000000000002</v>
      </c>
      <c r="K494" s="20">
        <f>_xll.ciqfunctions.udf.CIQ(InputTicker,"IQ_CFO_CURRENT_LIAB",Input!M$2,Date)</f>
        <v>0.40567999999999999</v>
      </c>
      <c r="L494" s="20">
        <f>_xll.ciqfunctions.udf.CIQ(InputTicker,"IQ_CFO_CURRENT_LIAB",Input!N$2,Date)</f>
        <v>0.34127000000000002</v>
      </c>
      <c r="M494" s="20">
        <f>_xll.ciqfunctions.udf.CIQ(InputTicker,"IQ_CFO_CURRENT_LIAB",Input!O$2,Date)</f>
        <v>0.34127000000000002</v>
      </c>
      <c r="N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  <c r="BJ494" s="42"/>
      <c r="BK494" s="42"/>
      <c r="BL494" s="42"/>
      <c r="BM494" s="42"/>
      <c r="BN494" s="42"/>
    </row>
    <row r="495" spans="1:66" ht="12.75" customHeight="1" x14ac:dyDescent="0.2">
      <c r="A495" s="19" t="s">
        <v>247</v>
      </c>
      <c r="B495" s="4">
        <f>_xll.ciqfunctions.udf.CIQ(InputTicker, "IQ_DAYS_SALES_OUT",Input!D$2,Date)</f>
        <v>39.806899999999999</v>
      </c>
      <c r="C495" s="4">
        <f>_xll.ciqfunctions.udf.CIQ(InputTicker, "IQ_DAYS_SALES_OUT",Input!E$2,Date)</f>
        <v>40.982480000000002</v>
      </c>
      <c r="D495" s="4">
        <f>_xll.ciqfunctions.udf.CIQ(InputTicker, "IQ_DAYS_SALES_OUT",Input!F$2,Date)</f>
        <v>43.798180000000002</v>
      </c>
      <c r="E495" s="4">
        <f>_xll.ciqfunctions.udf.CIQ(InputTicker, "IQ_DAYS_SALES_OUT",Input!G$2,Date)</f>
        <v>40.483980000000003</v>
      </c>
      <c r="F495" s="4">
        <f>_xll.ciqfunctions.udf.CIQ(InputTicker, "IQ_DAYS_SALES_OUT",Input!H$2,Date)</f>
        <v>52.535910000000001</v>
      </c>
      <c r="G495" s="4">
        <f>_xll.ciqfunctions.udf.CIQ(InputTicker, "IQ_DAYS_SALES_OUT",Input!I$2,Date)</f>
        <v>49.221879999999999</v>
      </c>
      <c r="H495" s="4">
        <f>_xll.ciqfunctions.udf.CIQ(InputTicker, "IQ_DAYS_SALES_OUT",Input!J$2,Date)</f>
        <v>43.357619999999997</v>
      </c>
      <c r="I495" s="4">
        <f>_xll.ciqfunctions.udf.CIQ(InputTicker, "IQ_DAYS_SALES_OUT",Input!K$2,Date)</f>
        <v>43.37003</v>
      </c>
      <c r="J495" s="4">
        <f>_xll.ciqfunctions.udf.CIQ(InputTicker, "IQ_DAYS_SALES_OUT",Input!L$2,Date)</f>
        <v>43.962429999999998</v>
      </c>
      <c r="K495" s="4">
        <f>_xll.ciqfunctions.udf.CIQ(InputTicker, "IQ_DAYS_SALES_OUT",Input!M$2,Date)</f>
        <v>44.112879999999997</v>
      </c>
      <c r="L495" s="4">
        <f>_xll.ciqfunctions.udf.CIQ(InputTicker, "IQ_DAYS_SALES_OUT",Input!N$2,Date)</f>
        <v>43.25141</v>
      </c>
      <c r="M495" s="4">
        <f>_xll.ciqfunctions.udf.CIQ(InputTicker, "IQ_DAYS_SALES_OUT",Input!O$2,Date)</f>
        <v>43.25141</v>
      </c>
      <c r="N495" s="57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  <c r="AK495" s="42"/>
      <c r="AL495" s="42"/>
      <c r="AM495" s="42"/>
      <c r="AN495" s="42"/>
      <c r="AO495" s="42"/>
      <c r="AP495" s="42"/>
      <c r="AQ495" s="42"/>
      <c r="AR495" s="42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  <c r="BJ495" s="42"/>
      <c r="BK495" s="42"/>
      <c r="BL495" s="42"/>
      <c r="BM495" s="42"/>
      <c r="BN495" s="42"/>
    </row>
    <row r="496" spans="1:66" ht="12.75" customHeight="1" x14ac:dyDescent="0.2">
      <c r="A496" s="19" t="s">
        <v>248</v>
      </c>
      <c r="B496" s="4">
        <f>_xll.ciqfunctions.udf.CIQ(InputTicker, "IQ_DAYS_INVENTORY_OUT",Input!D$2,Date)</f>
        <v>16.65203</v>
      </c>
      <c r="C496" s="4">
        <f>_xll.ciqfunctions.udf.CIQ(InputTicker, "IQ_DAYS_INVENTORY_OUT",Input!E$2,Date)</f>
        <v>14.074529999999999</v>
      </c>
      <c r="D496" s="4">
        <f>_xll.ciqfunctions.udf.CIQ(InputTicker, "IQ_DAYS_INVENTORY_OUT",Input!F$2,Date)</f>
        <v>13.96344</v>
      </c>
      <c r="E496" s="4">
        <f>_xll.ciqfunctions.udf.CIQ(InputTicker, "IQ_DAYS_INVENTORY_OUT",Input!G$2,Date)</f>
        <v>14.350339999999999</v>
      </c>
      <c r="F496" s="4">
        <f>_xll.ciqfunctions.udf.CIQ(InputTicker, "IQ_DAYS_INVENTORY_OUT",Input!H$2,Date)</f>
        <v>23.646889999999999</v>
      </c>
      <c r="G496" s="4">
        <f>_xll.ciqfunctions.udf.CIQ(InputTicker, "IQ_DAYS_INVENTORY_OUT",Input!I$2,Date)</f>
        <v>26.45119</v>
      </c>
      <c r="H496" s="4">
        <f>_xll.ciqfunctions.udf.CIQ(InputTicker, "IQ_DAYS_INVENTORY_OUT",Input!J$2,Date)</f>
        <v>24.934979999999999</v>
      </c>
      <c r="I496" s="4">
        <f>_xll.ciqfunctions.udf.CIQ(InputTicker, "IQ_DAYS_INVENTORY_OUT",Input!K$2,Date)</f>
        <v>21.292280000000002</v>
      </c>
      <c r="J496" s="4">
        <f>_xll.ciqfunctions.udf.CIQ(InputTicker, "IQ_DAYS_INVENTORY_OUT",Input!L$2,Date)</f>
        <v>18.21752</v>
      </c>
      <c r="K496" s="4">
        <f>_xll.ciqfunctions.udf.CIQ(InputTicker, "IQ_DAYS_INVENTORY_OUT",Input!M$2,Date)</f>
        <v>16.70936</v>
      </c>
      <c r="L496" s="4">
        <f>_xll.ciqfunctions.udf.CIQ(InputTicker, "IQ_DAYS_INVENTORY_OUT",Input!N$2,Date)</f>
        <v>16.449459999999998</v>
      </c>
      <c r="M496" s="4">
        <f>_xll.ciqfunctions.udf.CIQ(InputTicker, "IQ_DAYS_INVENTORY_OUT",Input!O$2,Date)</f>
        <v>16.449459999999998</v>
      </c>
      <c r="N496" s="57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  <c r="AK496" s="42"/>
      <c r="AL496" s="42"/>
      <c r="AM496" s="42"/>
      <c r="AN496" s="42"/>
      <c r="AO496" s="42"/>
      <c r="AP496" s="42"/>
      <c r="AQ496" s="42"/>
      <c r="AR496" s="42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  <c r="BJ496" s="42"/>
      <c r="BK496" s="42"/>
      <c r="BL496" s="42"/>
      <c r="BM496" s="42"/>
      <c r="BN496" s="42"/>
    </row>
    <row r="497" spans="1:66" ht="12.75" customHeight="1" x14ac:dyDescent="0.2">
      <c r="A497" s="19" t="s">
        <v>249</v>
      </c>
      <c r="B497" s="4">
        <f>_xll.ciqfunctions.udf.CIQ(InputTicker,  "IQ_DAYS_PAYABLE_OUT",Input!D$2,Date)</f>
        <v>59.57311</v>
      </c>
      <c r="C497" s="4">
        <f>_xll.ciqfunctions.udf.CIQ(InputTicker,  "IQ_DAYS_PAYABLE_OUT",Input!E$2,Date)</f>
        <v>55.484870000000001</v>
      </c>
      <c r="D497" s="4">
        <f>_xll.ciqfunctions.udf.CIQ(InputTicker,  "IQ_DAYS_PAYABLE_OUT",Input!F$2,Date)</f>
        <v>56.330449999999999</v>
      </c>
      <c r="E497" s="4">
        <f>_xll.ciqfunctions.udf.CIQ(InputTicker,  "IQ_DAYS_PAYABLE_OUT",Input!G$2,Date)</f>
        <v>57.041840000000001</v>
      </c>
      <c r="F497" s="4">
        <f>_xll.ciqfunctions.udf.CIQ(InputTicker,  "IQ_DAYS_PAYABLE_OUT",Input!H$2,Date)</f>
        <v>82.255309999999994</v>
      </c>
      <c r="G497" s="4">
        <f>_xll.ciqfunctions.udf.CIQ(InputTicker,  "IQ_DAYS_PAYABLE_OUT",Input!I$2,Date)</f>
        <v>68.282420000000002</v>
      </c>
      <c r="H497" s="4">
        <f>_xll.ciqfunctions.udf.CIQ(InputTicker,  "IQ_DAYS_PAYABLE_OUT",Input!J$2,Date)</f>
        <v>57.92295</v>
      </c>
      <c r="I497" s="4">
        <f>_xll.ciqfunctions.udf.CIQ(InputTicker,  "IQ_DAYS_PAYABLE_OUT",Input!K$2,Date)</f>
        <v>53.443300000000001</v>
      </c>
      <c r="J497" s="4">
        <f>_xll.ciqfunctions.udf.CIQ(InputTicker,  "IQ_DAYS_PAYABLE_OUT",Input!L$2,Date)</f>
        <v>55.750830000000001</v>
      </c>
      <c r="K497" s="4">
        <f>_xll.ciqfunctions.udf.CIQ(InputTicker,  "IQ_DAYS_PAYABLE_OUT",Input!M$2,Date)</f>
        <v>55.415689999999998</v>
      </c>
      <c r="L497" s="4">
        <f>_xll.ciqfunctions.udf.CIQ(InputTicker,  "IQ_DAYS_PAYABLE_OUT",Input!N$2,Date)</f>
        <v>57.759430000000002</v>
      </c>
      <c r="M497" s="4">
        <f>_xll.ciqfunctions.udf.CIQ(InputTicker,  "IQ_DAYS_PAYABLE_OUT",Input!O$2,Date)</f>
        <v>57.759430000000002</v>
      </c>
      <c r="N497" s="57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  <c r="AK497" s="42"/>
      <c r="AL497" s="42"/>
      <c r="AM497" s="42"/>
      <c r="AN497" s="42"/>
      <c r="AO497" s="42"/>
      <c r="AP497" s="42"/>
      <c r="AQ497" s="42"/>
      <c r="AR497" s="42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  <c r="BJ497" s="42"/>
      <c r="BK497" s="42"/>
      <c r="BL497" s="42"/>
      <c r="BM497" s="42"/>
      <c r="BN497" s="42"/>
    </row>
    <row r="498" spans="1:66" ht="12.75" customHeight="1" x14ac:dyDescent="0.2">
      <c r="A498" s="19" t="s">
        <v>240</v>
      </c>
      <c r="B498" s="4">
        <f>_xll.ciqfunctions.udf.CIQ(InputTicker, "IQ_CASH_CONVERSION",Input!D$2,Date)</f>
        <v>-3.1141800000000002</v>
      </c>
      <c r="C498" s="4">
        <f>_xll.ciqfunctions.udf.CIQ(InputTicker, "IQ_CASH_CONVERSION",Input!E$2,Date)</f>
        <v>-0.42785000000000001</v>
      </c>
      <c r="D498" s="4">
        <f>_xll.ciqfunctions.udf.CIQ(InputTicker, "IQ_CASH_CONVERSION",Input!F$2,Date)</f>
        <v>1.4311700000000001</v>
      </c>
      <c r="E498" s="4">
        <f>_xll.ciqfunctions.udf.CIQ(InputTicker, "IQ_CASH_CONVERSION",Input!G$2,Date)</f>
        <v>-2.2075200000000001</v>
      </c>
      <c r="F498" s="4">
        <f>_xll.ciqfunctions.udf.CIQ(InputTicker, "IQ_CASH_CONVERSION",Input!H$2,Date)</f>
        <v>-6.0725100000000003</v>
      </c>
      <c r="G498" s="4">
        <f>_xll.ciqfunctions.udf.CIQ(InputTicker, "IQ_CASH_CONVERSION",Input!I$2,Date)</f>
        <v>7.3906400000000003</v>
      </c>
      <c r="H498" s="4">
        <f>_xll.ciqfunctions.udf.CIQ(InputTicker, "IQ_CASH_CONVERSION",Input!J$2,Date)</f>
        <v>10.36965</v>
      </c>
      <c r="I498" s="4">
        <f>_xll.ciqfunctions.udf.CIQ(InputTicker, "IQ_CASH_CONVERSION",Input!K$2,Date)</f>
        <v>11.219010000000001</v>
      </c>
      <c r="J498" s="4">
        <f>_xll.ciqfunctions.udf.CIQ(InputTicker, "IQ_CASH_CONVERSION",Input!L$2,Date)</f>
        <v>6.4291099999999997</v>
      </c>
      <c r="K498" s="4">
        <f>_xll.ciqfunctions.udf.CIQ(InputTicker, "IQ_CASH_CONVERSION",Input!M$2,Date)</f>
        <v>5.4065500000000002</v>
      </c>
      <c r="L498" s="4">
        <f>_xll.ciqfunctions.udf.CIQ(InputTicker, "IQ_CASH_CONVERSION",Input!N$2,Date)</f>
        <v>1.9414400000000001</v>
      </c>
      <c r="M498" s="4">
        <f>_xll.ciqfunctions.udf.CIQ(InputTicker, "IQ_CASH_CONVERSION",Input!O$2,Date)</f>
        <v>1.9414400000000001</v>
      </c>
      <c r="N498" s="57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  <c r="BJ498" s="42"/>
      <c r="BK498" s="42"/>
      <c r="BL498" s="42"/>
      <c r="BM498" s="42"/>
      <c r="BN498" s="42"/>
    </row>
    <row r="499" spans="1:66" ht="12.75" customHeight="1" x14ac:dyDescent="0.2">
      <c r="A499" s="19" t="s">
        <v>251</v>
      </c>
      <c r="B499" s="4">
        <f>_xll.ciqfunctions.udf.CIQ(InputTicker, "IQ_TOTAL_DEBT_EQUITY",Input!D$2,Date)</f>
        <v>276.5668</v>
      </c>
      <c r="C499" s="4">
        <f>_xll.ciqfunctions.udf.CIQ(InputTicker, "IQ_TOTAL_DEBT_EQUITY",Input!E$2,Date)</f>
        <v>229.31700000000001</v>
      </c>
      <c r="D499" s="4">
        <f>_xll.ciqfunctions.udf.CIQ(InputTicker, "IQ_TOTAL_DEBT_EQUITY",Input!F$2,Date)</f>
        <v>264.36099999999999</v>
      </c>
      <c r="E499" s="4">
        <f>_xll.ciqfunctions.udf.CIQ(InputTicker, "IQ_TOTAL_DEBT_EQUITY",Input!G$2,Date)</f>
        <v>270.59649999999999</v>
      </c>
      <c r="F499" s="4">
        <f>_xll.ciqfunctions.udf.CIQ(InputTicker, "IQ_TOTAL_DEBT_EQUITY",Input!H$2,Date)</f>
        <v>324.79390000000001</v>
      </c>
      <c r="G499" s="4">
        <f>_xll.ciqfunctions.udf.CIQ(InputTicker, "IQ_TOTAL_DEBT_EQUITY",Input!I$2,Date)</f>
        <v>314.0403</v>
      </c>
      <c r="H499" s="4">
        <f>_xll.ciqfunctions.udf.CIQ(InputTicker, "IQ_TOTAL_DEBT_EQUITY",Input!J$2,Date)</f>
        <v>290.27159999999998</v>
      </c>
      <c r="I499" s="4">
        <f>_xll.ciqfunctions.udf.CIQ(InputTicker, "IQ_TOTAL_DEBT_EQUITY",Input!K$2,Date)</f>
        <v>245.27950000000001</v>
      </c>
      <c r="J499" s="4">
        <f>_xll.ciqfunctions.udf.CIQ(InputTicker, "IQ_TOTAL_DEBT_EQUITY",Input!L$2,Date)</f>
        <v>265.04660000000001</v>
      </c>
      <c r="K499" s="4">
        <f>_xll.ciqfunctions.udf.CIQ(InputTicker, "IQ_TOTAL_DEBT_EQUITY",Input!M$2,Date)</f>
        <v>213.17850000000001</v>
      </c>
      <c r="L499" s="4">
        <f>_xll.ciqfunctions.udf.CIQ(InputTicker, "IQ_TOTAL_DEBT_EQUITY",Input!N$2,Date)</f>
        <v>197.32749999999999</v>
      </c>
      <c r="M499" s="4">
        <f>_xll.ciqfunctions.udf.CIQ(InputTicker, "IQ_TOTAL_DEBT_EQUITY",Input!O$2,Date)</f>
        <v>197.32749999999999</v>
      </c>
      <c r="N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  <c r="AK499" s="42"/>
      <c r="AL499" s="42"/>
      <c r="AM499" s="42"/>
      <c r="AN499" s="42"/>
      <c r="AO499" s="42"/>
      <c r="AP499" s="42"/>
      <c r="AQ499" s="42"/>
      <c r="AR499" s="42"/>
      <c r="AS499" s="42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  <c r="BJ499" s="42"/>
      <c r="BK499" s="42"/>
      <c r="BL499" s="42"/>
      <c r="BM499" s="42"/>
      <c r="BN499" s="42"/>
    </row>
    <row r="500" spans="1:66" ht="12.75" customHeight="1" x14ac:dyDescent="0.2">
      <c r="A500" s="19" t="s">
        <v>252</v>
      </c>
      <c r="B500" s="4">
        <f>_xll.ciqfunctions.udf.CIQ(InputTicker, "IQ_TOTAL_DEBT_CAPITAL",Input!D$2,Date)</f>
        <v>73.444199999999995</v>
      </c>
      <c r="C500" s="4">
        <f>_xll.ciqfunctions.udf.CIQ(InputTicker, "IQ_TOTAL_DEBT_CAPITAL",Input!E$2,Date)</f>
        <v>69.634100000000004</v>
      </c>
      <c r="D500" s="4">
        <f>_xll.ciqfunctions.udf.CIQ(InputTicker, "IQ_TOTAL_DEBT_CAPITAL",Input!F$2,Date)</f>
        <v>72.554599999999994</v>
      </c>
      <c r="E500" s="4">
        <f>_xll.ciqfunctions.udf.CIQ(InputTicker, "IQ_TOTAL_DEBT_CAPITAL",Input!G$2,Date)</f>
        <v>73.016400000000004</v>
      </c>
      <c r="F500" s="4">
        <f>_xll.ciqfunctions.udf.CIQ(InputTicker, "IQ_TOTAL_DEBT_CAPITAL",Input!H$2,Date)</f>
        <v>76.459100000000007</v>
      </c>
      <c r="G500" s="4">
        <f>_xll.ciqfunctions.udf.CIQ(InputTicker, "IQ_TOTAL_DEBT_CAPITAL",Input!I$2,Date)</f>
        <v>75.847700000000003</v>
      </c>
      <c r="H500" s="4">
        <f>_xll.ciqfunctions.udf.CIQ(InputTicker, "IQ_TOTAL_DEBT_CAPITAL",Input!J$2,Date)</f>
        <v>74.376800000000003</v>
      </c>
      <c r="I500" s="4">
        <f>_xll.ciqfunctions.udf.CIQ(InputTicker, "IQ_TOTAL_DEBT_CAPITAL",Input!K$2,Date)</f>
        <v>71.037899999999993</v>
      </c>
      <c r="J500" s="4">
        <f>_xll.ciqfunctions.udf.CIQ(InputTicker, "IQ_TOTAL_DEBT_CAPITAL",Input!L$2,Date)</f>
        <v>72.606200000000001</v>
      </c>
      <c r="K500" s="4">
        <f>_xll.ciqfunctions.udf.CIQ(InputTicker, "IQ_TOTAL_DEBT_CAPITAL",Input!M$2,Date)</f>
        <v>68.069299999999998</v>
      </c>
      <c r="L500" s="4">
        <f>_xll.ciqfunctions.udf.CIQ(InputTicker, "IQ_TOTAL_DEBT_CAPITAL",Input!N$2,Date)</f>
        <v>66.367000000000004</v>
      </c>
      <c r="M500" s="4">
        <f>_xll.ciqfunctions.udf.CIQ(InputTicker, "IQ_TOTAL_DEBT_CAPITAL",Input!O$2,Date)</f>
        <v>66.367000000000004</v>
      </c>
      <c r="N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  <c r="BJ500" s="42"/>
      <c r="BK500" s="42"/>
      <c r="BL500" s="42"/>
      <c r="BM500" s="42"/>
      <c r="BN500" s="42"/>
    </row>
    <row r="501" spans="1:66" ht="12.75" customHeight="1" x14ac:dyDescent="0.2">
      <c r="A501" s="19" t="s">
        <v>253</v>
      </c>
      <c r="B501" s="4">
        <f>_xll.ciqfunctions.udf.CIQ(InputTicker,  "IQ_LT_DEBT_EQUITY",Input!D$2,Date)</f>
        <v>231.77340000000001</v>
      </c>
      <c r="C501" s="4">
        <f>_xll.ciqfunctions.udf.CIQ(InputTicker,  "IQ_LT_DEBT_EQUITY",Input!E$2,Date)</f>
        <v>188.46780000000001</v>
      </c>
      <c r="D501" s="4">
        <f>_xll.ciqfunctions.udf.CIQ(InputTicker,  "IQ_LT_DEBT_EQUITY",Input!F$2,Date)</f>
        <v>224.94210000000001</v>
      </c>
      <c r="E501" s="4">
        <f>_xll.ciqfunctions.udf.CIQ(InputTicker,  "IQ_LT_DEBT_EQUITY",Input!G$2,Date)</f>
        <v>210.30709999999999</v>
      </c>
      <c r="F501" s="4">
        <f>_xll.ciqfunctions.udf.CIQ(InputTicker,  "IQ_LT_DEBT_EQUITY",Input!H$2,Date)</f>
        <v>276.29730000000001</v>
      </c>
      <c r="G501" s="4">
        <f>_xll.ciqfunctions.udf.CIQ(InputTicker,  "IQ_LT_DEBT_EQUITY",Input!I$2,Date)</f>
        <v>274.71289999999999</v>
      </c>
      <c r="H501" s="4">
        <f>_xll.ciqfunctions.udf.CIQ(InputTicker,  "IQ_LT_DEBT_EQUITY",Input!J$2,Date)</f>
        <v>249.41560000000001</v>
      </c>
      <c r="I501" s="4">
        <f>_xll.ciqfunctions.udf.CIQ(InputTicker,  "IQ_LT_DEBT_EQUITY",Input!K$2,Date)</f>
        <v>219.69479999999999</v>
      </c>
      <c r="J501" s="4">
        <f>_xll.ciqfunctions.udf.CIQ(InputTicker,  "IQ_LT_DEBT_EQUITY",Input!L$2,Date)</f>
        <v>233.00309999999999</v>
      </c>
      <c r="K501" s="4">
        <f>_xll.ciqfunctions.udf.CIQ(InputTicker,  "IQ_LT_DEBT_EQUITY",Input!M$2,Date)</f>
        <v>191.7971</v>
      </c>
      <c r="L501" s="4">
        <f>_xll.ciqfunctions.udf.CIQ(InputTicker,  "IQ_LT_DEBT_EQUITY",Input!N$2,Date)</f>
        <v>175.26339999999999</v>
      </c>
      <c r="M501" s="4">
        <f>_xll.ciqfunctions.udf.CIQ(InputTicker,  "IQ_LT_DEBT_EQUITY",Input!O$2,Date)</f>
        <v>175.26339999999999</v>
      </c>
      <c r="N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  <c r="AK501" s="42"/>
      <c r="AL501" s="42"/>
      <c r="AM501" s="42"/>
      <c r="AN501" s="42"/>
      <c r="AO501" s="42"/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  <c r="BJ501" s="42"/>
      <c r="BK501" s="42"/>
      <c r="BL501" s="42"/>
      <c r="BM501" s="42"/>
      <c r="BN501" s="42"/>
    </row>
    <row r="502" spans="1:66" ht="12.75" customHeight="1" x14ac:dyDescent="0.2">
      <c r="A502" s="19" t="s">
        <v>254</v>
      </c>
      <c r="B502" s="4">
        <f>_xll.ciqfunctions.udf.CIQ(InputTicker, "IQ_LT_DEBT_CAPITAL",Input!D$2,Date)</f>
        <v>61.548999999999999</v>
      </c>
      <c r="C502" s="4">
        <f>_xll.ciqfunctions.udf.CIQ(InputTicker, "IQ_LT_DEBT_CAPITAL",Input!E$2,Date)</f>
        <v>57.229799999999997</v>
      </c>
      <c r="D502" s="4">
        <f>_xll.ciqfunctions.udf.CIQ(InputTicker, "IQ_LT_DEBT_CAPITAL",Input!F$2,Date)</f>
        <v>61.735999999999997</v>
      </c>
      <c r="E502" s="4">
        <f>_xll.ciqfunctions.udf.CIQ(InputTicker, "IQ_LT_DEBT_CAPITAL",Input!G$2,Date)</f>
        <v>56.748199999999997</v>
      </c>
      <c r="F502" s="4">
        <f>_xll.ciqfunctions.udf.CIQ(InputTicker, "IQ_LT_DEBT_CAPITAL",Input!H$2,Date)</f>
        <v>65.042599999999993</v>
      </c>
      <c r="G502" s="4">
        <f>_xll.ciqfunctions.udf.CIQ(InputTicker, "IQ_LT_DEBT_CAPITAL",Input!I$2,Date)</f>
        <v>66.349299999999999</v>
      </c>
      <c r="H502" s="4">
        <f>_xll.ciqfunctions.udf.CIQ(InputTicker, "IQ_LT_DEBT_CAPITAL",Input!J$2,Date)</f>
        <v>63.908200000000001</v>
      </c>
      <c r="I502" s="4">
        <f>_xll.ciqfunctions.udf.CIQ(InputTicker, "IQ_LT_DEBT_CAPITAL",Input!K$2,Date)</f>
        <v>63.628100000000003</v>
      </c>
      <c r="J502" s="4">
        <f>_xll.ciqfunctions.udf.CIQ(InputTicker, "IQ_LT_DEBT_CAPITAL",Input!L$2,Date)</f>
        <v>63.828299999999999</v>
      </c>
      <c r="K502" s="4">
        <f>_xll.ciqfunctions.udf.CIQ(InputTicker, "IQ_LT_DEBT_CAPITAL",Input!M$2,Date)</f>
        <v>61.242100000000001</v>
      </c>
      <c r="L502" s="4">
        <f>_xll.ciqfunctions.udf.CIQ(InputTicker, "IQ_LT_DEBT_CAPITAL",Input!N$2,Date)</f>
        <v>58.946199999999997</v>
      </c>
      <c r="M502" s="4">
        <f>_xll.ciqfunctions.udf.CIQ(InputTicker, "IQ_LT_DEBT_CAPITAL",Input!O$2,Date)</f>
        <v>58.946199999999997</v>
      </c>
      <c r="N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  <c r="BJ502" s="42"/>
      <c r="BK502" s="42"/>
      <c r="BL502" s="42"/>
      <c r="BM502" s="42"/>
      <c r="BN502" s="42"/>
    </row>
    <row r="503" spans="1:66" ht="12.75" customHeight="1" x14ac:dyDescent="0.2">
      <c r="A503" s="19" t="s">
        <v>255</v>
      </c>
      <c r="B503" s="4">
        <f>_xll.ciqfunctions.udf.CIQ(InputTicker, "IQ_TOTAL_LIAB_TOTAL_ASSETS",Input!D$2,Date)</f>
        <v>86.945999999999998</v>
      </c>
      <c r="C503" s="4">
        <f>_xll.ciqfunctions.udf.CIQ(InputTicker, "IQ_TOTAL_LIAB_TOTAL_ASSETS",Input!E$2,Date)</f>
        <v>84.343199999999996</v>
      </c>
      <c r="D503" s="4">
        <f>_xll.ciqfunctions.udf.CIQ(InputTicker, "IQ_TOTAL_LIAB_TOTAL_ASSETS",Input!F$2,Date)</f>
        <v>85.860200000000006</v>
      </c>
      <c r="E503" s="4">
        <f>_xll.ciqfunctions.udf.CIQ(InputTicker, "IQ_TOTAL_LIAB_TOTAL_ASSETS",Input!G$2,Date)</f>
        <v>86.278300000000002</v>
      </c>
      <c r="F503" s="4">
        <f>_xll.ciqfunctions.udf.CIQ(InputTicker, "IQ_TOTAL_LIAB_TOTAL_ASSETS",Input!H$2,Date)</f>
        <v>86.210899999999995</v>
      </c>
      <c r="G503" s="4">
        <f>_xll.ciqfunctions.udf.CIQ(InputTicker, "IQ_TOTAL_LIAB_TOTAL_ASSETS",Input!I$2,Date)</f>
        <v>86.711600000000004</v>
      </c>
      <c r="H503" s="4">
        <f>_xll.ciqfunctions.udf.CIQ(InputTicker, "IQ_TOTAL_LIAB_TOTAL_ASSETS",Input!J$2,Date)</f>
        <v>85.609099999999998</v>
      </c>
      <c r="I503" s="4">
        <f>_xll.ciqfunctions.udf.CIQ(InputTicker, "IQ_TOTAL_LIAB_TOTAL_ASSETS",Input!K$2,Date)</f>
        <v>82.693700000000007</v>
      </c>
      <c r="J503" s="4">
        <f>_xll.ciqfunctions.udf.CIQ(InputTicker, "IQ_TOTAL_LIAB_TOTAL_ASSETS",Input!L$2,Date)</f>
        <v>83.279399999999995</v>
      </c>
      <c r="K503" s="4">
        <f>_xll.ciqfunctions.udf.CIQ(InputTicker, "IQ_TOTAL_LIAB_TOTAL_ASSETS",Input!M$2,Date)</f>
        <v>80.030600000000007</v>
      </c>
      <c r="L503" s="4">
        <f>_xll.ciqfunctions.udf.CIQ(InputTicker, "IQ_TOTAL_LIAB_TOTAL_ASSETS",Input!N$2,Date)</f>
        <v>78.442800000000005</v>
      </c>
      <c r="M503" s="4">
        <f>_xll.ciqfunctions.udf.CIQ(InputTicker, "IQ_TOTAL_LIAB_TOTAL_ASSETS",Input!O$2,Date)</f>
        <v>78.442800000000005</v>
      </c>
      <c r="N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  <c r="AK503" s="42"/>
      <c r="AL503" s="42"/>
      <c r="AM503" s="42"/>
      <c r="AN503" s="42"/>
      <c r="AO503" s="42"/>
      <c r="AP503" s="42"/>
      <c r="AQ503" s="42"/>
      <c r="AR503" s="42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  <c r="BJ503" s="42"/>
      <c r="BK503" s="42"/>
      <c r="BL503" s="42"/>
      <c r="BM503" s="42"/>
      <c r="BN503" s="42"/>
    </row>
    <row r="504" spans="1:66" ht="12.75" customHeight="1" x14ac:dyDescent="0.2">
      <c r="A504" s="19" t="s">
        <v>241</v>
      </c>
      <c r="B504" s="20">
        <f>_xll.ciqfunctions.udf.CIQ(InputTicker, "IQ_EBIT_INT",Input!D$2,Date)</f>
        <v>35.292740000000002</v>
      </c>
      <c r="C504" s="20">
        <f>_xll.ciqfunctions.udf.CIQ(InputTicker, "IQ_EBIT_INT",Input!E$2,Date)</f>
        <v>22.492059999999999</v>
      </c>
      <c r="D504" s="20">
        <f>_xll.ciqfunctions.udf.CIQ(InputTicker, "IQ_EBIT_INT",Input!F$2,Date)</f>
        <v>18.99512</v>
      </c>
      <c r="E504" s="20">
        <f>_xll.ciqfunctions.udf.CIQ(InputTicker, "IQ_EBIT_INT",Input!G$2,Date)</f>
        <v>18.282160000000001</v>
      </c>
      <c r="F504" s="20">
        <f>_xll.ciqfunctions.udf.CIQ(InputTicker, "IQ_EBIT_INT",Input!H$2,Date)</f>
        <v>5.6093799999999998</v>
      </c>
      <c r="G504" s="20">
        <f>_xll.ciqfunctions.udf.CIQ(InputTicker, "IQ_EBIT_INT",Input!I$2,Date)</f>
        <v>3.61957</v>
      </c>
      <c r="H504" s="20">
        <f>_xll.ciqfunctions.udf.CIQ(InputTicker, "IQ_EBIT_INT",Input!J$2,Date)</f>
        <v>4.8337700000000003</v>
      </c>
      <c r="I504" s="20">
        <f>_xll.ciqfunctions.udf.CIQ(InputTicker, "IQ_EBIT_INT",Input!K$2,Date)</f>
        <v>6.1850300000000002</v>
      </c>
      <c r="J504" s="20">
        <f>_xll.ciqfunctions.udf.CIQ(InputTicker, "IQ_EBIT_INT",Input!L$2,Date)</f>
        <v>5.8624799999999997</v>
      </c>
      <c r="K504" s="20">
        <f>_xll.ciqfunctions.udf.CIQ(InputTicker, "IQ_EBIT_INT",Input!M$2,Date)</f>
        <v>5.7172900000000002</v>
      </c>
      <c r="L504" s="20">
        <f>_xll.ciqfunctions.udf.CIQ(InputTicker, "IQ_EBIT_INT",Input!N$2,Date)</f>
        <v>6.4950900000000003</v>
      </c>
      <c r="M504" s="20">
        <f>_xll.ciqfunctions.udf.CIQ(InputTicker, "IQ_EBIT_INT",Input!O$2,Date)</f>
        <v>6.4950900000000003</v>
      </c>
      <c r="N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  <c r="BJ504" s="42"/>
      <c r="BK504" s="42"/>
      <c r="BL504" s="42"/>
      <c r="BM504" s="42"/>
      <c r="BN504" s="42"/>
    </row>
    <row r="505" spans="1:66" ht="12.75" customHeight="1" x14ac:dyDescent="0.2">
      <c r="A505" s="19" t="s">
        <v>245</v>
      </c>
      <c r="B505" s="20">
        <f>_xll.ciqfunctions.udf.CIQ(InputTicker,  "IQ_EBITDA_INT",Input!D$2,Date)</f>
        <v>43.529910000000001</v>
      </c>
      <c r="C505" s="20">
        <f>_xll.ciqfunctions.udf.CIQ(InputTicker,  "IQ_EBITDA_INT",Input!E$2,Date)</f>
        <v>29.44603</v>
      </c>
      <c r="D505" s="20">
        <f>_xll.ciqfunctions.udf.CIQ(InputTicker,  "IQ_EBITDA_INT",Input!F$2,Date)</f>
        <v>26.37886</v>
      </c>
      <c r="E505" s="20">
        <f>_xll.ciqfunctions.udf.CIQ(InputTicker,  "IQ_EBITDA_INT",Input!G$2,Date)</f>
        <v>24.478560000000002</v>
      </c>
      <c r="F505" s="20">
        <f>_xll.ciqfunctions.udf.CIQ(InputTicker,  "IQ_EBITDA_INT",Input!H$2,Date)</f>
        <v>11.325150000000001</v>
      </c>
      <c r="G505" s="20">
        <f>_xll.ciqfunctions.udf.CIQ(InputTicker,  "IQ_EBITDA_INT",Input!I$2,Date)</f>
        <v>10.000780000000001</v>
      </c>
      <c r="H505" s="20">
        <f>_xll.ciqfunctions.udf.CIQ(InputTicker,  "IQ_EBITDA_INT",Input!J$2,Date)</f>
        <v>11.035500000000001</v>
      </c>
      <c r="I505" s="20">
        <f>_xll.ciqfunctions.udf.CIQ(InputTicker,  "IQ_EBITDA_INT",Input!K$2,Date)</f>
        <v>9.8865099999999995</v>
      </c>
      <c r="J505" s="20">
        <f>_xll.ciqfunctions.udf.CIQ(InputTicker,  "IQ_EBITDA_INT",Input!L$2,Date)</f>
        <v>8.4312400000000007</v>
      </c>
      <c r="K505" s="20">
        <f>_xll.ciqfunctions.udf.CIQ(InputTicker,  "IQ_EBITDA_INT",Input!M$2,Date)</f>
        <v>8.2914700000000003</v>
      </c>
      <c r="L505" s="20">
        <f>_xll.ciqfunctions.udf.CIQ(InputTicker,  "IQ_EBITDA_INT",Input!N$2,Date)</f>
        <v>9.0056799999999999</v>
      </c>
      <c r="M505" s="20">
        <f>_xll.ciqfunctions.udf.CIQ(InputTicker,  "IQ_EBITDA_INT",Input!O$2,Date)</f>
        <v>9.0056799999999999</v>
      </c>
      <c r="N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  <c r="BJ505" s="42"/>
      <c r="BK505" s="42"/>
      <c r="BL505" s="42"/>
      <c r="BM505" s="42"/>
      <c r="BN505" s="42"/>
    </row>
    <row r="506" spans="1:66" ht="12.75" customHeight="1" x14ac:dyDescent="0.2">
      <c r="A506" s="43" t="s">
        <v>495</v>
      </c>
      <c r="B506" s="20">
        <f>_xll.ciqfunctions.udf.CIQ(InputTicker,  "IQ_EBITDA_EXCL_OPER_LEASES_INT",Input!D$2,Date)</f>
        <v>43.529910000000001</v>
      </c>
      <c r="C506" s="20">
        <f>_xll.ciqfunctions.udf.CIQ(InputTicker,  "IQ_EBITDA_EXCL_OPER_LEASES_INT",Input!E$2,Date)</f>
        <v>29.44603</v>
      </c>
      <c r="D506" s="20">
        <f>_xll.ciqfunctions.udf.CIQ(InputTicker,  "IQ_EBITDA_EXCL_OPER_LEASES_INT",Input!F$2,Date)</f>
        <v>26.37886</v>
      </c>
      <c r="E506" s="20">
        <f>_xll.ciqfunctions.udf.CIQ(InputTicker,  "IQ_EBITDA_EXCL_OPER_LEASES_INT",Input!G$2,Date)</f>
        <v>24.478560000000002</v>
      </c>
      <c r="F506" s="20">
        <f>_xll.ciqfunctions.udf.CIQ(InputTicker,  "IQ_EBITDA_EXCL_OPER_LEASES_INT",Input!H$2,Date)</f>
        <v>10.117559999999999</v>
      </c>
      <c r="G506" s="20">
        <f>_xll.ciqfunctions.udf.CIQ(InputTicker,  "IQ_EBITDA_EXCL_OPER_LEASES_INT",Input!I$2,Date)</f>
        <v>8.8175500000000007</v>
      </c>
      <c r="H506" s="20">
        <f>_xll.ciqfunctions.udf.CIQ(InputTicker,  "IQ_EBITDA_EXCL_OPER_LEASES_INT",Input!J$2,Date)</f>
        <v>9.7913399999999999</v>
      </c>
      <c r="I506" s="20">
        <f>_xll.ciqfunctions.udf.CIQ(InputTicker,  "IQ_EBITDA_EXCL_OPER_LEASES_INT",Input!K$2,Date)</f>
        <v>8.8610199999999999</v>
      </c>
      <c r="J506" s="20">
        <f>_xll.ciqfunctions.udf.CIQ(InputTicker,  "IQ_EBITDA_EXCL_OPER_LEASES_INT",Input!L$2,Date)</f>
        <v>7.6272599999999997</v>
      </c>
      <c r="K506" s="20">
        <f>_xll.ciqfunctions.udf.CIQ(InputTicker,  "IQ_EBITDA_EXCL_OPER_LEASES_INT",Input!M$2,Date)</f>
        <v>7.5268699999999997</v>
      </c>
      <c r="L506" s="20">
        <f>_xll.ciqfunctions.udf.CIQ(InputTicker,  "IQ_EBITDA_EXCL_OPER_LEASES_INT",Input!N$2,Date)</f>
        <v>8.32972</v>
      </c>
      <c r="M506" s="20">
        <f>_xll.ciqfunctions.udf.CIQ(InputTicker,  "IQ_EBITDA_EXCL_OPER_LEASES_INT",Input!O$2,Date)</f>
        <v>8.32972</v>
      </c>
      <c r="N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  <c r="BJ506" s="42"/>
      <c r="BK506" s="42"/>
      <c r="BL506" s="42"/>
      <c r="BM506" s="42"/>
      <c r="BN506" s="42"/>
    </row>
    <row r="507" spans="1:66" ht="12.75" customHeight="1" x14ac:dyDescent="0.2">
      <c r="A507" s="19" t="s">
        <v>246</v>
      </c>
      <c r="B507" s="20">
        <f>_xll.ciqfunctions.udf.CIQ(InputTicker, "IQ_EBITDA_CAPEX_INT",Input!D$2,Date)</f>
        <v>35.882480000000001</v>
      </c>
      <c r="C507" s="20">
        <f>_xll.ciqfunctions.udf.CIQ(InputTicker, "IQ_EBITDA_CAPEX_INT",Input!E$2,Date)</f>
        <v>23.784130000000001</v>
      </c>
      <c r="D507" s="20">
        <f>_xll.ciqfunctions.udf.CIQ(InputTicker, "IQ_EBITDA_CAPEX_INT",Input!F$2,Date)</f>
        <v>21.12846</v>
      </c>
      <c r="E507" s="20">
        <f>_xll.ciqfunctions.udf.CIQ(InputTicker, "IQ_EBITDA_CAPEX_INT",Input!G$2,Date)</f>
        <v>19.78285</v>
      </c>
      <c r="F507" s="20">
        <f>_xll.ciqfunctions.udf.CIQ(InputTicker, "IQ_EBITDA_CAPEX_INT",Input!H$2,Date)</f>
        <v>9.6242599999999996</v>
      </c>
      <c r="G507" s="20">
        <f>_xll.ciqfunctions.udf.CIQ(InputTicker, "IQ_EBITDA_CAPEX_INT",Input!I$2,Date)</f>
        <v>7.9681699999999998</v>
      </c>
      <c r="H507" s="20">
        <f>_xll.ciqfunctions.udf.CIQ(InputTicker, "IQ_EBITDA_CAPEX_INT",Input!J$2,Date)</f>
        <v>9.2502200000000006</v>
      </c>
      <c r="I507" s="20">
        <f>_xll.ciqfunctions.udf.CIQ(InputTicker, "IQ_EBITDA_CAPEX_INT",Input!K$2,Date)</f>
        <v>8.7796099999999999</v>
      </c>
      <c r="J507" s="20">
        <f>_xll.ciqfunctions.udf.CIQ(InputTicker, "IQ_EBITDA_CAPEX_INT",Input!L$2,Date)</f>
        <v>7.6565000000000003</v>
      </c>
      <c r="K507" s="20">
        <f>_xll.ciqfunctions.udf.CIQ(InputTicker, "IQ_EBITDA_CAPEX_INT",Input!M$2,Date)</f>
        <v>7.6793199999999997</v>
      </c>
      <c r="L507" s="20">
        <f>_xll.ciqfunctions.udf.CIQ(InputTicker, "IQ_EBITDA_CAPEX_INT",Input!N$2,Date)</f>
        <v>8.4418600000000001</v>
      </c>
      <c r="M507" s="20">
        <f>_xll.ciqfunctions.udf.CIQ(InputTicker, "IQ_EBITDA_CAPEX_INT",Input!O$2,Date)</f>
        <v>8.4418600000000001</v>
      </c>
      <c r="N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  <c r="BJ507" s="42"/>
      <c r="BK507" s="42"/>
      <c r="BL507" s="42"/>
      <c r="BM507" s="42"/>
      <c r="BN507" s="42"/>
    </row>
    <row r="508" spans="1:66" ht="12.75" customHeight="1" x14ac:dyDescent="0.2">
      <c r="A508" s="43" t="s">
        <v>496</v>
      </c>
      <c r="B508" s="20">
        <f>_xll.ciqfunctions.udf.CIQ(InputTicker,  "IQ_EBITDA_EXCL_OPER_LEASES_CAPEX_INT",Input!D$2,Date)</f>
        <v>35.882480000000001</v>
      </c>
      <c r="C508" s="20">
        <f>_xll.ciqfunctions.udf.CIQ(InputTicker,  "IQ_EBITDA_EXCL_OPER_LEASES_CAPEX_INT",Input!E$2,Date)</f>
        <v>23.784130000000001</v>
      </c>
      <c r="D508" s="20">
        <f>_xll.ciqfunctions.udf.CIQ(InputTicker,  "IQ_EBITDA_EXCL_OPER_LEASES_CAPEX_INT",Input!F$2,Date)</f>
        <v>21.12846</v>
      </c>
      <c r="E508" s="20">
        <f>_xll.ciqfunctions.udf.CIQ(InputTicker,  "IQ_EBITDA_EXCL_OPER_LEASES_CAPEX_INT",Input!G$2,Date)</f>
        <v>19.78285</v>
      </c>
      <c r="F508" s="20">
        <f>_xll.ciqfunctions.udf.CIQ(InputTicker,  "IQ_EBITDA_EXCL_OPER_LEASES_CAPEX_INT",Input!H$2,Date)</f>
        <v>8.4166699999999999</v>
      </c>
      <c r="G508" s="20">
        <f>_xll.ciqfunctions.udf.CIQ(InputTicker,  "IQ_EBITDA_EXCL_OPER_LEASES_CAPEX_INT",Input!I$2,Date)</f>
        <v>6.7849399999999997</v>
      </c>
      <c r="H508" s="20">
        <f>_xll.ciqfunctions.udf.CIQ(InputTicker,  "IQ_EBITDA_EXCL_OPER_LEASES_CAPEX_INT",Input!J$2,Date)</f>
        <v>8.0060599999999997</v>
      </c>
      <c r="I508" s="20">
        <f>_xll.ciqfunctions.udf.CIQ(InputTicker,  "IQ_EBITDA_EXCL_OPER_LEASES_CAPEX_INT",Input!K$2,Date)</f>
        <v>7.7541099999999998</v>
      </c>
      <c r="J508" s="20">
        <f>_xll.ciqfunctions.udf.CIQ(InputTicker,  "IQ_EBITDA_EXCL_OPER_LEASES_CAPEX_INT",Input!L$2,Date)</f>
        <v>6.8525200000000002</v>
      </c>
      <c r="K508" s="20">
        <f>_xll.ciqfunctions.udf.CIQ(InputTicker,  "IQ_EBITDA_EXCL_OPER_LEASES_CAPEX_INT",Input!M$2,Date)</f>
        <v>6.91472</v>
      </c>
      <c r="L508" s="20">
        <f>_xll.ciqfunctions.udf.CIQ(InputTicker,  "IQ_EBITDA_EXCL_OPER_LEASES_CAPEX_INT",Input!N$2,Date)</f>
        <v>7.7658899999999997</v>
      </c>
      <c r="M508" s="20">
        <f>_xll.ciqfunctions.udf.CIQ(InputTicker,  "IQ_EBITDA_EXCL_OPER_LEASES_CAPEX_INT",Input!O$2,Date)</f>
        <v>7.7658899999999997</v>
      </c>
      <c r="N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  <c r="BJ508" s="42"/>
      <c r="BK508" s="42"/>
      <c r="BL508" s="42"/>
      <c r="BM508" s="42"/>
      <c r="BN508" s="42"/>
    </row>
    <row r="509" spans="1:66" ht="12.75" customHeight="1" x14ac:dyDescent="0.2">
      <c r="A509" s="19" t="s">
        <v>242</v>
      </c>
      <c r="B509" s="20">
        <f>_xll.ciqfunctions.udf.CIQ(InputTicker, "IQ_TOTAL_DEBT_EBITDA",Input!D$2,Date)</f>
        <v>1.95818</v>
      </c>
      <c r="C509" s="20">
        <f>_xll.ciqfunctions.udf.CIQ(InputTicker, "IQ_TOTAL_DEBT_EBITDA",Input!E$2,Date)</f>
        <v>2.27352</v>
      </c>
      <c r="D509" s="20">
        <f>_xll.ciqfunctions.udf.CIQ(InputTicker, "IQ_TOTAL_DEBT_EBITDA",Input!F$2,Date)</f>
        <v>2.8883700000000001</v>
      </c>
      <c r="E509" s="20">
        <f>_xll.ciqfunctions.udf.CIQ(InputTicker, "IQ_TOTAL_DEBT_EBITDA",Input!G$2,Date)</f>
        <v>2.5885400000000001</v>
      </c>
      <c r="F509" s="20">
        <f>_xll.ciqfunctions.udf.CIQ(InputTicker, "IQ_TOTAL_DEBT_EBITDA",Input!H$2,Date)</f>
        <v>4.4778900000000004</v>
      </c>
      <c r="G509" s="20">
        <f>_xll.ciqfunctions.udf.CIQ(InputTicker, "IQ_TOTAL_DEBT_EBITDA",Input!I$2,Date)</f>
        <v>5.0530200000000001</v>
      </c>
      <c r="H509" s="20">
        <f>_xll.ciqfunctions.udf.CIQ(InputTicker, "IQ_TOTAL_DEBT_EBITDA",Input!J$2,Date)</f>
        <v>4.32606</v>
      </c>
      <c r="I509" s="20">
        <f>_xll.ciqfunctions.udf.CIQ(InputTicker, "IQ_TOTAL_DEBT_EBITDA",Input!K$2,Date)</f>
        <v>4.4928499999999998</v>
      </c>
      <c r="J509" s="20">
        <f>_xll.ciqfunctions.udf.CIQ(InputTicker, "IQ_TOTAL_DEBT_EBITDA",Input!L$2,Date)</f>
        <v>4.4235699999999998</v>
      </c>
      <c r="K509" s="20">
        <f>_xll.ciqfunctions.udf.CIQ(InputTicker, "IQ_TOTAL_DEBT_EBITDA",Input!M$2,Date)</f>
        <v>4.1138399999999997</v>
      </c>
      <c r="L509" s="20">
        <f>_xll.ciqfunctions.udf.CIQ(InputTicker, "IQ_TOTAL_DEBT_EBITDA",Input!N$2,Date)</f>
        <v>3.7075100000000001</v>
      </c>
      <c r="M509" s="20">
        <f>_xll.ciqfunctions.udf.CIQ(InputTicker, "IQ_TOTAL_DEBT_EBITDA",Input!O$2,Date)</f>
        <v>3.7075100000000001</v>
      </c>
      <c r="N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  <c r="BJ509" s="42"/>
      <c r="BK509" s="42"/>
      <c r="BL509" s="42"/>
      <c r="BM509" s="42"/>
      <c r="BN509" s="42"/>
    </row>
    <row r="510" spans="1:66" ht="12.75" customHeight="1" x14ac:dyDescent="0.2">
      <c r="A510" s="43" t="s">
        <v>497</v>
      </c>
      <c r="B510" s="20">
        <f>_xll.ciqfunctions.udf.CIQ(InputTicker,  "IQ_TOTAL_DEBT_EBITDA_EXCL_OPER_LEASES",Input!D$2,Date)</f>
        <v>1.95818</v>
      </c>
      <c r="C510" s="20">
        <f>_xll.ciqfunctions.udf.CIQ(InputTicker,  "IQ_TOTAL_DEBT_EBITDA_EXCL_OPER_LEASES",Input!E$2,Date)</f>
        <v>2.27352</v>
      </c>
      <c r="D510" s="20">
        <f>_xll.ciqfunctions.udf.CIQ(InputTicker,  "IQ_TOTAL_DEBT_EBITDA_EXCL_OPER_LEASES",Input!F$2,Date)</f>
        <v>2.8883700000000001</v>
      </c>
      <c r="E510" s="20">
        <f>_xll.ciqfunctions.udf.CIQ(InputTicker,  "IQ_TOTAL_DEBT_EBITDA_EXCL_OPER_LEASES",Input!G$2,Date)</f>
        <v>2.5885400000000001</v>
      </c>
      <c r="F510" s="20">
        <f>_xll.ciqfunctions.udf.CIQ(InputTicker,  "IQ_TOTAL_DEBT_EBITDA_EXCL_OPER_LEASES",Input!H$2,Date)</f>
        <v>5.0123499999999996</v>
      </c>
      <c r="G510" s="20">
        <f>_xll.ciqfunctions.udf.CIQ(InputTicker,  "IQ_TOTAL_DEBT_EBITDA_EXCL_OPER_LEASES",Input!I$2,Date)</f>
        <v>5.73109</v>
      </c>
      <c r="H510" s="20">
        <f>_xll.ciqfunctions.udf.CIQ(InputTicker,  "IQ_TOTAL_DEBT_EBITDA_EXCL_OPER_LEASES",Input!J$2,Date)</f>
        <v>4.8757599999999996</v>
      </c>
      <c r="I510" s="20">
        <f>_xll.ciqfunctions.udf.CIQ(InputTicker,  "IQ_TOTAL_DEBT_EBITDA_EXCL_OPER_LEASES",Input!K$2,Date)</f>
        <v>5.01281</v>
      </c>
      <c r="J510" s="20">
        <f>_xll.ciqfunctions.udf.CIQ(InputTicker,  "IQ_TOTAL_DEBT_EBITDA_EXCL_OPER_LEASES",Input!L$2,Date)</f>
        <v>4.8898599999999997</v>
      </c>
      <c r="K510" s="20">
        <f>_xll.ciqfunctions.udf.CIQ(InputTicker,  "IQ_TOTAL_DEBT_EBITDA_EXCL_OPER_LEASES",Input!M$2,Date)</f>
        <v>4.5317400000000001</v>
      </c>
      <c r="L510" s="20">
        <f>_xll.ciqfunctions.udf.CIQ(InputTicker,  "IQ_TOTAL_DEBT_EBITDA_EXCL_OPER_LEASES",Input!N$2,Date)</f>
        <v>4.0083799999999998</v>
      </c>
      <c r="M510" s="20">
        <f>_xll.ciqfunctions.udf.CIQ(InputTicker,  "IQ_TOTAL_DEBT_EBITDA_EXCL_OPER_LEASES",Input!O$2,Date)</f>
        <v>4.0083799999999998</v>
      </c>
      <c r="N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  <c r="BJ510" s="42"/>
      <c r="BK510" s="42"/>
      <c r="BL510" s="42"/>
      <c r="BM510" s="42"/>
      <c r="BN510" s="42"/>
    </row>
    <row r="511" spans="1:66" ht="12.75" customHeight="1" x14ac:dyDescent="0.2">
      <c r="A511" s="19" t="s">
        <v>243</v>
      </c>
      <c r="B511" s="20">
        <f>_xll.ciqfunctions.udf.CIQ(InputTicker,"IQ_NET_DEBT_EBITDA",Input!D$2,Date)</f>
        <v>1.55596</v>
      </c>
      <c r="C511" s="20">
        <f>_xll.ciqfunctions.udf.CIQ(InputTicker,"IQ_NET_DEBT_EBITDA",Input!E$2,Date)</f>
        <v>1.81386</v>
      </c>
      <c r="D511" s="20">
        <f>_xll.ciqfunctions.udf.CIQ(InputTicker,"IQ_NET_DEBT_EBITDA",Input!F$2,Date)</f>
        <v>2.1128</v>
      </c>
      <c r="E511" s="20">
        <f>_xll.ciqfunctions.udf.CIQ(InputTicker,"IQ_NET_DEBT_EBITDA",Input!G$2,Date)</f>
        <v>1.9106700000000001</v>
      </c>
      <c r="F511" s="20">
        <f>_xll.ciqfunctions.udf.CIQ(InputTicker,"IQ_NET_DEBT_EBITDA",Input!H$2,Date)</f>
        <v>3.8952800000000001</v>
      </c>
      <c r="G511" s="20">
        <f>_xll.ciqfunctions.udf.CIQ(InputTicker,"IQ_NET_DEBT_EBITDA",Input!I$2,Date)</f>
        <v>3.9826100000000002</v>
      </c>
      <c r="H511" s="20">
        <f>_xll.ciqfunctions.udf.CIQ(InputTicker,"IQ_NET_DEBT_EBITDA",Input!J$2,Date)</f>
        <v>3.75726</v>
      </c>
      <c r="I511" s="20">
        <f>_xll.ciqfunctions.udf.CIQ(InputTicker,"IQ_NET_DEBT_EBITDA",Input!K$2,Date)</f>
        <v>3.7660100000000001</v>
      </c>
      <c r="J511" s="20">
        <f>_xll.ciqfunctions.udf.CIQ(InputTicker,"IQ_NET_DEBT_EBITDA",Input!L$2,Date)</f>
        <v>3.43154</v>
      </c>
      <c r="K511" s="20">
        <f>_xll.ciqfunctions.udf.CIQ(InputTicker,"IQ_NET_DEBT_EBITDA",Input!M$2,Date)</f>
        <v>3.08595</v>
      </c>
      <c r="L511" s="20">
        <f>_xll.ciqfunctions.udf.CIQ(InputTicker,"IQ_NET_DEBT_EBITDA",Input!N$2,Date)</f>
        <v>2.8801800000000002</v>
      </c>
      <c r="M511" s="20">
        <f>_xll.ciqfunctions.udf.CIQ(InputTicker,"IQ_NET_DEBT_EBITDA",Input!O$2,Date)</f>
        <v>2.8801800000000002</v>
      </c>
      <c r="N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  <c r="BJ511" s="42"/>
      <c r="BK511" s="42"/>
      <c r="BL511" s="42"/>
      <c r="BM511" s="42"/>
      <c r="BN511" s="42"/>
    </row>
    <row r="512" spans="1:66" ht="12.75" customHeight="1" x14ac:dyDescent="0.2">
      <c r="A512" s="43" t="s">
        <v>498</v>
      </c>
      <c r="B512" s="20">
        <f>_xll.ciqfunctions.udf.CIQ(InputTicker,  "IQ_NET_DEBT_EBITDA_EXCL_OPER_LEASES",Input!D$2,Date)</f>
        <v>1.55596</v>
      </c>
      <c r="C512" s="20">
        <f>_xll.ciqfunctions.udf.CIQ(InputTicker,  "IQ_NET_DEBT_EBITDA_EXCL_OPER_LEASES",Input!E$2,Date)</f>
        <v>1.81386</v>
      </c>
      <c r="D512" s="20">
        <f>_xll.ciqfunctions.udf.CIQ(InputTicker,  "IQ_NET_DEBT_EBITDA_EXCL_OPER_LEASES",Input!F$2,Date)</f>
        <v>2.1128</v>
      </c>
      <c r="E512" s="20">
        <f>_xll.ciqfunctions.udf.CIQ(InputTicker,  "IQ_NET_DEBT_EBITDA_EXCL_OPER_LEASES",Input!G$2,Date)</f>
        <v>1.9106700000000001</v>
      </c>
      <c r="F512" s="20">
        <f>_xll.ciqfunctions.udf.CIQ(InputTicker,  "IQ_NET_DEBT_EBITDA_EXCL_OPER_LEASES",Input!H$2,Date)</f>
        <v>4.3601999999999999</v>
      </c>
      <c r="G512" s="20">
        <f>_xll.ciqfunctions.udf.CIQ(InputTicker,  "IQ_NET_DEBT_EBITDA_EXCL_OPER_LEASES",Input!I$2,Date)</f>
        <v>4.5170399999999997</v>
      </c>
      <c r="H512" s="20">
        <f>_xll.ciqfunctions.udf.CIQ(InputTicker,  "IQ_NET_DEBT_EBITDA_EXCL_OPER_LEASES",Input!J$2,Date)</f>
        <v>4.23468</v>
      </c>
      <c r="I512" s="20">
        <f>_xll.ciqfunctions.udf.CIQ(InputTicker,  "IQ_NET_DEBT_EBITDA_EXCL_OPER_LEASES",Input!K$2,Date)</f>
        <v>4.2018599999999999</v>
      </c>
      <c r="J512" s="20">
        <f>_xll.ciqfunctions.udf.CIQ(InputTicker,  "IQ_NET_DEBT_EBITDA_EXCL_OPER_LEASES",Input!L$2,Date)</f>
        <v>3.7932600000000001</v>
      </c>
      <c r="K512" s="20">
        <f>_xll.ciqfunctions.udf.CIQ(InputTicker,  "IQ_NET_DEBT_EBITDA_EXCL_OPER_LEASES",Input!M$2,Date)</f>
        <v>3.3994300000000002</v>
      </c>
      <c r="L512" s="20">
        <f>_xll.ciqfunctions.udf.CIQ(InputTicker,  "IQ_NET_DEBT_EBITDA_EXCL_OPER_LEASES",Input!N$2,Date)</f>
        <v>3.1139100000000002</v>
      </c>
      <c r="M512" s="20">
        <f>_xll.ciqfunctions.udf.CIQ(InputTicker,  "IQ_NET_DEBT_EBITDA_EXCL_OPER_LEASES",Input!O$2,Date)</f>
        <v>3.1139100000000002</v>
      </c>
      <c r="N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  <c r="BJ512" s="42"/>
      <c r="BK512" s="42"/>
      <c r="BL512" s="42"/>
      <c r="BM512" s="42"/>
      <c r="BN512" s="42"/>
    </row>
    <row r="513" spans="1:66" ht="12.75" customHeight="1" x14ac:dyDescent="0.2">
      <c r="A513" s="19" t="s">
        <v>426</v>
      </c>
      <c r="B513" s="20">
        <f>_xll.ciqfunctions.udf.CIQ(InputTicker, "IQ_TOTAL_DEBT_EBITDA_CAPEX",Input!D$2,Date)</f>
        <v>2.3755099999999998</v>
      </c>
      <c r="C513" s="20">
        <f>_xll.ciqfunctions.udf.CIQ(InputTicker, "IQ_TOTAL_DEBT_EBITDA_CAPEX",Input!E$2,Date)</f>
        <v>2.81474</v>
      </c>
      <c r="D513" s="20">
        <f>_xll.ciqfunctions.udf.CIQ(InputTicker, "IQ_TOTAL_DEBT_EBITDA_CAPEX",Input!F$2,Date)</f>
        <v>3.6061299999999998</v>
      </c>
      <c r="E513" s="20">
        <f>_xll.ciqfunctions.udf.CIQ(InputTicker, "IQ_TOTAL_DEBT_EBITDA_CAPEX",Input!G$2,Date)</f>
        <v>3.20296</v>
      </c>
      <c r="F513" s="20">
        <f>_xll.ciqfunctions.udf.CIQ(InputTicker, "IQ_TOTAL_DEBT_EBITDA_CAPEX",Input!H$2,Date)</f>
        <v>5.2692699999999997</v>
      </c>
      <c r="G513" s="20">
        <f>_xll.ciqfunctions.udf.CIQ(InputTicker, "IQ_TOTAL_DEBT_EBITDA_CAPEX",Input!I$2,Date)</f>
        <v>6.3420100000000001</v>
      </c>
      <c r="H513" s="20">
        <f>_xll.ciqfunctions.udf.CIQ(InputTicker, "IQ_TOTAL_DEBT_EBITDA_CAPEX",Input!J$2,Date)</f>
        <v>5.16099</v>
      </c>
      <c r="I513" s="20">
        <f>_xll.ciqfunctions.udf.CIQ(InputTicker, "IQ_TOTAL_DEBT_EBITDA_CAPEX",Input!K$2,Date)</f>
        <v>5.0592899999999998</v>
      </c>
      <c r="J513" s="20">
        <f>_xll.ciqfunctions.udf.CIQ(InputTicker, "IQ_TOTAL_DEBT_EBITDA_CAPEX",Input!L$2,Date)</f>
        <v>4.8711799999999998</v>
      </c>
      <c r="K513" s="20">
        <f>_xll.ciqfunctions.udf.CIQ(InputTicker, "IQ_TOTAL_DEBT_EBITDA_CAPEX",Input!M$2,Date)</f>
        <v>4.44177</v>
      </c>
      <c r="L513" s="20">
        <f>_xll.ciqfunctions.udf.CIQ(InputTicker, "IQ_TOTAL_DEBT_EBITDA_CAPEX",Input!N$2,Date)</f>
        <v>3.95513</v>
      </c>
      <c r="M513" s="20">
        <f>_xll.ciqfunctions.udf.CIQ(InputTicker, "IQ_TOTAL_DEBT_EBITDA_CAPEX",Input!O$2,Date)</f>
        <v>3.95513</v>
      </c>
      <c r="N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  <c r="BJ513" s="42"/>
      <c r="BK513" s="42"/>
      <c r="BL513" s="42"/>
      <c r="BM513" s="42"/>
      <c r="BN513" s="42"/>
    </row>
    <row r="514" spans="1:66" ht="12.75" customHeight="1" x14ac:dyDescent="0.2">
      <c r="A514" s="43" t="s">
        <v>499</v>
      </c>
      <c r="B514" s="20">
        <f>_xll.ciqfunctions.udf.CIQ(InputTicker,  "IQ_TOTAL_DEBT_EBITDA_EXCL_OPER_LEASES_CAPEX",Input!D$2,Date)</f>
        <v>2.3755099999999998</v>
      </c>
      <c r="C514" s="20">
        <f>_xll.ciqfunctions.udf.CIQ(InputTicker,  "IQ_TOTAL_DEBT_EBITDA_EXCL_OPER_LEASES_CAPEX",Input!E$2,Date)</f>
        <v>2.81474</v>
      </c>
      <c r="D514" s="20">
        <f>_xll.ciqfunctions.udf.CIQ(InputTicker,  "IQ_TOTAL_DEBT_EBITDA_EXCL_OPER_LEASES_CAPEX",Input!F$2,Date)</f>
        <v>3.6061299999999998</v>
      </c>
      <c r="E514" s="20">
        <f>_xll.ciqfunctions.udf.CIQ(InputTicker,  "IQ_TOTAL_DEBT_EBITDA_EXCL_OPER_LEASES_CAPEX",Input!G$2,Date)</f>
        <v>3.20296</v>
      </c>
      <c r="F514" s="20">
        <f>_xll.ciqfunctions.udf.CIQ(InputTicker,  "IQ_TOTAL_DEBT_EBITDA_EXCL_OPER_LEASES_CAPEX",Input!H$2,Date)</f>
        <v>6.0252800000000004</v>
      </c>
      <c r="G514" s="20">
        <f>_xll.ciqfunctions.udf.CIQ(InputTicker,  "IQ_TOTAL_DEBT_EBITDA_EXCL_OPER_LEASES_CAPEX",Input!I$2,Date)</f>
        <v>7.4479899999999999</v>
      </c>
      <c r="H514" s="20">
        <f>_xll.ciqfunctions.udf.CIQ(InputTicker,  "IQ_TOTAL_DEBT_EBITDA_EXCL_OPER_LEASES_CAPEX",Input!J$2,Date)</f>
        <v>5.9630200000000002</v>
      </c>
      <c r="I514" s="20">
        <f>_xll.ciqfunctions.udf.CIQ(InputTicker,  "IQ_TOTAL_DEBT_EBITDA_EXCL_OPER_LEASES_CAPEX",Input!K$2,Date)</f>
        <v>5.7283900000000001</v>
      </c>
      <c r="J514" s="20">
        <f>_xll.ciqfunctions.udf.CIQ(InputTicker,  "IQ_TOTAL_DEBT_EBITDA_EXCL_OPER_LEASES_CAPEX",Input!L$2,Date)</f>
        <v>5.4427000000000003</v>
      </c>
      <c r="K514" s="20">
        <f>_xll.ciqfunctions.udf.CIQ(InputTicker,  "IQ_TOTAL_DEBT_EBITDA_EXCL_OPER_LEASES_CAPEX",Input!M$2,Date)</f>
        <v>4.9329299999999998</v>
      </c>
      <c r="L514" s="20">
        <f>_xll.ciqfunctions.udf.CIQ(InputTicker,  "IQ_TOTAL_DEBT_EBITDA_EXCL_OPER_LEASES_CAPEX",Input!N$2,Date)</f>
        <v>4.2993899999999998</v>
      </c>
      <c r="M514" s="20">
        <f>_xll.ciqfunctions.udf.CIQ(InputTicker,  "IQ_TOTAL_DEBT_EBITDA_EXCL_OPER_LEASES_CAPEX",Input!O$2,Date)</f>
        <v>4.2993899999999998</v>
      </c>
      <c r="N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  <c r="BJ514" s="42"/>
      <c r="BK514" s="42"/>
      <c r="BL514" s="42"/>
      <c r="BM514" s="42"/>
      <c r="BN514" s="42"/>
    </row>
    <row r="515" spans="1:66" ht="12.75" customHeight="1" x14ac:dyDescent="0.2">
      <c r="A515" s="43" t="s">
        <v>427</v>
      </c>
      <c r="B515" s="20">
        <f>_xll.ciqfunctions.udf.CIQ(InputTicker, "IQ_NET_DEBT_EBITDA_CAPEX",Input!D$2,Date)</f>
        <v>1.88757</v>
      </c>
      <c r="C515" s="20">
        <f>_xll.ciqfunctions.udf.CIQ(InputTicker, "IQ_NET_DEBT_EBITDA_CAPEX",Input!E$2,Date)</f>
        <v>2.24566</v>
      </c>
      <c r="D515" s="20">
        <f>_xll.ciqfunctions.udf.CIQ(InputTicker, "IQ_NET_DEBT_EBITDA_CAPEX",Input!F$2,Date)</f>
        <v>2.6378300000000001</v>
      </c>
      <c r="E515" s="20">
        <f>_xll.ciqfunctions.udf.CIQ(InputTicker, "IQ_NET_DEBT_EBITDA_CAPEX",Input!G$2,Date)</f>
        <v>2.3641899999999998</v>
      </c>
      <c r="F515" s="20">
        <f>_xll.ciqfunctions.udf.CIQ(InputTicker, "IQ_NET_DEBT_EBITDA_CAPEX",Input!H$2,Date)</f>
        <v>4.5836899999999998</v>
      </c>
      <c r="G515" s="20">
        <f>_xll.ciqfunctions.udf.CIQ(InputTicker, "IQ_NET_DEBT_EBITDA_CAPEX",Input!I$2,Date)</f>
        <v>4.9985400000000002</v>
      </c>
      <c r="H515" s="20">
        <f>_xll.ciqfunctions.udf.CIQ(InputTicker, "IQ_NET_DEBT_EBITDA_CAPEX",Input!J$2,Date)</f>
        <v>4.4824000000000002</v>
      </c>
      <c r="I515" s="20">
        <f>_xll.ciqfunctions.udf.CIQ(InputTicker, "IQ_NET_DEBT_EBITDA_CAPEX",Input!K$2,Date)</f>
        <v>4.2408200000000003</v>
      </c>
      <c r="J515" s="20">
        <f>_xll.ciqfunctions.udf.CIQ(InputTicker, "IQ_NET_DEBT_EBITDA_CAPEX",Input!L$2,Date)</f>
        <v>3.7787700000000002</v>
      </c>
      <c r="K515" s="20">
        <f>_xll.ciqfunctions.udf.CIQ(InputTicker, "IQ_NET_DEBT_EBITDA_CAPEX",Input!M$2,Date)</f>
        <v>3.3319399999999999</v>
      </c>
      <c r="L515" s="20">
        <f>_xll.ciqfunctions.udf.CIQ(InputTicker, "IQ_NET_DEBT_EBITDA_CAPEX",Input!N$2,Date)</f>
        <v>3.07254</v>
      </c>
      <c r="M515" s="20">
        <f>_xll.ciqfunctions.udf.CIQ(InputTicker, "IQ_NET_DEBT_EBITDA_CAPEX",Input!O$2,Date)</f>
        <v>3.07254</v>
      </c>
      <c r="N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  <c r="BJ515" s="42"/>
      <c r="BK515" s="42"/>
      <c r="BL515" s="42"/>
      <c r="BM515" s="42"/>
      <c r="BN515" s="42"/>
    </row>
    <row r="516" spans="1:66" ht="12.75" customHeight="1" x14ac:dyDescent="0.2">
      <c r="A516" s="43" t="s">
        <v>500</v>
      </c>
      <c r="B516" s="20">
        <f>_xll.ciqfunctions.udf.CIQ(InputTicker,  "IQ_NET_DEBT_EBITDA_EXCL_OPER_LEASES_CAPEX",Input!D$2,Date)</f>
        <v>1.88757</v>
      </c>
      <c r="C516" s="20">
        <f>_xll.ciqfunctions.udf.CIQ(InputTicker,  "IQ_NET_DEBT_EBITDA_EXCL_OPER_LEASES_CAPEX",Input!E$2,Date)</f>
        <v>2.24566</v>
      </c>
      <c r="D516" s="20">
        <f>_xll.ciqfunctions.udf.CIQ(InputTicker,  "IQ_NET_DEBT_EBITDA_EXCL_OPER_LEASES_CAPEX",Input!F$2,Date)</f>
        <v>2.6378300000000001</v>
      </c>
      <c r="E516" s="20">
        <f>_xll.ciqfunctions.udf.CIQ(InputTicker,  "IQ_NET_DEBT_EBITDA_EXCL_OPER_LEASES_CAPEX",Input!G$2,Date)</f>
        <v>2.3641899999999998</v>
      </c>
      <c r="F516" s="20">
        <f>_xll.ciqfunctions.udf.CIQ(InputTicker,  "IQ_NET_DEBT_EBITDA_EXCL_OPER_LEASES_CAPEX",Input!H$2,Date)</f>
        <v>5.2413400000000001</v>
      </c>
      <c r="G516" s="20">
        <f>_xll.ciqfunctions.udf.CIQ(InputTicker,  "IQ_NET_DEBT_EBITDA_EXCL_OPER_LEASES_CAPEX",Input!I$2,Date)</f>
        <v>5.8702399999999999</v>
      </c>
      <c r="H516" s="20">
        <f>_xll.ciqfunctions.udf.CIQ(InputTicker,  "IQ_NET_DEBT_EBITDA_EXCL_OPER_LEASES_CAPEX",Input!J$2,Date)</f>
        <v>5.1789800000000001</v>
      </c>
      <c r="I516" s="20">
        <f>_xll.ciqfunctions.udf.CIQ(InputTicker,  "IQ_NET_DEBT_EBITDA_EXCL_OPER_LEASES_CAPEX",Input!K$2,Date)</f>
        <v>4.8016800000000002</v>
      </c>
      <c r="J516" s="20">
        <f>_xll.ciqfunctions.udf.CIQ(InputTicker,  "IQ_NET_DEBT_EBITDA_EXCL_OPER_LEASES_CAPEX",Input!L$2,Date)</f>
        <v>4.2221200000000003</v>
      </c>
      <c r="K516" s="20">
        <f>_xll.ciqfunctions.udf.CIQ(InputTicker,  "IQ_NET_DEBT_EBITDA_EXCL_OPER_LEASES_CAPEX",Input!M$2,Date)</f>
        <v>3.7003699999999999</v>
      </c>
      <c r="L516" s="20">
        <f>_xll.ciqfunctions.udf.CIQ(InputTicker,  "IQ_NET_DEBT_EBITDA_EXCL_OPER_LEASES_CAPEX",Input!N$2,Date)</f>
        <v>3.3399899999999998</v>
      </c>
      <c r="M516" s="20">
        <f>_xll.ciqfunctions.udf.CIQ(InputTicker,  "IQ_NET_DEBT_EBITDA_EXCL_OPER_LEASES_CAPEX",Input!O$2,Date)</f>
        <v>3.3399899999999998</v>
      </c>
      <c r="N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2"/>
      <c r="AL516" s="42"/>
      <c r="AM516" s="42"/>
      <c r="AN516" s="42"/>
      <c r="AO516" s="42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  <c r="BJ516" s="42"/>
      <c r="BK516" s="42"/>
      <c r="BL516" s="42"/>
      <c r="BM516" s="42"/>
      <c r="BN516" s="42"/>
    </row>
    <row r="517" spans="1:66" ht="12.75" customHeight="1" x14ac:dyDescent="0.2">
      <c r="A517" s="19" t="s">
        <v>428</v>
      </c>
      <c r="B517" s="21">
        <f>_xll.ciqfunctions.udf.CIQ(InputTicker, "IQ_TOTAL_REV_EMPLOYEE",Input!D$2,Date,,,Ccy,Conv)</f>
        <v>216.38499999999999</v>
      </c>
      <c r="C517" s="21">
        <f>_xll.ciqfunctions.udf.CIQ(InputTicker, "IQ_TOTAL_REV_EMPLOYEE",Input!E$2,Date,,,Ccy,Conv)</f>
        <v>210.14699999999999</v>
      </c>
      <c r="D517" s="21">
        <f>_xll.ciqfunctions.udf.CIQ(InputTicker, "IQ_TOTAL_REV_EMPLOYEE",Input!F$2,Date,,,Ccy,Conv)</f>
        <v>215.87200000000001</v>
      </c>
      <c r="E517" s="21">
        <f>_xll.ciqfunctions.udf.CIQ(InputTicker, "IQ_TOTAL_REV_EMPLOYEE",Input!G$2,Date,,,Ccy,Conv)</f>
        <v>227.01300000000001</v>
      </c>
      <c r="F517" s="21">
        <f>_xll.ciqfunctions.udf.CIQ(InputTicker, "IQ_TOTAL_REV_EMPLOYEE",Input!H$2,Date,,,Ccy,Conv)</f>
        <v>163.68100000000001</v>
      </c>
      <c r="G517" s="21">
        <f>_xll.ciqfunctions.udf.CIQ(InputTicker, "IQ_TOTAL_REV_EMPLOYEE",Input!I$2,Date,,,Ccy,Conv)</f>
        <v>159.52199999999999</v>
      </c>
      <c r="H517" s="21">
        <f>_xll.ciqfunctions.udf.CIQ(InputTicker, "IQ_TOTAL_REV_EMPLOYEE",Input!J$2,Date,,,Ccy,Conv)</f>
        <v>203.3</v>
      </c>
      <c r="I517" s="21">
        <f>_xll.ciqfunctions.udf.CIQ(InputTicker, "IQ_TOTAL_REV_EMPLOYEE",Input!K$2,Date,,,Ccy,Conv)</f>
        <v>209.95400000000001</v>
      </c>
      <c r="J517" s="21">
        <f>_xll.ciqfunctions.udf.CIQ(InputTicker, "IQ_TOTAL_REV_EMPLOYEE",Input!L$2,Date,,,Ccy,Conv)</f>
        <v>219.20599999999999</v>
      </c>
      <c r="K517" s="21">
        <f>_xll.ciqfunctions.udf.CIQ(InputTicker, "IQ_TOTAL_REV_EMPLOYEE",Input!M$2,Date,,,Ccy,Conv)</f>
        <v>232.16</v>
      </c>
      <c r="L517" s="21">
        <f>_xll.ciqfunctions.udf.CIQ(InputTicker, "IQ_TOTAL_REV_EMPLOYEE",Input!N$2,Date,,,Ccy,Conv)</f>
        <v>255.524</v>
      </c>
      <c r="M517" s="21">
        <f>_xll.ciqfunctions.udf.CIQ(InputTicker, "IQ_TOTAL_REV_EMPLOYEE",Input!O$2,Date,,,Ccy,Conv)</f>
        <v>255.524</v>
      </c>
      <c r="N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  <c r="AK517" s="42"/>
      <c r="AL517" s="42"/>
      <c r="AM517" s="42"/>
      <c r="AN517" s="42"/>
      <c r="AO517" s="42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  <c r="BJ517" s="42"/>
      <c r="BK517" s="42"/>
      <c r="BL517" s="42"/>
      <c r="BM517" s="42"/>
      <c r="BN517" s="42"/>
    </row>
    <row r="518" spans="1:66" ht="12.75" customHeight="1" x14ac:dyDescent="0.2">
      <c r="A518" s="19" t="s">
        <v>244</v>
      </c>
      <c r="B518" s="4">
        <f>_xll.ciqfunctions.udf.CIQ(InputTicker,"IQ_Z_SCORE",Input!D$2,Date)</f>
        <v>4.1268500000000001</v>
      </c>
      <c r="C518" s="4">
        <f>_xll.ciqfunctions.udf.CIQ(InputTicker,"IQ_Z_SCORE",Input!E$2,Date)</f>
        <v>3.8498100000000002</v>
      </c>
      <c r="D518" s="4">
        <f>_xll.ciqfunctions.udf.CIQ(InputTicker,"IQ_Z_SCORE",Input!F$2,Date)</f>
        <v>3.5914600000000001</v>
      </c>
      <c r="E518" s="4">
        <f>_xll.ciqfunctions.udf.CIQ(InputTicker,"IQ_Z_SCORE",Input!G$2,Date)</f>
        <v>3.6549900000000002</v>
      </c>
      <c r="F518" s="4">
        <f>_xll.ciqfunctions.udf.CIQ(InputTicker,"IQ_Z_SCORE",Input!H$2,Date)</f>
        <v>2.6049500000000001</v>
      </c>
      <c r="G518" s="4">
        <f>_xll.ciqfunctions.udf.CIQ(InputTicker,"IQ_Z_SCORE",Input!I$2,Date)</f>
        <v>2.3980800000000002</v>
      </c>
      <c r="H518" s="4">
        <f>_xll.ciqfunctions.udf.CIQ(InputTicker,"IQ_Z_SCORE",Input!J$2,Date)</f>
        <v>2.8089</v>
      </c>
      <c r="I518" s="4">
        <f>_xll.ciqfunctions.udf.CIQ(InputTicker,"IQ_Z_SCORE",Input!K$2,Date)</f>
        <v>2.9832399999999999</v>
      </c>
      <c r="J518" s="4">
        <f>_xll.ciqfunctions.udf.CIQ(InputTicker,"IQ_Z_SCORE",Input!L$2,Date)</f>
        <v>2.9162699999999999</v>
      </c>
      <c r="K518" s="4">
        <f>_xll.ciqfunctions.udf.CIQ(InputTicker,"IQ_Z_SCORE",Input!M$2,Date)</f>
        <v>3.2222</v>
      </c>
      <c r="L518" s="4">
        <f>_xll.ciqfunctions.udf.CIQ(InputTicker,"IQ_Z_SCORE",Input!N$2,Date)</f>
        <v>3.3862999999999999</v>
      </c>
      <c r="M518" s="4">
        <f>_xll.ciqfunctions.udf.CIQ(InputTicker,"IQ_Z_SCORE",Input!O$2,Date)</f>
        <v>3.3862999999999999</v>
      </c>
      <c r="N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  <c r="BJ518" s="42"/>
      <c r="BK518" s="42"/>
      <c r="BL518" s="42"/>
      <c r="BM518" s="42"/>
      <c r="BN518" s="42"/>
    </row>
    <row r="519" spans="1:66" ht="12.75" customHeight="1" x14ac:dyDescent="0.2">
      <c r="A519" s="19" t="s">
        <v>585</v>
      </c>
      <c r="B519" s="4">
        <f>_xll.ciqfunctions.udf.CIQ(InputTicker, "IQ_TOTAL_REV_1YR_ANN_GROWTH",Input!D$2,Date)</f>
        <v>-11.910399999999999</v>
      </c>
      <c r="C519" s="4">
        <f>_xll.ciqfunctions.udf.CIQ(InputTicker, "IQ_TOTAL_REV_1YR_ANN_GROWTH",Input!E$2,Date)</f>
        <v>-2.2290000000000001</v>
      </c>
      <c r="D519" s="4">
        <f>_xll.ciqfunctions.udf.CIQ(InputTicker, "IQ_TOTAL_REV_1YR_ANN_GROWTH",Input!F$2,Date)</f>
        <v>-0.97599999999999998</v>
      </c>
      <c r="E519" s="4">
        <f>_xll.ciqfunctions.udf.CIQ(InputTicker, "IQ_TOTAL_REV_1YR_ANN_GROWTH",Input!G$2,Date)</f>
        <v>0.57110000000000005</v>
      </c>
      <c r="F519" s="4">
        <f>_xll.ciqfunctions.udf.CIQ(InputTicker, "IQ_TOTAL_REV_1YR_ANN_GROWTH",Input!H$2,Date)</f>
        <v>-27.486799999999999</v>
      </c>
      <c r="G519" s="4">
        <f>_xll.ciqfunctions.udf.CIQ(InputTicker, "IQ_TOTAL_REV_1YR_ANN_GROWTH",Input!I$2,Date)</f>
        <v>-4.3924000000000003</v>
      </c>
      <c r="H519" s="4">
        <f>_xll.ciqfunctions.udf.CIQ(InputTicker, "IQ_TOTAL_REV_1YR_ANN_GROWTH",Input!J$2,Date)</f>
        <v>3.9361999999999999</v>
      </c>
      <c r="I519" s="4">
        <f>_xll.ciqfunctions.udf.CIQ(InputTicker, "IQ_TOTAL_REV_1YR_ANN_GROWTH",Input!K$2,Date)</f>
        <v>5.5430000000000001</v>
      </c>
      <c r="J519" s="4">
        <f>_xll.ciqfunctions.udf.CIQ(InputTicker, "IQ_TOTAL_REV_1YR_ANN_GROWTH",Input!L$2,Date)</f>
        <v>2.1972</v>
      </c>
      <c r="K519" s="4">
        <f>_xll.ciqfunctions.udf.CIQ(InputTicker, "IQ_TOTAL_REV_1YR_ANN_GROWTH",Input!M$2,Date)</f>
        <v>1.4435</v>
      </c>
      <c r="L519" s="4">
        <f>_xll.ciqfunctions.udf.CIQ(InputTicker, "IQ_TOTAL_REV_1YR_ANN_GROWTH",Input!N$2,Date)</f>
        <v>7.6203000000000003</v>
      </c>
      <c r="M519" s="4">
        <f>_xll.ciqfunctions.udf.CIQ(InputTicker, "IQ_TOTAL_REV_1YR_ANN_GROWTH",Input!O$2,Date)</f>
        <v>7.6203000000000003</v>
      </c>
      <c r="N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  <c r="AK519" s="42"/>
      <c r="AL519" s="42"/>
      <c r="AM519" s="42"/>
      <c r="AN519" s="42"/>
      <c r="AO519" s="42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  <c r="BJ519" s="42"/>
      <c r="BK519" s="42"/>
      <c r="BL519" s="42"/>
      <c r="BM519" s="42"/>
      <c r="BN519" s="42"/>
    </row>
    <row r="520" spans="1:66" ht="12.75" customHeight="1" x14ac:dyDescent="0.2">
      <c r="A520" s="19" t="s">
        <v>586</v>
      </c>
      <c r="B520" s="4">
        <f>_xll.ciqfunctions.udf.CIQ(InputTicker, "IQ_GP_1YR_ANN_GROWTH",Input!D$2,Date)</f>
        <v>-12.3322</v>
      </c>
      <c r="C520" s="4">
        <f>_xll.ciqfunctions.udf.CIQ(InputTicker, "IQ_GP_1YR_ANN_GROWTH",Input!E$2,Date)</f>
        <v>-5.3265000000000002</v>
      </c>
      <c r="D520" s="4">
        <f>_xll.ciqfunctions.udf.CIQ(InputTicker, "IQ_GP_1YR_ANN_GROWTH",Input!F$2,Date)</f>
        <v>-4.0865999999999998</v>
      </c>
      <c r="E520" s="4">
        <f>_xll.ciqfunctions.udf.CIQ(InputTicker, "IQ_GP_1YR_ANN_GROWTH",Input!G$2,Date)</f>
        <v>-1.6299999999999999E-2</v>
      </c>
      <c r="F520" s="4">
        <f>_xll.ciqfunctions.udf.CIQ(InputTicker, "IQ_GP_1YR_ANN_GROWTH",Input!H$2,Date)</f>
        <v>-14.627700000000001</v>
      </c>
      <c r="G520" s="4">
        <f>_xll.ciqfunctions.udf.CIQ(InputTicker, "IQ_GP_1YR_ANN_GROWTH",Input!I$2,Date)</f>
        <v>-2.1215999999999999</v>
      </c>
      <c r="H520" s="4">
        <f>_xll.ciqfunctions.udf.CIQ(InputTicker, "IQ_GP_1YR_ANN_GROWTH",Input!J$2,Date)</f>
        <v>2.0118999999999998</v>
      </c>
      <c r="I520" s="4">
        <f>_xll.ciqfunctions.udf.CIQ(InputTicker, "IQ_GP_1YR_ANN_GROWTH",Input!K$2,Date)</f>
        <v>3.8174999999999999</v>
      </c>
      <c r="J520" s="4">
        <f>_xll.ciqfunctions.udf.CIQ(InputTicker, "IQ_GP_1YR_ANN_GROWTH",Input!L$2,Date)</f>
        <v>4.9314</v>
      </c>
      <c r="K520" s="4">
        <f>_xll.ciqfunctions.udf.CIQ(InputTicker, "IQ_GP_1YR_ANN_GROWTH",Input!M$2,Date)</f>
        <v>3.6501000000000001</v>
      </c>
      <c r="L520" s="4">
        <f>_xll.ciqfunctions.udf.CIQ(InputTicker, "IQ_GP_1YR_ANN_GROWTH",Input!N$2,Date)</f>
        <v>10.531000000000001</v>
      </c>
      <c r="M520" s="4">
        <f>_xll.ciqfunctions.udf.CIQ(InputTicker, "IQ_GP_1YR_ANN_GROWTH",Input!O$2,Date)</f>
        <v>10.531000000000001</v>
      </c>
      <c r="N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  <c r="AK520" s="42"/>
      <c r="AL520" s="42"/>
      <c r="AM520" s="42"/>
      <c r="AN520" s="42"/>
      <c r="AO520" s="42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  <c r="BJ520" s="42"/>
      <c r="BK520" s="42"/>
      <c r="BL520" s="42"/>
      <c r="BM520" s="42"/>
      <c r="BN520" s="42"/>
    </row>
    <row r="521" spans="1:66" ht="12.75" customHeight="1" x14ac:dyDescent="0.2">
      <c r="A521" s="19" t="s">
        <v>587</v>
      </c>
      <c r="B521" s="4">
        <f>_xll.ciqfunctions.udf.CIQ(InputTicker,  "IQ_EBITDA_1YR_ANN_GROWTH",Input!D$2,Date)</f>
        <v>-17.2577</v>
      </c>
      <c r="C521" s="4">
        <f>_xll.ciqfunctions.udf.CIQ(InputTicker,  "IQ_EBITDA_1YR_ANN_GROWTH",Input!E$2,Date)</f>
        <v>-8.9388000000000005</v>
      </c>
      <c r="D521" s="4">
        <f>_xll.ciqfunctions.udf.CIQ(InputTicker,  "IQ_EBITDA_1YR_ANN_GROWTH",Input!F$2,Date)</f>
        <v>-12.549200000000001</v>
      </c>
      <c r="E521" s="4">
        <f>_xll.ciqfunctions.udf.CIQ(InputTicker,  "IQ_EBITDA_1YR_ANN_GROWTH",Input!G$2,Date)</f>
        <v>9.0920000000000005</v>
      </c>
      <c r="F521" s="4">
        <f>_xll.ciqfunctions.udf.CIQ(InputTicker,  "IQ_EBITDA_1YR_ANN_GROWTH",Input!H$2,Date)</f>
        <v>-23.166499999999999</v>
      </c>
      <c r="G521" s="4">
        <f>_xll.ciqfunctions.udf.CIQ(InputTicker,  "IQ_EBITDA_1YR_ANN_GROWTH",Input!I$2,Date)</f>
        <v>-16.480399999999999</v>
      </c>
      <c r="H521" s="4">
        <f>_xll.ciqfunctions.udf.CIQ(InputTicker,  "IQ_EBITDA_1YR_ANN_GROWTH",Input!J$2,Date)</f>
        <v>-0.42270000000000002</v>
      </c>
      <c r="I521" s="4">
        <f>_xll.ciqfunctions.udf.CIQ(InputTicker,  "IQ_EBITDA_1YR_ANN_GROWTH",Input!K$2,Date)</f>
        <v>-4.7220000000000004</v>
      </c>
      <c r="J521" s="4">
        <f>_xll.ciqfunctions.udf.CIQ(InputTicker,  "IQ_EBITDA_1YR_ANN_GROWTH",Input!L$2,Date)</f>
        <v>13.754</v>
      </c>
      <c r="K521" s="4">
        <f>_xll.ciqfunctions.udf.CIQ(InputTicker,  "IQ_EBITDA_1YR_ANN_GROWTH",Input!M$2,Date)</f>
        <v>5.1317000000000004</v>
      </c>
      <c r="L521" s="4">
        <f>_xll.ciqfunctions.udf.CIQ(InputTicker,  "IQ_EBITDA_1YR_ANN_GROWTH",Input!N$2,Date)</f>
        <v>25.081399999999999</v>
      </c>
      <c r="M521" s="4">
        <f>_xll.ciqfunctions.udf.CIQ(InputTicker,  "IQ_EBITDA_1YR_ANN_GROWTH",Input!O$2,Date)</f>
        <v>25.081399999999999</v>
      </c>
      <c r="N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  <c r="AK521" s="42"/>
      <c r="AL521" s="42"/>
      <c r="AM521" s="42"/>
      <c r="AN521" s="42"/>
      <c r="AO521" s="42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  <c r="BJ521" s="42"/>
      <c r="BK521" s="42"/>
      <c r="BL521" s="42"/>
      <c r="BM521" s="42"/>
      <c r="BN521" s="42"/>
    </row>
    <row r="522" spans="1:66" ht="12.75" customHeight="1" x14ac:dyDescent="0.2">
      <c r="A522" s="19" t="s">
        <v>588</v>
      </c>
      <c r="B522" s="4">
        <f>_xll.ciqfunctions.udf.CIQ(InputTicker, "IQ_EBIT_1YR_ANN_GROWTH",Input!D$2,Date)</f>
        <v>-17.944299999999998</v>
      </c>
      <c r="C522" s="4">
        <f>_xll.ciqfunctions.udf.CIQ(InputTicker, "IQ_EBIT_1YR_ANN_GROWTH",Input!E$2,Date)</f>
        <v>-14.2097</v>
      </c>
      <c r="D522" s="4">
        <f>_xll.ciqfunctions.udf.CIQ(InputTicker, "IQ_EBIT_1YR_ANN_GROWTH",Input!F$2,Date)</f>
        <v>-17.558299999999999</v>
      </c>
      <c r="E522" s="4">
        <f>_xll.ciqfunctions.udf.CIQ(InputTicker, "IQ_EBIT_1YR_ANN_GROWTH",Input!G$2,Date)</f>
        <v>13.148400000000001</v>
      </c>
      <c r="F522" s="4">
        <f>_xll.ciqfunctions.udf.CIQ(InputTicker, "IQ_EBIT_1YR_ANN_GROWTH",Input!H$2,Date)</f>
        <v>-42.964199999999998</v>
      </c>
      <c r="G522" s="4">
        <f>_xll.ciqfunctions.udf.CIQ(InputTicker, "IQ_EBIT_1YR_ANN_GROWTH",Input!I$2,Date)</f>
        <v>-38.1616</v>
      </c>
      <c r="H522" s="4">
        <f>_xll.ciqfunctions.udf.CIQ(InputTicker, "IQ_EBIT_1YR_ANN_GROWTH",Input!J$2,Date)</f>
        <v>19.755400000000002</v>
      </c>
      <c r="I522" s="4">
        <f>_xll.ciqfunctions.udf.CIQ(InputTicker, "IQ_EBIT_1YR_ANN_GROWTH",Input!K$2,Date)</f>
        <v>34.712499999999999</v>
      </c>
      <c r="J522" s="4">
        <f>_xll.ciqfunctions.udf.CIQ(InputTicker, "IQ_EBIT_1YR_ANN_GROWTH",Input!L$2,Date)</f>
        <v>25.262499999999999</v>
      </c>
      <c r="K522" s="4">
        <f>_xll.ciqfunctions.udf.CIQ(InputTicker, "IQ_EBIT_1YR_ANN_GROWTH",Input!M$2,Date)</f>
        <v>3.8955000000000002</v>
      </c>
      <c r="L522" s="4">
        <f>_xll.ciqfunctions.udf.CIQ(InputTicker, "IQ_EBIT_1YR_ANN_GROWTH",Input!N$2,Date)</f>
        <v>28.402100000000001</v>
      </c>
      <c r="M522" s="4">
        <f>_xll.ciqfunctions.udf.CIQ(InputTicker, "IQ_EBIT_1YR_ANN_GROWTH",Input!O$2,Date)</f>
        <v>28.402100000000001</v>
      </c>
      <c r="N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  <c r="BJ522" s="42"/>
      <c r="BK522" s="42"/>
      <c r="BL522" s="42"/>
      <c r="BM522" s="42"/>
      <c r="BN522" s="42"/>
    </row>
    <row r="523" spans="1:66" ht="12.75" customHeight="1" x14ac:dyDescent="0.2">
      <c r="A523" s="19" t="s">
        <v>589</v>
      </c>
      <c r="B523" s="4">
        <f>_xll.ciqfunctions.udf.CIQ(InputTicker,  "IQ_NI_1YR_ANN_GROWTH",Input!D$2,Date)</f>
        <v>9.7155000000000005</v>
      </c>
      <c r="C523" s="4">
        <f>_xll.ciqfunctions.udf.CIQ(InputTicker,  "IQ_NI_1YR_ANN_GROWTH",Input!E$2,Date)</f>
        <v>-9.9924999999999997</v>
      </c>
      <c r="D523" s="4">
        <f>_xll.ciqfunctions.udf.CIQ(InputTicker,  "IQ_NI_1YR_ANN_GROWTH",Input!F$2,Date)</f>
        <v>-51.541499999999999</v>
      </c>
      <c r="E523" s="4">
        <f>_xll.ciqfunctions.udf.CIQ(InputTicker,  "IQ_NI_1YR_ANN_GROWTH",Input!G$2,Date)</f>
        <v>51.7121</v>
      </c>
      <c r="F523" s="4">
        <f>_xll.ciqfunctions.udf.CIQ(InputTicker,  "IQ_NI_1YR_ANN_GROWTH",Input!H$2,Date)</f>
        <v>8.0545000000000009</v>
      </c>
      <c r="G523" s="4">
        <f>_xll.ciqfunctions.udf.CIQ(InputTicker,  "IQ_NI_1YR_ANN_GROWTH",Input!I$2,Date)</f>
        <v>-40.727400000000003</v>
      </c>
      <c r="H523" s="4">
        <f>_xll.ciqfunctions.udf.CIQ(InputTicker,  "IQ_NI_1YR_ANN_GROWTH",Input!J$2,Date)</f>
        <v>2.7370000000000001</v>
      </c>
      <c r="I523" s="4">
        <f>_xll.ciqfunctions.udf.CIQ(InputTicker,  "IQ_NI_1YR_ANN_GROWTH",Input!K$2,Date)</f>
        <v>-71.460999999999999</v>
      </c>
      <c r="J523" s="4">
        <f>_xll.ciqfunctions.udf.CIQ(InputTicker,  "IQ_NI_1YR_ANN_GROWTH",Input!L$2,Date)</f>
        <v>357.71809999999999</v>
      </c>
      <c r="K523" s="4">
        <f>_xll.ciqfunctions.udf.CIQ(InputTicker,  "IQ_NI_1YR_ANN_GROWTH",Input!M$2,Date)</f>
        <v>-19.7148</v>
      </c>
      <c r="L523" s="4">
        <f>_xll.ciqfunctions.udf.CIQ(InputTicker,  "IQ_NI_1YR_ANN_GROWTH",Input!N$2,Date)</f>
        <v>75.875799999999998</v>
      </c>
      <c r="M523" s="4">
        <f>_xll.ciqfunctions.udf.CIQ(InputTicker,  "IQ_NI_1YR_ANN_GROWTH",Input!O$2,Date)</f>
        <v>75.875799999999998</v>
      </c>
      <c r="N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  <c r="AK523" s="42"/>
      <c r="AL523" s="42"/>
      <c r="AM523" s="42"/>
      <c r="AN523" s="42"/>
      <c r="AO523" s="42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  <c r="BJ523" s="42"/>
      <c r="BK523" s="42"/>
      <c r="BL523" s="42"/>
      <c r="BM523" s="42"/>
      <c r="BN523" s="42"/>
    </row>
    <row r="524" spans="1:66" ht="12.75" customHeight="1" x14ac:dyDescent="0.2">
      <c r="A524" s="19" t="s">
        <v>590</v>
      </c>
      <c r="B524" s="4">
        <f>_xll.ciqfunctions.udf.CIQ(InputTicker, "IQ_EPS_1YR_ANN_GROWTH",Input!D$2,Date)</f>
        <v>-12.792999999999999</v>
      </c>
      <c r="C524" s="4">
        <f>_xll.ciqfunctions.udf.CIQ(InputTicker, "IQ_EPS_1YR_ANN_GROWTH",Input!E$2,Date)</f>
        <v>-8.8854000000000006</v>
      </c>
      <c r="D524" s="4">
        <f>_xll.ciqfunctions.udf.CIQ(InputTicker, "IQ_EPS_1YR_ANN_GROWTH",Input!F$2,Date)</f>
        <v>-50.440100000000001</v>
      </c>
      <c r="E524" s="4">
        <f>_xll.ciqfunctions.udf.CIQ(InputTicker, "IQ_EPS_1YR_ANN_GROWTH",Input!G$2,Date)</f>
        <v>54.942</v>
      </c>
      <c r="F524" s="4">
        <f>_xll.ciqfunctions.udf.CIQ(InputTicker, "IQ_EPS_1YR_ANN_GROWTH",Input!H$2,Date)</f>
        <v>-15.915100000000001</v>
      </c>
      <c r="G524" s="4">
        <f>_xll.ciqfunctions.udf.CIQ(InputTicker, "IQ_EPS_1YR_ANN_GROWTH",Input!I$2,Date)</f>
        <v>-45.207500000000003</v>
      </c>
      <c r="H524" s="4">
        <f>_xll.ciqfunctions.udf.CIQ(InputTicker, "IQ_EPS_1YR_ANN_GROWTH",Input!J$2,Date)</f>
        <v>18.857399999999998</v>
      </c>
      <c r="I524" s="4">
        <f>_xll.ciqfunctions.udf.CIQ(InputTicker, "IQ_EPS_1YR_ANN_GROWTH",Input!K$2,Date)</f>
        <v>-62.572000000000003</v>
      </c>
      <c r="J524" s="4">
        <f>_xll.ciqfunctions.udf.CIQ(InputTicker, "IQ_EPS_1YR_ANN_GROWTH",Input!L$2,Date)</f>
        <v>317.9486</v>
      </c>
      <c r="K524" s="4">
        <f>_xll.ciqfunctions.udf.CIQ(InputTicker, "IQ_EPS_1YR_ANN_GROWTH",Input!M$2,Date)</f>
        <v>-21.227</v>
      </c>
      <c r="L524" s="4">
        <f>_xll.ciqfunctions.udf.CIQ(InputTicker, "IQ_EPS_1YR_ANN_GROWTH",Input!N$2,Date)</f>
        <v>73.520200000000003</v>
      </c>
      <c r="M524" s="4">
        <f>_xll.ciqfunctions.udf.CIQ(InputTicker, "IQ_EPS_1YR_ANN_GROWTH",Input!O$2,Date)</f>
        <v>73.520200000000003</v>
      </c>
      <c r="N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  <c r="AK524" s="42"/>
      <c r="AL524" s="42"/>
      <c r="AM524" s="42"/>
      <c r="AN524" s="42"/>
      <c r="AO524" s="42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  <c r="BJ524" s="42"/>
      <c r="BK524" s="42"/>
      <c r="BL524" s="42"/>
      <c r="BM524" s="42"/>
      <c r="BN524" s="42"/>
    </row>
    <row r="525" spans="1:66" ht="12.75" customHeight="1" x14ac:dyDescent="0.2">
      <c r="A525" s="19" t="s">
        <v>591</v>
      </c>
      <c r="B525" s="4">
        <f>_xll.ciqfunctions.udf.CIQ(InputTicker, "IQ_TOTAL_REV_3YR_ANN_CAGR",Input!D$2,Date)</f>
        <v>-7.3785999999999996</v>
      </c>
      <c r="C525" s="4">
        <f>_xll.ciqfunctions.udf.CIQ(InputTicker, "IQ_TOTAL_REV_3YR_ANN_CAGR",Input!E$2,Date)</f>
        <v>-6.6891999999999996</v>
      </c>
      <c r="D525" s="4">
        <f>_xll.ciqfunctions.udf.CIQ(InputTicker, "IQ_TOTAL_REV_3YR_ANN_CAGR",Input!F$2,Date)</f>
        <v>-5.1672000000000002</v>
      </c>
      <c r="E525" s="4">
        <f>_xll.ciqfunctions.udf.CIQ(InputTicker, "IQ_TOTAL_REV_3YR_ANN_CAGR",Input!G$2,Date)</f>
        <v>-0.88460000000000005</v>
      </c>
      <c r="F525" s="4">
        <f>_xll.ciqfunctions.udf.CIQ(InputTicker, "IQ_TOTAL_REV_3YR_ANN_CAGR",Input!H$2,Date)</f>
        <v>-10.282500000000001</v>
      </c>
      <c r="G525" s="4">
        <f>_xll.ciqfunctions.udf.CIQ(InputTicker, "IQ_TOTAL_REV_3YR_ANN_CAGR",Input!I$2,Date)</f>
        <v>-11.3264</v>
      </c>
      <c r="H525" s="4">
        <f>_xll.ciqfunctions.udf.CIQ(InputTicker, "IQ_TOTAL_REV_3YR_ANN_CAGR",Input!J$2,Date)</f>
        <v>-10.3482</v>
      </c>
      <c r="I525" s="4">
        <f>_xll.ciqfunctions.udf.CIQ(InputTicker, "IQ_TOTAL_REV_3YR_ANN_CAGR",Input!K$2,Date)</f>
        <v>1.6006</v>
      </c>
      <c r="J525" s="4">
        <f>_xll.ciqfunctions.udf.CIQ(InputTicker, "IQ_TOTAL_REV_3YR_ANN_CAGR",Input!L$2,Date)</f>
        <v>3.8832</v>
      </c>
      <c r="K525" s="4">
        <f>_xll.ciqfunctions.udf.CIQ(InputTicker, "IQ_TOTAL_REV_3YR_ANN_CAGR",Input!M$2,Date)</f>
        <v>3.0459999999999998</v>
      </c>
      <c r="L525" s="4">
        <f>_xll.ciqfunctions.udf.CIQ(InputTicker, "IQ_TOTAL_REV_3YR_ANN_CAGR",Input!N$2,Date)</f>
        <v>3.7176</v>
      </c>
      <c r="M525" s="4">
        <f>_xll.ciqfunctions.udf.CIQ(InputTicker, "IQ_TOTAL_REV_3YR_ANN_CAGR",Input!O$2,Date)</f>
        <v>3.7176</v>
      </c>
      <c r="N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  <c r="BJ525" s="42"/>
      <c r="BK525" s="42"/>
      <c r="BL525" s="42"/>
      <c r="BM525" s="42"/>
      <c r="BN525" s="42"/>
    </row>
    <row r="526" spans="1:66" ht="12.75" customHeight="1" x14ac:dyDescent="0.2">
      <c r="A526" s="19" t="s">
        <v>592</v>
      </c>
      <c r="B526" s="4">
        <f>_xll.ciqfunctions.udf.CIQ(InputTicker, "IQ_GP_3YR_ANN_CAGR",Input!D$2,Date)</f>
        <v>-6.8662999999999998</v>
      </c>
      <c r="C526" s="4">
        <f>_xll.ciqfunctions.udf.CIQ(InputTicker, "IQ_GP_3YR_ANN_CAGR",Input!E$2,Date)</f>
        <v>-7.5151000000000003</v>
      </c>
      <c r="D526" s="4">
        <f>_xll.ciqfunctions.udf.CIQ(InputTicker, "IQ_GP_3YR_ANN_CAGR",Input!F$2,Date)</f>
        <v>-7.3207000000000004</v>
      </c>
      <c r="E526" s="4">
        <f>_xll.ciqfunctions.udf.CIQ(InputTicker, "IQ_GP_3YR_ANN_CAGR",Input!G$2,Date)</f>
        <v>-3.1694</v>
      </c>
      <c r="F526" s="4">
        <f>_xll.ciqfunctions.udf.CIQ(InputTicker, "IQ_GP_3YR_ANN_CAGR",Input!H$2,Date)</f>
        <v>-6.4504000000000001</v>
      </c>
      <c r="G526" s="4">
        <f>_xll.ciqfunctions.udf.CIQ(InputTicker, "IQ_GP_3YR_ANN_CAGR",Input!I$2,Date)</f>
        <v>-5.8158000000000003</v>
      </c>
      <c r="H526" s="4">
        <f>_xll.ciqfunctions.udf.CIQ(InputTicker, "IQ_GP_3YR_ANN_CAGR",Input!J$2,Date)</f>
        <v>-5.1832000000000003</v>
      </c>
      <c r="I526" s="4">
        <f>_xll.ciqfunctions.udf.CIQ(InputTicker, "IQ_GP_3YR_ANN_CAGR",Input!K$2,Date)</f>
        <v>1.2052</v>
      </c>
      <c r="J526" s="4">
        <f>_xll.ciqfunctions.udf.CIQ(InputTicker, "IQ_GP_3YR_ANN_CAGR",Input!L$2,Date)</f>
        <v>3.58</v>
      </c>
      <c r="K526" s="4">
        <f>_xll.ciqfunctions.udf.CIQ(InputTicker, "IQ_GP_3YR_ANN_CAGR",Input!M$2,Date)</f>
        <v>4.1315</v>
      </c>
      <c r="L526" s="4">
        <f>_xll.ciqfunctions.udf.CIQ(InputTicker, "IQ_GP_3YR_ANN_CAGR",Input!N$2,Date)</f>
        <v>6.3293999999999997</v>
      </c>
      <c r="M526" s="4">
        <f>_xll.ciqfunctions.udf.CIQ(InputTicker, "IQ_GP_3YR_ANN_CAGR",Input!O$2,Date)</f>
        <v>6.3293999999999997</v>
      </c>
      <c r="N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  <c r="AK526" s="42"/>
      <c r="AL526" s="42"/>
      <c r="AM526" s="42"/>
      <c r="AN526" s="42"/>
      <c r="AO526" s="42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  <c r="BJ526" s="42"/>
      <c r="BK526" s="42"/>
      <c r="BL526" s="42"/>
      <c r="BM526" s="42"/>
      <c r="BN526" s="42"/>
    </row>
    <row r="527" spans="1:66" ht="12.75" customHeight="1" x14ac:dyDescent="0.2">
      <c r="A527" s="19" t="s">
        <v>593</v>
      </c>
      <c r="B527" s="4">
        <f>_xll.ciqfunctions.udf.CIQ(InputTicker,  "IQ_EBITDA_3YR_ANN_CAGR",Input!D$2,Date)</f>
        <v>-9.4929000000000006</v>
      </c>
      <c r="C527" s="4">
        <f>_xll.ciqfunctions.udf.CIQ(InputTicker,  "IQ_EBITDA_3YR_ANN_CAGR",Input!E$2,Date)</f>
        <v>-10.296099999999999</v>
      </c>
      <c r="D527" s="4">
        <f>_xll.ciqfunctions.udf.CIQ(InputTicker,  "IQ_EBITDA_3YR_ANN_CAGR",Input!F$2,Date)</f>
        <v>-12.982100000000001</v>
      </c>
      <c r="E527" s="4">
        <f>_xll.ciqfunctions.udf.CIQ(InputTicker,  "IQ_EBITDA_3YR_ANN_CAGR",Input!G$2,Date)</f>
        <v>-4.5819999999999999</v>
      </c>
      <c r="F527" s="4">
        <f>_xll.ciqfunctions.udf.CIQ(InputTicker,  "IQ_EBITDA_3YR_ANN_CAGR",Input!H$2,Date)</f>
        <v>-9.8353999999999999</v>
      </c>
      <c r="G527" s="4">
        <f>_xll.ciqfunctions.udf.CIQ(InputTicker,  "IQ_EBITDA_3YR_ANN_CAGR",Input!I$2,Date)</f>
        <v>-11.2073</v>
      </c>
      <c r="H527" s="4">
        <f>_xll.ciqfunctions.udf.CIQ(InputTicker,  "IQ_EBITDA_3YR_ANN_CAGR",Input!J$2,Date)</f>
        <v>-13.867599999999999</v>
      </c>
      <c r="I527" s="4">
        <f>_xll.ciqfunctions.udf.CIQ(InputTicker,  "IQ_EBITDA_3YR_ANN_CAGR",Input!K$2,Date)</f>
        <v>-7.4633000000000003</v>
      </c>
      <c r="J527" s="4">
        <f>_xll.ciqfunctions.udf.CIQ(InputTicker,  "IQ_EBITDA_3YR_ANN_CAGR",Input!L$2,Date)</f>
        <v>2.5747</v>
      </c>
      <c r="K527" s="4">
        <f>_xll.ciqfunctions.udf.CIQ(InputTicker,  "IQ_EBITDA_3YR_ANN_CAGR",Input!M$2,Date)</f>
        <v>4.4474999999999998</v>
      </c>
      <c r="L527" s="4">
        <f>_xll.ciqfunctions.udf.CIQ(InputTicker,  "IQ_EBITDA_3YR_ANN_CAGR",Input!N$2,Date)</f>
        <v>14.366300000000001</v>
      </c>
      <c r="M527" s="4">
        <f>_xll.ciqfunctions.udf.CIQ(InputTicker,  "IQ_EBITDA_3YR_ANN_CAGR",Input!O$2,Date)</f>
        <v>14.366300000000001</v>
      </c>
      <c r="N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  <c r="AK527" s="42"/>
      <c r="AL527" s="42"/>
      <c r="AM527" s="42"/>
      <c r="AN527" s="42"/>
      <c r="AO527" s="42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  <c r="BJ527" s="42"/>
      <c r="BK527" s="42"/>
      <c r="BL527" s="42"/>
      <c r="BM527" s="42"/>
      <c r="BN527" s="42"/>
    </row>
    <row r="528" spans="1:66" ht="12.75" customHeight="1" x14ac:dyDescent="0.2">
      <c r="A528" s="19" t="s">
        <v>594</v>
      </c>
      <c r="B528" s="4">
        <f>_xll.ciqfunctions.udf.CIQ(InputTicker, "IQ_EBIT_3YR_ANN_CAGR",Input!D$2,Date)</f>
        <v>-10.1911</v>
      </c>
      <c r="C528" s="4">
        <f>_xll.ciqfunctions.udf.CIQ(InputTicker, "IQ_EBIT_3YR_ANN_CAGR",Input!E$2,Date)</f>
        <v>-12.320399999999999</v>
      </c>
      <c r="D528" s="4">
        <f>_xll.ciqfunctions.udf.CIQ(InputTicker, "IQ_EBIT_3YR_ANN_CAGR",Input!F$2,Date)</f>
        <v>-16.587399999999999</v>
      </c>
      <c r="E528" s="4">
        <f>_xll.ciqfunctions.udf.CIQ(InputTicker, "IQ_EBIT_3YR_ANN_CAGR",Input!G$2,Date)</f>
        <v>-7.1578999999999997</v>
      </c>
      <c r="F528" s="4">
        <f>_xll.ciqfunctions.udf.CIQ(InputTicker, "IQ_EBIT_3YR_ANN_CAGR",Input!H$2,Date)</f>
        <v>-18.9696</v>
      </c>
      <c r="G528" s="4">
        <f>_xll.ciqfunctions.udf.CIQ(InputTicker, "IQ_EBIT_3YR_ANN_CAGR",Input!I$2,Date)</f>
        <v>-26.376200000000001</v>
      </c>
      <c r="H528" s="4">
        <f>_xll.ciqfunctions.udf.CIQ(InputTicker, "IQ_EBIT_3YR_ANN_CAGR",Input!J$2,Date)</f>
        <v>-24.970199999999998</v>
      </c>
      <c r="I528" s="4">
        <f>_xll.ciqfunctions.udf.CIQ(InputTicker, "IQ_EBIT_3YR_ANN_CAGR",Input!K$2,Date)</f>
        <v>-7.9699999999999993E-2</v>
      </c>
      <c r="J528" s="4">
        <f>_xll.ciqfunctions.udf.CIQ(InputTicker, "IQ_EBIT_3YR_ANN_CAGR",Input!L$2,Date)</f>
        <v>26.427499999999998</v>
      </c>
      <c r="K528" s="4">
        <f>_xll.ciqfunctions.udf.CIQ(InputTicker, "IQ_EBIT_3YR_ANN_CAGR",Input!M$2,Date)</f>
        <v>20.58</v>
      </c>
      <c r="L528" s="4">
        <f>_xll.ciqfunctions.udf.CIQ(InputTicker, "IQ_EBIT_3YR_ANN_CAGR",Input!N$2,Date)</f>
        <v>18.667100000000001</v>
      </c>
      <c r="M528" s="4">
        <f>_xll.ciqfunctions.udf.CIQ(InputTicker, "IQ_EBIT_3YR_ANN_CAGR",Input!O$2,Date)</f>
        <v>18.667100000000001</v>
      </c>
      <c r="N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  <c r="BJ528" s="42"/>
      <c r="BK528" s="42"/>
      <c r="BL528" s="42"/>
      <c r="BM528" s="42"/>
      <c r="BN528" s="42"/>
    </row>
    <row r="529" spans="1:66" ht="12.75" customHeight="1" x14ac:dyDescent="0.2">
      <c r="A529" s="19" t="s">
        <v>595</v>
      </c>
      <c r="B529" s="4">
        <f>_xll.ciqfunctions.udf.CIQ(InputTicker,  "IQ_NI_3YR_ANN_CAGR",Input!D$2,Date)</f>
        <v>-7.3859000000000004</v>
      </c>
      <c r="C529" s="4">
        <f>_xll.ciqfunctions.udf.CIQ(InputTicker,  "IQ_NI_3YR_ANN_CAGR",Input!E$2,Date)</f>
        <v>-10.3612</v>
      </c>
      <c r="D529" s="4">
        <f>_xll.ciqfunctions.udf.CIQ(InputTicker,  "IQ_NI_3YR_ANN_CAGR",Input!F$2,Date)</f>
        <v>-21.7822</v>
      </c>
      <c r="E529" s="4">
        <f>_xll.ciqfunctions.udf.CIQ(InputTicker,  "IQ_NI_3YR_ANN_CAGR",Input!G$2,Date)</f>
        <v>-12.8589</v>
      </c>
      <c r="F529" s="4">
        <f>_xll.ciqfunctions.udf.CIQ(InputTicker,  "IQ_NI_3YR_ANN_CAGR",Input!H$2,Date)</f>
        <v>-7.3856999999999999</v>
      </c>
      <c r="G529" s="4">
        <f>_xll.ciqfunctions.udf.CIQ(InputTicker,  "IQ_NI_3YR_ANN_CAGR",Input!I$2,Date)</f>
        <v>-0.95350000000000001</v>
      </c>
      <c r="H529" s="4">
        <f>_xll.ciqfunctions.udf.CIQ(InputTicker,  "IQ_NI_3YR_ANN_CAGR",Input!J$2,Date)</f>
        <v>-13.0223</v>
      </c>
      <c r="I529" s="4">
        <f>_xll.ciqfunctions.udf.CIQ(InputTicker,  "IQ_NI_3YR_ANN_CAGR",Input!K$2,Date)</f>
        <v>-44.195</v>
      </c>
      <c r="J529" s="4">
        <f>_xll.ciqfunctions.udf.CIQ(InputTicker,  "IQ_NI_3YR_ANN_CAGR",Input!L$2,Date)</f>
        <v>10.3033</v>
      </c>
      <c r="K529" s="4">
        <f>_xll.ciqfunctions.udf.CIQ(InputTicker,  "IQ_NI_3YR_ANN_CAGR",Input!M$2,Date)</f>
        <v>1.5993999999999999</v>
      </c>
      <c r="L529" s="4">
        <f>_xll.ciqfunctions.udf.CIQ(InputTicker,  "IQ_NI_3YR_ANN_CAGR",Input!N$2,Date)</f>
        <v>86.271600000000007</v>
      </c>
      <c r="M529" s="4">
        <f>_xll.ciqfunctions.udf.CIQ(InputTicker,  "IQ_NI_3YR_ANN_CAGR",Input!O$2,Date)</f>
        <v>86.271600000000007</v>
      </c>
      <c r="N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  <c r="AK529" s="42"/>
      <c r="AL529" s="42"/>
      <c r="AM529" s="42"/>
      <c r="AN529" s="42"/>
      <c r="AO529" s="42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  <c r="BJ529" s="42"/>
      <c r="BK529" s="42"/>
      <c r="BL529" s="42"/>
      <c r="BM529" s="42"/>
      <c r="BN529" s="42"/>
    </row>
    <row r="530" spans="1:66" ht="12.75" customHeight="1" x14ac:dyDescent="0.2">
      <c r="A530" s="19" t="s">
        <v>596</v>
      </c>
      <c r="B530" s="4">
        <f>_xll.ciqfunctions.udf.CIQ(InputTicker, "IQ_EPS_3YR_ANN_CAGR",Input!D$2,Date)</f>
        <v>-2.5880999999999998</v>
      </c>
      <c r="C530" s="4">
        <f>_xll.ciqfunctions.udf.CIQ(InputTicker, "IQ_EPS_3YR_ANN_CAGR",Input!E$2,Date)</f>
        <v>-6.7968999999999999</v>
      </c>
      <c r="D530" s="4">
        <f>_xll.ciqfunctions.udf.CIQ(InputTicker, "IQ_EPS_3YR_ANN_CAGR",Input!F$2,Date)</f>
        <v>-26.702300000000001</v>
      </c>
      <c r="E530" s="4">
        <f>_xll.ciqfunctions.udf.CIQ(InputTicker, "IQ_EPS_3YR_ANN_CAGR",Input!G$2,Date)</f>
        <v>-11.2239</v>
      </c>
      <c r="F530" s="4">
        <f>_xll.ciqfunctions.udf.CIQ(InputTicker, "IQ_EPS_3YR_ANN_CAGR",Input!H$2,Date)</f>
        <v>-13.568300000000001</v>
      </c>
      <c r="G530" s="4">
        <f>_xll.ciqfunctions.udf.CIQ(InputTicker, "IQ_EPS_3YR_ANN_CAGR",Input!I$2,Date)</f>
        <v>-10.627700000000001</v>
      </c>
      <c r="H530" s="4">
        <f>_xll.ciqfunctions.udf.CIQ(InputTicker, "IQ_EPS_3YR_ANN_CAGR",Input!J$2,Date)</f>
        <v>-18.187100000000001</v>
      </c>
      <c r="I530" s="4">
        <f>_xll.ciqfunctions.udf.CIQ(InputTicker, "IQ_EPS_3YR_ANN_CAGR",Input!K$2,Date)</f>
        <v>-37.5334</v>
      </c>
      <c r="J530" s="4">
        <f>_xll.ciqfunctions.udf.CIQ(InputTicker, "IQ_EPS_3YR_ANN_CAGR",Input!L$2,Date)</f>
        <v>22.965199999999999</v>
      </c>
      <c r="K530" s="4">
        <f>_xll.ciqfunctions.udf.CIQ(InputTicker, "IQ_EPS_3YR_ANN_CAGR",Input!M$2,Date)</f>
        <v>7.2092999999999998</v>
      </c>
      <c r="L530" s="4">
        <f>_xll.ciqfunctions.udf.CIQ(InputTicker, "IQ_EPS_3YR_ANN_CAGR",Input!N$2,Date)</f>
        <v>78.7654</v>
      </c>
      <c r="M530" s="4">
        <f>_xll.ciqfunctions.udf.CIQ(InputTicker, "IQ_EPS_3YR_ANN_CAGR",Input!O$2,Date)</f>
        <v>78.7654</v>
      </c>
      <c r="N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  <c r="BJ530" s="42"/>
      <c r="BK530" s="42"/>
      <c r="BL530" s="42"/>
      <c r="BM530" s="42"/>
      <c r="BN530" s="42"/>
    </row>
    <row r="531" spans="1:66" ht="12.75" customHeight="1" x14ac:dyDescent="0.2">
      <c r="A531" s="19" t="s">
        <v>597</v>
      </c>
      <c r="B531" s="4">
        <f>_xll.ciqfunctions.udf.CIQ(InputTicker, "IQ_TOTAL_REV_5YR_ANN_CAGR",Input!D$2,Date)</f>
        <v>-3.9270999999999998</v>
      </c>
      <c r="C531" s="4">
        <f>_xll.ciqfunctions.udf.CIQ(InputTicker, "IQ_TOTAL_REV_5YR_ANN_CAGR",Input!E$2,Date)</f>
        <v>-5.6543999999999999</v>
      </c>
      <c r="D531" s="4">
        <f>_xll.ciqfunctions.udf.CIQ(InputTicker, "IQ_TOTAL_REV_5YR_ANN_CAGR",Input!F$2,Date)</f>
        <v>-5.1108000000000002</v>
      </c>
      <c r="E531" s="4">
        <f>_xll.ciqfunctions.udf.CIQ(InputTicker, "IQ_TOTAL_REV_5YR_ANN_CAGR",Input!G$2,Date)</f>
        <v>-4.1478000000000002</v>
      </c>
      <c r="F531" s="4">
        <f>_xll.ciqfunctions.udf.CIQ(InputTicker, "IQ_TOTAL_REV_5YR_ANN_CAGR",Input!H$2,Date)</f>
        <v>-9.0603999999999996</v>
      </c>
      <c r="G531" s="4">
        <f>_xll.ciqfunctions.udf.CIQ(InputTicker, "IQ_TOTAL_REV_5YR_ANN_CAGR",Input!I$2,Date)</f>
        <v>-7.5586000000000002</v>
      </c>
      <c r="H531" s="4">
        <f>_xll.ciqfunctions.udf.CIQ(InputTicker, "IQ_TOTAL_REV_5YR_ANN_CAGR",Input!J$2,Date)</f>
        <v>-6.4210000000000003</v>
      </c>
      <c r="I531" s="4">
        <f>_xll.ciqfunctions.udf.CIQ(InputTicker, "IQ_TOTAL_REV_5YR_ANN_CAGR",Input!K$2,Date)</f>
        <v>-5.2202000000000002</v>
      </c>
      <c r="J531" s="4">
        <f>_xll.ciqfunctions.udf.CIQ(InputTicker, "IQ_TOTAL_REV_5YR_ANN_CAGR",Input!L$2,Date)</f>
        <v>-4.9156000000000004</v>
      </c>
      <c r="K531" s="4">
        <f>_xll.ciqfunctions.udf.CIQ(InputTicker, "IQ_TOTAL_REV_5YR_ANN_CAGR",Input!M$2,Date)</f>
        <v>1.6881999999999999</v>
      </c>
      <c r="L531" s="4">
        <f>_xll.ciqfunctions.udf.CIQ(InputTicker, "IQ_TOTAL_REV_5YR_ANN_CAGR",Input!N$2,Date)</f>
        <v>4.1239999999999997</v>
      </c>
      <c r="M531" s="4">
        <f>_xll.ciqfunctions.udf.CIQ(InputTicker, "IQ_TOTAL_REV_5YR_ANN_CAGR",Input!O$2,Date)</f>
        <v>4.1239999999999997</v>
      </c>
      <c r="N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  <c r="AK531" s="42"/>
      <c r="AL531" s="42"/>
      <c r="AM531" s="42"/>
      <c r="AN531" s="42"/>
      <c r="AO531" s="42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  <c r="BJ531" s="42"/>
      <c r="BK531" s="42"/>
      <c r="BL531" s="42"/>
      <c r="BM531" s="42"/>
      <c r="BN531" s="42"/>
    </row>
    <row r="532" spans="1:66" ht="12.75" customHeight="1" x14ac:dyDescent="0.2">
      <c r="A532" s="19" t="s">
        <v>598</v>
      </c>
      <c r="B532" s="4">
        <f>_xll.ciqfunctions.udf.CIQ(InputTicker, "IQ_GP_5YR_ANN_CAGR",Input!D$2,Date)</f>
        <v>-2.4317000000000002</v>
      </c>
      <c r="C532" s="4">
        <f>_xll.ciqfunctions.udf.CIQ(InputTicker, "IQ_GP_5YR_ANN_CAGR",Input!E$2,Date)</f>
        <v>-5.1372999999999998</v>
      </c>
      <c r="D532" s="4">
        <f>_xll.ciqfunctions.udf.CIQ(InputTicker, "IQ_GP_5YR_ANN_CAGR",Input!F$2,Date)</f>
        <v>-6.0091000000000001</v>
      </c>
      <c r="E532" s="4">
        <f>_xll.ciqfunctions.udf.CIQ(InputTicker, "IQ_GP_5YR_ANN_CAGR",Input!G$2,Date)</f>
        <v>-5.3754</v>
      </c>
      <c r="F532" s="4">
        <f>_xll.ciqfunctions.udf.CIQ(InputTicker, "IQ_GP_5YR_ANN_CAGR",Input!H$2,Date)</f>
        <v>-7.4367000000000001</v>
      </c>
      <c r="G532" s="4">
        <f>_xll.ciqfunctions.udf.CIQ(InputTicker, "IQ_GP_5YR_ANN_CAGR",Input!I$2,Date)</f>
        <v>-5.3743999999999996</v>
      </c>
      <c r="H532" s="4">
        <f>_xll.ciqfunctions.udf.CIQ(InputTicker, "IQ_GP_5YR_ANN_CAGR",Input!J$2,Date)</f>
        <v>-3.9510000000000001</v>
      </c>
      <c r="I532" s="4">
        <f>_xll.ciqfunctions.udf.CIQ(InputTicker, "IQ_GP_5YR_ANN_CAGR",Input!K$2,Date)</f>
        <v>-2.4177</v>
      </c>
      <c r="J532" s="4">
        <f>_xll.ciqfunctions.udf.CIQ(InputTicker, "IQ_GP_5YR_ANN_CAGR",Input!L$2,Date)</f>
        <v>-1.4704999999999999</v>
      </c>
      <c r="K532" s="4">
        <f>_xll.ciqfunctions.udf.CIQ(InputTicker, "IQ_GP_5YR_ANN_CAGR",Input!M$2,Date)</f>
        <v>2.4276</v>
      </c>
      <c r="L532" s="4">
        <f>_xll.ciqfunctions.udf.CIQ(InputTicker, "IQ_GP_5YR_ANN_CAGR",Input!N$2,Date)</f>
        <v>4.9485000000000001</v>
      </c>
      <c r="M532" s="4">
        <f>_xll.ciqfunctions.udf.CIQ(InputTicker, "IQ_GP_5YR_ANN_CAGR",Input!O$2,Date)</f>
        <v>4.9485000000000001</v>
      </c>
      <c r="N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  <c r="AK532" s="42"/>
      <c r="AL532" s="42"/>
      <c r="AM532" s="42"/>
      <c r="AN532" s="42"/>
      <c r="AO532" s="42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  <c r="BJ532" s="42"/>
      <c r="BK532" s="42"/>
      <c r="BL532" s="42"/>
      <c r="BM532" s="42"/>
      <c r="BN532" s="42"/>
    </row>
    <row r="533" spans="1:66" ht="12.75" customHeight="1" x14ac:dyDescent="0.2">
      <c r="A533" s="19" t="s">
        <v>599</v>
      </c>
      <c r="B533" s="4">
        <f>_xll.ciqfunctions.udf.CIQ(InputTicker,  "IQ_EBITDA_5YR_ANN_CAGR",Input!D$2,Date)</f>
        <v>-3.7132000000000001</v>
      </c>
      <c r="C533" s="4">
        <f>_xll.ciqfunctions.udf.CIQ(InputTicker,  "IQ_EBITDA_5YR_ANN_CAGR",Input!E$2,Date)</f>
        <v>-6.7859999999999996</v>
      </c>
      <c r="D533" s="4">
        <f>_xll.ciqfunctions.udf.CIQ(InputTicker,  "IQ_EBITDA_5YR_ANN_CAGR",Input!F$2,Date)</f>
        <v>-10.002800000000001</v>
      </c>
      <c r="E533" s="4">
        <f>_xll.ciqfunctions.udf.CIQ(InputTicker,  "IQ_EBITDA_5YR_ANN_CAGR",Input!G$2,Date)</f>
        <v>-7.1893000000000002</v>
      </c>
      <c r="F533" s="4">
        <f>_xll.ciqfunctions.udf.CIQ(InputTicker,  "IQ_EBITDA_5YR_ANN_CAGR",Input!H$2,Date)</f>
        <v>-11.1958</v>
      </c>
      <c r="G533" s="4">
        <f>_xll.ciqfunctions.udf.CIQ(InputTicker,  "IQ_EBITDA_5YR_ANN_CAGR",Input!I$2,Date)</f>
        <v>-11.029500000000001</v>
      </c>
      <c r="H533" s="4">
        <f>_xll.ciqfunctions.udf.CIQ(InputTicker,  "IQ_EBITDA_5YR_ANN_CAGR",Input!J$2,Date)</f>
        <v>-9.4244000000000003</v>
      </c>
      <c r="I533" s="4">
        <f>_xll.ciqfunctions.udf.CIQ(InputTicker,  "IQ_EBITDA_5YR_ANN_CAGR",Input!K$2,Date)</f>
        <v>-7.8581000000000003</v>
      </c>
      <c r="J533" s="4">
        <f>_xll.ciqfunctions.udf.CIQ(InputTicker,  "IQ_EBITDA_5YR_ANN_CAGR",Input!L$2,Date)</f>
        <v>-7.0837000000000003</v>
      </c>
      <c r="K533" s="4">
        <f>_xll.ciqfunctions.udf.CIQ(InputTicker,  "IQ_EBITDA_5YR_ANN_CAGR",Input!M$2,Date)</f>
        <v>-1.0699000000000001</v>
      </c>
      <c r="L533" s="4">
        <f>_xll.ciqfunctions.udf.CIQ(InputTicker,  "IQ_EBITDA_5YR_ANN_CAGR",Input!N$2,Date)</f>
        <v>7.2530000000000001</v>
      </c>
      <c r="M533" s="4">
        <f>_xll.ciqfunctions.udf.CIQ(InputTicker,  "IQ_EBITDA_5YR_ANN_CAGR",Input!O$2,Date)</f>
        <v>7.2530000000000001</v>
      </c>
      <c r="N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  <c r="AK533" s="42"/>
      <c r="AL533" s="42"/>
      <c r="AM533" s="42"/>
      <c r="AN533" s="42"/>
      <c r="AO533" s="42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  <c r="BJ533" s="42"/>
      <c r="BK533" s="42"/>
      <c r="BL533" s="42"/>
      <c r="BM533" s="42"/>
      <c r="BN533" s="42"/>
    </row>
    <row r="534" spans="1:66" ht="12.75" customHeight="1" x14ac:dyDescent="0.2">
      <c r="A534" s="19" t="s">
        <v>600</v>
      </c>
      <c r="B534" s="4">
        <f>_xll.ciqfunctions.udf.CIQ(InputTicker, "IQ_EBIT_5YR_ANN_CAGR",Input!D$2,Date)</f>
        <v>-3.5453000000000001</v>
      </c>
      <c r="C534" s="4">
        <f>_xll.ciqfunctions.udf.CIQ(InputTicker, "IQ_EBIT_5YR_ANN_CAGR",Input!E$2,Date)</f>
        <v>-8.0396999999999998</v>
      </c>
      <c r="D534" s="4">
        <f>_xll.ciqfunctions.udf.CIQ(InputTicker, "IQ_EBIT_5YR_ANN_CAGR",Input!F$2,Date)</f>
        <v>-12.52</v>
      </c>
      <c r="E534" s="4">
        <f>_xll.ciqfunctions.udf.CIQ(InputTicker, "IQ_EBIT_5YR_ANN_CAGR",Input!G$2,Date)</f>
        <v>-8.8622999999999994</v>
      </c>
      <c r="F534" s="4">
        <f>_xll.ciqfunctions.udf.CIQ(InputTicker, "IQ_EBIT_5YR_ANN_CAGR",Input!H$2,Date)</f>
        <v>-17.832799999999999</v>
      </c>
      <c r="G534" s="4">
        <f>_xll.ciqfunctions.udf.CIQ(InputTicker, "IQ_EBIT_5YR_ANN_CAGR",Input!I$2,Date)</f>
        <v>-22.352399999999999</v>
      </c>
      <c r="H534" s="4">
        <f>_xll.ciqfunctions.udf.CIQ(InputTicker, "IQ_EBIT_5YR_ANN_CAGR",Input!J$2,Date)</f>
        <v>-16.995899999999999</v>
      </c>
      <c r="I534" s="4">
        <f>_xll.ciqfunctions.udf.CIQ(InputTicker, "IQ_EBIT_5YR_ANN_CAGR",Input!K$2,Date)</f>
        <v>-8.4304000000000006</v>
      </c>
      <c r="J534" s="4">
        <f>_xll.ciqfunctions.udf.CIQ(InputTicker, "IQ_EBIT_5YR_ANN_CAGR",Input!L$2,Date)</f>
        <v>-6.5484999999999998</v>
      </c>
      <c r="K534" s="4">
        <f>_xll.ciqfunctions.udf.CIQ(InputTicker, "IQ_EBIT_5YR_ANN_CAGR",Input!M$2,Date)</f>
        <v>5.3601000000000001</v>
      </c>
      <c r="L534" s="4">
        <f>_xll.ciqfunctions.udf.CIQ(InputTicker, "IQ_EBIT_5YR_ANN_CAGR",Input!N$2,Date)</f>
        <v>21.937899999999999</v>
      </c>
      <c r="M534" s="4">
        <f>_xll.ciqfunctions.udf.CIQ(InputTicker, "IQ_EBIT_5YR_ANN_CAGR",Input!O$2,Date)</f>
        <v>21.937899999999999</v>
      </c>
      <c r="N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  <c r="BJ534" s="42"/>
      <c r="BK534" s="42"/>
      <c r="BL534" s="42"/>
      <c r="BM534" s="42"/>
      <c r="BN534" s="42"/>
    </row>
    <row r="535" spans="1:66" ht="12.75" customHeight="1" x14ac:dyDescent="0.2">
      <c r="A535" s="19" t="s">
        <v>601</v>
      </c>
      <c r="B535" s="4">
        <f>_xll.ciqfunctions.udf.CIQ(InputTicker,  "IQ_NI_5YR_ANN_CAGR",Input!D$2,Date)</f>
        <v>-2.3206000000000002</v>
      </c>
      <c r="C535" s="4">
        <f>_xll.ciqfunctions.udf.CIQ(InputTicker,  "IQ_NI_5YR_ANN_CAGR",Input!E$2,Date)</f>
        <v>-5.6219000000000001</v>
      </c>
      <c r="D535" s="4">
        <f>_xll.ciqfunctions.udf.CIQ(InputTicker,  "IQ_NI_5YR_ANN_CAGR",Input!F$2,Date)</f>
        <v>-19.1023</v>
      </c>
      <c r="E535" s="4">
        <f>_xll.ciqfunctions.udf.CIQ(InputTicker,  "IQ_NI_5YR_ANN_CAGR",Input!G$2,Date)</f>
        <v>-11.9406</v>
      </c>
      <c r="F535" s="4">
        <f>_xll.ciqfunctions.udf.CIQ(InputTicker,  "IQ_NI_5YR_ANN_CAGR",Input!H$2,Date)</f>
        <v>-4.7388000000000003</v>
      </c>
      <c r="G535" s="4">
        <f>_xll.ciqfunctions.udf.CIQ(InputTicker,  "IQ_NI_5YR_ANN_CAGR",Input!I$2,Date)</f>
        <v>-15.7765</v>
      </c>
      <c r="H535" s="4">
        <f>_xll.ciqfunctions.udf.CIQ(InputTicker,  "IQ_NI_5YR_ANN_CAGR",Input!J$2,Date)</f>
        <v>-13.518599999999999</v>
      </c>
      <c r="I535" s="4">
        <f>_xll.ciqfunctions.udf.CIQ(InputTicker,  "IQ_NI_5YR_ANN_CAGR",Input!K$2,Date)</f>
        <v>-22.207699999999999</v>
      </c>
      <c r="J535" s="4">
        <f>_xll.ciqfunctions.udf.CIQ(InputTicker,  "IQ_NI_5YR_ANN_CAGR",Input!L$2,Date)</f>
        <v>-2.9820000000000002</v>
      </c>
      <c r="K535" s="4">
        <f>_xll.ciqfunctions.udf.CIQ(InputTicker,  "IQ_NI_5YR_ANN_CAGR",Input!M$2,Date)</f>
        <v>-8.5779999999999994</v>
      </c>
      <c r="L535" s="4">
        <f>_xll.ciqfunctions.udf.CIQ(InputTicker,  "IQ_NI_5YR_ANN_CAGR",Input!N$2,Date)</f>
        <v>13.6374</v>
      </c>
      <c r="M535" s="4">
        <f>_xll.ciqfunctions.udf.CIQ(InputTicker,  "IQ_NI_5YR_ANN_CAGR",Input!O$2,Date)</f>
        <v>13.6374</v>
      </c>
      <c r="N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  <c r="AK535" s="42"/>
      <c r="AL535" s="42"/>
      <c r="AM535" s="42"/>
      <c r="AN535" s="42"/>
      <c r="AO535" s="42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  <c r="BJ535" s="42"/>
      <c r="BK535" s="42"/>
      <c r="BL535" s="42"/>
      <c r="BM535" s="42"/>
      <c r="BN535" s="42"/>
    </row>
    <row r="536" spans="1:66" ht="12.75" customHeight="1" x14ac:dyDescent="0.2">
      <c r="A536" s="19" t="s">
        <v>602</v>
      </c>
      <c r="B536" s="4">
        <f>_xll.ciqfunctions.udf.CIQ(InputTicker, "IQ_EPS_5YR_ANN_CAGR",Input!D$2,Date)</f>
        <v>3.3727</v>
      </c>
      <c r="C536" s="4">
        <f>_xll.ciqfunctions.udf.CIQ(InputTicker, "IQ_EPS_5YR_ANN_CAGR",Input!E$2,Date)</f>
        <v>-1.0478000000000001</v>
      </c>
      <c r="D536" s="4">
        <f>_xll.ciqfunctions.udf.CIQ(InputTicker, "IQ_EPS_5YR_ANN_CAGR",Input!F$2,Date)</f>
        <v>-16.032599999999999</v>
      </c>
      <c r="E536" s="4">
        <f>_xll.ciqfunctions.udf.CIQ(InputTicker, "IQ_EPS_5YR_ANN_CAGR",Input!G$2,Date)</f>
        <v>-9.0677000000000003</v>
      </c>
      <c r="F536" s="4">
        <f>_xll.ciqfunctions.udf.CIQ(InputTicker, "IQ_EPS_5YR_ANN_CAGR",Input!H$2,Date)</f>
        <v>-12.4953</v>
      </c>
      <c r="G536" s="4">
        <f>_xll.ciqfunctions.udf.CIQ(InputTicker, "IQ_EPS_5YR_ANN_CAGR",Input!I$2,Date)</f>
        <v>-20.262</v>
      </c>
      <c r="H536" s="4">
        <f>_xll.ciqfunctions.udf.CIQ(InputTicker, "IQ_EPS_5YR_ANN_CAGR",Input!J$2,Date)</f>
        <v>-15.908300000000001</v>
      </c>
      <c r="I536" s="4">
        <f>_xll.ciqfunctions.udf.CIQ(InputTicker, "IQ_EPS_5YR_ANN_CAGR",Input!K$2,Date)</f>
        <v>-20.5002</v>
      </c>
      <c r="J536" s="4">
        <f>_xll.ciqfunctions.udf.CIQ(InputTicker, "IQ_EPS_5YR_ANN_CAGR",Input!L$2,Date)</f>
        <v>-3.0478999999999998</v>
      </c>
      <c r="K536" s="4">
        <f>_xll.ciqfunctions.udf.CIQ(InputTicker, "IQ_EPS_5YR_ANN_CAGR",Input!M$2,Date)</f>
        <v>-4.3051000000000004</v>
      </c>
      <c r="L536" s="4">
        <f>_xll.ciqfunctions.udf.CIQ(InputTicker, "IQ_EPS_5YR_ANN_CAGR",Input!N$2,Date)</f>
        <v>20.5077</v>
      </c>
      <c r="M536" s="4">
        <f>_xll.ciqfunctions.udf.CIQ(InputTicker, "IQ_EPS_5YR_ANN_CAGR",Input!O$2,Date)</f>
        <v>20.5077</v>
      </c>
      <c r="N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  <c r="AK536" s="42"/>
      <c r="AL536" s="42"/>
      <c r="AM536" s="42"/>
      <c r="AN536" s="42"/>
      <c r="AO536" s="42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  <c r="BJ536" s="42"/>
      <c r="BK536" s="42"/>
      <c r="BL536" s="42"/>
      <c r="BM536" s="42"/>
      <c r="BN536" s="42"/>
    </row>
    <row r="537" spans="1:66" x14ac:dyDescent="0.2">
      <c r="A537" s="1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  <c r="BJ537" s="42"/>
      <c r="BK537" s="42"/>
      <c r="BL537" s="42"/>
      <c r="BM537" s="42"/>
      <c r="BN537" s="42"/>
    </row>
  </sheetData>
  <phoneticPr fontId="3" type="noConversion"/>
  <printOptions horizontalCentered="1"/>
  <pageMargins left="0.25" right="0.25" top="0.25" bottom="0.25" header="0.25" footer="0.25"/>
  <pageSetup scale="22" orientation="landscape" r:id="rId1"/>
  <headerFooter alignWithMargins="0"/>
  <customProperties>
    <customPr name="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U122"/>
  <sheetViews>
    <sheetView showGridLines="0" zoomScale="85" zoomScaleNormal="100" zoomScaleSheetLayoutView="85" workbookViewId="0">
      <pane xSplit="1" ySplit="2" topLeftCell="B64" activePane="bottomRight" state="frozen"/>
      <selection pane="topRight" activeCell="D1" sqref="D1"/>
      <selection pane="bottomLeft" activeCell="A8" sqref="A8"/>
      <selection pane="bottomRight" activeCell="K1" sqref="K1"/>
    </sheetView>
  </sheetViews>
  <sheetFormatPr defaultRowHeight="12.75" customHeight="1" x14ac:dyDescent="0.2"/>
  <cols>
    <col min="1" max="1" width="34.5703125" bestFit="1" customWidth="1"/>
    <col min="2" max="13" width="13.28515625" customWidth="1"/>
  </cols>
  <sheetData>
    <row r="1" spans="1:21" s="42" customFormat="1" x14ac:dyDescent="0.2">
      <c r="A1" s="3" t="s">
        <v>605</v>
      </c>
      <c r="B1" s="32" t="str">
        <f>"FY"&amp;RIGHT(YEAR(B2),2)</f>
        <v>FY15</v>
      </c>
      <c r="C1" s="32" t="str">
        <f t="shared" ref="C1:L1" si="0">"FY"&amp;RIGHT(YEAR(C2),2)</f>
        <v>FY16</v>
      </c>
      <c r="D1" s="32" t="str">
        <f t="shared" si="0"/>
        <v>FY17</v>
      </c>
      <c r="E1" s="32" t="str">
        <f t="shared" si="0"/>
        <v>FY18</v>
      </c>
      <c r="F1" s="32" t="str">
        <f t="shared" si="0"/>
        <v>FY19</v>
      </c>
      <c r="G1" s="32" t="str">
        <f t="shared" si="0"/>
        <v>FY20</v>
      </c>
      <c r="H1" s="32" t="str">
        <f t="shared" si="0"/>
        <v>FY21</v>
      </c>
      <c r="I1" s="32" t="str">
        <f t="shared" si="0"/>
        <v>FY22</v>
      </c>
      <c r="J1" s="32" t="str">
        <f t="shared" si="0"/>
        <v>FY23</v>
      </c>
      <c r="K1" s="32" t="str">
        <f t="shared" si="0"/>
        <v>FY24</v>
      </c>
      <c r="L1" s="32" t="str">
        <f t="shared" si="0"/>
        <v>FY25</v>
      </c>
      <c r="M1" s="32" t="s">
        <v>266</v>
      </c>
      <c r="S1" s="3"/>
      <c r="T1" s="2"/>
      <c r="U1" s="3"/>
    </row>
    <row r="2" spans="1:21" ht="12.75" customHeight="1" x14ac:dyDescent="0.2">
      <c r="A2" s="3" t="s">
        <v>408</v>
      </c>
      <c r="B2" s="24">
        <f>'Financial Statements'!B$2</f>
        <v>42369</v>
      </c>
      <c r="C2" s="24">
        <f>'Financial Statements'!C$2</f>
        <v>42735</v>
      </c>
      <c r="D2" s="24">
        <f>'Financial Statements'!D$2</f>
        <v>43100</v>
      </c>
      <c r="E2" s="24">
        <f>'Financial Statements'!E$2</f>
        <v>43465</v>
      </c>
      <c r="F2" s="24">
        <f>'Financial Statements'!F$2</f>
        <v>43830</v>
      </c>
      <c r="G2" s="24">
        <f>'Financial Statements'!G$2</f>
        <v>44196</v>
      </c>
      <c r="H2" s="24">
        <f>'Financial Statements'!H$2</f>
        <v>44561</v>
      </c>
      <c r="I2" s="24">
        <f>'Financial Statements'!I$2</f>
        <v>44926</v>
      </c>
      <c r="J2" s="24">
        <f>'Financial Statements'!J$2</f>
        <v>45291</v>
      </c>
      <c r="K2" s="24">
        <f>'Financial Statements'!K$2</f>
        <v>45657</v>
      </c>
      <c r="L2" s="24">
        <f>'Financial Statements'!L$2</f>
        <v>46022</v>
      </c>
      <c r="M2" s="24">
        <f>'Financial Statements'!M$2</f>
        <v>46022</v>
      </c>
    </row>
    <row r="3" spans="1:21" ht="12.75" customHeight="1" x14ac:dyDescent="0.2">
      <c r="A3" s="1" t="s">
        <v>57</v>
      </c>
      <c r="B3" s="25">
        <f>'Financial Statements'!B3/'Financial Statements'!B$10</f>
        <v>0.97720850001835069</v>
      </c>
      <c r="C3" s="25">
        <f>'Financial Statements'!C3/'Financial Statements'!C$10</f>
        <v>0.97861584854665351</v>
      </c>
      <c r="D3" s="25">
        <f>'Financial Statements'!D3/'Financial Statements'!D$10</f>
        <v>0.97832926875497539</v>
      </c>
      <c r="E3" s="25">
        <f>'Financial Statements'!E3/'Financial Statements'!E$10</f>
        <v>0.97990978879521551</v>
      </c>
      <c r="F3" s="25">
        <f>'Financial Statements'!F3/'Financial Statements'!F$10</f>
        <v>0.97893058876529093</v>
      </c>
      <c r="G3" s="25">
        <f>'Financial Statements'!G3/'Financial Statements'!G$10</f>
        <v>0.98216712879899959</v>
      </c>
      <c r="H3" s="25">
        <f>'Financial Statements'!H3/'Financial Statements'!H$10</f>
        <v>0.98639953967672755</v>
      </c>
      <c r="I3" s="25">
        <f>'Financial Statements'!I3/'Financial Statements'!I$10</f>
        <v>0.98924500247810998</v>
      </c>
      <c r="J3" s="25">
        <f>'Financial Statements'!J3/'Financial Statements'!J$10</f>
        <v>0.98808600064662144</v>
      </c>
      <c r="K3" s="25">
        <f>'Financial Statements'!K3/'Financial Statements'!K$10</f>
        <v>0.98870173537520123</v>
      </c>
      <c r="L3" s="25">
        <f>'Financial Statements'!L3/'Financial Statements'!L$10</f>
        <v>0.98910194713852073</v>
      </c>
      <c r="M3" s="25">
        <f>'Financial Statements'!M3/'Financial Statements'!M$10</f>
        <v>0.98910194713852073</v>
      </c>
    </row>
    <row r="4" spans="1:21" ht="12.75" customHeight="1" x14ac:dyDescent="0.2">
      <c r="A4" s="1" t="s">
        <v>157</v>
      </c>
      <c r="B4" s="25">
        <f>'Financial Statements'!B4/'Financial Statements'!B$10</f>
        <v>2.2803733744387763E-2</v>
      </c>
      <c r="C4" s="25">
        <f>'Financial Statements'!C4/'Financial Statements'!C$10</f>
        <v>2.1396664122423956E-2</v>
      </c>
      <c r="D4" s="25">
        <f>'Financial Statements'!D4/'Financial Statements'!D$10</f>
        <v>2.1670731245024576E-2</v>
      </c>
      <c r="E4" s="25">
        <f>'Financial Statements'!E4/'Financial Statements'!E$10</f>
        <v>2.009021120478446E-2</v>
      </c>
      <c r="F4" s="25">
        <f>'Financial Statements'!F4/'Financial Statements'!F$10</f>
        <v>2.1069411234709082E-2</v>
      </c>
      <c r="G4" s="25">
        <f>'Financial Statements'!G4/'Financial Statements'!G$10</f>
        <v>1.783287120100038E-2</v>
      </c>
      <c r="H4" s="25">
        <f>'Financial Statements'!H4/'Financial Statements'!H$10</f>
        <v>1.360046032327248E-2</v>
      </c>
      <c r="I4" s="25">
        <f>'Financial Statements'!I4/'Financial Statements'!I$10</f>
        <v>1.0754997521889973E-2</v>
      </c>
      <c r="J4" s="25">
        <f>'Financial Statements'!J4/'Financial Statements'!J$10</f>
        <v>1.1913999353378597E-2</v>
      </c>
      <c r="K4" s="25">
        <f>'Financial Statements'!K4/'Financial Statements'!K$10</f>
        <v>1.1298264624798814E-2</v>
      </c>
      <c r="L4" s="25">
        <f>'Financial Statements'!L4/'Financial Statements'!L$10</f>
        <v>1.0912859998519287E-2</v>
      </c>
      <c r="M4" s="25">
        <f>'Financial Statements'!M4/'Financial Statements'!M$10</f>
        <v>1.0912859998519287E-2</v>
      </c>
    </row>
    <row r="5" spans="1:21" ht="12.75" customHeight="1" x14ac:dyDescent="0.2">
      <c r="A5" s="1" t="s">
        <v>158</v>
      </c>
      <c r="B5" s="25">
        <f>'Financial Statements'!B5/'Financial Statements'!B$10</f>
        <v>0</v>
      </c>
      <c r="C5" s="25">
        <f>'Financial Statements'!C5/'Financial Statements'!C$10</f>
        <v>0</v>
      </c>
      <c r="D5" s="25">
        <f>'Financial Statements'!D5/'Financial Statements'!D$10</f>
        <v>0</v>
      </c>
      <c r="E5" s="25">
        <f>'Financial Statements'!E5/'Financial Statements'!E$10</f>
        <v>0</v>
      </c>
      <c r="F5" s="25">
        <f>'Financial Statements'!F5/'Financial Statements'!F$10</f>
        <v>0</v>
      </c>
      <c r="G5" s="25">
        <f>'Financial Statements'!G5/'Financial Statements'!G$10</f>
        <v>0</v>
      </c>
      <c r="H5" s="25">
        <f>'Financial Statements'!H5/'Financial Statements'!H$10</f>
        <v>0</v>
      </c>
      <c r="I5" s="25">
        <f>'Financial Statements'!I5/'Financial Statements'!I$10</f>
        <v>0</v>
      </c>
      <c r="J5" s="25">
        <f>'Financial Statements'!J5/'Financial Statements'!J$10</f>
        <v>0</v>
      </c>
      <c r="K5" s="25">
        <f>'Financial Statements'!K5/'Financial Statements'!K$10</f>
        <v>0</v>
      </c>
      <c r="L5" s="25">
        <f>'Financial Statements'!L5/'Financial Statements'!L$10</f>
        <v>0</v>
      </c>
      <c r="M5" s="25">
        <f>'Financial Statements'!M5/'Financial Statements'!M$10</f>
        <v>0</v>
      </c>
    </row>
    <row r="6" spans="1:21" ht="12.75" customHeight="1" x14ac:dyDescent="0.2">
      <c r="A6" s="1" t="s">
        <v>276</v>
      </c>
      <c r="B6" s="25">
        <f>'Financial Statements'!B6/'Financial Statements'!B$10</f>
        <v>0</v>
      </c>
      <c r="C6" s="25">
        <f>'Financial Statements'!C6/'Financial Statements'!C$10</f>
        <v>0</v>
      </c>
      <c r="D6" s="25">
        <f>'Financial Statements'!D6/'Financial Statements'!D$10</f>
        <v>0</v>
      </c>
      <c r="E6" s="25">
        <f>'Financial Statements'!E6/'Financial Statements'!E$10</f>
        <v>0</v>
      </c>
      <c r="F6" s="25">
        <f>'Financial Statements'!F6/'Financial Statements'!F$10</f>
        <v>0</v>
      </c>
      <c r="G6" s="25">
        <f>'Financial Statements'!G6/'Financial Statements'!G$10</f>
        <v>0</v>
      </c>
      <c r="H6" s="25">
        <f>'Financial Statements'!H6/'Financial Statements'!H$10</f>
        <v>0</v>
      </c>
      <c r="I6" s="25">
        <f>'Financial Statements'!I6/'Financial Statements'!I$10</f>
        <v>0</v>
      </c>
      <c r="J6" s="25">
        <f>'Financial Statements'!J6/'Financial Statements'!J$10</f>
        <v>0</v>
      </c>
      <c r="K6" s="25">
        <f>'Financial Statements'!K6/'Financial Statements'!K$10</f>
        <v>0</v>
      </c>
      <c r="L6" s="25">
        <f>'Financial Statements'!L6/'Financial Statements'!L$10</f>
        <v>0</v>
      </c>
      <c r="M6" s="25">
        <f>'Financial Statements'!M6/'Financial Statements'!M$10</f>
        <v>0</v>
      </c>
    </row>
    <row r="7" spans="1:21" ht="12.75" customHeight="1" x14ac:dyDescent="0.2">
      <c r="A7" s="1" t="s">
        <v>277</v>
      </c>
      <c r="B7" s="25">
        <f>'Financial Statements'!B7/'Financial Statements'!B$10</f>
        <v>0</v>
      </c>
      <c r="C7" s="25">
        <f>'Financial Statements'!C7/'Financial Statements'!C$10</f>
        <v>0</v>
      </c>
      <c r="D7" s="25">
        <f>'Financial Statements'!D7/'Financial Statements'!D$10</f>
        <v>0</v>
      </c>
      <c r="E7" s="25">
        <f>'Financial Statements'!E7/'Financial Statements'!E$10</f>
        <v>0</v>
      </c>
      <c r="F7" s="25">
        <f>'Financial Statements'!F7/'Financial Statements'!F$10</f>
        <v>0</v>
      </c>
      <c r="G7" s="25">
        <f>'Financial Statements'!G7/'Financial Statements'!G$10</f>
        <v>0</v>
      </c>
      <c r="H7" s="25">
        <f>'Financial Statements'!H7/'Financial Statements'!H$10</f>
        <v>0</v>
      </c>
      <c r="I7" s="25">
        <f>'Financial Statements'!I7/'Financial Statements'!I$10</f>
        <v>0</v>
      </c>
      <c r="J7" s="25">
        <f>'Financial Statements'!J7/'Financial Statements'!J$10</f>
        <v>0</v>
      </c>
      <c r="K7" s="25">
        <f>'Financial Statements'!K7/'Financial Statements'!K$10</f>
        <v>0</v>
      </c>
      <c r="L7" s="25">
        <f>'Financial Statements'!L7/'Financial Statements'!L$10</f>
        <v>0</v>
      </c>
      <c r="M7" s="25">
        <f>'Financial Statements'!M7/'Financial Statements'!M$10</f>
        <v>0</v>
      </c>
    </row>
    <row r="8" spans="1:21" ht="12.75" customHeight="1" x14ac:dyDescent="0.2">
      <c r="A8" s="1" t="s">
        <v>159</v>
      </c>
      <c r="B8" s="25">
        <f>'Financial Statements'!B8/'Financial Statements'!B$10</f>
        <v>0</v>
      </c>
      <c r="C8" s="25">
        <f>'Financial Statements'!C8/'Financial Statements'!C$10</f>
        <v>0</v>
      </c>
      <c r="D8" s="25">
        <f>'Financial Statements'!D8/'Financial Statements'!D$10</f>
        <v>0</v>
      </c>
      <c r="E8" s="25">
        <f>'Financial Statements'!E8/'Financial Statements'!E$10</f>
        <v>0</v>
      </c>
      <c r="F8" s="25">
        <f>'Financial Statements'!F8/'Financial Statements'!F$10</f>
        <v>0</v>
      </c>
      <c r="G8" s="25">
        <f>'Financial Statements'!G8/'Financial Statements'!G$10</f>
        <v>0</v>
      </c>
      <c r="H8" s="25">
        <f>'Financial Statements'!H8/'Financial Statements'!H$10</f>
        <v>0</v>
      </c>
      <c r="I8" s="25">
        <f>'Financial Statements'!I8/'Financial Statements'!I$10</f>
        <v>0</v>
      </c>
      <c r="J8" s="25">
        <f>'Financial Statements'!J8/'Financial Statements'!J$10</f>
        <v>0</v>
      </c>
      <c r="K8" s="25">
        <f>'Financial Statements'!K8/'Financial Statements'!K$10</f>
        <v>0</v>
      </c>
      <c r="L8" s="25">
        <f>'Financial Statements'!L8/'Financial Statements'!L$10</f>
        <v>0</v>
      </c>
      <c r="M8" s="25">
        <f>'Financial Statements'!M8/'Financial Statements'!M$10</f>
        <v>0</v>
      </c>
    </row>
    <row r="9" spans="1:21" ht="12.75" customHeight="1" x14ac:dyDescent="0.2">
      <c r="A9" s="1" t="s">
        <v>123</v>
      </c>
      <c r="B9" s="25">
        <f>'Financial Statements'!B9/'Financial Statements'!B$10</f>
        <v>-1.2233762738405452E-5</v>
      </c>
      <c r="C9" s="25">
        <f>'Financial Statements'!C9/'Financial Statements'!C$10</f>
        <v>-1.2512669077440909E-5</v>
      </c>
      <c r="D9" s="25">
        <f>'Financial Statements'!D9/'Financial Statements'!D$10</f>
        <v>0</v>
      </c>
      <c r="E9" s="25">
        <f>'Financial Statements'!E9/'Financial Statements'!E$10</f>
        <v>0</v>
      </c>
      <c r="F9" s="25">
        <f>'Financial Statements'!F9/'Financial Statements'!F$10</f>
        <v>0</v>
      </c>
      <c r="G9" s="25">
        <f>'Financial Statements'!G9/'Financial Statements'!G$10</f>
        <v>0</v>
      </c>
      <c r="H9" s="25">
        <f>'Financial Statements'!H9/'Financial Statements'!H$10</f>
        <v>0</v>
      </c>
      <c r="I9" s="25">
        <f>'Financial Statements'!I9/'Financial Statements'!I$10</f>
        <v>0</v>
      </c>
      <c r="J9" s="25">
        <f>'Financial Statements'!J9/'Financial Statements'!J$10</f>
        <v>0</v>
      </c>
      <c r="K9" s="25">
        <f>'Financial Statements'!K9/'Financial Statements'!K$10</f>
        <v>0</v>
      </c>
      <c r="L9" s="25">
        <f>'Financial Statements'!L9/'Financial Statements'!L$10</f>
        <v>-1.4807137040053305E-5</v>
      </c>
      <c r="M9" s="25">
        <f>'Financial Statements'!M9/'Financial Statements'!M$10</f>
        <v>-1.4807137040053305E-5</v>
      </c>
    </row>
    <row r="10" spans="1:21" ht="12.75" customHeight="1" x14ac:dyDescent="0.2">
      <c r="A10" s="5" t="s">
        <v>58</v>
      </c>
      <c r="B10" s="26">
        <f>'Financial Statements'!B10/'Financial Statements'!B$10</f>
        <v>1</v>
      </c>
      <c r="C10" s="26">
        <f>'Financial Statements'!C10/'Financial Statements'!C$10</f>
        <v>1</v>
      </c>
      <c r="D10" s="26">
        <f>'Financial Statements'!D10/'Financial Statements'!D$10</f>
        <v>1</v>
      </c>
      <c r="E10" s="26">
        <f>'Financial Statements'!E10/'Financial Statements'!E$10</f>
        <v>1</v>
      </c>
      <c r="F10" s="26">
        <f>'Financial Statements'!F10/'Financial Statements'!F$10</f>
        <v>1</v>
      </c>
      <c r="G10" s="26">
        <f>'Financial Statements'!G10/'Financial Statements'!G$10</f>
        <v>1</v>
      </c>
      <c r="H10" s="26">
        <f>'Financial Statements'!H10/'Financial Statements'!H$10</f>
        <v>1</v>
      </c>
      <c r="I10" s="26">
        <f>'Financial Statements'!I10/'Financial Statements'!I$10</f>
        <v>1</v>
      </c>
      <c r="J10" s="26">
        <f>'Financial Statements'!J10/'Financial Statements'!J$10</f>
        <v>1</v>
      </c>
      <c r="K10" s="26">
        <f>'Financial Statements'!K10/'Financial Statements'!K$10</f>
        <v>1</v>
      </c>
      <c r="L10" s="26">
        <f>'Financial Statements'!L10/'Financial Statements'!L$10</f>
        <v>1</v>
      </c>
      <c r="M10" s="26">
        <f>'Financial Statements'!M10/'Financial Statements'!M$10</f>
        <v>1</v>
      </c>
    </row>
    <row r="11" spans="1:21" ht="12.75" customHeight="1" x14ac:dyDescent="0.2">
      <c r="A11" s="1" t="s">
        <v>124</v>
      </c>
      <c r="B11" s="25">
        <f>'Financial Statements'!B11/'Financial Statements'!B$10</f>
        <v>0.48991326262218471</v>
      </c>
      <c r="C11" s="25">
        <f>'Financial Statements'!C11/'Financial Statements'!C$10</f>
        <v>0.50498629862736022</v>
      </c>
      <c r="D11" s="25">
        <f>'Financial Statements'!D11/'Financial Statements'!D$10</f>
        <v>0.51789888676884976</v>
      </c>
      <c r="E11" s="25">
        <f>'Financial Statements'!E11/'Financial Statements'!E$10</f>
        <v>0.52169215112261436</v>
      </c>
      <c r="F11" s="25">
        <f>'Financial Statements'!F11/'Financial Statements'!F$10</f>
        <v>0.44141802682191494</v>
      </c>
      <c r="G11" s="25">
        <f>'Financial Statements'!G11/'Financial Statements'!G$10</f>
        <v>0.43018177205096142</v>
      </c>
      <c r="H11" s="25">
        <f>'Financial Statements'!H11/'Financial Statements'!H$10</f>
        <v>0.44168366724207075</v>
      </c>
      <c r="I11" s="25">
        <f>'Financial Statements'!I11/'Financial Statements'!I$10</f>
        <v>0.45326284487031226</v>
      </c>
      <c r="J11" s="25">
        <f>'Financial Statements'!J11/'Financial Statements'!J$10</f>
        <v>0.43934691238279988</v>
      </c>
      <c r="K11" s="25">
        <f>'Financial Statements'!K11/'Financial Statements'!K$10</f>
        <v>0.4275811514987331</v>
      </c>
      <c r="L11" s="25">
        <f>'Financial Statements'!L11/'Financial Statements'!L$10</f>
        <v>0.41217146664692383</v>
      </c>
      <c r="M11" s="25">
        <f>'Financial Statements'!M11/'Financial Statements'!M$10</f>
        <v>0.41217146664692383</v>
      </c>
    </row>
    <row r="12" spans="1:21" ht="12.75" customHeight="1" x14ac:dyDescent="0.2">
      <c r="A12" s="1" t="s">
        <v>160</v>
      </c>
      <c r="B12" s="25">
        <f>'Financial Statements'!B12/'Financial Statements'!B$10</f>
        <v>1.2368334128527912E-2</v>
      </c>
      <c r="C12" s="25">
        <f>'Financial Statements'!C12/'Financial Statements'!C$10</f>
        <v>1.306322651684831E-2</v>
      </c>
      <c r="D12" s="25">
        <f>'Financial Statements'!D12/'Financial Statements'!D$10</f>
        <v>1.5289553823020255E-2</v>
      </c>
      <c r="E12" s="25">
        <f>'Financial Statements'!E12/'Financial Statements'!E$10</f>
        <v>1.422271362339963E-2</v>
      </c>
      <c r="F12" s="25">
        <f>'Financial Statements'!F12/'Financial Statements'!F$10</f>
        <v>1.2198080188515785E-2</v>
      </c>
      <c r="G12" s="25">
        <f>'Financial Statements'!G12/'Financial Statements'!G$10</f>
        <v>1.0456876710342703E-2</v>
      </c>
      <c r="H12" s="25">
        <f>'Financial Statements'!H12/'Financial Statements'!H$10</f>
        <v>9.311084375163467E-3</v>
      </c>
      <c r="I12" s="25">
        <f>'Financial Statements'!I12/'Financial Statements'!I$10</f>
        <v>6.7074178093507351E-3</v>
      </c>
      <c r="J12" s="25">
        <f>'Financial Statements'!J12/'Financial Statements'!J$10</f>
        <v>6.1752344002586482E-3</v>
      </c>
      <c r="K12" s="25">
        <f>'Financial Statements'!K12/'Financial Statements'!K$10</f>
        <v>5.8801969626950104E-3</v>
      </c>
      <c r="L12" s="25">
        <f>'Financial Statements'!L12/'Financial Statements'!L$10</f>
        <v>5.9672762271414824E-3</v>
      </c>
      <c r="M12" s="25">
        <f>'Financial Statements'!M12/'Financial Statements'!M$10</f>
        <v>5.9672762271414824E-3</v>
      </c>
    </row>
    <row r="13" spans="1:21" ht="12.75" customHeight="1" x14ac:dyDescent="0.2">
      <c r="A13" s="1" t="s">
        <v>161</v>
      </c>
      <c r="B13" s="25">
        <f>'Financial Statements'!B13/'Financial Statements'!B$10</f>
        <v>0</v>
      </c>
      <c r="C13" s="25">
        <f>'Financial Statements'!C13/'Financial Statements'!C$10</f>
        <v>0</v>
      </c>
      <c r="D13" s="25">
        <f>'Financial Statements'!D13/'Financial Statements'!D$10</f>
        <v>0</v>
      </c>
      <c r="E13" s="25">
        <f>'Financial Statements'!E13/'Financial Statements'!E$10</f>
        <v>0</v>
      </c>
      <c r="F13" s="25">
        <f>'Financial Statements'!F13/'Financial Statements'!F$10</f>
        <v>0</v>
      </c>
      <c r="G13" s="25">
        <f>'Financial Statements'!G13/'Financial Statements'!G$10</f>
        <v>0</v>
      </c>
      <c r="H13" s="25">
        <f>'Financial Statements'!H13/'Financial Statements'!H$10</f>
        <v>0</v>
      </c>
      <c r="I13" s="25">
        <f>'Financial Statements'!I13/'Financial Statements'!I$10</f>
        <v>0</v>
      </c>
      <c r="J13" s="25">
        <f>'Financial Statements'!J13/'Financial Statements'!J$10</f>
        <v>0</v>
      </c>
      <c r="K13" s="25">
        <f>'Financial Statements'!K13/'Financial Statements'!K$10</f>
        <v>0</v>
      </c>
      <c r="L13" s="25">
        <f>'Financial Statements'!L13/'Financial Statements'!L$10</f>
        <v>0</v>
      </c>
      <c r="M13" s="25">
        <f>'Financial Statements'!M13/'Financial Statements'!M$10</f>
        <v>0</v>
      </c>
    </row>
    <row r="14" spans="1:21" ht="12.75" customHeight="1" x14ac:dyDescent="0.2">
      <c r="A14" s="1" t="s">
        <v>162</v>
      </c>
      <c r="B14" s="25">
        <f>'Financial Statements'!B14/'Financial Statements'!B$10</f>
        <v>0</v>
      </c>
      <c r="C14" s="25">
        <f>'Financial Statements'!C14/'Financial Statements'!C$10</f>
        <v>0</v>
      </c>
      <c r="D14" s="25">
        <f>'Financial Statements'!D14/'Financial Statements'!D$10</f>
        <v>0</v>
      </c>
      <c r="E14" s="25">
        <f>'Financial Statements'!E14/'Financial Statements'!E$10</f>
        <v>0</v>
      </c>
      <c r="F14" s="25">
        <f>'Financial Statements'!F14/'Financial Statements'!F$10</f>
        <v>0</v>
      </c>
      <c r="G14" s="25">
        <f>'Financial Statements'!G14/'Financial Statements'!G$10</f>
        <v>0</v>
      </c>
      <c r="H14" s="25">
        <f>'Financial Statements'!H14/'Financial Statements'!H$10</f>
        <v>0</v>
      </c>
      <c r="I14" s="25">
        <f>'Financial Statements'!I14/'Financial Statements'!I$10</f>
        <v>0</v>
      </c>
      <c r="J14" s="25">
        <f>'Financial Statements'!J14/'Financial Statements'!J$10</f>
        <v>0</v>
      </c>
      <c r="K14" s="25">
        <f>'Financial Statements'!K14/'Financial Statements'!K$10</f>
        <v>0</v>
      </c>
      <c r="L14" s="25">
        <f>'Financial Statements'!L14/'Financial Statements'!L$10</f>
        <v>0</v>
      </c>
      <c r="M14" s="25">
        <f>'Financial Statements'!M14/'Financial Statements'!M$10</f>
        <v>0</v>
      </c>
    </row>
    <row r="15" spans="1:21" ht="12.75" customHeight="1" x14ac:dyDescent="0.2">
      <c r="A15" s="5" t="s">
        <v>53</v>
      </c>
      <c r="B15" s="26">
        <f>'Financial Statements'!B15/'Financial Statements'!B$10</f>
        <v>0.4977184032492874</v>
      </c>
      <c r="C15" s="26">
        <f>'Financial Statements'!C15/'Financial Statements'!C$10</f>
        <v>0.48195047485579151</v>
      </c>
      <c r="D15" s="26">
        <f>'Financial Statements'!D15/'Financial Statements'!D$10</f>
        <v>0.46681155940813002</v>
      </c>
      <c r="E15" s="26">
        <f>'Financial Statements'!E15/'Financial Statements'!E$10</f>
        <v>0.46408513525398598</v>
      </c>
      <c r="F15" s="26">
        <f>'Financial Statements'!F15/'Financial Statements'!F$10</f>
        <v>0.54638389298956924</v>
      </c>
      <c r="G15" s="26">
        <f>'Financial Statements'!G15/'Financial Statements'!G$10</f>
        <v>0.5593613512386959</v>
      </c>
      <c r="H15" s="26">
        <f>'Financial Statements'!H15/'Financial Statements'!H$10</f>
        <v>0.54900524838276576</v>
      </c>
      <c r="I15" s="26">
        <f>'Financial Statements'!I15/'Financial Statements'!I$10</f>
        <v>0.54002973732033699</v>
      </c>
      <c r="J15" s="26">
        <f>'Financial Statements'!J15/'Financial Statements'!J$10</f>
        <v>0.55447785321694143</v>
      </c>
      <c r="K15" s="26">
        <f>'Financial Statements'!K15/'Financial Statements'!K$10</f>
        <v>0.56653865153857186</v>
      </c>
      <c r="L15" s="26">
        <f>'Financial Statements'!L15/'Financial Statements'!L$10</f>
        <v>0.58186125712593473</v>
      </c>
      <c r="M15" s="26">
        <f>'Financial Statements'!M15/'Financial Statements'!M$10</f>
        <v>0.58186125712593473</v>
      </c>
    </row>
    <row r="16" spans="1:21" ht="12.75" customHeight="1" x14ac:dyDescent="0.2">
      <c r="A16" s="1" t="s">
        <v>125</v>
      </c>
      <c r="B16" s="25">
        <f>'Financial Statements'!B16/'Financial Statements'!B$10</f>
        <v>0.23964717828262438</v>
      </c>
      <c r="C16" s="25">
        <f>'Financial Statements'!C16/'Financial Statements'!C$10</f>
        <v>0.25306873209124237</v>
      </c>
      <c r="D16" s="25">
        <f>'Financial Statements'!D16/'Financial Statements'!D$10</f>
        <v>0.26708702409684226</v>
      </c>
      <c r="E16" s="25">
        <f>'Financial Statements'!E16/'Financial Statements'!E$10</f>
        <v>0.24331896822505056</v>
      </c>
      <c r="F16" s="25">
        <f>'Financial Statements'!F16/'Financial Statements'!F$10</f>
        <v>0.32442734865024087</v>
      </c>
      <c r="G16" s="25">
        <f>'Financial Statements'!G16/'Financial Statements'!G$10</f>
        <v>0.37262364305261059</v>
      </c>
      <c r="H16" s="25">
        <f>'Financial Statements'!H16/'Financial Statements'!H$10</f>
        <v>0.34920053704381787</v>
      </c>
      <c r="I16" s="25">
        <f>'Financial Statements'!I16/'Financial Statements'!I$10</f>
        <v>0.31823888980670739</v>
      </c>
      <c r="J16" s="25">
        <f>'Financial Statements'!J16/'Financial Statements'!J$10</f>
        <v>0.30656320724215974</v>
      </c>
      <c r="K16" s="25">
        <f>'Financial Statements'!K16/'Financial Statements'!K$10</f>
        <v>0.30725224292065717</v>
      </c>
      <c r="L16" s="25">
        <f>'Financial Statements'!L16/'Financial Statements'!L$10</f>
        <v>0.28696231583623305</v>
      </c>
      <c r="M16" s="25">
        <f>'Financial Statements'!M16/'Financial Statements'!M$10</f>
        <v>0.28696231583623305</v>
      </c>
    </row>
    <row r="17" spans="1:13" ht="12.75" customHeight="1" x14ac:dyDescent="0.2">
      <c r="A17" s="1" t="s">
        <v>209</v>
      </c>
      <c r="B17" s="25">
        <f>'Financial Statements'!B17/'Financial Statements'!B$10</f>
        <v>0</v>
      </c>
      <c r="C17" s="25">
        <f>'Financial Statements'!C17/'Financial Statements'!C$10</f>
        <v>0</v>
      </c>
      <c r="D17" s="25">
        <f>'Financial Statements'!D17/'Financial Statements'!D$10</f>
        <v>0</v>
      </c>
      <c r="E17" s="25">
        <f>'Financial Statements'!E17/'Financial Statements'!E$10</f>
        <v>0</v>
      </c>
      <c r="F17" s="25">
        <f>'Financial Statements'!F17/'Financial Statements'!F$10</f>
        <v>0</v>
      </c>
      <c r="G17" s="25">
        <f>'Financial Statements'!G17/'Financial Statements'!G$10</f>
        <v>0</v>
      </c>
      <c r="H17" s="25">
        <f>'Financial Statements'!H17/'Financial Statements'!H$10</f>
        <v>0</v>
      </c>
      <c r="I17" s="25">
        <f>'Financial Statements'!I17/'Financial Statements'!I$10</f>
        <v>0</v>
      </c>
      <c r="J17" s="25">
        <f>'Financial Statements'!J17/'Financial Statements'!J$10</f>
        <v>0</v>
      </c>
      <c r="K17" s="25">
        <f>'Financial Statements'!K17/'Financial Statements'!K$10</f>
        <v>0</v>
      </c>
      <c r="L17" s="25">
        <f>'Financial Statements'!L17/'Financial Statements'!L$10</f>
        <v>0</v>
      </c>
      <c r="M17" s="25">
        <f>'Financial Statements'!M17/'Financial Statements'!M$10</f>
        <v>0</v>
      </c>
    </row>
    <row r="18" spans="1:13" ht="12.75" customHeight="1" x14ac:dyDescent="0.2">
      <c r="A18" s="1" t="s">
        <v>210</v>
      </c>
      <c r="B18" s="25">
        <f>'Financial Statements'!B18/'Financial Statements'!B$10</f>
        <v>0</v>
      </c>
      <c r="C18" s="25">
        <f>'Financial Statements'!C18/'Financial Statements'!C$10</f>
        <v>0</v>
      </c>
      <c r="D18" s="25">
        <f>'Financial Statements'!D18/'Financial Statements'!D$10</f>
        <v>0</v>
      </c>
      <c r="E18" s="25">
        <f>'Financial Statements'!E18/'Financial Statements'!E$10</f>
        <v>0</v>
      </c>
      <c r="F18" s="25">
        <f>'Financial Statements'!F18/'Financial Statements'!F$10</f>
        <v>0</v>
      </c>
      <c r="G18" s="25">
        <f>'Financial Statements'!G18/'Financial Statements'!G$10</f>
        <v>0</v>
      </c>
      <c r="H18" s="25">
        <f>'Financial Statements'!H18/'Financial Statements'!H$10</f>
        <v>0</v>
      </c>
      <c r="I18" s="25">
        <f>'Financial Statements'!I18/'Financial Statements'!I$10</f>
        <v>0</v>
      </c>
      <c r="J18" s="25">
        <f>'Financial Statements'!J18/'Financial Statements'!J$10</f>
        <v>0</v>
      </c>
      <c r="K18" s="25">
        <f>'Financial Statements'!K18/'Financial Statements'!K$10</f>
        <v>0</v>
      </c>
      <c r="L18" s="25">
        <f>'Financial Statements'!L18/'Financial Statements'!L$10</f>
        <v>0</v>
      </c>
      <c r="M18" s="25">
        <f>'Financial Statements'!M18/'Financial Statements'!M$10</f>
        <v>0</v>
      </c>
    </row>
    <row r="19" spans="1:13" ht="12.75" customHeight="1" x14ac:dyDescent="0.2">
      <c r="A19" s="1" t="s">
        <v>203</v>
      </c>
      <c r="B19" s="25">
        <f>'Financial Statements'!B19/'Financial Statements'!B$10</f>
        <v>0</v>
      </c>
      <c r="C19" s="25">
        <f>'Financial Statements'!C19/'Financial Statements'!C$10</f>
        <v>0</v>
      </c>
      <c r="D19" s="25">
        <f>'Financial Statements'!D19/'Financial Statements'!D$10</f>
        <v>0</v>
      </c>
      <c r="E19" s="25">
        <f>'Financial Statements'!E19/'Financial Statements'!E$10</f>
        <v>0</v>
      </c>
      <c r="F19" s="25">
        <f>'Financial Statements'!F19/'Financial Statements'!F$10</f>
        <v>0</v>
      </c>
      <c r="G19" s="25">
        <f>'Financial Statements'!G19/'Financial Statements'!G$10</f>
        <v>0</v>
      </c>
      <c r="H19" s="25">
        <f>'Financial Statements'!H19/'Financial Statements'!H$10</f>
        <v>0</v>
      </c>
      <c r="I19" s="25">
        <f>'Financial Statements'!I19/'Financial Statements'!I$10</f>
        <v>0</v>
      </c>
      <c r="J19" s="25">
        <f>'Financial Statements'!J19/'Financial Statements'!J$10</f>
        <v>0</v>
      </c>
      <c r="K19" s="25">
        <f>'Financial Statements'!K19/'Financial Statements'!K$10</f>
        <v>0</v>
      </c>
      <c r="L19" s="25">
        <f>'Financial Statements'!L19/'Financial Statements'!L$10</f>
        <v>0</v>
      </c>
      <c r="M19" s="25">
        <f>'Financial Statements'!M19/'Financial Statements'!M$10</f>
        <v>0</v>
      </c>
    </row>
    <row r="20" spans="1:13" ht="12.75" customHeight="1" x14ac:dyDescent="0.2">
      <c r="A20" s="1" t="s">
        <v>211</v>
      </c>
      <c r="B20" s="25">
        <f>'Financial Statements'!B20/'Financial Statements'!B$10</f>
        <v>0</v>
      </c>
      <c r="C20" s="25">
        <f>'Financial Statements'!C20/'Financial Statements'!C$10</f>
        <v>0</v>
      </c>
      <c r="D20" s="25">
        <f>'Financial Statements'!D20/'Financial Statements'!D$10</f>
        <v>0</v>
      </c>
      <c r="E20" s="25">
        <f>'Financial Statements'!E20/'Financial Statements'!E$10</f>
        <v>0</v>
      </c>
      <c r="F20" s="25">
        <f>'Financial Statements'!F20/'Financial Statements'!F$10</f>
        <v>0</v>
      </c>
      <c r="G20" s="25">
        <f>'Financial Statements'!G20/'Financial Statements'!G$10</f>
        <v>0</v>
      </c>
      <c r="H20" s="25">
        <f>'Financial Statements'!H20/'Financial Statements'!H$10</f>
        <v>0</v>
      </c>
      <c r="I20" s="25">
        <f>'Financial Statements'!I20/'Financial Statements'!I$10</f>
        <v>0</v>
      </c>
      <c r="J20" s="25">
        <f>'Financial Statements'!J20/'Financial Statements'!J$10</f>
        <v>0</v>
      </c>
      <c r="K20" s="25">
        <f>'Financial Statements'!K20/'Financial Statements'!K$10</f>
        <v>0</v>
      </c>
      <c r="L20" s="25">
        <f>'Financial Statements'!L20/'Financial Statements'!L$10</f>
        <v>0</v>
      </c>
      <c r="M20" s="25">
        <f>'Financial Statements'!M20/'Financial Statements'!M$10</f>
        <v>0</v>
      </c>
    </row>
    <row r="21" spans="1:13" ht="12.75" customHeight="1" x14ac:dyDescent="0.2">
      <c r="A21" s="1" t="s">
        <v>59</v>
      </c>
      <c r="B21" s="25">
        <f>'Financial Statements'!B21/'Financial Statements'!B$10</f>
        <v>6.4190553088413399E-2</v>
      </c>
      <c r="C21" s="25">
        <f>'Financial Statements'!C21/'Financial Statements'!C$10</f>
        <v>7.1647543137426647E-2</v>
      </c>
      <c r="D21" s="25">
        <f>'Financial Statements'!D21/'Financial Statements'!D$10</f>
        <v>7.0635211463374564E-2</v>
      </c>
      <c r="E21" s="25">
        <f>'Financial Statements'!E21/'Financial Statements'!E$10</f>
        <v>6.7583018180447541E-2</v>
      </c>
      <c r="F21" s="25">
        <f>'Financial Statements'!F21/'Financial Statements'!F$10</f>
        <v>0.10240149703711404</v>
      </c>
      <c r="G21" s="25">
        <f>'Financial Statements'!G21/'Financial Statements'!G$10</f>
        <v>0.11348520270392722</v>
      </c>
      <c r="H21" s="25">
        <f>'Financial Statements'!H21/'Financial Statements'!H$10</f>
        <v>0.11312793150947673</v>
      </c>
      <c r="I21" s="25">
        <f>'Financial Statements'!I21/'Financial Statements'!I$10</f>
        <v>0.10849165702957211</v>
      </c>
      <c r="J21" s="25">
        <f>'Financial Statements'!J21/'Financial Statements'!J$10</f>
        <v>0.10952150016165535</v>
      </c>
      <c r="K21" s="25">
        <f>'Financial Statements'!K21/'Financial Statements'!K$10</f>
        <v>0.11918155307315985</v>
      </c>
      <c r="L21" s="25">
        <f>'Financial Statements'!L21/'Financial Statements'!L$10</f>
        <v>0.12307692307692308</v>
      </c>
      <c r="M21" s="25">
        <f>'Financial Statements'!M21/'Financial Statements'!M$10</f>
        <v>0.12307692307692308</v>
      </c>
    </row>
    <row r="22" spans="1:13" ht="12.75" customHeight="1" x14ac:dyDescent="0.2">
      <c r="A22" s="1" t="s">
        <v>126</v>
      </c>
      <c r="B22" s="25">
        <f>'Financial Statements'!B22/'Financial Statements'!B$10</f>
        <v>0</v>
      </c>
      <c r="C22" s="25">
        <f>'Financial Statements'!C22/'Financial Statements'!C$10</f>
        <v>0</v>
      </c>
      <c r="D22" s="25">
        <f>'Financial Statements'!D22/'Financial Statements'!D$10</f>
        <v>0</v>
      </c>
      <c r="E22" s="25">
        <f>'Financial Statements'!E22/'Financial Statements'!E$10</f>
        <v>0</v>
      </c>
      <c r="F22" s="25">
        <f>'Financial Statements'!F22/'Financial Statements'!F$10</f>
        <v>0</v>
      </c>
      <c r="G22" s="25">
        <f>'Financial Statements'!G22/'Financial Statements'!G$10</f>
        <v>0</v>
      </c>
      <c r="H22" s="25">
        <f>'Financial Statements'!H22/'Financial Statements'!H$10</f>
        <v>0</v>
      </c>
      <c r="I22" s="25">
        <f>'Financial Statements'!I22/'Financial Statements'!I$10</f>
        <v>0</v>
      </c>
      <c r="J22" s="25">
        <f>'Financial Statements'!J22/'Financial Statements'!J$10</f>
        <v>0</v>
      </c>
      <c r="K22" s="25">
        <f>'Financial Statements'!K22/'Financial Statements'!K$10</f>
        <v>0</v>
      </c>
      <c r="L22" s="25">
        <f>'Financial Statements'!L22/'Financial Statements'!L$10</f>
        <v>0</v>
      </c>
      <c r="M22" s="25">
        <f>'Financial Statements'!M22/'Financial Statements'!M$10</f>
        <v>0</v>
      </c>
    </row>
    <row r="23" spans="1:13" ht="12.75" customHeight="1" x14ac:dyDescent="0.2">
      <c r="A23" s="1" t="s">
        <v>141</v>
      </c>
      <c r="B23" s="25">
        <f>'Financial Statements'!B23/'Financial Statements'!B$10</f>
        <v>0</v>
      </c>
      <c r="C23" s="25">
        <f>'Financial Statements'!C23/'Financial Statements'!C$10</f>
        <v>0</v>
      </c>
      <c r="D23" s="25">
        <f>'Financial Statements'!D23/'Financial Statements'!D$10</f>
        <v>0</v>
      </c>
      <c r="E23" s="25">
        <f>'Financial Statements'!E23/'Financial Statements'!E$10</f>
        <v>0</v>
      </c>
      <c r="F23" s="25">
        <f>'Financial Statements'!F23/'Financial Statements'!F$10</f>
        <v>0</v>
      </c>
      <c r="G23" s="25">
        <f>'Financial Statements'!G23/'Financial Statements'!G$10</f>
        <v>0</v>
      </c>
      <c r="H23" s="25">
        <f>'Financial Statements'!H23/'Financial Statements'!H$10</f>
        <v>0</v>
      </c>
      <c r="I23" s="25">
        <f>'Financial Statements'!I23/'Financial Statements'!I$10</f>
        <v>0</v>
      </c>
      <c r="J23" s="25">
        <f>'Financial Statements'!J23/'Financial Statements'!J$10</f>
        <v>0</v>
      </c>
      <c r="K23" s="25">
        <f>'Financial Statements'!K23/'Financial Statements'!K$10</f>
        <v>0</v>
      </c>
      <c r="L23" s="25">
        <f>'Financial Statements'!L23/'Financial Statements'!L$10</f>
        <v>0</v>
      </c>
      <c r="M23" s="25">
        <f>'Financial Statements'!M23/'Financial Statements'!M$10</f>
        <v>0</v>
      </c>
    </row>
    <row r="24" spans="1:13" ht="12.75" customHeight="1" x14ac:dyDescent="0.2">
      <c r="A24" s="1" t="s">
        <v>197</v>
      </c>
      <c r="B24" s="25">
        <f>'Financial Statements'!B24/'Financial Statements'!B$10</f>
        <v>0</v>
      </c>
      <c r="C24" s="25">
        <f>'Financial Statements'!C24/'Financial Statements'!C$10</f>
        <v>0</v>
      </c>
      <c r="D24" s="25">
        <f>'Financial Statements'!D24/'Financial Statements'!D$10</f>
        <v>0</v>
      </c>
      <c r="E24" s="25">
        <f>'Financial Statements'!E24/'Financial Statements'!E$10</f>
        <v>0</v>
      </c>
      <c r="F24" s="25">
        <f>'Financial Statements'!F24/'Financial Statements'!F$10</f>
        <v>0</v>
      </c>
      <c r="G24" s="25">
        <f>'Financial Statements'!G24/'Financial Statements'!G$10</f>
        <v>0</v>
      </c>
      <c r="H24" s="25">
        <f>'Financial Statements'!H24/'Financial Statements'!H$10</f>
        <v>0</v>
      </c>
      <c r="I24" s="25">
        <f>'Financial Statements'!I24/'Financial Statements'!I$10</f>
        <v>0</v>
      </c>
      <c r="J24" s="25">
        <f>'Financial Statements'!J24/'Financial Statements'!J$10</f>
        <v>0</v>
      </c>
      <c r="K24" s="25">
        <f>'Financial Statements'!K24/'Financial Statements'!K$10</f>
        <v>0</v>
      </c>
      <c r="L24" s="25">
        <f>'Financial Statements'!L24/'Financial Statements'!L$10</f>
        <v>0</v>
      </c>
      <c r="M24" s="25">
        <f>'Financial Statements'!M24/'Financial Statements'!M$10</f>
        <v>0</v>
      </c>
    </row>
    <row r="25" spans="1:13" ht="12.75" customHeight="1" x14ac:dyDescent="0.2">
      <c r="A25" s="1" t="s">
        <v>61</v>
      </c>
      <c r="B25" s="27">
        <f>'Financial Statements'!B25/'Financial Statements'!B$10</f>
        <v>-8.1843872719932469E-3</v>
      </c>
      <c r="C25" s="27">
        <f>'Financial Statements'!C25/'Financial Statements'!C$10</f>
        <v>-2.0070321200215218E-2</v>
      </c>
      <c r="D25" s="27">
        <f>'Financial Statements'!D25/'Financial Statements'!D$10</f>
        <v>-1.8524368516155118E-2</v>
      </c>
      <c r="E25" s="27">
        <f>'Financial Statements'!E25/'Financial Statements'!E$10</f>
        <v>-1.289090475053712E-2</v>
      </c>
      <c r="F25" s="27">
        <f>'Financial Statements'!F25/'Financial Statements'!F$10</f>
        <v>-1.1071836989292027E-2</v>
      </c>
      <c r="G25" s="27">
        <f>'Financial Statements'!G25/'Financial Statements'!G$10</f>
        <v>-1.123615868355715E-2</v>
      </c>
      <c r="H25" s="27">
        <f>'Financial Statements'!H25/'Financial Statements'!H$10</f>
        <v>-1.0671130407490716E-2</v>
      </c>
      <c r="I25" s="27">
        <f>'Financial Statements'!I25/'Financial Statements'!I$10</f>
        <v>-1.0953246324136792E-2</v>
      </c>
      <c r="J25" s="27">
        <f>'Financial Statements'!J25/'Financial Statements'!J$10</f>
        <v>-1.3902360168121564E-2</v>
      </c>
      <c r="K25" s="27">
        <f>'Financial Statements'!K25/'Financial Statements'!K$10</f>
        <v>-1.5871751151339378E-2</v>
      </c>
      <c r="L25" s="27">
        <f>'Financial Statements'!L25/'Financial Statements'!L$10</f>
        <v>-1.4274080106611386E-2</v>
      </c>
      <c r="M25" s="27">
        <f>'Financial Statements'!M25/'Financial Statements'!M$10</f>
        <v>-1.4274080106611386E-2</v>
      </c>
    </row>
    <row r="26" spans="1:13" ht="12.75" customHeight="1" x14ac:dyDescent="0.2">
      <c r="A26" s="5" t="s">
        <v>62</v>
      </c>
      <c r="B26" s="28">
        <f>'Financial Statements'!B26/'Financial Statements'!B$10</f>
        <v>0.29565334409904453</v>
      </c>
      <c r="C26" s="28">
        <f>'Financial Statements'!C26/'Financial Statements'!C$10</f>
        <v>0.30464595402845379</v>
      </c>
      <c r="D26" s="28">
        <f>'Financial Statements'!D26/'Financial Statements'!D$10</f>
        <v>0.31919786704406172</v>
      </c>
      <c r="E26" s="28">
        <f>'Financial Statements'!E26/'Financial Statements'!E$10</f>
        <v>0.29801108165496099</v>
      </c>
      <c r="F26" s="28">
        <f>'Financial Statements'!F26/'Financial Statements'!F$10</f>
        <v>0.41575700869806287</v>
      </c>
      <c r="G26" s="28">
        <f>'Financial Statements'!G26/'Financial Statements'!G$10</f>
        <v>0.47487268707298064</v>
      </c>
      <c r="H26" s="28">
        <f>'Financial Statements'!H26/'Financial Statements'!H$10</f>
        <v>0.45165733814580389</v>
      </c>
      <c r="I26" s="28">
        <f>'Financial Statements'!I26/'Financial Statements'!I$10</f>
        <v>0.41577730051214273</v>
      </c>
      <c r="J26" s="28">
        <f>'Financial Statements'!J26/'Financial Statements'!J$10</f>
        <v>0.40218234723569352</v>
      </c>
      <c r="K26" s="28">
        <f>'Financial Statements'!K26/'Financial Statements'!K$10</f>
        <v>0.41056204484247766</v>
      </c>
      <c r="L26" s="28">
        <f>'Financial Statements'!L26/'Financial Statements'!L$10</f>
        <v>0.39576515880654478</v>
      </c>
      <c r="M26" s="28">
        <f>'Financial Statements'!M26/'Financial Statements'!M$10</f>
        <v>0.39576515880654478</v>
      </c>
    </row>
    <row r="27" spans="1:13" ht="12.75" customHeight="1" thickBot="1" x14ac:dyDescent="0.25">
      <c r="A27" s="5" t="s">
        <v>63</v>
      </c>
      <c r="B27" s="29">
        <f>'Financial Statements'!B27/'Financial Statements'!B$10</f>
        <v>0.20206505915024284</v>
      </c>
      <c r="C27" s="29">
        <f>'Financial Statements'!C27/'Financial Statements'!C$10</f>
        <v>0.17730452082733769</v>
      </c>
      <c r="D27" s="29">
        <f>'Financial Statements'!D27/'Financial Statements'!D$10</f>
        <v>0.14761369236406829</v>
      </c>
      <c r="E27" s="29">
        <f>'Financial Statements'!E27/'Financial Statements'!E$10</f>
        <v>0.16607405359902502</v>
      </c>
      <c r="F27" s="29">
        <f>'Financial Statements'!F27/'Financial Statements'!F$10</f>
        <v>0.1306268842915064</v>
      </c>
      <c r="G27" s="29">
        <f>'Financial Statements'!G27/'Financial Statements'!G$10</f>
        <v>8.4488664165715224E-2</v>
      </c>
      <c r="H27" s="29">
        <f>'Financial Statements'!H27/'Financial Statements'!H$10</f>
        <v>9.7347910236961863E-2</v>
      </c>
      <c r="I27" s="29">
        <f>'Financial Statements'!I27/'Financial Statements'!I$10</f>
        <v>0.12425243680819428</v>
      </c>
      <c r="J27" s="29">
        <f>'Financial Statements'!J27/'Financial Statements'!J$10</f>
        <v>0.15229550598124797</v>
      </c>
      <c r="K27" s="29">
        <f>'Financial Statements'!K27/'Financial Statements'!K$10</f>
        <v>0.1559766066960942</v>
      </c>
      <c r="L27" s="29">
        <f>'Financial Statements'!L27/'Financial Statements'!L$10</f>
        <v>0.18609609831938995</v>
      </c>
      <c r="M27" s="29">
        <f>'Financial Statements'!M27/'Financial Statements'!M$10</f>
        <v>0.18609609831938995</v>
      </c>
    </row>
    <row r="28" spans="1:13" ht="12.75" customHeight="1" thickTop="1" x14ac:dyDescent="0.2">
      <c r="A28" s="1" t="s">
        <v>52</v>
      </c>
      <c r="B28" s="25">
        <f>'Financial Statements'!B28/'Financial Statements'!B$10</f>
        <v>-5.7254009615737515E-3</v>
      </c>
      <c r="C28" s="25">
        <f>'Financial Statements'!C28/'Financial Statements'!C$10</f>
        <v>-7.8829815187877721E-3</v>
      </c>
      <c r="D28" s="25">
        <f>'Financial Statements'!D28/'Financial Statements'!D$10</f>
        <v>-7.7711368604607084E-3</v>
      </c>
      <c r="E28" s="25">
        <f>'Financial Statements'!E28/'Financial Statements'!E$10</f>
        <v>-9.083941651694287E-3</v>
      </c>
      <c r="F28" s="25">
        <f>'Financial Statements'!F28/'Financial Statements'!F$10</f>
        <v>-2.3287243996257406E-2</v>
      </c>
      <c r="G28" s="25">
        <f>'Financial Statements'!G28/'Financial Statements'!G$10</f>
        <v>-2.3342213523260661E-2</v>
      </c>
      <c r="H28" s="25">
        <f>'Financial Statements'!H28/'Financial Statements'!H$10</f>
        <v>-2.0139143170999633E-2</v>
      </c>
      <c r="I28" s="25">
        <f>'Financial Statements'!I28/'Financial Statements'!I$10</f>
        <v>-2.0089211961011069E-2</v>
      </c>
      <c r="J28" s="25">
        <f>'Financial Statements'!J28/'Financial Statements'!J$10</f>
        <v>-2.5978014872292274E-2</v>
      </c>
      <c r="K28" s="25">
        <f>'Financial Statements'!K28/'Financial Statements'!K$10</f>
        <v>-2.7281564228005036E-2</v>
      </c>
      <c r="L28" s="25">
        <f>'Financial Statements'!L28/'Financial Statements'!L$10</f>
        <v>-2.8651810172503147E-2</v>
      </c>
      <c r="M28" s="25">
        <f>'Financial Statements'!M28/'Financial Statements'!M$10</f>
        <v>-2.8651810172503147E-2</v>
      </c>
    </row>
    <row r="29" spans="1:13" ht="12.75" customHeight="1" x14ac:dyDescent="0.2">
      <c r="A29" s="1" t="s">
        <v>64</v>
      </c>
      <c r="B29" s="25">
        <f>'Financial Statements'!B29/'Financial Statements'!B$10</f>
        <v>8.8083091716519252E-4</v>
      </c>
      <c r="C29" s="25">
        <f>'Financial Statements'!C29/'Financial Statements'!C$10</f>
        <v>1.3513682603636182E-3</v>
      </c>
      <c r="D29" s="25">
        <f>'Financial Statements'!D29/'Financial Statements'!D$10</f>
        <v>0</v>
      </c>
      <c r="E29" s="25">
        <f>'Financial Statements'!E29/'Financial Statements'!E$10</f>
        <v>0</v>
      </c>
      <c r="F29" s="25">
        <f>'Financial Statements'!F29/'Financial Statements'!F$10</f>
        <v>0</v>
      </c>
      <c r="G29" s="25">
        <f>'Financial Statements'!G29/'Financial Statements'!G$10</f>
        <v>0</v>
      </c>
      <c r="H29" s="25">
        <f>'Financial Statements'!H29/'Financial Statements'!H$10</f>
        <v>9.0669735488483195E-4</v>
      </c>
      <c r="I29" s="25">
        <f>'Financial Statements'!I29/'Financial Statements'!I$10</f>
        <v>2.6763588303320668E-3</v>
      </c>
      <c r="J29" s="25">
        <f>'Financial Statements'!J29/'Financial Statements'!J$10</f>
        <v>1.0830908503071451E-2</v>
      </c>
      <c r="K29" s="25">
        <f>'Financial Statements'!K29/'Financial Statements'!K$10</f>
        <v>1.1903813363504533E-2</v>
      </c>
      <c r="L29" s="25">
        <f>'Financial Statements'!L29/'Financial Statements'!L$10</f>
        <v>9.5506033908343817E-3</v>
      </c>
      <c r="M29" s="25">
        <f>'Financial Statements'!M29/'Financial Statements'!M$10</f>
        <v>9.5506033908343817E-3</v>
      </c>
    </row>
    <row r="30" spans="1:13" ht="12.75" customHeight="1" x14ac:dyDescent="0.2">
      <c r="A30" s="5" t="s">
        <v>65</v>
      </c>
      <c r="B30" s="26">
        <f>'Financial Statements'!B30/'Financial Statements'!B$10</f>
        <v>-4.8445700444085587E-3</v>
      </c>
      <c r="C30" s="26">
        <f>'Financial Statements'!C30/'Financial Statements'!C$10</f>
        <v>-6.5316132584241548E-3</v>
      </c>
      <c r="D30" s="26">
        <f>'Financial Statements'!D30/'Financial Statements'!D$10</f>
        <v>-7.7711368604607084E-3</v>
      </c>
      <c r="E30" s="26">
        <f>'Financial Statements'!E30/'Financial Statements'!E$10</f>
        <v>-9.083941651694287E-3</v>
      </c>
      <c r="F30" s="26">
        <f>'Financial Statements'!F30/'Financial Statements'!F$10</f>
        <v>-2.3287243996257406E-2</v>
      </c>
      <c r="G30" s="26">
        <f>'Financial Statements'!G30/'Financial Statements'!G$10</f>
        <v>-2.3342213523260661E-2</v>
      </c>
      <c r="H30" s="26">
        <f>'Financial Statements'!H30/'Financial Statements'!H$10</f>
        <v>-1.9232445816114802E-2</v>
      </c>
      <c r="I30" s="26">
        <f>'Financial Statements'!I30/'Financial Statements'!I$10</f>
        <v>-1.7412853130679001E-2</v>
      </c>
      <c r="J30" s="26">
        <f>'Financial Statements'!J30/'Financial Statements'!J$10</f>
        <v>-1.5147106369220821E-2</v>
      </c>
      <c r="K30" s="26">
        <f>'Financial Statements'!K30/'Financial Statements'!K$10</f>
        <v>-1.5377750864500501E-2</v>
      </c>
      <c r="L30" s="26">
        <f>'Financial Statements'!L30/'Financial Statements'!L$10</f>
        <v>-1.9101206781668763E-2</v>
      </c>
      <c r="M30" s="26">
        <f>'Financial Statements'!M30/'Financial Statements'!M$10</f>
        <v>-1.9101206781668763E-2</v>
      </c>
    </row>
    <row r="31" spans="1:13" ht="12.75" customHeight="1" x14ac:dyDescent="0.2">
      <c r="A31" s="1" t="s">
        <v>163</v>
      </c>
      <c r="B31" s="25">
        <f>'Financial Statements'!B31/'Financial Statements'!B$10</f>
        <v>0</v>
      </c>
      <c r="C31" s="25">
        <f>'Financial Statements'!C31/'Financial Statements'!C$10</f>
        <v>0</v>
      </c>
      <c r="D31" s="25">
        <f>'Financial Statements'!D31/'Financial Statements'!D$10</f>
        <v>0</v>
      </c>
      <c r="E31" s="25">
        <f>'Financial Statements'!E31/'Financial Statements'!E$10</f>
        <v>0</v>
      </c>
      <c r="F31" s="25">
        <f>'Financial Statements'!F31/'Financial Statements'!F$10</f>
        <v>0</v>
      </c>
      <c r="G31" s="25">
        <f>'Financial Statements'!G31/'Financial Statements'!G$10</f>
        <v>0</v>
      </c>
      <c r="H31" s="25">
        <f>'Financial Statements'!H31/'Financial Statements'!H$10</f>
        <v>0</v>
      </c>
      <c r="I31" s="25">
        <f>'Financial Statements'!I31/'Financial Statements'!I$10</f>
        <v>0</v>
      </c>
      <c r="J31" s="25">
        <f>'Financial Statements'!J31/'Financial Statements'!J$10</f>
        <v>0</v>
      </c>
      <c r="K31" s="25">
        <f>'Financial Statements'!K31/'Financial Statements'!K$10</f>
        <v>0</v>
      </c>
      <c r="L31" s="25">
        <f>'Financial Statements'!L31/'Financial Statements'!L$10</f>
        <v>0</v>
      </c>
      <c r="M31" s="25">
        <f>'Financial Statements'!M31/'Financial Statements'!M$10</f>
        <v>0</v>
      </c>
    </row>
    <row r="32" spans="1:13" ht="12.75" customHeight="1" x14ac:dyDescent="0.2">
      <c r="A32" s="1" t="s">
        <v>164</v>
      </c>
      <c r="B32" s="25">
        <f>'Financial Statements'!B32/'Financial Statements'!B$10</f>
        <v>5.4929594695440473E-3</v>
      </c>
      <c r="C32" s="25">
        <f>'Financial Statements'!C32/'Financial Statements'!C$10</f>
        <v>-1.801824347151491E-3</v>
      </c>
      <c r="D32" s="25">
        <f>'Financial Statements'!D32/'Financial Statements'!D$10</f>
        <v>0</v>
      </c>
      <c r="E32" s="25">
        <f>'Financial Statements'!E32/'Financial Statements'!E$10</f>
        <v>-5.4528778379465013E-3</v>
      </c>
      <c r="F32" s="25">
        <f>'Financial Statements'!F32/'Financial Statements'!F$10</f>
        <v>-2.42575458294348E-4</v>
      </c>
      <c r="G32" s="25">
        <f>'Financial Statements'!G32/'Financial Statements'!G$10</f>
        <v>-2.1747403903659001E-4</v>
      </c>
      <c r="H32" s="25">
        <f>'Financial Statements'!H32/'Financial Statements'!H$10</f>
        <v>-1.7436487593939078E-5</v>
      </c>
      <c r="I32" s="25">
        <f>'Financial Statements'!I32/'Financial Statements'!I$10</f>
        <v>8.2603667602841567E-3</v>
      </c>
      <c r="J32" s="25">
        <f>'Financial Statements'!J32/'Financial Statements'!J$10</f>
        <v>-1.1154219204655674E-3</v>
      </c>
      <c r="K32" s="25">
        <f>'Financial Statements'!K32/'Financial Statements'!K$10</f>
        <v>3.1870986247669437E-4</v>
      </c>
      <c r="L32" s="25">
        <f>'Financial Statements'!L32/'Financial Statements'!L$10</f>
        <v>-3.6129414377730068E-3</v>
      </c>
      <c r="M32" s="25">
        <f>'Financial Statements'!M32/'Financial Statements'!M$10</f>
        <v>-3.6129414377730068E-3</v>
      </c>
    </row>
    <row r="33" spans="1:13" ht="12.75" customHeight="1" x14ac:dyDescent="0.2">
      <c r="A33" s="1" t="s">
        <v>127</v>
      </c>
      <c r="B33" s="25">
        <f>'Financial Statements'!B33/'Financial Statements'!B$10</f>
        <v>3.0462069218629576E-3</v>
      </c>
      <c r="C33" s="25">
        <f>'Financial Statements'!C33/'Financial Statements'!C$10</f>
        <v>-9.885008571178318E-4</v>
      </c>
      <c r="D33" s="25">
        <f>'Financial Statements'!D33/'Financial Statements'!D$10</f>
        <v>4.2077863000543345E-3</v>
      </c>
      <c r="E33" s="25">
        <f>'Financial Statements'!E33/'Financial Statements'!E$10</f>
        <v>-9.0336847130957024E-3</v>
      </c>
      <c r="F33" s="25">
        <f>'Financial Statements'!F33/'Financial Statements'!F$10</f>
        <v>4.5569532522438229E-3</v>
      </c>
      <c r="G33" s="25">
        <f>'Financial Statements'!G33/'Financial Statements'!G$10</f>
        <v>-1.4317040903242175E-2</v>
      </c>
      <c r="H33" s="25">
        <f>'Financial Statements'!H33/'Financial Statements'!H$10</f>
        <v>3.9232097086362924E-3</v>
      </c>
      <c r="I33" s="25">
        <f>'Financial Statements'!I33/'Financial Statements'!I$10</f>
        <v>1.7016355526185362E-3</v>
      </c>
      <c r="J33" s="25">
        <f>'Financial Statements'!J33/'Financial Statements'!J$10</f>
        <v>3.8150662786938247E-3</v>
      </c>
      <c r="K33" s="25">
        <f>'Financial Statements'!K33/'Financial Statements'!K$10</f>
        <v>4.3663251159307128E-3</v>
      </c>
      <c r="L33" s="25">
        <f>'Financial Statements'!L33/'Financial Statements'!L$10</f>
        <v>1.8508921300066632E-3</v>
      </c>
      <c r="M33" s="25">
        <f>'Financial Statements'!M33/'Financial Statements'!M$10</f>
        <v>1.8508921300066632E-3</v>
      </c>
    </row>
    <row r="34" spans="1:13" ht="12.75" customHeight="1" x14ac:dyDescent="0.2">
      <c r="A34" s="5" t="s">
        <v>66</v>
      </c>
      <c r="B34" s="26">
        <f>'Financial Statements'!B34/'Financial Statements'!B$10</f>
        <v>0.20575965549724129</v>
      </c>
      <c r="C34" s="26">
        <f>'Financial Statements'!C34/'Financial Statements'!C$10</f>
        <v>0.1679825823646442</v>
      </c>
      <c r="D34" s="26">
        <f>'Financial Statements'!D34/'Financial Statements'!D$10</f>
        <v>0.14405034180366191</v>
      </c>
      <c r="E34" s="26">
        <f>'Financial Statements'!E34/'Financial Statements'!E$10</f>
        <v>0.14250354939628854</v>
      </c>
      <c r="F34" s="26">
        <f>'Financial Statements'!F34/'Financial Statements'!F$10</f>
        <v>0.11165401808919846</v>
      </c>
      <c r="G34" s="26">
        <f>'Financial Statements'!G34/'Financial Statements'!G$10</f>
        <v>4.6611935700175793E-2</v>
      </c>
      <c r="H34" s="26">
        <f>'Financial Statements'!H34/'Financial Statements'!H$10</f>
        <v>8.2021237641889413E-2</v>
      </c>
      <c r="I34" s="26">
        <f>'Financial Statements'!I34/'Financial Statements'!I$10</f>
        <v>0.11680158599041797</v>
      </c>
      <c r="J34" s="26">
        <f>'Financial Statements'!J34/'Financial Statements'!J$10</f>
        <v>0.13984804397025541</v>
      </c>
      <c r="K34" s="26">
        <f>'Financial Statements'!K34/'Financial Statements'!K$10</f>
        <v>0.14528389081000112</v>
      </c>
      <c r="L34" s="26">
        <f>'Financial Statements'!L34/'Financial Statements'!L$10</f>
        <v>0.16523284222995485</v>
      </c>
      <c r="M34" s="26">
        <f>'Financial Statements'!M34/'Financial Statements'!M$10</f>
        <v>0.16523284222995485</v>
      </c>
    </row>
    <row r="35" spans="1:13" ht="12.75" customHeight="1" x14ac:dyDescent="0.2">
      <c r="A35" s="1" t="s">
        <v>165</v>
      </c>
      <c r="B35" s="25">
        <f>'Financial Statements'!B35/'Financial Statements'!B$10</f>
        <v>-7.1812187274439996E-3</v>
      </c>
      <c r="C35" s="25">
        <f>'Financial Statements'!C35/'Financial Statements'!C$10</f>
        <v>-1.2988150502383663E-2</v>
      </c>
      <c r="D35" s="25">
        <f>'Financial Statements'!D35/'Financial Statements'!D$10</f>
        <v>0</v>
      </c>
      <c r="E35" s="25">
        <f>'Financial Statements'!E35/'Financial Statements'!E$10</f>
        <v>0</v>
      </c>
      <c r="F35" s="25">
        <f>'Financial Statements'!F35/'Financial Statements'!F$10</f>
        <v>0</v>
      </c>
      <c r="G35" s="25">
        <f>'Financial Statements'!G35/'Financial Statements'!G$10</f>
        <v>0</v>
      </c>
      <c r="H35" s="25">
        <f>'Financial Statements'!H35/'Financial Statements'!H$10</f>
        <v>0</v>
      </c>
      <c r="I35" s="25">
        <f>'Financial Statements'!I35/'Financial Statements'!I$10</f>
        <v>0</v>
      </c>
      <c r="J35" s="25">
        <f>'Financial Statements'!J35/'Financial Statements'!J$10</f>
        <v>0</v>
      </c>
      <c r="K35" s="25">
        <f>'Financial Statements'!K35/'Financial Statements'!K$10</f>
        <v>-1.1091103214188963E-2</v>
      </c>
      <c r="L35" s="25">
        <f>'Financial Statements'!L35/'Financial Statements'!L$10</f>
        <v>-9.9207818168357154E-3</v>
      </c>
      <c r="M35" s="25">
        <f>'Financial Statements'!M35/'Financial Statements'!M$10</f>
        <v>-9.9207818168357154E-3</v>
      </c>
    </row>
    <row r="36" spans="1:13" ht="12.75" customHeight="1" x14ac:dyDescent="0.2">
      <c r="A36" s="1" t="s">
        <v>128</v>
      </c>
      <c r="B36" s="25">
        <f>'Financial Statements'!B36/'Financial Statements'!B$10</f>
        <v>-3.1807783119854174E-4</v>
      </c>
      <c r="C36" s="25">
        <f>'Financial Statements'!C36/'Financial Statements'!C$10</f>
        <v>-6.2563345387204545E-5</v>
      </c>
      <c r="D36" s="25">
        <f>'Financial Statements'!D36/'Financial Statements'!D$10</f>
        <v>0</v>
      </c>
      <c r="E36" s="25">
        <f>'Financial Statements'!E36/'Financial Statements'!E$10</f>
        <v>0</v>
      </c>
      <c r="F36" s="25">
        <f>'Financial Statements'!F36/'Financial Statements'!F$10</f>
        <v>0</v>
      </c>
      <c r="G36" s="25">
        <f>'Financial Statements'!G36/'Financial Statements'!G$10</f>
        <v>0</v>
      </c>
      <c r="H36" s="25">
        <f>'Financial Statements'!H36/'Financial Statements'!H$10</f>
        <v>0</v>
      </c>
      <c r="I36" s="25">
        <f>'Financial Statements'!I36/'Financial Statements'!I$10</f>
        <v>0</v>
      </c>
      <c r="J36" s="25">
        <f>'Financial Statements'!J36/'Financial Statements'!J$10</f>
        <v>0</v>
      </c>
      <c r="K36" s="25">
        <f>'Financial Statements'!K36/'Financial Statements'!K$10</f>
        <v>-1.9600656542316701E-3</v>
      </c>
      <c r="L36" s="25">
        <f>'Financial Statements'!L36/'Financial Statements'!L$10</f>
        <v>-2.2654919671281559E-3</v>
      </c>
      <c r="M36" s="25">
        <f>'Financial Statements'!M36/'Financial Statements'!M$10</f>
        <v>-2.2654919671281559E-3</v>
      </c>
    </row>
    <row r="37" spans="1:13" ht="12.75" customHeight="1" x14ac:dyDescent="0.2">
      <c r="A37" s="1" t="s">
        <v>67</v>
      </c>
      <c r="B37" s="25">
        <f>'Financial Statements'!B37/'Financial Statements'!B$10</f>
        <v>0</v>
      </c>
      <c r="C37" s="25">
        <f>'Financial Statements'!C37/'Financial Statements'!C$10</f>
        <v>0</v>
      </c>
      <c r="D37" s="25">
        <f>'Financial Statements'!D37/'Financial Statements'!D$10</f>
        <v>0</v>
      </c>
      <c r="E37" s="25">
        <f>'Financial Statements'!E37/'Financial Statements'!E$10</f>
        <v>0</v>
      </c>
      <c r="F37" s="25">
        <f>'Financial Statements'!F37/'Financial Statements'!F$10</f>
        <v>0</v>
      </c>
      <c r="G37" s="25">
        <f>'Financial Statements'!G37/'Financial Statements'!G$10</f>
        <v>0</v>
      </c>
      <c r="H37" s="25">
        <f>'Financial Statements'!H37/'Financial Statements'!H$10</f>
        <v>0</v>
      </c>
      <c r="I37" s="25">
        <f>'Financial Statements'!I37/'Financial Statements'!I$10</f>
        <v>0</v>
      </c>
      <c r="J37" s="25">
        <f>'Financial Statements'!J37/'Financial Statements'!J$10</f>
        <v>0</v>
      </c>
      <c r="K37" s="25">
        <f>'Financial Statements'!K37/'Financial Statements'!K$10</f>
        <v>0</v>
      </c>
      <c r="L37" s="25">
        <f>'Financial Statements'!L37/'Financial Statements'!L$10</f>
        <v>0</v>
      </c>
      <c r="M37" s="25">
        <f>'Financial Statements'!M37/'Financial Statements'!M$10</f>
        <v>0</v>
      </c>
    </row>
    <row r="38" spans="1:13" ht="12.75" customHeight="1" x14ac:dyDescent="0.2">
      <c r="A38" s="1" t="s">
        <v>68</v>
      </c>
      <c r="B38" s="25">
        <f>'Financial Statements'!B38/'Financial Statements'!B$10</f>
        <v>-5.749868487050562E-4</v>
      </c>
      <c r="C38" s="25">
        <f>'Financial Statements'!C38/'Financial Statements'!C$10</f>
        <v>-2.8779138878114093E-4</v>
      </c>
      <c r="D38" s="25">
        <f>'Financial Statements'!D38/'Financial Statements'!D$10</f>
        <v>0</v>
      </c>
      <c r="E38" s="25">
        <f>'Financial Statements'!E38/'Financial Statements'!E$10</f>
        <v>0</v>
      </c>
      <c r="F38" s="25">
        <f>'Financial Statements'!F38/'Financial Statements'!F$10</f>
        <v>0</v>
      </c>
      <c r="G38" s="25">
        <f>'Financial Statements'!G38/'Financial Statements'!G$10</f>
        <v>0</v>
      </c>
      <c r="H38" s="25">
        <f>'Financial Statements'!H38/'Financial Statements'!H$10</f>
        <v>2.3190528499938971E-3</v>
      </c>
      <c r="I38" s="25">
        <f>'Financial Statements'!I38/'Financial Statements'!I$10</f>
        <v>-4.5927639187179911E-3</v>
      </c>
      <c r="J38" s="25">
        <f>'Financial Statements'!J38/'Financial Statements'!J$10</f>
        <v>6.3045586808923378E-4</v>
      </c>
      <c r="K38" s="25">
        <f>'Financial Statements'!K38/'Financial Statements'!K$10</f>
        <v>3.1870986247669437E-4</v>
      </c>
      <c r="L38" s="25">
        <f>'Financial Statements'!L38/'Financial Statements'!L$10</f>
        <v>-1.0364995928037314E-4</v>
      </c>
      <c r="M38" s="25">
        <f>'Financial Statements'!M38/'Financial Statements'!M$10</f>
        <v>-1.0364995928037314E-4</v>
      </c>
    </row>
    <row r="39" spans="1:13" ht="12.75" customHeight="1" x14ac:dyDescent="0.2">
      <c r="A39" s="1" t="s">
        <v>69</v>
      </c>
      <c r="B39" s="25">
        <f>'Financial Statements'!B39/'Financial Statements'!B$10</f>
        <v>1.5903891559927087E-4</v>
      </c>
      <c r="C39" s="25">
        <f>'Financial Statements'!C39/'Financial Statements'!C$10</f>
        <v>3.3784206509090454E-4</v>
      </c>
      <c r="D39" s="25">
        <f>'Financial Statements'!D39/'Financial Statements'!D$10</f>
        <v>0</v>
      </c>
      <c r="E39" s="25">
        <f>'Financial Statements'!E39/'Financial Statements'!E$10</f>
        <v>0</v>
      </c>
      <c r="F39" s="25">
        <f>'Financial Statements'!F39/'Financial Statements'!F$10</f>
        <v>1.320303565859237E-2</v>
      </c>
      <c r="G39" s="25">
        <f>'Financial Statements'!G39/'Financial Statements'!G$10</f>
        <v>0</v>
      </c>
      <c r="H39" s="25">
        <f>'Financial Statements'!H39/'Financial Statements'!H$10</f>
        <v>0</v>
      </c>
      <c r="I39" s="25">
        <f>'Financial Statements'!I39/'Financial Statements'!I$10</f>
        <v>4.2623492483066247E-3</v>
      </c>
      <c r="J39" s="25">
        <f>'Financial Statements'!J39/'Financial Statements'!J$10</f>
        <v>0</v>
      </c>
      <c r="K39" s="25">
        <f>'Financial Statements'!K39/'Financial Statements'!K$10</f>
        <v>9.4338119293101517E-3</v>
      </c>
      <c r="L39" s="25">
        <f>'Financial Statements'!L39/'Financial Statements'!L$10</f>
        <v>0</v>
      </c>
      <c r="M39" s="25">
        <f>'Financial Statements'!M39/'Financial Statements'!M$10</f>
        <v>0</v>
      </c>
    </row>
    <row r="40" spans="1:13" ht="12.75" customHeight="1" x14ac:dyDescent="0.2">
      <c r="A40" s="1" t="s">
        <v>166</v>
      </c>
      <c r="B40" s="25">
        <f>'Financial Statements'!B40/'Financial Statements'!B$10</f>
        <v>0</v>
      </c>
      <c r="C40" s="25">
        <f>'Financial Statements'!C40/'Financial Statements'!C$10</f>
        <v>0</v>
      </c>
      <c r="D40" s="25">
        <f>'Financial Statements'!D40/'Financial Statements'!D$10</f>
        <v>0</v>
      </c>
      <c r="E40" s="25">
        <f>'Financial Statements'!E40/'Financial Statements'!E$10</f>
        <v>0</v>
      </c>
      <c r="F40" s="25">
        <f>'Financial Statements'!F40/'Financial Statements'!F$10</f>
        <v>0</v>
      </c>
      <c r="G40" s="25">
        <f>'Financial Statements'!G40/'Financial Statements'!G$10</f>
        <v>0</v>
      </c>
      <c r="H40" s="25">
        <f>'Financial Statements'!H40/'Financial Statements'!H$10</f>
        <v>0</v>
      </c>
      <c r="I40" s="25">
        <f>'Financial Statements'!I40/'Financial Statements'!I$10</f>
        <v>0</v>
      </c>
      <c r="J40" s="25">
        <f>'Financial Statements'!J40/'Financial Statements'!J$10</f>
        <v>0</v>
      </c>
      <c r="K40" s="25">
        <f>'Financial Statements'!K40/'Financial Statements'!K$10</f>
        <v>0</v>
      </c>
      <c r="L40" s="25">
        <f>'Financial Statements'!L40/'Financial Statements'!L$10</f>
        <v>0</v>
      </c>
      <c r="M40" s="25">
        <f>'Financial Statements'!M40/'Financial Statements'!M$10</f>
        <v>0</v>
      </c>
    </row>
    <row r="41" spans="1:13" ht="12.75" customHeight="1" x14ac:dyDescent="0.2">
      <c r="A41" s="1" t="s">
        <v>278</v>
      </c>
      <c r="B41" s="25">
        <f>'Financial Statements'!B41/'Financial Statements'!B$10</f>
        <v>0</v>
      </c>
      <c r="C41" s="25">
        <f>'Financial Statements'!C41/'Financial Statements'!C$10</f>
        <v>0</v>
      </c>
      <c r="D41" s="25">
        <f>'Financial Statements'!D41/'Financial Statements'!D$10</f>
        <v>0</v>
      </c>
      <c r="E41" s="25">
        <f>'Financial Statements'!E41/'Financial Statements'!E$10</f>
        <v>0</v>
      </c>
      <c r="F41" s="25">
        <f>'Financial Statements'!F41/'Financial Statements'!F$10</f>
        <v>0</v>
      </c>
      <c r="G41" s="25">
        <f>'Financial Statements'!G41/'Financial Statements'!G$10</f>
        <v>0</v>
      </c>
      <c r="H41" s="25">
        <f>'Financial Statements'!H41/'Financial Statements'!H$10</f>
        <v>0</v>
      </c>
      <c r="I41" s="25">
        <f>'Financial Statements'!I41/'Financial Statements'!I$10</f>
        <v>0</v>
      </c>
      <c r="J41" s="25">
        <f>'Financial Statements'!J41/'Financial Statements'!J$10</f>
        <v>0</v>
      </c>
      <c r="K41" s="25">
        <f>'Financial Statements'!K41/'Financial Statements'!K$10</f>
        <v>0</v>
      </c>
      <c r="L41" s="25">
        <f>'Financial Statements'!L41/'Financial Statements'!L$10</f>
        <v>0</v>
      </c>
      <c r="M41" s="25">
        <f>'Financial Statements'!M41/'Financial Statements'!M$10</f>
        <v>0</v>
      </c>
    </row>
    <row r="42" spans="1:13" ht="12.75" customHeight="1" x14ac:dyDescent="0.2">
      <c r="A42" s="1" t="s">
        <v>167</v>
      </c>
      <c r="B42" s="25">
        <f>'Financial Statements'!B42/'Financial Statements'!B$10</f>
        <v>0</v>
      </c>
      <c r="C42" s="25">
        <f>'Financial Statements'!C42/'Financial Statements'!C$10</f>
        <v>0</v>
      </c>
      <c r="D42" s="25">
        <f>'Financial Statements'!D42/'Financial Statements'!D$10</f>
        <v>0</v>
      </c>
      <c r="E42" s="25">
        <f>'Financial Statements'!E42/'Financial Statements'!E$10</f>
        <v>0</v>
      </c>
      <c r="F42" s="25">
        <f>'Financial Statements'!F42/'Financial Statements'!F$10</f>
        <v>0</v>
      </c>
      <c r="G42" s="25">
        <f>'Financial Statements'!G42/'Financial Statements'!G$10</f>
        <v>0</v>
      </c>
      <c r="H42" s="25">
        <f>'Financial Statements'!H42/'Financial Statements'!H$10</f>
        <v>0</v>
      </c>
      <c r="I42" s="25">
        <f>'Financial Statements'!I42/'Financial Statements'!I$10</f>
        <v>0</v>
      </c>
      <c r="J42" s="25">
        <f>'Financial Statements'!J42/'Financial Statements'!J$10</f>
        <v>0</v>
      </c>
      <c r="K42" s="25">
        <f>'Financial Statements'!K42/'Financial Statements'!K$10</f>
        <v>0</v>
      </c>
      <c r="L42" s="25">
        <f>'Financial Statements'!L42/'Financial Statements'!L$10</f>
        <v>0</v>
      </c>
      <c r="M42" s="25">
        <f>'Financial Statements'!M42/'Financial Statements'!M$10</f>
        <v>0</v>
      </c>
    </row>
    <row r="43" spans="1:13" ht="12.75" customHeight="1" x14ac:dyDescent="0.2">
      <c r="A43" s="1" t="s">
        <v>168</v>
      </c>
      <c r="B43" s="25">
        <f>'Financial Statements'!B43/'Financial Statements'!B$10</f>
        <v>-2.8504667180484704E-3</v>
      </c>
      <c r="C43" s="25">
        <f>'Financial Statements'!C43/'Financial Statements'!C$10</f>
        <v>-7.0070946833669092E-4</v>
      </c>
      <c r="D43" s="25">
        <f>'Financial Statements'!D43/'Financial Statements'!D$10</f>
        <v>0</v>
      </c>
      <c r="E43" s="25">
        <f>'Financial Statements'!E43/'Financial Statements'!E$10</f>
        <v>0</v>
      </c>
      <c r="F43" s="25">
        <f>'Financial Statements'!F43/'Financial Statements'!F$10</f>
        <v>0</v>
      </c>
      <c r="G43" s="25">
        <f>'Financial Statements'!G43/'Financial Statements'!G$10</f>
        <v>0</v>
      </c>
      <c r="H43" s="25">
        <f>'Financial Statements'!H43/'Financial Statements'!H$10</f>
        <v>0</v>
      </c>
      <c r="I43" s="25">
        <f>'Financial Statements'!I43/'Financial Statements'!I$10</f>
        <v>0</v>
      </c>
      <c r="J43" s="25">
        <f>'Financial Statements'!J43/'Financial Statements'!J$10</f>
        <v>0</v>
      </c>
      <c r="K43" s="25">
        <f>'Financial Statements'!K43/'Financial Statements'!K$10</f>
        <v>0</v>
      </c>
      <c r="L43" s="25">
        <f>'Financial Statements'!L43/'Financial Statements'!L$10</f>
        <v>0</v>
      </c>
      <c r="M43" s="25">
        <f>'Financial Statements'!M43/'Financial Statements'!M$10</f>
        <v>0</v>
      </c>
    </row>
    <row r="44" spans="1:13" ht="12.75" customHeight="1" x14ac:dyDescent="0.2">
      <c r="A44" s="1" t="s">
        <v>129</v>
      </c>
      <c r="B44" s="27">
        <f>'Financial Statements'!B44/'Financial Statements'!B$10</f>
        <v>7.340257643043271E-5</v>
      </c>
      <c r="C44" s="27">
        <f>'Financial Statements'!C44/'Financial Statements'!C$10</f>
        <v>0</v>
      </c>
      <c r="D44" s="27">
        <f>'Financial Statements'!D44/'Financial Statements'!D$10</f>
        <v>0</v>
      </c>
      <c r="E44" s="27">
        <f>'Financial Statements'!E44/'Financial Statements'!E$10</f>
        <v>0</v>
      </c>
      <c r="F44" s="27">
        <f>'Financial Statements'!F44/'Financial Statements'!F$10</f>
        <v>0</v>
      </c>
      <c r="G44" s="27">
        <f>'Financial Statements'!G44/'Financial Statements'!G$10</f>
        <v>0</v>
      </c>
      <c r="H44" s="27">
        <f>'Financial Statements'!H44/'Financial Statements'!H$10</f>
        <v>0</v>
      </c>
      <c r="I44" s="27">
        <f>'Financial Statements'!I44/'Financial Statements'!I$10</f>
        <v>-9.7373203370229644E-2</v>
      </c>
      <c r="J44" s="27">
        <f>'Financial Statements'!J44/'Financial Statements'!J$10</f>
        <v>0</v>
      </c>
      <c r="K44" s="27">
        <f>'Financial Statements'!K44/'Financial Statements'!K$10</f>
        <v>-4.9607190094497475E-2</v>
      </c>
      <c r="L44" s="27">
        <f>'Financial Statements'!L44/'Financial Statements'!L$10</f>
        <v>0</v>
      </c>
      <c r="M44" s="27">
        <f>'Financial Statements'!M44/'Financial Statements'!M$10</f>
        <v>0</v>
      </c>
    </row>
    <row r="45" spans="1:13" ht="12.75" customHeight="1" x14ac:dyDescent="0.2">
      <c r="A45" s="5" t="s">
        <v>70</v>
      </c>
      <c r="B45" s="26">
        <f>'Financial Statements'!B45/'Financial Statements'!B$10</f>
        <v>0.19506734686387492</v>
      </c>
      <c r="C45" s="26">
        <f>'Financial Statements'!C45/'Financial Statements'!C$10</f>
        <v>0.15428120972484641</v>
      </c>
      <c r="D45" s="26">
        <f>'Financial Statements'!D45/'Financial Statements'!D$10</f>
        <v>0.14405034180366191</v>
      </c>
      <c r="E45" s="26">
        <f>'Financial Statements'!E45/'Financial Statements'!E$10</f>
        <v>0.14250354939628854</v>
      </c>
      <c r="F45" s="26">
        <f>'Financial Statements'!F45/'Financial Statements'!F$10</f>
        <v>0.12485705374779082</v>
      </c>
      <c r="G45" s="26">
        <f>'Financial Statements'!G45/'Financial Statements'!G$10</f>
        <v>4.6611935700175793E-2</v>
      </c>
      <c r="H45" s="26">
        <f>'Financial Statements'!H45/'Financial Statements'!H$10</f>
        <v>8.434029049188331E-2</v>
      </c>
      <c r="I45" s="26">
        <f>'Financial Statements'!I45/'Financial Statements'!I$10</f>
        <v>1.9097967949776969E-2</v>
      </c>
      <c r="J45" s="26">
        <f>'Financial Statements'!J45/'Financial Statements'!J$10</f>
        <v>0.14047849983834465</v>
      </c>
      <c r="K45" s="26">
        <f>'Financial Statements'!K45/'Financial Statements'!K$10</f>
        <v>9.2378053638869861E-2</v>
      </c>
      <c r="L45" s="26">
        <f>'Financial Statements'!L45/'Financial Statements'!L$10</f>
        <v>0.1529429184867106</v>
      </c>
      <c r="M45" s="26">
        <f>'Financial Statements'!M45/'Financial Statements'!M$10</f>
        <v>0.1529429184867106</v>
      </c>
    </row>
    <row r="46" spans="1:13" ht="12.75" customHeight="1" x14ac:dyDescent="0.2">
      <c r="A46" s="1" t="s">
        <v>71</v>
      </c>
      <c r="B46" s="25">
        <f>'Financial Statements'!B46/'Financial Statements'!B$10</f>
        <v>3.1575341627824473E-2</v>
      </c>
      <c r="C46" s="25">
        <f>'Financial Statements'!C46/'Financial Statements'!C$10</f>
        <v>5.6181884157709685E-3</v>
      </c>
      <c r="D46" s="25">
        <f>'Financial Statements'!D46/'Financial Statements'!D$10</f>
        <v>7.1292283197917583E-2</v>
      </c>
      <c r="E46" s="25">
        <f>'Financial Statements'!E46/'Financial Statements'!E$10</f>
        <v>3.2905730547423705E-2</v>
      </c>
      <c r="F46" s="25">
        <f>'Financial Statements'!F46/'Financial Statements'!F$10</f>
        <v>1.0396091069757771E-3</v>
      </c>
      <c r="G46" s="25">
        <f>'Financial Statements'!G46/'Financial Statements'!G$10</f>
        <v>-2.46470577574802E-2</v>
      </c>
      <c r="H46" s="25">
        <f>'Financial Statements'!H46/'Financial Statements'!H$10</f>
        <v>2.1621244616484457E-3</v>
      </c>
      <c r="I46" s="25">
        <f>'Financial Statements'!I46/'Financial Statements'!I$10</f>
        <v>-1.0341979183875765E-2</v>
      </c>
      <c r="J46" s="25">
        <f>'Financial Statements'!J46/'Financial Statements'!J$10</f>
        <v>1.9010669253152278E-2</v>
      </c>
      <c r="K46" s="25">
        <f>'Financial Statements'!K46/'Financial Statements'!K$10</f>
        <v>-3.4739375009959685E-3</v>
      </c>
      <c r="L46" s="25">
        <f>'Financial Statements'!L46/'Financial Statements'!L$10</f>
        <v>-3.5833271636928998E-3</v>
      </c>
      <c r="M46" s="25">
        <f>'Financial Statements'!M46/'Financial Statements'!M$10</f>
        <v>-3.5833271636928998E-3</v>
      </c>
    </row>
    <row r="47" spans="1:13" ht="12.75" customHeight="1" x14ac:dyDescent="0.2">
      <c r="A47" s="5" t="s">
        <v>72</v>
      </c>
      <c r="B47" s="26">
        <f>'Financial Statements'!B47/'Financial Statements'!B$10</f>
        <v>0.16349200523605045</v>
      </c>
      <c r="C47" s="26">
        <f>'Financial Statements'!C47/'Financial Statements'!C$10</f>
        <v>0.14866302130907544</v>
      </c>
      <c r="D47" s="26">
        <f>'Financial Statements'!D47/'Financial Statements'!D$10</f>
        <v>7.275805860574433E-2</v>
      </c>
      <c r="E47" s="26">
        <f>'Financial Statements'!E47/'Financial Statements'!E$10</f>
        <v>0.10959781884886483</v>
      </c>
      <c r="F47" s="26">
        <f>'Financial Statements'!F47/'Financial Statements'!F$10</f>
        <v>0.12381744464081505</v>
      </c>
      <c r="G47" s="26">
        <f>'Financial Statements'!G47/'Financial Statements'!G$10</f>
        <v>7.1258993457655989E-2</v>
      </c>
      <c r="H47" s="26">
        <f>'Financial Statements'!H47/'Financial Statements'!H$10</f>
        <v>8.2178166030234867E-2</v>
      </c>
      <c r="I47" s="26">
        <f>'Financial Statements'!I47/'Financial Statements'!I$10</f>
        <v>2.9439947133652736E-2</v>
      </c>
      <c r="J47" s="26">
        <f>'Financial Statements'!J47/'Financial Statements'!J$10</f>
        <v>0.12146783058519237</v>
      </c>
      <c r="K47" s="26">
        <f>'Financial Statements'!K47/'Financial Statements'!K$10</f>
        <v>9.5851991139865825E-2</v>
      </c>
      <c r="L47" s="26">
        <f>'Financial Statements'!L47/'Financial Statements'!L$10</f>
        <v>0.15652624565040349</v>
      </c>
      <c r="M47" s="26">
        <f>'Financial Statements'!M47/'Financial Statements'!M$10</f>
        <v>0.15652624565040349</v>
      </c>
    </row>
    <row r="48" spans="1:13" ht="12.75" customHeight="1" x14ac:dyDescent="0.2">
      <c r="A48" s="1" t="s">
        <v>73</v>
      </c>
      <c r="B48" s="25">
        <f>'Financial Statements'!B48/'Financial Statements'!B$10</f>
        <v>-2.1286747164825487E-3</v>
      </c>
      <c r="C48" s="25">
        <f>'Financial Statements'!C48/'Financial Statements'!C$10</f>
        <v>-1.1261402169696819E-4</v>
      </c>
      <c r="D48" s="25">
        <f>'Financial Statements'!D48/'Financial Statements'!D$10</f>
        <v>-6.3179974475290309E-5</v>
      </c>
      <c r="E48" s="25">
        <f>'Financial Statements'!E48/'Financial Statements'!E$10</f>
        <v>6.2821173248231584E-5</v>
      </c>
      <c r="F48" s="25">
        <f>'Financial Statements'!F48/'Financial Statements'!F$10</f>
        <v>3.9591780157327512E-2</v>
      </c>
      <c r="G48" s="25">
        <f>'Financial Statements'!G48/'Financial Statements'!G$10</f>
        <v>3.0047663060222187E-2</v>
      </c>
      <c r="H48" s="25">
        <f>'Financial Statements'!H48/'Financial Statements'!H$10</f>
        <v>1.795958222175725E-2</v>
      </c>
      <c r="I48" s="25">
        <f>'Financial Statements'!I48/'Financial Statements'!I$10</f>
        <v>-2.3624648934412688E-3</v>
      </c>
      <c r="J48" s="25">
        <f>'Financial Statements'!J48/'Financial Statements'!J$10</f>
        <v>-1.9398642095053346E-4</v>
      </c>
      <c r="K48" s="25">
        <f>'Financial Statements'!K48/'Financial Statements'!K$10</f>
        <v>1.2748394499067774E-4</v>
      </c>
      <c r="L48" s="25">
        <f>'Financial Statements'!L48/'Financial Statements'!L$10</f>
        <v>3.2575701488117272E-4</v>
      </c>
      <c r="M48" s="25">
        <f>'Financial Statements'!M48/'Financial Statements'!M$10</f>
        <v>3.2575701488117272E-4</v>
      </c>
    </row>
    <row r="49" spans="1:13" ht="12.75" customHeight="1" x14ac:dyDescent="0.2">
      <c r="A49" s="1" t="s">
        <v>74</v>
      </c>
      <c r="B49" s="25">
        <f>'Financial Statements'!B49/'Financial Statements'!B$10</f>
        <v>0</v>
      </c>
      <c r="C49" s="25">
        <f>'Financial Statements'!C49/'Financial Statements'!C$10</f>
        <v>0</v>
      </c>
      <c r="D49" s="25">
        <f>'Financial Statements'!D49/'Financial Statements'!D$10</f>
        <v>0</v>
      </c>
      <c r="E49" s="25">
        <f>'Financial Statements'!E49/'Financial Statements'!E$10</f>
        <v>0</v>
      </c>
      <c r="F49" s="25">
        <f>'Financial Statements'!F49/'Financial Statements'!F$10</f>
        <v>0</v>
      </c>
      <c r="G49" s="25">
        <f>'Financial Statements'!G49/'Financial Statements'!G$10</f>
        <v>0</v>
      </c>
      <c r="H49" s="25">
        <f>'Financial Statements'!H49/'Financial Statements'!H$10</f>
        <v>0</v>
      </c>
      <c r="I49" s="25">
        <f>'Financial Statements'!I49/'Financial Statements'!I$10</f>
        <v>0</v>
      </c>
      <c r="J49" s="25">
        <f>'Financial Statements'!J49/'Financial Statements'!J$10</f>
        <v>0</v>
      </c>
      <c r="K49" s="25">
        <f>'Financial Statements'!K49/'Financial Statements'!K$10</f>
        <v>0</v>
      </c>
      <c r="L49" s="25">
        <f>'Financial Statements'!L49/'Financial Statements'!L$10</f>
        <v>0</v>
      </c>
      <c r="M49" s="25">
        <f>'Financial Statements'!M49/'Financial Statements'!M$10</f>
        <v>0</v>
      </c>
    </row>
    <row r="50" spans="1:13" ht="12.75" customHeight="1" x14ac:dyDescent="0.2">
      <c r="A50" s="5" t="s">
        <v>21</v>
      </c>
      <c r="B50" s="30">
        <f>'Financial Statements'!B50/'Financial Statements'!B$10</f>
        <v>0.16136333051956792</v>
      </c>
      <c r="C50" s="30">
        <f>'Financial Statements'!C50/'Financial Statements'!C$10</f>
        <v>0.14855040728737848</v>
      </c>
      <c r="D50" s="30">
        <f>'Financial Statements'!D50/'Financial Statements'!D$10</f>
        <v>7.2694878631269028E-2</v>
      </c>
      <c r="E50" s="30">
        <f>'Financial Statements'!E50/'Financial Statements'!E$10</f>
        <v>0.10966064002211305</v>
      </c>
      <c r="F50" s="30">
        <f>'Financial Statements'!F50/'Financial Statements'!F$10</f>
        <v>0.16340922479814257</v>
      </c>
      <c r="G50" s="30">
        <f>'Financial Statements'!G50/'Financial Statements'!G$10</f>
        <v>0.10130665651787818</v>
      </c>
      <c r="H50" s="30">
        <f>'Financial Statements'!H50/'Financial Statements'!H$10</f>
        <v>0.10013774825199212</v>
      </c>
      <c r="I50" s="30">
        <f>'Financial Statements'!I50/'Financial Statements'!I$10</f>
        <v>2.7077482240211465E-2</v>
      </c>
      <c r="J50" s="30">
        <f>'Financial Statements'!J50/'Financial Statements'!J$10</f>
        <v>0.12127384416424183</v>
      </c>
      <c r="K50" s="30">
        <f>'Financial Statements'!K50/'Financial Statements'!K$10</f>
        <v>9.5979475084856505E-2</v>
      </c>
      <c r="L50" s="30">
        <f>'Financial Statements'!L50/'Financial Statements'!L$10</f>
        <v>0.15685200266528468</v>
      </c>
      <c r="M50" s="30">
        <f>'Financial Statements'!M50/'Financial Statements'!M$10</f>
        <v>0.15685200266528468</v>
      </c>
    </row>
    <row r="51" spans="1:13" ht="12.75" customHeight="1" x14ac:dyDescent="0.2">
      <c r="A51" s="1" t="s">
        <v>169</v>
      </c>
      <c r="B51" s="25">
        <f>'Financial Statements'!B51/'Financial Statements'!B$10</f>
        <v>0</v>
      </c>
      <c r="C51" s="25">
        <f>'Financial Statements'!C51/'Financial Statements'!C$10</f>
        <v>0</v>
      </c>
      <c r="D51" s="25">
        <f>'Financial Statements'!D51/'Financial Statements'!D$10</f>
        <v>0</v>
      </c>
      <c r="E51" s="25">
        <f>'Financial Statements'!E51/'Financial Statements'!E$10</f>
        <v>0</v>
      </c>
      <c r="F51" s="25">
        <f>'Financial Statements'!F51/'Financial Statements'!F$10</f>
        <v>0</v>
      </c>
      <c r="G51" s="25">
        <f>'Financial Statements'!G51/'Financial Statements'!G$10</f>
        <v>0</v>
      </c>
      <c r="H51" s="25">
        <f>'Financial Statements'!H51/'Financial Statements'!H$10</f>
        <v>0</v>
      </c>
      <c r="I51" s="25">
        <f>'Financial Statements'!I51/'Financial Statements'!I$10</f>
        <v>0</v>
      </c>
      <c r="J51" s="25">
        <f>'Financial Statements'!J51/'Financial Statements'!J$10</f>
        <v>0</v>
      </c>
      <c r="K51" s="25">
        <f>'Financial Statements'!K51/'Financial Statements'!K$10</f>
        <v>0</v>
      </c>
      <c r="L51" s="25">
        <f>'Financial Statements'!L51/'Financial Statements'!L$10</f>
        <v>0</v>
      </c>
      <c r="M51" s="25">
        <f>'Financial Statements'!M51/'Financial Statements'!M$10</f>
        <v>0</v>
      </c>
    </row>
    <row r="52" spans="1:13" ht="12.75" customHeight="1" thickBot="1" x14ac:dyDescent="0.25">
      <c r="A52" s="5" t="s">
        <v>22</v>
      </c>
      <c r="B52" s="29">
        <f>'Financial Statements'!B52/'Financial Statements'!B$10</f>
        <v>0.16136333051956792</v>
      </c>
      <c r="C52" s="29">
        <f>'Financial Statements'!C52/'Financial Statements'!C$10</f>
        <v>0.14855040728737848</v>
      </c>
      <c r="D52" s="29">
        <f>'Financial Statements'!D52/'Financial Statements'!D$10</f>
        <v>7.2694878631269028E-2</v>
      </c>
      <c r="E52" s="29">
        <f>'Financial Statements'!E52/'Financial Statements'!E$10</f>
        <v>0.10966064002211305</v>
      </c>
      <c r="F52" s="29">
        <f>'Financial Statements'!F52/'Financial Statements'!F$10</f>
        <v>0.16340922479814257</v>
      </c>
      <c r="G52" s="29">
        <f>'Financial Statements'!G52/'Financial Statements'!G$10</f>
        <v>0.10130665651787818</v>
      </c>
      <c r="H52" s="29">
        <f>'Financial Statements'!H52/'Financial Statements'!H$10</f>
        <v>0.10013774825199212</v>
      </c>
      <c r="I52" s="29">
        <f>'Financial Statements'!I52/'Financial Statements'!I$10</f>
        <v>2.7077482240211465E-2</v>
      </c>
      <c r="J52" s="29">
        <f>'Financial Statements'!J52/'Financial Statements'!J$10</f>
        <v>0.12127384416424183</v>
      </c>
      <c r="K52" s="29">
        <f>'Financial Statements'!K52/'Financial Statements'!K$10</f>
        <v>9.5979475084856505E-2</v>
      </c>
      <c r="L52" s="29">
        <f>'Financial Statements'!L52/'Financial Statements'!L$10</f>
        <v>0.15685200266528468</v>
      </c>
      <c r="M52" s="29">
        <f>'Financial Statements'!M52/'Financial Statements'!M$10</f>
        <v>0.15685200266528468</v>
      </c>
    </row>
    <row r="53" spans="1:13" ht="12.75" customHeight="1" thickTop="1" x14ac:dyDescent="0.2">
      <c r="A53" s="1" t="s">
        <v>75</v>
      </c>
      <c r="B53" s="25">
        <f>'Financial Statements'!B53/'Financial Statements'!B$10</f>
        <v>0</v>
      </c>
      <c r="C53" s="25">
        <f>'Financial Statements'!C53/'Financial Statements'!C$10</f>
        <v>0</v>
      </c>
      <c r="D53" s="25">
        <f>'Financial Statements'!D53/'Financial Statements'!D$10</f>
        <v>0</v>
      </c>
      <c r="E53" s="25">
        <f>'Financial Statements'!E53/'Financial Statements'!E$10</f>
        <v>0</v>
      </c>
      <c r="F53" s="25">
        <f>'Financial Statements'!F53/'Financial Statements'!F$10</f>
        <v>0</v>
      </c>
      <c r="G53" s="25">
        <f>'Financial Statements'!G53/'Financial Statements'!G$10</f>
        <v>0</v>
      </c>
      <c r="H53" s="25">
        <f>'Financial Statements'!H53/'Financial Statements'!H$10</f>
        <v>0</v>
      </c>
      <c r="I53" s="25">
        <f>'Financial Statements'!I53/'Financial Statements'!I$10</f>
        <v>0</v>
      </c>
      <c r="J53" s="25">
        <f>'Financial Statements'!J53/'Financial Statements'!J$10</f>
        <v>0</v>
      </c>
      <c r="K53" s="25">
        <f>'Financial Statements'!K53/'Financial Statements'!K$10</f>
        <v>0</v>
      </c>
      <c r="L53" s="25">
        <f>'Financial Statements'!L53/'Financial Statements'!L$10</f>
        <v>0</v>
      </c>
      <c r="M53" s="25">
        <f>'Financial Statements'!M53/'Financial Statements'!M$10</f>
        <v>0</v>
      </c>
    </row>
    <row r="54" spans="1:13" ht="12.75" customHeight="1" x14ac:dyDescent="0.2">
      <c r="A54" s="5" t="s">
        <v>76</v>
      </c>
      <c r="B54" s="28">
        <f>'Financial Statements'!B54/'Financial Statements'!B$10</f>
        <v>0.16136333051956792</v>
      </c>
      <c r="C54" s="28">
        <f>'Financial Statements'!C54/'Financial Statements'!C$10</f>
        <v>0.14855040728737848</v>
      </c>
      <c r="D54" s="28">
        <f>'Financial Statements'!D54/'Financial Statements'!D$10</f>
        <v>7.2694878631269028E-2</v>
      </c>
      <c r="E54" s="28">
        <f>'Financial Statements'!E54/'Financial Statements'!E$10</f>
        <v>0.10966064002211305</v>
      </c>
      <c r="F54" s="28">
        <f>'Financial Statements'!F54/'Financial Statements'!F$10</f>
        <v>0.16340922479814257</v>
      </c>
      <c r="G54" s="28">
        <f>'Financial Statements'!G54/'Financial Statements'!G$10</f>
        <v>0.10130665651787818</v>
      </c>
      <c r="H54" s="28">
        <f>'Financial Statements'!H54/'Financial Statements'!H$10</f>
        <v>0.10013774825199212</v>
      </c>
      <c r="I54" s="28">
        <f>'Financial Statements'!I54/'Financial Statements'!I$10</f>
        <v>2.7077482240211465E-2</v>
      </c>
      <c r="J54" s="28">
        <f>'Financial Statements'!J54/'Financial Statements'!J$10</f>
        <v>0.12127384416424183</v>
      </c>
      <c r="K54" s="28">
        <f>'Financial Statements'!K54/'Financial Statements'!K$10</f>
        <v>9.5979475084856505E-2</v>
      </c>
      <c r="L54" s="28">
        <f>'Financial Statements'!L54/'Financial Statements'!L$10</f>
        <v>0.15685200266528468</v>
      </c>
      <c r="M54" s="28">
        <f>'Financial Statements'!M54/'Financial Statements'!M$10</f>
        <v>0.15685200266528468</v>
      </c>
    </row>
    <row r="55" spans="1:13" ht="12.75" customHeight="1" x14ac:dyDescent="0.2">
      <c r="A55" s="5" t="s">
        <v>77</v>
      </c>
      <c r="B55" s="28">
        <f>'Financial Statements'!B55/'Financial Statements'!B$10</f>
        <v>0.16349200523605045</v>
      </c>
      <c r="C55" s="28">
        <f>'Financial Statements'!C55/'Financial Statements'!C$10</f>
        <v>0.14866302130907544</v>
      </c>
      <c r="D55" s="28">
        <f>'Financial Statements'!D55/'Financial Statements'!D$10</f>
        <v>7.275805860574433E-2</v>
      </c>
      <c r="E55" s="28">
        <f>'Financial Statements'!E55/'Financial Statements'!E$10</f>
        <v>0.10959781884886483</v>
      </c>
      <c r="F55" s="28">
        <f>'Financial Statements'!F55/'Financial Statements'!F$10</f>
        <v>0.12381744464081505</v>
      </c>
      <c r="G55" s="28">
        <f>'Financial Statements'!G55/'Financial Statements'!G$10</f>
        <v>7.1258993457655989E-2</v>
      </c>
      <c r="H55" s="28">
        <f>'Financial Statements'!H55/'Financial Statements'!H$10</f>
        <v>8.2178166030234867E-2</v>
      </c>
      <c r="I55" s="28">
        <f>'Financial Statements'!I55/'Financial Statements'!I$10</f>
        <v>2.9439947133652736E-2</v>
      </c>
      <c r="J55" s="28">
        <f>'Financial Statements'!J55/'Financial Statements'!J$10</f>
        <v>0.12146783058519237</v>
      </c>
      <c r="K55" s="28">
        <f>'Financial Statements'!K55/'Financial Statements'!K$10</f>
        <v>9.5851991139865825E-2</v>
      </c>
      <c r="L55" s="28">
        <f>'Financial Statements'!L55/'Financial Statements'!L$10</f>
        <v>0.15652624565040349</v>
      </c>
      <c r="M55" s="28">
        <f>'Financial Statements'!M55/'Financial Statements'!M$10</f>
        <v>0.15652624565040349</v>
      </c>
    </row>
    <row r="56" spans="1:13" ht="12.75" customHeight="1" x14ac:dyDescent="0.2">
      <c r="A56" s="1" t="s">
        <v>85</v>
      </c>
      <c r="B56" s="25">
        <f>'Financial Statements'!B281/'Financial Statements'!B$311</f>
        <v>6.9559708584098823E-2</v>
      </c>
      <c r="C56" s="25">
        <f>'Financial Statements'!C281/'Financial Statements'!C$311</f>
        <v>6.6621265003830768E-2</v>
      </c>
      <c r="D56" s="25">
        <f>'Financial Statements'!D281/'Financial Statements'!D$311</f>
        <v>9.5504004594913691E-2</v>
      </c>
      <c r="E56" s="25">
        <f>'Financial Statements'!E281/'Financial Statements'!E$311</f>
        <v>9.2225770371691176E-2</v>
      </c>
      <c r="F56" s="25">
        <f>'Financial Statements'!F281/'Financial Statements'!F$311</f>
        <v>5.3697449174037036E-2</v>
      </c>
      <c r="G56" s="25">
        <f>'Financial Statements'!G281/'Financial Statements'!G$311</f>
        <v>8.455417994370748E-2</v>
      </c>
      <c r="H56" s="25">
        <f>'Financial Statements'!H281/'Financial Statements'!H$311</f>
        <v>5.0378406224195274E-2</v>
      </c>
      <c r="I56" s="25">
        <f>'Financial Statements'!I281/'Financial Statements'!I$311</f>
        <v>6.1975904371949733E-2</v>
      </c>
      <c r="J56" s="25">
        <f>'Financial Statements'!J281/'Financial Statements'!J$311</f>
        <v>9.6627502014921512E-2</v>
      </c>
      <c r="K56" s="25">
        <f>'Financial Statements'!K281/'Financial Statements'!K$311</f>
        <v>0.10167304537998907</v>
      </c>
      <c r="L56" s="25">
        <f>'Financial Statements'!L281/'Financial Statements'!L$311</f>
        <v>8.9458783249934157E-2</v>
      </c>
      <c r="M56" s="25">
        <f>'Financial Statements'!M281/'Financial Statements'!M$311</f>
        <v>8.9458783249934157E-2</v>
      </c>
    </row>
    <row r="57" spans="1:13" ht="12.75" customHeight="1" x14ac:dyDescent="0.2">
      <c r="A57" s="1" t="s">
        <v>86</v>
      </c>
      <c r="B57" s="25">
        <f>'Financial Statements'!B282/'Financial Statements'!B$311</f>
        <v>4.5974930992352591E-3</v>
      </c>
      <c r="C57" s="25">
        <f>'Financial Statements'!C282/'Financial Statements'!C$311</f>
        <v>5.9674810589937857E-3</v>
      </c>
      <c r="D57" s="25">
        <f>'Financial Statements'!D282/'Financial Statements'!D$311</f>
        <v>4.8501866683684867E-3</v>
      </c>
      <c r="E57" s="25">
        <f>'Financial Statements'!E282/'Financial Statements'!E$311</f>
        <v>5.0088343518503511E-3</v>
      </c>
      <c r="F57" s="25">
        <f>'Financial Statements'!F282/'Financial Statements'!F$311</f>
        <v>4.5733510309752543E-3</v>
      </c>
      <c r="G57" s="25">
        <f>'Financial Statements'!G282/'Financial Statements'!G$311</f>
        <v>3.8468689692314597E-3</v>
      </c>
      <c r="H57" s="25">
        <f>'Financial Statements'!H282/'Financial Statements'!H$311</f>
        <v>4.5454201104537083E-3</v>
      </c>
      <c r="I57" s="25">
        <f>'Financial Statements'!I282/'Financial Statements'!I$311</f>
        <v>6.6958496734594438E-3</v>
      </c>
      <c r="J57" s="25">
        <f>'Financial Statements'!J282/'Financial Statements'!J$311</f>
        <v>2.7580393519716652E-3</v>
      </c>
      <c r="K57" s="25">
        <f>'Financial Statements'!K282/'Financial Statements'!K$311</f>
        <v>4.6947330052852197E-3</v>
      </c>
      <c r="L57" s="25">
        <f>'Financial Statements'!L282/'Financial Statements'!L$311</f>
        <v>5.4648406636818537E-3</v>
      </c>
      <c r="M57" s="25">
        <f>'Financial Statements'!M282/'Financial Statements'!M$311</f>
        <v>5.4648406636818537E-3</v>
      </c>
    </row>
    <row r="58" spans="1:13" ht="12.75" customHeight="1" x14ac:dyDescent="0.2">
      <c r="A58" s="1" t="s">
        <v>170</v>
      </c>
      <c r="B58" s="25">
        <f>'Financial Statements'!B283/'Financial Statements'!B$311</f>
        <v>0</v>
      </c>
      <c r="C58" s="25">
        <f>'Financial Statements'!C283/'Financial Statements'!C$311</f>
        <v>0</v>
      </c>
      <c r="D58" s="25">
        <f>'Financial Statements'!D283/'Financial Statements'!D$311</f>
        <v>1.5954561409106862E-5</v>
      </c>
      <c r="E58" s="25">
        <f>'Financial Statements'!E283/'Financial Statements'!E$311</f>
        <v>0</v>
      </c>
      <c r="F58" s="25">
        <f>'Financial Statements'!F283/'Financial Statements'!F$311</f>
        <v>0</v>
      </c>
      <c r="G58" s="25">
        <f>'Financial Statements'!G283/'Financial Statements'!G$311</f>
        <v>0</v>
      </c>
      <c r="H58" s="25">
        <f>'Financial Statements'!H283/'Financial Statements'!H$311</f>
        <v>0</v>
      </c>
      <c r="I58" s="25">
        <f>'Financial Statements'!I283/'Financial Statements'!I$311</f>
        <v>0</v>
      </c>
      <c r="J58" s="25">
        <f>'Financial Statements'!J283/'Financial Statements'!J$311</f>
        <v>0</v>
      </c>
      <c r="K58" s="25">
        <f>'Financial Statements'!K283/'Financial Statements'!K$311</f>
        <v>0</v>
      </c>
      <c r="L58" s="25">
        <f>'Financial Statements'!L283/'Financial Statements'!L$311</f>
        <v>0</v>
      </c>
      <c r="M58" s="25">
        <f>'Financial Statements'!M283/'Financial Statements'!M$311</f>
        <v>0</v>
      </c>
    </row>
    <row r="59" spans="1:13" ht="12.75" customHeight="1" x14ac:dyDescent="0.2">
      <c r="A59" s="5" t="s">
        <v>87</v>
      </c>
      <c r="B59" s="26">
        <f>'Financial Statements'!B284/'Financial Statements'!B$311</f>
        <v>7.415720168333409E-2</v>
      </c>
      <c r="C59" s="26">
        <f>'Financial Statements'!C284/'Financial Statements'!C$311</f>
        <v>7.2588746062824547E-2</v>
      </c>
      <c r="D59" s="26">
        <f>'Financial Statements'!D284/'Financial Statements'!D$311</f>
        <v>0.10037014582469128</v>
      </c>
      <c r="E59" s="26">
        <f>'Financial Statements'!E284/'Financial Statements'!E$311</f>
        <v>9.7234604723541521E-2</v>
      </c>
      <c r="F59" s="26">
        <f>'Financial Statements'!F284/'Financial Statements'!F$311</f>
        <v>5.8270800205012289E-2</v>
      </c>
      <c r="G59" s="26">
        <f>'Financial Statements'!G284/'Financial Statements'!G$311</f>
        <v>8.8401048912938943E-2</v>
      </c>
      <c r="H59" s="26">
        <f>'Financial Statements'!H284/'Financial Statements'!H$311</f>
        <v>5.4923826334648977E-2</v>
      </c>
      <c r="I59" s="26">
        <f>'Financial Statements'!I284/'Financial Statements'!I$311</f>
        <v>6.8671754045409178E-2</v>
      </c>
      <c r="J59" s="26">
        <f>'Financial Statements'!J284/'Financial Statements'!J$311</f>
        <v>9.9385541366893176E-2</v>
      </c>
      <c r="K59" s="26">
        <f>'Financial Statements'!K284/'Financial Statements'!K$311</f>
        <v>0.10636777838527428</v>
      </c>
      <c r="L59" s="26">
        <f>'Financial Statements'!L284/'Financial Statements'!L$311</f>
        <v>9.4923623913616015E-2</v>
      </c>
      <c r="M59" s="26">
        <f>'Financial Statements'!M284/'Financial Statements'!M$311</f>
        <v>9.4923623913616015E-2</v>
      </c>
    </row>
    <row r="60" spans="1:13" ht="12.75" customHeight="1" x14ac:dyDescent="0.2">
      <c r="A60" s="1" t="s">
        <v>55</v>
      </c>
      <c r="B60" s="25">
        <f>'Financial Statements'!B285/'Financial Statements'!B$311</f>
        <v>7.5415177157337435E-2</v>
      </c>
      <c r="C60" s="25">
        <f>'Financial Statements'!C285/'Financial Statements'!C$311</f>
        <v>7.8164637779858687E-2</v>
      </c>
      <c r="D60" s="25">
        <f>'Financial Statements'!D285/'Financial Statements'!D$311</f>
        <v>7.4978461342097708E-2</v>
      </c>
      <c r="E60" s="25">
        <f>'Financial Statements'!E285/'Financial Statements'!E$311</f>
        <v>6.4044998460067115E-2</v>
      </c>
      <c r="F60" s="25">
        <f>'Financial Statements'!F285/'Financial Statements'!F$311</f>
        <v>5.494592143824005E-2</v>
      </c>
      <c r="G60" s="25">
        <f>'Financial Statements'!G285/'Financial Statements'!G$311</f>
        <v>3.9847151072955868E-2</v>
      </c>
      <c r="H60" s="25">
        <f>'Financial Statements'!H285/'Financial Statements'!H$311</f>
        <v>5.4734433830046739E-2</v>
      </c>
      <c r="I60" s="25">
        <f>'Financial Statements'!I285/'Financial Statements'!I$311</f>
        <v>5.5052144322280991E-2</v>
      </c>
      <c r="J60" s="25">
        <f>'Financial Statements'!J285/'Financial Statements'!J$311</f>
        <v>5.7075886750319799E-2</v>
      </c>
      <c r="K60" s="25">
        <f>'Financial Statements'!K285/'Financial Statements'!K$311</f>
        <v>5.2757426644796795E-2</v>
      </c>
      <c r="L60" s="25">
        <f>'Financial Statements'!L285/'Financial Statements'!L$311</f>
        <v>5.6584145377929947E-2</v>
      </c>
      <c r="M60" s="25">
        <f>'Financial Statements'!M285/'Financial Statements'!M$311</f>
        <v>5.6584145377929947E-2</v>
      </c>
    </row>
    <row r="61" spans="1:13" ht="12.75" customHeight="1" x14ac:dyDescent="0.2">
      <c r="A61" s="1" t="s">
        <v>171</v>
      </c>
      <c r="B61" s="25">
        <f>'Financial Statements'!B286/'Financial Statements'!B$311</f>
        <v>1.086927010271958E-2</v>
      </c>
      <c r="C61" s="25">
        <f>'Financial Statements'!C286/'Financial Statements'!C$311</f>
        <v>8.9980420532902016E-3</v>
      </c>
      <c r="D61" s="25">
        <f>'Financial Statements'!D286/'Financial Statements'!D$311</f>
        <v>7.8257123711669169E-3</v>
      </c>
      <c r="E61" s="25">
        <f>'Financial Statements'!E286/'Financial Statements'!E$311</f>
        <v>6.0219480961566513E-3</v>
      </c>
      <c r="F61" s="25">
        <f>'Financial Statements'!F286/'Financial Statements'!F$311</f>
        <v>1.1216537657866033E-2</v>
      </c>
      <c r="G61" s="25">
        <f>'Financial Statements'!G286/'Financial Statements'!G$311</f>
        <v>4.4559565560264407E-3</v>
      </c>
      <c r="H61" s="25">
        <f>'Financial Statements'!H286/'Financial Statements'!H$311</f>
        <v>7.5757001840895148E-3</v>
      </c>
      <c r="I61" s="25">
        <f>'Financial Statements'!I286/'Financial Statements'!I$311</f>
        <v>5.3205284377136662E-3</v>
      </c>
      <c r="J61" s="25">
        <f>'Financial Statements'!J286/'Financial Statements'!J$311</f>
        <v>4.6509564407243367E-3</v>
      </c>
      <c r="K61" s="25">
        <f>'Financial Statements'!K286/'Financial Statements'!K$311</f>
        <v>6.9035903043557501E-3</v>
      </c>
      <c r="L61" s="25">
        <f>'Financial Statements'!L286/'Financial Statements'!L$311</f>
        <v>6.926520937582302E-3</v>
      </c>
      <c r="M61" s="25">
        <f>'Financial Statements'!M286/'Financial Statements'!M$311</f>
        <v>6.926520937582302E-3</v>
      </c>
    </row>
    <row r="62" spans="1:13" ht="12.75" customHeight="1" x14ac:dyDescent="0.2">
      <c r="A62" s="1" t="s">
        <v>88</v>
      </c>
      <c r="B62" s="25">
        <f>'Financial Statements'!B287/'Financial Statements'!B$311</f>
        <v>0</v>
      </c>
      <c r="C62" s="25">
        <f>'Financial Statements'!C287/'Financial Statements'!C$311</f>
        <v>0</v>
      </c>
      <c r="D62" s="25">
        <f>'Financial Statements'!D287/'Financial Statements'!D$311</f>
        <v>0</v>
      </c>
      <c r="E62" s="25">
        <f>'Financial Statements'!E287/'Financial Statements'!E$311</f>
        <v>0</v>
      </c>
      <c r="F62" s="25">
        <f>'Financial Statements'!F287/'Financial Statements'!F$311</f>
        <v>0</v>
      </c>
      <c r="G62" s="25">
        <f>'Financial Statements'!G287/'Financial Statements'!G$311</f>
        <v>0</v>
      </c>
      <c r="H62" s="25">
        <f>'Financial Statements'!H287/'Financial Statements'!H$311</f>
        <v>0</v>
      </c>
      <c r="I62" s="25">
        <f>'Financial Statements'!I287/'Financial Statements'!I$311</f>
        <v>0</v>
      </c>
      <c r="J62" s="25">
        <f>'Financial Statements'!J287/'Financial Statements'!J$311</f>
        <v>0</v>
      </c>
      <c r="K62" s="25">
        <f>'Financial Statements'!K287/'Financial Statements'!K$311</f>
        <v>0</v>
      </c>
      <c r="L62" s="25">
        <f>'Financial Statements'!L287/'Financial Statements'!L$311</f>
        <v>0</v>
      </c>
      <c r="M62" s="25">
        <f>'Financial Statements'!M287/'Financial Statements'!M$311</f>
        <v>0</v>
      </c>
    </row>
    <row r="63" spans="1:13" ht="12.75" customHeight="1" x14ac:dyDescent="0.2">
      <c r="A63" s="5" t="s">
        <v>89</v>
      </c>
      <c r="B63" s="26">
        <f>'Financial Statements'!B288/'Financial Statements'!B$311</f>
        <v>8.6284447260057018E-2</v>
      </c>
      <c r="C63" s="26">
        <f>'Financial Statements'!C288/'Financial Statements'!C$311</f>
        <v>8.716267983314889E-2</v>
      </c>
      <c r="D63" s="26">
        <f>'Financial Statements'!D288/'Financial Statements'!D$311</f>
        <v>8.2804173713264623E-2</v>
      </c>
      <c r="E63" s="26">
        <f>'Financial Statements'!E288/'Financial Statements'!E$311</f>
        <v>7.0066946556223766E-2</v>
      </c>
      <c r="F63" s="26">
        <f>'Financial Statements'!F288/'Financial Statements'!F$311</f>
        <v>6.6162459096106074E-2</v>
      </c>
      <c r="G63" s="26">
        <f>'Financial Statements'!G288/'Financial Statements'!G$311</f>
        <v>4.4303107628982312E-2</v>
      </c>
      <c r="H63" s="26">
        <f>'Financial Statements'!H288/'Financial Statements'!H$311</f>
        <v>6.2310134014136258E-2</v>
      </c>
      <c r="I63" s="26">
        <f>'Financial Statements'!I288/'Financial Statements'!I$311</f>
        <v>6.0372672759994653E-2</v>
      </c>
      <c r="J63" s="26">
        <f>'Financial Statements'!J288/'Financial Statements'!J$311</f>
        <v>6.1726843191044135E-2</v>
      </c>
      <c r="K63" s="26">
        <f>'Financial Statements'!K288/'Financial Statements'!K$311</f>
        <v>5.9661016949152545E-2</v>
      </c>
      <c r="L63" s="26">
        <f>'Financial Statements'!L288/'Financial Statements'!L$311</f>
        <v>6.3510666315512249E-2</v>
      </c>
      <c r="M63" s="26">
        <f>'Financial Statements'!M288/'Financial Statements'!M$311</f>
        <v>6.3510666315512249E-2</v>
      </c>
    </row>
    <row r="64" spans="1:13" ht="12.75" customHeight="1" x14ac:dyDescent="0.2">
      <c r="A64" s="1" t="s">
        <v>90</v>
      </c>
      <c r="B64" s="25">
        <f>'Financial Statements'!B289/'Financial Statements'!B$311</f>
        <v>1.4036834245893479E-2</v>
      </c>
      <c r="C64" s="25">
        <f>'Financial Statements'!C289/'Financial Statements'!C$311</f>
        <v>1.3220396697029029E-2</v>
      </c>
      <c r="D64" s="25">
        <f>'Financial Statements'!D289/'Financial Statements'!D$311</f>
        <v>1.2628035355308083E-2</v>
      </c>
      <c r="E64" s="25">
        <f>'Financial Statements'!E289/'Financial Statements'!E$311</f>
        <v>1.3632458543385583E-2</v>
      </c>
      <c r="F64" s="25">
        <f>'Financial Statements'!F289/'Financial Statements'!F$311</f>
        <v>1.0638297872340425E-2</v>
      </c>
      <c r="G64" s="25">
        <f>'Financial Statements'!G289/'Financial Statements'!G$311</f>
        <v>1.1617544287079009E-2</v>
      </c>
      <c r="H64" s="25">
        <f>'Financial Statements'!H289/'Financial Statements'!H$311</f>
        <v>1.2492329603563609E-2</v>
      </c>
      <c r="I64" s="25">
        <f>'Financial Statements'!I289/'Financial Statements'!I$311</f>
        <v>1.2197134616442555E-2</v>
      </c>
      <c r="J64" s="25">
        <f>'Financial Statements'!J289/'Financial Statements'!J$311</f>
        <v>8.5846747657884817E-3</v>
      </c>
      <c r="K64" s="25">
        <f>'Financial Statements'!K289/'Financial Statements'!K$311</f>
        <v>9.3967559686531799E-3</v>
      </c>
      <c r="L64" s="25">
        <f>'Financial Statements'!L289/'Financial Statements'!L$311</f>
        <v>8.0326573610745317E-3</v>
      </c>
      <c r="M64" s="25">
        <f>'Financial Statements'!M289/'Financial Statements'!M$311</f>
        <v>8.0326573610745317E-3</v>
      </c>
    </row>
    <row r="65" spans="1:13" ht="12.75" customHeight="1" x14ac:dyDescent="0.2">
      <c r="A65" s="1" t="s">
        <v>91</v>
      </c>
      <c r="B65" s="25">
        <f>'Financial Statements'!B290/'Financial Statements'!B$311</f>
        <v>3.5404316937417982E-2</v>
      </c>
      <c r="C65" s="25">
        <f>'Financial Statements'!C290/'Financial Statements'!C$311</f>
        <v>3.4323657103941432E-2</v>
      </c>
      <c r="D65" s="25">
        <f>'Financial Statements'!D290/'Financial Statements'!D$311</f>
        <v>9.5966686875777786E-3</v>
      </c>
      <c r="E65" s="25">
        <f>'Financial Statements'!E290/'Financial Statements'!E$311</f>
        <v>1.2343777860627968E-2</v>
      </c>
      <c r="F65" s="25">
        <f>'Financial Statements'!F290/'Financial Statements'!F$311</f>
        <v>9.5935237144021135E-3</v>
      </c>
      <c r="G65" s="25">
        <f>'Financial Statements'!G290/'Financial Statements'!G$311</f>
        <v>1.0123676837360792E-2</v>
      </c>
      <c r="H65" s="25">
        <f>'Financial Statements'!H290/'Financial Statements'!H$311</f>
        <v>1.3863531336883811E-2</v>
      </c>
      <c r="I65" s="25">
        <f>'Financial Statements'!I290/'Financial Statements'!I$311</f>
        <v>1.4743443647194737E-2</v>
      </c>
      <c r="J65" s="25">
        <f>'Financial Statements'!J290/'Financial Statements'!J$311</f>
        <v>1.3531399501630422E-2</v>
      </c>
      <c r="K65" s="25">
        <f>'Financial Statements'!K290/'Financial Statements'!K$311</f>
        <v>1.1022416621104428E-2</v>
      </c>
      <c r="L65" s="25">
        <f>'Financial Statements'!L290/'Financial Statements'!L$311</f>
        <v>1.195680800632078E-2</v>
      </c>
      <c r="M65" s="25">
        <f>'Financial Statements'!M290/'Financial Statements'!M$311</f>
        <v>1.195680800632078E-2</v>
      </c>
    </row>
    <row r="66" spans="1:13" ht="12.75" customHeight="1" x14ac:dyDescent="0.2">
      <c r="A66" s="1" t="s">
        <v>172</v>
      </c>
      <c r="B66" s="25">
        <f>'Financial Statements'!B291/'Financial Statements'!B$311</f>
        <v>0.17213448572333589</v>
      </c>
      <c r="C66" s="25">
        <f>'Financial Statements'!C291/'Financial Statements'!C$311</f>
        <v>0.161794500723589</v>
      </c>
      <c r="D66" s="25">
        <f>'Financial Statements'!D291/'Financial Statements'!D$311</f>
        <v>0.17327451418360509</v>
      </c>
      <c r="E66" s="25">
        <f>'Financial Statements'!E291/'Financial Statements'!E$311</f>
        <v>0.18145272406023569</v>
      </c>
      <c r="F66" s="25">
        <f>'Financial Statements'!F291/'Financial Statements'!F$311</f>
        <v>9.3254307229311495E-2</v>
      </c>
      <c r="G66" s="25">
        <f>'Financial Statements'!G291/'Financial Statements'!G$311</f>
        <v>6.7377909996089017E-2</v>
      </c>
      <c r="H66" s="25">
        <f>'Financial Statements'!H291/'Financial Statements'!H$311</f>
        <v>5.4704131029310384E-2</v>
      </c>
      <c r="I66" s="25">
        <f>'Financial Statements'!I291/'Financial Statements'!I$311</f>
        <v>5.3841861634824704E-2</v>
      </c>
      <c r="J66" s="25">
        <f>'Financial Statements'!J291/'Financial Statements'!J$311</f>
        <v>4.5119453420190622E-2</v>
      </c>
      <c r="K66" s="25">
        <f>'Financial Statements'!K291/'Financial Statements'!K$311</f>
        <v>4.5627847639876068E-2</v>
      </c>
      <c r="L66" s="25">
        <f>'Financial Statements'!L291/'Financial Statements'!L$311</f>
        <v>4.8353963655517515E-2</v>
      </c>
      <c r="M66" s="25">
        <f>'Financial Statements'!M291/'Financial Statements'!M$311</f>
        <v>4.8353963655517515E-2</v>
      </c>
    </row>
    <row r="67" spans="1:13" ht="12.75" customHeight="1" x14ac:dyDescent="0.2">
      <c r="A67" s="1" t="s">
        <v>173</v>
      </c>
      <c r="B67" s="25">
        <f>'Financial Statements'!B292/'Financial Statements'!B$311</f>
        <v>0</v>
      </c>
      <c r="C67" s="25">
        <f>'Financial Statements'!C292/'Financial Statements'!C$311</f>
        <v>0</v>
      </c>
      <c r="D67" s="25">
        <f>'Financial Statements'!D292/'Financial Statements'!D$311</f>
        <v>0</v>
      </c>
      <c r="E67" s="25">
        <f>'Financial Statements'!E292/'Financial Statements'!E$311</f>
        <v>0</v>
      </c>
      <c r="F67" s="25">
        <f>'Financial Statements'!F292/'Financial Statements'!F$311</f>
        <v>0</v>
      </c>
      <c r="G67" s="25">
        <f>'Financial Statements'!G292/'Financial Statements'!G$311</f>
        <v>2.4555846920260816E-3</v>
      </c>
      <c r="H67" s="25">
        <f>'Financial Statements'!H292/'Financial Statements'!H$311</f>
        <v>6.0075302459829854E-3</v>
      </c>
      <c r="I67" s="25">
        <f>'Financial Statements'!I292/'Financial Statements'!I$311</f>
        <v>7.3795808020873446E-3</v>
      </c>
      <c r="J67" s="25">
        <f>'Financial Statements'!J292/'Financial Statements'!J$311</f>
        <v>5.1167915055345646E-3</v>
      </c>
      <c r="K67" s="25">
        <f>'Financial Statements'!K292/'Financial Statements'!K$311</f>
        <v>6.5609622744669215E-3</v>
      </c>
      <c r="L67" s="25">
        <f>'Financial Statements'!L292/'Financial Statements'!L$311</f>
        <v>7.4466684224387672E-3</v>
      </c>
      <c r="M67" s="25">
        <f>'Financial Statements'!M292/'Financial Statements'!M$311</f>
        <v>7.4466684224387672E-3</v>
      </c>
    </row>
    <row r="68" spans="1:13" ht="12.75" customHeight="1" x14ac:dyDescent="0.2">
      <c r="A68" s="1" t="s">
        <v>174</v>
      </c>
      <c r="B68" s="25">
        <f>'Financial Statements'!B293/'Financial Statements'!B$311</f>
        <v>0</v>
      </c>
      <c r="C68" s="25">
        <f>'Financial Statements'!C293/'Financial Statements'!C$311</f>
        <v>0</v>
      </c>
      <c r="D68" s="25">
        <f>'Financial Statements'!D293/'Financial Statements'!D$311</f>
        <v>0</v>
      </c>
      <c r="E68" s="25">
        <f>'Financial Statements'!E293/'Financial Statements'!E$311</f>
        <v>0</v>
      </c>
      <c r="F68" s="25">
        <f>'Financial Statements'!F293/'Financial Statements'!F$311</f>
        <v>0</v>
      </c>
      <c r="G68" s="25">
        <f>'Financial Statements'!G293/'Financial Statements'!G$311</f>
        <v>0</v>
      </c>
      <c r="H68" s="25">
        <f>'Financial Statements'!H293/'Financial Statements'!H$311</f>
        <v>0</v>
      </c>
      <c r="I68" s="25">
        <f>'Financial Statements'!I293/'Financial Statements'!I$311</f>
        <v>0</v>
      </c>
      <c r="J68" s="25">
        <f>'Financial Statements'!J293/'Financial Statements'!J$311</f>
        <v>0</v>
      </c>
      <c r="K68" s="25">
        <f>'Financial Statements'!K293/'Financial Statements'!K$311</f>
        <v>0</v>
      </c>
      <c r="L68" s="25">
        <f>'Financial Statements'!L293/'Financial Statements'!L$311</f>
        <v>0</v>
      </c>
      <c r="M68" s="25">
        <f>'Financial Statements'!M293/'Financial Statements'!M$311</f>
        <v>0</v>
      </c>
    </row>
    <row r="69" spans="1:13" ht="12.75" customHeight="1" x14ac:dyDescent="0.2">
      <c r="A69" s="1" t="s">
        <v>130</v>
      </c>
      <c r="B69" s="25">
        <f>'Financial Statements'!B294/'Financial Statements'!B$311</f>
        <v>0</v>
      </c>
      <c r="C69" s="25">
        <f>'Financial Statements'!C294/'Financial Statements'!C$311</f>
        <v>0</v>
      </c>
      <c r="D69" s="25">
        <f>'Financial Statements'!D294/'Financial Statements'!D$311</f>
        <v>0</v>
      </c>
      <c r="E69" s="25">
        <f>'Financial Statements'!E294/'Financial Statements'!E$311</f>
        <v>0</v>
      </c>
      <c r="F69" s="25">
        <f>'Financial Statements'!F294/'Financial Statements'!F$311</f>
        <v>0</v>
      </c>
      <c r="G69" s="25">
        <f>'Financial Statements'!G294/'Financial Statements'!G$311</f>
        <v>0</v>
      </c>
      <c r="H69" s="25">
        <f>'Financial Statements'!H294/'Financial Statements'!H$311</f>
        <v>0</v>
      </c>
      <c r="I69" s="25">
        <f>'Financial Statements'!I294/'Financial Statements'!I$311</f>
        <v>0</v>
      </c>
      <c r="J69" s="25">
        <f>'Financial Statements'!J294/'Financial Statements'!J$311</f>
        <v>0</v>
      </c>
      <c r="K69" s="25">
        <f>'Financial Statements'!K294/'Financial Statements'!K$311</f>
        <v>0</v>
      </c>
      <c r="L69" s="25">
        <f>'Financial Statements'!L294/'Financial Statements'!L$311</f>
        <v>0</v>
      </c>
      <c r="M69" s="25">
        <f>'Financial Statements'!M294/'Financial Statements'!M$311</f>
        <v>0</v>
      </c>
    </row>
    <row r="70" spans="1:13" ht="12.75" customHeight="1" x14ac:dyDescent="0.2">
      <c r="A70" s="1" t="s">
        <v>175</v>
      </c>
      <c r="B70" s="25">
        <f>'Financial Statements'!B295/'Financial Statements'!B$311</f>
        <v>0</v>
      </c>
      <c r="C70" s="25">
        <f>'Financial Statements'!C295/'Financial Statements'!C$311</f>
        <v>0</v>
      </c>
      <c r="D70" s="25">
        <f>'Financial Statements'!D295/'Financial Statements'!D$311</f>
        <v>2.090047544592999E-3</v>
      </c>
      <c r="E70" s="25">
        <f>'Financial Statements'!E295/'Financial Statements'!E$311</f>
        <v>1.8236047397513413E-3</v>
      </c>
      <c r="F70" s="25">
        <f>'Financial Statements'!F295/'Financial Statements'!F$311</f>
        <v>9.2649783817171094E-4</v>
      </c>
      <c r="G70" s="25">
        <f>'Financial Statements'!G295/'Financial Statements'!G$311</f>
        <v>2.9685005545902763E-3</v>
      </c>
      <c r="H70" s="25">
        <f>'Financial Statements'!H295/'Financial Statements'!H$311</f>
        <v>2.3257399565154808E-3</v>
      </c>
      <c r="I70" s="25">
        <f>'Financial Statements'!I295/'Financial Statements'!I$311</f>
        <v>8.0947478446751495E-4</v>
      </c>
      <c r="J70" s="25">
        <f>'Financial Statements'!J295/'Financial Statements'!J$311</f>
        <v>1.5527835493674255E-4</v>
      </c>
      <c r="K70" s="25">
        <f>'Financial Statements'!K295/'Financial Statements'!K$311</f>
        <v>1.5600510297065792E-3</v>
      </c>
      <c r="L70" s="25">
        <f>'Financial Statements'!L295/'Financial Statements'!L$311</f>
        <v>3.5554385040821704E-4</v>
      </c>
      <c r="M70" s="25">
        <f>'Financial Statements'!M295/'Financial Statements'!M$311</f>
        <v>3.5554385040821704E-4</v>
      </c>
    </row>
    <row r="71" spans="1:13" ht="12.75" customHeight="1" x14ac:dyDescent="0.2">
      <c r="A71" s="1" t="s">
        <v>131</v>
      </c>
      <c r="B71" s="25">
        <f>'Financial Statements'!B296/'Financial Statements'!B$311</f>
        <v>2.6517036969998641E-3</v>
      </c>
      <c r="C71" s="25">
        <f>'Financial Statements'!C296/'Financial Statements'!C$311</f>
        <v>4.5288158678811613E-3</v>
      </c>
      <c r="D71" s="25">
        <f>'Financial Statements'!D296/'Financial Statements'!D$311</f>
        <v>1.5986470531925076E-2</v>
      </c>
      <c r="E71" s="25">
        <f>'Financial Statements'!E296/'Financial Statements'!E$311</f>
        <v>2.1769788137653789E-2</v>
      </c>
      <c r="F71" s="25">
        <f>'Financial Statements'!F296/'Financial Statements'!F$311</f>
        <v>1.360834767981286E-2</v>
      </c>
      <c r="G71" s="25">
        <f>'Financial Statements'!G296/'Financial Statements'!G$311</f>
        <v>2.3856999057517102E-2</v>
      </c>
      <c r="H71" s="25">
        <f>'Financial Statements'!H296/'Financial Statements'!H$311</f>
        <v>1.7151385216778659E-2</v>
      </c>
      <c r="I71" s="25">
        <f>'Financial Statements'!I296/'Financial Statements'!I$311</f>
        <v>1.0821813380696777E-2</v>
      </c>
      <c r="J71" s="25">
        <f>'Financial Statements'!J296/'Financial Statements'!J$311</f>
        <v>9.7085942872353805E-3</v>
      </c>
      <c r="K71" s="25">
        <f>'Financial Statements'!K296/'Financial Statements'!K$311</f>
        <v>1.1175505740841991E-2</v>
      </c>
      <c r="L71" s="25">
        <f>'Financial Statements'!L296/'Financial Statements'!L$311</f>
        <v>8.6647353173558064E-3</v>
      </c>
      <c r="M71" s="25">
        <f>'Financial Statements'!M296/'Financial Statements'!M$311</f>
        <v>8.6647353173558064E-3</v>
      </c>
    </row>
    <row r="72" spans="1:13" ht="12.75" customHeight="1" x14ac:dyDescent="0.2">
      <c r="A72" s="5" t="s">
        <v>45</v>
      </c>
      <c r="B72" s="26">
        <f>'Financial Statements'!B297/'Financial Statements'!B$311</f>
        <v>0.38466898954703832</v>
      </c>
      <c r="C72" s="26">
        <f>'Financial Statements'!C297/'Financial Statements'!C$311</f>
        <v>0.37361879628841405</v>
      </c>
      <c r="D72" s="26">
        <f>'Financial Statements'!D297/'Financial Statements'!D$311</f>
        <v>0.39675005584096495</v>
      </c>
      <c r="E72" s="26">
        <f>'Financial Statements'!E297/'Financial Statements'!E$311</f>
        <v>0.39832390462141964</v>
      </c>
      <c r="F72" s="26">
        <f>'Financial Statements'!F297/'Financial Statements'!F$311</f>
        <v>0.25245423363515695</v>
      </c>
      <c r="G72" s="26">
        <f>'Financial Statements'!G297/'Financial Statements'!G$311</f>
        <v>0.25110437196658353</v>
      </c>
      <c r="H72" s="26">
        <f>'Financial Statements'!H297/'Financial Statements'!H$311</f>
        <v>0.22377860773782016</v>
      </c>
      <c r="I72" s="26">
        <f>'Financial Statements'!I297/'Financial Statements'!I$311</f>
        <v>0.22883773567111748</v>
      </c>
      <c r="J72" s="26">
        <f>'Financial Statements'!J297/'Financial Statements'!J$311</f>
        <v>0.24332857639325353</v>
      </c>
      <c r="K72" s="26">
        <f>'Financial Statements'!K297/'Financial Statements'!K$311</f>
        <v>0.25137233460907599</v>
      </c>
      <c r="L72" s="26">
        <f>'Financial Statements'!L297/'Financial Statements'!L$311</f>
        <v>0.24324466684224388</v>
      </c>
      <c r="M72" s="26">
        <f>'Financial Statements'!M297/'Financial Statements'!M$311</f>
        <v>0.24324466684224388</v>
      </c>
    </row>
    <row r="73" spans="1:13" ht="12.75" customHeight="1" x14ac:dyDescent="0.2">
      <c r="A73" s="1" t="s">
        <v>92</v>
      </c>
      <c r="B73" s="25">
        <f>'Financial Statements'!B298/'Financial Statements'!B$311</f>
        <v>0.2655595275804335</v>
      </c>
      <c r="C73" s="25">
        <f>'Financial Statements'!C298/'Financial Statements'!C$311</f>
        <v>0.25651655741891549</v>
      </c>
      <c r="D73" s="25">
        <f>'Financial Statements'!D298/'Financial Statements'!D$311</f>
        <v>0.257913462458917</v>
      </c>
      <c r="E73" s="25">
        <f>'Financial Statements'!E298/'Financial Statements'!E$311</f>
        <v>0.26308537712146018</v>
      </c>
      <c r="F73" s="25">
        <f>'Financial Statements'!F298/'Financial Statements'!F$311</f>
        <v>0.24328124794659167</v>
      </c>
      <c r="G73" s="25">
        <f>'Financial Statements'!G298/'Financial Statements'!G$311</f>
        <v>0.15173974649133493</v>
      </c>
      <c r="H73" s="25">
        <f>'Financial Statements'!H298/'Financial Statements'!H$311</f>
        <v>0.17655926849039022</v>
      </c>
      <c r="I73" s="25">
        <f>'Financial Statements'!I298/'Financial Statements'!I$311</f>
        <v>0.16954174296424951</v>
      </c>
      <c r="J73" s="25">
        <f>'Financial Statements'!J298/'Financial Statements'!J$311</f>
        <v>0.15780717385999807</v>
      </c>
      <c r="K73" s="25">
        <f>'Financial Statements'!K298/'Financial Statements'!K$311</f>
        <v>0.15227264443229452</v>
      </c>
      <c r="L73" s="25">
        <f>'Financial Statements'!L298/'Financial Statements'!L$311</f>
        <v>0.13828680537266264</v>
      </c>
      <c r="M73" s="25">
        <f>'Financial Statements'!M298/'Financial Statements'!M$311</f>
        <v>0.13828680537266264</v>
      </c>
    </row>
    <row r="74" spans="1:13" ht="12.75" customHeight="1" x14ac:dyDescent="0.2">
      <c r="A74" s="1" t="s">
        <v>93</v>
      </c>
      <c r="B74" s="25">
        <f>'Financial Statements'!B299/'Financial Statements'!B$311</f>
        <v>-0.1684782116837866</v>
      </c>
      <c r="C74" s="25">
        <f>'Financial Statements'!C299/'Financial Statements'!C$311</f>
        <v>-0.16432280582276326</v>
      </c>
      <c r="D74" s="25">
        <f>'Financial Statements'!D299/'Financial Statements'!D$311</f>
        <v>-0.16923801014710105</v>
      </c>
      <c r="E74" s="25">
        <f>'Financial Statements'!E299/'Financial Statements'!E$311</f>
        <v>-0.17561718889303141</v>
      </c>
      <c r="F74" s="25">
        <f>'Financial Statements'!F299/'Financial Statements'!F$311</f>
        <v>-0.14467822270116831</v>
      </c>
      <c r="G74" s="25">
        <f>'Financial Statements'!G299/'Financial Statements'!G$311</f>
        <v>-8.9093485327400607E-2</v>
      </c>
      <c r="H74" s="25">
        <f>'Financial Statements'!H299/'Financial Statements'!H$311</f>
        <v>-0.10901432564904812</v>
      </c>
      <c r="I74" s="25">
        <f>'Financial Statements'!I299/'Financial Statements'!I$311</f>
        <v>-0.10500381160456763</v>
      </c>
      <c r="J74" s="25">
        <f>'Financial Statements'!J299/'Financial Statements'!J$311</f>
        <v>-9.3322291316982275E-2</v>
      </c>
      <c r="K74" s="25">
        <f>'Financial Statements'!K299/'Financial Statements'!K$311</f>
        <v>-8.7180608711499907E-2</v>
      </c>
      <c r="L74" s="25">
        <f>'Financial Statements'!L299/'Financial Statements'!L$311</f>
        <v>-7.8845140900711083E-2</v>
      </c>
      <c r="M74" s="25">
        <f>'Financial Statements'!M299/'Financial Statements'!M$311</f>
        <v>-7.8845140900711083E-2</v>
      </c>
    </row>
    <row r="75" spans="1:13" ht="12.75" customHeight="1" x14ac:dyDescent="0.2">
      <c r="A75" s="5" t="s">
        <v>94</v>
      </c>
      <c r="B75" s="26">
        <f>'Financial Statements'!B300/'Financial Statements'!B$311</f>
        <v>9.7081315896646911E-2</v>
      </c>
      <c r="C75" s="26">
        <f>'Financial Statements'!C300/'Financial Statements'!C$311</f>
        <v>9.2193751596152215E-2</v>
      </c>
      <c r="D75" s="26">
        <f>'Financial Statements'!D300/'Financial Statements'!D$311</f>
        <v>8.867545231181595E-2</v>
      </c>
      <c r="E75" s="26">
        <f>'Financial Statements'!E300/'Financial Statements'!E$311</f>
        <v>8.7468188228428778E-2</v>
      </c>
      <c r="F75" s="26">
        <f>'Financial Statements'!F300/'Financial Statements'!F$311</f>
        <v>9.8603025245423359E-2</v>
      </c>
      <c r="G75" s="26">
        <f>'Financial Statements'!G300/'Financial Statements'!G$311</f>
        <v>6.2646261163934319E-2</v>
      </c>
      <c r="H75" s="26">
        <f>'Financial Statements'!H300/'Financial Statements'!H$311</f>
        <v>6.7544942841342118E-2</v>
      </c>
      <c r="I75" s="26">
        <f>'Financial Statements'!I300/'Financial Statements'!I$311</f>
        <v>6.4537931359681874E-2</v>
      </c>
      <c r="J75" s="26">
        <f>'Financial Statements'!J300/'Financial Statements'!J$311</f>
        <v>6.4484882543015806E-2</v>
      </c>
      <c r="K75" s="26">
        <f>'Financial Statements'!K300/'Financial Statements'!K$311</f>
        <v>6.5092035720794611E-2</v>
      </c>
      <c r="L75" s="26">
        <f>'Financial Statements'!L300/'Financial Statements'!L$311</f>
        <v>5.9441664471951539E-2</v>
      </c>
      <c r="M75" s="26">
        <f>'Financial Statements'!M300/'Financial Statements'!M$311</f>
        <v>5.9441664471951539E-2</v>
      </c>
    </row>
    <row r="76" spans="1:13" ht="12.75" customHeight="1" x14ac:dyDescent="0.2">
      <c r="A76" s="1" t="s">
        <v>176</v>
      </c>
      <c r="B76" s="25">
        <f>'Financial Statements'!B301/'Financial Statements'!B$311</f>
        <v>1.02357572740848E-2</v>
      </c>
      <c r="C76" s="25">
        <f>'Financial Statements'!C301/'Financial Statements'!C$311</f>
        <v>5.6099429641610623E-3</v>
      </c>
      <c r="D76" s="25">
        <f>'Financial Statements'!D301/'Financial Statements'!D$311</f>
        <v>4.6348000893455437E-3</v>
      </c>
      <c r="E76" s="25">
        <f>'Financial Statements'!E301/'Financial Statements'!E$311</f>
        <v>1.8317096497057917E-3</v>
      </c>
      <c r="F76" s="25">
        <f>'Financial Statements'!F301/'Financial Statements'!F$311</f>
        <v>1.4587412771214171E-3</v>
      </c>
      <c r="G76" s="25">
        <f>'Financial Statements'!G301/'Financial Statements'!G$311</f>
        <v>1.3848728289233255E-3</v>
      </c>
      <c r="H76" s="25">
        <f>'Financial Statements'!H301/'Financial Statements'!H$311</f>
        <v>1.3507473428231604E-2</v>
      </c>
      <c r="I76" s="25">
        <f>'Financial Statements'!I301/'Financial Statements'!I$311</f>
        <v>1.2652955368861156E-2</v>
      </c>
      <c r="J76" s="25">
        <f>'Financial Statements'!J301/'Financial Statements'!J$311</f>
        <v>1.1749395523546853E-2</v>
      </c>
      <c r="K76" s="25">
        <f>'Financial Statements'!K301/'Financial Statements'!K$311</f>
        <v>1.2327319117915072E-2</v>
      </c>
      <c r="L76" s="25">
        <f>'Financial Statements'!L301/'Financial Statements'!L$311</f>
        <v>1.1528838556755332E-2</v>
      </c>
      <c r="M76" s="25">
        <f>'Financial Statements'!M301/'Financial Statements'!M$311</f>
        <v>1.1528838556755332E-2</v>
      </c>
    </row>
    <row r="77" spans="1:13" ht="12.75" customHeight="1" x14ac:dyDescent="0.2">
      <c r="A77" s="1" t="s">
        <v>56</v>
      </c>
      <c r="B77" s="25">
        <f>'Financial Statements'!B302/'Financial Statements'!B$311</f>
        <v>0.28979591836734692</v>
      </c>
      <c r="C77" s="25">
        <f>'Financial Statements'!C302/'Financial Statements'!C$311</f>
        <v>0.30815527368689877</v>
      </c>
      <c r="D77" s="25">
        <f>'Financial Statements'!D302/'Financial Statements'!D$311</f>
        <v>0.29346820255911166</v>
      </c>
      <c r="E77" s="25">
        <f>'Financial Statements'!E302/'Financial Statements'!E$311</f>
        <v>0.293924559498144</v>
      </c>
      <c r="F77" s="25">
        <f>'Financial Statements'!F302/'Financial Statements'!F$311</f>
        <v>0.38257132719172593</v>
      </c>
      <c r="G77" s="25">
        <f>'Financial Statements'!G302/'Financial Statements'!G$311</f>
        <v>0.34471151688454904</v>
      </c>
      <c r="H77" s="25">
        <f>'Financial Statements'!H302/'Financial Statements'!H$311</f>
        <v>0.42153468534329286</v>
      </c>
      <c r="I77" s="25">
        <f>'Financial Statements'!I302/'Financial Statements'!I$311</f>
        <v>0.43970198753566009</v>
      </c>
      <c r="J77" s="25">
        <f>'Financial Statements'!J302/'Financial Statements'!J$311</f>
        <v>0.44496861158968065</v>
      </c>
      <c r="K77" s="25">
        <f>'Financial Statements'!K302/'Financial Statements'!K$311</f>
        <v>0.44254419537087664</v>
      </c>
      <c r="L77" s="25">
        <f>'Financial Statements'!L302/'Financial Statements'!L$311</f>
        <v>0.44585857255728206</v>
      </c>
      <c r="M77" s="25">
        <f>'Financial Statements'!M302/'Financial Statements'!M$311</f>
        <v>0.44585857255728206</v>
      </c>
    </row>
    <row r="78" spans="1:13" ht="12.75" customHeight="1" x14ac:dyDescent="0.2">
      <c r="A78" s="1" t="s">
        <v>95</v>
      </c>
      <c r="B78" s="25">
        <f>'Financial Statements'!B303/'Financial Statements'!B$311</f>
        <v>3.155798904927825E-2</v>
      </c>
      <c r="C78" s="25">
        <f>'Financial Statements'!C303/'Financial Statements'!C$311</f>
        <v>3.99080616327573E-2</v>
      </c>
      <c r="D78" s="25">
        <f>'Financial Statements'!D303/'Financial Statements'!D$311</f>
        <v>2.9850984396438941E-2</v>
      </c>
      <c r="E78" s="25">
        <f>'Financial Statements'!E303/'Financial Statements'!E$311</f>
        <v>2.5019857029388404E-2</v>
      </c>
      <c r="F78" s="25">
        <f>'Financial Statements'!F303/'Financial Statements'!F$311</f>
        <v>0.10010776286912068</v>
      </c>
      <c r="G78" s="25">
        <f>'Financial Statements'!G303/'Financial Statements'!G$311</f>
        <v>8.8086887947118372E-2</v>
      </c>
      <c r="H78" s="25">
        <f>'Financial Statements'!H303/'Financial Statements'!H$311</f>
        <v>9.4779585003143915E-2</v>
      </c>
      <c r="I78" s="25">
        <f>'Financial Statements'!I303/'Financial Statements'!I$311</f>
        <v>8.7894815431890164E-2</v>
      </c>
      <c r="J78" s="25">
        <f>'Financial Statements'!J303/'Financial Statements'!J$311</f>
        <v>8.1602472622947189E-2</v>
      </c>
      <c r="K78" s="25">
        <f>'Financial Statements'!K303/'Financial Statements'!K$311</f>
        <v>7.7710953162019314E-2</v>
      </c>
      <c r="L78" s="25">
        <f>'Financial Statements'!L303/'Financial Statements'!L$311</f>
        <v>7.4999999999999997E-2</v>
      </c>
      <c r="M78" s="25">
        <f>'Financial Statements'!M303/'Financial Statements'!M$311</f>
        <v>7.4999999999999997E-2</v>
      </c>
    </row>
    <row r="79" spans="1:13" ht="12.75" customHeight="1" x14ac:dyDescent="0.2">
      <c r="A79" s="1" t="s">
        <v>177</v>
      </c>
      <c r="B79" s="25">
        <f>'Financial Statements'!B304/'Financial Statements'!B$311</f>
        <v>9.0619485044572151E-2</v>
      </c>
      <c r="C79" s="25">
        <f>'Financial Statements'!C304/'Financial Statements'!C$311</f>
        <v>7.6794075082999916E-2</v>
      </c>
      <c r="D79" s="25">
        <f>'Financial Statements'!D304/'Financial Statements'!D$311</f>
        <v>7.6183030728485271E-2</v>
      </c>
      <c r="E79" s="25">
        <f>'Financial Statements'!E304/'Financial Statements'!E$311</f>
        <v>7.4143716263312315E-2</v>
      </c>
      <c r="F79" s="25">
        <f>'Financial Statements'!F304/'Financial Statements'!F$311</f>
        <v>5.7245738767035079E-2</v>
      </c>
      <c r="G79" s="25">
        <f>'Financial Statements'!G304/'Financial Statements'!G$311</f>
        <v>4.5431522526623538E-2</v>
      </c>
      <c r="H79" s="25">
        <f>'Financial Statements'!H304/'Financial Statements'!H$311</f>
        <v>4.1098173498685615E-2</v>
      </c>
      <c r="I79" s="25">
        <f>'Financial Statements'!I304/'Financial Statements'!I$311</f>
        <v>4.5629229112799916E-2</v>
      </c>
      <c r="J79" s="25">
        <f>'Financial Statements'!J304/'Financial Statements'!J$311</f>
        <v>4.2634999741202745E-2</v>
      </c>
      <c r="K79" s="25">
        <f>'Financial Statements'!K304/'Financial Statements'!K$311</f>
        <v>3.9023145616912704E-2</v>
      </c>
      <c r="L79" s="25">
        <f>'Financial Statements'!L304/'Financial Statements'!L$311</f>
        <v>5.0750592573084015E-2</v>
      </c>
      <c r="M79" s="25">
        <f>'Financial Statements'!M304/'Financial Statements'!M$311</f>
        <v>5.0750592573084015E-2</v>
      </c>
    </row>
    <row r="80" spans="1:13" ht="12.75" customHeight="1" x14ac:dyDescent="0.2">
      <c r="A80" s="1" t="s">
        <v>178</v>
      </c>
      <c r="B80" s="25">
        <f>'Financial Statements'!B305/'Financial Statements'!B$311</f>
        <v>0</v>
      </c>
      <c r="C80" s="25">
        <f>'Financial Statements'!C305/'Financial Statements'!C$311</f>
        <v>0</v>
      </c>
      <c r="D80" s="25">
        <f>'Financial Statements'!D305/'Financial Statements'!D$311</f>
        <v>0</v>
      </c>
      <c r="E80" s="25">
        <f>'Financial Statements'!E305/'Financial Statements'!E$311</f>
        <v>0</v>
      </c>
      <c r="F80" s="25">
        <f>'Financial Statements'!F305/'Financial Statements'!F$311</f>
        <v>0</v>
      </c>
      <c r="G80" s="25">
        <f>'Financial Statements'!G305/'Financial Statements'!G$311</f>
        <v>0</v>
      </c>
      <c r="H80" s="25">
        <f>'Financial Statements'!H305/'Financial Statements'!H$311</f>
        <v>0</v>
      </c>
      <c r="I80" s="25">
        <f>'Financial Statements'!I305/'Financial Statements'!I$311</f>
        <v>0</v>
      </c>
      <c r="J80" s="25">
        <f>'Financial Statements'!J305/'Financial Statements'!J$311</f>
        <v>0</v>
      </c>
      <c r="K80" s="25">
        <f>'Financial Statements'!K305/'Financial Statements'!K$311</f>
        <v>0</v>
      </c>
      <c r="L80" s="25">
        <f>'Financial Statements'!L305/'Financial Statements'!L$311</f>
        <v>0</v>
      </c>
      <c r="M80" s="25">
        <f>'Financial Statements'!M305/'Financial Statements'!M$311</f>
        <v>0</v>
      </c>
    </row>
    <row r="81" spans="1:13" ht="12.75" customHeight="1" x14ac:dyDescent="0.2">
      <c r="A81" s="1" t="s">
        <v>179</v>
      </c>
      <c r="B81" s="25">
        <f>'Financial Statements'!B306/'Financial Statements'!B$311</f>
        <v>0</v>
      </c>
      <c r="C81" s="25">
        <f>'Financial Statements'!C306/'Financial Statements'!C$311</f>
        <v>0</v>
      </c>
      <c r="D81" s="25">
        <f>'Financial Statements'!D306/'Financial Statements'!D$311</f>
        <v>0</v>
      </c>
      <c r="E81" s="25">
        <f>'Financial Statements'!E306/'Financial Statements'!E$311</f>
        <v>0</v>
      </c>
      <c r="F81" s="25">
        <f>'Financial Statements'!F306/'Financial Statements'!F$311</f>
        <v>0</v>
      </c>
      <c r="G81" s="25">
        <f>'Financial Statements'!G306/'Financial Statements'!G$311</f>
        <v>0</v>
      </c>
      <c r="H81" s="25">
        <f>'Financial Statements'!H306/'Financial Statements'!H$311</f>
        <v>0</v>
      </c>
      <c r="I81" s="25">
        <f>'Financial Statements'!I306/'Financial Statements'!I$311</f>
        <v>0</v>
      </c>
      <c r="J81" s="25">
        <f>'Financial Statements'!J306/'Financial Statements'!J$311</f>
        <v>0</v>
      </c>
      <c r="K81" s="25">
        <f>'Financial Statements'!K306/'Financial Statements'!K$311</f>
        <v>0</v>
      </c>
      <c r="L81" s="25">
        <f>'Financial Statements'!L306/'Financial Statements'!L$311</f>
        <v>0</v>
      </c>
      <c r="M81" s="25">
        <f>'Financial Statements'!M306/'Financial Statements'!M$311</f>
        <v>0</v>
      </c>
    </row>
    <row r="82" spans="1:13" ht="12.75" customHeight="1" x14ac:dyDescent="0.2">
      <c r="A82" s="1" t="s">
        <v>132</v>
      </c>
      <c r="B82" s="25">
        <f>'Financial Statements'!B307/'Financial Statements'!B$311</f>
        <v>0</v>
      </c>
      <c r="C82" s="25">
        <f>'Financial Statements'!C307/'Financial Statements'!C$311</f>
        <v>0</v>
      </c>
      <c r="D82" s="25">
        <f>'Financial Statements'!D307/'Financial Statements'!D$311</f>
        <v>0</v>
      </c>
      <c r="E82" s="25">
        <f>'Financial Statements'!E307/'Financial Statements'!E$311</f>
        <v>0</v>
      </c>
      <c r="F82" s="25">
        <f>'Financial Statements'!F307/'Financial Statements'!F$311</f>
        <v>0</v>
      </c>
      <c r="G82" s="25">
        <f>'Financial Statements'!G307/'Financial Statements'!G$311</f>
        <v>0</v>
      </c>
      <c r="H82" s="25">
        <f>'Financial Statements'!H307/'Financial Statements'!H$311</f>
        <v>0</v>
      </c>
      <c r="I82" s="25">
        <f>'Financial Statements'!I307/'Financial Statements'!I$311</f>
        <v>0</v>
      </c>
      <c r="J82" s="25">
        <f>'Financial Statements'!J307/'Financial Statements'!J$311</f>
        <v>0</v>
      </c>
      <c r="K82" s="25">
        <f>'Financial Statements'!K307/'Financial Statements'!K$311</f>
        <v>0</v>
      </c>
      <c r="L82" s="25">
        <f>'Financial Statements'!L307/'Financial Statements'!L$311</f>
        <v>0</v>
      </c>
      <c r="M82" s="25">
        <f>'Financial Statements'!M307/'Financial Statements'!M$311</f>
        <v>0</v>
      </c>
    </row>
    <row r="83" spans="1:13" ht="12.75" customHeight="1" x14ac:dyDescent="0.2">
      <c r="A83" s="1" t="s">
        <v>133</v>
      </c>
      <c r="B83" s="25">
        <f>'Financial Statements'!B308/'Financial Statements'!B$311</f>
        <v>4.3639983709670122E-2</v>
      </c>
      <c r="C83" s="25">
        <f>'Financial Statements'!C308/'Financial Statements'!C$311</f>
        <v>4.4470928747765384E-2</v>
      </c>
      <c r="D83" s="25">
        <f>'Financial Statements'!D308/'Financial Statements'!D$311</f>
        <v>3.8785538785538788E-2</v>
      </c>
      <c r="E83" s="25">
        <f>'Financial Statements'!E308/'Financial Statements'!E$311</f>
        <v>4.2275210322413319E-2</v>
      </c>
      <c r="F83" s="25">
        <f>'Financial Statements'!F308/'Financial Statements'!F$311</f>
        <v>3.4050438279473801E-2</v>
      </c>
      <c r="G83" s="25">
        <f>'Financial Statements'!G308/'Financial Statements'!G$311</f>
        <v>5.3881811362368644E-2</v>
      </c>
      <c r="H83" s="25">
        <f>'Financial Statements'!H308/'Financial Statements'!H$311</f>
        <v>5.5832910356739721E-2</v>
      </c>
      <c r="I83" s="25">
        <f>'Financial Statements'!I308/'Financial Statements'!I$311</f>
        <v>4.9165769433289062E-2</v>
      </c>
      <c r="J83" s="25">
        <f>'Financial Statements'!J308/'Financial Statements'!J$311</f>
        <v>4.9215844307569451E-2</v>
      </c>
      <c r="K83" s="25">
        <f>'Financial Statements'!K308/'Financial Statements'!K$311</f>
        <v>5.0869327501366871E-2</v>
      </c>
      <c r="L83" s="25">
        <f>'Financial Statements'!L308/'Financial Statements'!L$311</f>
        <v>5.6689491703976823E-2</v>
      </c>
      <c r="M83" s="25">
        <f>'Financial Statements'!M308/'Financial Statements'!M$311</f>
        <v>5.6689491703976823E-2</v>
      </c>
    </row>
    <row r="84" spans="1:13" ht="12.75" customHeight="1" x14ac:dyDescent="0.2">
      <c r="A84" s="1" t="s">
        <v>180</v>
      </c>
      <c r="B84" s="25">
        <f>'Financial Statements'!B309/'Financial Statements'!B$311</f>
        <v>1.4715597990859315E-2</v>
      </c>
      <c r="C84" s="25">
        <f>'Financial Statements'!C309/'Financial Statements'!C$311</f>
        <v>1.2735166425470333E-2</v>
      </c>
      <c r="D84" s="25">
        <f>'Financial Statements'!D309/'Financial Statements'!D$311</f>
        <v>1.7039471584926129E-2</v>
      </c>
      <c r="E84" s="25">
        <f>'Financial Statements'!E309/'Financial Statements'!E$311</f>
        <v>2.1688739038109285E-2</v>
      </c>
      <c r="F84" s="25">
        <f>'Financial Statements'!F309/'Financial Statements'!F$311</f>
        <v>1.6243281247946592E-2</v>
      </c>
      <c r="G84" s="25">
        <f>'Financial Statements'!G309/'Financial Statements'!G$311</f>
        <v>7.3731655243602975E-3</v>
      </c>
      <c r="H84" s="25">
        <f>'Financial Statements'!H309/'Financial Statements'!H$311</f>
        <v>6.9999469700987114E-3</v>
      </c>
      <c r="I84" s="25">
        <f>'Financial Statements'!I309/'Financial Statements'!I$311</f>
        <v>6.8058753723191064E-3</v>
      </c>
      <c r="J84" s="25">
        <f>'Financial Statements'!J309/'Financial Statements'!J$311</f>
        <v>6.2259226122255828E-3</v>
      </c>
      <c r="K84" s="25">
        <f>'Financial Statements'!K309/'Financial Statements'!K$311</f>
        <v>5.7444869691999269E-3</v>
      </c>
      <c r="L84" s="25">
        <f>'Financial Statements'!L309/'Financial Statements'!L$311</f>
        <v>5.431919936792204E-3</v>
      </c>
      <c r="M84" s="25">
        <f>'Financial Statements'!M309/'Financial Statements'!M$311</f>
        <v>5.431919936792204E-3</v>
      </c>
    </row>
    <row r="85" spans="1:13" ht="12.75" customHeight="1" x14ac:dyDescent="0.2">
      <c r="A85" s="1" t="s">
        <v>134</v>
      </c>
      <c r="B85" s="25">
        <f>'Financial Statements'!B310/'Financial Statements'!B$311</f>
        <v>3.7684963120503193E-2</v>
      </c>
      <c r="C85" s="25">
        <f>'Financial Statements'!C310/'Financial Statements'!C$311</f>
        <v>4.6514003575380949E-2</v>
      </c>
      <c r="D85" s="25">
        <f>'Financial Statements'!D310/'Financial Statements'!D$311</f>
        <v>5.4612463703372797E-2</v>
      </c>
      <c r="E85" s="25">
        <f>'Financial Statements'!E310/'Financial Statements'!E$311</f>
        <v>5.5324115349078475E-2</v>
      </c>
      <c r="F85" s="25">
        <f>'Financial Statements'!F310/'Financial Statements'!F$311</f>
        <v>5.7265451486996174E-2</v>
      </c>
      <c r="G85" s="25">
        <f>'Financial Statements'!G310/'Financial Statements'!G$311</f>
        <v>0.14537958979553892</v>
      </c>
      <c r="H85" s="25">
        <f>'Financial Statements'!H310/'Financial Statements'!H$311</f>
        <v>7.4923674820645297E-2</v>
      </c>
      <c r="I85" s="25">
        <f>'Financial Statements'!I310/'Financial Statements'!I$311</f>
        <v>6.4773700714381141E-2</v>
      </c>
      <c r="J85" s="25">
        <f>'Financial Statements'!J310/'Financial Statements'!J$311</f>
        <v>5.5789294666558222E-2</v>
      </c>
      <c r="K85" s="25">
        <f>'Financial Statements'!K310/'Financial Statements'!K$311</f>
        <v>5.5316201931838893E-2</v>
      </c>
      <c r="L85" s="25">
        <f>'Financial Statements'!L310/'Financial Statements'!L$311</f>
        <v>5.2054253357914144E-2</v>
      </c>
      <c r="M85" s="25">
        <f>'Financial Statements'!M310/'Financial Statements'!M$311</f>
        <v>5.2054253357914144E-2</v>
      </c>
    </row>
    <row r="86" spans="1:13" ht="12.75" customHeight="1" thickBot="1" x14ac:dyDescent="0.25">
      <c r="A86" s="58" t="s">
        <v>267</v>
      </c>
      <c r="B86" s="29">
        <f>'Financial Statements'!B311/'Financial Statements'!B$311</f>
        <v>1</v>
      </c>
      <c r="C86" s="29">
        <f>'Financial Statements'!C311/'Financial Statements'!C$311</f>
        <v>1</v>
      </c>
      <c r="D86" s="29">
        <f>'Financial Statements'!D311/'Financial Statements'!D$311</f>
        <v>1</v>
      </c>
      <c r="E86" s="29">
        <f>'Financial Statements'!E311/'Financial Statements'!E$311</f>
        <v>1</v>
      </c>
      <c r="F86" s="29">
        <f>'Financial Statements'!F311/'Financial Statements'!F$311</f>
        <v>1</v>
      </c>
      <c r="G86" s="29">
        <f>'Financial Statements'!G311/'Financial Statements'!G$311</f>
        <v>1</v>
      </c>
      <c r="H86" s="29">
        <f>'Financial Statements'!H311/'Financial Statements'!H$311</f>
        <v>1</v>
      </c>
      <c r="I86" s="29">
        <f>'Financial Statements'!I311/'Financial Statements'!I$311</f>
        <v>1</v>
      </c>
      <c r="J86" s="29">
        <f>'Financial Statements'!J311/'Financial Statements'!J$311</f>
        <v>1</v>
      </c>
      <c r="K86" s="29">
        <f>'Financial Statements'!K311/'Financial Statements'!K$311</f>
        <v>1</v>
      </c>
      <c r="L86" s="29">
        <f>'Financial Statements'!L311/'Financial Statements'!L$311</f>
        <v>1</v>
      </c>
      <c r="M86" s="29">
        <f>'Financial Statements'!M311/'Financial Statements'!M$311</f>
        <v>1</v>
      </c>
    </row>
    <row r="87" spans="1:13" ht="12.75" customHeight="1" thickTop="1" x14ac:dyDescent="0.2">
      <c r="A87" s="1" t="s">
        <v>50</v>
      </c>
      <c r="B87" s="25">
        <f>'Financial Statements'!B312/'Financial Statements'!B$346</f>
        <v>5.4554504728720754E-2</v>
      </c>
      <c r="C87" s="25">
        <f>'Financial Statements'!C312/'Financial Statements'!C$346</f>
        <v>5.2856048352770919E-2</v>
      </c>
      <c r="D87" s="25">
        <f>'Financial Statements'!D312/'Financial Statements'!D$346</f>
        <v>5.1461437825074188E-2</v>
      </c>
      <c r="E87" s="25">
        <f>'Financial Statements'!E312/'Financial Statements'!E$346</f>
        <v>5.315199948128576E-2</v>
      </c>
      <c r="F87" s="25">
        <f>'Financial Statements'!F312/'Financial Statements'!F$346</f>
        <v>3.2171158976515582E-2</v>
      </c>
      <c r="G87" s="25">
        <f>'Financial Statements'!G312/'Financial Statements'!G$346</f>
        <v>2.5857370921517461E-2</v>
      </c>
      <c r="H87" s="25">
        <f>'Financial Statements'!H312/'Financial Statements'!H$346</f>
        <v>2.9961894228074031E-2</v>
      </c>
      <c r="I87" s="25">
        <f>'Financial Statements'!I312/'Financial Statements'!I$346</f>
        <v>3.1836721862892263E-2</v>
      </c>
      <c r="J87" s="25">
        <f>'Financial Statements'!J312/'Financial Statements'!J$346</f>
        <v>3.0552864885648581E-2</v>
      </c>
      <c r="K87" s="25">
        <f>'Financial Statements'!K312/'Financial Statements'!K$346</f>
        <v>2.9393110989611809E-2</v>
      </c>
      <c r="L87" s="25">
        <f>'Financial Statements'!L312/'Financial Statements'!L$346</f>
        <v>3.1314195417434819E-2</v>
      </c>
      <c r="M87" s="25">
        <f>'Financial Statements'!M312/'Financial Statements'!M$346</f>
        <v>3.1314195417434819E-2</v>
      </c>
    </row>
    <row r="88" spans="1:13" ht="12.75" customHeight="1" x14ac:dyDescent="0.2">
      <c r="A88" s="1" t="s">
        <v>96</v>
      </c>
      <c r="B88" s="25">
        <f>'Financial Statements'!B313/'Financial Statements'!B$346</f>
        <v>6.7867324313317351E-2</v>
      </c>
      <c r="C88" s="25">
        <f>'Financial Statements'!C313/'Financial Statements'!C$346</f>
        <v>6.6910700604409637E-2</v>
      </c>
      <c r="D88" s="25">
        <f>'Financial Statements'!D313/'Financial Statements'!D$346</f>
        <v>5.9622195985832349E-2</v>
      </c>
      <c r="E88" s="25">
        <f>'Financial Statements'!E313/'Financial Statements'!E$346</f>
        <v>5.5137702420126111E-2</v>
      </c>
      <c r="F88" s="25">
        <f>'Financial Statements'!F313/'Financial Statements'!F$346</f>
        <v>4.8421011131115868E-2</v>
      </c>
      <c r="G88" s="25">
        <f>'Financial Statements'!G313/'Financial Statements'!G$346</f>
        <v>5.0874842118086051E-2</v>
      </c>
      <c r="H88" s="25">
        <f>'Financial Statements'!H313/'Financial Statements'!H$346</f>
        <v>5.3302626495253823E-2</v>
      </c>
      <c r="I88" s="25">
        <f>'Financial Statements'!I313/'Financial Statements'!I$346</f>
        <v>5.5374362440370001E-2</v>
      </c>
      <c r="J88" s="25">
        <f>'Financial Statements'!J313/'Financial Statements'!J$346</f>
        <v>4.974822723878114E-2</v>
      </c>
      <c r="K88" s="25">
        <f>'Financial Statements'!K313/'Financial Statements'!K$346</f>
        <v>5.1408784399489704E-2</v>
      </c>
      <c r="L88" s="25">
        <f>'Financial Statements'!L313/'Financial Statements'!L$346</f>
        <v>5.2515143534369237E-2</v>
      </c>
      <c r="M88" s="25">
        <f>'Financial Statements'!M313/'Financial Statements'!M$346</f>
        <v>5.2515143534369237E-2</v>
      </c>
    </row>
    <row r="89" spans="1:13" ht="12.75" customHeight="1" x14ac:dyDescent="0.2">
      <c r="A89" s="1" t="s">
        <v>181</v>
      </c>
      <c r="B89" s="25">
        <f>'Financial Statements'!B314/'Financial Statements'!B$346</f>
        <v>1.0769718086791258E-2</v>
      </c>
      <c r="C89" s="25">
        <f>'Financial Statements'!C314/'Financial Statements'!C$346</f>
        <v>1.0845322209925939E-2</v>
      </c>
      <c r="D89" s="25">
        <f>'Financial Statements'!D314/'Financial Statements'!D$346</f>
        <v>1.4135741408468681E-2</v>
      </c>
      <c r="E89" s="25">
        <f>'Financial Statements'!E314/'Financial Statements'!E$346</f>
        <v>2.5579095816245481E-2</v>
      </c>
      <c r="F89" s="25">
        <f>'Financial Statements'!F314/'Financial Statements'!F$346</f>
        <v>8.3779059834675988E-3</v>
      </c>
      <c r="G89" s="25">
        <f>'Financial Statements'!G314/'Financial Statements'!G$346</f>
        <v>8.3348827666681626E-4</v>
      </c>
      <c r="H89" s="25">
        <f>'Financial Statements'!H314/'Financial Statements'!H$346</f>
        <v>1.6666540404996932E-4</v>
      </c>
      <c r="I89" s="25">
        <f>'Financial Statements'!I314/'Financial Statements'!I$346</f>
        <v>0</v>
      </c>
      <c r="J89" s="25">
        <f>'Financial Statements'!J314/'Financial Statements'!J$346</f>
        <v>7.3942073779401221E-6</v>
      </c>
      <c r="K89" s="25">
        <f>'Financial Statements'!K314/'Financial Statements'!K$346</f>
        <v>2.1869874248223073E-4</v>
      </c>
      <c r="L89" s="25">
        <f>'Financial Statements'!L314/'Financial Statements'!L$346</f>
        <v>0</v>
      </c>
      <c r="M89" s="25">
        <f>'Financial Statements'!M314/'Financial Statements'!M$346</f>
        <v>0</v>
      </c>
    </row>
    <row r="90" spans="1:13" ht="12.75" customHeight="1" x14ac:dyDescent="0.2">
      <c r="A90" s="1" t="s">
        <v>182</v>
      </c>
      <c r="B90" s="25">
        <f>'Financial Statements'!B315/'Financial Statements'!B$346</f>
        <v>4.7703515996198924E-2</v>
      </c>
      <c r="C90" s="25">
        <f>'Financial Statements'!C315/'Financial Statements'!C$346</f>
        <v>5.3111432706222865E-2</v>
      </c>
      <c r="D90" s="25">
        <f>'Financial Statements'!D315/'Financial Statements'!D$346</f>
        <v>4.1601518874246145E-2</v>
      </c>
      <c r="E90" s="25">
        <f>'Financial Statements'!E315/'Financial Statements'!E$346</f>
        <v>5.7123405358966463E-2</v>
      </c>
      <c r="F90" s="25">
        <f>'Financial Statements'!F315/'Financial Statements'!F$346</f>
        <v>4.9084672703139577E-2</v>
      </c>
      <c r="G90" s="25">
        <f>'Financial Statements'!G315/'Financial Statements'!G$346</f>
        <v>4.4598034249956724E-2</v>
      </c>
      <c r="H90" s="25">
        <f>'Financial Statements'!H315/'Financial Statements'!H$346</f>
        <v>5.0976886538738345E-2</v>
      </c>
      <c r="I90" s="25">
        <f>'Financial Statements'!I315/'Financial Statements'!I$346</f>
        <v>3.6819314225536963E-2</v>
      </c>
      <c r="J90" s="25">
        <f>'Financial Statements'!J315/'Financial Statements'!J$346</f>
        <v>4.6613083310534528E-2</v>
      </c>
      <c r="K90" s="25">
        <f>'Financial Statements'!K315/'Financial Statements'!K$346</f>
        <v>3.5436486240204117E-2</v>
      </c>
      <c r="L90" s="25">
        <f>'Financial Statements'!L315/'Financial Statements'!L$346</f>
        <v>4.0459573347379513E-2</v>
      </c>
      <c r="M90" s="25">
        <f>'Financial Statements'!M315/'Financial Statements'!M$346</f>
        <v>4.0459573347379513E-2</v>
      </c>
    </row>
    <row r="91" spans="1:13" ht="12.75" customHeight="1" x14ac:dyDescent="0.2">
      <c r="A91" s="1" t="s">
        <v>471</v>
      </c>
      <c r="B91" s="25">
        <f>'Financial Statements'!B316/'Financial Statements'!B$346</f>
        <v>0</v>
      </c>
      <c r="C91" s="25">
        <f>'Financial Statements'!C316/'Financial Statements'!C$346</f>
        <v>0</v>
      </c>
      <c r="D91" s="25">
        <f>'Financial Statements'!D316/'Financial Statements'!D$346</f>
        <v>0</v>
      </c>
      <c r="E91" s="25">
        <f>'Financial Statements'!E316/'Financial Statements'!E$346</f>
        <v>2.4314729863351219E-5</v>
      </c>
      <c r="F91" s="25">
        <f>'Financial Statements'!F316/'Financial Statements'!F$346</f>
        <v>9.4095383280985104E-3</v>
      </c>
      <c r="G91" s="25">
        <f>'Financial Statements'!G316/'Financial Statements'!G$346</f>
        <v>6.828192420385841E-3</v>
      </c>
      <c r="H91" s="25">
        <f>'Financial Statements'!H316/'Financial Statements'!H$346</f>
        <v>7.6514571859304095E-3</v>
      </c>
      <c r="I91" s="25">
        <f>'Financial Statements'!I316/'Financial Statements'!I$346</f>
        <v>7.4581705869871031E-3</v>
      </c>
      <c r="J91" s="25">
        <f>'Financial Statements'!J316/'Financial Statements'!J$346</f>
        <v>6.9579491426416543E-3</v>
      </c>
      <c r="K91" s="25">
        <f>'Financial Statements'!K316/'Financial Statements'!K$346</f>
        <v>7.0420995079278296E-3</v>
      </c>
      <c r="L91" s="25">
        <f>'Financial Statements'!L316/'Financial Statements'!L$346</f>
        <v>7.1042928627864099E-3</v>
      </c>
      <c r="M91" s="25">
        <f>'Financial Statements'!M316/'Financial Statements'!M$346</f>
        <v>7.1042928627864099E-3</v>
      </c>
    </row>
    <row r="92" spans="1:13" ht="12.75" customHeight="1" x14ac:dyDescent="0.2">
      <c r="A92" s="1" t="s">
        <v>183</v>
      </c>
      <c r="B92" s="25">
        <f>'Financial Statements'!B317/'Financial Statements'!B$346</f>
        <v>0</v>
      </c>
      <c r="C92" s="25">
        <f>'Financial Statements'!C317/'Financial Statements'!C$346</f>
        <v>0</v>
      </c>
      <c r="D92" s="25">
        <f>'Financial Statements'!D317/'Financial Statements'!D$346</f>
        <v>0</v>
      </c>
      <c r="E92" s="25">
        <f>'Financial Statements'!E317/'Financial Statements'!E$346</f>
        <v>0</v>
      </c>
      <c r="F92" s="25">
        <f>'Financial Statements'!F317/'Financial Statements'!F$346</f>
        <v>0</v>
      </c>
      <c r="G92" s="25">
        <f>'Financial Statements'!G317/'Financial Statements'!G$346</f>
        <v>0</v>
      </c>
      <c r="H92" s="25">
        <f>'Financial Statements'!H317/'Financial Statements'!H$346</f>
        <v>0</v>
      </c>
      <c r="I92" s="25">
        <f>'Financial Statements'!I317/'Financial Statements'!I$346</f>
        <v>0</v>
      </c>
      <c r="J92" s="25">
        <f>'Financial Statements'!J317/'Financial Statements'!J$346</f>
        <v>0</v>
      </c>
      <c r="K92" s="25">
        <f>'Financial Statements'!K317/'Financial Statements'!K$346</f>
        <v>0</v>
      </c>
      <c r="L92" s="25">
        <f>'Financial Statements'!L317/'Financial Statements'!L$346</f>
        <v>0</v>
      </c>
      <c r="M92" s="25">
        <f>'Financial Statements'!M317/'Financial Statements'!M$346</f>
        <v>0</v>
      </c>
    </row>
    <row r="93" spans="1:13" ht="12.75" customHeight="1" x14ac:dyDescent="0.2">
      <c r="A93" s="1" t="s">
        <v>184</v>
      </c>
      <c r="B93" s="25">
        <f>'Financial Statements'!B318/'Financial Statements'!B$346</f>
        <v>0</v>
      </c>
      <c r="C93" s="25">
        <f>'Financial Statements'!C318/'Financial Statements'!C$346</f>
        <v>0</v>
      </c>
      <c r="D93" s="25">
        <f>'Financial Statements'!D318/'Financial Statements'!D$346</f>
        <v>0</v>
      </c>
      <c r="E93" s="25">
        <f>'Financial Statements'!E318/'Financial Statements'!E$346</f>
        <v>0</v>
      </c>
      <c r="F93" s="25">
        <f>'Financial Statements'!F318/'Financial Statements'!F$346</f>
        <v>0</v>
      </c>
      <c r="G93" s="25">
        <f>'Financial Statements'!G318/'Financial Statements'!G$346</f>
        <v>0</v>
      </c>
      <c r="H93" s="25">
        <f>'Financial Statements'!H318/'Financial Statements'!H$346</f>
        <v>0</v>
      </c>
      <c r="I93" s="25">
        <f>'Financial Statements'!I318/'Financial Statements'!I$346</f>
        <v>0</v>
      </c>
      <c r="J93" s="25">
        <f>'Financial Statements'!J318/'Financial Statements'!J$346</f>
        <v>0</v>
      </c>
      <c r="K93" s="25">
        <f>'Financial Statements'!K318/'Financial Statements'!K$346</f>
        <v>0</v>
      </c>
      <c r="L93" s="25">
        <f>'Financial Statements'!L318/'Financial Statements'!L$346</f>
        <v>0</v>
      </c>
      <c r="M93" s="25">
        <f>'Financial Statements'!M318/'Financial Statements'!M$346</f>
        <v>0</v>
      </c>
    </row>
    <row r="94" spans="1:13" ht="12.75" customHeight="1" x14ac:dyDescent="0.2">
      <c r="A94" s="1" t="s">
        <v>185</v>
      </c>
      <c r="B94" s="25">
        <f>'Financial Statements'!B319/'Financial Statements'!B$346</f>
        <v>2.5765871758903117E-2</v>
      </c>
      <c r="C94" s="25">
        <f>'Financial Statements'!C319/'Financial Statements'!C$346</f>
        <v>2.7538946113901421E-2</v>
      </c>
      <c r="D94" s="25">
        <f>'Financial Statements'!D319/'Financial Statements'!D$346</f>
        <v>3.365614729251093E-2</v>
      </c>
      <c r="E94" s="25">
        <f>'Financial Statements'!E319/'Financial Statements'!E$346</f>
        <v>2.4687555721255937E-2</v>
      </c>
      <c r="F94" s="25">
        <f>'Financial Statements'!F319/'Financial Statements'!F$346</f>
        <v>1.8654803989854519E-2</v>
      </c>
      <c r="G94" s="25">
        <f>'Financial Statements'!G319/'Financial Statements'!G$346</f>
        <v>2.0503811606003682E-2</v>
      </c>
      <c r="H94" s="25">
        <f>'Financial Statements'!H319/'Financial Statements'!H$346</f>
        <v>1.7340777721380898E-2</v>
      </c>
      <c r="I94" s="25">
        <f>'Financial Statements'!I319/'Financial Statements'!I$346</f>
        <v>1.7258316763987015E-2</v>
      </c>
      <c r="J94" s="25">
        <f>'Financial Statements'!J319/'Financial Statements'!J$346</f>
        <v>1.6784850747924077E-2</v>
      </c>
      <c r="K94" s="25">
        <f>'Financial Statements'!K319/'Financial Statements'!K$346</f>
        <v>1.4820484782212501E-2</v>
      </c>
      <c r="L94" s="25">
        <f>'Financial Statements'!L319/'Financial Statements'!L$346</f>
        <v>1.5452989202001581E-2</v>
      </c>
      <c r="M94" s="25">
        <f>'Financial Statements'!M319/'Financial Statements'!M$346</f>
        <v>1.5452989202001581E-2</v>
      </c>
    </row>
    <row r="95" spans="1:13" ht="12.75" customHeight="1" x14ac:dyDescent="0.2">
      <c r="A95" s="1" t="s">
        <v>135</v>
      </c>
      <c r="B95" s="25">
        <f>'Financial Statements'!B320/'Financial Statements'!B$346</f>
        <v>0.10189601339427123</v>
      </c>
      <c r="C95" s="25">
        <f>'Financial Statements'!C320/'Financial Statements'!C$346</f>
        <v>9.6186260321784289E-2</v>
      </c>
      <c r="D95" s="25">
        <f>'Financial Statements'!D320/'Financial Statements'!D$346</f>
        <v>9.4363253454162549E-2</v>
      </c>
      <c r="E95" s="25">
        <f>'Financial Statements'!E320/'Financial Statements'!E$346</f>
        <v>9.268775023909484E-2</v>
      </c>
      <c r="F95" s="25">
        <f>'Financial Statements'!F320/'Financial Statements'!F$346</f>
        <v>8.0513319227787053E-2</v>
      </c>
      <c r="G95" s="25">
        <f>'Financial Statements'!G320/'Financial Statements'!G$346</f>
        <v>7.7873450833808852E-2</v>
      </c>
      <c r="H95" s="25">
        <f>'Financial Statements'!H320/'Financial Statements'!H$346</f>
        <v>9.4832614904432538E-2</v>
      </c>
      <c r="I95" s="25">
        <f>'Financial Statements'!I320/'Financial Statements'!I$346</f>
        <v>9.4559229191389704E-2</v>
      </c>
      <c r="J95" s="25">
        <f>'Financial Statements'!J320/'Financial Statements'!J$346</f>
        <v>9.9459483440672583E-2</v>
      </c>
      <c r="K95" s="25">
        <f>'Financial Statements'!K320/'Financial Statements'!K$346</f>
        <v>0.10138144705667942</v>
      </c>
      <c r="L95" s="25">
        <f>'Financial Statements'!L320/'Financial Statements'!L$346</f>
        <v>0.10601132473005004</v>
      </c>
      <c r="M95" s="25">
        <f>'Financial Statements'!M320/'Financial Statements'!M$346</f>
        <v>0.10601132473005004</v>
      </c>
    </row>
    <row r="96" spans="1:13" ht="12.75" customHeight="1" x14ac:dyDescent="0.2">
      <c r="A96" s="1" t="s">
        <v>186</v>
      </c>
      <c r="B96" s="25">
        <f>'Financial Statements'!B321/'Financial Statements'!B$346</f>
        <v>0</v>
      </c>
      <c r="C96" s="25">
        <f>'Financial Statements'!C321/'Financial Statements'!C$346</f>
        <v>0</v>
      </c>
      <c r="D96" s="25">
        <f>'Financial Statements'!D321/'Financial Statements'!D$346</f>
        <v>0</v>
      </c>
      <c r="E96" s="25">
        <f>'Financial Statements'!E321/'Financial Statements'!E$346</f>
        <v>0</v>
      </c>
      <c r="F96" s="25">
        <f>'Financial Statements'!F321/'Financial Statements'!F$346</f>
        <v>0</v>
      </c>
      <c r="G96" s="25">
        <f>'Financial Statements'!G321/'Financial Statements'!G$346</f>
        <v>0</v>
      </c>
      <c r="H96" s="25">
        <f>'Financial Statements'!H321/'Financial Statements'!H$346</f>
        <v>0</v>
      </c>
      <c r="I96" s="25">
        <f>'Financial Statements'!I321/'Financial Statements'!I$346</f>
        <v>0</v>
      </c>
      <c r="J96" s="25">
        <f>'Financial Statements'!J321/'Financial Statements'!J$346</f>
        <v>0</v>
      </c>
      <c r="K96" s="25">
        <f>'Financial Statements'!K321/'Financial Statements'!K$346</f>
        <v>0</v>
      </c>
      <c r="L96" s="25">
        <f>'Financial Statements'!L321/'Financial Statements'!L$346</f>
        <v>0</v>
      </c>
      <c r="M96" s="25">
        <f>'Financial Statements'!M321/'Financial Statements'!M$346</f>
        <v>0</v>
      </c>
    </row>
    <row r="97" spans="1:13" ht="12.75" customHeight="1" x14ac:dyDescent="0.2">
      <c r="A97" s="1" t="s">
        <v>136</v>
      </c>
      <c r="B97" s="25">
        <f>'Financial Statements'!B322/'Financial Statements'!B$346</f>
        <v>1.5837820715869496E-3</v>
      </c>
      <c r="C97" s="25">
        <f>'Financial Statements'!C322/'Financial Statements'!C$346</f>
        <v>1.3535370732953094E-3</v>
      </c>
      <c r="D97" s="25">
        <f>'Financial Statements'!D322/'Financial Statements'!D$346</f>
        <v>3.2148441239350329E-3</v>
      </c>
      <c r="E97" s="25">
        <f>'Financial Statements'!E322/'Financial Statements'!E$346</f>
        <v>1.4345690619377218E-3</v>
      </c>
      <c r="F97" s="25">
        <f>'Financial Statements'!F322/'Financial Statements'!F$346</f>
        <v>1.097341411167913E-3</v>
      </c>
      <c r="G97" s="25">
        <f>'Financial Statements'!G322/'Financial Statements'!G$346</f>
        <v>2.8248841130723019E-2</v>
      </c>
      <c r="H97" s="25">
        <f>'Financial Statements'!H322/'Financial Statements'!H$346</f>
        <v>4.5454201104537089E-4</v>
      </c>
      <c r="I97" s="25">
        <f>'Financial Statements'!I322/'Financial Statements'!I$346</f>
        <v>4.2910022555268266E-3</v>
      </c>
      <c r="J97" s="25">
        <f>'Financial Statements'!J322/'Financial Statements'!J$346</f>
        <v>2.1812911764923361E-3</v>
      </c>
      <c r="K97" s="25">
        <f>'Financial Statements'!K322/'Financial Statements'!K$346</f>
        <v>1.9026790595954074E-3</v>
      </c>
      <c r="L97" s="25">
        <f>'Financial Statements'!L322/'Financial Statements'!L$346</f>
        <v>1.6723729259942059E-3</v>
      </c>
      <c r="M97" s="25">
        <f>'Financial Statements'!M322/'Financial Statements'!M$346</f>
        <v>1.6723729259942059E-3</v>
      </c>
    </row>
    <row r="98" spans="1:13" ht="12.75" customHeight="1" x14ac:dyDescent="0.2">
      <c r="A98" s="5" t="s">
        <v>97</v>
      </c>
      <c r="B98" s="26">
        <f>'Financial Statements'!B323/'Financial Statements'!B$346</f>
        <v>0.31014073034978956</v>
      </c>
      <c r="C98" s="26">
        <f>'Financial Statements'!C323/'Financial Statements'!C$346</f>
        <v>0.30880224738231038</v>
      </c>
      <c r="D98" s="26">
        <f>'Financial Statements'!D323/'Financial Statements'!D$346</f>
        <v>0.29805513896422986</v>
      </c>
      <c r="E98" s="26">
        <f>'Financial Statements'!E323/'Financial Statements'!E$346</f>
        <v>0.30982639282877567</v>
      </c>
      <c r="F98" s="26">
        <f>'Financial Statements'!F323/'Financial Statements'!F$346</f>
        <v>0.24772975175114662</v>
      </c>
      <c r="G98" s="26">
        <f>'Financial Statements'!G323/'Financial Statements'!G$346</f>
        <v>0.25561803155714846</v>
      </c>
      <c r="H98" s="26">
        <f>'Financial Statements'!H323/'Financial Statements'!H$346</f>
        <v>0.25468746448890539</v>
      </c>
      <c r="I98" s="26">
        <f>'Financial Statements'!I323/'Financial Statements'!I$346</f>
        <v>0.24759711732668988</v>
      </c>
      <c r="J98" s="26">
        <f>'Financial Statements'!J323/'Financial Statements'!J$346</f>
        <v>0.25230514415007282</v>
      </c>
      <c r="K98" s="26">
        <f>'Financial Statements'!K323/'Financial Statements'!K$346</f>
        <v>0.24160379077820301</v>
      </c>
      <c r="L98" s="26">
        <f>'Financial Statements'!L323/'Financial Statements'!L$346</f>
        <v>0.2545298920200158</v>
      </c>
      <c r="M98" s="26">
        <f>'Financial Statements'!M323/'Financial Statements'!M$346</f>
        <v>0.2545298920200158</v>
      </c>
    </row>
    <row r="99" spans="1:13" ht="12.75" customHeight="1" x14ac:dyDescent="0.2">
      <c r="A99" s="1" t="s">
        <v>187</v>
      </c>
      <c r="B99" s="25">
        <f>'Financial Statements'!B324/'Financial Statements'!B$346</f>
        <v>0.30255667677270465</v>
      </c>
      <c r="C99" s="25">
        <f>'Financial Statements'!C324/'Financial Statements'!C$346</f>
        <v>0.29507959479015922</v>
      </c>
      <c r="D99" s="25">
        <f>'Financial Statements'!D324/'Financial Statements'!D$346</f>
        <v>0.3180621589712499</v>
      </c>
      <c r="E99" s="25">
        <f>'Financial Statements'!E324/'Financial Statements'!E$346</f>
        <v>0.28826733234993757</v>
      </c>
      <c r="F99" s="25">
        <f>'Financial Statements'!F324/'Financial Statements'!F$346</f>
        <v>0.35450698487377286</v>
      </c>
      <c r="G99" s="25">
        <f>'Financial Statements'!G324/'Financial Statements'!G$346</f>
        <v>0.3472248046111136</v>
      </c>
      <c r="H99" s="25">
        <f>'Financial Statements'!H324/'Financial Statements'!H$346</f>
        <v>0.33980045605715109</v>
      </c>
      <c r="I99" s="25">
        <f>'Financial Statements'!I324/'Financial Statements'!I$346</f>
        <v>0.36170948500113953</v>
      </c>
      <c r="J99" s="25">
        <f>'Financial Statements'!J324/'Financial Statements'!J$346</f>
        <v>0.36780266339349754</v>
      </c>
      <c r="K99" s="25">
        <f>'Financial Statements'!K324/'Financial Statements'!K$346</f>
        <v>0.35779843265901223</v>
      </c>
      <c r="L99" s="25">
        <f>'Financial Statements'!L324/'Financial Statements'!L$346</f>
        <v>0.35529365288385567</v>
      </c>
      <c r="M99" s="25">
        <f>'Financial Statements'!M324/'Financial Statements'!M$346</f>
        <v>0.35529365288385567</v>
      </c>
    </row>
    <row r="100" spans="1:13" ht="12.75" customHeight="1" x14ac:dyDescent="0.2">
      <c r="A100" s="1" t="s">
        <v>472</v>
      </c>
      <c r="B100" s="25">
        <f>'Financial Statements'!B325/'Financial Statements'!B$346</f>
        <v>0</v>
      </c>
      <c r="C100" s="25">
        <f>'Financial Statements'!C325/'Financial Statements'!C$346</f>
        <v>0</v>
      </c>
      <c r="D100" s="25">
        <f>'Financial Statements'!D325/'Financial Statements'!D$346</f>
        <v>0</v>
      </c>
      <c r="E100" s="25">
        <f>'Financial Statements'!E325/'Financial Statements'!E$346</f>
        <v>3.0798657826911543E-4</v>
      </c>
      <c r="F100" s="25">
        <f>'Financial Statements'!F325/'Financial Statements'!F$346</f>
        <v>2.6480753814411312E-2</v>
      </c>
      <c r="G100" s="25">
        <f>'Financial Statements'!G325/'Financial Statements'!G$346</f>
        <v>1.7823826224105763E-2</v>
      </c>
      <c r="H100" s="25">
        <f>'Financial Statements'!H325/'Financial Statements'!H$346</f>
        <v>1.9128642964826022E-2</v>
      </c>
      <c r="I100" s="25">
        <f>'Financial Statements'!I325/'Financial Statements'!I$346</f>
        <v>1.8500035365403206E-2</v>
      </c>
      <c r="J100" s="25">
        <f>'Financial Statements'!J325/'Financial Statements'!J$346</f>
        <v>2.1790729142789539E-2</v>
      </c>
      <c r="K100" s="25">
        <f>'Financial Statements'!K325/'Financial Statements'!K$346</f>
        <v>2.5208675050118461E-2</v>
      </c>
      <c r="L100" s="25">
        <f>'Financial Statements'!L325/'Financial Statements'!L$346</f>
        <v>2.2524361337898341E-2</v>
      </c>
      <c r="M100" s="25">
        <f>'Financial Statements'!M325/'Financial Statements'!M$346</f>
        <v>2.2524361337898341E-2</v>
      </c>
    </row>
    <row r="101" spans="1:13" ht="12.75" customHeight="1" x14ac:dyDescent="0.2">
      <c r="A101" s="1" t="s">
        <v>189</v>
      </c>
      <c r="B101" s="25">
        <f>'Financial Statements'!B326/'Financial Statements'!B$346</f>
        <v>0</v>
      </c>
      <c r="C101" s="25">
        <f>'Financial Statements'!C326/'Financial Statements'!C$346</f>
        <v>0</v>
      </c>
      <c r="D101" s="25">
        <f>'Financial Statements'!D326/'Financial Statements'!D$346</f>
        <v>0</v>
      </c>
      <c r="E101" s="25">
        <f>'Financial Statements'!E326/'Financial Statements'!E$346</f>
        <v>0</v>
      </c>
      <c r="F101" s="25">
        <f>'Financial Statements'!F326/'Financial Statements'!F$346</f>
        <v>0</v>
      </c>
      <c r="G101" s="25">
        <f>'Financial Statements'!G326/'Financial Statements'!G$346</f>
        <v>0</v>
      </c>
      <c r="H101" s="25">
        <f>'Financial Statements'!H326/'Financial Statements'!H$346</f>
        <v>0</v>
      </c>
      <c r="I101" s="25">
        <f>'Financial Statements'!I326/'Financial Statements'!I$346</f>
        <v>0</v>
      </c>
      <c r="J101" s="25">
        <f>'Financial Statements'!J326/'Financial Statements'!J$346</f>
        <v>0</v>
      </c>
      <c r="K101" s="25">
        <f>'Financial Statements'!K326/'Financial Statements'!K$346</f>
        <v>0</v>
      </c>
      <c r="L101" s="25">
        <f>'Financial Statements'!L326/'Financial Statements'!L$346</f>
        <v>0</v>
      </c>
      <c r="M101" s="25">
        <f>'Financial Statements'!M326/'Financial Statements'!M$346</f>
        <v>0</v>
      </c>
    </row>
    <row r="102" spans="1:13" ht="12.75" customHeight="1" x14ac:dyDescent="0.2">
      <c r="A102" s="1" t="s">
        <v>190</v>
      </c>
      <c r="B102" s="25">
        <f>'Financial Statements'!B327/'Financial Statements'!B$346</f>
        <v>0</v>
      </c>
      <c r="C102" s="25">
        <f>'Financial Statements'!C327/'Financial Statements'!C$346</f>
        <v>0</v>
      </c>
      <c r="D102" s="25">
        <f>'Financial Statements'!D327/'Financial Statements'!D$346</f>
        <v>0</v>
      </c>
      <c r="E102" s="25">
        <f>'Financial Statements'!E327/'Financial Statements'!E$346</f>
        <v>0</v>
      </c>
      <c r="F102" s="25">
        <f>'Financial Statements'!F327/'Financial Statements'!F$346</f>
        <v>0</v>
      </c>
      <c r="G102" s="25">
        <f>'Financial Statements'!G327/'Financial Statements'!G$346</f>
        <v>0</v>
      </c>
      <c r="H102" s="25">
        <f>'Financial Statements'!H327/'Financial Statements'!H$346</f>
        <v>0</v>
      </c>
      <c r="I102" s="25">
        <f>'Financial Statements'!I327/'Financial Statements'!I$346</f>
        <v>0</v>
      </c>
      <c r="J102" s="25">
        <f>'Financial Statements'!J327/'Financial Statements'!J$346</f>
        <v>0</v>
      </c>
      <c r="K102" s="25">
        <f>'Financial Statements'!K327/'Financial Statements'!K$346</f>
        <v>0</v>
      </c>
      <c r="L102" s="25">
        <f>'Financial Statements'!L327/'Financial Statements'!L$346</f>
        <v>0</v>
      </c>
      <c r="M102" s="25">
        <f>'Financial Statements'!M327/'Financial Statements'!M$346</f>
        <v>0</v>
      </c>
    </row>
    <row r="103" spans="1:13" ht="12.75" customHeight="1" x14ac:dyDescent="0.2">
      <c r="A103" s="1" t="s">
        <v>191</v>
      </c>
      <c r="B103" s="25">
        <f>'Financial Statements'!B328/'Financial Statements'!B$346</f>
        <v>3.4128241096882214E-2</v>
      </c>
      <c r="C103" s="25">
        <f>'Financial Statements'!C328/'Financial Statements'!C$346</f>
        <v>3.064612241423342E-2</v>
      </c>
      <c r="D103" s="25">
        <f>'Financial Statements'!D328/'Financial Statements'!D$346</f>
        <v>2.9882893519257155E-2</v>
      </c>
      <c r="E103" s="25">
        <f>'Financial Statements'!E328/'Financial Statements'!E$346</f>
        <v>2.7921414793081648E-2</v>
      </c>
      <c r="F103" s="25">
        <f>'Financial Statements'!F328/'Financial Statements'!F$346</f>
        <v>2.5304561523398997E-2</v>
      </c>
      <c r="G103" s="25">
        <f>'Financial Statements'!G328/'Financial Statements'!G$346</f>
        <v>2.4094222643953042E-2</v>
      </c>
      <c r="H103" s="25">
        <f>'Financial Statements'!H328/'Financial Statements'!H$346</f>
        <v>2.7098279558488193E-2</v>
      </c>
      <c r="I103" s="25">
        <f>'Financial Statements'!I328/'Financial Statements'!I$346</f>
        <v>2.7498565736425579E-2</v>
      </c>
      <c r="J103" s="25">
        <f>'Financial Statements'!J328/'Financial Statements'!J$346</f>
        <v>2.6123734666262451E-2</v>
      </c>
      <c r="K103" s="25">
        <f>'Financial Statements'!K328/'Financial Statements'!K$346</f>
        <v>2.640422817568799E-2</v>
      </c>
      <c r="L103" s="25">
        <f>'Financial Statements'!L328/'Financial Statements'!L$346</f>
        <v>2.8120884909138794E-2</v>
      </c>
      <c r="M103" s="25">
        <f>'Financial Statements'!M328/'Financial Statements'!M$346</f>
        <v>2.8120884909138794E-2</v>
      </c>
    </row>
    <row r="104" spans="1:13" ht="12.75" customHeight="1" x14ac:dyDescent="0.2">
      <c r="A104" s="1" t="s">
        <v>192</v>
      </c>
      <c r="B104" s="25">
        <f>'Financial Statements'!B329/'Financial Statements'!B$346</f>
        <v>0.14936422462554866</v>
      </c>
      <c r="C104" s="25">
        <f>'Financial Statements'!C329/'Financial Statements'!C$346</f>
        <v>0.14531369711415681</v>
      </c>
      <c r="D104" s="25">
        <f>'Financial Statements'!D329/'Financial Statements'!D$346</f>
        <v>0.13338013338013338</v>
      </c>
      <c r="E104" s="25">
        <f>'Financial Statements'!E329/'Financial Statements'!E$346</f>
        <v>0.13779967904556581</v>
      </c>
      <c r="F104" s="25">
        <f>'Financial Statements'!F329/'Financial Statements'!F$346</f>
        <v>0.11263848185772674</v>
      </c>
      <c r="G104" s="25">
        <f>'Financial Statements'!G329/'Financial Statements'!G$346</f>
        <v>0.11017432727878901</v>
      </c>
      <c r="H104" s="25">
        <f>'Financial Statements'!H329/'Financial Statements'!H$346</f>
        <v>0.10935523215733214</v>
      </c>
      <c r="I104" s="25">
        <f>'Financial Statements'!I329/'Financial Statements'!I$346</f>
        <v>7.5414757589808479E-2</v>
      </c>
      <c r="J104" s="25">
        <f>'Financial Statements'!J329/'Financial Statements'!J$346</f>
        <v>7.9916593340776831E-2</v>
      </c>
      <c r="K104" s="25">
        <f>'Financial Statements'!K329/'Financial Statements'!K$346</f>
        <v>6.8758884636413345E-2</v>
      </c>
      <c r="L104" s="25">
        <f>'Financial Statements'!L329/'Financial Statements'!L$346</f>
        <v>5.9375823018172243E-2</v>
      </c>
      <c r="M104" s="25">
        <f>'Financial Statements'!M329/'Financial Statements'!M$346</f>
        <v>5.9375823018172243E-2</v>
      </c>
    </row>
    <row r="105" spans="1:13" ht="12.75" customHeight="1" x14ac:dyDescent="0.2">
      <c r="A105" s="1" t="s">
        <v>137</v>
      </c>
      <c r="B105" s="25">
        <f>'Financial Statements'!B330/'Financial Statements'!B$346</f>
        <v>2.2896963663514187E-3</v>
      </c>
      <c r="C105" s="25">
        <f>'Financial Statements'!C330/'Financial Statements'!C$346</f>
        <v>3.6094321954541586E-3</v>
      </c>
      <c r="D105" s="25">
        <f>'Financial Statements'!D330/'Financial Statements'!D$346</f>
        <v>4.3476179839816199E-3</v>
      </c>
      <c r="E105" s="25">
        <f>'Financial Statements'!E330/'Financial Statements'!E$346</f>
        <v>2.9955747191648702E-2</v>
      </c>
      <c r="F105" s="25">
        <f>'Financial Statements'!F330/'Financial Statements'!F$346</f>
        <v>3.4365841798851403E-2</v>
      </c>
      <c r="G105" s="25">
        <f>'Financial Statements'!G330/'Financial Statements'!G$346</f>
        <v>3.178796058241596E-2</v>
      </c>
      <c r="H105" s="25">
        <f>'Financial Statements'!H330/'Financial Statements'!H$346</f>
        <v>2.9969469928258118E-2</v>
      </c>
      <c r="I105" s="25">
        <f>'Financial Statements'!I330/'Financial Statements'!I$346</f>
        <v>1.8012778699024699E-2</v>
      </c>
      <c r="J105" s="25">
        <f>'Financial Statements'!J330/'Financial Statements'!J$346</f>
        <v>8.4737616551193787E-3</v>
      </c>
      <c r="K105" s="25">
        <f>'Financial Statements'!K330/'Financial Statements'!K$346</f>
        <v>5.9413158374339347E-3</v>
      </c>
      <c r="L105" s="25">
        <f>'Financial Statements'!L330/'Financial Statements'!L$346</f>
        <v>5.1422175401632866E-3</v>
      </c>
      <c r="M105" s="25">
        <f>'Financial Statements'!M330/'Financial Statements'!M$346</f>
        <v>5.1422175401632866E-3</v>
      </c>
    </row>
    <row r="106" spans="1:13" ht="12.75" customHeight="1" x14ac:dyDescent="0.2">
      <c r="A106" s="1" t="s">
        <v>138</v>
      </c>
      <c r="B106" s="25">
        <f>'Financial Statements'!B331/'Financial Statements'!B$346</f>
        <v>7.098058735689397E-2</v>
      </c>
      <c r="C106" s="25">
        <f>'Financial Statements'!C331/'Financial Statements'!C$346</f>
        <v>5.9981271814080188E-2</v>
      </c>
      <c r="D106" s="25">
        <f>'Financial Statements'!D331/'Financial Statements'!D$346</f>
        <v>7.4874756692938513E-2</v>
      </c>
      <c r="E106" s="25">
        <f>'Financial Statements'!E331/'Financial Statements'!E$346</f>
        <v>6.8705321683876094E-2</v>
      </c>
      <c r="F106" s="25">
        <f>'Financial Statements'!F331/'Financial Statements'!F$346</f>
        <v>6.108314825279592E-2</v>
      </c>
      <c r="G106" s="25">
        <f>'Financial Statements'!G331/'Financial Statements'!G$346</f>
        <v>8.0393150008655462E-2</v>
      </c>
      <c r="H106" s="25">
        <f>'Financial Statements'!H331/'Financial Statements'!H$346</f>
        <v>7.6052454148074641E-2</v>
      </c>
      <c r="I106" s="25">
        <f>'Financial Statements'!I331/'Financial Statements'!I$346</f>
        <v>7.8204694953749918E-2</v>
      </c>
      <c r="J106" s="25">
        <f>'Financial Statements'!J331/'Financial Statements'!J$346</f>
        <v>7.638216221412146E-2</v>
      </c>
      <c r="K106" s="25">
        <f>'Financial Statements'!K331/'Financial Statements'!K$346</f>
        <v>7.4590851102606159E-2</v>
      </c>
      <c r="L106" s="25">
        <f>'Financial Statements'!L331/'Financial Statements'!L$346</f>
        <v>5.9441664471951539E-2</v>
      </c>
      <c r="M106" s="25">
        <f>'Financial Statements'!M331/'Financial Statements'!M$346</f>
        <v>5.9441664471951539E-2</v>
      </c>
    </row>
    <row r="107" spans="1:13" ht="12.75" customHeight="1" thickBot="1" x14ac:dyDescent="0.25">
      <c r="A107" s="5" t="s">
        <v>510</v>
      </c>
      <c r="B107" s="29">
        <f>'Financial Statements'!B332/'Financial Statements'!B$346</f>
        <v>0.86946015656817055</v>
      </c>
      <c r="C107" s="29">
        <f>'Financial Statements'!C332/'Financial Statements'!C$346</f>
        <v>0.84343236571039415</v>
      </c>
      <c r="D107" s="29">
        <f>'Financial Statements'!D332/'Financial Statements'!D$346</f>
        <v>0.85860269951179047</v>
      </c>
      <c r="E107" s="29">
        <f>'Financial Statements'!E332/'Financial Statements'!E$346</f>
        <v>0.86278387447115468</v>
      </c>
      <c r="F107" s="29">
        <f>'Financial Statements'!F332/'Financial Statements'!F$346</f>
        <v>0.86210952387210382</v>
      </c>
      <c r="G107" s="29">
        <f>'Financial Statements'!G332/'Financial Statements'!G$346</f>
        <v>0.86711632290618124</v>
      </c>
      <c r="H107" s="29">
        <f>'Financial Statements'!H332/'Financial Statements'!H$346</f>
        <v>0.85609199930303559</v>
      </c>
      <c r="I107" s="29">
        <f>'Financial Statements'!I332/'Financial Statements'!I$346</f>
        <v>0.82693743467224134</v>
      </c>
      <c r="J107" s="29">
        <f>'Financial Statements'!J332/'Financial Statements'!J$346</f>
        <v>0.83279478856264</v>
      </c>
      <c r="K107" s="29">
        <f>'Financial Statements'!K332/'Financial Statements'!K$346</f>
        <v>0.80030617823947514</v>
      </c>
      <c r="L107" s="29">
        <f>'Financial Statements'!L332/'Financial Statements'!L$346</f>
        <v>0.7844284961811957</v>
      </c>
      <c r="M107" s="29">
        <f>'Financial Statements'!M332/'Financial Statements'!M$346</f>
        <v>0.7844284961811957</v>
      </c>
    </row>
    <row r="108" spans="1:13" ht="12.75" customHeight="1" thickTop="1" x14ac:dyDescent="0.2">
      <c r="A108" s="1" t="s">
        <v>193</v>
      </c>
      <c r="B108" s="25">
        <f>'Financial Statements'!B333/'Financial Statements'!B$346</f>
        <v>0</v>
      </c>
      <c r="C108" s="25">
        <f>'Financial Statements'!C333/'Financial Statements'!C$346</f>
        <v>0</v>
      </c>
      <c r="D108" s="25">
        <f>'Financial Statements'!D333/'Financial Statements'!D$346</f>
        <v>0</v>
      </c>
      <c r="E108" s="25">
        <f>'Financial Statements'!E333/'Financial Statements'!E$346</f>
        <v>0</v>
      </c>
      <c r="F108" s="25">
        <f>'Financial Statements'!F333/'Financial Statements'!F$346</f>
        <v>0</v>
      </c>
      <c r="G108" s="25">
        <f>'Financial Statements'!G333/'Financial Statements'!G$346</f>
        <v>0</v>
      </c>
      <c r="H108" s="25">
        <f>'Financial Statements'!H333/'Financial Statements'!H$346</f>
        <v>0</v>
      </c>
      <c r="I108" s="25">
        <f>'Financial Statements'!I333/'Financial Statements'!I$346</f>
        <v>0</v>
      </c>
      <c r="J108" s="25">
        <f>'Financial Statements'!J333/'Financial Statements'!J$346</f>
        <v>0</v>
      </c>
      <c r="K108" s="25">
        <f>'Financial Statements'!K333/'Financial Statements'!K$346</f>
        <v>0</v>
      </c>
      <c r="L108" s="25">
        <f>'Financial Statements'!L333/'Financial Statements'!L$346</f>
        <v>0</v>
      </c>
      <c r="M108" s="25">
        <f>'Financial Statements'!M333/'Financial Statements'!M$346</f>
        <v>0</v>
      </c>
    </row>
    <row r="109" spans="1:13" ht="12.75" customHeight="1" x14ac:dyDescent="0.2">
      <c r="A109" s="1" t="s">
        <v>194</v>
      </c>
      <c r="B109" s="25">
        <f>'Financial Statements'!B334/'Financial Statements'!B$346</f>
        <v>0</v>
      </c>
      <c r="C109" s="25">
        <f>'Financial Statements'!C334/'Financial Statements'!C$346</f>
        <v>0</v>
      </c>
      <c r="D109" s="25">
        <f>'Financial Statements'!D334/'Financial Statements'!D$346</f>
        <v>0</v>
      </c>
      <c r="E109" s="25">
        <f>'Financial Statements'!E334/'Financial Statements'!E$346</f>
        <v>0</v>
      </c>
      <c r="F109" s="25">
        <f>'Financial Statements'!F334/'Financial Statements'!F$346</f>
        <v>0</v>
      </c>
      <c r="G109" s="25">
        <f>'Financial Statements'!G334/'Financial Statements'!G$346</f>
        <v>0</v>
      </c>
      <c r="H109" s="25">
        <f>'Financial Statements'!H334/'Financial Statements'!H$346</f>
        <v>0</v>
      </c>
      <c r="I109" s="25">
        <f>'Financial Statements'!I334/'Financial Statements'!I$346</f>
        <v>0</v>
      </c>
      <c r="J109" s="25">
        <f>'Financial Statements'!J334/'Financial Statements'!J$346</f>
        <v>0</v>
      </c>
      <c r="K109" s="25">
        <f>'Financial Statements'!K334/'Financial Statements'!K$346</f>
        <v>0</v>
      </c>
      <c r="L109" s="25">
        <f>'Financial Statements'!L334/'Financial Statements'!L$346</f>
        <v>0</v>
      </c>
      <c r="M109" s="25">
        <f>'Financial Statements'!M334/'Financial Statements'!M$346</f>
        <v>0</v>
      </c>
    </row>
    <row r="110" spans="1:13" ht="12.75" customHeight="1" x14ac:dyDescent="0.2">
      <c r="A110" s="1" t="s">
        <v>195</v>
      </c>
      <c r="B110" s="25">
        <f>'Financial Statements'!B335/'Financial Statements'!B$346</f>
        <v>0</v>
      </c>
      <c r="C110" s="25">
        <f>'Financial Statements'!C335/'Financial Statements'!C$346</f>
        <v>0</v>
      </c>
      <c r="D110" s="25">
        <f>'Financial Statements'!D335/'Financial Statements'!D$346</f>
        <v>0</v>
      </c>
      <c r="E110" s="25">
        <f>'Financial Statements'!E335/'Financial Statements'!E$346</f>
        <v>0</v>
      </c>
      <c r="F110" s="25">
        <f>'Financial Statements'!F335/'Financial Statements'!F$346</f>
        <v>0</v>
      </c>
      <c r="G110" s="25">
        <f>'Financial Statements'!G335/'Financial Statements'!G$346</f>
        <v>0</v>
      </c>
      <c r="H110" s="25">
        <f>'Financial Statements'!H335/'Financial Statements'!H$346</f>
        <v>0</v>
      </c>
      <c r="I110" s="25">
        <f>'Financial Statements'!I335/'Financial Statements'!I$346</f>
        <v>0</v>
      </c>
      <c r="J110" s="25">
        <f>'Financial Statements'!J335/'Financial Statements'!J$346</f>
        <v>0</v>
      </c>
      <c r="K110" s="25">
        <f>'Financial Statements'!K335/'Financial Statements'!K$346</f>
        <v>0</v>
      </c>
      <c r="L110" s="25">
        <f>'Financial Statements'!L335/'Financial Statements'!L$346</f>
        <v>0</v>
      </c>
      <c r="M110" s="25">
        <f>'Financial Statements'!M335/'Financial Statements'!M$346</f>
        <v>0</v>
      </c>
    </row>
    <row r="111" spans="1:13" ht="12.75" customHeight="1" x14ac:dyDescent="0.2">
      <c r="A111" s="1" t="s">
        <v>196</v>
      </c>
      <c r="B111" s="25">
        <f>'Financial Statements'!B336/'Financial Statements'!B$346</f>
        <v>0</v>
      </c>
      <c r="C111" s="25">
        <f>'Financial Statements'!C336/'Financial Statements'!C$346</f>
        <v>0</v>
      </c>
      <c r="D111" s="25">
        <f>'Financial Statements'!D336/'Financial Statements'!D$346</f>
        <v>0</v>
      </c>
      <c r="E111" s="25">
        <f>'Financial Statements'!E336/'Financial Statements'!E$346</f>
        <v>0</v>
      </c>
      <c r="F111" s="25">
        <f>'Financial Statements'!F336/'Financial Statements'!F$346</f>
        <v>0</v>
      </c>
      <c r="G111" s="25">
        <f>'Financial Statements'!G336/'Financial Statements'!G$346</f>
        <v>0</v>
      </c>
      <c r="H111" s="25">
        <f>'Financial Statements'!H336/'Financial Statements'!H$346</f>
        <v>0</v>
      </c>
      <c r="I111" s="25">
        <f>'Financial Statements'!I336/'Financial Statements'!I$346</f>
        <v>0</v>
      </c>
      <c r="J111" s="25">
        <f>'Financial Statements'!J336/'Financial Statements'!J$346</f>
        <v>0</v>
      </c>
      <c r="K111" s="25">
        <f>'Financial Statements'!K336/'Financial Statements'!K$346</f>
        <v>0</v>
      </c>
      <c r="L111" s="25">
        <f>'Financial Statements'!L336/'Financial Statements'!L$346</f>
        <v>0</v>
      </c>
      <c r="M111" s="25">
        <f>'Financial Statements'!M336/'Financial Statements'!M$346</f>
        <v>0</v>
      </c>
    </row>
    <row r="112" spans="1:13" ht="12.75" customHeight="1" x14ac:dyDescent="0.2">
      <c r="A112" s="5" t="s">
        <v>511</v>
      </c>
      <c r="B112" s="30">
        <f>'Financial Statements'!B337/'Financial Statements'!B$346</f>
        <v>0</v>
      </c>
      <c r="C112" s="30">
        <f>'Financial Statements'!C337/'Financial Statements'!C$346</f>
        <v>0</v>
      </c>
      <c r="D112" s="30">
        <f>'Financial Statements'!D337/'Financial Statements'!D$346</f>
        <v>0</v>
      </c>
      <c r="E112" s="30">
        <f>'Financial Statements'!E337/'Financial Statements'!E$346</f>
        <v>0</v>
      </c>
      <c r="F112" s="30">
        <f>'Financial Statements'!F337/'Financial Statements'!F$346</f>
        <v>0</v>
      </c>
      <c r="G112" s="30">
        <f>'Financial Statements'!G337/'Financial Statements'!G$346</f>
        <v>0</v>
      </c>
      <c r="H112" s="30">
        <f>'Financial Statements'!H337/'Financial Statements'!H$346</f>
        <v>0</v>
      </c>
      <c r="I112" s="30">
        <f>'Financial Statements'!I337/'Financial Statements'!I$346</f>
        <v>0</v>
      </c>
      <c r="J112" s="30">
        <f>'Financial Statements'!J337/'Financial Statements'!J$346</f>
        <v>0</v>
      </c>
      <c r="K112" s="30">
        <f>'Financial Statements'!K337/'Financial Statements'!K$346</f>
        <v>0</v>
      </c>
      <c r="L112" s="30">
        <f>'Financial Statements'!L337/'Financial Statements'!L$346</f>
        <v>0</v>
      </c>
      <c r="M112" s="30">
        <f>'Financial Statements'!M337/'Financial Statements'!M$346</f>
        <v>0</v>
      </c>
    </row>
    <row r="113" spans="1:13" ht="12.75" customHeight="1" x14ac:dyDescent="0.2">
      <c r="A113" s="1" t="s">
        <v>47</v>
      </c>
      <c r="B113" s="25">
        <f>'Financial Statements'!B338/'Financial Statements'!B$346</f>
        <v>0.48203086112493776</v>
      </c>
      <c r="C113" s="25">
        <f>'Financial Statements'!C338/'Financial Statements'!C$346</f>
        <v>0.45913850344768875</v>
      </c>
      <c r="D113" s="25">
        <f>'Financial Statements'!D338/'Financial Statements'!D$346</f>
        <v>0.43528829892466259</v>
      </c>
      <c r="E113" s="25">
        <f>'Financial Statements'!E338/'Financial Statements'!E$346</f>
        <v>0.44699388889789432</v>
      </c>
      <c r="F113" s="25">
        <f>'Financial Statements'!F338/'Financial Statements'!F$346</f>
        <v>0.36728082740856582</v>
      </c>
      <c r="G113" s="25">
        <f>'Financial Statements'!G338/'Financial Statements'!G$346</f>
        <v>0.36260586903975739</v>
      </c>
      <c r="H113" s="25">
        <f>'Financial Statements'!H338/'Financial Statements'!H$346</f>
        <v>0.4342315588518269</v>
      </c>
      <c r="I113" s="25">
        <f>'Financial Statements'!I338/'Financial Statements'!I$346</f>
        <v>0.45851638204066236</v>
      </c>
      <c r="J113" s="25">
        <f>'Financial Statements'!J338/'Financial Statements'!J$346</f>
        <v>0.44101271064248265</v>
      </c>
      <c r="K113" s="25">
        <f>'Financial Statements'!K338/'Financial Statements'!K$346</f>
        <v>0.44745762711864406</v>
      </c>
      <c r="L113" s="25">
        <f>'Financial Statements'!L338/'Financial Statements'!L$346</f>
        <v>0.41689491703976822</v>
      </c>
      <c r="M113" s="25">
        <f>'Financial Statements'!M338/'Financial Statements'!M$346</f>
        <v>0.41689491703976822</v>
      </c>
    </row>
    <row r="114" spans="1:13" ht="12.75" customHeight="1" x14ac:dyDescent="0.2">
      <c r="A114" s="1" t="s">
        <v>139</v>
      </c>
      <c r="B114" s="25">
        <f>'Financial Statements'!B339/'Financial Statements'!B$346</f>
        <v>0</v>
      </c>
      <c r="C114" s="25">
        <f>'Financial Statements'!C339/'Financial Statements'!C$346</f>
        <v>0</v>
      </c>
      <c r="D114" s="25">
        <f>'Financial Statements'!D339/'Financial Statements'!D$346</f>
        <v>0</v>
      </c>
      <c r="E114" s="25">
        <f>'Financial Statements'!E339/'Financial Statements'!E$346</f>
        <v>0</v>
      </c>
      <c r="F114" s="25">
        <f>'Financial Statements'!F339/'Financial Statements'!F$346</f>
        <v>0</v>
      </c>
      <c r="G114" s="25">
        <f>'Financial Statements'!G339/'Financial Statements'!G$346</f>
        <v>0</v>
      </c>
      <c r="H114" s="25">
        <f>'Financial Statements'!H339/'Financial Statements'!H$346</f>
        <v>0</v>
      </c>
      <c r="I114" s="25">
        <f>'Financial Statements'!I339/'Financial Statements'!I$346</f>
        <v>0</v>
      </c>
      <c r="J114" s="25">
        <f>'Financial Statements'!J339/'Financial Statements'!J$346</f>
        <v>0</v>
      </c>
      <c r="K114" s="25">
        <f>'Financial Statements'!K339/'Financial Statements'!K$346</f>
        <v>0</v>
      </c>
      <c r="L114" s="25">
        <f>'Financial Statements'!L339/'Financial Statements'!L$346</f>
        <v>0</v>
      </c>
      <c r="M114" s="25">
        <f>'Financial Statements'!M339/'Financial Statements'!M$346</f>
        <v>0</v>
      </c>
    </row>
    <row r="115" spans="1:13" ht="12.75" customHeight="1" x14ac:dyDescent="0.2">
      <c r="A115" s="1" t="s">
        <v>98</v>
      </c>
      <c r="B115" s="25">
        <f>'Financial Statements'!B340/'Financial Statements'!B$346</f>
        <v>1.3224489795918368</v>
      </c>
      <c r="C115" s="25">
        <f>'Financial Statements'!C340/'Financial Statements'!C$346</f>
        <v>1.3004086149655232</v>
      </c>
      <c r="D115" s="25">
        <f>'Financial Statements'!D340/'Financial Statements'!D$346</f>
        <v>1.2215290851654488</v>
      </c>
      <c r="E115" s="25">
        <f>'Financial Statements'!E340/'Financial Statements'!E$346</f>
        <v>1.2903502942082314</v>
      </c>
      <c r="F115" s="25">
        <f>'Financial Statements'!F340/'Financial Statements'!F$346</f>
        <v>1.0707555228470425</v>
      </c>
      <c r="G115" s="25">
        <f>'Financial Statements'!G340/'Financial Statements'!G$346</f>
        <v>1.0432516301107257</v>
      </c>
      <c r="H115" s="25">
        <f>'Financial Statements'!H340/'Financial Statements'!H$346</f>
        <v>1.1682411496882599</v>
      </c>
      <c r="I115" s="25">
        <f>'Financial Statements'!I340/'Financial Statements'!I$346</f>
        <v>1.1774714522606351</v>
      </c>
      <c r="J115" s="25">
        <f>'Financial Statements'!J340/'Financial Statements'!J$346</f>
        <v>1.1185661153052699</v>
      </c>
      <c r="K115" s="25">
        <f>'Financial Statements'!K340/'Financial Statements'!K$346</f>
        <v>1.1019719336613814</v>
      </c>
      <c r="L115" s="25">
        <f>'Financial Statements'!L340/'Financial Statements'!L$346</f>
        <v>1.02480905978404</v>
      </c>
      <c r="M115" s="25">
        <f>'Financial Statements'!M340/'Financial Statements'!M$346</f>
        <v>1.02480905978404</v>
      </c>
    </row>
    <row r="116" spans="1:13" ht="12.75" customHeight="1" x14ac:dyDescent="0.2">
      <c r="A116" s="1" t="s">
        <v>54</v>
      </c>
      <c r="B116" s="25">
        <f>'Financial Statements'!B341/'Financial Statements'!B$346</f>
        <v>-1.4074664011946243</v>
      </c>
      <c r="C116" s="25">
        <f>'Financial Statements'!C341/'Financial Statements'!C$346</f>
        <v>-1.3539627138843959</v>
      </c>
      <c r="D116" s="25">
        <f>'Financial Statements'!D341/'Financial Statements'!D$346</f>
        <v>-1.304341236159418</v>
      </c>
      <c r="E116" s="25">
        <f>'Financial Statements'!E341/'Financial Statements'!E$346</f>
        <v>-1.3622003209544342</v>
      </c>
      <c r="F116" s="25">
        <f>'Financial Statements'!F341/'Financial Statements'!F$346</f>
        <v>-1.1131970089232912</v>
      </c>
      <c r="G116" s="25">
        <f>'Financial Statements'!G341/'Financial Statements'!G$346</f>
        <v>-1.0857082406344769</v>
      </c>
      <c r="H116" s="25">
        <f>'Financial Statements'!H341/'Financial Statements'!H$346</f>
        <v>-1.283263005583291</v>
      </c>
      <c r="I116" s="25">
        <f>'Financial Statements'!I341/'Financial Statements'!I$346</f>
        <v>-1.3319711103950709</v>
      </c>
      <c r="J116" s="25">
        <f>'Financial Statements'!J341/'Financial Statements'!J$346</f>
        <v>-1.2542350322757152</v>
      </c>
      <c r="K116" s="25">
        <f>'Financial Statements'!K341/'Financial Statements'!K$346</f>
        <v>-1.2390595954073265</v>
      </c>
      <c r="L116" s="25">
        <f>'Financial Statements'!L341/'Financial Statements'!L$346</f>
        <v>-1.1232881222017381</v>
      </c>
      <c r="M116" s="25">
        <f>'Financial Statements'!M341/'Financial Statements'!M$346</f>
        <v>-1.1232881222017381</v>
      </c>
    </row>
    <row r="117" spans="1:13" ht="12.75" customHeight="1" x14ac:dyDescent="0.2">
      <c r="A117" s="1" t="s">
        <v>140</v>
      </c>
      <c r="B117" s="25">
        <f>'Financial Statements'!B342/'Financial Statements'!B$346</f>
        <v>-0.26793972577944702</v>
      </c>
      <c r="C117" s="25">
        <f>'Financial Statements'!C342/'Financial Statements'!C$346</f>
        <v>-0.25025964075934282</v>
      </c>
      <c r="D117" s="25">
        <f>'Financial Statements'!D342/'Financial Statements'!D$346</f>
        <v>-0.2121238712147803</v>
      </c>
      <c r="E117" s="25">
        <f>'Financial Statements'!E342/'Financial Statements'!E$346</f>
        <v>-0.23901379455674249</v>
      </c>
      <c r="F117" s="25">
        <f>'Financial Statements'!F342/'Financial Statements'!F$346</f>
        <v>-0.18789507576255371</v>
      </c>
      <c r="G117" s="25">
        <f>'Financial Statements'!G342/'Financial Statements'!G$346</f>
        <v>-0.18809265825057223</v>
      </c>
      <c r="H117" s="25">
        <f>'Financial Statements'!H342/'Financial Statements'!H$346</f>
        <v>-0.17602139377731987</v>
      </c>
      <c r="I117" s="25">
        <f>'Financial Statements'!I342/'Financial Statements'!I$346</f>
        <v>-0.13155929992219612</v>
      </c>
      <c r="J117" s="25">
        <f>'Financial Statements'!J342/'Financial Statements'!J$346</f>
        <v>-0.13873011882491257</v>
      </c>
      <c r="K117" s="25">
        <f>'Financial Statements'!K342/'Financial Statements'!K$346</f>
        <v>-0.11130308000728996</v>
      </c>
      <c r="L117" s="25">
        <f>'Financial Statements'!L342/'Financial Statements'!L$346</f>
        <v>-0.10345667632341322</v>
      </c>
      <c r="M117" s="25">
        <f>'Financial Statements'!M342/'Financial Statements'!M$346</f>
        <v>-0.10345667632341322</v>
      </c>
    </row>
    <row r="118" spans="1:13" ht="12.75" customHeight="1" x14ac:dyDescent="0.2">
      <c r="A118" s="5" t="s">
        <v>99</v>
      </c>
      <c r="B118" s="26">
        <f>'Financial Statements'!B343/'Financial Statements'!B$346</f>
        <v>0.12907371374270329</v>
      </c>
      <c r="C118" s="26">
        <f>'Financial Statements'!C343/'Financial Statements'!C$346</f>
        <v>0.15532476376947305</v>
      </c>
      <c r="D118" s="26">
        <f>'Financial Statements'!D343/'Financial Statements'!D$346</f>
        <v>0.14035227671591308</v>
      </c>
      <c r="E118" s="26">
        <f>'Financial Statements'!E343/'Financial Statements'!E$346</f>
        <v>0.13613006759494903</v>
      </c>
      <c r="F118" s="26">
        <f>'Financial Statements'!F343/'Financial Statements'!F$346</f>
        <v>0.13694426556976333</v>
      </c>
      <c r="G118" s="26">
        <f>'Financial Statements'!G343/'Financial Statements'!G$346</f>
        <v>0.13205660026543395</v>
      </c>
      <c r="H118" s="26">
        <f>'Financial Statements'!H343/'Financial Statements'!H$346</f>
        <v>0.14318830917947592</v>
      </c>
      <c r="I118" s="26">
        <f>'Financial Statements'!I343/'Financial Statements'!I$346</f>
        <v>0.17245742398403055</v>
      </c>
      <c r="J118" s="26">
        <f>'Financial Statements'!J343/'Financial Statements'!J$346</f>
        <v>0.16661367484712475</v>
      </c>
      <c r="K118" s="26">
        <f>'Financial Statements'!K343/'Financial Statements'!K$346</f>
        <v>0.19906688536540915</v>
      </c>
      <c r="L118" s="26">
        <f>'Financial Statements'!L343/'Financial Statements'!L$346</f>
        <v>0.21495917829865682</v>
      </c>
      <c r="M118" s="26">
        <f>'Financial Statements'!M343/'Financial Statements'!M$346</f>
        <v>0.21495917829865682</v>
      </c>
    </row>
    <row r="119" spans="1:13" ht="12.75" customHeight="1" x14ac:dyDescent="0.2">
      <c r="A119" s="1" t="s">
        <v>188</v>
      </c>
      <c r="B119" s="25">
        <f>'Financial Statements'!B344/'Financial Statements'!B$346</f>
        <v>1.4661296891262047E-3</v>
      </c>
      <c r="C119" s="25">
        <f>'Financial Statements'!C344/'Financial Statements'!C$346</f>
        <v>1.2428705201327998E-3</v>
      </c>
      <c r="D119" s="25">
        <f>'Financial Statements'!D344/'Financial Statements'!D$346</f>
        <v>1.0450237722964995E-3</v>
      </c>
      <c r="E119" s="25">
        <f>'Financial Statements'!E344/'Financial Statements'!E$346</f>
        <v>1.0860579338963544E-3</v>
      </c>
      <c r="F119" s="25">
        <f>'Financial Statements'!F344/'Financial Statements'!F$346</f>
        <v>9.4621055813281119E-4</v>
      </c>
      <c r="G119" s="25">
        <f>'Financial Statements'!G344/'Financial Statements'!G$346</f>
        <v>8.2707682838476383E-4</v>
      </c>
      <c r="H119" s="25">
        <f>'Financial Statements'!H344/'Financial Statements'!H$346</f>
        <v>7.1969151748850382E-4</v>
      </c>
      <c r="I119" s="25">
        <f>'Financial Statements'!I344/'Financial Statements'!I$346</f>
        <v>6.0514134372814221E-4</v>
      </c>
      <c r="J119" s="25">
        <f>'Financial Statements'!J344/'Financial Statements'!J$346</f>
        <v>5.915365902352097E-4</v>
      </c>
      <c r="K119" s="25">
        <f>'Financial Statements'!K344/'Financial Statements'!K$346</f>
        <v>6.2693639511572803E-4</v>
      </c>
      <c r="L119" s="25">
        <f>'Financial Statements'!L344/'Financial Statements'!L$346</f>
        <v>6.1232552014748481E-4</v>
      </c>
      <c r="M119" s="25">
        <f>'Financial Statements'!M344/'Financial Statements'!M$346</f>
        <v>6.1232552014748481E-4</v>
      </c>
    </row>
    <row r="120" spans="1:13" ht="12.75" customHeight="1" x14ac:dyDescent="0.2">
      <c r="A120" s="3" t="s">
        <v>46</v>
      </c>
      <c r="B120" s="26">
        <f>'Financial Statements'!B345/'Financial Statements'!B$346</f>
        <v>0.13053984343182951</v>
      </c>
      <c r="C120" s="26">
        <f>'Financial Statements'!C345/'Financial Statements'!C$346</f>
        <v>0.15656763428960585</v>
      </c>
      <c r="D120" s="26">
        <f>'Financial Statements'!D345/'Financial Statements'!D$346</f>
        <v>0.14139730048820959</v>
      </c>
      <c r="E120" s="26">
        <f>'Financial Statements'!E345/'Financial Statements'!E$346</f>
        <v>0.13721612552884538</v>
      </c>
      <c r="F120" s="26">
        <f>'Financial Statements'!F345/'Financial Statements'!F$346</f>
        <v>0.13789047612789612</v>
      </c>
      <c r="G120" s="26">
        <f>'Financial Statements'!G345/'Financial Statements'!G$346</f>
        <v>0.13288367709381874</v>
      </c>
      <c r="H120" s="26">
        <f>'Financial Statements'!H345/'Financial Statements'!H$346</f>
        <v>0.14390800069696441</v>
      </c>
      <c r="I120" s="26">
        <f>'Financial Statements'!I345/'Financial Statements'!I$346</f>
        <v>0.17306256532775871</v>
      </c>
      <c r="J120" s="26">
        <f>'Financial Statements'!J345/'Financial Statements'!J$346</f>
        <v>0.16720521143735997</v>
      </c>
      <c r="K120" s="26">
        <f>'Financial Statements'!K345/'Financial Statements'!K$346</f>
        <v>0.19969382176052489</v>
      </c>
      <c r="L120" s="26">
        <f>'Financial Statements'!L345/'Financial Statements'!L$346</f>
        <v>0.21557150381880433</v>
      </c>
      <c r="M120" s="26">
        <f>'Financial Statements'!M345/'Financial Statements'!M$346</f>
        <v>0.21557150381880433</v>
      </c>
    </row>
    <row r="121" spans="1:13" ht="12.75" customHeight="1" thickBot="1" x14ac:dyDescent="0.25">
      <c r="A121" s="16" t="s">
        <v>100</v>
      </c>
      <c r="B121" s="29">
        <f>'Financial Statements'!B346/'Financial Statements'!B$346</f>
        <v>1</v>
      </c>
      <c r="C121" s="29">
        <f>'Financial Statements'!C346/'Financial Statements'!C$346</f>
        <v>1</v>
      </c>
      <c r="D121" s="29">
        <f>'Financial Statements'!D346/'Financial Statements'!D$346</f>
        <v>1</v>
      </c>
      <c r="E121" s="29">
        <f>'Financial Statements'!E346/'Financial Statements'!E$346</f>
        <v>1</v>
      </c>
      <c r="F121" s="29">
        <f>'Financial Statements'!F346/'Financial Statements'!F$346</f>
        <v>1</v>
      </c>
      <c r="G121" s="29">
        <f>'Financial Statements'!G346/'Financial Statements'!G$346</f>
        <v>1</v>
      </c>
      <c r="H121" s="29">
        <f>'Financial Statements'!H346/'Financial Statements'!H$346</f>
        <v>1</v>
      </c>
      <c r="I121" s="29">
        <f>'Financial Statements'!I346/'Financial Statements'!I$346</f>
        <v>1</v>
      </c>
      <c r="J121" s="29">
        <f>'Financial Statements'!J346/'Financial Statements'!J$346</f>
        <v>1</v>
      </c>
      <c r="K121" s="29">
        <f>'Financial Statements'!K346/'Financial Statements'!K$346</f>
        <v>1</v>
      </c>
      <c r="L121" s="29">
        <f>'Financial Statements'!L346/'Financial Statements'!L$346</f>
        <v>1</v>
      </c>
      <c r="M121" s="29">
        <f>'Financial Statements'!M346/'Financial Statements'!M$346</f>
        <v>1</v>
      </c>
    </row>
    <row r="122" spans="1:13" ht="12.75" customHeight="1" thickTop="1" x14ac:dyDescent="0.2"/>
  </sheetData>
  <phoneticPr fontId="3" type="noConversion"/>
  <printOptions horizontalCentered="1"/>
  <pageMargins left="0" right="0" top="0" bottom="0" header="0.5" footer="0.5"/>
  <pageSetup scale="55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L10"/>
  <sheetViews>
    <sheetView showGridLines="0" zoomScaleNormal="100" zoomScaleSheetLayoutView="85" workbookViewId="0">
      <selection activeCell="N11" sqref="N11"/>
    </sheetView>
  </sheetViews>
  <sheetFormatPr defaultRowHeight="12.75" x14ac:dyDescent="0.2"/>
  <cols>
    <col min="1" max="1" width="15.7109375" bestFit="1" customWidth="1"/>
    <col min="2" max="2" width="42.5703125" bestFit="1" customWidth="1"/>
    <col min="3" max="4" width="10.140625" bestFit="1" customWidth="1"/>
    <col min="5" max="5" width="11.28515625" bestFit="1" customWidth="1"/>
    <col min="6" max="6" width="9.5703125" bestFit="1" customWidth="1"/>
    <col min="7" max="7" width="9.28515625" bestFit="1" customWidth="1"/>
    <col min="8" max="8" width="14" bestFit="1" customWidth="1"/>
    <col min="9" max="9" width="13.7109375" bestFit="1" customWidth="1"/>
    <col min="10" max="10" width="11" bestFit="1" customWidth="1"/>
    <col min="11" max="11" width="11.28515625" bestFit="1" customWidth="1"/>
    <col min="12" max="12" width="8.7109375" bestFit="1" customWidth="1"/>
    <col min="13" max="13" width="10.28515625" bestFit="1" customWidth="1"/>
    <col min="14" max="14" width="10.85546875" bestFit="1" customWidth="1"/>
    <col min="15" max="15" width="11.7109375" bestFit="1" customWidth="1"/>
    <col min="16" max="16" width="11.28515625" bestFit="1" customWidth="1"/>
    <col min="17" max="17" width="18.42578125" bestFit="1" customWidth="1"/>
    <col min="18" max="18" width="20" bestFit="1" customWidth="1"/>
    <col min="19" max="20" width="20.7109375" bestFit="1" customWidth="1"/>
    <col min="21" max="21" width="11.7109375" bestFit="1" customWidth="1"/>
    <col min="22" max="22" width="13.42578125" bestFit="1" customWidth="1"/>
    <col min="23" max="24" width="14.140625" bestFit="1" customWidth="1"/>
    <col min="25" max="25" width="15.85546875" bestFit="1" customWidth="1"/>
    <col min="26" max="26" width="17.5703125" bestFit="1" customWidth="1"/>
    <col min="27" max="28" width="18.28515625" bestFit="1" customWidth="1"/>
    <col min="29" max="29" width="22.7109375" bestFit="1" customWidth="1"/>
    <col min="30" max="30" width="24.28515625" bestFit="1" customWidth="1"/>
    <col min="31" max="32" width="25" bestFit="1" customWidth="1"/>
    <col min="33" max="33" width="16" bestFit="1" customWidth="1"/>
    <col min="34" max="34" width="17.7109375" bestFit="1" customWidth="1"/>
    <col min="35" max="36" width="18.42578125" bestFit="1" customWidth="1"/>
    <col min="37" max="37" width="7.42578125" bestFit="1" customWidth="1"/>
    <col min="38" max="38" width="9" bestFit="1" customWidth="1"/>
    <col min="39" max="40" width="9.7109375" bestFit="1" customWidth="1"/>
    <col min="41" max="41" width="11.140625" bestFit="1" customWidth="1"/>
    <col min="42" max="42" width="20" bestFit="1" customWidth="1"/>
    <col min="43" max="44" width="18.7109375" bestFit="1" customWidth="1"/>
    <col min="45" max="45" width="17" bestFit="1" customWidth="1"/>
    <col min="46" max="48" width="18.7109375" bestFit="1" customWidth="1"/>
    <col min="49" max="49" width="17" bestFit="1" customWidth="1"/>
    <col min="50" max="50" width="18.7109375" bestFit="1" customWidth="1"/>
    <col min="51" max="52" width="24.140625" bestFit="1" customWidth="1"/>
    <col min="53" max="53" width="22.5703125" bestFit="1" customWidth="1"/>
    <col min="54" max="54" width="24.140625" bestFit="1" customWidth="1"/>
    <col min="55" max="56" width="25.7109375" bestFit="1" customWidth="1"/>
    <col min="57" max="57" width="18.42578125" bestFit="1" customWidth="1"/>
    <col min="58" max="58" width="20" bestFit="1" customWidth="1"/>
    <col min="59" max="60" width="19" bestFit="1" customWidth="1"/>
    <col min="61" max="61" width="11.7109375" bestFit="1" customWidth="1"/>
    <col min="62" max="62" width="13.42578125" bestFit="1" customWidth="1"/>
    <col min="63" max="64" width="15.85546875" bestFit="1" customWidth="1"/>
    <col min="65" max="65" width="8.7109375" bestFit="1" customWidth="1"/>
    <col min="66" max="66" width="10.28515625" bestFit="1" customWidth="1"/>
    <col min="67" max="67" width="22.42578125" bestFit="1" customWidth="1"/>
    <col min="68" max="68" width="20.7109375" bestFit="1" customWidth="1"/>
    <col min="69" max="69" width="23.28515625" bestFit="1" customWidth="1"/>
    <col min="70" max="70" width="15.140625" bestFit="1" customWidth="1"/>
    <col min="71" max="71" width="23" bestFit="1" customWidth="1"/>
    <col min="72" max="72" width="25.140625" bestFit="1" customWidth="1"/>
    <col min="73" max="73" width="23.7109375" bestFit="1" customWidth="1"/>
    <col min="74" max="74" width="14.85546875" bestFit="1" customWidth="1"/>
    <col min="75" max="75" width="15" bestFit="1" customWidth="1"/>
    <col min="76" max="76" width="15.5703125" bestFit="1" customWidth="1"/>
    <col min="77" max="77" width="13.140625" bestFit="1" customWidth="1"/>
    <col min="78" max="78" width="11.42578125" bestFit="1" customWidth="1"/>
    <col min="79" max="79" width="20" bestFit="1" customWidth="1"/>
    <col min="80" max="80" width="18.28515625" bestFit="1" customWidth="1"/>
    <col min="81" max="81" width="22.5703125" bestFit="1" customWidth="1"/>
    <col min="82" max="82" width="21.7109375" bestFit="1" customWidth="1"/>
    <col min="83" max="83" width="16.42578125" bestFit="1" customWidth="1"/>
    <col min="84" max="84" width="17" bestFit="1" customWidth="1"/>
    <col min="85" max="85" width="8.7109375" bestFit="1" customWidth="1"/>
    <col min="86" max="86" width="14.140625" bestFit="1" customWidth="1"/>
  </cols>
  <sheetData>
    <row r="1" spans="1:168" s="3" customFormat="1" x14ac:dyDescent="0.2">
      <c r="A1" s="40" t="s">
        <v>214</v>
      </c>
      <c r="B1" s="40" t="s">
        <v>257</v>
      </c>
      <c r="C1" s="32" t="s">
        <v>258</v>
      </c>
      <c r="D1" s="32" t="s">
        <v>266</v>
      </c>
      <c r="E1" s="33" t="s">
        <v>256</v>
      </c>
      <c r="F1" s="32" t="s">
        <v>259</v>
      </c>
      <c r="G1" s="32" t="s">
        <v>260</v>
      </c>
      <c r="H1" s="32" t="s">
        <v>514</v>
      </c>
      <c r="I1" s="32" t="s">
        <v>515</v>
      </c>
      <c r="J1" s="32" t="s">
        <v>261</v>
      </c>
      <c r="K1" s="32" t="s">
        <v>262</v>
      </c>
      <c r="L1" s="32" t="s">
        <v>263</v>
      </c>
      <c r="M1" s="32" t="s">
        <v>51</v>
      </c>
      <c r="N1" s="32" t="s">
        <v>264</v>
      </c>
      <c r="O1" s="32" t="s">
        <v>265</v>
      </c>
      <c r="P1" s="32" t="s">
        <v>275</v>
      </c>
      <c r="Q1" s="34" t="s">
        <v>516</v>
      </c>
      <c r="R1" s="34" t="s">
        <v>517</v>
      </c>
      <c r="S1" s="34" t="s">
        <v>518</v>
      </c>
      <c r="T1" s="34" t="s">
        <v>519</v>
      </c>
      <c r="U1" s="34" t="s">
        <v>520</v>
      </c>
      <c r="V1" s="34" t="s">
        <v>521</v>
      </c>
      <c r="W1" s="34" t="s">
        <v>522</v>
      </c>
      <c r="X1" s="34" t="s">
        <v>523</v>
      </c>
      <c r="Y1" s="32" t="s">
        <v>524</v>
      </c>
      <c r="Z1" s="32" t="s">
        <v>525</v>
      </c>
      <c r="AA1" s="32" t="s">
        <v>526</v>
      </c>
      <c r="AB1" s="32" t="s">
        <v>527</v>
      </c>
      <c r="AC1" s="32" t="s">
        <v>528</v>
      </c>
      <c r="AD1" s="32" t="s">
        <v>529</v>
      </c>
      <c r="AE1" s="32" t="s">
        <v>530</v>
      </c>
      <c r="AF1" s="32" t="s">
        <v>531</v>
      </c>
      <c r="AG1" s="32" t="s">
        <v>532</v>
      </c>
      <c r="AH1" s="32" t="s">
        <v>533</v>
      </c>
      <c r="AI1" s="32" t="s">
        <v>534</v>
      </c>
      <c r="AJ1" s="32" t="s">
        <v>535</v>
      </c>
      <c r="AK1" s="32" t="s">
        <v>536</v>
      </c>
      <c r="AL1" s="32" t="s">
        <v>537</v>
      </c>
      <c r="AM1" s="32" t="s">
        <v>538</v>
      </c>
      <c r="AN1" s="32" t="s">
        <v>539</v>
      </c>
      <c r="AO1" s="35" t="s">
        <v>540</v>
      </c>
      <c r="AP1" s="31" t="s">
        <v>541</v>
      </c>
      <c r="AQ1" s="34" t="s">
        <v>542</v>
      </c>
      <c r="AR1" s="34" t="s">
        <v>543</v>
      </c>
      <c r="AS1" s="34" t="s">
        <v>544</v>
      </c>
      <c r="AT1" s="34" t="s">
        <v>545</v>
      </c>
      <c r="AU1" s="32" t="s">
        <v>542</v>
      </c>
      <c r="AV1" s="32" t="s">
        <v>543</v>
      </c>
      <c r="AW1" s="32" t="s">
        <v>544</v>
      </c>
      <c r="AX1" s="32" t="s">
        <v>545</v>
      </c>
      <c r="AY1" s="32" t="s">
        <v>546</v>
      </c>
      <c r="AZ1" s="32" t="s">
        <v>547</v>
      </c>
      <c r="BA1" s="32" t="s">
        <v>548</v>
      </c>
      <c r="BB1" s="32" t="s">
        <v>549</v>
      </c>
      <c r="BC1" s="32" t="s">
        <v>550</v>
      </c>
      <c r="BD1" s="32" t="s">
        <v>551</v>
      </c>
      <c r="BE1" s="32" t="s">
        <v>516</v>
      </c>
      <c r="BF1" s="32" t="s">
        <v>517</v>
      </c>
      <c r="BG1" s="32" t="s">
        <v>552</v>
      </c>
      <c r="BH1" s="32" t="s">
        <v>553</v>
      </c>
      <c r="BI1" s="32" t="s">
        <v>520</v>
      </c>
      <c r="BJ1" s="32" t="s">
        <v>521</v>
      </c>
      <c r="BK1" s="32" t="s">
        <v>554</v>
      </c>
      <c r="BL1" s="32" t="s">
        <v>555</v>
      </c>
      <c r="BM1" s="32" t="s">
        <v>556</v>
      </c>
      <c r="BN1" s="32" t="s">
        <v>557</v>
      </c>
      <c r="BO1" s="32" t="s">
        <v>558</v>
      </c>
      <c r="BP1" s="32" t="s">
        <v>559</v>
      </c>
      <c r="BQ1" s="32" t="s">
        <v>560</v>
      </c>
      <c r="BR1" s="32" t="s">
        <v>561</v>
      </c>
      <c r="BS1" s="32" t="s">
        <v>562</v>
      </c>
      <c r="BT1" s="32" t="s">
        <v>563</v>
      </c>
      <c r="BU1" s="32" t="s">
        <v>564</v>
      </c>
      <c r="BV1" s="32" t="s">
        <v>565</v>
      </c>
      <c r="BW1" s="32" t="s">
        <v>566</v>
      </c>
      <c r="BX1" s="32" t="s">
        <v>567</v>
      </c>
      <c r="BY1" s="32" t="s">
        <v>238</v>
      </c>
      <c r="BZ1" s="32" t="s">
        <v>239</v>
      </c>
      <c r="CA1" s="32" t="s">
        <v>568</v>
      </c>
      <c r="CB1" s="32" t="s">
        <v>569</v>
      </c>
      <c r="CC1" s="32" t="s">
        <v>570</v>
      </c>
      <c r="CD1" s="32" t="s">
        <v>571</v>
      </c>
      <c r="CE1" s="32" t="s">
        <v>572</v>
      </c>
      <c r="CF1" s="32" t="s">
        <v>573</v>
      </c>
      <c r="CG1" s="32" t="s">
        <v>574</v>
      </c>
      <c r="CH1" s="32" t="s">
        <v>575</v>
      </c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</row>
    <row r="2" spans="1:168" s="14" customFormat="1" x14ac:dyDescent="0.2">
      <c r="A2" s="36" t="str">
        <f>_xll.ciqfunctions.udf.CIQ($A$10,"IQ_QUICK_COMP",1)</f>
        <v>NYSE:ORCL</v>
      </c>
      <c r="B2" s="36" t="str">
        <f>_xll.ciqfunctions.udf.CIQ($A2, "IQ_COMPANY_NAME")</f>
        <v>Oracle Corporation</v>
      </c>
      <c r="C2" s="13">
        <f>_xll.ciqfunctions.udf.CIQ($A2,"IQ_PERIODDATE",IQ_FY,DateToday)</f>
        <v>45808</v>
      </c>
      <c r="D2" s="13">
        <f>_xll.ciqfunctions.udf.CIQ($A2,"IQ_PERIODDATE",IQ_LTM,DateToday)</f>
        <v>46081</v>
      </c>
      <c r="E2" s="11">
        <f>_xll.ciqfunctions.udf.CIQ($A2, "IQ_LASTSALEPRICE",DateToday,Ccy,Conv)</f>
        <v>155.11000000000001</v>
      </c>
      <c r="F2" s="11">
        <f>_xll.ciqfunctions.udf.CIQ($A2, "IQ_YEARHIGH",DateToday,Ccy,Conv)</f>
        <v>345.72</v>
      </c>
      <c r="G2" s="11">
        <f>_xll.ciqfunctions.udf.CIQ($A2, "IQ_YEARLOW",DateToday,Ccy,Conv)</f>
        <v>118.86</v>
      </c>
      <c r="H2" s="37">
        <f t="shared" ref="H2:H10" si="0">IF(ISERROR(E2/F2), "NA", E2/F2)</f>
        <v>0.44865787342357977</v>
      </c>
      <c r="I2" s="37">
        <f t="shared" ref="I2:I10" si="1">IF(ISERROR(E2/G2), "NA", E2/G2)</f>
        <v>1.3049806495036178</v>
      </c>
      <c r="J2" s="4">
        <f>_xll.ciqfunctions.udf.CIQ($A2, "IQ_SHARESOUTSTANDING",DateToday)</f>
        <v>2876.0459999999998</v>
      </c>
      <c r="K2" s="22">
        <f t="shared" ref="K2:K10" si="2">IF(ISERROR(J2*E2), "NA", J2*E2)</f>
        <v>446103.49505999999</v>
      </c>
      <c r="L2" s="4">
        <f>_xll.ciqfunctions.udf.CIQ($A2, "IQ_CASH_ST_INVEST",IQ_FQ,DateToday,,"F",Ccy,Conv)</f>
        <v>39132</v>
      </c>
      <c r="M2" s="4">
        <f>_xll.ciqfunctions.udf.CIQ($A2, "IQ_TOTAL_DEBT",IQ_FQ,DateToday,,"F",Ccy,Conv)</f>
        <v>162165</v>
      </c>
      <c r="N2" s="4">
        <f>_xll.ciqfunctions.udf.CIQ($A2, "IQ_PREF_EQUITY",IQ_FQ,DateToday,,"F",Ccy,Conv)</f>
        <v>4954</v>
      </c>
      <c r="O2" s="4">
        <f>_xll.ciqfunctions.udf.CIQ($A2, "IQ_MINORITY_INTEREST_TOTAL",IQ_FQ,DateToday,,"F",Ccy,Conv)</f>
        <v>556</v>
      </c>
      <c r="P2" s="22">
        <f>IF(ISERROR(K2-L2+M2+N2+O2), "NA", K2-L2+M2+N2+O2)</f>
        <v>574646.49505999999</v>
      </c>
      <c r="Q2" s="4">
        <f>_xll.ciqfunctions.udf.CIQ($A2, "IQ_TOTAL_REV", IQ_FY,DateToday,,,Ccy,Conv)</f>
        <v>57399</v>
      </c>
      <c r="R2" s="4">
        <f>_xll.ciqfunctions.udf.CIQ($A2, "IQ_TOTAL_REV", IQ_LTM,DateToday,,,Ccy,Conv)</f>
        <v>64076</v>
      </c>
      <c r="S2" s="4">
        <f>_xll.ciqfunctions.udf.CIQ($A2, "IQ_REVENUE_EST", IQ_CY+ 1,DateToday,,,Ccy,Conv)</f>
        <v>76338.745699999999</v>
      </c>
      <c r="T2" s="4">
        <f>_xll.ciqfunctions.udf.CIQ($A2, "IQ_REVENUE_EST", IQ_CY+ 2,DateToday,,,Ccy,Conv)</f>
        <v>105891.80130000001</v>
      </c>
      <c r="U2" s="4">
        <f>_xll.ciqfunctions.udf.CIQ($A2, "IQ_EBITDA", IQ_FY,DateToday,,,Ccy,Conv)</f>
        <v>23486</v>
      </c>
      <c r="V2" s="4">
        <f>_xll.ciqfunctions.udf.CIQ($A2, "IQ_EBITDA", IQ_LTM,DateToday,,,Ccy,Conv)</f>
        <v>28617</v>
      </c>
      <c r="W2" s="4">
        <f>_xll.ciqfunctions.udf.CIQ($A2, "IQ_EBITDA_EST", IQ_CY+ 1,DateToday,,,Ccy,Conv)</f>
        <v>40632.603300000002</v>
      </c>
      <c r="X2" s="4">
        <f>_xll.ciqfunctions.udf.CIQ($A2, "IQ_EBITDA_EST", IQ_CY+ 2,DateToday,,,Ccy,Conv)</f>
        <v>53885.608800000002</v>
      </c>
      <c r="Y2" s="11">
        <f>_xll.ciqfunctions.udf.CIQ($A2, "IQ_DILUT_EPS_EXCL", IQ_FY,DateToday,,,Ccy,Conv)</f>
        <v>4.34</v>
      </c>
      <c r="Z2" s="11">
        <f>_xll.ciqfunctions.udf.CIQ($A2, "IQ_DILUT_EPS_EXCL", IQ_LTM,DateToday,,,Ccy,Conv)</f>
        <v>5.5729899999999999</v>
      </c>
      <c r="AA2" s="11">
        <f>_xll.ciqfunctions.udf.CIQ($A2, "IQ_EPS_EST", IQ_CY+ 1,DateToday,,,Ccy,Conv)</f>
        <v>7.2723000000000004</v>
      </c>
      <c r="AB2" s="11">
        <f>_xll.ciqfunctions.udf.CIQ($A2, "IQ_EPS_EST", IQ_CY+ 2,DateToday,,,Ccy,Conv)</f>
        <v>9.0023999999999997</v>
      </c>
      <c r="AC2" s="20">
        <f>_xll.ciqfunctions.udf.CIQ($A2, "IQ_TEV_TOTAL_REV",IQ_LTM,$C2)</f>
        <v>9.9684299999999997</v>
      </c>
      <c r="AD2" s="20">
        <f>_xll.ciqfunctions.udf.CIQ($A2, "IQ_TEV_TOTAL_REV",IQ_LTM,DateToday)</f>
        <v>8.9681999999999995</v>
      </c>
      <c r="AE2" s="38">
        <f t="shared" ref="AE2:AE10" si="3">IF(ISERROR($P2/S2), "NA", $P2/S2)</f>
        <v>7.5275862838810044</v>
      </c>
      <c r="AF2" s="38">
        <f t="shared" ref="AF2:AF10" si="4">IF(ISERROR($P2/T2), "NA", $P2/T2)</f>
        <v>5.4267326460145879</v>
      </c>
      <c r="AG2" s="20">
        <f>_xll.ciqfunctions.udf.CIQ($A2, "IQ_TEV_EBITDA",IQ_LTM,$C2)</f>
        <v>23.05809</v>
      </c>
      <c r="AH2" s="20">
        <f>_xll.ciqfunctions.udf.CIQ($A2, "IQ_TEV_EBITDA",IQ_LTM,DateToday)</f>
        <v>18.50356</v>
      </c>
      <c r="AI2" s="20">
        <f>_xll.ciqfunctions.udf.CIQ($A2, "IQ_TEV_EBITDA_FWD",IQ_CY+1,DateToday)</f>
        <v>14.1425</v>
      </c>
      <c r="AJ2" s="20">
        <f>_xll.ciqfunctions.udf.CIQ($A2, "IQ_TEV_EBITDA_FWD",IQ_CY+2,DateToday)</f>
        <v>10.66419</v>
      </c>
      <c r="AK2" s="20">
        <f>_xll.ciqfunctions.udf.CIQ($A2, "IQ_PE_EXCL",IQ_LTM,$C2)</f>
        <v>38.868549999999999</v>
      </c>
      <c r="AL2" s="20">
        <f>_xll.ciqfunctions.udf.CIQ($A2, "IQ_PE_EXCL",IQ_LTM,DateToday)</f>
        <v>27.832439999999998</v>
      </c>
      <c r="AM2" s="20">
        <f>_xll.ciqfunctions.udf.CIQ($A2, "IQ_PE_EXCL_FWD",IQ_CY+1,DateToday)</f>
        <v>21.328880000000002</v>
      </c>
      <c r="AN2" s="20">
        <f>_xll.ciqfunctions.udf.CIQ($A2, "IQ_PE_EXCL_FWD",IQ_CY+2,DateToday)</f>
        <v>17.229849999999999</v>
      </c>
      <c r="AO2" s="20">
        <f>_xll.ciqfunctions.udf.CIQ($A2, "IQ_PBV",IQ_LTM,DateToday,)</f>
        <v>13.29541</v>
      </c>
      <c r="AP2" s="20" t="str">
        <f>_xll.ciqfunctions.udf.CIQ($A2, "IQ_PTBV",IQ_LTM,DateToday,)</f>
        <v>NM</v>
      </c>
      <c r="AQ2" s="4">
        <f>_xll.ciqfunctions.udf.CIQ($A2, "IQ_GROSS_MARGIN", IQ_FY- 2,DateToday)</f>
        <v>72.846999999999994</v>
      </c>
      <c r="AR2" s="4">
        <f>_xll.ciqfunctions.udf.CIQ($A2, "IQ_GROSS_MARGIN", IQ_FY- 1,DateToday,)</f>
        <v>71.407200000000003</v>
      </c>
      <c r="AS2" s="4">
        <f>_xll.ciqfunctions.udf.CIQ($A2, "IQ_GROSS_MARGIN", IQ_FY,DateToday,)</f>
        <v>70.509900000000002</v>
      </c>
      <c r="AT2" s="4">
        <f>_xll.ciqfunctions.udf.CIQ($A2, "IQ_GROSS_MARGIN", IQ_LTM,DateToday,)</f>
        <v>67.084299999999999</v>
      </c>
      <c r="AU2" s="4">
        <f>_xll.ciqfunctions.udf.CIQ($A2, "IQ_EBITDA_MARGIN", IQ_FY- 2,DateToday,)</f>
        <v>39.592399999999998</v>
      </c>
      <c r="AV2" s="4">
        <f>_xll.ciqfunctions.udf.CIQ($A2, "IQ_EBITDA_MARGIN", IQ_FY- 1,DateToday,)</f>
        <v>40.080399999999997</v>
      </c>
      <c r="AW2" s="4">
        <f>_xll.ciqfunctions.udf.CIQ($A2, "IQ_EBITDA_MARGIN", IQ_FY,DateToday,)</f>
        <v>40.917000000000002</v>
      </c>
      <c r="AX2" s="4">
        <f>_xll.ciqfunctions.udf.CIQ($A2, "IQ_EBITDA_MARGIN", IQ_LTM,DateToday,)</f>
        <v>44.661000000000001</v>
      </c>
      <c r="AY2" s="4">
        <f>_xll.ciqfunctions.udf.CIQ($A2, "IQ_NI_MARGIN", IQ_FY- 2,DateToday,)</f>
        <v>17.021599999999999</v>
      </c>
      <c r="AZ2" s="4">
        <f>_xll.ciqfunctions.udf.CIQ($A2, "IQ_NI_MARGIN", IQ_FY- 1,DateToday,)</f>
        <v>19.763500000000001</v>
      </c>
      <c r="BA2" s="4">
        <f>_xll.ciqfunctions.udf.CIQ($A2, "IQ_NI_MARGIN", IQ_FY,DateToday,)</f>
        <v>21.678000000000001</v>
      </c>
      <c r="BB2" s="4">
        <f>_xll.ciqfunctions.udf.CIQ($A2, "IQ_NI_MARGIN", IQ_LTM,DateToday,)</f>
        <v>25.297999999999998</v>
      </c>
      <c r="BC2" s="4">
        <f>_xll.ciqfunctions.udf.CIQ($A2, "IQ_TOTAL_REV_5YR_ANN_CAGR",IQ_LTM,DateToday,)</f>
        <v>10.0527</v>
      </c>
      <c r="BD2" s="4">
        <f>_xll.ciqfunctions.udf.CIQ($A2, "IQ_TOTAL_REV_3YR_ANN_CAGR",IQ_LTM,DateToday,)</f>
        <v>10.139900000000001</v>
      </c>
      <c r="BE2" s="4">
        <f>_xll.ciqfunctions.udf.CIQ($A2, "IQ_TOTAL_REV_1YR_ANN_GROWTH", IQ_FY,DateToday,)</f>
        <v>8.3796999999999997</v>
      </c>
      <c r="BF2" s="4">
        <f>_xll.ciqfunctions.udf.CIQ($A2, "IQ_TOTAL_REV_1YR_ANN_GROWTH",IQ_LTM,DateToday,)</f>
        <v>14.8665</v>
      </c>
      <c r="BG2" s="4">
        <f>_xll.ciqfunctions.udf.CIQ($A2, "IQ_EBITDA_5YR_ANN_CAGR",IQ_LTM,DateToday,)</f>
        <v>10.1853</v>
      </c>
      <c r="BH2" s="4">
        <f>_xll.ciqfunctions.udf.CIQ($A2, "IQ_EBITDA_3YR_ANN_CAGR",IQ_LTM,DateToday,)</f>
        <v>15.435499999999999</v>
      </c>
      <c r="BI2" s="4">
        <f>_xll.ciqfunctions.udf.CIQ($A2, "IQ_EBITDA_1YR_ANN_GROWTH", IQ_FY,DateToday,)</f>
        <v>10.642099999999999</v>
      </c>
      <c r="BJ2" s="4">
        <f>_xll.ciqfunctions.udf.CIQ($A2, "IQ_EBITDA_1YR_ANN_GROWTH",IQ_LTM,DateToday,)</f>
        <v>30.0063</v>
      </c>
      <c r="BK2" s="4">
        <f>_xll.ciqfunctions.udf.CIQ($A2, "IQ_EPS_5YR_ANN_CAGR",IQ_LTM,DateToday,)</f>
        <v>5.9241999999999999</v>
      </c>
      <c r="BL2" s="4">
        <f>_xll.ciqfunctions.udf.CIQ($A2, "IQ_EPS_3YR_ANN_CAGR",IQ_LTM,DateToday,)</f>
        <v>22.397500000000001</v>
      </c>
      <c r="BM2" s="4">
        <f>_xll.ciqfunctions.udf.CIQ($A2, "IQ_EPS_1YR_ANN_GROWTH", IQ_FY,DateToday,)</f>
        <v>16.981100000000001</v>
      </c>
      <c r="BN2" s="4">
        <f>_xll.ciqfunctions.udf.CIQ($A2, "IQ_EPS_1YR_ANN_GROWTH", IQ_LTM,DateToday,)</f>
        <v>30.860900000000001</v>
      </c>
      <c r="BO2" s="20">
        <f>_xll.ciqfunctions.udf.CIQ($A2, "IQ_TOTAL_DEBT_EBITDA",IQ_LTM,DateToday,)</f>
        <v>5.2217000000000002</v>
      </c>
      <c r="BP2" s="20">
        <f>_xll.ciqfunctions.udf.CIQ($A2, "IQ_NET_DEBT_EBITDA",IQ_LTM,DateToday,)</f>
        <v>3.9616500000000001</v>
      </c>
      <c r="BQ2" s="38">
        <f t="shared" ref="BQ2:BQ10" si="5">IF(ISERROR((M2+N2)/V2), "NA", (M2+N2)/V2)</f>
        <v>5.8398504385505117</v>
      </c>
      <c r="BR2" s="20">
        <f>_xll.ciqfunctions.udf.CIQ($A2, "IQ_EBITDA_INT",IQ_LTM,DateToday,)</f>
        <v>7.5050699999999999</v>
      </c>
      <c r="BS2" s="20" t="str">
        <f>_xll.ciqfunctions.udf.CIQ($A2, "IQ_EBITDA_CAPEX_INT",IQ_LTM,DateToday,)</f>
        <v>NM</v>
      </c>
      <c r="BT2" s="4">
        <f>_xll.ciqfunctions.udf.CIQ($A2, "IQ_TOTAL_DEBT_EQUITY",IQ_FQ,DateToday,)</f>
        <v>415.26459999999997</v>
      </c>
      <c r="BU2" s="4">
        <f>_xll.ciqfunctions.udf.CIQ($A2, "IQ_TOTAL_DEBT_CAPITAL",IQ_FQ,DateToday,)</f>
        <v>80.592399999999998</v>
      </c>
      <c r="BV2" s="4">
        <f>_xll.ciqfunctions.udf.CIQ($A2, "IQ_RETURN_EQUITY",IQ_LTM,DateToday)</f>
        <v>57.572000000000003</v>
      </c>
      <c r="BW2" s="4">
        <f>_xll.ciqfunctions.udf.CIQ($A2, "IQ_RETURN_ASSETS",IQ_LTM,DateToday)</f>
        <v>6.3345000000000002</v>
      </c>
      <c r="BX2" s="4">
        <f>_xll.ciqfunctions.udf.CIQ($A2, "IQ_RETURN_INVESTED_CAPITAL",IQ_LTM,DateToday)</f>
        <v>6.4226000000000001</v>
      </c>
      <c r="BY2" s="20">
        <f>_xll.ciqfunctions.udf.CIQ($A2, "IQ_CURRENT_RATIO",IQ_FQ,DateToday,)</f>
        <v>1.3470299999999999</v>
      </c>
      <c r="BZ2" s="20">
        <f>_xll.ciqfunctions.udf.CIQ($A2, "IQ_QUICK_RATIO",IQ_FQ,DateToday,)</f>
        <v>1.22373</v>
      </c>
      <c r="CA2" s="4">
        <f>_xll.ciqfunctions.udf.CIQ($A2, "IQ_DAYS_SALES_OUT",IQ_LTM,DateToday,)</f>
        <v>53.460090000000001</v>
      </c>
      <c r="CB2" s="4">
        <f>_xll.ciqfunctions.udf.CIQ($A2, "IQ_DAYS_INVENTORY_OUT",IQ_LTM,DateToday,)</f>
        <v>0</v>
      </c>
      <c r="CC2" s="4">
        <f>_xll.ciqfunctions.udf.CIQ($A2, "IQ_DAYS_PAYABLE_OUT",IQ_LTM,DateToday,)</f>
        <v>102.94423999999999</v>
      </c>
      <c r="CD2" s="4">
        <f>_xll.ciqfunctions.udf.CIQ($A2, "IQ_CASH_CONVERSION",IQ_LTM,DateToday,)</f>
        <v>0</v>
      </c>
      <c r="CE2" s="20">
        <f>_xll.ciqfunctions.udf.CIQ($A2, "IQ_ASSET_TURNS",IQ_LTM,DateToday,)</f>
        <v>0.31517000000000001</v>
      </c>
      <c r="CF2" s="20">
        <f>_xll.ciqfunctions.udf.CIQ($A2, "IQ_FIXED_ASSET_TURNS",IQ_LTM,DateToday,)</f>
        <v>1.0067999999999999</v>
      </c>
      <c r="CG2" s="20">
        <f>_xll.ciqfunctions.udf.CIQ($A2, "IQ_AR_TURNS",IQ_LTM,DateToday,)</f>
        <v>6.8274900000000001</v>
      </c>
      <c r="CH2" s="20">
        <f>_xll.ciqfunctions.udf.CIQ($A2, "IQ_INVENTORY_TURNS",IQ_LTM,DateToday,)</f>
        <v>0</v>
      </c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</row>
    <row r="3" spans="1:168" s="1" customFormat="1" x14ac:dyDescent="0.2">
      <c r="A3" s="36" t="str">
        <f>_xll.ciqfunctions.udf.CIQ($A$10,"IQ_QUICK_COMP",2)</f>
        <v>NYSE:ACN</v>
      </c>
      <c r="B3" s="36" t="str">
        <f>_xll.ciqfunctions.udf.CIQ($A3, "IQ_COMPANY_NAME")</f>
        <v>Accenture plc</v>
      </c>
      <c r="C3" s="13">
        <f>_xll.ciqfunctions.udf.CIQ($A3,"IQ_PERIODDATE",IQ_FY,DateToday)</f>
        <v>45900</v>
      </c>
      <c r="D3" s="13">
        <f>_xll.ciqfunctions.udf.CIQ($A3,"IQ_PERIODDATE",IQ_LTM,DateToday)</f>
        <v>45991</v>
      </c>
      <c r="E3" s="11">
        <f>_xll.ciqfunctions.udf.CIQ($A3, "IQ_LASTSALEPRICE",DateToday,Ccy,Conv)</f>
        <v>196.65</v>
      </c>
      <c r="F3" s="11">
        <f>_xll.ciqfunctions.udf.CIQ($A3, "IQ_YEARHIGH",DateToday,Ccy,Conv)</f>
        <v>326.73</v>
      </c>
      <c r="G3" s="11">
        <f>_xll.ciqfunctions.udf.CIQ($A3, "IQ_YEARLOW",DateToday,Ccy,Conv)</f>
        <v>188.73</v>
      </c>
      <c r="H3" s="37">
        <f t="shared" si="0"/>
        <v>0.60187310623450552</v>
      </c>
      <c r="I3" s="37">
        <f t="shared" si="1"/>
        <v>1.0419647114926085</v>
      </c>
      <c r="J3" s="4">
        <f>_xll.ciqfunctions.udf.CIQ($A3, "IQ_SHARESOUTSTANDING",DateToday)</f>
        <v>615.30674999999997</v>
      </c>
      <c r="K3" s="22">
        <f t="shared" si="2"/>
        <v>121000.0723875</v>
      </c>
      <c r="L3" s="4">
        <f>_xll.ciqfunctions.udf.CIQ($A3, "IQ_CASH_ST_INVEST",IQ_FQ,DateToday,,"F",Ccy,Conv)</f>
        <v>9655.3109999999997</v>
      </c>
      <c r="M3" s="4">
        <f>_xll.ciqfunctions.udf.CIQ($A3, "IQ_TOTAL_DEBT",IQ_FQ,DateToday,,"F",Ccy,Conv)</f>
        <v>8201.9989999999998</v>
      </c>
      <c r="N3" s="4">
        <f>_xll.ciqfunctions.udf.CIQ($A3, "IQ_PREF_EQUITY",IQ_FQ,DateToday,,"F",Ccy,Conv)</f>
        <v>0</v>
      </c>
      <c r="O3" s="4">
        <f>_xll.ciqfunctions.udf.CIQ($A3, "IQ_MINORITY_INTEREST_TOTAL",IQ_FQ,DateToday,,"F",Ccy,Conv)</f>
        <v>1054.779</v>
      </c>
      <c r="P3" s="22">
        <f t="shared" ref="P3:P10" si="6">IF(ISERROR(K3-L3+M3+N3+O3), "NA",K3-L3+M3+N3+O3)</f>
        <v>120601.53938749999</v>
      </c>
      <c r="Q3" s="4">
        <f>_xll.ciqfunctions.udf.CIQ($A3, "IQ_TOTAL_REV", IQ_FY,DateToday,,,Ccy,Conv)</f>
        <v>69672.976999999999</v>
      </c>
      <c r="R3" s="4">
        <f>_xll.ciqfunctions.udf.CIQ($A3, "IQ_TOTAL_REV", IQ_LTM,DateToday,,,Ccy,Conv)</f>
        <v>70725.557000000001</v>
      </c>
      <c r="S3" s="4">
        <f>_xll.ciqfunctions.udf.CIQ($A3, "IQ_REVENUE_EST", IQ_CY+ 1,DateToday,,,Ccy,Conv)</f>
        <v>74838.961899999995</v>
      </c>
      <c r="T3" s="4">
        <f>_xll.ciqfunctions.udf.CIQ($A3, "IQ_REVENUE_EST", IQ_CY+ 2,DateToday,,,Ccy,Conv)</f>
        <v>78885.649900000004</v>
      </c>
      <c r="U3" s="4">
        <f>_xll.ciqfunctions.udf.CIQ($A3, "IQ_EBITDA", IQ_FY,DateToday,,,Ccy,Conv)</f>
        <v>12222.531999999999</v>
      </c>
      <c r="V3" s="4">
        <f>_xll.ciqfunctions.udf.CIQ($A3, "IQ_EBITDA", IQ_LTM,DateToday,,,Ccy,Conv)</f>
        <v>12458.011</v>
      </c>
      <c r="W3" s="4">
        <f>_xll.ciqfunctions.udf.CIQ($A3, "IQ_EBITDA_EST", IQ_CY+ 1,DateToday,,,Ccy,Conv)</f>
        <v>16924.040099999998</v>
      </c>
      <c r="X3" s="4">
        <f>_xll.ciqfunctions.udf.CIQ($A3, "IQ_EBITDA_EST", IQ_CY+ 2,DateToday,,,Ccy,Conv)</f>
        <v>15234.7019</v>
      </c>
      <c r="Y3" s="11">
        <f>_xll.ciqfunctions.udf.CIQ($A3, "IQ_DILUT_EPS_EXCL", IQ_FY,DateToday,,,Ccy,Conv)</f>
        <v>12.152509999999999</v>
      </c>
      <c r="Z3" s="11">
        <f>_xll.ciqfunctions.udf.CIQ($A3, "IQ_DILUT_EPS_EXCL", IQ_LTM,DateToday,,,Ccy,Conv)</f>
        <v>12.087059999999999</v>
      </c>
      <c r="AA3" s="11">
        <f>_xll.ciqfunctions.udf.CIQ($A3, "IQ_EPS_EST", IQ_CY+ 1,DateToday,,,Ccy,Conv)</f>
        <v>13.980499999999999</v>
      </c>
      <c r="AB3" s="11">
        <f>_xll.ciqfunctions.udf.CIQ($A3, "IQ_EPS_EST", IQ_CY+ 2,DateToday,,,Ccy,Conv)</f>
        <v>15.2804</v>
      </c>
      <c r="AC3" s="20">
        <f>_xll.ciqfunctions.udf.CIQ($A3, "IQ_TEV_TOTAL_REV",IQ_LTM,#REF!)</f>
        <v>1.7052</v>
      </c>
      <c r="AD3" s="20">
        <f>_xll.ciqfunctions.udf.CIQ($A3, "IQ_TEV_TOTAL_REV",IQ_LTM,DateToday)</f>
        <v>1.7052</v>
      </c>
      <c r="AE3" s="38">
        <f t="shared" si="3"/>
        <v>1.6114806556062076</v>
      </c>
      <c r="AF3" s="38">
        <f t="shared" si="4"/>
        <v>1.5288146771989766</v>
      </c>
      <c r="AG3" s="20">
        <f>_xll.ciqfunctions.udf.CIQ($A3, "IQ_TEV_EBITDA",IQ_LTM,#REF!)</f>
        <v>8.9880499999999994</v>
      </c>
      <c r="AH3" s="20">
        <f>_xll.ciqfunctions.udf.CIQ($A3, "IQ_TEV_EBITDA",IQ_LTM,DateToday)</f>
        <v>8.9880499999999994</v>
      </c>
      <c r="AI3" s="20">
        <f>_xll.ciqfunctions.udf.CIQ($A3, "IQ_TEV_EBITDA_FWD",IQ_CY+1,DateToday)</f>
        <v>7.1260500000000002</v>
      </c>
      <c r="AJ3" s="20">
        <f>_xll.ciqfunctions.udf.CIQ($A3, "IQ_TEV_EBITDA_FWD",IQ_CY+2,DateToday)</f>
        <v>7.9162400000000002</v>
      </c>
      <c r="AK3" s="20">
        <f>_xll.ciqfunctions.udf.CIQ($A3, "IQ_PE_EXCL",IQ_LTM,#REF!)</f>
        <v>16.269469999999998</v>
      </c>
      <c r="AL3" s="20">
        <f>_xll.ciqfunctions.udf.CIQ($A3, "IQ_PE_EXCL",IQ_LTM,DateToday)</f>
        <v>16.269469999999998</v>
      </c>
      <c r="AM3" s="20">
        <f>_xll.ciqfunctions.udf.CIQ($A3, "IQ_PE_EXCL_FWD",IQ_CY+1,DateToday)</f>
        <v>14.06602</v>
      </c>
      <c r="AN3" s="20">
        <f>_xll.ciqfunctions.udf.CIQ($A3, "IQ_PE_EXCL_FWD",IQ_CY+2,DateToday)</f>
        <v>12.869429999999999</v>
      </c>
      <c r="AO3" s="20">
        <f>_xll.ciqfunctions.udf.CIQ($A3, "IQ_PBV",IQ_LTM,DateToday,)</f>
        <v>3.9202900000000001</v>
      </c>
      <c r="AP3" s="20">
        <f>_xll.ciqfunctions.udf.CIQ($A3, "IQ_PTBV",IQ_LTM,DateToday,)</f>
        <v>20.46078</v>
      </c>
      <c r="AQ3" s="4">
        <f>_xll.ciqfunctions.udf.CIQ($A3, "IQ_GROSS_MARGIN", IQ_FY- 2,DateToday,)</f>
        <v>32.336599999999997</v>
      </c>
      <c r="AR3" s="4">
        <f>_xll.ciqfunctions.udf.CIQ($A3, "IQ_GROSS_MARGIN", IQ_FY- 1,DateToday,)</f>
        <v>32.609299999999998</v>
      </c>
      <c r="AS3" s="4">
        <f>_xll.ciqfunctions.udf.CIQ($A3, "IQ_GROSS_MARGIN", IQ_FY,DateToday,)</f>
        <v>31.913900000000002</v>
      </c>
      <c r="AT3" s="4">
        <f>_xll.ciqfunctions.udf.CIQ($A3, "IQ_GROSS_MARGIN", IQ_LTM,DateToday,)</f>
        <v>31.9682</v>
      </c>
      <c r="AU3" s="4">
        <f>_xll.ciqfunctions.udf.CIQ($A3, "IQ_EBITDA_MARGIN", IQ_FY- 2,DateToday,)</f>
        <v>17.055599999999998</v>
      </c>
      <c r="AV3" s="4">
        <f>_xll.ciqfunctions.udf.CIQ($A3, "IQ_EBITDA_MARGIN", IQ_FY- 1,DateToday,)</f>
        <v>17.023</v>
      </c>
      <c r="AW3" s="4">
        <f>_xll.ciqfunctions.udf.CIQ($A3, "IQ_EBITDA_MARGIN", IQ_FY,DateToday,)</f>
        <v>17.5427</v>
      </c>
      <c r="AX3" s="4">
        <f>_xll.ciqfunctions.udf.CIQ($A3, "IQ_EBITDA_MARGIN", IQ_LTM,DateToday,)</f>
        <v>17.6145</v>
      </c>
      <c r="AY3" s="4">
        <f>_xll.ciqfunctions.udf.CIQ($A3, "IQ_NI_MARGIN", IQ_FY- 2,DateToday,)</f>
        <v>10.718</v>
      </c>
      <c r="AZ3" s="4">
        <f>_xll.ciqfunctions.udf.CIQ($A3, "IQ_NI_MARGIN", IQ_FY- 1,DateToday,)</f>
        <v>11.1944</v>
      </c>
      <c r="BA3" s="4">
        <f>_xll.ciqfunctions.udf.CIQ($A3, "IQ_NI_MARGIN", IQ_FY,DateToday,)</f>
        <v>11.0206</v>
      </c>
      <c r="BB3" s="4">
        <f>_xll.ciqfunctions.udf.CIQ($A3, "IQ_NI_MARGIN", IQ_LTM,DateToday,)</f>
        <v>10.7614</v>
      </c>
      <c r="BC3" s="4">
        <f>_xll.ciqfunctions.udf.CIQ($A3, "IQ_TOTAL_REV_5YR_ANN_CAGR",IQ_LTM,DateToday,)</f>
        <v>9.5960999999999999</v>
      </c>
      <c r="BD3" s="4">
        <f>_xll.ciqfunctions.udf.CIQ($A3, "IQ_TOTAL_REV_3YR_ANN_CAGR",IQ_LTM,DateToday,)</f>
        <v>4.2759</v>
      </c>
      <c r="BE3" s="4">
        <f>_xll.ciqfunctions.udf.CIQ($A3, "IQ_TOTAL_REV_1YR_ANN_GROWTH", IQ_FY,DateToday,)</f>
        <v>7.3601999999999999</v>
      </c>
      <c r="BF3" s="4">
        <f>_xll.ciqfunctions.udf.CIQ($A3, "IQ_TOTAL_REV_1YR_ANN_GROWTH",IQ_LTM,DateToday,)</f>
        <v>6.5758000000000001</v>
      </c>
      <c r="BG3" s="4">
        <f>_xll.ciqfunctions.udf.CIQ($A3, "IQ_EBITDA_5YR_ANN_CAGR",IQ_LTM,DateToday,)</f>
        <v>10.946899999999999</v>
      </c>
      <c r="BH3" s="4">
        <f>_xll.ciqfunctions.udf.CIQ($A3, "IQ_EBITDA_3YR_ANN_CAGR",IQ_LTM,DateToday,)</f>
        <v>3.3348</v>
      </c>
      <c r="BI3" s="4">
        <f>_xll.ciqfunctions.udf.CIQ($A3, "IQ_EBITDA_1YR_ANN_GROWTH", IQ_FY,DateToday,)</f>
        <v>10.637600000000001</v>
      </c>
      <c r="BJ3" s="4">
        <f>_xll.ciqfunctions.udf.CIQ($A3, "IQ_EBITDA_1YR_ANN_GROWTH",IQ_LTM,DateToday,)</f>
        <v>9.8617000000000008</v>
      </c>
      <c r="BK3" s="4">
        <f>_xll.ciqfunctions.udf.CIQ($A3, "IQ_EPS_5YR_ANN_CAGR",IQ_LTM,DateToday,)</f>
        <v>8.2712000000000003</v>
      </c>
      <c r="BL3" s="4">
        <f>_xll.ciqfunctions.udf.CIQ($A3, "IQ_EPS_3YR_ANN_CAGR",IQ_LTM,DateToday,)</f>
        <v>3.1703000000000001</v>
      </c>
      <c r="BM3" s="4">
        <f>_xll.ciqfunctions.udf.CIQ($A3, "IQ_EPS_1YR_ANN_GROWTH", IQ_FY,DateToday,)</f>
        <v>6.2744999999999997</v>
      </c>
      <c r="BN3" s="4">
        <f>_xll.ciqfunctions.udf.CIQ($A3, "IQ_EPS_1YR_ANN_GROWTH", IQ_LTM,DateToday,)</f>
        <v>1.3298000000000001</v>
      </c>
      <c r="BO3" s="20">
        <f>_xll.ciqfunctions.udf.CIQ($A3, "IQ_TOTAL_DEBT_EBITDA",IQ_LTM,DateToday,)</f>
        <v>0.61126999999999998</v>
      </c>
      <c r="BP3" s="20" t="str">
        <f>_xll.ciqfunctions.udf.CIQ($A3, "IQ_NET_DEBT_EBITDA",IQ_LTM,DateToday,)</f>
        <v>NM</v>
      </c>
      <c r="BQ3" s="39">
        <f t="shared" si="5"/>
        <v>0.65837146876816854</v>
      </c>
      <c r="BR3" s="20">
        <f>_xll.ciqfunctions.udf.CIQ($A3, "IQ_EBITDA_INT",IQ_LTM,DateToday,)</f>
        <v>50.84919</v>
      </c>
      <c r="BS3" s="20">
        <f>_xll.ciqfunctions.udf.CIQ($A3, "IQ_EBITDA_CAPEX_INT",IQ_LTM,DateToday,)</f>
        <v>48.558669999999999</v>
      </c>
      <c r="BT3" s="4">
        <f>_xll.ciqfunctions.udf.CIQ($A3, "IQ_TOTAL_DEBT_EQUITY",IQ_FQ,DateToday,)</f>
        <v>25.6936</v>
      </c>
      <c r="BU3" s="4">
        <f>_xll.ciqfunctions.udf.CIQ($A3, "IQ_TOTAL_DEBT_CAPITAL",IQ_FQ,DateToday,)</f>
        <v>20.441400000000002</v>
      </c>
      <c r="BV3" s="4">
        <f>_xll.ciqfunctions.udf.CIQ($A3, "IQ_RETURN_EQUITY",IQ_LTM,DateToday)</f>
        <v>25.016100000000002</v>
      </c>
      <c r="BW3" s="4">
        <f>_xll.ciqfunctions.udf.CIQ($A3, "IQ_RETURN_ASSETS",IQ_LTM,DateToday)</f>
        <v>11.125400000000001</v>
      </c>
      <c r="BX3" s="4">
        <f>_xll.ciqfunctions.udf.CIQ($A3, "IQ_RETURN_INVESTED_CAPITAL",IQ_LTM,DateToday)</f>
        <v>9.7743000000000002</v>
      </c>
      <c r="BY3" s="20">
        <f>_xll.ciqfunctions.udf.CIQ($A3, "IQ_CURRENT_RATIO",IQ_FQ,DateToday,)</f>
        <v>1.4106300000000001</v>
      </c>
      <c r="BZ3" s="20">
        <f>_xll.ciqfunctions.udf.CIQ($A3, "IQ_QUICK_RATIO",IQ_FQ,DateToday,)</f>
        <v>1.2897700000000001</v>
      </c>
      <c r="CA3" s="4">
        <f>_xll.ciqfunctions.udf.CIQ($A3, "IQ_DAYS_SALES_OUT",IQ_LTM,DateToday,)</f>
        <v>78.911910000000006</v>
      </c>
      <c r="CB3" s="4">
        <f>_xll.ciqfunctions.udf.CIQ($A3, "IQ_DAYS_INVENTORY_OUT",IQ_LTM,DateToday,)</f>
        <v>0</v>
      </c>
      <c r="CC3" s="4">
        <f>_xll.ciqfunctions.udf.CIQ($A3, "IQ_DAYS_PAYABLE_OUT",IQ_LTM,DateToday,)</f>
        <v>21.053570000000001</v>
      </c>
      <c r="CD3" s="4">
        <f>_xll.ciqfunctions.udf.CIQ($A3, "IQ_CASH_CONVERSION",IQ_LTM,DateToday,)</f>
        <v>0</v>
      </c>
      <c r="CE3" s="20">
        <f>_xll.ciqfunctions.udf.CIQ($A3, "IQ_ASSET_TURNS",IQ_LTM,DateToday,)</f>
        <v>1.1355500000000001</v>
      </c>
      <c r="CF3" s="20">
        <f>_xll.ciqfunctions.udf.CIQ($A3, "IQ_FIXED_ASSET_TURNS",IQ_LTM,DateToday,)</f>
        <v>16.652640000000002</v>
      </c>
      <c r="CG3" s="20">
        <f>_xll.ciqfunctions.udf.CIQ($A3, "IQ_AR_TURNS",IQ_LTM,DateToday,)</f>
        <v>4.6254099999999996</v>
      </c>
      <c r="CH3" s="20">
        <f>_xll.ciqfunctions.udf.CIQ($A3, "IQ_INVENTORY_TURNS",IQ_LTM,DateToday,)</f>
        <v>0</v>
      </c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</row>
    <row r="4" spans="1:168" s="1" customFormat="1" x14ac:dyDescent="0.2">
      <c r="A4" s="36" t="str">
        <f>_xll.ciqfunctions.udf.CIQ($A$10,"IQ_QUICK_COMP",3)</f>
        <v>NYSE:HPE</v>
      </c>
      <c r="B4" s="36" t="str">
        <f>_xll.ciqfunctions.udf.CIQ($A4, "IQ_COMPANY_NAME")</f>
        <v>Hewlett Packard Enterprise Company</v>
      </c>
      <c r="C4" s="13">
        <f>_xll.ciqfunctions.udf.CIQ($A4,"IQ_PERIODDATE",IQ_FY,DateToday)</f>
        <v>45961</v>
      </c>
      <c r="D4" s="13">
        <f>_xll.ciqfunctions.udf.CIQ($A4,"IQ_PERIODDATE",IQ_LTM,DateToday)</f>
        <v>46053</v>
      </c>
      <c r="E4" s="11">
        <f>_xll.ciqfunctions.udf.CIQ($A4, "IQ_LASTSALEPRICE",DateToday,Ccy,Conv)</f>
        <v>21.58</v>
      </c>
      <c r="F4" s="11">
        <f>_xll.ciqfunctions.udf.CIQ($A4, "IQ_YEARHIGH",DateToday,Ccy,Conv)</f>
        <v>26.44</v>
      </c>
      <c r="G4" s="11">
        <f>_xll.ciqfunctions.udf.CIQ($A4, "IQ_YEARLOW",DateToday,Ccy,Conv)</f>
        <v>11.965</v>
      </c>
      <c r="H4" s="37">
        <f t="shared" si="0"/>
        <v>0.81618759455370637</v>
      </c>
      <c r="I4" s="37">
        <f t="shared" si="1"/>
        <v>1.8035938152946092</v>
      </c>
      <c r="J4" s="4">
        <f>_xll.ciqfunctions.udf.CIQ($A4, "IQ_SHARESOUTSTANDING",DateToday)</f>
        <v>1326.85409</v>
      </c>
      <c r="K4" s="22">
        <f t="shared" si="2"/>
        <v>28633.511262199998</v>
      </c>
      <c r="L4" s="4">
        <f>_xll.ciqfunctions.udf.CIQ($A4, "IQ_CASH_ST_INVEST",IQ_FQ,DateToday,,"F",Ccy,Conv)</f>
        <v>4841</v>
      </c>
      <c r="M4" s="4">
        <f>_xll.ciqfunctions.udf.CIQ($A4, "IQ_TOTAL_DEBT",IQ_FQ,DateToday,,"F",Ccy,Conv)</f>
        <v>21661</v>
      </c>
      <c r="N4" s="4">
        <f>_xll.ciqfunctions.udf.CIQ($A4, "IQ_PREF_EQUITY",IQ_FQ,DateToday,,"F",Ccy,Conv)</f>
        <v>0</v>
      </c>
      <c r="O4" s="4">
        <f>_xll.ciqfunctions.udf.CIQ($A4, "IQ_MINORITY_INTEREST_TOTAL",IQ_FQ,DateToday,,"F",Ccy,Conv)</f>
        <v>60</v>
      </c>
      <c r="P4" s="22">
        <f t="shared" si="6"/>
        <v>45513.511262200002</v>
      </c>
      <c r="Q4" s="4">
        <f>_xll.ciqfunctions.udf.CIQ($A4, "IQ_TOTAL_REV", IQ_FY,DateToday,,,Ccy,Conv)</f>
        <v>34296</v>
      </c>
      <c r="R4" s="4">
        <f>_xll.ciqfunctions.udf.CIQ($A4, "IQ_TOTAL_REV", IQ_LTM,DateToday,,,Ccy,Conv)</f>
        <v>35743</v>
      </c>
      <c r="S4" s="4">
        <f>_xll.ciqfunctions.udf.CIQ($A4, "IQ_REVENUE_EST", IQ_CY+ 1,DateToday,,,Ccy,Conv)</f>
        <v>41738.124900000003</v>
      </c>
      <c r="T4" s="4">
        <f>_xll.ciqfunctions.udf.CIQ($A4, "IQ_REVENUE_EST", IQ_CY+ 2,DateToday,,,Ccy,Conv)</f>
        <v>43587.657299999999</v>
      </c>
      <c r="U4" s="4">
        <f>_xll.ciqfunctions.udf.CIQ($A4, "IQ_EBITDA", IQ_FY,DateToday,,,Ccy,Conv)</f>
        <v>4491</v>
      </c>
      <c r="V4" s="4">
        <f>_xll.ciqfunctions.udf.CIQ($A4, "IQ_EBITDA", IQ_LTM,DateToday,,,Ccy,Conv)</f>
        <v>4890</v>
      </c>
      <c r="W4" s="4">
        <f>_xll.ciqfunctions.udf.CIQ($A4, "IQ_EBITDA_EST", IQ_CY+ 1,DateToday,,,Ccy,Conv)</f>
        <v>6955.0475999999999</v>
      </c>
      <c r="X4" s="4">
        <f>_xll.ciqfunctions.udf.CIQ($A4, "IQ_EBITDA_EST", IQ_CY+ 2,DateToday,,,Ccy,Conv)</f>
        <v>7745.2672000000002</v>
      </c>
      <c r="Y4" s="11">
        <f>_xll.ciqfunctions.udf.CIQ($A4, "IQ_DILUT_EPS_EXCL", IQ_FY,DateToday,,,Ccy,Conv)</f>
        <v>-4.4560000000000002E-2</v>
      </c>
      <c r="Z4" s="11">
        <f>_xll.ciqfunctions.udf.CIQ($A4, "IQ_DILUT_EPS_EXCL", IQ_LTM,DateToday,,,Ccy,Conv)</f>
        <v>-0.19541</v>
      </c>
      <c r="AA4" s="11">
        <f>_xll.ciqfunctions.udf.CIQ($A4, "IQ_EPS_EST", IQ_CY+ 1,DateToday,,,Ccy,Conv)</f>
        <v>2.4098000000000002</v>
      </c>
      <c r="AB4" s="11">
        <f>_xll.ciqfunctions.udf.CIQ($A4, "IQ_EPS_EST", IQ_CY+ 2,DateToday,,,Ccy,Conv)</f>
        <v>2.7805</v>
      </c>
      <c r="AC4" s="20">
        <f>_xll.ciqfunctions.udf.CIQ($A4, "IQ_TEV_TOTAL_REV",IQ_LTM,#REF!)</f>
        <v>1.27335</v>
      </c>
      <c r="AD4" s="20">
        <f>_xll.ciqfunctions.udf.CIQ($A4, "IQ_TEV_TOTAL_REV",IQ_LTM,DateToday)</f>
        <v>1.27335</v>
      </c>
      <c r="AE4" s="38">
        <f t="shared" si="3"/>
        <v>1.0904541440528392</v>
      </c>
      <c r="AF4" s="38">
        <f t="shared" si="4"/>
        <v>1.0441834703100688</v>
      </c>
      <c r="AG4" s="20">
        <f>_xll.ciqfunctions.udf.CIQ($A4, "IQ_TEV_EBITDA",IQ_LTM,#REF!)</f>
        <v>8.6216200000000001</v>
      </c>
      <c r="AH4" s="20">
        <f>_xll.ciqfunctions.udf.CIQ($A4, "IQ_TEV_EBITDA",IQ_LTM,DateToday)</f>
        <v>8.6216200000000001</v>
      </c>
      <c r="AI4" s="20">
        <f>_xll.ciqfunctions.udf.CIQ($A4, "IQ_TEV_EBITDA_FWD",IQ_CY+1,DateToday)</f>
        <v>6.5439499999999997</v>
      </c>
      <c r="AJ4" s="20">
        <f>_xll.ciqfunctions.udf.CIQ($A4, "IQ_TEV_EBITDA_FWD",IQ_CY+2,DateToday)</f>
        <v>5.8762999999999996</v>
      </c>
      <c r="AK4" s="20" t="str">
        <f>_xll.ciqfunctions.udf.CIQ($A4, "IQ_PE_EXCL",IQ_LTM,#REF!)</f>
        <v>NM</v>
      </c>
      <c r="AL4" s="20" t="str">
        <f>_xll.ciqfunctions.udf.CIQ($A4, "IQ_PE_EXCL",IQ_LTM,DateToday)</f>
        <v>NM</v>
      </c>
      <c r="AM4" s="20">
        <f>_xll.ciqfunctions.udf.CIQ($A4, "IQ_PE_EXCL_FWD",IQ_CY+1,DateToday)</f>
        <v>8.9550999999999998</v>
      </c>
      <c r="AN4" s="20">
        <f>_xll.ciqfunctions.udf.CIQ($A4, "IQ_PE_EXCL_FWD",IQ_CY+2,DateToday)</f>
        <v>7.76119</v>
      </c>
      <c r="AO4" s="20">
        <f>_xll.ciqfunctions.udf.CIQ($A4, "IQ_PBV",IQ_LTM,DateToday,)</f>
        <v>1.1575899999999999</v>
      </c>
      <c r="AP4" s="20" t="str">
        <f>_xll.ciqfunctions.udf.CIQ($A4, "IQ_PTBV",IQ_LTM,DateToday,)</f>
        <v>NM</v>
      </c>
      <c r="AQ4" s="4">
        <f>_xll.ciqfunctions.udf.CIQ($A4, "IQ_GROSS_MARGIN", IQ_FY- 2,DateToday,)</f>
        <v>35.1432</v>
      </c>
      <c r="AR4" s="4">
        <f>_xll.ciqfunctions.udf.CIQ($A4, "IQ_GROSS_MARGIN", IQ_FY- 1,DateToday,)</f>
        <v>32.787799999999997</v>
      </c>
      <c r="AS4" s="4">
        <f>_xll.ciqfunctions.udf.CIQ($A4, "IQ_GROSS_MARGIN", IQ_FY,DateToday,)</f>
        <v>30.257100000000001</v>
      </c>
      <c r="AT4" s="4">
        <f>_xll.ciqfunctions.udf.CIQ($A4, "IQ_GROSS_MARGIN", IQ_LTM,DateToday,)</f>
        <v>32.070599999999999</v>
      </c>
      <c r="AU4" s="4">
        <f>_xll.ciqfunctions.udf.CIQ($A4, "IQ_EBITDA_MARGIN", IQ_FY- 2,DateToday,)</f>
        <v>17.370799999999999</v>
      </c>
      <c r="AV4" s="4">
        <f>_xll.ciqfunctions.udf.CIQ($A4, "IQ_EBITDA_MARGIN", IQ_FY- 1,DateToday,)</f>
        <v>16.792200000000001</v>
      </c>
      <c r="AW4" s="4">
        <f>_xll.ciqfunctions.udf.CIQ($A4, "IQ_EBITDA_MARGIN", IQ_FY,DateToday,)</f>
        <v>13.094799999999999</v>
      </c>
      <c r="AX4" s="4">
        <f>_xll.ciqfunctions.udf.CIQ($A4, "IQ_EBITDA_MARGIN", IQ_LTM,DateToday,)</f>
        <v>13.680999999999999</v>
      </c>
      <c r="AY4" s="4">
        <f>_xll.ciqfunctions.udf.CIQ($A4, "IQ_NI_MARGIN", IQ_FY- 2,DateToday,)</f>
        <v>6.9504000000000001</v>
      </c>
      <c r="AZ4" s="4">
        <f>_xll.ciqfunctions.udf.CIQ($A4, "IQ_NI_MARGIN", IQ_FY- 1,DateToday,)</f>
        <v>8.5603999999999996</v>
      </c>
      <c r="BA4" s="4">
        <f>_xll.ciqfunctions.udf.CIQ($A4, "IQ_NI_MARGIN", IQ_FY,DateToday,)</f>
        <v>0.16619999999999999</v>
      </c>
      <c r="BB4" s="4">
        <f>_xll.ciqfunctions.udf.CIQ($A4, "IQ_NI_MARGIN", IQ_LTM,DateToday,)</f>
        <v>-0.3301</v>
      </c>
      <c r="BC4" s="4">
        <f>_xll.ciqfunctions.udf.CIQ($A4, "IQ_TOTAL_REV_5YR_ANN_CAGR",IQ_LTM,DateToday,)</f>
        <v>5.8760000000000003</v>
      </c>
      <c r="BD4" s="4">
        <f>_xll.ciqfunctions.udf.CIQ($A4, "IQ_TOTAL_REV_3YR_ANN_CAGR",IQ_LTM,DateToday,)</f>
        <v>6.7965</v>
      </c>
      <c r="BE4" s="4">
        <f>_xll.ciqfunctions.udf.CIQ($A4, "IQ_TOTAL_REV_1YR_ANN_GROWTH", IQ_FY,DateToday,)</f>
        <v>13.837999999999999</v>
      </c>
      <c r="BF4" s="4">
        <f>_xll.ciqfunctions.udf.CIQ($A4, "IQ_TOTAL_REV_1YR_ANN_GROWTH",IQ_LTM,DateToday,)</f>
        <v>14.4655</v>
      </c>
      <c r="BG4" s="4">
        <f>_xll.ciqfunctions.udf.CIQ($A4, "IQ_EBITDA_5YR_ANN_CAGR",IQ_LTM,DateToday,)</f>
        <v>2.6288</v>
      </c>
      <c r="BH4" s="4">
        <f>_xll.ciqfunctions.udf.CIQ($A4, "IQ_EBITDA_3YR_ANN_CAGR",IQ_LTM,DateToday,)</f>
        <v>-0.3049</v>
      </c>
      <c r="BI4" s="4">
        <f>_xll.ciqfunctions.udf.CIQ($A4, "IQ_EBITDA_1YR_ANN_GROWTH", IQ_FY,DateToday,)</f>
        <v>-11.227600000000001</v>
      </c>
      <c r="BJ4" s="4">
        <f>_xll.ciqfunctions.udf.CIQ($A4, "IQ_EBITDA_1YR_ANN_GROWTH",IQ_LTM,DateToday,)</f>
        <v>-2.6671999999999998</v>
      </c>
      <c r="BK4" s="4" t="str">
        <f>_xll.ciqfunctions.udf.CIQ($A4, "IQ_EPS_5YR_ANN_CAGR",IQ_LTM,DateToday,)</f>
        <v>NM</v>
      </c>
      <c r="BL4" s="4" t="str">
        <f>_xll.ciqfunctions.udf.CIQ($A4, "IQ_EPS_3YR_ANN_CAGR",IQ_LTM,DateToday,)</f>
        <v>NM</v>
      </c>
      <c r="BM4" s="4" t="str">
        <f>_xll.ciqfunctions.udf.CIQ($A4, "IQ_EPS_1YR_ANN_GROWTH", IQ_FY,DateToday,)</f>
        <v>NM</v>
      </c>
      <c r="BN4" s="4" t="str">
        <f>_xll.ciqfunctions.udf.CIQ($A4, "IQ_EPS_1YR_ANN_GROWTH", IQ_LTM,DateToday,)</f>
        <v>NM</v>
      </c>
      <c r="BO4" s="20">
        <f>_xll.ciqfunctions.udf.CIQ($A4, "IQ_TOTAL_DEBT_EBITDA",IQ_LTM,DateToday,)</f>
        <v>4.1655800000000003</v>
      </c>
      <c r="BP4" s="20">
        <f>_xll.ciqfunctions.udf.CIQ($A4, "IQ_NET_DEBT_EBITDA",IQ_LTM,DateToday,)</f>
        <v>3.2346200000000001</v>
      </c>
      <c r="BQ4" s="39">
        <f t="shared" si="5"/>
        <v>4.4296523517382411</v>
      </c>
      <c r="BR4" s="20">
        <f>_xll.ciqfunctions.udf.CIQ($A4, "IQ_EBITDA_INT",IQ_LTM,DateToday,)</f>
        <v>13.68421</v>
      </c>
      <c r="BS4" s="20">
        <f>_xll.ciqfunctions.udf.CIQ($A4, "IQ_EBITDA_CAPEX_INT",IQ_LTM,DateToday,)</f>
        <v>7.54474</v>
      </c>
      <c r="BT4" s="4">
        <f>_xll.ciqfunctions.udf.CIQ($A4, "IQ_TOTAL_DEBT_EQUITY",IQ_FQ,DateToday,)</f>
        <v>87.223100000000002</v>
      </c>
      <c r="BU4" s="4">
        <f>_xll.ciqfunctions.udf.CIQ($A4, "IQ_TOTAL_DEBT_CAPITAL",IQ_FQ,DateToday,)</f>
        <v>46.587800000000001</v>
      </c>
      <c r="BV4" s="4">
        <f>_xll.ciqfunctions.udf.CIQ($A4, "IQ_RETURN_EQUITY",IQ_LTM,DateToday)</f>
        <v>-0.47089999999999999</v>
      </c>
      <c r="BW4" s="4">
        <f>_xll.ciqfunctions.udf.CIQ($A4, "IQ_RETURN_ASSETS",IQ_LTM,DateToday)</f>
        <v>1.6085</v>
      </c>
      <c r="BX4" s="4">
        <f>_xll.ciqfunctions.udf.CIQ($A4, "IQ_RETURN_INVESTED_CAPITAL",IQ_LTM,DateToday)</f>
        <v>-2.0891999999999999</v>
      </c>
      <c r="BY4" s="20">
        <f>_xll.ciqfunctions.udf.CIQ($A4, "IQ_CURRENT_RATIO",IQ_FQ,DateToday,)</f>
        <v>1.0347299999999999</v>
      </c>
      <c r="BZ4" s="20">
        <f>_xll.ciqfunctions.udf.CIQ($A4, "IQ_QUICK_RATIO",IQ_FQ,DateToday,)</f>
        <v>0.55864999999999998</v>
      </c>
      <c r="CA4" s="4">
        <f>_xll.ciqfunctions.udf.CIQ($A4, "IQ_DAYS_SALES_OUT",IQ_LTM,DateToday,)</f>
        <v>43.741970000000002</v>
      </c>
      <c r="CB4" s="4">
        <f>_xll.ciqfunctions.udf.CIQ($A4, "IQ_DAYS_INVENTORY_OUT",IQ_LTM,DateToday,)</f>
        <v>118.84802000000001</v>
      </c>
      <c r="CC4" s="4">
        <f>_xll.ciqfunctions.udf.CIQ($A4, "IQ_DAYS_PAYABLE_OUT",IQ_LTM,DateToday,)</f>
        <v>157.78366</v>
      </c>
      <c r="CD4" s="4">
        <f>_xll.ciqfunctions.udf.CIQ($A4, "IQ_CASH_CONVERSION",IQ_LTM,DateToday,)</f>
        <v>4.8063200000000004</v>
      </c>
      <c r="CE4" s="20">
        <f>_xll.ciqfunctions.udf.CIQ($A4, "IQ_ASSET_TURNS",IQ_LTM,DateToday,)</f>
        <v>0.48931000000000002</v>
      </c>
      <c r="CF4" s="20">
        <f>_xll.ciqfunctions.udf.CIQ($A4, "IQ_FIXED_ASSET_TURNS",IQ_LTM,DateToday,)</f>
        <v>6.3133400000000002</v>
      </c>
      <c r="CG4" s="20">
        <f>_xll.ciqfunctions.udf.CIQ($A4, "IQ_AR_TURNS",IQ_LTM,DateToday,)</f>
        <v>8.3443500000000004</v>
      </c>
      <c r="CH4" s="20">
        <f>_xll.ciqfunctions.udf.CIQ($A4, "IQ_INVENTORY_TURNS",IQ_LTM,DateToday,)</f>
        <v>3.0711400000000002</v>
      </c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</row>
    <row r="5" spans="1:168" s="1" customFormat="1" x14ac:dyDescent="0.2">
      <c r="A5" s="36" t="str">
        <f>_xll.ciqfunctions.udf.CIQ($A$10,"IQ_QUICK_COMP",4)</f>
        <v>NYSE:SNX</v>
      </c>
      <c r="B5" s="36" t="str">
        <f>_xll.ciqfunctions.udf.CIQ($A5, "IQ_COMPANY_NAME")</f>
        <v>TD SYNNEX Corporation</v>
      </c>
      <c r="C5" s="13">
        <f>_xll.ciqfunctions.udf.CIQ($A5,"IQ_PERIODDATE",IQ_FY,DateToday)</f>
        <v>45991</v>
      </c>
      <c r="D5" s="13">
        <f>_xll.ciqfunctions.udf.CIQ($A5,"IQ_PERIODDATE",IQ_LTM,DateToday)</f>
        <v>45991</v>
      </c>
      <c r="E5" s="11">
        <f>_xll.ciqfunctions.udf.CIQ($A5, "IQ_LASTSALEPRICE",DateToday,Ccy,Conv)</f>
        <v>153.13999999999999</v>
      </c>
      <c r="F5" s="11">
        <f>_xll.ciqfunctions.udf.CIQ($A5, "IQ_YEARHIGH",DateToday,Ccy,Conv)</f>
        <v>175.56</v>
      </c>
      <c r="G5" s="11">
        <f>_xll.ciqfunctions.udf.CIQ($A5, "IQ_YEARLOW",DateToday,Ccy,Conv)</f>
        <v>92.23</v>
      </c>
      <c r="H5" s="37">
        <f t="shared" si="0"/>
        <v>0.87229437229437223</v>
      </c>
      <c r="I5" s="37">
        <f t="shared" si="1"/>
        <v>1.6604141819364631</v>
      </c>
      <c r="J5" s="4">
        <f>_xll.ciqfunctions.udf.CIQ($A5, "IQ_SHARESOUTSTANDING",DateToday)</f>
        <v>80.626390000000001</v>
      </c>
      <c r="K5" s="22">
        <f t="shared" si="2"/>
        <v>12347.125364599999</v>
      </c>
      <c r="L5" s="4">
        <f>_xll.ciqfunctions.udf.CIQ($A5, "IQ_CASH_ST_INVEST",IQ_FQ,DateToday,,"F",Ccy,Conv)</f>
        <v>2435.3890000000001</v>
      </c>
      <c r="M5" s="4">
        <f>_xll.ciqfunctions.udf.CIQ($A5, "IQ_TOTAL_DEBT",IQ_FQ,DateToday,,"F",Ccy,Conv)</f>
        <v>5081.982</v>
      </c>
      <c r="N5" s="4">
        <f>_xll.ciqfunctions.udf.CIQ($A5, "IQ_PREF_EQUITY",IQ_FQ,DateToday,,"F",Ccy,Conv)</f>
        <v>0</v>
      </c>
      <c r="O5" s="4">
        <f>_xll.ciqfunctions.udf.CIQ($A5, "IQ_MINORITY_INTEREST_TOTAL",IQ_FQ,DateToday,,"F",Ccy,Conv)</f>
        <v>0</v>
      </c>
      <c r="P5" s="22">
        <f t="shared" si="6"/>
        <v>14993.718364599998</v>
      </c>
      <c r="Q5" s="4">
        <f>_xll.ciqfunctions.udf.CIQ($A5, "IQ_TOTAL_REV", IQ_FY,DateToday,,,Ccy,Conv)</f>
        <v>62508.086000000003</v>
      </c>
      <c r="R5" s="4">
        <f>_xll.ciqfunctions.udf.CIQ($A5, "IQ_TOTAL_REV", IQ_LTM,DateToday,,,Ccy,Conv)</f>
        <v>62508.086000000003</v>
      </c>
      <c r="S5" s="4">
        <f>_xll.ciqfunctions.udf.CIQ($A5, "IQ_REVENUE_EST", IQ_CY+ 1,DateToday,,,Ccy,Conv)</f>
        <v>64946.647449999997</v>
      </c>
      <c r="T5" s="4">
        <f>_xll.ciqfunctions.udf.CIQ($A5, "IQ_REVENUE_EST", IQ_CY+ 2,DateToday,,,Ccy,Conv)</f>
        <v>67648.673590000006</v>
      </c>
      <c r="U5" s="4">
        <f>_xll.ciqfunctions.udf.CIQ($A5, "IQ_EBITDA", IQ_FY,DateToday,,,Ccy,Conv)</f>
        <v>1836.742</v>
      </c>
      <c r="V5" s="4">
        <f>_xll.ciqfunctions.udf.CIQ($A5, "IQ_EBITDA", IQ_LTM,DateToday,,,Ccy,Conv)</f>
        <v>1836.742</v>
      </c>
      <c r="W5" s="4">
        <f>_xll.ciqfunctions.udf.CIQ($A5, "IQ_EBITDA_EST", IQ_CY+ 1,DateToday,,,Ccy,Conv)</f>
        <v>1995.3865599999999</v>
      </c>
      <c r="X5" s="4">
        <f>_xll.ciqfunctions.udf.CIQ($A5, "IQ_EBITDA_EST", IQ_CY+ 2,DateToday,,,Ccy,Conv)</f>
        <v>2108.5520999999999</v>
      </c>
      <c r="Y5" s="11">
        <f>_xll.ciqfunctions.udf.CIQ($A5, "IQ_DILUT_EPS_EXCL", IQ_FY,DateToday,,,Ccy,Conv)</f>
        <v>9.9501299999999997</v>
      </c>
      <c r="Z5" s="11">
        <f>_xll.ciqfunctions.udf.CIQ($A5, "IQ_DILUT_EPS_EXCL", IQ_LTM,DateToday,,,Ccy,Conv)</f>
        <v>9.9501299999999997</v>
      </c>
      <c r="AA5" s="11">
        <f>_xll.ciqfunctions.udf.CIQ($A5, "IQ_EPS_EST", IQ_CY+ 1,DateToday,,,Ccy,Conv)</f>
        <v>14.62318</v>
      </c>
      <c r="AB5" s="11">
        <f>_xll.ciqfunctions.udf.CIQ($A5, "IQ_EPS_EST", IQ_CY+ 2,DateToday,,,Ccy,Conv)</f>
        <v>16.094180000000001</v>
      </c>
      <c r="AC5" s="20">
        <f>_xll.ciqfunctions.udf.CIQ($A5, "IQ_TEV_TOTAL_REV",IQ_LTM,#REF!)</f>
        <v>0.23987</v>
      </c>
      <c r="AD5" s="20">
        <f>_xll.ciqfunctions.udf.CIQ($A5, "IQ_TEV_TOTAL_REV",IQ_LTM,DateToday)</f>
        <v>0.23987</v>
      </c>
      <c r="AE5" s="38">
        <f t="shared" si="3"/>
        <v>0.23086208377642745</v>
      </c>
      <c r="AF5" s="38">
        <f t="shared" si="4"/>
        <v>0.22164098080433622</v>
      </c>
      <c r="AG5" s="20">
        <f>_xll.ciqfunctions.udf.CIQ($A5, "IQ_TEV_EBITDA",IQ_LTM,#REF!)</f>
        <v>7.5910900000000003</v>
      </c>
      <c r="AH5" s="20">
        <f>_xll.ciqfunctions.udf.CIQ($A5, "IQ_TEV_EBITDA",IQ_LTM,DateToday)</f>
        <v>7.5910900000000003</v>
      </c>
      <c r="AI5" s="20">
        <f>_xll.ciqfunctions.udf.CIQ($A5, "IQ_TEV_EBITDA_FWD",IQ_CY+1,DateToday)</f>
        <v>7.5141900000000001</v>
      </c>
      <c r="AJ5" s="20">
        <f>_xll.ciqfunctions.udf.CIQ($A5, "IQ_TEV_EBITDA_FWD",IQ_CY+2,DateToday)</f>
        <v>7.1109099999999996</v>
      </c>
      <c r="AK5" s="20">
        <f>_xll.ciqfunctions.udf.CIQ($A5, "IQ_PE_EXCL",IQ_LTM,#REF!)</f>
        <v>15.39076</v>
      </c>
      <c r="AL5" s="20">
        <f>_xll.ciqfunctions.udf.CIQ($A5, "IQ_PE_EXCL",IQ_LTM,DateToday)</f>
        <v>15.39076</v>
      </c>
      <c r="AM5" s="20">
        <f>_xll.ciqfunctions.udf.CIQ($A5, "IQ_PE_EXCL_FWD",IQ_CY+1,DateToday)</f>
        <v>10.47241</v>
      </c>
      <c r="AN5" s="20">
        <f>_xll.ciqfunctions.udf.CIQ($A5, "IQ_PE_EXCL_FWD",IQ_CY+2,DateToday)</f>
        <v>9.5152400000000004</v>
      </c>
      <c r="AO5" s="20">
        <f>_xll.ciqfunctions.udf.CIQ($A5, "IQ_PBV",IQ_LTM,DateToday,)</f>
        <v>1.4515800000000001</v>
      </c>
      <c r="AP5" s="20">
        <f>_xll.ciqfunctions.udf.CIQ($A5, "IQ_PTBV",IQ_LTM,DateToday,)</f>
        <v>21.289380000000001</v>
      </c>
      <c r="AQ5" s="4">
        <f>_xll.ciqfunctions.udf.CIQ($A5, "IQ_GROSS_MARGIN", IQ_FY- 2,DateToday,)</f>
        <v>6.8747999999999996</v>
      </c>
      <c r="AR5" s="4">
        <f>_xll.ciqfunctions.udf.CIQ($A5, "IQ_GROSS_MARGIN", IQ_FY- 1,DateToday,)</f>
        <v>6.8110999999999997</v>
      </c>
      <c r="AS5" s="4">
        <f>_xll.ciqfunctions.udf.CIQ($A5, "IQ_GROSS_MARGIN", IQ_FY,DateToday,)</f>
        <v>6.9893999999999998</v>
      </c>
      <c r="AT5" s="4">
        <f>_xll.ciqfunctions.udf.CIQ($A5, "IQ_GROSS_MARGIN", IQ_LTM,DateToday,)</f>
        <v>6.9893999999999998</v>
      </c>
      <c r="AU5" s="4">
        <f>_xll.ciqfunctions.udf.CIQ($A5, "IQ_EBITDA_MARGIN", IQ_FY- 2,DateToday,)</f>
        <v>2.9279000000000002</v>
      </c>
      <c r="AV5" s="4">
        <f>_xll.ciqfunctions.udf.CIQ($A5, "IQ_EBITDA_MARGIN", IQ_FY- 1,DateToday,)</f>
        <v>2.8527999999999998</v>
      </c>
      <c r="AW5" s="4">
        <f>_xll.ciqfunctions.udf.CIQ($A5, "IQ_EBITDA_MARGIN", IQ_FY,DateToday,)</f>
        <v>2.9384000000000001</v>
      </c>
      <c r="AX5" s="4">
        <f>_xll.ciqfunctions.udf.CIQ($A5, "IQ_EBITDA_MARGIN", IQ_LTM,DateToday,)</f>
        <v>2.9384000000000001</v>
      </c>
      <c r="AY5" s="4">
        <f>_xll.ciqfunctions.udf.CIQ($A5, "IQ_NI_MARGIN", IQ_FY- 2,DateToday,)</f>
        <v>1.0891999999999999</v>
      </c>
      <c r="AZ5" s="4">
        <f>_xll.ciqfunctions.udf.CIQ($A5, "IQ_NI_MARGIN", IQ_FY- 1,DateToday,)</f>
        <v>1.1788000000000001</v>
      </c>
      <c r="BA5" s="4">
        <f>_xll.ciqfunctions.udf.CIQ($A5, "IQ_NI_MARGIN", IQ_FY,DateToday,)</f>
        <v>1.3240000000000001</v>
      </c>
      <c r="BB5" s="4">
        <f>_xll.ciqfunctions.udf.CIQ($A5, "IQ_NI_MARGIN", IQ_LTM,DateToday,)</f>
        <v>1.3240000000000001</v>
      </c>
      <c r="BC5" s="4">
        <f>_xll.ciqfunctions.udf.CIQ($A5, "IQ_TOTAL_REV_5YR_ANN_CAGR",IQ_LTM,DateToday,)</f>
        <v>25.626300000000001</v>
      </c>
      <c r="BD5" s="4">
        <f>_xll.ciqfunctions.udf.CIQ($A5, "IQ_TOTAL_REV_3YR_ANN_CAGR",IQ_LTM,DateToday,)</f>
        <v>8.7800000000000003E-2</v>
      </c>
      <c r="BE5" s="4">
        <f>_xll.ciqfunctions.udf.CIQ($A5, "IQ_TOTAL_REV_1YR_ANN_GROWTH", IQ_FY,DateToday,)</f>
        <v>6.9382999999999999</v>
      </c>
      <c r="BF5" s="4">
        <f>_xll.ciqfunctions.udf.CIQ($A5, "IQ_TOTAL_REV_1YR_ANN_GROWTH",IQ_LTM,DateToday,)</f>
        <v>6.9382999999999999</v>
      </c>
      <c r="BG5" s="4">
        <f>_xll.ciqfunctions.udf.CIQ($A5, "IQ_EBITDA_5YR_ANN_CAGR",IQ_LTM,DateToday,)</f>
        <v>25.336500000000001</v>
      </c>
      <c r="BH5" s="4">
        <f>_xll.ciqfunctions.udf.CIQ($A5, "IQ_EBITDA_3YR_ANN_CAGR",IQ_LTM,DateToday,)</f>
        <v>1.8872</v>
      </c>
      <c r="BI5" s="4">
        <f>_xll.ciqfunctions.udf.CIQ($A5, "IQ_EBITDA_1YR_ANN_GROWTH", IQ_FY,DateToday,)</f>
        <v>10.1456</v>
      </c>
      <c r="BJ5" s="4">
        <f>_xll.ciqfunctions.udf.CIQ($A5, "IQ_EBITDA_1YR_ANN_GROWTH",IQ_LTM,DateToday,)</f>
        <v>10.1456</v>
      </c>
      <c r="BK5" s="4">
        <f>_xll.ciqfunctions.udf.CIQ($A5, "IQ_EPS_5YR_ANN_CAGR",IQ_LTM,DateToday,)</f>
        <v>9.1753999999999998</v>
      </c>
      <c r="BL5" s="4">
        <f>_xll.ciqfunctions.udf.CIQ($A5, "IQ_EPS_3YR_ANN_CAGR",IQ_LTM,DateToday,)</f>
        <v>13.674200000000001</v>
      </c>
      <c r="BM5" s="4">
        <f>_xll.ciqfunctions.udf.CIQ($A5, "IQ_EPS_1YR_ANN_GROWTH", IQ_FY,DateToday,)</f>
        <v>25.101800000000001</v>
      </c>
      <c r="BN5" s="4">
        <f>_xll.ciqfunctions.udf.CIQ($A5, "IQ_EPS_1YR_ANN_GROWTH", IQ_LTM,DateToday,)</f>
        <v>25.101800000000001</v>
      </c>
      <c r="BO5" s="20">
        <f>_xll.ciqfunctions.udf.CIQ($A5, "IQ_TOTAL_DEBT_EBITDA",IQ_LTM,DateToday,)</f>
        <v>2.5729299999999999</v>
      </c>
      <c r="BP5" s="20">
        <f>_xll.ciqfunctions.udf.CIQ($A5, "IQ_NET_DEBT_EBITDA",IQ_LTM,DateToday,)</f>
        <v>1.3399300000000001</v>
      </c>
      <c r="BQ5" s="39">
        <f t="shared" si="5"/>
        <v>2.766845860768687</v>
      </c>
      <c r="BR5" s="20">
        <f>_xll.ciqfunctions.udf.CIQ($A5, "IQ_EBITDA_INT",IQ_LTM,DateToday,)</f>
        <v>6.4966400000000002</v>
      </c>
      <c r="BS5" s="20">
        <f>_xll.ciqfunctions.udf.CIQ($A5, "IQ_EBITDA_CAPEX_INT",IQ_LTM,DateToday,)</f>
        <v>6.0286499999999998</v>
      </c>
      <c r="BT5" s="4">
        <f>_xll.ciqfunctions.udf.CIQ($A5, "IQ_TOTAL_DEBT_EQUITY",IQ_FQ,DateToday,)</f>
        <v>60.1387</v>
      </c>
      <c r="BU5" s="4">
        <f>_xll.ciqfunctions.udf.CIQ($A5, "IQ_TOTAL_DEBT_CAPITAL",IQ_FQ,DateToday,)</f>
        <v>37.554099999999998</v>
      </c>
      <c r="BV5" s="4">
        <f>_xll.ciqfunctions.udf.CIQ($A5, "IQ_RETURN_EQUITY",IQ_LTM,DateToday)</f>
        <v>10.040800000000001</v>
      </c>
      <c r="BW5" s="4">
        <f>_xll.ciqfunctions.udf.CIQ($A5, "IQ_RETURN_ASSETS",IQ_LTM,DateToday)</f>
        <v>2.7557</v>
      </c>
      <c r="BX5" s="4">
        <f>_xll.ciqfunctions.udf.CIQ($A5, "IQ_RETURN_INVESTED_CAPITAL",IQ_LTM,DateToday)</f>
        <v>5.2465999999999999</v>
      </c>
      <c r="BY5" s="20">
        <f>_xll.ciqfunctions.udf.CIQ($A5, "IQ_CURRENT_RATIO",IQ_FQ,DateToday,)</f>
        <v>1.20651</v>
      </c>
      <c r="BZ5" s="20">
        <f>_xll.ciqfunctions.udf.CIQ($A5, "IQ_QUICK_RATIO",IQ_FQ,DateToday,)</f>
        <v>0.72114</v>
      </c>
      <c r="CA5" s="4">
        <f>_xll.ciqfunctions.udf.CIQ($A5, "IQ_DAYS_SALES_OUT",IQ_LTM,DateToday,)</f>
        <v>64.375050000000002</v>
      </c>
      <c r="CB5" s="4">
        <f>_xll.ciqfunctions.udf.CIQ($A5, "IQ_DAYS_INVENTORY_OUT",IQ_LTM,DateToday,)</f>
        <v>55.847560000000001</v>
      </c>
      <c r="CC5" s="4">
        <f>_xll.ciqfunctions.udf.CIQ($A5, "IQ_DAYS_PAYABLE_OUT",IQ_LTM,DateToday,)</f>
        <v>100.56663</v>
      </c>
      <c r="CD5" s="4">
        <f>_xll.ciqfunctions.udf.CIQ($A5, "IQ_CASH_CONVERSION",IQ_LTM,DateToday,)</f>
        <v>19.65598</v>
      </c>
      <c r="CE5" s="20">
        <f>_xll.ciqfunctions.udf.CIQ($A5, "IQ_ASSET_TURNS",IQ_LTM,DateToday,)</f>
        <v>1.93747</v>
      </c>
      <c r="CF5" s="20">
        <f>_xll.ciqfunctions.udf.CIQ($A5, "IQ_FIXED_ASSET_TURNS",IQ_LTM,DateToday,)</f>
        <v>66.977209999999999</v>
      </c>
      <c r="CG5" s="20">
        <f>_xll.ciqfunctions.udf.CIQ($A5, "IQ_AR_TURNS",IQ_LTM,DateToday,)</f>
        <v>5.6698700000000004</v>
      </c>
      <c r="CH5" s="20">
        <f>_xll.ciqfunctions.udf.CIQ($A5, "IQ_INVENTORY_TURNS",IQ_LTM,DateToday,)</f>
        <v>6.5356500000000004</v>
      </c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</row>
    <row r="6" spans="1:168" s="1" customFormat="1" x14ac:dyDescent="0.2">
      <c r="A6" s="36" t="str">
        <f>_xll.ciqfunctions.udf.CIQ($A$10,"IQ_QUICK_COMP",5)</f>
        <v>NasdaqGS:CTSH</v>
      </c>
      <c r="B6" s="36" t="str">
        <f>_xll.ciqfunctions.udf.CIQ($A6, "IQ_COMPANY_NAME")</f>
        <v>Cognizant Technology Solutions Corporation</v>
      </c>
      <c r="C6" s="13">
        <f>_xll.ciqfunctions.udf.CIQ($A6,"IQ_PERIODDATE",IQ_FY,DateToday)</f>
        <v>46022</v>
      </c>
      <c r="D6" s="13">
        <f>_xll.ciqfunctions.udf.CIQ($A6,"IQ_PERIODDATE",IQ_LTM,DateToday)</f>
        <v>46022</v>
      </c>
      <c r="E6" s="11">
        <f>_xll.ciqfunctions.udf.CIQ($A6, "IQ_LASTSALEPRICE",DateToday,Ccy,Conv)</f>
        <v>60.37</v>
      </c>
      <c r="F6" s="11">
        <f>_xll.ciqfunctions.udf.CIQ($A6, "IQ_YEARHIGH",DateToday,Ccy,Conv)</f>
        <v>87.03</v>
      </c>
      <c r="G6" s="11">
        <f>_xll.ciqfunctions.udf.CIQ($A6, "IQ_YEARLOW",DateToday,Ccy,Conv)</f>
        <v>60.034999999999997</v>
      </c>
      <c r="H6" s="37">
        <f t="shared" si="0"/>
        <v>0.69366884982190047</v>
      </c>
      <c r="I6" s="37">
        <f t="shared" si="1"/>
        <v>1.0055800782876656</v>
      </c>
      <c r="J6" s="4">
        <f>_xll.ciqfunctions.udf.CIQ($A6, "IQ_SHARESOUTSTANDING",DateToday)</f>
        <v>478.24691999999999</v>
      </c>
      <c r="K6" s="22">
        <f t="shared" si="2"/>
        <v>28871.766560399999</v>
      </c>
      <c r="L6" s="4">
        <f>_xll.ciqfunctions.udf.CIQ($A6, "IQ_CASH_ST_INVEST",IQ_FQ,DateToday,,"F",Ccy,Conv)</f>
        <v>1914</v>
      </c>
      <c r="M6" s="4">
        <f>_xll.ciqfunctions.udf.CIQ($A6, "IQ_TOTAL_DEBT",IQ_FQ,DateToday,,"F",Ccy,Conv)</f>
        <v>1174</v>
      </c>
      <c r="N6" s="4">
        <f>_xll.ciqfunctions.udf.CIQ($A6, "IQ_PREF_EQUITY",IQ_FQ,DateToday,,"F",Ccy,Conv)</f>
        <v>0</v>
      </c>
      <c r="O6" s="4">
        <f>_xll.ciqfunctions.udf.CIQ($A6, "IQ_MINORITY_INTEREST_TOTAL",IQ_FQ,DateToday,,"F",Ccy,Conv)</f>
        <v>0</v>
      </c>
      <c r="P6" s="22">
        <f t="shared" si="6"/>
        <v>28131.766560399999</v>
      </c>
      <c r="Q6" s="4">
        <f>_xll.ciqfunctions.udf.CIQ($A6, "IQ_TOTAL_REV", IQ_FY,DateToday,,,Ccy,Conv)</f>
        <v>21108</v>
      </c>
      <c r="R6" s="4">
        <f>_xll.ciqfunctions.udf.CIQ($A6, "IQ_TOTAL_REV", IQ_LTM,DateToday,,,Ccy,Conv)</f>
        <v>21108</v>
      </c>
      <c r="S6" s="4">
        <f>_xll.ciqfunctions.udf.CIQ($A6, "IQ_REVENUE_EST", IQ_CY+ 1,DateToday,,,Ccy,Conv)</f>
        <v>22365.126499999998</v>
      </c>
      <c r="T6" s="4">
        <f>_xll.ciqfunctions.udf.CIQ($A6, "IQ_REVENUE_EST", IQ_CY+ 2,DateToday,,,Ccy,Conv)</f>
        <v>23557.540669999998</v>
      </c>
      <c r="U6" s="4">
        <f>_xll.ciqfunctions.udf.CIQ($A6, "IQ_EBITDA", IQ_FY,DateToday,,,Ccy,Conv)</f>
        <v>3834</v>
      </c>
      <c r="V6" s="4">
        <f>_xll.ciqfunctions.udf.CIQ($A6, "IQ_EBITDA", IQ_LTM,DateToday,,,Ccy,Conv)</f>
        <v>3834</v>
      </c>
      <c r="W6" s="4">
        <f>_xll.ciqfunctions.udf.CIQ($A6, "IQ_EBITDA_EST", IQ_CY+ 1,DateToday,,,Ccy,Conv)</f>
        <v>4167.5990400000001</v>
      </c>
      <c r="X6" s="4">
        <f>_xll.ciqfunctions.udf.CIQ($A6, "IQ_EBITDA_EST", IQ_CY+ 2,DateToday,,,Ccy,Conv)</f>
        <v>4470.4726899999996</v>
      </c>
      <c r="Y6" s="11">
        <f>_xll.ciqfunctions.udf.CIQ($A6, "IQ_DILUT_EPS_EXCL", IQ_FY,DateToday,,,Ccy,Conv)</f>
        <v>4.5599999999999996</v>
      </c>
      <c r="Z6" s="11">
        <f>_xll.ciqfunctions.udf.CIQ($A6, "IQ_DILUT_EPS_EXCL", IQ_LTM,DateToday,,,Ccy,Conv)</f>
        <v>4.5599999999999996</v>
      </c>
      <c r="AA6" s="11">
        <f>_xll.ciqfunctions.udf.CIQ($A6, "IQ_EPS_EST", IQ_CY+ 1,DateToday,,,Ccy,Conv)</f>
        <v>5.6605299999999996</v>
      </c>
      <c r="AB6" s="11">
        <f>_xll.ciqfunctions.udf.CIQ($A6, "IQ_EPS_EST", IQ_CY+ 2,DateToday,,,Ccy,Conv)</f>
        <v>6.1457899999999999</v>
      </c>
      <c r="AC6" s="20">
        <f>_xll.ciqfunctions.udf.CIQ($A6, "IQ_TEV_TOTAL_REV",IQ_LTM,#REF!)</f>
        <v>1.3327500000000001</v>
      </c>
      <c r="AD6" s="20">
        <f>_xll.ciqfunctions.udf.CIQ($A6, "IQ_TEV_TOTAL_REV",IQ_LTM,DateToday)</f>
        <v>1.3327500000000001</v>
      </c>
      <c r="AE6" s="38">
        <f t="shared" si="3"/>
        <v>1.2578407084082446</v>
      </c>
      <c r="AF6" s="38">
        <f t="shared" si="4"/>
        <v>1.1941724713320849</v>
      </c>
      <c r="AG6" s="20">
        <f>_xll.ciqfunctions.udf.CIQ($A6, "IQ_TEV_EBITDA",IQ_LTM,#REF!)</f>
        <v>6.9358399999999998</v>
      </c>
      <c r="AH6" s="20">
        <f>_xll.ciqfunctions.udf.CIQ($A6, "IQ_TEV_EBITDA",IQ_LTM,DateToday)</f>
        <v>6.9358399999999998</v>
      </c>
      <c r="AI6" s="20">
        <f>_xll.ciqfunctions.udf.CIQ($A6, "IQ_TEV_EBITDA_FWD",IQ_CY+1,DateToday)</f>
        <v>6.7501100000000003</v>
      </c>
      <c r="AJ6" s="20">
        <f>_xll.ciqfunctions.udf.CIQ($A6, "IQ_TEV_EBITDA_FWD",IQ_CY+2,DateToday)</f>
        <v>6.2927900000000001</v>
      </c>
      <c r="AK6" s="20">
        <f>_xll.ciqfunctions.udf.CIQ($A6, "IQ_PE_EXCL",IQ_LTM,#REF!)</f>
        <v>13.239039999999999</v>
      </c>
      <c r="AL6" s="20">
        <f>_xll.ciqfunctions.udf.CIQ($A6, "IQ_PE_EXCL",IQ_LTM,DateToday)</f>
        <v>13.239039999999999</v>
      </c>
      <c r="AM6" s="20">
        <f>_xll.ciqfunctions.udf.CIQ($A6, "IQ_PE_EXCL_FWD",IQ_CY+1,DateToday)</f>
        <v>10.66508</v>
      </c>
      <c r="AN6" s="20">
        <f>_xll.ciqfunctions.udf.CIQ($A6, "IQ_PE_EXCL_FWD",IQ_CY+2,DateToday)</f>
        <v>9.8229799999999994</v>
      </c>
      <c r="AO6" s="20">
        <f>_xll.ciqfunctions.udf.CIQ($A6, "IQ_PBV",IQ_LTM,DateToday,)</f>
        <v>1.9258900000000001</v>
      </c>
      <c r="AP6" s="20">
        <f>_xll.ciqfunctions.udf.CIQ($A6, "IQ_PTBV",IQ_LTM,DateToday,)</f>
        <v>4.4542900000000003</v>
      </c>
      <c r="AQ6" s="4">
        <f>_xll.ciqfunctions.udf.CIQ($A6, "IQ_GROSS_MARGIN", IQ_FY- 2,DateToday,)</f>
        <v>34.563099999999999</v>
      </c>
      <c r="AR6" s="4">
        <f>_xll.ciqfunctions.udf.CIQ($A6, "IQ_GROSS_MARGIN", IQ_FY- 1,DateToday,)</f>
        <v>34.343299999999999</v>
      </c>
      <c r="AS6" s="4">
        <f>_xll.ciqfunctions.udf.CIQ($A6, "IQ_GROSS_MARGIN", IQ_FY,DateToday,)</f>
        <v>33.716999999999999</v>
      </c>
      <c r="AT6" s="4">
        <f>_xll.ciqfunctions.udf.CIQ($A6, "IQ_GROSS_MARGIN", IQ_LTM,DateToday,)</f>
        <v>33.716999999999999</v>
      </c>
      <c r="AU6" s="4">
        <f>_xll.ciqfunctions.udf.CIQ($A6, "IQ_EBITDA_MARGIN", IQ_FY- 2,DateToday,)</f>
        <v>17.568300000000001</v>
      </c>
      <c r="AV6" s="4">
        <f>_xll.ciqfunctions.udf.CIQ($A6, "IQ_EBITDA_MARGIN", IQ_FY- 1,DateToday,)</f>
        <v>17.830300000000001</v>
      </c>
      <c r="AW6" s="4">
        <f>_xll.ciqfunctions.udf.CIQ($A6, "IQ_EBITDA_MARGIN", IQ_FY,DateToday,)</f>
        <v>18.163699999999999</v>
      </c>
      <c r="AX6" s="4">
        <f>_xll.ciqfunctions.udf.CIQ($A6, "IQ_EBITDA_MARGIN", IQ_LTM,DateToday,)</f>
        <v>18.163699999999999</v>
      </c>
      <c r="AY6" s="4">
        <f>_xll.ciqfunctions.udf.CIQ($A6, "IQ_NI_MARGIN", IQ_FY- 2,DateToday,)</f>
        <v>10.985300000000001</v>
      </c>
      <c r="AZ6" s="4">
        <f>_xll.ciqfunctions.udf.CIQ($A6, "IQ_NI_MARGIN", IQ_FY- 1,DateToday,)</f>
        <v>11.3498</v>
      </c>
      <c r="BA6" s="4">
        <f>_xll.ciqfunctions.udf.CIQ($A6, "IQ_NI_MARGIN", IQ_FY,DateToday,)</f>
        <v>10.5647</v>
      </c>
      <c r="BB6" s="4">
        <f>_xll.ciqfunctions.udf.CIQ($A6, "IQ_NI_MARGIN", IQ_LTM,DateToday,)</f>
        <v>10.5647</v>
      </c>
      <c r="BC6" s="4">
        <f>_xll.ciqfunctions.udf.CIQ($A6, "IQ_TOTAL_REV_5YR_ANN_CAGR",IQ_LTM,DateToday,)</f>
        <v>4.8567</v>
      </c>
      <c r="BD6" s="4">
        <f>_xll.ciqfunctions.udf.CIQ($A6, "IQ_TOTAL_REV_3YR_ANN_CAGR",IQ_LTM,DateToday,)</f>
        <v>2.8031000000000001</v>
      </c>
      <c r="BE6" s="4">
        <f>_xll.ciqfunctions.udf.CIQ($A6, "IQ_TOTAL_REV_1YR_ANN_GROWTH", IQ_FY,DateToday,)</f>
        <v>6.9516999999999998</v>
      </c>
      <c r="BF6" s="4">
        <f>_xll.ciqfunctions.udf.CIQ($A6, "IQ_TOTAL_REV_1YR_ANN_GROWTH",IQ_LTM,DateToday,)</f>
        <v>6.9516999999999998</v>
      </c>
      <c r="BG6" s="4">
        <f>_xll.ciqfunctions.udf.CIQ($A6, "IQ_EBITDA_5YR_ANN_CAGR",IQ_LTM,DateToday,)</f>
        <v>6.0518000000000001</v>
      </c>
      <c r="BH6" s="4">
        <f>_xll.ciqfunctions.udf.CIQ($A6, "IQ_EBITDA_3YR_ANN_CAGR",IQ_LTM,DateToday,)</f>
        <v>3.0848</v>
      </c>
      <c r="BI6" s="4">
        <f>_xll.ciqfunctions.udf.CIQ($A6, "IQ_EBITDA_1YR_ANN_GROWTH", IQ_FY,DateToday,)</f>
        <v>8.9513999999999996</v>
      </c>
      <c r="BJ6" s="4">
        <f>_xll.ciqfunctions.udf.CIQ($A6, "IQ_EBITDA_1YR_ANN_GROWTH",IQ_LTM,DateToday,)</f>
        <v>8.9513999999999996</v>
      </c>
      <c r="BK6" s="4">
        <f>_xll.ciqfunctions.udf.CIQ($A6, "IQ_EPS_5YR_ANN_CAGR",IQ_LTM,DateToday,)</f>
        <v>12.1518</v>
      </c>
      <c r="BL6" s="4">
        <f>_xll.ciqfunctions.udf.CIQ($A6, "IQ_EPS_3YR_ANN_CAGR",IQ_LTM,DateToday,)</f>
        <v>1.1211</v>
      </c>
      <c r="BM6" s="4">
        <f>_xll.ciqfunctions.udf.CIQ($A6, "IQ_EPS_1YR_ANN_GROWTH", IQ_FY,DateToday,)</f>
        <v>1.1086</v>
      </c>
      <c r="BN6" s="4">
        <f>_xll.ciqfunctions.udf.CIQ($A6, "IQ_EPS_1YR_ANN_GROWTH", IQ_LTM,DateToday,)</f>
        <v>1.1086</v>
      </c>
      <c r="BO6" s="20">
        <f>_xll.ciqfunctions.udf.CIQ($A6, "IQ_TOTAL_DEBT_EBITDA",IQ_LTM,DateToday,)</f>
        <v>0.29009000000000001</v>
      </c>
      <c r="BP6" s="20" t="str">
        <f>_xll.ciqfunctions.udf.CIQ($A6, "IQ_NET_DEBT_EBITDA",IQ_LTM,DateToday,)</f>
        <v>NM</v>
      </c>
      <c r="BQ6" s="39">
        <f t="shared" si="5"/>
        <v>0.30620761606677099</v>
      </c>
      <c r="BR6" s="20">
        <f>_xll.ciqfunctions.udf.CIQ($A6, "IQ_EBITDA_INT",IQ_LTM,DateToday,)</f>
        <v>109.37838000000001</v>
      </c>
      <c r="BS6" s="20">
        <f>_xll.ciqfunctions.udf.CIQ($A6, "IQ_EBITDA_CAPEX_INT",IQ_LTM,DateToday,)</f>
        <v>101.59459</v>
      </c>
      <c r="BT6" s="4">
        <f>_xll.ciqfunctions.udf.CIQ($A6, "IQ_TOTAL_DEBT_EQUITY",IQ_FQ,DateToday,)</f>
        <v>7.8188000000000004</v>
      </c>
      <c r="BU6" s="4">
        <f>_xll.ciqfunctions.udf.CIQ($A6, "IQ_TOTAL_DEBT_CAPITAL",IQ_FQ,DateToday,)</f>
        <v>7.2518000000000002</v>
      </c>
      <c r="BV6" s="4">
        <f>_xll.ciqfunctions.udf.CIQ($A6, "IQ_RETURN_EQUITY",IQ_LTM,DateToday)</f>
        <v>15.158200000000001</v>
      </c>
      <c r="BW6" s="4">
        <f>_xll.ciqfunctions.udf.CIQ($A6, "IQ_RETURN_ASSETS",IQ_LTM,DateToday)</f>
        <v>10.2286</v>
      </c>
      <c r="BX6" s="4">
        <f>_xll.ciqfunctions.udf.CIQ($A6, "IQ_RETURN_INVESTED_CAPITAL",IQ_LTM,DateToday)</f>
        <v>10.093400000000001</v>
      </c>
      <c r="BY6" s="20">
        <f>_xll.ciqfunctions.udf.CIQ($A6, "IQ_CURRENT_RATIO",IQ_FQ,DateToday,)</f>
        <v>2.1366499999999999</v>
      </c>
      <c r="BZ6" s="20">
        <f>_xll.ciqfunctions.udf.CIQ($A6, "IQ_QUICK_RATIO",IQ_FQ,DateToday,)</f>
        <v>1.73627</v>
      </c>
      <c r="CA6" s="4">
        <f>_xll.ciqfunctions.udf.CIQ($A6, "IQ_DAYS_SALES_OUT",IQ_LTM,DateToday,)</f>
        <v>73.473770000000002</v>
      </c>
      <c r="CB6" s="4">
        <f>_xll.ciqfunctions.udf.CIQ($A6, "IQ_DAYS_INVENTORY_OUT",IQ_LTM,DateToday,)</f>
        <v>0</v>
      </c>
      <c r="CC6" s="4">
        <f>_xll.ciqfunctions.udf.CIQ($A6, "IQ_DAYS_PAYABLE_OUT",IQ_LTM,DateToday,)</f>
        <v>8.4523100000000007</v>
      </c>
      <c r="CD6" s="4">
        <f>_xll.ciqfunctions.udf.CIQ($A6, "IQ_CASH_CONVERSION",IQ_LTM,DateToday,)</f>
        <v>0</v>
      </c>
      <c r="CE6" s="20">
        <f>_xll.ciqfunctions.udf.CIQ($A6, "IQ_ASSET_TURNS",IQ_LTM,DateToday,)</f>
        <v>1.0383199999999999</v>
      </c>
      <c r="CF6" s="20">
        <f>_xll.ciqfunctions.udf.CIQ($A6, "IQ_FIXED_ASSET_TURNS",IQ_LTM,DateToday,)</f>
        <v>13.832240000000001</v>
      </c>
      <c r="CG6" s="20">
        <f>_xll.ciqfunctions.udf.CIQ($A6, "IQ_AR_TURNS",IQ_LTM,DateToday,)</f>
        <v>4.9677600000000002</v>
      </c>
      <c r="CH6" s="20">
        <f>_xll.ciqfunctions.udf.CIQ($A6, "IQ_INVENTORY_TURNS",IQ_LTM,DateToday,)</f>
        <v>0</v>
      </c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</row>
    <row r="7" spans="1:168" s="1" customFormat="1" x14ac:dyDescent="0.2">
      <c r="A7" s="36" t="str">
        <f>_xll.ciqfunctions.udf.CIQ($A$10,"IQ_QUICK_COMP",6)</f>
        <v>NasdaqGS:MSFT</v>
      </c>
      <c r="B7" s="36" t="str">
        <f>_xll.ciqfunctions.udf.CIQ($A7, "IQ_COMPANY_NAME")</f>
        <v>Microsoft Corporation</v>
      </c>
      <c r="C7" s="13">
        <f>_xll.ciqfunctions.udf.CIQ($A7,"IQ_PERIODDATE",IQ_FY,DateToday)</f>
        <v>45838</v>
      </c>
      <c r="D7" s="13">
        <f>_xll.ciqfunctions.udf.CIQ($A7,"IQ_PERIODDATE",IQ_LTM,DateToday)</f>
        <v>46022</v>
      </c>
      <c r="E7" s="11">
        <f>_xll.ciqfunctions.udf.CIQ($A7, "IQ_LASTSALEPRICE",DateToday,Ccy,Conv)</f>
        <v>395.55</v>
      </c>
      <c r="F7" s="11">
        <f>_xll.ciqfunctions.udf.CIQ($A7, "IQ_YEARHIGH",DateToday,Ccy,Conv)</f>
        <v>555.45000000000005</v>
      </c>
      <c r="G7" s="11">
        <f>_xll.ciqfunctions.udf.CIQ($A7, "IQ_YEARLOW",DateToday,Ccy,Conv)</f>
        <v>344.79</v>
      </c>
      <c r="H7" s="37">
        <f t="shared" si="0"/>
        <v>0.71212530380772343</v>
      </c>
      <c r="I7" s="37">
        <f t="shared" si="1"/>
        <v>1.1472200469851213</v>
      </c>
      <c r="J7" s="4">
        <f>_xll.ciqfunctions.udf.CIQ($A7, "IQ_SHARESOUTSTANDING",DateToday)</f>
        <v>7425.6290799999997</v>
      </c>
      <c r="K7" s="22">
        <f t="shared" si="2"/>
        <v>2937207.5825939998</v>
      </c>
      <c r="L7" s="4">
        <f>_xll.ciqfunctions.udf.CIQ($A7, "IQ_CASH_ST_INVEST",IQ_FQ,DateToday,,"F",Ccy,Conv)</f>
        <v>89462</v>
      </c>
      <c r="M7" s="4">
        <f>_xll.ciqfunctions.udf.CIQ($A7, "IQ_TOTAL_DEBT",IQ_FQ,DateToday,,"F",Ccy,Conv)</f>
        <v>123278</v>
      </c>
      <c r="N7" s="4">
        <f>_xll.ciqfunctions.udf.CIQ($A7, "IQ_PREF_EQUITY",IQ_FQ,DateToday,,"F",Ccy,Conv)</f>
        <v>0</v>
      </c>
      <c r="O7" s="4">
        <f>_xll.ciqfunctions.udf.CIQ($A7, "IQ_MINORITY_INTEREST_TOTAL",IQ_FQ,DateToday,,"F",Ccy,Conv)</f>
        <v>0</v>
      </c>
      <c r="P7" s="22">
        <f t="shared" si="6"/>
        <v>2971023.5825939998</v>
      </c>
      <c r="Q7" s="4">
        <f>_xll.ciqfunctions.udf.CIQ($A7, "IQ_TOTAL_REV", IQ_FY,DateToday,,,Ccy,Conv)</f>
        <v>281724</v>
      </c>
      <c r="R7" s="4">
        <f>_xll.ciqfunctions.udf.CIQ($A7, "IQ_TOTAL_REV", IQ_LTM,DateToday,,,Ccy,Conv)</f>
        <v>305453</v>
      </c>
      <c r="S7" s="4">
        <f>_xll.ciqfunctions.udf.CIQ($A7, "IQ_REVENUE_EST", IQ_CY+ 1,DateToday,,,Ccy,Conv)</f>
        <v>351519.59169999999</v>
      </c>
      <c r="T7" s="4">
        <f>_xll.ciqfunctions.udf.CIQ($A7, "IQ_REVENUE_EST", IQ_CY+ 2,DateToday,,,Ccy,Conv)</f>
        <v>406784.90330000001</v>
      </c>
      <c r="U7" s="4">
        <f>_xll.ciqfunctions.udf.CIQ($A7, "IQ_EBITDA", IQ_FY,DateToday,,,Ccy,Conv)</f>
        <v>156528</v>
      </c>
      <c r="V7" s="4">
        <f>_xll.ciqfunctions.udf.CIQ($A7, "IQ_EBITDA", IQ_LTM,DateToday,,,Ccy,Conv)</f>
        <v>175259</v>
      </c>
      <c r="W7" s="4">
        <f>_xll.ciqfunctions.udf.CIQ($A7, "IQ_EBITDA_EST", IQ_CY+ 1,DateToday,,,Ccy,Conv)</f>
        <v>213958.68210000001</v>
      </c>
      <c r="X7" s="4">
        <f>_xll.ciqfunctions.udf.CIQ($A7, "IQ_EBITDA_EST", IQ_CY+ 2,DateToday,,,Ccy,Conv)</f>
        <v>251748.84599999999</v>
      </c>
      <c r="Y7" s="11">
        <f>_xll.ciqfunctions.udf.CIQ($A7, "IQ_DILUT_EPS_EXCL", IQ_FY,DateToday,,,Ccy,Conv)</f>
        <v>13.64</v>
      </c>
      <c r="Z7" s="11">
        <f>_xll.ciqfunctions.udf.CIQ($A7, "IQ_DILUT_EPS_EXCL", IQ_LTM,DateToday,,,Ccy,Conv)</f>
        <v>15.980549999999999</v>
      </c>
      <c r="AA7" s="11">
        <f>_xll.ciqfunctions.udf.CIQ($A7, "IQ_EPS_EST", IQ_CY+ 1,DateToday,,,Ccy,Conv)</f>
        <v>17.552099999999999</v>
      </c>
      <c r="AB7" s="11">
        <f>_xll.ciqfunctions.udf.CIQ($A7, "IQ_EPS_EST", IQ_CY+ 2,DateToday,,,Ccy,Conv)</f>
        <v>20.302199999999999</v>
      </c>
      <c r="AC7" s="20">
        <f>_xll.ciqfunctions.udf.CIQ($A7, "IQ_TEV_TOTAL_REV",IQ_LTM,#REF!)</f>
        <v>9.7266100000000009</v>
      </c>
      <c r="AD7" s="20">
        <f>_xll.ciqfunctions.udf.CIQ($A7, "IQ_TEV_TOTAL_REV",IQ_LTM,DateToday)</f>
        <v>9.7266100000000009</v>
      </c>
      <c r="AE7" s="38">
        <f t="shared" si="3"/>
        <v>8.4519430858055351</v>
      </c>
      <c r="AF7" s="38">
        <f t="shared" si="4"/>
        <v>7.3036721827478885</v>
      </c>
      <c r="AG7" s="20">
        <f>_xll.ciqfunctions.udf.CIQ($A7, "IQ_TEV_EBITDA",IQ_LTM,#REF!)</f>
        <v>15.78711</v>
      </c>
      <c r="AH7" s="20">
        <f>_xll.ciqfunctions.udf.CIQ($A7, "IQ_TEV_EBITDA",IQ_LTM,DateToday)</f>
        <v>15.78711</v>
      </c>
      <c r="AI7" s="20">
        <f>_xll.ciqfunctions.udf.CIQ($A7, "IQ_TEV_EBITDA_FWD",IQ_CY+1,DateToday)</f>
        <v>13.88597</v>
      </c>
      <c r="AJ7" s="20">
        <f>_xll.ciqfunctions.udf.CIQ($A7, "IQ_TEV_EBITDA_FWD",IQ_CY+2,DateToday)</f>
        <v>11.801539999999999</v>
      </c>
      <c r="AK7" s="20">
        <f>_xll.ciqfunctions.udf.CIQ($A7, "IQ_PE_EXCL",IQ_LTM,#REF!)</f>
        <v>24.75197</v>
      </c>
      <c r="AL7" s="20">
        <f>_xll.ciqfunctions.udf.CIQ($A7, "IQ_PE_EXCL",IQ_LTM,DateToday)</f>
        <v>24.75197</v>
      </c>
      <c r="AM7" s="20">
        <f>_xll.ciqfunctions.udf.CIQ($A7, "IQ_PE_EXCL_FWD",IQ_CY+1,DateToday)</f>
        <v>22.53576</v>
      </c>
      <c r="AN7" s="20">
        <f>_xll.ciqfunctions.udf.CIQ($A7, "IQ_PE_EXCL_FWD",IQ_CY+2,DateToday)</f>
        <v>19.48311</v>
      </c>
      <c r="AO7" s="20">
        <f>_xll.ciqfunctions.udf.CIQ($A7, "IQ_PBV",IQ_LTM,DateToday,)</f>
        <v>7.5178500000000001</v>
      </c>
      <c r="AP7" s="20">
        <f>_xll.ciqfunctions.udf.CIQ($A7, "IQ_PTBV",IQ_LTM,DateToday,)</f>
        <v>11.709009999999999</v>
      </c>
      <c r="AQ7" s="4">
        <f>_xll.ciqfunctions.udf.CIQ($A7, "IQ_GROSS_MARGIN", IQ_FY- 2,DateToday,)</f>
        <v>68.92</v>
      </c>
      <c r="AR7" s="4">
        <f>_xll.ciqfunctions.udf.CIQ($A7, "IQ_GROSS_MARGIN", IQ_FY- 1,DateToday,)</f>
        <v>69.764399999999995</v>
      </c>
      <c r="AS7" s="4">
        <f>_xll.ciqfunctions.udf.CIQ($A7, "IQ_GROSS_MARGIN", IQ_FY,DateToday,)</f>
        <v>68.823700000000002</v>
      </c>
      <c r="AT7" s="4">
        <f>_xll.ciqfunctions.udf.CIQ($A7, "IQ_GROSS_MARGIN", IQ_LTM,DateToday,)</f>
        <v>68.586299999999994</v>
      </c>
      <c r="AU7" s="4">
        <f>_xll.ciqfunctions.udf.CIQ($A7, "IQ_EBITDA_MARGIN", IQ_FY- 2,DateToday,)</f>
        <v>48.143300000000004</v>
      </c>
      <c r="AV7" s="4">
        <f>_xll.ciqfunctions.udf.CIQ($A7, "IQ_EBITDA_MARGIN", IQ_FY- 1,DateToday,)</f>
        <v>52.8035</v>
      </c>
      <c r="AW7" s="4">
        <f>_xll.ciqfunctions.udf.CIQ($A7, "IQ_EBITDA_MARGIN", IQ_FY,DateToday,)</f>
        <v>55.560699999999997</v>
      </c>
      <c r="AX7" s="4">
        <f>_xll.ciqfunctions.udf.CIQ($A7, "IQ_EBITDA_MARGIN", IQ_LTM,DateToday,)</f>
        <v>57.3767</v>
      </c>
      <c r="AY7" s="4">
        <f>_xll.ciqfunctions.udf.CIQ($A7, "IQ_NI_MARGIN", IQ_FY- 2,DateToday,)</f>
        <v>34.1462</v>
      </c>
      <c r="AZ7" s="4">
        <f>_xll.ciqfunctions.udf.CIQ($A7, "IQ_NI_MARGIN", IQ_FY- 1,DateToday,)</f>
        <v>35.9559</v>
      </c>
      <c r="BA7" s="4">
        <f>_xll.ciqfunctions.udf.CIQ($A7, "IQ_NI_MARGIN", IQ_FY,DateToday,)</f>
        <v>36.146000000000001</v>
      </c>
      <c r="BB7" s="4">
        <f>_xll.ciqfunctions.udf.CIQ($A7, "IQ_NI_MARGIN", IQ_LTM,DateToday,)</f>
        <v>39.0443</v>
      </c>
      <c r="BC7" s="4">
        <f>_xll.ciqfunctions.udf.CIQ($A7, "IQ_TOTAL_REV_5YR_ANN_CAGR",IQ_LTM,DateToday,)</f>
        <v>14.786099999999999</v>
      </c>
      <c r="BD7" s="4">
        <f>_xll.ciqfunctions.udf.CIQ($A7, "IQ_TOTAL_REV_3YR_ANN_CAGR",IQ_LTM,DateToday,)</f>
        <v>14.3856</v>
      </c>
      <c r="BE7" s="4">
        <f>_xll.ciqfunctions.udf.CIQ($A7, "IQ_TOTAL_REV_1YR_ANN_GROWTH", IQ_FY,DateToday,)</f>
        <v>14.9321</v>
      </c>
      <c r="BF7" s="4">
        <f>_xll.ciqfunctions.udf.CIQ($A7, "IQ_TOTAL_REV_1YR_ANN_GROWTH",IQ_LTM,DateToday,)</f>
        <v>16.673200000000001</v>
      </c>
      <c r="BG7" s="4">
        <f>_xll.ciqfunctions.udf.CIQ($A7, "IQ_EBITDA_5YR_ANN_CAGR",IQ_LTM,DateToday,)</f>
        <v>19.5151</v>
      </c>
      <c r="BH7" s="4">
        <f>_xll.ciqfunctions.udf.CIQ($A7, "IQ_EBITDA_3YR_ANN_CAGR",IQ_LTM,DateToday,)</f>
        <v>21.672799999999999</v>
      </c>
      <c r="BI7" s="4">
        <f>_xll.ciqfunctions.udf.CIQ($A7, "IQ_EBITDA_1YR_ANN_GROWTH", IQ_FY,DateToday,)</f>
        <v>20.933599999999998</v>
      </c>
      <c r="BJ7" s="4">
        <f>_xll.ciqfunctions.udf.CIQ($A7, "IQ_EBITDA_1YR_ANN_GROWTH",IQ_LTM,DateToday,)</f>
        <v>24.534700000000001</v>
      </c>
      <c r="BK7" s="4">
        <f>_xll.ciqfunctions.udf.CIQ($A7, "IQ_EPS_5YR_ANN_CAGR",IQ_LTM,DateToday,)</f>
        <v>18.961600000000001</v>
      </c>
      <c r="BL7" s="4">
        <f>_xll.ciqfunctions.udf.CIQ($A7, "IQ_EPS_3YR_ANN_CAGR",IQ_LTM,DateToday,)</f>
        <v>21.102399999999999</v>
      </c>
      <c r="BM7" s="4">
        <f>_xll.ciqfunctions.udf.CIQ($A7, "IQ_EPS_1YR_ANN_GROWTH", IQ_FY,DateToday,)</f>
        <v>15.5932</v>
      </c>
      <c r="BN7" s="4">
        <f>_xll.ciqfunctions.udf.CIQ($A7, "IQ_EPS_1YR_ANN_GROWTH", IQ_LTM,DateToday,)</f>
        <v>28.773099999999999</v>
      </c>
      <c r="BO7" s="20">
        <f>_xll.ciqfunctions.udf.CIQ($A7, "IQ_TOTAL_DEBT_EBITDA",IQ_LTM,DateToday,)</f>
        <v>0.67837000000000003</v>
      </c>
      <c r="BP7" s="20">
        <f>_xll.ciqfunctions.udf.CIQ($A7, "IQ_NET_DEBT_EBITDA",IQ_LTM,DateToday,)</f>
        <v>0.18608</v>
      </c>
      <c r="BQ7" s="39">
        <f t="shared" si="5"/>
        <v>0.70340467536617235</v>
      </c>
      <c r="BR7" s="20">
        <f>_xll.ciqfunctions.udf.CIQ($A7, "IQ_EBITDA_INT",IQ_LTM,DateToday,)</f>
        <v>67.859219999999993</v>
      </c>
      <c r="BS7" s="20">
        <f>_xll.ciqfunctions.udf.CIQ($A7, "IQ_EBITDA_CAPEX_INT",IQ_LTM,DateToday,)</f>
        <v>36.830840000000002</v>
      </c>
      <c r="BT7" s="4">
        <f>_xll.ciqfunctions.udf.CIQ($A7, "IQ_TOTAL_DEBT_EQUITY",IQ_FQ,DateToday,)</f>
        <v>31.538900000000002</v>
      </c>
      <c r="BU7" s="4">
        <f>_xll.ciqfunctions.udf.CIQ($A7, "IQ_TOTAL_DEBT_CAPITAL",IQ_FQ,DateToday,)</f>
        <v>23.976900000000001</v>
      </c>
      <c r="BV7" s="4">
        <f>_xll.ciqfunctions.udf.CIQ($A7, "IQ_RETURN_EQUITY",IQ_LTM,DateToday)</f>
        <v>34.390700000000002</v>
      </c>
      <c r="BW7" s="4">
        <f>_xll.ciqfunctions.udf.CIQ($A7, "IQ_RETURN_ASSETS",IQ_LTM,DateToday)</f>
        <v>14.8598</v>
      </c>
      <c r="BX7" s="4">
        <f>_xll.ciqfunctions.udf.CIQ($A7, "IQ_RETURN_INVESTED_CAPITAL",IQ_LTM,DateToday)</f>
        <v>20.438600000000001</v>
      </c>
      <c r="BY7" s="20">
        <f>_xll.ciqfunctions.udf.CIQ($A7, "IQ_CURRENT_RATIO",IQ_FQ,DateToday,)</f>
        <v>1.38602</v>
      </c>
      <c r="BZ7" s="20">
        <f>_xll.ciqfunctions.udf.CIQ($A7, "IQ_QUICK_RATIO",IQ_FQ,DateToday,)</f>
        <v>1.23916</v>
      </c>
      <c r="CA7" s="4">
        <f>_xll.ciqfunctions.udf.CIQ($A7, "IQ_DAYS_SALES_OUT",IQ_LTM,DateToday,)</f>
        <v>62.569029999999998</v>
      </c>
      <c r="CB7" s="4">
        <f>_xll.ciqfunctions.udf.CIQ($A7, "IQ_DAYS_INVENTORY_OUT",IQ_LTM,DateToday,)</f>
        <v>3.7427100000000002</v>
      </c>
      <c r="CC7" s="4">
        <f>_xll.ciqfunctions.udf.CIQ($A7, "IQ_DAYS_PAYABLE_OUT",IQ_LTM,DateToday,)</f>
        <v>113.81722000000001</v>
      </c>
      <c r="CD7" s="4">
        <f>_xll.ciqfunctions.udf.CIQ($A7, "IQ_CASH_CONVERSION",IQ_LTM,DateToday,)</f>
        <v>-47.505479999999999</v>
      </c>
      <c r="CE7" s="20">
        <f>_xll.ciqfunctions.udf.CIQ($A7, "IQ_ASSET_TURNS",IQ_LTM,DateToday,)</f>
        <v>0.50943000000000005</v>
      </c>
      <c r="CF7" s="20">
        <f>_xll.ciqfunctions.udf.CIQ($A7, "IQ_FIXED_ASSET_TURNS",IQ_LTM,DateToday,)</f>
        <v>1.28356</v>
      </c>
      <c r="CG7" s="20">
        <f>_xll.ciqfunctions.udf.CIQ($A7, "IQ_AR_TURNS",IQ_LTM,DateToday,)</f>
        <v>5.8335400000000002</v>
      </c>
      <c r="CH7" s="20">
        <f>_xll.ciqfunctions.udf.CIQ($A7, "IQ_INVENTORY_TURNS",IQ_LTM,DateToday,)</f>
        <v>97.514229999999998</v>
      </c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</row>
    <row r="8" spans="1:168" s="1" customFormat="1" x14ac:dyDescent="0.2">
      <c r="A8" s="36" t="str">
        <f>_xll.ciqfunctions.udf.CIQ($A$10,"IQ_QUICK_COMP",7)</f>
        <v>NYSE:DXC</v>
      </c>
      <c r="B8" s="36" t="str">
        <f>_xll.ciqfunctions.udf.CIQ($A8, "IQ_COMPANY_NAME")</f>
        <v>DXC Technology Company</v>
      </c>
      <c r="C8" s="13">
        <f>_xll.ciqfunctions.udf.CIQ($A8,"IQ_PERIODDATE",IQ_FY,DateToday)</f>
        <v>45747</v>
      </c>
      <c r="D8" s="13">
        <f>_xll.ciqfunctions.udf.CIQ($A8,"IQ_PERIODDATE",IQ_LTM,DateToday)</f>
        <v>46022</v>
      </c>
      <c r="E8" s="11">
        <f>_xll.ciqfunctions.udf.CIQ($A8, "IQ_LASTSALEPRICE",DateToday,Ccy,Conv)</f>
        <v>11.83</v>
      </c>
      <c r="F8" s="11">
        <f>_xll.ciqfunctions.udf.CIQ($A8, "IQ_YEARHIGH",DateToday,Ccy,Conv)</f>
        <v>17.86</v>
      </c>
      <c r="G8" s="11">
        <f>_xll.ciqfunctions.udf.CIQ($A8, "IQ_YEARLOW",DateToday,Ccy,Conv)</f>
        <v>11.61</v>
      </c>
      <c r="H8" s="37">
        <f t="shared" si="0"/>
        <v>0.66237402015677493</v>
      </c>
      <c r="I8" s="37">
        <f t="shared" si="1"/>
        <v>1.0189491817398795</v>
      </c>
      <c r="J8" s="4">
        <f>_xll.ciqfunctions.udf.CIQ($A8, "IQ_SHARESOUTSTANDING",DateToday)</f>
        <v>169.75996000000001</v>
      </c>
      <c r="K8" s="22">
        <f t="shared" si="2"/>
        <v>2008.2603268</v>
      </c>
      <c r="L8" s="4">
        <f>_xll.ciqfunctions.udf.CIQ($A8, "IQ_CASH_ST_INVEST",IQ_FQ,DateToday,,"F",Ccy,Conv)</f>
        <v>1731</v>
      </c>
      <c r="M8" s="4">
        <f>_xll.ciqfunctions.udf.CIQ($A8, "IQ_TOTAL_DEBT",IQ_FQ,DateToday,,"F",Ccy,Conv)</f>
        <v>4323</v>
      </c>
      <c r="N8" s="4">
        <f>_xll.ciqfunctions.udf.CIQ($A8, "IQ_PREF_EQUITY",IQ_FQ,DateToday,,"F",Ccy,Conv)</f>
        <v>0</v>
      </c>
      <c r="O8" s="4">
        <f>_xll.ciqfunctions.udf.CIQ($A8, "IQ_MINORITY_INTEREST_TOTAL",IQ_FQ,DateToday,,"F",Ccy,Conv)</f>
        <v>268</v>
      </c>
      <c r="P8" s="22">
        <f t="shared" si="6"/>
        <v>4868.2603268000003</v>
      </c>
      <c r="Q8" s="4">
        <f>_xll.ciqfunctions.udf.CIQ($A8, "IQ_TOTAL_REV", IQ_FY,DateToday,,,Ccy,Conv)</f>
        <v>12871</v>
      </c>
      <c r="R8" s="4">
        <f>_xll.ciqfunctions.udf.CIQ($A8, "IQ_TOTAL_REV", IQ_LTM,DateToday,,,Ccy,Conv)</f>
        <v>12683</v>
      </c>
      <c r="S8" s="4">
        <f>_xll.ciqfunctions.udf.CIQ($A8, "IQ_REVENUE_EST", IQ_CY+ 1,DateToday,,,Ccy,Conv)</f>
        <v>12477.012500000001</v>
      </c>
      <c r="T8" s="4">
        <f>_xll.ciqfunctions.udf.CIQ($A8, "IQ_REVENUE_EST", IQ_CY+ 2,DateToday,,,Ccy,Conv)</f>
        <v>12200.25</v>
      </c>
      <c r="U8" s="4">
        <f>_xll.ciqfunctions.udf.CIQ($A8, "IQ_EBITDA", IQ_FY,DateToday,,,Ccy,Conv)</f>
        <v>1993</v>
      </c>
      <c r="V8" s="4">
        <f>_xll.ciqfunctions.udf.CIQ($A8, "IQ_EBITDA", IQ_LTM,DateToday,,,Ccy,Conv)</f>
        <v>1914</v>
      </c>
      <c r="W8" s="4">
        <f>_xll.ciqfunctions.udf.CIQ($A8, "IQ_EBITDA_EST", IQ_CY+ 1,DateToday,,,Ccy,Conv)</f>
        <v>1780.125</v>
      </c>
      <c r="X8" s="4">
        <f>_xll.ciqfunctions.udf.CIQ($A8, "IQ_EBITDA_EST", IQ_CY+ 2,DateToday,,,Ccy,Conv)</f>
        <v>1706.9749999999999</v>
      </c>
      <c r="Y8" s="11">
        <f>_xll.ciqfunctions.udf.CIQ($A8, "IQ_DILUT_EPS_EXCL", IQ_FY,DateToday,,,Ccy,Conv)</f>
        <v>2.1</v>
      </c>
      <c r="Z8" s="11">
        <f>_xll.ciqfunctions.udf.CIQ($A8, "IQ_DILUT_EPS_EXCL", IQ_LTM,DateToday,,,Ccy,Conv)</f>
        <v>2.3206000000000002</v>
      </c>
      <c r="AA8" s="11">
        <f>_xll.ciqfunctions.udf.CIQ($A8, "IQ_EPS_EST", IQ_CY+ 1,DateToday,,,Ccy,Conv)</f>
        <v>3.1278999999999999</v>
      </c>
      <c r="AB8" s="11">
        <f>_xll.ciqfunctions.udf.CIQ($A8, "IQ_EPS_EST", IQ_CY+ 2,DateToday,,,Ccy,Conv)</f>
        <v>3.26</v>
      </c>
      <c r="AC8" s="20">
        <f>_xll.ciqfunctions.udf.CIQ($A8, "IQ_TEV_TOTAL_REV",IQ_LTM,#REF!)</f>
        <v>0.38384000000000001</v>
      </c>
      <c r="AD8" s="20">
        <f>_xll.ciqfunctions.udf.CIQ($A8, "IQ_TEV_TOTAL_REV",IQ_LTM,DateToday)</f>
        <v>0.38384000000000001</v>
      </c>
      <c r="AE8" s="38">
        <f t="shared" si="3"/>
        <v>0.3901783641556823</v>
      </c>
      <c r="AF8" s="38">
        <f t="shared" si="4"/>
        <v>0.39902955486977726</v>
      </c>
      <c r="AG8" s="20">
        <f>_xll.ciqfunctions.udf.CIQ($A8, "IQ_TEV_EBITDA",IQ_LTM,#REF!)</f>
        <v>2.1277400000000002</v>
      </c>
      <c r="AH8" s="20">
        <f>_xll.ciqfunctions.udf.CIQ($A8, "IQ_TEV_EBITDA",IQ_LTM,DateToday)</f>
        <v>2.1277400000000002</v>
      </c>
      <c r="AI8" s="20">
        <f>_xll.ciqfunctions.udf.CIQ($A8, "IQ_TEV_EBITDA_FWD",IQ_CY+1,DateToday)</f>
        <v>2.7347899999999998</v>
      </c>
      <c r="AJ8" s="20">
        <f>_xll.ciqfunctions.udf.CIQ($A8, "IQ_TEV_EBITDA_FWD",IQ_CY+2,DateToday)</f>
        <v>2.8519800000000002</v>
      </c>
      <c r="AK8" s="20">
        <f>_xll.ciqfunctions.udf.CIQ($A8, "IQ_PE_EXCL",IQ_LTM,#REF!)</f>
        <v>5.0978199999999996</v>
      </c>
      <c r="AL8" s="20">
        <f>_xll.ciqfunctions.udf.CIQ($A8, "IQ_PE_EXCL",IQ_LTM,DateToday)</f>
        <v>5.0978199999999996</v>
      </c>
      <c r="AM8" s="20">
        <f>_xll.ciqfunctions.udf.CIQ($A8, "IQ_PE_EXCL_FWD",IQ_CY+1,DateToday)</f>
        <v>3.7820900000000002</v>
      </c>
      <c r="AN8" s="20">
        <f>_xll.ciqfunctions.udf.CIQ($A8, "IQ_PE_EXCL_FWD",IQ_CY+2,DateToday)</f>
        <v>3.6288300000000002</v>
      </c>
      <c r="AO8" s="20">
        <f>_xll.ciqfunctions.udf.CIQ($A8, "IQ_PBV",IQ_LTM,DateToday,)</f>
        <v>0.63959999999999995</v>
      </c>
      <c r="AP8" s="20">
        <f>_xll.ciqfunctions.udf.CIQ($A8, "IQ_PTBV",IQ_LTM,DateToday,)</f>
        <v>2.3721000000000001</v>
      </c>
      <c r="AQ8" s="4">
        <f>_xll.ciqfunctions.udf.CIQ($A8, "IQ_GROSS_MARGIN", IQ_FY- 2,DateToday,)</f>
        <v>22.065100000000001</v>
      </c>
      <c r="AR8" s="4">
        <f>_xll.ciqfunctions.udf.CIQ($A8, "IQ_GROSS_MARGIN", IQ_FY- 1,DateToday,)</f>
        <v>22.616499999999998</v>
      </c>
      <c r="AS8" s="4">
        <f>_xll.ciqfunctions.udf.CIQ($A8, "IQ_GROSS_MARGIN", IQ_FY,DateToday,)</f>
        <v>24.0929</v>
      </c>
      <c r="AT8" s="4">
        <f>_xll.ciqfunctions.udf.CIQ($A8, "IQ_GROSS_MARGIN", IQ_LTM,DateToday,)</f>
        <v>24.2529</v>
      </c>
      <c r="AU8" s="4">
        <f>_xll.ciqfunctions.udf.CIQ($A8, "IQ_EBITDA_MARGIN", IQ_FY- 2,DateToday,)</f>
        <v>3.8530000000000002</v>
      </c>
      <c r="AV8" s="4">
        <f>_xll.ciqfunctions.udf.CIQ($A8, "IQ_EBITDA_MARGIN", IQ_FY- 1,DateToday,)</f>
        <v>10.1485</v>
      </c>
      <c r="AW8" s="4">
        <f>_xll.ciqfunctions.udf.CIQ($A8, "IQ_EBITDA_MARGIN", IQ_FY,DateToday,)</f>
        <v>15.484400000000001</v>
      </c>
      <c r="AX8" s="4">
        <f>_xll.ciqfunctions.udf.CIQ($A8, "IQ_EBITDA_MARGIN", IQ_LTM,DateToday,)</f>
        <v>15.090999999999999</v>
      </c>
      <c r="AY8" s="4">
        <f>_xll.ciqfunctions.udf.CIQ($A8, "IQ_NI_MARGIN", IQ_FY- 2,DateToday,)</f>
        <v>-3.9361999999999999</v>
      </c>
      <c r="AZ8" s="4">
        <f>_xll.ciqfunctions.udf.CIQ($A8, "IQ_NI_MARGIN", IQ_FY- 1,DateToday,)</f>
        <v>0.66579999999999995</v>
      </c>
      <c r="BA8" s="4">
        <f>_xll.ciqfunctions.udf.CIQ($A8, "IQ_NI_MARGIN", IQ_FY,DateToday,)</f>
        <v>3.0222000000000002</v>
      </c>
      <c r="BB8" s="4">
        <f>_xll.ciqfunctions.udf.CIQ($A8, "IQ_NI_MARGIN", IQ_LTM,DateToday,)</f>
        <v>3.3351000000000002</v>
      </c>
      <c r="BC8" s="4">
        <f>_xll.ciqfunctions.udf.CIQ($A8, "IQ_TOTAL_REV_5YR_ANN_CAGR",IQ_LTM,DateToday,)</f>
        <v>-6.9264999999999999</v>
      </c>
      <c r="BD8" s="4">
        <f>_xll.ciqfunctions.udf.CIQ($A8, "IQ_TOTAL_REV_3YR_ANN_CAGR",IQ_LTM,DateToday,)</f>
        <v>-5.1157000000000004</v>
      </c>
      <c r="BE8" s="4">
        <f>_xll.ciqfunctions.udf.CIQ($A8, "IQ_TOTAL_REV_1YR_ANN_GROWTH", IQ_FY,DateToday,)</f>
        <v>-5.8243</v>
      </c>
      <c r="BF8" s="4">
        <f>_xll.ciqfunctions.udf.CIQ($A8, "IQ_TOTAL_REV_1YR_ANN_GROWTH",IQ_LTM,DateToday,)</f>
        <v>-3.0945</v>
      </c>
      <c r="BG8" s="4">
        <f>_xll.ciqfunctions.udf.CIQ($A8, "IQ_EBITDA_5YR_ANN_CAGR",IQ_LTM,DateToday,)</f>
        <v>-5.3601999999999999</v>
      </c>
      <c r="BH8" s="4">
        <f>_xll.ciqfunctions.udf.CIQ($A8, "IQ_EBITDA_3YR_ANN_CAGR",IQ_LTM,DateToday,)</f>
        <v>-11.021699999999999</v>
      </c>
      <c r="BI8" s="4">
        <f>_xll.ciqfunctions.udf.CIQ($A8, "IQ_EBITDA_1YR_ANN_GROWTH", IQ_FY,DateToday,)</f>
        <v>43.691400000000002</v>
      </c>
      <c r="BJ8" s="4">
        <f>_xll.ciqfunctions.udf.CIQ($A8, "IQ_EBITDA_1YR_ANN_GROWTH",IQ_LTM,DateToday,)</f>
        <v>36.227699999999999</v>
      </c>
      <c r="BK8" s="4" t="str">
        <f>_xll.ciqfunctions.udf.CIQ($A8, "IQ_EPS_5YR_ANN_CAGR",IQ_LTM,DateToday,)</f>
        <v>NM</v>
      </c>
      <c r="BL8" s="4">
        <f>_xll.ciqfunctions.udf.CIQ($A8, "IQ_EPS_3YR_ANN_CAGR",IQ_LTM,DateToday,)</f>
        <v>-8.3400999999999996</v>
      </c>
      <c r="BM8" s="4">
        <f>_xll.ciqfunctions.udf.CIQ($A8, "IQ_EPS_1YR_ANN_GROWTH", IQ_FY,DateToday,)</f>
        <v>356.52170000000001</v>
      </c>
      <c r="BN8" s="4" t="str">
        <f>_xll.ciqfunctions.udf.CIQ($A8, "IQ_EPS_1YR_ANN_GROWTH", IQ_LTM,DateToday,)</f>
        <v>NM</v>
      </c>
      <c r="BO8" s="20">
        <f>_xll.ciqfunctions.udf.CIQ($A8, "IQ_TOTAL_DEBT_EBITDA",IQ_LTM,DateToday,)</f>
        <v>1.8894200000000001</v>
      </c>
      <c r="BP8" s="20">
        <f>_xll.ciqfunctions.udf.CIQ($A8, "IQ_NET_DEBT_EBITDA",IQ_LTM,DateToday,)</f>
        <v>1.13287</v>
      </c>
      <c r="BQ8" s="39">
        <f t="shared" si="5"/>
        <v>2.2586206896551726</v>
      </c>
      <c r="BR8" s="20">
        <f>_xll.ciqfunctions.udf.CIQ($A8, "IQ_EBITDA_INT",IQ_LTM,DateToday,)</f>
        <v>10.44749</v>
      </c>
      <c r="BS8" s="20">
        <f>_xll.ciqfunctions.udf.CIQ($A8, "IQ_EBITDA_CAPEX_INT",IQ_LTM,DateToday,)</f>
        <v>9.4474900000000002</v>
      </c>
      <c r="BT8" s="4">
        <f>_xll.ciqfunctions.udf.CIQ($A8, "IQ_TOTAL_DEBT_EQUITY",IQ_FQ,DateToday,)</f>
        <v>126.6627</v>
      </c>
      <c r="BU8" s="4">
        <f>_xll.ciqfunctions.udf.CIQ($A8, "IQ_TOTAL_DEBT_CAPITAL",IQ_FQ,DateToday,)</f>
        <v>55.881500000000003</v>
      </c>
      <c r="BV8" s="4">
        <f>_xll.ciqfunctions.udf.CIQ($A8, "IQ_RETURN_EQUITY",IQ_LTM,DateToday)</f>
        <v>12.933199999999999</v>
      </c>
      <c r="BW8" s="4">
        <f>_xll.ciqfunctions.udf.CIQ($A8, "IQ_RETURN_ASSETS",IQ_LTM,DateToday)</f>
        <v>4.1920999999999999</v>
      </c>
      <c r="BX8" s="4">
        <f>_xll.ciqfunctions.udf.CIQ($A8, "IQ_RETURN_INVESTED_CAPITAL",IQ_LTM,DateToday)</f>
        <v>5.4619</v>
      </c>
      <c r="BY8" s="20">
        <f>_xll.ciqfunctions.udf.CIQ($A8, "IQ_CURRENT_RATIO",IQ_FQ,DateToday,)</f>
        <v>1.3481700000000001</v>
      </c>
      <c r="BZ8" s="20">
        <f>_xll.ciqfunctions.udf.CIQ($A8, "IQ_QUICK_RATIO",IQ_FQ,DateToday,)</f>
        <v>1.18675</v>
      </c>
      <c r="CA8" s="4">
        <f>_xll.ciqfunctions.udf.CIQ($A8, "IQ_DAYS_SALES_OUT",IQ_LTM,DateToday,)</f>
        <v>64.579089999999994</v>
      </c>
      <c r="CB8" s="4">
        <f>_xll.ciqfunctions.udf.CIQ($A8, "IQ_DAYS_INVENTORY_OUT",IQ_LTM,DateToday,)</f>
        <v>0</v>
      </c>
      <c r="CC8" s="4">
        <f>_xll.ciqfunctions.udf.CIQ($A8, "IQ_DAYS_PAYABLE_OUT",IQ_LTM,DateToday,)</f>
        <v>21.750720000000001</v>
      </c>
      <c r="CD8" s="4">
        <f>_xll.ciqfunctions.udf.CIQ($A8, "IQ_CASH_CONVERSION",IQ_LTM,DateToday,)</f>
        <v>0</v>
      </c>
      <c r="CE8" s="20">
        <f>_xll.ciqfunctions.udf.CIQ($A8, "IQ_ASSET_TURNS",IQ_LTM,DateToday,)</f>
        <v>0.96779999999999999</v>
      </c>
      <c r="CF8" s="20">
        <f>_xll.ciqfunctions.udf.CIQ($A8, "IQ_FIXED_ASSET_TURNS",IQ_LTM,DateToday,)</f>
        <v>6.7552599999999998</v>
      </c>
      <c r="CG8" s="20">
        <f>_xll.ciqfunctions.udf.CIQ($A8, "IQ_AR_TURNS",IQ_LTM,DateToday,)</f>
        <v>5.6519599999999999</v>
      </c>
      <c r="CH8" s="20">
        <f>_xll.ciqfunctions.udf.CIQ($A8, "IQ_INVENTORY_TURNS",IQ_LTM,DateToday,)</f>
        <v>0</v>
      </c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</row>
    <row r="9" spans="1:168" s="1" customFormat="1" x14ac:dyDescent="0.2">
      <c r="A9" s="36" t="str">
        <f>_xll.ciqfunctions.udf.CIQ($A$10,"IQ_QUICK_COMP",8)</f>
        <v>NasdaqGS:HON</v>
      </c>
      <c r="B9" s="36" t="str">
        <f>_xll.ciqfunctions.udf.CIQ($A9, "IQ_COMPANY_NAME")</f>
        <v>Honeywell International Inc.</v>
      </c>
      <c r="C9" s="13">
        <f>_xll.ciqfunctions.udf.CIQ($A9,"IQ_PERIODDATE",IQ_FY,DateToday)</f>
        <v>46022</v>
      </c>
      <c r="D9" s="13">
        <f>_xll.ciqfunctions.udf.CIQ($A9,"IQ_PERIODDATE",IQ_LTM,DateToday)</f>
        <v>46022</v>
      </c>
      <c r="E9" s="11">
        <f>_xll.ciqfunctions.udf.CIQ($A9, "IQ_LASTSALEPRICE",DateToday,Ccy,Conv)</f>
        <v>234.5</v>
      </c>
      <c r="F9" s="11">
        <f>_xll.ciqfunctions.udf.CIQ($A9, "IQ_YEARHIGH",DateToday,Ccy,Conv)</f>
        <v>248.18</v>
      </c>
      <c r="G9" s="11">
        <f>_xll.ciqfunctions.udf.CIQ($A9, "IQ_YEARLOW",DateToday,Ccy,Conv)</f>
        <v>179.36</v>
      </c>
      <c r="H9" s="37">
        <f t="shared" si="0"/>
        <v>0.94487871706019821</v>
      </c>
      <c r="I9" s="37">
        <f t="shared" si="1"/>
        <v>1.3074264049955395</v>
      </c>
      <c r="J9" s="4">
        <f>_xll.ciqfunctions.udf.CIQ($A9, "IQ_SHARESOUTSTANDING",DateToday)</f>
        <v>635.67570000000001</v>
      </c>
      <c r="K9" s="22">
        <f t="shared" si="2"/>
        <v>149065.95165</v>
      </c>
      <c r="L9" s="4">
        <f>_xll.ciqfunctions.udf.CIQ($A9, "IQ_CASH_ST_INVEST",IQ_FQ,DateToday,,"F",Ccy,Conv)</f>
        <v>12930</v>
      </c>
      <c r="M9" s="4">
        <f>_xll.ciqfunctions.udf.CIQ($A9, "IQ_TOTAL_DEBT",IQ_FQ,DateToday,,"F",Ccy,Conv)</f>
        <v>35563</v>
      </c>
      <c r="N9" s="4">
        <f>_xll.ciqfunctions.udf.CIQ($A9, "IQ_PREF_EQUITY",IQ_FQ,DateToday,,"F",Ccy,Conv)</f>
        <v>0</v>
      </c>
      <c r="O9" s="4">
        <f>_xll.ciqfunctions.udf.CIQ($A9, "IQ_MINORITY_INTEREST_TOTAL",IQ_FQ,DateToday,,"F",Ccy,Conv)</f>
        <v>1126</v>
      </c>
      <c r="P9" s="22">
        <f t="shared" si="6"/>
        <v>172824.95165</v>
      </c>
      <c r="Q9" s="4">
        <f>_xll.ciqfunctions.udf.CIQ($A9, "IQ_TOTAL_REV", IQ_FY,DateToday,,,Ccy,Conv)</f>
        <v>37442</v>
      </c>
      <c r="R9" s="4">
        <f>_xll.ciqfunctions.udf.CIQ($A9, "IQ_TOTAL_REV", IQ_LTM,DateToday,,,Ccy,Conv)</f>
        <v>37442</v>
      </c>
      <c r="S9" s="4">
        <f>_xll.ciqfunctions.udf.CIQ($A9, "IQ_REVENUE_EST", IQ_CY+ 1,DateToday,,,Ccy,Conv)</f>
        <v>39547.509339999997</v>
      </c>
      <c r="T9" s="4">
        <f>_xll.ciqfunctions.udf.CIQ($A9, "IQ_REVENUE_EST", IQ_CY+ 2,DateToday,,,Ccy,Conv)</f>
        <v>41874.79754</v>
      </c>
      <c r="U9" s="4">
        <f>_xll.ciqfunctions.udf.CIQ($A9, "IQ_EBITDA", IQ_FY,DateToday,,,Ccy,Conv)</f>
        <v>8468</v>
      </c>
      <c r="V9" s="4">
        <f>_xll.ciqfunctions.udf.CIQ($A9, "IQ_EBITDA", IQ_LTM,DateToday,,,Ccy,Conv)</f>
        <v>8468</v>
      </c>
      <c r="W9" s="4">
        <f>_xll.ciqfunctions.udf.CIQ($A9, "IQ_EBITDA_EST", IQ_CY+ 1,DateToday,,,Ccy,Conv)</f>
        <v>10008.611430000001</v>
      </c>
      <c r="X9" s="4">
        <f>_xll.ciqfunctions.udf.CIQ($A9, "IQ_EBITDA_EST", IQ_CY+ 2,DateToday,,,Ccy,Conv)</f>
        <v>10869.38054</v>
      </c>
      <c r="Y9" s="11">
        <f>_xll.ciqfunctions.udf.CIQ($A9, "IQ_DILUT_EPS_EXCL", IQ_FY,DateToday,,,Ccy,Conv)</f>
        <v>6.8870699999999996</v>
      </c>
      <c r="Z9" s="11">
        <f>_xll.ciqfunctions.udf.CIQ($A9, "IQ_DILUT_EPS_EXCL", IQ_LTM,DateToday,,,Ccy,Conv)</f>
        <v>6.8870699999999996</v>
      </c>
      <c r="AA9" s="11">
        <f>_xll.ciqfunctions.udf.CIQ($A9, "IQ_EPS_EST", IQ_CY+ 1,DateToday,,,Ccy,Conv)</f>
        <v>10.54219</v>
      </c>
      <c r="AB9" s="11">
        <f>_xll.ciqfunctions.udf.CIQ($A9, "IQ_EPS_EST", IQ_CY+ 2,DateToday,,,Ccy,Conv)</f>
        <v>11.487730000000001</v>
      </c>
      <c r="AC9" s="20">
        <f>_xll.ciqfunctions.udf.CIQ($A9, "IQ_TEV_TOTAL_REV",IQ_LTM,#REF!)</f>
        <v>4.6158000000000001</v>
      </c>
      <c r="AD9" s="20">
        <f>_xll.ciqfunctions.udf.CIQ($A9, "IQ_TEV_TOTAL_REV",IQ_LTM,DateToday)</f>
        <v>4.6158000000000001</v>
      </c>
      <c r="AE9" s="38">
        <f t="shared" si="3"/>
        <v>4.3700590640027404</v>
      </c>
      <c r="AF9" s="38">
        <f t="shared" si="4"/>
        <v>4.1271829788529173</v>
      </c>
      <c r="AG9" s="20">
        <f>_xll.ciqfunctions.udf.CIQ($A9, "IQ_TEV_EBITDA",IQ_LTM,#REF!)</f>
        <v>19.73113</v>
      </c>
      <c r="AH9" s="20">
        <f>_xll.ciqfunctions.udf.CIQ($A9, "IQ_TEV_EBITDA",IQ_LTM,DateToday)</f>
        <v>19.73113</v>
      </c>
      <c r="AI9" s="20">
        <f>_xll.ciqfunctions.udf.CIQ($A9, "IQ_TEV_EBITDA_FWD",IQ_CY+1,DateToday)</f>
        <v>17.26763</v>
      </c>
      <c r="AJ9" s="20">
        <f>_xll.ciqfunctions.udf.CIQ($A9, "IQ_TEV_EBITDA_FWD",IQ_CY+2,DateToday)</f>
        <v>15.900169999999999</v>
      </c>
      <c r="AK9" s="20">
        <f>_xll.ciqfunctions.udf.CIQ($A9, "IQ_PE_EXCL",IQ_LTM,#REF!)</f>
        <v>34.049320000000002</v>
      </c>
      <c r="AL9" s="20">
        <f>_xll.ciqfunctions.udf.CIQ($A9, "IQ_PE_EXCL",IQ_LTM,DateToday)</f>
        <v>34.049320000000002</v>
      </c>
      <c r="AM9" s="20">
        <f>_xll.ciqfunctions.udf.CIQ($A9, "IQ_PE_EXCL_FWD",IQ_CY+1,DateToday)</f>
        <v>22.243960000000001</v>
      </c>
      <c r="AN9" s="20">
        <f>_xll.ciqfunctions.udf.CIQ($A9, "IQ_PE_EXCL_FWD",IQ_CY+2,DateToday)</f>
        <v>20.413080000000001</v>
      </c>
      <c r="AO9" s="20">
        <f>_xll.ciqfunctions.udf.CIQ($A9, "IQ_PBV",IQ_LTM,DateToday,)</f>
        <v>10.71475</v>
      </c>
      <c r="AP9" s="20" t="str">
        <f>_xll.ciqfunctions.udf.CIQ($A9, "IQ_PTBV",IQ_LTM,DateToday,)</f>
        <v>NM</v>
      </c>
      <c r="AQ9" s="4">
        <f>_xll.ciqfunctions.udf.CIQ($A9, "IQ_GROSS_MARGIN", IQ_FY- 2,DateToday,)</f>
        <v>37.480600000000003</v>
      </c>
      <c r="AR9" s="4">
        <f>_xll.ciqfunctions.udf.CIQ($A9, "IQ_GROSS_MARGIN", IQ_FY- 1,DateToday,)</f>
        <v>38.4739</v>
      </c>
      <c r="AS9" s="4">
        <f>_xll.ciqfunctions.udf.CIQ($A9, "IQ_GROSS_MARGIN", IQ_FY,DateToday,)</f>
        <v>36.934399999999997</v>
      </c>
      <c r="AT9" s="4">
        <f>_xll.ciqfunctions.udf.CIQ($A9, "IQ_GROSS_MARGIN", IQ_LTM,DateToday,)</f>
        <v>36.934399999999997</v>
      </c>
      <c r="AU9" s="4">
        <f>_xll.ciqfunctions.udf.CIQ($A9, "IQ_EBITDA_MARGIN", IQ_FY- 2,DateToday,)</f>
        <v>22.9573</v>
      </c>
      <c r="AV9" s="4">
        <f>_xll.ciqfunctions.udf.CIQ($A9, "IQ_EBITDA_MARGIN", IQ_FY- 1,DateToday,)</f>
        <v>24.21</v>
      </c>
      <c r="AW9" s="4">
        <f>_xll.ciqfunctions.udf.CIQ($A9, "IQ_EBITDA_MARGIN", IQ_FY,DateToday,)</f>
        <v>22.616299999999999</v>
      </c>
      <c r="AX9" s="4">
        <f>_xll.ciqfunctions.udf.CIQ($A9, "IQ_EBITDA_MARGIN", IQ_LTM,DateToday,)</f>
        <v>22.616299999999999</v>
      </c>
      <c r="AY9" s="4">
        <f>_xll.ciqfunctions.udf.CIQ($A9, "IQ_NI_MARGIN", IQ_FY- 2,DateToday,)</f>
        <v>17.140699999999999</v>
      </c>
      <c r="AZ9" s="4">
        <f>_xll.ciqfunctions.udf.CIQ($A9, "IQ_NI_MARGIN", IQ_FY- 1,DateToday,)</f>
        <v>16.4328</v>
      </c>
      <c r="BA9" s="4">
        <f>_xll.ciqfunctions.udf.CIQ($A9, "IQ_NI_MARGIN", IQ_FY,DateToday,)</f>
        <v>12.6302</v>
      </c>
      <c r="BB9" s="4">
        <f>_xll.ciqfunctions.udf.CIQ($A9, "IQ_NI_MARGIN", IQ_LTM,DateToday,)</f>
        <v>12.6302</v>
      </c>
      <c r="BC9" s="4">
        <f>_xll.ciqfunctions.udf.CIQ($A9, "IQ_TOTAL_REV_5YR_ANN_CAGR",IQ_LTM,DateToday,)</f>
        <v>2.7850000000000001</v>
      </c>
      <c r="BD9" s="4">
        <f>_xll.ciqfunctions.udf.CIQ($A9, "IQ_TOTAL_REV_3YR_ANN_CAGR",IQ_LTM,DateToday,)</f>
        <v>1.8237000000000001</v>
      </c>
      <c r="BE9" s="4">
        <f>_xll.ciqfunctions.udf.CIQ($A9, "IQ_TOTAL_REV_1YR_ANN_GROWTH", IQ_FY,DateToday,)</f>
        <v>7.8491</v>
      </c>
      <c r="BF9" s="4">
        <f>_xll.ciqfunctions.udf.CIQ($A9, "IQ_TOTAL_REV_1YR_ANN_GROWTH",IQ_LTM,DateToday,)</f>
        <v>7.8491</v>
      </c>
      <c r="BG9" s="4">
        <f>_xll.ciqfunctions.udf.CIQ($A9, "IQ_EBITDA_5YR_ANN_CAGR",IQ_LTM,DateToday,)</f>
        <v>2.0365000000000002</v>
      </c>
      <c r="BH9" s="4">
        <f>_xll.ciqfunctions.udf.CIQ($A9, "IQ_EBITDA_3YR_ANN_CAGR",IQ_LTM,DateToday,)</f>
        <v>0.77549999999999997</v>
      </c>
      <c r="BI9" s="4">
        <f>_xll.ciqfunctions.udf.CIQ($A9, "IQ_EBITDA_1YR_ANN_GROWTH", IQ_FY,DateToday,)</f>
        <v>0.74950000000000006</v>
      </c>
      <c r="BJ9" s="4">
        <f>_xll.ciqfunctions.udf.CIQ($A9, "IQ_EBITDA_1YR_ANN_GROWTH",IQ_LTM,DateToday,)</f>
        <v>0.74950000000000006</v>
      </c>
      <c r="BK9" s="4">
        <f>_xll.ciqfunctions.udf.CIQ($A9, "IQ_EPS_5YR_ANN_CAGR",IQ_LTM,DateToday,)</f>
        <v>0.49230000000000002</v>
      </c>
      <c r="BL9" s="4">
        <f>_xll.ciqfunctions.udf.CIQ($A9, "IQ_EPS_3YR_ANN_CAGR",IQ_LTM,DateToday,)</f>
        <v>-1.7875000000000001</v>
      </c>
      <c r="BM9" s="4">
        <f>_xll.ciqfunctions.udf.CIQ($A9, "IQ_EPS_1YR_ANN_GROWTH", IQ_FY,DateToday,)</f>
        <v>-8.9388000000000005</v>
      </c>
      <c r="BN9" s="4">
        <f>_xll.ciqfunctions.udf.CIQ($A9, "IQ_EPS_1YR_ANN_GROWTH", IQ_LTM,DateToday,)</f>
        <v>-8.9388000000000005</v>
      </c>
      <c r="BO9" s="20">
        <f>_xll.ciqfunctions.udf.CIQ($A9, "IQ_TOTAL_DEBT_EBITDA",IQ_LTM,DateToday,)</f>
        <v>4.0806699999999996</v>
      </c>
      <c r="BP9" s="20">
        <f>_xll.ciqfunctions.udf.CIQ($A9, "IQ_NET_DEBT_EBITDA",IQ_LTM,DateToday,)</f>
        <v>2.5970200000000001</v>
      </c>
      <c r="BQ9" s="39">
        <f t="shared" si="5"/>
        <v>4.1996929617383092</v>
      </c>
      <c r="BR9" s="20">
        <f>_xll.ciqfunctions.udf.CIQ($A9, "IQ_EBITDA_INT",IQ_LTM,DateToday,)</f>
        <v>6.4843799999999998</v>
      </c>
      <c r="BS9" s="20">
        <f>_xll.ciqfunctions.udf.CIQ($A9, "IQ_EBITDA_CAPEX_INT",IQ_LTM,DateToday,)</f>
        <v>5.7507400000000004</v>
      </c>
      <c r="BT9" s="4">
        <f>_xll.ciqfunctions.udf.CIQ($A9, "IQ_TOTAL_DEBT_EQUITY",IQ_FQ,DateToday,)</f>
        <v>236.61340000000001</v>
      </c>
      <c r="BU9" s="4">
        <f>_xll.ciqfunctions.udf.CIQ($A9, "IQ_TOTAL_DEBT_CAPITAL",IQ_FQ,DateToday,)</f>
        <v>70.292299999999997</v>
      </c>
      <c r="BV9" s="4">
        <f>_xll.ciqfunctions.udf.CIQ($A9, "IQ_RETURN_EQUITY",IQ_LTM,DateToday)</f>
        <v>26.1355</v>
      </c>
      <c r="BW9" s="4">
        <f>_xll.ciqfunctions.udf.CIQ($A9, "IQ_RETURN_ASSETS",IQ_LTM,DateToday)</f>
        <v>5.9444999999999997</v>
      </c>
      <c r="BX9" s="4">
        <f>_xll.ciqfunctions.udf.CIQ($A9, "IQ_RETURN_INVESTED_CAPITAL",IQ_LTM,DateToday)</f>
        <v>3.4428999999999998</v>
      </c>
      <c r="BY9" s="20">
        <f>_xll.ciqfunctions.udf.CIQ($A9, "IQ_CURRENT_RATIO",IQ_FQ,DateToday,)</f>
        <v>1.2978099999999999</v>
      </c>
      <c r="BZ9" s="20">
        <f>_xll.ciqfunctions.udf.CIQ($A9, "IQ_QUICK_RATIO",IQ_FQ,DateToday,)</f>
        <v>0.87794000000000005</v>
      </c>
      <c r="CA9" s="4">
        <f>_xll.ciqfunctions.udf.CIQ($A9, "IQ_DAYS_SALES_OUT",IQ_LTM,DateToday,)</f>
        <v>72.469660000000005</v>
      </c>
      <c r="CB9" s="4">
        <f>_xll.ciqfunctions.udf.CIQ($A9, "IQ_DAYS_INVENTORY_OUT",IQ_LTM,DateToday,)</f>
        <v>93.100920000000002</v>
      </c>
      <c r="CC9" s="4">
        <f>_xll.ciqfunctions.udf.CIQ($A9, "IQ_DAYS_PAYABLE_OUT",IQ_LTM,DateToday,)</f>
        <v>94.905109999999993</v>
      </c>
      <c r="CD9" s="4">
        <f>_xll.ciqfunctions.udf.CIQ($A9, "IQ_CASH_CONVERSION",IQ_LTM,DateToday,)</f>
        <v>70.665459999999996</v>
      </c>
      <c r="CE9" s="20">
        <f>_xll.ciqfunctions.udf.CIQ($A9, "IQ_ASSET_TURNS",IQ_LTM,DateToday,)</f>
        <v>0.50299000000000005</v>
      </c>
      <c r="CF9" s="20">
        <f>_xll.ciqfunctions.udf.CIQ($A9, "IQ_FIXED_ASSET_TURNS",IQ_LTM,DateToday,)</f>
        <v>6.8713499999999996</v>
      </c>
      <c r="CG9" s="20">
        <f>_xll.ciqfunctions.udf.CIQ($A9, "IQ_AR_TURNS",IQ_LTM,DateToday,)</f>
        <v>5.0365900000000003</v>
      </c>
      <c r="CH9" s="20">
        <f>_xll.ciqfunctions.udf.CIQ($A9, "IQ_INVENTORY_TURNS",IQ_LTM,DateToday,)</f>
        <v>3.9204699999999999</v>
      </c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</row>
    <row r="10" spans="1:168" s="14" customFormat="1" x14ac:dyDescent="0.2">
      <c r="A10" s="60" t="str">
        <f>InputTicker</f>
        <v>NYSE:IBM</v>
      </c>
      <c r="B10" s="61" t="str">
        <f>_xll.ciqfunctions.udf.CIQ($A10, "IQ_COMPANY_NAME")</f>
        <v>International Business Machines Corporation</v>
      </c>
      <c r="C10" s="62">
        <f>_xll.ciqfunctions.udf.CIQ($A10,"IQ_PERIODDATE",IQ_FY,DateToday)</f>
        <v>46022</v>
      </c>
      <c r="D10" s="62">
        <f>_xll.ciqfunctions.udf.CIQ($A10,"IQ_PERIODDATE",IQ_LTM,DateToday)</f>
        <v>46022</v>
      </c>
      <c r="E10" s="63">
        <f>_xll.ciqfunctions.udf.CIQ($A10, "IQ_LASTSALEPRICE",DateToday,Ccy,Conv)</f>
        <v>246.28</v>
      </c>
      <c r="F10" s="63">
        <f>_xll.ciqfunctions.udf.CIQ($A10, "IQ_YEARHIGH",DateToday,Ccy,Conv)</f>
        <v>324.89999999999998</v>
      </c>
      <c r="G10" s="63">
        <f>_xll.ciqfunctions.udf.CIQ($A10, "IQ_YEARLOW",DateToday,Ccy,Conv)</f>
        <v>214.5</v>
      </c>
      <c r="H10" s="64">
        <f t="shared" si="0"/>
        <v>0.75801785164666058</v>
      </c>
      <c r="I10" s="64">
        <f t="shared" si="1"/>
        <v>1.1481585081585082</v>
      </c>
      <c r="J10" s="10">
        <f>_xll.ciqfunctions.udf.CIQ($A10, "IQ_SHARESOUTSTANDING",DateToday)</f>
        <v>938.40907000000004</v>
      </c>
      <c r="K10" s="65">
        <f t="shared" si="2"/>
        <v>231111.3857596</v>
      </c>
      <c r="L10" s="10">
        <f>_xll.ciqfunctions.udf.CIQ($A10, "IQ_CASH_ST_INVEST",IQ_FQ,DateToday,,"F",Ccy,Conv)</f>
        <v>14417</v>
      </c>
      <c r="M10" s="10">
        <f>_xll.ciqfunctions.udf.CIQ($A10, "IQ_TOTAL_DEBT",IQ_FQ,DateToday,,"F",Ccy,Conv)</f>
        <v>64607</v>
      </c>
      <c r="N10" s="10">
        <f>_xll.ciqfunctions.udf.CIQ($A10, "IQ_PREF_EQUITY",IQ_FQ,DateToday,,"F",Ccy,Conv)</f>
        <v>0</v>
      </c>
      <c r="O10" s="10">
        <f>_xll.ciqfunctions.udf.CIQ($A10, "IQ_MINORITY_INTEREST_TOTAL",IQ_FQ,DateToday,,"F",Ccy,Conv)</f>
        <v>93</v>
      </c>
      <c r="P10" s="65">
        <f t="shared" si="6"/>
        <v>281394.38575959997</v>
      </c>
      <c r="Q10" s="10">
        <f>_xll.ciqfunctions.udf.CIQ($A10, "IQ_TOTAL_REV", IQ_FY,DateToday,,,Ccy,Conv)</f>
        <v>67535</v>
      </c>
      <c r="R10" s="10">
        <f>_xll.ciqfunctions.udf.CIQ($A10, "IQ_TOTAL_REV", IQ_LTM,DateToday,,,Ccy,Conv)</f>
        <v>67535</v>
      </c>
      <c r="S10" s="10">
        <f>_xll.ciqfunctions.udf.CIQ($A10, "IQ_REVENUE_EST", IQ_CY+ 1,DateToday,,,Ccy,Conv)</f>
        <v>71193.312720000002</v>
      </c>
      <c r="T10" s="10">
        <f>_xll.ciqfunctions.udf.CIQ($A10, "IQ_REVENUE_EST", IQ_CY+ 2,DateToday,,,Ccy,Conv)</f>
        <v>74355.778810000003</v>
      </c>
      <c r="U10" s="10">
        <f>_xll.ciqfunctions.udf.CIQ($A10, "IQ_EBITDA", IQ_FY,DateToday,,,Ccy,Conv)</f>
        <v>16118</v>
      </c>
      <c r="V10" s="10">
        <f>_xll.ciqfunctions.udf.CIQ($A10, "IQ_EBITDA", IQ_LTM,DateToday,,,Ccy,Conv)</f>
        <v>16118</v>
      </c>
      <c r="W10" s="10">
        <f>_xll.ciqfunctions.udf.CIQ($A10, "IQ_EBITDA_EST", IQ_CY+ 1,DateToday,,,Ccy,Conv)</f>
        <v>19917.583170000002</v>
      </c>
      <c r="X10" s="10">
        <f>_xll.ciqfunctions.udf.CIQ($A10, "IQ_EBITDA_EST", IQ_CY+ 2,DateToday,,,Ccy,Conv)</f>
        <v>21726.144700000001</v>
      </c>
      <c r="Y10" s="63">
        <f>_xll.ciqfunctions.udf.CIQ($A10, "IQ_DILUT_EPS_EXCL", IQ_FY,DateToday,,,Ccy,Conv)</f>
        <v>11.14</v>
      </c>
      <c r="Z10" s="63">
        <f>_xll.ciqfunctions.udf.CIQ($A10, "IQ_DILUT_EPS_EXCL", IQ_LTM,DateToday,,,Ccy,Conv)</f>
        <v>11.14</v>
      </c>
      <c r="AA10" s="63">
        <f>_xll.ciqfunctions.udf.CIQ($A10, "IQ_EPS_EST", IQ_CY+ 1,DateToday,,,Ccy,Conv)</f>
        <v>12.38979</v>
      </c>
      <c r="AB10" s="63">
        <f>_xll.ciqfunctions.udf.CIQ($A10, "IQ_EPS_EST", IQ_CY+ 2,DateToday,,,Ccy,Conv)</f>
        <v>13.41822</v>
      </c>
      <c r="AC10" s="66">
        <f>_xll.ciqfunctions.udf.CIQ($A10, "IQ_TEV_TOTAL_REV",IQ_LTM,#REF!)</f>
        <v>4.1666499999999997</v>
      </c>
      <c r="AD10" s="66">
        <f>_xll.ciqfunctions.udf.CIQ($A10, "IQ_TEV_TOTAL_REV",IQ_LTM,DateToday)</f>
        <v>4.1666499999999997</v>
      </c>
      <c r="AE10" s="67">
        <f t="shared" si="3"/>
        <v>3.9525395716071121</v>
      </c>
      <c r="AF10" s="67">
        <f t="shared" si="4"/>
        <v>3.7844319602736194</v>
      </c>
      <c r="AG10" s="66">
        <f>_xll.ciqfunctions.udf.CIQ($A10, "IQ_TEV_EBITDA",IQ_LTM,#REF!)</f>
        <v>16.147960000000001</v>
      </c>
      <c r="AH10" s="66">
        <f>_xll.ciqfunctions.udf.CIQ($A10, "IQ_TEV_EBITDA",IQ_LTM,DateToday)</f>
        <v>16.147960000000001</v>
      </c>
      <c r="AI10" s="66">
        <f>_xll.ciqfunctions.udf.CIQ($A10, "IQ_TEV_EBITDA_FWD",IQ_CY+1,DateToday)</f>
        <v>14.127940000000001</v>
      </c>
      <c r="AJ10" s="66">
        <f>_xll.ciqfunctions.udf.CIQ($A10, "IQ_TEV_EBITDA_FWD",IQ_CY+2,DateToday)</f>
        <v>12.951879999999999</v>
      </c>
      <c r="AK10" s="66">
        <f>_xll.ciqfunctions.udf.CIQ($A10, "IQ_PE_EXCL",IQ_LTM,#REF!)</f>
        <v>22.10772</v>
      </c>
      <c r="AL10" s="66">
        <f>_xll.ciqfunctions.udf.CIQ($A10, "IQ_PE_EXCL",IQ_LTM,DateToday)</f>
        <v>22.10772</v>
      </c>
      <c r="AM10" s="66">
        <f>_xll.ciqfunctions.udf.CIQ($A10, "IQ_PE_EXCL_FWD",IQ_CY+1,DateToday)</f>
        <v>19.877659999999999</v>
      </c>
      <c r="AN10" s="66">
        <f>_xll.ciqfunctions.udf.CIQ($A10, "IQ_PE_EXCL_FWD",IQ_CY+2,DateToday)</f>
        <v>18.354150000000001</v>
      </c>
      <c r="AO10" s="66">
        <f>_xll.ciqfunctions.udf.CIQ($A10, "IQ_PBV",IQ_LTM,DateToday,)</f>
        <v>7.0678900000000002</v>
      </c>
      <c r="AP10" s="66" t="str">
        <f>_xll.ciqfunctions.udf.CIQ($A10, "IQ_PTBV",IQ_LTM,DateToday,)</f>
        <v>NM</v>
      </c>
      <c r="AQ10" s="10">
        <f>_xll.ciqfunctions.udf.CIQ($A10, "IQ_GROSS_MARGIN", IQ_FY- 2,DateToday,)</f>
        <v>55.447699999999998</v>
      </c>
      <c r="AR10" s="10">
        <f>_xll.ciqfunctions.udf.CIQ($A10, "IQ_GROSS_MARGIN", IQ_FY- 1,DateToday,)</f>
        <v>56.653799999999997</v>
      </c>
      <c r="AS10" s="10">
        <f>_xll.ciqfunctions.udf.CIQ($A10, "IQ_GROSS_MARGIN", IQ_FY,DateToday,)</f>
        <v>58.186100000000003</v>
      </c>
      <c r="AT10" s="10">
        <f>_xll.ciqfunctions.udf.CIQ($A10, "IQ_GROSS_MARGIN", IQ_LTM,DateToday,)</f>
        <v>58.186100000000003</v>
      </c>
      <c r="AU10" s="10">
        <f>_xll.ciqfunctions.udf.CIQ($A10, "IQ_EBITDA_MARGIN", IQ_FY- 2,DateToday,)</f>
        <v>19.814</v>
      </c>
      <c r="AV10" s="10">
        <f>_xll.ciqfunctions.udf.CIQ($A10, "IQ_EBITDA_MARGIN", IQ_FY- 1,DateToday,)</f>
        <v>20.534400000000002</v>
      </c>
      <c r="AW10" s="10">
        <f>_xll.ciqfunctions.udf.CIQ($A10, "IQ_EBITDA_MARGIN", IQ_FY,DateToday,)</f>
        <v>23.866099999999999</v>
      </c>
      <c r="AX10" s="10">
        <f>_xll.ciqfunctions.udf.CIQ($A10, "IQ_EBITDA_MARGIN", IQ_LTM,DateToday,)</f>
        <v>23.866099999999999</v>
      </c>
      <c r="AY10" s="10">
        <f>_xll.ciqfunctions.udf.CIQ($A10, "IQ_NI_MARGIN", IQ_FY- 2,DateToday,)</f>
        <v>12.1273</v>
      </c>
      <c r="AZ10" s="10">
        <f>_xll.ciqfunctions.udf.CIQ($A10, "IQ_NI_MARGIN", IQ_FY- 1,DateToday,)</f>
        <v>9.5978999999999992</v>
      </c>
      <c r="BA10" s="10">
        <f>_xll.ciqfunctions.udf.CIQ($A10, "IQ_NI_MARGIN", IQ_FY,DateToday,)</f>
        <v>15.6852</v>
      </c>
      <c r="BB10" s="10">
        <f>_xll.ciqfunctions.udf.CIQ($A10, "IQ_NI_MARGIN", IQ_LTM,DateToday,)</f>
        <v>15.6852</v>
      </c>
      <c r="BC10" s="10">
        <f>_xll.ciqfunctions.udf.CIQ($A10, "IQ_TOTAL_REV_5YR_ANN_CAGR",IQ_LTM,DateToday,)</f>
        <v>4.1239999999999997</v>
      </c>
      <c r="BD10" s="10">
        <f>_xll.ciqfunctions.udf.CIQ($A10, "IQ_TOTAL_REV_3YR_ANN_CAGR",IQ_LTM,DateToday,)</f>
        <v>3.7176</v>
      </c>
      <c r="BE10" s="10">
        <f>_xll.ciqfunctions.udf.CIQ($A10, "IQ_TOTAL_REV_1YR_ANN_GROWTH", IQ_FY,DateToday,)</f>
        <v>7.6203000000000003</v>
      </c>
      <c r="BF10" s="10">
        <f>_xll.ciqfunctions.udf.CIQ($A10, "IQ_TOTAL_REV_1YR_ANN_GROWTH",IQ_LTM,DateToday,)</f>
        <v>7.6203000000000003</v>
      </c>
      <c r="BG10" s="10">
        <f>_xll.ciqfunctions.udf.CIQ($A10, "IQ_EBITDA_5YR_ANN_CAGR",IQ_LTM,DateToday,)</f>
        <v>7.2530000000000001</v>
      </c>
      <c r="BH10" s="10">
        <f>_xll.ciqfunctions.udf.CIQ($A10, "IQ_EBITDA_3YR_ANN_CAGR",IQ_LTM,DateToday,)</f>
        <v>14.366300000000001</v>
      </c>
      <c r="BI10" s="10">
        <f>_xll.ciqfunctions.udf.CIQ($A10, "IQ_EBITDA_1YR_ANN_GROWTH", IQ_FY,DateToday,)</f>
        <v>25.081399999999999</v>
      </c>
      <c r="BJ10" s="10">
        <f>_xll.ciqfunctions.udf.CIQ($A10, "IQ_EBITDA_1YR_ANN_GROWTH",IQ_LTM,DateToday,)</f>
        <v>25.081399999999999</v>
      </c>
      <c r="BK10" s="10">
        <f>_xll.ciqfunctions.udf.CIQ($A10, "IQ_EPS_5YR_ANN_CAGR",IQ_LTM,DateToday,)</f>
        <v>20.5077</v>
      </c>
      <c r="BL10" s="10">
        <f>_xll.ciqfunctions.udf.CIQ($A10, "IQ_EPS_3YR_ANN_CAGR",IQ_LTM,DateToday,)</f>
        <v>78.7654</v>
      </c>
      <c r="BM10" s="10">
        <f>_xll.ciqfunctions.udf.CIQ($A10, "IQ_EPS_1YR_ANN_GROWTH", IQ_FY,DateToday,)</f>
        <v>73.520200000000003</v>
      </c>
      <c r="BN10" s="10">
        <f>_xll.ciqfunctions.udf.CIQ($A10, "IQ_EPS_1YR_ANN_GROWTH", IQ_LTM,DateToday,)</f>
        <v>73.520200000000003</v>
      </c>
      <c r="BO10" s="66">
        <f>_xll.ciqfunctions.udf.CIQ($A10, "IQ_TOTAL_DEBT_EBITDA",IQ_LTM,DateToday,)</f>
        <v>3.7075100000000001</v>
      </c>
      <c r="BP10" s="66">
        <f>_xll.ciqfunctions.udf.CIQ($A10, "IQ_NET_DEBT_EBITDA",IQ_LTM,DateToday,)</f>
        <v>2.8801800000000002</v>
      </c>
      <c r="BQ10" s="68">
        <f t="shared" si="5"/>
        <v>4.0083757289986348</v>
      </c>
      <c r="BR10" s="66">
        <f>_xll.ciqfunctions.udf.CIQ($A10, "IQ_EBITDA_INT",IQ_LTM,DateToday,)</f>
        <v>9.0056799999999999</v>
      </c>
      <c r="BS10" s="66">
        <f>_xll.ciqfunctions.udf.CIQ($A10, "IQ_EBITDA_CAPEX_INT",IQ_LTM,DateToday,)</f>
        <v>8.4418600000000001</v>
      </c>
      <c r="BT10" s="10">
        <f>_xll.ciqfunctions.udf.CIQ($A10, "IQ_TOTAL_DEBT_EQUITY",IQ_FQ,DateToday,)</f>
        <v>197.32749999999999</v>
      </c>
      <c r="BU10" s="10">
        <f>_xll.ciqfunctions.udf.CIQ($A10, "IQ_TOTAL_DEBT_CAPITAL",IQ_FQ,DateToday,)</f>
        <v>66.367000000000004</v>
      </c>
      <c r="BV10" s="10">
        <f>_xll.ciqfunctions.udf.CIQ($A10, "IQ_RETURN_EQUITY",IQ_LTM,DateToday)</f>
        <v>35.158099999999997</v>
      </c>
      <c r="BW10" s="10">
        <f>_xll.ciqfunctions.udf.CIQ($A10, "IQ_RETURN_ASSETS",IQ_LTM,DateToday)</f>
        <v>5.4348999999999998</v>
      </c>
      <c r="BX10" s="10">
        <f>_xll.ciqfunctions.udf.CIQ($A10, "IQ_RETURN_INVESTED_CAPITAL",IQ_LTM,DateToday)</f>
        <v>4.7374000000000001</v>
      </c>
      <c r="BY10" s="66">
        <f>_xll.ciqfunctions.udf.CIQ($A10, "IQ_CURRENT_RATIO",IQ_FQ,DateToday,)</f>
        <v>0.95565999999999995</v>
      </c>
      <c r="BZ10" s="66">
        <f>_xll.ciqfunctions.udf.CIQ($A10, "IQ_QUICK_RATIO",IQ_FQ,DateToday,)</f>
        <v>0.81242999999999999</v>
      </c>
      <c r="CA10" s="10">
        <f>_xll.ciqfunctions.udf.CIQ($A10, "IQ_DAYS_SALES_OUT",IQ_LTM,DateToday,)</f>
        <v>43.25141</v>
      </c>
      <c r="CB10" s="10">
        <f>_xll.ciqfunctions.udf.CIQ($A10, "IQ_DAYS_INVENTORY_OUT",IQ_LTM,DateToday,)</f>
        <v>16.449459999999998</v>
      </c>
      <c r="CC10" s="10">
        <f>_xll.ciqfunctions.udf.CIQ($A10, "IQ_DAYS_PAYABLE_OUT",IQ_LTM,DateToday,)</f>
        <v>57.759430000000002</v>
      </c>
      <c r="CD10" s="10">
        <f>_xll.ciqfunctions.udf.CIQ($A10, "IQ_CASH_CONVERSION",IQ_LTM,DateToday,)</f>
        <v>1.9414400000000001</v>
      </c>
      <c r="CE10" s="66">
        <f>_xll.ciqfunctions.udf.CIQ($A10, "IQ_ASSET_TURNS",IQ_LTM,DateToday,)</f>
        <v>0.46727999999999997</v>
      </c>
      <c r="CF10" s="66">
        <f>_xll.ciqfunctions.udf.CIQ($A10, "IQ_FIXED_ASSET_TURNS",IQ_LTM,DateToday,)</f>
        <v>7.5218600000000002</v>
      </c>
      <c r="CG10" s="66">
        <f>_xll.ciqfunctions.udf.CIQ($A10, "IQ_AR_TURNS",IQ_LTM,DateToday,)</f>
        <v>8.4390099999999997</v>
      </c>
      <c r="CH10" s="66">
        <f>_xll.ciqfunctions.udf.CIQ($A10, "IQ_INVENTORY_TURNS",IQ_LTM,DateToday,)</f>
        <v>22.18892</v>
      </c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</row>
  </sheetData>
  <phoneticPr fontId="0" type="noConversion"/>
  <printOptions horizontalCentered="1"/>
  <pageMargins left="0" right="0" top="0.25" bottom="0.25" header="0.5" footer="0.25"/>
  <pageSetup scale="56" fitToWidth="7" orientation="landscape" r:id="rId1"/>
  <headerFooter alignWithMargins="0">
    <oddFooter>&amp;C&amp;"Times New Roman,Regular"&amp;11&amp;P of &amp;N</oddFooter>
  </headerFooter>
  <colBreaks count="6" manualBreakCount="6">
    <brk id="16" max="1048575" man="1"/>
    <brk id="28" max="1048575" man="1"/>
    <brk id="42" max="1048575" man="1"/>
    <brk id="54" max="1048575" man="1"/>
    <brk id="66" max="1048575" man="1"/>
    <brk id="76" max="1048575" man="1"/>
  </col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41F65D8D85C643B279395178BBB636" ma:contentTypeVersion="10" ma:contentTypeDescription="Create a new document." ma:contentTypeScope="" ma:versionID="5485f5b32512d653f7453980de4c8998">
  <xsd:schema xmlns:xsd="http://www.w3.org/2001/XMLSchema" xmlns:xs="http://www.w3.org/2001/XMLSchema" xmlns:p="http://schemas.microsoft.com/office/2006/metadata/properties" xmlns:ns3="d0640473-7254-4dee-a68e-1aa7dfe87080" targetNamespace="http://schemas.microsoft.com/office/2006/metadata/properties" ma:root="true" ma:fieldsID="840fc2309eebaf0bed357e94e47325f3" ns3:_="">
    <xsd:import namespace="d0640473-7254-4dee-a68e-1aa7dfe8708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640473-7254-4dee-a68e-1aa7dfe870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D7BD9CC6-B147-4C24-8FF1-F5911A43A6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640473-7254-4dee-a68e-1aa7dfe870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655590-134C-4BB6-A148-E23000AF82E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EB6BFC5-2350-491A-A2BD-DF7D1D851D3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C413BBB-3D79-405A-85C3-05E4A0559B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Input_Raw</vt:lpstr>
      <vt:lpstr>Input</vt:lpstr>
      <vt:lpstr>Financial Statements</vt:lpstr>
      <vt:lpstr>Common Size</vt:lpstr>
      <vt:lpstr>Detailed Comps</vt:lpstr>
      <vt:lpstr>Ccy</vt:lpstr>
      <vt:lpstr>Conv</vt:lpstr>
      <vt:lpstr>Date</vt:lpstr>
      <vt:lpstr>InputTicker</vt:lpstr>
      <vt:lpstr>'Common Size'!Print_Area</vt:lpstr>
      <vt:lpstr>'Detailed Comps'!Print_Area</vt:lpstr>
      <vt:lpstr>'Financial Statements'!Print_Area</vt:lpstr>
      <vt:lpstr>'Detailed Comps'!Print_Titles</vt:lpstr>
    </vt:vector>
  </TitlesOfParts>
  <Manager>Capital IQ, Inc.</Manager>
  <Company>Capital IQ,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Capital IQ, Inc.</dc:creator>
  <cp:lastModifiedBy>Patrik Šmid</cp:lastModifiedBy>
  <cp:lastPrinted>2012-06-05T17:05:55Z</cp:lastPrinted>
  <dcterms:created xsi:type="dcterms:W3CDTF">2002-03-18T23:28:38Z</dcterms:created>
  <dcterms:modified xsi:type="dcterms:W3CDTF">2026-03-14T18:23:46Z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{B4D9AC75-597D-4044-A6A8-5AE76CDFFFDC}</vt:lpwstr>
  </property>
  <property fmtid="{D5CDD505-2E9C-101B-9397-08002B2CF9AE}" pid="3" name="ContentTypeId">
    <vt:lpwstr>0x010100BA41F65D8D85C643B279395178BBB636</vt:lpwstr>
  </property>
</Properties>
</file>