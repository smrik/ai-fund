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ustomProperty1.bin" ContentType="application/vnd.openxmlformats-officedocument.spreadsheetml.customProperty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Projects\03-Finance\ai-fund\data\exports\"/>
    </mc:Choice>
  </mc:AlternateContent>
  <xr:revisionPtr revIDLastSave="0" documentId="13_ncr:1_{F995869A-9C3D-4CB9-8D1F-2064B5F94597}" xr6:coauthVersionLast="47" xr6:coauthVersionMax="47" xr10:uidLastSave="{00000000-0000-0000-0000-000000000000}"/>
  <bookViews>
    <workbookView xWindow="-120" yWindow="-120" windowWidth="38640" windowHeight="21120" activeTab="3" xr2:uid="{00000000-000D-0000-FFFF-FFFF00000000}"/>
  </bookViews>
  <sheets>
    <sheet name="Input_Raw" sheetId="45" r:id="rId1"/>
    <sheet name="Input" sheetId="49" r:id="rId2"/>
    <sheet name="_CIQHiddenCacheSheet" sheetId="54" state="veryHidden" r:id="rId3"/>
    <sheet name="Financial Statements" sheetId="37" r:id="rId4"/>
    <sheet name="Common Size" sheetId="40" r:id="rId5"/>
    <sheet name="Detailed Comps" sheetId="38" r:id="rId6"/>
  </sheets>
  <externalReferences>
    <externalReference r:id="rId7"/>
    <externalReference r:id="rId8"/>
    <externalReference r:id="rId9"/>
    <externalReference r:id="rId10"/>
  </externalReferences>
  <definedNames>
    <definedName name="_xlnm._FilterDatabase" localSheetId="3" hidden="1">'Financial Statements'!#REF!</definedName>
    <definedName name="Ccy">Input!$B$7</definedName>
    <definedName name="CIQWBGuid" hidden="1">"1876697e-a8dc-4a48-8395-cd559bdf2f97"</definedName>
    <definedName name="CIQWBInfo" hidden="1">"{ ""CIQVersion"":""9.52.4409.4666"" }"</definedName>
    <definedName name="Conv">Input!$B$8</definedName>
    <definedName name="Date">Input!$B$6</definedName>
    <definedName name="ExternalData_1" localSheetId="1" hidden="1">Input!#REF!</definedName>
    <definedName name="ExternalData_1" localSheetId="0" hidden="1">Input_Raw!$A$1:$B$6</definedName>
    <definedName name="InputTicker">Input!$B$2</definedName>
    <definedName name="IQ_ADDIN" hidden="1">"AUTO"</definedName>
    <definedName name="IQ_ANNUAL_DIVIDEND" hidden="1">"c229"</definedName>
    <definedName name="IQ_AVG_PRICE_TARGET" hidden="1">"c82"</definedName>
    <definedName name="IQ_BONDRATING_FITCH" hidden="1">"c223"</definedName>
    <definedName name="IQ_BONDRATING_FITCH_DATE" hidden="1">"c241"</definedName>
    <definedName name="IQ_BONDRATING_SP" hidden="1">"c224"</definedName>
    <definedName name="IQ_BONDRATING_SP_DATE" hidden="1">"c242"</definedName>
    <definedName name="IQ_BOOK_VALUE" hidden="1">"c68"</definedName>
    <definedName name="IQ_CH">110000</definedName>
    <definedName name="IQ_CLASSB_OUTSTANDING_BS_DATE" hidden="1">"c1972"</definedName>
    <definedName name="IQ_CLASSB_OUTSTANDING_FILING_DATE" hidden="1">"c1974"</definedName>
    <definedName name="IQ_CONV_RATE" hidden="1">"c2192"</definedName>
    <definedName name="IQ_CQ">5000</definedName>
    <definedName name="IQ_CY">10000</definedName>
    <definedName name="IQ_DAILY">500000</definedName>
    <definedName name="IQ_DNTM" hidden="1">700000</definedName>
    <definedName name="IQ_EBIT_10K" hidden="1">"IQ_EBIT_10K"</definedName>
    <definedName name="IQ_EBIT_10Q" hidden="1">"IQ_EBIT_10Q"</definedName>
    <definedName name="IQ_EBIT_10Q1" hidden="1">"IQ_EBIT_10Q1"</definedName>
    <definedName name="IQ_EBIT_GROWTH_1" hidden="1">"c157"</definedName>
    <definedName name="IQ_EBIT_GROWTH_2" hidden="1">"c161"</definedName>
    <definedName name="IQ_EBITDA_10K" hidden="1">"IQ_EBITDA_10K"</definedName>
    <definedName name="IQ_EBITDA_10Q" hidden="1">"IQ_EBITDA_10Q"</definedName>
    <definedName name="IQ_EBITDA_10Q1" hidden="1">"IQ_EBITDA_10Q1"</definedName>
    <definedName name="IQ_EBITDA_GROWTH_1" hidden="1">"c156"</definedName>
    <definedName name="IQ_EBITDA_GROWTH_2" hidden="1">"c160"</definedName>
    <definedName name="IQ_EPS" hidden="1">"IQ_EPS"</definedName>
    <definedName name="IQ_EPS_10K" hidden="1">"IQ_EPS_10K"</definedName>
    <definedName name="IQ_EPS_10Q" hidden="1">"IQ_EPS_10Q"</definedName>
    <definedName name="IQ_EPS_10Q1" hidden="1">"IQ_EPS_10Q1"</definedName>
    <definedName name="IQ_EPS_EST_1" hidden="1">"c189"</definedName>
    <definedName name="IQ_EST_EPS_SURPRISE" hidden="1">"c1635"</definedName>
    <definedName name="IQ_EST_NUM_BUY_CIQ" hidden="1">"c3700"</definedName>
    <definedName name="IQ_EST_NUM_BUY_REUT" hidden="1">"c3869"</definedName>
    <definedName name="IQ_EST_NUM_BUY_THOM" hidden="1">"c5165"</definedName>
    <definedName name="IQ_EST_NUM_HOLD_CIQ" hidden="1">"c3702"</definedName>
    <definedName name="IQ_EST_NUM_HOLD_REUT" hidden="1">"c3871"</definedName>
    <definedName name="IQ_EST_NUM_HOLD_THOM" hidden="1">"c5167"</definedName>
    <definedName name="IQ_EST_NUM_OUTPERFORM_CIQ" hidden="1">"c3701"</definedName>
    <definedName name="IQ_EST_NUM_OUTPERFORM_REUT" hidden="1">"c3870"</definedName>
    <definedName name="IQ_EST_NUM_OUTPERFORM_THOM" hidden="1">"c5166"</definedName>
    <definedName name="IQ_EST_NUM_SELL_CIQ" hidden="1">"c3704"</definedName>
    <definedName name="IQ_EST_NUM_SELL_REUT" hidden="1">"c3873"</definedName>
    <definedName name="IQ_EST_NUM_SELL_THOM" hidden="1">"c5169"</definedName>
    <definedName name="IQ_EST_NUM_UNDERPERFORM_CIQ" hidden="1">"c3703"</definedName>
    <definedName name="IQ_EST_NUM_UNDERPERFORM_REUT" hidden="1">"c3872"</definedName>
    <definedName name="IQ_EST_NUM_UNDERPERFORM_THOM" hidden="1">"c5168"</definedName>
    <definedName name="IQ_EV_OVER_REVENUE_EST" hidden="1">"c165"</definedName>
    <definedName name="IQ_EV_OVER_REVENUE_EST_1" hidden="1">"c166"</definedName>
    <definedName name="IQ_EXPENSE_CODE_" hidden="1">"test"</definedName>
    <definedName name="IQ_FH">100000</definedName>
    <definedName name="IQ_FHLB_DUE_AFTER_FIVE" hidden="1">"c2086"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IVE_PERCENT_AMOUNT" hidden="1">"c240"</definedName>
    <definedName name="IQ_FIVEPERCENT_OWNER" hidden="1">"c239"</definedName>
    <definedName name="IQ_FLOAT" hidden="1">"c225"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"IQ_FY_DATE"</definedName>
    <definedName name="IQ_INSIDER_3MTH_BOUGHT" hidden="1">"c1534"</definedName>
    <definedName name="IQ_INSIDER_3MTH_NET" hidden="1">"c1535"</definedName>
    <definedName name="IQ_INSIDER_3MTH_SOLD" hidden="1">"c1533"</definedName>
    <definedName name="IQ_INSIDER_6MTH_BOUGHT" hidden="1">"c1537"</definedName>
    <definedName name="IQ_INSIDER_6MTH_NET" hidden="1">"c1538"</definedName>
    <definedName name="IQ_INSIDER_6MTH_SOLD" hidden="1">"c1536"</definedName>
    <definedName name="IQ_INSIDER_AMOUNT" hidden="1">"c238"</definedName>
    <definedName name="IQ_INSTITUTIONAL_AMOUNT" hidden="1">"c236"</definedName>
    <definedName name="IQ_INTEREST_INC_10K" hidden="1">"IQ_INTEREST_INC_10K"</definedName>
    <definedName name="IQ_INTEREST_INC_10Q" hidden="1">"IQ_INTEREST_INC_10Q"</definedName>
    <definedName name="IQ_INTEREST_INC_10Q1" hidden="1">"IQ_INTEREST_INC_10Q1"</definedName>
    <definedName name="IQ_LAST_EBIT_MARGIN" hidden="1">"c151"</definedName>
    <definedName name="IQ_LAST_EBITDA_MARGIN" hidden="1">"c150"</definedName>
    <definedName name="IQ_LAST_GROSS_MARGIN" hidden="1">"c149"</definedName>
    <definedName name="IQ_LAST_NET_INC_MARGIN" hidden="1">"c152"</definedName>
    <definedName name="IQ_LATEST" hidden="1">"1"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TM">2000</definedName>
    <definedName name="IQ_LTM_DATE" hidden="1">"IQ_LTM_DATE"</definedName>
    <definedName name="IQ_LTMMONTH" hidden="1">120000</definedName>
    <definedName name="IQ_MONTH">15000</definedName>
    <definedName name="IQ_MTD" hidden="1">800000</definedName>
    <definedName name="IQ_NAMES_REVISION_DATE_" hidden="1">46030.9334953704</definedName>
    <definedName name="IQ_NAV_ACT_OR_EST" hidden="1">"c2225"</definedName>
    <definedName name="IQ_NET_INC_10K" hidden="1">"IQ_NET_INC_10K"</definedName>
    <definedName name="IQ_NET_INC_10Q" hidden="1">"IQ_NET_INC_10Q"</definedName>
    <definedName name="IQ_NET_INC_10Q1" hidden="1">"IQ_NET_INC_10Q1"</definedName>
    <definedName name="IQ_NET_INC_GROWTH_1" hidden="1">"c158"</definedName>
    <definedName name="IQ_NET_INC_GROWTH_2" hidden="1">"c162"</definedName>
    <definedName name="IQ_NTM">6000</definedName>
    <definedName name="IQ_NUM_OFFICES" hidden="1">"c2088"</definedName>
    <definedName name="IQ_NUMBER_SHAREHOLDERS_CLASSB" hidden="1">"c1969"</definedName>
    <definedName name="IQ_OG_OTHER_ADJ" hidden="1">"c1999"</definedName>
    <definedName name="IQ_OG_TOTAL_OIL_PRODUCTON" hidden="1">"c2059"</definedName>
    <definedName name="IQ_OPENED55" hidden="1">1</definedName>
    <definedName name="IQ_OPTIONS_EXCERCISED" hidden="1">"c2116"</definedName>
    <definedName name="IQ_OUTSTANDING_FILING_DATE_TOTAL" hidden="1">"c2107"</definedName>
    <definedName name="IQ_PERCENT_FLOAT" hidden="1">"c227"</definedName>
    <definedName name="IQ_PRETAX_INC" hidden="1">"c16"</definedName>
    <definedName name="IQ_PRETAX_INC_10K" hidden="1">"IQ_PRETAX_INC_10K"</definedName>
    <definedName name="IQ_PRETAX_INC_10Q" hidden="1">"IQ_PRETAX_INC_10Q"</definedName>
    <definedName name="IQ_PRETAX_INC_10Q1" hidden="1">"IQ_PRETAX_INC_10Q1"</definedName>
    <definedName name="IQ_PRICE_OVER_EPS_EST" hidden="1">"c174"</definedName>
    <definedName name="IQ_PRICE_OVER_EPS_EST_1" hidden="1">"c175"</definedName>
    <definedName name="IQ_PRICEDATETIME" hidden="1">"IQ_PRICEDATETIME"</definedName>
    <definedName name="IQ_PRIMARY_EPS_TYPE_THOM" hidden="1">"c5297"</definedName>
    <definedName name="IQ_QTD" hidden="1">750000</definedName>
    <definedName name="IQ_REVENUE_10K" hidden="1">"IQ_REVENUE_10K"</definedName>
    <definedName name="IQ_REVENUE_10Q" hidden="1">"IQ_REVENUE_10Q"</definedName>
    <definedName name="IQ_REVENUE_10Q1" hidden="1">"IQ_REVENUE_10Q1"</definedName>
    <definedName name="IQ_REVENUE_EST_1" hidden="1">"c190"</definedName>
    <definedName name="IQ_REVENUE_GROWTH_1" hidden="1">"c155"</definedName>
    <definedName name="IQ_REVENUE_GROWTH_2" hidden="1">"c159"</definedName>
    <definedName name="IQ_SHAREOUTSTANDING" hidden="1">"c1347"</definedName>
    <definedName name="IQ_SHORT_INTEREST_VOLUME" hidden="1">"c228"</definedName>
    <definedName name="IQ_TARGET_PRICE_LASTCLOSE" hidden="1">"c1855"</definedName>
    <definedName name="IQ_TODAY" hidden="1">0</definedName>
    <definedName name="IQ_TOTAL_PENSION_OBLIGATION" hidden="1">"c1292"</definedName>
    <definedName name="IQ_WEEK">50000</definedName>
    <definedName name="IQ_YTD">3000</definedName>
    <definedName name="IQ_YTDMONTH" hidden="1">130000</definedName>
    <definedName name="IQB_BOOKMARK_COUNT" hidden="1">3</definedName>
    <definedName name="IQB_BOOKMARK_LOCATION_0" hidden="1">'Financial Statements'!$A$1</definedName>
    <definedName name="IQB_BOOKMARK_LOCATION_1" hidden="1">'Financial Statements'!#REF!</definedName>
    <definedName name="IQB_BOOKMARK_LOCATION_2" hidden="1">'Financial Statements'!#REF!</definedName>
    <definedName name="IQB_CURRENT_BOOKMARK" hidden="1">1</definedName>
    <definedName name="IQRA7" hidden="1">"$A$8:$A$11"</definedName>
    <definedName name="IQRB7" hidden="1">"$B$8:$B$11"</definedName>
    <definedName name="IQRBenchmarkAI6" hidden="1">[1]Benchmark!$AI$7</definedName>
    <definedName name="IQRBenchmarkAJ6" hidden="1">[1]Benchmark!$AJ$7</definedName>
    <definedName name="IQRBenchmarkAL6" hidden="1">[1]Benchmark!$AL$7</definedName>
    <definedName name="IQRBenchmarkAM6" hidden="1">[1]Benchmark!$AM$7</definedName>
    <definedName name="IQRBenchmarkAO6" hidden="1">[1]Benchmark!$AO$7</definedName>
    <definedName name="IQRBenchmarkAP6" hidden="1">[1]Benchmark!$AP$7</definedName>
    <definedName name="IQRBenchmarkAR6" hidden="1">[1]Benchmark!$AR$7</definedName>
    <definedName name="IQRBenchmarkAS6" hidden="1">[1]Benchmark!$AS$7</definedName>
    <definedName name="IQRBenchmarkAU6" hidden="1">[1]Benchmark!$AU$7</definedName>
    <definedName name="IQRBenchmarkAV6" hidden="1">[1]Benchmark!$AV$7</definedName>
    <definedName name="IQRBenchmarkAX6" hidden="1">[1]Benchmark!$AX$7</definedName>
    <definedName name="IQRBenchmarkAY6" hidden="1">[1]Benchmark!$AY$7</definedName>
    <definedName name="IQRBenchmarkBA6" hidden="1">[1]Benchmark!$BA$7</definedName>
    <definedName name="IQRBenchmarkBB6" hidden="1">[1]Benchmark!$BB$7</definedName>
    <definedName name="IQRBenchmarkBD6" hidden="1">[1]Benchmark!$BD$7</definedName>
    <definedName name="IQRBenchmarkBE6" hidden="1">[1]Benchmark!$BE$7</definedName>
    <definedName name="IQRBenchmarkBG6" hidden="1">[1]Benchmark!$BG$7</definedName>
    <definedName name="IQRBenchmarkBH6" hidden="1">[1]Benchmark!$BH$7</definedName>
    <definedName name="IQRBenchmarkBJ6" hidden="1">[1]Benchmark!$BJ$7</definedName>
    <definedName name="IQRBenchmarkBK6" hidden="1">[1]Benchmark!$BK$7</definedName>
    <definedName name="IQRBenchmarkBM6" hidden="1">[1]Benchmark!$BM$7</definedName>
    <definedName name="IQRBenchmarkBN6" hidden="1">[1]Benchmark!$BN$7</definedName>
    <definedName name="IQRC7" hidden="1">"$C$8:$C$11"</definedName>
    <definedName name="IQRCapitalStructureDetailsU34" hidden="1">'[2]Capital Structure Details'!$U$35:$U$59</definedName>
    <definedName name="IQRCapitalStructureDetailsU5" hidden="1">'[2]Capital Structure Details'!$U$6:$U$30</definedName>
    <definedName name="IQRCapitalStructureDetailsU63" hidden="1">'[2]Capital Structure Details'!$U$64:$U$88</definedName>
    <definedName name="IQRD7" hidden="1">"$D$8:$D$11"</definedName>
    <definedName name="IQRDataA8" hidden="1">[3]Data!$A$9:$A$261</definedName>
    <definedName name="IQRDataB8" hidden="1">[3]Data!$B$9:$B$261</definedName>
    <definedName name="IQRDataC8" hidden="1">[3]Data!$C$9:$C$261</definedName>
    <definedName name="IQRE7" hidden="1">"$E$8:$E$11"</definedName>
    <definedName name="IQRF7" hidden="1">"$F$8:$F$11"</definedName>
    <definedName name="IQRG7" hidden="1">"$G$8:$G$11"</definedName>
    <definedName name="IQRGrowthModelA9" hidden="1">'[4]Growth Model'!$A$10</definedName>
    <definedName name="IQRH7" hidden="1">"$H$8:$H$11"</definedName>
    <definedName name="IQRI7" hidden="1">"$I$8:$I$11"</definedName>
    <definedName name="IQRJ7" hidden="1">"$J$8:$J$11"</definedName>
    <definedName name="IQRMomentumModelA9" hidden="1">'[4]Momentum Model'!$A$10</definedName>
    <definedName name="IQRPortfolioAI6" hidden="1">[1]Portfolio!$AI$7</definedName>
    <definedName name="IQRPortfolioAJ6" hidden="1">[1]Portfolio!$AJ$7</definedName>
    <definedName name="IQRPortfolioAL6" hidden="1">[1]Portfolio!$AL$7</definedName>
    <definedName name="IQRPortfolioAM6" hidden="1">[1]Portfolio!$AM$7</definedName>
    <definedName name="IQRPortfolioAO6" hidden="1">[1]Portfolio!$AO$7</definedName>
    <definedName name="IQRPortfolioAP6" hidden="1">[1]Portfolio!$AP$7</definedName>
    <definedName name="IQRPortfolioAR6" hidden="1">[1]Portfolio!$AR$7</definedName>
    <definedName name="IQRPortfolioAS6" hidden="1">[1]Portfolio!$AS$7</definedName>
    <definedName name="IQRPortfolioAU6" hidden="1">[1]Portfolio!$AU$7</definedName>
    <definedName name="IQRPortfolioAV6" hidden="1">[1]Portfolio!$AV$7</definedName>
    <definedName name="IQRPortfolioAX6" hidden="1">[1]Portfolio!$AX$7</definedName>
    <definedName name="IQRPortfolioAY6" hidden="1">[1]Portfolio!$AY$7</definedName>
    <definedName name="IQRPortfolioBA6" hidden="1">[1]Portfolio!$BA$7</definedName>
    <definedName name="IQRPortfolioBB6" hidden="1">[1]Portfolio!$BB$7</definedName>
    <definedName name="IQRPortfolioBD6" hidden="1">[1]Portfolio!$BD$7</definedName>
    <definedName name="IQRPortfolioBE6" hidden="1">[1]Portfolio!$BE$7</definedName>
    <definedName name="IQRPortfolioBG6" hidden="1">[1]Portfolio!$BG$7</definedName>
    <definedName name="IQRPortfolioBH6" hidden="1">[1]Portfolio!$BH$7</definedName>
    <definedName name="IQRPortfolioBJ6" hidden="1">[1]Portfolio!$BJ$7</definedName>
    <definedName name="IQRPortfolioBK6" hidden="1">[1]Portfolio!$BK$7</definedName>
    <definedName name="IQRPortfolioBM6" hidden="1">[1]Portfolio!$BM$7</definedName>
    <definedName name="IQRPortfolioBN6" hidden="1">[1]Portfolio!$BN$7</definedName>
    <definedName name="IQRQualityModelA9" hidden="1">'[4]Quality Model'!$A$10</definedName>
    <definedName name="IQRValueModelA9" hidden="1">'[4]Value Model'!$A$10</definedName>
    <definedName name="Languages">OFFSET(#REF!,,,#REF!)</definedName>
    <definedName name="_xlnm.Print_Area" localSheetId="4">'Common Size'!$A$2:$M$55,'Common Size'!$A$56:$M$121</definedName>
    <definedName name="_xlnm.Print_Area" localSheetId="5">'Detailed Comps'!$A$1:$CH$10</definedName>
    <definedName name="_xlnm.Print_Area" localSheetId="3">'Financial Statements'!$A$1:$M$182,'Financial Statements'!$A$183:$M$280,'Financial Statements'!$A$281:$M$346,'Financial Statements'!$A$370:$M$471,'Financial Statements'!$A$473:$M$536</definedName>
    <definedName name="_xlnm.Print_Titles" localSheetId="4">'Common Size'!#REF!</definedName>
    <definedName name="_xlnm.Print_Titles" localSheetId="5">'Detailed Comps'!$A:$D</definedName>
    <definedName name="_xlnm.Print_Titles" localSheetId="3">'Financial Statements'!#REF!</definedName>
    <definedName name="SPWS_WBID">"0D145571-4AA7-4C6E-B8EB-4DF0FED2B8BC"</definedName>
    <definedName name="SPWS_WSID" localSheetId="4" hidden="1">"74B14380-D945-4DA9-AF4C-09AEA4A7FF0E"</definedName>
    <definedName name="SPWS_WSID" localSheetId="3" hidden="1">"57DB6723-E5BE-4B4A-A101-4BA9B54D516F"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financials_input_8f7c566d-870a-47f1-bc0e-bdda7aca83b5" name="financials_input" connection="Query - financials_input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1" i="49" l="1"/>
  <c r="B1" i="49"/>
  <c r="A2" i="49"/>
  <c r="B2" i="49"/>
  <c r="A10" i="38" s="1"/>
  <c r="E2" i="49"/>
  <c r="A3" i="49"/>
  <c r="B3" i="49"/>
  <c r="A4" i="49"/>
  <c r="B4" i="49"/>
  <c r="A5" i="49"/>
  <c r="B5" i="49"/>
  <c r="A7" i="49"/>
  <c r="B7" i="49"/>
  <c r="G10" i="38"/>
  <c r="F10" i="38"/>
  <c r="Y10" i="38"/>
  <c r="X10" i="38"/>
  <c r="V10" i="38"/>
  <c r="AB10" i="38"/>
  <c r="AA10" i="38"/>
  <c r="L10" i="38"/>
  <c r="U10" i="38"/>
  <c r="T10" i="38"/>
  <c r="Q10" i="38"/>
  <c r="Z10" i="38"/>
  <c r="E10" i="38"/>
  <c r="M10" i="38"/>
  <c r="W10" i="38"/>
  <c r="R10" i="38"/>
  <c r="S10" i="38"/>
  <c r="N10" i="38"/>
  <c r="O10" i="38"/>
  <c r="AP10" i="38"/>
  <c r="BH10" i="38"/>
  <c r="CH10" i="38"/>
  <c r="BN10" i="38"/>
  <c r="AV10" i="38"/>
  <c r="A2" i="38"/>
  <c r="AN10" i="38"/>
  <c r="A4" i="38"/>
  <c r="BO10" i="38"/>
  <c r="AM10" i="38"/>
  <c r="A3" i="38"/>
  <c r="CG10" i="38"/>
  <c r="BG10" i="38"/>
  <c r="AO10" i="38"/>
  <c r="A5" i="38"/>
  <c r="BP10" i="38"/>
  <c r="BJ10" i="38"/>
  <c r="AH10" i="38"/>
  <c r="CB10" i="38"/>
  <c r="BI10" i="38"/>
  <c r="AQ10" i="38"/>
  <c r="AJ10" i="38"/>
  <c r="CD10" i="38"/>
  <c r="BK10" i="38"/>
  <c r="AI10" i="38"/>
  <c r="CC10" i="38"/>
  <c r="BC10" i="38"/>
  <c r="AK10" i="38"/>
  <c r="CE10" i="38"/>
  <c r="BB10" i="38"/>
  <c r="AC10" i="38"/>
  <c r="BW10" i="38"/>
  <c r="BD10" i="38"/>
  <c r="AL10" i="38"/>
  <c r="CF10" i="38"/>
  <c r="BY10" i="38"/>
  <c r="BF10" i="38"/>
  <c r="AD10" i="38"/>
  <c r="BX10" i="38"/>
  <c r="BE10" i="38"/>
  <c r="J10" i="38"/>
  <c r="BZ10" i="38"/>
  <c r="AW10" i="38"/>
  <c r="AG10" i="38"/>
  <c r="AY10" i="38"/>
  <c r="C10" i="38"/>
  <c r="CA10" i="38"/>
  <c r="AX10" i="38"/>
  <c r="A6" i="38"/>
  <c r="BS10" i="38"/>
  <c r="AZ10" i="38"/>
  <c r="D10" i="38"/>
  <c r="BR10" i="38"/>
  <c r="BU10" i="38"/>
  <c r="AR10" i="38"/>
  <c r="A7" i="38"/>
  <c r="BT10" i="38"/>
  <c r="BA10" i="38"/>
  <c r="A9" i="38"/>
  <c r="BV10" i="38"/>
  <c r="AS10" i="38"/>
  <c r="A8" i="38"/>
  <c r="AU10" i="38"/>
  <c r="B10" i="38"/>
  <c r="BL10" i="38"/>
  <c r="AT10" i="38"/>
  <c r="BM10" i="38"/>
  <c r="F2" i="38"/>
  <c r="L2" i="38"/>
  <c r="M2" i="38"/>
  <c r="Q2" i="38"/>
  <c r="N2" i="38"/>
  <c r="O2" i="38"/>
  <c r="R2" i="38"/>
  <c r="S2" i="38"/>
  <c r="W2" i="38"/>
  <c r="T2" i="38"/>
  <c r="U2" i="38"/>
  <c r="V2" i="38"/>
  <c r="X2" i="38"/>
  <c r="Z2" i="38"/>
  <c r="Y2" i="38"/>
  <c r="AA2" i="38"/>
  <c r="AB2" i="38"/>
  <c r="G2" i="38"/>
  <c r="E2" i="38"/>
  <c r="AW2" i="38"/>
  <c r="BC2" i="38"/>
  <c r="BZ2" i="38"/>
  <c r="J2" i="38"/>
  <c r="AD2" i="38"/>
  <c r="BD2" i="38"/>
  <c r="CA2" i="38"/>
  <c r="AH2" i="38"/>
  <c r="CB2" i="38"/>
  <c r="BF2" i="38"/>
  <c r="CC2" i="38"/>
  <c r="BG2" i="38"/>
  <c r="CD2" i="38"/>
  <c r="AJ2" i="38"/>
  <c r="AI2" i="38"/>
  <c r="AM2" i="38"/>
  <c r="BI2" i="38"/>
  <c r="CF2" i="38"/>
  <c r="BE2" i="38"/>
  <c r="BJ2" i="38"/>
  <c r="CG2" i="38"/>
  <c r="AN2" i="38"/>
  <c r="BM2" i="38"/>
  <c r="AL2" i="38"/>
  <c r="CE2" i="38"/>
  <c r="BH2" i="38"/>
  <c r="AO2" i="38"/>
  <c r="BK2" i="38"/>
  <c r="CH2" i="38"/>
  <c r="AT2" i="38"/>
  <c r="AP2" i="38"/>
  <c r="BL2" i="38"/>
  <c r="AQ2" i="38"/>
  <c r="AR2" i="38"/>
  <c r="BN2" i="38"/>
  <c r="BO2" i="38"/>
  <c r="AS2" i="38"/>
  <c r="AU2" i="38"/>
  <c r="BR2" i="38"/>
  <c r="AV2" i="38"/>
  <c r="BS2" i="38"/>
  <c r="BP2" i="38"/>
  <c r="AX2" i="38"/>
  <c r="BU2" i="38"/>
  <c r="AY2" i="38"/>
  <c r="BV2" i="38"/>
  <c r="BT2" i="38"/>
  <c r="B2" i="38"/>
  <c r="AZ2" i="38"/>
  <c r="BW2" i="38"/>
  <c r="C2" i="38"/>
  <c r="BA2" i="38"/>
  <c r="BX2" i="38"/>
  <c r="BB2" i="38"/>
  <c r="BY2" i="38"/>
  <c r="D2" i="38"/>
  <c r="N4" i="38"/>
  <c r="T4" i="38"/>
  <c r="Q4" i="38"/>
  <c r="S4" i="38"/>
  <c r="U4" i="38"/>
  <c r="V4" i="38"/>
  <c r="Y4" i="38"/>
  <c r="W4" i="38"/>
  <c r="AA4" i="38"/>
  <c r="X4" i="38"/>
  <c r="Z4" i="38"/>
  <c r="AB4" i="38"/>
  <c r="E4" i="38"/>
  <c r="F4" i="38"/>
  <c r="L4" i="38"/>
  <c r="M4" i="38"/>
  <c r="G4" i="38"/>
  <c r="R4" i="38"/>
  <c r="O4" i="38"/>
  <c r="AL4" i="38"/>
  <c r="AU4" i="38"/>
  <c r="BR4" i="38"/>
  <c r="AV4" i="38"/>
  <c r="BS4" i="38"/>
  <c r="BT4" i="38"/>
  <c r="C4" i="38"/>
  <c r="AX4" i="38"/>
  <c r="BU4" i="38"/>
  <c r="AY4" i="38"/>
  <c r="BV4" i="38"/>
  <c r="D4" i="38"/>
  <c r="AW4" i="38"/>
  <c r="AC4" i="38"/>
  <c r="BA4" i="38"/>
  <c r="BX4" i="38"/>
  <c r="AZ4" i="38"/>
  <c r="J4" i="38"/>
  <c r="BB4" i="38"/>
  <c r="BY4" i="38"/>
  <c r="AD4" i="38"/>
  <c r="BW4" i="38"/>
  <c r="AG4" i="38"/>
  <c r="BC4" i="38"/>
  <c r="BZ4" i="38"/>
  <c r="CE4" i="38"/>
  <c r="B4" i="38"/>
  <c r="AH4" i="38"/>
  <c r="BD4" i="38"/>
  <c r="CB4" i="38"/>
  <c r="CA4" i="38"/>
  <c r="AJ4" i="38"/>
  <c r="CC4" i="38"/>
  <c r="BF4" i="38"/>
  <c r="BG4" i="38"/>
  <c r="CD4" i="38"/>
  <c r="AK4" i="38"/>
  <c r="AM4" i="38"/>
  <c r="BI4" i="38"/>
  <c r="CF4" i="38"/>
  <c r="AN4" i="38"/>
  <c r="CG4" i="38"/>
  <c r="BH4" i="38"/>
  <c r="BJ4" i="38"/>
  <c r="AO4" i="38"/>
  <c r="BK4" i="38"/>
  <c r="CH4" i="38"/>
  <c r="AP4" i="38"/>
  <c r="BL4" i="38"/>
  <c r="AQ4" i="38"/>
  <c r="BM4" i="38"/>
  <c r="AI4" i="38"/>
  <c r="AR4" i="38"/>
  <c r="BN4" i="38"/>
  <c r="AS4" i="38"/>
  <c r="BO4" i="38"/>
  <c r="BE4" i="38"/>
  <c r="AT4" i="38"/>
  <c r="BP4" i="38"/>
  <c r="F3" i="38"/>
  <c r="G3" i="38"/>
  <c r="M3" i="38"/>
  <c r="O3" i="38"/>
  <c r="S3" i="38"/>
  <c r="Q3" i="38"/>
  <c r="R3" i="38"/>
  <c r="T3" i="38"/>
  <c r="U3" i="38"/>
  <c r="V3" i="38"/>
  <c r="W3" i="38"/>
  <c r="X3" i="38"/>
  <c r="Y3" i="38"/>
  <c r="Z3" i="38"/>
  <c r="AA3" i="38"/>
  <c r="AB3" i="38"/>
  <c r="E3" i="38"/>
  <c r="N3" i="38"/>
  <c r="L3" i="38"/>
  <c r="BA3" i="38"/>
  <c r="AN3" i="38"/>
  <c r="BJ3" i="38"/>
  <c r="CG3" i="38"/>
  <c r="BD3" i="38"/>
  <c r="AH3" i="38"/>
  <c r="AO3" i="38"/>
  <c r="CH3" i="38"/>
  <c r="BK3" i="38"/>
  <c r="AQ3" i="38"/>
  <c r="AP3" i="38"/>
  <c r="BM3" i="38"/>
  <c r="AX3" i="38"/>
  <c r="AR3" i="38"/>
  <c r="BN3" i="38"/>
  <c r="AS3" i="38"/>
  <c r="AT3" i="38"/>
  <c r="BP3" i="38"/>
  <c r="BL3" i="38"/>
  <c r="BO3" i="38"/>
  <c r="AU3" i="38"/>
  <c r="BR3" i="38"/>
  <c r="AV3" i="38"/>
  <c r="BS3" i="38"/>
  <c r="AW3" i="38"/>
  <c r="BT3" i="38"/>
  <c r="B3" i="38"/>
  <c r="BU3" i="38"/>
  <c r="D3" i="38"/>
  <c r="AY3" i="38"/>
  <c r="BV3" i="38"/>
  <c r="J3" i="38"/>
  <c r="AZ3" i="38"/>
  <c r="BW3" i="38"/>
  <c r="C3" i="38"/>
  <c r="AD3" i="38"/>
  <c r="BY3" i="38"/>
  <c r="BB3" i="38"/>
  <c r="AG3" i="38"/>
  <c r="BC3" i="38"/>
  <c r="BZ3" i="38"/>
  <c r="AC3" i="38"/>
  <c r="CA3" i="38"/>
  <c r="BX3" i="38"/>
  <c r="AI3" i="38"/>
  <c r="BE3" i="38"/>
  <c r="CB3" i="38"/>
  <c r="BF3" i="38"/>
  <c r="CC3" i="38"/>
  <c r="AJ3" i="38"/>
  <c r="AK3" i="38"/>
  <c r="BG3" i="38"/>
  <c r="CD3" i="38"/>
  <c r="AL3" i="38"/>
  <c r="BH3" i="38"/>
  <c r="CE3" i="38"/>
  <c r="AM3" i="38"/>
  <c r="BI3" i="38"/>
  <c r="CF3" i="38"/>
  <c r="V5" i="38"/>
  <c r="T5" i="38"/>
  <c r="W5" i="38"/>
  <c r="X5" i="38"/>
  <c r="AA5" i="38"/>
  <c r="Y5" i="38"/>
  <c r="Z5" i="38"/>
  <c r="AB5" i="38"/>
  <c r="E5" i="38"/>
  <c r="F5" i="38"/>
  <c r="G5" i="38"/>
  <c r="M5" i="38"/>
  <c r="L5" i="38"/>
  <c r="R5" i="38"/>
  <c r="Q5" i="38"/>
  <c r="O5" i="38"/>
  <c r="N5" i="38"/>
  <c r="U5" i="38"/>
  <c r="S5" i="38"/>
  <c r="AD5" i="38"/>
  <c r="BB5" i="38"/>
  <c r="BY5" i="38"/>
  <c r="AG5" i="38"/>
  <c r="BZ5" i="38"/>
  <c r="BC5" i="38"/>
  <c r="AH5" i="38"/>
  <c r="BD5" i="38"/>
  <c r="CA5" i="38"/>
  <c r="AI5" i="38"/>
  <c r="CB5" i="38"/>
  <c r="BE5" i="38"/>
  <c r="AJ5" i="38"/>
  <c r="BF5" i="38"/>
  <c r="CC5" i="38"/>
  <c r="AK5" i="38"/>
  <c r="BG5" i="38"/>
  <c r="CD5" i="38"/>
  <c r="AL5" i="38"/>
  <c r="BH5" i="38"/>
  <c r="CE5" i="38"/>
  <c r="AM5" i="38"/>
  <c r="BI5" i="38"/>
  <c r="CF5" i="38"/>
  <c r="AN5" i="38"/>
  <c r="CG5" i="38"/>
  <c r="BJ5" i="38"/>
  <c r="BO5" i="38"/>
  <c r="AO5" i="38"/>
  <c r="BK5" i="38"/>
  <c r="CH5" i="38"/>
  <c r="AP5" i="38"/>
  <c r="BL5" i="38"/>
  <c r="AQ5" i="38"/>
  <c r="BM5" i="38"/>
  <c r="AR5" i="38"/>
  <c r="BN5" i="38"/>
  <c r="BP5" i="38"/>
  <c r="AT5" i="38"/>
  <c r="AU5" i="38"/>
  <c r="BR5" i="38"/>
  <c r="BS5" i="38"/>
  <c r="AV5" i="38"/>
  <c r="B5" i="38"/>
  <c r="AW5" i="38"/>
  <c r="BT5" i="38"/>
  <c r="AX5" i="38"/>
  <c r="BU5" i="38"/>
  <c r="C5" i="38"/>
  <c r="D5" i="38"/>
  <c r="AY5" i="38"/>
  <c r="BV5" i="38"/>
  <c r="J5" i="38"/>
  <c r="AZ5" i="38"/>
  <c r="BW5" i="38"/>
  <c r="AS5" i="38"/>
  <c r="AC5" i="38"/>
  <c r="BA5" i="38"/>
  <c r="BX5" i="38"/>
  <c r="M6" i="38"/>
  <c r="N6" i="38"/>
  <c r="O6" i="38"/>
  <c r="Q6" i="38"/>
  <c r="L6" i="38"/>
  <c r="G6" i="38"/>
  <c r="F6" i="38"/>
  <c r="E6" i="38"/>
  <c r="AB6" i="38"/>
  <c r="W6" i="38"/>
  <c r="AA6" i="38"/>
  <c r="Z6" i="38"/>
  <c r="Y6" i="38"/>
  <c r="U6" i="38"/>
  <c r="T6" i="38"/>
  <c r="R6" i="38"/>
  <c r="S6" i="38"/>
  <c r="V6" i="38"/>
  <c r="X6" i="38"/>
  <c r="AQ6" i="38"/>
  <c r="BP6" i="38"/>
  <c r="AO6" i="38"/>
  <c r="CH6" i="38"/>
  <c r="AT6" i="38"/>
  <c r="AU6" i="38"/>
  <c r="BR6" i="38"/>
  <c r="BL6" i="38"/>
  <c r="AH6" i="38"/>
  <c r="AN6" i="38"/>
  <c r="AJ6" i="38"/>
  <c r="BT6" i="38"/>
  <c r="BU6" i="38"/>
  <c r="CB6" i="38"/>
  <c r="BF6" i="38"/>
  <c r="AW6" i="38"/>
  <c r="AY6" i="38"/>
  <c r="CD6" i="38"/>
  <c r="AV6" i="38"/>
  <c r="BJ6" i="38"/>
  <c r="J6" i="38"/>
  <c r="AZ6" i="38"/>
  <c r="B6" i="38"/>
  <c r="CA6" i="38"/>
  <c r="D6" i="38"/>
  <c r="BV6" i="38"/>
  <c r="BW6" i="38"/>
  <c r="AC6" i="38"/>
  <c r="BX6" i="38"/>
  <c r="BA6" i="38"/>
  <c r="CC6" i="38"/>
  <c r="BG6" i="38"/>
  <c r="BB6" i="38"/>
  <c r="BY6" i="38"/>
  <c r="AD6" i="38"/>
  <c r="BI6" i="38"/>
  <c r="CG6" i="38"/>
  <c r="BS6" i="38"/>
  <c r="C6" i="38"/>
  <c r="AX6" i="38"/>
  <c r="AG6" i="38"/>
  <c r="BC6" i="38"/>
  <c r="BZ6" i="38"/>
  <c r="AL6" i="38"/>
  <c r="BH6" i="38"/>
  <c r="CE6" i="38"/>
  <c r="BD6" i="38"/>
  <c r="BE6" i="38"/>
  <c r="AM6" i="38"/>
  <c r="AK6" i="38"/>
  <c r="BK6" i="38"/>
  <c r="BM6" i="38"/>
  <c r="AR6" i="38"/>
  <c r="BN6" i="38"/>
  <c r="CF6" i="38"/>
  <c r="AI6" i="38"/>
  <c r="AP6" i="38"/>
  <c r="BO6" i="38"/>
  <c r="AS6" i="38"/>
  <c r="R7" i="38"/>
  <c r="S7" i="38"/>
  <c r="T7" i="38"/>
  <c r="Q7" i="38"/>
  <c r="O7" i="38"/>
  <c r="L7" i="38"/>
  <c r="N7" i="38"/>
  <c r="M7" i="38"/>
  <c r="E7" i="38"/>
  <c r="G7" i="38"/>
  <c r="F7" i="38"/>
  <c r="AB7" i="38"/>
  <c r="Z7" i="38"/>
  <c r="X7" i="38"/>
  <c r="W7" i="38"/>
  <c r="V7" i="38"/>
  <c r="U7" i="38"/>
  <c r="AA7" i="38"/>
  <c r="Y7" i="38"/>
  <c r="AU7" i="38"/>
  <c r="AR7" i="38"/>
  <c r="C7" i="38"/>
  <c r="BS7" i="38"/>
  <c r="BA7" i="38"/>
  <c r="BX7" i="38"/>
  <c r="AX7" i="38"/>
  <c r="AC7" i="38"/>
  <c r="AV7" i="38"/>
  <c r="AD7" i="38"/>
  <c r="BB7" i="38"/>
  <c r="BY7" i="38"/>
  <c r="BZ7" i="38"/>
  <c r="BC7" i="38"/>
  <c r="AO7" i="38"/>
  <c r="AQ7" i="38"/>
  <c r="AI7" i="38"/>
  <c r="BE7" i="38"/>
  <c r="CB7" i="38"/>
  <c r="CA7" i="38"/>
  <c r="BM7" i="38"/>
  <c r="AG7" i="38"/>
  <c r="AH7" i="38"/>
  <c r="BD7" i="38"/>
  <c r="AK7" i="38"/>
  <c r="CC7" i="38"/>
  <c r="AL7" i="38"/>
  <c r="BH7" i="38"/>
  <c r="CE7" i="38"/>
  <c r="CH7" i="38"/>
  <c r="AJ7" i="38"/>
  <c r="BG7" i="38"/>
  <c r="AM7" i="38"/>
  <c r="BI7" i="38"/>
  <c r="CF7" i="38"/>
  <c r="BF7" i="38"/>
  <c r="CD7" i="38"/>
  <c r="BJ7" i="38"/>
  <c r="CG7" i="38"/>
  <c r="AN7" i="38"/>
  <c r="AP7" i="38"/>
  <c r="BL7" i="38"/>
  <c r="BK7" i="38"/>
  <c r="AS7" i="38"/>
  <c r="BO7" i="38"/>
  <c r="BP7" i="38"/>
  <c r="BN7" i="38"/>
  <c r="B7" i="38"/>
  <c r="BT7" i="38"/>
  <c r="AW7" i="38"/>
  <c r="BR7" i="38"/>
  <c r="BU7" i="38"/>
  <c r="D7" i="38"/>
  <c r="AT7" i="38"/>
  <c r="BV7" i="38"/>
  <c r="J7" i="38"/>
  <c r="AZ7" i="38"/>
  <c r="BW7" i="38"/>
  <c r="AY7" i="38"/>
  <c r="Y9" i="38"/>
  <c r="Z9" i="38"/>
  <c r="U9" i="38"/>
  <c r="X9" i="38"/>
  <c r="W9" i="38"/>
  <c r="V9" i="38"/>
  <c r="T9" i="38"/>
  <c r="Q9" i="38"/>
  <c r="S9" i="38"/>
  <c r="R9" i="38"/>
  <c r="O9" i="38"/>
  <c r="G9" i="38"/>
  <c r="N9" i="38"/>
  <c r="M9" i="38"/>
  <c r="L9" i="38"/>
  <c r="E9" i="38"/>
  <c r="AB9" i="38"/>
  <c r="AA9" i="38"/>
  <c r="F9" i="38"/>
  <c r="BJ9" i="38"/>
  <c r="BF9" i="38"/>
  <c r="AP9" i="38"/>
  <c r="BO9" i="38"/>
  <c r="BC9" i="38"/>
  <c r="BI9" i="38"/>
  <c r="CF9" i="38"/>
  <c r="AS9" i="38"/>
  <c r="AT9" i="38"/>
  <c r="BP9" i="38"/>
  <c r="AU9" i="38"/>
  <c r="BR9" i="38"/>
  <c r="BZ9" i="38"/>
  <c r="B9" i="38"/>
  <c r="AW9" i="38"/>
  <c r="BT9" i="38"/>
  <c r="AV9" i="38"/>
  <c r="AY9" i="38"/>
  <c r="BV9" i="38"/>
  <c r="BS9" i="38"/>
  <c r="D9" i="38"/>
  <c r="C9" i="38"/>
  <c r="BU9" i="38"/>
  <c r="J9" i="38"/>
  <c r="AZ9" i="38"/>
  <c r="BW9" i="38"/>
  <c r="BE9" i="38"/>
  <c r="AJ9" i="38"/>
  <c r="AX9" i="38"/>
  <c r="AC9" i="38"/>
  <c r="BA9" i="38"/>
  <c r="BX9" i="38"/>
  <c r="BB9" i="38"/>
  <c r="BY9" i="38"/>
  <c r="AD9" i="38"/>
  <c r="AH9" i="38"/>
  <c r="BD9" i="38"/>
  <c r="CA9" i="38"/>
  <c r="CB9" i="38"/>
  <c r="AG9" i="38"/>
  <c r="AK9" i="38"/>
  <c r="AI9" i="38"/>
  <c r="CD9" i="38"/>
  <c r="BG9" i="38"/>
  <c r="AL9" i="38"/>
  <c r="BH9" i="38"/>
  <c r="CE9" i="38"/>
  <c r="CC9" i="38"/>
  <c r="CG9" i="38"/>
  <c r="BK9" i="38"/>
  <c r="CH9" i="38"/>
  <c r="AO9" i="38"/>
  <c r="AM9" i="38"/>
  <c r="BL9" i="38"/>
  <c r="AN9" i="38"/>
  <c r="BM9" i="38"/>
  <c r="AQ9" i="38"/>
  <c r="AR9" i="38"/>
  <c r="BN9" i="38"/>
  <c r="V8" i="38"/>
  <c r="W8" i="38"/>
  <c r="U8" i="38"/>
  <c r="T8" i="38"/>
  <c r="Q8" i="38"/>
  <c r="S8" i="38"/>
  <c r="R8" i="38"/>
  <c r="O8" i="38"/>
  <c r="N8" i="38"/>
  <c r="F8" i="38"/>
  <c r="M8" i="38"/>
  <c r="L8" i="38"/>
  <c r="G8" i="38"/>
  <c r="E8" i="38"/>
  <c r="Z8" i="38"/>
  <c r="AA8" i="38"/>
  <c r="Y8" i="38"/>
  <c r="X8" i="38"/>
  <c r="AB8" i="38"/>
  <c r="AG8" i="38"/>
  <c r="AI8" i="38"/>
  <c r="BE8" i="38"/>
  <c r="AL8" i="38"/>
  <c r="BY8" i="38"/>
  <c r="BH8" i="38"/>
  <c r="CE8" i="38"/>
  <c r="AM8" i="38"/>
  <c r="BI8" i="38"/>
  <c r="CF8" i="38"/>
  <c r="AX8" i="38"/>
  <c r="BL8" i="38"/>
  <c r="AP8" i="38"/>
  <c r="AC8" i="38"/>
  <c r="CH8" i="38"/>
  <c r="CG8" i="38"/>
  <c r="AO8" i="38"/>
  <c r="BK8" i="38"/>
  <c r="BN8" i="38"/>
  <c r="AQ8" i="38"/>
  <c r="C8" i="38"/>
  <c r="BO8" i="38"/>
  <c r="AS8" i="38"/>
  <c r="AR8" i="38"/>
  <c r="AT8" i="38"/>
  <c r="BP8" i="38"/>
  <c r="D8" i="38"/>
  <c r="AN8" i="38"/>
  <c r="BJ8" i="38"/>
  <c r="AU8" i="38"/>
  <c r="BR8" i="38"/>
  <c r="BM8" i="38"/>
  <c r="AV8" i="38"/>
  <c r="B8" i="38"/>
  <c r="AW8" i="38"/>
  <c r="BS8" i="38"/>
  <c r="BT8" i="38"/>
  <c r="J8" i="38"/>
  <c r="AZ8" i="38"/>
  <c r="BW8" i="38"/>
  <c r="BA8" i="38"/>
  <c r="BX8" i="38"/>
  <c r="BV8" i="38"/>
  <c r="BU8" i="38"/>
  <c r="AY8" i="38"/>
  <c r="BC8" i="38"/>
  <c r="BZ8" i="38"/>
  <c r="AH8" i="38"/>
  <c r="BD8" i="38"/>
  <c r="CA8" i="38"/>
  <c r="BB8" i="38"/>
  <c r="AD8" i="38"/>
  <c r="CB8" i="38"/>
  <c r="AJ8" i="38"/>
  <c r="BF8" i="38"/>
  <c r="CC8" i="38"/>
  <c r="BG8" i="38"/>
  <c r="CD8" i="38"/>
  <c r="AK8" i="38"/>
  <c r="AC2" i="38"/>
  <c r="AK2" i="38"/>
  <c r="AG2" i="38"/>
  <c r="B6" i="49" l="1"/>
  <c r="K6" i="38"/>
  <c r="P6" i="38" s="1"/>
  <c r="K7" i="38"/>
  <c r="P7" i="38" s="1"/>
  <c r="K8" i="38"/>
  <c r="P8" i="38" s="1"/>
  <c r="K9" i="38"/>
  <c r="P9" i="38" s="1"/>
  <c r="K2" i="38"/>
  <c r="P2" i="38" s="1"/>
  <c r="K3" i="38"/>
  <c r="P3" i="38" s="1"/>
  <c r="K4" i="38"/>
  <c r="P4" i="38" s="1"/>
  <c r="K5" i="38"/>
  <c r="P5" i="38" s="1"/>
  <c r="BQ10" i="38"/>
  <c r="H10" i="38"/>
  <c r="I10" i="38"/>
  <c r="I2" i="38"/>
  <c r="H2" i="38"/>
  <c r="BQ2" i="38"/>
  <c r="I3" i="38"/>
  <c r="H3" i="38"/>
  <c r="BQ3" i="38"/>
  <c r="I4" i="38"/>
  <c r="H4" i="38"/>
  <c r="BQ4" i="38"/>
  <c r="H5" i="38"/>
  <c r="I5" i="38"/>
  <c r="BQ5" i="38"/>
  <c r="I6" i="38"/>
  <c r="H6" i="38"/>
  <c r="BQ6" i="38"/>
  <c r="I7" i="38"/>
  <c r="H7" i="38"/>
  <c r="BQ7" i="38"/>
  <c r="H8" i="38"/>
  <c r="I8" i="38"/>
  <c r="BQ8" i="38"/>
  <c r="I9" i="38"/>
  <c r="H9" i="38"/>
  <c r="BQ9" i="38"/>
  <c r="K10" i="38"/>
  <c r="P10" i="38" s="1"/>
  <c r="F2" i="49"/>
  <c r="B460" i="37"/>
  <c r="M448" i="37"/>
  <c r="M408" i="37"/>
  <c r="B397" i="37"/>
  <c r="B385" i="37"/>
  <c r="B346" i="37"/>
  <c r="B329" i="37"/>
  <c r="M311" i="37"/>
  <c r="B437" i="37"/>
  <c r="C419" i="37"/>
  <c r="C238" i="37"/>
  <c r="M185" i="37"/>
  <c r="C121" i="37"/>
  <c r="C373" i="37"/>
  <c r="C359" i="37"/>
  <c r="M293" i="37"/>
  <c r="B269" i="37"/>
  <c r="M52" i="37"/>
  <c r="C460" i="37"/>
  <c r="M418" i="37"/>
  <c r="M407" i="37"/>
  <c r="M396" i="37"/>
  <c r="M358" i="37"/>
  <c r="M344" i="37"/>
  <c r="M327" i="37"/>
  <c r="B449" i="37"/>
  <c r="C437" i="37"/>
  <c r="B268" i="37"/>
  <c r="B232" i="37"/>
  <c r="B181" i="37"/>
  <c r="C385" i="37"/>
  <c r="B372" i="37"/>
  <c r="M310" i="37"/>
  <c r="C292" i="37"/>
  <c r="B120" i="37"/>
  <c r="M46" i="37"/>
  <c r="M517" i="37"/>
  <c r="M436" i="37"/>
  <c r="B419" i="37"/>
  <c r="B408" i="37"/>
  <c r="C372" i="37"/>
  <c r="B358" i="37"/>
  <c r="M342" i="37"/>
  <c r="M458" i="37"/>
  <c r="C448" i="37"/>
  <c r="M291" i="37"/>
  <c r="B266" i="37"/>
  <c r="M231" i="37"/>
  <c r="C396" i="37"/>
  <c r="M383" i="37"/>
  <c r="B46" i="37"/>
  <c r="M325" i="37"/>
  <c r="C311" i="37"/>
  <c r="M179" i="37"/>
  <c r="B119" i="37"/>
  <c r="B447" i="37"/>
  <c r="B436" i="37"/>
  <c r="C418" i="37"/>
  <c r="M382" i="37"/>
  <c r="M369" i="37"/>
  <c r="C358" i="37"/>
  <c r="B517" i="37"/>
  <c r="M457" i="37"/>
  <c r="B310" i="37"/>
  <c r="C290" i="37"/>
  <c r="C266" i="37"/>
  <c r="C408" i="37"/>
  <c r="M394" i="37"/>
  <c r="M112" i="37"/>
  <c r="C39" i="37"/>
  <c r="B343" i="37"/>
  <c r="B326" i="37"/>
  <c r="B231" i="37"/>
  <c r="M178" i="37"/>
  <c r="B458" i="37"/>
  <c r="C447" i="37"/>
  <c r="M434" i="37"/>
  <c r="B395" i="37"/>
  <c r="B383" i="37"/>
  <c r="C369" i="37"/>
  <c r="C517" i="37"/>
  <c r="C326" i="37"/>
  <c r="C310" i="37"/>
  <c r="C289" i="37"/>
  <c r="B417" i="37"/>
  <c r="C407" i="37"/>
  <c r="B174" i="37"/>
  <c r="C113" i="37"/>
  <c r="B39" i="37"/>
  <c r="C357" i="37"/>
  <c r="B341" i="37"/>
  <c r="B264" i="37"/>
  <c r="M229" i="37"/>
  <c r="M467" i="37"/>
  <c r="C457" i="37"/>
  <c r="C417" i="37"/>
  <c r="M405" i="37"/>
  <c r="C395" i="37"/>
  <c r="C356" i="37"/>
  <c r="C341" i="37"/>
  <c r="M324" i="37"/>
  <c r="M446" i="37"/>
  <c r="B435" i="37"/>
  <c r="C263" i="37"/>
  <c r="B225" i="37"/>
  <c r="B173" i="37"/>
  <c r="C382" i="37"/>
  <c r="B369" i="37"/>
  <c r="C309" i="37"/>
  <c r="B289" i="37"/>
  <c r="M110" i="37"/>
  <c r="C32" i="37"/>
  <c r="M445" i="37"/>
  <c r="M433" i="37"/>
  <c r="M416" i="37"/>
  <c r="M381" i="37"/>
  <c r="M367" i="37"/>
  <c r="M354" i="37"/>
  <c r="B467" i="37"/>
  <c r="M456" i="37"/>
  <c r="B309" i="37"/>
  <c r="B288" i="37"/>
  <c r="C262" i="37"/>
  <c r="B406" i="37"/>
  <c r="C394" i="37"/>
  <c r="B106" i="37"/>
  <c r="M30" i="37"/>
  <c r="M339" i="37"/>
  <c r="C325" i="37"/>
  <c r="C224" i="37"/>
  <c r="M171" i="37"/>
  <c r="M455" i="37"/>
  <c r="C446" i="37"/>
  <c r="B434" i="37"/>
  <c r="B394" i="37"/>
  <c r="B381" i="37"/>
  <c r="B368" i="37"/>
  <c r="C467" i="37"/>
  <c r="C324" i="37"/>
  <c r="M306" i="37"/>
  <c r="B287" i="37"/>
  <c r="M415" i="37"/>
  <c r="B405" i="37"/>
  <c r="M165" i="37"/>
  <c r="M104" i="37"/>
  <c r="C25" i="37"/>
  <c r="B355" i="37"/>
  <c r="B340" i="37"/>
  <c r="M260" i="37"/>
  <c r="B223" i="37"/>
  <c r="M465" i="37"/>
  <c r="B456" i="37"/>
  <c r="M444" i="37"/>
  <c r="C405" i="37"/>
  <c r="M392" i="37"/>
  <c r="B380" i="37"/>
  <c r="C339" i="37"/>
  <c r="M323" i="37"/>
  <c r="M305" i="37"/>
  <c r="B433" i="37"/>
  <c r="C416" i="37"/>
  <c r="C218" i="37"/>
  <c r="C166" i="37"/>
  <c r="M103" i="37"/>
  <c r="B367" i="37"/>
  <c r="C355" i="37"/>
  <c r="M286" i="37"/>
  <c r="C261" i="37"/>
  <c r="M23" i="37"/>
  <c r="C466" i="37"/>
  <c r="B455" i="37"/>
  <c r="M414" i="37"/>
  <c r="M403" i="37"/>
  <c r="B393" i="37"/>
  <c r="M353" i="37"/>
  <c r="M338" i="37"/>
  <c r="M322" i="37"/>
  <c r="B445" i="37"/>
  <c r="C433" i="37"/>
  <c r="M257" i="37"/>
  <c r="C217" i="37"/>
  <c r="C164" i="37"/>
  <c r="C380" i="37"/>
  <c r="M366" i="37"/>
  <c r="C304" i="37"/>
  <c r="C285" i="37"/>
  <c r="B99" i="37"/>
  <c r="B17" i="37"/>
  <c r="M464" i="37"/>
  <c r="B425" i="37"/>
  <c r="B415" i="37"/>
  <c r="B403" i="37"/>
  <c r="M365" i="37"/>
  <c r="B354" i="37"/>
  <c r="B339" i="37"/>
  <c r="C455" i="37"/>
  <c r="C444" i="37"/>
  <c r="C284" i="37"/>
  <c r="M254" i="37"/>
  <c r="C216" i="37"/>
  <c r="B392" i="37"/>
  <c r="C379" i="37"/>
  <c r="M16" i="37"/>
  <c r="M320" i="37"/>
  <c r="M303" i="37"/>
  <c r="M158" i="37"/>
  <c r="B98" i="37"/>
  <c r="B444" i="37"/>
  <c r="C425" i="37"/>
  <c r="C414" i="37"/>
  <c r="M378" i="37"/>
  <c r="M364" i="37"/>
  <c r="M352" i="37"/>
  <c r="C464" i="37"/>
  <c r="C454" i="37"/>
  <c r="M302" i="37"/>
  <c r="B282" i="37"/>
  <c r="C255" i="37"/>
  <c r="C403" i="37"/>
  <c r="M391" i="37"/>
  <c r="M96" i="37"/>
  <c r="B10" i="37"/>
  <c r="B338" i="37"/>
  <c r="B321" i="37"/>
  <c r="M209" i="37"/>
  <c r="M157" i="37"/>
  <c r="M453" i="37"/>
  <c r="M442" i="37"/>
  <c r="C424" i="37"/>
  <c r="B391" i="37"/>
  <c r="B379" i="37"/>
  <c r="B365" i="37"/>
  <c r="M463" i="37"/>
  <c r="M318" i="37"/>
  <c r="C303" i="37"/>
  <c r="C282" i="37"/>
  <c r="B414" i="37"/>
  <c r="B402" i="37"/>
  <c r="C157" i="37"/>
  <c r="M89" i="37"/>
  <c r="C9" i="37"/>
  <c r="C353" i="37"/>
  <c r="B336" i="37"/>
  <c r="M253" i="37"/>
  <c r="C210" i="37"/>
  <c r="B464" i="37"/>
  <c r="B454" i="37"/>
  <c r="M412" i="37"/>
  <c r="C402" i="37"/>
  <c r="C389" i="37"/>
  <c r="C352" i="37"/>
  <c r="C336" i="37"/>
  <c r="B319" i="37"/>
  <c r="B442" i="37"/>
  <c r="M423" i="37"/>
  <c r="M252" i="37"/>
  <c r="M207" i="37"/>
  <c r="M151" i="37"/>
  <c r="B378" i="37"/>
  <c r="C364" i="37"/>
  <c r="C302" i="37"/>
  <c r="B281" i="37"/>
  <c r="C90" i="37"/>
  <c r="M462" i="37"/>
  <c r="B453" i="37"/>
  <c r="B412" i="37"/>
  <c r="M401" i="37"/>
  <c r="M388" i="37"/>
  <c r="C351" i="37"/>
  <c r="B334" i="37"/>
  <c r="M317" i="37"/>
  <c r="C442" i="37"/>
  <c r="B424" i="37"/>
  <c r="B251" i="37"/>
  <c r="B203" i="37"/>
  <c r="B151" i="37"/>
  <c r="C378" i="37"/>
  <c r="B363" i="37"/>
  <c r="M300" i="37"/>
  <c r="M276" i="37"/>
  <c r="M87" i="37"/>
  <c r="B462" i="37"/>
  <c r="B423" i="37"/>
  <c r="C412" i="37"/>
  <c r="B401" i="37"/>
  <c r="C363" i="37"/>
  <c r="M349" i="37"/>
  <c r="M332" i="37"/>
  <c r="C453" i="37"/>
  <c r="M441" i="37"/>
  <c r="B276" i="37"/>
  <c r="B248" i="37"/>
  <c r="B202" i="37"/>
  <c r="M387" i="37"/>
  <c r="B377" i="37"/>
  <c r="B318" i="37"/>
  <c r="C299" i="37"/>
  <c r="C150" i="37"/>
  <c r="B83" i="37"/>
  <c r="B441" i="37"/>
  <c r="C423" i="37"/>
  <c r="M411" i="37"/>
  <c r="M376" i="37"/>
  <c r="B362" i="37"/>
  <c r="M347" i="37"/>
  <c r="C462" i="37"/>
  <c r="B452" i="37"/>
  <c r="M298" i="37"/>
  <c r="M274" i="37"/>
  <c r="B247" i="37"/>
  <c r="C401" i="37"/>
  <c r="B387" i="37"/>
  <c r="B82" i="37"/>
  <c r="B333" i="37"/>
  <c r="B317" i="37"/>
  <c r="B201" i="37"/>
  <c r="C144" i="37"/>
  <c r="C439" i="37"/>
  <c r="B422" i="37"/>
  <c r="M410" i="37"/>
  <c r="B376" i="37"/>
  <c r="C362" i="37"/>
  <c r="B348" i="37"/>
  <c r="M461" i="37"/>
  <c r="M451" i="37"/>
  <c r="C297" i="37"/>
  <c r="M272" i="37"/>
  <c r="M246" i="37"/>
  <c r="M399" i="37"/>
  <c r="C387" i="37"/>
  <c r="C76" i="37"/>
  <c r="C333" i="37"/>
  <c r="C317" i="37"/>
  <c r="C196" i="37"/>
  <c r="B144" i="37"/>
  <c r="M438" i="37"/>
  <c r="M421" i="37"/>
  <c r="M409" i="37"/>
  <c r="C376" i="37"/>
  <c r="M360" i="37"/>
  <c r="C348" i="37"/>
  <c r="M460" i="37"/>
  <c r="B451" i="37"/>
  <c r="M296" i="37"/>
  <c r="B273" i="37"/>
  <c r="B246" i="37"/>
  <c r="C400" i="37"/>
  <c r="M386" i="37"/>
  <c r="B75" i="37"/>
  <c r="C332" i="37"/>
  <c r="M316" i="37"/>
  <c r="B195" i="37"/>
  <c r="B142" i="37"/>
  <c r="B439" i="37"/>
  <c r="B421" i="37"/>
  <c r="B410" i="37"/>
  <c r="C375" i="37"/>
  <c r="B361" i="37"/>
  <c r="B347" i="37"/>
  <c r="B461" i="37"/>
  <c r="C451" i="37"/>
  <c r="B296" i="37"/>
  <c r="B271" i="37"/>
  <c r="M239" i="37"/>
  <c r="M398" i="37"/>
  <c r="M385" i="37"/>
  <c r="M62" i="37"/>
  <c r="M331" i="37"/>
  <c r="B316" i="37"/>
  <c r="B194" i="37"/>
  <c r="C137" i="37"/>
  <c r="M437" i="37"/>
  <c r="C421" i="37"/>
  <c r="C410" i="37"/>
  <c r="C374" i="37"/>
  <c r="C361" i="37"/>
  <c r="M346" i="37"/>
  <c r="C461" i="37"/>
  <c r="C450" i="37"/>
  <c r="M294" i="37"/>
  <c r="B270" i="37"/>
  <c r="M238" i="37"/>
  <c r="B399" i="37"/>
  <c r="B386" i="37"/>
  <c r="C63" i="37"/>
  <c r="M330" i="37"/>
  <c r="M313" i="37"/>
  <c r="M187" i="37"/>
  <c r="M135" i="37"/>
  <c r="B438" i="37"/>
  <c r="C420" i="37"/>
  <c r="C409" i="37"/>
  <c r="B374" i="37"/>
  <c r="B360" i="37"/>
  <c r="M345" i="37"/>
  <c r="M459" i="37"/>
  <c r="C449" i="37"/>
  <c r="C295" i="37"/>
  <c r="C269" i="37"/>
  <c r="M237" i="37"/>
  <c r="C398" i="37"/>
  <c r="M384" i="37"/>
  <c r="M53" i="37"/>
  <c r="E3" i="37"/>
  <c r="M362" i="37"/>
  <c r="C331" i="37"/>
  <c r="B314" i="37"/>
  <c r="M340" i="37"/>
  <c r="M333" i="37"/>
  <c r="M326" i="37"/>
  <c r="C188" i="37"/>
  <c r="B135" i="37"/>
  <c r="C305" i="37"/>
  <c r="B297" i="37"/>
  <c r="B290" i="37"/>
  <c r="B356" i="37"/>
  <c r="B349" i="37"/>
  <c r="M263" i="37"/>
  <c r="M256" i="37"/>
  <c r="C249" i="37"/>
  <c r="C319" i="37"/>
  <c r="C312" i="37"/>
  <c r="M225" i="37"/>
  <c r="M218" i="37"/>
  <c r="M211" i="37"/>
  <c r="C283" i="37"/>
  <c r="M270" i="37"/>
  <c r="C190" i="37"/>
  <c r="B182" i="37"/>
  <c r="B175" i="37"/>
  <c r="C242" i="37"/>
  <c r="B234" i="37"/>
  <c r="B153" i="37"/>
  <c r="C146" i="37"/>
  <c r="M137" i="37"/>
  <c r="C204" i="37"/>
  <c r="C197" i="37"/>
  <c r="B107" i="37"/>
  <c r="B100" i="37"/>
  <c r="M91" i="37"/>
  <c r="C168" i="37"/>
  <c r="M159" i="37"/>
  <c r="M64" i="37"/>
  <c r="M54" i="37"/>
  <c r="B48" i="37"/>
  <c r="B124" i="37"/>
  <c r="C115" i="37"/>
  <c r="B26" i="37"/>
  <c r="B19" i="37"/>
  <c r="M10" i="37"/>
  <c r="C84" i="37"/>
  <c r="C77" i="37"/>
  <c r="H6" i="37"/>
  <c r="L7" i="37"/>
  <c r="G11" i="37"/>
  <c r="C41" i="37"/>
  <c r="M32" i="37"/>
  <c r="H18" i="37"/>
  <c r="J20" i="37"/>
  <c r="G23" i="37"/>
  <c r="M3" i="37"/>
  <c r="G4" i="37"/>
  <c r="H30" i="37"/>
  <c r="J32" i="37"/>
  <c r="G35" i="37"/>
  <c r="I13" i="37"/>
  <c r="F16" i="37"/>
  <c r="I43" i="37"/>
  <c r="K46" i="37"/>
  <c r="D49" i="37"/>
  <c r="I25" i="37"/>
  <c r="F28" i="37"/>
  <c r="F59" i="37"/>
  <c r="E63" i="37"/>
  <c r="E70" i="37"/>
  <c r="J37" i="37"/>
  <c r="I40" i="37"/>
  <c r="I82" i="37"/>
  <c r="E86" i="37"/>
  <c r="D90" i="37"/>
  <c r="D53" i="37"/>
  <c r="G55" i="37"/>
  <c r="J104" i="37"/>
  <c r="F109" i="37"/>
  <c r="E114" i="37"/>
  <c r="I75" i="37"/>
  <c r="E78" i="37"/>
  <c r="J137" i="37"/>
  <c r="I142" i="37"/>
  <c r="D147" i="37"/>
  <c r="H94" i="37"/>
  <c r="I100" i="37"/>
  <c r="L171" i="37"/>
  <c r="K181" i="37"/>
  <c r="J197" i="37"/>
  <c r="H118" i="37"/>
  <c r="E126" i="37"/>
  <c r="M241" i="37"/>
  <c r="M232" i="37"/>
  <c r="B226" i="37"/>
  <c r="L153" i="37"/>
  <c r="E161" i="37"/>
  <c r="M203" i="37"/>
  <c r="M196" i="37"/>
  <c r="C189" i="37"/>
  <c r="M255" i="37"/>
  <c r="M248" i="37"/>
  <c r="B167" i="37"/>
  <c r="B160" i="37"/>
  <c r="C153" i="37"/>
  <c r="B219" i="37"/>
  <c r="M210" i="37"/>
  <c r="M121" i="37"/>
  <c r="C114" i="37"/>
  <c r="C107" i="37"/>
  <c r="C182" i="37"/>
  <c r="C175" i="37"/>
  <c r="M83" i="37"/>
  <c r="M76" i="37"/>
  <c r="C64" i="37"/>
  <c r="M144" i="37"/>
  <c r="B138" i="37"/>
  <c r="M39" i="37"/>
  <c r="B33" i="37"/>
  <c r="C26" i="37"/>
  <c r="C100" i="37"/>
  <c r="M90" i="37"/>
  <c r="B4" i="37"/>
  <c r="J3" i="37"/>
  <c r="K5" i="37"/>
  <c r="B55" i="37"/>
  <c r="C48" i="37"/>
  <c r="L12" i="37"/>
  <c r="G16" i="37"/>
  <c r="I18" i="37"/>
  <c r="M17" i="37"/>
  <c r="B11" i="37"/>
  <c r="J25" i="37"/>
  <c r="G28" i="37"/>
  <c r="I30" i="37"/>
  <c r="G9" i="37"/>
  <c r="H11" i="37"/>
  <c r="F38" i="37"/>
  <c r="J40" i="37"/>
  <c r="L42" i="37"/>
  <c r="F21" i="37"/>
  <c r="H23" i="37"/>
  <c r="G52" i="37"/>
  <c r="H55" i="37"/>
  <c r="H59" i="37"/>
  <c r="F33" i="37"/>
  <c r="H35" i="37"/>
  <c r="E75" i="37"/>
  <c r="F78" i="37"/>
  <c r="H83" i="37"/>
  <c r="L46" i="37"/>
  <c r="E49" i="37"/>
  <c r="I94" i="37"/>
  <c r="J100" i="37"/>
  <c r="L104" i="37"/>
  <c r="F63" i="37"/>
  <c r="H69" i="37"/>
  <c r="E119" i="37"/>
  <c r="F126" i="37"/>
  <c r="K137" i="37"/>
  <c r="F86" i="37"/>
  <c r="E90" i="37"/>
  <c r="E154" i="37"/>
  <c r="F161" i="37"/>
  <c r="D171" i="37"/>
  <c r="G109" i="37"/>
  <c r="F114" i="37"/>
  <c r="C271" i="37"/>
  <c r="M262" i="37"/>
  <c r="B256" i="37"/>
  <c r="J142" i="37"/>
  <c r="I148" i="37"/>
  <c r="B233" i="37"/>
  <c r="C226" i="37"/>
  <c r="M217" i="37"/>
  <c r="H183" i="37"/>
  <c r="K198" i="37"/>
  <c r="M195" i="37"/>
  <c r="M188" i="37"/>
  <c r="M181" i="37"/>
  <c r="B249" i="37"/>
  <c r="B241" i="37"/>
  <c r="C160" i="37"/>
  <c r="B152" i="37"/>
  <c r="B145" i="37"/>
  <c r="B211" i="37"/>
  <c r="B204" i="37"/>
  <c r="M113" i="37"/>
  <c r="M106" i="37"/>
  <c r="C99" i="37"/>
  <c r="C174" i="37"/>
  <c r="C167" i="37"/>
  <c r="M75" i="37"/>
  <c r="M63" i="37"/>
  <c r="C55" i="37"/>
  <c r="C138" i="37"/>
  <c r="M120" i="37"/>
  <c r="C33" i="37"/>
  <c r="M24" i="37"/>
  <c r="B18" i="37"/>
  <c r="B91" i="37"/>
  <c r="B84" i="37"/>
  <c r="K3" i="37"/>
  <c r="L5" i="37"/>
  <c r="B47" i="37"/>
  <c r="B40" i="37"/>
  <c r="G14" i="37"/>
  <c r="H16" i="37"/>
  <c r="L17" i="37"/>
  <c r="C11" i="37"/>
  <c r="B3" i="37"/>
  <c r="F26" i="37"/>
  <c r="H28" i="37"/>
  <c r="J30" i="37"/>
  <c r="J8" i="37"/>
  <c r="K10" i="37"/>
  <c r="G38" i="37"/>
  <c r="F41" i="37"/>
  <c r="G44" i="37"/>
  <c r="G21" i="37"/>
  <c r="I23" i="37"/>
  <c r="H52" i="37"/>
  <c r="I55" i="37"/>
  <c r="I59" i="37"/>
  <c r="G33" i="37"/>
  <c r="I35" i="37"/>
  <c r="H76" i="37"/>
  <c r="E79" i="37"/>
  <c r="I83" i="37"/>
  <c r="D46" i="37"/>
  <c r="F49" i="37"/>
  <c r="D96" i="37"/>
  <c r="H99" i="37"/>
  <c r="D104" i="37"/>
  <c r="G63" i="37"/>
  <c r="I69" i="37"/>
  <c r="J118" i="37"/>
  <c r="G129" i="37"/>
  <c r="I138" i="37"/>
  <c r="G86" i="37"/>
  <c r="H91" i="37"/>
  <c r="F154" i="37"/>
  <c r="E162" i="37"/>
  <c r="F171" i="37"/>
  <c r="I109" i="37"/>
  <c r="K113" i="37"/>
  <c r="B311" i="37"/>
  <c r="B304" i="37"/>
  <c r="M295" i="37"/>
  <c r="H143" i="37"/>
  <c r="L147" i="37"/>
  <c r="M269" i="37"/>
  <c r="B263" i="37"/>
  <c r="C256" i="37"/>
  <c r="K183" i="37"/>
  <c r="L199" i="37"/>
  <c r="C233" i="37"/>
  <c r="M224" i="37"/>
  <c r="B218" i="37"/>
  <c r="M288" i="37"/>
  <c r="M281" i="37"/>
  <c r="B196" i="37"/>
  <c r="B189" i="37"/>
  <c r="M180" i="37"/>
  <c r="M247" i="37"/>
  <c r="C241" i="37"/>
  <c r="C159" i="37"/>
  <c r="C152" i="37"/>
  <c r="C145" i="37"/>
  <c r="C211" i="37"/>
  <c r="M202" i="37"/>
  <c r="B114" i="37"/>
  <c r="M105" i="37"/>
  <c r="M98" i="37"/>
  <c r="M173" i="37"/>
  <c r="M166" i="37"/>
  <c r="B76" i="37"/>
  <c r="B64" i="37"/>
  <c r="C54" i="37"/>
  <c r="B137" i="37"/>
  <c r="B121" i="37"/>
  <c r="B32" i="37"/>
  <c r="B25" i="37"/>
  <c r="C18" i="37"/>
  <c r="C91" i="37"/>
  <c r="M82" i="37"/>
  <c r="L3" i="37"/>
  <c r="J6" i="37"/>
  <c r="K8" i="37"/>
  <c r="C47" i="37"/>
  <c r="C40" i="37"/>
  <c r="K15" i="37"/>
  <c r="G19" i="37"/>
  <c r="H21" i="37"/>
  <c r="M9" i="37"/>
  <c r="C3" i="37"/>
  <c r="I28" i="37"/>
  <c r="F31" i="37"/>
  <c r="H33" i="37"/>
  <c r="L10" i="37"/>
  <c r="J13" i="37"/>
  <c r="G41" i="37"/>
  <c r="J43" i="37"/>
  <c r="E46" i="37"/>
  <c r="L22" i="37"/>
  <c r="G26" i="37"/>
  <c r="J55" i="37"/>
  <c r="J59" i="37"/>
  <c r="D64" i="37"/>
  <c r="J35" i="37"/>
  <c r="H38" i="37"/>
  <c r="F79" i="37"/>
  <c r="L82" i="37"/>
  <c r="E87" i="37"/>
  <c r="D50" i="37"/>
  <c r="I52" i="37"/>
  <c r="K100" i="37"/>
  <c r="I105" i="37"/>
  <c r="K109" i="37"/>
  <c r="J69" i="37"/>
  <c r="K75" i="37"/>
  <c r="J126" i="37"/>
  <c r="D138" i="37"/>
  <c r="L142" i="37"/>
  <c r="L90" i="37"/>
  <c r="E96" i="37"/>
  <c r="J161" i="37"/>
  <c r="I172" i="37"/>
  <c r="F183" i="37"/>
  <c r="J114" i="37"/>
  <c r="I119" i="37"/>
  <c r="L8" i="37"/>
  <c r="J11" i="37"/>
  <c r="K13" i="37"/>
  <c r="E148" i="37"/>
  <c r="J153" i="37"/>
  <c r="K20" i="37"/>
  <c r="G24" i="37"/>
  <c r="H26" i="37"/>
  <c r="L200" i="37"/>
  <c r="K6" i="37"/>
  <c r="I33" i="37"/>
  <c r="F36" i="37"/>
  <c r="I38" i="37"/>
  <c r="L15" i="37"/>
  <c r="J18" i="37"/>
  <c r="K47" i="37"/>
  <c r="I49" i="37"/>
  <c r="J52" i="37"/>
  <c r="L27" i="37"/>
  <c r="G31" i="37"/>
  <c r="G64" i="37"/>
  <c r="H70" i="37"/>
  <c r="L75" i="37"/>
  <c r="H41" i="37"/>
  <c r="E43" i="37"/>
  <c r="F87" i="37"/>
  <c r="F90" i="37"/>
  <c r="F96" i="37"/>
  <c r="F56" i="37"/>
  <c r="K59" i="37"/>
  <c r="L109" i="37"/>
  <c r="K114" i="37"/>
  <c r="J119" i="37"/>
  <c r="G79" i="37"/>
  <c r="D83" i="37"/>
  <c r="D143" i="37"/>
  <c r="E149" i="37"/>
  <c r="I154" i="37"/>
  <c r="H100" i="37"/>
  <c r="E105" i="37"/>
  <c r="I184" i="37"/>
  <c r="I202" i="37"/>
  <c r="M452" i="37"/>
  <c r="I129" i="37"/>
  <c r="G137" i="37"/>
  <c r="M422" i="37"/>
  <c r="B416" i="37"/>
  <c r="B409" i="37"/>
  <c r="K162" i="37"/>
  <c r="L172" i="37"/>
  <c r="C386" i="37"/>
  <c r="M377" i="37"/>
  <c r="M368" i="37"/>
  <c r="B446" i="37"/>
  <c r="C438" i="37"/>
  <c r="C347" i="37"/>
  <c r="C340" i="37"/>
  <c r="B332" i="37"/>
  <c r="M400" i="37"/>
  <c r="M393" i="37"/>
  <c r="M309" i="37"/>
  <c r="B303" i="37"/>
  <c r="C296" i="37"/>
  <c r="M361" i="37"/>
  <c r="C354" i="37"/>
  <c r="C270" i="37"/>
  <c r="B262" i="37"/>
  <c r="B255" i="37"/>
  <c r="B325" i="37"/>
  <c r="C318" i="37"/>
  <c r="C232" i="37"/>
  <c r="C225" i="37"/>
  <c r="B217" i="37"/>
  <c r="M287" i="37"/>
  <c r="C281" i="37"/>
  <c r="M194" i="37"/>
  <c r="B188" i="37"/>
  <c r="C181" i="37"/>
  <c r="C248" i="37"/>
  <c r="C239" i="37"/>
  <c r="B159" i="37"/>
  <c r="M150" i="37"/>
  <c r="M143" i="37"/>
  <c r="B210" i="37"/>
  <c r="C203" i="37"/>
  <c r="B113" i="37"/>
  <c r="C106" i="37"/>
  <c r="M97" i="37"/>
  <c r="M172" i="37"/>
  <c r="B166" i="37"/>
  <c r="M74" i="37"/>
  <c r="B63" i="37"/>
  <c r="B54" i="37"/>
  <c r="M136" i="37"/>
  <c r="M119" i="37"/>
  <c r="M31" i="37"/>
  <c r="C24" i="37"/>
  <c r="C17" i="37"/>
  <c r="B90" i="37"/>
  <c r="C83" i="37"/>
  <c r="L6" i="37"/>
  <c r="E8" i="37"/>
  <c r="K11" i="37"/>
  <c r="M45" i="37"/>
  <c r="M38" i="37"/>
  <c r="K18" i="37"/>
  <c r="L20" i="37"/>
  <c r="J23" i="37"/>
  <c r="C10" i="37"/>
  <c r="K4" i="37"/>
  <c r="H31" i="37"/>
  <c r="L32" i="37"/>
  <c r="G36" i="37"/>
  <c r="L13" i="37"/>
  <c r="J16" i="37"/>
  <c r="K44" i="37"/>
  <c r="D47" i="37"/>
  <c r="J49" i="37"/>
  <c r="K25" i="37"/>
  <c r="G29" i="37"/>
  <c r="G60" i="37"/>
  <c r="J63" i="37"/>
  <c r="I70" i="37"/>
  <c r="L37" i="37"/>
  <c r="K40" i="37"/>
  <c r="G82" i="37"/>
  <c r="K86" i="37"/>
  <c r="D91" i="37"/>
  <c r="F53" i="37"/>
  <c r="G56" i="37"/>
  <c r="H104" i="37"/>
  <c r="D109" i="37"/>
  <c r="L114" i="37"/>
  <c r="F75" i="37"/>
  <c r="J78" i="37"/>
  <c r="K138" i="37"/>
  <c r="F143" i="37"/>
  <c r="F149" i="37"/>
  <c r="H96" i="37"/>
  <c r="D101" i="37"/>
  <c r="E173" i="37"/>
  <c r="J185" i="37"/>
  <c r="G202" i="37"/>
  <c r="K119" i="37"/>
  <c r="J129" i="37"/>
  <c r="K9" i="37"/>
  <c r="L11" i="37"/>
  <c r="E13" i="37"/>
  <c r="J154" i="37"/>
  <c r="G162" i="37"/>
  <c r="J21" i="37"/>
  <c r="K23" i="37"/>
  <c r="L25" i="37"/>
  <c r="L4" i="37"/>
  <c r="D6" i="37"/>
  <c r="G34" i="37"/>
  <c r="H36" i="37"/>
  <c r="G39" i="37"/>
  <c r="K16" i="37"/>
  <c r="L18" i="37"/>
  <c r="E47" i="37"/>
  <c r="F50" i="37"/>
  <c r="G53" i="37"/>
  <c r="J28" i="37"/>
  <c r="K30" i="37"/>
  <c r="H64" i="37"/>
  <c r="J70" i="37"/>
  <c r="G75" i="37"/>
  <c r="L40" i="37"/>
  <c r="L44" i="37"/>
  <c r="H87" i="37"/>
  <c r="F91" i="37"/>
  <c r="I96" i="37"/>
  <c r="L55" i="37"/>
  <c r="H60" i="37"/>
  <c r="E110" i="37"/>
  <c r="D115" i="37"/>
  <c r="J120" i="37"/>
  <c r="H79" i="37"/>
  <c r="L83" i="37"/>
  <c r="F144" i="37"/>
  <c r="G149" i="37"/>
  <c r="J155" i="37"/>
  <c r="E101" i="37"/>
  <c r="G105" i="37"/>
  <c r="L185" i="37"/>
  <c r="K205" i="37"/>
  <c r="B302" i="37"/>
  <c r="D134" i="37"/>
  <c r="G138" i="37"/>
  <c r="M275" i="37"/>
  <c r="M268" i="37"/>
  <c r="M261" i="37"/>
  <c r="G163" i="37"/>
  <c r="F173" i="37"/>
  <c r="B239" i="37"/>
  <c r="M230" i="37"/>
  <c r="M223" i="37"/>
  <c r="B295" i="37"/>
  <c r="C288" i="37"/>
  <c r="C202" i="37"/>
  <c r="C195" i="37"/>
  <c r="B187" i="37"/>
  <c r="C254" i="37"/>
  <c r="C247" i="37"/>
  <c r="M164" i="37"/>
  <c r="B158" i="37"/>
  <c r="C151" i="37"/>
  <c r="M216" i="37"/>
  <c r="C209" i="37"/>
  <c r="C120" i="37"/>
  <c r="B112" i="37"/>
  <c r="B105" i="37"/>
  <c r="B180" i="37"/>
  <c r="C173" i="37"/>
  <c r="C82" i="37"/>
  <c r="C75" i="37"/>
  <c r="B62" i="37"/>
  <c r="M142" i="37"/>
  <c r="B136" i="37"/>
  <c r="M37" i="37"/>
  <c r="B31" i="37"/>
  <c r="B24" i="37"/>
  <c r="C98" i="37"/>
  <c r="C89" i="37"/>
  <c r="D4" i="37"/>
  <c r="E6" i="37"/>
  <c r="L9" i="37"/>
  <c r="B53" i="37"/>
  <c r="C46" i="37"/>
  <c r="L16" i="37"/>
  <c r="E18" i="37"/>
  <c r="K21" i="37"/>
  <c r="M15" i="37"/>
  <c r="M8" i="37"/>
  <c r="K28" i="37"/>
  <c r="L30" i="37"/>
  <c r="J33" i="37"/>
  <c r="D11" i="37"/>
  <c r="K14" i="37"/>
  <c r="K41" i="37"/>
  <c r="D44" i="37"/>
  <c r="F47" i="37"/>
  <c r="L23" i="37"/>
  <c r="J26" i="37"/>
  <c r="J56" i="37"/>
  <c r="I60" i="37"/>
  <c r="I64" i="37"/>
  <c r="K35" i="37"/>
  <c r="J38" i="37"/>
  <c r="K79" i="37"/>
  <c r="E83" i="37"/>
  <c r="D87" i="37"/>
  <c r="G50" i="37"/>
  <c r="H53" i="37"/>
  <c r="G101" i="37"/>
  <c r="H105" i="37"/>
  <c r="F110" i="37"/>
  <c r="H71" i="37"/>
  <c r="L76" i="37"/>
  <c r="H129" i="37"/>
  <c r="G139" i="37"/>
  <c r="G144" i="37"/>
  <c r="G91" i="37"/>
  <c r="J96" i="37"/>
  <c r="D164" i="37"/>
  <c r="D174" i="37"/>
  <c r="L186" i="37"/>
  <c r="L115" i="37"/>
  <c r="K120" i="37"/>
  <c r="M215" i="37"/>
  <c r="M208" i="37"/>
  <c r="M201" i="37"/>
  <c r="H149" i="37"/>
  <c r="D155" i="37"/>
  <c r="C180" i="37"/>
  <c r="B172" i="37"/>
  <c r="B165" i="37"/>
  <c r="D208" i="37"/>
  <c r="B224" i="37"/>
  <c r="B143" i="37"/>
  <c r="C136" i="37"/>
  <c r="C119" i="37"/>
  <c r="C194" i="37"/>
  <c r="C187" i="37"/>
  <c r="B97" i="37"/>
  <c r="M88" i="37"/>
  <c r="M81" i="37"/>
  <c r="C158" i="37"/>
  <c r="M149" i="37"/>
  <c r="C53" i="37"/>
  <c r="M44" i="37"/>
  <c r="B38" i="37"/>
  <c r="C112" i="37"/>
  <c r="C105" i="37"/>
  <c r="B16" i="37"/>
  <c r="B9" i="37"/>
  <c r="E4" i="37"/>
  <c r="C74" i="37"/>
  <c r="C62" i="37"/>
  <c r="E11" i="37"/>
  <c r="L14" i="37"/>
  <c r="D16" i="37"/>
  <c r="C31" i="37"/>
  <c r="M22" i="37"/>
  <c r="E23" i="37"/>
  <c r="K26" i="37"/>
  <c r="L28" i="37"/>
  <c r="K7" i="37"/>
  <c r="D9" i="37"/>
  <c r="L35" i="37"/>
  <c r="K38" i="37"/>
  <c r="L41" i="37"/>
  <c r="K19" i="37"/>
  <c r="L21" i="37"/>
  <c r="H50" i="37"/>
  <c r="I53" i="37"/>
  <c r="K56" i="37"/>
  <c r="J31" i="37"/>
  <c r="K33" i="37"/>
  <c r="K70" i="37"/>
  <c r="D76" i="37"/>
  <c r="L79" i="37"/>
  <c r="E44" i="37"/>
  <c r="G47" i="37"/>
  <c r="E92" i="37"/>
  <c r="I97" i="37"/>
  <c r="F102" i="37"/>
  <c r="J60" i="37"/>
  <c r="J64" i="37"/>
  <c r="F115" i="37"/>
  <c r="L120" i="37"/>
  <c r="H134" i="37"/>
  <c r="D84" i="37"/>
  <c r="H88" i="37"/>
  <c r="J149" i="37"/>
  <c r="F155" i="37"/>
  <c r="F164" i="37"/>
  <c r="D106" i="37"/>
  <c r="G110" i="37"/>
  <c r="H211" i="37"/>
  <c r="J138" i="37"/>
  <c r="J143" i="37"/>
  <c r="K174" i="37"/>
  <c r="J186" i="37"/>
  <c r="M466" i="37"/>
  <c r="C459" i="37"/>
  <c r="C452" i="37"/>
  <c r="C422" i="37"/>
  <c r="C415" i="37"/>
  <c r="B407" i="37"/>
  <c r="C384" i="37"/>
  <c r="C377" i="37"/>
  <c r="C368" i="37"/>
  <c r="C445" i="37"/>
  <c r="M435" i="37"/>
  <c r="C346" i="37"/>
  <c r="M337" i="37"/>
  <c r="B331" i="37"/>
  <c r="B400" i="37"/>
  <c r="C393" i="37"/>
  <c r="M308" i="37"/>
  <c r="M301" i="37"/>
  <c r="C294" i="37"/>
  <c r="M359" i="37"/>
  <c r="B353" i="37"/>
  <c r="M267" i="37"/>
  <c r="B261" i="37"/>
  <c r="B254" i="37"/>
  <c r="B324" i="37"/>
  <c r="M315" i="37"/>
  <c r="C231" i="37"/>
  <c r="M222" i="37"/>
  <c r="B216" i="37"/>
  <c r="C287" i="37"/>
  <c r="C276" i="37"/>
  <c r="M193" i="37"/>
  <c r="M186" i="37"/>
  <c r="C179" i="37"/>
  <c r="M245" i="37"/>
  <c r="B238" i="37"/>
  <c r="B157" i="37"/>
  <c r="B150" i="37"/>
  <c r="C143" i="37"/>
  <c r="B209" i="37"/>
  <c r="M200" i="37"/>
  <c r="M111" i="37"/>
  <c r="C104" i="37"/>
  <c r="C97" i="37"/>
  <c r="C172" i="37"/>
  <c r="C165" i="37"/>
  <c r="B74" i="37"/>
  <c r="M60" i="37"/>
  <c r="B52" i="37"/>
  <c r="M134" i="37"/>
  <c r="M118" i="37"/>
  <c r="M29" i="37"/>
  <c r="B23" i="37"/>
  <c r="C16" i="37"/>
  <c r="B89" i="37"/>
  <c r="M80" i="37"/>
  <c r="D7" i="37"/>
  <c r="E9" i="37"/>
  <c r="K12" i="37"/>
  <c r="B45" i="37"/>
  <c r="C38" i="37"/>
  <c r="L19" i="37"/>
  <c r="D21" i="37"/>
  <c r="K24" i="37"/>
  <c r="M7" i="37"/>
  <c r="F4" i="37"/>
  <c r="K31" i="37"/>
  <c r="L33" i="37"/>
  <c r="J36" i="37"/>
  <c r="D14" i="37"/>
  <c r="E16" i="37"/>
  <c r="F44" i="37"/>
  <c r="H47" i="37"/>
  <c r="I50" i="37"/>
  <c r="L26" i="37"/>
  <c r="E28" i="37"/>
  <c r="F62" i="37"/>
  <c r="L64" i="37"/>
  <c r="L70" i="37"/>
  <c r="E38" i="37"/>
  <c r="D41" i="37"/>
  <c r="E84" i="37"/>
  <c r="I88" i="37"/>
  <c r="J91" i="37"/>
  <c r="L52" i="37"/>
  <c r="L56" i="37"/>
  <c r="F106" i="37"/>
  <c r="H110" i="37"/>
  <c r="G115" i="37"/>
  <c r="G76" i="37"/>
  <c r="D80" i="37"/>
  <c r="H139" i="37"/>
  <c r="I144" i="37"/>
  <c r="K149" i="37"/>
  <c r="K97" i="37"/>
  <c r="I101" i="37"/>
  <c r="E175" i="37"/>
  <c r="D187" i="37"/>
  <c r="L212" i="37"/>
  <c r="F120" i="37"/>
  <c r="I134" i="37"/>
  <c r="M59" i="37"/>
  <c r="C52" i="37"/>
  <c r="C45" i="37"/>
  <c r="F156" i="37"/>
  <c r="H164" i="37"/>
  <c r="C23" i="37"/>
  <c r="M14" i="37"/>
  <c r="B8" i="37"/>
  <c r="B81" i="37"/>
  <c r="M71" i="37"/>
  <c r="F9" i="37"/>
  <c r="D12" i="37"/>
  <c r="E14" i="37"/>
  <c r="B37" i="37"/>
  <c r="B30" i="37"/>
  <c r="E21" i="37"/>
  <c r="L24" i="37"/>
  <c r="D26" i="37"/>
  <c r="D5" i="37"/>
  <c r="E7" i="37"/>
  <c r="E33" i="37"/>
  <c r="L36" i="37"/>
  <c r="K39" i="37"/>
  <c r="K17" i="37"/>
  <c r="D19" i="37"/>
  <c r="I47" i="37"/>
  <c r="J50" i="37"/>
  <c r="K53" i="37"/>
  <c r="K29" i="37"/>
  <c r="L31" i="37"/>
  <c r="J67" i="37"/>
  <c r="J71" i="37"/>
  <c r="E77" i="37"/>
  <c r="E41" i="37"/>
  <c r="D45" i="37"/>
  <c r="L87" i="37"/>
  <c r="K91" i="37"/>
  <c r="D97" i="37"/>
  <c r="D56" i="37"/>
  <c r="K60" i="37"/>
  <c r="E111" i="37"/>
  <c r="D116" i="37"/>
  <c r="H120" i="37"/>
  <c r="E80" i="37"/>
  <c r="F84" i="37"/>
  <c r="K144" i="37"/>
  <c r="I150" i="37"/>
  <c r="G156" i="37"/>
  <c r="L101" i="37"/>
  <c r="H106" i="37"/>
  <c r="G187" i="37"/>
  <c r="E215" i="37"/>
  <c r="B466" i="37"/>
  <c r="K134" i="37"/>
  <c r="J139" i="37"/>
  <c r="M443" i="37"/>
  <c r="C436" i="37"/>
  <c r="M420" i="37"/>
  <c r="H165" i="37"/>
  <c r="G175" i="37"/>
  <c r="C399" i="37"/>
  <c r="C392" i="37"/>
  <c r="B384" i="37"/>
  <c r="B459" i="37"/>
  <c r="M450" i="37"/>
  <c r="C360" i="37"/>
  <c r="B352" i="37"/>
  <c r="B345" i="37"/>
  <c r="M413" i="37"/>
  <c r="M406" i="37"/>
  <c r="B323" i="37"/>
  <c r="C316" i="37"/>
  <c r="M307" i="37"/>
  <c r="M375" i="37"/>
  <c r="C367" i="37"/>
  <c r="M285" i="37"/>
  <c r="B275" i="37"/>
  <c r="C268" i="37"/>
  <c r="C338" i="37"/>
  <c r="M329" i="37"/>
  <c r="C246" i="37"/>
  <c r="B237" i="37"/>
  <c r="B230" i="37"/>
  <c r="B301" i="37"/>
  <c r="B294" i="37"/>
  <c r="B208" i="37"/>
  <c r="C201" i="37"/>
  <c r="M192" i="37"/>
  <c r="M259" i="37"/>
  <c r="B253" i="37"/>
  <c r="M170" i="37"/>
  <c r="M163" i="37"/>
  <c r="M156" i="37"/>
  <c r="C223" i="37"/>
  <c r="M214" i="37"/>
  <c r="C135" i="37"/>
  <c r="M117" i="37"/>
  <c r="B111" i="37"/>
  <c r="B186" i="37"/>
  <c r="B179" i="37"/>
  <c r="B88" i="37"/>
  <c r="C81" i="37"/>
  <c r="M70" i="37"/>
  <c r="C149" i="37"/>
  <c r="C142" i="37"/>
  <c r="C44" i="37"/>
  <c r="C37" i="37"/>
  <c r="C30" i="37"/>
  <c r="B104" i="37"/>
  <c r="B96" i="37"/>
  <c r="C8" i="37"/>
  <c r="E5" i="37"/>
  <c r="F7" i="37"/>
  <c r="B60" i="37"/>
  <c r="M51" i="37"/>
  <c r="F14" i="37"/>
  <c r="D17" i="37"/>
  <c r="E19" i="37"/>
  <c r="B22" i="37"/>
  <c r="B15" i="37"/>
  <c r="E26" i="37"/>
  <c r="L29" i="37"/>
  <c r="D31" i="37"/>
  <c r="D10" i="37"/>
  <c r="E12" i="37"/>
  <c r="L39" i="37"/>
  <c r="K42" i="37"/>
  <c r="E45" i="37"/>
  <c r="K22" i="37"/>
  <c r="D24" i="37"/>
  <c r="L53" i="37"/>
  <c r="E56" i="37"/>
  <c r="L60" i="37"/>
  <c r="K34" i="37"/>
  <c r="D36" i="37"/>
  <c r="F77" i="37"/>
  <c r="H81" i="37"/>
  <c r="G84" i="37"/>
  <c r="J47" i="37"/>
  <c r="F51" i="37"/>
  <c r="E97" i="37"/>
  <c r="J102" i="37"/>
  <c r="F107" i="37"/>
  <c r="K67" i="37"/>
  <c r="K71" i="37"/>
  <c r="E121" i="37"/>
  <c r="H135" i="37"/>
  <c r="L139" i="37"/>
  <c r="D88" i="37"/>
  <c r="K92" i="37"/>
  <c r="F157" i="37"/>
  <c r="K165" i="37"/>
  <c r="L176" i="37"/>
  <c r="G111" i="37"/>
  <c r="F116" i="37"/>
  <c r="C345" i="37"/>
  <c r="B337" i="37"/>
  <c r="B330" i="37"/>
  <c r="L144" i="37"/>
  <c r="D150" i="37"/>
  <c r="B308" i="37"/>
  <c r="C301" i="37"/>
  <c r="M292" i="37"/>
  <c r="E188" i="37"/>
  <c r="I218" i="37"/>
  <c r="B267" i="37"/>
  <c r="B260" i="37"/>
  <c r="C253" i="37"/>
  <c r="C323" i="37"/>
  <c r="M314" i="37"/>
  <c r="C230" i="37"/>
  <c r="B222" i="37"/>
  <c r="B215" i="37"/>
  <c r="B286" i="37"/>
  <c r="C275" i="37"/>
  <c r="B193" i="37"/>
  <c r="C186" i="37"/>
  <c r="M177" i="37"/>
  <c r="M244" i="37"/>
  <c r="C237" i="37"/>
  <c r="M155" i="37"/>
  <c r="M148" i="37"/>
  <c r="M141" i="37"/>
  <c r="C208" i="37"/>
  <c r="M199" i="37"/>
  <c r="C111" i="37"/>
  <c r="M102" i="37"/>
  <c r="C96" i="37"/>
  <c r="B171" i="37"/>
  <c r="B164" i="37"/>
  <c r="B71" i="37"/>
  <c r="C60" i="37"/>
  <c r="M50" i="37"/>
  <c r="C134" i="37"/>
  <c r="B118" i="37"/>
  <c r="C29" i="37"/>
  <c r="C22" i="37"/>
  <c r="C15" i="37"/>
  <c r="C88" i="37"/>
  <c r="M79" i="37"/>
  <c r="I6" i="37"/>
  <c r="E10" i="37"/>
  <c r="F12" i="37"/>
  <c r="M43" i="37"/>
  <c r="M36" i="37"/>
  <c r="F19" i="37"/>
  <c r="D22" i="37"/>
  <c r="E24" i="37"/>
  <c r="B7" i="37"/>
  <c r="H4" i="37"/>
  <c r="E31" i="37"/>
  <c r="L34" i="37"/>
  <c r="E36" i="37"/>
  <c r="D15" i="37"/>
  <c r="E17" i="37"/>
  <c r="J44" i="37"/>
  <c r="F48" i="37"/>
  <c r="G51" i="37"/>
  <c r="K27" i="37"/>
  <c r="D29" i="37"/>
  <c r="F60" i="37"/>
  <c r="D67" i="37"/>
  <c r="L71" i="37"/>
  <c r="D39" i="37"/>
  <c r="D42" i="37"/>
  <c r="J83" i="37"/>
  <c r="K88" i="37"/>
  <c r="D92" i="37"/>
  <c r="E53" i="37"/>
  <c r="K57" i="37"/>
  <c r="K106" i="37"/>
  <c r="H111" i="37"/>
  <c r="G116" i="37"/>
  <c r="I76" i="37"/>
  <c r="K80" i="37"/>
  <c r="H140" i="37"/>
  <c r="J145" i="37"/>
  <c r="E150" i="37"/>
  <c r="D98" i="37"/>
  <c r="K102" i="37"/>
  <c r="E176" i="37"/>
  <c r="H189" i="37"/>
  <c r="D220" i="37"/>
  <c r="F121" i="37"/>
  <c r="I135" i="37"/>
  <c r="C337" i="37"/>
  <c r="C330" i="37"/>
  <c r="B322" i="37"/>
  <c r="K156" i="37"/>
  <c r="D166" i="37"/>
  <c r="M299" i="37"/>
  <c r="B293" i="37"/>
  <c r="C286" i="37"/>
  <c r="M351" i="37"/>
  <c r="C344" i="37"/>
  <c r="C260" i="37"/>
  <c r="B252" i="37"/>
  <c r="B245" i="37"/>
  <c r="B315" i="37"/>
  <c r="C308" i="37"/>
  <c r="C222" i="37"/>
  <c r="C215" i="37"/>
  <c r="B207" i="37"/>
  <c r="C274" i="37"/>
  <c r="C267" i="37"/>
  <c r="M184" i="37"/>
  <c r="B178" i="37"/>
  <c r="C171" i="37"/>
  <c r="M236" i="37"/>
  <c r="C229" i="37"/>
  <c r="B149" i="37"/>
  <c r="M140" i="37"/>
  <c r="B134" i="37"/>
  <c r="B200" i="37"/>
  <c r="C193" i="37"/>
  <c r="B103" i="37"/>
  <c r="M94" i="37"/>
  <c r="B87" i="37"/>
  <c r="M162" i="37"/>
  <c r="B156" i="37"/>
  <c r="C59" i="37"/>
  <c r="B51" i="37"/>
  <c r="B44" i="37"/>
  <c r="C118" i="37"/>
  <c r="M109" i="37"/>
  <c r="M21" i="37"/>
  <c r="C14" i="37"/>
  <c r="C7" i="37"/>
  <c r="B80" i="37"/>
  <c r="C71" i="37"/>
  <c r="H9" i="37"/>
  <c r="I11" i="37"/>
  <c r="E15" i="37"/>
  <c r="M35" i="37"/>
  <c r="M28" i="37"/>
  <c r="E22" i="37"/>
  <c r="F24" i="37"/>
  <c r="D27" i="37"/>
  <c r="I4" i="37"/>
  <c r="D8" i="37"/>
  <c r="D34" i="37"/>
  <c r="K37" i="37"/>
  <c r="E39" i="37"/>
  <c r="F17" i="37"/>
  <c r="D20" i="37"/>
  <c r="G48" i="37"/>
  <c r="H51" i="37"/>
  <c r="K54" i="37"/>
  <c r="E29" i="37"/>
  <c r="K32" i="37"/>
  <c r="G69" i="37"/>
  <c r="D71" i="37"/>
  <c r="J76" i="37"/>
  <c r="E42" i="37"/>
  <c r="F45" i="37"/>
  <c r="L88" i="37"/>
  <c r="H93" i="37"/>
  <c r="G97" i="37"/>
  <c r="D57" i="37"/>
  <c r="H62" i="37"/>
  <c r="J111" i="37"/>
  <c r="I116" i="37"/>
  <c r="G124" i="37"/>
  <c r="L80" i="37"/>
  <c r="J84" i="37"/>
  <c r="E145" i="37"/>
  <c r="G150" i="37"/>
  <c r="D157" i="37"/>
  <c r="D102" i="37"/>
  <c r="I107" i="37"/>
  <c r="I190" i="37"/>
  <c r="H223" i="37"/>
  <c r="E135" i="37"/>
  <c r="D140" i="37"/>
  <c r="E166" i="37"/>
  <c r="H177" i="37"/>
  <c r="B465" i="37"/>
  <c r="C458" i="37"/>
  <c r="M449" i="37"/>
  <c r="M419" i="37"/>
  <c r="B413" i="37"/>
  <c r="C406" i="37"/>
  <c r="C383" i="37"/>
  <c r="M374" i="37"/>
  <c r="B366" i="37"/>
  <c r="B443" i="37"/>
  <c r="C435" i="37"/>
  <c r="M343" i="37"/>
  <c r="M336" i="37"/>
  <c r="C329" i="37"/>
  <c r="M397" i="37"/>
  <c r="C391" i="37"/>
  <c r="B307" i="37"/>
  <c r="B300" i="37"/>
  <c r="C293" i="37"/>
  <c r="B359" i="37"/>
  <c r="M350" i="37"/>
  <c r="M266" i="37"/>
  <c r="C259" i="37"/>
  <c r="C252" i="37"/>
  <c r="C322" i="37"/>
  <c r="C315" i="37"/>
  <c r="M228" i="37"/>
  <c r="M221" i="37"/>
  <c r="C214" i="37"/>
  <c r="M284" i="37"/>
  <c r="M273" i="37"/>
  <c r="B192" i="37"/>
  <c r="B185" i="37"/>
  <c r="C178" i="37"/>
  <c r="C245" i="37"/>
  <c r="M235" i="37"/>
  <c r="C156" i="37"/>
  <c r="M147" i="37"/>
  <c r="B141" i="37"/>
  <c r="C207" i="37"/>
  <c r="C200" i="37"/>
  <c r="B110" i="37"/>
  <c r="C103" i="37"/>
  <c r="C94" i="37"/>
  <c r="M169" i="37"/>
  <c r="B163" i="37"/>
  <c r="M69" i="37"/>
  <c r="B59" i="37"/>
  <c r="C51" i="37"/>
  <c r="M129" i="37"/>
  <c r="B117" i="37"/>
  <c r="B29" i="37"/>
  <c r="M20" i="37"/>
  <c r="M13" i="37"/>
  <c r="C87" i="37"/>
  <c r="C80" i="37"/>
  <c r="G7" i="37"/>
  <c r="I9" i="37"/>
  <c r="D13" i="37"/>
  <c r="M42" i="37"/>
  <c r="B36" i="37"/>
  <c r="E20" i="37"/>
  <c r="F22" i="37"/>
  <c r="D25" i="37"/>
  <c r="M6" i="37"/>
  <c r="J4" i="37"/>
  <c r="D32" i="37"/>
  <c r="E34" i="37"/>
  <c r="D37" i="37"/>
  <c r="H14" i="37"/>
  <c r="I16" i="37"/>
  <c r="G45" i="37"/>
  <c r="H48" i="37"/>
  <c r="J51" i="37"/>
  <c r="E27" i="37"/>
  <c r="F29" i="37"/>
  <c r="J62" i="37"/>
  <c r="L67" i="37"/>
  <c r="E71" i="37"/>
  <c r="F39" i="37"/>
  <c r="F42" i="37"/>
  <c r="K84" i="37"/>
  <c r="G88" i="37"/>
  <c r="I93" i="37"/>
  <c r="L54" i="37"/>
  <c r="I56" i="37"/>
  <c r="J107" i="37"/>
  <c r="L111" i="37"/>
  <c r="K116" i="37"/>
  <c r="I77" i="37"/>
  <c r="G80" i="37"/>
  <c r="H141" i="37"/>
  <c r="H146" i="37"/>
  <c r="G151" i="37"/>
  <c r="F98" i="37"/>
  <c r="L102" i="37"/>
  <c r="I178" i="37"/>
  <c r="K190" i="37"/>
  <c r="J225" i="37"/>
  <c r="J121" i="37"/>
  <c r="K135" i="37"/>
  <c r="B450" i="37"/>
  <c r="C443" i="37"/>
  <c r="C434" i="37"/>
  <c r="H158" i="37"/>
  <c r="G166" i="37"/>
  <c r="M404" i="37"/>
  <c r="B398" i="37"/>
  <c r="M389" i="37"/>
  <c r="C465" i="37"/>
  <c r="B457" i="37"/>
  <c r="C366" i="37"/>
  <c r="M357" i="37"/>
  <c r="B351" i="37"/>
  <c r="B420" i="37"/>
  <c r="C413" i="37"/>
  <c r="M328" i="37"/>
  <c r="M321" i="37"/>
  <c r="C314" i="37"/>
  <c r="B382" i="37"/>
  <c r="B375" i="37"/>
  <c r="B292" i="37"/>
  <c r="B285" i="37"/>
  <c r="B274" i="37"/>
  <c r="B344" i="37"/>
  <c r="M335" i="37"/>
  <c r="M251" i="37"/>
  <c r="C244" i="37"/>
  <c r="B236" i="37"/>
  <c r="C307" i="37"/>
  <c r="C300" i="37"/>
  <c r="M213" i="37"/>
  <c r="M206" i="37"/>
  <c r="C199" i="37"/>
  <c r="M265" i="37"/>
  <c r="M258" i="37"/>
  <c r="B177" i="37"/>
  <c r="B170" i="37"/>
  <c r="C163" i="37"/>
  <c r="B229" i="37"/>
  <c r="M220" i="37"/>
  <c r="C141" i="37"/>
  <c r="C129" i="37"/>
  <c r="C117" i="37"/>
  <c r="C192" i="37"/>
  <c r="C185" i="37"/>
  <c r="M93" i="37"/>
  <c r="M86" i="37"/>
  <c r="C79" i="37"/>
  <c r="M154" i="37"/>
  <c r="B148" i="37"/>
  <c r="M49" i="37"/>
  <c r="B43" i="37"/>
  <c r="C36" i="37"/>
  <c r="C110" i="37"/>
  <c r="B102" i="37"/>
  <c r="B14" i="37"/>
  <c r="M5" i="37"/>
  <c r="F5" i="37"/>
  <c r="B70" i="37"/>
  <c r="M57" i="37"/>
  <c r="G12" i="37"/>
  <c r="I14" i="37"/>
  <c r="D18" i="37"/>
  <c r="M27" i="37"/>
  <c r="B21" i="37"/>
  <c r="E25" i="37"/>
  <c r="F27" i="37"/>
  <c r="D30" i="37"/>
  <c r="H7" i="37"/>
  <c r="J9" i="37"/>
  <c r="E37" i="37"/>
  <c r="D40" i="37"/>
  <c r="I41" i="37"/>
  <c r="H19" i="37"/>
  <c r="I21" i="37"/>
  <c r="K51" i="37"/>
  <c r="D54" i="37"/>
  <c r="L57" i="37"/>
  <c r="E32" i="37"/>
  <c r="F34" i="37"/>
  <c r="F74" i="37"/>
  <c r="J77" i="37"/>
  <c r="L81" i="37"/>
  <c r="H45" i="37"/>
  <c r="I48" i="37"/>
  <c r="L92" i="37"/>
  <c r="G98" i="37"/>
  <c r="D103" i="37"/>
  <c r="K62" i="37"/>
  <c r="G67" i="37"/>
  <c r="L116" i="37"/>
  <c r="K121" i="37"/>
  <c r="L135" i="37"/>
  <c r="J85" i="37"/>
  <c r="E89" i="37"/>
  <c r="E152" i="37"/>
  <c r="K158" i="37"/>
  <c r="J167" i="37"/>
  <c r="K107" i="37"/>
  <c r="I112" i="37"/>
  <c r="D227" i="37"/>
  <c r="B259" i="37"/>
  <c r="M250" i="37"/>
  <c r="K140" i="37"/>
  <c r="L146" i="37"/>
  <c r="M227" i="37"/>
  <c r="B221" i="37"/>
  <c r="B214" i="37"/>
  <c r="L178" i="37"/>
  <c r="G190" i="37"/>
  <c r="M191" i="37"/>
  <c r="C184" i="37"/>
  <c r="C177" i="37"/>
  <c r="M243" i="37"/>
  <c r="C236" i="37"/>
  <c r="B155" i="37"/>
  <c r="C148" i="37"/>
  <c r="M139" i="37"/>
  <c r="M205" i="37"/>
  <c r="M198" i="37"/>
  <c r="C109" i="37"/>
  <c r="C102" i="37"/>
  <c r="B94" i="37"/>
  <c r="C170" i="37"/>
  <c r="B162" i="37"/>
  <c r="C70" i="37"/>
  <c r="B57" i="37"/>
  <c r="B50" i="37"/>
  <c r="B129" i="37"/>
  <c r="M116" i="37"/>
  <c r="B28" i="37"/>
  <c r="C21" i="37"/>
  <c r="M12" i="37"/>
  <c r="M85" i="37"/>
  <c r="M78" i="37"/>
  <c r="I7" i="37"/>
  <c r="F10" i="37"/>
  <c r="H12" i="37"/>
  <c r="C43" i="37"/>
  <c r="M34" i="37"/>
  <c r="I19" i="37"/>
  <c r="D23" i="37"/>
  <c r="H24" i="37"/>
  <c r="B6" i="37"/>
  <c r="G5" i="37"/>
  <c r="F32" i="37"/>
  <c r="D35" i="37"/>
  <c r="F37" i="37"/>
  <c r="J14" i="37"/>
  <c r="G17" i="37"/>
  <c r="I45" i="37"/>
  <c r="L47" i="37"/>
  <c r="L51" i="37"/>
  <c r="I26" i="37"/>
  <c r="E30" i="37"/>
  <c r="D62" i="37"/>
  <c r="H67" i="37"/>
  <c r="G74" i="37"/>
  <c r="E40" i="37"/>
  <c r="H42" i="37"/>
  <c r="D85" i="37"/>
  <c r="F89" i="37"/>
  <c r="G92" i="37"/>
  <c r="E54" i="37"/>
  <c r="G57" i="37"/>
  <c r="I108" i="37"/>
  <c r="J112" i="37"/>
  <c r="I117" i="37"/>
  <c r="I78" i="37"/>
  <c r="F81" i="37"/>
  <c r="L140" i="37"/>
  <c r="G146" i="37"/>
  <c r="I151" i="37"/>
  <c r="H98" i="37"/>
  <c r="E103" i="37"/>
  <c r="E178" i="37"/>
  <c r="I191" i="37"/>
  <c r="I230" i="37"/>
  <c r="L121" i="37"/>
  <c r="F135" i="37"/>
  <c r="B228" i="37"/>
  <c r="C221" i="37"/>
  <c r="M212" i="37"/>
  <c r="D159" i="37"/>
  <c r="D168" i="37"/>
  <c r="M190" i="37"/>
  <c r="M183" i="37"/>
  <c r="M176" i="37"/>
  <c r="B244" i="37"/>
  <c r="M234" i="37"/>
  <c r="C155" i="37"/>
  <c r="B147" i="37"/>
  <c r="B140" i="37"/>
  <c r="B206" i="37"/>
  <c r="B199" i="37"/>
  <c r="M108" i="37"/>
  <c r="M101" i="37"/>
  <c r="M92" i="37"/>
  <c r="C169" i="37"/>
  <c r="C162" i="37"/>
  <c r="C69" i="37"/>
  <c r="C57" i="37"/>
  <c r="C50" i="37"/>
  <c r="M126" i="37"/>
  <c r="M115" i="37"/>
  <c r="C28" i="37"/>
  <c r="M19" i="37"/>
  <c r="B13" i="37"/>
  <c r="B86" i="37"/>
  <c r="B79" i="37"/>
  <c r="H5" i="37"/>
  <c r="J7" i="37"/>
  <c r="G10" i="37"/>
  <c r="B42" i="37"/>
  <c r="B35" i="37"/>
  <c r="H17" i="37"/>
  <c r="J19" i="37"/>
  <c r="G22" i="37"/>
  <c r="C6" i="37"/>
  <c r="F3" i="37"/>
  <c r="H29" i="37"/>
  <c r="I31" i="37"/>
  <c r="E35" i="37"/>
  <c r="I12" i="37"/>
  <c r="F15" i="37"/>
  <c r="I42" i="37"/>
  <c r="J45" i="37"/>
  <c r="G49" i="37"/>
  <c r="I24" i="37"/>
  <c r="D28" i="37"/>
  <c r="H57" i="37"/>
  <c r="H63" i="37"/>
  <c r="I67" i="37"/>
  <c r="I36" i="37"/>
  <c r="H39" i="37"/>
  <c r="G81" i="37"/>
  <c r="E85" i="37"/>
  <c r="G89" i="37"/>
  <c r="D51" i="37"/>
  <c r="F54" i="37"/>
  <c r="F103" i="37"/>
  <c r="L107" i="37"/>
  <c r="I113" i="37"/>
  <c r="I71" i="37"/>
  <c r="L77" i="37"/>
  <c r="E136" i="37"/>
  <c r="D141" i="37"/>
  <c r="E147" i="37"/>
  <c r="K93" i="37"/>
  <c r="F99" i="37"/>
  <c r="F168" i="37"/>
  <c r="G178" i="37"/>
  <c r="K192" i="37"/>
  <c r="E117" i="37"/>
  <c r="E124" i="37"/>
  <c r="C397" i="37"/>
  <c r="B389" i="37"/>
  <c r="M380" i="37"/>
  <c r="K151" i="37"/>
  <c r="E159" i="37"/>
  <c r="B357" i="37"/>
  <c r="B350" i="37"/>
  <c r="C343" i="37"/>
  <c r="K232" i="37"/>
  <c r="C404" i="37"/>
  <c r="C321" i="37"/>
  <c r="M312" i="37"/>
  <c r="B306" i="37"/>
  <c r="M373" i="37"/>
  <c r="C365" i="37"/>
  <c r="M283" i="37"/>
  <c r="C273" i="37"/>
  <c r="M264" i="37"/>
  <c r="M334" i="37"/>
  <c r="B328" i="37"/>
  <c r="M242" i="37"/>
  <c r="B235" i="37"/>
  <c r="C228" i="37"/>
  <c r="B299" i="37"/>
  <c r="M290" i="37"/>
  <c r="C206" i="37"/>
  <c r="M197" i="37"/>
  <c r="B191" i="37"/>
  <c r="B258" i="37"/>
  <c r="C251" i="37"/>
  <c r="M168" i="37"/>
  <c r="M161" i="37"/>
  <c r="C154" i="37"/>
  <c r="M219" i="37"/>
  <c r="B213" i="37"/>
  <c r="B126" i="37"/>
  <c r="B116" i="37"/>
  <c r="B109" i="37"/>
  <c r="B184" i="37"/>
  <c r="M175" i="37"/>
  <c r="C86" i="37"/>
  <c r="M77" i="37"/>
  <c r="B69" i="37"/>
  <c r="C147" i="37"/>
  <c r="C140" i="37"/>
  <c r="C42" i="37"/>
  <c r="C35" i="37"/>
  <c r="B27" i="37"/>
  <c r="M100" i="37"/>
  <c r="B93" i="37"/>
  <c r="M4" i="37"/>
  <c r="G3" i="37"/>
  <c r="I5" i="37"/>
  <c r="M56" i="37"/>
  <c r="C49" i="37"/>
  <c r="J12" i="37"/>
  <c r="G15" i="37"/>
  <c r="I17" i="37"/>
  <c r="B20" i="37"/>
  <c r="C13" i="37"/>
  <c r="J24" i="37"/>
  <c r="G27" i="37"/>
  <c r="I29" i="37"/>
  <c r="F8" i="37"/>
  <c r="H10" i="37"/>
  <c r="D38" i="37"/>
  <c r="J39" i="37"/>
  <c r="J42" i="37"/>
  <c r="F20" i="37"/>
  <c r="H22" i="37"/>
  <c r="E51" i="37"/>
  <c r="H54" i="37"/>
  <c r="I57" i="37"/>
  <c r="D33" i="37"/>
  <c r="H34" i="37"/>
  <c r="H74" i="37"/>
  <c r="D78" i="37"/>
  <c r="E82" i="37"/>
  <c r="F46" i="37"/>
  <c r="L48" i="37"/>
  <c r="F93" i="37"/>
  <c r="J98" i="37"/>
  <c r="G103" i="37"/>
  <c r="D63" i="37"/>
  <c r="K69" i="37"/>
  <c r="G117" i="37"/>
  <c r="H124" i="37"/>
  <c r="F137" i="37"/>
  <c r="H86" i="37"/>
  <c r="I89" i="37"/>
  <c r="H152" i="37"/>
  <c r="G159" i="37"/>
  <c r="G168" i="37"/>
  <c r="L108" i="37"/>
  <c r="H112" i="37"/>
  <c r="H235" i="37"/>
  <c r="C350" i="37"/>
  <c r="B342" i="37"/>
  <c r="E142" i="37"/>
  <c r="F147" i="37"/>
  <c r="M319" i="37"/>
  <c r="B313" i="37"/>
  <c r="C306" i="37"/>
  <c r="J179" i="37"/>
  <c r="L193" i="37"/>
  <c r="B284" i="37"/>
  <c r="B272" i="37"/>
  <c r="B265" i="37"/>
  <c r="B335" i="37"/>
  <c r="C328" i="37"/>
  <c r="B243" i="37"/>
  <c r="C235" i="37"/>
  <c r="B227" i="37"/>
  <c r="M297" i="37"/>
  <c r="B291" i="37"/>
  <c r="M204" i="37"/>
  <c r="B198" i="37"/>
  <c r="C191" i="37"/>
  <c r="C258" i="37"/>
  <c r="M249" i="37"/>
  <c r="B169" i="37"/>
  <c r="M160" i="37"/>
  <c r="M153" i="37"/>
  <c r="B220" i="37"/>
  <c r="C213" i="37"/>
  <c r="C126" i="37"/>
  <c r="C116" i="37"/>
  <c r="M107" i="37"/>
  <c r="M182" i="37"/>
  <c r="B176" i="37"/>
  <c r="M84" i="37"/>
  <c r="B78" i="37"/>
  <c r="M67" i="37"/>
  <c r="M146" i="37"/>
  <c r="C139" i="37"/>
  <c r="M41" i="37"/>
  <c r="C34" i="37"/>
  <c r="C27" i="37"/>
  <c r="B101" i="37"/>
  <c r="C93" i="37"/>
  <c r="B5" i="37"/>
  <c r="H3" i="37"/>
  <c r="J5" i="37"/>
  <c r="M55" i="37"/>
  <c r="M48" i="37"/>
  <c r="F13" i="37"/>
  <c r="H15" i="37"/>
  <c r="J17" i="37"/>
  <c r="C20" i="37"/>
  <c r="B12" i="37"/>
  <c r="F25" i="37"/>
  <c r="H27" i="37"/>
  <c r="J29" i="37"/>
  <c r="G8" i="37"/>
  <c r="I10" i="37"/>
  <c r="G37" i="37"/>
  <c r="F40" i="37"/>
  <c r="F43" i="37"/>
  <c r="G20" i="37"/>
  <c r="I22" i="37"/>
  <c r="K52" i="37"/>
  <c r="I54" i="37"/>
  <c r="L59" i="37"/>
  <c r="G32" i="37"/>
  <c r="I34" i="37"/>
  <c r="I74" i="37"/>
  <c r="G77" i="37"/>
  <c r="F82" i="37"/>
  <c r="G46" i="37"/>
  <c r="E48" i="37"/>
  <c r="D94" i="37"/>
  <c r="K98" i="37"/>
  <c r="E104" i="37"/>
  <c r="G62" i="37"/>
  <c r="L69" i="37"/>
  <c r="H117" i="37"/>
  <c r="I124" i="37"/>
  <c r="I136" i="37"/>
  <c r="K85" i="37"/>
  <c r="J89" i="37"/>
  <c r="K152" i="37"/>
  <c r="I159" i="37"/>
  <c r="E169" i="37"/>
  <c r="E108" i="37"/>
  <c r="L113" i="37"/>
  <c r="J237" i="37"/>
  <c r="B463" i="37"/>
  <c r="F142" i="37"/>
  <c r="J146" i="37"/>
  <c r="C441" i="37"/>
  <c r="M425" i="37"/>
  <c r="M417" i="37"/>
  <c r="D180" i="37"/>
  <c r="J193" i="37"/>
  <c r="M395" i="37"/>
  <c r="B388" i="37"/>
  <c r="C381" i="37"/>
  <c r="C456" i="37"/>
  <c r="M447" i="37"/>
  <c r="M356" i="37"/>
  <c r="C349" i="37"/>
  <c r="C342" i="37"/>
  <c r="B411" i="37"/>
  <c r="B404" i="37"/>
  <c r="B320" i="37"/>
  <c r="C313" i="37"/>
  <c r="M304" i="37"/>
  <c r="M372" i="37"/>
  <c r="M363" i="37"/>
  <c r="M282" i="37"/>
  <c r="C272" i="37"/>
  <c r="C265" i="37"/>
  <c r="C335" i="37"/>
  <c r="B327" i="37"/>
  <c r="C243" i="37"/>
  <c r="C234" i="37"/>
  <c r="C227" i="37"/>
  <c r="B298" i="37"/>
  <c r="C291" i="37"/>
  <c r="B205" i="37"/>
  <c r="C198" i="37"/>
  <c r="M189" i="37"/>
  <c r="B257" i="37"/>
  <c r="B250" i="37"/>
  <c r="M167" i="37"/>
  <c r="B161" i="37"/>
  <c r="B154" i="37"/>
  <c r="C220" i="37"/>
  <c r="B212" i="37"/>
  <c r="M124" i="37"/>
  <c r="M114" i="37"/>
  <c r="B108" i="37"/>
  <c r="B183" i="37"/>
  <c r="C176" i="37"/>
  <c r="B85" i="37"/>
  <c r="C78" i="37"/>
  <c r="B67" i="37"/>
  <c r="M145" i="37"/>
  <c r="M138" i="37"/>
  <c r="M40" i="37"/>
  <c r="M33" i="37"/>
  <c r="M26" i="37"/>
  <c r="C101" i="37"/>
  <c r="B92" i="37"/>
  <c r="C5" i="37"/>
  <c r="I3" i="37"/>
  <c r="F6" i="37"/>
  <c r="B56" i="37"/>
  <c r="B49" i="37"/>
  <c r="G13" i="37"/>
  <c r="I15" i="37"/>
  <c r="F18" i="37"/>
  <c r="C19" i="37"/>
  <c r="C12" i="37"/>
  <c r="G25" i="37"/>
  <c r="I27" i="37"/>
  <c r="F30" i="37"/>
  <c r="H8" i="37"/>
  <c r="J10" i="37"/>
  <c r="H37" i="37"/>
  <c r="G40" i="37"/>
  <c r="G43" i="37"/>
  <c r="H20" i="37"/>
  <c r="J22" i="37"/>
  <c r="D52" i="37"/>
  <c r="J54" i="37"/>
  <c r="D59" i="37"/>
  <c r="H32" i="37"/>
  <c r="J34" i="37"/>
  <c r="L74" i="37"/>
  <c r="K78" i="37"/>
  <c r="I81" i="37"/>
  <c r="H46" i="37"/>
  <c r="K49" i="37"/>
  <c r="E94" i="37"/>
  <c r="K99" i="37"/>
  <c r="G104" i="37"/>
  <c r="K63" i="37"/>
  <c r="D69" i="37"/>
  <c r="L118" i="37"/>
  <c r="J124" i="37"/>
  <c r="J136" i="37"/>
  <c r="F85" i="37"/>
  <c r="I90" i="37"/>
  <c r="H153" i="37"/>
  <c r="I160" i="37"/>
  <c r="L169" i="37"/>
  <c r="F108" i="37"/>
  <c r="E113" i="37"/>
  <c r="E241" i="37"/>
  <c r="C463" i="37"/>
  <c r="M454" i="37"/>
  <c r="I141" i="37"/>
  <c r="H147" i="37"/>
  <c r="M424" i="37"/>
  <c r="B418" i="37"/>
  <c r="C411" i="37"/>
  <c r="F180" i="37"/>
  <c r="H195" i="37"/>
  <c r="C388" i="37"/>
  <c r="M379" i="37"/>
  <c r="B373" i="37"/>
  <c r="B448" i="37"/>
  <c r="M439" i="37"/>
  <c r="M348" i="37"/>
  <c r="M341" i="37"/>
  <c r="C334" i="37"/>
  <c r="M402" i="37"/>
  <c r="B396" i="37"/>
  <c r="B312" i="37"/>
  <c r="B305" i="37"/>
  <c r="C298" i="37"/>
  <c r="B364" i="37"/>
  <c r="M355" i="37"/>
  <c r="M271" i="37"/>
  <c r="C264" i="37"/>
  <c r="C257" i="37"/>
  <c r="C327" i="37"/>
  <c r="C320" i="37"/>
  <c r="M233" i="37"/>
  <c r="M226" i="37"/>
  <c r="C219" i="37"/>
  <c r="M289" i="37"/>
  <c r="B283" i="37"/>
  <c r="B197" i="37"/>
  <c r="B190" i="37"/>
  <c r="C183" i="37"/>
  <c r="C250" i="37"/>
  <c r="B242" i="37"/>
  <c r="C161" i="37"/>
  <c r="M152" i="37"/>
  <c r="B146" i="37"/>
  <c r="C212" i="37"/>
  <c r="C205" i="37"/>
  <c r="B115" i="37"/>
  <c r="C108" i="37"/>
  <c r="M99" i="37"/>
  <c r="M174" i="37"/>
  <c r="B168" i="37"/>
  <c r="B77" i="37"/>
  <c r="C67" i="37"/>
  <c r="C56" i="37"/>
  <c r="B139" i="37"/>
  <c r="C124" i="37"/>
  <c r="B34" i="37"/>
  <c r="M25" i="37"/>
  <c r="M18" i="37"/>
  <c r="C92" i="37"/>
  <c r="C85" i="37"/>
  <c r="D3" i="37"/>
  <c r="G6" i="37"/>
  <c r="I8" i="37"/>
  <c r="M47" i="37"/>
  <c r="B41" i="37"/>
  <c r="J15" i="37"/>
  <c r="G18" i="37"/>
  <c r="I20" i="37"/>
  <c r="M11" i="37"/>
  <c r="C4" i="37"/>
  <c r="J27" i="37"/>
  <c r="G30" i="37"/>
  <c r="I32" i="37"/>
  <c r="F11" i="37"/>
  <c r="H13" i="37"/>
  <c r="H40" i="37"/>
  <c r="H43" i="37"/>
  <c r="K45" i="37"/>
  <c r="F23" i="37"/>
  <c r="H25" i="37"/>
  <c r="F55" i="37"/>
  <c r="E59" i="37"/>
  <c r="L63" i="37"/>
  <c r="F35" i="37"/>
  <c r="I37" i="37"/>
  <c r="L78" i="37"/>
  <c r="H82" i="37"/>
  <c r="G85" i="37"/>
  <c r="L49" i="37"/>
  <c r="E52" i="37"/>
  <c r="D99" i="37"/>
  <c r="J103" i="37"/>
  <c r="H108" i="37"/>
  <c r="D70" i="37"/>
  <c r="H75" i="37"/>
  <c r="L126" i="37"/>
  <c r="H137" i="37"/>
  <c r="K141" i="37"/>
  <c r="J90" i="37"/>
  <c r="F94" i="37"/>
  <c r="L160" i="37"/>
  <c r="H171" i="37"/>
  <c r="D181" i="37"/>
  <c r="G113" i="37"/>
  <c r="F118" i="37"/>
  <c r="H155" i="37"/>
  <c r="J157" i="37"/>
  <c r="L159" i="37"/>
  <c r="I147" i="37"/>
  <c r="I153" i="37"/>
  <c r="H167" i="37"/>
  <c r="J169" i="37"/>
  <c r="K171" i="37"/>
  <c r="F195" i="37"/>
  <c r="E244" i="37"/>
  <c r="H179" i="37"/>
  <c r="I181" i="37"/>
  <c r="J183" i="37"/>
  <c r="I162" i="37"/>
  <c r="K164" i="37"/>
  <c r="E192" i="37"/>
  <c r="F194" i="37"/>
  <c r="G196" i="37"/>
  <c r="I174" i="37"/>
  <c r="J176" i="37"/>
  <c r="D204" i="37"/>
  <c r="E206" i="37"/>
  <c r="G208" i="37"/>
  <c r="F187" i="37"/>
  <c r="G189" i="37"/>
  <c r="L216" i="37"/>
  <c r="E218" i="37"/>
  <c r="G220" i="37"/>
  <c r="E199" i="37"/>
  <c r="F201" i="37"/>
  <c r="K228" i="37"/>
  <c r="L230" i="37"/>
  <c r="G232" i="37"/>
  <c r="D211" i="37"/>
  <c r="F213" i="37"/>
  <c r="K241" i="37"/>
  <c r="K244" i="37"/>
  <c r="J247" i="37"/>
  <c r="L223" i="37"/>
  <c r="F225" i="37"/>
  <c r="H254" i="37"/>
  <c r="G257" i="37"/>
  <c r="F260" i="37"/>
  <c r="K235" i="37"/>
  <c r="D238" i="37"/>
  <c r="E269" i="37"/>
  <c r="H271" i="37"/>
  <c r="J273" i="37"/>
  <c r="I250" i="37"/>
  <c r="E252" i="37"/>
  <c r="D286" i="37"/>
  <c r="E289" i="37"/>
  <c r="F292" i="37"/>
  <c r="E263" i="37"/>
  <c r="D266" i="37"/>
  <c r="D300" i="37"/>
  <c r="D303" i="37"/>
  <c r="G305" i="37"/>
  <c r="J276" i="37"/>
  <c r="L283" i="37"/>
  <c r="I314" i="37"/>
  <c r="I317" i="37"/>
  <c r="I320" i="37"/>
  <c r="K294" i="37"/>
  <c r="K297" i="37"/>
  <c r="K329" i="37"/>
  <c r="K333" i="37"/>
  <c r="K337" i="37"/>
  <c r="G308" i="37"/>
  <c r="F312" i="37"/>
  <c r="F348" i="37"/>
  <c r="H353" i="37"/>
  <c r="H357" i="37"/>
  <c r="D323" i="37"/>
  <c r="D326" i="37"/>
  <c r="G372" i="37"/>
  <c r="D378" i="37"/>
  <c r="I383" i="37"/>
  <c r="L341" i="37"/>
  <c r="I345" i="37"/>
  <c r="D401" i="37"/>
  <c r="F408" i="37"/>
  <c r="D416" i="37"/>
  <c r="G361" i="37"/>
  <c r="F365" i="37"/>
  <c r="D89" i="37"/>
  <c r="E91" i="37"/>
  <c r="G93" i="37"/>
  <c r="G389" i="37"/>
  <c r="I395" i="37"/>
  <c r="I102" i="37"/>
  <c r="K104" i="37"/>
  <c r="L106" i="37"/>
  <c r="I434" i="37"/>
  <c r="G454" i="37"/>
  <c r="I114" i="37"/>
  <c r="J116" i="37"/>
  <c r="K118" i="37"/>
  <c r="J97" i="37"/>
  <c r="L99" i="37"/>
  <c r="H136" i="37"/>
  <c r="L137" i="37"/>
  <c r="E140" i="37"/>
  <c r="J109" i="37"/>
  <c r="K111" i="37"/>
  <c r="H148" i="37"/>
  <c r="J150" i="37"/>
  <c r="D152" i="37"/>
  <c r="I121" i="37"/>
  <c r="I126" i="37"/>
  <c r="H160" i="37"/>
  <c r="J162" i="37"/>
  <c r="L164" i="37"/>
  <c r="I143" i="37"/>
  <c r="D145" i="37"/>
  <c r="H172" i="37"/>
  <c r="J174" i="37"/>
  <c r="K176" i="37"/>
  <c r="I155" i="37"/>
  <c r="K157" i="37"/>
  <c r="H184" i="37"/>
  <c r="I186" i="37"/>
  <c r="J188" i="37"/>
  <c r="I167" i="37"/>
  <c r="K169" i="37"/>
  <c r="E197" i="37"/>
  <c r="F199" i="37"/>
  <c r="G201" i="37"/>
  <c r="I179" i="37"/>
  <c r="J181" i="37"/>
  <c r="D209" i="37"/>
  <c r="E211" i="37"/>
  <c r="G213" i="37"/>
  <c r="F192" i="37"/>
  <c r="G194" i="37"/>
  <c r="L221" i="37"/>
  <c r="E223" i="37"/>
  <c r="G225" i="37"/>
  <c r="E204" i="37"/>
  <c r="F206" i="37"/>
  <c r="K233" i="37"/>
  <c r="L235" i="37"/>
  <c r="K238" i="37"/>
  <c r="D216" i="37"/>
  <c r="F218" i="37"/>
  <c r="K247" i="37"/>
  <c r="J250" i="37"/>
  <c r="I253" i="37"/>
  <c r="L228" i="37"/>
  <c r="F230" i="37"/>
  <c r="G260" i="37"/>
  <c r="F263" i="37"/>
  <c r="F266" i="37"/>
  <c r="L241" i="37"/>
  <c r="L244" i="37"/>
  <c r="K273" i="37"/>
  <c r="K276" i="37"/>
  <c r="E283" i="37"/>
  <c r="K255" i="37"/>
  <c r="H257" i="37"/>
  <c r="J291" i="37"/>
  <c r="L294" i="37"/>
  <c r="D297" i="37"/>
  <c r="F269" i="37"/>
  <c r="F272" i="37"/>
  <c r="L306" i="37"/>
  <c r="D309" i="37"/>
  <c r="I311" i="37"/>
  <c r="E286" i="37"/>
  <c r="F289" i="37"/>
  <c r="J320" i="37"/>
  <c r="G322" i="37"/>
  <c r="F326" i="37"/>
  <c r="E300" i="37"/>
  <c r="K303" i="37"/>
  <c r="D337" i="37"/>
  <c r="D341" i="37"/>
  <c r="J345" i="37"/>
  <c r="J314" i="37"/>
  <c r="J317" i="37"/>
  <c r="I357" i="37"/>
  <c r="J361" i="37"/>
  <c r="F366" i="37"/>
  <c r="H330" i="37"/>
  <c r="E333" i="37"/>
  <c r="G384" i="37"/>
  <c r="J388" i="37"/>
  <c r="J395" i="37"/>
  <c r="G348" i="37"/>
  <c r="I353" i="37"/>
  <c r="G417" i="37"/>
  <c r="I435" i="37"/>
  <c r="I455" i="37"/>
  <c r="G373" i="37"/>
  <c r="F378" i="37"/>
  <c r="E202" i="37"/>
  <c r="F204" i="37"/>
  <c r="G206" i="37"/>
  <c r="K402" i="37"/>
  <c r="G409" i="37"/>
  <c r="D214" i="37"/>
  <c r="E216" i="37"/>
  <c r="G218" i="37"/>
  <c r="F197" i="37"/>
  <c r="G199" i="37"/>
  <c r="L226" i="37"/>
  <c r="E228" i="37"/>
  <c r="G230" i="37"/>
  <c r="E209" i="37"/>
  <c r="F211" i="37"/>
  <c r="L238" i="37"/>
  <c r="I242" i="37"/>
  <c r="D244" i="37"/>
  <c r="D221" i="37"/>
  <c r="F223" i="37"/>
  <c r="D253" i="37"/>
  <c r="L255" i="37"/>
  <c r="L258" i="37"/>
  <c r="L233" i="37"/>
  <c r="F235" i="37"/>
  <c r="G266" i="37"/>
  <c r="G269" i="37"/>
  <c r="I271" i="37"/>
  <c r="D247" i="37"/>
  <c r="D250" i="37"/>
  <c r="G283" i="37"/>
  <c r="F286" i="37"/>
  <c r="G289" i="37"/>
  <c r="H260" i="37"/>
  <c r="G263" i="37"/>
  <c r="H298" i="37"/>
  <c r="H301" i="37"/>
  <c r="L303" i="37"/>
  <c r="I274" i="37"/>
  <c r="L276" i="37"/>
  <c r="J311" i="37"/>
  <c r="K314" i="37"/>
  <c r="K317" i="37"/>
  <c r="H292" i="37"/>
  <c r="H295" i="37"/>
  <c r="G326" i="37"/>
  <c r="J330" i="37"/>
  <c r="G333" i="37"/>
  <c r="D306" i="37"/>
  <c r="F309" i="37"/>
  <c r="D345" i="37"/>
  <c r="F349" i="37"/>
  <c r="D353" i="37"/>
  <c r="E320" i="37"/>
  <c r="K323" i="37"/>
  <c r="I366" i="37"/>
  <c r="G374" i="37"/>
  <c r="F379" i="37"/>
  <c r="H338" i="37"/>
  <c r="E341" i="37"/>
  <c r="F396" i="37"/>
  <c r="D402" i="37"/>
  <c r="L409" i="37"/>
  <c r="J357" i="37"/>
  <c r="K361" i="37"/>
  <c r="H456" i="37"/>
  <c r="J160" i="37"/>
  <c r="D162" i="37"/>
  <c r="J383" i="37"/>
  <c r="K388" i="37"/>
  <c r="H170" i="37"/>
  <c r="J172" i="37"/>
  <c r="L174" i="37"/>
  <c r="H417" i="37"/>
  <c r="F435" i="37"/>
  <c r="H182" i="37"/>
  <c r="J184" i="37"/>
  <c r="K186" i="37"/>
  <c r="I165" i="37"/>
  <c r="K167" i="37"/>
  <c r="H194" i="37"/>
  <c r="I196" i="37"/>
  <c r="J198" i="37"/>
  <c r="I177" i="37"/>
  <c r="K179" i="37"/>
  <c r="E207" i="37"/>
  <c r="F209" i="37"/>
  <c r="G211" i="37"/>
  <c r="I189" i="37"/>
  <c r="J191" i="37"/>
  <c r="D219" i="37"/>
  <c r="E221" i="37"/>
  <c r="G223" i="37"/>
  <c r="F202" i="37"/>
  <c r="G204" i="37"/>
  <c r="L231" i="37"/>
  <c r="E233" i="37"/>
  <c r="G235" i="37"/>
  <c r="E214" i="37"/>
  <c r="F216" i="37"/>
  <c r="I245" i="37"/>
  <c r="E247" i="37"/>
  <c r="E250" i="37"/>
  <c r="D226" i="37"/>
  <c r="F228" i="37"/>
  <c r="E258" i="37"/>
  <c r="D261" i="37"/>
  <c r="E264" i="37"/>
  <c r="E238" i="37"/>
  <c r="J242" i="37"/>
  <c r="J271" i="37"/>
  <c r="J274" i="37"/>
  <c r="L281" i="37"/>
  <c r="G252" i="37"/>
  <c r="F255" i="37"/>
  <c r="J288" i="37"/>
  <c r="I292" i="37"/>
  <c r="I295" i="37"/>
  <c r="H266" i="37"/>
  <c r="J268" i="37"/>
  <c r="E303" i="37"/>
  <c r="E306" i="37"/>
  <c r="J308" i="37"/>
  <c r="D284" i="37"/>
  <c r="G286" i="37"/>
  <c r="D317" i="37"/>
  <c r="H321" i="37"/>
  <c r="L323" i="37"/>
  <c r="I298" i="37"/>
  <c r="K300" i="37"/>
  <c r="D334" i="37"/>
  <c r="I338" i="37"/>
  <c r="F341" i="37"/>
  <c r="K311" i="37"/>
  <c r="L314" i="37"/>
  <c r="K353" i="37"/>
  <c r="K357" i="37"/>
  <c r="H362" i="37"/>
  <c r="E327" i="37"/>
  <c r="D330" i="37"/>
  <c r="J378" i="37"/>
  <c r="K383" i="37"/>
  <c r="L388" i="37"/>
  <c r="E345" i="37"/>
  <c r="J348" i="37"/>
  <c r="D409" i="37"/>
  <c r="I417" i="37"/>
  <c r="F437" i="37"/>
  <c r="J366" i="37"/>
  <c r="J373" i="37"/>
  <c r="K145" i="37"/>
  <c r="D148" i="37"/>
  <c r="H151" i="37"/>
  <c r="J396" i="37"/>
  <c r="E402" i="37"/>
  <c r="I158" i="37"/>
  <c r="D160" i="37"/>
  <c r="H163" i="37"/>
  <c r="K457" i="37"/>
  <c r="G142" i="37"/>
  <c r="I170" i="37"/>
  <c r="K172" i="37"/>
  <c r="H175" i="37"/>
  <c r="L152" i="37"/>
  <c r="E155" i="37"/>
  <c r="I182" i="37"/>
  <c r="K184" i="37"/>
  <c r="H187" i="37"/>
  <c r="J165" i="37"/>
  <c r="D167" i="37"/>
  <c r="I194" i="37"/>
  <c r="J196" i="37"/>
  <c r="H199" i="37"/>
  <c r="J177" i="37"/>
  <c r="L179" i="37"/>
  <c r="F207" i="37"/>
  <c r="G209" i="37"/>
  <c r="E212" i="37"/>
  <c r="J189" i="37"/>
  <c r="K191" i="37"/>
  <c r="E219" i="37"/>
  <c r="F221" i="37"/>
  <c r="D224" i="37"/>
  <c r="I201" i="37"/>
  <c r="J203" i="37"/>
  <c r="D231" i="37"/>
  <c r="F233" i="37"/>
  <c r="L236" i="37"/>
  <c r="F214" i="37"/>
  <c r="G216" i="37"/>
  <c r="J245" i="37"/>
  <c r="I248" i="37"/>
  <c r="K250" i="37"/>
  <c r="E226" i="37"/>
  <c r="G228" i="37"/>
  <c r="F258" i="37"/>
  <c r="E261" i="37"/>
  <c r="F264" i="37"/>
  <c r="F238" i="37"/>
  <c r="K242" i="37"/>
  <c r="K271" i="37"/>
  <c r="K274" i="37"/>
  <c r="E281" i="37"/>
  <c r="H252" i="37"/>
  <c r="G255" i="37"/>
  <c r="I289" i="37"/>
  <c r="J292" i="37"/>
  <c r="J295" i="37"/>
  <c r="F267" i="37"/>
  <c r="K268" i="37"/>
  <c r="F303" i="37"/>
  <c r="F306" i="37"/>
  <c r="H309" i="37"/>
  <c r="E284" i="37"/>
  <c r="E287" i="37"/>
  <c r="H318" i="37"/>
  <c r="K320" i="37"/>
  <c r="E323" i="37"/>
  <c r="L297" i="37"/>
  <c r="F300" i="37"/>
  <c r="E334" i="37"/>
  <c r="L337" i="37"/>
  <c r="F342" i="37"/>
  <c r="H312" i="37"/>
  <c r="H315" i="37"/>
  <c r="L353" i="37"/>
  <c r="D357" i="37"/>
  <c r="I362" i="37"/>
  <c r="F327" i="37"/>
  <c r="E330" i="37"/>
  <c r="K378" i="37"/>
  <c r="L383" i="37"/>
  <c r="E389" i="37"/>
  <c r="H346" i="37"/>
  <c r="K349" i="37"/>
  <c r="E409" i="37"/>
  <c r="I418" i="37"/>
  <c r="J436" i="37"/>
  <c r="K366" i="37"/>
  <c r="K373" i="37"/>
  <c r="I62" i="37"/>
  <c r="K64" i="37"/>
  <c r="F70" i="37"/>
  <c r="E396" i="37"/>
  <c r="F402" i="37"/>
  <c r="I79" i="37"/>
  <c r="J81" i="37"/>
  <c r="H84" i="37"/>
  <c r="F459" i="37"/>
  <c r="J57" i="37"/>
  <c r="F92" i="37"/>
  <c r="G94" i="37"/>
  <c r="I98" i="37"/>
  <c r="J74" i="37"/>
  <c r="K76" i="37"/>
  <c r="J105" i="37"/>
  <c r="D107" i="37"/>
  <c r="I110" i="37"/>
  <c r="I86" i="37"/>
  <c r="J88" i="37"/>
  <c r="J117" i="37"/>
  <c r="L119" i="37"/>
  <c r="K124" i="37"/>
  <c r="D100" i="37"/>
  <c r="E102" i="37"/>
  <c r="L138" i="37"/>
  <c r="F140" i="37"/>
  <c r="K143" i="37"/>
  <c r="K112" i="37"/>
  <c r="D114" i="37"/>
  <c r="K150" i="37"/>
  <c r="D153" i="37"/>
  <c r="H156" i="37"/>
  <c r="K129" i="37"/>
  <c r="G135" i="37"/>
  <c r="I163" i="37"/>
  <c r="D165" i="37"/>
  <c r="H168" i="37"/>
  <c r="L145" i="37"/>
  <c r="G147" i="37"/>
  <c r="I175" i="37"/>
  <c r="K177" i="37"/>
  <c r="H180" i="37"/>
  <c r="L157" i="37"/>
  <c r="E160" i="37"/>
  <c r="I187" i="37"/>
  <c r="K189" i="37"/>
  <c r="H192" i="37"/>
  <c r="J170" i="37"/>
  <c r="D172" i="37"/>
  <c r="I199" i="37"/>
  <c r="J201" i="37"/>
  <c r="H204" i="37"/>
  <c r="J182" i="37"/>
  <c r="L184" i="37"/>
  <c r="F212" i="37"/>
  <c r="G214" i="37"/>
  <c r="E217" i="37"/>
  <c r="J194" i="37"/>
  <c r="K196" i="37"/>
  <c r="E224" i="37"/>
  <c r="F226" i="37"/>
  <c r="D229" i="37"/>
  <c r="I206" i="37"/>
  <c r="J208" i="37"/>
  <c r="D236" i="37"/>
  <c r="G238" i="37"/>
  <c r="D242" i="37"/>
  <c r="F219" i="37"/>
  <c r="G221" i="37"/>
  <c r="L250" i="37"/>
  <c r="L253" i="37"/>
  <c r="H255" i="37"/>
  <c r="E231" i="37"/>
  <c r="G233" i="37"/>
  <c r="G264" i="37"/>
  <c r="I266" i="37"/>
  <c r="I269" i="37"/>
  <c r="D245" i="37"/>
  <c r="L247" i="37"/>
  <c r="F281" i="37"/>
  <c r="F284" i="37"/>
  <c r="F287" i="37"/>
  <c r="G258" i="37"/>
  <c r="G261" i="37"/>
  <c r="D295" i="37"/>
  <c r="D298" i="37"/>
  <c r="G300" i="37"/>
  <c r="L271" i="37"/>
  <c r="L274" i="37"/>
  <c r="I309" i="37"/>
  <c r="I312" i="37"/>
  <c r="I315" i="37"/>
  <c r="K289" i="37"/>
  <c r="K292" i="37"/>
  <c r="G323" i="37"/>
  <c r="I326" i="37"/>
  <c r="H331" i="37"/>
  <c r="G303" i="37"/>
  <c r="E307" i="37"/>
  <c r="J341" i="37"/>
  <c r="L345" i="37"/>
  <c r="L349" i="37"/>
  <c r="L317" i="37"/>
  <c r="L320" i="37"/>
  <c r="J362" i="37"/>
  <c r="H367" i="37"/>
  <c r="L373" i="37"/>
  <c r="F334" i="37"/>
  <c r="D338" i="37"/>
  <c r="F391" i="37"/>
  <c r="D397" i="37"/>
  <c r="J402" i="37"/>
  <c r="E353" i="37"/>
  <c r="H358" i="37"/>
  <c r="K438" i="37"/>
  <c r="D459" i="37"/>
  <c r="G70" i="37"/>
  <c r="L378" i="37"/>
  <c r="J384" i="37"/>
  <c r="J79" i="37"/>
  <c r="K81" i="37"/>
  <c r="I84" i="37"/>
  <c r="F410" i="37"/>
  <c r="E418" i="37"/>
  <c r="I91" i="37"/>
  <c r="J93" i="37"/>
  <c r="L97" i="37"/>
  <c r="K74" i="37"/>
  <c r="H77" i="37"/>
  <c r="D105" i="37"/>
  <c r="E107" i="37"/>
  <c r="J110" i="37"/>
  <c r="J86" i="37"/>
  <c r="H89" i="37"/>
  <c r="K117" i="37"/>
  <c r="D119" i="37"/>
  <c r="L124" i="37"/>
  <c r="E100" i="37"/>
  <c r="I103" i="37"/>
  <c r="E138" i="37"/>
  <c r="G140" i="37"/>
  <c r="L143" i="37"/>
  <c r="D112" i="37"/>
  <c r="I115" i="37"/>
  <c r="L150" i="37"/>
  <c r="G152" i="37"/>
  <c r="K155" i="37"/>
  <c r="L129" i="37"/>
  <c r="L136" i="37"/>
  <c r="L162" i="37"/>
  <c r="E165" i="37"/>
  <c r="I168" i="37"/>
  <c r="F145" i="37"/>
  <c r="K148" i="37"/>
  <c r="J175" i="37"/>
  <c r="D177" i="37"/>
  <c r="I180" i="37"/>
  <c r="D158" i="37"/>
  <c r="H161" i="37"/>
  <c r="J187" i="37"/>
  <c r="L189" i="37"/>
  <c r="I192" i="37"/>
  <c r="D170" i="37"/>
  <c r="H173" i="37"/>
  <c r="J199" i="37"/>
  <c r="K201" i="37"/>
  <c r="I204" i="37"/>
  <c r="K182" i="37"/>
  <c r="H185" i="37"/>
  <c r="I211" i="37"/>
  <c r="J213" i="37"/>
  <c r="F217" i="37"/>
  <c r="K194" i="37"/>
  <c r="H197" i="37"/>
  <c r="F224" i="37"/>
  <c r="G226" i="37"/>
  <c r="E229" i="37"/>
  <c r="J206" i="37"/>
  <c r="H209" i="37"/>
  <c r="E236" i="37"/>
  <c r="D239" i="37"/>
  <c r="E242" i="37"/>
  <c r="G219" i="37"/>
  <c r="E222" i="37"/>
  <c r="F250" i="37"/>
  <c r="E253" i="37"/>
  <c r="D256" i="37"/>
  <c r="F231" i="37"/>
  <c r="D234" i="37"/>
  <c r="J263" i="37"/>
  <c r="J266" i="37"/>
  <c r="J269" i="37"/>
  <c r="E245" i="37"/>
  <c r="G247" i="37"/>
  <c r="G281" i="37"/>
  <c r="G284" i="37"/>
  <c r="I286" i="37"/>
  <c r="H258" i="37"/>
  <c r="H261" i="37"/>
  <c r="E295" i="37"/>
  <c r="G297" i="37"/>
  <c r="L301" i="37"/>
  <c r="I272" i="37"/>
  <c r="I275" i="37"/>
  <c r="J309" i="37"/>
  <c r="J312" i="37"/>
  <c r="J315" i="37"/>
  <c r="L289" i="37"/>
  <c r="D292" i="37"/>
  <c r="E324" i="37"/>
  <c r="K326" i="37"/>
  <c r="K330" i="37"/>
  <c r="D304" i="37"/>
  <c r="I306" i="37"/>
  <c r="J342" i="37"/>
  <c r="G345" i="37"/>
  <c r="H350" i="37"/>
  <c r="D318" i="37"/>
  <c r="F320" i="37"/>
  <c r="K362" i="37"/>
  <c r="I367" i="37"/>
  <c r="J374" i="37"/>
  <c r="H334" i="37"/>
  <c r="G337" i="37"/>
  <c r="G391" i="37"/>
  <c r="E397" i="37"/>
  <c r="F403" i="37"/>
  <c r="F353" i="37"/>
  <c r="L357" i="37"/>
  <c r="G439" i="37"/>
  <c r="G461" i="37"/>
  <c r="D110" i="37"/>
  <c r="J379" i="37"/>
  <c r="J385" i="37"/>
  <c r="D117" i="37"/>
  <c r="I120" i="37"/>
  <c r="D124" i="37"/>
  <c r="G410" i="37"/>
  <c r="K419" i="37"/>
  <c r="F138" i="37"/>
  <c r="L141" i="37"/>
  <c r="E143" i="37"/>
  <c r="E112" i="37"/>
  <c r="J115" i="37"/>
  <c r="F150" i="37"/>
  <c r="K153" i="37"/>
  <c r="L155" i="37"/>
  <c r="D129" i="37"/>
  <c r="D136" i="37"/>
  <c r="D163" i="37"/>
  <c r="H166" i="37"/>
  <c r="L167" i="37"/>
  <c r="G145" i="37"/>
  <c r="L148" i="37"/>
  <c r="D175" i="37"/>
  <c r="H178" i="37"/>
  <c r="J180" i="37"/>
  <c r="G157" i="37"/>
  <c r="K160" i="37"/>
  <c r="K187" i="37"/>
  <c r="H190" i="37"/>
  <c r="J192" i="37"/>
  <c r="E170" i="37"/>
  <c r="I173" i="37"/>
  <c r="K199" i="37"/>
  <c r="H202" i="37"/>
  <c r="J204" i="37"/>
  <c r="D182" i="37"/>
  <c r="I185" i="37"/>
  <c r="J211" i="37"/>
  <c r="H214" i="37"/>
  <c r="I216" i="37"/>
  <c r="L194" i="37"/>
  <c r="I197" i="37"/>
  <c r="G224" i="37"/>
  <c r="E227" i="37"/>
  <c r="F229" i="37"/>
  <c r="K206" i="37"/>
  <c r="I209" i="37"/>
  <c r="F236" i="37"/>
  <c r="E239" i="37"/>
  <c r="I243" i="37"/>
  <c r="J218" i="37"/>
  <c r="F222" i="37"/>
  <c r="G250" i="37"/>
  <c r="F253" i="37"/>
  <c r="E256" i="37"/>
  <c r="G231" i="37"/>
  <c r="E234" i="37"/>
  <c r="K263" i="37"/>
  <c r="K266" i="37"/>
  <c r="K269" i="37"/>
  <c r="H244" i="37"/>
  <c r="H247" i="37"/>
  <c r="E282" i="37"/>
  <c r="J283" i="37"/>
  <c r="K286" i="37"/>
  <c r="F259" i="37"/>
  <c r="F262" i="37"/>
  <c r="H296" i="37"/>
  <c r="L298" i="37"/>
  <c r="D301" i="37"/>
  <c r="J272" i="37"/>
  <c r="J275" i="37"/>
  <c r="K309" i="37"/>
  <c r="K312" i="37"/>
  <c r="D315" i="37"/>
  <c r="H290" i="37"/>
  <c r="H293" i="37"/>
  <c r="F324" i="37"/>
  <c r="I327" i="37"/>
  <c r="L330" i="37"/>
  <c r="E304" i="37"/>
  <c r="J306" i="37"/>
  <c r="K342" i="37"/>
  <c r="L346" i="37"/>
  <c r="I350" i="37"/>
  <c r="G317" i="37"/>
  <c r="G320" i="37"/>
  <c r="D362" i="37"/>
  <c r="J367" i="37"/>
  <c r="K374" i="37"/>
  <c r="J334" i="37"/>
  <c r="L338" i="37"/>
  <c r="K391" i="37"/>
  <c r="F397" i="37"/>
  <c r="G403" i="37"/>
  <c r="G354" i="37"/>
  <c r="K358" i="37"/>
  <c r="H439" i="37"/>
  <c r="J462" i="37"/>
  <c r="K204" i="37"/>
  <c r="K379" i="37"/>
  <c r="D385" i="37"/>
  <c r="K211" i="37"/>
  <c r="I214" i="37"/>
  <c r="J216" i="37"/>
  <c r="H410" i="37"/>
  <c r="I419" i="37"/>
  <c r="J223" i="37"/>
  <c r="F227" i="37"/>
  <c r="G229" i="37"/>
  <c r="H207" i="37"/>
  <c r="J209" i="37"/>
  <c r="G236" i="37"/>
  <c r="F239" i="37"/>
  <c r="L242" i="37"/>
  <c r="H219" i="37"/>
  <c r="I221" i="37"/>
  <c r="H250" i="37"/>
  <c r="G253" i="37"/>
  <c r="F256" i="37"/>
  <c r="E232" i="37"/>
  <c r="F234" i="37"/>
  <c r="I264" i="37"/>
  <c r="L266" i="37"/>
  <c r="L269" i="37"/>
  <c r="L245" i="37"/>
  <c r="L248" i="37"/>
  <c r="F282" i="37"/>
  <c r="H284" i="37"/>
  <c r="I287" i="37"/>
  <c r="G259" i="37"/>
  <c r="I261" i="37"/>
  <c r="K295" i="37"/>
  <c r="E298" i="37"/>
  <c r="E301" i="37"/>
  <c r="D272" i="37"/>
  <c r="D275" i="37"/>
  <c r="L309" i="37"/>
  <c r="D312" i="37"/>
  <c r="H316" i="37"/>
  <c r="I290" i="37"/>
  <c r="I293" i="37"/>
  <c r="G324" i="37"/>
  <c r="K327" i="37"/>
  <c r="F330" i="37"/>
  <c r="G304" i="37"/>
  <c r="K306" i="37"/>
  <c r="D342" i="37"/>
  <c r="D346" i="37"/>
  <c r="J350" i="37"/>
  <c r="K318" i="37"/>
  <c r="L321" i="37"/>
  <c r="I363" i="37"/>
  <c r="K367" i="37"/>
  <c r="L374" i="37"/>
  <c r="I335" i="37"/>
  <c r="F338" i="37"/>
  <c r="K392" i="37"/>
  <c r="I396" i="37"/>
  <c r="J403" i="37"/>
  <c r="J354" i="37"/>
  <c r="L358" i="37"/>
  <c r="J441" i="37"/>
  <c r="E464" i="37"/>
  <c r="K77" i="37"/>
  <c r="D380" i="37"/>
  <c r="E385" i="37"/>
  <c r="L84" i="37"/>
  <c r="I87" i="37"/>
  <c r="K89" i="37"/>
  <c r="H411" i="37"/>
  <c r="F420" i="37"/>
  <c r="H97" i="37"/>
  <c r="L100" i="37"/>
  <c r="G102" i="37"/>
  <c r="H80" i="37"/>
  <c r="J82" i="37"/>
  <c r="H109" i="37"/>
  <c r="L112" i="37"/>
  <c r="E115" i="37"/>
  <c r="H92" i="37"/>
  <c r="J94" i="37"/>
  <c r="F124" i="37"/>
  <c r="E134" i="37"/>
  <c r="F136" i="37"/>
  <c r="K105" i="37"/>
  <c r="D108" i="37"/>
  <c r="G143" i="37"/>
  <c r="D146" i="37"/>
  <c r="F148" i="37"/>
  <c r="I118" i="37"/>
  <c r="D120" i="37"/>
  <c r="G155" i="37"/>
  <c r="L158" i="37"/>
  <c r="F160" i="37"/>
  <c r="D139" i="37"/>
  <c r="E141" i="37"/>
  <c r="G167" i="37"/>
  <c r="K170" i="37"/>
  <c r="D173" i="37"/>
  <c r="L151" i="37"/>
  <c r="E153" i="37"/>
  <c r="E180" i="37"/>
  <c r="I183" i="37"/>
  <c r="D185" i="37"/>
  <c r="K163" i="37"/>
  <c r="L165" i="37"/>
  <c r="D192" i="37"/>
  <c r="I195" i="37"/>
  <c r="K197" i="37"/>
  <c r="H176" i="37"/>
  <c r="L177" i="37"/>
  <c r="L204" i="37"/>
  <c r="I207" i="37"/>
  <c r="K209" i="37"/>
  <c r="H188" i="37"/>
  <c r="J190" i="37"/>
  <c r="K216" i="37"/>
  <c r="I219" i="37"/>
  <c r="J221" i="37"/>
  <c r="H200" i="37"/>
  <c r="J202" i="37"/>
  <c r="J228" i="37"/>
  <c r="F232" i="37"/>
  <c r="G234" i="37"/>
  <c r="H212" i="37"/>
  <c r="J214" i="37"/>
  <c r="D243" i="37"/>
  <c r="F245" i="37"/>
  <c r="E248" i="37"/>
  <c r="H224" i="37"/>
  <c r="I226" i="37"/>
  <c r="H256" i="37"/>
  <c r="J258" i="37"/>
  <c r="J261" i="37"/>
  <c r="E237" i="37"/>
  <c r="G239" i="37"/>
  <c r="D269" i="37"/>
  <c r="E272" i="37"/>
  <c r="E275" i="37"/>
  <c r="D251" i="37"/>
  <c r="H253" i="37"/>
  <c r="J287" i="37"/>
  <c r="J290" i="37"/>
  <c r="L292" i="37"/>
  <c r="J264" i="37"/>
  <c r="I267" i="37"/>
  <c r="F301" i="37"/>
  <c r="H304" i="37"/>
  <c r="H307" i="37"/>
  <c r="I281" i="37"/>
  <c r="I284" i="37"/>
  <c r="K315" i="37"/>
  <c r="L318" i="37"/>
  <c r="E321" i="37"/>
  <c r="L295" i="37"/>
  <c r="F298" i="37"/>
  <c r="L331" i="37"/>
  <c r="J335" i="37"/>
  <c r="G338" i="37"/>
  <c r="H310" i="37"/>
  <c r="H313" i="37"/>
  <c r="D350" i="37"/>
  <c r="K354" i="37"/>
  <c r="E358" i="37"/>
  <c r="J323" i="37"/>
  <c r="H328" i="37"/>
  <c r="E375" i="37"/>
  <c r="E380" i="37"/>
  <c r="G385" i="37"/>
  <c r="H343" i="37"/>
  <c r="E346" i="37"/>
  <c r="K404" i="37"/>
  <c r="D411" i="37"/>
  <c r="F421" i="37"/>
  <c r="G362" i="37"/>
  <c r="D368" i="37"/>
  <c r="K36" i="37"/>
  <c r="L38" i="37"/>
  <c r="J41" i="37"/>
  <c r="E392" i="37"/>
  <c r="F398" i="37"/>
  <c r="J48" i="37"/>
  <c r="K50" i="37"/>
  <c r="G54" i="37"/>
  <c r="I443" i="37"/>
  <c r="L464" i="37"/>
  <c r="I63" i="37"/>
  <c r="E67" i="37"/>
  <c r="F71" i="37"/>
  <c r="K43" i="37"/>
  <c r="L45" i="37"/>
  <c r="I80" i="37"/>
  <c r="K82" i="37"/>
  <c r="H85" i="37"/>
  <c r="H56" i="37"/>
  <c r="G59" i="37"/>
  <c r="I92" i="37"/>
  <c r="K94" i="37"/>
  <c r="L98" i="37"/>
  <c r="J75" i="37"/>
  <c r="D77" i="37"/>
  <c r="L105" i="37"/>
  <c r="G107" i="37"/>
  <c r="K110" i="37"/>
  <c r="J87" i="37"/>
  <c r="L89" i="37"/>
  <c r="L117" i="37"/>
  <c r="E120" i="37"/>
  <c r="G126" i="37"/>
  <c r="F100" i="37"/>
  <c r="H102" i="37"/>
  <c r="E139" i="37"/>
  <c r="F141" i="37"/>
  <c r="D144" i="37"/>
  <c r="D113" i="37"/>
  <c r="H114" i="37"/>
  <c r="D151" i="37"/>
  <c r="F153" i="37"/>
  <c r="L156" i="37"/>
  <c r="F134" i="37"/>
  <c r="G136" i="37"/>
  <c r="L163" i="37"/>
  <c r="F165" i="37"/>
  <c r="K168" i="37"/>
  <c r="E146" i="37"/>
  <c r="G148" i="37"/>
  <c r="K175" i="37"/>
  <c r="D178" i="37"/>
  <c r="H181" i="37"/>
  <c r="E158" i="37"/>
  <c r="G160" i="37"/>
  <c r="I188" i="37"/>
  <c r="D190" i="37"/>
  <c r="H193" i="37"/>
  <c r="L170" i="37"/>
  <c r="G172" i="37"/>
  <c r="I200" i="37"/>
  <c r="K202" i="37"/>
  <c r="H205" i="37"/>
  <c r="L182" i="37"/>
  <c r="E185" i="37"/>
  <c r="I212" i="37"/>
  <c r="K214" i="37"/>
  <c r="H217" i="37"/>
  <c r="J195" i="37"/>
  <c r="D197" i="37"/>
  <c r="I224" i="37"/>
  <c r="J226" i="37"/>
  <c r="H229" i="37"/>
  <c r="J207" i="37"/>
  <c r="L209" i="37"/>
  <c r="F237" i="37"/>
  <c r="J238" i="37"/>
  <c r="H242" i="37"/>
  <c r="J219" i="37"/>
  <c r="K221" i="37"/>
  <c r="E251" i="37"/>
  <c r="E254" i="37"/>
  <c r="F257" i="37"/>
  <c r="I231" i="37"/>
  <c r="J233" i="37"/>
  <c r="K264" i="37"/>
  <c r="J267" i="37"/>
  <c r="J270" i="37"/>
  <c r="G245" i="37"/>
  <c r="F248" i="37"/>
  <c r="J281" i="37"/>
  <c r="J284" i="37"/>
  <c r="K287" i="37"/>
  <c r="K258" i="37"/>
  <c r="K261" i="37"/>
  <c r="G295" i="37"/>
  <c r="G298" i="37"/>
  <c r="G301" i="37"/>
  <c r="I273" i="37"/>
  <c r="H274" i="37"/>
  <c r="I310" i="37"/>
  <c r="I313" i="37"/>
  <c r="L315" i="37"/>
  <c r="D290" i="37"/>
  <c r="D293" i="37"/>
  <c r="H324" i="37"/>
  <c r="I328" i="37"/>
  <c r="E331" i="37"/>
  <c r="I304" i="37"/>
  <c r="I307" i="37"/>
  <c r="I343" i="37"/>
  <c r="E347" i="37"/>
  <c r="E350" i="37"/>
  <c r="E318" i="37"/>
  <c r="G321" i="37"/>
  <c r="K363" i="37"/>
  <c r="G367" i="37"/>
  <c r="H374" i="37"/>
  <c r="D335" i="37"/>
  <c r="D339" i="37"/>
  <c r="F392" i="37"/>
  <c r="G398" i="37"/>
  <c r="D404" i="37"/>
  <c r="L354" i="37"/>
  <c r="F359" i="37"/>
  <c r="D443" i="37"/>
  <c r="F466" i="37"/>
  <c r="L43" i="37"/>
  <c r="H379" i="37"/>
  <c r="F386" i="37"/>
  <c r="L50" i="37"/>
  <c r="J53" i="37"/>
  <c r="K55" i="37"/>
  <c r="E411" i="37"/>
  <c r="K421" i="37"/>
  <c r="F67" i="37"/>
  <c r="G71" i="37"/>
  <c r="D75" i="37"/>
  <c r="J46" i="37"/>
  <c r="K48" i="37"/>
  <c r="D82" i="37"/>
  <c r="I85" i="37"/>
  <c r="K87" i="37"/>
  <c r="E60" i="37"/>
  <c r="L62" i="37"/>
  <c r="L94" i="37"/>
  <c r="E98" i="37"/>
  <c r="G100" i="37"/>
  <c r="H78" i="37"/>
  <c r="J80" i="37"/>
  <c r="H107" i="37"/>
  <c r="L110" i="37"/>
  <c r="G112" i="37"/>
  <c r="H90" i="37"/>
  <c r="J92" i="37"/>
  <c r="H119" i="37"/>
  <c r="H126" i="37"/>
  <c r="G134" i="37"/>
  <c r="L103" i="37"/>
  <c r="F105" i="37"/>
  <c r="G141" i="37"/>
  <c r="E144" i="37"/>
  <c r="F146" i="37"/>
  <c r="K115" i="37"/>
  <c r="D118" i="37"/>
  <c r="G153" i="37"/>
  <c r="D156" i="37"/>
  <c r="F158" i="37"/>
  <c r="E137" i="37"/>
  <c r="F139" i="37"/>
  <c r="G165" i="37"/>
  <c r="L168" i="37"/>
  <c r="F170" i="37"/>
  <c r="D149" i="37"/>
  <c r="E151" i="37"/>
  <c r="G177" i="37"/>
  <c r="K180" i="37"/>
  <c r="D183" i="37"/>
  <c r="L161" i="37"/>
  <c r="E163" i="37"/>
  <c r="E190" i="37"/>
  <c r="I193" i="37"/>
  <c r="D195" i="37"/>
  <c r="K173" i="37"/>
  <c r="L175" i="37"/>
  <c r="D202" i="37"/>
  <c r="I205" i="37"/>
  <c r="K207" i="37"/>
  <c r="H186" i="37"/>
  <c r="L187" i="37"/>
  <c r="L214" i="37"/>
  <c r="I217" i="37"/>
  <c r="K219" i="37"/>
  <c r="H198" i="37"/>
  <c r="J200" i="37"/>
  <c r="K226" i="37"/>
  <c r="I229" i="37"/>
  <c r="J231" i="37"/>
  <c r="H210" i="37"/>
  <c r="J212" i="37"/>
  <c r="H239" i="37"/>
  <c r="L243" i="37"/>
  <c r="H245" i="37"/>
  <c r="H222" i="37"/>
  <c r="J224" i="37"/>
  <c r="G254" i="37"/>
  <c r="I256" i="37"/>
  <c r="I259" i="37"/>
  <c r="H234" i="37"/>
  <c r="I236" i="37"/>
  <c r="K267" i="37"/>
  <c r="D270" i="37"/>
  <c r="L272" i="37"/>
  <c r="G248" i="37"/>
  <c r="F251" i="37"/>
  <c r="L284" i="37"/>
  <c r="D287" i="37"/>
  <c r="E290" i="37"/>
  <c r="L261" i="37"/>
  <c r="L264" i="37"/>
  <c r="D299" i="37"/>
  <c r="F302" i="37"/>
  <c r="J304" i="37"/>
  <c r="K275" i="37"/>
  <c r="K281" i="37"/>
  <c r="D313" i="37"/>
  <c r="F315" i="37"/>
  <c r="F318" i="37"/>
  <c r="G292" i="37"/>
  <c r="L296" i="37"/>
  <c r="L327" i="37"/>
  <c r="F331" i="37"/>
  <c r="E335" i="37"/>
  <c r="J307" i="37"/>
  <c r="J310" i="37"/>
  <c r="I346" i="37"/>
  <c r="K350" i="37"/>
  <c r="H355" i="37"/>
  <c r="E322" i="37"/>
  <c r="J324" i="37"/>
  <c r="K368" i="37"/>
  <c r="I374" i="37"/>
  <c r="H380" i="37"/>
  <c r="E339" i="37"/>
  <c r="L342" i="37"/>
  <c r="H398" i="37"/>
  <c r="E404" i="37"/>
  <c r="H412" i="37"/>
  <c r="I359" i="37"/>
  <c r="L363" i="37"/>
  <c r="I467" i="37"/>
  <c r="F151" i="37"/>
  <c r="D154" i="37"/>
  <c r="H386" i="37"/>
  <c r="I391" i="37"/>
  <c r="D161" i="37"/>
  <c r="F163" i="37"/>
  <c r="L166" i="37"/>
  <c r="L421" i="37"/>
  <c r="K443" i="37"/>
  <c r="L173" i="37"/>
  <c r="F175" i="37"/>
  <c r="K178" i="37"/>
  <c r="E156" i="37"/>
  <c r="G158" i="37"/>
  <c r="K185" i="37"/>
  <c r="D188" i="37"/>
  <c r="H191" i="37"/>
  <c r="E168" i="37"/>
  <c r="G170" i="37"/>
  <c r="I198" i="37"/>
  <c r="D200" i="37"/>
  <c r="H203" i="37"/>
  <c r="L180" i="37"/>
  <c r="G182" i="37"/>
  <c r="I210" i="37"/>
  <c r="K212" i="37"/>
  <c r="H215" i="37"/>
  <c r="L192" i="37"/>
  <c r="E195" i="37"/>
  <c r="I222" i="37"/>
  <c r="K224" i="37"/>
  <c r="H227" i="37"/>
  <c r="J205" i="37"/>
  <c r="D207" i="37"/>
  <c r="I234" i="37"/>
  <c r="J236" i="37"/>
  <c r="J239" i="37"/>
  <c r="J217" i="37"/>
  <c r="L219" i="37"/>
  <c r="H248" i="37"/>
  <c r="G251" i="37"/>
  <c r="J253" i="37"/>
  <c r="J229" i="37"/>
  <c r="K231" i="37"/>
  <c r="I262" i="37"/>
  <c r="D264" i="37"/>
  <c r="E267" i="37"/>
  <c r="E243" i="37"/>
  <c r="D246" i="37"/>
  <c r="L275" i="37"/>
  <c r="H282" i="37"/>
  <c r="H285" i="37"/>
  <c r="J256" i="37"/>
  <c r="J259" i="37"/>
  <c r="K293" i="37"/>
  <c r="D296" i="37"/>
  <c r="E299" i="37"/>
  <c r="E270" i="37"/>
  <c r="D273" i="37"/>
  <c r="K307" i="37"/>
  <c r="D310" i="37"/>
  <c r="G312" i="37"/>
  <c r="H288" i="37"/>
  <c r="H291" i="37"/>
  <c r="F322" i="37"/>
  <c r="K324" i="37"/>
  <c r="D328" i="37"/>
  <c r="J301" i="37"/>
  <c r="K304" i="37"/>
  <c r="J338" i="37"/>
  <c r="D343" i="37"/>
  <c r="I347" i="37"/>
  <c r="G315" i="37"/>
  <c r="D319" i="37"/>
  <c r="J359" i="37"/>
  <c r="E364" i="37"/>
  <c r="D369" i="37"/>
  <c r="G331" i="37"/>
  <c r="H336" i="37"/>
  <c r="K385" i="37"/>
  <c r="D393" i="37"/>
  <c r="K398" i="37"/>
  <c r="F350" i="37"/>
  <c r="I355" i="37"/>
  <c r="D423" i="37"/>
  <c r="D445" i="37"/>
  <c r="F517" i="37"/>
  <c r="I375" i="37"/>
  <c r="G381" i="37"/>
  <c r="L197" i="37"/>
  <c r="E200" i="37"/>
  <c r="I203" i="37"/>
  <c r="F404" i="37"/>
  <c r="I412" i="37"/>
  <c r="J210" i="37"/>
  <c r="D212" i="37"/>
  <c r="I215" i="37"/>
  <c r="D193" i="37"/>
  <c r="H196" i="37"/>
  <c r="J222" i="37"/>
  <c r="L224" i="37"/>
  <c r="I227" i="37"/>
  <c r="D205" i="37"/>
  <c r="H208" i="37"/>
  <c r="J234" i="37"/>
  <c r="K236" i="37"/>
  <c r="K239" i="37"/>
  <c r="K217" i="37"/>
  <c r="H220" i="37"/>
  <c r="E249" i="37"/>
  <c r="F252" i="37"/>
  <c r="K253" i="37"/>
  <c r="K229" i="37"/>
  <c r="H232" i="37"/>
  <c r="J262" i="37"/>
  <c r="I265" i="37"/>
  <c r="I268" i="37"/>
  <c r="F243" i="37"/>
  <c r="E246" i="37"/>
  <c r="F275" i="37"/>
  <c r="J282" i="37"/>
  <c r="I285" i="37"/>
  <c r="K256" i="37"/>
  <c r="K259" i="37"/>
  <c r="E293" i="37"/>
  <c r="E296" i="37"/>
  <c r="F299" i="37"/>
  <c r="H269" i="37"/>
  <c r="G272" i="37"/>
  <c r="D307" i="37"/>
  <c r="E310" i="37"/>
  <c r="K313" i="37"/>
  <c r="I288" i="37"/>
  <c r="K290" i="37"/>
  <c r="I321" i="37"/>
  <c r="L324" i="37"/>
  <c r="G327" i="37"/>
  <c r="K301" i="37"/>
  <c r="L304" i="37"/>
  <c r="I339" i="37"/>
  <c r="K343" i="37"/>
  <c r="J347" i="37"/>
  <c r="L316" i="37"/>
  <c r="F319" i="37"/>
  <c r="K359" i="37"/>
  <c r="H364" i="37"/>
  <c r="J368" i="37"/>
  <c r="E332" i="37"/>
  <c r="K335" i="37"/>
  <c r="I386" i="37"/>
  <c r="G393" i="37"/>
  <c r="L399" i="37"/>
  <c r="G350" i="37"/>
  <c r="J355" i="37"/>
  <c r="H422" i="37"/>
  <c r="H444" i="37"/>
  <c r="H376" i="37"/>
  <c r="K380" i="37"/>
  <c r="F185" i="37"/>
  <c r="K188" i="37"/>
  <c r="L190" i="37"/>
  <c r="G405" i="37"/>
  <c r="J412" i="37"/>
  <c r="D198" i="37"/>
  <c r="H201" i="37"/>
  <c r="L202" i="37"/>
  <c r="G180" i="37"/>
  <c r="L183" i="37"/>
  <c r="D210" i="37"/>
  <c r="H213" i="37"/>
  <c r="J215" i="37"/>
  <c r="G192" i="37"/>
  <c r="K195" i="37"/>
  <c r="K222" i="37"/>
  <c r="H225" i="37"/>
  <c r="J227" i="37"/>
  <c r="E205" i="37"/>
  <c r="I208" i="37"/>
  <c r="K234" i="37"/>
  <c r="H237" i="37"/>
  <c r="L239" i="37"/>
  <c r="D217" i="37"/>
  <c r="I220" i="37"/>
  <c r="F249" i="37"/>
  <c r="I251" i="37"/>
  <c r="I254" i="37"/>
  <c r="L229" i="37"/>
  <c r="I232" i="37"/>
  <c r="K262" i="37"/>
  <c r="D265" i="37"/>
  <c r="L267" i="37"/>
  <c r="G243" i="37"/>
  <c r="F246" i="37"/>
  <c r="G275" i="37"/>
  <c r="K282" i="37"/>
  <c r="J285" i="37"/>
  <c r="L256" i="37"/>
  <c r="L259" i="37"/>
  <c r="F293" i="37"/>
  <c r="F296" i="37"/>
  <c r="J298" i="37"/>
  <c r="K270" i="37"/>
  <c r="H272" i="37"/>
  <c r="H308" i="37"/>
  <c r="K310" i="37"/>
  <c r="L313" i="37"/>
  <c r="L287" i="37"/>
  <c r="L290" i="37"/>
  <c r="J321" i="37"/>
  <c r="I325" i="37"/>
  <c r="K328" i="37"/>
  <c r="H302" i="37"/>
  <c r="H305" i="37"/>
  <c r="H340" i="37"/>
  <c r="E343" i="37"/>
  <c r="K347" i="37"/>
  <c r="D316" i="37"/>
  <c r="G319" i="37"/>
  <c r="L359" i="37"/>
  <c r="I364" i="37"/>
  <c r="H369" i="37"/>
  <c r="J331" i="37"/>
  <c r="L335" i="37"/>
  <c r="J386" i="37"/>
  <c r="H393" i="37"/>
  <c r="E399" i="37"/>
  <c r="L351" i="37"/>
  <c r="D355" i="37"/>
  <c r="H423" i="37"/>
  <c r="I446" i="37"/>
  <c r="K375" i="37"/>
  <c r="I381" i="37"/>
  <c r="F101" i="37"/>
  <c r="H103" i="37"/>
  <c r="E106" i="37"/>
  <c r="H405" i="37"/>
  <c r="L412" i="37"/>
  <c r="F113" i="37"/>
  <c r="H115" i="37"/>
  <c r="E118" i="37"/>
  <c r="G96" i="37"/>
  <c r="E99" i="37"/>
  <c r="J134" i="37"/>
  <c r="K136" i="37"/>
  <c r="I139" i="37"/>
  <c r="G108" i="37"/>
  <c r="D111" i="37"/>
  <c r="I146" i="37"/>
  <c r="J148" i="37"/>
  <c r="F152" i="37"/>
  <c r="G120" i="37"/>
  <c r="K126" i="37"/>
  <c r="F159" i="37"/>
  <c r="G161" i="37"/>
  <c r="E164" i="37"/>
  <c r="J141" i="37"/>
  <c r="H144" i="37"/>
  <c r="E171" i="37"/>
  <c r="G173" i="37"/>
  <c r="D176" i="37"/>
  <c r="G154" i="37"/>
  <c r="E157" i="37"/>
  <c r="E183" i="37"/>
  <c r="G185" i="37"/>
  <c r="L188" i="37"/>
  <c r="F166" i="37"/>
  <c r="D169" i="37"/>
  <c r="L195" i="37"/>
  <c r="G197" i="37"/>
  <c r="K200" i="37"/>
  <c r="F178" i="37"/>
  <c r="L181" i="37"/>
  <c r="L207" i="37"/>
  <c r="E210" i="37"/>
  <c r="I213" i="37"/>
  <c r="F190" i="37"/>
  <c r="K193" i="37"/>
  <c r="J220" i="37"/>
  <c r="D222" i="37"/>
  <c r="I225" i="37"/>
  <c r="D203" i="37"/>
  <c r="H206" i="37"/>
  <c r="J232" i="37"/>
  <c r="L234" i="37"/>
  <c r="I237" i="37"/>
  <c r="D215" i="37"/>
  <c r="H218" i="37"/>
  <c r="G246" i="37"/>
  <c r="J248" i="37"/>
  <c r="J251" i="37"/>
  <c r="K227" i="37"/>
  <c r="H230" i="37"/>
  <c r="D259" i="37"/>
  <c r="D262" i="37"/>
  <c r="E265" i="37"/>
  <c r="D241" i="37"/>
  <c r="H243" i="37"/>
  <c r="L273" i="37"/>
  <c r="D276" i="37"/>
  <c r="D282" i="37"/>
  <c r="J254" i="37"/>
  <c r="I257" i="37"/>
  <c r="F290" i="37"/>
  <c r="G293" i="37"/>
  <c r="G296" i="37"/>
  <c r="D268" i="37"/>
  <c r="L270" i="37"/>
  <c r="I305" i="37"/>
  <c r="I308" i="37"/>
  <c r="L310" i="37"/>
  <c r="D285" i="37"/>
  <c r="D288" i="37"/>
  <c r="J318" i="37"/>
  <c r="K321" i="37"/>
  <c r="D325" i="37"/>
  <c r="I299" i="37"/>
  <c r="I302" i="37"/>
  <c r="G335" i="37"/>
  <c r="I340" i="37"/>
  <c r="F343" i="37"/>
  <c r="E313" i="37"/>
  <c r="F316" i="37"/>
  <c r="H356" i="37"/>
  <c r="H360" i="37"/>
  <c r="J364" i="37"/>
  <c r="L328" i="37"/>
  <c r="H332" i="37"/>
  <c r="J381" i="37"/>
  <c r="K386" i="37"/>
  <c r="I393" i="37"/>
  <c r="D347" i="37"/>
  <c r="D351" i="37"/>
  <c r="K414" i="37"/>
  <c r="L423" i="37"/>
  <c r="E447" i="37"/>
  <c r="I369" i="37"/>
  <c r="I376" i="37"/>
  <c r="K248" i="37"/>
  <c r="K251" i="37"/>
  <c r="K254" i="37"/>
  <c r="F399" i="37"/>
  <c r="I405" i="37"/>
  <c r="I263" i="37"/>
  <c r="H264" i="37"/>
  <c r="G267" i="37"/>
  <c r="H246" i="37"/>
  <c r="E276" i="37"/>
  <c r="H283" i="37"/>
  <c r="E285" i="37"/>
  <c r="J257" i="37"/>
  <c r="I260" i="37"/>
  <c r="D294" i="37"/>
  <c r="E297" i="37"/>
  <c r="J299" i="37"/>
  <c r="F270" i="37"/>
  <c r="E273" i="37"/>
  <c r="L307" i="37"/>
  <c r="F310" i="37"/>
  <c r="F313" i="37"/>
  <c r="G287" i="37"/>
  <c r="L291" i="37"/>
  <c r="H322" i="37"/>
  <c r="E325" i="37"/>
  <c r="F328" i="37"/>
  <c r="J302" i="37"/>
  <c r="J305" i="37"/>
  <c r="J340" i="37"/>
  <c r="G343" i="37"/>
  <c r="H348" i="37"/>
  <c r="E317" i="37"/>
  <c r="H319" i="37"/>
  <c r="I360" i="37"/>
  <c r="K364" i="37"/>
  <c r="J369" i="37"/>
  <c r="D332" i="37"/>
  <c r="D336" i="37"/>
  <c r="D387" i="37"/>
  <c r="L393" i="37"/>
  <c r="D400" i="37"/>
  <c r="F352" i="37"/>
  <c r="L355" i="37"/>
  <c r="E423" i="37"/>
  <c r="L447" i="37"/>
  <c r="J376" i="37"/>
  <c r="K381" i="37"/>
  <c r="L85" i="37"/>
  <c r="G87" i="37"/>
  <c r="K90" i="37"/>
  <c r="K405" i="37"/>
  <c r="L414" i="37"/>
  <c r="G99" i="37"/>
  <c r="H101" i="37"/>
  <c r="F104" i="37"/>
  <c r="F80" i="37"/>
  <c r="K83" i="37"/>
  <c r="F111" i="37"/>
  <c r="H113" i="37"/>
  <c r="E116" i="37"/>
  <c r="D93" i="37"/>
  <c r="F97" i="37"/>
  <c r="D126" i="37"/>
  <c r="L134" i="37"/>
  <c r="I137" i="37"/>
  <c r="G106" i="37"/>
  <c r="E109" i="37"/>
  <c r="J144" i="37"/>
  <c r="K146" i="37"/>
  <c r="I149" i="37"/>
  <c r="G118" i="37"/>
  <c r="D121" i="37"/>
  <c r="I156" i="37"/>
  <c r="J158" i="37"/>
  <c r="F162" i="37"/>
  <c r="K139" i="37"/>
  <c r="H142" i="37"/>
  <c r="F169" i="37"/>
  <c r="G171" i="37"/>
  <c r="E174" i="37"/>
  <c r="J151" i="37"/>
  <c r="H154" i="37"/>
  <c r="E181" i="37"/>
  <c r="G183" i="37"/>
  <c r="D186" i="37"/>
  <c r="G164" i="37"/>
  <c r="E167" i="37"/>
  <c r="E193" i="37"/>
  <c r="G195" i="37"/>
  <c r="L198" i="37"/>
  <c r="F176" i="37"/>
  <c r="D179" i="37"/>
  <c r="L205" i="37"/>
  <c r="G207" i="37"/>
  <c r="K210" i="37"/>
  <c r="F188" i="37"/>
  <c r="L191" i="37"/>
  <c r="L217" i="37"/>
  <c r="E220" i="37"/>
  <c r="I223" i="37"/>
  <c r="F200" i="37"/>
  <c r="K203" i="37"/>
  <c r="J230" i="37"/>
  <c r="D232" i="37"/>
  <c r="I235" i="37"/>
  <c r="D213" i="37"/>
  <c r="H216" i="37"/>
  <c r="F244" i="37"/>
  <c r="I246" i="37"/>
  <c r="I249" i="37"/>
  <c r="D225" i="37"/>
  <c r="H228" i="37"/>
  <c r="K257" i="37"/>
  <c r="J260" i="37"/>
  <c r="L262" i="37"/>
  <c r="K237" i="37"/>
  <c r="F241" i="37"/>
  <c r="G270" i="37"/>
  <c r="G273" i="37"/>
  <c r="F276" i="37"/>
  <c r="L251" i="37"/>
  <c r="L254" i="37"/>
  <c r="K288" i="37"/>
  <c r="D291" i="37"/>
  <c r="E294" i="37"/>
  <c r="K265" i="37"/>
  <c r="H267" i="37"/>
  <c r="K302" i="37"/>
  <c r="D305" i="37"/>
  <c r="G307" i="37"/>
  <c r="I283" i="37"/>
  <c r="H286" i="37"/>
  <c r="F317" i="37"/>
  <c r="I319" i="37"/>
  <c r="I322" i="37"/>
  <c r="I296" i="37"/>
  <c r="K299" i="37"/>
  <c r="H333" i="37"/>
  <c r="E336" i="37"/>
  <c r="D340" i="37"/>
  <c r="G310" i="37"/>
  <c r="G313" i="37"/>
  <c r="H352" i="37"/>
  <c r="F355" i="37"/>
  <c r="J360" i="37"/>
  <c r="H326" i="37"/>
  <c r="D329" i="37"/>
  <c r="K376" i="37"/>
  <c r="L381" i="37"/>
  <c r="E387" i="37"/>
  <c r="D344" i="37"/>
  <c r="I348" i="37"/>
  <c r="E406" i="37"/>
  <c r="J414" i="37"/>
  <c r="H424" i="37"/>
  <c r="L364" i="37"/>
  <c r="K369" i="37"/>
  <c r="J156" i="37"/>
  <c r="H159" i="37"/>
  <c r="I161" i="37"/>
  <c r="D394" i="37"/>
  <c r="E400" i="37"/>
  <c r="G169" i="37"/>
  <c r="E172" i="37"/>
  <c r="F174" i="37"/>
  <c r="J448" i="37"/>
  <c r="F181" i="37"/>
  <c r="D184" i="37"/>
  <c r="E186" i="37"/>
  <c r="J163" i="37"/>
  <c r="F167" i="37"/>
  <c r="F193" i="37"/>
  <c r="L196" i="37"/>
  <c r="E198" i="37"/>
  <c r="G176" i="37"/>
  <c r="E179" i="37"/>
  <c r="F205" i="37"/>
  <c r="K208" i="37"/>
  <c r="L210" i="37"/>
  <c r="G188" i="37"/>
  <c r="D191" i="37"/>
  <c r="D218" i="37"/>
  <c r="H221" i="37"/>
  <c r="L222" i="37"/>
  <c r="G200" i="37"/>
  <c r="L203" i="37"/>
  <c r="D230" i="37"/>
  <c r="H233" i="37"/>
  <c r="J235" i="37"/>
  <c r="G212" i="37"/>
  <c r="K215" i="37"/>
  <c r="G244" i="37"/>
  <c r="J246" i="37"/>
  <c r="J249" i="37"/>
  <c r="E225" i="37"/>
  <c r="I228" i="37"/>
  <c r="D257" i="37"/>
  <c r="E260" i="37"/>
  <c r="D263" i="37"/>
  <c r="D237" i="37"/>
  <c r="G241" i="37"/>
  <c r="H270" i="37"/>
  <c r="H273" i="37"/>
  <c r="G276" i="37"/>
  <c r="I252" i="37"/>
  <c r="D254" i="37"/>
  <c r="L288" i="37"/>
  <c r="E291" i="37"/>
  <c r="F294" i="37"/>
  <c r="L265" i="37"/>
  <c r="L268" i="37"/>
  <c r="D302" i="37"/>
  <c r="E305" i="37"/>
  <c r="K308" i="37"/>
  <c r="L282" i="37"/>
  <c r="K285" i="37"/>
  <c r="I316" i="37"/>
  <c r="J319" i="37"/>
  <c r="J322" i="37"/>
  <c r="K296" i="37"/>
  <c r="L299" i="37"/>
  <c r="I333" i="37"/>
  <c r="F336" i="37"/>
  <c r="E340" i="37"/>
  <c r="L311" i="37"/>
  <c r="E314" i="37"/>
  <c r="I352" i="37"/>
  <c r="G355" i="37"/>
  <c r="E360" i="37"/>
  <c r="K325" i="37"/>
  <c r="E329" i="37"/>
  <c r="L376" i="37"/>
  <c r="E382" i="37"/>
  <c r="F387" i="37"/>
  <c r="G344" i="37"/>
  <c r="L347" i="37"/>
  <c r="K407" i="37"/>
  <c r="F415" i="37"/>
  <c r="J424" i="37"/>
  <c r="H365" i="37"/>
  <c r="L369" i="37"/>
  <c r="I166" i="37"/>
  <c r="J168" i="37"/>
  <c r="F172" i="37"/>
  <c r="F394" i="37"/>
  <c r="H400" i="37"/>
  <c r="F179" i="37"/>
  <c r="G181" i="37"/>
  <c r="E184" i="37"/>
  <c r="J450" i="37"/>
  <c r="E191" i="37"/>
  <c r="G193" i="37"/>
  <c r="D196" i="37"/>
  <c r="G174" i="37"/>
  <c r="E177" i="37"/>
  <c r="E203" i="37"/>
  <c r="G205" i="37"/>
  <c r="L208" i="37"/>
  <c r="F186" i="37"/>
  <c r="D189" i="37"/>
  <c r="L215" i="37"/>
  <c r="G217" i="37"/>
  <c r="K220" i="37"/>
  <c r="F198" i="37"/>
  <c r="L201" i="37"/>
  <c r="L227" i="37"/>
  <c r="E230" i="37"/>
  <c r="I233" i="37"/>
  <c r="F210" i="37"/>
  <c r="K213" i="37"/>
  <c r="H241" i="37"/>
  <c r="K243" i="37"/>
  <c r="K246" i="37"/>
  <c r="D223" i="37"/>
  <c r="H226" i="37"/>
  <c r="I255" i="37"/>
  <c r="E257" i="37"/>
  <c r="H259" i="37"/>
  <c r="D235" i="37"/>
  <c r="H238" i="37"/>
  <c r="E268" i="37"/>
  <c r="E271" i="37"/>
  <c r="E274" i="37"/>
  <c r="K249" i="37"/>
  <c r="J252" i="37"/>
  <c r="L285" i="37"/>
  <c r="F288" i="37"/>
  <c r="F291" i="37"/>
  <c r="G262" i="37"/>
  <c r="F265" i="37"/>
  <c r="H300" i="37"/>
  <c r="H303" i="37"/>
  <c r="H306" i="37"/>
  <c r="H276" i="37"/>
  <c r="D283" i="37"/>
  <c r="G314" i="37"/>
  <c r="J316" i="37"/>
  <c r="K319" i="37"/>
  <c r="G294" i="37"/>
  <c r="H297" i="37"/>
  <c r="F329" i="37"/>
  <c r="L332" i="37"/>
  <c r="G336" i="37"/>
  <c r="L308" i="37"/>
  <c r="D311" i="37"/>
  <c r="G347" i="37"/>
  <c r="J352" i="37"/>
  <c r="L356" i="37"/>
  <c r="D322" i="37"/>
  <c r="L325" i="37"/>
  <c r="J372" i="37"/>
  <c r="D376" i="37"/>
  <c r="F382" i="37"/>
  <c r="H341" i="37"/>
  <c r="H344" i="37"/>
  <c r="I400" i="37"/>
  <c r="D407" i="37"/>
  <c r="G415" i="37"/>
  <c r="L360" i="37"/>
  <c r="I365" i="37"/>
  <c r="I39" i="37"/>
  <c r="D43" i="37"/>
  <c r="I387" i="37"/>
  <c r="D395" i="37"/>
  <c r="E50" i="37"/>
  <c r="F52" i="37"/>
  <c r="D55" i="37"/>
  <c r="J425" i="37"/>
  <c r="E450" i="37"/>
  <c r="E64" i="37"/>
  <c r="E69" i="37"/>
  <c r="D74" i="37"/>
  <c r="H44" i="37"/>
  <c r="I46" i="37"/>
  <c r="D81" i="37"/>
  <c r="F83" i="37"/>
  <c r="L86" i="37"/>
  <c r="E57" i="37"/>
  <c r="D60" i="37"/>
  <c r="L93" i="37"/>
  <c r="K96" i="37"/>
  <c r="I99" i="37"/>
  <c r="E76" i="37"/>
  <c r="G78" i="37"/>
  <c r="I106" i="37"/>
  <c r="J108" i="37"/>
  <c r="F112" i="37"/>
  <c r="E88" i="37"/>
  <c r="G90" i="37"/>
  <c r="F119" i="37"/>
  <c r="G121" i="37"/>
  <c r="E129" i="37"/>
  <c r="J101" i="37"/>
  <c r="K103" i="37"/>
  <c r="I140" i="37"/>
  <c r="K142" i="37"/>
  <c r="H145" i="37"/>
  <c r="G114" i="37"/>
  <c r="H116" i="37"/>
  <c r="I152" i="37"/>
  <c r="K154" i="37"/>
  <c r="H157" i="37"/>
  <c r="J135" i="37"/>
  <c r="D137" i="37"/>
  <c r="I164" i="37"/>
  <c r="J166" i="37"/>
  <c r="H169" i="37"/>
  <c r="J147" i="37"/>
  <c r="L149" i="37"/>
  <c r="F177" i="37"/>
  <c r="G179" i="37"/>
  <c r="E182" i="37"/>
  <c r="J159" i="37"/>
  <c r="K161" i="37"/>
  <c r="E189" i="37"/>
  <c r="F191" i="37"/>
  <c r="D194" i="37"/>
  <c r="I171" i="37"/>
  <c r="J173" i="37"/>
  <c r="D201" i="37"/>
  <c r="F203" i="37"/>
  <c r="L206" i="37"/>
  <c r="F184" i="37"/>
  <c r="G186" i="37"/>
  <c r="L213" i="37"/>
  <c r="F215" i="37"/>
  <c r="K218" i="37"/>
  <c r="E196" i="37"/>
  <c r="G198" i="37"/>
  <c r="K225" i="37"/>
  <c r="D228" i="37"/>
  <c r="H231" i="37"/>
  <c r="E208" i="37"/>
  <c r="G210" i="37"/>
  <c r="I238" i="37"/>
  <c r="F242" i="37"/>
  <c r="I244" i="37"/>
  <c r="L220" i="37"/>
  <c r="G222" i="37"/>
  <c r="K252" i="37"/>
  <c r="J255" i="37"/>
  <c r="L257" i="37"/>
  <c r="L232" i="37"/>
  <c r="E235" i="37"/>
  <c r="G265" i="37"/>
  <c r="F268" i="37"/>
  <c r="F271" i="37"/>
  <c r="L246" i="37"/>
  <c r="L249" i="37"/>
  <c r="G282" i="37"/>
  <c r="F285" i="37"/>
  <c r="G288" i="37"/>
  <c r="K260" i="37"/>
  <c r="H262" i="37"/>
  <c r="I297" i="37"/>
  <c r="I300" i="37"/>
  <c r="I303" i="37"/>
  <c r="F274" i="37"/>
  <c r="H281" i="37"/>
  <c r="E311" i="37"/>
  <c r="J313" i="37"/>
  <c r="K316" i="37"/>
  <c r="G291" i="37"/>
  <c r="H294" i="37"/>
  <c r="F325" i="37"/>
  <c r="G329" i="37"/>
  <c r="D333" i="37"/>
  <c r="L305" i="37"/>
  <c r="E308" i="37"/>
  <c r="L344" i="37"/>
  <c r="L348" i="37"/>
  <c r="K352" i="37"/>
  <c r="L319" i="37"/>
  <c r="I323" i="37"/>
  <c r="K365" i="37"/>
  <c r="L372" i="37"/>
  <c r="F377" i="37"/>
  <c r="I336" i="37"/>
  <c r="K340" i="37"/>
  <c r="E395" i="37"/>
  <c r="J400" i="37"/>
  <c r="I407" i="37"/>
  <c r="E357" i="37"/>
  <c r="F360" i="37"/>
  <c r="F452" i="37"/>
  <c r="G42" i="37"/>
  <c r="L382" i="37"/>
  <c r="H388" i="37"/>
  <c r="H49" i="37"/>
  <c r="I51" i="37"/>
  <c r="E55" i="37"/>
  <c r="G416" i="37"/>
  <c r="L433" i="37"/>
  <c r="F64" i="37"/>
  <c r="F69" i="37"/>
  <c r="E74" i="37"/>
  <c r="I44" i="37"/>
  <c r="D48" i="37"/>
  <c r="E81" i="37"/>
  <c r="G83" i="37"/>
  <c r="D86" i="37"/>
  <c r="F57" i="37"/>
  <c r="E62" i="37"/>
  <c r="E93" i="37"/>
  <c r="L96" i="37"/>
  <c r="J99" i="37"/>
  <c r="F76" i="37"/>
  <c r="D79" i="37"/>
  <c r="J106" i="37"/>
  <c r="K108" i="37"/>
  <c r="I111" i="37"/>
  <c r="F88" i="37"/>
  <c r="L91" i="37"/>
  <c r="G119" i="37"/>
  <c r="H121" i="37"/>
  <c r="F129" i="37"/>
  <c r="K101" i="37"/>
  <c r="I104" i="37"/>
  <c r="J140" i="37"/>
  <c r="D142" i="37"/>
  <c r="I145" i="37"/>
  <c r="J113" i="37"/>
  <c r="F117" i="37"/>
  <c r="J152" i="37"/>
  <c r="L154" i="37"/>
  <c r="I157" i="37"/>
  <c r="D135" i="37"/>
  <c r="H138" i="37"/>
  <c r="J164" i="37"/>
  <c r="K166" i="37"/>
  <c r="I169" i="37"/>
  <c r="K147" i="37"/>
  <c r="H150" i="37"/>
  <c r="I176" i="37"/>
  <c r="J178" i="37"/>
  <c r="F182" i="37"/>
  <c r="K159" i="37"/>
  <c r="H162" i="37"/>
  <c r="F189" i="37"/>
  <c r="G191" i="37"/>
  <c r="E194" i="37"/>
  <c r="J171" i="37"/>
  <c r="H174" i="37"/>
  <c r="E201" i="37"/>
  <c r="G203" i="37"/>
  <c r="D206" i="37"/>
  <c r="G184" i="37"/>
  <c r="E187" i="37"/>
  <c r="E213" i="37"/>
  <c r="G215" i="37"/>
  <c r="L218" i="37"/>
  <c r="F196" i="37"/>
  <c r="D199" i="37"/>
  <c r="L225" i="37"/>
  <c r="G227" i="37"/>
  <c r="K230" i="37"/>
  <c r="F208" i="37"/>
  <c r="L211" i="37"/>
  <c r="L237" i="37"/>
  <c r="J241" i="37"/>
  <c r="J244" i="37"/>
  <c r="F220" i="37"/>
  <c r="K223" i="37"/>
  <c r="D252" i="37"/>
  <c r="D255" i="37"/>
  <c r="D258" i="37"/>
  <c r="D233" i="37"/>
  <c r="H236" i="37"/>
  <c r="H265" i="37"/>
  <c r="H268" i="37"/>
  <c r="G271" i="37"/>
  <c r="I247" i="37"/>
  <c r="D249" i="37"/>
  <c r="K283" i="37"/>
  <c r="G285" i="37"/>
  <c r="D289" i="37"/>
  <c r="L260" i="37"/>
  <c r="L263" i="37"/>
  <c r="J297" i="37"/>
  <c r="J300" i="37"/>
  <c r="L302" i="37"/>
  <c r="G274" i="37"/>
  <c r="I276" i="37"/>
  <c r="G311" i="37"/>
  <c r="H314" i="37"/>
  <c r="H317" i="37"/>
  <c r="E292" i="37"/>
  <c r="J294" i="37"/>
  <c r="G325" i="37"/>
  <c r="I329" i="37"/>
  <c r="G332" i="37"/>
  <c r="F305" i="37"/>
  <c r="F308" i="37"/>
  <c r="H345" i="37"/>
  <c r="E348" i="37"/>
  <c r="D352" i="37"/>
  <c r="H320" i="37"/>
  <c r="L322" i="37"/>
  <c r="L365" i="37"/>
  <c r="D373" i="37"/>
  <c r="L377" i="37"/>
  <c r="K336" i="37"/>
  <c r="F340" i="37"/>
  <c r="H394" i="37"/>
  <c r="L400" i="37"/>
  <c r="J407" i="37"/>
  <c r="K356" i="37"/>
  <c r="G360" i="37"/>
  <c r="D452" i="37"/>
  <c r="E383" i="37"/>
  <c r="F389" i="37"/>
  <c r="L416" i="37"/>
  <c r="J433" i="37"/>
  <c r="K412" i="37"/>
  <c r="D414" i="37"/>
  <c r="D421" i="37"/>
  <c r="K424" i="37"/>
  <c r="E433" i="37"/>
  <c r="K441" i="37"/>
  <c r="I444" i="37"/>
  <c r="J446" i="37"/>
  <c r="E416" i="37"/>
  <c r="L419" i="37"/>
  <c r="J453" i="37"/>
  <c r="F457" i="37"/>
  <c r="G459" i="37"/>
  <c r="G435" i="37"/>
  <c r="L438" i="37"/>
  <c r="G466" i="37"/>
  <c r="K448" i="37"/>
  <c r="I451" i="37"/>
  <c r="H461" i="37"/>
  <c r="F464" i="37"/>
  <c r="D405" i="37"/>
  <c r="E407" i="37"/>
  <c r="F409" i="37"/>
  <c r="K417" i="37"/>
  <c r="D419" i="37"/>
  <c r="E421" i="37"/>
  <c r="L436" i="37"/>
  <c r="E438" i="37"/>
  <c r="L441" i="37"/>
  <c r="D412" i="37"/>
  <c r="E414" i="37"/>
  <c r="I449" i="37"/>
  <c r="J451" i="37"/>
  <c r="K453" i="37"/>
  <c r="L424" i="37"/>
  <c r="F433" i="37"/>
  <c r="F462" i="37"/>
  <c r="G464" i="37"/>
  <c r="H466" i="37"/>
  <c r="J444" i="37"/>
  <c r="K446" i="37"/>
  <c r="I456" i="37"/>
  <c r="J458" i="37"/>
  <c r="G392" i="37"/>
  <c r="H399" i="37"/>
  <c r="I401" i="37"/>
  <c r="E405" i="37"/>
  <c r="E412" i="37"/>
  <c r="F414" i="37"/>
  <c r="D417" i="37"/>
  <c r="I394" i="37"/>
  <c r="D398" i="37"/>
  <c r="D424" i="37"/>
  <c r="G433" i="37"/>
  <c r="D436" i="37"/>
  <c r="F407" i="37"/>
  <c r="D410" i="37"/>
  <c r="K444" i="37"/>
  <c r="L446" i="37"/>
  <c r="J449" i="37"/>
  <c r="E419" i="37"/>
  <c r="K422" i="37"/>
  <c r="J456" i="37"/>
  <c r="K458" i="37"/>
  <c r="I461" i="37"/>
  <c r="F438" i="37"/>
  <c r="I442" i="37"/>
  <c r="K451" i="37"/>
  <c r="I454" i="37"/>
  <c r="J463" i="37"/>
  <c r="F467" i="37"/>
  <c r="H289" i="37"/>
  <c r="I291" i="37"/>
  <c r="J293" i="37"/>
  <c r="E302" i="37"/>
  <c r="F304" i="37"/>
  <c r="G306" i="37"/>
  <c r="J286" i="37"/>
  <c r="D314" i="37"/>
  <c r="E316" i="37"/>
  <c r="G318" i="37"/>
  <c r="F297" i="37"/>
  <c r="G299" i="37"/>
  <c r="L326" i="37"/>
  <c r="E328" i="37"/>
  <c r="G330" i="37"/>
  <c r="E309" i="37"/>
  <c r="F311" i="37"/>
  <c r="K338" i="37"/>
  <c r="L340" i="37"/>
  <c r="G342" i="37"/>
  <c r="D321" i="37"/>
  <c r="F323" i="37"/>
  <c r="H351" i="37"/>
  <c r="L352" i="37"/>
  <c r="E355" i="37"/>
  <c r="L333" i="37"/>
  <c r="F335" i="37"/>
  <c r="H363" i="37"/>
  <c r="J365" i="37"/>
  <c r="D367" i="37"/>
  <c r="K345" i="37"/>
  <c r="D348" i="37"/>
  <c r="J377" i="37"/>
  <c r="L379" i="37"/>
  <c r="D381" i="37"/>
  <c r="I358" i="37"/>
  <c r="D360" i="37"/>
  <c r="J389" i="37"/>
  <c r="H392" i="37"/>
  <c r="J394" i="37"/>
  <c r="K372" i="37"/>
  <c r="D374" i="37"/>
  <c r="D403" i="37"/>
  <c r="H404" i="37"/>
  <c r="I406" i="37"/>
  <c r="K384" i="37"/>
  <c r="L386" i="37"/>
  <c r="D415" i="37"/>
  <c r="E417" i="37"/>
  <c r="F419" i="37"/>
  <c r="G397" i="37"/>
  <c r="I399" i="37"/>
  <c r="D434" i="37"/>
  <c r="E436" i="37"/>
  <c r="G438" i="37"/>
  <c r="E410" i="37"/>
  <c r="F412" i="37"/>
  <c r="I447" i="37"/>
  <c r="K449" i="37"/>
  <c r="L451" i="37"/>
  <c r="D422" i="37"/>
  <c r="E424" i="37"/>
  <c r="I459" i="37"/>
  <c r="J461" i="37"/>
  <c r="K463" i="37"/>
  <c r="J442" i="37"/>
  <c r="L444" i="37"/>
  <c r="J454" i="37"/>
  <c r="K456" i="37"/>
  <c r="I466" i="37"/>
  <c r="I517" i="37"/>
  <c r="D372" i="37"/>
  <c r="E374" i="37"/>
  <c r="K377" i="37"/>
  <c r="L384" i="37"/>
  <c r="D386" i="37"/>
  <c r="K389" i="37"/>
  <c r="D365" i="37"/>
  <c r="H368" i="37"/>
  <c r="H397" i="37"/>
  <c r="J399" i="37"/>
  <c r="G402" i="37"/>
  <c r="D379" i="37"/>
  <c r="J382" i="37"/>
  <c r="H409" i="37"/>
  <c r="I411" i="37"/>
  <c r="E415" i="37"/>
  <c r="I392" i="37"/>
  <c r="F395" i="37"/>
  <c r="E422" i="37"/>
  <c r="F424" i="37"/>
  <c r="E434" i="37"/>
  <c r="I404" i="37"/>
  <c r="D408" i="37"/>
  <c r="K442" i="37"/>
  <c r="D444" i="37"/>
  <c r="J447" i="37"/>
  <c r="F417" i="37"/>
  <c r="D420" i="37"/>
  <c r="K454" i="37"/>
  <c r="L456" i="37"/>
  <c r="J459" i="37"/>
  <c r="F436" i="37"/>
  <c r="D439" i="37"/>
  <c r="J466" i="37"/>
  <c r="J517" i="37"/>
  <c r="L449" i="37"/>
  <c r="I452" i="37"/>
  <c r="K461" i="37"/>
  <c r="I464" i="37"/>
  <c r="G237" i="37"/>
  <c r="I241" i="37"/>
  <c r="J243" i="37"/>
  <c r="H251" i="37"/>
  <c r="F254" i="37"/>
  <c r="G256" i="37"/>
  <c r="H263" i="37"/>
  <c r="E266" i="37"/>
  <c r="G268" i="37"/>
  <c r="F247" i="37"/>
  <c r="G249" i="37"/>
  <c r="H275" i="37"/>
  <c r="I282" i="37"/>
  <c r="K284" i="37"/>
  <c r="E259" i="37"/>
  <c r="F261" i="37"/>
  <c r="K291" i="37"/>
  <c r="I294" i="37"/>
  <c r="J296" i="37"/>
  <c r="D271" i="37"/>
  <c r="F273" i="37"/>
  <c r="J303" i="37"/>
  <c r="F307" i="37"/>
  <c r="G309" i="37"/>
  <c r="H287" i="37"/>
  <c r="J289" i="37"/>
  <c r="G316" i="37"/>
  <c r="E319" i="37"/>
  <c r="F321" i="37"/>
  <c r="H299" i="37"/>
  <c r="I301" i="37"/>
  <c r="G328" i="37"/>
  <c r="D331" i="37"/>
  <c r="F333" i="37"/>
  <c r="E312" i="37"/>
  <c r="F314" i="37"/>
  <c r="G340" i="37"/>
  <c r="L343" i="37"/>
  <c r="F345" i="37"/>
  <c r="D324" i="37"/>
  <c r="E326" i="37"/>
  <c r="G352" i="37"/>
  <c r="K355" i="37"/>
  <c r="D358" i="37"/>
  <c r="L336" i="37"/>
  <c r="E338" i="37"/>
  <c r="E365" i="37"/>
  <c r="I368" i="37"/>
  <c r="E372" i="37"/>
  <c r="K348" i="37"/>
  <c r="L350" i="37"/>
  <c r="E379" i="37"/>
  <c r="K382" i="37"/>
  <c r="D384" i="37"/>
  <c r="H361" i="37"/>
  <c r="L362" i="37"/>
  <c r="J392" i="37"/>
  <c r="G395" i="37"/>
  <c r="I397" i="37"/>
  <c r="J375" i="37"/>
  <c r="D377" i="37"/>
  <c r="J404" i="37"/>
  <c r="G407" i="37"/>
  <c r="I409" i="37"/>
  <c r="J387" i="37"/>
  <c r="L389" i="37"/>
  <c r="I416" i="37"/>
  <c r="E420" i="37"/>
  <c r="F422" i="37"/>
  <c r="F400" i="37"/>
  <c r="H402" i="37"/>
  <c r="G436" i="37"/>
  <c r="E439" i="37"/>
  <c r="D442" i="37"/>
  <c r="D413" i="37"/>
  <c r="H414" i="37"/>
  <c r="D449" i="37"/>
  <c r="J452" i="37"/>
  <c r="L454" i="37"/>
  <c r="D425" i="37"/>
  <c r="F434" i="37"/>
  <c r="L461" i="37"/>
  <c r="J464" i="37"/>
  <c r="K466" i="37"/>
  <c r="I445" i="37"/>
  <c r="K447" i="37"/>
  <c r="I457" i="37"/>
  <c r="K459" i="37"/>
  <c r="G357" i="37"/>
  <c r="H366" i="37"/>
  <c r="L367" i="37"/>
  <c r="F372" i="37"/>
  <c r="J380" i="37"/>
  <c r="D382" i="37"/>
  <c r="E384" i="37"/>
  <c r="K360" i="37"/>
  <c r="D363" i="37"/>
  <c r="F393" i="37"/>
  <c r="H395" i="37"/>
  <c r="J397" i="37"/>
  <c r="D375" i="37"/>
  <c r="E377" i="37"/>
  <c r="F405" i="37"/>
  <c r="H407" i="37"/>
  <c r="J409" i="37"/>
  <c r="K387" i="37"/>
  <c r="D389" i="37"/>
  <c r="D418" i="37"/>
  <c r="H419" i="37"/>
  <c r="I421" i="37"/>
  <c r="G400" i="37"/>
  <c r="I402" i="37"/>
  <c r="E437" i="37"/>
  <c r="F439" i="37"/>
  <c r="E442" i="37"/>
  <c r="G412" i="37"/>
  <c r="I414" i="37"/>
  <c r="I450" i="37"/>
  <c r="K452" i="37"/>
  <c r="D454" i="37"/>
  <c r="E425" i="37"/>
  <c r="G434" i="37"/>
  <c r="I462" i="37"/>
  <c r="K464" i="37"/>
  <c r="L466" i="37"/>
  <c r="J445" i="37"/>
  <c r="D447" i="37"/>
  <c r="J457" i="37"/>
  <c r="L459" i="37"/>
  <c r="J419" i="37"/>
  <c r="G422" i="37"/>
  <c r="I436" i="37"/>
  <c r="J438" i="37"/>
  <c r="L442" i="37"/>
  <c r="D450" i="37"/>
  <c r="E452" i="37"/>
  <c r="J455" i="37"/>
  <c r="I424" i="37"/>
  <c r="H434" i="37"/>
  <c r="K462" i="37"/>
  <c r="D464" i="37"/>
  <c r="J467" i="37"/>
  <c r="E445" i="37"/>
  <c r="I448" i="37"/>
  <c r="D457" i="37"/>
  <c r="I460" i="37"/>
  <c r="I453" i="37"/>
  <c r="J460" i="37"/>
  <c r="D462" i="37"/>
  <c r="I465" i="37"/>
  <c r="D455" i="37"/>
  <c r="E457" i="37"/>
  <c r="K467" i="37"/>
  <c r="G334" i="37"/>
  <c r="E337" i="37"/>
  <c r="F339" i="37"/>
  <c r="F346" i="37"/>
  <c r="D349" i="37"/>
  <c r="E351" i="37"/>
  <c r="J328" i="37"/>
  <c r="F332" i="37"/>
  <c r="F358" i="37"/>
  <c r="L361" i="37"/>
  <c r="E363" i="37"/>
  <c r="G341" i="37"/>
  <c r="E344" i="37"/>
  <c r="H372" i="37"/>
  <c r="L375" i="37"/>
  <c r="G377" i="37"/>
  <c r="G353" i="37"/>
  <c r="D356" i="37"/>
  <c r="H384" i="37"/>
  <c r="L387" i="37"/>
  <c r="H391" i="37"/>
  <c r="G365" i="37"/>
  <c r="L368" i="37"/>
  <c r="I398" i="37"/>
  <c r="F401" i="37"/>
  <c r="H403" i="37"/>
  <c r="I379" i="37"/>
  <c r="D383" i="37"/>
  <c r="I410" i="37"/>
  <c r="F413" i="37"/>
  <c r="H415" i="37"/>
  <c r="L392" i="37"/>
  <c r="G396" i="37"/>
  <c r="I422" i="37"/>
  <c r="F425" i="37"/>
  <c r="J434" i="37"/>
  <c r="J405" i="37"/>
  <c r="G408" i="37"/>
  <c r="G442" i="37"/>
  <c r="K445" i="37"/>
  <c r="D448" i="37"/>
  <c r="J417" i="37"/>
  <c r="G420" i="37"/>
  <c r="E455" i="37"/>
  <c r="I458" i="37"/>
  <c r="D460" i="37"/>
  <c r="K436" i="37"/>
  <c r="I439" i="37"/>
  <c r="D467" i="37"/>
  <c r="H449" i="37"/>
  <c r="L452" i="37"/>
  <c r="E462" i="37"/>
  <c r="J465" i="37"/>
  <c r="I324" i="37"/>
  <c r="J326" i="37"/>
  <c r="H329" i="37"/>
  <c r="F337" i="37"/>
  <c r="G339" i="37"/>
  <c r="E342" i="37"/>
  <c r="E349" i="37"/>
  <c r="F351" i="37"/>
  <c r="D354" i="37"/>
  <c r="I331" i="37"/>
  <c r="J333" i="37"/>
  <c r="D361" i="37"/>
  <c r="F363" i="37"/>
  <c r="L366" i="37"/>
  <c r="F344" i="37"/>
  <c r="G346" i="37"/>
  <c r="F375" i="37"/>
  <c r="H377" i="37"/>
  <c r="L380" i="37"/>
  <c r="E356" i="37"/>
  <c r="G358" i="37"/>
  <c r="D388" i="37"/>
  <c r="H389" i="37"/>
  <c r="G394" i="37"/>
  <c r="E368" i="37"/>
  <c r="I372" i="37"/>
  <c r="G401" i="37"/>
  <c r="I403" i="37"/>
  <c r="F406" i="37"/>
  <c r="G382" i="37"/>
  <c r="I384" i="37"/>
  <c r="G413" i="37"/>
  <c r="I415" i="37"/>
  <c r="F418" i="37"/>
  <c r="H396" i="37"/>
  <c r="L397" i="37"/>
  <c r="G425" i="37"/>
  <c r="K434" i="37"/>
  <c r="H437" i="37"/>
  <c r="H408" i="37"/>
  <c r="J410" i="37"/>
  <c r="L445" i="37"/>
  <c r="G447" i="37"/>
  <c r="K450" i="37"/>
  <c r="H420" i="37"/>
  <c r="J422" i="37"/>
  <c r="L457" i="37"/>
  <c r="E460" i="37"/>
  <c r="I463" i="37"/>
  <c r="J439" i="37"/>
  <c r="H442" i="37"/>
  <c r="D453" i="37"/>
  <c r="H454" i="37"/>
  <c r="D465" i="37"/>
  <c r="E467" i="37"/>
  <c r="E354" i="37"/>
  <c r="F356" i="37"/>
  <c r="D359" i="37"/>
  <c r="D366" i="37"/>
  <c r="F368" i="37"/>
  <c r="E373" i="37"/>
  <c r="G351" i="37"/>
  <c r="F380" i="37"/>
  <c r="H382" i="37"/>
  <c r="L385" i="37"/>
  <c r="E361" i="37"/>
  <c r="G363" i="37"/>
  <c r="J393" i="37"/>
  <c r="K395" i="37"/>
  <c r="G399" i="37"/>
  <c r="G375" i="37"/>
  <c r="I377" i="37"/>
  <c r="G406" i="37"/>
  <c r="I408" i="37"/>
  <c r="F411" i="37"/>
  <c r="G387" i="37"/>
  <c r="I389" i="37"/>
  <c r="G418" i="37"/>
  <c r="I420" i="37"/>
  <c r="F423" i="37"/>
  <c r="H401" i="37"/>
  <c r="L402" i="37"/>
  <c r="I437" i="37"/>
  <c r="K439" i="37"/>
  <c r="L443" i="37"/>
  <c r="H413" i="37"/>
  <c r="J415" i="37"/>
  <c r="L450" i="37"/>
  <c r="G452" i="37"/>
  <c r="K455" i="37"/>
  <c r="H425" i="37"/>
  <c r="L434" i="37"/>
  <c r="L462" i="37"/>
  <c r="E465" i="37"/>
  <c r="G517" i="37"/>
  <c r="F445" i="37"/>
  <c r="H447" i="37"/>
  <c r="D458" i="37"/>
  <c r="H459" i="37"/>
  <c r="H327" i="37"/>
  <c r="I334" i="37"/>
  <c r="J336" i="37"/>
  <c r="H339" i="37"/>
  <c r="F347" i="37"/>
  <c r="G349" i="37"/>
  <c r="E352" i="37"/>
  <c r="J329" i="37"/>
  <c r="K331" i="37"/>
  <c r="E359" i="37"/>
  <c r="F361" i="37"/>
  <c r="D364" i="37"/>
  <c r="I341" i="37"/>
  <c r="J343" i="37"/>
  <c r="F373" i="37"/>
  <c r="H375" i="37"/>
  <c r="E378" i="37"/>
  <c r="F354" i="37"/>
  <c r="G356" i="37"/>
  <c r="F385" i="37"/>
  <c r="H387" i="37"/>
  <c r="J391" i="37"/>
  <c r="E366" i="37"/>
  <c r="G368" i="37"/>
  <c r="J398" i="37"/>
  <c r="K400" i="37"/>
  <c r="G404" i="37"/>
  <c r="G380" i="37"/>
  <c r="I382" i="37"/>
  <c r="G411" i="37"/>
  <c r="I413" i="37"/>
  <c r="F416" i="37"/>
  <c r="K393" i="37"/>
  <c r="L395" i="37"/>
  <c r="G423" i="37"/>
  <c r="I425" i="37"/>
  <c r="H435" i="37"/>
  <c r="H406" i="37"/>
  <c r="L407" i="37"/>
  <c r="E443" i="37"/>
  <c r="G445" i="37"/>
  <c r="L448" i="37"/>
  <c r="H418" i="37"/>
  <c r="J420" i="37"/>
  <c r="L455" i="37"/>
  <c r="G457" i="37"/>
  <c r="K460" i="37"/>
  <c r="J437" i="37"/>
  <c r="L439" i="37"/>
  <c r="H517" i="37"/>
  <c r="F450" i="37"/>
  <c r="H452" i="37"/>
  <c r="D463" i="37"/>
  <c r="H464" i="37"/>
  <c r="K437" i="37"/>
  <c r="D441" i="37"/>
  <c r="F443" i="37"/>
  <c r="G450" i="37"/>
  <c r="L453" i="37"/>
  <c r="F455" i="37"/>
  <c r="G462" i="37"/>
  <c r="K465" i="37"/>
  <c r="L467" i="37"/>
  <c r="H445" i="37"/>
  <c r="E448" i="37"/>
  <c r="H457" i="37"/>
  <c r="L460" i="37"/>
  <c r="K322" i="37"/>
  <c r="L329" i="37"/>
  <c r="I332" i="37"/>
  <c r="K334" i="37"/>
  <c r="K341" i="37"/>
  <c r="I344" i="37"/>
  <c r="J346" i="37"/>
  <c r="H325" i="37"/>
  <c r="J327" i="37"/>
  <c r="J353" i="37"/>
  <c r="F357" i="37"/>
  <c r="G359" i="37"/>
  <c r="H337" i="37"/>
  <c r="J339" i="37"/>
  <c r="G366" i="37"/>
  <c r="E369" i="37"/>
  <c r="H373" i="37"/>
  <c r="H349" i="37"/>
  <c r="I351" i="37"/>
  <c r="I380" i="37"/>
  <c r="F383" i="37"/>
  <c r="H385" i="37"/>
  <c r="E362" i="37"/>
  <c r="F364" i="37"/>
  <c r="E393" i="37"/>
  <c r="K396" i="37"/>
  <c r="L398" i="37"/>
  <c r="E376" i="37"/>
  <c r="G378" i="37"/>
  <c r="L405" i="37"/>
  <c r="J408" i="37"/>
  <c r="K410" i="37"/>
  <c r="E388" i="37"/>
  <c r="L391" i="37"/>
  <c r="L417" i="37"/>
  <c r="G421" i="37"/>
  <c r="I423" i="37"/>
  <c r="J401" i="37"/>
  <c r="K403" i="37"/>
  <c r="D437" i="37"/>
  <c r="E441" i="37"/>
  <c r="G443" i="37"/>
  <c r="G414" i="37"/>
  <c r="H416" i="37"/>
  <c r="H450" i="37"/>
  <c r="E453" i="37"/>
  <c r="G455" i="37"/>
  <c r="H433" i="37"/>
  <c r="J435" i="37"/>
  <c r="H462" i="37"/>
  <c r="L465" i="37"/>
  <c r="G467" i="37"/>
  <c r="D446" i="37"/>
  <c r="F448" i="37"/>
  <c r="L458" i="37"/>
  <c r="F460" i="37"/>
  <c r="J332" i="37"/>
  <c r="K339" i="37"/>
  <c r="H342" i="37"/>
  <c r="J344" i="37"/>
  <c r="J351" i="37"/>
  <c r="H354" i="37"/>
  <c r="I356" i="37"/>
  <c r="L334" i="37"/>
  <c r="I337" i="37"/>
  <c r="G364" i="37"/>
  <c r="E367" i="37"/>
  <c r="F369" i="37"/>
  <c r="K346" i="37"/>
  <c r="I349" i="37"/>
  <c r="H378" i="37"/>
  <c r="E381" i="37"/>
  <c r="G383" i="37"/>
  <c r="J358" i="37"/>
  <c r="F362" i="37"/>
  <c r="D391" i="37"/>
  <c r="K394" i="37"/>
  <c r="L396" i="37"/>
  <c r="I373" i="37"/>
  <c r="F376" i="37"/>
  <c r="L403" i="37"/>
  <c r="J406" i="37"/>
  <c r="K408" i="37"/>
  <c r="I385" i="37"/>
  <c r="F388" i="37"/>
  <c r="K415" i="37"/>
  <c r="G419" i="37"/>
  <c r="H421" i="37"/>
  <c r="E398" i="37"/>
  <c r="K401" i="37"/>
  <c r="D435" i="37"/>
  <c r="H438" i="37"/>
  <c r="F441" i="37"/>
  <c r="L410" i="37"/>
  <c r="J413" i="37"/>
  <c r="G448" i="37"/>
  <c r="D451" i="37"/>
  <c r="F453" i="37"/>
  <c r="L422" i="37"/>
  <c r="I433" i="37"/>
  <c r="G460" i="37"/>
  <c r="L463" i="37"/>
  <c r="F465" i="37"/>
  <c r="H443" i="37"/>
  <c r="E446" i="37"/>
  <c r="H455" i="37"/>
  <c r="E458" i="37"/>
  <c r="H467" i="37"/>
  <c r="K245" i="37"/>
  <c r="D248" i="37"/>
  <c r="H249" i="37"/>
  <c r="I258" i="37"/>
  <c r="D260" i="37"/>
  <c r="E262" i="37"/>
  <c r="I239" i="37"/>
  <c r="G242" i="37"/>
  <c r="I270" i="37"/>
  <c r="K272" i="37"/>
  <c r="D274" i="37"/>
  <c r="L252" i="37"/>
  <c r="E255" i="37"/>
  <c r="L286" i="37"/>
  <c r="E288" i="37"/>
  <c r="G290" i="37"/>
  <c r="J265" i="37"/>
  <c r="D267" i="37"/>
  <c r="K298" i="37"/>
  <c r="L300" i="37"/>
  <c r="G302" i="37"/>
  <c r="D281" i="37"/>
  <c r="F283" i="37"/>
  <c r="H311" i="37"/>
  <c r="L312" i="37"/>
  <c r="E315" i="37"/>
  <c r="L293" i="37"/>
  <c r="F295" i="37"/>
  <c r="H323" i="37"/>
  <c r="J325" i="37"/>
  <c r="D327" i="37"/>
  <c r="K305" i="37"/>
  <c r="D308" i="37"/>
  <c r="H335" i="37"/>
  <c r="J337" i="37"/>
  <c r="L339" i="37"/>
  <c r="I318" i="37"/>
  <c r="D320" i="37"/>
  <c r="H347" i="37"/>
  <c r="J349" i="37"/>
  <c r="K351" i="37"/>
  <c r="I330" i="37"/>
  <c r="K332" i="37"/>
  <c r="H359" i="37"/>
  <c r="I361" i="37"/>
  <c r="J363" i="37"/>
  <c r="I342" i="37"/>
  <c r="K344" i="37"/>
  <c r="F374" i="37"/>
  <c r="G376" i="37"/>
  <c r="I378" i="37"/>
  <c r="I354" i="37"/>
  <c r="J356" i="37"/>
  <c r="E386" i="37"/>
  <c r="G388" i="37"/>
  <c r="E391" i="37"/>
  <c r="F367" i="37"/>
  <c r="G369" i="37"/>
  <c r="K399" i="37"/>
  <c r="L401" i="37"/>
  <c r="E403" i="37"/>
  <c r="F381" i="37"/>
  <c r="H383" i="37"/>
  <c r="J411" i="37"/>
  <c r="K413" i="37"/>
  <c r="L415" i="37"/>
  <c r="L394" i="37"/>
  <c r="D396" i="37"/>
  <c r="G424" i="37"/>
  <c r="D433" i="37"/>
  <c r="E435" i="37"/>
  <c r="K406" i="37"/>
  <c r="L408" i="37"/>
  <c r="E444" i="37"/>
  <c r="F446" i="37"/>
  <c r="H448" i="37"/>
  <c r="J418" i="37"/>
  <c r="K420" i="37"/>
  <c r="D456" i="37"/>
  <c r="F458" i="37"/>
  <c r="H460" i="37"/>
  <c r="I438" i="37"/>
  <c r="G441" i="37"/>
  <c r="K517" i="37"/>
  <c r="E451" i="37"/>
  <c r="G453" i="37"/>
  <c r="E463" i="37"/>
  <c r="G465" i="37"/>
  <c r="L406" i="37"/>
  <c r="E408" i="37"/>
  <c r="K411" i="37"/>
  <c r="K418" i="37"/>
  <c r="L420" i="37"/>
  <c r="J423" i="37"/>
  <c r="L437" i="37"/>
  <c r="H441" i="37"/>
  <c r="F444" i="37"/>
  <c r="L413" i="37"/>
  <c r="J416" i="37"/>
  <c r="F451" i="37"/>
  <c r="H453" i="37"/>
  <c r="E456" i="37"/>
  <c r="K425" i="37"/>
  <c r="H436" i="37"/>
  <c r="F463" i="37"/>
  <c r="H465" i="37"/>
  <c r="L517" i="37"/>
  <c r="G446" i="37"/>
  <c r="E449" i="37"/>
  <c r="G458" i="37"/>
  <c r="D461" i="37"/>
  <c r="G379" i="37"/>
  <c r="G386" i="37"/>
  <c r="I388" i="37"/>
  <c r="D392" i="37"/>
  <c r="D399" i="37"/>
  <c r="E401" i="37"/>
  <c r="L404" i="37"/>
  <c r="H381" i="37"/>
  <c r="F384" i="37"/>
  <c r="L411" i="37"/>
  <c r="E413" i="37"/>
  <c r="K416" i="37"/>
  <c r="E394" i="37"/>
  <c r="K397" i="37"/>
  <c r="K423" i="37"/>
  <c r="L425" i="37"/>
  <c r="K435" i="37"/>
  <c r="D406" i="37"/>
  <c r="K409" i="37"/>
  <c r="G444" i="37"/>
  <c r="H446" i="37"/>
  <c r="F449" i="37"/>
  <c r="L418" i="37"/>
  <c r="J421" i="37"/>
  <c r="F456" i="37"/>
  <c r="H458" i="37"/>
  <c r="E461" i="37"/>
  <c r="D438" i="37"/>
  <c r="F442" i="37"/>
  <c r="D517" i="37"/>
  <c r="G451" i="37"/>
  <c r="E454" i="37"/>
  <c r="G463" i="37"/>
  <c r="D466" i="37"/>
  <c r="K433" i="37"/>
  <c r="L435" i="37"/>
  <c r="G437" i="37"/>
  <c r="F447" i="37"/>
  <c r="G449" i="37"/>
  <c r="H451" i="37"/>
  <c r="E459" i="37"/>
  <c r="F461" i="37"/>
  <c r="H463" i="37"/>
  <c r="I441" i="37"/>
  <c r="J443" i="37"/>
  <c r="F454" i="37"/>
  <c r="G456" i="37"/>
  <c r="E466" i="37"/>
  <c r="E517" i="37"/>
  <c r="I472" i="37"/>
  <c r="H472" i="37"/>
  <c r="D472" i="37"/>
  <c r="L536" i="37"/>
  <c r="L472" i="37"/>
  <c r="K472" i="37"/>
  <c r="J472" i="37"/>
  <c r="K526" i="37"/>
  <c r="J524" i="37"/>
  <c r="G472" i="37"/>
  <c r="F472" i="37"/>
  <c r="E472" i="37"/>
  <c r="H513" i="37"/>
  <c r="F511" i="37"/>
  <c r="L533" i="37"/>
  <c r="H532" i="37"/>
  <c r="G530" i="37"/>
  <c r="H501" i="37"/>
  <c r="F499" i="37"/>
  <c r="L521" i="37"/>
  <c r="K519" i="37"/>
  <c r="L516" i="37"/>
  <c r="H489" i="37"/>
  <c r="F487" i="37"/>
  <c r="I508" i="37"/>
  <c r="G506" i="37"/>
  <c r="E504" i="37"/>
  <c r="E470" i="37"/>
  <c r="D468" i="37"/>
  <c r="I496" i="37"/>
  <c r="G494" i="37"/>
  <c r="E492" i="37"/>
  <c r="L370" i="37"/>
  <c r="I279" i="37"/>
  <c r="I484" i="37"/>
  <c r="G482" i="37"/>
  <c r="F480" i="37"/>
  <c r="G125" i="37"/>
  <c r="I122" i="37"/>
  <c r="K430" i="37"/>
  <c r="J428" i="37"/>
  <c r="I426" i="37"/>
  <c r="F240" i="37"/>
  <c r="H132" i="37"/>
  <c r="F130" i="37"/>
  <c r="J72" i="37"/>
  <c r="D66" i="37"/>
  <c r="D61" i="37"/>
  <c r="K536" i="37"/>
  <c r="I534" i="37"/>
  <c r="G525" i="37"/>
  <c r="K521" i="37"/>
  <c r="L511" i="37"/>
  <c r="H508" i="37"/>
  <c r="G532" i="37"/>
  <c r="L528" i="37"/>
  <c r="H527" i="37"/>
  <c r="E499" i="37"/>
  <c r="H496" i="37"/>
  <c r="J519" i="37"/>
  <c r="I515" i="37"/>
  <c r="G513" i="37"/>
  <c r="E487" i="37"/>
  <c r="H484" i="37"/>
  <c r="F506" i="37"/>
  <c r="I503" i="37"/>
  <c r="G501" i="37"/>
  <c r="I468" i="37"/>
  <c r="H431" i="37"/>
  <c r="F494" i="37"/>
  <c r="I491" i="37"/>
  <c r="G489" i="37"/>
  <c r="H279" i="37"/>
  <c r="L240" i="37"/>
  <c r="F482" i="37"/>
  <c r="I479" i="37"/>
  <c r="D470" i="37"/>
  <c r="H122" i="37"/>
  <c r="I72" i="37"/>
  <c r="G429" i="37"/>
  <c r="K390" i="37"/>
  <c r="K370" i="37"/>
  <c r="G132" i="37"/>
  <c r="L128" i="37"/>
  <c r="F125" i="37"/>
  <c r="L66" i="37"/>
  <c r="F58" i="37"/>
  <c r="F532" i="37"/>
  <c r="I529" i="37"/>
  <c r="G520" i="37"/>
  <c r="H515" i="37"/>
  <c r="J536" i="37"/>
  <c r="H534" i="37"/>
  <c r="L506" i="37"/>
  <c r="H503" i="37"/>
  <c r="G527" i="37"/>
  <c r="L523" i="37"/>
  <c r="H522" i="37"/>
  <c r="E494" i="37"/>
  <c r="H491" i="37"/>
  <c r="D514" i="37"/>
  <c r="I510" i="37"/>
  <c r="G508" i="37"/>
  <c r="E482" i="37"/>
  <c r="H479" i="37"/>
  <c r="F501" i="37"/>
  <c r="I498" i="37"/>
  <c r="G496" i="37"/>
  <c r="F429" i="37"/>
  <c r="H426" i="37"/>
  <c r="F489" i="37"/>
  <c r="I486" i="37"/>
  <c r="G484" i="37"/>
  <c r="D133" i="37"/>
  <c r="K128" i="37"/>
  <c r="J470" i="37"/>
  <c r="D440" i="37"/>
  <c r="G431" i="37"/>
  <c r="K66" i="37"/>
  <c r="E58" i="37"/>
  <c r="H371" i="37"/>
  <c r="J278" i="37"/>
  <c r="K240" i="37"/>
  <c r="L125" i="37"/>
  <c r="F95" i="37"/>
  <c r="H72" i="37"/>
  <c r="I536" i="37"/>
  <c r="G534" i="37"/>
  <c r="I524" i="37"/>
  <c r="G522" i="37"/>
  <c r="H510" i="37"/>
  <c r="D509" i="37"/>
  <c r="J531" i="37"/>
  <c r="H529" i="37"/>
  <c r="F527" i="37"/>
  <c r="H498" i="37"/>
  <c r="F496" i="37"/>
  <c r="L518" i="37"/>
  <c r="E516" i="37"/>
  <c r="L513" i="37"/>
  <c r="H486" i="37"/>
  <c r="F484" i="37"/>
  <c r="I505" i="37"/>
  <c r="G503" i="37"/>
  <c r="L501" i="37"/>
  <c r="J440" i="37"/>
  <c r="F431" i="37"/>
  <c r="I493" i="37"/>
  <c r="G491" i="37"/>
  <c r="E489" i="37"/>
  <c r="G279" i="37"/>
  <c r="F277" i="37"/>
  <c r="I481" i="37"/>
  <c r="G479" i="37"/>
  <c r="I470" i="37"/>
  <c r="L95" i="37"/>
  <c r="G72" i="37"/>
  <c r="I428" i="37"/>
  <c r="G426" i="37"/>
  <c r="G371" i="37"/>
  <c r="I131" i="37"/>
  <c r="J128" i="37"/>
  <c r="K125" i="37"/>
  <c r="F65" i="37"/>
  <c r="L58" i="37"/>
  <c r="G529" i="37"/>
  <c r="J526" i="37"/>
  <c r="D516" i="37"/>
  <c r="F513" i="37"/>
  <c r="H536" i="37"/>
  <c r="F534" i="37"/>
  <c r="I531" i="37"/>
  <c r="D504" i="37"/>
  <c r="I500" i="37"/>
  <c r="H524" i="37"/>
  <c r="F522" i="37"/>
  <c r="I519" i="37"/>
  <c r="F491" i="37"/>
  <c r="I488" i="37"/>
  <c r="E511" i="37"/>
  <c r="L508" i="37"/>
  <c r="H505" i="37"/>
  <c r="F479" i="37"/>
  <c r="D469" i="37"/>
  <c r="G498" i="37"/>
  <c r="L496" i="37"/>
  <c r="H493" i="37"/>
  <c r="F426" i="37"/>
  <c r="D370" i="37"/>
  <c r="G486" i="37"/>
  <c r="E484" i="37"/>
  <c r="H481" i="37"/>
  <c r="E130" i="37"/>
  <c r="J123" i="37"/>
  <c r="I440" i="37"/>
  <c r="E431" i="37"/>
  <c r="H428" i="37"/>
  <c r="K58" i="37"/>
  <c r="F279" i="37"/>
  <c r="E277" i="37"/>
  <c r="F132" i="37"/>
  <c r="K95" i="37"/>
  <c r="D73" i="37"/>
  <c r="L65" i="37"/>
  <c r="H531" i="37"/>
  <c r="F529" i="37"/>
  <c r="H519" i="37"/>
  <c r="J516" i="37"/>
  <c r="G536" i="37"/>
  <c r="J533" i="37"/>
  <c r="E506" i="37"/>
  <c r="L503" i="37"/>
  <c r="I526" i="37"/>
  <c r="G524" i="37"/>
  <c r="J521" i="37"/>
  <c r="G493" i="37"/>
  <c r="L491" i="37"/>
  <c r="E513" i="37"/>
  <c r="D511" i="37"/>
  <c r="F508" i="37"/>
  <c r="G481" i="37"/>
  <c r="E479" i="37"/>
  <c r="H500" i="37"/>
  <c r="D499" i="37"/>
  <c r="I495" i="37"/>
  <c r="G428" i="37"/>
  <c r="E426" i="37"/>
  <c r="H488" i="37"/>
  <c r="F486" i="37"/>
  <c r="I483" i="37"/>
  <c r="E132" i="37"/>
  <c r="D130" i="37"/>
  <c r="L469" i="37"/>
  <c r="H440" i="37"/>
  <c r="I430" i="37"/>
  <c r="K65" i="37"/>
  <c r="J58" i="37"/>
  <c r="J370" i="37"/>
  <c r="E279" i="37"/>
  <c r="D240" i="37"/>
  <c r="E125" i="37"/>
  <c r="F122" i="37"/>
  <c r="J68" i="37"/>
  <c r="G531" i="37"/>
  <c r="J528" i="37"/>
  <c r="G519" i="37"/>
  <c r="E515" i="37"/>
  <c r="F536" i="37"/>
  <c r="I533" i="37"/>
  <c r="D506" i="37"/>
  <c r="F503" i="37"/>
  <c r="H526" i="37"/>
  <c r="F524" i="37"/>
  <c r="I521" i="37"/>
  <c r="D494" i="37"/>
  <c r="I490" i="37"/>
  <c r="D513" i="37"/>
  <c r="J511" i="37"/>
  <c r="E508" i="37"/>
  <c r="F481" i="37"/>
  <c r="L471" i="37"/>
  <c r="E501" i="37"/>
  <c r="L498" i="37"/>
  <c r="H495" i="37"/>
  <c r="F428" i="37"/>
  <c r="I390" i="37"/>
  <c r="G488" i="37"/>
  <c r="L486" i="37"/>
  <c r="H483" i="37"/>
  <c r="D132" i="37"/>
  <c r="I128" i="37"/>
  <c r="K469" i="37"/>
  <c r="G440" i="37"/>
  <c r="H430" i="37"/>
  <c r="H66" i="37"/>
  <c r="L2" i="37"/>
  <c r="I370" i="37"/>
  <c r="D279" i="37"/>
  <c r="J240" i="37"/>
  <c r="D125" i="37"/>
  <c r="E122" i="37"/>
  <c r="F72" i="37"/>
  <c r="J535" i="37"/>
  <c r="H533" i="37"/>
  <c r="J523" i="37"/>
  <c r="H521" i="37"/>
  <c r="E510" i="37"/>
  <c r="D508" i="37"/>
  <c r="F531" i="37"/>
  <c r="I528" i="37"/>
  <c r="G526" i="37"/>
  <c r="F498" i="37"/>
  <c r="E496" i="37"/>
  <c r="F519" i="37"/>
  <c r="D515" i="37"/>
  <c r="K513" i="37"/>
  <c r="I485" i="37"/>
  <c r="G483" i="37"/>
  <c r="J506" i="37"/>
  <c r="E503" i="37"/>
  <c r="D501" i="37"/>
  <c r="I432" i="37"/>
  <c r="G430" i="37"/>
  <c r="L493" i="37"/>
  <c r="H490" i="37"/>
  <c r="D489" i="37"/>
  <c r="G278" i="37"/>
  <c r="I240" i="37"/>
  <c r="L481" i="37"/>
  <c r="K471" i="37"/>
  <c r="J469" i="37"/>
  <c r="D95" i="37"/>
  <c r="E72" i="37"/>
  <c r="E428" i="37"/>
  <c r="H390" i="37"/>
  <c r="H370" i="37"/>
  <c r="K132" i="37"/>
  <c r="H128" i="37"/>
  <c r="J125" i="37"/>
  <c r="G66" i="37"/>
  <c r="D58" i="37"/>
  <c r="J530" i="37"/>
  <c r="H528" i="37"/>
  <c r="J518" i="37"/>
  <c r="L515" i="37"/>
  <c r="I535" i="37"/>
  <c r="G533" i="37"/>
  <c r="E505" i="37"/>
  <c r="D503" i="37"/>
  <c r="F526" i="37"/>
  <c r="I523" i="37"/>
  <c r="G521" i="37"/>
  <c r="F493" i="37"/>
  <c r="E491" i="37"/>
  <c r="J513" i="37"/>
  <c r="D510" i="37"/>
  <c r="K508" i="37"/>
  <c r="I480" i="37"/>
  <c r="J471" i="37"/>
  <c r="J501" i="37"/>
  <c r="E498" i="37"/>
  <c r="D496" i="37"/>
  <c r="I427" i="37"/>
  <c r="G390" i="37"/>
  <c r="L488" i="37"/>
  <c r="H485" i="37"/>
  <c r="D484" i="37"/>
  <c r="E131" i="37"/>
  <c r="G128" i="37"/>
  <c r="I469" i="37"/>
  <c r="H432" i="37"/>
  <c r="F430" i="37"/>
  <c r="D65" i="37"/>
  <c r="I58" i="37"/>
  <c r="G370" i="37"/>
  <c r="F278" i="37"/>
  <c r="H240" i="37"/>
  <c r="I125" i="37"/>
  <c r="J95" i="37"/>
  <c r="D72" i="37"/>
  <c r="H535" i="37"/>
  <c r="J525" i="37"/>
  <c r="H523" i="37"/>
  <c r="D512" i="37"/>
  <c r="L510" i="37"/>
  <c r="D534" i="37"/>
  <c r="I530" i="37"/>
  <c r="G528" i="37"/>
  <c r="E500" i="37"/>
  <c r="D498" i="37"/>
  <c r="F521" i="37"/>
  <c r="I518" i="37"/>
  <c r="K515" i="37"/>
  <c r="F488" i="37"/>
  <c r="E486" i="37"/>
  <c r="J508" i="37"/>
  <c r="D505" i="37"/>
  <c r="K503" i="37"/>
  <c r="K468" i="37"/>
  <c r="G432" i="37"/>
  <c r="J496" i="37"/>
  <c r="E493" i="37"/>
  <c r="D491" i="37"/>
  <c r="G280" i="37"/>
  <c r="E278" i="37"/>
  <c r="L483" i="37"/>
  <c r="H480" i="37"/>
  <c r="I471" i="37"/>
  <c r="G123" i="37"/>
  <c r="I95" i="37"/>
  <c r="L430" i="37"/>
  <c r="H427" i="37"/>
  <c r="F390" i="37"/>
  <c r="G240" i="37"/>
  <c r="D131" i="37"/>
  <c r="F128" i="37"/>
  <c r="K72" i="37"/>
  <c r="J65" i="37"/>
  <c r="H58" i="37"/>
  <c r="E536" i="37"/>
  <c r="I532" i="37"/>
  <c r="G523" i="37"/>
  <c r="J520" i="37"/>
  <c r="K510" i="37"/>
  <c r="D507" i="37"/>
  <c r="H530" i="37"/>
  <c r="D529" i="37"/>
  <c r="I525" i="37"/>
  <c r="K498" i="37"/>
  <c r="E495" i="37"/>
  <c r="H518" i="37"/>
  <c r="J515" i="37"/>
  <c r="L512" i="37"/>
  <c r="D486" i="37"/>
  <c r="F483" i="37"/>
  <c r="L505" i="37"/>
  <c r="J503" i="37"/>
  <c r="D500" i="37"/>
  <c r="L432" i="37"/>
  <c r="I429" i="37"/>
  <c r="D493" i="37"/>
  <c r="J491" i="37"/>
  <c r="E488" i="37"/>
  <c r="L278" i="37"/>
  <c r="E133" i="37"/>
  <c r="E481" i="37"/>
  <c r="D479" i="37"/>
  <c r="J468" i="37"/>
  <c r="H95" i="37"/>
  <c r="G68" i="37"/>
  <c r="G427" i="37"/>
  <c r="L390" i="37"/>
  <c r="F280" i="37"/>
  <c r="L131" i="37"/>
  <c r="E128" i="37"/>
  <c r="F123" i="37"/>
  <c r="I65" i="37"/>
  <c r="G58" i="37"/>
  <c r="I527" i="37"/>
  <c r="H525" i="37"/>
  <c r="L514" i="37"/>
  <c r="K512" i="37"/>
  <c r="D536" i="37"/>
  <c r="F533" i="37"/>
  <c r="E531" i="37"/>
  <c r="D502" i="37"/>
  <c r="L500" i="37"/>
  <c r="D524" i="37"/>
  <c r="I520" i="37"/>
  <c r="G518" i="37"/>
  <c r="E490" i="37"/>
  <c r="D488" i="37"/>
  <c r="J510" i="37"/>
  <c r="L507" i="37"/>
  <c r="K505" i="37"/>
  <c r="H471" i="37"/>
  <c r="G469" i="37"/>
  <c r="J498" i="37"/>
  <c r="D495" i="37"/>
  <c r="K493" i="37"/>
  <c r="J371" i="37"/>
  <c r="L280" i="37"/>
  <c r="J486" i="37"/>
  <c r="E483" i="37"/>
  <c r="D481" i="37"/>
  <c r="I127" i="37"/>
  <c r="E123" i="37"/>
  <c r="E440" i="37"/>
  <c r="H429" i="37"/>
  <c r="D428" i="37"/>
  <c r="K2" i="37"/>
  <c r="K278" i="37"/>
  <c r="L133" i="37"/>
  <c r="K131" i="37"/>
  <c r="G95" i="37"/>
  <c r="F68" i="37"/>
  <c r="H65" i="37"/>
  <c r="D531" i="37"/>
  <c r="F528" i="37"/>
  <c r="D519" i="37"/>
  <c r="K514" i="37"/>
  <c r="F535" i="37"/>
  <c r="E533" i="37"/>
  <c r="J505" i="37"/>
  <c r="L502" i="37"/>
  <c r="E526" i="37"/>
  <c r="I522" i="37"/>
  <c r="H520" i="37"/>
  <c r="J493" i="37"/>
  <c r="D490" i="37"/>
  <c r="J512" i="37"/>
  <c r="L509" i="37"/>
  <c r="K507" i="37"/>
  <c r="J481" i="37"/>
  <c r="G471" i="37"/>
  <c r="K500" i="37"/>
  <c r="D497" i="37"/>
  <c r="L495" i="37"/>
  <c r="L427" i="37"/>
  <c r="I371" i="37"/>
  <c r="K488" i="37"/>
  <c r="E485" i="37"/>
  <c r="D483" i="37"/>
  <c r="J131" i="37"/>
  <c r="H127" i="37"/>
  <c r="F469" i="37"/>
  <c r="F432" i="37"/>
  <c r="E430" i="37"/>
  <c r="G65" i="37"/>
  <c r="J2" i="37"/>
  <c r="K280" i="37"/>
  <c r="G277" i="37"/>
  <c r="K133" i="37"/>
  <c r="L123" i="37"/>
  <c r="E73" i="37"/>
  <c r="E68" i="37"/>
  <c r="D533" i="37"/>
  <c r="F530" i="37"/>
  <c r="E521" i="37"/>
  <c r="K516" i="37"/>
  <c r="E535" i="37"/>
  <c r="J507" i="37"/>
  <c r="L504" i="37"/>
  <c r="E528" i="37"/>
  <c r="D526" i="37"/>
  <c r="F523" i="37"/>
  <c r="K495" i="37"/>
  <c r="D492" i="37"/>
  <c r="J514" i="37"/>
  <c r="I512" i="37"/>
  <c r="K509" i="37"/>
  <c r="K483" i="37"/>
  <c r="E480" i="37"/>
  <c r="K502" i="37"/>
  <c r="J500" i="37"/>
  <c r="L497" i="37"/>
  <c r="D430" i="37"/>
  <c r="F427" i="37"/>
  <c r="L490" i="37"/>
  <c r="J488" i="37"/>
  <c r="D485" i="37"/>
  <c r="J133" i="37"/>
  <c r="L130" i="37"/>
  <c r="F471" i="37"/>
  <c r="E469" i="37"/>
  <c r="E432" i="37"/>
  <c r="L68" i="37"/>
  <c r="L61" i="37"/>
  <c r="E390" i="37"/>
  <c r="E370" i="37"/>
  <c r="D278" i="37"/>
  <c r="E530" i="37"/>
  <c r="D528" i="37"/>
  <c r="G127" i="37"/>
  <c r="K123" i="37"/>
  <c r="L73" i="37"/>
  <c r="F518" i="37"/>
  <c r="G515" i="37"/>
  <c r="I2" i="37"/>
  <c r="D535" i="37"/>
  <c r="K533" i="37"/>
  <c r="K504" i="37"/>
  <c r="J502" i="37"/>
  <c r="F525" i="37"/>
  <c r="E523" i="37"/>
  <c r="D521" i="37"/>
  <c r="L492" i="37"/>
  <c r="K490" i="37"/>
  <c r="K511" i="37"/>
  <c r="J509" i="37"/>
  <c r="I507" i="37"/>
  <c r="D480" i="37"/>
  <c r="E471" i="37"/>
  <c r="L499" i="37"/>
  <c r="K497" i="37"/>
  <c r="J495" i="37"/>
  <c r="E427" i="37"/>
  <c r="D390" i="37"/>
  <c r="D487" i="37"/>
  <c r="L485" i="37"/>
  <c r="J483" i="37"/>
  <c r="K130" i="37"/>
  <c r="D128" i="37"/>
  <c r="H468" i="37"/>
  <c r="D432" i="37"/>
  <c r="J430" i="37"/>
  <c r="K61" i="37"/>
  <c r="H2" i="37"/>
  <c r="E280" i="37"/>
  <c r="L277" i="37"/>
  <c r="E240" i="37"/>
  <c r="G122" i="37"/>
  <c r="K73" i="37"/>
  <c r="K68" i="37"/>
  <c r="D530" i="37"/>
  <c r="K528" i="37"/>
  <c r="E518" i="37"/>
  <c r="F515" i="37"/>
  <c r="L535" i="37"/>
  <c r="E532" i="37"/>
  <c r="J504" i="37"/>
  <c r="I502" i="37"/>
  <c r="E525" i="37"/>
  <c r="D523" i="37"/>
  <c r="F520" i="37"/>
  <c r="K492" i="37"/>
  <c r="J490" i="37"/>
  <c r="H512" i="37"/>
  <c r="G510" i="37"/>
  <c r="K506" i="37"/>
  <c r="L480" i="37"/>
  <c r="D471" i="37"/>
  <c r="K499" i="37"/>
  <c r="J497" i="37"/>
  <c r="L494" i="37"/>
  <c r="D427" i="37"/>
  <c r="J390" i="37"/>
  <c r="L487" i="37"/>
  <c r="K485" i="37"/>
  <c r="D482" i="37"/>
  <c r="H131" i="37"/>
  <c r="L127" i="37"/>
  <c r="G468" i="37"/>
  <c r="K432" i="37"/>
  <c r="E429" i="37"/>
  <c r="J61" i="37"/>
  <c r="G2" i="37"/>
  <c r="D280" i="37"/>
  <c r="I278" i="37"/>
  <c r="L132" i="37"/>
  <c r="D123" i="37"/>
  <c r="J73" i="37"/>
  <c r="J66" i="37"/>
  <c r="K535" i="37"/>
  <c r="D532" i="37"/>
  <c r="K523" i="37"/>
  <c r="E520" i="37"/>
  <c r="F510" i="37"/>
  <c r="H507" i="37"/>
  <c r="L530" i="37"/>
  <c r="E527" i="37"/>
  <c r="D525" i="37"/>
  <c r="I497" i="37"/>
  <c r="K494" i="37"/>
  <c r="D518" i="37"/>
  <c r="I514" i="37"/>
  <c r="G512" i="37"/>
  <c r="J485" i="37"/>
  <c r="L482" i="37"/>
  <c r="G505" i="37"/>
  <c r="K501" i="37"/>
  <c r="J499" i="37"/>
  <c r="J432" i="37"/>
  <c r="D429" i="37"/>
  <c r="J492" i="37"/>
  <c r="L489" i="37"/>
  <c r="K487" i="37"/>
  <c r="H278" i="37"/>
  <c r="I133" i="37"/>
  <c r="K480" i="37"/>
  <c r="H470" i="37"/>
  <c r="F468" i="37"/>
  <c r="E95" i="37"/>
  <c r="I66" i="37"/>
  <c r="K427" i="37"/>
  <c r="F371" i="37"/>
  <c r="J280" i="37"/>
  <c r="G131" i="37"/>
  <c r="F127" i="37"/>
  <c r="L122" i="37"/>
  <c r="I61" i="37"/>
  <c r="D527" i="37"/>
  <c r="L525" i="37"/>
  <c r="H514" i="37"/>
  <c r="F512" i="37"/>
  <c r="E534" i="37"/>
  <c r="L532" i="37"/>
  <c r="K530" i="37"/>
  <c r="H502" i="37"/>
  <c r="G500" i="37"/>
  <c r="E522" i="37"/>
  <c r="D520" i="37"/>
  <c r="K518" i="37"/>
  <c r="K489" i="37"/>
  <c r="J487" i="37"/>
  <c r="I509" i="37"/>
  <c r="G507" i="37"/>
  <c r="F505" i="37"/>
  <c r="G470" i="37"/>
  <c r="E468" i="37"/>
  <c r="K496" i="37"/>
  <c r="J494" i="37"/>
  <c r="I492" i="37"/>
  <c r="E371" i="37"/>
  <c r="I280" i="37"/>
  <c r="L484" i="37"/>
  <c r="K482" i="37"/>
  <c r="J480" i="37"/>
  <c r="E127" i="37"/>
  <c r="I123" i="37"/>
  <c r="D431" i="37"/>
  <c r="L429" i="37"/>
  <c r="J427" i="37"/>
  <c r="D277" i="37"/>
  <c r="H133" i="37"/>
  <c r="F131" i="37"/>
  <c r="L72" i="37"/>
  <c r="D68" i="37"/>
  <c r="E65" i="37"/>
  <c r="L534" i="37"/>
  <c r="K525" i="37"/>
  <c r="D522" i="37"/>
  <c r="E512" i="37"/>
  <c r="H509" i="37"/>
  <c r="K532" i="37"/>
  <c r="E529" i="37"/>
  <c r="L527" i="37"/>
  <c r="F500" i="37"/>
  <c r="H497" i="37"/>
  <c r="L520" i="37"/>
  <c r="I516" i="37"/>
  <c r="G514" i="37"/>
  <c r="I487" i="37"/>
  <c r="K484" i="37"/>
  <c r="F507" i="37"/>
  <c r="I504" i="37"/>
  <c r="G502" i="37"/>
  <c r="L468" i="37"/>
  <c r="L431" i="37"/>
  <c r="G495" i="37"/>
  <c r="K491" i="37"/>
  <c r="J489" i="37"/>
  <c r="H280" i="37"/>
  <c r="K277" i="37"/>
  <c r="J482" i="37"/>
  <c r="L479" i="37"/>
  <c r="F470" i="37"/>
  <c r="H123" i="37"/>
  <c r="I73" i="37"/>
  <c r="K429" i="37"/>
  <c r="D426" i="37"/>
  <c r="D371" i="37"/>
  <c r="G133" i="37"/>
  <c r="J130" i="37"/>
  <c r="D127" i="37"/>
  <c r="I68" i="37"/>
  <c r="H61" i="37"/>
  <c r="F2" i="37"/>
  <c r="L529" i="37"/>
  <c r="K527" i="37"/>
  <c r="H516" i="37"/>
  <c r="F514" i="37"/>
  <c r="K534" i="37"/>
  <c r="J532" i="37"/>
  <c r="H504" i="37"/>
  <c r="F502" i="37"/>
  <c r="E524" i="37"/>
  <c r="L522" i="37"/>
  <c r="K520" i="37"/>
  <c r="H492" i="37"/>
  <c r="G490" i="37"/>
  <c r="I511" i="37"/>
  <c r="G509" i="37"/>
  <c r="E507" i="37"/>
  <c r="K479" i="37"/>
  <c r="L470" i="37"/>
  <c r="I499" i="37"/>
  <c r="G497" i="37"/>
  <c r="F495" i="37"/>
  <c r="L426" i="37"/>
  <c r="L371" i="37"/>
  <c r="K486" i="37"/>
  <c r="J484" i="37"/>
  <c r="I482" i="37"/>
  <c r="I130" i="37"/>
  <c r="K127" i="37"/>
  <c r="F440" i="37"/>
  <c r="K431" i="37"/>
  <c r="J429" i="37"/>
  <c r="G61" i="37"/>
  <c r="E2" i="37"/>
  <c r="L279" i="37"/>
  <c r="J277" i="37"/>
  <c r="F133" i="37"/>
  <c r="D122" i="37"/>
  <c r="H73" i="37"/>
  <c r="H68" i="37"/>
  <c r="J534" i="37"/>
  <c r="L531" i="37"/>
  <c r="K522" i="37"/>
  <c r="E519" i="37"/>
  <c r="F509" i="37"/>
  <c r="I506" i="37"/>
  <c r="K529" i="37"/>
  <c r="J527" i="37"/>
  <c r="L524" i="37"/>
  <c r="F497" i="37"/>
  <c r="I494" i="37"/>
  <c r="G516" i="37"/>
  <c r="E514" i="37"/>
  <c r="H511" i="37"/>
  <c r="G485" i="37"/>
  <c r="K481" i="37"/>
  <c r="G504" i="37"/>
  <c r="E502" i="37"/>
  <c r="H499" i="37"/>
  <c r="J431" i="37"/>
  <c r="L428" i="37"/>
  <c r="G492" i="37"/>
  <c r="F490" i="37"/>
  <c r="H487" i="37"/>
  <c r="I277" i="37"/>
  <c r="J132" i="37"/>
  <c r="J479" i="37"/>
  <c r="K470" i="37"/>
  <c r="L440" i="37"/>
  <c r="G73" i="37"/>
  <c r="F66" i="37"/>
  <c r="K426" i="37"/>
  <c r="K371" i="37"/>
  <c r="K279" i="37"/>
  <c r="H130" i="37"/>
  <c r="J127" i="37"/>
  <c r="K122" i="37"/>
  <c r="F61" i="37"/>
  <c r="D2" i="37"/>
  <c r="K531" i="37"/>
  <c r="J529" i="37"/>
  <c r="L519" i="37"/>
  <c r="F516" i="37"/>
  <c r="G535" i="37"/>
  <c r="H506" i="37"/>
  <c r="F504" i="37"/>
  <c r="L526" i="37"/>
  <c r="K524" i="37"/>
  <c r="J522" i="37"/>
  <c r="H494" i="37"/>
  <c r="F492" i="37"/>
  <c r="I513" i="37"/>
  <c r="G511" i="37"/>
  <c r="E509" i="37"/>
  <c r="H482" i="37"/>
  <c r="G480" i="37"/>
  <c r="I501" i="37"/>
  <c r="G499" i="37"/>
  <c r="E497" i="37"/>
  <c r="K428" i="37"/>
  <c r="J426" i="37"/>
  <c r="I489" i="37"/>
  <c r="G487" i="37"/>
  <c r="F485" i="37"/>
  <c r="H469" i="37"/>
  <c r="K440" i="37"/>
  <c r="I431" i="37"/>
  <c r="F370" i="37"/>
  <c r="J279" i="37"/>
  <c r="H277" i="37"/>
  <c r="I132" i="37"/>
  <c r="G130" i="37"/>
  <c r="H125" i="37"/>
  <c r="J122" i="37"/>
  <c r="F73" i="37"/>
  <c r="E66" i="37"/>
  <c r="E61" i="37"/>
  <c r="B61" i="37"/>
  <c r="M65" i="37"/>
  <c r="M125" i="37"/>
  <c r="M480" i="37"/>
  <c r="C489" i="37"/>
  <c r="B519" i="37"/>
  <c r="M525" i="37"/>
  <c r="C277" i="37"/>
  <c r="B426" i="37"/>
  <c r="M440" i="37"/>
  <c r="B496" i="37"/>
  <c r="B503" i="37"/>
  <c r="C511" i="37"/>
  <c r="C534" i="37"/>
  <c r="C72" i="37"/>
  <c r="M127" i="37"/>
  <c r="C483" i="37"/>
  <c r="C490" i="37"/>
  <c r="B279" i="37"/>
  <c r="B428" i="37"/>
  <c r="C469" i="37"/>
  <c r="M497" i="37"/>
  <c r="M504" i="37"/>
  <c r="C472" i="37"/>
  <c r="M427" i="37"/>
  <c r="M469" i="37"/>
  <c r="C509" i="37"/>
  <c r="M515" i="37"/>
  <c r="C66" i="37"/>
  <c r="C127" i="37"/>
  <c r="B278" i="37"/>
  <c r="B485" i="37"/>
  <c r="M492" i="37"/>
  <c r="C501" i="37"/>
  <c r="M524" i="37"/>
  <c r="M532" i="37"/>
  <c r="B429" i="37"/>
  <c r="C471" i="37"/>
  <c r="B509" i="37"/>
  <c r="M516" i="37"/>
  <c r="B66" i="37"/>
  <c r="B127" i="37"/>
  <c r="M277" i="37"/>
  <c r="M484" i="37"/>
  <c r="C493" i="37"/>
  <c r="B501" i="37"/>
  <c r="C525" i="37"/>
  <c r="C533" i="37"/>
  <c r="M428" i="37"/>
  <c r="B471" i="37"/>
  <c r="M508" i="37"/>
  <c r="C518" i="37"/>
  <c r="M66" i="37"/>
  <c r="C128" i="37"/>
  <c r="M278" i="37"/>
  <c r="C485" i="37"/>
  <c r="B493" i="37"/>
  <c r="M500" i="37"/>
  <c r="C526" i="37"/>
  <c r="B533" i="37"/>
  <c r="C429" i="37"/>
  <c r="M470" i="37"/>
  <c r="B510" i="37"/>
  <c r="B518" i="37"/>
  <c r="C68" i="37"/>
  <c r="B128" i="37"/>
  <c r="C279" i="37"/>
  <c r="C486" i="37"/>
  <c r="C494" i="37"/>
  <c r="C502" i="37"/>
  <c r="B526" i="37"/>
  <c r="B534" i="37"/>
  <c r="C430" i="37"/>
  <c r="M471" i="37"/>
  <c r="M509" i="37"/>
  <c r="C519" i="37"/>
  <c r="B68" i="37"/>
  <c r="M128" i="37"/>
  <c r="C280" i="37"/>
  <c r="B486" i="37"/>
  <c r="B494" i="37"/>
  <c r="B502" i="37"/>
  <c r="C527" i="37"/>
  <c r="M533" i="37"/>
  <c r="B430" i="37"/>
  <c r="B472" i="37"/>
  <c r="C510" i="37"/>
  <c r="M518" i="37"/>
  <c r="M68" i="37"/>
  <c r="C130" i="37"/>
  <c r="B280" i="37"/>
  <c r="M485" i="37"/>
  <c r="M493" i="37"/>
  <c r="M501" i="37"/>
  <c r="B527" i="37"/>
  <c r="B535" i="37"/>
  <c r="C536" i="37"/>
  <c r="M279" i="37"/>
  <c r="M429" i="37"/>
  <c r="M502" i="37"/>
  <c r="B511" i="37"/>
  <c r="B72" i="37"/>
  <c r="B130" i="37"/>
  <c r="C520" i="37"/>
  <c r="C479" i="37"/>
  <c r="C487" i="37"/>
  <c r="B495" i="37"/>
  <c r="B520" i="37"/>
  <c r="M526" i="37"/>
  <c r="M534" i="37"/>
  <c r="C131" i="37"/>
  <c r="M280" i="37"/>
  <c r="M494" i="37"/>
  <c r="C503" i="37"/>
  <c r="C73" i="37"/>
  <c r="C535" i="37"/>
  <c r="C431" i="37"/>
  <c r="B479" i="37"/>
  <c r="B487" i="37"/>
  <c r="M510" i="37"/>
  <c r="M519" i="37"/>
  <c r="M527" i="37"/>
  <c r="B131" i="37"/>
  <c r="C370" i="37"/>
  <c r="C495" i="37"/>
  <c r="C504" i="37"/>
  <c r="B73" i="37"/>
  <c r="B431" i="37"/>
  <c r="M472" i="37"/>
  <c r="M486" i="37"/>
  <c r="M72" i="37"/>
  <c r="B480" i="37"/>
  <c r="M487" i="37"/>
  <c r="C521" i="37"/>
  <c r="B528" i="37"/>
  <c r="M130" i="37"/>
  <c r="B370" i="37"/>
  <c r="M430" i="37"/>
  <c r="C496" i="37"/>
  <c r="B504" i="37"/>
  <c r="B512" i="37"/>
  <c r="B536" i="37"/>
  <c r="M431" i="37"/>
  <c r="M479" i="37"/>
  <c r="M511" i="37"/>
  <c r="B521" i="37"/>
  <c r="M73" i="37"/>
  <c r="M131" i="37"/>
  <c r="C371" i="37"/>
  <c r="C488" i="37"/>
  <c r="M495" i="37"/>
  <c r="M503" i="37"/>
  <c r="C529" i="37"/>
  <c r="M535" i="37"/>
  <c r="B371" i="37"/>
  <c r="C432" i="37"/>
  <c r="B505" i="37"/>
  <c r="M512" i="37"/>
  <c r="C95" i="37"/>
  <c r="C132" i="37"/>
  <c r="C480" i="37"/>
  <c r="B488" i="37"/>
  <c r="C497" i="37"/>
  <c r="M520" i="37"/>
  <c r="B529" i="37"/>
  <c r="M536" i="37"/>
  <c r="B95" i="37"/>
  <c r="B132" i="37"/>
  <c r="B489" i="37"/>
  <c r="B497" i="37"/>
  <c r="C2" i="37"/>
  <c r="M528" i="37"/>
  <c r="M370" i="37"/>
  <c r="B432" i="37"/>
  <c r="C481" i="37"/>
  <c r="C505" i="37"/>
  <c r="C513" i="37"/>
  <c r="C522" i="37"/>
  <c r="B2" i="37"/>
  <c r="M95" i="37"/>
  <c r="B481" i="37"/>
  <c r="M488" i="37"/>
  <c r="B522" i="37"/>
  <c r="B530" i="37"/>
  <c r="C133" i="37"/>
  <c r="M371" i="37"/>
  <c r="M432" i="37"/>
  <c r="M496" i="37"/>
  <c r="C506" i="37"/>
  <c r="B513" i="37"/>
  <c r="M2" i="37"/>
  <c r="C440" i="37"/>
  <c r="C482" i="37"/>
  <c r="C514" i="37"/>
  <c r="M521" i="37"/>
  <c r="C122" i="37"/>
  <c r="B133" i="37"/>
  <c r="C390" i="37"/>
  <c r="B490" i="37"/>
  <c r="C498" i="37"/>
  <c r="B506" i="37"/>
  <c r="M529" i="37"/>
  <c r="B390" i="37"/>
  <c r="B440" i="37"/>
  <c r="M505" i="37"/>
  <c r="B514" i="37"/>
  <c r="C58" i="37"/>
  <c r="B122" i="37"/>
  <c r="M132" i="37"/>
  <c r="B482" i="37"/>
  <c r="M489" i="37"/>
  <c r="B498" i="37"/>
  <c r="M522" i="37"/>
  <c r="C530" i="37"/>
  <c r="C528" i="37"/>
  <c r="C123" i="37"/>
  <c r="M133" i="37"/>
  <c r="C491" i="37"/>
  <c r="C499" i="37"/>
  <c r="B58" i="37"/>
  <c r="C531" i="37"/>
  <c r="C512" i="37"/>
  <c r="M390" i="37"/>
  <c r="C468" i="37"/>
  <c r="M481" i="37"/>
  <c r="C507" i="37"/>
  <c r="M513" i="37"/>
  <c r="C523" i="37"/>
  <c r="M58" i="37"/>
  <c r="B468" i="37"/>
  <c r="M482" i="37"/>
  <c r="B515" i="37"/>
  <c r="B523" i="37"/>
  <c r="B123" i="37"/>
  <c r="C240" i="37"/>
  <c r="C426" i="37"/>
  <c r="B491" i="37"/>
  <c r="B499" i="37"/>
  <c r="B507" i="37"/>
  <c r="B531" i="37"/>
  <c r="M426" i="37"/>
  <c r="B469" i="37"/>
  <c r="M506" i="37"/>
  <c r="M514" i="37"/>
  <c r="C61" i="37"/>
  <c r="M122" i="37"/>
  <c r="B240" i="37"/>
  <c r="B483" i="37"/>
  <c r="M490" i="37"/>
  <c r="M498" i="37"/>
  <c r="C524" i="37"/>
  <c r="M530" i="37"/>
  <c r="M240" i="37"/>
  <c r="C427" i="37"/>
  <c r="B500" i="37"/>
  <c r="M507" i="37"/>
  <c r="M61" i="37"/>
  <c r="M123" i="37"/>
  <c r="M468" i="37"/>
  <c r="C484" i="37"/>
  <c r="C492" i="37"/>
  <c r="C515" i="37"/>
  <c r="B524" i="37"/>
  <c r="C532" i="37"/>
  <c r="B277" i="37"/>
  <c r="B427" i="37"/>
  <c r="M499" i="37"/>
  <c r="C508" i="37"/>
  <c r="C65" i="37"/>
  <c r="C125" i="37"/>
  <c r="C428" i="37"/>
  <c r="C470" i="37"/>
  <c r="B484" i="37"/>
  <c r="B492" i="37"/>
  <c r="C516" i="37"/>
  <c r="M523" i="37"/>
  <c r="B532" i="37"/>
  <c r="B125" i="37"/>
  <c r="C278" i="37"/>
  <c r="C500" i="37"/>
  <c r="B508" i="37"/>
  <c r="B65" i="37"/>
  <c r="B525" i="37"/>
  <c r="M531" i="37"/>
  <c r="B470" i="37"/>
  <c r="M483" i="37"/>
  <c r="M491" i="37"/>
  <c r="B516" i="37"/>
  <c r="L477" i="37"/>
  <c r="L475" i="37"/>
  <c r="L473" i="37"/>
  <c r="L476" i="37"/>
  <c r="L478" i="37"/>
  <c r="L474" i="37"/>
  <c r="K476" i="37"/>
  <c r="K478" i="37"/>
  <c r="K475" i="37"/>
  <c r="K473" i="37"/>
  <c r="K477" i="37"/>
  <c r="K474" i="37"/>
  <c r="J476" i="37"/>
  <c r="J473" i="37"/>
  <c r="J474" i="37"/>
  <c r="J478" i="37"/>
  <c r="J475" i="37"/>
  <c r="J477" i="37"/>
  <c r="I473" i="37"/>
  <c r="I476" i="37"/>
  <c r="I474" i="37"/>
  <c r="I478" i="37"/>
  <c r="I477" i="37"/>
  <c r="I475" i="37"/>
  <c r="H475" i="37"/>
  <c r="H478" i="37"/>
  <c r="H476" i="37"/>
  <c r="H477" i="37"/>
  <c r="H473" i="37"/>
  <c r="H474" i="37"/>
  <c r="G477" i="37"/>
  <c r="G478" i="37"/>
  <c r="G473" i="37"/>
  <c r="G474" i="37"/>
  <c r="G476" i="37"/>
  <c r="G475" i="37"/>
  <c r="F474" i="37"/>
  <c r="F476" i="37"/>
  <c r="F473" i="37"/>
  <c r="F478" i="37"/>
  <c r="F475" i="37"/>
  <c r="F477" i="37"/>
  <c r="E473" i="37"/>
  <c r="E477" i="37"/>
  <c r="E474" i="37"/>
  <c r="E475" i="37"/>
  <c r="E478" i="37"/>
  <c r="E476" i="37"/>
  <c r="D478" i="37"/>
  <c r="D473" i="37"/>
  <c r="D477" i="37"/>
  <c r="D476" i="37"/>
  <c r="D475" i="37"/>
  <c r="D474" i="37"/>
  <c r="C475" i="37"/>
  <c r="C478" i="37"/>
  <c r="C477" i="37"/>
  <c r="C474" i="37"/>
  <c r="C473" i="37"/>
  <c r="C476" i="37"/>
  <c r="B477" i="37"/>
  <c r="B473" i="37"/>
  <c r="B478" i="37"/>
  <c r="B475" i="37"/>
  <c r="B476" i="37"/>
  <c r="B474" i="37"/>
  <c r="M473" i="37"/>
  <c r="M474" i="37"/>
  <c r="M478" i="37"/>
  <c r="M476" i="37"/>
  <c r="M477" i="37"/>
  <c r="M475" i="37"/>
  <c r="C4" i="40" l="1"/>
  <c r="M11" i="40"/>
  <c r="M18" i="40"/>
  <c r="M25" i="40"/>
  <c r="B34" i="40"/>
  <c r="B41" i="40"/>
  <c r="M47" i="40"/>
  <c r="B58" i="40"/>
  <c r="M64" i="40"/>
  <c r="C73" i="40"/>
  <c r="B80" i="40"/>
  <c r="B87" i="40"/>
  <c r="C95" i="40"/>
  <c r="C102" i="40"/>
  <c r="C109" i="40"/>
  <c r="M116" i="40"/>
  <c r="C5" i="40"/>
  <c r="C12" i="40"/>
  <c r="C19" i="40"/>
  <c r="M26" i="40"/>
  <c r="M33" i="40"/>
  <c r="M40" i="40"/>
  <c r="B49" i="40"/>
  <c r="M57" i="40"/>
  <c r="C66" i="40"/>
  <c r="B73" i="40"/>
  <c r="M79" i="40"/>
  <c r="C88" i="40"/>
  <c r="B95" i="40"/>
  <c r="B102" i="40"/>
  <c r="C110" i="40"/>
  <c r="C117" i="40"/>
  <c r="B5" i="40"/>
  <c r="B12" i="40"/>
  <c r="C20" i="40"/>
  <c r="C27" i="40"/>
  <c r="C34" i="40"/>
  <c r="M41" i="40"/>
  <c r="M48" i="40"/>
  <c r="M55" i="40"/>
  <c r="B59" i="40"/>
  <c r="B66" i="40"/>
  <c r="M72" i="40"/>
  <c r="C81" i="40"/>
  <c r="B88" i="40"/>
  <c r="M94" i="40"/>
  <c r="C103" i="40"/>
  <c r="B110" i="40"/>
  <c r="B117" i="40"/>
  <c r="M4" i="40"/>
  <c r="C13" i="40"/>
  <c r="B20" i="40"/>
  <c r="B27" i="40"/>
  <c r="C35" i="40"/>
  <c r="C42" i="40"/>
  <c r="C49" i="40"/>
  <c r="M58" i="40"/>
  <c r="M65" i="40"/>
  <c r="B74" i="40"/>
  <c r="B81" i="40"/>
  <c r="M87" i="40"/>
  <c r="C96" i="40"/>
  <c r="B103" i="40"/>
  <c r="M109" i="40"/>
  <c r="C118" i="40"/>
  <c r="C6" i="40"/>
  <c r="B13" i="40"/>
  <c r="M19" i="40"/>
  <c r="C28" i="40"/>
  <c r="B35" i="40"/>
  <c r="B42" i="40"/>
  <c r="C50" i="40"/>
  <c r="B6" i="40"/>
  <c r="M12" i="40"/>
  <c r="C21" i="40"/>
  <c r="B28" i="40"/>
  <c r="M34" i="40"/>
  <c r="C43" i="40"/>
  <c r="B50" i="40"/>
  <c r="M5" i="40"/>
  <c r="B14" i="40"/>
  <c r="B21" i="40"/>
  <c r="M27" i="40"/>
  <c r="C36" i="40"/>
  <c r="B43" i="40"/>
  <c r="M49" i="40"/>
  <c r="B60" i="40"/>
  <c r="B67" i="40"/>
  <c r="C75" i="40"/>
  <c r="C82" i="40"/>
  <c r="C89" i="40"/>
  <c r="M96" i="40"/>
  <c r="M103" i="40"/>
  <c r="M110" i="40"/>
  <c r="B119" i="40"/>
  <c r="M6" i="40"/>
  <c r="M13" i="40"/>
  <c r="M20" i="40"/>
  <c r="B29" i="40"/>
  <c r="B36" i="40"/>
  <c r="M42" i="40"/>
  <c r="C51" i="40"/>
  <c r="M59" i="40"/>
  <c r="C68" i="40"/>
  <c r="B75" i="40"/>
  <c r="B82" i="40"/>
  <c r="C90" i="40"/>
  <c r="C97" i="40"/>
  <c r="C104" i="40"/>
  <c r="M111" i="40"/>
  <c r="M118" i="40"/>
  <c r="C7" i="40"/>
  <c r="C14" i="40"/>
  <c r="M21" i="40"/>
  <c r="M28" i="40"/>
  <c r="M35" i="40"/>
  <c r="B44" i="40"/>
  <c r="B51" i="40"/>
  <c r="C61" i="40"/>
  <c r="B68" i="40"/>
  <c r="M74" i="40"/>
  <c r="C83" i="40"/>
  <c r="B90" i="40"/>
  <c r="B97" i="40"/>
  <c r="C105" i="40"/>
  <c r="C112" i="40"/>
  <c r="C119" i="40"/>
  <c r="B7" i="40"/>
  <c r="C15" i="40"/>
  <c r="C22" i="40"/>
  <c r="C29" i="40"/>
  <c r="M36" i="40"/>
  <c r="M43" i="40"/>
  <c r="M50" i="40"/>
  <c r="B61" i="40"/>
  <c r="M67" i="40"/>
  <c r="C76" i="40"/>
  <c r="B83" i="40"/>
  <c r="M89" i="40"/>
  <c r="C98" i="40"/>
  <c r="B105" i="40"/>
  <c r="B112" i="40"/>
  <c r="C120" i="40"/>
  <c r="C8" i="40"/>
  <c r="B15" i="40"/>
  <c r="B22" i="40"/>
  <c r="C30" i="40"/>
  <c r="C37" i="40"/>
  <c r="C44" i="40"/>
  <c r="M51" i="40"/>
  <c r="M60" i="40"/>
  <c r="B69" i="40"/>
  <c r="B76" i="40"/>
  <c r="M82" i="40"/>
  <c r="C91" i="40"/>
  <c r="B98" i="40"/>
  <c r="M104" i="40"/>
  <c r="C113" i="40"/>
  <c r="B120" i="40"/>
  <c r="B8" i="40"/>
  <c r="M14" i="40"/>
  <c r="C23" i="40"/>
  <c r="B30" i="40"/>
  <c r="B37" i="40"/>
  <c r="C45" i="40"/>
  <c r="C52" i="40"/>
  <c r="M7" i="40"/>
  <c r="C16" i="40"/>
  <c r="B23" i="40"/>
  <c r="M29" i="40"/>
  <c r="C38" i="40"/>
  <c r="B45" i="40"/>
  <c r="B52" i="40"/>
  <c r="C62" i="40"/>
  <c r="C69" i="40"/>
  <c r="M76" i="40"/>
  <c r="M83" i="40"/>
  <c r="M90" i="40"/>
  <c r="B99" i="40"/>
  <c r="B106" i="40"/>
  <c r="M112" i="40"/>
  <c r="C121" i="40"/>
  <c r="B9" i="40"/>
  <c r="B16" i="40"/>
  <c r="M22" i="40"/>
  <c r="C31" i="40"/>
  <c r="B38" i="40"/>
  <c r="M44" i="40"/>
  <c r="C53" i="40"/>
  <c r="M8" i="40"/>
  <c r="M15" i="40"/>
  <c r="B24" i="40"/>
  <c r="B31" i="40"/>
  <c r="M37" i="40"/>
  <c r="C46" i="40"/>
  <c r="B53" i="40"/>
  <c r="C63" i="40"/>
  <c r="B70" i="40"/>
  <c r="B77" i="40"/>
  <c r="C10" i="40"/>
  <c r="C17" i="40"/>
  <c r="C24" i="40"/>
  <c r="M31" i="40"/>
  <c r="M38" i="40"/>
  <c r="M45" i="40"/>
  <c r="B54" i="40"/>
  <c r="C56" i="40"/>
  <c r="M62" i="40"/>
  <c r="C71" i="40"/>
  <c r="B78" i="40"/>
  <c r="M84" i="40"/>
  <c r="C93" i="40"/>
  <c r="B100" i="40"/>
  <c r="B107" i="40"/>
  <c r="C115" i="40"/>
  <c r="C3" i="40"/>
  <c r="M9" i="40"/>
  <c r="C18" i="40"/>
  <c r="B25" i="40"/>
  <c r="B32" i="40"/>
  <c r="C40" i="40"/>
  <c r="C47" i="40"/>
  <c r="C54" i="40"/>
  <c r="M56" i="40"/>
  <c r="M63" i="40"/>
  <c r="M70" i="40"/>
  <c r="B79" i="40"/>
  <c r="B86" i="40"/>
  <c r="B3" i="40"/>
  <c r="C11" i="40"/>
  <c r="B18" i="40"/>
  <c r="M24" i="40"/>
  <c r="C33" i="40"/>
  <c r="B40" i="40"/>
  <c r="B47" i="40"/>
  <c r="C55" i="40"/>
  <c r="B4" i="40"/>
  <c r="B11" i="40"/>
  <c r="M17" i="40"/>
  <c r="C26" i="40"/>
  <c r="B33" i="40"/>
  <c r="M39" i="40"/>
  <c r="C48" i="40"/>
  <c r="B55" i="40"/>
  <c r="M3" i="40"/>
  <c r="M10" i="40"/>
  <c r="B19" i="40"/>
  <c r="B26" i="40"/>
  <c r="M32" i="40"/>
  <c r="C41" i="40"/>
  <c r="B48" i="40"/>
  <c r="M54" i="40"/>
  <c r="C58" i="40"/>
  <c r="B65" i="40"/>
  <c r="B72" i="40"/>
  <c r="C80" i="40"/>
  <c r="C87" i="40"/>
  <c r="C94" i="40"/>
  <c r="M101" i="40"/>
  <c r="M108" i="40"/>
  <c r="M115" i="40"/>
  <c r="M53" i="40"/>
  <c r="C70" i="40"/>
  <c r="B89" i="40"/>
  <c r="C106" i="40"/>
  <c r="M120" i="40"/>
  <c r="M69" i="40"/>
  <c r="M88" i="40"/>
  <c r="M105" i="40"/>
  <c r="M121" i="40"/>
  <c r="B71" i="40"/>
  <c r="B91" i="40"/>
  <c r="M106" i="40"/>
  <c r="M71" i="40"/>
  <c r="M91" i="40"/>
  <c r="C107" i="40"/>
  <c r="C72" i="40"/>
  <c r="C92" i="40"/>
  <c r="C108" i="40"/>
  <c r="M73" i="40"/>
  <c r="B92" i="40"/>
  <c r="B108" i="40"/>
  <c r="C74" i="40"/>
  <c r="B93" i="40"/>
  <c r="M107" i="40"/>
  <c r="M75" i="40"/>
  <c r="M92" i="40"/>
  <c r="B109" i="40"/>
  <c r="B56" i="40"/>
  <c r="C77" i="40"/>
  <c r="B94" i="40"/>
  <c r="C111" i="40"/>
  <c r="C9" i="40"/>
  <c r="C57" i="40"/>
  <c r="C78" i="40"/>
  <c r="M93" i="40"/>
  <c r="B111" i="40"/>
  <c r="B10" i="40"/>
  <c r="B57" i="40"/>
  <c r="M77" i="40"/>
  <c r="B96" i="40"/>
  <c r="B113" i="40"/>
  <c r="M16" i="40"/>
  <c r="C59" i="40"/>
  <c r="M78" i="40"/>
  <c r="M95" i="40"/>
  <c r="B114" i="40"/>
  <c r="B17" i="40"/>
  <c r="C60" i="40"/>
  <c r="C79" i="40"/>
  <c r="M97" i="40"/>
  <c r="M113" i="40"/>
  <c r="C1" i="37"/>
  <c r="C2" i="40"/>
  <c r="C1" i="40" s="1"/>
  <c r="M23" i="40"/>
  <c r="M61" i="40"/>
  <c r="M80" i="40"/>
  <c r="M98" i="40"/>
  <c r="C114" i="40"/>
  <c r="B2" i="40"/>
  <c r="B1" i="40" s="1"/>
  <c r="B1" i="37"/>
  <c r="C25" i="40"/>
  <c r="B62" i="40"/>
  <c r="M81" i="40"/>
  <c r="C99" i="40"/>
  <c r="B115" i="40"/>
  <c r="M2" i="40"/>
  <c r="M30" i="40"/>
  <c r="B63" i="40"/>
  <c r="B84" i="40"/>
  <c r="C100" i="40"/>
  <c r="M114" i="40"/>
  <c r="C32" i="40"/>
  <c r="B64" i="40"/>
  <c r="C84" i="40"/>
  <c r="M99" i="40"/>
  <c r="C116" i="40"/>
  <c r="B39" i="40"/>
  <c r="C64" i="40"/>
  <c r="C85" i="40"/>
  <c r="C101" i="40"/>
  <c r="B116" i="40"/>
  <c r="C39" i="40"/>
  <c r="C65" i="40"/>
  <c r="B85" i="40"/>
  <c r="B101" i="40"/>
  <c r="B118" i="40"/>
  <c r="B46" i="40"/>
  <c r="M66" i="40"/>
  <c r="C86" i="40"/>
  <c r="M100" i="40"/>
  <c r="M117" i="40"/>
  <c r="M46" i="40"/>
  <c r="C67" i="40"/>
  <c r="M85" i="40"/>
  <c r="M102" i="40"/>
  <c r="M119" i="40"/>
  <c r="M52" i="40"/>
  <c r="M68" i="40"/>
  <c r="M86" i="40"/>
  <c r="B104" i="40"/>
  <c r="B121" i="40"/>
  <c r="D3" i="40"/>
  <c r="D4" i="40"/>
  <c r="D5" i="40"/>
  <c r="D6" i="40"/>
  <c r="D7" i="40"/>
  <c r="D8" i="40"/>
  <c r="D9" i="40"/>
  <c r="D10" i="40"/>
  <c r="D11" i="40"/>
  <c r="D12" i="40"/>
  <c r="D13" i="40"/>
  <c r="D14" i="40"/>
  <c r="D15" i="40"/>
  <c r="D16" i="40"/>
  <c r="D17" i="40"/>
  <c r="D18" i="40"/>
  <c r="D19" i="40"/>
  <c r="D20" i="40"/>
  <c r="D21" i="40"/>
  <c r="D22" i="40"/>
  <c r="D23" i="40"/>
  <c r="D24" i="40"/>
  <c r="D25" i="40"/>
  <c r="D26" i="40"/>
  <c r="D27" i="40"/>
  <c r="D28" i="40"/>
  <c r="D29" i="40"/>
  <c r="D30" i="40"/>
  <c r="D31" i="40"/>
  <c r="D32" i="40"/>
  <c r="D33" i="40"/>
  <c r="D34" i="40"/>
  <c r="D35" i="40"/>
  <c r="D36" i="40"/>
  <c r="D37" i="40"/>
  <c r="D38" i="40"/>
  <c r="D39" i="40"/>
  <c r="D40" i="40"/>
  <c r="D41" i="40"/>
  <c r="D42" i="40"/>
  <c r="D43" i="40"/>
  <c r="D44" i="40"/>
  <c r="D45" i="40"/>
  <c r="D46" i="40"/>
  <c r="D47" i="40"/>
  <c r="D48" i="40"/>
  <c r="D49" i="40"/>
  <c r="D50" i="40"/>
  <c r="D51" i="40"/>
  <c r="D52" i="40"/>
  <c r="D53" i="40"/>
  <c r="D54" i="40"/>
  <c r="D55" i="40"/>
  <c r="D56" i="40"/>
  <c r="D57" i="40"/>
  <c r="D58" i="40"/>
  <c r="D59" i="40"/>
  <c r="D60" i="40"/>
  <c r="D61" i="40"/>
  <c r="D62" i="40"/>
  <c r="D63" i="40"/>
  <c r="D64" i="40"/>
  <c r="D65" i="40"/>
  <c r="D66" i="40"/>
  <c r="D67" i="40"/>
  <c r="D68" i="40"/>
  <c r="D69" i="40"/>
  <c r="D70" i="40"/>
  <c r="D71" i="40"/>
  <c r="D72" i="40"/>
  <c r="D73" i="40"/>
  <c r="D74" i="40"/>
  <c r="D75" i="40"/>
  <c r="D76" i="40"/>
  <c r="D77" i="40"/>
  <c r="D78" i="40"/>
  <c r="D79" i="40"/>
  <c r="D80" i="40"/>
  <c r="D81" i="40"/>
  <c r="D82" i="40"/>
  <c r="D83" i="40"/>
  <c r="D84" i="40"/>
  <c r="D85" i="40"/>
  <c r="D86" i="40"/>
  <c r="D87" i="40"/>
  <c r="D88" i="40"/>
  <c r="D89" i="40"/>
  <c r="D90" i="40"/>
  <c r="D91" i="40"/>
  <c r="D92" i="40"/>
  <c r="D93" i="40"/>
  <c r="D94" i="40"/>
  <c r="D95" i="40"/>
  <c r="D96" i="40"/>
  <c r="D97" i="40"/>
  <c r="D98" i="40"/>
  <c r="D99" i="40"/>
  <c r="D100" i="40"/>
  <c r="D101" i="40"/>
  <c r="D102" i="40"/>
  <c r="D103" i="40"/>
  <c r="D104" i="40"/>
  <c r="D105" i="40"/>
  <c r="D106" i="40"/>
  <c r="D107" i="40"/>
  <c r="D108" i="40"/>
  <c r="D109" i="40"/>
  <c r="D110" i="40"/>
  <c r="D111" i="40"/>
  <c r="D112" i="40"/>
  <c r="D113" i="40"/>
  <c r="D114" i="40"/>
  <c r="D115" i="40"/>
  <c r="D116" i="40"/>
  <c r="D117" i="40"/>
  <c r="D118" i="40"/>
  <c r="D119" i="40"/>
  <c r="D120" i="40"/>
  <c r="D121" i="40"/>
  <c r="D2" i="40"/>
  <c r="D1" i="40" s="1"/>
  <c r="D1" i="37"/>
  <c r="AE5" i="38"/>
  <c r="AF5" i="38"/>
  <c r="AE2" i="38"/>
  <c r="AF2" i="38"/>
  <c r="AE3" i="38"/>
  <c r="AF3" i="38"/>
  <c r="AE9" i="38"/>
  <c r="AF9" i="38"/>
  <c r="G2" i="49"/>
  <c r="AE8" i="38"/>
  <c r="AF8" i="38"/>
  <c r="AE4" i="38"/>
  <c r="AF4" i="38"/>
  <c r="AE10" i="38"/>
  <c r="AF10" i="38"/>
  <c r="AE7" i="38"/>
  <c r="AF7" i="38"/>
  <c r="AF6" i="38"/>
  <c r="AE6" i="38"/>
  <c r="E3" i="40" l="1"/>
  <c r="E4" i="40"/>
  <c r="E5" i="40"/>
  <c r="E6" i="40"/>
  <c r="E7" i="40"/>
  <c r="E8" i="40"/>
  <c r="E9" i="40"/>
  <c r="E10" i="40"/>
  <c r="E11" i="40"/>
  <c r="E12" i="40"/>
  <c r="E13" i="40"/>
  <c r="E14" i="40"/>
  <c r="E15" i="40"/>
  <c r="E16" i="40"/>
  <c r="E17" i="40"/>
  <c r="E18" i="40"/>
  <c r="E19" i="40"/>
  <c r="E20" i="40"/>
  <c r="E21" i="40"/>
  <c r="E22" i="40"/>
  <c r="E23" i="40"/>
  <c r="E24" i="40"/>
  <c r="E25" i="40"/>
  <c r="E26" i="40"/>
  <c r="E27" i="40"/>
  <c r="E28" i="40"/>
  <c r="E29" i="40"/>
  <c r="E30" i="40"/>
  <c r="E31" i="40"/>
  <c r="E32" i="40"/>
  <c r="E33" i="40"/>
  <c r="E34" i="40"/>
  <c r="E35" i="40"/>
  <c r="E36" i="40"/>
  <c r="E37" i="40"/>
  <c r="E38" i="40"/>
  <c r="E39" i="40"/>
  <c r="E40" i="40"/>
  <c r="E41" i="40"/>
  <c r="E42" i="40"/>
  <c r="E43" i="40"/>
  <c r="E44" i="40"/>
  <c r="E45" i="40"/>
  <c r="E46" i="40"/>
  <c r="E47" i="40"/>
  <c r="E48" i="40"/>
  <c r="E49" i="40"/>
  <c r="E50" i="40"/>
  <c r="E51" i="40"/>
  <c r="E52" i="40"/>
  <c r="E53" i="40"/>
  <c r="E54" i="40"/>
  <c r="E55" i="40"/>
  <c r="E56" i="40"/>
  <c r="E57" i="40"/>
  <c r="E58" i="40"/>
  <c r="E59" i="40"/>
  <c r="E60" i="40"/>
  <c r="E61" i="40"/>
  <c r="E62" i="40"/>
  <c r="E63" i="40"/>
  <c r="E64" i="40"/>
  <c r="E65" i="40"/>
  <c r="E66" i="40"/>
  <c r="E67" i="40"/>
  <c r="E68" i="40"/>
  <c r="E69" i="40"/>
  <c r="E70" i="40"/>
  <c r="E71" i="40"/>
  <c r="E72" i="40"/>
  <c r="E73" i="40"/>
  <c r="E74" i="40"/>
  <c r="E75" i="40"/>
  <c r="E76" i="40"/>
  <c r="E77" i="40"/>
  <c r="E78" i="40"/>
  <c r="E79" i="40"/>
  <c r="E80" i="40"/>
  <c r="E81" i="40"/>
  <c r="E82" i="40"/>
  <c r="E83" i="40"/>
  <c r="E84" i="40"/>
  <c r="E85" i="40"/>
  <c r="E86" i="40"/>
  <c r="E87" i="40"/>
  <c r="E88" i="40"/>
  <c r="E89" i="40"/>
  <c r="E90" i="40"/>
  <c r="E91" i="40"/>
  <c r="E92" i="40"/>
  <c r="E93" i="40"/>
  <c r="E94" i="40"/>
  <c r="E95" i="40"/>
  <c r="E96" i="40"/>
  <c r="E97" i="40"/>
  <c r="E98" i="40"/>
  <c r="E99" i="40"/>
  <c r="E100" i="40"/>
  <c r="E101" i="40"/>
  <c r="E102" i="40"/>
  <c r="E103" i="40"/>
  <c r="E104" i="40"/>
  <c r="E105" i="40"/>
  <c r="E106" i="40"/>
  <c r="E107" i="40"/>
  <c r="E108" i="40"/>
  <c r="E109" i="40"/>
  <c r="E110" i="40"/>
  <c r="E111" i="40"/>
  <c r="E112" i="40"/>
  <c r="E113" i="40"/>
  <c r="E114" i="40"/>
  <c r="E115" i="40"/>
  <c r="E116" i="40"/>
  <c r="E117" i="40"/>
  <c r="E118" i="40"/>
  <c r="E119" i="40"/>
  <c r="E120" i="40"/>
  <c r="E121" i="40"/>
  <c r="E1" i="37"/>
  <c r="E2" i="40"/>
  <c r="E1" i="40" s="1"/>
  <c r="H2" i="49"/>
  <c r="F3" i="40" l="1"/>
  <c r="F4" i="40"/>
  <c r="F5" i="40"/>
  <c r="F6" i="40"/>
  <c r="F7" i="40"/>
  <c r="F8" i="40"/>
  <c r="F9" i="40"/>
  <c r="F10" i="40"/>
  <c r="F11" i="40"/>
  <c r="F12" i="40"/>
  <c r="F13" i="40"/>
  <c r="F14" i="40"/>
  <c r="F15" i="40"/>
  <c r="F16" i="40"/>
  <c r="F17" i="40"/>
  <c r="F18" i="40"/>
  <c r="F19" i="40"/>
  <c r="F20" i="40"/>
  <c r="F21" i="40"/>
  <c r="F22" i="40"/>
  <c r="F23" i="40"/>
  <c r="F24" i="40"/>
  <c r="F25" i="40"/>
  <c r="F26" i="40"/>
  <c r="F27" i="40"/>
  <c r="F28" i="40"/>
  <c r="F29" i="40"/>
  <c r="F30" i="40"/>
  <c r="F31" i="40"/>
  <c r="F32" i="40"/>
  <c r="F33" i="40"/>
  <c r="F34" i="40"/>
  <c r="F35" i="40"/>
  <c r="F36" i="40"/>
  <c r="F37" i="40"/>
  <c r="F38" i="40"/>
  <c r="F39" i="40"/>
  <c r="F40" i="40"/>
  <c r="F41" i="40"/>
  <c r="F42" i="40"/>
  <c r="F43" i="40"/>
  <c r="F44" i="40"/>
  <c r="F45" i="40"/>
  <c r="F46" i="40"/>
  <c r="F47" i="40"/>
  <c r="F48" i="40"/>
  <c r="F49" i="40"/>
  <c r="F50" i="40"/>
  <c r="F51" i="40"/>
  <c r="F52" i="40"/>
  <c r="F53" i="40"/>
  <c r="F54" i="40"/>
  <c r="F55" i="40"/>
  <c r="F56" i="40"/>
  <c r="F57" i="40"/>
  <c r="F58" i="40"/>
  <c r="F59" i="40"/>
  <c r="F60" i="40"/>
  <c r="F61" i="40"/>
  <c r="F62" i="40"/>
  <c r="F63" i="40"/>
  <c r="F64" i="40"/>
  <c r="F65" i="40"/>
  <c r="F66" i="40"/>
  <c r="F67" i="40"/>
  <c r="F68" i="40"/>
  <c r="F69" i="40"/>
  <c r="F70" i="40"/>
  <c r="F71" i="40"/>
  <c r="F72" i="40"/>
  <c r="F73" i="40"/>
  <c r="F74" i="40"/>
  <c r="F75" i="40"/>
  <c r="F76" i="40"/>
  <c r="F77" i="40"/>
  <c r="F78" i="40"/>
  <c r="F79" i="40"/>
  <c r="F80" i="40"/>
  <c r="F81" i="40"/>
  <c r="F82" i="40"/>
  <c r="F83" i="40"/>
  <c r="F84" i="40"/>
  <c r="F85" i="40"/>
  <c r="F86" i="40"/>
  <c r="F87" i="40"/>
  <c r="F88" i="40"/>
  <c r="F89" i="40"/>
  <c r="F90" i="40"/>
  <c r="F91" i="40"/>
  <c r="F92" i="40"/>
  <c r="F93" i="40"/>
  <c r="F94" i="40"/>
  <c r="F95" i="40"/>
  <c r="F96" i="40"/>
  <c r="F97" i="40"/>
  <c r="F98" i="40"/>
  <c r="F99" i="40"/>
  <c r="F100" i="40"/>
  <c r="F101" i="40"/>
  <c r="F102" i="40"/>
  <c r="F103" i="40"/>
  <c r="F104" i="40"/>
  <c r="F105" i="40"/>
  <c r="F106" i="40"/>
  <c r="F107" i="40"/>
  <c r="F108" i="40"/>
  <c r="F109" i="40"/>
  <c r="F110" i="40"/>
  <c r="F111" i="40"/>
  <c r="F112" i="40"/>
  <c r="F113" i="40"/>
  <c r="F114" i="40"/>
  <c r="F115" i="40"/>
  <c r="F116" i="40"/>
  <c r="F117" i="40"/>
  <c r="F118" i="40"/>
  <c r="F119" i="40"/>
  <c r="F120" i="40"/>
  <c r="F121" i="40"/>
  <c r="F1" i="37"/>
  <c r="F2" i="40"/>
  <c r="F1" i="40" s="1"/>
  <c r="I2" i="49"/>
  <c r="G3" i="40" l="1"/>
  <c r="G4" i="40"/>
  <c r="G5" i="40"/>
  <c r="G6" i="40"/>
  <c r="G7" i="40"/>
  <c r="G8" i="40"/>
  <c r="G9" i="40"/>
  <c r="G10" i="40"/>
  <c r="G11" i="40"/>
  <c r="G12" i="40"/>
  <c r="G13" i="40"/>
  <c r="G14" i="40"/>
  <c r="G15" i="40"/>
  <c r="G16" i="40"/>
  <c r="G17" i="40"/>
  <c r="G18" i="40"/>
  <c r="G19" i="40"/>
  <c r="G20" i="40"/>
  <c r="G21" i="40"/>
  <c r="G22" i="40"/>
  <c r="G23" i="40"/>
  <c r="G24" i="40"/>
  <c r="G25" i="40"/>
  <c r="G26" i="40"/>
  <c r="G27" i="40"/>
  <c r="G28" i="40"/>
  <c r="G29" i="40"/>
  <c r="G30" i="40"/>
  <c r="G31" i="40"/>
  <c r="G32" i="40"/>
  <c r="G33" i="40"/>
  <c r="G34" i="40"/>
  <c r="G35" i="40"/>
  <c r="G36" i="40"/>
  <c r="G37" i="40"/>
  <c r="G38" i="40"/>
  <c r="G39" i="40"/>
  <c r="G40" i="40"/>
  <c r="G41" i="40"/>
  <c r="G42" i="40"/>
  <c r="G43" i="40"/>
  <c r="G44" i="40"/>
  <c r="G45" i="40"/>
  <c r="G46" i="40"/>
  <c r="G47" i="40"/>
  <c r="G48" i="40"/>
  <c r="G49" i="40"/>
  <c r="G50" i="40"/>
  <c r="G51" i="40"/>
  <c r="G52" i="40"/>
  <c r="G53" i="40"/>
  <c r="G54" i="40"/>
  <c r="G55" i="40"/>
  <c r="G56" i="40"/>
  <c r="G57" i="40"/>
  <c r="G58" i="40"/>
  <c r="G59" i="40"/>
  <c r="G60" i="40"/>
  <c r="G61" i="40"/>
  <c r="G62" i="40"/>
  <c r="G63" i="40"/>
  <c r="G64" i="40"/>
  <c r="G65" i="40"/>
  <c r="G66" i="40"/>
  <c r="G67" i="40"/>
  <c r="G68" i="40"/>
  <c r="G69" i="40"/>
  <c r="G70" i="40"/>
  <c r="G71" i="40"/>
  <c r="G72" i="40"/>
  <c r="G73" i="40"/>
  <c r="G74" i="40"/>
  <c r="G75" i="40"/>
  <c r="G76" i="40"/>
  <c r="G77" i="40"/>
  <c r="G78" i="40"/>
  <c r="G79" i="40"/>
  <c r="G80" i="40"/>
  <c r="G81" i="40"/>
  <c r="G82" i="40"/>
  <c r="G83" i="40"/>
  <c r="G84" i="40"/>
  <c r="G85" i="40"/>
  <c r="G86" i="40"/>
  <c r="G87" i="40"/>
  <c r="G88" i="40"/>
  <c r="G89" i="40"/>
  <c r="G90" i="40"/>
  <c r="G91" i="40"/>
  <c r="G92" i="40"/>
  <c r="G93" i="40"/>
  <c r="G94" i="40"/>
  <c r="G95" i="40"/>
  <c r="G96" i="40"/>
  <c r="G97" i="40"/>
  <c r="G98" i="40"/>
  <c r="G99" i="40"/>
  <c r="G100" i="40"/>
  <c r="G101" i="40"/>
  <c r="G102" i="40"/>
  <c r="G103" i="40"/>
  <c r="G104" i="40"/>
  <c r="G105" i="40"/>
  <c r="G106" i="40"/>
  <c r="G107" i="40"/>
  <c r="G108" i="40"/>
  <c r="G109" i="40"/>
  <c r="G110" i="40"/>
  <c r="G111" i="40"/>
  <c r="G112" i="40"/>
  <c r="G113" i="40"/>
  <c r="G114" i="40"/>
  <c r="G115" i="40"/>
  <c r="G116" i="40"/>
  <c r="G117" i="40"/>
  <c r="G118" i="40"/>
  <c r="G119" i="40"/>
  <c r="G120" i="40"/>
  <c r="G121" i="40"/>
  <c r="G2" i="40"/>
  <c r="G1" i="40" s="1"/>
  <c r="G1" i="37"/>
  <c r="J2" i="49"/>
  <c r="H3" i="40" l="1"/>
  <c r="H4" i="40"/>
  <c r="H5" i="40"/>
  <c r="H6" i="40"/>
  <c r="H7" i="40"/>
  <c r="H8" i="40"/>
  <c r="H9" i="40"/>
  <c r="H10" i="40"/>
  <c r="H11" i="40"/>
  <c r="H12" i="40"/>
  <c r="H13" i="40"/>
  <c r="H14" i="40"/>
  <c r="H15" i="40"/>
  <c r="H16" i="40"/>
  <c r="H17" i="40"/>
  <c r="H18" i="40"/>
  <c r="H19" i="40"/>
  <c r="H20" i="40"/>
  <c r="H21" i="40"/>
  <c r="H22" i="40"/>
  <c r="H23" i="40"/>
  <c r="H24" i="40"/>
  <c r="H25" i="40"/>
  <c r="H26" i="40"/>
  <c r="H27" i="40"/>
  <c r="H28" i="40"/>
  <c r="H29" i="40"/>
  <c r="H30" i="40"/>
  <c r="H31" i="40"/>
  <c r="H32" i="40"/>
  <c r="H33" i="40"/>
  <c r="H34" i="40"/>
  <c r="H35" i="40"/>
  <c r="H36" i="40"/>
  <c r="H37" i="40"/>
  <c r="H38" i="40"/>
  <c r="H39" i="40"/>
  <c r="H40" i="40"/>
  <c r="H41" i="40"/>
  <c r="H42" i="40"/>
  <c r="H43" i="40"/>
  <c r="H44" i="40"/>
  <c r="H45" i="40"/>
  <c r="H46" i="40"/>
  <c r="H47" i="40"/>
  <c r="H48" i="40"/>
  <c r="H49" i="40"/>
  <c r="H50" i="40"/>
  <c r="H51" i="40"/>
  <c r="H52" i="40"/>
  <c r="H53" i="40"/>
  <c r="H54" i="40"/>
  <c r="H55" i="40"/>
  <c r="H56" i="40"/>
  <c r="H57" i="40"/>
  <c r="H58" i="40"/>
  <c r="H59" i="40"/>
  <c r="H60" i="40"/>
  <c r="H61" i="40"/>
  <c r="H62" i="40"/>
  <c r="H63" i="40"/>
  <c r="H64" i="40"/>
  <c r="H65" i="40"/>
  <c r="H66" i="40"/>
  <c r="H67" i="40"/>
  <c r="H68" i="40"/>
  <c r="H69" i="40"/>
  <c r="H70" i="40"/>
  <c r="H71" i="40"/>
  <c r="H72" i="40"/>
  <c r="H73" i="40"/>
  <c r="H74" i="40"/>
  <c r="H75" i="40"/>
  <c r="H76" i="40"/>
  <c r="H77" i="40"/>
  <c r="H78" i="40"/>
  <c r="H79" i="40"/>
  <c r="H80" i="40"/>
  <c r="H81" i="40"/>
  <c r="H82" i="40"/>
  <c r="H83" i="40"/>
  <c r="H84" i="40"/>
  <c r="H85" i="40"/>
  <c r="H86" i="40"/>
  <c r="H87" i="40"/>
  <c r="H88" i="40"/>
  <c r="H89" i="40"/>
  <c r="H90" i="40"/>
  <c r="H91" i="40"/>
  <c r="H92" i="40"/>
  <c r="H93" i="40"/>
  <c r="H94" i="40"/>
  <c r="H95" i="40"/>
  <c r="H96" i="40"/>
  <c r="H97" i="40"/>
  <c r="H98" i="40"/>
  <c r="H99" i="40"/>
  <c r="H100" i="40"/>
  <c r="H101" i="40"/>
  <c r="H102" i="40"/>
  <c r="H103" i="40"/>
  <c r="H104" i="40"/>
  <c r="H105" i="40"/>
  <c r="H106" i="40"/>
  <c r="H107" i="40"/>
  <c r="H108" i="40"/>
  <c r="H109" i="40"/>
  <c r="H110" i="40"/>
  <c r="H111" i="40"/>
  <c r="H112" i="40"/>
  <c r="H113" i="40"/>
  <c r="H114" i="40"/>
  <c r="H115" i="40"/>
  <c r="H116" i="40"/>
  <c r="H117" i="40"/>
  <c r="H118" i="40"/>
  <c r="H119" i="40"/>
  <c r="H120" i="40"/>
  <c r="H121" i="40"/>
  <c r="H1" i="37"/>
  <c r="H2" i="40"/>
  <c r="H1" i="40" s="1"/>
  <c r="K2" i="49"/>
  <c r="I3" i="40" l="1"/>
  <c r="I4" i="40"/>
  <c r="I5" i="40"/>
  <c r="I6" i="40"/>
  <c r="I7" i="40"/>
  <c r="I8" i="40"/>
  <c r="I9" i="40"/>
  <c r="I10" i="40"/>
  <c r="I11" i="40"/>
  <c r="I12" i="40"/>
  <c r="I13" i="40"/>
  <c r="I14" i="40"/>
  <c r="I15" i="40"/>
  <c r="I16" i="40"/>
  <c r="I17" i="40"/>
  <c r="I18" i="40"/>
  <c r="I19" i="40"/>
  <c r="I20" i="40"/>
  <c r="I21" i="40"/>
  <c r="I22" i="40"/>
  <c r="I23" i="40"/>
  <c r="I24" i="40"/>
  <c r="I25" i="40"/>
  <c r="I26" i="40"/>
  <c r="I27" i="40"/>
  <c r="I28" i="40"/>
  <c r="I29" i="40"/>
  <c r="I30" i="40"/>
  <c r="I31" i="40"/>
  <c r="I32" i="40"/>
  <c r="I33" i="40"/>
  <c r="I34" i="40"/>
  <c r="I35" i="40"/>
  <c r="I36" i="40"/>
  <c r="I37" i="40"/>
  <c r="I38" i="40"/>
  <c r="I39" i="40"/>
  <c r="I40" i="40"/>
  <c r="I41" i="40"/>
  <c r="I42" i="40"/>
  <c r="I43" i="40"/>
  <c r="I44" i="40"/>
  <c r="I45" i="40"/>
  <c r="I46" i="40"/>
  <c r="I47" i="40"/>
  <c r="I48" i="40"/>
  <c r="I49" i="40"/>
  <c r="I50" i="40"/>
  <c r="I51" i="40"/>
  <c r="I52" i="40"/>
  <c r="I53" i="40"/>
  <c r="I54" i="40"/>
  <c r="I55" i="40"/>
  <c r="I56" i="40"/>
  <c r="I57" i="40"/>
  <c r="I58" i="40"/>
  <c r="I59" i="40"/>
  <c r="I60" i="40"/>
  <c r="I61" i="40"/>
  <c r="I62" i="40"/>
  <c r="I63" i="40"/>
  <c r="I64" i="40"/>
  <c r="I65" i="40"/>
  <c r="I66" i="40"/>
  <c r="I67" i="40"/>
  <c r="I68" i="40"/>
  <c r="I69" i="40"/>
  <c r="I70" i="40"/>
  <c r="I71" i="40"/>
  <c r="I72" i="40"/>
  <c r="I73" i="40"/>
  <c r="I74" i="40"/>
  <c r="I75" i="40"/>
  <c r="I76" i="40"/>
  <c r="I77" i="40"/>
  <c r="I78" i="40"/>
  <c r="I79" i="40"/>
  <c r="I80" i="40"/>
  <c r="I81" i="40"/>
  <c r="I82" i="40"/>
  <c r="I83" i="40"/>
  <c r="I84" i="40"/>
  <c r="I85" i="40"/>
  <c r="I86" i="40"/>
  <c r="I87" i="40"/>
  <c r="I88" i="40"/>
  <c r="I89" i="40"/>
  <c r="I90" i="40"/>
  <c r="I91" i="40"/>
  <c r="I92" i="40"/>
  <c r="I93" i="40"/>
  <c r="I94" i="40"/>
  <c r="I95" i="40"/>
  <c r="I96" i="40"/>
  <c r="I97" i="40"/>
  <c r="I98" i="40"/>
  <c r="I99" i="40"/>
  <c r="I100" i="40"/>
  <c r="I101" i="40"/>
  <c r="I102" i="40"/>
  <c r="I103" i="40"/>
  <c r="I104" i="40"/>
  <c r="I105" i="40"/>
  <c r="I106" i="40"/>
  <c r="I107" i="40"/>
  <c r="I108" i="40"/>
  <c r="I109" i="40"/>
  <c r="I110" i="40"/>
  <c r="I111" i="40"/>
  <c r="I112" i="40"/>
  <c r="I113" i="40"/>
  <c r="I114" i="40"/>
  <c r="I115" i="40"/>
  <c r="I116" i="40"/>
  <c r="I117" i="40"/>
  <c r="I118" i="40"/>
  <c r="I119" i="40"/>
  <c r="I120" i="40"/>
  <c r="I121" i="40"/>
  <c r="I1" i="37"/>
  <c r="I2" i="40"/>
  <c r="I1" i="40" s="1"/>
  <c r="L2" i="49"/>
  <c r="J3" i="40" l="1"/>
  <c r="J4" i="40"/>
  <c r="J5" i="40"/>
  <c r="J6" i="40"/>
  <c r="J7" i="40"/>
  <c r="J8" i="40"/>
  <c r="J9" i="40"/>
  <c r="J10" i="40"/>
  <c r="J11" i="40"/>
  <c r="J12" i="40"/>
  <c r="J13" i="40"/>
  <c r="J14" i="40"/>
  <c r="J15" i="40"/>
  <c r="J16" i="40"/>
  <c r="J17" i="40"/>
  <c r="J18" i="40"/>
  <c r="J19" i="40"/>
  <c r="J20" i="40"/>
  <c r="J21" i="40"/>
  <c r="J22" i="40"/>
  <c r="J23" i="40"/>
  <c r="J24" i="40"/>
  <c r="J25" i="40"/>
  <c r="J26" i="40"/>
  <c r="J27" i="40"/>
  <c r="J28" i="40"/>
  <c r="J29" i="40"/>
  <c r="J30" i="40"/>
  <c r="J31" i="40"/>
  <c r="J32" i="40"/>
  <c r="J33" i="40"/>
  <c r="J34" i="40"/>
  <c r="J35" i="40"/>
  <c r="J36" i="40"/>
  <c r="J37" i="40"/>
  <c r="J38" i="40"/>
  <c r="J39" i="40"/>
  <c r="J40" i="40"/>
  <c r="J41" i="40"/>
  <c r="J42" i="40"/>
  <c r="J43" i="40"/>
  <c r="J44" i="40"/>
  <c r="J45" i="40"/>
  <c r="J46" i="40"/>
  <c r="J47" i="40"/>
  <c r="J48" i="40"/>
  <c r="J49" i="40"/>
  <c r="J50" i="40"/>
  <c r="J51" i="40"/>
  <c r="J52" i="40"/>
  <c r="J53" i="40"/>
  <c r="J54" i="40"/>
  <c r="J55" i="40"/>
  <c r="J56" i="40"/>
  <c r="J57" i="40"/>
  <c r="J58" i="40"/>
  <c r="J59" i="40"/>
  <c r="J60" i="40"/>
  <c r="J61" i="40"/>
  <c r="J62" i="40"/>
  <c r="J63" i="40"/>
  <c r="J64" i="40"/>
  <c r="J65" i="40"/>
  <c r="J66" i="40"/>
  <c r="J67" i="40"/>
  <c r="J68" i="40"/>
  <c r="J69" i="40"/>
  <c r="J70" i="40"/>
  <c r="J71" i="40"/>
  <c r="J72" i="40"/>
  <c r="J73" i="40"/>
  <c r="J74" i="40"/>
  <c r="J75" i="40"/>
  <c r="J76" i="40"/>
  <c r="J77" i="40"/>
  <c r="J78" i="40"/>
  <c r="J79" i="40"/>
  <c r="J80" i="40"/>
  <c r="J81" i="40"/>
  <c r="J82" i="40"/>
  <c r="J83" i="40"/>
  <c r="J84" i="40"/>
  <c r="J85" i="40"/>
  <c r="J86" i="40"/>
  <c r="J87" i="40"/>
  <c r="J88" i="40"/>
  <c r="J89" i="40"/>
  <c r="J90" i="40"/>
  <c r="J91" i="40"/>
  <c r="J92" i="40"/>
  <c r="J93" i="40"/>
  <c r="J94" i="40"/>
  <c r="J95" i="40"/>
  <c r="J96" i="40"/>
  <c r="J97" i="40"/>
  <c r="J98" i="40"/>
  <c r="J99" i="40"/>
  <c r="J100" i="40"/>
  <c r="J101" i="40"/>
  <c r="J102" i="40"/>
  <c r="J103" i="40"/>
  <c r="J104" i="40"/>
  <c r="J105" i="40"/>
  <c r="J106" i="40"/>
  <c r="J107" i="40"/>
  <c r="J108" i="40"/>
  <c r="J109" i="40"/>
  <c r="J110" i="40"/>
  <c r="J111" i="40"/>
  <c r="J112" i="40"/>
  <c r="J113" i="40"/>
  <c r="J114" i="40"/>
  <c r="J115" i="40"/>
  <c r="J116" i="40"/>
  <c r="J117" i="40"/>
  <c r="J118" i="40"/>
  <c r="J119" i="40"/>
  <c r="J120" i="40"/>
  <c r="J121" i="40"/>
  <c r="J2" i="40"/>
  <c r="J1" i="40" s="1"/>
  <c r="J1" i="37"/>
  <c r="M2" i="49"/>
  <c r="K3" i="40" l="1"/>
  <c r="K4" i="40"/>
  <c r="K5" i="40"/>
  <c r="K6" i="40"/>
  <c r="K7" i="40"/>
  <c r="K8" i="40"/>
  <c r="K9" i="40"/>
  <c r="K10" i="40"/>
  <c r="K11" i="40"/>
  <c r="K12" i="40"/>
  <c r="K13" i="40"/>
  <c r="K14" i="40"/>
  <c r="K15" i="40"/>
  <c r="K16" i="40"/>
  <c r="K17" i="40"/>
  <c r="K18" i="40"/>
  <c r="K19" i="40"/>
  <c r="K20" i="40"/>
  <c r="K21" i="40"/>
  <c r="K22" i="40"/>
  <c r="K23" i="40"/>
  <c r="K24" i="40"/>
  <c r="K25" i="40"/>
  <c r="K26" i="40"/>
  <c r="K27" i="40"/>
  <c r="K28" i="40"/>
  <c r="K29" i="40"/>
  <c r="K30" i="40"/>
  <c r="K31" i="40"/>
  <c r="K32" i="40"/>
  <c r="K33" i="40"/>
  <c r="K34" i="40"/>
  <c r="K35" i="40"/>
  <c r="K36" i="40"/>
  <c r="K37" i="40"/>
  <c r="K38" i="40"/>
  <c r="K39" i="40"/>
  <c r="K40" i="40"/>
  <c r="K41" i="40"/>
  <c r="K42" i="40"/>
  <c r="K43" i="40"/>
  <c r="K44" i="40"/>
  <c r="K45" i="40"/>
  <c r="K46" i="40"/>
  <c r="K47" i="40"/>
  <c r="K48" i="40"/>
  <c r="K49" i="40"/>
  <c r="K50" i="40"/>
  <c r="K51" i="40"/>
  <c r="K52" i="40"/>
  <c r="K53" i="40"/>
  <c r="K54" i="40"/>
  <c r="K55" i="40"/>
  <c r="K56" i="40"/>
  <c r="K57" i="40"/>
  <c r="K58" i="40"/>
  <c r="K59" i="40"/>
  <c r="K60" i="40"/>
  <c r="K61" i="40"/>
  <c r="K62" i="40"/>
  <c r="K63" i="40"/>
  <c r="K64" i="40"/>
  <c r="K65" i="40"/>
  <c r="K66" i="40"/>
  <c r="K67" i="40"/>
  <c r="K68" i="40"/>
  <c r="K69" i="40"/>
  <c r="K70" i="40"/>
  <c r="K71" i="40"/>
  <c r="K72" i="40"/>
  <c r="K73" i="40"/>
  <c r="K74" i="40"/>
  <c r="K75" i="40"/>
  <c r="K76" i="40"/>
  <c r="K77" i="40"/>
  <c r="K78" i="40"/>
  <c r="K79" i="40"/>
  <c r="K80" i="40"/>
  <c r="K81" i="40"/>
  <c r="K82" i="40"/>
  <c r="K83" i="40"/>
  <c r="K84" i="40"/>
  <c r="K85" i="40"/>
  <c r="K86" i="40"/>
  <c r="K87" i="40"/>
  <c r="K88" i="40"/>
  <c r="K89" i="40"/>
  <c r="K90" i="40"/>
  <c r="K91" i="40"/>
  <c r="K92" i="40"/>
  <c r="K93" i="40"/>
  <c r="K94" i="40"/>
  <c r="K95" i="40"/>
  <c r="K96" i="40"/>
  <c r="K97" i="40"/>
  <c r="K98" i="40"/>
  <c r="K99" i="40"/>
  <c r="K100" i="40"/>
  <c r="K101" i="40"/>
  <c r="K102" i="40"/>
  <c r="K103" i="40"/>
  <c r="K104" i="40"/>
  <c r="K105" i="40"/>
  <c r="K106" i="40"/>
  <c r="K107" i="40"/>
  <c r="K108" i="40"/>
  <c r="K109" i="40"/>
  <c r="K110" i="40"/>
  <c r="K111" i="40"/>
  <c r="K112" i="40"/>
  <c r="K113" i="40"/>
  <c r="K114" i="40"/>
  <c r="K115" i="40"/>
  <c r="K116" i="40"/>
  <c r="K117" i="40"/>
  <c r="K118" i="40"/>
  <c r="K119" i="40"/>
  <c r="K120" i="40"/>
  <c r="K121" i="40"/>
  <c r="K2" i="40"/>
  <c r="K1" i="40" s="1"/>
  <c r="K1" i="37"/>
  <c r="N2" i="49"/>
  <c r="L3" i="40" l="1"/>
  <c r="L4" i="40"/>
  <c r="L5" i="40"/>
  <c r="L6" i="40"/>
  <c r="L7" i="40"/>
  <c r="L8" i="40"/>
  <c r="L9" i="40"/>
  <c r="L10" i="40"/>
  <c r="L11" i="40"/>
  <c r="L12" i="40"/>
  <c r="L13" i="40"/>
  <c r="L14" i="40"/>
  <c r="L15" i="40"/>
  <c r="L16" i="40"/>
  <c r="L17" i="40"/>
  <c r="L18" i="40"/>
  <c r="L19" i="40"/>
  <c r="L20" i="40"/>
  <c r="L21" i="40"/>
  <c r="L22" i="40"/>
  <c r="L23" i="40"/>
  <c r="L24" i="40"/>
  <c r="L25" i="40"/>
  <c r="L26" i="40"/>
  <c r="L27" i="40"/>
  <c r="L28" i="40"/>
  <c r="L29" i="40"/>
  <c r="L30" i="40"/>
  <c r="L31" i="40"/>
  <c r="L32" i="40"/>
  <c r="L33" i="40"/>
  <c r="L34" i="40"/>
  <c r="L35" i="40"/>
  <c r="L36" i="40"/>
  <c r="L37" i="40"/>
  <c r="L38" i="40"/>
  <c r="L39" i="40"/>
  <c r="L40" i="40"/>
  <c r="L41" i="40"/>
  <c r="L42" i="40"/>
  <c r="L43" i="40"/>
  <c r="L44" i="40"/>
  <c r="L45" i="40"/>
  <c r="L46" i="40"/>
  <c r="L47" i="40"/>
  <c r="L48" i="40"/>
  <c r="L49" i="40"/>
  <c r="L50" i="40"/>
  <c r="L51" i="40"/>
  <c r="L52" i="40"/>
  <c r="L53" i="40"/>
  <c r="L54" i="40"/>
  <c r="L55" i="40"/>
  <c r="L56" i="40"/>
  <c r="L57" i="40"/>
  <c r="L58" i="40"/>
  <c r="L59" i="40"/>
  <c r="L60" i="40"/>
  <c r="L61" i="40"/>
  <c r="L62" i="40"/>
  <c r="L63" i="40"/>
  <c r="L64" i="40"/>
  <c r="L65" i="40"/>
  <c r="L66" i="40"/>
  <c r="L67" i="40"/>
  <c r="L68" i="40"/>
  <c r="L69" i="40"/>
  <c r="L70" i="40"/>
  <c r="L71" i="40"/>
  <c r="L72" i="40"/>
  <c r="L73" i="40"/>
  <c r="L74" i="40"/>
  <c r="L75" i="40"/>
  <c r="L76" i="40"/>
  <c r="L77" i="40"/>
  <c r="L78" i="40"/>
  <c r="L79" i="40"/>
  <c r="L80" i="40"/>
  <c r="L81" i="40"/>
  <c r="L82" i="40"/>
  <c r="L83" i="40"/>
  <c r="L84" i="40"/>
  <c r="L85" i="40"/>
  <c r="L86" i="40"/>
  <c r="L87" i="40"/>
  <c r="L88" i="40"/>
  <c r="L89" i="40"/>
  <c r="L90" i="40"/>
  <c r="L91" i="40"/>
  <c r="L92" i="40"/>
  <c r="L93" i="40"/>
  <c r="L94" i="40"/>
  <c r="L95" i="40"/>
  <c r="L96" i="40"/>
  <c r="L97" i="40"/>
  <c r="L98" i="40"/>
  <c r="L99" i="40"/>
  <c r="L100" i="40"/>
  <c r="L101" i="40"/>
  <c r="L102" i="40"/>
  <c r="L103" i="40"/>
  <c r="L104" i="40"/>
  <c r="L105" i="40"/>
  <c r="L106" i="40"/>
  <c r="L107" i="40"/>
  <c r="L108" i="40"/>
  <c r="L109" i="40"/>
  <c r="L110" i="40"/>
  <c r="L111" i="40"/>
  <c r="L112" i="40"/>
  <c r="L113" i="40"/>
  <c r="L114" i="40"/>
  <c r="L115" i="40"/>
  <c r="L116" i="40"/>
  <c r="L117" i="40"/>
  <c r="L118" i="40"/>
  <c r="L119" i="40"/>
  <c r="L120" i="40"/>
  <c r="L121" i="40"/>
  <c r="L2" i="40"/>
  <c r="L1" i="40" s="1"/>
  <c r="L1" i="37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BE153E-9484-4A22-B747-386987480F72}" keepAlive="1" name="ModelConnection_ExternalData_1" description="Data Model" type="5" refreshedVersion="8" minRefreshableVersion="5" saveData="1">
    <dbPr connection="Data Model Connection" command="financials_input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D28B8124-7EAF-4906-8304-C133ACEA22AD}" name="Query - financials_input" description="Connection to the 'financials_input' query in the workbook." type="100" refreshedVersion="8" minRefreshableVersion="5">
    <extLst>
      <ext xmlns:x15="http://schemas.microsoft.com/office/spreadsheetml/2010/11/main" uri="{DE250136-89BD-433C-8126-D09CA5730AF9}">
        <x15:connection id="5e3fbd90-746a-4d2a-ae1a-4d0477c2c3f2"/>
      </ext>
    </extLst>
  </connection>
  <connection id="3" xr16:uid="{A75A9DA2-D6B5-48B0-B50F-519F1A8FA3D9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<sst xmlns="http://schemas.openxmlformats.org/spreadsheetml/2006/main" count="2123" uniqueCount="1949">
  <si>
    <t>Provision for Doubtful Accounts - Patient Service Revenue</t>
  </si>
  <si>
    <t>General Partner - Common Equity</t>
  </si>
  <si>
    <t>General Partner - Preferred Equity</t>
  </si>
  <si>
    <t>General Partner - Minority Interest</t>
  </si>
  <si>
    <t>General Partner Interest (Supple)</t>
  </si>
  <si>
    <t>Depreciation And Amortization Notes for Partial CF</t>
  </si>
  <si>
    <t>Amortization Of Goodwill Notes for Partial CF</t>
  </si>
  <si>
    <t>Contingent Rental Expense</t>
  </si>
  <si>
    <t>Short-Term Borrowing Derivatives</t>
  </si>
  <si>
    <t>Curr. Port. of LT Debt Derivatives</t>
  </si>
  <si>
    <t>Long-Term Debt Derivatives</t>
  </si>
  <si>
    <t>Current Derivative Assets</t>
  </si>
  <si>
    <t>Long-Term Derivative Assets</t>
  </si>
  <si>
    <t>Gross Intangible Assets</t>
  </si>
  <si>
    <t>Accumulated Amortization of Intangible Assets</t>
  </si>
  <si>
    <t>Gross Goodwill</t>
  </si>
  <si>
    <t>Accumulated Amortization of Goodwill</t>
  </si>
  <si>
    <t>Aircraft Rental Expense</t>
  </si>
  <si>
    <t>Current Derivative Liabilities</t>
  </si>
  <si>
    <t>Non-Current Derivative Liabilities</t>
  </si>
  <si>
    <t>Derivative Trading Asset Securities</t>
  </si>
  <si>
    <t>Net Income to Company</t>
  </si>
  <si>
    <t>Net Income to Parent</t>
  </si>
  <si>
    <t>Earnings to Parent before Extraordinary Items</t>
  </si>
  <si>
    <t>Redeemable Minority Interest</t>
  </si>
  <si>
    <t>Finance Division Redeemable Minority Interest</t>
  </si>
  <si>
    <t>Total Redeemable Minority Interest</t>
  </si>
  <si>
    <t>Finance Division Minority Interest</t>
  </si>
  <si>
    <t>Capitalized/Purchased Software</t>
  </si>
  <si>
    <t>Minimum Rental Expense</t>
  </si>
  <si>
    <t>Other Rental Expense</t>
  </si>
  <si>
    <t>Depreciation of Rental Assets</t>
  </si>
  <si>
    <t>Sale Proceeds from Rental Assets</t>
  </si>
  <si>
    <t>Cash Flow per Share</t>
  </si>
  <si>
    <t>Net Cash from Discontinued Ops. - Investing</t>
  </si>
  <si>
    <t>Net Cash from Discontinued Ops. - Financing</t>
  </si>
  <si>
    <t>Net Rental Expense, Total</t>
  </si>
  <si>
    <t>Net Rental Expense</t>
  </si>
  <si>
    <t>Net Rental Expense (Supple)</t>
  </si>
  <si>
    <t>Fees and Other Income</t>
  </si>
  <si>
    <t>Amortization of Negative Goodwill</t>
  </si>
  <si>
    <t>Amortization of Negative Goodwill - After Tax</t>
  </si>
  <si>
    <t>Book Value/Share (Reported)</t>
  </si>
  <si>
    <t>Accounts Receivables - Unbilled</t>
  </si>
  <si>
    <t>Net Income</t>
  </si>
  <si>
    <t>Total Current Assets</t>
  </si>
  <si>
    <t>Total Equity</t>
  </si>
  <si>
    <t>Common Stock</t>
  </si>
  <si>
    <t>Cash Interest Paid</t>
  </si>
  <si>
    <t>Cash Taxes Paid</t>
  </si>
  <si>
    <t>Accounts Payable</t>
  </si>
  <si>
    <t>Total Debt</t>
  </si>
  <si>
    <t>Interest Expense</t>
  </si>
  <si>
    <t>Gross Profit</t>
  </si>
  <si>
    <t>Treasury Stock</t>
  </si>
  <si>
    <t>Accounts Receivable</t>
  </si>
  <si>
    <t>Goodwill</t>
  </si>
  <si>
    <t>Revenues</t>
  </si>
  <si>
    <t>Total Revenues</t>
  </si>
  <si>
    <t>R &amp; D Exp.</t>
  </si>
  <si>
    <t>Depreciation &amp; Amort., Total</t>
  </si>
  <si>
    <t>Other Operating Expense/(Income)</t>
  </si>
  <si>
    <t>Other Operating Exp., Total</t>
  </si>
  <si>
    <t>Operating Income</t>
  </si>
  <si>
    <t>Interest and Invest. Income</t>
  </si>
  <si>
    <t>Net Interest Exp.</t>
  </si>
  <si>
    <t>EBT Excl Unusual Items</t>
  </si>
  <si>
    <t>Impairment of Goodwill</t>
  </si>
  <si>
    <t>Gain (Loss) On Sale Of Invest.</t>
  </si>
  <si>
    <t>Gain (Loss) On Sale Of Assets</t>
  </si>
  <si>
    <t>EBT Incl Unusual Items</t>
  </si>
  <si>
    <t>Income Tax Expense</t>
  </si>
  <si>
    <t>Earnings from Cont. Ops.</t>
  </si>
  <si>
    <t>Earnings of Discontinued Ops.</t>
  </si>
  <si>
    <t>Extraord. Item &amp; Account. Change</t>
  </si>
  <si>
    <t>Pref. Dividends and Other Adj.</t>
  </si>
  <si>
    <t>NI to Common Incl Extra Items</t>
  </si>
  <si>
    <t>NI to Common Excl Extra Items</t>
  </si>
  <si>
    <t>Basic EPS</t>
  </si>
  <si>
    <t>Basic EPS Excl. Extra Items</t>
  </si>
  <si>
    <t>Weighted Avg. Basic Shares Out.</t>
  </si>
  <si>
    <t>Diluted EPS</t>
  </si>
  <si>
    <t>Diluted EPS Excl Extra Items</t>
  </si>
  <si>
    <t>Weighted Avg. Diluted Shares Out.</t>
  </si>
  <si>
    <t>EBITDA</t>
  </si>
  <si>
    <t>Cash And Equivalents</t>
  </si>
  <si>
    <t>Short Term Investments</t>
  </si>
  <si>
    <t>Total Cash &amp; ST Investments</t>
  </si>
  <si>
    <t>Notes Receivable</t>
  </si>
  <si>
    <t>Total Receivables</t>
  </si>
  <si>
    <t>Inventory</t>
  </si>
  <si>
    <t>Prepaid Exp.</t>
  </si>
  <si>
    <t>Gross Property, Plant &amp; Equipment</t>
  </si>
  <si>
    <t>Accumulated Depreciation</t>
  </si>
  <si>
    <t>Net Property, Plant &amp; Equipment</t>
  </si>
  <si>
    <t>Other Intangibles</t>
  </si>
  <si>
    <t>Accrued Exp.</t>
  </si>
  <si>
    <t>Total Current Liabilities</t>
  </si>
  <si>
    <t>Retained Earnings</t>
  </si>
  <si>
    <t>Total Common Equity</t>
  </si>
  <si>
    <t>Total Liabilities And Equity</t>
  </si>
  <si>
    <t>Book Value/Share</t>
  </si>
  <si>
    <t>Net Debt</t>
  </si>
  <si>
    <t>Cash from Ops.</t>
  </si>
  <si>
    <t>Capital Expenditure</t>
  </si>
  <si>
    <t>Sale of Property, Plant, and Equipment</t>
  </si>
  <si>
    <t>Cash Acquisitions</t>
  </si>
  <si>
    <t>Divestitures</t>
  </si>
  <si>
    <t>Cash from Investing</t>
  </si>
  <si>
    <t>Short Term Debt Issued</t>
  </si>
  <si>
    <t>Long-Term Debt Issued</t>
  </si>
  <si>
    <t>Total Debt Issued</t>
  </si>
  <si>
    <t>Short Term Debt Repaid</t>
  </si>
  <si>
    <t>Long-Term Debt Repaid</t>
  </si>
  <si>
    <t>Total Debt Repaid</t>
  </si>
  <si>
    <t>Issuance of Common Stock</t>
  </si>
  <si>
    <t>Repurchase of Common</t>
  </si>
  <si>
    <t>Issuance of Pref. Stock</t>
  </si>
  <si>
    <t>Repurchase of Preferred</t>
  </si>
  <si>
    <t>Total Dividends Paid</t>
  </si>
  <si>
    <t>Cash from Financing</t>
  </si>
  <si>
    <t>Net Change in Cash</t>
  </si>
  <si>
    <t>Net Debt Issued</t>
  </si>
  <si>
    <t>Other Revenues</t>
  </si>
  <si>
    <t>Cost Of Goods Sold</t>
  </si>
  <si>
    <t>Selling General &amp; Admin Exp.</t>
  </si>
  <si>
    <t>Depreciation &amp; Amort.</t>
  </si>
  <si>
    <t>Other Non-Operating Inc. (Exp.)</t>
  </si>
  <si>
    <t>Merger &amp; Related Restruct. Charges</t>
  </si>
  <si>
    <t>Other Unusual Items</t>
  </si>
  <si>
    <t>Deferred Tax Assets, Curr.</t>
  </si>
  <si>
    <t>Other Current Assets</t>
  </si>
  <si>
    <t>Loans Receivable Long-Term</t>
  </si>
  <si>
    <t>Deferred Tax Assets, LT</t>
  </si>
  <si>
    <t>Other Long-Term Assets</t>
  </si>
  <si>
    <t>Unearned Revenue, Current</t>
  </si>
  <si>
    <t>Other Current Liabilities</t>
  </si>
  <si>
    <t>Def. Tax Liability, Non-Curr.</t>
  </si>
  <si>
    <t>Other Non-Current Liabilities</t>
  </si>
  <si>
    <t>Additional Paid In Capital</t>
  </si>
  <si>
    <t>Comprehensive Inc. and Other</t>
  </si>
  <si>
    <t>Amort. of Goodwill and Intangibles</t>
  </si>
  <si>
    <t>(Gain) Loss On Sale Of Invest.</t>
  </si>
  <si>
    <t>Tax Benefit from Stock Options</t>
  </si>
  <si>
    <t>Change in Acc. Receivable</t>
  </si>
  <si>
    <t>Change In Inventories</t>
  </si>
  <si>
    <t>Change in Acc. Payable</t>
  </si>
  <si>
    <t>Change in Unearned Rev.</t>
  </si>
  <si>
    <t>Change in Def. Taxes</t>
  </si>
  <si>
    <t>Net (Inc.) Dec. in Loans Originated/Sold</t>
  </si>
  <si>
    <t>Other Investing Activities</t>
  </si>
  <si>
    <t>Common Dividends Paid</t>
  </si>
  <si>
    <t>Pref. Dividends Paid</t>
  </si>
  <si>
    <t>Common and/or Pref. Dividends Paid</t>
  </si>
  <si>
    <t>Special Dividend Paid</t>
  </si>
  <si>
    <t>Other Financing Activities</t>
  </si>
  <si>
    <t>Foreign Exchange Rate Adj.</t>
  </si>
  <si>
    <t>Finance Div. Revenues</t>
  </si>
  <si>
    <t>Insurance Div. Revenues</t>
  </si>
  <si>
    <t>Interest And Invest. Income (Rev)</t>
  </si>
  <si>
    <t>Finance Div. Operating Exp.</t>
  </si>
  <si>
    <t>Insurance Div. Operating Exp.</t>
  </si>
  <si>
    <t>Interest Expense - Finance Division</t>
  </si>
  <si>
    <t>Income / (Loss) from Affiliates</t>
  </si>
  <si>
    <t>Currency Exchange Gains (Loss)</t>
  </si>
  <si>
    <t>Restructuring Charges</t>
  </si>
  <si>
    <t>Asset Writedown</t>
  </si>
  <si>
    <t>Insurance Settlements</t>
  </si>
  <si>
    <t>Legal Settlements</t>
  </si>
  <si>
    <t>Minority Int. in Earnings</t>
  </si>
  <si>
    <t>Trading Asset Securities</t>
  </si>
  <si>
    <t>Other Receivables</t>
  </si>
  <si>
    <t>Finance Div. Loans and Leases, ST</t>
  </si>
  <si>
    <t>Finance Div. Other Curr. Assets</t>
  </si>
  <si>
    <t>Loans Held For Sale</t>
  </si>
  <si>
    <t>Restricted Cash</t>
  </si>
  <si>
    <t>Long-term Investments</t>
  </si>
  <si>
    <t>Finance Div. Loans and Leases, LT</t>
  </si>
  <si>
    <t>Finance Div. Other LT Assets</t>
  </si>
  <si>
    <t>Accounts Receivable Long-Term</t>
  </si>
  <si>
    <t>Deferred Charges, LT</t>
  </si>
  <si>
    <t>Short-term Borrowings</t>
  </si>
  <si>
    <t>Current Portion of Long Term Debt</t>
  </si>
  <si>
    <t>Finance Div. Debt Current</t>
  </si>
  <si>
    <t>Finance Div. Other Curr. Liab.</t>
  </si>
  <si>
    <t>Curr. Income Taxes Payable</t>
  </si>
  <si>
    <t>Def. Tax Liability, Curr.</t>
  </si>
  <si>
    <t>Long-Term Debt</t>
  </si>
  <si>
    <t>Minority Interest</t>
  </si>
  <si>
    <t>Finance Div. Debt Non-Curr.</t>
  </si>
  <si>
    <t>Finance Div. Other Non-Curr. Liab.</t>
  </si>
  <si>
    <t>Unearned Revenue, Non-Current</t>
  </si>
  <si>
    <t>Pension &amp; Other Post-Retire. Benefits</t>
  </si>
  <si>
    <t>Pref. Stock, Redeemable</t>
  </si>
  <si>
    <t>Pref. Stock, Non-Redeem.</t>
  </si>
  <si>
    <t>Pref. Stock, Convertible</t>
  </si>
  <si>
    <t>Pref. Stock, Other</t>
  </si>
  <si>
    <t>Impair. of Oil, Gas &amp; Mineral Prop.</t>
  </si>
  <si>
    <t>(Gain) Loss From Sale Of Asset</t>
  </si>
  <si>
    <t>Asset Writedown &amp; Restructuring Costs</t>
  </si>
  <si>
    <t>Net (Increase) Decrease in Loans Orig./Sold</t>
  </si>
  <si>
    <t>Provision for Credit Losses</t>
  </si>
  <si>
    <t>(Income) Loss on Equity Invest.</t>
  </si>
  <si>
    <t>Stock-Based Compensation</t>
  </si>
  <si>
    <t>Provision &amp; Write-off of Bad debts</t>
  </si>
  <si>
    <t>Net Cash From Discontinued Ops.</t>
  </si>
  <si>
    <t>Other Operating Activities</t>
  </si>
  <si>
    <t>Change in Trad. Asset Securities</t>
  </si>
  <si>
    <t>Change in Inc. Taxes</t>
  </si>
  <si>
    <t>Exploration/Drilling Costs</t>
  </si>
  <si>
    <t>Provision for Bad Debts</t>
  </si>
  <si>
    <t>Pre-Opening Costs</t>
  </si>
  <si>
    <t>Misc. Cash Flow Adj.</t>
  </si>
  <si>
    <t>Net Income per SFAS 123 (after Options)</t>
  </si>
  <si>
    <t>Ticker</t>
  </si>
  <si>
    <t>As-Reported Total Revenue</t>
  </si>
  <si>
    <t>Filing Date</t>
  </si>
  <si>
    <t>Tangible Book Value/Share</t>
  </si>
  <si>
    <t>Total Capitalization</t>
  </si>
  <si>
    <t>LIFO Reserve</t>
  </si>
  <si>
    <t>Raw Materials Inventory</t>
  </si>
  <si>
    <t>Work in Progress Inventory</t>
  </si>
  <si>
    <t>Finished Goods Inventory</t>
  </si>
  <si>
    <t>Other Inventory Accounts</t>
  </si>
  <si>
    <t>Land</t>
  </si>
  <si>
    <t>Buildings</t>
  </si>
  <si>
    <t>Machinery</t>
  </si>
  <si>
    <t>Return on Assets (%)</t>
  </si>
  <si>
    <t>Return on Capital (%)</t>
  </si>
  <si>
    <t>Return on Equity (%)</t>
  </si>
  <si>
    <t>Gross Margin (%)</t>
  </si>
  <si>
    <t>EBITDA Margin (%)</t>
  </si>
  <si>
    <t>EBIT Margin (%)</t>
  </si>
  <si>
    <t>Net Income Margin (%)</t>
  </si>
  <si>
    <t>Total Asset Turnover</t>
  </si>
  <si>
    <t>Fixed Asset Turnover</t>
  </si>
  <si>
    <t>Accounts Receivable Turnover</t>
  </si>
  <si>
    <t>Inventory Turnover</t>
  </si>
  <si>
    <t>Current Ratio</t>
  </si>
  <si>
    <t>Quick Ratio</t>
  </si>
  <si>
    <t>Avg. Cash Conversion Cycle</t>
  </si>
  <si>
    <t>EBIT / Interest Expense</t>
  </si>
  <si>
    <t>Total Debt / EBITDA</t>
  </si>
  <si>
    <t>Net Debt / EBITDA</t>
  </si>
  <si>
    <t>Altman Z Score</t>
  </si>
  <si>
    <t>EBITDA / Interest Expense</t>
  </si>
  <si>
    <t>(EBITDA-CAPEX) / Interest Expense</t>
  </si>
  <si>
    <t>Avg. Days Sales Outstanding</t>
  </si>
  <si>
    <t>Avg. Days Inventory Outstanding</t>
  </si>
  <si>
    <t>Avg. Days Payable Outstanding</t>
  </si>
  <si>
    <t>Cash from Operations to Currrent Liabilities</t>
  </si>
  <si>
    <t>Total Debt / Equity (%)</t>
  </si>
  <si>
    <t>Total Debt / Capital (%)</t>
  </si>
  <si>
    <t>LT Debt / Equity (%)</t>
  </si>
  <si>
    <t>LT Debt / Capital (%)</t>
  </si>
  <si>
    <t>Total Liabilities / Total Assets (%)</t>
  </si>
  <si>
    <t>Stock Price</t>
  </si>
  <si>
    <t>Name</t>
  </si>
  <si>
    <t>FYE</t>
  </si>
  <si>
    <t>52W High</t>
  </si>
  <si>
    <t>52W Low</t>
  </si>
  <si>
    <t>Shares Out</t>
  </si>
  <si>
    <t>Market Cap</t>
  </si>
  <si>
    <t>Cash</t>
  </si>
  <si>
    <t>Pref. Stock</t>
  </si>
  <si>
    <t>Minority Int.</t>
  </si>
  <si>
    <t>LTM</t>
  </si>
  <si>
    <t>Total Assets</t>
  </si>
  <si>
    <t>TEV / Total Revenue</t>
  </si>
  <si>
    <t>TEV / EBITDA</t>
  </si>
  <si>
    <t>TEV / EBIT</t>
  </si>
  <si>
    <t>P/E</t>
  </si>
  <si>
    <t>P/BV</t>
  </si>
  <si>
    <t>P/Tangible BV</t>
  </si>
  <si>
    <t>Value</t>
  </si>
  <si>
    <t>TEV</t>
  </si>
  <si>
    <t>Gain/(Loss) on Sale Of Assets (Rev)</t>
  </si>
  <si>
    <t>Gain/(Loss) on Sale Of Invest.(Rev)</t>
  </si>
  <si>
    <t>In Process R &amp; D Exp.</t>
  </si>
  <si>
    <t>Sale/(Purchase) of Real Estate Properties</t>
  </si>
  <si>
    <t>Sale/(Purchase) of Intangible Assets</t>
  </si>
  <si>
    <t>Invest. in Marketable &amp; Equity Sec.</t>
  </si>
  <si>
    <t>Effective Tax Rate (%)</t>
  </si>
  <si>
    <t>Payout Ratio (%)</t>
  </si>
  <si>
    <t>Tangible Book Value</t>
  </si>
  <si>
    <t>Total Shares Out. on Balance Sheet Date</t>
  </si>
  <si>
    <t>EBITDA (Incl. Equity Inc. from Affiliates)</t>
  </si>
  <si>
    <t>EBITDA (Excl. SBC and Incl. Equity Inc. from Affiliates)</t>
  </si>
  <si>
    <t>EBITDA (Excl. SBC)</t>
  </si>
  <si>
    <t>EBIT (Incl. Equity Inc. from Affiliates)</t>
  </si>
  <si>
    <t>EBIT (Excl. SBC and Incl. Equity Inc. from Affiliates)</t>
  </si>
  <si>
    <t>EBIT (Excl. SBC)</t>
  </si>
  <si>
    <t>EBITA (Incl. Equity Inc. from Affiliates)</t>
  </si>
  <si>
    <t>EBITA (Excl. SBC and Incl. Equity Inc. from Affiliates)</t>
  </si>
  <si>
    <t>EBITA (Excl. SBC)</t>
  </si>
  <si>
    <t>EBITDAR (Incl. Equity Inc. from Affiliates)</t>
  </si>
  <si>
    <t>EBITDAR (Excl. SBC and Incl. Equity Inc. from Affiliates)</t>
  </si>
  <si>
    <t>EBITDAR (Excl. SBC)</t>
  </si>
  <si>
    <t>Restr. Stock Comp. Exp., Before Tax</t>
  </si>
  <si>
    <t>Restr. Stock Comp. Exp. Tax Effect</t>
  </si>
  <si>
    <t>Restr. Stock Comp. Exp., After Tax</t>
  </si>
  <si>
    <t>Stock Options Comp. Exp., Before Tax</t>
  </si>
  <si>
    <t>Stock Options Comp. Exp. Tax Effect</t>
  </si>
  <si>
    <t>Stock Options Comp. Exp., After Tax</t>
  </si>
  <si>
    <t>Stock Based Comp. Exp., Before Tax</t>
  </si>
  <si>
    <t>Stock Based Comp. Exp. Tax Effect</t>
  </si>
  <si>
    <t>Stock Based Comp. Exp., After Tax</t>
  </si>
  <si>
    <t>EBIT</t>
  </si>
  <si>
    <t>EBITA</t>
  </si>
  <si>
    <t>EBITDAR</t>
  </si>
  <si>
    <t>Interest Capitalized</t>
  </si>
  <si>
    <t>Normalized Basic EPS</t>
  </si>
  <si>
    <t>Normalized Diluted EPS</t>
  </si>
  <si>
    <t>Distributable Cash per Share</t>
  </si>
  <si>
    <t>Revenues per Share</t>
  </si>
  <si>
    <t>Special Dividend per Share</t>
  </si>
  <si>
    <t>Dividends per Share</t>
  </si>
  <si>
    <t>Period Length in Months</t>
  </si>
  <si>
    <t>Same Store Sales Growth</t>
  </si>
  <si>
    <t>Current Domestic Taxes</t>
  </si>
  <si>
    <t>Current Foreign Taxes</t>
  </si>
  <si>
    <t>Deferred Domestic Taxes</t>
  </si>
  <si>
    <t>Deferred Foreign Taxes</t>
  </si>
  <si>
    <t>Normalized Net Income</t>
  </si>
  <si>
    <t>Interest On Long Term Debt</t>
  </si>
  <si>
    <t>Non-Cash Pension Expense</t>
  </si>
  <si>
    <t>D&amp;A For EBITDA</t>
  </si>
  <si>
    <t>Distributable Cash</t>
  </si>
  <si>
    <t>Interest Expense (Incl. Cap. Interest)</t>
  </si>
  <si>
    <t>Common Stock Dividend Declared</t>
  </si>
  <si>
    <t>Marketing Expense</t>
  </si>
  <si>
    <t>Selling And Marketing Expense</t>
  </si>
  <si>
    <t>General and Administrative Expense</t>
  </si>
  <si>
    <t>Maintenance &amp; Repair Expenses</t>
  </si>
  <si>
    <t>Imputed Oper. Lease Interest Exp</t>
  </si>
  <si>
    <t>Imputed Oper. Lease Depreciation</t>
  </si>
  <si>
    <t>Stock-Based Comp., COGS</t>
  </si>
  <si>
    <t>Stock-Based Comp., R&amp;D Exp</t>
  </si>
  <si>
    <t>Stock-Based Comp., S&amp;M Exp</t>
  </si>
  <si>
    <t>Stock-Based Comp., G&amp;A Exp</t>
  </si>
  <si>
    <t>Stock-Based Comp., SG&amp;A Exp</t>
  </si>
  <si>
    <t>Stock-Based Comp., Unallocated</t>
  </si>
  <si>
    <t>Stock-Based Comp., After-Tax</t>
  </si>
  <si>
    <t>Stock-Based Comp., Total</t>
  </si>
  <si>
    <t>Annualized Distributions per Unit</t>
  </si>
  <si>
    <t>Restatement Type</t>
  </si>
  <si>
    <t>Calculation Type</t>
  </si>
  <si>
    <t>Filing Currency</t>
  </si>
  <si>
    <t>Diluted Net Income</t>
  </si>
  <si>
    <t>Depreciation (From Notes)</t>
  </si>
  <si>
    <t>Change in Net Working Capital</t>
  </si>
  <si>
    <t>Maintenance CAPEX</t>
  </si>
  <si>
    <t>Cash per Share</t>
  </si>
  <si>
    <t>Working Capital</t>
  </si>
  <si>
    <t>Net Working Capital</t>
  </si>
  <si>
    <t>Equity Method Investments</t>
  </si>
  <si>
    <t>Inventory Method</t>
  </si>
  <si>
    <t>Full Time Employees</t>
  </si>
  <si>
    <t>Part Time Employees</t>
  </si>
  <si>
    <t>Total Employees</t>
  </si>
  <si>
    <t>Finance Division Long-term Debt, Total</t>
  </si>
  <si>
    <t>Finance Division Short-term Debt, Total</t>
  </si>
  <si>
    <t>Cost of Borrowing</t>
  </si>
  <si>
    <t>Total Debt (Excl.Fin.Div.Debt)</t>
  </si>
  <si>
    <t>Order Backlog</t>
  </si>
  <si>
    <t>Distributable Cash Payout Ratio (Income Trusts)</t>
  </si>
  <si>
    <t>Advertising Expense</t>
  </si>
  <si>
    <t>Accumulated Allowance for Doubtful Accounts</t>
  </si>
  <si>
    <t>Minority Interest, Total</t>
  </si>
  <si>
    <t>R&amp;D Expense (Foot Note)</t>
  </si>
  <si>
    <t>Change In Other Net Operating Assets</t>
  </si>
  <si>
    <t>Avg Employees</t>
  </si>
  <si>
    <t>Temporary/Seasonal Employees</t>
  </si>
  <si>
    <t>Excise Taxes Excluded from Sales</t>
  </si>
  <si>
    <t>Excise Taxes Included in Sales</t>
  </si>
  <si>
    <t>Finance Division Debt, Total</t>
  </si>
  <si>
    <t>Financial Accounting Standard</t>
  </si>
  <si>
    <t>Total Debt Current</t>
  </si>
  <si>
    <t>Restricted Cash (Non-Current)</t>
  </si>
  <si>
    <t>Finance Division Cash and Equivalents</t>
  </si>
  <si>
    <t>Finance Division Short-Term Investments</t>
  </si>
  <si>
    <t>Cash Interest Paid - Operating Activities</t>
  </si>
  <si>
    <t>Cash Interest Paid - Investing Activities</t>
  </si>
  <si>
    <t>Cash Interest Paid - Financing Activities</t>
  </si>
  <si>
    <t>Cash Taxes Paid - Operating Activities</t>
  </si>
  <si>
    <t>Cash Taxes Paid - Investing Activities</t>
  </si>
  <si>
    <t>Cash Taxes Paid - Financing Activities</t>
  </si>
  <si>
    <t>USD</t>
  </si>
  <si>
    <t>Deferred Income Taxes, Total</t>
  </si>
  <si>
    <t>Distributable Cash Shares (Basic)</t>
  </si>
  <si>
    <t>Distributable Cash Shares (Diluted)</t>
  </si>
  <si>
    <t>Distributable Cash per Share (Diluted)</t>
  </si>
  <si>
    <t>Salaries and Other Employee Benefits</t>
  </si>
  <si>
    <t>Stock-Based Comp., Exploration/Drilling Exp.</t>
  </si>
  <si>
    <t>Employees Under Union Contracts</t>
  </si>
  <si>
    <t>Contingent Liabilities</t>
  </si>
  <si>
    <t>Liquidation Value of Preferred Stock - Convertible</t>
  </si>
  <si>
    <t>Liquidation Value of Preferred Stock - Non-Redeemable</t>
  </si>
  <si>
    <t>Liquidation Value of Preferred Stock - Redeemable</t>
  </si>
  <si>
    <t>Level 1 Assets - Quoted Prices</t>
  </si>
  <si>
    <t>Netting and Other Adj. to Assets</t>
  </si>
  <si>
    <t>Fair Value of Assets</t>
  </si>
  <si>
    <t>Level 1 Liabilities - Quoted Prices</t>
  </si>
  <si>
    <t>Netting and Other Adj. to Liabilities</t>
  </si>
  <si>
    <t>Fair Value of Liabilities</t>
  </si>
  <si>
    <t>Fair Value Change Included in Earnings</t>
  </si>
  <si>
    <t>Exploration/Drilling Exp.</t>
  </si>
  <si>
    <t>Debt Issuance Costs</t>
  </si>
  <si>
    <t>Period Date</t>
  </si>
  <si>
    <t>Cash Interest Paid Net of Interest Received</t>
  </si>
  <si>
    <t>Unusual Items, Total (Supple)</t>
  </si>
  <si>
    <t>Restructuring Charges (Supple)</t>
  </si>
  <si>
    <t>Merger &amp; Related Restruct. Charges (Supple)</t>
  </si>
  <si>
    <t>Impairment of Goodwill (Supple)</t>
  </si>
  <si>
    <t>Asset Writedown, Total (Supple)</t>
  </si>
  <si>
    <t>In Process R &amp; D Exp. (Supple)</t>
  </si>
  <si>
    <t>Insurance Settlements (Supple)</t>
  </si>
  <si>
    <t>Legal Settlements (Supple)</t>
  </si>
  <si>
    <t>Other Unusual Items (Supple)</t>
  </si>
  <si>
    <t>Total Shares Out. on Filing Date</t>
  </si>
  <si>
    <t>Level 2 Assets - Observable Prices</t>
  </si>
  <si>
    <t>Level 3 Assets - Unobservable Prices</t>
  </si>
  <si>
    <t>Level 2 Liabilities - Observable Prices</t>
  </si>
  <si>
    <t>Level 3 Liabilities - Unobservable Prices</t>
  </si>
  <si>
    <t>Other Amortization</t>
  </si>
  <si>
    <t>Return on Common Equity (%)</t>
  </si>
  <si>
    <t>Total Debt / (EBITDA-CAPEX)</t>
  </si>
  <si>
    <t>Net Debt / (EBITDA-CAPEX)</t>
  </si>
  <si>
    <t>Total Revenues/ Employee</t>
  </si>
  <si>
    <t>Shares per Depository Receipt</t>
  </si>
  <si>
    <t>EBITDA - CAPEX</t>
  </si>
  <si>
    <t>Tangible Book Value Per Share (Reported)</t>
  </si>
  <si>
    <t>Total Current Taxes</t>
  </si>
  <si>
    <t>Total Deferred Taxes</t>
  </si>
  <si>
    <t>Capex as % of Revenues</t>
  </si>
  <si>
    <t>Total Intangibles</t>
  </si>
  <si>
    <t>Standardized Distributable Cash</t>
  </si>
  <si>
    <t>Construction in Progress</t>
  </si>
  <si>
    <t>Leasehold Improvements</t>
  </si>
  <si>
    <t>Amortization of Debt Issuance Costs</t>
  </si>
  <si>
    <t>Amortization of Software Assets</t>
  </si>
  <si>
    <t>Deferred Tax Valuation Allowance</t>
  </si>
  <si>
    <t>Interest Income</t>
  </si>
  <si>
    <t>Warranty Liabilities</t>
  </si>
  <si>
    <t>Investment Income</t>
  </si>
  <si>
    <t>Depreciation on Right of Use Assets</t>
  </si>
  <si>
    <t>Operating Lease Payments</t>
  </si>
  <si>
    <t>Change in Operating Lease Liabilities</t>
  </si>
  <si>
    <t>Change in Operating Lease Liabilities Non-Cash</t>
  </si>
  <si>
    <t>Right-of-Use Asset-Gross</t>
  </si>
  <si>
    <t>Right-of-Use Asset-Accumulated Depreciation</t>
  </si>
  <si>
    <t>Right-of-Use Asset-Net</t>
  </si>
  <si>
    <t>Right-of-Use Asset-Capital Lease-Gross</t>
  </si>
  <si>
    <t>Right-of-Use Asset-Capital Lease-Accumulated Depreciation</t>
  </si>
  <si>
    <t>Right-of-Use Asset-Capital Lease-Net</t>
  </si>
  <si>
    <t>Right-of-Use Asset-Operating Lease-Gross</t>
  </si>
  <si>
    <t>Right-of-Use Asset-Operating Lease-Accumulated Depreciation</t>
  </si>
  <si>
    <t>Right-of-Use Asset-Operating Lease-Net</t>
  </si>
  <si>
    <t>Non-Recurring Income Taxes</t>
  </si>
  <si>
    <t>Interest Expenses On Lease Liability/Debt</t>
  </si>
  <si>
    <t>EBITDA, Lease Adjusted</t>
  </si>
  <si>
    <t>Lease Adjustment for EBITDA</t>
  </si>
  <si>
    <t>EBITDA (Incl. Equity Inc. from Affiliates, Excl. Op. Lease Adj.)</t>
  </si>
  <si>
    <t>As Reported EBITDA</t>
  </si>
  <si>
    <t>Gain on Bargain Acquisition</t>
  </si>
  <si>
    <t>Gain on Bargain Acquisition  - Supple</t>
  </si>
  <si>
    <t>Depreciation &amp; Amortization - CF, Excl. Operating Leases</t>
  </si>
  <si>
    <t>Depreciation &amp; Amort., Total, Excl. Operating Leases</t>
  </si>
  <si>
    <t>Long-Term Debt Repaid, Excl. Leases</t>
  </si>
  <si>
    <t>Total Debt Repaid, Excl. Leases</t>
  </si>
  <si>
    <t>Gain on Bargain Acquisition - (CF)</t>
  </si>
  <si>
    <t>Current Portion of Leases</t>
  </si>
  <si>
    <t>Long-Term Leases</t>
  </si>
  <si>
    <t>Gross PP&amp;E, Excl. Operating Leases</t>
  </si>
  <si>
    <t>Accumulated Depreciation, Excl. Operating Leases</t>
  </si>
  <si>
    <t>Net PP&amp;E, Excl. Operating Leases</t>
  </si>
  <si>
    <t>Finance Leases, Current</t>
  </si>
  <si>
    <t>Finance Leases, Long Term</t>
  </si>
  <si>
    <t>Total Finance Leases</t>
  </si>
  <si>
    <t>Current Portion of Operating Lease Liabilities</t>
  </si>
  <si>
    <t>Long-Term Portion of Operating Lease Liabilities</t>
  </si>
  <si>
    <t>Total Operating Leases</t>
  </si>
  <si>
    <t>Total Leases</t>
  </si>
  <si>
    <t>Current Financing Obligations, Excl. Operating Leases</t>
  </si>
  <si>
    <t>Non-Current Financing Obligations Excl. Operating Leases</t>
  </si>
  <si>
    <t>Total Debt, Excl. Operating Leases</t>
  </si>
  <si>
    <t>Total Debt, Excl. Leases</t>
  </si>
  <si>
    <t>Long Term Marketable Securities</t>
  </si>
  <si>
    <t>Advances for Supplies</t>
  </si>
  <si>
    <t>Goodwill and Intangibles (Net)</t>
  </si>
  <si>
    <t>Goodwill (Net)</t>
  </si>
  <si>
    <t>Intangibles (Net)</t>
  </si>
  <si>
    <t>Intercompany Non-Current Assets</t>
  </si>
  <si>
    <t>Intercompany Current Liabilities</t>
  </si>
  <si>
    <t>Intercompany Non-Current Liabilities</t>
  </si>
  <si>
    <t>EBITDA, Excl. Operating Leases/Interest Expense</t>
  </si>
  <si>
    <t>(EBITDA, Excl. Operating Leases-CAPEX)/Interest Exp.</t>
  </si>
  <si>
    <t>Total Debt / EBITDA, Excl. Operating Leases</t>
  </si>
  <si>
    <t>Net Debt/EBITDA, Excl. Operating Leases</t>
  </si>
  <si>
    <t>Total Debt/(EBITDA, Excl. Operating Leases - CAPEX)</t>
  </si>
  <si>
    <t>Net Debt/(EBITDA, Excl. Operating Leases - CAPEX)</t>
  </si>
  <si>
    <t>Natural Resources, at Cost</t>
  </si>
  <si>
    <t>Number Of ADR Holders</t>
  </si>
  <si>
    <t>Debt Equiv. of Unfunded Proj. Benefit Obligation</t>
  </si>
  <si>
    <t>Debt Equivalent Oper. Leases</t>
  </si>
  <si>
    <t>Total Restricted Cash</t>
  </si>
  <si>
    <t>Intercompany Current Assets</t>
  </si>
  <si>
    <t>Cash Dividend and Interest Received</t>
  </si>
  <si>
    <t>Levered Free Cash Flow</t>
  </si>
  <si>
    <t>Unlevered Free Cash Flow</t>
  </si>
  <si>
    <t>Total Liabilities</t>
  </si>
  <si>
    <t>Total Pref. Equity</t>
  </si>
  <si>
    <t>Total Non-Current Debt</t>
  </si>
  <si>
    <t>ticker</t>
  </si>
  <si>
    <t>% of 52W High</t>
  </si>
  <si>
    <t>% of 52W Low</t>
  </si>
  <si>
    <t>Total Revenue - FY</t>
  </si>
  <si>
    <t>Total Revenue - LTM</t>
  </si>
  <si>
    <t>Total Revenue - CY+1</t>
  </si>
  <si>
    <t>Total Revenue - CY+2</t>
  </si>
  <si>
    <t>EBITDA - FY</t>
  </si>
  <si>
    <t>EBITDA - LTM</t>
  </si>
  <si>
    <t>EBITDA - CY+1</t>
  </si>
  <si>
    <t>EBITDA - CY+2</t>
  </si>
  <si>
    <t>Diluted EPS - FY</t>
  </si>
  <si>
    <t>Diluted EPS - LTM</t>
  </si>
  <si>
    <t>Diluted EPS - CY+1</t>
  </si>
  <si>
    <t>Diluted EPS - CY+2</t>
  </si>
  <si>
    <t>TEV/Total Revenue - FY</t>
  </si>
  <si>
    <t>TEV/Total Revenue - LTM</t>
  </si>
  <si>
    <t>TEV/Total Revenue - CY+1</t>
  </si>
  <si>
    <t>TEV/Total Revenue - CY+2</t>
  </si>
  <si>
    <t>TEV/EBITDA - FY</t>
  </si>
  <si>
    <t>TEV/EBITDA - LTM</t>
  </si>
  <si>
    <t>TEV/EBITDA - CY+1</t>
  </si>
  <si>
    <t>TEV/EBITDA - CY+2</t>
  </si>
  <si>
    <t>PE - FY</t>
  </si>
  <si>
    <t>PE - LTM</t>
  </si>
  <si>
    <t>PE - CY+1</t>
  </si>
  <si>
    <t>PE - CY+2</t>
  </si>
  <si>
    <t>Price / - BV</t>
  </si>
  <si>
    <t>Price / - Tangible BV</t>
  </si>
  <si>
    <t>Gross Margin - FY-2</t>
  </si>
  <si>
    <t>Gross Margin - FY-1</t>
  </si>
  <si>
    <t>Gross Margin - FY</t>
  </si>
  <si>
    <t>Gross Margin - LTM</t>
  </si>
  <si>
    <t>Net Income Margin - FY-2</t>
  </si>
  <si>
    <t>Net Income Margin - FY-1</t>
  </si>
  <si>
    <t>Net Income Margin - FY</t>
  </si>
  <si>
    <t>Net Income Margin - LTM</t>
  </si>
  <si>
    <t>Total Revenue - 5-Yr CAGR</t>
  </si>
  <si>
    <t>Total Revenue - 3-Yr CAGR</t>
  </si>
  <si>
    <t>EBITDA - 5-Yr CAGR</t>
  </si>
  <si>
    <t>EBITDA - 3-Yr CAGR</t>
  </si>
  <si>
    <t>EPS - 5-Yr CAGR</t>
  </si>
  <si>
    <t>EPS - 3-Yr CAGR</t>
  </si>
  <si>
    <t>EPS - FY</t>
  </si>
  <si>
    <t>EPS - LTM</t>
  </si>
  <si>
    <t>Total Debt/LTM EBITDA</t>
  </si>
  <si>
    <t>Net Debt/LTM EBITDA</t>
  </si>
  <si>
    <t>(Debt+Pref)/LTM EBITDA</t>
  </si>
  <si>
    <t>EBITDA/Interest</t>
  </si>
  <si>
    <t>(EBITDA-Capex)/Interest</t>
  </si>
  <si>
    <t>Total Debt/Total Equity (%)</t>
  </si>
  <si>
    <t>Total Debt/Total Cap. (%)</t>
  </si>
  <si>
    <t>Total Debt/ROE</t>
  </si>
  <si>
    <t>Total Debt/ROA</t>
  </si>
  <si>
    <t>Total Debt/ROIC</t>
  </si>
  <si>
    <t>Avg. Days Sales Out.</t>
  </si>
  <si>
    <t>Avg. Days Inv. Out.</t>
  </si>
  <si>
    <t>Avg. Days Payable Out.</t>
  </si>
  <si>
    <t>Avg. Cash Conv. Cycle</t>
  </si>
  <si>
    <t>Avg. Total Assets</t>
  </si>
  <si>
    <t>Avg. Fixed Assets</t>
  </si>
  <si>
    <t>Avg. A/R</t>
  </si>
  <si>
    <t>Avg. Inventory</t>
  </si>
  <si>
    <t>H</t>
  </si>
  <si>
    <t>date_year</t>
  </si>
  <si>
    <t>2026</t>
  </si>
  <si>
    <t>date_month</t>
  </si>
  <si>
    <t>date_day</t>
  </si>
  <si>
    <t>currency</t>
  </si>
  <si>
    <t>date</t>
  </si>
  <si>
    <t>conversion</t>
  </si>
  <si>
    <t>Total Revenue (%, yoy)</t>
  </si>
  <si>
    <t>Gross Profit (%, yoy)</t>
  </si>
  <si>
    <t>EBITDA (%, yoy)</t>
  </si>
  <si>
    <t>EBIT (%, yoy)</t>
  </si>
  <si>
    <t>Net Income (%, yoy)</t>
  </si>
  <si>
    <t>Diluted EPS before Extra (%, yoy)</t>
  </si>
  <si>
    <t>Total Revenue (%, CAGR-3Y)</t>
  </si>
  <si>
    <t>Gross Profit (%, CAGR-3Y)</t>
  </si>
  <si>
    <t>EBITDA (%, CAGR-3Y)</t>
  </si>
  <si>
    <t>EBIT (%, CAGR-3Y)</t>
  </si>
  <si>
    <t>Net Income (%, CAGR-3Y)</t>
  </si>
  <si>
    <t>Diluted EPS before Extra (%, CAGR-3Y)</t>
  </si>
  <si>
    <t>Total Revenue (%, CAGR-5Y)</t>
  </si>
  <si>
    <t>Gross Profit (%, CAGR-5Y)</t>
  </si>
  <si>
    <t>EBITDA (%, CAGR-5Y)</t>
  </si>
  <si>
    <t>EBIT (%, CAGR-5Y)</t>
  </si>
  <si>
    <t>Net Income (%, CAGR-5Y)</t>
  </si>
  <si>
    <t>Diluted EPS before Extra (%, CAGR-5Y)</t>
  </si>
  <si>
    <t>RatiosDate</t>
  </si>
  <si>
    <t>(User access restricted)</t>
  </si>
  <si>
    <t>Period</t>
  </si>
  <si>
    <t>Q0UuLlVTRC5IAQAAAI+9ZggCAAAABDk1LjcAVfNWc0SN3ggZqBV8RI3eCChDSVEuTkFTREFRR1M6S0hDLklRX0xBU1RTQUxFUFJJQ0UuLlVTRC5IAQAAAMQ+BAACAAAABTIyLjA0AFXzVnNEjd4Iu1kVfESN3ggjQ0lRLk5BU0RBUUdTOktIQy5JUV9ZRUFSSElHSC4uVVNELkgBAAAAxD4EAAIAAAAFMzEuMTUAVfNWc0SN3gi7WRV8RI3eCCJDSVEuTkFTREFRR1M6S0hDLklRX1lFQVJMT1cuLlVTRC5IAQAAAMQ+BAACAAAABjIxLjAzNQBV81ZzRI3eCLtZFXxEjd4IH0NJUS5OWVNFOkhSTC5JUV9ZRUFSSElHSC4uVVNELkgBAAAAAkIEAAIAAAAFMzIuMDcAVfNWc0SN3gi5MhV8RI3eCB5DSVEuTllTRTpIUkwuSVFfWUVBUkxPVy4uVVNELkgBAAAAAkIEAAIAAAAFMjEuMDMAVfNWc0SN3gi5MhV8RI3eCCRDSVEuTllTRTpIUkwuSVFfTEFTVFNBTEVQUklDRS4uVVNELkgBAAAAAkIEAAIAAAAFMjMuMDcAVfNWc0SN3gi5MhV8RI3eCCJDSVEuTllTRTpHSVMuSVFfU0hBUkVTT1VUU1RBTkRJTkcuAQAAABsxBAACAAAACjUzMy42ODEyMTgAVfNWc0SN3ginpHp8RI3eCCJDSVEuTllTRTpNS0MuSVFfU0hBUkVTT1VUU1RBTkRJTkcuAQAAALjDAgACAAAACjI2OC40MzgyMzkAVfNWc0SN3ggo0Hl8RI3eCCVDSVEuU1pTRTozMDA3NjEuSVFfU0hBUkVTT1VUU1RBTkRJTkcuAQAAAO/vxxMCAAAACjgzNy4yNjk2NDEAVfNW</t>
  </si>
  <si>
    <t>c0SN3ggiR3l8RI3eCCdDSVEuTkFTREFRR1M6TURMWi5JUV9TSEFSRVNPVVRTVEFORElORy4BAAAAbUkLAAIAAAALMTI4MS44NDU2NjkAVfNWc0SN3ghPpXh8RI3eCCNDSVEuTllTRTpQT1NULklRX1NIQVJFU09VVFNUQU5ESU5HLgEAAACPvWYIAgAAAAk0Ny44MjQyMTkAVfNWc0SN3gj5Z3d8RI3eCCZDSVEuTkFTREFRR1M6S0hDLklRX1NIQVJFU09VVFNUQU5ESU5HLgEAAADEPgQAAgAAAAsxMTgzLjc0NDc1MQBV81ZzRI3eCBKsdnxEjd4IIkNJUS5OWVNFOkhSTC5JUV9TSEFSRVNPVVRTVEFORElORy4BAAAAAkIEAAIAAAAKNTUwLjI4NDIwNwBV81ZzRI3eCOvodXxEjd4II0NJUS5OQVNEQVFHTTpWSVRMLklRX1lFQVJMT1cuLlVTRC5IAQAAAJHszw0CAAAABDEyLjgAVfNWc0SN3gjRzBV8RI3eCClDSVEuTkFTREFRR006VklUTC5JUV9MQVNUU0FMRVBSSUNFLi5VU0QuSAEAAACR7M8NAgAAAAUxMy4xNABV81ZzRI3eCNHMFXxEjd4IJENJUS5OQVNEQVFHTTpWSVRMLklRX1lFQVJISUdILi5VU0QuSAEAAACR7M8NAgAAAAY1My4xMjUAVfNWc0SN3gjRzBV8RI3eCCdDSVEuTkFTREFRR006VklUTC5JUV9TSEFSRVNPVVRTVEFORElORy4BAAAAkezPDQIAAAAJNDQuNzk3MTI1AFXzVnNEjd4ICAl4fESN3ggiQ0lRLk5ZU0U6R0lTLklRX1BFX0VYQ0xfRldELjEwMDAxLgEAAAAbMQQAAgAAABAxMC44NzExODYx</t>
  </si>
  <si>
    <t>MzczNzM2AQ0AAAAFAAAAATkBAAAABzI2MTQ2NjYCAAAABzM4NzAwNDcDAAAABjEwMDMwOQQAAAABMgYAAAABMAcAAAADMTYwCAAAAAEwCQAAAAExCgAAAAEwCwAAAAsxNDcwNDg3MzczMgwAAAABNw0AAAAJMy8yOS8yMDI2VfNWc0SN3giDfXp8RI3eCCJDSVEuTllTRTpHSVMuSVFfUEVfRVhDTF9GV0QuMTAwMDIuAQAAABsxBAACAAAAEDEwLjcxMjM5NjQwMjc1MDgBDQAAAAUAAAABOQEAAAAHMjYxNDY2NgIAAAAHMTMyNjMyMAMAAAAGMTAwMzA5BAAAAAEyBgAAAAEwBwAAAAMxNjAIAAAAATAJAAAAATEKAAAAATALAAAACzE0NzA5ODE1NTMzDAAAAAE3DQAAAAkzLzI5LzIwMjZV81ZzRI3eCIN9enxEjd4IJUNJUS5OWVNFOkdJUy5JUV9URVZfRUJJVERBX0ZXRC4xMDAwMS4BAAAAGzEEAAIAAAAQMTAuMDMxNzg0NTkzODM5NgENAAAABQAAAAE5AQAAAAcyNjE0NjY2AgAAAAczODcwMDQ3AwAAAAYxMDAzMDgEAAAAATIGAAAAATAHAAAAAzE2MAgAAAABMAkAAAABMQoAAAABMAsAAAALMTQ3MDQ2OTIwNzMMAAAAATcNAAAACTMvMjkvMjAyNlXzVnNEjd4Ip6R6fESN3gglQ0lRLk5ZU0U6R0lTLklRX1RFVl9FQklUREFfRldELjEwMDAyLgEAAAAbMQQAAgAAABAxMC4wNzA5Nzg0Njc1ODk0AQ0AAAAFAAAAATkBAAAABzI2MTQ2NjYCAAAABzEzMjYzMjADAAAABjEwMDMwOAQAAAABMgYAAAABMAcAAAADMTYwCAAA</t>
  </si>
  <si>
    <t>AAEwCQAAAAExCgAAAAEwCwAAAAsxNDcwNDY5MjE2NgwAAAABNw0AAAAJMy8yOS8yMDI2VfNWc0SN3ginpHp8RI3eCCJDSVEuTllTRTpNS0MuSVFfUEVfRVhDTF9GV0QuMTAwMDEuAQAAALjDAgACAAAAEDE3LjE3MTU4OTcwNjc1MzEBDQAAAAUAAAABOQEAAAAHMjYyOTA2MgIAAAAKMTAwNDgwMTg1MQMAAAAGMTAwMzA5BAAAAAEyBgAAAAEwBwAAAAMxNjAIAAAAATAJAAAAATEKAAAAATALAAAACzE0NzA5NjcwMjQxDAAAAAE3DQAAAAkzLzI5LzIwMjZV81ZzRI3eCCOpeXxEjd4IIkNJUS5OWVNFOk1LQy5JUV9QRV9FWENMX0ZXRC4xMDAwMi4BAAAAuMMCAAIAAAAQMTUuODQ0OTYwMDM2NzgzNQENAAAABQAAAAE5AQAAAAcyNjI5MDYyAgAAAAoxMDA0ODAxODU2AwAAAAYxMDAzMDkEAAAAATIGAAAAATAHAAAAAzE2MAgAAAABMAkAAAABMQoAAAABMAsAAAALMTQ3MDk2MjY2MDQMAAAAATcNAAAACTMvMjkvMjAyNlXzVnNEjd4II6l5fESN3gglQ0lRLk5ZU0U6TUtDLklRX1RFVl9FQklUREFfRldELjEwMDAxLgEAAAC4wwIAAgAAABAxMi4wMDI2NjcyNzc5OTE5AQ0AAAAFAAAAATkBAAAABzI2MjkwNjICAAAACjEwMDQ4MDE4NTEDAAAABjEwMDMwOAQAAAABMgYAAAABMAcAAAADMTYwCAAAAAEwCQAAAAExCgAAAAEwCwAAAAsxNDcxMDY1NzMxOAwAAAABNw0AAAAJMy8yOS8yMDI2VfNWc0SN3ggo0Hl8RI3eCCVD</t>
  </si>
  <si>
    <t>SVEuTllTRTpNS0MuSVFfVEVWX0VCSVREQV9GV0QuMTAwMDIuAQAAALjDAgACAAAAEDExLjI0MDE4NjI4NDEwNDQBDQAAAAUAAAABOQEAAAAHMjYyOTA2MgIAAAAKMTAwNDgwMTg1NgMAAAAGMTAwMzA4BAAAAAEyBgAAAAEwBwAAAAMxNjAIAAAAATAJAAAAATEKAAAAATALAAAACzE0NzEwNjU3MzA2DAAAAAE3DQAAAAkzLzI5LzIwMjZV81ZzRI3eCCjQeXxEjd4IKENJUS5TWlNFOjMwMDc2MS5JUV9URVZfRUJJVERBX0ZXRC4xMDAwMi4BAAAA7+/HEwIAAAAQNy44MDg1MTg4MzYyMTA1NQENAAAABQAAAAE5AQAAAAk1NTc4NTU1MjgCAAAACjEwMDQ3NjM4NjMDAAAABjEwMDMwOAQAAAACMjcGAAAAATAHAAAAAjMyCAAAAAEwCQAAAAExCgAAAAEwCwAAAAsxNDYzMDE2NjQ2MgwAAAABNw0AAAAJMy8yOS8yMDI2VfNWc0SN3ggWIHl8RI3eCCVDSVEuU1pTRTozMDA3NjEuSVFfUEVfRVhDTF9GV0QuMTAwMDEuAQAAAO/vxxMCAAAAEDI5LjE1Mjg5OTYyNDAxNzMBDQAAAAUAAAABOQEAAAAJNTU3ODU1NTI4AgAAAAoxMDA0NzYzODYyAwAAAAYxMDAzMDkEAAAAAjI3BgAAAAEwBwAAAAIzMggAAAABMAkAAAABMQoAAAABMAsAAAALMTQ2MzAxNjY2MDAMAAAAATcNAAAACTMvMjkvMjAyNlXzVnNEjd4IFiB5fESN3gglQ0lRLlNaU0U6MzAwNzYxLklRX1BFX0VYQ0xfRldELjEwMDAyLgEAAADv78cTAgAAAA8xMS4wMDUz</t>
  </si>
  <si>
    <t>NzYzNDQwODYBDQAAAAUAAAABOQEAAAAJNTU3ODU1NTI4AgAAAAoxMDA0NzYzODYzAwAAAAYxMDAzMDkEAAAAAjI3BgAAAAEwBwAAAAIzMggAAAABMAkAAAABMQoAAAABMAsAAAALMTQ2MzAxNjY1ODIMAAAAATcNAAAACTMvMjkvMjAyNlXzVnNEjd4IFiB5fESN3ggoQ0lRLlNaU0U6MzAwNzYxLklRX1RFVl9FQklUREFfRldELjEwMDAxLgEAAADv78cTAgAAABA5LjY1MjkyNTQzOTk1OTYyAQ0AAAAFAAAAATkBAAAACTU1Nzg1NTUyOAIAAAAKMTAwNDc2Mzg2MgMAAAAGMTAwMzA4BAAAAAIyNwYAAAABMAcAAAACMzIIAAAAATAJAAAAATEKAAAAATALAAAACzE0NjMwMTY2NDQ0DAAAAAE3DQAAAAkzLzI5LzIwMjZV81ZzRI3eCBYgeXxEjd4IJ0NJUS5OQVNEQVFHUzpNRExaLklRX1BFX0VYQ0xfRldELjEwMDAxLgEAAABtSQsAAgAAABAxOS4yMDcxODg0Mzk0MjgzAQ0AAAAFAAAAATkBAAAABzI2MjQzMzYCAAAACjEwMDE0NDQ5NDkDAAAABjEwMDMwOQQAAAABMgYAAAABMAcAAAADMTYwCAAAAAEwCQAAAAExCgAAAAEwCwAAAAsxNDcwOTQzODMxNAwAAAABNw0AAAAJMy8yOS8yMDI2VfNWc0SN3ghEfnh8RI3eCCdDSVEuTkFTREFRR1M6TURMWi5JUV9QRV9FWENMX0ZXRC4xMDAwMi4BAAAAbUkLAAIAAAAQMTcuMjQwODE4MTYyMTgyNgENAAAABQAAAAE5AQAAAAcyNjI0MzM2AgAAAAoxMDAxNDQ0OTUwAwAAAAYx</t>
  </si>
  <si>
    <t>MDAzMDkEAAAAATIGAAAAATAHAAAAAzE2MAgAAAABMAkAAAABMQoAAAABMAsAAAALMTQ3MDk0Mzk0MjIMAAAAATcNAAAACTMvMjkvMjAyNlXzVnNEjd4IRH54fESN3ggqQ0lRLk5BU0RBUUdTOk1ETFouSVFfVEVWX0VCSVREQV9GV0QuMTAwMDEuAQAAAG1JCwACAAAAEDE0LjAyMjQ0NjI5OTc2OTgBDQAAAAUAAAABOQEAAAAHMjYyNDMzNgIAAAAKMTAwMTQ0NDk0OQMAAAAGMTAwMzA4BAAAAAEyBgAAAAEwBwAAAAMxNjAIAAAAATAJAAAAATEKAAAAATALAAAACzE0NzA5NDQwMTc4DAAAAAE3DQAAAAkzLzI5LzIwMjZV81ZzRI3eCE+leHxEjd4IKkNJUS5OQVNEQVFHUzpNRExaLklRX1RFVl9FQklUREFfRldELjEwMDAyLgEAAABtSQsAAgAAABAxMi45OTg4NjU2MzQwMDI3AQ0AAAAFAAAAATkBAAAABzI2MjQzMzYCAAAACjEwMDE0NDQ5NTADAAAABjEwMDMwOAQAAAABMgYAAAABMAcAAAADMTYwCAAAAAEwCQAAAAExCgAAAAEwCwAAAAsxNDcwOTQzOTk3OQwAAAABNw0AAAAJMy8yOS8yMDI2VfNWc0SN3ghPpXh8RI3eCCZDSVEuTllTRTpQT1NULklRX1RFVl9FQklUREFfRldELjEwMDAyLgEAAACPvWYIAgAAABA3LjQxOTM5MDYzNTQwMjM5AQ0AAAAFAAAAATkBAAAACTE1NDE0ODk4NwIAAAAHMzkwODYxMAMAAAAGMTAwMzA4BAAAAAEyBgAAAAEwBwAAAAMxNjAIAAAAATAJAAAAATEKAAAAATALAAAACzE0NjUz</t>
  </si>
  <si>
    <t>MTk4NzQzDAAAAAE3DQAAAAkzLzI5LzIwMjZV81ZzRI3eCARUd3xEjd4II0NJUS5OWVNFOlBPU1QuSVFfUEVfRVhDTF9GV0QuMTAwMDEuAQAAAI+9ZggCAAAAEDEyLjg2MzI0OTAxMjA3MDIBDQAAAAUAAAABOQEAAAAJMTU0MTQ4OTg3AgAAAAcyNjI4Nzg2AwAAAAYxMDAzMDkEAAAAATIGAAAAATAHAAAAAzE2MAgAAAABMAkAAAABMQoAAAABMAsAAAALMTQ2NTM4ODQyNjUMAAAAATcNAAAACTMvMjkvMjAyNlXzVnNEjd4IBFR3fESN3ggjQ0lRLk5ZU0U6UE9TVC5JUV9QRV9FWENMX0ZXRC4xMDAwMi4BAAAAj71mCAIAAAAQMTEuMTIyNDc1MDcwMzE0NQENAAAABQAAAAE5AQAAAAkxNTQxNDg5ODcCAAAABzM5MDg2MTADAAAABjEwMDMwOQQAAAABMgYAAAABMAcAAAADMTYwCAAAAAEwCQAAAAExCgAAAAEwCwAAAAsxNDY1Mzg4NDI2OQwAAAABNw0AAAAJMy8yOS8yMDI2VfNWc0SN3ggEVHd8RI3eCCZDSVEuTllTRTpQT1NULklRX1RFVl9FQklUREFfRldELjEwMDAxLgEAAACPvWYIAgAAABA3LjU5NDkyNDk3MTIzNjc3AQ0AAAAFAAAAATkBAAAACTE1NDE0ODk4NwIAAAAHMjYyODc4NgMAAAAGMTAwMzA4BAAAAAEyBgAAAAEwBwAAAAMxNjAIAAAAATAJAAAAATEKAAAAATALAAAACzE0NjUzMTk4MzE3DAAAAAE3DQAAAAkzLzI5LzIwMjZV81ZzRI3eCPlnd3xEjd4IJkNJUS5OQVNEQVFHUzpLSEMuSVFfUEVfRVhD</t>
  </si>
  <si>
    <t>TF9GV0QuMTAwMDEuAQAAAMQ+BAACAAAAEDEwLjgyOTkzNDY0Njk0NjEBDQAAAAUAAAABOQEAAAAJMzA1NzU1NjgzAgAAAAoxMDAzOTcxOTQ4AwAAAAYxMDAzMDkEAAAAATIGAAAAATAHAAAAAzE2MAgAAAABMAkAAAABMQoAAAABMAsAAAALMTQ3MDk2NDM3ODkMAAAAATcNAAAACTMvMjkvMjAyNlXzVnNEjd4IJ4V2fESN3ggpQ0lRLk5BU0RBUUdTOktIQy5JUV9URVZfRUJJVERBX0ZXRC4xMDAwMi4BAAAAxD4EAAIAAAAQOC41OTQxMDU3MDk5MTA1OQENAAAABQAAAAE5AQAAAAkzMDU3NTU2ODMCAAAACjEwMDQyNjc1MTkDAAAABjEwMDMwOAQAAAABMgYAAAABMAcAAAADMTYwCAAAAAEwCQAAAAExCgAAAAEwCwAAAAsxNDcwOTY3MTIwMwwAAAABNw0AAAAJMy8yOS8yMDI2VfNWc0SN3ggnhXZ8RI3eCClDSVEuTkFTREFRR1M6S0hDLklRX1RFVl9FQklUREFfRldELjEwMDAxLgEAAADEPgQAAgAAABA4LjgyMjcwNTE3NzU3NTYxAQ0AAAAFAAAAATkBAAAACTMwNTc1NTY4MwIAAAAKMTAwMzk3MTk0OAMAAAAGMTAwMzA4BAAAAAEyBgAAAAEwBwAAAAMxNjAIAAAAATAJAAAAATEKAAAAATALAAAACzE0NzA5NjcyMDMwDAAAAAE3DQAAAAkzLzI5LzIwMjZV81ZzRI3eCCeFdnxEjd4IJkNJUS5OQVNEQVFHUzpLSEMuSVFfUEVfRVhDTF9GV0QuMTAwMDIuAQAAAMQ+BAACAAAAEDEwLjI5MTgwMzQ0NzEwMDQBDQAAAAUA</t>
  </si>
  <si>
    <t>AAABOQEAAAAJMzA1NzU1NjgzAgAAAAoxMDA0MjY3NTE5AwAAAAYxMDAzMDkEAAAAATIGAAAAATAHAAAAAzE2MAgAAAABMAkAAAABMQoAAAABMAsAAAALMTQ3MDk3MDg5NzQMAAAAATcNAAAACTMvMjkvMjAyNlXzVnNEjd4IJ4V2fESN3ggiQ0lRLk5ZU0U6SFJMLklRX1BFX0VYQ0xfRldELjEwMDAyLgEAAAACQgQAAgAAABAxNC4zNjM5ODcyOTg0MjQ4AQ0AAAAFAAAAATkBAAAABzI2MTkwMzQCAAAABzQyNTg3ODMDAAAABjEwMDMwOQQAAAABMgYAAAABMAcAAAADMTYwCAAAAAEwCQAAAAExCgAAAAEwCwAAAAsxNDcwNzU2NzAwOAwAAAABNw0AAAAJMy8yOS8yMDI2VfNWc0SN3gjr6HV8RI3eCCVDSVEuTllTRTpIUkwuSVFfVEVWX0VCSVREQV9GV0QuMTAwMDEuAQAAAAJCBAACAAAAEDEwLjQ4OTg4MjY5MzAwMTUBDQAAAAUAAAABOQEAAAAHMjYxOTAzNAIAAAAHMzg2MzAyMgMAAAAGMTAwMzA4BAAAAAEyBgAAAAEwBwAAAAMxNjAIAAAAATAJAAAAATEKAAAAATALAAAACzE0NjgyMzk3NDM3DAAAAAE3DQAAAAkzLzI5LzIwMjZV81ZzRI3eCOvodXxEjd4IJUNJUS5OWVNFOkhSTC5JUV9URVZfRUJJVERBX0ZXRC4xMDAwMi4BAAAAAkIEAAIAAAAQMTAuMjM0ODU0MjE2OTUwNwENAAAABQAAAAE5AQAAAAcyNjE5MDM0AgAAAAc0MjU4NzgzAwAAAAYxMDAzMDgEAAAAATIGAAAAATAHAAAAAzE2MAgAAAABMAkAAAAB</t>
  </si>
  <si>
    <t>MQoAAAABMAsAAAALMTQ2ODU2MjQ5NjQMAAAAATcNAAAACTMvMjkvMjAyNlXzVnNEjd4I6+h1fESN3ggiQ0lRLk5ZU0U6SFJMLklRX1BFX0VYQ0xfRldELjEwMDAxLgEAAAACQgQAAgAAABAxNS4yMTQ2NjcyODIyMDAxAQ0AAAAFAAAAATkBAAAABzI2MTkwMzQCAAAABzM4NjMwMjIDAAAABjEwMDMwOQQAAAABMgYAAAABMAcAAAADMTYwCAAAAAEwCQAAAAExCgAAAAEwCwAAAAsxNDY4MjM5ODY2MAwAAAABNw0AAAAJMy8yOS8yMDI2VfNWc0SN3gjr6HV8RI3eCCpDSVEuTkFTREFRR006VklUTC5JUV9URVZfRUJJVERBX0ZXRC4xMDAwMi4BAAAAkezPDQIAAAAQNC4yNDY1MTczOTI4NTgxNQENAAAABQAAAAE5AQAAAAk2NzY3NjE3MjUCAAAACjEwMDQ3NjkwNjUDAAAABjEwMDMwOAQAAAABMgYAAAABMAcAAAADMTYwCAAAAAEwCQAAAAExCgAAAAEwCwAAAAsxNDcxMjQ4NjA3NwwAAAABNw0AAAAJMy8yOS8yMDI2VfNWc0SN3gj64Xd8RI3eCCpDSVEuTkFTREFRR006VklUTC5JUV9URVZfRUJJVERBX0ZXRC4xMDAwMS4BAAAAkezPDQIAAAAQNS4xOTY2MTQzOTQ5Njk4MQENAAAABQAAAAE5AQAAAAk2NzY3NjE3MjUCAAAACjEwMDQ3NjkwNjQDAAAABjEwMDMwOAQAAAABMgYAAAABMAcAAAADMTYwCAAAAAEwCQAAAAExCgAAAAEwCwAAAAsxNDcxMjQ4NjA4MwwAAAABNw0AAAAJMy8yOS8yMDI2VfNWc0SN3ggICXh8</t>
  </si>
  <si>
    <t>RI3eCCdDSVEuTkFTREFRR006VklUTC5JUV9QRV9FWENMX0ZXRC4xMDAwMi4BAAAAkezPDQIAAAAQOS4xMTA5NTM5NDU5OTk5MgENAAAABQAAAAE5AQAAAAk2NzY3NjE3MjUCAAAACjEwMDQ3NjkwNjUDAAAABjEwMDMwOQQAAAABMgYAAAABMAcAAAADMTYwCAAAAAEwCQAAAAExCgAAAAEwCwAAAAsxNDcxMjQ4NjI2NAwAAAABNw0AAAAJMy8yOS8yMDI2VfNWc0SN3gj64Xd8RI3eCCdDSVEuTkFTREFRR006VklUTC5JUV9QRV9FWENMX0ZXRC4xMDAwMS4BAAAAkezPDQIAAAAOMTEuMjczNTUwOTExMTUBDQAAAAUAAAABOQEAAAAJNjc2NzYxNzI1AgAAAAoxMDA0NzY5MDY0AwAAAAYxMDAzMDkEAAAAATIGAAAAATAHAAAAAzE2MAgAAAABMAkAAAABMQoAAAABMAsAAAALMTQ3MTI0ODYyNzAMAAAAATcNAAAACTMvMjkvMjAyNlXzVnNEjd4I+uF3fESN3ggpQ0lRLk5ZU0U6R0lTLklRX1BSRUZfRVFVSVRZLjUwMC4uLkYuVVNELkgBAAAAGzEEAAMAAAAAAFXzVnNEjd4IhOQUfESN3ggoQ0lRLk5ZU0U6R0lTLklRX1RPVEFMX0RFQlQuNTAwLi4uRi5VU0QuSAEAAAAbMQQAAgAAAAcxMzk2Ny43AQgAAAAFAAAAATEBAAAACy0xOTAxMDAwNzk0AwAAAAMxNjACAAAABDQxNzMEAAAAATAHAAAACTMvMjgvMjAyNggAAAAJMi8yMi8yMDI2CQAAAAEwVfNWc0SN3giE5BR8RI3eCCxDSVEuTllTRTpHSVMuSVFfQ0FTSF9TVF9J</t>
  </si>
  <si>
    <t>TlZFU1QuNTAwLi4uRi5VU0QuSAEAAAAbMQQAAgAAAAU3ODUuNQEIAAAABQAAAAExAQAAAAstMTkwMTAwMDc5NAMAAAADMTYwAgAAAAQxMDAyBAAAAAEwBwAAAAkzLzI4LzIwMjYIAAAACTIvMjIvMjAyNgkAAAABMFXzVnNEjd4IhOQUfESN3ggnQ0lRLk5ZU0U6R0lTLklRX1RPVEFMX1JFVi4yMDAwLi4uLlVTRC5IAQAAABsxBAACAAAABzE4MzcxLjIBCAAAAAUAAAABMQEAAAALLTE5MDA5OTk1MjUDAAAAAzE2MAIAAAACMjgEAAAAATAHAAAACTMvMjgvMjAyNggAAAAJMi8yMi8yMDI2CQAAAAEwVfNWc0SN3giE5BR8RI3eCCdDSVEuTllTRTpHSVMuSVFfVE9UQUxfUkVWLjEwMDAuLi4uVVNELkgBAAAAGzEEAAIAAAAHMTk0ODYuNgEIAAAABQAAAAExAQAAAAstMTkzNzAyOTE3MQMAAAADMTYwAgAAAAIyOAQAAAABMAcAAAAJMy8yOC8yMDI2CAAAAAk1LzI1LzIwMjUJAAAAATBV81ZzRI3eCITkFHxEjd4INUNJUS5OWVNFOkdJUy5JUV9NSU5PUklUWV9JTlRFUkVTVF9UT1RBTC41MDAuLi5GLlVTRC5IAQAAABsxBAACAAAABDEzLjcBCAAAAAUAAAABMQEAAAALLTE5MDEwMDA3OTQDAAAAAzE2MAIAAAAEMTMxMgQAAAABMAcAAAAJMy8yOC8yMDI2CAAAAAkyLzIyLzIwMjYJAAAAATBV81ZzRI3eCITkFHxEjd4ILENJUS5OWVNFOkdJUy5JUV9ESUxVVF9FUFNfRVhDTC4xMDAwLi4uLlVTRC5IAQAAABsxBAACAAAA</t>
  </si>
  <si>
    <t>AzQuMQEIAAAABQAAAAExAQAAAAstMTkzNzAyOTE3MQMAAAADMTYwAgAAAAMxNDIEAAAAATAHAAAACTMvMjgvMjAyNggAAAAJNS8yNS8yMDI1CQAAAAEwVfNWc0SN3giBvRR8RI3eCCRDSVEuTllTRTpHSVMuSVFfRUJJVERBLjIwMDAuLi4uVVNELkgBAAAAGzEEAAIAAAAGMzMxOC4xAQgAAAAFAAAAATEBAAAACy0xOTAwOTk5NTI1AwAAAAMxNjACAAAABDQwNTEEAAAAATAHAAAACTMvMjgvMjAyNggAAAAJMi8yMi8yMDI2CQAAAAEwVfNWc0SN3giBvRR8RI3eCCRDSVEuTllTRTpHSVMuSVFfRUJJVERBLjEwMDAuLi4uVVNELkgBAAAAGzEEAAIAAAAGMzkwNC4yAQgAAAAFAAAAATEBAAAACy0xOTM3MDI5MTcxAwAAAAMxNjACAAAABDQwNTEEAAAAATAHAAAACTMvMjgvMjAyNggAAAAJNS8yNS8yMDI1CQAAAAEwVfNWc0SN3giE5BR8RI3eCCxDSVEuTllTRTpHSVMuSVFfRElMVVRfRVBTX0VYQ0wuMjAwMC4uLi5VU0QuSAEAAAAbMQQAAgAAAAc0LjA3MTI0AQgAAAAFAAAAATEBAAAACy0xOTAwOTk5NTI1AwAAAAMxNjACAAAAAzE0MgQAAAABMAcAAAAJMy8yOC8yMDI2CAAAAAkyLzIyLzIwMjYJAAAAATBV81ZzRI3eCIG9FHxEjd4INUNJUS5OWVNFOk1LQy5JUV9NSU5PUklUWV9JTlRFUkVTVF9UT1RBTC41MDAuLi5GLlVTRC5IAQAAALjDAgACAAAABDMxLjYBCAAAAAUAAAABMQEAAAALLTE5MDkzMzAyOTcDAAAA</t>
  </si>
  <si>
    <t>AzE2MAIAAAAEMTMxMgQAAAABMAcAAAAJMy8yOC8yMDI2CAAAAAoxMS8zMC8yMDI1CQAAAAEwVfNWc0SN3giBvRR8RI3eCClDSVEuTllTRTpNS0MuSVFfUFJFRl9FUVVJVFkuNTAwLi4uRi5VU0QuSAEAAAC4wwIAAwAAAAAAVfNWc0SN3giBvRR8RI3eCChDSVEuTllTRTpNS0MuSVFfVE9UQUxfREVCVC41MDAuLi5GLlVTRC5IAQAAALjDAgACAAAABjQyMjIuOQEIAAAABQAAAAExAQAAAAstMTkwOTMzMDI5NwMAAAADMTYwAgAAAAQ0MTczBAAAAAEwBwAAAAkzLzI4LzIwMjYIAAAACjExLzMwLzIwMjUJAAAAATBV81ZzRI3eCIG9FHxEjd4ILENJUS5OWVNFOk1LQy5JUV9DQVNIX1NUX0lOVkVTVC41MDAuLi5GLlVTRC5IAQAAALjDAgACAAAABDk1LjkBCAAAAAUAAAABMQEAAAALLTE5MDkzMzAyOTcDAAAAAzE2MAIAAAAEMTAwMgQAAAABMAcAAAAJMy8yOC8yMDI2CAAAAAoxMS8zMC8yMDI1CQAAAAEwVfNWc0SN3giBvRR8RI3eCCRDSVEuTllTRTpNS0MuSVFfRUJJVERBLjEwMDAuLi4uVVNELkgBAAAAuMMCAAIAAAAGMTMwNS44AQgAAAAFAAAAATEBAAAACy0xOTA5MzMyMjk2AwAAAAMxNjACAAAABDQwNTEEAAAAATAHAAAACTMvMjgvMjAyNggAAAAKMTEvMzAvMjAyNQkAAAABMFXzVnNEjd4IbJYUfESN3ggnQ0lRLk5ZU0U6TUtDLklRX1RPVEFMX1JFVi4yMDAwLi4uLlVTRC5IAQAAALjDAgACAAAABjY4NDAu</t>
  </si>
  <si>
    <t>MwEIAAAABQAAAAExAQAAAAstMTkwOTMzMDI5NQMAAAADMTYwAgAAAAIyOAQAAAABMAcAAAAJMy8yOC8yMDI2CAAAAAoxMS8zMC8yMDI1CQAAAAEwVfNWc0SN3ghslhR8RI3eCCdDSVEuTllTRTpNS0MuSVFfVE9UQUxfUkVWLjEwMDAuLi4uVVNELkgBAAAAuMMCAAIAAAAGNjg0MC4zAQgAAAAFAAAAATEBAAAACy0xOTA5MzMyMjk2AwAAAAMxNjACAAAAAjI4BAAAAAEwBwAAAAkzLzI4LzIwMjYIAAAACjExLzMwLzIwMjUJAAAAATBV81ZzRI3eCGyWFHxEjd4ILENJUS5OWVNFOk1LQy5JUV9ESUxVVF9FUFNfRVhDTC4yMDAwLi4uLlVTRC5IAQAAALjDAgACAAAABDIuOTMBCAAAAAUAAAABMQEAAAALLTE5MDkzMzAyOTUDAAAAAzE2MAIAAAADMTQyBAAAAAEwBwAAAAkzLzI4LzIwMjYIAAAACjExLzMwLzIwMjUJAAAAATBV81ZzRI3eCGyWFHxEjd4ILENJUS5OWVNFOk1LQy5JUV9ESUxVVF9FUFNfRVhDTC4xMDAwLi4uLlVTRC5IAQAAALjDAgACAAAABDIuOTMBCAAAAAUAAAABMQEAAAALLTE5MDkzMzIyOTYDAAAAAzE2MAIAAAADMTQyBAAAAAEwBwAAAAkzLzI4LzIwMjYIAAAACjExLzMwLzIwMjUJAAAAATBV81ZzRI3eCGyWFHxEjd4IJENJUS5OWVNFOk1LQy5JUV9FQklUREEuMjAwMC4uLi5VU0QuSAEAAAC4wwIAAgAAAAYxMzA1LjgBCAAAAAUAAAABMQEAAAALLTE5MDkzMzAyOTUDAAAAAzE2MAIAAAAENDA1</t>
  </si>
  <si>
    <t>MQQAAAABMAcAAAAJMy8yOC8yMDI2CAAAAAoxMS8zMC8yMDI1CQAAAAEwVfNWc0SN3ghslhR8RI3eCCpDSVEuU1pTRTozMDA3NjEuSVFfVE9UQUxfUkVWLjEwMDAuLi4uVVNELkgBAAAA7+/HEwIAAAAKMjQyOC4zNjQ1MQEIAAAABQAAAAExAQAAAAstMTk1MDEyNDQyNAMAAAADMTYwAgAAAAIyOAQAAAABMAcAAAAJMy8yOC8yMDI2CAAAAAoxMi8zMS8yMDI0CQAAAAEwVfNWc0SN3ghDbxR8RI3eCDhDSVEuU1pTRTozMDA3NjEuSVFfTUlOT1JJVFlfSU5URVJFU1RfVE9UQUwuNTAwLi4uRi5VU0QuSAEAAADv78cTAgAAAAkxNS4yMjEyNjYBCAAAAAUAAAABMQEAAAALLTE5MjA1NTEwNTADAAAAAzE2MAIAAAAEMTMxMgQAAAABMAcAAAAJMy8yOC8yMDI2CAAAAAk5LzMwLzIwMjUJAAAAATBV81ZzRI3eCENvFHxEjd4ILENJUS5TWlNFOjMwMDc2MS5JUV9QUkVGX0VRVUlUWS41MDAuLi5GLlVTRC5IAQAAAO/vxxMDAAAAAABV81ZzRI3eCENvFHxEjd4IK0NJUS5TWlNFOjMwMDc2MS5JUV9UT1RBTF9ERUJULjUwMC4uLkYuVVNELkgBAAAA7+/HEwIAAAAKNDkxLjQ2MDAyNAEIAAAABQAAAAExAQAAAAstMTkyMDU1MTA1MAMAAAADMTYwAgAAAAQ0MTczBAAAAAEwBwAAAAkzLzI4LzIwMjYIAAAACTkvMzAvMjAyNQkAAAABMFXzVnNEjd4IQ28UfESN3ggvQ0lRLlNaU0U6MzAwNzYxLklRX0NBU0hfU1RfSU5WRVNULjUw</t>
  </si>
  <si>
    <t>MC4uLkYuVVNELkgBAAAA7+/HEwIAAAAKMjA1LjE1OTc4NAEIAAAABQAAAAExAQAAAAstMTkyMDU1MTA1MAMAAAADMTYwAgAAAAQxMDAyBAAAAAEwBwAAAAkzLzI4LzIwMjYIAAAACTkvMzAvMjAyNQkAAAABMFXzVnNEjd4IQ28UfESN3ggnQ0lRLlNaU0U6MzAwNzYxLklRX0VCSVREQS4yMDAwLi4uLlVTRC5IAQAAAO/vxxMCAAAACjI0MS40ODI2MjMBCAAAAAUAAAABMQEAAAALLTE5MjA1NTAzNTMDAAAAAzE2MAIAAAAENDA1MQQAAAABMAcAAAAJMy8yOC8yMDI2CAAAAAk5LzMwLzIwMjUJAAAAATBV81ZzRI3eCENvFHxEjd4IJ0NJUS5TWlNFOjMwMDc2MS5JUV9FQklUREEuMTAwMC4uLi5VU0QuSAEAAADv78cTAgAAAAkzMjcuNjc1OTUBCAAAAAUAAAABMQEAAAALLTE5NTAxMjQ0MjQDAAAAAzE2MAIAAAAENDA1MQQAAAABMAcAAAAJMy8yOC8yMDI2CAAAAAoxMi8zMS8yMDI0CQAAAAEwVfNWc0SN3ghDbxR8RI3eCCpDSVEuU1pTRTozMDA3NjEuSVFfVE9UQUxfUkVWLjIwMDAuLi4uVVNELkgBAAAA7+/HEwIAAAALMjYwMy40MTEwMTcBCAAAAAUAAAABMQEAAAALLTE5MjA1NTAzNTMDAAAAAzE2MAIAAAACMjgEAAAAATAHAAAACTMvMjgvMjAyNggAAAAJOS8zMC8yMDI1CQAAAAEwVfNWc0SN3ghDbxR8RI3eCC9DSVEuU1pTRTozMDA3NjEuSVFfRElMVVRfRVBTX0VYQ0wuMjAwMC4uLi5VU0QuSAEAAADv78cT</t>
  </si>
  <si>
    <t>AgAAAAgwLjEwOTQ1MQEIAAAABQAAAAExAQAAAAstMTkyMDU1MDM1MwMAAAADMTYwAgAAAAMxNDIEAAAAATAHAAAACTMvMjgvMjAyNggAAAAJOS8zMC8yMDI1CQAAAAEwVfNWc0SN3ghDbxR8RI3eCC9DSVEuU1pTRTozMDA3NjEuSVFfRElMVVRfRVBTX0VYQ0wuMTAwMC4uLi5VU0QuSAEAAADv78cTAgAAAAgwLjI1MTc3MQEIAAAABQAAAAExAQAAAAstMTk1MDEyNDQyNAMAAAADMTYwAgAAAAMxNDIEAAAAATAHAAAACTMvMjgvMjAyNggAAAAKMTIvMzEvMjAyNAkAAAABMFXzVnNEjd4IQ28UfESN3ggxQ0lRLk5BU0RBUUdTOk1ETFouSVFfQ0FTSF9TVF9JTlZFU1QuNTAwLi4uRi5VU0QuSAEAAABtSQsAAgAAAAQyMTI1AQgAAAAFAAAAATEBAAAACy0xOTA3NjgwNTM4AwAAAAMxNjACAAAABDEwMDIEAAAAATAHAAAACTMvMjgvMjAyNggAAAAKMTIvMzEvMjAyNQkAAAABMFXzVnNEjd4INUgUfESN3ggsQ0lRLk5BU0RBUUdTOk1ETFouSVFfVE9UQUxfUkVWLjIwMDAuLi4uVVNELkgBAAAAbUkLAAIAAAAFMzg1MzcBCAAAAAUAAAABMQEAAAALLTE5MDc2ODA1NTUDAAAAAzE2MAIAAAACMjgEAAAAATAHAAAACTMvMjgvMjAyNggAAAAKMTIvMzEvMjAyNQkAAAABMFXzVnNEjd4INUgUfESN3ggsQ0lRLk5BU0RBUUdTOk1ETFouSVFfVE9UQUxfUkVWLjEwMDAuLi4uVVNELkgBAAAAbUkLAAIAAAAFMzg1MzcBCAAAAAUA</t>
  </si>
  <si>
    <t>AAABMQEAAAALLTE5MDc2ODUwOTkDAAAAAzE2MAIAAAACMjgEAAAAATAHAAAACTMvMjgvMjAyNggAAAAKMTIvMzEvMjAyNQkAAAABMFXzVnNEjd4INUgUfESN3gg6Q0lRLk5BU0RBUUdTOk1ETFouSVFfTUlOT1JJVFlfSU5URVJFU1RfVE9UQUwuNTAwLi4uRi5VU0QuSAEAAABtSQsAAgAAAAI1MwEIAAAABQAAAAExAQAAAAstMTkwNzY4MDUzOAMAAAADMTYwAgAAAAQxMzEyBAAAAAEwBwAAAAkzLzI4LzIwMjYIAAAACjEyLzMxLzIwMjUJAAAAATBV81ZzRI3eCDVIFHxEjd4ILkNJUS5OQVNEQVFHUzpNRExaLklRX1BSRUZfRVFVSVRZLjUwMC4uLkYuVVNELkgBAAAAbUkLAAMAAAAAAFXzVnNEjd4INUgUfESN3ggtQ0lRLk5BU0RBUUdTOk1ETFouSVFfVE9UQUxfREVCVC41MDAuLi5GLlVTRC5IAQAAAG1JCwACAAAABTIxOTY4AQgAAAAFAAAAATEBAAAACy0xOTA3NjgwNTM4AwAAAAMxNjACAAAABDQxNzMEAAAAATAHAAAACTMvMjgvMjAyNggAAAAKMTIvMzEvMjAyNQkAAAABMFXzVnNEjd4INUgUfESN3ggpQ0lRLk5BU0RBUUdTOk1ETFouSVFfRUJJVERBLjIwMDAuLi4uVVNELkgBAAAAbUkLAAIAAAAENDk5MAEIAAAABQAAAAExAQAAAAstMTkwNzY4MDU1NQMAAAADMTYwAgAAAAQ0MDUxBAAAAAEwBwAAAAkzLzI4LzIwMjYIAAAACjEyLzMxLzIwMjUJAAAAATBV81ZzRI3eCDVIFHxEjd4IKUNJUS5OQVNEQVFH</t>
  </si>
  <si>
    <t>UzpNRExaLklRX0VCSVREQS4xMDAwLi4uLlVTRC5IAQAAAG1JCwACAAAABDQ5OTABCAAAAAUAAAABMQEAAAALLTE5MDc2ODUwOTkDAAAAAzE2MAIAAAAENDA1MQQAAAABMAcAAAAJMy8yOC8yMDI2CAAAAAoxMi8zMS8yMDI1CQAAAAEwVfNWc0SN3gg1SBR8RI3eCDFDSVEuTkFTREFRR1M6TURMWi5JUV9ESUxVVF9FUFNfRVhDTC4yMDAwLi4uLlVTRC5IAQAAAG1JCwACAAAABDEuODkBCAAAAAUAAAABMQEAAAALLTE5MDc2ODA1NTUDAAAAAzE2MAIAAAADMTQyBAAAAAEwBwAAAAkzLzI4LzIwMjYIAAAACjEyLzMxLzIwMjUJAAAAATBV81ZzRI3eCPMgFHxEjd4IMUNJUS5OQVNEQVFHUzpNRExaLklRX0RJTFVUX0VQU19FWENMLjEwMDAuLi4uVVNELkgBAAAAbUkLAAIAAAAEMS44OQEIAAAABQAAAAExAQAAAAstMTkwNzY4NTA5OQMAAAADMTYwAgAAAAMxNDIEAAAAATAHAAAACTMvMjgvMjAyNggAAAAKMTIvMzEvMjAyNQkAAAABMFXzVnNEjd4I8yAUfESN3ggoQ0lRLk5ZU0U6UE9TVC5JUV9UT1RBTF9SRVYuMTAwMC4uLi5VU0QuSAEAAACPvWYIAgAAAAY4MTU4LjEBCAAAAAUAAAABMQEAAAALLTE5MTQ4ODI0NjEDAAAAAzE2MAIAAAACMjgEAAAAATAHAAAACTMvMjgvMjAyNggAAAAJOS8zMC8yMDI1CQAAAAEwVfNWc0SN3gjogBV8RI3eCDZDSVEuTllTRTpQT1NULklRX01JTk9SSVRZX0lOVEVSRVNUX1RPVEFM</t>
  </si>
  <si>
    <t>LjUwMC4uLkYuVVNELkgBAAAAj71mCAIAAAAEMTAuOQEIAAAABQAAAAExAQAAAAstMTkwNzgwMDEwMwMAAAADMTYwAgAAAAQxMzEyBAAAAAEwBwAAAAkzLzI4LzIwMjYIAAAACjEyLzMxLzIwMjUJAAAAATBV81ZzRI3eCOiAFXxEjd4IKkNJUS5OWVNFOlBPU1QuSVFfUFJFRl9FUVVJVFkuNTAwLi4uRi5VU0QuSAEAAACPvWYIAwAAAAAAVfNWc0SN3gjogBV8RI3eCClDSVEuTllTRTpQT1NULklRX1RPVEFMX0RFQlQuNTAwLi4uRi5VU0QuSAEAAACPvWYIAgAAAAY3NDYyLjMBCAAAAAUAAAABMQEAAAALLTE5MDc4MDAxMDMDAAAAAzE2MAIAAAAENDE3MwQAAAABMAcAAAAJMy8yOC8yMDI2CAAAAAoxMi8zMS8yMDI1CQAAAAEwVfNWc0SN3gjogBV8RI3eCC1DSVEuTllTRTpQT1NULklRX0NBU0hfU1RfSU5WRVNULjUwMC4uLkYuVVNELkgBAAAAj71mCAIAAAAFMjc5LjMBCAAAAAUAAAABMQEAAAALLTE5MDc4MDAxMDMDAAAAAzE2MAIAAAAEMTAwMgQAAAABMAcAAAAJMy8yOC8yMDI2CAAAAAoxMi8zMS8yMDI1CQAAAAEwVfNWc0SN3gjogBV8RI3eCCVDSVEuTllTRTpQT1NULklRX0VCSVREQS4yMDAwLi4uLlVTRC5IAQAAAI+9ZggCAAAABjE0MjIuNwEIAAAABQAAAAExAQAAAAstMTkwNzgwMDA1NAMAAAADMTYwAgAAAAQ0MDUxBAAAAAEwBwAAAAkzLzI4LzIwMjYIAAAACjEyLzMxLzIwMjUJAAAAATBV81ZzRI3e</t>
  </si>
  <si>
    <t>COiAFXxEjd4IJUNJUS5OWVNFOlBPU1QuSVFfRUJJVERBLjEwMDAuLi4uVVNELkgBAAAAj71mCAIAAAAGMTM3NS45AQgAAAAFAAAAATEBAAAACy0xOTE0ODgyNDYxAwAAAAMxNjACAAAABDQwNTEEAAAAATAHAAAACTMvMjgvMjAyNggAAAAJOS8zMC8yMDI1CQAAAAEwVfNWc0SN3gjogBV8RI3eCChDSVEuTllTRTpQT1NULklRX1RPVEFMX1JFVi4yMDAwLi4uLlVTRC5IAQAAAI+9ZggCAAAABDgzNTgBCAAAAAUAAAABMQEAAAALLTE5MDc4MDAwNTQDAAAAAzE2MAIAAAACMjgEAAAAATAHAAAACTMvMjgvMjAyNggAAAAKMTIvMzEvMjAyNQkAAAABMFXzVnNEjd4I6IAVfESN3ggtQ0lRLk5ZU0U6UE9TVC5JUV9ESUxVVF9FUFNfRVhDTC4yMDAwLi4uLlVTRC5IAQAAAI+9ZggCAAAACDUuMzk4MjAxAQgAAAAFAAAAATEBAAAACy0xOTA3ODAwMDU0AwAAAAMxNjACAAAAAzE0MgQAAAABMAcAAAAJMy8yOC8yMDI2CAAAAAoxMi8zMS8yMDI1CQAAAAEwVfNWc0SN3gi7WRV8RI3eCC1DSVEuTllTRTpQT1NULklRX0RJTFVUX0VQU19FWENMLjEwMDAuLi4uVVNELkgBAAAAj71mCAIAAAAINS41MTAzMzMBCAAAAAUAAAABMQEAAAALLTE5MTQ4ODI0NjEDAAAAAzE2MAIAAAADMTQyBAAAAAEwBwAAAAkzLzI4LzIwMjYIAAAACTkvMzAvMjAyNQkAAAABMFXzVnNEjd4I6IAVfESN3ggwQ0lRLk5BU0RBUUdTOktIQy5JUV9ESUxV</t>
  </si>
  <si>
    <t>VF9FUFNfRVhDTC4xMDAwLi4uLlVTRC5IAQAAAMQ+BAACAAAABS00LjkzAQgAAAAFAAAAATEBAAAACy0xOTA2OTQxMjIwAwAAAAMxNjACAAAAAzE0MgQAAAABMAcAAAAJMy8yOC8yMDI2CAAAAAoxMi8yNy8yMDI1CQAAAAEwVfNWc0SN3gi5MhV8RI3eCDBDSVEuTkFTREFRR1M6S0hDLklRX0RJTFVUX0VQU19FWENMLjIwMDAuLi4uVVNELkgBAAAAxD4EAAIAAAAFLTQuOTMBCAAAAAUAAAABMQEAAAALLTE5MDY5NDAyOTkDAAAAAzE2MAIAAAADMTQyBAAAAAEwBwAAAAkzLzI4LzIwMjYIAAAACjEyLzI3LzIwMjUJAAAAATBV81ZzRI3eCLkyFXxEjd4IKENJUS5OQVNEQVFHUzpLSEMuSVFfRUJJVERBLjEwMDAuLi4uVVNELkgBAAAAxD4EAAIAAAAENTcyNwEIAAAABQAAAAExAQAAAAstMTkwNjk0MTIyMAMAAAADMTYwAgAAAAQ0MDUxBAAAAAEwBwAAAAkzLzI4LzIwMjYIAAAACjEyLzI3LzIwMjUJAAAAATBV81ZzRI3eCLkyFXxEjd4IKENJUS5OQVNEQVFHUzpLSEMuSVFfRUJJVERBLjIwMDAuLi4uVVNELkgBAAAAxD4EAAIAAAAENTcyNwEIAAAABQAAAAExAQAAAAstMTkwNjk0MDI5OQMAAAADMTYwAgAAAAQ0MDUxBAAAAAEwBwAAAAkzLzI4LzIwMjYIAAAACjEyLzI3LzIwMjUJAAAAATBV81ZzRI3eCLkyFXxEjd4ILUNJUS5OQVNEQVFHUzpLSEMuSVFfUFJFRl9FUVVJVFkuNTAwLi4uRi5VU0QuSAEAAADEPgQA</t>
  </si>
  <si>
    <t>AwAAAAAAVfNWc0SN3gi7WRV8RI3eCDlDSVEuTkFTREFRR1M6S0hDLklRX01JTk9SSVRZX0lOVEVSRVNUX1RPVEFMLjUwMC4uLkYuVVNELkgBAAAAxD4EAAIAAAADMTI1AQgAAAAFAAAAATEBAAAACy0xOTA2OTQwMzAxAwAAAAMxNjACAAAABDEzMTIEAAAAATAHAAAACTMvMjgvMjAyNggAAAAKMTIvMjcvMjAyNQkAAAABMFXzVnNEjd4Iu1kVfESN3ggrQ0lRLk5BU0RBUUdTOktIQy5JUV9UT1RBTF9SRVYuMTAwMC4uLi5VU0QuSAEAAADEPgQAAgAAAAUyNDk0MgEIAAAABQAAAAExAQAAAAstMTkwNjk0MTIyMAMAAAADMTYwAgAAAAIyOAQAAAABMAcAAAAJMy8yOC8yMDI2CAAAAAoxMi8yNy8yMDI1CQAAAAEwVfNWc0SN3gi7WRV8RI3eCCtDSVEuTkFTREFRR1M6S0hDLklRX1RPVEFMX1JFVi4yMDAwLi4uLlVTRC5IAQAAAMQ+BAACAAAABTI0OTQyAQgAAAAFAAAAATEBAAAACy0xOTA2OTQwMjk5AwAAAAMxNjACAAAAAjI4BAAAAAEwBwAAAAkzLzI4LzIwMjYIAAAACjEyLzI3LzIwMjUJAAAAATBV81ZzRI3eCLtZFXxEjd4IMENJUS5OQVNEQVFHUzpLSEMuSVFfQ0FTSF9TVF9JTlZFU1QuNTAwLi4uRi5VU0QuSAEAAADEPgQAAgAAAAQzNjc1AQgAAAAFAAAAATEBAAAACy0xOTA2OTQwMzAxAwAAAAMxNjACAAAABDEwMDIEAAAAATAHAAAACTMvMjgvMjAyNggAAAAKMTIvMjcvMjAyNQkAAAABMFXzVnNEjd4Iu1kV</t>
  </si>
  <si>
    <t>fESN3ggsQ0lRLk5BU0RBUUdTOktIQy5JUV9UT1RBTF9ERUJULjUwMC4uLkYuVVNELkgBAAAAxD4EAAIAAAAFMjE3NzIBCAAAAAUAAAABMQEAAAALLTE5MDY5NDAzMDEDAAAAAzE2MAIAAAAENDE3MwQAAAABMAcAAAAJMy8yOC8yMDI2CAAAAAoxMi8yNy8yMDI1CQAAAAEwVfNWc0SN3gi7WRV8RI3eCChDSVEuTllTRTpIUkwuSVFfVE9UQUxfREVCVC41MDAuLi5GLlVTRC5IAQAAAAJCBAACAAAACDI4NTcuNDkyAQgAAAAFAAAAATEBAAAACy0xOTA0ODA0NzU3AwAAAAMxNjACAAAABDQxNzMEAAAAATAHAAAACTMvMjgvMjAyNggAAAAJMS8yNS8yMDI2CQAAAAEwVfNWc0SN3gilCxV8RI3eCCxDSVEuTllTRTpIUkwuSVFfQ0FTSF9TVF9JTlZFU1QuNTAwLi4uRi5VU0QuSAEAAAACQgQAAgAAAAc5MDEuMjA4AQgAAAAFAAAAATEBAAAACy0xOTA0ODA0NzU3AwAAAAMxNjACAAAABDEwMDIEAAAAATAHAAAACTMvMjgvMjAyNggAAAAJMS8yNS8yMDI2CQAAAAEwVfNWc0SN3gilCxV8RI3eCCdDSVEuTllTRTpIUkwuSVFfVE9UQUxfUkVWLjIwMDAuLi4uVVNELkgBAAAAAkIEAAIAAAAJMTIxNDQuNjY0AQgAAAAFAAAAATEBAAAACy0xOTA0ODAzNTM0AwAAAAMxNjACAAAAAjI4BAAAAAEwBwAAAAkzLzI4LzIwMjYIAAAACTEvMjUvMjAyNgkAAAABMFXzVnNEjd4IpQsVfESN3ggnQ0lRLk5ZU0U6SFJMLklRX1RPVEFMX1JF</t>
  </si>
  <si>
    <t>Vi4xMDAwLi4uLlVTRC5IAQAAAAJCBAACAAAACDEyMTA2LjE2AQgAAAAFAAAAATEBAAAACy0xOTEyNjQxMTk3AwAAAAMxNjACAAAAAjI4BAAAAAEwBwAAAAkzLzI4LzIwMjYIAAAACjEwLzI2LzIwMjUJAAAAATBV81ZzRI3eCKULFXxEjd4INUNJUS5OWVNFOkhSTC5JUV9NSU5PUklUWV9JTlRFUkVTVF9UT1RBTC41MDAuLi5GLlVTRC5IAQAAAAJCBAACAAAABjE0LjcwNwEIAAAABQAAAAExAQAAAAstMTkwNDgwNDc1NwMAAAADMTYwAgAAAAQxMzEyBAAAAAEwBwAAAAkzLzI4LzIwMjYIAAAACTEvMjUvMjAyNgkAAAABMFXzVnNEjd4IpQsVfESN3ggpQ0lRLk5ZU0U6SFJMLklRX1BSRUZfRVFVSVRZLjUwMC4uLkYuVVNELkgBAAAAAkIEAAMAAAAAAFXzVnNEjd4IpQsVfESN3ggkQ0lRLk5ZU0U6SFJMLklRX0VCSVREQS4yMDAwLi4uLlVTRC5IAQAAAAJCBAACAAAACDEyMTEuNjEzAQgAAAAFAAAAATEBAAAACy0xOTA0ODAzNTM0AwAAAAMxNjACAAAABDQwNTEEAAAAATAHAAAACTMvMjgvMjAyNggAAAAJMS8yNS8yMDI2CQAAAAEwVfNWc0SN3gilCxV8RI3eCCRDSVEuTllTRTpIUkwuSVFfRUJJVERBLjEwMDAuLi4uVVNELkgBAAAAAkIEAAIAAAAIMTIyNC41NTcBCAAAAAUAAAABMQEAAAALLTE5MTI2NDExOTcDAAAAAzE2MAIAAAAENDA1MQQAAAABMAcAAAAJMy8yOC8yMDI2CAAAAAoxMC8yNi8yMDI1CQAAAAEw</t>
  </si>
  <si>
    <t>VfNWc0SN3gilCxV8RI3eCCxDSVEuTllTRTpIUkwuSVFfRElMVVRfRVBTX0VYQ0wuMjAwMC4uLi5VU0QuSAEAAAACQgQAAgAAAAgwLjg4OTE4MwEIAAAABQAAAAExAQAAAAstMTkwNDgwMzUzNAMAAAADMTYwAgAAAAMxNDIEAAAAATAHAAAACTMvMjgvMjAyNggAAAAJMS8yNS8yMDI2CQAAAAEwVfNWc0SN3giE5BR8RI3eCCxDSVEuTllTRTpIUkwuSVFfRElMVVRfRVBTX0VYQ0wuMTAwMC4uLi5VU0QuSAEAAAACQgQAAgAAAAgwLjg2OTE4OQEIAAAABQAAAAExAQAAAAstMTkxMjY0MTE5NwMAAAADMTYwAgAAAAMxNDIEAAAAATAHAAAACTMvMjgvMjAyNggAAAAKMTAvMjYvMjAyNQkAAAABMFXzVnNEjd4IpQsVfESN3gghQ0lRLk5ZU0U6R0lTLklRX0FTU0VUX1RVUk5TLjIwMDAuAQAAABsxBAACAAAACDAuNTY0MzE4AQgAAAAFAAAAATEBAAAACy0xOTAwOTk5NTI1AwAAAAMxNjACAAAABDQxNzcEAAAAATAHAAAACTMvMjgvMjAyNggAAAAJMi8yMi8yMDI2CQAAAAEwVfNWc0SN3gg+93l8RI3eCCdDSVEuTllTRTpHSVMuSVFfRklYRURfQVNTRVRfVFVSTlMuMjAwMC4BAAAAGzEEAAIAAAAINS4yODQ2OTkBCAAAAAUAAAABMQEAAAALLTE5MDA5OTk1MjUDAAAAAzE2MAIAAAAENDA2NgQAAAABMAcAAAAJMy8yOC8yMDI2CAAAAAkyLzIyLzIwMjYJAAAAATBV81ZzRI3eCD73eXxEjd4IHkNJUS5OWVNFOkdJUy5JUV9B</t>
  </si>
  <si>
    <t>Ul9UVVJOUy4yMDAwLgEAAAAbMQQAAgAAAAkxMC4wNzE2NTMBCAAAAAUAAAABMQEAAAALLTE5MDA5OTk1MjUDAAAAAzE2MAIAAAAENDAwMQQAAAABMAcAAAAJMy8yOC8yMDI2CAAAAAkyLzIyLzIwMjYJAAAAATBV81ZzRI3eCD73eXxEjd4IJUNJUS5OWVNFOkdJUy5JUV9JTlZFTlRPUllfVFVSTlMuMjAwMC4BAAAAGzEEAAIAAAAINi44ODYzODQBCAAAAAUAAAABMQEAAAALLTE5MDA5OTk1MjUDAAAAAzE2MAIAAAAENDA4MgQAAAABMAcAAAAJMy8yOC8yMDI2CAAAAAkyLzIyLzIwMjYJAAAAATBV81ZzRI3eCCjQeXxEjd4IIENJUS5OWVNFOkdJUy5JUV9RVUlDS19SQVRJTy41MDAuAQAAABsxBAACAAAACDAuMzA0MjYxAQgAAAAFAAAAATEBAAAACy0xOTAxMDAwNzk0AwAAAAMxNjACAAAABDQxMjEEAAAAATAHAAAACTMvMjgvMjAyNggAAAAJMi8yMi8yMDI2CQAAAAEwVfNWc0SN3ghbHnp8RI3eCCRDSVEuTllTRTpHSVMuSVFfREFZU19TQUxFU19PVVQuMjAwMC4BAAAAGzEEAAIAAAAJMzYuMTQwODMyAQgAAAAFAAAAATEBAAAACy0xOTAwOTk5NTI1AwAAAAMxNjACAAAABDQwNDIEAAAAATAHAAAACTMvMjgvMjAyNggAAAAJMi8yMi8yMDI2CQAAAAEwVfNWc0SN3ghbHnp8RI3eCChDSVEuTllTRTpHSVMuSVFfREFZU19JTlZFTlRPUllfT1VULjIwMDAuAQAAABsxBAACAAAACTUyLjg1Nzg5NgEIAAAABQAAAAEx</t>
  </si>
  <si>
    <t>AQAAAAstMTkwMDk5OTUyNQMAAAADMTYwAgAAAAQ0MDM1BAAAAAEwBwAAAAkzLzI4LzIwMjYIAAAACTIvMjIvMjAyNgkAAAABMFXzVnNEjd4IPvd5fESN3ggmQ0lRLk5ZU0U6R0lTLklRX0RBWVNfUEFZQUJMRV9PVVQuMjAwMC4BAAAAGzEEAAIAAAAKMTA5LjA1ODQwNAEIAAAABQAAAAExAQAAAAstMTkwMDk5OTUyNQMAAAADMTYwAgAAAAQ0MTgzBAAAAAEwBwAAAAkzLzI4LzIwMjYIAAAACTIvMjIvMjAyNgkAAAABMFXzVnNEjd4IPvd5fESN3gglQ0lRLk5ZU0U6R0lTLklRX0NBU0hfQ09OVkVSU0lPTi4yMDAwLgEAAAAbMQQAAgAAAAotMjAuMDU5Njc2AQgAAAAFAAAAATEBAAAACy0xOTAwOTk5NTI1AwAAAAMxNjACAAAABDQxODQEAAAAATAHAAAACTMvMjgvMjAyNggAAAAJMi8yMi8yMDI2CQAAAAEwVfNWc0SN3gg+93l8RI3eCCdDSVEuTllTRTpHSVMuSVFfVE9UQUxfREVCVF9DQVBJVEFMLjUwMC4BAAAAGzEEAAIAAAAHNTkuODgzNwEIAAAABQAAAAExAQAAAAstMTkwMTAwMDc5NAMAAAADMTYwAgAAAAQ0MTg2BAAAAAEwBwAAAAkzLzI4LzIwMjYIAAAACTIvMjIvMjAyNgkAAAABMFXzVnNEjd4IWx56fESN3ggjQ0lRLk5ZU0U6R0lTLklRX1JFVFVSTl9FUVVJVFkuMjAwMC4BAAAAGzEEAAIAAAAHMjMuNTkxMwEIAAAABQAAAAExAQAAAAstMTkwMDk5OTUyNQMAAAADMTYwAgAAAAQ0MTI4BAAAAAEwBwAA</t>
  </si>
  <si>
    <t>AAkzLzI4LzIwMjYIAAAACTIvMjIvMjAyNgkAAAABMFXzVnNEjd4IWx56fESN3ggjQ0lRLk5ZU0U6R0lTLklRX1JFVFVSTl9BU1NFVFMuMjAwMC4BAAAAGzEEAAIAAAAFNS4zMTEBCAAAAAUAAAABMQEAAAALLTE5MDA5OTk1MjUDAAAAAzE2MAIAAAAENDE3OAQAAAABMAcAAAAJMy8yOC8yMDI2CAAAAAkyLzIyLzIwMjYJAAAAATBV81ZzRI3eCFseenxEjd4ILUNJUS5OWVNFOkdJUy5JUV9SRVRVUk5fSU5WRVNURURfQ0FQSVRBTC4yMDAwLgEAAAAbMQQAAgAAAAYzLjgxNDEAVfNWc0SN3ghbHnp8RI3eCCJDSVEuTllTRTpHSVMuSVFfQ1VSUkVOVF9SQVRJTy41MDAuAQAAABsxBAACAAAACDAuNTYyODU5AQgAAAAFAAAAATEBAAAACy0xOTAxMDAwNzk0AwAAAAMxNjACAAAABDQwMzAEAAAAATAHAAAACTMvMjgvMjAyNggAAAAJMi8yMi8yMDI2CQAAAAEwVfNWc0SN3ghbHnp8RI3eCCdDSVEuTllTRTpHSVMuSVFfVE9UQUxfREVCVF9FQklUREEuMjAwMC4BAAAAGzEEAAIAAAAIMy45ODYzMjkBCAAAAAUAAAABMQEAAAALLTE5MDA5OTk1MjUDAAAAAzE2MAIAAAAENDE5MgQAAAABMAcAAAAJMy8yOC8yMDI2CAAAAAkyLzIyLzIwMjYJAAAAATBV81ZzRI3eCFseenxEjd4IJUNJUS5OWVNFOkdJUy5JUV9ORVRfREVCVF9FQklUREEuMjAwMC4BAAAAGzEEAAIAAAAHMy43NjIxNQEIAAAABQAAAAExAQAAAAstMTkwMDk5</t>
  </si>
  <si>
    <t>OTUyNQMAAAADMTYwAgAAAAQ0MTkzBAAAAAEwBwAAAAkzLzI4LzIwMjYIAAAACTIvMjIvMjAyNgkAAAABMFXzVnNEjd4IWx56fESN3gggQ0lRLk5ZU0U6R0lTLklRX0VCSVREQV9JTlQuMjAwMC4BAAAAGzEEAAIAAAAINi4zNTQ1NTIBCAAAAAUAAAABMQEAAAALLTE5MDA5OTk1MjUDAAAAAzE2MAIAAAAENDE5MAQAAAABMAcAAAAJMy8yOC8yMDI2CAAAAAkyLzIyLzIwMjYJAAAAATBV81ZzRI3eCFseenxEjd4IJkNJUS5OWVNFOkdJUy5JUV9FQklUREFfQ0FQRVhfSU5ULjIwMDAuAQAAABsxBAACAAAACDUuMzEwNDgyAQgAAAAFAAAAATEBAAAACy0xOTAwOTk5NTI1AwAAAAMxNjACAAAABDQxOTEEAAAAATAHAAAACTMvMjgvMjAyNggAAAAJMi8yMi8yMDI2CQAAAAEwVfNWc0SN3ghbHnp8RI3eCCZDSVEuTllTRTpHSVMuSVFfVE9UQUxfREVCVF9FUVVJVFkuNTAwLgEAAAAbMQQAAgAAAAgxNDkuMjc1NAEIAAAABQAAAAExAQAAAAstMTkwMTAwMDc5NAMAAAADMTYwAgAAAAQ0MDM0BAAAAAEwBwAAAAkzLzI4LzIwMjYIAAAACTIvMjIvMjAyNgkAAAABMFXzVnNEjd4IWx56fESN3ggrQ0lRLk5ZU0U6R0lTLklRX0VCSVREQV8xWVJfQU5OX0dST1dUSC4yMDAwLgEAAAAbMQQAAgAAAActMjEuMzU5AQgAAAAFAAAAATEBAAAACy0xOTAwOTk5NTI1AwAAAAMxNjACAAAABDQxOTYEAAAAATAHAAAACTMvMjgvMjAyNggA</t>
  </si>
  <si>
    <t>AAAJMi8yMi8yMDI2CQAAAAEwVfNWc0SN3gg9Vnp8RI3eCCZDSVEuTllTRTpHSVMuSVFfRVBTXzVZUl9BTk5fQ0FHUi4yMDAwLgEAAAAbMQQAAgAAAActMC4yMzMyAQgAAAAFAAAAATEBAAAACy0xOTAwOTk5NTI1AwAAAAMxNjACAAAABDQyMzkEAAAAATAHAAAACTMvMjgvMjAyNggAAAAJMi8yMi8yMDI2CQAAAAEwVfNWc0SN3gg9Vnp8RI3eCCZDSVEuTllTRTpHSVMuSVFfRVBTXzNZUl9BTk5fQ0FHUi4yMDAwLgEAAAAbMQQAAgAAAActNC4yMjI5AQgAAAAFAAAAATEBAAAACy0xOTAwOTk5NTI1AwAAAAMxNjACAAAABDQyMjYEAAAAATAHAAAACTMvMjgvMjAyNggAAAAJMi8yMi8yMDI2CQAAAAEwVfNWc0SN3gg9Vnp8RI3eCChDSVEuTllTRTpHSVMuSVFfRVBTXzFZUl9BTk5fR1JPV1RILjEwMDAuAQAAABsxBAACAAAABy00Ljg3MjQBCAAAAAUAAAABMQEAAAALLTE5MzcwMjkxNzEDAAAAAzE2MAIAAAAENDIwMAQAAAABMAcAAAAJMy8yOC8yMDI2CAAAAAk1LzI1LzIwMjUJAAAAATBV81ZzRI3eCFseenxEjd4IKENJUS5OWVNFOkdJUy5JUV9FUFNfMVlSX0FOTl9HUk9XVEguMjAwMC4BAAAAGzEEAAIAAAAILTEwLjQyMjMBCAAAAAUAAAABMQEAAAALLTE5MDA5OTk1MjUDAAAAAzE2MAIAAAAENDIwMAQAAAABMAcAAAAJMy8yOC8yMDI2CAAAAAkyLzIyLzIwMjYJAAAAATBV81ZzRI3eCFseenxEjd4ILkNJUS5O</t>
  </si>
  <si>
    <t>WVNFOkdJUy5JUV9UT1RBTF9SRVZfMVlSX0FOTl9HUk9XVEguMTAwMC4BAAAAGzEEAAIAAAAHLTEuODY2NAEIAAAABQAAAAExAQAAAAstMTkzNzAyOTE3MQMAAAADMTYwAgAAAAQ0MTk0BAAAAAEwBwAAAAkzLzI4LzIwMjYIAAAACTUvMjUvMjAyNQkAAAABMFXzVnNEjd4IPVZ6fESN3gguQ0lRLk5ZU0U6R0lTLklRX1RPVEFMX1JFVl8xWVJfQU5OX0dST1dUSC4yMDAwLgEAAAAbMQQAAgAAAActNi40ODA4AQgAAAAFAAAAATEBAAAACy0xOTAwOTk5NTI1AwAAAAMxNjACAAAABDQxOTQEAAAAATAHAAAACTMvMjgvMjAyNggAAAAJMi8yMi8yMDI2CQAAAAEwVfNWc0SN3gg9Vnp8RI3eCClDSVEuTllTRTpHSVMuSVFfRUJJVERBXzVZUl9BTk5fQ0FHUi4yMDAwLgEAAAAbMQQAAgAAAAYtNC40NTgBCAAAAAUAAAABMQEAAAALLTE5MDA5OTk1MjUDAAAAAzE2MAIAAAAENDIzNQQAAAABMAcAAAAJMy8yOC8yMDI2CAAAAAkyLzIyLzIwMjYJAAAAATBV81ZzRI3eCD1WenxEjd4IKUNJUS5OWVNFOkdJUy5JUV9FQklUREFfM1lSX0FOTl9DQUdSLjIwMDAuAQAAABsxBAACAAAABy00LjYxMDkBCAAAAAUAAAABMQEAAAALLTE5MDA5OTk1MjUDAAAAAzE2MAIAAAAENDIyMgQAAAABMAcAAAAJMy8yOC8yMDI2CAAAAAkyLzIyLzIwMjYJAAAAATBV81ZzRI3eCD1WenxEjd4IK0NJUS5OWVNFOkdJUy5JUV9FQklUREFfMVlSX0FO</t>
  </si>
  <si>
    <t>Tl9HUk9XVEguMTAwMC4BAAAAGzEEAAIAAAAHLTkuOTQ2MQEIAAAABQAAAAExAQAAAAstMTkzNzAyOTE3MQMAAAADMTYwAgAAAAQ0MTk2BAAAAAEwBwAAAAkzLzI4LzIwMjYIAAAACTUvMjUvMjAyNQkAAAABMFXzVnNEjd4IPVZ6fESN3ggeQ0lRLk5ZU0U6R0lTLklRX05JX01BUkdJTi45OTkuAQAAABsxBAACAAAABzEyLjU3MjcBCAAAAAUAAAABMQEAAAALLTE5MzcwMjkyMjMDAAAAAzE2MAIAAAAENDA5NAQAAAABMAcAAAAJMy8yOC8yMDI2CAAAAAk1LzI2LzIwMjQJAAAAATBV81ZzRI3eCD1WenxEjd4IH0NJUS5OWVNFOkdJUy5JUV9OSV9NQVJHSU4uMTAwMC4BAAAAGzEEAAIAAAAHMTEuNzc4MwEIAAAABQAAAAExAQAAAAstMTkzNzAyOTE3MQMAAAADMTYwAgAAAAQ0MDk0BAAAAAEwBwAAAAkzLzI4LzIwMjYIAAAACTUvMjUvMjAyNQkAAAABMFXzVnNEjd4IPVZ6fESN3ggfQ0lRLk5ZU0U6R0lTLklRX05JX01BUkdJTi4yMDAwLgEAAAAbMQQAAgAAAAcxMi4wNTMxAQgAAAAFAAAAATEBAAAACy0xOTAwOTk5NTI1AwAAAAMxNjACAAAABDQwOTQEAAAAATAHAAAACTMvMjgvMjAyNggAAAAJMi8yMi8yMDI2CQAAAAEwVfNWc0SN3gg9Vnp8RI3eCCxDSVEuTllTRTpHSVMuSVFfVE9UQUxfUkVWXzVZUl9BTk5fQ0FHUi4yMDAwLgEAAAAbMQQAAgAAAActMC4yNzU1AQgAAAAFAAAAATEBAAAACy0xOTAwOTk5NTI1</t>
  </si>
  <si>
    <t>AwAAAAMxNjACAAAABDQyMzMEAAAAATAHAAAACTMvMjgvMjAyNggAAAAJMi8yMi8yMDI2CQAAAAEwVfNWc0SN3gg9Vnp8RI3eCCxDSVEuTllTRTpHSVMuSVFfVE9UQUxfUkVWXzNZUl9BTk5fQ0FHUi4yMDAwLgEAAAAbMQQAAgAAAActMi43MTk2AQgAAAAFAAAAATEBAAAACy0xOTAwOTk5NTI1AwAAAAMxNjACAAAABDQyMjAEAAAAATAHAAAACTMvMjgvMjAyNggAAAAJMi8yMi8yMDI2CQAAAAEwVfNWc0SN3gg9Vnp8RI3eCCJDSVEuTllTRTpHSVMuSVFfRUJJVERBX01BUkdJTi45OTguAQAAABsxBAACAAAABzE4LjM1MzUBCAAAAAUAAAABMQEAAAALLTE5MzcwMjkyMTADAAAAAzE2MAIAAAAENDA0NwQAAAABMAcAAAAJMy8yOC8yMDI2CAAAAAk1LzI4LzIwMjMJAAAAATBV81ZzRI3eCIN9enxEjd4IIkNJUS5OWVNFOkdJUy5JUV9FQklUREFfTUFSR0lOLjk5OS4BAAAAGzEEAAIAAAAHMjEuODMyOAEIAAAABQAAAAExAQAAAAstMTkzNzAyOTIyMwMAAAADMTYwAgAAAAQ0MDQ3BAAAAAEwBwAAAAkzLzI4LzIwMjYIAAAACTUvMjYvMjAyNAkAAAABMFXzVnNEjd4Ig316fESN3ggjQ0lRLk5ZU0U6R0lTLklRX0VCSVREQV9NQVJHSU4uMTAwMC4BAAAAGzEEAAIAAAAHMjAuMDM1MwEIAAAABQAAAAExAQAAAAstMTkzNzAyOTE3MQMAAAADMTYwAgAAAAQ0MDQ3BAAAAAEwBwAAAAkzLzI4LzIwMjYIAAAACTUvMjUvMjAy</t>
  </si>
  <si>
    <t>NQkAAAABMFXzVnNEjd4Ig316fESN3ggjQ0lRLk5ZU0U6R0lTLklRX0VCSVREQV9NQVJHSU4uMjAwMC4BAAAAGzEEAAIAAAAHMTguMDYxNAEIAAAABQAAAAExAQAAAAstMTkwMDk5OTUyNQMAAAADMTYwAgAAAAQ0MDQ3BAAAAAEwBwAAAAkzLzI4LzIwMjYIAAAACTIvMjIvMjAyNgkAAAABMFXzVnNEjd4IPVZ6fESN3ggeQ0lRLk5ZU0U6R0lTLklRX05JX01BUkdJTi45OTguAQAAABsxBAACAAAABzEyLjkwODcBCAAAAAUAAAABMQEAAAALLTE5MzcwMjkyMTADAAAAAzE2MAIAAAAENDA5NAQAAAABMAcAAAAJMy8yOC8yMDI2CAAAAAk1LzI4LzIwMjMJAAAAATBV81ZzRI3eCD1WenxEjd4IIUNJUS5OWVNFOkdJUy5JUV9HUk9TU19NQVJHSU4uOTk4LgEAAAAbMQQAAgAAAAczMi42MTE0AQgAAAAFAAAAATEBAAAACy0xOTM3MDI5MjEwAwAAAAMxNjACAAAABDQwNzQEAAAAATAHAAAACTMvMjgvMjAyNggAAAAJNS8yOC8yMDIzCQAAAAEwVfNWc0SN3giDfXp8RI3eCCFDSVEuTllTRTpHSVMuSVFfR1JPU1NfTUFSR0lOLjk5OS4BAAAAGzEEAAIAAAAHMzUuMDA4NAEIAAAABQAAAAExAQAAAAstMTkzNzAyOTIyMwMAAAADMTYwAgAAAAQ0MDc0BAAAAAEwBwAAAAkzLzI4LzIwMjYIAAAACTUvMjYvMjAyNAkAAAABMFXzVnNEjd4Ig316fESN3ggiQ0lRLk5ZU0U6R0lTLklRX0dST1NTX01BUkdJTi4xMDAwLgEAAAAbMQQA</t>
  </si>
  <si>
    <t>AgAAAAczNC42MDE3AQgAAAAFAAAAATEBAAAACy0xOTM3MDI5MTcxAwAAAAMxNjACAAAABDQwNzQEAAAAATAHAAAACTMvMjgvMjAyNggAAAAJNS8yNS8yMDI1CQAAAAEwVfNWc0SN3giDfXp8RI3eCCJDSVEuTllTRTpHSVMuSVFfR1JPU1NfTUFSR0lOLjIwMDAuAQAAABsxBAACAAAABzMzLjE0MDQBCAAAAAUAAAABMQEAAAALLTE5MDA5OTk1MjUDAAAAAzE2MAIAAAAENDA3NAQAAAABMAcAAAAJMy8yOC8yMDI2CAAAAAkyLzIyLzIwMjYJAAAAATBV81ZzRI3eCIN9enxEjd4IIENJUS5OWVNFOkdJUy5JUV9QRVJJT0REQVRFLjEwMDAuAQAAABsxBAAFAAAACjI1LzA1LzIwMjUAVfNWc0SN3ginpHp8RI3eCCBDSVEuTllTRTpHSVMuSVFfUEVSSU9EREFURS4yMDAwLgEAAAAbMQQABQAAAAoyMi8wMi8yMDI2AFXzVnNEjd4Ip6R6fESN3ggeQ0lRLk5ZU0U6TUtDLklRX0FSX1RVUk5TLjIwMDAuAQAAALjDAgACAAAACTExLjI0NzcxOAEIAAAABQAAAAExAQAAAAstMTkwOTMzMDI5NQMAAAADMTYwAgAAAAQ0MDAxBAAAAAEwBwAAAAkzLzI4LzIwMjYIAAAACjExLzMwLzIwMjUJAAAAATBV81ZzRI3eCP9aeXxEjd4IJUNJUS5OWVNFOk1LQy5JUV9JTlZFTlRPUllfVFVSTlMuMjAwMC4BAAAAuMMCAAIAAAAIMy4zODA3MDcBCAAAAAUAAAABMQEAAAALLTE5MDkzMzAyOTUDAAAAAzE2MAIAAAAENDA4MgQAAAABMAcAAAAJ</t>
  </si>
  <si>
    <t>My8yOC8yMDI2CAAAAAoxMS8zMC8yMDI1CQAAAAEwVfNWc0SN3gj/Wnl8RI3eCChDSVEuTllTRTpNS0MuSVFfREFZU19JTlZFTlRPUllfT1VULjIwMDAuAQAAALjDAgACAAAACTEwNy45NjU1NAEIAAAABQAAAAExAQAAAAstMTkwOTMzMDI5NQMAAAADMTYwAgAAAAQ0MDM1BAAAAAEwBwAAAAkzLzI4LzIwMjYIAAAACjExLzMwLzIwMjUJAAAAATBV81ZzRI3eCP9aeXxEjd4IJkNJUS5OWVNFOk1LQy5JUV9EQVlTX1BBWUFCTEVfT1VULjIwMDAuAQAAALjDAgACAAAACjEwNi41NDA5NDUBCAAAAAUAAAABMQEAAAALLTE5MDkzMzAyOTUDAAAAAzE2MAIAAAAENDE4MwQAAAABMAcAAAAJMy8yOC8yMDI2CAAAAAoxMS8zMC8yMDI1CQAAAAEwVfNWc0SN3gj/Wnl8RI3eCCVDSVEuTllTRTpNS0MuSVFfQ0FTSF9DT05WRVJTSU9OLjIwMDAuAQAAALjDAgACAAAACTMzLjg3NTI4NQEIAAAABQAAAAExAQAAAAstMTkwOTMzMDI5NQMAAAADMTYwAgAAAAQ0MTg0BAAAAAEwBwAAAAkzLzI4LzIwMjYIAAAACjExLzMwLzIwMjUJAAAAATBV81ZzRI3eCP9aeXxEjd4IIUNJUS5OWVNFOk1LQy5JUV9BU1NFVF9UVVJOUy4yMDAwLgEAAAC4wwIAAgAAAAgwLjUyMDc1NQEIAAAABQAAAAExAQAAAAstMTkwOTMzMDI5NQMAAAADMTYwAgAAAAQ0MTc3BAAAAAEwBwAAAAkzLzI4LzIwMjYIAAAACjExLzMwLzIwMjUJAAAAATBV81ZzRI3e</t>
  </si>
  <si>
    <t>CP9aeXxEjd4IJ0NJUS5OWVNFOk1LQy5JUV9GSVhFRF9BU1NFVF9UVVJOUy4yMDAwLgEAAAC4wwIAAgAAAAg0LjE1ODc0MgEIAAAABQAAAAExAQAAAAstMTkwOTMzMDI5NQMAAAADMTYwAgAAAAQ0MDY2BAAAAAEwBwAAAAkzLzI4LzIwMjYIAAAACjExLzMwLzIwMjUJAAAAATBV81ZzRI3eCP9aeXxEjd4II0NJUS5OWVNFOk1LQy5JUV9SRVRVUk5fQVNTRVRTLjIwMDAuAQAAALjDAgACAAAABjUuMjI4MgEIAAAABQAAAAExAQAAAAstMTkwOTMzMDI5NQMAAAADMTYwAgAAAAQ0MTc4BAAAAAEwBwAAAAkzLzI4LzIwMjYIAAAACjExLzMwLzIwMjUJAAAAATBV81ZzRI3eCP9aeXxEjd4ILUNJUS5OWVNFOk1LQy5JUV9SRVRVUk5fSU5WRVNURURfQ0FQSVRBTC4yMDAwLgEAAAC4wwIAAgAAAAYzLjA4MzcAVfNWc0SN3gj/Wnl8RI3eCCJDSVEuTllTRTpNS0MuSVFfQ1VSUkVOVF9SQVRJTy41MDAuAQAAALjDAgACAAAACDAuNjk4MjIzAQgAAAAFAAAAATEBAAAACy0xOTA5MzMwMjk3AwAAAAMxNjACAAAABDQwMzAEAAAAATAHAAAACTMvMjgvMjAyNggAAAAKMTEvMzAvMjAyNQkAAAABMFXzVnNEjd4I/1p5fESN3gggQ0lRLk5ZU0U6TUtDLklRX1FVSUNLX1JBVElPLjUwMC4BAAAAuMMCAAIAAAAIMC4yMzY2OTIBCAAAAAUAAAABMQEAAAALLTE5MDkzMzAyOTcDAAAAAzE2MAIAAAAENDEyMQQAAAABMAcAAAAJMy8yOC8y</t>
  </si>
  <si>
    <t>MDI2CAAAAAoxMS8zMC8yMDI1CQAAAAEwVfNWc0SN3gj/Wnl8RI3eCCRDSVEuTllTRTpNS0MuSVFfREFZU19TQUxFU19PVVQuMjAwMC4BAAAAuMMCAAIAAAAIMzIuNDUwNjkBCAAAAAUAAAABMQEAAAALLTE5MDkzMzAyOTUDAAAAAzE2MAIAAAAENDA0MgQAAAABMAcAAAAJMy8yOC8yMDI2CAAAAAoxMS8zMC8yMDI1CQAAAAEwVfNWc0SN3gj/Wnl8RI3eCCBDSVEuTllTRTpNS0MuSVFfRUJJVERBX0lOVC4yMDAwLgEAAAC4wwIAAgAAAAc3LjA0NzkxAQgAAAAFAAAAATEBAAAACy0xOTA5MzMwMjk1AwAAAAMxNjACAAAABDQxOTAEAAAAATAHAAAACTMvMjgvMjAyNggAAAAKMTEvMzAvMjAyNQkAAAABMFXzVnNEjd4IC4J5fESN3ggmQ0lRLk5ZU0U6TUtDLklRX0VCSVREQV9DQVBFWF9JTlQuMjAwMC4BAAAAuMMCAAIAAAAINS45MTc0MzEBCAAAAAUAAAABMQEAAAALLTE5MDkzMzAyOTUDAAAAAzE2MAIAAAAENDE5MQQAAAABMAcAAAAJMy8yOC8yMDI2CAAAAAoxMS8zMC8yMDI1CQAAAAEwVfNWc0SN3ggLgnl8RI3eCCZDSVEuTllTRTpNS0MuSVFfVE9UQUxfREVCVF9FUVVJVFkuNTAwLgEAAAC4wwIAAgAAAAc3My4yMTEyAQgAAAAFAAAAATEBAAAACy0xOTA5MzMwMjk3AwAAAAMxNjACAAAABDQwMzQEAAAAATAHAAAACTMvMjgvMjAyNggAAAAKMTEvMzAvMjAyNQkAAAABMFXzVnNEjd4I/1p5fESN3ggnQ0lRLk5Z</t>
  </si>
  <si>
    <t>U0U6TUtDLklRX1RPVEFMX0RFQlRfQ0FQSVRBTC41MDAuAQAAALjDAgACAAAABjQyLjI2NwEIAAAABQAAAAExAQAAAAstMTkwOTMzMDI5NwMAAAADMTYwAgAAAAQ0MTg2BAAAAAEwBwAAAAkzLzI4LzIwMjYIAAAACjExLzMwLzIwMjUJAAAAATBV81ZzRI3eCP9aeXxEjd4II0NJUS5OWVNFOk1LQy5JUV9SRVRVUk5fRVFVSVRZLjIwMDAuAQAAALjDAgACAAAABzE0LjI0MjcBCAAAAAUAAAABMQEAAAALLTE5MDkzMzAyOTUDAAAAAzE2MAIAAAAENDEyOAQAAAABMAcAAAAJMy8yOC8yMDI2CAAAAAoxMS8zMC8yMDI1CQAAAAEwVfNWc0SN3gj/Wnl8RI3eCCZDSVEuTllTRTpNS0MuSVFfRVBTXzNZUl9BTk5fQ0FHUi4yMDAwLgEAAAC4wwIAAgAAAAY1LjE1MzIBCAAAAAUAAAABMQEAAAALLTE5MDkzMzAyOTUDAAAAAzE2MAIAAAAENDIyNgQAAAABMAcAAAAJMy8yOC8yMDI2CAAAAAoxMS8zMC8yMDI1CQAAAAEwVfNWc0SN3ggLgnl8RI3eCChDSVEuTllTRTpNS0MuSVFfRVBTXzFZUl9BTk5fR1JPV1RILjEwMDAuAQAAALjDAgACAAAABjAuMzQyNAEIAAAABQAAAAExAQAAAAstMTkwOTMzMjI5NgMAAAADMTYwAgAAAAQ0MjAwBAAAAAEwBwAAAAkzLzI4LzIwMjYIAAAACjExLzMwLzIwMjUJAAAAATBV81ZzRI3eCAuCeXxEjd4IKENJUS5OWVNFOk1LQy5JUV9FUFNfMVlSX0FOTl9HUk9XVEguMjAwMC4BAAAAuMMCAAIA</t>
  </si>
  <si>
    <t>AAAGMC4zNDI0AQgAAAAFAAAAATEBAAAACy0xOTA5MzMwMjk1AwAAAAMxNjACAAAABDQyMDAEAAAAATAHAAAACTMvMjgvMjAyNggAAAAKMTEvMzAvMjAyNQkAAAABMFXzVnNEjd4IC4J5fESN3ggnQ0lRLk5ZU0U6TUtDLklRX1RPVEFMX0RFQlRfRUJJVERBLjIwMDAuAQAAALjDAgACAAAACDMuMDUzODc2AQgAAAAFAAAAATEBAAAACy0xOTA5MzMwMjk1AwAAAAMxNjACAAAABDQxOTIEAAAAATAHAAAACTMvMjgvMjAyNggAAAAKMTEvMzAvMjAyNQkAAAABMFXzVnNEjd4IC4J5fESN3gglQ0lRLk5ZU0U6TUtDLklRX05FVF9ERUJUX0VCSVREQS4yMDAwLgEAAAC4wwIAAgAAAAgyLjk4NDUyNAEIAAAABQAAAAExAQAAAAstMTkwOTMzMDI5NQMAAAADMTYwAgAAAAQ0MTkzBAAAAAEwBwAAAAkzLzI4LzIwMjYIAAAACjExLzMwLzIwMjUJAAAAATBV81ZzRI3eCAuCeXxEjd4IKUNJUS5OWVNFOk1LQy5JUV9FQklUREFfNVlSX0FOTl9DQUdSLjIwMDAuAQAAALjDAgACAAAABjIuMDIyNQEIAAAABQAAAAExAQAAAAstMTkwOTMzMDI5NQMAAAADMTYwAgAAAAQ0MjM1BAAAAAEwBwAAAAkzLzI4LzIwMjYIAAAACjExLzMwLzIwMjUJAAAAATBV81ZzRI3eCAuCeXxEjd4IKUNJUS5OWVNFOk1LQy5JUV9FQklUREFfM1lSX0FOTl9DQUdSLjIwMDAuAQAAALjDAgACAAAABjUuODAzMwEIAAAABQAAAAExAQAAAAstMTkwOTMzMDI5</t>
  </si>
  <si>
    <t>NQMAAAADMTYwAgAAAAQ0MjIyBAAAAAEwBwAAAAkzLzI4LzIwMjYIAAAACjExLzMwLzIwMjUJAAAAATBV81ZzRI3eCAuCeXxEjd4IK0NJUS5OWVNFOk1LQy5JUV9FQklUREFfMVlSX0FOTl9HUk9XVEguMTAwMC4BAAAAuMMCAAIAAAAGMy4yMTcxAQgAAAAFAAAAATEBAAAACy0xOTA5MzMyMjk2AwAAAAMxNjACAAAABDQxOTYEAAAAATAHAAAACTMvMjgvMjAyNggAAAAKMTEvMzAvMjAyNQkAAAABMFXzVnNEjd4IC4J5fESN3ggrQ0lRLk5ZU0U6TUtDLklRX0VCSVREQV8xWVJfQU5OX0dST1dUSC4yMDAwLgEAAAC4wwIAAgAAAAYzLjIxNzEBCAAAAAUAAAABMQEAAAALLTE5MDkzMzAyOTUDAAAAAzE2MAIAAAAENDE5NgQAAAABMAcAAAAJMy8yOC8yMDI2CAAAAAoxMS8zMC8yMDI1CQAAAAEwVfNWc0SN3ggLgnl8RI3eCCZDSVEuTllTRTpNS0MuSVFfRVBTXzVZUl9BTk5fQ0FHUi4yMDAwLgEAAAC4wwIAAgAAAAYxLjA1NjYBCAAAAAUAAAABMQEAAAALLTE5MDkzMzAyOTUDAAAAAzE2MAIAAAAENDIzOQQAAAABMAcAAAAJMy8yOC8yMDI2CAAAAAoxMS8zMC8yMDI1CQAAAAEwVfNWc0SN3ggLgnl8RI3eCB9DSVEuTllTRTpNS0MuSVFfTklfTUFSR0lOLjIwMDAuAQAAALjDAgACAAAABzExLjU0MDQBCAAAAAUAAAABMQEAAAALLTE5MDkzMzAyOTUDAAAAAzE2MAIAAAAENDA5NAQAAAABMAcAAAAJMy8yOC8yMDI2CAAA</t>
  </si>
  <si>
    <t>AAoxMS8zMC8yMDI1CQAAAAEwVfNWc0SN3ggjqXl8RI3eCCxDSVEuTllTRTpNS0MuSVFfVE9UQUxfUkVWXzVZUl9BTk5fQ0FHUi4yMDAwLgEAAAC4wwIAAgAAAAY0LjA3NzYBCAAAAAUAAAABMQEAAAALLTE5MDkzMzAyOTUDAAAAAzE2MAIAAAAENDIzMwQAAAABMAcAAAAJMy8yOC8yMDI2CAAAAAoxMS8zMC8yMDI1CQAAAAEwVfNWc0SN3ggjqXl8RI3eCCxDSVEuTllTRTpNS0MuSVFfVE9UQUxfUkVWXzNZUl9BTk5fQ0FHUi4yMDAwLgEAAAC4wwIAAgAAAAYyLjUwNzUBCAAAAAUAAAABMQEAAAALLTE5MDkzMzAyOTUDAAAAAzE2MAIAAAAENDIyMAQAAAABMAcAAAAJMy8yOC8yMDI2CAAAAAoxMS8zMC8yMDI1CQAAAAEwVfNWc0SN3ggLgnl8RI3eCC5DSVEuTllTRTpNS0MuSVFfVE9UQUxfUkVWXzFZUl9BTk5fR1JPV1RILjEwMDAuAQAAALjDAgACAAAABjEuNzM0MQEIAAAABQAAAAExAQAAAAstMTkwOTMzMjI5NgMAAAADMTYwAgAAAAQ0MTk0BAAAAAEwBwAAAAkzLzI4LzIwMjYIAAAACjExLzMwLzIwMjUJAAAAATBV81ZzRI3eCAuCeXxEjd4ILkNJUS5OWVNFOk1LQy5JUV9UT1RBTF9SRVZfMVlSX0FOTl9HUk9XVEguMjAwMC4BAAAAuMMCAAIAAAAGMS43MzQxAQgAAAAFAAAAATEBAAAACy0xOTA5MzMwMjk1AwAAAAMxNjACAAAABDQxOTQEAAAAATAHAAAACTMvMjgvMjAyNggAAAAKMTEvMzAvMjAyNQkAAAAB</t>
  </si>
  <si>
    <t>MFXzVnNEjd4IC4J5fESN3ggjQ0lRLk5ZU0U6TUtDLklRX0VCSVREQV9NQVJHSU4uMTAwMC4BAAAAuMMCAAIAAAAHMTkuMDg5OAEIAAAABQAAAAExAQAAAAstMTkwOTMzMjI5NgMAAAADMTYwAgAAAAQ0MDQ3BAAAAAEwBwAAAAkzLzI4LzIwMjYIAAAACjExLzMwLzIwMjUJAAAAATBV81ZzRI3eCCOpeXxEjd4II0NJUS5OWVNFOk1LQy5JUV9FQklUREFfTUFSR0lOLjIwMDAuAQAAALjDAgACAAAABzE5LjA4OTgBCAAAAAUAAAABMQEAAAALLTE5MDkzMzAyOTUDAAAAAzE2MAIAAAAENDA0NwQAAAABMAcAAAAJMy8yOC8yMDI2CAAAAAoxMS8zMC8yMDI1CQAAAAEwVfNWc0SN3ggjqXl8RI3eCB5DSVEuTllTRTpNS0MuSVFfTklfTUFSR0lOLjk5OC4BAAAAuMMCAAIAAAAHMTAuMjE1OAEIAAAABQAAAAExAQAAAAstMTkwOTMzMjMwMgMAAAADMTYwAgAAAAQ0MDk0BAAAAAEwBwAAAAkzLzI4LzIwMjYIAAAACjExLzMwLzIwMjMJAAAAATBV81ZzRI3eCCOpeXxEjd4IHkNJUS5OWVNFOk1LQy5JUV9OSV9NQVJHSU4uOTk5LgEAAAC4wwIAAgAAAAcxMS43MjcxAQgAAAAFAAAAATEBAAAACy0xOTA5MzMyMzI4AwAAAAMxNjACAAAABDQwOTQEAAAAATAHAAAACTMvMjgvMjAyNggAAAAKMTEvMzAvMjAyNAkAAAABMFXzVnNEjd4II6l5fESN3ggfQ0lRLk5ZU0U6TUtDLklRX05JX01BUkdJTi4xMDAwLgEAAAC4wwIAAgAAAAcx</t>
  </si>
  <si>
    <t>MS41NDA0AQgAAAAFAAAAATEBAAAACy0xOTA5MzMyMjk2AwAAAAMxNjACAAAABDQwOTQEAAAAATAHAAAACTMvMjgvMjAyNggAAAAKMTEvMzAvMjAyNQkAAAABMFXzVnNEjd4II6l5fESN3gghQ0lRLk5ZU0U6TUtDLklRX0dST1NTX01BUkdJTi45OTkuAQAAALjDAgACAAAABzM4LjUzNTMBCAAAAAUAAAABMQEAAAALLTE5MDkzMzIzMjgDAAAAAzE2MAIAAAAENDA3NAQAAAABMAcAAAAJMy8yOC8yMDI2CAAAAAoxMS8zMC8yMDI0CQAAAAEwVfNWc0SN3ggjqXl8RI3eCCJDSVEuTllTRTpNS0MuSVFfR1JPU1NfTUFSR0lOLjEwMDAuAQAAALjDAgACAAAABzM3LjkyNjYBCAAAAAUAAAABMQEAAAALLTE5MDkzMzIyOTYDAAAAAzE2MAIAAAAENDA3NAQAAAABMAcAAAAJMy8yOC8yMDI2CAAAAAoxMS8zMC8yMDI1CQAAAAEwVfNWc0SN3ggjqXl8RI3eCCJDSVEuTllTRTpNS0MuSVFfR1JPU1NfTUFSR0lOLjIwMDAuAQAAALjDAgACAAAABzM3LjkyNjYBCAAAAAUAAAABMQEAAAALLTE5MDkzMzAyOTUDAAAAAzE2MAIAAAAENDA3NAQAAAABMAcAAAAJMy8yOC8yMDI2CAAAAAoxMS8zMC8yMDI1CQAAAAEwVfNWc0SN3ggjqXl8RI3eCCJDSVEuTllTRTpNS0MuSVFfRUJJVERBX01BUkdJTi45OTguAQAAALjDAgACAAAABzE4LjIxNDcBCAAAAAUAAAABMQEAAAALLTE5MDkzMzIzMDIDAAAAAzE2MAIAAAAENDA0NwQAAAABMAcA</t>
  </si>
  <si>
    <t>AAAJMy8yOC8yMDI2CAAAAAoxMS8zMC8yMDIzCQAAAAEwVfNWc0SN3ggjqXl8RI3eCCJDSVEuTllTRTpNS0MuSVFfRUJJVERBX01BUkdJTi45OTkuAQAAALjDAgACAAAABzE4LjgxNTUBCAAAAAUAAAABMQEAAAALLTE5MDkzMzIzMjgDAAAAAzE2MAIAAAAENDA0NwQAAAABMAcAAAAJMy8yOC8yMDI2CAAAAAoxMS8zMC8yMDI0CQAAAAEwVfNWc0SN3ggjqXl8RI3eCCFDSVEuTllTRTpNS0MuSVFfR1JPU1NfTUFSR0lOLjk5OC4BAAAAuMMCAAIAAAAHMzcuNTYyNgEIAAAABQAAAAExAQAAAAstMTkwOTMzMjMwMgMAAAADMTYwAgAAAAQ0MDc0BAAAAAEwBwAAAAkzLzI4LzIwMjYIAAAACjExLzMwLzIwMjMJAAAAATBV81ZzRI3eCCOpeXxEjd4IIENJUS5OWVNFOk1LQy5JUV9QRVJJT0REQVRFLjEwMDAuAQAAALjDAgAFAAAACjMwLzExLzIwMjUAVfNWc0SN3ggo0Hl8RI3eCCBDSVEuTllTRTpNS0MuSVFfUEVSSU9EREFURS4yMDAwLgEAAAC4wwIABQAAAAozMC8xMS8yMDI1AFXzVnNEjd4IKNB5fESN3ggoQ0lRLlNaU0U6MzAwNzYxLklRX0NBU0hfQ09OVkVSU0lPTi4yMDAwLgEAAADv78cTAgAAAAg0OC40Njk4MQEIAAAABQAAAAExAQAAAAstMTkyMDU1MDM1MwMAAAACMzICAAAABDQxODQEAAAAATAHAAAACTMvMjgvMjAyNggAAAAJOS8zMC8yMDI1CQAAAAEwVfNWc0SN3ghlzHh8RI3eCCRDSVEuU1pTRTozMDA3</t>
  </si>
  <si>
    <t>NjEuSVFfQVNTRVRfVFVSTlMuMjAwMC4BAAAA7+/HEwIAAAAHMS4yMDI3NAEIAAAABQAAAAExAQAAAAstMTkyMDU1MDM1MwMAAAACMzICAAAABDQxNzcEAAAAATAHAAAACTMvMjgvMjAyNggAAAAJOS8zMC8yMDI1CQAAAAEwVfNWc0SN3ghPpXh8RI3eCCpDSVEuU1pTRTozMDA3NjEuSVFfRklYRURfQVNTRVRfVFVSTlMuMjAwMC4BAAAA7+/HEwIAAAAIMi4wODg1NTMBCAAAAAUAAAABMQEAAAALLTE5MjA1NTAzNTMDAAAAAjMyAgAAAAQ0MDY2BAAAAAEwBwAAAAkzLzI4LzIwMjYIAAAACTkvMzAvMjAyNQkAAAABMFXzVnNEjd4IT6V4fESN3gghQ0lRLlNaU0U6MzAwNzYxLklRX0FSX1RVUk5TLjIwMDAuAQAAAO/vxxMCAAAACjc4MS4zNjM2OTUBCAAAAAUAAAABMQEAAAALLTE5MjA1NTAzNTMDAAAAAjMyAgAAAAQ0MDAxBAAAAAEwBwAAAAkzLzI4LzIwMjYIAAAACTkvMzAvMjAyNQkAAAABMFXzVnNEjd4IT6V4fESN3ggoQ0lRLlNaU0U6MzAwNzYxLklRX0lOVkVOVE9SWV9UVVJOUy4yMDAwLgEAAADv78cTAgAAAAg1LjQ1NzM0OQEIAAAABQAAAAExAQAAAAstMTkyMDU1MDM1MwMAAAACMzICAAAABDQwODIEAAAAATAHAAAACTMvMjgvMjAyNggAAAAJOS8zMC8yMDI1CQAAAAEwVfNWc0SN3ghPpXh8RI3eCCVDSVEuU1pTRTozMDA3NjEuSVFfQ1VSUkVOVF9SQVRJTy41MDAuAQAAAO/vxxMCAAAACDAuODE1OTA0</t>
  </si>
  <si>
    <t>AQgAAAAFAAAAATEBAAAACy0xOTIwNTUxMDUwAwAAAAIzMgIAAAAENDAzMAQAAAABMAcAAAAJMy8yOC8yMDI2CAAAAAk5LzMwLzIwMjUJAAAAATBV81ZzRI3eCGXMeHxEjd4II0NJUS5TWlNFOjMwMDc2MS5JUV9RVUlDS19SQVRJTy41MDAuAQAAAO/vxxMCAAAACDAuMjk1NTc0AQgAAAAFAAAAATEBAAAACy0xOTIwNTUxMDUwAwAAAAIzMgIAAAAENDEyMQQAAAABMAcAAAAJMy8yOC8yMDI2CAAAAAk5LzMwLzIwMjUJAAAAATBV81ZzRI3eCGXMeHxEjd4IJ0NJUS5TWlNFOjMwMDc2MS5JUV9EQVlTX1NBTEVTX09VVC4yMDAwLgEAAADv78cTAgAAAAgwLjQ2NjgzNQEIAAAABQAAAAExAQAAAAstMTkyMDU1MDM1MwMAAAACMzICAAAABDQwNDIEAAAAATAHAAAACTMvMjgvMjAyNggAAAAJOS8zMC8yMDI1CQAAAAEwVfNWc0SN3ghlzHh8RI3eCCtDSVEuU1pTRTozMDA3NjEuSVFfREFZU19JTlZFTlRPUllfT1VULjIwMDAuAQAAAO/vxxMCAAAACTY2Ljg4MjIzNQEIAAAABQAAAAExAQAAAAstMTkyMDU1MDM1MwMAAAACMzICAAAABDQwMzUEAAAAATAHAAAACTMvMjgvMjAyNggAAAAJOS8zMC8yMDI1CQAAAAEwVfNWc0SN3ghlzHh8RI3eCClDSVEuU1pTRTozMDA3NjEuSVFfREFZU19QQVlBQkxFX09VVC4yMDAwLgEAAADv78cTAgAAAAgxOC44NzkyNgEIAAAABQAAAAExAQAAAAstMTkyMDU1MDM1MwMAAAACMzICAAAA</t>
  </si>
  <si>
    <t>BDQxODMEAAAAATAHAAAACTMvMjgvMjAyNggAAAAJOS8zMC8yMDI1CQAAAAEwVfNWc0SN3ghlzHh8RI3eCClDSVEuU1pTRTozMDA3NjEuSVFfVE9UQUxfREVCVF9FUVVJVFkuNTAwLgEAAADv78cTAgAAAAczOC4zMzg3AQgAAAAFAAAAATEBAAAACy0xOTIwNTUxMDUwAwAAAAIzMgIAAAAENDAzNAQAAAABMAcAAAAJMy8yOC8yMDI2CAAAAAk5LzMwLzIwMjUJAAAAATBV81ZzRI3eCGXMeHxEjd4IKkNJUS5TWlNFOjMwMDc2MS5JUV9UT1RBTF9ERUJUX0NBUElUQUwuNTAwLgEAAADv78cTAgAAAAcyNy43MTM2AQgAAAAFAAAAATEBAAAACy0xOTIwNTUxMDUwAwAAAAIzMgIAAAAENDE4NgQAAAABMAcAAAAJMy8yOC8yMDI2CAAAAAk5LzMwLzIwMjUJAAAAATBV81ZzRI3eCGXMeHxEjd4IJkNJUS5TWlNFOjMwMDc2MS5JUV9SRVRVUk5fRVFVSVRZLjIwMDAuAQAAAO/vxxMCAAAABjcuMDYwOAEIAAAABQAAAAExAQAAAAstMTkyMDU1MDM1MwMAAAACMzICAAAABDQxMjgEAAAAATAHAAAACTMvMjgvMjAyNggAAAAJOS8zMC8yMDI1CQAAAAEwVfNWc0SN3ghlzHh8RI3eCCZDSVEuU1pTRTozMDA3NjEuSVFfUkVUVVJOX0FTU0VUUy4yMDAwLgEAAADv78cTAgAAAAYzLjQxNjEBCAAAAAUAAAABMQEAAAALLTE5MjA1NTAzNTMDAAAAAjMyAgAAAAQ0MTc4BAAAAAEwBwAAAAkzLzI4LzIwMjYIAAAACTkvMzAvMjAyNQkAAAAB</t>
  </si>
  <si>
    <t>MFXzVnNEjd4IZcx4fESN3ggwQ0lRLlNaU0U6MzAwNzYxLklRX1JFVFVSTl9JTlZFU1RFRF9DQVBJVEFMLjIwMDAuAQAAAO/vxxMCAAAABjAuNzY4OABV81ZzRI3eCGXMeHxEjd4IK0NJUS5TWlNFOjMwMDc2MS5JUV9FUFNfMVlSX0FOTl9HUk9XVEguMjAwMC4BAAAA7+/HEwIAAAAILTM2LjAxNjYBCAAAAAUAAAABMQEAAAALLTE5MjA1NTAzNTMDAAAAAjMyAgAAAAQ0MjAwBAAAAAEwBwAAAAkzLzI4LzIwMjYIAAAACTkvMzAvMjAyNQkAAAABMFXzVnNEjd4IZcx4fESN3ggqQ0lRLlNaU0U6MzAwNzYxLklRX1RPVEFMX0RFQlRfRUJJVERBLjIwMDAuAQAAAO/vxxMCAAAACDEuOTg4NDMyAQgAAAAFAAAAATEBAAAACy0xOTIwNTUwMzUzAwAAAAIzMgIAAAAENDE5MgQAAAABMAcAAAAJMy8yOC8yMDI2CAAAAAk5LzMwLzIwMjUJAAAAATBV81ZzRI3eCGXMeHxEjd4IKENJUS5TWlNFOjMwMDc2MS5JUV9ORVRfREVCVF9FQklUREEuMjAwMC4BAAAA7+/HEwIAAAAIMS4xNTgzNjIBCAAAAAUAAAABMQEAAAALLTE5MjA1NTAzNTMDAAAAAjMyAgAAAAQ0MTkzBAAAAAEwBwAAAAkzLzI4LzIwMjYIAAAACTkvMzAvMjAyNQkAAAABMFXzVnNEjd4IZcx4fESN3ggjQ0lRLlNaU0U6MzAwNzYxLklRX0VCSVREQV9JTlQuMjAwMC4BAAAA7+/HEwIAAAAJMjAuMzI3NDQ2AQgAAAAFAAAAATEBAAAACy0xOTIwNTUwMzUzAwAAAAIz</t>
  </si>
  <si>
    <t>MgIAAAAENDE5MAQAAAABMAcAAAAJMy8yOC8yMDI2CAAAAAk5LzMwLzIwMjUJAAAAATBV81ZzRI3eCGXMeHxEjd4IKUNJUS5TWlNFOjMwMDc2MS5JUV9FQklUREFfQ0FQRVhfSU5ULjIwMDAuAQAAAO/vxxMCAAAACDIuMTE2NDgzAQgAAAAFAAAAATEBAAAACy0xOTIwNTUwMzUzAwAAAAIzMgIAAAAENDE5MQQAAAABMAcAAAAJMy8yOC8yMDI2CAAAAAk5LzMwLzIwMjUJAAAAATBV81ZzRI3eCGXMeHxEjd4ILkNJUS5TWlNFOjMwMDc2MS5JUV9FQklUREFfMVlSX0FOTl9HUk9XVEguMTAwMC4BAAAA7+/HEwIAAAAINjM5LjI5MDkBCAAAAAUAAAABMQEAAAALLTE5NTAxMjQ0MjQDAAAAAjMyAgAAAAQ0MTk2BAAAAAEwBwAAAAkzLzI4LzIwMjYIAAAACjEyLzMxLzIwMjQJAAAAATBV81ZzRI3eCAf5eHxEjd4ILkNJUS5TWlNFOjMwMDc2MS5JUV9FQklUREFfMVlSX0FOTl9HUk9XVEguMjAwMC4BAAAA7+/HEwIAAAAGLTQuODQ0AQgAAAAFAAAAATEBAAAACy0xOTIwNTUwMzUzAwAAAAIzMgIAAAAENDE5NgQAAAABMAcAAAAJMy8yOC8yMDI2CAAAAAk5LzMwLzIwMjUJAAAAATBV81ZzRI3eCAf5eHxEjd4IKUNJUS5TWlNFOjMwMDc2MS5JUV9FUFNfNVlSX0FOTl9DQUdSLjIwMDAuAQAAAO/vxxMCAAAABy03LjAyMzQBCAAAAAUAAAABMQEAAAALLTE5MjA1NTAzNTMDAAAAAjMyAgAAAAQ0MjM5BAAAAAEwBwAAAAkzLzI4</t>
  </si>
  <si>
    <t>LzIwMjYIAAAACTkvMzAvMjAyNQkAAAABMFXzVnNEjd4IB/l4fESN3ggpQ0lRLlNaU0U6MzAwNzYxLklRX0VQU18zWVJfQU5OX0NBR1IuMjAwMC4BAAAA7+/HEwIAAAAILTIzLjcyMzIBCAAAAAUAAAABMQEAAAALLTE5MjA1NTAzNTMDAAAAAjMyAgAAAAQ0MjI2BAAAAAEwBwAAAAkzLzI4LzIwMjYIAAAACTkvMzAvMjAyNQkAAAABMFXzVnNEjd4IZcx4fESN3ggrQ0lRLlNaU0U6MzAwNzYxLklRX0VQU18xWVJfQU5OX0dST1dUSC4xMDAwLgEAAADv78cTAwAAAAJOTQEIAAAABQAAAAExAQAAAAstMTk1MDEyNDQyNAMAAAACMzICAAAABDQyMDAEAAAAATAHAAAACTMvMjgvMjAyNggAAAAKMTIvMzEvMjAyNAkAAAABMFXzVnNEjd4IZcx4fESN3ggvQ0lRLlNaU0U6MzAwNzYxLklRX1RPVEFMX1JFVl8zWVJfQU5OX0NBR1IuMjAwMC4BAAAA7+/HEwIAAAAHMTEuNzU4NwEIAAAABQAAAAExAQAAAAstMTkyMDU1MDM1MwMAAAACMzICAAAABDQyMjAEAAAAATAHAAAACTMvMjgvMjAyNggAAAAJOS8zMC8yMDI1CQAAAAEwVfNWc0SN3ggH+Xh8RI3eCDFDSVEuU1pTRTozMDA3NjEuSVFfVE9UQUxfUkVWXzFZUl9BTk5fR1JPV1RILjEwMDAuAQAAAO/vxxMCAAAABzE1LjQ0MDYBCAAAAAUAAAABMQEAAAALLTE5NTAxMjQ0MjQDAAAAAjMyAgAAAAQ0MTk0BAAAAAEwBwAAAAkzLzI4LzIwMjYIAAAACjEyLzMxLzIwMjQJAAAA</t>
  </si>
  <si>
    <t>ATBV81ZzRI3eCAf5eHxEjd4IMUNJUS5TWlNFOjMwMDc2MS5JUV9UT1RBTF9SRVZfMVlSX0FOTl9HUk9XVEguMjAwMC4BAAAA7+/HEwIAAAAGOS44MTc3AQgAAAAFAAAAATEBAAAACy0xOTIwNTUwMzUzAwAAAAIzMgIAAAAENDE5NAQAAAABMAcAAAAJMy8yOC8yMDI2CAAAAAk5LzMwLzIwMjUJAAAAATBV81ZzRI3eCAf5eHxEjd4ILENJUS5TWlNFOjMwMDc2MS5JUV9FQklUREFfNVlSX0FOTl9DQUdSLjIwMDAuAQAAAO/vxxMCAAAABzEwLjYxMTgBCAAAAAUAAAABMQEAAAALLTE5MjA1NTAzNTMDAAAAAjMyAgAAAAQ0MjM1BAAAAAEwBwAAAAkzLzI4LzIwMjYIAAAACTkvMzAvMjAyNQkAAAABMFXzVnNEjd4IB/l4fESN3ggsQ0lRLlNaU0U6MzAwNzYxLklRX0VCSVREQV8zWVJfQU5OX0NBR1IuMjAwMC4BAAAA7+/HEwIAAAAHMjQuMzg3NwEIAAAABQAAAAExAQAAAAstMTkyMDU1MDM1MwMAAAACMzICAAAABDQyMjIEAAAAATAHAAAACTMvMjgvMjAyNggAAAAJOS8zMC8yMDI1CQAAAAEwVfNWc0SN3ggH+Xh8RI3eCCFDSVEuU1pTRTozMDA3NjEuSVFfTklfTUFSR0lOLjk5OC4BAAAA7+/HEwIAAAAGNi4xNjU1AQgAAAAFAAAAATEBAAAACy0yMDAwNzk3MzgzAwAAAAIzMgIAAAAENDA5NAQAAAABMAcAAAAJMy8yOC8yMDI2CAAAAAgxLzEvMjAyMwkAAAABMFXzVnNEjd4IB/l4fESN3gghQ0lRLlNaU0U6MzAwNzYx</t>
  </si>
  <si>
    <t>LklRX05JX01BUkdJTi45OTkuAQAAAO/vxxMCAAAABy0yLjg0ODgBCAAAAAUAAAABMQEAAAALLTE5NTAxMjQ0NjUDAAAAAjMyAgAAAAQ0MDk0BAAAAAEwBwAAAAkzLzI4LzIwMjYIAAAACjEyLzMxLzIwMjMJAAAAATBV81ZzRI3eCAf5eHxEjd4IIkNJUS5TWlNFOjMwMDc2MS5JUV9OSV9NQVJHSU4uMTAwMC4BAAAA7+/HEwIAAAAGOC41ODA5AQgAAAAFAAAAATEBAAAACy0xOTUwMTI0NDI0AwAAAAIzMgIAAAAENDA5NAQAAAABMAcAAAAJMy8yOC8yMDI2CAAAAAoxMi8zMS8yMDI0CQAAAAEwVfNWc0SN3ggH+Xh8RI3eCCJDSVEuU1pTRTozMDA3NjEuSVFfTklfTUFSR0lOLjIwMDAuAQAAAO/vxxMCAAAABjMuNDkyMwEIAAAABQAAAAExAQAAAAstMTkyMDU1MDM1MwMAAAACMzICAAAABDQwOTQEAAAAATAHAAAACTMvMjgvMjAyNggAAAAJOS8zMC8yMDI1CQAAAAEwVfNWc0SN3ggH+Xh8RI3eCC9DSVEuU1pTRTozMDA3NjEuSVFfVE9UQUxfUkVWXzVZUl9BTk5fQ0FHUi4yMDAwLgEAAADv78cTAgAAAAcxNi44MDQ1AQgAAAAFAAAAATEBAAAACy0xOTIwNTUwMzUzAwAAAAIzMgIAAAAENDIzMwQAAAABMAcAAAAJMy8yOC8yMDI2CAAAAAk5LzMwLzIwMjUJAAAAATBV81ZzRI3eCAf5eHxEjd4IJUNJUS5TWlNFOjMwMDc2MS5JUV9HUk9TU19NQVJHSU4uMjAwMC4BAAAA7+/HEwIAAAAGMTEuMTg1AQgAAAAFAAAAATEB</t>
  </si>
  <si>
    <t>AAAACy0xOTIwNTUwMzUzAwAAAAIzMgIAAAAENDA3NAQAAAABMAcAAAAJMy8yOC8yMDI2CAAAAAk5LzMwLzIwMjUJAAAAATBV81ZzRI3eCBYgeXxEjd4IJUNJUS5TWlNFOjMwMDc2MS5JUV9FQklUREFfTUFSR0lOLjk5OC4BAAAA7+/HEwIAAAAHMTEuMDMxMwEIAAAABQAAAAExAQAAAAstMjAwMDc5NzM4MwMAAAACMzICAAAABDQwNDcEAAAAATAHAAAACTMvMjgvMjAyNggAAAAIMS8xLzIwMjMJAAAAATBV81ZzRI3eCBYgeXxEjd4IJUNJUS5TWlNFOjMwMDc2MS5JUV9FQklUREFfTUFSR0lOLjk5OS4BAAAA7+/HEwIAAAAFMi4xMDcBCAAAAAUAAAABMQEAAAALLTE5NTAxMjQ0NjUDAAAAAjMyAgAAAAQ0MDQ3BAAAAAEwBwAAAAkzLzI4LzIwMjYIAAAACjEyLzMxLzIwMjMJAAAAATBV81ZzRI3eCAf5eHxEjd4IJkNJUS5TWlNFOjMwMDc2MS5JUV9FQklUREFfTUFSR0lOLjEwMDAuAQAAAO/vxxMCAAAABzEzLjQ5MzYBCAAAAAUAAAABMQEAAAALLTE5NTAxMjQ0MjQDAAAAAjMyAgAAAAQ0MDQ3BAAAAAEwBwAAAAkzLzI4LzIwMjYIAAAACjEyLzMxLzIwMjQJAAAAATBV81ZzRI3eCAf5eHxEjd4IJkNJUS5TWlNFOjMwMDc2MS5JUV9FQklUREFfTUFSR0lOLjIwMDAuAQAAAO/vxxMCAAAABjkuMjc1NgEIAAAABQAAAAExAQAAAAstMTkyMDU1MDM1MwMAAAACMzICAAAABDQwNDcEAAAAATAHAAAACTMvMjgvMjAyNggA</t>
  </si>
  <si>
    <t>AAAJOS8zMC8yMDI1CQAAAAEwVfNWc0SN3ggH+Xh8RI3eCCRDSVEuU1pTRTozMDA3NjEuSVFfR1JPU1NfTUFSR0lOLjk5OC4BAAAA7+/HEwIAAAAHMTMuMDQzMQEIAAAABQAAAAExAQAAAAstMjAwMDc5NzM4MwMAAAACMzICAAAABDQwNzQEAAAAATAHAAAACTMvMjgvMjAyNggAAAAIMS8xLzIwMjMJAAAAATBV81ZzRI3eCBYgeXxEjd4IJENJUS5TWlNFOjMwMDc2MS5JUV9HUk9TU19NQVJHSU4uOTk5LgEAAADv78cTAgAAAAY0LjAxNDMBCAAAAAUAAAABMQEAAAALLTE5NTAxMjQ0NjUDAAAAAjMyAgAAAAQ0MDc0BAAAAAEwBwAAAAkzLzI4LzIwMjYIAAAACjEyLzMxLzIwMjMJAAAAATBV81ZzRI3eCBYgeXxEjd4IJUNJUS5TWlNFOjMwMDc2MS5JUV9HUk9TU19NQVJHSU4uMTAwMC4BAAAA7+/HEwIAAAAHMTUuNjUxNgEIAAAABQAAAAExAQAAAAstMTk1MDEyNDQyNAMAAAACMzICAAAABDQwNzQEAAAAATAHAAAACTMvMjgvMjAyNggAAAAKMTIvMzEvMjAyNAkAAAABMFXzVnNEjd4IFiB5fESN3ggjQ0lRLlNaU0U6MzAwNzYxLklRX1BFUklPRERBVEUuMTAwMC4BAAAA7+/HEwUAAAAKMzEvMTIvMjAyNABV81ZzRI3eCCJHeXxEjd4II0NJUS5TWlNFOjMwMDc2MS5JUV9QRVJJT0REQVRFLjIwMDAuAQAAAO/vxxMFAAAACjMwLzA5LzIwMjUAVfNWc0SN3ggiR3l8RI3eCCxDSVEuTkFTREFRR1M6TURMWi5JUV9GSVhF</t>
  </si>
  <si>
    <t>RF9BU1NFVF9UVVJOUy4yMDAwLgEAAABtSQsAAgAAAAgzLjU2MDY1NwEIAAAABQAAAAExAQAAAAstMTkwNzY4MDU1NQMAAAADMTYwAgAAAAQ0MDY2BAAAAAEwBwAAAAkzLzI4LzIwMjYIAAAACjEyLzMxLzIwMjUJAAAAATBV81ZzRI3eCAgJeHxEjd4II0NJUS5OQVNEQVFHUzpNRExaLklRX0FSX1RVUk5TLjIwMDAuAQAAAG1JCwACAAAACDkuOTEwNTA1AQgAAAAFAAAAATEBAAAACy0xOTA3NjgwNTU1AwAAAAMxNjACAAAABDQwMDEEAAAAATAHAAAACTMvMjgvMjAyNggAAAAKMTIvMzEvMjAyNQkAAAABMFXzVnNEjd4ICAl4fESN3ggqQ0lRLk5BU0RBUUdTOk1ETFouSVFfSU5WRU5UT1JZX1RVUk5TLjIwMDAuAQAAAG1JCwACAAAACDYuNjk0NjM5AQgAAAAFAAAAATEBAAAACy0xOTA3NjgwNTU1AwAAAAMxNjACAAAABDQwODIEAAAAATAHAAAACTMvMjgvMjAyNggAAAAKMTIvMzEvMjAyNQkAAAABMFXzVnNEjd4ICAl4fESN3ggpQ0lRLk5BU0RBUUdTOk1ETFouSVFfREFZU19TQUxFU19PVVQuMjAwMC4BAAAAbUkLAAIAAAAJMzYuODI5NTk1AQgAAAAFAAAAATEBAAAACy0xOTA3NjgwNTU1AwAAAAMxNjACAAAABDQwNDIEAAAAATAHAAAACTMvMjgvMjAyNggAAAAKMTIvMzEvMjAyNQkAAAABMFXzVnNEjd4ICAl4fESN3ggtQ0lRLk5BU0RBUUdTOk1ETFouSVFfREFZU19JTlZFTlRPUllfT1VULjIwMDAuAQAAAG1J</t>
  </si>
  <si>
    <t>CwACAAAACTU0LjUyMTE0NQEIAAAABQAAAAExAQAAAAstMTkwNzY4MDU1NQMAAAADMTYwAgAAAAQ0MDM1BAAAAAEwBwAAAAkzLzI4LzIwMjYIAAAACjEyLzMxLzIwMjUJAAAAATBV81ZzRI3eCAgJeHxEjd4IK0NJUS5OQVNEQVFHUzpNRExaLklRX0RBWVNfUEFZQUJMRV9PVVQuMjAwMC4BAAAAbUkLAAIAAAAKMTI2LjY4OTY3NQEIAAAABQAAAAExAQAAAAstMTkwNzY4MDU1NQMAAAADMTYwAgAAAAQ0MTgzBAAAAAEwBwAAAAkzLzI4LzIwMjYIAAAACjEyLzMxLzIwMjUJAAAAATBV81ZzRI3eCAgJeHxEjd4IKkNJUS5OQVNEQVFHUzpNRExaLklRX0NBU0hfQ09OVkVSU0lPTi4yMDAwLgEAAABtSQsAAgAAAAotMzUuMzM4OTM1AQgAAAAFAAAAATEBAAAACy0xOTA3NjgwNTU1AwAAAAMxNjACAAAABDQxODQEAAAAATAHAAAACTMvMjgvMjAyNggAAAAKMTIvMzEvMjAyNQkAAAABMFXzVnNEjd4ICAl4fESN3ggmQ0lRLk5BU0RBUUdTOk1ETFouSVFfQVNTRVRfVFVSTlMuMjAwMC4BAAAAbUkLAAIAAAAIMC41NTA1OTEBCAAAAAUAAAABMQEAAAALLTE5MDc2ODA1NTUDAAAAAzE2MAIAAAAENDE3NwQAAAABMAcAAAAJMy8yOC8yMDI2CAAAAAoxMi8zMS8yMDI1CQAAAAEwVfNWc0SN3ggICXh8RI3eCChDSVEuTkFTREFRR1M6TURMWi5JUV9SRVRVUk5fRVFVSVRZLjIwMDAuAQAAAG1JCwACAAAABjkuMzMyMgEIAAAABQAA</t>
  </si>
  <si>
    <t>AAExAQAAAAstMTkwNzY4MDU1NQMAAAADMTYwAgAAAAQ0MTI4BAAAAAEwBwAAAAkzLzI4LzIwMjYIAAAACjEyLzMxLzIwMjUJAAAAATBV81ZzRI3eCCIweHxEjd4IKENJUS5OQVNEQVFHUzpNRExaLklRX1JFVFVSTl9BU1NFVFMuMjAwMC4BAAAAbUkLAAIAAAAGMy4yNDMyAQgAAAAFAAAAATEBAAAACy0xOTA3NjgwNTU1AwAAAAMxNjACAAAABDQxNzgEAAAAATAHAAAACTMvMjgvMjAyNggAAAAKMTIvMzEvMjAyNQkAAAABMFXzVnNEjd4IIjB4fESN3ggyQ0lRLk5BU0RBUUdTOk1ETFouSVFfUkVUVVJOX0lOVkVTVEVEX0NBUElUQUwuMjAwMC4BAAAAbUkLAAIAAAAHLTAuMDc3MQBV81ZzRI3eCCIweHxEjd4IJ0NJUS5OQVNEQVFHUzpNRExaLklRX0NVUlJFTlRfUkFUSU8uNTAwLgEAAABtSQsAAgAAAAgwLjU5MjM0MwEIAAAABQAAAAExAQAAAAstMTkwNzY4MDUzOAMAAAADMTYwAgAAAAQ0MDMwBAAAAAEwBwAAAAkzLzI4LzIwMjYIAAAACjEyLzMxLzIwMjUJAAAAATBV81ZzRI3eCCIweHxEjd4IJUNJUS5OQVNEQVFHUzpNRExaLklRX1FVSUNLX1JBVElPLjUwMC4BAAAAbUkLAAIAAAAIMC4zMTkzODMBCAAAAAUAAAABMQEAAAALLTE5MDc2ODA1MzgDAAAAAzE2MAIAAAAENDEyMQQAAAABMAcAAAAJMy8yOC8yMDI2CAAAAAoxMi8zMS8yMDI1CQAAAAEwVfNWc0SN3ggiMHh8RI3eCCpDSVEuTkFTREFRR1M6TURM</t>
  </si>
  <si>
    <t>Wi5JUV9ORVRfREVCVF9FQklUREEuMjAwMC4BAAAAbUkLAAIAAAAIMy40MzQ4MjcBCAAAAAUAAAABMQEAAAALLTE5MDc2ODA1NTUDAAAAAzE2MAIAAAAENDE5MwQAAAABMAcAAAAJMy8yOC8yMDI2CAAAAAoxMi8zMS8yMDI1CQAAAAEwVfNWc0SN3ggiMHh8RI3eCCVDSVEuTkFTREFRR1M6TURMWi5JUV9FQklUREFfSU5ULjIwMDAuAQAAAG1JCwACAAAACDkuODkyMTIzAQgAAAAFAAAAATEBAAAACy0xOTA3NjgwNTU1AwAAAAMxNjACAAAABDQxOTAEAAAAATAHAAAACTMvMjgvMjAyNggAAAAKMTIvMzEvMjAyNQkAAAABMFXzVnNEjd4IIjB4fESN3ggrQ0lRLk5BU0RBUUdTOk1ETFouSVFfRUJJVERBX0NBUEVYX0lOVC4yMDAwLgEAAABtSQsAAgAAAAg3LjcwMjA1NAEIAAAABQAAAAExAQAAAAstMTkwNzY4MDU1NQMAAAADMTYwAgAAAAQ0MTkxBAAAAAEwBwAAAAkzLzI4LzIwMjYIAAAACjEyLzMxLzIwMjUJAAAAATBV81ZzRI3eCCIweHxEjd4IK0NJUS5OQVNEQVFHUzpNRExaLklRX1RPVEFMX0RFQlRfRVFVSVRZLjUwMC4BAAAAbUkLAAIAAAAGODQuODQ4AQgAAAAFAAAAATEBAAAACy0xOTA3NjgwNTM4AwAAAAMxNjACAAAABDQwMzQEAAAAATAHAAAACTMvMjgvMjAyNggAAAAKMTIvMzEvMjAyNQkAAAABMFXzVnNEjd4IIjB4fESN3ggsQ0lRLk5BU0RBUUdTOk1ETFouSVFfVE9UQUxfREVCVF9DQVBJVEFMLjUw</t>
  </si>
  <si>
    <t>MC4BAAAAbUkLAAIAAAAHNDUuOTAxNQEIAAAABQAAAAExAQAAAAstMTkwNzY4MDUzOAMAAAADMTYwAgAAAAQ0MTg2BAAAAAEwBwAAAAkzLzI4LzIwMjYIAAAACjEyLzMxLzIwMjUJAAAAATBV81ZzRI3eCCIweHxEjd4IK0NJUS5OQVNEQVFHUzpNRExaLklRX0VQU181WVJfQU5OX0NBR1IuMjAwMC4BAAAAbUkLAAIAAAAHLTUuMjEyMQEIAAAABQAAAAExAQAAAAstMTkwNzY4MDU1NQMAAAADMTYwAgAAAAQ0MjM5BAAAAAEwBwAAAAkzLzI4LzIwMjYIAAAACjEyLzMxLzIwMjUJAAAAATBV81ZzRI3eCCIweHxEjd4IK0NJUS5OQVNEQVFHUzpNRExaLklRX0VQU18zWVJfQU5OX0NBR1IuMjAwMC4BAAAAbUkLAAIAAAAGLTEuMjA1AQgAAAAFAAAAATEBAAAACy0xOTA3NjgwNTU1AwAAAAMxNjACAAAABDQyMjYEAAAAATAHAAAACTMvMjgvMjAyNggAAAAKMTIvMzEvMjAyNQkAAAABMFXzVnNEjd4IIjB4fESN3ggtQ0lRLk5BU0RBUUdTOk1ETFouSVFfRVBTXzFZUl9BTk5fR1JPV1RILjEwMDAuAQAAAG1JCwACAAAACC00NC43MzY5AQgAAAAFAAAAATEBAAAACy0xOTA3Njg1MDk5AwAAAAMxNjACAAAABDQyMDAEAAAAATAHAAAACTMvMjgvMjAyNggAAAAKMTIvMzEvMjAyNQkAAAABMFXzVnNEjd4IIjB4fESN3ggtQ0lRLk5BU0RBUUdTOk1ETFouSVFfRVBTXzFZUl9BTk5fR1JPV1RILjIwMDAuAQAAAG1JCwACAAAACC00</t>
  </si>
  <si>
    <t>NC43MzY5AQgAAAAFAAAAATEBAAAACy0xOTA3NjgwNTU1AwAAAAMxNjACAAAABDQyMDAEAAAAATAHAAAACTMvMjgvMjAyNggAAAAKMTIvMzEvMjAyNQkAAAABMFXzVnNEjd4IIjB4fESN3ggsQ0lRLk5BU0RBUUdTOk1ETFouSVFfVE9UQUxfREVCVF9FQklUREEuMjAwMC4BAAAAbUkLAAIAAAAIMy44MDI2NjUBCAAAAAUAAAABMQEAAAALLTE5MDc2ODA1NTUDAAAAAzE2MAIAAAAENDE5MgQAAAABMAcAAAAJMy8yOC8yMDI2CAAAAAoxMi8zMS8yMDI1CQAAAAEwVfNWc0SN3ggiMHh8RI3eCDNDSVEuTkFTREFRR1M6TURMWi5JUV9UT1RBTF9SRVZfMVlSX0FOTl9HUk9XVEguMjAwMC4BAAAAbUkLAAIAAAAGNS43NTE3AQgAAAAFAAAAATEBAAAACy0xOTA3NjgwNTU1AwAAAAMxNjACAAAABDQxOTQEAAAAATAHAAAACTMvMjgvMjAyNggAAAAKMTIvMzEvMjAyNQkAAAABMFXzVnNEjd4IKFd4fESN3gguQ0lRLk5BU0RBUUdTOk1ETFouSVFfRUJJVERBXzVZUl9BTk5fQ0FHUi4yMDAwLgEAAABtSQsAAgAAAActMS42MjUxAQgAAAAFAAAAATEBAAAACy0xOTA3NjgwNTU1AwAAAAMxNjACAAAABDQyMzUEAAAAATAHAAAACTMvMjgvMjAyNggAAAAKMTIvMzEvMjAyNQkAAAABMFXzVnNEjd4IKFd4fESN3gguQ0lRLk5BU0RBUUdTOk1ETFouSVFfRUJJVERBXzNZUl9BTk5fQ0FHUi4yMDAwLgEAAABtSQsAAgAAAActNS4wOTcz</t>
  </si>
  <si>
    <t>AQgAAAAFAAAAATEBAAAACy0xOTA3NjgwNTU1AwAAAAMxNjACAAAABDQyMjIEAAAAATAHAAAACTMvMjgvMjAyNggAAAAKMTIvMzEvMjAyNQkAAAABMFXzVnNEjd4IKFd4fESN3ggwQ0lRLk5BU0RBUUdTOk1ETFouSVFfRUJJVERBXzFZUl9BTk5fR1JPV1RILjEwMDAuAQAAAG1JCwACAAAACC0zNS41Mjk4AQgAAAAFAAAAATEBAAAACy0xOTA3Njg1MDk5AwAAAAMxNjACAAAABDQxOTYEAAAAATAHAAAACTMvMjgvMjAyNggAAAAKMTIvMzEvMjAyNQkAAAABMFXzVnNEjd4IKFd4fESN3ggwQ0lRLk5BU0RBUUdTOk1ETFouSVFfRUJJVERBXzFZUl9BTk5fR1JPV1RILjIwMDAuAQAAAG1JCwACAAAACC0zNS41Mjk4AQgAAAAFAAAAATEBAAAACy0xOTA3NjgwNTU1AwAAAAMxNjACAAAABDQxOTYEAAAAATAHAAAACTMvMjgvMjAyNggAAAAKMTIvMzEvMjAyNQkAAAABMFXzVnNEjd4IKFd4fESN3ggkQ0lRLk5BU0RBUUdTOk1ETFouSVFfTklfTUFSR0lOLjEwMDAuAQAAAG1JCwACAAAABjYuMzYwMQEIAAAABQAAAAExAQAAAAstMTkwNzY4NTA5OQMAAAADMTYwAgAAAAQ0MDk0BAAAAAEwBwAAAAkzLzI4LzIwMjYIAAAACjEyLzMxLzIwMjUJAAAAATBV81ZzRI3eCChXeHxEjd4IJENJUS5OQVNEQVFHUzpNRExaLklRX05JX01BUkdJTi4yMDAwLgEAAABtSQsAAgAAAAY2LjM2MDEBCAAAAAUAAAABMQEAAAALLTE5MDc2ODA1</t>
  </si>
  <si>
    <t>NTUDAAAAAzE2MAIAAAAENDA5NAQAAAABMAcAAAAJMy8yOC8yMDI2CAAAAAoxMi8zMS8yMDI1CQAAAAEwVfNWc0SN3ggoV3h8RI3eCDFDSVEuTkFTREFRR1M6TURMWi5JUV9UT1RBTF9SRVZfNVlSX0FOTl9DQUdSLjIwMDAuAQAAAG1JCwACAAAABjcuNzExMwEIAAAABQAAAAExAQAAAAstMTkwNzY4MDU1NQMAAAADMTYwAgAAAAQ0MjMzBAAAAAEwBwAAAAkzLzI4LzIwMjYIAAAACjEyLzMxLzIwMjUJAAAAATBV81ZzRI3eCChXeHxEjd4IMUNJUS5OQVNEQVFHUzpNRExaLklRX1RPVEFMX1JFVl8zWVJfQU5OX0NBR1IuMjAwMC4BAAAAbUkLAAIAAAAGNi45NTY2AQgAAAAFAAAAATEBAAAACy0xOTA3NjgwNTU1AwAAAAMxNjACAAAABDQyMjAEAAAAATAHAAAACTMvMjgvMjAyNggAAAAKMTIvMzEvMjAyNQkAAAABMFXzVnNEjd4IKFd4fESN3ggzQ0lRLk5BU0RBUUdTOk1ETFouSVFfVE9UQUxfUkVWXzFZUl9BTk5fR1JPV1RILjEwMDAuAQAAAG1JCwACAAAABjUuNzUxNwEIAAAABQAAAAExAQAAAAstMTkwNzY4NTA5OQMAAAADMTYwAgAAAAQ0MTk0BAAAAAEwBwAAAAkzLzI4LzIwMjYIAAAACjEyLzMxLzIwMjUJAAAAATBV81ZzRI3eCChXeHxEjd4IJ0NJUS5OQVNEQVFHUzpNRExaLklRX0VCSVREQV9NQVJHSU4uOTk5LgEAAABtSQsAAgAAAAcyMS4yMzk4AQgAAAAFAAAAATEBAAAACy0xOTA3Njg1MDk0AwAAAAMx</t>
  </si>
  <si>
    <t>NjACAAAABDQwNDcEAAAAATAHAAAACTMvMjgvMjAyNggAAAAKMTIvMzEvMjAyNAkAAAABMFXzVnNEjd4IRH54fESN3ggoQ0lRLk5BU0RBUUdTOk1ETFouSVFfRUJJVERBX01BUkdJTi4xMDAwLgEAAABtSQsAAgAAAAcxMi45NDg1AQgAAAAFAAAAATEBAAAACy0xOTA3Njg1MDk5AwAAAAMxNjACAAAABDQwNDcEAAAAATAHAAAACTMvMjgvMjAyNggAAAAKMTIvMzEvMjAyNQkAAAABMFXzVnNEjd4IRH54fESN3ggoQ0lRLk5BU0RBUUdTOk1ETFouSVFfRUJJVERBX01BUkdJTi4yMDAwLgEAAABtSQsAAgAAAAcxMi45NDg1AQgAAAAFAAAAATEBAAAACy0xOTA3NjgwNTU1AwAAAAMxNjACAAAABDQwNDcEAAAAATAHAAAACTMvMjgvMjAyNggAAAAKMTIvMzEvMjAyNQkAAAABMFXzVnNEjd4IRH54fESN3ggjQ0lRLk5BU0RBUUdTOk1ETFouSVFfTklfTUFSR0lOLjk5OC4BAAAAbUkLAAIAAAAHMTMuNzY4OAEIAAAABQAAAAExAQAAAAstMTkwNzY4NTA5MQMAAAADMTYwAgAAAAQ0MDk0BAAAAAEwBwAAAAkzLzI4LzIwMjYIAAAACjEyLzMxLzIwMjMJAAAAATBV81ZzRI3eCChXeHxEjd4II0NJUS5OQVNEQVFHUzpNRExaLklRX05JX01BUkdJTi45OTkuAQAAAG1JCwACAAAABzEyLjY1MzMBCAAAAAUAAAABMQEAAAALLTE5MDc2ODUwOTQDAAAAAzE2MAIAAAAENDA5NAQAAAABMAcAAAAJMy8yOC8yMDI2CAAAAAoxMi8zMS8y</t>
  </si>
  <si>
    <t>MDI0CQAAAAEwVfNWc0SN3ggoV3h8RI3eCCZDSVEuTkFTREFRR1M6TURMWi5JUV9HUk9TU19NQVJHSU4uOTk4LgEAAABtSQsAAgAAAAczOC4yMTYzAQgAAAAFAAAAATEBAAAACy0xOTA3Njg1MDkxAwAAAAMxNjACAAAABDQwNzQEAAAAATAHAAAACTMvMjgvMjAyNggAAAAKMTIvMzEvMjAyMwkAAAABMFXzVnNEjd4IRH54fESN3ggmQ0lRLk5BU0RBUUdTOk1ETFouSVFfR1JPU1NfTUFSR0lOLjk5OS4BAAAAbUkLAAIAAAAHMzkuMTIzNQEIAAAABQAAAAExAQAAAAstMTkwNzY4NTA5NAMAAAADMTYwAgAAAAQ0MDc0BAAAAAEwBwAAAAkzLzI4LzIwMjYIAAAACjEyLzMxLzIwMjQJAAAAATBV81ZzRI3eCER+eHxEjd4IJ0NJUS5OQVNEQVFHUzpNRExaLklRX0dST1NTX01BUkdJTi4xMDAwLgEAAABtSQsAAgAAAAcyOC4zNzUzAQgAAAAFAAAAATEBAAAACy0xOTA3Njg1MDk5AwAAAAMxNjACAAAABDQwNzQEAAAAATAHAAAACTMvMjgvMjAyNggAAAAKMTIvMzEvMjAyNQkAAAABMFXzVnNEjd4IRH54fESN3ggnQ0lRLk5BU0RBUUdTOk1ETFouSVFfR1JPU1NfTUFSR0lOLjIwMDAuAQAAAG1JCwACAAAABzI4LjM3NTMBCAAAAAUAAAABMQEAAAALLTE5MDc2ODA1NTUDAAAAAzE2MAIAAAAENDA3NAQAAAABMAcAAAAJMy8yOC8yMDI2CAAAAAoxMi8zMS8yMDI1CQAAAAEwVfNWc0SN3ghEfnh8RI3eCCdDSVEuTkFTREFRR1M6</t>
  </si>
  <si>
    <t>TURMWi5JUV9FQklUREFfTUFSR0lOLjk5OC4BAAAAbUkLAAIAAAAHMTkuMTUyNQEIAAAABQAAAAExAQAAAAstMTkwNzY4NTA5MQMAAAADMTYwAgAAAAQ0MDQ3BAAAAAEwBwAAAAkzLzI4LzIwMjYIAAAACjEyLzMxLzIwMjMJAAAAATBV81ZzRI3eCER+eHxEjd4IJUNJUS5OQVNEQVFHUzpNRExaLklRX1BFUklPRERBVEUuMTAwMC4BAAAAbUkLAAUAAAAKMzEvMTIvMjAyNQBV81ZzRI3eCE+leHxEjd4IJUNJUS5OQVNEQVFHUzpNRExaLklRX1BFUklPRERBVEUuMjAwMC4BAAAAbUkLAAUAAAAKMzEvMTIvMjAyNQBV81ZzRI3eCE+leHxEjd4IJkNJUS5OWVNFOlBPU1QuSVFfQ0FTSF9DT05WRVJTSU9OLjIwMDAuAQAAAI+9ZggCAAAACDQ0LjQwMjI1AQgAAAAFAAAAATEBAAAACy0xOTA3ODAwMDU0AwAAAAMxNjACAAAABDQxODQEAAAAATAHAAAACTMvMjgvMjAyNggAAAAKMTIvMzEvMjAyNQkAAAABMFXzVnNEjd4IEqx2fESN3ggiQ0lRLk5ZU0U6UE9TVC5JUV9BU1NFVF9UVVJOUy4yMDAwLgEAAACPvWYIAgAAAAgwLjY0NzgwOQEIAAAABQAAAAExAQAAAAstMTkwNzgwMDA1NAMAAAADMTYwAgAAAAQ0MTc3BAAAAAEwBwAAAAkzLzI4LzIwMjYIAAAACjEyLzMxLzIwMjUJAAAAATBV81ZzRI3eCBKsdnxEjd4IKENJUS5OWVNFOlBPU1QuSVFfRklYRURfQVNTRVRfVFVSTlMuMjAwMC4BAAAAj71mCAIAAAAIMy4zNTQ5</t>
  </si>
  <si>
    <t>NDIBCAAAAAUAAAABMQEAAAALLTE5MDc4MDAwNTQDAAAAAzE2MAIAAAAENDA2NgQAAAABMAcAAAAJMy8yOC8yMDI2CAAAAAoxMi8zMS8yMDI1CQAAAAEwVfNWc0SN3ggSrHZ8RI3eCB9DSVEuTllTRTpQT1NULklRX0FSX1RVUk5TLjIwMDAuAQAAAI+9ZggCAAAACTEzLjAzNDkzNAEIAAAABQAAAAExAQAAAAstMTkwNzgwMDA1NAMAAAADMTYwAgAAAAQ0MDAxBAAAAAEwBwAAAAkzLzI4LzIwMjYIAAAACjEyLzMxLzIwMjUJAAAAATBV81ZzRI3eCBKsdnxEjd4IJkNJUS5OWVNFOlBPU1QuSVFfSU5WRU5UT1JZX1RVUk5TLjIwMDAuAQAAAI+9ZggCAAAACDcuMjUxMjU5AQgAAAAFAAAAATEBAAAACy0xOTA3ODAwMDU0AwAAAAMxNjACAAAABDQwODIEAAAAATAHAAAACTMvMjgvMjAyNggAAAAKMTIvMzEvMjAyNQkAAAABMFXzVnNEjd4IEqx2fESN3ggjQ0lRLk5ZU0U6UE9TVC5JUV9DVVJSRU5UX1JBVElPLjUwMC4BAAAAj71mCAIAAAAIMS44OTY5ODkBCAAAAAUAAAABMQEAAAALLTE5MDc4MDAxMDMDAAAAAzE2MAIAAAAENDAzMAQAAAABMAcAAAAJMy8yOC8yMDI2CAAAAAoxMi8zMS8yMDI1CQAAAAEwVfNWc0SN3ggm03Z8RI3eCCFDSVEuTllTRTpQT1NULklRX1FVSUNLX1JBVElPLjUwMC4BAAAAj71mCAIAAAAIMC45MjMyNDcBCAAAAAUAAAABMQEAAAALLTE5MDc4MDAxMDMDAAAAAzE2MAIAAAAENDEyMQQAAAAB</t>
  </si>
  <si>
    <t>MAcAAAAJMy8yOC8yMDI2CAAAAAoxMi8zMS8yMDI1CQAAAAEwVfNWc0SN3ggSrHZ8RI3eCCVDSVEuTllTRTpQT1NULklRX0RBWVNfU0FMRVNfT1VULjIwMDAuAQAAAI+9ZggCAAAACDI4LjAwMTM0AQgAAAAFAAAAATEBAAAACy0xOTA3ODAwMDU0AwAAAAMxNjACAAAABDQwNDIEAAAAATAHAAAACTMvMjgvMjAyNggAAAAKMTIvMzEvMjAyNQkAAAABMFXzVnNEjd4IEqx2fESN3ggpQ0lRLk5ZU0U6UE9TVC5JUV9EQVlTX0lOVkVOVE9SWV9PVVQuMjAwMC4BAAAAj71mCAIAAAAJNTAuMzM2MDU1AQgAAAAFAAAAATEBAAAACy0xOTA3ODAwMDU0AwAAAAMxNjACAAAABDQwMzUEAAAAATAHAAAACTMvMjgvMjAyNggAAAAKMTIvMzEvMjAyNQkAAAABMFXzVnNEjd4IEqx2fESN3ggnQ0lRLk5ZU0U6UE9TVC5JUV9EQVlTX1BBWUFCTEVfT1VULjIwMDAuAQAAAI+9ZggCAAAACTMzLjkzNTE0NQEIAAAABQAAAAExAQAAAAstMTkwNzgwMDA1NAMAAAADMTYwAgAAAAQ0MTgzBAAAAAEwBwAAAAkzLzI4LzIwMjYIAAAACjEyLzMxLzIwMjUJAAAAATBV81ZzRI3eCBKsdnxEjd4IJ0NJUS5OWVNFOlBPU1QuSVFfVE9UQUxfREVCVF9FUVVJVFkuNTAwLgEAAACPvWYIAgAAAAgyMTUuMTY5NgEIAAAABQAAAAExAQAAAAstMTkwNzgwMDEwMwMAAAADMTYwAgAAAAQ0MDM0BAAAAAEwBwAAAAkzLzI4LzIwMjYIAAAACjEyLzMxLzIwMjUJ</t>
  </si>
  <si>
    <t>AAAAATBV81ZzRI3eCCbTdnxEjd4IKENJUS5OWVNFOlBPU1QuSVFfVE9UQUxfREVCVF9DQVBJVEFMLjUwMC4BAAAAj71mCAIAAAAGNjguMjcxAQgAAAAFAAAAATEBAAAACy0xOTA3ODAwMTAzAwAAAAMxNjACAAAABDQxODYEAAAAATAHAAAACTMvMjgvMjAyNggAAAAKMTIvMzEvMjAyNQkAAAABMFXzVnNEjd4IJtN2fESN3ggkQ0lRLk5ZU0U6UE9TVC5JUV9SRVRVUk5fRVFVSVRZLjIwMDAuAQAAAI+9ZggCAAAABTguNjcyAQgAAAAFAAAAATEBAAAACy0xOTA3ODAwMDU0AwAAAAMxNjACAAAABDQxMjgEAAAAATAHAAAACTMvMjgvMjAyNggAAAAKMTIvMzEvMjAyNQkAAAABMFXzVnNEjd4IJtN2fESN3ggkQ0lRLk5ZU0U6UE9TVC5JUV9SRVRVUk5fQVNTRVRTLjIwMDAuAQAAAI+9ZggCAAAABTQuMTk2AQgAAAAFAAAAATEBAAAACy0xOTA3ODAwMDU0AwAAAAMxNjACAAAABDQxNzgEAAAAATAHAAAACTMvMjgvMjAyNggAAAAKMTIvMzEvMjAyNQkAAAABMFXzVnNEjd4IJtN2fESN3gguQ0lRLk5ZU0U6UE9TVC5JUV9SRVRVUk5fSU5WRVNURURfQ0FQSVRBTC4yMDAwLgEAAACPvWYIAgAAAAYyLjkzMTkAVfNWc0SN3ggm03Z8RI3eCClDSVEuTllTRTpQT1NULklRX0VQU18xWVJfQU5OX0dST1dUSC4yMDAwLgEAAACPvWYIAgAAAAgtMTEuMDQ2MwEIAAAABQAAAAExAQAAAAstMTkwNzgwMDA1NAMAAAADMTYwAgAAAAQ0</t>
  </si>
  <si>
    <t>MjAwBAAAAAEwBwAAAAkzLzI4LzIwMjYIAAAACjEyLzMxLzIwMjUJAAAAATBV81ZzRI3eCKAFd3xEjd4IKENJUS5OWVNFOlBPU1QuSVFfVE9UQUxfREVCVF9FQklUREEuMjAwMC4BAAAAj71mCAIAAAAHNC45MjU2MQEIAAAABQAAAAExAQAAAAstMTkwNzgwMDA1NAMAAAADMTYwAgAAAAQ0MTkyBAAAAAEwBwAAAAkzLzI4LzIwMjYIAAAACjEyLzMxLzIwMjUJAAAAATBV81ZzRI3eCKAFd3xEjd4IJkNJUS5OWVNFOlBPU1QuSVFfTkVUX0RFQlRfRUJJVERBLjIwMDAuAQAAAI+9ZggCAAAACDQuNzQxMjU0AQgAAAAFAAAAATEBAAAACy0xOTA3ODAwMDU0AwAAAAMxNjACAAAABDQxOTMEAAAAATAHAAAACTMvMjgvMjAyNggAAAAKMTIvMzEvMjAyNQkAAAABMFXzVnNEjd4IJtN2fESN3gghQ0lRLk5ZU0U6UE9TVC5JUV9FQklUREFfSU5ULjIwMDAuAQAAAI+9ZggCAAAACDQuMDUyOTY5AQgAAAAFAAAAATEBAAAACy0xOTA3ODAwMDU0AwAAAAMxNjACAAAABDQxOTAEAAAAATAHAAAACTMvMjgvMjAyNggAAAAKMTIvMzEvMjAyNQkAAAABMFXzVnNEjd4IJtN2fESN3ggnQ0lRLk5ZU0U6UE9TVC5JUV9FQklUREFfQ0FQRVhfSU5ULjIwMDAuAQAAAI+9ZggCAAAACDIuNzQ4NTI4AQgAAAAFAAAAATEBAAAACy0xOTA3ODAwMDU0AwAAAAMxNjACAAAABDQxOTEEAAAAATAHAAAACTMvMjgvMjAyNggAAAAKMTIvMzEvMjAyNQkA</t>
  </si>
  <si>
    <t>AAABMFXzVnNEjd4IJtN2fESN3ggsQ0lRLk5ZU0U6UE9TVC5JUV9FQklUREFfMVlSX0FOTl9HUk9XVEguMTAwMC4BAAAAj71mCAIAAAAGNi4zNDU2AQgAAAAFAAAAATEBAAAACy0xOTE0ODgyNDYxAwAAAAMxNjACAAAABDQxOTYEAAAAATAHAAAACTMvMjgvMjAyNggAAAAJOS8zMC8yMDI1CQAAAAEwVfNWc0SN3gigBXd8RI3eCCxDSVEuTllTRTpQT1NULklRX0VCSVREQV8xWVJfQU5OX0dST1dUSC4yMDAwLgEAAACPvWYIAgAAAAY4Ljk1MjMBCAAAAAUAAAABMQEAAAALLTE5MDc4MDAwNTQDAAAAAzE2MAIAAAAENDE5NgQAAAABMAcAAAAJMy8yOC8yMDI2CAAAAAoxMi8zMS8yMDI1CQAAAAEwVfNWc0SN3gigBXd8RI3eCCdDSVEuTllTRTpQT1NULklRX0VQU181WVJfQU5OX0NBR1IuMjAwMC4BAAAAj71mCAMAAAACTk0BCAAAAAUAAAABMQEAAAALLTE5MDc4MDAwNTQDAAAAAzE2MAIAAAAENDIzOQQAAAABMAcAAAAJMy8yOC8yMDI2CAAAAAoxMi8zMS8yMDI1CQAAAAEwVfNWc0SN3gigBXd8RI3eCCdDSVEuTllTRTpQT1NULklRX0VQU18zWVJfQU5OX0NBR1IuMjAwMC4BAAAAj71mCAIAAAAILTI2Ljg2OTcBCAAAAAUAAAABMQEAAAALLTE5MDc4MDAwNTQDAAAAAzE2MAIAAAAENDIyNgQAAAABMAcAAAAJMy8yOC8yMDI2CAAAAAoxMi8zMS8yMDI1CQAAAAEwVfNWc0SN3gigBXd8RI3eCClDSVEuTllTRTpQT1NU</t>
  </si>
  <si>
    <t>LklRX0VQU18xWVJfQU5OX0dST1dUSC4xMDAwLgEAAACPvWYIAgAAAActMi4zNzI2AQgAAAAFAAAAATEBAAAACy0xOTE0ODgyNDYxAwAAAAMxNjACAAAABDQyMDAEAAAAATAHAAAACTMvMjgvMjAyNggAAAAJOS8zMC8yMDI1CQAAAAEwVfNWc0SN3gigBXd8RI3eCC1DSVEuTllTRTpQT1NULklRX1RPVEFMX1JFVl8zWVJfQU5OX0NBR1IuMjAwMC4BAAAAj71mCAIAAAAHMTEuMTkwMQEIAAAABQAAAAExAQAAAAstMTkwNzgwMDA1NAMAAAADMTYwAgAAAAQ0MjIwBAAAAAEwBwAAAAkzLzI4LzIwMjYIAAAACjEyLzMxLzIwMjUJAAAAATBV81ZzRI3eCKAFd3xEjd4IL0NJUS5OWVNFOlBPU1QuSVFfVE9UQUxfUkVWXzFZUl9BTk5fR1JPV1RILjEwMDAuAQAAAI+9ZggCAAAABjIuOTcxMgEIAAAABQAAAAExAQAAAAstMTkxNDg4MjQ2MQMAAAADMTYwAgAAAAQ0MTk0BAAAAAEwBwAAAAkzLzI4LzIwMjYIAAAACTkvMzAvMjAyNQkAAAABMFXzVnNEjd4IoAV3fESN3ggvQ0lRLk5ZU0U6UE9TVC5JUV9UT1RBTF9SRVZfMVlSX0FOTl9HUk9XVEguMjAwMC4BAAAAj71mCAIAAAAGNS4zNzcyAQgAAAAFAAAAATEBAAAACy0xOTA3ODAwMDU0AwAAAAMxNjACAAAABDQxOTQEAAAAATAHAAAACTMvMjgvMjAyNggAAAAKMTIvMzEvMjAyNQkAAAABMFXzVnNEjd4IoAV3fESN3ggqQ0lRLk5ZU0U6UE9TVC5JUV9FQklUREFfNVlSX0FO</t>
  </si>
  <si>
    <t>Tl9DQUdSLjIwMDAuAQAAAI+9ZggCAAAABjcuNDM0OQEIAAAABQAAAAExAQAAAAstMTkwNzgwMDA1NAMAAAADMTYwAgAAAAQ0MjM1BAAAAAEwBwAAAAkzLzI4LzIwMjYIAAAACjEyLzMxLzIwMjUJAAAAATBV81ZzRI3eCKAFd3xEjd4IKkNJUS5OWVNFOlBPU1QuSVFfRUJJVERBXzNZUl9BTk5fQ0FHUi4yMDAwLgEAAACPvWYIAgAAAAcxNi41NjgyAQgAAAAFAAAAATEBAAAACy0xOTA3ODAwMDU0AwAAAAMxNjACAAAABDQyMjIEAAAAATAHAAAACTMvMjgvMjAyNggAAAAKMTIvMzEvMjAyNQkAAAABMFXzVnNEjd4IoAV3fESN3ggfQ0lRLk5ZU0U6UE9TVC5JUV9OSV9NQVJHSU4uOTk4LgEAAACPvWYIAgAAAAY0LjMwOTgBCAAAAAUAAAABMQEAAAALLTE5MTQ4ODI3MTgDAAAAAzE2MAIAAAAENDA5NAQAAAABMAcAAAAJMy8yOC8yMDI2CAAAAAk5LzMwLzIwMjMJAAAAATBV81ZzRI3eCOcsd3xEjd4IH0NJUS5OWVNFOlBPU1QuSVFfTklfTUFSR0lOLjk5OS4BAAAAj71mCAIAAAAGNC42Mjg0AQgAAAAFAAAAATEBAAAACy0xOTE0ODgzMTg3AwAAAAMxNjACAAAABDQwOTQEAAAAATAHAAAACTMvMjgvMjAyNggAAAAJOS8zMC8yMDI0CQAAAAEwVfNWc0SN3gjnLHd8RI3eCCBDSVEuTllTRTpQT1NULklRX05JX01BUkdJTi4xMDAwLgEAAACPvWYIAgAAAAY0LjExNDkBCAAAAAUAAAABMQEAAAALLTE5MTQ4ODI0NjEDAAAA</t>
  </si>
  <si>
    <t>AzE2MAIAAAAENDA5NAQAAAABMAcAAAAJMy8yOC8yMDI2CAAAAAk5LzMwLzIwMjUJAAAAATBV81ZzRI3eCOcsd3xEjd4IIENJUS5OWVNFOlBPU1QuSVFfTklfTUFSR0lOLjIwMDAuAQAAAI+9ZggCAAAABTMuODE5AQgAAAAFAAAAATEBAAAACy0xOTA3ODAwMDU0AwAAAAMxNjACAAAABDQwOTQEAAAAATAHAAAACTMvMjgvMjAyNggAAAAKMTIvMzEvMjAyNQkAAAABMFXzVnNEjd4I5yx3fESN3ggtQ0lRLk5ZU0U6UE9TVC5JUV9UT1RBTF9SRVZfNVlSX0FOTl9DQUdSLjIwMDAuAQAAAI+9ZggCAAAABTkuMDU4AQgAAAAFAAAAATEBAAAACy0xOTA3ODAwMDU0AwAAAAMxNjACAAAABDQyMzMEAAAAATAHAAAACTMvMjgvMjAyNggAAAAKMTIvMzEvMjAyNQkAAAABMFXzVnNEjd4I5yx3fESN3ggjQ0lRLk5ZU0U6UE9TVC5JUV9HUk9TU19NQVJHSU4uMjAwMC4BAAAAj71mCAIAAAAHMjguNTA2OAEIAAAABQAAAAExAQAAAAstMTkwNzgwMDA1NAMAAAADMTYwAgAAAAQ0MDc0BAAAAAEwBwAAAAkzLzI4LzIwMjYIAAAACjEyLzMxLzIwMjUJAAAAATBV81ZzRI3eCOcsd3xEjd4II0NJUS5OWVNFOlBPU1QuSVFfRUJJVERBX01BUkdJTi45OTguAQAAAI+9ZggCAAAABzE1LjI2OTYBCAAAAAUAAAABMQEAAAALLTE5MTQ4ODI3MTgDAAAAAzE2MAIAAAAENDA0NwQAAAABMAcAAAAJMy8yOC8yMDI2CAAAAAk5LzMwLzIwMjMJAAAA</t>
  </si>
  <si>
    <t>ATBV81ZzRI3eCOcsd3xEjd4II0NJUS5OWVNFOlBPU1QuSVFfRUJJVERBX01BUkdJTi45OTkuAQAAAI+9ZggCAAAABzE2LjMzMDIBCAAAAAUAAAABMQEAAAALLTE5MTQ4ODMxODcDAAAAAzE2MAIAAAAENDA0NwQAAAABMAcAAAAJMy8yOC8yMDI2CAAAAAk5LzMwLzIwMjQJAAAAATBV81ZzRI3eCOcsd3xEjd4IJENJUS5OWVNFOlBPU1QuSVFfRUJJVERBX01BUkdJTi4xMDAwLgEAAACPvWYIAgAAAAcxNi44NjU0AQgAAAAFAAAAATEBAAAACy0xOTE0ODgyNDYxAwAAAAMxNjACAAAABDQwNDcEAAAAATAHAAAACTMvMjgvMjAyNggAAAAJOS8zMC8yMDI1CQAAAAEwVfNWc0SN3gjnLHd8RI3eCCRDSVEuTllTRTpQT1NULklRX0VCSVREQV9NQVJHSU4uMjAwMC4BAAAAj71mCAIAAAAGMTcuMDIyAQgAAAAFAAAAATEBAAAACy0xOTA3ODAwMDU0AwAAAAMxNjACAAAABDQwNDcEAAAAATAHAAAACTMvMjgvMjAyNggAAAAKMTIvMzEvMjAyNQkAAAABMFXzVnNEjd4I5yx3fESN3ggiQ0lRLk5ZU0U6UE9TVC5JUV9HUk9TU19NQVJHSU4uOTk4LgEAAACPvWYIAgAAAAYyNi45MTYBCAAAAAUAAAABMQEAAAALLTE5MTQ4ODI3MTgDAAAAAzE2MAIAAAAENDA3NAQAAAABMAcAAAAJMy8yOC8yMDI2CAAAAAk5LzMwLzIwMjMJAAAAATBV81ZzRI3eCOcsd3xEjd4IIkNJUS5OWVNFOlBPU1QuSVFfR1JPU1NfTUFSR0lOLjk5OS4BAAAA</t>
  </si>
  <si>
    <t>j71mCAIAAAAHMjkuMDkyMwEIAAAABQAAAAExAQAAAAstMTkxNDg4MzE4NwMAAAADMTYwAgAAAAQ0MDc0BAAAAAEwBwAAAAkzLzI4LzIwMjYIAAAACTkvMzAvMjAyNAkAAAABMFXzVnNEjd4I5yx3fESN3ggjQ0lRLk5ZU0U6UE9TVC5JUV9HUk9TU19NQVJHSU4uMTAwMC4BAAAAj71mCAIAAAAHMjguNjc1NwEIAAAABQAAAAExAQAAAAstMTkxNDg4MjQ2MQMAAAADMTYwAgAAAAQ0MDc0BAAAAAEwBwAAAAkzLzI4LzIwMjYIAAAACTkvMzAvMjAyNQkAAAABMFXzVnNEjd4I5yx3fESN3gghQ0lRLk5ZU0U6UE9TVC5JUV9QRVJJT0REQVRFLjEwMDAuAQAAAI+9ZggFAAAACjMwLzA5LzIwMjUAVfNWc0SN3gj5Z3d8RI3eCCFDSVEuTllTRTpQT1NULklRX1BFUklPRERBVEUuMjAwMC4BAAAAj71mCAUAAAAKMzEvMTIvMjAyNQBV81ZzRI3eCPlnd3xEjd4IJENJUS5OQVNEQVFHUzpLSEMuSVFfUEVSSU9EREFURS4yMDAwLgEAAADEPgQABQAAAAoyNy8xMi8yMDI1AFXzVnNEjd4IEqx2fESN3ggkQ0lRLk5BU0RBUUdTOktIQy5JUV9QRVJJT0REQVRFLjEwMDAuAQAAAMQ+BAAFAAAACjI3LzEyLzIwMjUAVfNWc0SN3ggSrHZ8RI3eCCVDSVEuTkFTREFRR1M6S0hDLklRX0dST1NTX01BUkdJTi45OTkuAQAAAMQ+BAACAAAABzM0LjcyODcBCAAAAAUAAAABMQEAAAALLTE5MDY5NDEyMjIDAAAAAzE2MAIAAAAENDA3NAQAAAAB</t>
  </si>
  <si>
    <t>MAcAAAAJMy8yOC8yMDI2CAAAAAoxMi8yOC8yMDI0CQAAAAEwVfNWc0SN3ggnhXZ8RI3eCCVDSVEuTkFTREFRR1M6S0hDLklRX0dST1NTX01BUkdJTi45OTguAQAAAMQ+BAACAAAABzMzLjcxOTkBCAAAAAUAAAABMQEAAAALLTE5MDY5NDEyMTADAAAAAzE2MAIAAAAENDA3NAQAAAABMAcAAAAJMy8yOC8yMDI2CAAAAAoxMi8zMC8yMDIzCQAAAAEwVfNWc0SN3ggnhXZ8RI3eCCdDSVEuTkFTREFRR1M6S0hDLklRX0VCSVREQV9NQVJHSU4uMTAwMC4BAAAAxD4EAAIAAAAHMjIuOTYxMgEIAAAABQAAAAExAQAAAAstMTkwNjk0MTIyMAMAAAADMTYwAgAAAAQ0MDQ3BAAAAAEwBwAAAAkzLzI4LzIwMjYIAAAACjEyLzI3LzIwMjUJAAAAATBV81ZzRI3eCPJddnxEjd4IJkNJUS5OQVNEQVFHUzpLSEMuSVFfRUJJVERBX01BUkdJTi45OTkuAQAAAMQ+BAACAAAABzI1LjAyMTIBCAAAAAUAAAABMQEAAAALLTE5MDY5NDEyMjIDAAAAAzE2MAIAAAAENDA0NwQAAAABMAcAAAAJMy8yOC8yMDI2CAAAAAoxMi8yOC8yMDI0CQAAAAEwVfNWc0SN3gjyXXZ8RI3eCCZDSVEuTkFTREFRR1M6S0hDLklRX0VCSVREQV9NQVJHSU4uOTk4LgEAAADEPgQAAgAAAAcyMy4yODA3AQgAAAAFAAAAATEBAAAACy0xOTA2OTQxMjEwAwAAAAMxNjACAAAABDQwNDcEAAAAATAHAAAACTMvMjgvMjAyNggAAAAKMTIvMzAvMjAyMwkAAAABMFXzVnNE</t>
  </si>
  <si>
    <t>jd4I8l12fESN3ggmQ0lRLk5BU0RBUUdTOktIQy5JUV9HUk9TU19NQVJHSU4uMjAwMC4BAAAAxD4EAAIAAAAHMzMuMzE3MgEIAAAABQAAAAExAQAAAAstMTkwNjk0MDI5OQMAAAADMTYwAgAAAAQ0MDc0BAAAAAEwBwAAAAkzLzI4LzIwMjYIAAAACjEyLzI3LzIwMjUJAAAAATBV81ZzRI3eCCeFdnxEjd4IJkNJUS5OQVNEQVFHUzpLSEMuSVFfR1JPU1NfTUFSR0lOLjEwMDAuAQAAAMQ+BAACAAAABzMzLjMxNzIBCAAAAAUAAAABMQEAAAALLTE5MDY5NDEyMjADAAAAAzE2MAIAAAAENDA3NAQAAAABMAcAAAAJMy8yOC8yMDI2CAAAAAoxMi8yNy8yMDI1CQAAAAEwVfNWc0SN3ggnhXZ8RI3eCCNDSVEuTkFTREFRR1M6S0hDLklRX05JX01BUkdJTi4yMDAwLgEAAADEPgQAAgAAAAgtMjMuNDM4MwEIAAAABQAAAAExAQAAAAstMTkwNjk0MDI5OQMAAAADMTYwAgAAAAQ0MDk0BAAAAAEwBwAAAAkzLzI4LzIwMjYIAAAACjEyLzI3LzIwMjUJAAAAATBV81ZzRI3eCPJddnxEjd4II0NJUS5OQVNEQVFHUzpLSEMuSVFfTklfTUFSR0lOLjEwMDAuAQAAAMQ+BAACAAAACC0yMy40MzgzAQgAAAAFAAAAATEBAAAACy0xOTA2OTQxMjIwAwAAAAMxNjACAAAABDQwOTQEAAAAATAHAAAACTMvMjgvMjAyNggAAAAKMTIvMjcvMjAyNQkAAAABMFXzVnNEjd4I8l12fESN3ggiQ0lRLk5BU0RBUUdTOktIQy5JUV9OSV9NQVJHSU4uOTk5</t>
  </si>
  <si>
    <t>LgEAAADEPgQAAgAAAAcxMC42MTY3AQgAAAAFAAAAATEBAAAACy0xOTA2OTQxMjIyAwAAAAMxNjACAAAABDQwOTQEAAAAATAHAAAACTMvMjgvMjAyNggAAAAKMTIvMjgvMjAyNAkAAAABMFXzVnNEjd4I8l12fESN3ggiQ0lRLk5BU0RBUUdTOktIQy5JUV9OSV9NQVJHSU4uOTk4LgEAAADEPgQAAgAAAAcxMC43MTY5AQgAAAAFAAAAATEBAAAACy0xOTA2OTQxMjEwAwAAAAMxNjACAAAABDQwOTQEAAAAATAHAAAACTMvMjgvMjAyNggAAAAKMTIvMzAvMjAyMwkAAAABMFXzVnNEjd4I8l12fESN3ggnQ0lRLk5BU0RBUUdTOktIQy5JUV9FQklUREFfTUFSR0lOLjIwMDAuAQAAAMQ+BAACAAAABzIyLjk2MTIBCAAAAAUAAAABMQEAAAALLTE5MDY5NDAyOTkDAAAAAzE2MAIAAAAENDA0NwQAAAABMAcAAAAJMy8yOC8yMDI2CAAAAAoxMi8yNy8yMDI1CQAAAAEwVfNWc0SN3gjyXXZ8RI3eCC1DSVEuTkFTREFRR1M6S0hDLklRX0VCSVREQV81WVJfQU5OX0NBR1IuMjAwMC4BAAAAxD4EAAIAAAAHLTMuNDk1MgEIAAAABQAAAAExAQAAAAstMTkwNjk0MDI5OQMAAAADMTYwAgAAAAQ0MjM1BAAAAAEwBwAAAAkzLzI4LzIwMjYIAAAACjEyLzI3LzIwMjUJAAAAATA5LldzRI3eCPJddnxEjd4IMkNJUS5OQVNEQVFHUzpLSEMuSVFfVE9UQUxfUkVWXzFZUl9BTk5fR1JPV1RILjIwMDAuAQAAAMQ+BAACAAAABy0zLjQ5NzcBCAAA</t>
  </si>
  <si>
    <t>AAUAAAABMQEAAAALLTE5MDY5NDAyOTkDAAAAAzE2MAIAAAAENDE5NAQAAAABMAcAAAAJMy8yOC8yMDI2CAAAAAoxMi8yNy8yMDI1CQAAAAEwOS5Xc0SN3gjyXXZ8RI3eCDJDSVEuTkFTREFRR1M6S0hDLklRX1RPVEFMX1JFVl8xWVJfQU5OX0dST1dUSC4xMDAwLgEAAADEPgQAAgAAAActMy40OTc3AQgAAAAFAAAAATEBAAAACy0xOTA2OTQxMjIwAwAAAAMxNjACAAAABDQxOTQEAAAAATAHAAAACTMvMjgvMjAyNggAAAAKMTIvMjcvMjAyNQkAAAABMDkuV3NEjd4I8l12fESN3ggwQ0lRLk5BU0RBUUdTOktIQy5JUV9UT1RBTF9SRVZfM1lSX0FOTl9DQUdSLjIwMDAuAQAAAMQ+BAACAAAABi0xLjk4MQEIAAAABQAAAAExAQAAAAstMTkwNjk0MDI5OQMAAAADMTYwAgAAAAQ0MjIwBAAAAAEwBwAAAAkzLzI4LzIwMjYIAAAACjEyLzI3LzIwMjUJAAAAATA5LldzRI3eCPJddnxEjd4IMENJUS5OQVNEQVFHUzpLSEMuSVFfVE9UQUxfUkVWXzVZUl9BTk5fQ0FHUi4yMDAwLgEAAADEPgQAAgAAAAYtMC45NjgBCAAAAAUAAAABMQEAAAALLTE5MDY5NDAyOTkDAAAAAzE2MAIAAAAENDIzMwQAAAABMAcAAAAJMy8yOC8yMDI2CAAAAAoxMi8yNy8yMDI1CQAAAAEwOS5Xc0SN3gjyXXZ8RI3eCCpDSVEuTkFTREFRR1M6S0hDLklRX0VQU18zWVJfQU5OX0NBR1IuMjAwMC4BAAAAxD4EAAMAAAACTk0BCAAAAAUAAAABMQEAAAAL</t>
  </si>
  <si>
    <t>LTE5MDY5NDAyOTkDAAAAAzE2MAIAAAAENDIyNgQAAAABMAcAAAAJMy8yOC8yMDI2CAAAAAoxMi8yNy8yMDI1CQAAAAEwOS5Xc0SN3gggN3Z8RI3eCCpDSVEuTkFTREFRR1M6S0hDLklRX0VQU181WVJfQU5OX0NBR1IuMjAwMC4BAAAAxD4EAAMAAAACTk0BCAAAAAUAAAABMQEAAAALLTE5MDY5NDAyOTkDAAAAAzE2MAIAAAAENDIzOQQAAAABMAcAAAAJMy8yOC8yMDI2CAAAAAoxMi8yNy8yMDI1CQAAAAEwOS5Xc0SN3gggN3Z8RI3eCC9DSVEuTkFTREFRR1M6S0hDLklRX0VCSVREQV8xWVJfQU5OX0dST1dUSC4yMDAwLgEAAADEPgQAAgAAAAgtMTEuNDQyOAEIAAAABQAAAAExAQAAAAstMTkwNjk0MDI5OQMAAAADMTYwAgAAAAQ0MTk2BAAAAAEwBwAAAAkzLzI4LzIwMjYIAAAACjEyLzI3LzIwMjUJAAAAATA5LldzRI3eCCA3dnxEjd4IL0NJUS5OQVNEQVFHUzpLSEMuSVFfRUJJVERBXzFZUl9BTk5fR1JPV1RILjEwMDAuAQAAAMQ+BAACAAAACC0xMS40NDI4AQgAAAAFAAAAATEBAAAACy0xOTA2OTQxMjIwAwAAAAMxNjACAAAABDQxOTYEAAAAATAHAAAACTMvMjgvMjAyNggAAAAKMTIvMjcvMjAyNQkAAAABMDkuV3NEjd4IIDd2fESN3ggtQ0lRLk5BU0RBUUdTOktIQy5JUV9FQklUREFfM1lSX0FOTl9DQUdSLjIwMDAuAQAAAMQ+BAACAAAABy0xLjUzNDgBCAAAAAUAAAABMQEAAAALLTE5MDY5NDAyOTkDAAAA</t>
  </si>
  <si>
    <t>AzE2MAIAAAAENDIyMgQAAAABMAcAAAAJMy8yOC8yMDI2CAAAAAoxMi8yNy8yMDI1CQAAAAEwOS5Xc0SN3gjyXXZ8RI3eCCRDSVEuTkFTREFRR1M6S0hDLklRX0VCSVREQV9JTlQuMjAwMC4BAAAAxD4EAAIAAAAHNi42MDcxOAEIAAAABQAAAAExAQAAAAstMTkwNjk0MDI5OQMAAAADMTYwAgAAAAQ0MTkwBAAAAAEwBwAAAAkzLzI4LzIwMjYIAAAACjEyLzI3LzIwMjUJAAAAATA5LldzRI3eCCA3dnxEjd4IKUNJUS5OQVNEQVFHUzpLSEMuSVFfTkVUX0RFQlRfRUJJVERBLjIwMDAuAQAAAMQ+BAACAAAABzIuODkyMjgBCAAAAAUAAAABMQEAAAALLTE5MDY5NDAyOTkDAAAAAzE2MAIAAAAENDE5MwQAAAABMAcAAAAJMy8yOC8yMDI2CAAAAAoxMi8yNy8yMDI1CQAAAAEwOS5Xc0SN3gggN3Z8RI3eCCtDSVEuTkFTREFRR1M6S0hDLklRX1RPVEFMX0RFQlRfRUJJVERBLjIwMDAuAQAAAMQ+BAACAAAACDMuNDc5NjIyAQgAAAAFAAAAATEBAAAACy0xOTA2OTQwMjk5AwAAAAMxNjACAAAABDQxOTIEAAAAATAHAAAACTMvMjgvMjAyNggAAAAKMTIvMjcvMjAyNQkAAAABMDkuV3NEjd4IIDd2fESN3ggsQ0lRLk5BU0RBUUdTOktIQy5JUV9FUFNfMVlSX0FOTl9HUk9XVEguMjAwMC4BAAAAxD4EAAMAAAACTk0BCAAAAAUAAAABMQEAAAALLTE5MDY5NDAyOTkDAAAAAzE2MAIAAAAENDIwMAQAAAABMAcAAAAJMy8yOC8yMDI2</t>
  </si>
  <si>
    <t>CAAAAAoxMi8yNy8yMDI1CQAAAAEwOS5Xc0SN3gggN3Z8RI3eCCxDSVEuTkFTREFRR1M6S0hDLklRX0VQU18xWVJfQU5OX0dST1dUSC4xMDAwLgEAAADEPgQAAwAAAAJOTQEIAAAABQAAAAExAQAAAAstMTkwNjk0MTIyMAMAAAADMTYwAgAAAAQ0MjAwBAAAAAEwBwAAAAkzLzI4LzIwMjYIAAAACjEyLzI3LzIwMjUJAAAAATA5LldzRI3eCCA3dnxEjd4IJ0NJUS5OQVNEQVFHUzpLSEMuSVFfUkVUVVJOX0FTU0VUUy4yMDAwLgEAAADEPgQAAgAAAAYzLjQ5NzcBCAAAAAUAAAABMQEAAAALLTE5MDY5NDAyOTkDAAAAAzE2MAIAAAAENDE3OAQAAAABMAcAAAAJMy8yOC8yMDI2CAAAAAoxMi8yNy8yMDI1CQAAAAEwOS5Xc0SN3gggN3Z8RI3eCCdDSVEuTkFTREFRR1M6S0hDLklRX1JFVFVSTl9FUVVJVFkuMjAwMC4BAAAAxD4EAAIAAAAILTEyLjgzNjYBCAAAAAUAAAABMQEAAAALLTE5MDY5NDAyOTkDAAAAAzE2MAIAAAAENDEyOAQAAAABMAcAAAAJMy8yOC8yMDI2CAAAAAoxMi8yNy8yMDI1CQAAAAEwOS5Xc0SN3gggN3Z8RI3eCCtDSVEuTkFTREFRR1M6S0hDLklRX1RPVEFMX0RFQlRfQ0FQSVRBTC41MDAuAQAAAMQ+BAACAAAABzM0LjI1MzcBCAAAAAUAAAABMQEAAAALLTE5MDY5NDAzMDEDAAAAAzE2MAIAAAAENDE4NgQAAAABMAcAAAAJMy8yOC8yMDI2CAAAAAoxMi8yNy8yMDI1CQAAAAEwOS5Xc0SN3gggN3Z8</t>
  </si>
  <si>
    <t>RI3eCCpDSVEuTkFTREFRR1M6S0hDLklRX1RPVEFMX0RFQlRfRVFVSVRZLjUwMC4BAAAAxD4EAAIAAAAHNTIuMDk5OAEIAAAABQAAAAExAQAAAAstMTkwNjk0MDMwMQMAAAADMTYwAgAAAAQ0MDM0BAAAAAEwBwAAAAkzLzI4LzIwMjYIAAAACjEyLzI3LzIwMjUJAAAAATA5LldzRI3eCCA3dnxEjd4IKkNJUS5OQVNEQVFHUzpLSEMuSVFfRUJJVERBX0NBUEVYX0lOVC4yMDAwLgEAAADEPgQAAgAAAAg1Ljc2MTM1MQEIAAAABQAAAAExAQAAAAstMTkwNjk0MDI5OQMAAAADMTYwAgAAAAQ0MTkxBAAAAAEwBwAAAAkzLzI4LzIwMjYIAAAACjEyLzI3LzIwMjUJAAAAATA5LldzRI3eCCA3dnxEjd4ILENJUS5OQVNEQVFHUzpLSEMuSVFfREFZU19JTlZFTlRPUllfT1VULjIwMDAuAQAAAMQ+BAACAAAACTcxLjU5ODQzNgEIAAAABQAAAAExAQAAAAstMTkwNjk0MDI5OQMAAAADMTYwAgAAAAQ0MDM1BAAAAAEwBwAAAAkzLzI4LzIwMjYIAAAACjEyLzI3LzIwMjUJAAAAATA5LldzRI3eCAcQdnxEjd4IKENJUS5OQVNEQVFHUzpLSEMuSVFfREFZU19TQUxFU19PVVQuMjAwMC4BAAAAxD4EAAIAAAAJMzIuMTEzNTM2AQgAAAAFAAAAATEBAAAACy0xOTA2OTQwMjk5AwAAAAMxNjACAAAABDQwNDIEAAAAATAHAAAACTMvMjgvMjAyNggAAAAKMTIvMjcvMjAyNQkAAAABMDkuV3NEjd4IBxB2fESN3ggkQ0lRLk5BU0RBUUdTOktI</t>
  </si>
  <si>
    <t>Qy5JUV9RVUlDS19SQVRJTy41MDAuAQAAAMQ+BAACAAAACDAuNjc1NDM4AQgAAAAFAAAAATEBAAAACy0xOTA2OTQwMzAxAwAAAAMxNjACAAAABDQxMjEEAAAAATAHAAAACTMvMjgvMjAyNggAAAAKMTIvMjcvMjAyNQkAAAABMDkuV3NEjd4IBxB2fESN3ggmQ0lRLk5BU0RBUUdTOktIQy5JUV9DVVJSRU5UX1JBVElPLjUwMC4BAAAAxD4EAAIAAAAIMS4xNTM2NzkBCAAAAAUAAAABMQEAAAALLTE5MDY5NDAzMDEDAAAAAzE2MAIAAAAENDAzMAQAAAABMAcAAAAJMy8yOC8yMDI2CAAAAAoxMi8yNy8yMDI1CQAAAAEwOS5Xc0SN3ggHEHZ8RI3eCDFDSVEuTkFTREFRR1M6S0hDLklRX1JFVFVSTl9JTlZFU1RFRF9DQVBJVEFMLjIwMDAuAQAAAMQ+BAACAAAACC0xMS42MTU3ADkuV3NEjd4IBxB2fESN3ggiQ0lRLk5BU0RBUUdTOktIQy5JUV9BUl9UVVJOUy4yMDAwLgEAAADEPgQAAgAAAAkxMS4zMzQ2OTYBCAAAAAUAAAABMQEAAAALLTE5MDY5NDAyOTkDAAAAAzE2MAIAAAAENDAwMQQAAAABMAcAAAAJMy8yOC8yMDI2CAAAAAoxMi8yNy8yMDI1CQAAAAEwOS5Xc0SN3ggHEHZ8RI3eCCtDSVEuTkFTREFRR1M6S0hDLklRX0ZJWEVEX0FTU0VUX1RVUk5TLjIwMDAuAQAAAMQ+BAACAAAACDMuMjEyMzEyAQgAAAAFAAAAATEBAAAACy0xOTA2OTQwMjk5AwAAAAMxNjACAAAABDQwNjYEAAAAATAHAAAACTMvMjgvMjAyNggA</t>
  </si>
  <si>
    <t>AAAKMTIvMjcvMjAyNQkAAAABMDkuV3NEjd4IBxB2fESN3gglQ0lRLk5BU0RBUUdTOktIQy5JUV9BU1NFVF9UVVJOUy4yMDAwLgEAAADEPgQAAgAAAAgwLjI5MzMwOQEIAAAABQAAAAExAQAAAAstMTkwNjk0MDI5OQMAAAADMTYwAgAAAAQ0MTc3BAAAAAEwBwAAAAkzLzI4LzIwMjYIAAAACjEyLzI3LzIwMjUJAAAAATA5LldzRI3eCAcQdnxEjd4IKUNJUS5OQVNEQVFHUzpLSEMuSVFfQ0FTSF9DT05WRVJTSU9OLjIwMDAuAQAAAMQ+BAACAAAACDkuNTU5MzY4AQgAAAAFAAAAATEBAAAACy0xOTA2OTQwMjk5AwAAAAMxNjACAAAABDQxODQEAAAAATAHAAAACTMvMjgvMjAyNggAAAAKMTIvMjcvMjAyNQkAAAABMDkuV3NEjd4IBxB2fESN3ggqQ0lRLk5BU0RBUUdTOktIQy5JUV9EQVlTX1BBWUFCTEVfT1VULjIwMDAuAQAAAMQ+BAACAAAACTk0LjE1MjYwNAEIAAAABQAAAAExAQAAAAstMTkwNjk0MDI5OQMAAAADMTYwAgAAAAQ0MTgzBAAAAAEwBwAAAAkzLzI4LzIwMjYIAAAACjEyLzI3LzIwMjUJAAAAATA5LldzRI3eCAcQdnxEjd4IKUNJUS5OQVNEQVFHUzpLSEMuSVFfSU5WRU5UT1JZX1RVUk5TLjIwMDAuAQAAAMQ+BAACAAAACDUuMDgzOTA2AQgAAAAFAAAAATEBAAAACy0xOTA2OTQwMjk5AwAAAAMxNjACAAAABDQwODIEAAAAATAHAAAACTMvMjgvMjAyNggAAAAKMTIvMjcvMjAyNQkAAAABMDkuV3NEjd4I</t>
  </si>
  <si>
    <t>BxB2fESN3gglQ0lRLk5ZU0U6SFJMLklRX0lOVkVOVE9SWV9UVVJOUy4yMDAwLgEAAAACQgQAAgAAAAg2LjQ3ODQ4OQEIAAAABQAAAAExAQAAAAstMTkwNDgwMzUzNAMAAAADMTYwAgAAAAQ0MDgyBAAAAAEwBwAAAAkzLzI4LzIwMjYIAAAACTEvMjUvMjAyNgkAAAABMDkuV3NEjd4IRF91fESN3ggmQ0lRLk5ZU0U6SFJMLklRX0RBWVNfUEFZQUJMRV9PVVQuMjAwMC4BAAAAAkIEAAIAAAAJMjQuMTk0NzE2AQgAAAAFAAAAATEBAAAACy0xOTA0ODAzNTM0AwAAAAMxNjACAAAABDQxODMEAAAAATAHAAAACTMvMjgvMjAyNggAAAAJMS8yNS8yMDI2CQAAAAEwOS5Xc0SN3ghEX3V8RI3eCCVDSVEuTllTRTpIUkwuSVFfQ0FTSF9DT05WRVJTSU9OLjIwMDAuAQAAAAJCBAACAAAACTUzLjkzMDk2OAEIAAAABQAAAAExAQAAAAstMTkwNDgwMzUzNAMAAAADMTYwAgAAAAQ0MTg0BAAAAAEwBwAAAAkzLzI4LzIwMjYIAAAACTEvMjUvMjAyNgkAAAABMDkuV3NEjd4IRF91fESN3gghQ0lRLk5ZU0U6SFJMLklRX0FTU0VUX1RVUk5TLjIwMDAuAQAAAAJCBAACAAAACDAuOTA5MDM0AQgAAAAFAAAAATEBAAAACy0xOTA0ODAzNTM0AwAAAAMxNjACAAAABDQxNzcEAAAAATAHAAAACTMvMjgvMjAyNggAAAAJMS8yNS8yMDI2CQAAAAEwOS5Xc0SN3ghEX3V8RI3eCCdDSVEuTllTRTpIUkwuSVFfRklYRURfQVNTRVRfVFVSTlMuMjAw</t>
  </si>
  <si>
    <t>MC4BAAAAAkIEAAIAAAAINS40OTk5NjQBCAAAAAUAAAABMQEAAAALLTE5MDQ4MDM1MzQDAAAAAzE2MAIAAAAENDA2NgQAAAABMAcAAAAJMy8yOC8yMDI2CAAAAAkxLzI1LzIwMjYJAAAAATA5LldzRI3eCERfdXxEjd4IHkNJUS5OWVNFOkhSTC5JUV9BUl9UVVJOUy4yMDAwLgEAAAACQgQAAgAAAAkxNi41OTA0MzYBCAAAAAUAAAABMQEAAAALLTE5MDQ4MDM1MzQDAAAAAzE2MAIAAAAENDAwMQQAAAABMAcAAAAJMy8yOC8yMDI2CAAAAAkxLzI1LzIwMjYJAAAAATA5LldzRI3eCERfdXxEjd4ILUNJUS5OWVNFOkhSTC5JUV9SRVRVUk5fSU5WRVNURURfQ0FQSVRBTC4yMDAwLgEAAAACQgQAAgAAAActMS4zNjYzADkuV3NEjd4IYoZ1fESN3ggiQ0lRLk5ZU0U6SFJMLklRX0NVUlJFTlRfUkFUSU8uNTAwLgEAAAACQgQAAgAAAAgyLjY2MTc5MQEIAAAABQAAAAExAQAAAAstMTkwNDgwNDc1NwMAAAADMTYwAgAAAAQ0MDMwBAAAAAEwBwAAAAkzLzI4LzIwMjYIAAAACTEvMjUvMjAyNgkAAAABMDkuV3NEjd4IYoZ1fESN3gggQ0lRLk5ZU0U6SFJMLklRX1FVSUNLX1JBVElPLjUwMC4BAAAAAkIEAAIAAAAIMS4zMDExNTkBCAAAAAUAAAABMQEAAAALLTE5MDQ4MDQ3NTcDAAAAAzE2MAIAAAAENDEyMQQAAAABMAcAAAAJMy8yOC8yMDI2CAAAAAkxLzI1LzIwMjYJAAAAATA5LldzRI3eCERfdXxEjd4IJENJUS5OWVNFOkhS</t>
  </si>
  <si>
    <t>TC5JUV9EQVlTX1NBTEVTX09VVC4yMDAwLgEAAAACQgQAAgAAAAcyMS45NDAxAQgAAAAFAAAAATEBAAAACy0xOTA0ODAzNTM0AwAAAAMxNjACAAAABDQwNDIEAAAAATAHAAAACTMvMjgvMjAyNggAAAAJMS8yNS8yMDI2CQAAAAEwOS5Xc0SN3ghEX3V8RI3eCChDSVEuTllTRTpIUkwuSVFfREFZU19JTlZFTlRPUllfT1VULjIwMDAuAQAAAAJCBAACAAAACTU2LjE4NTU4NAEIAAAABQAAAAExAQAAAAstMTkwNDgwMzUzNAMAAAADMTYwAgAAAAQ0MDM1BAAAAAEwBwAAAAkzLzI4LzIwMjYIAAAACTEvMjUvMjAyNgkAAAABMDkuV3NEjd4IRF91fESN3ggmQ0lRLk5ZU0U6SFJMLklRX0VCSVREQV9DQVBFWF9JTlQuMjAwMC4BAAAAAkIEAAIAAAAJMTYuNjk1MDczAQgAAAAFAAAAATEBAAAACy0xOTA0ODAzNTM0AwAAAAMxNjACAAAABDQxOTEEAAAAATAHAAAACTMvMjgvMjAyNggAAAAJMS8yNS8yMDI2CQAAAAEwOS5Xc0SN3ghihnV8RI3eCCZDSVEuTllTRTpIUkwuSVFfVE9UQUxfREVCVF9FUVVJVFkuNTAwLgEAAAACQgQAAgAAAAczNS45Mjg4AQgAAAAFAAAAATEBAAAACy0xOTA0ODA0NzU3AwAAAAMxNjACAAAABDQwMzQEAAAAATAHAAAACTMvMjgvMjAyNggAAAAJMS8yNS8yMDI2CQAAAAEwOS5Xc0SN3ghihnV8RI3eCCdDSVEuTllTRTpIUkwuSVFfVE9UQUxfREVCVF9DQVBJVEFMLjUwMC4BAAAAAkIEAAIAAAAG</t>
  </si>
  <si>
    <t>MjYuNDMyAQgAAAAFAAAAATEBAAAACy0xOTA0ODA0NzU3AwAAAAMxNjACAAAABDQxODYEAAAAATAHAAAACTMvMjgvMjAyNggAAAAJMS8yNS8yMDI2CQAAAAEwOS5Xc0SN3ghihnV8RI3eCCNDSVEuTllTRTpIUkwuSVFfUkVUVVJOX0VRVUlUWS4yMDAwLgEAAAACQgQAAgAAAAY2LjExNTcBCAAAAAUAAAABMQEAAAALLTE5MDQ4MDM1MzQDAAAAAzE2MAIAAAAENDEyOAQAAAABMAcAAAAJMy8yOC8yMDI2CAAAAAkxLzI1LzIwMjYJAAAAATA5LldzRI3eCGKGdXxEjd4II0NJUS5OWVNFOkhSTC5JUV9SRVRVUk5fQVNTRVRTLjIwMDAuAQAAAAJCBAACAAAABjQuNDI3OAEIAAAABQAAAAExAQAAAAstMTkwNDgwMzUzNAMAAAADMTYwAgAAAAQ0MTc4BAAAAAEwBwAAAAkzLzI4LzIwMjYIAAAACTEvMjUvMjAyNgkAAAABMDkuV3NEjd4IYoZ1fESN3ggoQ0lRLk5ZU0U6SFJMLklRX0VQU18xWVJfQU5OX0dST1dUSC4xMDAwLgEAAAACQgQAAgAAAAgtNDAuODE5MwEIAAAABQAAAAExAQAAAAstMTkxMjY0MTE5NwMAAAADMTYwAgAAAAQ0MjAwBAAAAAEwBwAAAAkzLzI4LzIwMjYIAAAACjEwLzI2LzIwMjUJAAAAATA5LldzRI3eCGKGdXxEjd4IKENJUS5OWVNFOkhSTC5JUV9FUFNfMVlSX0FOTl9HUk9XVEguMjAwMC4BAAAAAkIEAAIAAAAHLTM1LjUyMwEIAAAABQAAAAExAQAAAAstMTkwNDgwMzUzNAMAAAADMTYwAgAAAAQ0</t>
  </si>
  <si>
    <t>MjAwBAAAAAEwBwAAAAkzLzI4LzIwMjYIAAAACTEvMjUvMjAyNgkAAAABMDkuV3NEjd4IYoZ1fESN3ggnQ0lRLk5ZU0U6SFJMLklRX1RPVEFMX0RFQlRfRUJJVERBLjIwMDAuAQAAAAJCBAACAAAACDEuNzY5MzI0AQgAAAAFAAAAATEBAAAACy0xOTA0ODAzNTM0AwAAAAMxNjACAAAABDQxOTIEAAAAATAHAAAACTMvMjgvMjAyNggAAAAJMS8yNS8yMDI2CQAAAAEwOS5Xc0SN3ghihnV8RI3eCCVDSVEuTllTRTpIUkwuSVFfTkVUX0RFQlRfRUJJVERBLjIwMDAuAQAAAAJCBAACAAAACDEuMjExMzA3AQgAAAAFAAAAATEBAAAACy0xOTA0ODAzNTM0AwAAAAMxNjACAAAABDQxOTMEAAAAATAHAAAACTMvMjgvMjAyNggAAAAJMS8yNS8yMDI2CQAAAAEwOS5Xc0SN3ghihnV8RI3eCCBDSVEuTllTRTpIUkwuSVFfRUJJVERBX0lOVC4yMDAwLgEAAAACQgQAAgAAAAkyMC42MjQ5ODcBCAAAAAUAAAABMQEAAAALLTE5MDQ4MDM1MzQDAAAAAzE2MAIAAAAENDE5MAQAAAABMAcAAAAJMy8yOC8yMDI2CAAAAAkxLzI1LzIwMjYJAAAAATA5LldzRI3eCGKGdXxEjd4IKUNJUS5OWVNFOkhSTC5JUV9FQklUREFfM1lSX0FOTl9DQUdSLjIwMDAuAQAAAAJCBAACAAAABy02LjQ0NDYBCAAAAAUAAAABMQEAAAALLTE5MDQ4MDM1MzQDAAAAAzE2MAIAAAAENDIyMgQAAAABMAcAAAAJMy8yOC8yMDI2CAAAAAkxLzI1LzIwMjYJAAAAATA5</t>
  </si>
  <si>
    <t>LldzRI3eCGKGdXxEjd4IK0NJUS5OWVNFOkhSTC5JUV9FQklUREFfMVlSX0FOTl9HUk9XVEguMTAwMC4BAAAAAkIEAAIAAAAHLTkuNDU1OAEIAAAABQAAAAExAQAAAAstMTkxMjY0MTE5NwMAAAADMTYwAgAAAAQ0MTk2BAAAAAEwBwAAAAkzLzI4LzIwMjYIAAAACjEwLzI2LzIwMjUJAAAAATA5LldzRI3eCGKGdXxEjd4IK0NJUS5OWVNFOkhSTC5JUV9FQklUREFfMVlSX0FOTl9HUk9XVEguMjAwMC4BAAAAAkIEAAIAAAAHLTcuNzU4NgEIAAAABQAAAAExAQAAAAstMTkwNDgwMzUzNAMAAAADMTYwAgAAAAQ0MTk2BAAAAAEwBwAAAAkzLzI4LzIwMjYIAAAACTEvMjUvMjAyNgkAAAABMDkuV3NEjd4IYoZ1fESN3ggmQ0lRLk5ZU0U6SFJMLklRX0VQU181WVJfQU5OX0NBR1IuMjAwMC4BAAAAAkIEAAIAAAAILTExLjMwNzUBCAAAAAUAAAABMQEAAAALLTE5MDQ4MDM1MzQDAAAAAzE2MAIAAAAENDIzOQQAAAABMAcAAAAJMy8yOC8yMDI2CAAAAAkxLzI1LzIwMjYJAAAAATA5LldzRI3eCGKGdXxEjd4IJkNJUS5OWVNFOkhSTC5JUV9FUFNfM1lSX0FOTl9DQUdSLjIwMDAuAQAAAAJCBAACAAAACC0yMC42NTM1AQgAAAAFAAAAATEBAAAACy0xOTA0ODAzNTM0AwAAAAMxNjACAAAABDQyMjYEAAAAATAHAAAACTMvMjgvMjAyNggAAAAJMS8yNS8yMDI2CQAAAAEwOS5Xc0SN3ghihnV8RI3eCCxDSVEuTllTRTpIUkwuSVFf</t>
  </si>
  <si>
    <t>VE9UQUxfUkVWXzVZUl9BTk5fQ0FHUi4yMDAwLgEAAAACQgQAAgAAAAY0LjYyOTgBCAAAAAUAAAABMQEAAAALLTE5MDQ4MDM1MzQDAAAAAzE2MAIAAAAENDIzMwQAAAABMAcAAAAJMy8yOC8yMDI2CAAAAAkxLzI1LzIwMjYJAAAAATA5LldzRI3eCHPBdXxEjd4ILENJUS5OWVNFOkhSTC5JUV9UT1RBTF9SRVZfM1lSX0FOTl9DQUdSLjIwMDAuAQAAAAJCBAACAAAABy0wLjY1MjMBCAAAAAUAAAABMQEAAAALLTE5MDQ4MDM1MzQDAAAAAzE2MAIAAAAENDIyMAQAAAABMAcAAAAJMy8yOC8yMDI2CAAAAAkxLzI1LzIwMjYJAAAAATA5LldzRI3eCHPBdXxEjd4ILkNJUS5OWVNFOkhSTC5JUV9UT1RBTF9SRVZfMVlSX0FOTl9HUk9XVEguMTAwMC4BAAAAAkIEAAIAAAAGMS41NTQ5AQgAAAAFAAAAATEBAAAACy0xOTEyNjQxMTk3AwAAAAMxNjACAAAABDQxOTQEAAAAATAHAAAACTMvMjgvMjAyNggAAAAKMTAvMjYvMjAyNQkAAAABMDkuV3NEjd4Ic8F1fESN3gguQ0lRLk5ZU0U6SFJMLklRX1RPVEFMX1JFVl8xWVJfQU5OX0dST1dUSC4yMDAwLgEAAAACQgQAAgAAAAYxLjk0NzIBCAAAAAUAAAABMQEAAAALLTE5MDQ4MDM1MzQDAAAAAzE2MAIAAAAENDE5NAQAAAABMAcAAAAJMy8yOC8yMDI2CAAAAAkxLzI1LzIwMjYJAAAAATA5LldzRI3eCGKGdXxEjd4IKUNJUS5OWVNFOkhSTC5JUV9FQklUREFfNVlSX0FOTl9DQUdS</t>
  </si>
  <si>
    <t>LjIwMDAuAQAAAAJCBAACAAAABi0xLjg5MgEIAAAABQAAAAExAQAAAAstMTkwNDgwMzUzNAMAAAADMTYwAgAAAAQ0MjM1BAAAAAEwBwAAAAkzLzI4LzIwMjYIAAAACTEvMjUvMjAyNgkAAAABMDkuV3NEjd4IYoZ1fESN3ggjQ0lRLk5ZU0U6SFJMLklRX0VCSVREQV9NQVJHSU4uMjAwMC4BAAAAAkIEAAIAAAAGOS45NzY1AQgAAAAFAAAAATEBAAAACy0xOTA0ODAzNTM0AwAAAAMxNjACAAAABDQwNDcEAAAAATAHAAAACTMvMjgvMjAyNggAAAAJMS8yNS8yMDI2CQAAAAEwOS5Xc0SN3ghzwXV8RI3eCB5DSVEuTllTRTpIUkwuSVFfTklfTUFSR0lOLjk5OC4BAAAAAkIEAAIAAAAFNi41NTMBCAAAAAUAAAABMQEAAAALLTE5MTI2NDEyMzkDAAAAAzE2MAIAAAAENDA5NAQAAAABMAcAAAAJMy8yOC8yMDI2CAAAAAoxMC8yOS8yMDIzCQAAAAEwOS5Xc0SN3ghzwXV8RI3eCB5DSVEuTllTRTpIUkwuSVFfTklfTUFSR0lOLjk5OS4BAAAAAkIEAAIAAAAGNi43NTMyAQgAAAAFAAAAATEBAAAACy0xOTEyNjQxMjAyAwAAAAMxNjACAAAABDQwOTQEAAAAATAHAAAACTMvMjgvMjAyNggAAAAKMTAvMjcvMjAyNAkAAAABMDkuV3NEjd4Ic8F1fESN3ggfQ0lRLk5ZU0U6SFJMLklRX05JX01BUkdJTi4xMDAwLgEAAAACQgQAAgAAAAQzLjk1AQgAAAAFAAAAATEBAAAACy0xOTEyNjQxMTk3AwAAAAMxNjACAAAABDQwOTQEAAAAATAH</t>
  </si>
  <si>
    <t>AAAACTMvMjgvMjAyNggAAAAKMTAvMjYvMjAyNQkAAAABMDkuV3NEjd4Ic8F1fESN3ggfQ0lRLk5ZU0U6SFJMLklRX05JX01BUkdJTi4yMDAwLgEAAAACQgQAAgAAAAY0LjAyOTkBCAAAAAUAAAABMQEAAAALLTE5MDQ4MDM1MzQDAAAAAzE2MAIAAAAENDA5NAQAAAABMAcAAAAJMy8yOC8yMDI2CAAAAAkxLzI1LzIwMjYJAAAAATA5LldzRI3eCHPBdXxEjd4IIkNJUS5OWVNFOkhSTC5JUV9HUk9TU19NQVJHSU4uMTAwMC4BAAAAAkIEAAIAAAAHMTUuNzA0MwEIAAAABQAAAAExAQAAAAstMTkxMjY0MTE5NwMAAAADMTYwAgAAAAQ0MDc0BAAAAAEwBwAAAAkzLzI4LzIwMjYIAAAACjEwLzI2LzIwMjUJAAAAATA5LldzRI3eCHPBdXxEjd4IIkNJUS5OWVNFOkhSTC5JUV9HUk9TU19NQVJHSU4uMjAwMC4BAAAAAkIEAAIAAAAHMTUuNjA5NgEIAAAABQAAAAExAQAAAAstMTkwNDgwMzUzNAMAAAADMTYwAgAAAAQ0MDc0BAAAAAEwBwAAAAkzLzI4LzIwMjYIAAAACTEvMjUvMjAyNgkAAAABMDkuV3NEjd4Ic8F1fESN3ggiQ0lRLk5ZU0U6SFJMLklRX0VCSVREQV9NQVJHSU4uOTk4LgEAAAACQgQAAgAAAAcxMC44MjU2AQgAAAAFAAAAATEBAAAACy0xOTEyNjQxMjM5AwAAAAMxNjACAAAABDQwNDcEAAAAATAHAAAACTMvMjgvMjAyNggAAAAKMTAvMjkvMjAyMwkAAAABMDkuV3NEjd4Ic8F1fESN3ggiQ0lRLk5ZU0U6SFJM</t>
  </si>
  <si>
    <t>LklRX0VCSVREQV9NQVJHSU4uOTk5LgEAAAACQgQAAgAAAAcxMS4zNDUyAQgAAAAFAAAAATEBAAAACy0xOTEyNjQxMjAyAwAAAAMxNjACAAAABDQwNDcEAAAAATAHAAAACTMvMjgvMjAyNggAAAAKMTAvMjcvMjAyNAkAAAABMDkuV3NEjd4Ic8F1fESN3ggjQ0lRLk5ZU0U6SFJMLklRX0VCSVREQV9NQVJHSU4uMTAwMC4BAAAAAkIEAAIAAAAHMTAuMTE1MQEIAAAABQAAAAExAQAAAAstMTkxMjY0MTE5NwMAAAADMTYwAgAAAAQ0MDQ3BAAAAAEwBwAAAAkzLzI4LzIwMjYIAAAACjEwLzI2LzIwMjUJAAAAATA5LldzRI3eCHPBdXxEjd4IIUNJUS5OWVNFOkhSTC5JUV9HUk9TU19NQVJHSU4uOTk4LgEAAAACQgQAAgAAAAcxNi41MTM5AQgAAAAFAAAAATEBAAAACy0xOTEyNjQxMjM5AwAAAAMxNjACAAAABDQwNzQEAAAAATAHAAAACTMvMjgvMjAyNggAAAAKMTAvMjkvMjAyMwkAAAABMDkuV3NEjd4I6+h1fESN3gghQ0lRLk5ZU0U6SFJMLklRX0dST1NTX01BUkdJTi45OTkuAQAAAAJCBAACAAAABzE3LjAwOTcBCAAAAAUAAAABMQEAAAALLTE5MTI2NDEyMDIDAAAAAzE2MAIAAAAENDA3NAQAAAABMAcAAAAJMy8yOC8yMDI2CAAAAAoxMC8yNy8yMDI0CQAAAAEwOS5Xc0SN3ghzwXV8RI3eCCBDSVEuTllTRTpIUkwuSVFfUEVSSU9EREFURS4yMDAwLgEAAAACQgQABQAAAAoyNS8wMS8yMDI2ADkuV3NEjd4IBxB2fESN</t>
  </si>
  <si>
    <t>3gggQ0lRLk5ZU0U6SFJMLklRX1BFUklPRERBVEUuMTAwMC4BAAAAAkIEAAUAAAAKMjYvMTAvMjAyNQA5LldzRI3eCAcQdnxEjd4IOkNJUS5OQVNEQVFHTTpWSVRMLklRX01JTk9SSVRZX0lOVEVSRVNUX1RPVEFMLjUwMC4uLkYuVVNELkgBAAAAkezPDQMAAAAAADkuV3NEjd4I0cwVfESN3gguQ0lRLk5BU0RBUUdNOlZJVEwuSVFfUFJFRl9FUVVJVFkuNTAwLi4uRi5VU0QuSAEAAACR7M8NAwAAAAAAOS5Xc0SN3gjRzBV8RI3eCC1DSVEuTkFTREFRR006VklUTC5JUV9UT1RBTF9ERUJULjUwMC4uLkYuVVNELkgBAAAAkezPDQIAAAAGNTMuNDkxAQgAAAAFAAAAATEBAAAACy0xOTA0OTYyNzMzAwAAAAMxNjACAAAABDQxNzMEAAAAATAHAAAACTMvMjgvMjAyNggAAAAKMTIvMjgvMjAyNQkAAAABMDkuV3NEjd4I0cwVfESN3ggxQ0lRLk5BU0RBUUdNOlZJVEwuSVFfQ0FTSF9TVF9JTlZFU1QuNTAwLi4uRi5VU0QuSAEAAACR7M8NAgAAAAcxMTMuMzUxAQgAAAAFAAAAATEBAAAACy0xOTA0OTYyNzMzAwAAAAMxNjACAAAABDEwMDIEAAAAATAHAAAACTMvMjgvMjAyNggAAAAKMTIvMjgvMjAyNQkAAAABMDkuV3NEjd4I0cwVfESN3ggpQ0lRLk5BU0RBUUdNOlZJVEwuSVFfRUJJVERBLjEwMDAuLi4uVVNELkgBAAAAkezPDQIAAAAHMTAyLjg4NQEIAAAABQAAAAExAQAAAAstMTkwNDk2MzM0MQMAAAADMTYwAgAAAAQ0</t>
  </si>
  <si>
    <t>MDUxBAAAAAEwBwAAAAkzLzI4LzIwMjYIAAAACjEyLzI4LzIwMjUJAAAAATA5LldzRI3eCN67FXxEjd4ILENJUS5OQVNEQVFHTTpWSVRMLklRX1RPVEFMX1JFVi4yMDAwLi4uLlVTRC5IAQAAAJHszw0CAAAABzc1OS40NDQBCAAAAAUAAAABMQEAAAALLTE5MDQ5NjI3MTkDAAAAAzE2MAIAAAACMjgEAAAAATAHAAAACTMvMjgvMjAyNggAAAAKMTIvMjgvMjAyNQkAAAABMDkuV3NEjd4I3rsVfESN3ggsQ0lRLk5BU0RBUUdNOlZJVEwuSVFfVE9UQUxfUkVWLjEwMDAuLi4uVVNELkgBAAAAkezPDQIAAAAHNzU5LjQ0NAEIAAAABQAAAAExAQAAAAstMTkwNDk2MzM0MQMAAAADMTYwAgAAAAIyOAQAAAABMAcAAAAJMy8yOC8yMDI2CAAAAAoxMi8yOC8yMDI1CQAAAAEwOS5Xc0SN3gjeuxV8RI3eCDFDSVEuTkFTREFRR006VklUTC5JUV9ESUxVVF9FUFNfRVhDTC4yMDAwLi4uLlVTRC5IAQAAAJHszw0CAAAACDEuNDM5OTk5AQgAAAAFAAAAATEBAAAACy0xOTA0OTYyNzE5AwAAAAMxNjACAAAAAzE0MgQAAAABMAcAAAAJMy8yOC8yMDI2CAAAAAoxMi8yOC8yMDI1CQAAAAEwOS5Xc0SN3ggZqBV8RI3eCDFDSVEuTkFTREFRR006VklUTC5JUV9ESUxVVF9FUFNfRVhDTC4xMDAwLi4uLlVTRC5IAQAAAJHszw0CAAAACDEuNDM5OTk5AQgAAAAFAAAAATEBAAAACy0xOTA0OTYzMzQxAwAAAAMxNjACAAAAAzE0MgQAAAABMAcA</t>
  </si>
  <si>
    <t>AAAJMy8yOC8yMDI2CAAAAAoxMi8yOC8yMDI1CQAAAAEwOS5Xc0SN3ggZqBV8RI3eCClDSVEuTkFTREFRR006VklUTC5JUV9FQklUREEuMjAwMC4uLi5VU0QuSAEAAACR7M8NAgAAAAcxMDIuODg1AQgAAAAFAAAAATEBAAAACy0xOTA0OTYyNzE5AwAAAAMxNjACAAAABDQwNTEEAAAAATAHAAAACTMvMjgvMjAyNggAAAAKMTIvMjgvMjAyNQkAAAABMDkuV3NEjd4I3rsVfESN3gglQ0lRLk5BU0RBUUdNOlZJVEwuSVFfUEVSSU9EREFURS4yMDAwLgEAAACR7M8NBQAAAAoyOC8xMi8yMDI1ADkuV3NEjd4ICAl4fESN3gglQ0lRLk5BU0RBUUdNOlZJVEwuSVFfUEVSSU9EREFURS4xMDAwLgEAAACR7M8NBQAAAAoyOC8xMi8yMDI1ADkuV3NEjd4ICAl4fESN3ggmQ0lRLk5BU0RBUUdNOlZJVEwuSVFfR1JPU1NfTUFSR0lOLjk5OC4BAAAAkezPDQIAAAAHMzQuNDAxNQEIAAAABQAAAAExAQAAAAstMTkwNDk2MzMzMQMAAAADMTYwAgAAAAQ0MDc0BAAAAAEwBwAAAAkzLzI4LzIwMjYIAAAACjEyLzMxLzIwMjMJAAAAATA5LldzRI3eCPrhd3xEjd4IJ0NJUS5OQVNEQVFHTTpWSVRMLklRX0VCSVREQV9NQVJHSU4uOTk5LgEAAACR7M8NAgAAAAcxMi42NDEyAQgAAAAFAAAAATEBAAAACy0xOTA0OTYzMzQzAwAAAAMxNjACAAAABDQwNDcEAAAAATAHAAAACTMvMjgvMjAyNggAAAAKMTIvMjkvMjAyNAkAAAABMDkuV3NEjd4I</t>
  </si>
  <si>
    <t>+uF3fESN3ggnQ0lRLk5BU0RBUUdNOlZJVEwuSVFfRUJJVERBX01BUkdJTi45OTguAQAAAJHszw0CAAAABTguNzI3AQgAAAAFAAAAATEBAAAACy0xOTA0OTYzMzMxAwAAAAMxNjACAAAABDQwNDcEAAAAATAHAAAACTMvMjgvMjAyNggAAAAKMTIvMzEvMjAyMwkAAAABMDkuV3NEjd4I+uF3fESN3ggnQ0lRLk5BU0RBUUdNOlZJVEwuSVFfR1JPU1NfTUFSR0lOLjIwMDAuAQAAAJHszw0CAAAABzM3LjYxNzIBCAAAAAUAAAABMQEAAAALLTE5MDQ5NjI3MTkDAAAAAzE2MAIAAAAENDA3NAQAAAABMAcAAAAJMy8yOC8yMDI2CAAAAAoxMi8yOC8yMDI1CQAAAAEwOS5Xc0SN3gj64Xd8RI3eCCdDSVEuTkFTREFRR006VklUTC5JUV9HUk9TU19NQVJHSU4uMTAwMC4BAAAAkezPDQIAAAAHMzcuNjE3MgEIAAAABQAAAAExAQAAAAstMTkwNDk2MzM0MQMAAAADMTYwAgAAAAQ0MDc0BAAAAAEwBwAAAAkzLzI4LzIwMjYIAAAACjEyLzI4LzIwMjUJAAAAATA5LldzRI3eCPrhd3xEjd4IJkNJUS5OQVNEQVFHTTpWSVRMLklRX0dST1NTX01BUkdJTi45OTkuAQAAAJHszw0CAAAABzM3LjkyMjMBCAAAAAUAAAABMQEAAAALLTE5MDQ5NjMzNDMDAAAAAzE2MAIAAAAENDA3NAQAAAABMAcAAAAJMy8yOC8yMDI2CAAAAAoxMi8yOS8yMDI0CQAAAAEwOS5Xc0SN3gj64Xd8RI3eCCRDSVEuTkFTREFRR006VklUTC5JUV9OSV9NQVJHSU4u</t>
  </si>
  <si>
    <t>MTAwMC4BAAAAkezPDQIAAAAGOC43Mjc3AQgAAAAFAAAAATEBAAAACy0xOTA0OTYzMzQxAwAAAAMxNjACAAAABDQwOTQEAAAAATAHAAAACTMvMjgvMjAyNggAAAAKMTIvMjgvMjAyNQkAAAABMDkuV3NEjd4IALt3fESN3ggjQ0lRLk5BU0RBUUdNOlZJVEwuSVFfTklfTUFSR0lOLjk5OS4BAAAAkezPDQIAAAAGOC44MDU0AQgAAAAFAAAAATEBAAAACy0xOTA0OTYzMzQzAwAAAAMxNjACAAAABDQwOTQEAAAAATAHAAAACTMvMjgvMjAyNggAAAAKMTIvMjkvMjAyNAkAAAABMDkuV3NEjd4IALt3fESN3ggjQ0lRLk5BU0RBUUdNOlZJVEwuSVFfTklfTUFSR0lOLjk5OC4BAAAAkezPDQIAAAAGNS40MTgxAQgAAAAFAAAAATEBAAAACy0xOTA0OTYzMzMxAwAAAAMxNjACAAAABDQwOTQEAAAAATAHAAAACTMvMjgvMjAyNggAAAAKMTIvMzEvMjAyMwkAAAABMDkuV3NEjd4I+uF3fESN3ggoQ0lRLk5BU0RBUUdNOlZJVEwuSVFfRUJJVERBX01BUkdJTi4yMDAwLgEAAACR7M8NAgAAAAcxMy41NDc0AQgAAAAFAAAAATEBAAAACy0xOTA0OTYyNzE5AwAAAAMxNjACAAAABDQwNDcEAAAAATAHAAAACTMvMjgvMjAyNggAAAAKMTIvMjgvMjAyNQkAAAABMDkuV3NEjd4I+uF3fESN3ggoQ0lRLk5BU0RBUUdNOlZJVEwuSVFfRUJJVERBX01BUkdJTi4xMDAwLgEAAACR7M8NAgAAAAcxMy41NDc0AQgAAAAFAAAAATEBAAAACy0xOTA0</t>
  </si>
  <si>
    <t>OTYzMzQxAwAAAAMxNjACAAAABDQwNDcEAAAAATAHAAAACTMvMjgvMjAyNggAAAAKMTIvMjgvMjAyNQkAAAABMDkuV3NEjd4I+uF3fESN3ggzQ0lRLk5BU0RBUUdNOlZJVEwuSVFfVE9UQUxfUkVWXzFZUl9BTk5fR1JPV1RILjIwMDAuAQAAAJHszw0CAAAABzI1LjI1NzMBCAAAAAUAAAABMQEAAAALLTE5MDQ5NjI3MTkDAAAAAzE2MAIAAAAENDE5NAQAAAABMAcAAAAJMy8yOC8yMDI2CAAAAAoxMi8yOC8yMDI1CQAAAAEwOS5Xc0SN3ggAu3d8RI3eCDNDSVEuTkFTREFRR006VklUTC5JUV9UT1RBTF9SRVZfMVlSX0FOTl9HUk9XVEguMTAwMC4BAAAAkezPDQIAAAAHMjUuMjU3MwEIAAAABQAAAAExAQAAAAstMTkwNDk2MzM0MQMAAAADMTYwAgAAAAQ0MTk0BAAAAAEwBwAAAAkzLzI4LzIwMjYIAAAACjEyLzI4LzIwMjUJAAAAATA5LldzRI3eCAC7d3xEjd4IMUNJUS5OQVNEQVFHTTpWSVRMLklRX1RPVEFMX1JFVl8zWVJfQU5OX0NBR1IuMjAwMC4BAAAAkezPDQIAAAAHMjguMDA5NQEIAAAABQAAAAExAQAAAAstMTkwNDk2MjcxOQMAAAADMTYwAgAAAAQ0MjIwBAAAAAEwBwAAAAkzLzI4LzIwMjYIAAAACjEyLzI4LzIwMjUJAAAAATA5LldzRI3eCAC7d3xEjd4IMUNJUS5OQVNEQVFHTTpWSVRMLklRX1RPVEFMX1JFVl81WVJfQU5OX0NBR1IuMjAwMC4BAAAAkezPDQIAAAAHMjguNzk2MQEIAAAABQAAAAExAQAA</t>
  </si>
  <si>
    <t>AAstMTkwNDk2MjcxOQMAAAADMTYwAgAAAAQ0MjMzBAAAAAEwBwAAAAkzLzI4LzIwMjYIAAAACjEyLzI4LzIwMjUJAAAAATA5LldzRI3eCAC7d3xEjd4IJENJUS5OQVNEQVFHTTpWSVRMLklRX05JX01BUkdJTi4yMDAwLgEAAACR7M8NAgAAAAY4LjcyNzcBCAAAAAUAAAABMQEAAAALLTE5MDQ5NjI3MTkDAAAAAzE2MAIAAAAENDA5NAQAAAABMAcAAAAJMy8yOC8yMDI2CAAAAAoxMi8yOC8yMDI1CQAAAAEwOS5Xc0SN3ggAu3d8RI3eCCtDSVEuTkFTREFRR006VklUTC5JUV9FUFNfNVlSX0FOTl9DQUdSLjIwMDAuAQAAAJHszw0CAAAABzM5Ljc2NTUBCAAAAAUAAAABMQEAAAALLTE5MDQ5NjI3MTkDAAAAAzE2MAIAAAAENDIzOQQAAAABMAcAAAAJMy8yOC8yMDI2CAAAAAoxMi8yOC8yMDI1CQAAAAEwOS5Xc0SN3ggAu3d8RI3eCDBDSVEuTkFTREFRR006VklUTC5JUV9FQklUREFfMVlSX0FOTl9HUk9XVEguMjAwMC4BAAAAkezPDQIAAAAHMzQuMjM1NwEIAAAABQAAAAExAQAAAAstMTkwNDk2MjcxOQMAAAADMTYwAgAAAAQ0MTk2BAAAAAEwBwAAAAkzLzI4LzIwMjYIAAAACjEyLzI4LzIwMjUJAAAAATA5LldzRI3eCAC7d3xEjd4IMENJUS5OQVNEQVFHTTpWSVRMLklRX0VCSVREQV8xWVJfQU5OX0dST1dUSC4xMDAwLgEAAACR7M8NAgAAAAczNC4yMzU3AQgAAAAFAAAAATEBAAAACy0xOTA0OTYzMzQxAwAAAAMx</t>
  </si>
  <si>
    <t>NjACAAAABDQxOTYEAAAAATAHAAAACTMvMjgvMjAyNggAAAAKMTIvMjgvMjAyNQkAAAABMDkuV3NEjd4IALt3fESN3gguQ0lRLk5BU0RBUUdNOlZJVEwuSVFfRUJJVERBXzNZUl9BTk5fQ0FHUi4yMDAwLgEAAACR7M8NAgAAAAcxMTkuNDE0AQgAAAAFAAAAATEBAAAACy0xOTA0OTYyNzE5AwAAAAMxNjACAAAABDQyMjIEAAAAATAHAAAACTMvMjgvMjAyNggAAAAKMTIvMjgvMjAyNQkAAAABMDkuV3NEjd4IALt3fESN3gguQ0lRLk5BU0RBUUdNOlZJVEwuSVFfRUJJVERBXzVZUl9BTk5fQ0FHUi4yMDAwLgEAAACR7M8NAgAAAAc0Ny40MTY5AQgAAAAFAAAAATEBAAAACy0xOTA0OTYyNzE5AwAAAAMxNjACAAAABDQyMzUEAAAAATAHAAAACTMvMjgvMjAyNggAAAAKMTIvMjgvMjAyNQkAAAABMDkuV3NEjd4IALt3fESN3ggqQ0lRLk5BU0RBUUdNOlZJVEwuSVFfTkVUX0RFQlRfRUJJVERBLjIwMDAuAQAAAJHszw0DAAAAAk5NAQgAAAAFAAAAATEBAAAACy0xOTA0OTYyNzE5AwAAAAMxNjACAAAABDQxOTMEAAAAATAHAAAACTMvMjgvMjAyNggAAAAKMTIvMjgvMjAyNQkAAAABMDkuV3NEjd4InJN3fESN3ggsQ0lRLk5BU0RBUUdNOlZJVEwuSVFfVE9UQUxfREVCVF9FQklUREEuMjAwMC4BAAAAkezPDQIAAAAIMC4xMzY5OTIBCAAAAAUAAAABMQEAAAALLTE5MDQ5NjI3MTkDAAAAAzE2MAIAAAAENDE5MgQAAAABMAcA</t>
  </si>
  <si>
    <t>AAAJMy8yOC8yMDI2CAAAAAoxMi8yOC8yMDI1CQAAAAEwOS5Xc0SN3ggAu3d8RI3eCC1DSVEuTkFTREFRR006VklUTC5JUV9FUFNfMVlSX0FOTl9HUk9XVEguMjAwMC4BAAAAkezPDQIAAAAHMjIuMDMzOQEIAAAABQAAAAExAQAAAAstMTkwNDk2MjcxOQMAAAADMTYwAgAAAAQ0MjAwBAAAAAEwBwAAAAkzLzI4LzIwMjYIAAAACjEyLzI4LzIwMjUJAAAAATA5LldzRI3eCAC7d3xEjd4ILUNJUS5OQVNEQVFHTTpWSVRMLklRX0VQU18xWVJfQU5OX0dST1dUSC4xMDAwLgEAAACR7M8NAgAAAAcyMi4wMzM5AQgAAAAFAAAAATEBAAAACy0xOTA0OTYzMzQxAwAAAAMxNjACAAAABDQyMDAEAAAAATAHAAAACTMvMjgvMjAyNggAAAAKMTIvMjgvMjAyNQkAAAABMDkuV3NEjd4IALt3fESN3ggrQ0lRLk5BU0RBUUdNOlZJVEwuSVFfRVBTXzNZUl9BTk5fQ0FHUi4yMDAwLgEAAACR7M8NAgAAAAcyNjMuNDI0AQgAAAAFAAAAATEBAAAACy0xOTA0OTYyNzE5AwAAAAMxNjACAAAABDQyMjYEAAAAATAHAAAACTMvMjgvMjAyNggAAAAKMTIvMjgvMjAyNQkAAAABMDkuV3NEjd4IALt3fESN3ggoQ0lRLk5BU0RBUUdNOlZJVEwuSVFfUkVUVVJOX0VRVUlUWS4yMDAwLgEAAACR7M8NAgAAAAcyMS4zNjE5AQgAAAAFAAAAATEBAAAACy0xOTA0OTYyNzE5AwAAAAMxNjACAAAABDQxMjgEAAAAATAHAAAACTMvMjgvMjAyNggAAAAKMTIv</t>
  </si>
  <si>
    <t>MjgvMjAyNQkAAAABMDkuV3NEjd4InJN3fESN3ggsQ0lRLk5BU0RBUUdNOlZJVEwuSVFfVE9UQUxfREVCVF9DQVBJVEFMLjUwMC4BAAAAkezPDQIAAAAHMTMuMjE1NwEIAAAABQAAAAExAQAAAAstMTkwNDk2MjczMwMAAAADMTYwAgAAAAQ0MTg2BAAAAAEwBwAAAAkzLzI4LzIwMjYIAAAACjEyLzI4LzIwMjUJAAAAATA5LldzRI3eCJyTd3xEjd4IK0NJUS5OQVNEQVFHTTpWSVRMLklRX1RPVEFMX0RFQlRfRVFVSVRZLjUwMC4BAAAAkezPDQIAAAAHMTUuMjI4MwEIAAAABQAAAAExAQAAAAstMTkwNDk2MjczMwMAAAADMTYwAgAAAAQ0MDM0BAAAAAEwBwAAAAkzLzI4LzIwMjYIAAAACjEyLzI4LzIwMjUJAAAAATA5LldzRI3eCJyTd3xEjd4IK0NJUS5OQVNEQVFHTTpWSVRMLklRX0VCSVREQV9DQVBFWF9JTlQuMjAwMC4BAAAAkezPDQIAAAAKMzUyLjk5NTQyMwEIAAAABQAAAAExAQAAAAstMTkwNDk2MjcxOQMAAAADMTYwAgAAAAQ0MTkxBAAAAAEwBwAAAAkzLzI4LzIwMjYIAAAACjEyLzI4LzIwMjUJAAAAATA5LldzRI3eCJyTd3xEjd4IJUNJUS5OQVNEQVFHTTpWSVRMLklRX0VCSVREQV9JTlQuMjAwMC4BAAAAkezPDQIAAAAKNDQ2Ljc1OTcyNQEIAAAABQAAAAExAQAAAAstMTkwNDk2MjcxOQMAAAADMTYwAgAAAAQ0MTkwBAAAAAEwBwAAAAkzLzI4LzIwMjYIAAAACjEyLzI4LzIwMjUJAAAAATA5LldzRI3e</t>
  </si>
  <si>
    <t>CJyTd3xEjd4IKUNJUS5OQVNEQVFHTTpWSVRMLklRX0RBWVNfU0FMRVNfT1VULjIwMDAuAQAAAJHszw0CAAAACTI5LjI4MjcwOAEIAAAABQAAAAExAQAAAAstMTkwNDk2MjcxOQMAAAADMTYwAgAAAAQ0MDQyBAAAAAEwBwAAAAkzLzI4LzIwMjYIAAAACjEyLzI4LzIwMjUJAAAAATA5LldzRI3eCJyTd3xEjd4IJUNJUS5OQVNEQVFHTTpWSVRMLklRX1FVSUNLX1JBVElPLjUwMC4BAAAAkezPDQIAAAAIMS41Mjc2ODUBCAAAAAUAAAABMQEAAAALLTE5MDQ5NjI3MzMDAAAAAzE2MAIAAAAENDEyMQQAAAABMAcAAAAJMy8yOC8yMDI2CAAAAAoxMi8yOC8yMDI1CQAAAAEwOS5Xc0SN3gick3d8RI3eCCdDSVEuTkFTREFRR006VklUTC5JUV9DVVJSRU5UX1JBVElPLjUwMC4BAAAAkezPDQIAAAAIMi4xNTk1MTgBCAAAAAUAAAABMQEAAAALLTE5MDQ5NjI3MzMDAAAAAzE2MAIAAAAENDAzMAQAAAABMAcAAAAJMy8yOC8yMDI2CAAAAAoxMi8yOC8yMDI1CQAAAAEwOS5Xc0SN3gick3d8RI3eCDJDSVEuTkFTREFRR006VklUTC5JUV9SRVRVUk5fSU5WRVNURURfQ0FQSVRBTC4yMDAwLgEAAACR7M8NAgAAAAcxOS4xMzU1ADkuV3NEjd4InJN3fESN3ggoQ0lRLk5BU0RBUUdNOlZJVEwuSVFfUkVUVVJOX0FTU0VUUy4yMDAwLgEAAACR7M8NAgAAAAcxMi41ODA1AQgAAAAFAAAAATEBAAAACy0xOTA0OTYyNzE5AwAAAAMxNjAC</t>
  </si>
  <si>
    <t>AAAABDQxNzgEAAAAATAHAAAACTMvMjgvMjAyNggAAAAKMTIvMjgvMjAyNQkAAAABMDkuV3NEjd4InJN3fESN3ggsQ0lRLk5BU0RBUUdNOlZJVEwuSVFfRklYRURfQVNTRVRfVFVSTlMuMjAwMC4BAAAAkezPDQIAAAAINC40MDA5MjgBCAAAAAUAAAABMQEAAAALLTE5MDQ5NjI3MTkDAAAAAzE2MAIAAAAENDA2NgQAAAABMAcAAAAJMy8yOC8yMDI2CAAAAAoxMi8yOC8yMDI1CQAAAAEwOS5Xc0SN3gj5Z3d8RI3eCCZDSVEuTkFTREFRR006VklUTC5JUV9BU1NFVF9UVVJOUy4yMDAwLgEAAACR7M8NAgAAAAgxLjcyOTgwMgEIAAAABQAAAAExAQAAAAstMTkwNDk2MjcxOQMAAAADMTYwAgAAAAQ0MTc3BAAAAAEwBwAAAAkzLzI4LzIwMjYIAAAACjEyLzI4LzIwMjUJAAAAATA5LldzRI3eCPlnd3xEjd4IKkNJUS5OQVNEQVFHTTpWSVRMLklRX0NBU0hfQ09OVkVSU0lPTi4yMDAwLgEAAACR7M8NAgAAAAkzMC44OTk1OTYBCAAAAAUAAAABMQEAAAALLTE5MDQ5NjI3MTkDAAAAAzE2MAIAAAAENDE4NAQAAAABMAcAAAAJMy8yOC8yMDI2CAAAAAoxMi8yOC8yMDI1CQAAAAEwOS5Xc0SN3gj5Z3d8RI3eCCtDSVEuTkFTREFRR006VklUTC5JUV9EQVlTX1BBWUFCTEVfT1VULjIwMDAuAQAAAJHszw0CAAAACTMzLjAxOTE2OAEIAAAABQAAAAExAQAAAAstMTkwNDk2MjcxOQMAAAADMTYwAgAAAAQ0MTgzBAAAAAEwBwAAAAkz</t>
  </si>
  <si>
    <t>LzI4LzIwMjYIAAAACjEyLzI4LzIwMjUJAAAAATA5LldzRI3eCPlnd3xEjd4ILUNJUS5OQVNEQVFHTTpWSVRMLklRX0RBWVNfSU5WRU5UT1JZX09VVC4yMDAwLgEAAACR7M8NAgAAAAkzNC42MzYwNTYBCAAAAAUAAAABMQEAAAALLTE5MDQ5NjI3MTkDAAAAAzE2MAIAAAAENDAzNQQAAAABMAcAAAAJMy8yOC8yMDI2CAAAAAoxMi8yOC8yMDI1CQAAAAEwOS5Xc0SN3gick3d8RI3eCCpDSVEuTkFTREFRR006VklUTC5JUV9JTlZFTlRPUllfVFVSTlMuMjAwMC4BAAAAkezPDQIAAAAJMTAuNTA5MjQ0AQgAAAAFAAAAATEBAAAACy0xOTA0OTYyNzE5AwAAAAMxNjACAAAABDQwODIEAAAAATAHAAAACTMvMjgvMjAyNggAAAAKMTIvMjgvMjAyNQkAAAABMDkuV3NEjd4I+Wd3fESN3ggjQ0lRLk5BU0RBUUdNOlZJVEwuSVFfQVJfVFVSTlMuMjAwMC4BAAAAkezPDQIAAAAIMTIuNDMwNDQBCAAAAAUAAAABMQEAAAALLTE5MDQ5NjI3MTkDAAAAAzE2MAIAAAAENDAwMQQAAAABMAcAAAAJMy8yOC8yMDI2CAAAAAoxMi8yOC8yMDI1CQAAAAEwOS5Xc0SN3gj5Z3d8RI3eCCpDSVEuTllTRTpHSVMuSVFfUkVWRU5VRV9FU1QuMTAwMDIuLi4uVVNELkgBAAAAGzEEAAIAAAAKMTc4MDMuMzY0NQEOAAAABQAAAAIxMQEAAAABMAIAAAAHMTMyNjMyMAMAAAAGMTAwMTgwBAAAAAEyBgAAAAEwBwAAAAMxNjAIAAAAATAJAAAAATEKAAAA</t>
  </si>
  <si>
    <t>ATALAAAACzE0NzA0ODczNjk2DAAAAAE3DQAAAAkzLzI5LzIwMjYQAAAACTMvMjgvMjAyNjkuV3NEjd4IhOQUfESN3ggqQ0lRLk5ZU0U6R0lTLklRX1JFVkVOVUVfRVNULjEwMDAxLi4uLlVTRC5IAQAAABsxBAACAAAACjE4MjQ5LjQ1NTQBDgAAAAUAAAACMTEBAAAAATACAAAABzM4NzAwNDcDAAAABjEwMDE4MAQAAAABMgYAAAABMAcAAAADMTYwCAAAAAEwCQAAAAExCgAAAAEwCwAAAAsxNDcwNjExNjI5NAwAAAABNw0AAAAJMy8yOS8yMDI2EAAAAAkzLzI4LzIwMjY5LldzRI3eCITkFHxEjd4IKUNJUS5OWVNFOkdJUy5JUV9FQklUREFfRVNULjEwMDAyLi4uLlVTRC5IAQAAABsxBAACAAAACTMyNDEuODQ3OQEOAAAABQAAAAIxMQEAAAABMAIAAAAHMTMyNjMyMAMAAAAGMTAwMTg3BAAAAAEyBgAAAAEwBwAAAAMxNjAIAAAAATAJAAAAATEKAAAAATALAAAACzE0NzA0NjkyMTY2DAAAAAE3DQAAAAkzLzI5LzIwMjYQAAAACTMvMjgvMjAyNjkuV3NEjd4Igb0UfESN3ggpQ0lRLk5ZU0U6R0lTLklRX0VCSVREQV9FU1QuMTAwMDEuLi4uVVNELkgBAAAAGzEEAAIAAAAJMzI1NC41MTM3AQ4AAAAFAAAAAjExAQAAAAEwAgAAAAczODcwMDQ3AwAAAAYxMDAxODcEAAAAATIGAAAAATAHAAAAAzE2MAgAAAABMAkAAAABMQoAAAABMAsAAAALMTQ3MDQ2OTIwNzMMAAAAATcNAAAACTMvMjkvMjAyNhAAAAAJMy8yOC8yMDI2</t>
  </si>
  <si>
    <t>OS5Xc0SN3giBvRR8RI3eCCZDSVEuTllTRTpHSVMuSVFfRVBTX0VTVC4xMDAwMi4uLi5VU0QuSAEAAAAbMQQAAgAAAAYzLjQwMjYBDgAAAAUAAAACMTEBAAAABzI2MTQ2NjYCAAAABzEzMjYzMjADAAAABjEwMDE3MwQAAAABMgYAAAABMAcAAAADMTYwCAAAAAEwCQAAAAExCgAAAAEwCwAAAAsxNDcwOTgxNTUzMwwAAAABNw0AAAAJMy8yOS8yMDI2EAAAAAkzLzI4LzIwMjY5LldzRI3eCIG9FHxEjd4IJkNJUS5OWVNFOkdJUy5JUV9FUFNfRVNULjEwMDAxLi4uLlVTRC5IAQAAABsxBAACAAAABjMuMzUyOQEOAAAABQAAAAIxMQEAAAAHMjYxNDY2NgIAAAAHMzg3MDA0NwMAAAAGMTAwMTczBAAAAAEyBgAAAAEwBwAAAAMxNjAIAAAAATAJAAAAATEKAAAAATALAAAACzE0NzA0ODczNzMyDAAAAAE3DQAAAAkzLzI5LzIwMjYQAAAACTMvMjgvMjAyNjkuV3NEjd4Igb0UfESN3ggqQ0lRLk5ZU0U6TUtDLklRX1JFVkVOVUVfRVNULjEwMDAyLi4uLlVTRC5IAQAAALjDAgACAAAACjgxNTMuNDU4OTEBDgAAAAUAAAACMTEBAAAAATACAAAACjEwMDQ4MDE4NTYDAAAABjEwMDE4MAQAAAABMgYAAAABMAcAAAADMTYwCAAAAAEwCQAAAAExCgAAAAEwCwAAAAsxNDcxMDY1NzM3OAwAAAABNw0AAAAJMy8yOS8yMDI2EAAAAAkzLzI4LzIwMjY5LldzRI3eCGyWFHxEjd4IKkNJUS5OWVNFOk1LQy5JUV9SRVZFTlVFX0VTVC4xMDAw</t>
  </si>
  <si>
    <t>MS4uLi5VU0QuSAEAAAC4wwIAAgAAAAo3ODQxLjc3OTYxAQ4AAAAFAAAAAjExAQAAAAEwAgAAAAoxMDA0ODAxODUxAwAAAAYxMDAxODAEAAAAATIGAAAAATAHAAAAAzE2MAgAAAABMAkAAAABMQoAAAABMAsAAAALMTQ3MTA2NTc0MDIMAAAAATcNAAAACTMvMjkvMjAyNhAAAAAJMy8yOC8yMDI2OS5Xc0SN3ghslhR8RI3eCClDSVEuTllTRTpNS0MuSVFfRUJJVERBX0VTVC4xMDAwMi4uLi5VU0QuSAEAAAC4wwIAAgAAAAoxNjM3LjI2MjI0AQ4AAAAFAAAAAjExAQAAAAEwAgAAAAoxMDA0ODAxODU2AwAAAAYxMDAxODcEAAAAATIGAAAAATAHAAAAAzE2MAgAAAABMAkAAAABMQoAAAABMAsAAAALMTQ3MTA2NTczMDYMAAAAATcNAAAACTMvMjkvMjAyNhAAAAAJMy8yOC8yMDI2OS5Xc0SN3ghslhR8RI3eCClDSVEuTllTRTpNS0MuSVFfRUJJVERBX0VTVC4xMDAwMS4uLi5VU0QuSAEAAAC4wwIAAgAAAAoxNTMzLjI1MzU4AQ4AAAAFAAAAAjExAQAAAAEwAgAAAAoxMDA0ODAxODUxAwAAAAYxMDAxODcEAAAAATIGAAAAATAHAAAAAzE2MAgAAAABMAkAAAABMQoAAAABMAsAAAALMTQ3MTA2NTczMTgMAAAAATcNAAAACTMvMjkvMjAyNhAAAAAJMy8yOC8yMDI2OS5Xc0SN3ghslhR8RI3eCCZDSVEuTllTRTpNS0MuSVFfRVBTX0VTVC4xMDAwMi4uLi5VU0QuSAEAAAC4wwIAAgAAAAczLjM0OTMzAQ4AAAAFAAAAAjExAQAA</t>
  </si>
  <si>
    <t>AAcyNjI5MDYyAgAAAAoxMDA0ODAxODU2AwAAAAYxMDAxNzMEAAAAATIGAAAAATAHAAAAAzE2MAgAAAABMAkAAAABMQoAAAABMAsAAAALMTQ3MDk2MjY2MDQMAAAAATcNAAAACTMvMjkvMjAyNhAAAAAJMy8yOC8yMDI2OS5Xc0SN3ghslhR8RI3eCCZDSVEuTllTRTpNS0MuSVFfRVBTX0VTVC4xMDAwMS4uLi5VU0QuSAEAAAC4wwIAAgAAAAczLjA5MDU3AQ4AAAAFAAAAAjExAQAAAAcyNjI5MDYyAgAAAAoxMDA0ODAxODUxAwAAAAYxMDAxNzMEAAAAATIGAAAAATAHAAAAAzE2MAgAAAABMAkAAAABMQoAAAABMAsAAAALMTQ3MDk2NzAyNDEMAAAAATcNAAAACTMvMjkvMjAyNhAAAAAJMy8yOC8yMDI2OS5Xc0SN3ghslhR8RI3eCC1DSVEuU1pTRTozMDA3NjEuSVFfUkVWRU5VRV9FU1QuMTAwMDIuLi4uVVNELkgBAAAA7+/HEwIAAAAQMjkzMy43ODU4ODgzNjU1MgEOAAAABQAAAAIxMQEAAAABMAIAAAAKMTAwNDc2Mzg2MwMAAAAGMTAwMTgwBAAAAAIyNwYAAAABMAcAAAADMTYwCAAAAAEwCQAAAAExCgAAAAEwCwAAAAsxNDYzMDE2NjQ4NgwAAAABNw0AAAAJMy8yOS8yMDI2EAAAAAkzLzI4LzIwMjY5LldzRI3eCENvFHxEjd4ILUNJUS5TWlNFOjMwMDc2MS5JUV9SRVZFTlVFX0VTVC4xMDAwMS4uLi5VU0QuSAEAAADv78cTAgAAABAyNTYzLjY3MDk5NDA1NTEyAQ4AAAAFAAAAAjExAQAAAAEwAgAAAAoxMDA0NzYz</t>
  </si>
  <si>
    <t>ODYyAwAAAAYxMDAxODAEAAAAAjI3BgAAAAEwBwAAAAMxNjAIAAAAATAJAAAAATEKAAAAATALAAAACzE0NjMwMTY2NDk4DAAAAAE3DQAAAAkzLzI5LzIwMjYQAAAACjEyLzMxLzIwMjU5LldzRI3eCENvFHxEjd4IKUNJUS5TWlNFOjMwMDc2MS5JUV9FUFNfRVNULjEwMDAxLi4uLlVTRC5IAQAAAO/vxxMCAAAADzAuMTAwMzg4ODgyNDgzMgEOAAAABQAAAAIxMQEAAAAJNTU3ODU1NTI4AgAAAAoxMDA0NzYzODYyAwAAAAYxMDAyNzgEAAAAAjI3BgAAAAEwBwAAAAMxNjAIAAAAATAJAAAAATEKAAAAATALAAAACzE0NjMwMTY2NjAwDAAAAAE3DQAAAAkzLzI5LzIwMjYQAAAACjEyLzMxLzIwMjU5LldzRI3eCDVIFHxEjd4ILENJUS5TWlNFOjMwMDc2MS5JUV9FQklUREFfRVNULjEwMDAyLi4uLlVTRC5IAQAAAO/vxxMCAAAAEDM1Ny4zMjEwMDI3ODcxMTUBDgAAAAUAAAACMTEBAAAAATACAAAACjEwMDQ3NjM4NjMDAAAABjEwMDE4NwQAAAACMjcGAAAAATAHAAAAAzE2MAgAAAABMAkAAAABMQoAAAABMAsAAAALMTQ2MzAxNjY0NjIMAAAAATcNAAAACTMvMjkvMjAyNhAAAAAJMy8yOC8yMDI2OS5Xc0SN3ghDbxR8RI3eCCxDSVEuU1pTRTozMDA3NjEuSVFfRUJJVERBX0VTVC4xMDAwMS4uLi5VU0QuSAEAAADv78cTAgAAABAyODUuNjQxNjQwMzA4OTczAQ4AAAAFAAAAAjExAQAAAAEwAgAAAAoxMDA0NzYzODYyAwAA</t>
  </si>
  <si>
    <t>AAYxMDAxODcEAAAAAjI3BgAAAAEwBwAAAAMxNjAIAAAAATAJAAAAATEKAAAAATALAAAACzE0NjMwMTY2NDQ0DAAAAAE3DQAAAAkzLzI5LzIwMjYQAAAACjEyLzMxLzIwMjU5LldzRI3eCENvFHxEjd4IKUNJUS5TWlNFOjMwMDc2MS5JUV9FUFNfRVNULjEwMDAyLi4uLlVTRC5IAQAAAO/vxxMCAAAADTAuMjY5MDk3MjIyMzYBDgAAAAUAAAACMTEBAAAACTU1Nzg1NTUyOAIAAAAKMTAwNDc2Mzg2MwMAAAAGMTAwMjc4BAAAAAIyNwYAAAABMAcAAAADMTYwCAAAAAEwCQAAAAExCgAAAAEwCwAAAAsxNDYzMDE2NjU4MgwAAAABNw0AAAAJMy8yOS8yMDI2EAAAAAkzLzI4LzIwMjY5LldzRI3eCDVIFHxEjd4ILkNJUS5OQVNEQVFHUzpNRExaLklRX0VCSVREQV9FU1QuMTAwMDEuLi4uVVNELkgBAAAAbUkLAAIAAAAKNjc0NS41NTI0NgEOAAAABQAAAAIxMQEAAAABMAIAAAAKMTAwMTQ0NDk0OQMAAAAGMTAwMTg3BAAAAAEyBgAAAAEwBwAAAAMxNjAIAAAAATAJAAAAATEKAAAAATALAAAACzE0NzA5NDQwMTc4DAAAAAE3DQAAAAkzLzI5LzIwMjYQAAAACTMvMjgvMjAyNjkuV3NEjd4I8yAUfESN3ggvQ0lRLk5BU0RBUUdTOk1ETFouSVFfUkVWRU5VRV9FU1QuMTAwMDIuLi4uVVNELkgBAAAAbUkLAAIAAAAKNDA5MzAuMjg2NwEOAAAABQAAAAIxMQEAAAABMAIAAAAKMTAwMTQ0NDk1MAMAAAAGMTAwMTgwBAAAAAEyBgAA</t>
  </si>
  <si>
    <t>AAEwBwAAAAMxNjAIAAAAATAJAAAAATEKAAAAATALAAAACzE0NzA5NDQ5NDgzDAAAAAE3DQAAAAkzLzI5LzIwMjYQAAAACTMvMjgvMjAyNjkuV3NEjd4INUgUfESN3ggvQ0lRLk5BU0RBUUdTOk1ETFouSVFfUkVWRU5VRV9FU1QuMTAwMDEuLi4uVVNELkgBAAAAbUkLAAIAAAALMzk2ODcuNzc4MDEBDgAAAAUAAAACMTEBAAAAATACAAAACjEwMDE0NDQ5NDkDAAAABjEwMDE4MAQAAAABMgYAAAABMAcAAAADMTYwCAAAAAEwCQAAAAExCgAAAAEwCwAAAAsxNDcwOTQ1NjA4OQwAAAABNw0AAAAJMy8yOS8yMDI2EAAAAAkzLzI4LzIwMjY5LldzRI3eCDVIFHxEjd4IK0NJUS5OQVNEQVFHUzpNRExaLklRX0VQU19FU1QuMTAwMDIuLi4uVVNELkgBAAAAbUkLAAIAAAAHMy4zNzk3NwEOAAAABQAAAAIxMQEAAAAHMjYyNDMzNgIAAAAKMTAwMTQ0NDk1MAMAAAAGMTAwMTczBAAAAAEyBgAAAAEwBwAAAAMxNjAIAAAAATAJAAAAATEKAAAAATALAAAACzE0NzA5NDM5NDIyDAAAAAE3DQAAAAkzLzI5LzIwMjYQAAAACTMvMjgvMjAyNjkuV3NEjd4I8yAUfESN3ggrQ0lRLk5BU0RBUUdTOk1ETFouSVFfRVBTX0VTVC4xMDAwMS4uLi5VU0QuSAEAAABtSQsAAgAAAAczLjAzMzc2AQ4AAAAFAAAAAjExAQAAAAcyNjI0MzM2AgAAAAoxMDAxNDQ0OTQ5AwAAAAYxMDAxNzMEAAAAATIGAAAAATAHAAAAAzE2MAgAAAABMAkAAAABMQoA</t>
  </si>
  <si>
    <t>AAABMAsAAAALMTQ3MDk0MzgzMTQMAAAAATcNAAAACTMvMjkvMjAyNhAAAAAJMy8yOC8yMDI2OS5Xc0SN3gjzIBR8RI3eCC5DSVEuTkFTREFRR1M6TURMWi5JUV9FQklUREFfRVNULjEwMDAyLi4uLlVTRC5IAQAAAG1JCwACAAAACTcyNzYuNzIzMgEOAAAABQAAAAIxMQEAAAABMAIAAAAKMTAwMTQ0NDk1MAMAAAAGMTAwMTg3BAAAAAEyBgAAAAEwBwAAAAMxNjAIAAAAATAJAAAAATEKAAAAATALAAAACzE0NzA5NDM5OTc5DAAAAAE3DQAAAAkzLzI5LzIwMjYQAAAACTMvMjgvMjAyNjkuV3NEjd4I8yAUfESN3ggrQ0lRLk5ZU0U6UE9TVC5JUV9SRVZFTlVFX0VTVC4xMDAwMi4uLi5VU0QuSAEAAACPvWYIAgAAAAk4MzkyLjc4NTcBDgAAAAUAAAACMTEBAAAAATACAAAABzM5MDg2MTADAAAABjEwMDE4MAQAAAABMgYAAAABMAcAAAADMTYwCAAAAAEwCQAAAAExCgAAAAEwCwAAAAsxNDY4ODg2NTA4MQwAAAABNw0AAAAJMy8yOS8yMDI2EAAAAAkzLzI4LzIwMjY5LldzRI3eCOiAFXxEjd4IK0NJUS5OWVNFOlBPU1QuSVFfUkVWRU5VRV9FU1QuMTAwMDEuLi4uVVNELkgBAAAAj71mCAIAAAAJODMyNS4yMTY3AQ4AAAAFAAAAAjExAQAAAAEwAgAAAAcyNjI4Nzg2AwAAAAYxMDAxODAEAAAAATIGAAAAATAHAAAAAzE2MAgAAAABMAkAAAABMQoAAAABMAsAAAALMTQ2ODg4NjUwNzcMAAAAATcNAAAACTMvMjkvMjAyNhAA</t>
  </si>
  <si>
    <t>AAAJMy8yOC8yMDI2OS5Xc0SN3gjogBV8RI3eCCdDSVEuTllTRTpQT1NULklRX0VQU19FU1QuMTAwMDEuLi4uVVNELkgBAAAAj71mCAIAAAAGNy40Mzk4AQ4AAAAFAAAAAjExAQAAAAkxNTQxNDg5ODcCAAAABzI2Mjg3ODYDAAAABjEwMDE3MwQAAAABMgYAAAABMAcAAAADMTYwCAAAAAEwCQAAAAExCgAAAAEwCwAAAAsxNDY1Mzg4NDI2NQwAAAABNw0AAAAJMy8yOS8yMDI2EAAAAAkzLzI4LzIwMjY5LldzRI3eCLtZFXxEjd4IKkNJUS5OWVNFOlBPU1QuSVFfRUJJVERBX0VTVC4xMDAwMi4uLi5VU0QuSAEAAACPvWYIAgAAAAgxNTg2LjQ3NQEOAAAABQAAAAIxMQEAAAABMAIAAAAHMzkwODYxMAMAAAAGMTAwMTg3BAAAAAEyBgAAAAEwBwAAAAMxNjAIAAAAATAJAAAAATEKAAAAATALAAAACzE0NjUzMTk4NzQzDAAAAAE3DQAAAAkzLzI5LzIwMjYQAAAACTMvMjgvMjAyNjkuV3NEjd4I6IAVfESN3ggqQ0lRLk5ZU0U6UE9TVC5JUV9FQklUREFfRVNULjEwMDAxLi4uLlVTRC5IAQAAAI+9ZggCAAAACTE1NDkuODA4MwEOAAAABQAAAAIxMQEAAAABMAIAAAAHMjYyODc4NgMAAAAGMTAwMTg3BAAAAAEyBgAAAAEwBwAAAAMxNjAIAAAAATAJAAAAATEKAAAAATALAAAACzE0NjUzMTk4MzE3DAAAAAE3DQAAAAkzLzI5LzIwMjYQAAAACTMvMjgvMjAyNjkuV3NEjd4I6IAVfESN3ggnQ0lRLk5ZU0U6UE9TVC5JUV9FUFNf</t>
  </si>
  <si>
    <t>RVNULjEwMDAyLi4uLlVTRC5IAQAAAI+9ZggCAAAABjguNjA0MgEOAAAABQAAAAIxMQEAAAAJMTU0MTQ4OTg3AgAAAAczOTA4NjEwAwAAAAYxMDAxNzMEAAAAATIGAAAAATAHAAAAAzE2MAgAAAABMAkAAAABMQoAAAABMAsAAAALMTQ2NTM4ODQyNjkMAAAAATcNAAAACTMvMjkvMjAyNhAAAAAJMy8yOC8yMDI2OS5Xc0SN3gi7WRV8RI3eCCpDSVEuTkFTREFRR1M6S0hDLklRX0VQU19FU1QuMTAwMDEuLi4uVVNELkgBAAAAxD4EAAIAAAAGMi4wMzUxAQ4AAAAFAAAAAjExAQAAAAkzMDU3NTU2ODMCAAAACjEwMDM5NzE5NDgDAAAABjEwMDE3MwQAAAABMgYAAAABMAcAAAADMTYwCAAAAAEwCQAAAAExCgAAAAEwCwAAAAsxNDcwOTY0Mzc4OQwAAAABNw0AAAAJMy8yOS8yMDI2EAAAAAkzLzI4LzIwMjY5LldzRI3eCLkyFXxEjd4IKkNJUS5OQVNEQVFHUzpLSEMuSVFfRVBTX0VTVC4xMDAwMi4uLi5VU0QuSAEAAADEPgQAAgAAAAcyLjE0MTUxAQ4AAAAFAAAAAjExAQAAAAkzMDU3NTU2ODMCAAAACjEwMDQyNjc1MTkDAAAABjEwMDE3MwQAAAABMgYAAAABMAcAAAADMTYwCAAAAAEwCQAAAAExCgAAAAEwCwAAAAsxNDcwOTcwODk3NAwAAAABNw0AAAAJMy8yOS8yMDI2EAAAAAkzLzI4LzIwMjY5LldzRI3eCLkyFXxEjd4ILkNJUS5OQVNEQVFHUzpLSEMuSVFfUkVWRU5VRV9FU1QuMTAwMDIuLi4uVVNELkgBAAAAxD4E</t>
  </si>
  <si>
    <t>AAIAAAALMjQ2MTcuNzA1MjgBDgAAAAUAAAACMTEBAAAAATACAAAACjEwMDQyNjc1MTkDAAAABjEwMDE4MAQAAAABMgYAAAABMAcAAAADMTYwCAAAAAEwCQAAAAExCgAAAAEwCwAAAAsxNDcwOTY2OTg2MwwAAAABNw0AAAAJMy8yOS8yMDI2EAAAAAkzLzI4LzIwMjY5LldzRI3eCLkyFXxEjd4ILUNJUS5OQVNEQVFHUzpLSEMuSVFfRUJJVERBX0VTVC4xMDAwMS4uLi5VU0QuSAEAAADEPgQAAgAAAAo1MDIyLjQ2NTcyAQ4AAAAFAAAAAjExAQAAAAEwAgAAAAoxMDAzOTcxOTQ4AwAAAAYxMDAxODcEAAAAATIGAAAAATAHAAAAAzE2MAgAAAABMAkAAAABMQoAAAABMAsAAAALMTQ3MDk2NzIwMzAMAAAAATcNAAAACTMvMjkvMjAyNhAAAAAJMy8yOC8yMDI2OS5Xc0SN3gi5MhV8RI3eCC1DSVEuTkFTREFRR1M6S0hDLklRX0VCSVREQV9FU1QuMTAwMDIuLi4uVVNELkgBAAAAxD4EAAIAAAAKNTE1Ni4wNjExMgEOAAAABQAAAAIxMQEAAAABMAIAAAAKMTAwNDI2NzUxOQMAAAAGMTAwMTg3BAAAAAEyBgAAAAEwBwAAAAMxNjAIAAAAATAJAAAAATEKAAAAATALAAAACzE0NzA5NjcxMjAzDAAAAAE3DQAAAAkzLzI5LzIwMjYQAAAACTMvMjgvMjAyNjkuV3NEjd4IuTIVfESN3gguQ0lRLk5BU0RBUUdTOktIQy5JUV9SRVZFTlVFX0VTVC4xMDAwMS4uLi5VU0QuSAEAAADEPgQAAgAAAAsyNDQ2MS42ODE0OQEOAAAABQAAAAIx</t>
  </si>
  <si>
    <t>MQEAAAABMAIAAAAKMTAwMzk3MTk0OAMAAAAGMTAwMTgwBAAAAAEyBgAAAAEwBwAAAAMxNjAIAAAAATAJAAAAATEKAAAAATALAAAACzE0NzA5NjY4MzExDAAAAAE3DQAAAAkzLzI5LzIwMjYQAAAACTMvMjgvMjAyNjkuV3NEjd4Iu1kVfESN3ggqQ0lRLk5ZU0U6SFJMLklRX1JFVkVOVUVfRVNULjEwMDAxLi4uLlVTRC5IAQAAAAJCBAACAAAACTEyMzEyLjkwNwEOAAAABQAAAAIxMQEAAAABMAIAAAAHMzg2MzAyMgMAAAAGMTAwMTgwBAAAAAEyBgAAAAEwBwAAAAMxNjAIAAAAATAJAAAAATEKAAAAATALAAAACzE0NjgyMzk4NjUyDAAAAAE3DQAAAAkzLzI5LzIwMjYQAAAACTMvMjgvMjAyNjkuV3NEjd4IpQsVfESN3ggpQ0lRLk5ZU0U6SFJMLklRX0VCSVREQV9FU1QuMTAwMDIuLi4uVVNELkgBAAAAAkIEAAIAAAAJMTQzMi45NTEzAQ4AAAAFAAAAAjExAQAAAAEwAgAAAAc0MjU4NzgzAwAAAAYxMDAxODcEAAAAATIGAAAAATAHAAAAAzE2MAgAAAABMAkAAAABMQoAAAABMAsAAAALMTQ2ODU2MjQ5NjQMAAAAATcNAAAACTMvMjkvMjAyNhAAAAAJMy8yOC8yMDI2OS5Xc0SN3gilCxV8RI3eCClDSVEuTllTRTpIUkwuSVFfRUJJVERBX0VTVC4xMDAwMS4uLi5VU0QuSAEAAAACQgQAAgAAAAkxMzk4LjExMzYBDgAAAAUAAAACMTEBAAAAATACAAAABzM4NjMwMjIDAAAABjEwMDE4NwQAAAABMgYAAAABMAcAAAADMTYw</t>
  </si>
  <si>
    <t>CAAAAAEwCQAAAAExCgAAAAEwCwAAAAsxNDY4MjM5NzQzNwwAAAABNw0AAAAJMy8yOS8yMDI2EAAAAAkzLzI4LzIwMjY5LldzRI3eCKULFXxEjd4IKkNJUS5OWVNFOkhSTC5JUV9SRVZFTlVFX0VTVC4xMDAwMi4uLi5VU0QuSAEAAAACQgQAAgAAAAoxMjYwNi4wNjA3AQ4AAAAFAAAAAjExAQAAAAEwAgAAAAc0MjU4NzgzAwAAAAYxMDAxODAEAAAAATIGAAAAATAHAAAAAzE2MAgAAAABMAkAAAABMQoAAAABMAsAAAALMTQ2ODU2MjQ5NjAMAAAAATcNAAAACTMvMjkvMjAyNhAAAAAJMy8yOC8yMDI2OS5Xc0SN3gilCxV8RI3eCCZDSVEuTllTRTpIUkwuSVFfRVBTX0VTVC4xMDAwMi4uLi5VU0QuSAEAAAACQgQAAgAAAAYxLjYwNjEBDgAAAAUAAAACMTEBAAAABzI2MTkwMzQCAAAABzQyNTg3ODMDAAAABjEwMDE3MwQAAAABMgYAAAABMAcAAAADMTYwCAAAAAEwCQAAAAExCgAAAAEwCwAAAAsxNDcwNzU2NzAwOAwAAAABNw0AAAAJMy8yOS8yMDI2EAAAAAkzLzI4LzIwMjY5LldzRI3eCITkFHxEjd4IJkNJUS5OWVNFOkhSTC5JUV9FUFNfRVNULjEwMDAxLi4uLlVTRC5IAQAAAAJCBAACAAAABjEuNTE2MwEOAAAABQAAAAIxMQEAAAAHMjYxOTAzNAIAAAAHMzg2MzAyMgMAAAAGMTAwMTczBAAAAAEyBgAAAAEwBwAAAAMxNjAIAAAAATAJAAAAATEKAAAAATALAAAACzE0NjgyMzk4NjYwDAAAAAE3DQAAAAkzLzI5LzIw</t>
  </si>
  <si>
    <t>MjYQAAAACTMvMjgvMjAyNjkuV3NEjd4IhOQUfESN3ggvQ0lRLk5BU0RBUUdNOlZJVEwuSVFfUkVWRU5VRV9FU1QuMTAwMDIuLi4uVVNELkgBAAAAkezPDQIAAAAKMTA1OS43MzI2NAEOAAAABQAAAAIxMQEAAAABMAIAAAAKMTAwNDc2OTA2NQMAAAAGMTAwMTgwBAAAAAEyBgAAAAEwBwAAAAMxNjAIAAAAATAJAAAAATEKAAAAATALAAAACzE0NzEyNDg2MTQ0DAAAAAE3DQAAAAkzLzI5LzIwMjYQAAAACTMvMjgvMjAyNjkuV3NEjd4I3rsVfESN3ggvQ0lRLk5BU0RBUUdNOlZJVEwuSVFfUkVWRU5VRV9FU1QuMTAwMDEuLi4uVVNELkgBAAAAkezPDQIAAAAJODk4LjI3NzQ1AQ4AAAAFAAAAAjExAQAAAAEwAgAAAAoxMDA0NzY5MDY0AwAAAAYxMDAxODAEAAAAATIGAAAAATAHAAAAAzE2MAgAAAABMAkAAAABMQoAAAABMAsAAAALMTQ3MTI0ODYxNTAMAAAAATcNAAAACTMvMjkvMjAyNhAAAAAJMy8yOC8yMDI2OS5Xc0SN3gjeuxV8RI3eCC5DSVEuTkFTREFRR006VklUTC5JUV9FQklUREFfRVNULjEwMDAyLi4uLlVTRC5IAQAAAJHszw0CAAAACDEyNC41MTk1AQ4AAAAFAAAAAjExAQAAAAEwAgAAAAoxMDA0NzY5MDY1AwAAAAYxMDAxODcEAAAAATIGAAAAATAHAAAAAzE2MAgAAAABMAkAAAABMQoAAAABMAsAAAALMTQ3MTI0ODYwNzcMAAAAATcNAAAACTMvMjkvMjAyNhAAAAAJMy8yOC8yMDI2OS5Xc0SN3ggZqBV8</t>
  </si>
  <si>
    <t>RI3eCC5DSVEuTkFTREFRR006VklUTC5JUV9FQklUREFfRVNULjEwMDAxLi4uLlVTRC5IAQAAAJHszw0CAAAACDEwMS43NTM2AQ4AAAAFAAAAAjExAQAAAAEwAgAAAAoxMDA0NzY5MDY0AwAAAAYxMDAxODcEAAAAATIGAAAAATAHAAAAAzE2MAgAAAABMAkAAAABMQoAAAABMAsAAAALMTQ3MTI0ODYwODMMAAAAATcNAAAACTMvMjkvMjAyNhAAAAAJMy8yOC8yMDI2OS5Xc0SN3ggZqBV8RI3eCCtDSVEuTkFTREFRR006VklUTC5JUV9FUFNfRVNULjEwMDAyLi4uLlVTRC5IAQAAAJHszw0CAAAABzEuNDQyMjIBDgAAAAUAAAACMTEBAAAACTY3Njc2MTcyNQIAAAAKMTAwNDc2OTA2NQMAAAAGMTAwMTczBAAAAAEyBgAAAAEwBwAAAAMxNjAIAAAAATAJAAAAATEKAAAAATALAAAACzE0NzEyNDg2MjY0DAAAAAE3DQAAAAkzLzI5LzIwMjYQAAAACTMvMjgvMjAyNjkuV3NEjd4IGagVfESN3ggrQ0lRLk5BU0RBUUdNOlZJVEwuSVFfRVBTX0VTVC4xMDAwMS4uLi5VU0QuSAEAAACR7M8NAgAAAAcxLjE2NTU2AQ4AAAAFAAAAAjExAQAAAAk2NzY3NjE3MjUCAAAACjEwMDQ3NjkwNjQDAAAABjEwMDE3MwQAAAABMgYAAAABMAcAAAADMTYwCAAAAAEwCQAAAAExCgAAAAEwCwAAAAsxNDcxMjQ4NjI3MAwAAAABNw0AAAAJMy8yOS8yMDI2EAAAAAkzLzI4LzIwMjY5LldzRI3eCBmoFXxEjd4IGkNJUS5OWVNFOkdJUy5JUV9QVEJW</t>
  </si>
  <si>
    <t>LjIwMDAuAQAAABsxBAADAAAAAk5NAQcAAAAFAAAAATEBAAAACy0xOTAwOTk5NTI1AwAAAAEwAgAAAAYxMDAwNjgEAAAAATAHAAAACTMvMjcvMjAyNggAAAAJMy8yNy8yMDI2OS5Xc0SN3giDfXp8RI3eCB1DSVEuTllTRTpHSVMuSVFfUEVfRVhDTC4yMDAwLgEAAAAbMQQAAgAAABA4Ljk1MzA0NjI0NjM1MjQ2AQcAAAAFAAAAATEBAAAACy0xOTAwOTk5NTI1AwAAAAEwAgAAAAYxMDAwNjYEAAAAATAHAAAACTMvMjcvMjAyNggAAAAJMy8yNy8yMDI2OS5Xc0SN3ginpHp8RI3eCBlDSVEuTllTRTpHSVMuSVFfUEJWLjIwMDAuAQAAABsxBAACAAAAEDIuMDgyMDY1ODM4ODYzMTgBBwAAAAUAAAABMQEAAAALLTE5MDA5OTk1MjUDAAAAATACAAAABjEwMDA2NwQAAAABMAcAAAAJMy8yNy8yMDI2CAAAAAkzLzI3LzIwMjY5LldzRI3eCIN9enxEjd4II0NJUS5OWVNFOkdJUy5JUV9URVZfVE9UQUxfUkVWLjIwMDAuAQAAABsxBAACAAAAEDEuNzc3MTYxMDEyNjc3NDUBBwAAAAUAAAABMQEAAAALLTE5MDA5OTk1MjUDAAAAATACAAAABjEwMDA2MQQAAAABMAcAAAAJMy8yNy8yMDI2CAAAAAkzLzI3LzIwMjY5LldzRI3eCKekenxEjd4IIENJUS5OWVNFOkdJUy5JUV9URVZfRUJJVERBLjIwMDAuAQAAABsxBAACAAAAEDkuNDkzNjI2MTY5MjY0MzIBBwAAAAUAAAABMQEAAAALLTE5MDA5OTk1MjUDAAAAATACAAAABjEwMDA2</t>
  </si>
  <si>
    <t>MwQAAAABMAcAAAAJMy8yNy8yMDI2CAAAAAkzLzI3LzIwMjY5LldzRI3eCKekenxEjd4IGUNJUS5OWVNFOk1LQy5JUV9QQlYuMjAwMC4BAAAAuMMCAAIAAAAQMi40ODMwNDUxNTc1NDcyNwEHAAAABQAAAAExAQAAAAstMTkwOTMzMDI5NQMAAAABMAIAAAAGMTAwMDY3BAAAAAEwBwAAAAkzLzI3LzIwMjYIAAAACTMvMjcvMjAyNjkuV3NEjd4II6l5fESN3ggaQ0lRLk5ZU0U6TUtDLklRX1BUQlYuMjAwMC4BAAAAuMMCAAMAAAACTk0BBwAAAAUAAAABMQEAAAALLTE5MDkzMzAyOTUDAAAAATACAAAABjEwMDA2OAQAAAABMAcAAAAJMy8yNy8yMDI2CAAAAAkzLzI3LzIwMjY5LldzRI3eCCOpeXxEjd4IIENJUS5OWVNFOk1LQy5JUV9URVZfRUJJVERBLjIwMDAuAQAAALjDAgACAAAAEDEyLjY0ODIwMTA4MTQ2MzkBBwAAAAUAAAABMQEAAAALLTE5MDkzMzAyOTUDAAAAATACAAAABjEwMDA2MwQAAAABMAcAAAAJMy8yNy8yMDI2CAAAAAkzLzI3LzIwMjY5LldzRI3eCCjQeXxEjd4IHUNJUS5OWVNFOk1LQy5JUV9QRV9FWENMLjIwMDAuAQAAALjDAgACAAAAEDE4LjExMjYyNzk4NjM0ODEBBwAAAAUAAAABMQEAAAALLTE5MDkzMzAyOTUDAAAAATACAAAABjEwMDA2NgQAAAABMAcAAAAJMy8yNy8yMDI2CAAAAAkzLzI3LzIwMjY5LldzRI3eCCjQeXxEjd4II0NJUS5OWVNFOk1LQy5JUV9URVZfVE9UQUxfUkVWLjIwMDAu</t>
  </si>
  <si>
    <t>AQAAALjDAgACAAAAEDIuNjkwMzk4NDU4MTg2MDQBBwAAAAUAAAABMQEAAAALLTE5MDkzMzAyOTUDAAAAATACAAAABjEwMDA2MQQAAAABMAcAAAAJMy8yNy8yMDI2CAAAAAkzLzI3LzIwMjY5LldzRI3eCCjQeXxEjd4IHENJUS5TWlNFOjMwMDc2MS5JUV9QQlYuMjAwMC4BAAAA7+/HEwIAAAAQMS45MDA1OTI0MjQwMzYxOQEHAAAABQAAAAExAQAAAAstMTkyMDU1MDM1MwMAAAABMAIAAAAGMTAwMDY3BAAAAAEwBwAAAAkzLzI3LzIwMjYIAAAACTMvMjcvMjAyNjkuV3NEjd4IFiB5fESN3ggdQ0lRLlNaU0U6MzAwNzYxLklRX1BUQlYuMjAwMC4BAAAA7+/HEwIAAAAQMS45ODEwNTAwNTEzNjk4OAEHAAAABQAAAAExAQAAAAstMTkyMDU1MDM1MwMAAAABMAIAAAAGMTAwMDY4BAAAAAEwBwAAAAkzLzI3LzIwMjYIAAAACTMvMjcvMjAyNjkuV3NEjd4IFiB5fESN3gggQ0lRLlNaU0U6MzAwNzYxLklRX1BFX0VYQ0wuMjAwMC4BAAAA7+/HEwIAAAAQMjYuMjcwNTAwMTY2MTk1OQEHAAAABQAAAAExAQAAAAstMTkyMDU1MDM1MwMAAAABMAIAAAAGMTAwMDY2BAAAAAEwBwAAAAkzLzI3LzIwMjYIAAAACTMvMjcvMjAyNjkuV3NEjd4IFiB5fESN3ggmQ0lRLlNaU0U6MzAwNzYxLklRX1RFVl9UT1RBTF9SRVYuMjAwMC4BAAAA7+/HEwIAAAAQMS4wNDA1MzU3NDU0NzQ1NAEHAAAABQAAAAExAQAAAAstMTkyMDU1MDM1MwMA</t>
  </si>
  <si>
    <t>AAABMAIAAAAGMTAwMDYxBAAAAAEwBwAAAAkzLzI3LzIwMjYIAAAACTMvMjcvMjAyNjkuV3NEjd4IIkd5fESN3ggjQ0lRLlNaU0U6MzAwNzYxLklRX1RFVl9FQklUREEuMjAwMC4BAAAA7+/HEwIAAAAQMTAuOTYwMjk3MzUzOTIxOAEHAAAABQAAAAExAQAAAAstMTkyMDU1MDM1MwMAAAABMAIAAAAGMTAwMDYzBAAAAAEwBwAAAAkzLzI3LzIwMjYIAAAACTMvMjcvMjAyNjkuV3NEjd4IIkd5fESN3ggiQ0lRLk5BU0RBUUdTOk1ETFouSVFfUEVfRVhDTC4yMDAwLgEAAABtSQsAAgAAABAzMC44MzA2ODc4MzA2ODc4AQcAAAAFAAAAATEBAAAACy0xOTA3NjgwNTU1AwAAAAEwAgAAAAYxMDAwNjYEAAAAATAHAAAACTMvMjcvMjAyNggAAAAJMy8yNy8yMDI2OS5Xc0SN3ghPpXh8RI3eCB5DSVEuTkFTREFRR1M6TURMWi5JUV9QQlYuMjAwMC4BAAAAbUkLAAIAAAAQMi44OTAyMTgyODAxNzY3OAEHAAAABQAAAAExAQAAAAstMTkwNzY4MDU1NQMAAAABMAIAAAAGMTAwMDY3BAAAAAEwBwAAAAkzLzI3LzIwMjYIAAAACTMvMjcvMjAyNjkuV3NEjd4IRH54fESN3ggfQ0lRLk5BU0RBUUdTOk1ETFouSVFfUFRCVi4yMDAwLgEAAABtSQsAAwAAAAJOTQEHAAAABQAAAAExAQAAAAstMTkwNzY4MDU1NQMAAAABMAIAAAAGMTAwMDY4BAAAAAEwBwAAAAkzLzI3LzIwMjYIAAAACTMvMjcvMjAyNjkuV3NEjd4IRH54fESN3gglQ0lR</t>
  </si>
  <si>
    <t>Lk5BU0RBUUdTOk1ETFouSVFfVEVWX0VCSVREQS4yMDAwLgEAAABtSQsAAgAAABAxNi4xOTEyMjY4Mjg1OTEyAQcAAAAFAAAAATEBAAAACy0xOTA3NjgwNTU1AwAAAAEwAgAAAAYxMDAwNjMEAAAAATAHAAAACTMvMjcvMjAyNggAAAAJMy8yNy8yMDI2OS5Xc0SN3ghPpXh8RI3eCChDSVEuTkFTREFRR1M6TURMWi5JUV9URVZfVE9UQUxfUkVWLjIwMDAuAQAAAG1JCwACAAAADzIuNDU0NTAyMDkyMzQzMgEHAAAABQAAAAExAQAAAAstMTkwNzY4MDU1NQMAAAABMAIAAAAGMTAwMDYxBAAAAAEwBwAAAAkzLzI3LzIwMjYIAAAACTMvMjcvMjAyNjkuV3NEjd4IT6V4fESN3ggaQ0lRLk5ZU0U6UE9TVC5JUV9QQlYuMjAwMC4BAAAAj71mCAIAAAAQMS4zMjc1MDcyMDg5MDUxMwEHAAAABQAAAAExAQAAAAstMTkwNzgwMDA1NAMAAAABMAIAAAAGMTAwMDY3BAAAAAEwBwAAAAkzLzI3LzIwMjYIAAAACTMvMjcvMjAyNjkuV3NEjd4IBFR3fESN3ggbQ0lRLk5ZU0U6UE9TVC5JUV9QVEJWLjIwMDAuAQAAAI+9ZggDAAAAAk5NAQcAAAAFAAAAATEBAAAACy0xOTA3ODAwMDU0AwAAAAEwAgAAAAYxMDAwNjgEAAAAATAHAAAACTMvMjcvMjAyNggAAAAJMy8yNy8yMDI2OS5Xc0SN3ggEVHd8RI3eCB5DSVEuTllTRTpQT1NULklRX1BFX0VYQ0wuMjAwMC4BAAAAj71mCAIAAAAQMTcuNzI4MTI4MzE1MzQwNgEHAAAABQAAAAExAQAA</t>
  </si>
  <si>
    <t>AAstMTkwNzgwMDA1NAMAAAABMAIAAAAGMTAwMDY2BAAAAAEwBwAAAAkzLzI3LzIwMjYIAAAACTMvMjcvMjAyNjkuV3NEjd4IBFR3fESN3ggkQ0lRLk5ZU0U6UE9TVC5JUV9URVZfVE9UQUxfUkVWLjIwMDAuAQAAAI+9ZggCAAAAEDEuNDA4MzEyNzI1MzI5MDMBBwAAAAUAAAABMQEAAAALLTE5MDc4MDAwNTQDAAAAATACAAAABjEwMDA2MQQAAAABMAcAAAAJMy8yNy8yMDI2CAAAAAkzLzI3LzIwMjY5LldzRI3eCPlnd3xEjd4IIUNJUS5OWVNFOlBPU1QuSVFfVEVWX0VCSVREQS4yMDAwLgEAAACPvWYIAgAAABA3Ljc2NTgzNjA4NzgxNDIxAQcAAAAFAAAAATEBAAAACy0xOTA3ODAwMDU0AwAAAAEwAgAAAAYxMDAwNjMEAAAAATAHAAAACTMvMjcvMjAyNggAAAAJMy8yNy8yMDI2OS5Xc0SN3gj5Z3d8RI3eCCRDSVEuTkFTREFRR1M6S0hDLklRX1RFVl9FQklUREEuMjAwMC4BAAAAxD4EAAIAAAAQNy4wODE5NDU3MTA3MzAzOAEHAAAABQAAAAExAQAAAAstMTkwNjk0MDI5OQMAAAABMAIAAAAGMTAwMDYzBAAAAAEwBwAAAAkzLzI3LzIwMjYIAAAACTMvMjcvMjAyNjkuV3NEjd4IJ4V2fESN3ggnQ0lRLk5BU0RBUUdTOktIQy5JUV9URVZfVE9UQUxfUkVWLjIwMDAuAQAAAMQ+BAACAAAADzEuNzc2NTkxMDYzNzQ5NQEHAAAABQAAAAExAQAAAAstMTkwNjk0MDI5OQMAAAABMAIAAAAGMTAwMDYxBAAAAAEwBwAAAAkz</t>
  </si>
  <si>
    <t>LzI3LzIwMjYIAAAACTMvMjcvMjAyNjkuV3NEjd4IEqx2fESN3gghQ0lRLk5BU0RBUUdTOktIQy5JUV9QRV9FWENMLjIwMDAuAQAAAMQ+BAADAAAAAk5NAQcAAAAFAAAAATEBAAAACy0xOTA2OTQwMjk5AwAAAAEwAgAAAAYxMDAwNjYEAAAAATAHAAAACTMvMjcvMjAyNggAAAAJMy8yNy8yMDI2OS5Xc0SN3ggnhXZ8RI3eCB5DSVEuTkFTREFRR1M6S0hDLklRX1BUQlYuMjAwMC4BAAAAxD4EAAMAAAACTk0BBwAAAAUAAAABMQEAAAALLTE5MDY5NDAyOTkDAAAAATACAAAABjEwMDA2OAQAAAABMAcAAAAJMy8yNy8yMDI2CAAAAAkzLzI3LzIwMjY5LldzRI3eCCeFdnxEjd4IHUNJUS5OQVNEQVFHUzpLSEMuSVFfUEJWLjIwMDAuAQAAAMQ+BAACAAAAETAuNjI2MzI4NzI4NDA1NzYxAQcAAAAFAAAAATEBAAAACy0xOTA2OTQwMjk5AwAAAAEwAgAAAAYxMDAwNjcEAAAAATAHAAAACTMvMjcvMjAyNggAAAAJMy8yNy8yMDI2OS5Xc0SN3ggnhXZ8RI3eCBlDSVEuTllTRTpIUkwuSVFfUEJWLjIwMDAuAQAAAAJCBAACAAAADzEuNTk4OTY1MTI5MjUyOAEHAAAABQAAAAExAQAAAAstMTkwNDgwMzUzNAMAAAABMAIAAAAGMTAwMDY3BAAAAAEwBwAAAAkzLzI3LzIwMjYIAAAACTMvMjcvMjAyNjkuV3NEjd4I6+h1fESN3ggaQ0lRLk5ZU0U6SFJMLklRX1BUQlYuMjAwMC4BAAAAAkIEAAIAAAAQOC42ODMwMTU3Mjc2NjI2OQEH</t>
  </si>
  <si>
    <t>AAAABQAAAAExAQAAAAstMTkwNDgwMzUzNAMAAAABMAIAAAAGMTAwMDY4BAAAAAEwBwAAAAkzLzI3LzIwMjYIAAAACTMvMjcvMjAyNjkuV3NEjd4I6+h1fESN3ggdQ0lRLk5ZU0U6SFJMLklRX1BFX0VYQ0wuMjAwMC4BAAAAAkIEAAIAAAAQMjUuOTQ1MTY1MzkzNDAwNQEHAAAABQAAAAExAQAAAAstMTkwNDgwMzUzNAMAAAABMAIAAAAGMTAwMDY2BAAAAAEwBwAAAAkzLzI3LzIwMjYIAAAACTMvMjcvMjAyNjkuV3NEjd4I6+h1fESN3ggjQ0lRLk5ZU0U6SFJMLklRX1RFVl9UT1RBTF9SRVYuMjAwMC4BAAAAAkIEAAIAAAAQMS4yMDc2MTI0NjcxMjg3NwEHAAAABQAAAAExAQAAAAstMTkwNDgwMzUzNAMAAAABMAIAAAAGMTAwMDYxBAAAAAEwBwAAAAkzLzI3LzIwMjYIAAAACTMvMjcvMjAyNjkuV3NEjd4I6+h1fESN3gggQ0lRLk5ZU0U6SFJMLklRX1RFVl9FQklUREEuMjAwMC4BAAAAAkIEAAIAAAAQOS43MTk3NjU3NzE2OTY5MgEHAAAABQAAAAExAQAAAAstMTkwNDgwMzUzNAMAAAABMAIAAAAGMTAwMDYzBAAAAAEwBwAAAAkzLzI3LzIwMjYIAAAACTMvMjcvMjAyNjkuV3NEjd4I6+h1fESN3ggoQ0lRLk5BU0RBUUdNOlZJVEwuSVFfVEVWX1RPVEFMX1JFVi4yMDAwLgEAAACR7M8NAgAAABEwLjY5NjI2NDkyODY4NDY2OQEHAAAABQAAAAExAQAAAAstMTkwNDk2MjcxOQMAAAABMAIAAAAGMTAwMDYxBAAAAAEw</t>
  </si>
  <si>
    <t>BwAAAAkzLzI3LzIwMjYIAAAACTMvMjcvMjAyNjkuV3NEjd4ICAl4fESN3ggiQ0lRLk5BU0RBUUdNOlZJVEwuSVFfUEVfRVhDTC4yMDAwLgEAAACR7M8NAgAAABA5LjEyNTAwNjMzNjgwOTk2AQcAAAAFAAAAATEBAAAACy0xOTA0OTYyNzE5AwAAAAEwAgAAAAYxMDAwNjYEAAAAATAHAAAACTMvMjcvMjAyNggAAAAJMy8yNy8yMDI2OS5Xc0SN3gj64Xd8RI3eCCVDSVEuTkFTREFRR006VklUTC5JUV9URVZfRUJJVERBLjIwMDAuAQAAAJHszw0CAAAAEDEuMzU0MjA2MjkyMTkyOTYBBwAAAAUAAAABMQEAAAALLTE5MDQ5NjI3MTkDAAAAATACAAAABjEwMDA2MwQAAAABMAcAAAAJMy8yNy8yMDI2CAAAAAkzLzI3LzIwMjY5LldzRI3eCAgJeHxEjd4IH0NJUS5OQVNEQVFHTTpWSVRMLklRX1BUQlYuMjAwMC4BAAAAkezPDQIAAAAQMS42OTQzODk0MDQ3Mjc3MwEHAAAABQAAAAExAQAAAAstMTkwNDk2MjcxOQMAAAABMAIAAAAGMTAwMDY4BAAAAAEwBwAAAAkzLzI3LzIwMjYIAAAACTMvMjcvMjAyNjkuV3NEjd4I+uF3fESN3ggeQ0lRLk5BU0RBUUdNOlZJVEwuSVFfUEJWLjIwMDAuAQAAAJHszw0CAAAAEDEuNjc1Nzc5MzAxMTQxMzcBBwAAAAUAAAABMQEAAAALLTE5MDQ5NjI3MTkDAAAAATACAAAABjEwMDA2NwQAAAABMAcAAAAJMy8yNy8yMDI2CAAAAAkzLzI3LzIwMjY5LldzRI3eCPrhd3xEjd4INUNJUUFWRy5O</t>
  </si>
  <si>
    <t>QVNEQVE6Q0FMTS5JUV9QVEJWLjIwMDAuMzAvMDgvMjAyNS4yOS8xMS8yMDI1AQAAACB6BQACAAAAEDEuODA2MjM4NjczNTY3NDEAOS5Xc0SN3gimy3p8RI3eCDhDSVFBVkcuTkFTREFROkNBTE0uSVFfUEVfRVhDTC4yMDAwLjMwLzA4LzIwMjUuMjkvMTEvMjAyNQEAAAAgegUAAgAAABAzLjY5NjkyNDk3MDkyNTQ4ADkuV3NEjd4Ipst6fESN3gg0Q0lRQVZHLk5BU0RBUTpDQUxNLklRX1BCVi4yMDAwLjMwLzA4LzIwMjUuMjkvMTEvMjAyNQEAAAAgegUAAgAAABAxLjczNzAzOTQ5NTA5Mjc5ADkuV3NEjd4Ipst6fESN3gg5Q0lRQVZHLk5BU0RBUTpDQUxNLklRX1RFVl9FQklULjIwMDAuMzAvMDgvMjAyNS4yOS8xMS8yMDI1AQAAACB6BQACAAAAEDIuMDcyMDY3MjM0NzAxNjUAOS5Xc0SN3gimy3p8RI3eCD5DSVFBVkcuTkFTREFROkNBTE0uSVFfVEVWX1RPVEFMX1JFVi4yMDAwLjMwLzA4LzIwMjUuMjkvMTEvMjAyNQEAAAAgegUAAgAAABEwLjc1OTIxMzE4MTI4ODkxOQA5LldzRI3eCK7yenxEjd4IO0NJUUFWRy5OQVNEQVE6Q0FMTS5JUV9URVZfRUJJVERBLjIwMDAuMzAvMDgvMjAyNS4yOS8xMS8yMDI1AQAAACB6BQACAAAAEDEuOTUxMTU5MjQ5MzUxOTIAOS5Xc0SN3gimy3p8RI3eCDRDSVFBVkcuTkFTREFROkNBTE0uSVFfUEJWLjIwMDAuMzEvMDUvMjAxNC4zMC8wNS8yMDE1AQAAACB6BQACAAAAEDMu</t>
  </si>
  <si>
    <t>MTYxMTQ4ODc1OTA5MTUAOS5Xc0SN3gimy3p8RI3eCDVDSVFBVkcuTkFTREFROkNBTE0uSVFfUFRCVi4yMDAwLjMxLzA1LzIwMTQuMzAvMDUvMjAxNQEAAAAgegUAAgAAABAzLjM3MDE1NjcxODM4MTk0ADkuV3NEjd4Ipst6fESN3gg4Q0lRQVZHLk5BU0RBUTpDQUxNLklRX1BFX0VYQ0wuMjAwMC4zMS8wNS8yMDE0LjMwLzA1LzIwMTUBAAAAIHoFAAIAAAAQMTYuNjYxNjcwMjE0MDAyMgA5LldzRI3eCKbLenxEjd4IO0NJUUFWRy5OQVNEQVE6Q0FMTS5JUV9URVZfRUJJVERBLjIwMDAuMzEvMDUvMjAxNC4zMC8wNS8yMDE1AQAAACB6BQACAAAAEDguNDc5NzI0OTk0MDE0MzgAOS5Xc0SN3gimy3p8RI3eCDlDSVFBVkcuTkFTREFROkNBTE0uSVFfVEVWX0VCSVQuMjAwMC4zMS8wNS8yMDE0LjMwLzA1LzIwMTUBAAAAIHoFAAIAAAAQMTAuMzg1OTQwNzE4NzkxNwA5LldzRI3eCKbLenxEjd4IPkNJUUFWRy5OQVNEQVE6Q0FMTS5JUV9URVZfVE9UQUxfUkVWLjIwMDAuMzEvMDUvMjAxNC4zMC8wNS8yMDE1AQAAACB6BQACAAAAEDEuMjI0MTA3OTM1ODAyMDkAOS5Xc0SN3gimy3p8RI3eCDVDSVFBVkcuTkFTREFROkNBTE0uSVFfUFRCVi4yMDAwLjMwLzA1LzIwMTUuMjgvMDUvMjAxNgEAAAAgegUAAgAAABAzLjM2NjM3MzYxMzc5Nzk3ADkuV3NEjd4Ip6R6fESN3gg5Q0lRQVZHLk5BU0RBUTpDQUxNLklRX1RFVl9F</t>
  </si>
  <si>
    <t>QklULjIwMDAuMzAvMDUvMjAxNS4yOC8wNS8yMDE2AQAAACB6BQACAAAAEDYuNDM0MDYyOTg5ODI0NjUAOS5Xc0SN3gimy3p8RI3eCDhDSVFBVkcuTkFTREFROkNBTE0uSVFfUEVfRVhDTC4yMDAwLjMwLzA1LzIwMTUuMjgvMDUvMjAxNgEAAAAgegUAAgAAAA8xMC43NzMxNDgyOTcwNTMAOS5Xc0SN3gimy3p8RI3eCDRDSVFBVkcuTkFTREFROkNBTE0uSVFfUEJWLjIwMDAuMzAvMDUvMjAxNS4yOC8wNS8yMDE2AQAAACB6BQACAAAAEDMuMjEwNTgzNzA3ODk4MTMAOS5Xc0SN3ginpHp8RI3eCDtDSVFBVkcuTkFTREFROkNBTE0uSVFfVEVWX0VCSVREQS4yMDAwLjMwLzA1LzIwMTUuMjgvMDUvMjAxNgEAAAAgegUAAgAAABA1LjY3MjA0NDc0NTkyMjM1ADkuV3NEjd4Ipst6fESN3gg+Q0lRQVZHLk5BU0RBUTpDQUxNLklRX1RFVl9UT1RBTF9SRVYuMjAwMC4zMC8wNS8yMDE1LjI4LzA1LzIwMTYBAAAAIHoFAAIAAAAQMS4yNTQzMTkwMjczMzY1NgA5LldzRI3eCKbLenxEjd4IPkNJUUFWRy5OQVNEQVE6Q0FMTS5JUV9URVZfVE9UQUxfUkVWLjIwMDAuMjgvMDUvMjAxNi4wMy8wNi8yMDE3AQAAACB6BQACAAAAEDEuMTg3MzU4NTY3MDI3NDEAOS5Xc0SN3ghbaZt+RI3eCDVDSVFBVkcuTkFTREFROkNBTE0uSVFfUFRCVi4yMDAwLjI4LzA1LzIwMTYuMDMvMDYvMjAxNwEAAAAgegUAAgAAABAyLjM1MDkzMTgwNTkw</t>
  </si>
  <si>
    <t>NTE5ADkuV3NEjd4Ir0GbfkSN3gg7Q0lRQVZHLk5BU0RBUTpDQUxNLklRX1RFVl9FQklUREEuMjAwMC4yOC8wNS8yMDE2LjAzLzA2LzIwMTcBAAAAIHoFAAIAAAAQMTUuMjU0OTc2ODk2NTg1NgA5LldzRI3eCK9Bm35Ejd4IOUNJUUFWRy5OQVNEQVE6Q0FMTS5JUV9URVZfRUJJVC4yMDAwLjI4LzA1LzIwMTYuMDMvMDYvMjAxNwEAAAAgegUAAgAAABA1LjM5Mzk1NzUyMTIyMDQxADkuV3NEjd4Ir0GbfkSN3gg4Q0lRQVZHLk5BU0RBUTpDQUxNLklRX1BFX0VYQ0wuMjAwMC4yOC8wNS8yMDE2LjAzLzA2LzIwMTcBAAAAIHoFAAIAAAAQNzAuMjE0ODcwODg5OTMzNAA5LldzRI3eCK9Bm35Ejd4INENJUUFWRy5OQVNEQVE6Q0FMTS5JUV9QQlYuMjAwMC4yOC8wNS8yMDE2LjAzLzA2LzIwMTcBAAAAIHoFAAIAAAAQMi4yMjU5MjYxNTYxMDI5NgA5LldzRI3eCK9Bm35Ejd4INUNJUUFWRy5OQVNEQVE6Q0FMTS5JUV9QVEJWLjIwMDAuMDMvMDYvMjAxNy4wMi8wNi8yMDE4AQAAACB6BQACAAAAEDIuNjU4MjgyNTk4Mjk4NzkAOS5Xc0SN3ghbaZt+RI3eCDRDSVFBVkcuTkFTREFROkNBTE0uSVFfUEJWLjIwMDAuMDMvMDYvMjAxNy4wMi8wNi8yMDE4AQAAACB6BQACAAAAEDIuNDU2MTgxNDM4NjI4MTIAOS5Xc0SN3ghbaZt+RI3eCDhDSVFBVkcuTkFTREFROkNBTE0uSVFfUEVfRVhDTC4yMDAwLjAzLzA2LzIwMTcuMDIv</t>
  </si>
  <si>
    <t>MDYvMjAxOAEAAAAgegUAAgAAABA3OC4yOTgzNTM1OTk4NDMzADkuV3NEjd4IW2mbfkSN3gg5Q0lRQVZHLk5BU0RBUTpDQUxNLklRX1RFVl9FQklULjIwMDAuMDMvMDYvMjAxNy4wMi8wNi8yMDE4AQAAACB6BQACAAAAEDM1LjQ3Nzc1NzE3ODUyNzgAOS5Xc0SN3ghbaZt+RI3eCD5DSVFBVkcuTkFTREFROkNBTE0uSVFfVEVWX1RPVEFMX1JFVi4yMDAwLjAzLzA2LzIwMTcuMDIvMDYvMjAxOAEAAAAgegUAAgAAABAxLjYzNTQzNTU1MDYxMDA5ADkuV3NEjd4IW2mbfkSN3gg7Q0lRQVZHLk5BU0RBUTpDQUxNLklRX1RFVl9FQklUREEuMjAwMC4wMy8wNi8yMDE3LjAyLzA2LzIwMTgBAAAAIHoFAAIAAAAQNDUuOTM3ODQzOTQ1NzgwNgA5LldzRI3eCFtpm35Ejd4INUNJUUFWRy5OQVNEQVE6Q0FMTS5JUV9QVEJWLjIwMDAuMDIvMDYvMjAxOC4wMS8wNi8yMDE5AQAAACB6BQACAAAAEDIuNDU5OTc4MjUwMzk0ODIAOS5Xc0SN3ghbaZt+RI3eCDRDSVFBVkcuTkFTREFROkNBTE0uSVFfUEJWLjIwMDAuMDIvMDYvMjAxOC4wMS8wNi8yMDE5AQAAACB6BQACAAAAEDIuMzAyODg1OTg5MTA1NDIAOS5Xc0SN3ghbaZt+RI3eCDhDSVFBVkcuTkFTREFROkNBTE0uSVFfUEVfRVhDTC4yMDAwLjAyLzA2LzIwMTguMDEvMDYvMjAxOQEAAAAgegUAAgAAABAyMy4wMzk4NTc2MjM5MDM3ADkuV3NEjd4IW2mbfkSN3gg7Q0lRQVZH</t>
  </si>
  <si>
    <t>Lk5BU0RBUTpDQUxNLklRX1RFVl9FQklUREEuMjAwMC4wMi8wNi8yMDE4LjAxLzA2LzIwMTkBAAAAIHoFAAIAAAAQOC44MzQ0NTU4MDA1ODI5MQA5LldzRI3eCGuQm35Ejd4IPkNJUUFWRy5OQVNEQVE6Q0FMTS5JUV9URVZfVE9UQUxfUkVWLjIwMDAuMDIvMDYvMjAxOC4wMS8wNi8yMDE5AQAAACB6BQACAAAAEDEuMjU3NjUxODE3OTA4OTYAOS5Xc0SN3ghrkJt+RI3eCDlDSVFBVkcuTkFTREFROkNBTE0uSVFfVEVWX0VCSVQuMjAwMC4wMi8wNi8yMDE4LjAxLzA2LzIwMTkBAAAAIHoFAAIAAAAQMTIuOTAxODUzMTA5MDU0OQA5LldzRI3eCGuQm35Ejd4INUNJUUFWRy5OQVNEQVE6Q0FMTS5JUV9QVEJWLjIwMDAuMDEvMDYvMjAxOS4zMC8wNS8yMDIwAQAAACB6BQACAAAAEDIuMjA0OTQ3OTQ4NTM5NzcAOS5Xc0SN3ghrkJt+RI3eCDRDSVFBVkcuTkFTREFROkNBTE0uSVFfUEJWLjIwMDAuMDEvMDYvMjAxOS4zMC8wNS8yMDIwAQAAACB6BQACAAAAEDIuMDY4Mzk4MTQ3ODQ3ODEAOS5Xc0SN3ghrkJt+RI3eCDlDSVFBVkcuTkFTREFROkNBTE0uSVFfVEVWX0VCSVQuMjAwMC4wMS8wNi8yMDE5LjMwLzA1LzIwMjABAAAAIHoFAAIAAAAQMjMuMDYzNzE5NDYzNjU5MQA5LldzRI3eCGuQm35Ejd4IO0NJUUFWRy5OQVNEQVE6Q0FMTS5JUV9URVZfRUJJVERBLjIwMDAuMDEvMDYvMjAxOS4zMC8wNS8yMDIwAQAAACB6</t>
  </si>
  <si>
    <t>BQACAAAAEDI5Ljg1OTkzMTc2MDEwNDMAOS5Xc0SN3ghrkJt+RI3eCD5DSVFBVkcuTkFTREFROkNBTE0uSVFfVEVWX1RPVEFMX1JFVi4yMDAwLjAxLzA2LzIwMTkuMzAvMDUvMjAyMAEAAAAgegUAAgAAABAxLjM3MzI5NjU1ODA4NDcyADkuV3NEjd4Ia5CbfkSN3gg4Q0lRQVZHLk5BU0RBUTpDQUxNLklRX1BFX0VYQ0wuMjAwMC4wMS8wNi8yMDE5LjMwLzA1LzIwMjABAAAAIHoFAAIAAAAQMjcuNTkzNTkzMzYxOTMxMQA5LldzRI3eCGuQm35Ejd4INUNJUUFWRy5OQVNEQVE6Q0FMTS5JUV9QVEJWLjIwMDAuMzAvMDUvMjAyMC4yOS8wNS8yMDIxAQAAACB6BQACAAAAEDIuMDgwNjEzMDcxNTQzNDEAOS5Xc0SN3ghrkJt+RI3eCDhDSVFBVkcuTkFTREFROkNBTE0uSVFfUEVfRVhDTC4yMDAwLjMwLzA1LzIwMjAuMjkvMDUvMjAyMQEAAAAgegUAAgAAABA1MC45ODcxNjA0MTYzMTY1ADkuV3NEjd4IJrebfkSN3gg5Q0lRQVZHLk5BU0RBUTpDQUxNLklRX1RFVl9FQklULjIwMDAuMzAvMDUvMjAyMC4yOS8wNS8yMDIxAQAAACB6BQACAAAAEDg0LjE1NzczODU2NzE0ODgAOS5Xc0SN3ggmt5t+RI3eCDtDSVFBVkcuTkFTREFROkNBTE0uSVFfVEVWX0VCSVREQS4yMDAwLjMwLzA1LzIwMjAuMjkvMDUvMjAyMQEAAAAgegUAAgAAABAxNi44MTY2NjE4MzY0NDIyADkuV3NEjd4IJrebfkSN3gg+Q0lRQVZHLk5BU0RBUTpD</t>
  </si>
  <si>
    <t>QUxNLklRX1RFVl9UT1RBTF9SRVYuMjAwMC4zMC8wNS8yMDIwLjI5LzA1LzIwMjEBAAAAIHoFAAIAAAAQMS4yODg5MzAwMTQwNDM1NgA5LldzRI3eCCa3m35Ejd4INENJUUFWRy5OQVNEQVE6Q0FMTS5JUV9QQlYuMjAwMC4zMC8wNS8yMDIwLjI5LzA1LzIwMjEBAAAAIHoFAAIAAAAPMS45NTg4NzY5MDM0MDE1ADkuV3NEjd4Ia5CbfkSN3gg0Q0lRQVZHLk5BU0RBUTpDQUxNLklRX1BCVi4yMDAwLjI5LzA1LzIwMjEuMjgvMDUvMjAyMgEAAAAgegUAAgAAABAxLjk2MTgzMDI1NzYzNTQ1ADkuV3NEjd4IJrebfkSN3gg4Q0lRQVZHLk5BU0RBUTpDQUxNLklRX1BFX0VYQ0wuMjAwMC4yOS8wNS8yMDIxLjI4LzA1LzIwMjIBAAAAIHoFAAIAAAAQOTEuNjc3MDY5NTM0MDc0NQA5LldzRI3eCCa3m35Ejd4IOUNJUUFWRy5OQVNEQVE6Q0FMTS5JUV9URVZfRUJJVC4yMDAwLjI5LzA1LzIwMjEuMjgvMDUvMjAyMgEAAAAgegUAAgAAABAyMy44MTI1MzkyMDQ4NzQyADkuV3NEjd4IJrebfkSN3gg7Q0lRQVZHLk5BU0RBUTpDQUxNLklRX1RFVl9FQklUREEuMjAwMC4yOS8wNS8yMDIxLjI4LzA1LzIwMjIBAAAAIHoFAAIAAAAQNjEuODMxOTMyNTk3NDg0MQA5LldzRI3eCCa3m35Ejd4INUNJUUFWRy5OQVNEQVE6Q0FMTS5JUV9QVEJWLjIwMDAuMjkvMDUvMjAyMS4yOC8wNS8yMDIyAQAAACB6BQACAAAAEDIuMDg4ODc3ODI5</t>
  </si>
  <si>
    <t>NDU4ODIAOS5Xc0SN3ggmt5t+RI3eCD5DSVFBVkcuTkFTREFROkNBTE0uSVFfVEVWX1RPVEFMX1JFVi4yMDAwLjI5LzA1LzIwMjEuMjgvMDUvMjAyMgEAAAAgegUAAgAAABAxLjMwMTg2NzY5Njc3Mzc0ADkuV3NEjd4IJrebfkSN3gg1Q0lRQVZHLk5BU0RBUTpDQUxNLklRX1BUQlYuMjAwMC4yOC8wNS8yMDIyLjAzLzA2LzIwMjMBAAAAIHoFAAIAAAAQMi4yODgzNzg1ODQ5MDgyNQAjVldzRI3eCCa3m35Ejd4INENJUUFWRy5OQVNEQVE6Q0FMTS5JUV9QQlYuMjAwMC4yOC8wNS8yMDIyLjAzLzA2LzIwMjMBAAAAIHoFAAIAAAAQMi4xNzE1MjgxNDIwNzIxOAAjVldzRI3eCDHem35Ejd4IOENJUUFWRy5OQVNEQVE6Q0FMTS5JUV9QRV9FWENMLjIwMDAuMjgvMDUvMjAyMi4wMy8wNi8yMDIzAQAAACB6BQACAAAAEDI1LjU1ODMwOTg4NzU3NTcAI1ZXc0SN3ggx3pt+RI3eCDlDSVFBVkcuTkFTREFROkNBTE0uSVFfVEVWX0VCSVQuMjAwMC4yOC8wNS8yMDIyLjAzLzA2LzIwMjMBAAAAIHoFAAIAAAAQNy41OTcxMzI1NTIwNzI3OAAjVldzRI3eCDHem35Ejd4IPkNJUUFWRy5OQVNEQVE6Q0FMTS5JUV9URVZfVE9UQUxfUkVWLjIwMDAuMjgvMDUvMjAyMi4wMy8wNi8yMDIzAQAAACB6BQACAAAAEDEuMTA4NjIwMzkyMjY0MzcAI1ZXc0SN3ggx3pt+RI3eCDtDSVFBVkcuTkFTREFROkNBTE0uSVFfVEVWX0VCSVREQS4y</t>
  </si>
  <si>
    <t>MDAwLjI4LzA1LzIwMjIuMDMvMDYvMjAyMwEAAAAgegUAAgAAABAxMC4yNTU3NzMwNzQyNTUyACNWV3NEjd4IMd6bfkSN3gg1Q0lRQVZHLk5BU0RBUTpDQUxNLklRX1BUQlYuMjAwMC4wMy8wNi8yMDIzLjAxLzA2LzIwMjQBAAAAIHoFAAIAAAAQMS42Mjg0ODY4MzcwMDE0NQAjVldzRI3eCDHem35Ejd4INENJUUFWRy5OQVNEQVE6Q0FMTS5JUV9QQlYuMjAwMC4wMy8wNi8yMDIzLjAxLzA2LzIwMjQBAAAAIHoFAAIAAAAQMS41NjczMTIyMTQ0MzgxMgAjVldzRI3eCDHem35Ejd4IOENJUUFWRy5OQVNEQVE6Q0FMTS5JUV9QRV9FWENMLjIwMDAuMDMvMDYvMjAyMy4wMS8wNi8yMDI0AQAAACB6BQACAAAAEDUuMjY4MDI0NjU3NzA0MzYAI1ZXc0SN3ggx3pt+RI3eCDtDSVFBVkcuTkFTREFROkNBTE0uSVFfVEVWX0VCSVREQS4yMDAwLjAzLzA2LzIwMjMuMDEvMDYvMjAyNAEAAAAgegUAAgAAAA8yLjgyMzA3OTQ0MjY1NDkAI1ZXc0SN3ggx3pt+RI3eCD5DSVFBVkcuTkFTREFROkNBTE0uSVFfVEVWX1RPVEFMX1JFVi4yMDAwLjAzLzA2LzIwMjMuMDEvMDYvMjAyNAEAAAAgegUAAgAAABEwLjY5Mjk3MTYyOTI5Mzg0OAAjVldzRI3eCDHem35Ejd4IOUNJUUFWRy5OQVNEQVE6Q0FMTS5JUV9URVZfRUJJVC4yMDAwLjAzLzA2LzIwMjMuMDEvMDYvMjAyNAEAAAAgegUAAgAAABAzLjI4NTUwNDA0NTQ3MTY3ACNWV3NE</t>
  </si>
  <si>
    <t>jd4IMd6bfkSN3gg1Q0lRQVZHLk5BU0RBUTpDQUxNLklRX1BUQlYuMjAwMC4wMS8wNi8yMDI0LjMxLzA1LzIwMjUBAAAAIHoFAAIAAAAQMi4yMTk5MDMzNjM3OTcxMQAjVldzRI3eCEAFnH5Ejd4INENJUUFWRy5OQVNEQVE6Q0FMTS5JUV9QQlYuMjAwMC4wMS8wNi8yMDI0LjMxLzA1LzIwMjUBAAAAIHoFAAIAAAAPMi4xNDkyOTI2NDQzMjQ0ACNWV3NEjd4IQAWcfkSN3gg4Q0lRQVZHLk5BU0RBUTpDQUxNLklRX1BFX0VYQ0wuMjAwMC4wMS8wNi8yMDI0LjMxLzA1LzIwMjUBAAAAIHoFAAIAAAAQOS40NDc2NTYxNjU2NjU4MwAjVldzRI3eCEAFnH5Ejd4IOUNJUUFWRy5OQVNEQVE6Q0FMTS5JUV9URVZfRUJJVC4yMDAwLjAxLzA2LzIwMjQuMzEvMDUvMjAyNQEAAAAgegUAAgAAABA2LjQzNjY3NTkzMTc3OTEzACNWV3NEjd4IQAWcfkSN3gg7Q0lRQVZHLk5BU0RBUTpDQUxNLklRX1RFVl9FQklUREEuMjAwMC4wMS8wNi8yMDI0LjMxLzA1LzIwMjUBAAAAIHoFAAIAAAAQNS40NDE0NTU2MjE3MTU1NAAjVldzRI3eCEAFnH5Ejd4IPkNJUUFWRy5OQVNEQVE6Q0FMTS5JUV9URVZfVE9UQUxfUkVWLjIwMDAuMDEvMDYvMjAyNC4zMS8wNS8yMDI1AQAAACB6BQACAAAAEDEuMjA5MzQ2MDgyODA4ODkAI1ZXc0SN3ghABZx+RI3eCCxDSVEuTkFTREFRR006VklUTC5JUV9QRV9FWENMLjIwMDAuMjgvMTIvMjAyNQEAAACR</t>
  </si>
  <si>
    <t>7M8NAgAAABAyNC4wMDc4ODcxMTY3NzYxAQcAAAAFAAAAATEBAAAACy0xOTE4NjAxOTA2AwAAAAEwAgAAAAYxMDAwNjYEAAAAATAHAAAACjEyLzI2LzIwMjUIAAAACjEyLzI2LzIwMjUH79tzRI3eCK7yenxEjd4IMkNJUS5OQVNEQVFHTTpWSVRMLklRX1RFVl9UT1RBTF9SRVYuMjAwMC4yOC8xMi8yMDI1AQAAAJHszw0CAAAAEDEuODcwOTkxODA4NDYyMzcBBwAAAAUAAAABMQEAAAALLTE5MTg2MDE5MDYDAAAAATACAAAABjEwMDA2MQQAAAABMAcAAAAKMTIvMjYvMjAyNQgAAAAKMTIvMjYvMjAyNQfv23NEjd4IrvJ6fESN3ggvQ0lRLk5BU0RBUUdNOlZJVEwuSVFfVEVWX0VCSVREQS4yMDAwLjI4LzEyLzIwMjUBAAAAkezPDQIAAAAQMy42OTE2MzUxOTMzOTIzNwEHAAAABQAAAAExAQAAAAstMTkxODYwMTkwNgMAAAABMAIAAAAGMTAwMDYzBAAAAAEwBwAAAAoxMi8yNi8yMDI1CAAAAAoxMi8yNi8yMDI1B+/bc0SN3giu8np8RI3eCDhDSVEuTkFTREFROkNBTE0uSVFfRElTVFJJQlVUQUJMRV9DQVNIX1BBWU9VVC4uMjkvMDMvMjAyNgEAAAAgegUAAwAAAAAAjDpZfUSN3giMOll9RI3eCC5DSVEuTkFTREFROkNBTE0uSVFfRUZGRUNUX1RBWF9SQVRFLi4yOS8wMy8yMDI2AQAAACB6BQACAAAABzIzLjk2ODEBCAAAAAUAAAABMQEAAAALLTE5MTA2Mjc4MzgDAAAAAzE2MAIAAAAENDM3NgQAAAABMAcAAAAJMy8y</t>
  </si>
  <si>
    <t>OS8yMDI2CAAAAAoxMS8yOS8yMDI1CQAAAAEwgs43fUSN3giCzjd9RI3eCCtDSVEuTkFTREFROkNBTE0uSVFfUEFZT1VUX1JBVElPLi4yOS8wMy8yMDI2AQAAACB6BQACAAAABzM2LjY4ODMBCAAAAAUAAAABMQEAAAALLTE5MTA2Mjc4MzgDAAAAAzE2MAIAAAAENDM3NwQAAAABMAcAAAAJMy8yOS8yMDI2CAAAAAoxMS8yOS8yMDI1CQAAAAEwgs43fUSN3giCzjd9RI3eCC5DSVEuTkFTREFROkNBTE0uSVFfRklMSU5HX0NVUlJFTkNZLi4yOS8wMy8yMDI2AQAAACB6BQADAAAAA1VTRACCzjd9RI3eCILON31Ejd4ILUNJUS5OQVNEQVE6Q0FMTS5JUV9SRVNUQVRFTUVOVF9JUy4uMjkvMDMvMjAyNgEAAAAgegUAAwAAAAFPAILON31Ejd4Igs43fUSN3ggrQ0lRLk5BU0RBUTpDQUxNLklRX0NBTENfVFlQRV9JUy4uMjkvMDMvMjAyNgEAAAAgegUAAwAAAANMVE0Ags43fUSN3giCzjd9RI3eCCZDSVEuTkFTREFROkNBTE0uSVFfR0FBUF9JUy4uMjkvMDMvMjAyNgEAAAAgegUAAwAAAAAAgs43fUSN3giCzjd9RI3eCC5DSVEuTkFTREFROkNBTE0uSVFfUEVSSU9ETEVOR1RIX0NGLi4yOS8wMy8yMDI2AQAAACB6BQABAAAAAjEyAILON31Ejd4Igs43fUSN3ggtQ0lRLk5BU0RBUTpDQUxNLklRX1JFU1RBVEVNRU5UX0NGLi4yOS8wMy8yMDI2AQAAACB6BQADAAAAAU8Ags43fUSN3giCzjd9RI3eCCtDSVEuTkFTREFROkNB</t>
  </si>
  <si>
    <t>TE0uSVFfQ0FMQ19UWVBFX0NGLi4yOS8wMy8yMDI2AQAAACB6BQADAAAAA0xUTQCCzjd9RI3eCILON31Ejd4IJkNJUS5OQVNEQVE6Q0FMTS5JUV9HQUFQX0NGLi4yOS8wMy8yMDI2AQAAACB6BQADAAAAAACCzjd9RI3eCILON31Ejd4IPENJUS5OQVNEQVE6Q0FMTS5JUV9UT1RBTF9PVVRTVEFORElOR19GSUxJTkdfREFURS4uMjkvMDMvMjAyNgEAAAAgegUAAgAAAAk0Ny42NTQwNDYBBAAAAAUAAAABNQEAAAALLTE5MTA2Mjc4MzgCAAAABTI0MTUzBgAAAAEwgs43fUSN3giCzjd9RI3eCDhDSVEuTkFTREFROkNBTE0uSVFfVE9UQUxfT1VUU1RBTkRJTkdfQlNfREFURS4uMjkvMDMvMjAyNgEAAAAgegUAAgAAAAY0Ny42NTQBBAAAAAUAAAABNQEAAAALLTE5MTA2Mjc4MzgCAAAABTI0MTUyBgAAAAEwgs43fUSN3giCzjd9RI3eCClDSVEuTkFTREFROkNBTE0uSVFfSU5WX01FVEhPRC4uMjkvMDMvMjAyNgEAAAAgegUAAwAAAAAAgs43fUSN3giCzjd9RI3eCChDSVEuTkFTREFROkNBTE0uSVFfRlVMTF9USU1FLi4yOS8wMy8yMDI2AQAAACB6BQADAAAAAACCzjd9RI3eCILON31Ejd4IKENJUS5OQVNEQVE6Q0FMTS5JUV9QQVJUX1RJTUUuLjI5LzAzLzIwMjYBAAAAIHoFAAMAAAAAAILON31Ejd4Igs43fUSN3gguQ0lRLk5BU0RBUTpDQUxNLklRX1RPVEFMX0VNUExPWUVFUy4uMjkvMDMvMjAyNgEAAAAgegUAAwAA</t>
  </si>
  <si>
    <t>AAAAgs43fUSN3giCzjd9RI3eCD5DSVEuTkFTREFROkNBTE0uSVFfRU1QTE9ZRUVTX1VOREVSX1VOSU9OX0NPTlRSQUNUUy4uMjkvMDMvMjAyNgEAAAAgegUAAwAAAAAAgs43fUSN3giCzjd9RI3eCCxDSVEuTkFTREFROkNBTE0uSVFfQVZHX0VNUExPWUVFUy4uMjkvMDMvMjAyNgEAAAAgegUAAwAAAAAAgs43fUSN3giCzjd9RI3eCDFDSVEuTkFTREFROkNBTE0uSVFfQVZHX1RFTVBfRU1QTE9ZRUVTLi4yOS8wMy8yMDI2AQAAACB6BQADAAAAAACCzjd9RI3eCILON31Ejd4IMENJUS5OQVNEQVE6Q0FMTS5JUV9OVU1CRVJfQURSSE9MREVSUy4uMjkvMDMvMjAyNgEAAAAgegUAAwAAAAAAgs43fUSN3giCzjd9RI3eCC1DSVEuTkFTREFROkNBTE0uSVFfQ09TVF9CT1JST1dJTkcuLjI5LzAzLzIwMjYBAAAAIHoFAAMAAAAAAILON31Ejd4Igs43fUSN3ggtQ0lRLk5BU0RBUTpDQUxNLklRX1JFU1RBVEVNRU5UX0JTLi4yOS8wMy8yMDI2AQAAACB6BQADAAAAAU8Ags43fUSN3giCzjd9RI3eCCtDSVEuTkFTREFROkNBTE0uSVFfQ0FMQ19UWVBFX0JTLi4yOS8wMy8yMDI2AQAAACB6BQADAAAAA1JFUACCzjd9RI3eCILON31Ejd4IJkNJUS5OQVNEQVE6Q0FMTS5JUV9HQUFQX0JTLi4yOS8wMy8yMDI2AQAAACB6BQADAAAAB1VTIEdBQVAAgs43fUSN3giCzjd9RI3eCCxDSVEuTkFTREFROkNBTE0uSVFfUkVUVVJOX0FT</t>
  </si>
  <si>
    <t>U0VUUy4uMjkvMDMvMjAyNgEAAAAgegUAAgAAAAczMi4zMDU5AQgAAAAFAAAAATEBAAAACy0xOTEwNjI3ODM4AwAAAAMxNjACAAAABDQxNzgEAAAAATAHAAAACTMvMjkvMjAyNggAAAAKMTEvMjkvMjAyNQkAAAABMF4AOH1Ejd4IXgA4fUSN3ggtQ0lRLk5BU0RBUTpDQUxNLklRX1JFVFVSTl9DQVBJVEFMLi4yOS8wMy8yMDI2AQAAACB6BQACAAAABzM4LjMyNTMBCAAAAAUAAAABMQEAAAALLTE5MTA2Mjc4MzgDAAAAAzE2MAIAAAAENDM2MwQAAAABMAcAAAAJMy8yOS8yMDI2CAAAAAoxMS8yOS8yMDI1CQAAAAEwXgA4fUSN3gheADh9RI3eCCxDSVEuTkFTREFROkNBTE0uSVFfUkVUVVJOX0VRVUlUWS4uMjkvMDMvMjAyNgEAAAAgegUAAgAAAAc0OC41MjYyAQgAAAAFAAAAATEBAAAACy0xOTEwNjI3ODM4AwAAAAMxNjACAAAABDQxMjgEAAAAATAHAAAACTMvMjkvMjAyNggAAAAKMTEvMjkvMjAyNQkAAAABMF4AOH1Ejd4IXgA4fUSN3ggzQ0lRLk5BU0RBUTpDQUxNLklRX1JFVFVSTl9DT01NT05fRVFVSVRZLi4yOS8wMy8yMDI2AQAAACB6BQACAAAABzQ4LjY4NjgBCAAAAAUAAAABMQEAAAALLTE5MTA2Mjc4MzgDAAAAAzE2MAIAAAAFMzMzMjAEAAAAATAHAAAACTMvMjkvMjAyNggAAAAKMTEvMjkvMjAyNQkAAAABMF4AOH1Ejd4IXgA4fUSN3ggrQ0lRLk5BU0RBUTpDQUxNLklRX0dST1NTX01BUkdJTi4uMjkv</t>
  </si>
  <si>
    <t>MDMvMjAyNgEAAAAgegUAAgAAAAc0MS45MjExAQgAAAAFAAAAATEBAAAACy0xOTEwNjI3ODM4AwAAAAMxNjACAAAABDQwNzQEAAAAATAHAAAACTMvMjkvMjAyNggAAAAKMTEvMjkvMjAyNQkAAAABMF4AOH1Ejd4IXgA4fUSN3ggsQ0lRLk5BU0RBUTpDQUxNLklRX0VCSVREQV9NQVJHSU4uLjI5LzAzLzIwMjYBAAAAIHoFAAIAAAAHMzcuMTIxOAEIAAAABQAAAAExAQAAAAstMTkxMDYyNzgzOAMAAAADMTYwAgAAAAQ0MDQ3BAAAAAEwBwAAAAkzLzI5LzIwMjYIAAAACjExLzI5LzIwMjUJAAAAATBeADh9RI3eCF4AOH1Ejd4IKkNJUS5OQVNEQVE6Q0FMTS5JUV9FQklUX01BUkdJTi4uMjkvMDMvMjAyNgEAAAAgegUAAgAAAAczNC41NTkyAQgAAAAFAAAAATEBAAAACy0xOTEwNjI3ODM4AwAAAAMxNjACAAAABDQwNTMEAAAAATAHAAAACTMvMjkvMjAyNggAAAAKMTEvMjkvMjAyNQkAAAABMF4AOH1Ejd4IXgA4fUSN3ggoQ0lRLk5BU0RBUTpDQUxNLklRX05JX01BUkdJTi4uMjkvMDMvMjAyNgEAAAAgegUAAgAAAAcyNy4zNjczAQgAAAAFAAAAATEBAAAACy0xOTEwNjI3ODM4AwAAAAMxNjACAAAABDQwOTQEAAAAATAHAAAACTMvMjkvMjAyNggAAAAKMTEvMjkvMjAyNQkAAAABMF4AOH1Ejd4IXgA4fUSN3ggsQ0lRLk5BU0RBUTpDQUxNLklRX0NBUEVYX1BDVF9SRVYuLjI5LzAzLzIwMjYBAAAAIHoFAAIAAAAGNC40</t>
  </si>
  <si>
    <t>NTcxAQgAAAAFAAAAATEBAAAACy0xOTEwNjI3ODM4AwAAAAMxNjACAAAABTM1MzgwBAAAAAEwBwAAAAkzLzI5LzIwMjYIAAAACjExLzI5LzIwMjUJAAAAATBeADh9RI3eCF4AOH1Ejd4IKkNJUS5OQVNEQVE6Q0FMTS5JUV9BU1NFVF9UVVJOUy4uMjkvMDMvMjAyNgEAAAAgegUAAgAAAAgxLjQ5NTY3NgEIAAAABQAAAAExAQAAAAstMTkxMDYyNzgzOAMAAAADMTYwAgAAAAQ0MTc3BAAAAAEwBwAAAAkzLzI5LzIwMjYIAAAACjExLzI5LzIwMjUJAAAAATBeADh9RI3eCF4AOH1Ejd4IMENJUS5OQVNEQVE6Q0FMTS5JUV9GSVhFRF9BU1NFVF9UVVJOUy4uMjkvMDMvMjAyNgEAAAAgegUAAgAAAAgzLjg0MDQyNwEIAAAABQAAAAExAQAAAAstMTkxMDYyNzgzOAMAAAADMTYwAgAAAAQ0MDY2BAAAAAEwBwAAAAkzLzI5LzIwMjYIAAAACjExLzI5LzIwMjUJAAAAATBeADh9RI3eCF4AOH1Ejd4IJ0NJUS5OQVNEQVE6Q0FMTS5JUV9BUl9UVVJOUy4uMjkvMDMvMjAyNgEAAAAgegUAAgAAAAkxNS41Mjg1OTIBCAAAAAUAAAABMQEAAAALLTE5MTA2Mjc4MzgDAAAAAzE2MAIAAAAENDAwMQQAAAABMAcAAAAJMy8yOS8yMDI2CAAAAAoxMS8yOS8yMDI1CQAAAAEwXgA4fUSN3gheADh9RI3eCC5DSVEuTkFTREFROkNBTE0uSVFfSU5WRU5UT1JZX1RVUk5TLi4yOS8wMy8yMDI2AQAAACB6BQACAAAACDcuNjQ3ODA1AQgAAAAFAAAA</t>
  </si>
  <si>
    <t>ATEBAAAACy0xOTEwNjI3ODM4AwAAAAMxNjACAAAABDQwODIEAAAAATAHAAAACTMvMjkvMjAyNggAAAAKMTEvMjkvMjAyNQkAAAABMF4AOH1Ejd4IXgA4fUSN3ggsQ0lRLk5BU0RBUTpDQUxNLklRX0NVUlJFTlRfUkFUSU8uLjI5LzAzLzIwMjYBAAAAIHoFAAIAAAAIOC4wMTczMzcBCAAAAAUAAAABMQEAAAALLTE5MTA2Mjc4MzgDAAAAAzE2MAIAAAAENDAzMAQAAAABMAcAAAAJMy8yOS8yMDI2CAAAAAoxMS8yOS8yMDI1CQAAAAEwXgA4fUSN3gheADh9RI3eCCpDSVEuTkFTREFROkNBTE0uSVFfUVVJQ0tfUkFUSU8uLjI5LzAzLzIwMjYBAAAAIHoFAAIAAAAINi40MDM5MTkBCAAAAAUAAAABMQEAAAALLTE5MTA2Mjc4MzgDAAAAAzE2MAIAAAAENDEyMQQAAAABMAcAAAAJMy8yOS8yMDI2CAAAAAoxMS8yOS8yMDI1CQAAAAEwXgA4fUSN3gheADh9RI3eCC9DSVEuTkFTREFROkNBTE0uSVFfQ0ZPX0NVUlJFTlRfTElBQi4uMjkvMDMvMjAyNgEAAAAgegUAAgAAAAg2LjIwNTUxMwEIAAAABQAAAAExAQAAAAstMTkxMDYyNzgzOAMAAAADMTYwAgAAAAQ0MTg1BAAAAAEwBwAAAAkzLzI5LzIwMjYIAAAACjExLzI5LzIwMjUJAAAAATBeADh9RI3eCF4AOH1Ejd4ILUNJUS5OQVNEQVE6Q0FMTS5JUV9EQVlTX1NBTEVTX09VVC4uMjkvMDMvMjAyNgEAAAAgegUAAgAAAAkyMy40NDA1MDgBCAAAAAUAAAABMQEAAAALLTE5</t>
  </si>
  <si>
    <t>MTA2Mjc4MzgDAAAAAzE2MAIAAAAENDA0MgQAAAABMAcAAAAJMy8yOS8yMDI2CAAAAAoxMS8yOS8yMDI1CQAAAAEwXgA4fUSN3gheADh9RI3eCDFDSVEuTkFTREFROkNBTE0uSVFfREFZU19JTlZFTlRPUllfT1VULi4yOS8wMy8yMDI2AQAAACB6BQACAAAACTQ3LjU5NTE4NAEIAAAABQAAAAExAQAAAAstMTkxMDYyNzgzOAMAAAADMTYwAgAAAAQ0MDM1BAAAAAEwBwAAAAkzLzI5LzIwMjYIAAAACjExLzI5LzIwMjUJAAAAATBeADh9RI3eCF4AOH1Ejd4IL0NJUS5OQVNEQVE6Q0FMTS5JUV9EQVlTX1BBWUFCTEVfT1VULi4yOS8wMy8yMDI2AQAAACB6BQACAAAACTE3LjU3NjQ2OAEIAAAABQAAAAExAQAAAAstMTkxMDYyNzgzOAMAAAADMTYwAgAAAAQ0MTgzBAAAAAEwBwAAAAkzLzI5LzIwMjYIAAAACjExLzI5LzIwMjUJAAAAATBeADh9RI3eCF4AOH1Ejd4ILkNJUS5OQVNEQVE6Q0FMTS5JUV9DQVNIX0NPTlZFUlNJT04uLjI5LzAzLzIwMjYBAAAAIHoFAAIAAAAJNTMuNDU5MjI0AQgAAAAFAAAAATEBAAAACy0xOTEwNjI3ODM4AwAAAAMxNjACAAAABDQxODQEAAAAATAHAAAACTMvMjkvMjAyNggAAAAKMTEvMjkvMjAyNQkAAAABMF4AOH1Ejd4IXgA4fUSN3ggwQ0lRLk5BU0RBUTpDQUxNLklRX1RPVEFMX0RFQlRfRVFVSVRZLi4yOS8wMy8yMDI2AQAAACB6BQADAAAAAABeADh9RI3eCF4AOH1Ejd4IMUNJUS5O</t>
  </si>
  <si>
    <t>QVNEQVE6Q0FMTS5JUV9UT1RBTF9ERUJUX0NBUElUQUwuLjI5LzAzLzIwMjYBAAAAIHoFAAMAAAAAAKMnOH1Ejd4Ioyc4fUSN3ggtQ0lRLk5BU0RBUTpDQUxNLklRX0xUX0RFQlRfRVFVSVRZLi4yOS8wMy8yMDI2AQAAACB6BQADAAAAAACjJzh9RI3eCKMnOH1Ejd4ILkNJUS5OQVNEQVE6Q0FMTS5JUV9MVF9ERUJUX0NBUElUQUwuLjI5LzAzLzIwMjYBAAAAIHoFAAMAAAAAAKMnOH1Ejd4Ioyc4fUSN3gg2Q0lRLk5BU0RBUTpDQUxNLklRX1RPVEFMX0xJQUJfVE9UQUxfQVNTRVRTLi4yOS8wMy8yMDI2AQAAACB6BQACAAAABzE0LjE5NDkBCAAAAAUAAAABMQEAAAALLTE5MTA2Mjc4MzgDAAAAAzE2MAIAAAAENDE4OAQAAAABMAcAAAAJMy8yOS8yMDI2CAAAAAoxMS8yOS8yMDI1CQAAAAEwoyc4fUSN3gijJzh9RI3eCCdDSVEuTkFTREFROkNBTE0uSVFfRUJJVF9JTlQuLjI5LzAzLzIwMjYBAAAAIHoFAAIAAAALMjIyOS45MTQyNDEBCAAAAAUAAAABMQEAAAALLTE5MTA2Mjc4MzgDAAAAAzE2MAIAAAAENDE4OQQAAAABMAcAAAAJMy8yOS8yMDI2CAAAAAoxMS8yOS8yMDI1CQAAAAEwoyc4fUSN3gijJzh9RI3eCClDSVEuTkFTREFROkNBTE0uSVFfRUJJVERBX0lOVC4uMjkvMDMvMjAyNgEAAAAgegUAAgAAAAsyMzk1LjI2MTg2OAEIAAAABQAAAAExAQAAAAstMTkxMDYyNzgzOAMAAAADMTYwAgAAAAQ0MTkwBAAA</t>
  </si>
  <si>
    <t>AAEwBwAAAAkzLzI5LzIwMjYIAAAACjExLzI5LzIwMjUJAAAAATCjJzh9RI3eCKMnOH1Ejd4IOkNJUS5OQVNEQVE6Q0FMTS5JUV9FQklUREFfRVhDTF9PUEVSX0xFQVNFU19JTlQuLjI5LzAzLzIwMjYBAAAAIHoFAAIAAAALMjM5NS4yNjE4NjgBCAAAAAUAAAABMQEAAAALLTE5MTA2Mjc4MzgDAAAAAzE2MAIAAAAFNDkxNzMEAAAAATAHAAAACTMvMjkvMjAyNggAAAAKMTEvMjkvMjAyNQkAAAABMKMnOH1Ejd4Ioyc4fUSN3ggvQ0lRLk5BU0RBUTpDQUxNLklRX0VCSVREQV9DQVBFWF9JTlQuLjI5LzAzLzIwMjYBAAAAIHoFAAIAAAALMjEwNy42NjQ2MjQBCAAAAAUAAAABMQEAAAALLTE5MTA2Mjc4MzgDAAAAAzE2MAIAAAAENDE5MQQAAAABMAcAAAAJMy8yOS8yMDI2CAAAAAoxMS8yOS8yMDI1CQAAAAEwoyc4fUSN3gijJzh9RI3eCEBDSVEuTkFTREFROkNBTE0uSVFfRUJJVERBX0VYQ0xfT1BFUl9MRUFTRVNfQ0FQRVhfSU5ULi4yOS8wMy8yMDI2AQAAACB6BQACAAAACzIxMDcuNjY0NjI0AQgAAAAFAAAAATEBAAAACy0xOTEwNjI3ODM4AwAAAAMxNjACAAAABTQ5MTc0BAAAAAEwBwAAAAkzLzI5LzIwMjYIAAAACjExLzI5LzIwMjUJAAAAATCjJzh9RI3eCKMnOH1Ejd4IMENJUS5OQVNEQVE6Q0FMTS5JUV9UT1RBTF9ERUJUX0VCSVREQS4uMjkvMDMvMjAyNgEAAAAgegUAAwAAAAAAoyc4fUSN3gijJzh9RI3e</t>
  </si>
  <si>
    <t>CEFDSVEuTkFTREFROkNBTE0uSVFfVE9UQUxfREVCVF9FQklUREFfRVhDTF9PUEVSX0xFQVNFUy4uMjkvMDMvMjAyNgEAAAAgegUAAwAAAAAAoyc4fUSN3gijJzh9RI3eCC5DSVEuTkFTREFROkNBTE0uSVFfTkVUX0RFQlRfRUJJVERBLi4yOS8wMy8yMDI2AQAAACB6BQADAAAAAk5NAQgAAAAFAAAAATEBAAAACy0xOTEwNjI3ODM4AwAAAAMxNjACAAAABDQxOTMEAAAAATAHAAAACTMvMjkvMjAyNggAAAAKMTEvMjkvMjAyNQkAAAABMKMnOH1Ejd4Ioyc4fUSN3gg/Q0lRLk5BU0RBUTpDQUxNLklRX05FVF9ERUJUX0VCSVREQV9FWENMX09QRVJfTEVBU0VTLi4yOS8wMy8yMDI2AQAAACB6BQADAAAAAk5NAQgAAAAFAAAAATEBAAAACy0xOTEwNjI3ODM4AwAAAAMxNjACAAAABTQ5MTc1BAAAAAEwBwAAAAkzLzI5LzIwMjYIAAAACjExLzI5LzIwMjUJAAAAATCjJzh9RI3eCKMnOH1Ejd4INkNJUS5OQVNEQVE6Q0FMTS5JUV9UT1RBTF9ERUJUX0VCSVREQV9DQVBFWC4uMjkvMDMvMjAyNgEAAAAgegUAAwAAAAAAoyc4fUSN3gijJzh9RI3eCEdDSVEuTkFTREFROkNBTE0uSVFfVE9UQUxfREVCVF9FQklUREFfRVhDTF9PUEVSX0xFQVNFU19DQVBFWC4uMjkvMDMvMjAyNgEAAAAgegUAAwAAAAAAoyc4fUSN3gijJzh9RI3eCDRDSVEuTkFTREFROkNBTE0uSVFfTkVUX0RFQlRfRUJJVERBX0NBUEVYLi4yOS8wMy8yMDI2</t>
  </si>
  <si>
    <t>AQAAACB6BQADAAAAAk5NAQgAAAAFAAAAATEBAAAACy0xOTEwNjI3ODM4AwAAAAMxNjACAAAABTIzMzE0BAAAAAEwBwAAAAkzLzI5LzIwMjYIAAAACjExLzI5LzIwMjUJAAAAATCjJzh9RI3eCKMnOH1Ejd4IRUNJUS5OQVNEQVE6Q0FMTS5JUV9ORVRfREVCVF9FQklUREFfRVhDTF9PUEVSX0xFQVNFU19DQVBFWC4uMjkvMDMvMjAyNgEAAAAgegUAAwAAAAJOTQEIAAAABQAAAAExAQAAAAstMTkxMDYyNzgzOAMAAAADMTYwAgAAAAU0OTE4MgQAAAABMAcAAAAJMy8yOS8yMDI2CAAAAAoxMS8yOS8yMDI1CQAAAAEwoyc4fUSN3gijJzh9RI3eCCZDSVEuTkFTREFROkNBTE0uSVFfWl9TQ09SRS4uMjkvMDMvMjAyNgEAAAAgegUAAgAAAAkxMS4xNzQ4ODcBCAAAAAUAAAABMQEAAAALLTE5MTA2Mjc4MzgDAAAAAzE2MAIAAAAGMTAwMTIzBAAAAAEwBwAAAAkzLzI5LzIwMjYIAAAACjExLzI5LzIwMjUJAAAAATCjJzh9RI3eCKMnOH1Ejd4IN0NJUS5OQVNEQVE6Q0FMTS5JUV9UT1RBTF9SRVZfMVlSX0FOTl9HUk9XVEguLjI5LzAzLzIwMjYBAAAAIHoFAAIAAAAHMzYuNjA0NgEIAAAABQAAAAExAQAAAAstMTkxMDYyNzgzOAMAAAADMTYwAgAAAAQ0MTk0BAAAAAEwBwAAAAkzLzI5LzIwMjYIAAAACjExLzI5LzIwMjUJAAAAATCjJzh9RI3eCKMnOH1Ejd4IMENJUS5OQVNEQVE6Q0FMTS5JUV9HUF8xWVJfQU5OX0dST1dU</t>
  </si>
  <si>
    <t>SC4uMjkvMDMvMjAyNgEAAAAgegUAAgAAAAY3NS4xODQBCAAAAAUAAAABMQEAAAALLTE5MTA2Mjc4MzgDAAAAAzE2MAIAAAAENDE5NQQAAAABMAcAAAAJMy8yOS8yMDI2CAAAAAoxMS8yOS8yMDI1CQAAAAEwwk44fUSN3gjCTjh9RI3eCDRDSVEuTkFTREFROkNBTE0uSVFfRUJJVERBXzFZUl9BTk5fR1JPV1RILi4yOS8wMy8yMDI2AQAAACB6BQACAAAABzg2Ljg2MTEBCAAAAAUAAAABMQEAAAALLTE5MTA2Mjc4MzgDAAAAAzE2MAIAAAAENDE5NgQAAAABMAcAAAAJMy8yOS8yMDI2CAAAAAoxMS8yOS8yMDI1CQAAAAEwwk44fUSN3gjCTjh9RI3eCDJDSVEuTkFTREFROkNBTE0uSVFfRUJJVF8xWVJfQU5OX0dST1dUSC4uMjkvMDMvMjAyNgEAAAAgegUAAgAAAAc5NC4wNTM2AQgAAAAFAAAAATEBAAAACy0xOTEwNjI3ODM4AwAAAAMxNjACAAAABDQxOTcEAAAAATAHAAAACTMvMjkvMjAyNggAAAAKMTEvMjkvMjAyNQkAAAABMMJOOH1Ejd4Iwk44fUSN3ggwQ0lRLk5BU0RBUTpDQUxNLklRX05JXzFZUl9BTk5fR1JPV1RILi4yOS8wMy8yMDI2AQAAACB6BQACAAAABzgzLjMyNTgBCAAAAAUAAAABMQEAAAALLTE5MTA2Mjc4MzgDAAAAAzE2MAIAAAAENDE5OQQAAAABMAcAAAAJMy8yOS8yMDI2CAAAAAoxMS8yOS8yMDI1CQAAAAEwwk44fUSN3gjCTjh9RI3eCDFDSVEuTkFTREFROkNBTE0uSVFfRVBTXzFZUl9BTk5f</t>
  </si>
  <si>
    <t>R1JPV1RILi4yOS8wMy8yMDI2AQAAACB6BQACAAAABzg0LjY0MTUBCAAAAAUAAAABMQEAAAALLTE5MTA2Mjc4MzgDAAAAAzE2MAIAAAAENDIwMAQAAAABMAcAAAAJMy8yOS8yMDI2CAAAAAoxMS8yOS8yMDI1CQAAAAEwwk44fUSN3gjCTjh9RI3eCDVDSVEuTkFTREFROkNBTE0uSVFfVE9UQUxfUkVWXzNZUl9BTk5fQ0FHUi4uMjkvMDMvMjAyNgEAAAAgegUAAgAAAAcxOC41MjUyAQgAAAAFAAAAATEBAAAACy0xOTEwNjI3ODM4AwAAAAMxNjACAAAABDQyMjAEAAAAATAHAAAACTMvMjkvMjAyNggAAAAKMTEvMjkvMjAyNQkAAAABMMJOOH1Ejd4Iwk44fUSN3gguQ0lRLk5BU0RBUTpDQUxNLklRX0dQXzNZUl9BTk5fQ0FHUi4uMjkvMDMvMjAyNgEAAAAgegUAAgAAAAcyOS4wNDIyAQgAAAAFAAAAATEBAAAACy0xOTEwNjI3ODM4AwAAAAMxNjACAAAABDQyMjEEAAAAATAHAAAACTMvMjkvMjAyNggAAAAKMTEvMjkvMjAyNQkAAAABMMJOOH1Ejd4Iwk44fUSN3ggyQ0lRLk5BU0RBUTpDQUxNLklRX0VCSVREQV8zWVJfQU5OX0NBR1IuLjI5LzAzLzIwMjYBAAAAIHoFAAIAAAAHMzIuMzEwNwEIAAAABQAAAAExAQAAAAstMTkxMDYyNzgzOAMAAAADMTYwAgAAAAQ0MjIyBAAAAAEwBwAAAAkzLzI5LzIwMjYIAAAACjExLzI5LzIwMjUJAAAAATDCTjh9RI3eCMJOOH1Ejd4IMENJUS5OQVNEQVE6Q0FMTS5JUV9FQklUXzNZ</t>
  </si>
  <si>
    <t>Ul9BTk5fQ0FHUi4uMjkvMDMvMjAyNgEAAAAgegUAAgAAAAczMy45MzA5AQgAAAAFAAAAATEBAAAACy0xOTEwNjI3ODM4AwAAAAMxNjACAAAABDQyMjMEAAAAATAHAAAACTMvMjkvMjAyNggAAAAKMTEvMjkvMjAyNQkAAAABMMJOOH1Ejd4Iwk44fUSN3gguQ0lRLk5BU0RBUTpDQUxNLklRX05JXzNZUl9BTk5fQ0FHUi4uMjkvMDMvMjAyNgEAAAAgegUAAgAAAAczNC41NTEyAQgAAAAFAAAAATEBAAAACy0xOTEwNjI3ODM4AwAAAAMxNjACAAAABDQyMjUEAAAAATAHAAAACTMvMjkvMjAyNggAAAAKMTEvMjkvMjAyNQkAAAABMMJOOH1Ejd4Iwk44fUSN3ggvQ0lRLk5BU0RBUTpDQUxNLklRX0VQU18zWVJfQU5OX0NBR1IuLjI5LzAzLzIwMjYBAAAAIHoFAAIAAAAGMzQuNzM5AQgAAAAFAAAAATEBAAAACy0xOTEwNjI3ODM4AwAAAAMxNjACAAAABDQyMjYEAAAAATAHAAAACTMvMjkvMjAyNggAAAAKMTEvMjkvMjAyNQkAAAABMMJOOH1Ejd4Iwk44fUSN3gg1Q0lRLk5BU0RBUTpDQUxNLklRX1RPVEFMX1JFVl81WVJfQU5OX0NBR1IuLjI5LzAzLzIwMjYBAAAAIHoFAAIAAAAHMjMuOTY5MQEIAAAABQAAAAExAQAAAAstMTkxMDYyNzgzOAMAAAADMTYwAgAAAAQ0MjMzBAAAAAEwBwAAAAkzLzI5LzIwMjYIAAAACjExLzI5LzIwMjUJAAAAATDCTjh9RI3eCMJOOH1Ejd4ILkNJUS5OQVNEQVE6Q0FMTS5JUV9HUF81WVJf</t>
  </si>
  <si>
    <t>QU5OX0NBR1IuLjI5LzAzLzIwMjYBAAAAIHoFAAIAAAAHNDguMjYyNgEIAAAABQAAAAExAQAAAAstMTkxMDYyNzgzOAMAAAADMTYwAgAAAAQ0MjM0BAAAAAEwBwAAAAkzLzI5LzIwMjYIAAAACjExLzI5LzIwMjUJAAAAATDCTjh9RI3eCMJOOH1Ejd4IMkNJUS5OQVNEQVE6Q0FMTS5JUV9FQklUREFfNVlSX0FOTl9DQUdSLi4yOS8wMy8yMDI2AQAAACB6BQACAAAABzY0LjgzODkBCAAAAAUAAAABMQEAAAALLTE5MTA2Mjc4MzgDAAAAAzE2MAIAAAAENDIzNQQAAAABMAcAAAAJMy8yOS8yMDI2CAAAAAoxMS8yOS8yMDI1CQAAAAEwwk44fUSN3gjCTjh9RI3eCDBDSVEuTkFTREFROkNBTE0uSVFfRUJJVF81WVJfQU5OX0NBR1IuLjI5LzAzLzIwMjYBAAAAIHoFAAIAAAAHODQuMTkyNAEIAAAABQAAAAExAQAAAAstMTkxMDYyNzgzOAMAAAADMTYwAgAAAAQ0MjM2BAAAAAEwBwAAAAkzLzI5LzIwMjYIAAAACjExLzI5LzIwMjUJAAAAATDCTjh9RI3eCMJOOH1Ejd4ILkNJUS5OQVNEQVE6Q0FMTS5JUV9OSV81WVJfQU5OX0NBR1IuLjI5LzAzLzIwMjYBAAAAIHoFAAIAAAAHNzYuNjg1MwEIAAAABQAAAAExAQAAAAstMTkxMDYyNzgzOAMAAAADMTYwAgAAAAQ0MjM4BAAAAAEwBwAAAAkzLzI5LzIwMjYIAAAACjExLzI5LzIwMjUJAAAAATDCTjh9RI3eCMJOOH1Ejd4IL0NJUS5OQVNEQVE6Q0FMTS5JUV9FUFNfNVlSX0FO</t>
  </si>
  <si>
    <t>Tl9DQUdSLi4yOS8wMy8yMDI2AQAAACB6BQACAAAABzc2Ljc1NDcBCAAAAAUAAAABMQEAAAALLTE5MTA2Mjc4MzgDAAAAAzE2MAIAAAAENDIzOQQAAAABMAcAAAAJMy8yOS8yMDI2CAAAAAoxMS8yOS8yMDI1CQAAAAEwwk44fUSN3gjCTjh9RI3eCDFDSVEuTkFTREFROkNBTE0uSVFfREVQUkVfU1VQUC4uMjkvMDMvMjAyNi4uLlVTRC5IAQAAACB6BQACAAAABDkxLjEBCAAAAAUAAAABMQEAAAALLTE5MTA2Mjc4MzgDAAAAAzE2MAIAAAAEMjE0MwQAAAABMAcAAAAJMy8yOS8yMDI2CAAAAAoxMS8yOS8yMDI1CQAAAAEw8MOWfUSN3gjww5Z9RI3eCERDSVEuTkFTREFROkNBTE0uSVFfREVQUkVDSUFUSU9OX1JFTlRBTF9BU1NFVFNfQ0YuLjI5LzAzLzIwMjYuLi5VU0QuSAEAAAAgegUAAwAAAAAAZiJPfUSN3ghmIk99RI3eCC5DSVEuTkFTREFROkNBTE0uSVFfREVQX1JVQS4uMjkvMDMvMjAyNi4uLlVTRC5IAQAAACB6BQADAAAAAABmIk99RI3eCGYiT31Ejd4IQ0NJUS5OQVNEQVE6Q0FMTS5JUV9EQV9TVVBQTF9DRl9FWENMX09QRVJfTEVBU0VTLi4yOS8wMy8yMDI2Li4uVVNELkgBAAAAIHoFAAIAAAAHMTA1LjgxNAEIAAAABQAAAAExAQAAAAstMTkxMDYyNzgzOAMAAAADMTYwAgAAAAU0ODk4MwQAAAABMAcAAAAJMy8yOS8yMDI2CAAAAAoxMS8yOS8yMDI1CQAAAAEwZiJPfUSN3ghmIk99RI3eCD1DSVEuTkFT</t>
  </si>
  <si>
    <t>REFROkNBTE0uSVFfREFfQ0ZfRVhDTF9PUEVSX0xFQVNFUy4uMjkvMDMvMjAyNi4uLlVTRC5IAQAAACB6BQACAAAABzEwNy45NzIBCAAAAAUAAAABMQEAAAALLTE5MTA2Mjc4MzgDAAAAAzE2MAIAAAAFNDg5ODUEAAAAATAHAAAACTMvMjkvMjAyNggAAAAKMTEvMjkvMjAyNQkAAAABMGYiT31Ejd4IZiJPfUSN3gg7Q0lRLk5BU0RBUTpDQUxNLklRX05FR0FUSVZFX0dXX0FNT1JUX0NGLi4yOS8wMy8yMDI2Li4uVVNELkgBAAAAIHoFAAMAAAAAAGYiT31Ejd4IZiJPfUSN3ggzQ0lRLk5BU0RBUTpDQUxNLklRX0FNT1JUX0RJQ19DRi4uMjkvMDMvMjAyNi4uLlVTRC5IAQAAACB6BQADAAAAAABmIk99RI3eCGYiT31Ejd4IP0NJUS5OQVNEQVE6Q0FMTS5JUV9BTU9SVF9TT0ZUV0FSRV9BU1NFVFNfQ0YuLjI5LzAzLzIwMjYuLi5VU0QuSAEAAAAgegUAAwAAAAAAZiJPfUSN3ghmIk99RI3eCEJDSVEuTkFTREFROkNBTE0uSVFfU0FMRV9QUk9DRUVEU19SRU5UQUxfQVNTRVRTLi4yOS8wMy8yMDI2Li4uVVNELkgBAAAAIHoFAAMAAAAAAGYiT31Ejd4IZiJPfUSN3gg0Q0lRLk5BU0RBUTpDQUxNLklRX0NBU0hfSU5URVJFU1QuLjI5LzAzLzIwMjYuLi5VU0QuSAEAAAAgegUAAwAAAAAAdElPfUSN3gh0SU99RI3eCDhDSVEuTkFTREFROkNBTE0uSVFfQ0FTSF9JTlRFUkVTVF9ORVQuLjI5LzAzLzIwMjYuLi5VU0QuSAEA</t>
  </si>
  <si>
    <t>AAAgegUAAwAAAAAAdElPfUSN3gh0SU99RI3eCD1DSVEuTkFTREFROkNBTE0uSVFfQ0FTSF9JTlRFUkVTVF9SRUNFSVZFRC4uMjkvMDMvMjAyNi4uLlVTRC5IAQAAACB6BQADAAAAAAB0SU99RI3eCHRJT31Ejd4IOUNJUS5OQVNEQVE6Q0FMTS5JUV9DQVNIX0lOVEVSRVNUX09QRVIuLjI5LzAzLzIwMjYuLi5VU0QuSAEAAAAgegUAAwAAAAAAdElPfUSN3gh0SU99RI3eCDtDSVEuTkFTREFROkNBTE0uSVFfQ0FTSF9JTlRFUkVTVF9JTlZFU1QuLjI5LzAzLzIwMjYuLi5VU0QuSAEAAAAgegUAAwAAAAAAdElPfUSN3gh0SU99RI3eCDpDSVEuTkFTREFROkNBTE0uSVFfQ0FTSF9JTlRFUkVTVF9GSU5BTi4uMjkvMDMvMjAyNi4uLlVTRC5IAQAAACB6BQADAAAAAAB0SU99RI3eCHRJT31Ejd4IMUNJUS5OQVNEQVE6Q0FMTS5JUV9DQVNIX1RBWEVTLi4yOS8wMy8yMDI2Li4uVVNELkgBAAAAIHoFAAIAAAAHNDI2LjE3MgEIAAAABQAAAAExAQAAAAstMTkxMDYyNzgzOAMAAAADMTYwAgAAAAQzMDUzBAAAAAEwBwAAAAkzLzI5LzIwMjYIAAAACjExLzI5LzIwMjUJAAAAATB0SU99RI3eCHRJT31Ejd4INkNJUS5OQVNEQVE6Q0FMTS5JUV9DQVNIX1RBWEVTX09QRVIuLjI5LzAzLzIwMjYuLi5VU0QuSAEAAAAgegUAAwAAAAAAdElPfUSN3gh0SU99RI3eCDhDSVEuTkFTREFROkNBTE0uSVFfQ0FTSF9UQVhFU19JTlZFU1Qu</t>
  </si>
  <si>
    <t>LjI5LzAzLzIwMjYuLi5VU0QuSAEAAAAgegUAAwAAAAAAdElPfUSN3gh0SU99RI3eCDdDSVEuTkFTREFROkNBTE0uSVFfQ0FTSF9UQVhFU19GSU5BTi4uMjkvMDMvMjAyNi4uLlVTRC5IAQAAACB6BQADAAAAAAB0SU99RI3eCHRJT31Ejd4IO0NJUS5OQVNEQVE6Q0FMTS5JUV9DSEFOR0VfREVGX1RBWF9UT1RBTC4uMjkvMDMvMjAyNi4uLlVTRC5IAQAAACB6BQACAAAABjM5Ljg3OQEIAAAABQAAAAExAQAAAAstMTkxMDYyNzgzOAMAAAADMTYwAgAAAAUzMDkyNAQAAAABMAcAAAAJMy8yOS8yMDI2CAAAAAoxMS8yOS8yMDI1CQAAAAEwdElPfUSN3gh0SU99RI3eCEFDSVEuTkFTREFROkNBTE0uSVFfQ0hBTkdFX05FVF9XT1JLSU5HX0NBUElUQUwuLjI5LzAzLzIwMjYuLi5VU0QuSAEAAAAgegUAAgAAAAYyOS45NDEBCAAAAAUAAAABMQEAAAALLTE5MTA2Mjc4MzgDAAAAAzE2MAIAAAAENDQyMQQAAAABMAcAAAAJMy8yOS8yMDI2CAAAAAoxMS8yOS8yMDI1CQAAAAEwdElPfUSN3gh0SU99RI3eCDJDSVEuTkFTREFROkNBTE0uSVFfTEVWRVJFRF9GQ0YuLjI5LzAzLzIwMjYuLi5VU0QuSAEAAAAgegUAAgAAAAo4MDQuOTMyNjI1AQgAAAAFAAAAATEBAAAACy0xOTEwNjI3ODM4AwAAAAMxNjACAAAABDQ0MjIEAAAAATAHAAAACTMvMjkvMjAyNggAAAAKMTEvMjkvMjAyNQkAAAABMHRJT31Ejd4IdElPfUSN3gg0Q0lR</t>
  </si>
  <si>
    <t>Lk5BU0RBUTpDQUxNLklRX1VOTEVWRVJFRF9GQ0YuLjI5LzAzLzIwMjYuLi5VU0QuSAEAAAAgegUAAgAAAAk4MDUuMzQwNzUBCAAAAAUAAAABMQEAAAALLTE5MTA2Mjc4MzgDAAAAAzE2MAIAAAAENDQyMwQAAAABMAcAAAAJMy8yOS8yMDI2CAAAAAoxMS8yOS8yMDI1CQAAAAEwdElPfUSN3gh0SU99RI3eCC9DSVEuTkFTREFROkNBTE0uSVFfQ0ZfU0hBUkUuLjI5LzAzLzIwMjYuLi5VU0QuSAEAAAAgegUAAgAAAAkyNC4xNjk5MzMBCAAAAAUAAAABMQEAAAALLTE5MTA2Mjc4MzgDAAAAAzE2MAIAAAAFNDM5MjMEAAAAATAHAAAACTMvMjkvMjAyNggAAAAKMTEvMjkvMjAyNQkAAAABMHRJT31Ejd4IdElPfUSN3gg2Q0lRLk5BU0RBUTpDQUxNLklRX05FVF9ERUJUX0lTU1VFRC4uMjkvMDMvMjAyNi4uLlVTRC5IAQAAACB6BQACAAAABi0wLjAwNAEIAAAABQAAAAExAQAAAAstMTkxMDYyNzgzOAMAAAADMTYwAgAAAAQyMDAzBAAAAAEwBwAAAAkzLzI5LzIwMjYIAAAACjExLzI5LzIwMjUJAAAAATB0SU99RI3eCHRJT31Ejd4IMkNJUS5OQVNEQVE6Q0FMTS5JUV9NQUlOVF9DQVBFWC4uMjkvMDMvMjAyNi4uLlVTRC5IAQAAACB6BQADAAAAAAB0SU99RI3eCHRJT31Ejd4IM0NJUS5OQVNEQVE6Q0FMTS5JUV9ET19JTlZFU1RfQ0YuLjI5LzAzLzIwMjYuLi5VU0QuSAEAAAAgegUAAwAAAAAAdElPfUSN3gh0SU99RI3e</t>
  </si>
  <si>
    <t>CDRDSVEuTkFTREFROkNBTE0uSVFfRE9fRklOQU5DRV9DRi4uMjkvMDMvMjAyNi4uLlVTRC5IAQAAACB6BQADAAAAAAB0SU99RI3eCHRJT31Ejd4IP0NJUS5OQVNEQVE6Q0FMTS5JUV9PUEVSQVRJTkdfTEVBU0VfUEFZTUVOVFMuLjI5LzAzLzIwMjYuLi5VU0QuSAEAAAAgegUAAwAAAAAAdElPfUSN3gh0SU99RI3eCEJDSVEuTkFTREFROkNBTE0uSVFfT1BFUkFUSU5HX0xFQVNFX0xJQUJJTElUSUVTLi4yOS8wMy8yMDI2Li4uVVNELkgBAAAAIHoFAAMAAAAAAHRJT31Ejd4IdElPfUSN3ghKQ0lRLk5BU0RBUTpDQUxNLklRX09QRVJBVElOR19MRUFTRV9MSUFCSUxJVElFU19OT05DQVNILi4yOS8wMy8yMDI2Li4uVVNELkgBAAAAIHoFAAMAAAAAAHRJT31Ejd4IdElPfUSN3ghIQ0lRLk5BU0RBUTpDQUxNLklRX0xPTkdfVEVSTV9ERUJUX1JFUEFJRF9FWENMX0xFQVNFUy4uMjkvMDMvMjAyNi4uLlVTRC5IAQAAACB6BQACAAAABi0wLjAwNAEIAAAABQAAAAExAQAAAAstMTkxMDYyNzgzOAMAAAADMTYwAgAAAAU0ODk4NAQAAAABMAcAAAAJMy8yOS8yMDI2CAAAAAoxMS8yOS8yMDI1CQAAAAEwdElPfUSN3gh0SU99RI3eCERDSVEuTkFTREFROkNBTE0uSVFfVE9UQUxfREVCVF9SRVBBSURfRVhDTF9MRUFTRVMuLjI5LzAzLzIwMjYuLi5VU0QuSAEAAAAgegUAAgAAAAYtMC4wMDQBCAAAAAUAAAABMQEAAAALLTE5</t>
  </si>
  <si>
    <t>MTA2Mjc4MzgDAAAAAzE2MAIAAAAFNDg5ODYEAAAAATAHAAAACTMvMjkvMjAyNggAAAAKMTEvMjkvMjAyNQkAAAABMHRJT31Ejd4IdElPfUSN3gg6Q0lRLk5BU0RBUTpDQUxNLklRX0dBSU5fQkFSR0FJTl9BQ1FfQ0YuLjI5LzAzLzIwMjYuLi5VU0QuSAEAAAAgegUAAwAAAAAAdElPfUSN3gh0SU99RI3eCDFDSVEuTkFTREFROkNBTE0uSVFfQ0FTSF9FUVVJVi4uMjkvMDMvMjAyNi4uLlVTRC5IAQAAACB6BQACAAAABjM2OS40NQEIAAAABQAAAAExAQAAAAstMTkxMDYyNzgzOAMAAAADMTYwAgAAAAQxMDk2BAAAAAEwBwAAAAkzLzI5LzIwMjYIAAAACjExLzI5LzIwMjUJAAAAATB0SU99RI3eCHRJT31Ejd4IMENJUS5OQVNEQVE6Q0FMTS5JUV9TVF9JTlZFU1QuLjI5LzAzLzIwMjYuLi5VU0QuSAEAAAAgegUAAgAAAAc3NjkuNTM4AQgAAAAFAAAAATEBAAAACy0xOTEwNjI3ODM4AwAAAAMxNjACAAAABDEwNjkEAAAAATAHAAAACTMvMjkvMjAyNggAAAAKMTEvMjkvMjAyNQkAAAABMHRJT31Ejd4IdElPfUSN3gg1Q0lRLk5BU0RBUTpDQUxNLklRX1RSQURJTkdfQVNTRVRTLi4yOS8wMy8yMDI2Li4uVVNELkgBAAAAIHoFAAMAAAAAAHRJT31Ejd4IdElPfUSN3gg1Q0lRLk5BU0RBUTpDQUxNLklRX0NBU0hfU1RfSU5WRVNULi4yOS8wMy8yMDI2Li4uVVNELkgBAAAAIHoFAAIAAAAIMTEzOC45ODgBCAAAAAUAAAAB</t>
  </si>
  <si>
    <t>MQEAAAALLTE5MTA2Mjc4MzgDAAAAAzE2MAIAAAAEMTAwMgQAAAABMAcAAAAJMy8yOS8yMDI2CAAAAAoxMS8yOS8yMDI1CQAAAAEwdElPfUSN3gh0SU99RI3eCClDSVEuTkFTREFROkNBTE0uSVFfQVIuLjI5LzAzLzIwMjYuLi5VU0QuSAEAAAAgegUAAgAAAAcyMzUuMzc3AQgAAAAFAAAAATEBAAAACy0xOTEwNjI3ODM4AwAAAAMxNjACAAAABDEwMjEEAAAAATAHAAAACTMvMjkvMjAyNggAAAAKMTEvMjkvMjAyNQkAAAABMHRJT31Ejd4IdElPfUSN3ggzQ0lRLk5BU0RBUTpDQUxNLklRX09USEVSX1JFQ0VJVi4uMjkvMDMvMjAyNi4uLlVTRC5IAQAAACB6BQACAAAABjI2Ljk5MgEIAAAABQAAAAExAQAAAAstMTkxMDYyNzgzOAMAAAADMTYwAgAAAAQxMjA2BAAAAAEwBwAAAAkzLzI5LzIwMjYIAAAACjExLzI5LzIwMjUJAAAAATB0SU99RI3eCHRJT31Ejd4INUNJUS5OQVNEQVE6Q0FMTS5JUV9TVF9OT1RFX1JFQ0VJVi4uMjkvMDMvMjAyNi4uLlVTRC5IAQAAACB6BQADAAAAAAB0SU99RI3eCHRJT31Ejd4IM0NJUS5OQVNEQVE6Q0FMTS5JUV9UT1RBTF9SRUNFSVYuLjI5LzAzLzIwMjYuLi5VU0QuSAEAAAAgegUAAgAAAAcyNjIuMzY5AQgAAAAFAAAAATEBAAAACy0xOTEwNjI3ODM4AwAAAAMxNjACAAAABDEwMDEEAAAAATAHAAAACTMvMjkvMjAyNggAAAAKMTEvMjkvMjAyNQkAAAABMHRJT31Ejd4IdElPfUSN</t>
  </si>
  <si>
    <t>3ggwQ0lRLk5BU0RBUTpDQUxNLklRX0lOVkVOVE9SWS4uMjkvMDMvMjAyNi4uLlVTRC5IAQAAACB6BQACAAAABzM0MC41ODgBCAAAAAUAAAABMQEAAAALLTE5MTA2Mjc4MzgDAAAAAzE2MAIAAAAEMTA0MwQAAAABMAcAAAAJMy8yOS8yMDI2CAAAAAoxMS8yOS8yMDI1CQAAAAEwj3BPfUSN3giPcE99RI3eCDJDSVEuTkFTREFROkNBTE0uSVFfUFJFUEFJRF9FWFAuLjI5LzAzLzIwMjYuLi5VU0QuSAEAAAAgegUAAgAAAAYxMi40NzMBCAAAAAUAAAABMQEAAAALLTE5MTA2Mjc4MzgDAAAAAzE2MAIAAAAEMTIxMgQAAAABMAcAAAAJMy8yOS8yMDI2CAAAAAoxMS8yOS8yMDI1CQAAAAEwj3BPfUSN3giPcE99RI3eCDxDSVEuTkFTREFROkNBTE0uSVFfRklOX0RJVl9MT0FOU19DVVJSRU5ULi4yOS8wMy8yMDI2Li4uVVNELkgBAAAAIHoFAAMAAAAAAI9wT31Ejd4Ij3BPfUSN3gg9Q0lRLk5BU0RBUTpDQUxNLklRX0ZJTl9ESVZfQVNTRVRTX0NVUlJFTlQuLjI5LzAzLzIwMjYuLi5VU0QuSAEAAAAgegUAAwAAAAAAj3BPfUSN3giPcE99RI3eCDVDSVEuTkFTREFROkNBTE0uSVFfTE9BTlNfRk9SX1NBTEUuLjI5LzAzLzIwMjYuLi5VU0QuSAEAAAAgegUAAwAAAAAAj3BPfUSN3giPcE99RI3eCD1DSVEuTkFTREFROkNBTE0uSVFfREVGX1RBWF9BU1NFVFNfQ1VSUkVOVC4uMjkvMDMvMjAyNi4uLlVTRC5IAQAAACB6BQAD</t>
  </si>
  <si>
    <t>AAAAAACPcE99RI3eCI9wT31Ejd4INkNJUS5OQVNEQVE6Q0FMTS5JUV9SRVNUUklDVEVEX0NBU0guLjI5LzAzLzIwMjYuLi5VU0QuSAEAAAAgegUAAwAAAAAAj3BPfUSN3giPcE99RI3eCDVDSVEuTkFTREFROkNBTE0uSVFfT1RIRVJfQ0FfU1VQUEwuLjI5LzAzLzIwMjYuLi5VU0QuSAEAAAAgegUAAwAAAAAAj3BPfUSN3giPcE99RI3eCC9DSVEuTkFTREFROkNBTE0uSVFfVE9UQUxfQ0EuLjI5LzAzLzIwMjYuLi5VU0QuSAEAAAAgegUAAgAAAAgxNzU0LjQxOAEIAAAABQAAAAExAQAAAAstMTkxMDYyNzgzOAMAAAADMTYwAgAAAAQxMDA4BAAAAAEwBwAAAAkzLzI5LzIwMjYIAAAACjExLzI5LzIwMjUJAAAAATCPcE99RI3eCI9wT31Ejd4IK0NJUS5OQVNEQVE6Q0FMTS5JUV9HUFBFLi4yOS8wMy8yMDI2Li4uVVNELkgBAAAAIHoFAAMAAAAAAI9wT31Ejd4Ij3BPfUSN3ggpQ0lRLk5BU0RBUTpDQUxNLklRX0FELi4yOS8wMy8yMDI2Li4uVVNELkgBAAAAIHoFAAMAAAAAAI9wT31Ejd4Ij3BPfUSN3ggrQ0lRLk5BU0RBUTpDQUxNLklRX05QUEUuLjI5LzAzLzIwMjYuLi5VU0QuSAEAAAAgegUAAgAAAAgxMjE4LjY1NAEIAAAABQAAAAExAQAAAAstMTkxMDYyNzgzOAMAAAADMTYwAgAAAAQxMDA0BAAAAAEwBwAAAAkzLzI5LzIwMjYIAAAACjExLzI5LzIwMjUJAAAAATCPcE99RI3eCI9wT31Ejd4IMENJUS5OQVNE</t>
  </si>
  <si>
    <t>QVE6Q0FMTS5JUV9MVF9JTlZFU1QuLjI5LzAzLzIwMjYuLi5VU0QuSAEAAAAgegUAAgAAAAU5Ljk3OQEIAAAABQAAAAExAQAAAAstMTkxMDYyNzgzOAMAAAADMTYwAgAAAAQxMDU0BAAAAAEwBwAAAAkzLzI5LzIwMjYIAAAACjExLzI5LzIwMjUJAAAAATCPcE99RI3eCI9wT31Ejd4IKUNJUS5OQVNEQVE6Q0FMTS5JUV9HVy4uMjkvMDMvMjAyNi4uLlVTRC5IAQAAACB6BQACAAAABjg3LjA1OQEIAAAABQAAAAExAQAAAAstMTkxMDYyNzgzOAMAAAADMTYwAgAAAAQxMTcxBAAAAAEwBwAAAAkzLzI5LzIwMjYIAAAACjExLzI5LzIwMjUJAAAAATCPcE99RI3eCI9wT31Ejd4IMkNJUS5OQVNEQVE6Q0FMTS5JUV9PVEhFUl9JTlRBTi4uMjkvMDMvMjAyNi4uLlVTRC5IAQAAACB6BQACAAAABjU1LjA5MQEIAAAABQAAAAExAQAAAAstMTkxMDYyNzgzOAMAAAADMTYwAgAAAAQxMDQwBAAAAAEwBwAAAAkzLzI5LzIwMjYIAAAACjExLzI5LzIwMjUJAAAAATCPcE99RI3eCI9wT31Ejd4IN0NJUS5OQVNEQVE6Q0FMTS5JUV9GSU5fRElWX0xPQU5TX0xULi4yOS8wMy8yMDI2Li4uVVNELkgBAAAAIHoFAAMAAAAAAI9wT31Ejd4Ij3BPfUSN3gg4Q0lRLk5BU0RBUTpDQUxNLklRX0ZJTl9ESVZfQVNTRVRTX0xULi4yOS8wMy8yMDI2Li4uVVNELkgBAAAAIHoFAAMAAAAAAI9wT31Ejd4Ij3BPfUSN3ggsQ0lRLk5BU0RBUTpDQUxN</t>
  </si>
  <si>
    <t>LklRX0FSX0xULi4yOS8wMy8yMDI2Li4uVVNELkgBAAAAIHoFAAMAAAAAAI9wT31Ejd4Ij3BPfUSN3gg2Q0lRLk5BU0RBUTpDQUxNLklRX0xPQU5TX1JFQ0VJVl9MVC4uMjkvMDMvMjAyNi4uLlVTRC5IAQAAACB6BQADAAAAAACPcE99RI3eCI9wT31Ejd4IOENJUS5OQVNEQVE6Q0FMTS5JUV9ERUZfVEFYX0FTU0VUU19MVC4uMjkvMDMvMjAyNi4uLlVTRC5IAQAAACB6BQADAAAAAACPcE99RI3eCI9wT31Ejd4INUNJUS5OQVNEQVE6Q0FMTS5JUV9ERUZfQ0hBUkdFU19MVC4uMjkvMDMvMjAyNi4uLlVTRC5IAQAAACB6BQADAAAAAACPcE99RI3eCI9wT31Ejd4INkNJUS5OQVNEQVE6Q0FMTS5JUV9PVEhFUl9MVF9BU1NFVFMuLjI5LzAzLzIwMjYuLi5VU0QuSAEAAAAgegUAAgAAAAYxOC44NjMBCAAAAAUAAAABMQEAAAALLTE5MTA2Mjc4MzgDAAAAAzE2MAIAAAAEMTA2MAQAAAABMAcAAAAJMy8yOS8yMDI2CAAAAAoxMS8yOS8yMDI1CQAAAAEwj3BPfUSN3giPcE99RI3eCDNDSVEuTkFTREFROkNBTE0uSVFfVE9UQUxfQVNTRVRTLi4yOS8wMy8yMDI2Li4uVVNELkgBAAAAIHoFAAIAAAAIMzE0NC4wNjQBCAAAAAUAAAABMQEAAAALLTE5MTA2Mjc4MzgDAAAAAzE2MAIAAAAEMTAwNwQAAAABMAcAAAAJMy8yOS8yMDI2CAAAAAoxMS8yOS8yMDI1CQAAAAEwj3BPfUSN3giPcE99RI3eCClDSVEuTkFTREFROkNBTE0u</t>
  </si>
  <si>
    <t>SVFfQVAuLjI5LzAzLzIwMjYuLi5VU0QuSAEAAAAgegUAAgAAAAcxMjMuNDc1AQgAAAAFAAAAATEBAAAACy0xOTEwNjI3ODM4AwAAAAMxNjACAAAABDEwMTgEAAAAATAHAAAACTMvMjkvMjAyNggAAAAKMTEvMjkvMjAyNQkAAAABMI9wT31Ejd4Ij3BPfUSN3ggpQ0lRLk5BU0RBUTpDQUxNLklRX0FFLi4yOS8wMy8yMDI2Li4uVVNELkgBAAAAIHoFAAIAAAAFNjEuMDcBCAAAAAUAAAABMQEAAAALLTE5MTA2Mjc4MzgDAAAAAzE2MAIAAAAEMTAxNgQAAAABMAcAAAAJMy8yOS8yMDI2CAAAAAoxMS8yOS8yMDI1CQAAAAEwj3BPfUSN3giPcE99RI3eCC5DSVEuTkFTREFROkNBTE0uSVFfU1RfREVCVC4uMjkvMDMvMjAyNi4uLlVTRC5IAQAAACB6BQADAAAAAACPcE99RI3eCI9wT31Ejd4IOENJUS5OQVNEQVE6Q0FMTS5JUV9DVVJSRU5UX1BPUlRfREVCVC4uMjkvMDMvMjAyNi4uLlVTRC5IAQAAACB6BQADAAAAAACPcE99RI3eCI9wT31Ejd4IOkNJUS5OQVNEQVE6Q0FMTS5JUV9DVVJSRU5UX1BPUlRfTEVBU0VTLi4yOS8wMy8yMDI2Li4uVVNELkgBAAAAIHoFAAMAAAAAAI9wT31Ejd4Ij3BPfUSN3gg7Q0lRLk5BU0RBUTpDQUxNLklRX0ZJTl9ESVZfREVCVF9DVVJSRU5ULi4yOS8wMy8yMDI2Li4uVVNELkgBAAAAIHoFAAMAAAAAAI9wT31Ejd4Ij3BPfUSN3gg7Q0lRLk5BU0RBUTpDQUxNLklRX0ZJTl9ESVZfTElB</t>
  </si>
  <si>
    <t>Ql9DVVJSRU5ULi4yOS8wMy8yMDI2Li4uVVNELkgBAAAAIHoFAAMAAAAAAI9wT31Ejd4Ij3BPfUSN3gg6Q0lRLk5BU0RBUTpDQUxNLklRX0lOQ19UQVhfUEFZX0NVUlJFTlQuLjI5LzAzLzIwMjYuLi5VU0QuSAEAAAAgegUAAwAAAAAAj3BPfUSN3giPcE99RI3eCDlDSVEuTkFTREFROkNBTE0uSVFfVU5FQVJOX1JFVl9DVVJSRU5ULi4yOS8wMy8yMDI2Li4uVVNELkgBAAAAIHoFAAMAAAAAAI9wT31Ejd4Ij3BPfUSN3gg7Q0lRLk5BU0RBUTpDQUxNLklRX0RFRl9UQVhfTElBQl9DVVJSRU5ULi4yOS8wMy8yMDI2Li4uVVNELkgBAAAAIHoFAAMAAAAAAI9wT31Ejd4Ij3BPfUSN3gg1Q0lRLk5BU0RBUTpDQUxNLklRX09USEVSX0NMX1NVUFBMLi4yOS8wMy8yMDI2Li4uVVNELkgBAAAAIHoFAAIAAAAGMzQuMjgzAQgAAAAFAAAAATEBAAAACy0xOTEwNjI3ODM4AwAAAAMxNjACAAAABDEwNTcEAAAAATAHAAAACTMvMjkvMjAyNggAAAAKMTEvMjkvMjAyNQkAAAABMJOXT31Ejd4Ik5dPfUSN3ggvQ0lRLk5BU0RBUTpDQUxNLklRX1RPVEFMX0NMLi4yOS8wMy8yMDI2Li4uVVNELkgBAAAAIHoFAAIAAAAHMjE4LjgyOAEIAAAABQAAAAExAQAAAAstMTkxMDYyNzgzOAMAAAADMTYwAgAAAAQxMDA5BAAAAAEwBwAAAAkzLzI5LzIwMjYIAAAACjExLzI5LzIwMjUJAAAAATCTl099RI3eCJOXT31Ejd4ILkNJUS5OQVNEQVE6</t>
  </si>
  <si>
    <t>Q0FMTS5JUV9MVF9ERUJULi4yOS8wMy8yMDI2Li4uVVNELkgBAAAAIHoFAAMAAAAAAJOXT31Ejd4Ik5dPfUSN3gg3Q0lRLk5BU0RBUTpDQUxNLklRX0xPTkdfVEVSTV9MRUFTRVMuLjI5LzAzLzIwMjYuLi5VU0QuSAEAAAAgegUAAwAAAAAAk5dPfUSN3giTl099RI3eCDZDSVEuTkFTREFROkNBTE0uSVFfRklOX0RJVl9ERUJUX0xULi4yOS8wMy8yMDI2Li4uVVNELkgBAAAAIHoFAAMAAAAAAJOXT31Ejd4Ik5dPfUSN3gg2Q0lRLk5BU0RBUTpDQUxNLklRX0ZJTl9ESVZfTElBQl9MVC4uMjkvMDMvMjAyNi4uLlVTRC5IAQAAACB6BQADAAAAAACTl099RI3eCJOXT31Ejd4INENJUS5OQVNEQVE6Q0FMTS5JUV9VTkVBUk5fUkVWX0xULi4yOS8wMy8yMDI2Li4uVVNELkgBAAAAIHoFAAMAAAAAAJOXT31Ejd4Ik5dPfUSN3gguQ0lRLk5BU0RBUTpDQUxNLklRX1BFTlNJT04uLjI5LzAzLzIwMjYuLi5VU0QuSAEAAAAgegUAAwAAAAAAk5dPfUSN3giTl099RI3eCDZDSVEuTkFTREFROkNBTE0uSVFfREVGX1RBWF9MSUFCX0xULi4yOS8wMy8yMDI2Li4uVVNELkgBAAAAIHoFAAIAAAAHMTY5Ljg4MgEIAAAABQAAAAExAQAAAAstMTkxMDYyNzgzOAMAAAADMTYwAgAAAAQxMDI3BAAAAAEwBwAAAAkzLzI5LzIwMjYIAAAACjExLzI5LzIwMjUJAAAAATCTl099RI3eCJOXT31Ejd4INENJUS5OQVNEQVE6Q0FMTS5JUV9PVEhF</t>
  </si>
  <si>
    <t>Ul9MSUFCX0xULi4yOS8wMy8yMDI2Li4uVVNELkgBAAAAIHoFAAIAAAAGNTcuNTg4AQgAAAAFAAAAATEBAAAACy0xOTEwNjI3ODM4AwAAAAMxNjACAAAABDEwNjIEAAAAATAHAAAACTMvMjkvMjAyNggAAAAKMTEvMjkvMjAyNQkAAAABMJOXT31Ejd4Ik5dPfUSN3ggxQ0lRLk5BU0RBUTpDQUxNLklRX1RPVEFMX0xJQUIuLjI5LzAzLzIwMjYuLi5VU0QuSAEAAAAgegUAAgAAAAc0NDYuMjk4AQgAAAAFAAAAATEBAAAACy0xOTEwNjI3ODM4AwAAAAMxNjACAAAABDEyNzYEAAAAATAHAAAACTMvMjkvMjAyNggAAAAKMTEvMjkvMjAyNQkAAAABMJOXT31Ejd4Ik5dPfUSN3ggyQ0lRLk5BU0RBUTpDQUxNLklRX1BSRUZfUkVERUVNLi4yOS8wMy8yMDI2Li4uVVNELkgBAAAAIHoFAAMAAAAAAJOXT31Ejd4Ik5dPfUSN3gg2Q0lRLk5BU0RBUTpDQUxNLklRX1BSRUZfTk9OX1JFREVFTS4uMjkvMDMvMjAyNi4uLlVTRC5IAQAAACB6BQADAAAAAACTl099RI3eCJOXT31Ejd4IM0NJUS5OQVNEQVE6Q0FMTS5JUV9QUkVGX0NPTlZFUlQuLjI5LzAzLzIwMjYuLi5VU0QuSAEAAAAgegUAAwAAAAAAk5dPfUSN3giTl099RI3eCDFDSVEuTkFTREFROkNBTE0uSVFfUFJFRl9PVEhFUi4uMjkvMDMvMjAyNi4uLlVTRC5IAQAAACB6BQADAAAAAACTl099RI3eCJOXT31Ejd4IMkNJUS5OQVNEQVE6Q0FMTS5JUV9QUkVGX0VRVUlUWS4u</t>
  </si>
  <si>
    <t>MjkvMDMvMjAyNi4uLlVTRC5IAQAAACB6BQADAAAAAACTl099RI3eCJOXT31Ejd4ILUNJUS5OQVNEQVE6Q0FMTS5JUV9DT01NT04uLjI5LzAzLzIwMjYuLi5VU0QuSAEAAAAgegUAAgAAAAUwLjc1MQEIAAAABQAAAAExAQAAAAstMTkxMDYyNzgzOAMAAAADMTYwAgAAAAQxMTAzBAAAAAEwBwAAAAkzLzI5LzIwMjYIAAAACjExLzI5LzIwMjUJAAAAATCTl099RI3eCJOXT31Ejd4IK0NJUS5OQVNEQVE6Q0FMTS5JUV9BUElDLi4yOS8wMy8yMDI2Li4uVVNELkgBAAAAIHoFAAIAAAAGODMuNTE0AQgAAAAFAAAAATEBAAAACy0xOTEwNjI3ODM4AwAAAAMxNjACAAAABDEwODQEAAAAATAHAAAACTMvMjkvMjAyNggAAAAKMTEvMjkvMjAyNQkAAAABMJOXT31Ejd4Ik5dPfUSN3ggpQ0lRLk5BU0RBUTpDQUxNLklRX1JFLi4yOS8wMy8yMDI2Li4uVVNELkgBAAAAIHoFAAIAAAAIMjc2Ny4zNDcBCAAAAAUAAAABMQEAAAALLTE5MTA2Mjc4MzgDAAAAAzE2MAIAAAAEMTIyMgQAAAABMAcAAAAJMy8yOS8yMDI2CAAAAAoxMS8yOS8yMDI1CQAAAAEwk5dPfUSN3giTl099RI3eCC9DSVEuTkFTREFROkNBTE0uSVFfVFJFQVNVUlkuLjI5LzAzLzIwMjYuLi5VU0QuSAEAAAAgegUAAgAAAAgtMTYxLjQ3NwEIAAAABQAAAAExAQAAAAstMTkxMDYyNzgzOAMAAAADMTYwAgAAAAQxMjQ4BAAAAAEwBwAAAAkzLzI5LzIwMjYIAAAACjEx</t>
  </si>
  <si>
    <t>LzI5LzIwMjUJAAAAATCTl099RI3eCJOXT31Ejd4IM0NJUS5OQVNEQVE6Q0FMTS5JUV9PVEhFUl9FUVVJVFkuLjI5LzAzLzIwMjYuLi5VU0QuSAEAAAAgegUAAgAAAAUxLjMyNgEIAAAABQAAAAExAQAAAAstMTkxMDYyNzgzOAMAAAADMTYwAgAAAAQxMDI4BAAAAAEwBwAAAAkzLzI5LzIwMjYIAAAACjExLzI5LzIwMjUJAAAAATCTl099RI3eCJOXT31Ejd4IOkNJUS5OQVNEQVE6Q0FMTS5JUV9UT1RBTF9DT01NT05fRVFVSVRZLi4yOS8wMy8yMDI2Li4uVVNELkgBAAAAIHoFAAIAAAAIMjY5MS40NjEBCAAAAAUAAAABMQEAAAALLTE5MTA2Mjc4MzgDAAAAAzE2MAIAAAAEMTAwNgQAAAABMAcAAAAJMy8yOS8yMDI2CAAAAAoxMS8yOS8yMDI1CQAAAAEwk5dPfUSN3giTl099RI3eCDhDSVEuTkFTREFROkNBTE0uSVFfTUlOT1JJVFlfSU5URVJFU1QuLjI5LzAzLzIwMjYuLi5VU0QuSAEAAAAgegUAAgAAAAU2LjMwNQEIAAAABQAAAAExAQAAAAstMTkxMDYyNzgzOAMAAAADMTYwAgAAAAQxMDUyBAAAAAEwBwAAAAkzLzI5LzIwMjYIAAAACjExLzI5LzIwMjUJAAAAATCTl099RI3eCJOXT31Ejd4IM0NJUS5OQVNEQVE6Q0FMTS5JUV9UT1RBTF9FUVVJVFkuLjI5LzAzLzIwMjYuLi5VU0QuSAEAAAAgegUAAgAAAAgyNjk3Ljc2NgEIAAAABQAAAAExAQAAAAstMTkxMDYyNzgzOAMAAAADMTYwAgAAAAQxMjc1BAAAAAEw</t>
  </si>
  <si>
    <t>BwAAAAkzLzI5LzIwMjYIAAAACjExLzI5LzIwMjUJAAAAATCTl099RI3eCJOXT31Ejd4IOENJUS5OQVNEQVE6Q0FMTS5JUV9UT1RBTF9MSUFCX0VRVUlUWS4uMjkvMDMvMjAyNi4uLlVTRC5IAQAAACB6BQACAAAACDMxNDQuMDY0AQgAAAAFAAAAATEBAAAACy0xOTEwNjI3ODM4AwAAAAMxNjACAAAABDEwMTMEAAAAATAHAAAACTMvMjkvMjAyNggAAAAKMTEvMjkvMjAyNQkAAAABMJOXT31Ejd4Ik5dPfUSN3ggwQ0lRLk5BU0RBUTpDQUxNLklRX1JVQV9HUk9TUy4uMjkvMDMvMjAyNi4uLlVTRC5IAQAAACB6BQADAAAAAACTl099RI3eCJOXT31Ejd4INENJUS5OQVNEQVE6Q0FMTS5JUV9SVUFfQUNDVU1fREVQLi4yOS8wMy8yMDI2Li4uVVNELkgBAAAAIHoFAAMAAAAAAJOXT31Ejd4Ik5dPfUSN3gguQ0lRLk5BU0RBUTpDQUxNLklRX1JVQV9ORVQuLjI5LzAzLzIwMjYuLi5VU0QuSAEAAAAgegUAAwAAAAAAk5dPfUSN3giTl099RI3eCD5DSVEuTkFTREFROkNBTE0uSVFfUlVBX0NBUElUQUxfTEVBU0VfR1JPU1MuLjI5LzAzLzIwMjYuLi5VU0QuSAEAAAAgegUAAwAAAAAAk5dPfUSN3giTl099RI3eCEJDSVEuTkFTREFROkNBTE0uSVFfUlVBX0NBUElUQUxfTEVBU0VfQUNDVU1fREVQLi4yOS8wMy8yMDI2Li4uVVNELkgBAAAAIHoFAAMAAAAAAKK+T31Ejd4Ior5PfUSN3gg8Q0lRLk5BU0RBUTpDQUxNLklRX1JV</t>
  </si>
  <si>
    <t>QV9DQVBJVEFMX0xFQVNFX05FVC4uMjkvMDMvMjAyNi4uLlVTRC5IAQAAACB6BQADAAAAAACivk99RI3eCKK+T31Ejd4IQENJUS5OQVNEQVE6Q0FMTS5JUV9SVUFfT1BFUkFUSU5HX0xFQVNFX0dST1NTLi4yOS8wMy8yMDI2Li4uVVNELkgBAAAAIHoFAAMAAAAAAKK+T31Ejd4Ior5PfUSN3ghEQ0lRLk5BU0RBUTpDQUxNLklRX1JVQV9PUEVSQVRJTkdfTEVBU0VfQUNDVU1fREVQLi4yOS8wMy8yMDI2Li4uVVNELkgBAAAAIHoFAAMAAAAAAKK+T31Ejd4Ior5PfUSN3gg+Q0lRLk5BU0RBUTpDQUxNLklRX1JVQV9PUEVSQVRJTkdfTEVBU0VfTkVULi4yOS8wMy8yMDI2Li4uVVNELkgBAAAAIHoFAAMAAAAAAKK+T31Ejd4Ior5PfUSN3gg8Q0lRLk5BU0RBUTpDQUxNLklRX0dQUEVfRVhDTF9PUEVSX0xFQVNFUy4uMjkvMDMvMjAyNi4uLlVTRC5IAQAAACB6BQADAAAAAACivk99RI3eCKK+T31Ejd4IOkNJUS5OQVNEQVE6Q0FMTS5JUV9BRF9FWENMX09QRVJfTEVBU0VTLi4yOS8wMy8yMDI2Li4uVVNELkgBAAAAIHoFAAMAAAAAAKK+T31Ejd4Ior5PfUSN3gg8Q0lRLk5BU0RBUTpDQUxNLklRX05QUEVfRVhDTF9PUEVSX0xFQVNFUy4uMjkvMDMvMjAyNi4uLlVTRC5IAQAAACB6BQACAAAACDEyMTguNjU0AQgAAAAFAAAAATEBAAAACy0xOTEwNjI3ODM4AwAAAAMxNjACAAAABTQ4OTc2BAAAAAEwBwAAAAkzLzI5LzIw</t>
  </si>
  <si>
    <t>MjYIAAAACjExLzI5LzIwMjUJAAAAATCAdlh9RI3eCIB2WH1Ejd4IPUNJUS5OQVNEQVE6Q0FMTS5JUV9GSU5BTkNFX0xFQVNFU19DVVJSRU5ULi4yOS8wMy8yMDI2Li4uVVNELkgBAAAAIHoFAAMAAAAAAIB2WH1Ejd4IgHZYfUSN3gg/Q0lRLk5BU0RBUTpDQUxNLklRX0ZJTkFOQ0VfTEVBU0VTX0xPTkdfVEVSTS4uMjkvMDMvMjAyNi4uLlVTRC5IAQAAACB6BQADAAAAAACAdlh9RI3eCIB2WH1Ejd4IO0NJUS5OQVNEQVE6Q0FMTS5JUV9UT1RBTF9GSU5BTkNFX0xFQVNFUy4uMjkvMDMvMjAyNi4uLlVTRC5IAQAAACB6BQADAAAAAACAdlh9RI3eCIB2WH1Ejd4ITUNJUS5OQVNEQVE6Q0FMTS5JUV9DVVJSRU5UX1BPUlRJT05fT1BFUl9MRUFTRV9MSUFCSUxJVElFUy4uMjkvMDMvMjAyNi4uLlVTRC5IAQAAACB6BQADAAAAAACnnVh9RI3eCKedWH1Ejd4ISENJUS5OQVNEQVE6Q0FMTS5JUV9MVF9QT1JUSU9OX09QRVJfTEVBU0VfTElBQklMSVRJRVMuLjI5LzAzLzIwMjYuLi5VU0QuSAEAAAAgegUAAwAAAAAAp51YfUSN3ginnVh9RI3eCDhDSVEuTkFTREFROkNBTE0uSVFfVE9UQUxfT1BFUl9MRUFTRVMuLjI5LzAzLzIwMjYuLi5VU0QuSAEAAAAgegUAAwAAAAAAp51YfUSN3ginnVh9RI3eCDNDSVEuTkFTREFROkNBTE0uSVFfVE9UQUxfTEVBU0VTLi4yOS8wMy8yMDI2Li4uVVNELkgBAAAAIHoFAAMAAAAAAKed</t>
  </si>
  <si>
    <t>WH1Ejd4Ip51YfUSN3ghPQ0lRLk5BU0RBUTpDQUxNLklRX0ZJTkFOQ0lOR19PQkxJR19DVVJSRU5UX0VYQ0xfT1BFUl9MRUFTRVMuLjI5LzAzLzIwMjYuLi5VU0QuSAEAAAAgegUAAwAAAAAAp51YfUSN3ginnVh9RI3eCFNDSVEuTkFTREFROkNBTE0uSVFfRklOQU5DSU5HX09CTElHX05PTl9DVVJSRU5UX0VYQ0xfT1BFUl9MRUFTRVMuLjI5LzAzLzIwMjYuLi5VU0QuSAEAAAAgegUAAwAAAAAAp51YfUSN3ginnVh9RI3eCEJDSVEuTkFTREFROkNBTE0uSVFfVE9UQUxfREVCVF9FWENMX09QRVJfTEVBU0VTLi4yOS8wMy8yMDI2Li4uVVNELkgBAAAAIHoFAAMAAAAAAKedWH1Ejd4Ip51YfUSN3gg9Q0lRLk5BU0RBUTpDQUxNLklRX1RPVEFMX0RFQlRfRVhDTF9MRUFTRVMuLjI5LzAzLzIwMjYuLi5VU0QuSAEAAAAgegUAAwAAAAAAp51YfUSN3ginnVh9RI3eCC9DSVEuTkFTREFROkNBTE0uSVFfQlZfU0hBUkUuLjI5LzAzLzIwMjYuLi5VU0QuSAEAAAAgegUAAgAAAAk1Ni40NzkyMjUBCAAAAAUAAAABMQEAAAALLTE5MTA2Mjc4MzgDAAAAAzE2MAIAAAAENDAyMAQAAAABMAcAAAAJMy8yOS8yMDI2CAAAAAoxMS8yOS8yMDI1CQAAAAEwp51YfUSN3ginnVh9RI3eCDhDSVEuTkFTREFROkNBTE0uSVFfQlZfU0hBUkVfUkVQT1JURUQuLjI5LzAzLzIwMjYuLi5VU0QuSAEAAAAgegUAAwAAAAAAp51YfUSN3ginnVh9</t>
  </si>
  <si>
    <t>RI3eCDBDSVEuTkFTREFROkNBTE0uSVFfVEJWX1NIQVJFLi4yOS8wMy8yMDI2Li4uVVNELkgBAAAAIHoFAAIAAAAJNTMuNDk2MjY0AQgAAAAFAAAAATEBAAAACy0xOTEwNjI3ODM4AwAAAAMxNjACAAAABDQxNTYEAAAAATAHAAAACTMvMjkvMjAyNggAAAAKMTEvMjkvMjAyNQkAAAABMKedWH1Ejd4Ip51YfUSN3gg5Q0lRLk5BU0RBUTpDQUxNLklRX1RCVl9TSEFSRV9SRVBPUlRFRC4uMjkvMDMvMjAyNi4uLlVTRC5IAQAAACB6BQADAAAAAACnnVh9RI3eCKedWH1Ejd4IKkNJUS5OQVNEQVE6Q0FMTS5JUV9UQlYuLjI5LzAzLzIwMjYuLi5VU0QuSAEAAAAgegUAAgAAAAgyNTQ5LjMxMQEIAAAABQAAAAExAQAAAAstMTkxMDYyNzgzOAMAAAADMTYwAgAAAAQxMzEwBAAAAAEwBwAAAAkzLzI5LzIwMjYIAAAACjExLzI5LzIwMjUJAAAAATCnnVh9RI3eCKedWH1Ejd4IL0NJUS5OQVNEQVE6Q0FMTS5JUV9HV19JTlRBTi4uMjkvMDMvMjAyNi4uLlVTRC5IAQAAACB6BQACAAAABjE0Mi4xNQEIAAAABQAAAAExAQAAAAstMTkxMDYyNzgzOAMAAAADMTYwAgAAAAUzNTM4MQQAAAABMAcAAAAJMy8yOS8yMDI2CAAAAAoxMS8yOS8yMDI1CQAAAAEwp51YfUSN3ginnVh9RI3eCDFDSVEuTkFTREFROkNBTE0uSVFfQ0FTSF9TSEFSRS4uMjkvMDMvMjAyNi4uLlVTRC5IAQAAACB6BQACAAAACDcuNzUyNzU5AQgAAAAFAAAAATEB</t>
  </si>
  <si>
    <t>AAAACy0xOTEwNjI3ODM4AwAAAAMxNjACAAAABDQzODEEAAAAATAHAAAACTMvMjkvMjAyNggAAAAKMTEvMjkvMjAyNQkAAAABMKedWH1Ejd4Ip51YfUSN3ggxQ0lRLk5BU0RBUTpDQUxNLklRX1RPVEFMX0RFQlQuLjI5LzAzLzIwMjYuLi5VU0QuSAEAAAAgegUAAgAAAAEwAQgAAAAFAAAAATEBAAAACy0xOTEwNjI3ODM4AwAAAAMxNjACAAAABDQxNzMEAAAAATAHAAAACTMvMjkvMjAyNggAAAAKMTEvMjkvMjAyNQkAAAABMKedWH1Ejd4Ip51YfUSN3gg5Q0lRLk5BU0RBUTpDQUxNLklRX1RPVEFMX0RFQlRfQ1VSUkVOVC4uMjkvMDMvMjAyNi4uLlVTRC5IAQAAACB6BQADAAAAAACnnVh9RI3eCKedWH1Ejd4IPUNJUS5OQVNEQVE6Q0FMTS5JUV9UT1RBTF9ERUJUX05PTl9DVVJSRU5ULi4yOS8wMy8yMDI2Li4uVVNELkgBAAAAIHoFAAMAAAAAAKedWH1Ejd4Ip51YfUSN3ggvQ0lRLk5BU0RBUTpDQUxNLklRX05FVF9ERUJULi4yOS8wMy8yMDI2Li4uVVNELkgBAAAAIHoFAAIAAAAJLTExMzguOTg4AQgAAAAFAAAAATEBAAAACy0xOTEwNjI3ODM4AwAAAAMxNjACAAAABDQzNjQEAAAAATAHAAAACTMvMjkvMjAyNggAAAAKMTEvMjkvMjAyNQkAAAABMKedWH1Ejd4Ip51YfUSN3gg+Q0lRLk5BU0RBUTpDQUxNLklRX01JTk9SSVRZX0lOVEVSRVNUX1RPVEFMLi4yOS8wMy8yMDI2Li4uVVNELkgBAAAAIHoFAAIAAAAF</t>
  </si>
  <si>
    <t>Ni4zMDUBCAAAAAUAAAABMQEAAAALLTE5MTA2Mjc4MzgDAAAAAzE2MAIAAAAEMTMxMgQAAAABMAcAAAAJMy8yOS8yMDI2CAAAAAoxMS8yOS8yMDI1CQAAAAEwp51YfUSN3ginnVh9RI3eCDBDSVEuTkFTREFROkNBTE0uSVFfVE9UQUxfQ0FQLi4yOS8wMy8yMDI2Li4uVVNELkgBAAAAIHoFAAIAAAAIMjY5Ny43NjYBCAAAAAUAAAABMQEAAAALLTE5MTA2Mjc4MzgDAAAAAzE2MAIAAAAENDE3NQQAAAABMAcAAAAJMy8yOS8yMDI2CAAAAAoxMS8yOS8yMDI1CQAAAAEwp51YfUSN3ginnVh9RI3eCDJDSVEuTkFTREFROkNBTE0uSVFfV09SS0lOR19DQVAuLjI5LzAzLzIwMjYuLi5VU0QuSAEAAAAgegUAAgAAAAcxNTM1LjU5AQgAAAAFAAAAATEBAAAACy0xOTEwNjI3ODM4AwAAAAMxNjACAAAABDQxNjUEAAAAATAHAAAACTMvMjkvMjAyNggAAAAKMTEvMjkvMjAyNQkAAAABMKedWH1Ejd4Ip51YfUSN3gg2Q0lRLk5BU0RBUTpDQUxNLklRX05FVF9XT1JLSU5HX0NBUC4uMjkvMDMvMjAyNi4uLlVTRC5IAQAAACB6BQACAAAABzM5Ni42MDIBCAAAAAUAAAABMQEAAAALLTE5MTA2Mjc4MzgDAAAAAzE2MAIAAAAEMTMxMQQAAAABMAcAAAAJMy8yOS8yMDI2CAAAAAoxMS8yOS8yMDI1CQAAAAEwp51YfUSN3ginnVh9RI3eCDdDSVEuTkFTREFROkNBTE0uSVFfQUxMT1dfRE9VQlRfQUNDVC4uMjkvMDMvMjAyNi4uLlVTRC5I</t>
  </si>
  <si>
    <t>AQAAACB6BQADAAAAAACnnVh9RI3eCKedWH1Ejd4INENJUS5OQVNEQVE6Q0FMTS5JUV9FUVVJVFlfTUVUSE9ELi4yOS8wMy8yMDI2Li4uVVNELkgBAAAAIHoFAAIAAAAFOS45NzkBCAAAAAUAAAABMQEAAAALLTE5MTA2Mjc4MzgDAAAAAzE2MAIAAAAEMzA2MwQAAAABMAcAAAAJMy8yOS8yMDI2CAAAAAoxMS8yOS8yMDI1CQAAAAEwp51YfUSN3ginnVh9RI3eCDJDSVEuTkFTREFROkNBTE0uSVFfQVJfVU5CSUxMRUQuLjI5LzAzLzIwMjYuLi5VU0QuSAEAAAAgegUAAwAAAAAAp51YfUSN3ginnVh9RI3eCCxDSVEuTkFTREFROkNBTE0uSVFfTElGT1IuLjI5LzAzLzIwMjYuLi5VU0QuSAEAAAAgegUAAwAAAAAAp51YfUSN3ginnVh9RI3eCC5DSVEuTkFTREFROkNBTE0uSVFfUkFXX0lOVi4uMjkvMDMvMjAyNi4uLlVTRC5IAQAAACB6BQACAAAABzIzMS4wMDUBCAAAAAUAAAABMQEAAAALLTE5MTA2Mjc4MzgDAAAAAzE2MAIAAAAEMzE3MQQAAAABMAcAAAAJMy8yOS8yMDI2CAAAAAoxMS8yOS8yMDI1CQAAAAEwp51YfUSN3ginnVh9RI3eCC5DSVEuTkFTREFROkNBTE0uSVFfV0lQX0lOVi4uMjkvMDMvMjAyNi4uLlVTRC5IAQAAACB6BQADAAAAAACnnVh9RI3eCKedWH1Ejd4IM0NJUS5OQVNEQVE6Q0FMTS5JUV9GSU5JU0hFRF9JTlYuLjI5LzAzLzIwMjYuLi5VU0QuSAEAAAAgegUAAgAAAAcxMDkuNTgzAQgAAAAF</t>
  </si>
  <si>
    <t>AAAAATEBAAAACy0xOTEwNjI3ODM4AwAAAAMxNjACAAAABDMwNzUEAAAAATAHAAAACTMvMjkvMjAyNggAAAAKMTEvMjkvMjAyNQkAAAABMKedWH1Ejd4Ip51YfUSN3ggwQ0lRLk5BU0RBUTpDQUxNLklRX09USEVSX0lOVi4uMjkvMDMvMjAyNi4uLlVTRC5IAQAAACB6BQADAAAAAACnnVh9RI3eCKedWH1Ejd4IK0NJUS5OQVNEQVE6Q0FMTS5JUV9MQU5ELi4yOS8wMy8yMDI2Li4uVVNELkgBAAAAIHoFAAMAAAAAAKedWH1Ejd4Ip51YfUSN3ggwQ0lRLk5BU0RBUTpDQUxNLklRX0JVSUxESU5HUy4uMjkvMDMvMjAyNi4uLlVTRC5IAQAAACB6BQADAAAAAACnnVh9RI3eCKedWH1Ejd4IMENJUS5OQVNEQVE6Q0FMTS5JUV9NQUNISU5FUlkuLjI5LzAzLzIwMjYuLi5VU0QuSAEAAAAgegUAAwAAAAAAp51YfUSN3ginnVh9RI3eCC9DSVEuTkFTREFROkNBTE0uSVFfU09GVFdBUkUuLjI5LzAzLzIwMjYuLi5VU0QuSAEAAAAgegUAAwAAAAAAp51YfUSN3ginnVh9RI3eCD1DSVEuTkFTREFROkNBTE0uSVFfTkFUVVJBTF9SRVNPVVJDRVNfQ09TVC4uMjkvMDMvMjAyNi4uLlVTRC5IAQAAACB6BQADAAAAAACnnVh9RI3eCKedWH1Ejd4IKkNJUS5OQVNEQVE6Q0FMTS5JUV9DSVAuLjI5LzAzLzIwMjYuLi5VU0QuSAEAAAAgegUAAwAAAAAAp51YfUSN3ginnVh9RI3eCDxDSVEuTkFTREFROkNBTE0uSVFfTEVBU0VIT0xEX0lN</t>
  </si>
  <si>
    <t>UFJPVkVNRU5ULi4yOS8wMy8yMDI2Li4uVVNELkgBAAAAIHoFAAMAAAAAAKedWH1Ejd4Ip51YfUSN3gg6Q0lRLk5BU0RBUTpDQUxNLklRX01JTk9SSVRZX0lOVF9SRURFRU0uLjI5LzAzLzIwMjYuLi5VU0QuSAEAAAAgegUAAwAAAAAAp51YfUSN3ginnVh9RI3eCEJDSVEuTkFTREFROkNBTE0uSVFfRklOX0RJVl9NSU5PUklUWV9JTlRfUkVERUVNLi4yOS8wMy8yMDI2Li4uVVNELkgBAAAAIHoFAAMAAAAAAKedWH1Ejd4Ip51YfUSN3gg+Q0lRLk5BU0RBUTpDQUxNLklRX01JTk9SSVRZX0lOVF9SRURFRU1fVE9ULi4yOS8wMy8yMDI2Li4uVVNELkgBAAAAIHoFAAMAAAAAAKedWH1Ejd4Ip51YfUSN3ghAQ0lRLk5BU0RBUTpDQUxNLklRX0ZJTl9ESVZfTUlOT1JJVFlfSU5URVJFU1QuLjI5LzAzLzIwMjYuLi5VU0QuSAEAAAAgegUAAwAAAAAAp51YfUSN3ginnVh9RI3eCEJDSVEuTkFTREFROkNBTE0uSVFfREVGX1RBWF9WQUxVQVRJT05fQUxMT1dBTkNFLi4yOS8wMy8yMDI2Li4uVVNELkgBAAAAIHoFAAMAAAAAAI/YWH1Ejd4Ij9hYfUSN3ghEQ0lRLk5BU0RBUTpDQUxNLklRX0dFTkVSQUxfUEFSVE5FUl9DT01NT05fRVFVSVRZLi4yOS8wMy8yMDI2Li4uVVNELkgBAAAAIHoFAAMAAAAAAI/YWH1Ejd4Ij9hYfUSN3ghCQ0lRLk5BU0RBUTpDQUxNLklRX0dFTkVSQUxfUEFSVE5FUl9QUkVGX0VRVUlUWS4uMjkv</t>
  </si>
  <si>
    <t>MDMvMjAyNi4uLlVTRC5IAQAAACB6BQADAAAAAACP2Fh9RI3eCI/YWH1Ejd4ISENJUS5OQVNEQVE6Q0FMTS5JUV9HRU5FUkFMX1BBUlRORVJfTUlOT1JJVFlfSU5URVJFU1QuLjI5LzAzLzIwMjYuLi5VU0QuSAEAAAAgegUAAwAAAAAAj9hYfUSN3giP2Fh9RI3eCEVDSVEuTkFTREFROkNBTE0uSVFfVE9UQUxfR0VORVJBTF9QQVJUTkVSX0lOVEVSRVNULi4yOS8wMy8yMDI2Li4uVVNELkgBAAAAIHoFAAMAAAAAAI/YWH1Ejd4Ij9hYfUSN3ghKQ0lRLk5BU0RBUTpDQUxNLklRX0xJUVVJREFUSU9OX1ZBTFVFX1BSRUZFUlJFRF9DT05WRVJULi4yOS8wMy8yMDI2Li4uVVNELkgBAAAAIHoFAAMAAAAAAI/YWH1Ejd4Ij9hYfUSN3ghNQ0lRLk5BU0RBUTpDQUxNLklRX0xJUVVJREFUSU9OX1ZBTFVFX1BSRUZFUlJFRF9OT05fUkVERUVNLi4yOS8wMy8yMDI2Li4uVVNELkgBAAAAIHoFAAMAAAAAAI/YWH1Ejd4Ij9hYfUSN3ghJQ0lRLk5BU0RBUTpDQUxNLklRX0xJUVVJREFUSU9OX1ZBTFVFX1BSRUZFUlJFRF9SRURFRU0uLjI5LzAzLzIwMjYuLi5VU0QuSAEAAAAgegUAAwAAAAAAj9hYfUSN3giP2Fh9RI3eCDVDSVEuTkFTREFROkNBTE0uSVFfQVNTRVRTX0xFVkVMXzEuLjI5LzAzLzIwMjYuLi5VU0QuSAEAAAAgegUAAwAAAAAAj9hYfUSN3giP2Fh9RI3eCDVDSVEuTkFTREFROkNBTE0uSVFfQVNTRVRTX0xFVkVM</t>
  </si>
  <si>
    <t>XzIuLjI5LzAzLzIwMjYuLi5VU0QuSAEAAAAgegUAAgAAAAc3NjkuNTM4AI/YWH1Ejd4Ij9hYfUSN3gg1Q0lRLk5BU0RBUTpDQUxNLklRX0FTU0VUU19MRVZFTF8zLi4yOS8wMy8yMDI2Li4uVVNELkgBAAAAIHoFAAMAAAAAAI/YWH1Ejd4Ij9hYfUSN3ghHQ0lRLk5BU0RBUTpDQUxNLklRX0FTU0VUU19ORVRUSU5HX09USEVSX0FESlVTVE1FTlRTLi4yOS8wMy8yMDI2Li4uVVNELkgBAAAAIHoFAAMAAAAAAI/YWH1Ejd4Ij9hYfUSN3gg4Q0lRLk5BU0RBUTpDQUxNLklRX0FTU0VUU19GQUlSX1ZBTFVFLi4yOS8wMy8yMDI2Li4uVVNELkgBAAAAIHoFAAIAAAAHNzY5LjUzOACP2Fh9RI3eCI/YWH1Ejd4IOkNJUS5OQVNEQVE6Q0FMTS5JUV9MSUFCSUxJVElFU19MRVZFTF8xLi4yOS8wMy8yMDI2Li4uVVNELkgBAAAAIHoFAAMAAAAAAI/YWH1Ejd4Ij9hYfUSN3gg6Q0lRLk5BU0RBUTpDQUxNLklRX0xJQUJJTElUSUVTX0xFVkVMXzIuLjI5LzAzLzIwMjYuLi5VU0QuSAEAAAAgegUAAwAAAAAAj9hYfUSN3giP2Fh9RI3eCDpDSVEuTkFTREFROkNBTE0uSVFfTElBQklMSVRJRVNfTEVWRUxfMy4uMjkvMDMvMjAyNi4uLlVTRC5IAQAAACB6BQACAAAAAjIzAI/YWH1Ejd4Ij9hYfUSN3ghMQ0lRLk5BU0RBUTpDQUxNLklRX0xJQUJJTElUSUVTX05FVFRJTkdfT1RIRVJfQURKVVNUTUVOVFMuLjI5LzAzLzIwMjYuLi5V</t>
  </si>
  <si>
    <t>U0QuSAEAAAAgegUAAwAAAAAAj9hYfUSN3giP2Fh9RI3eCD1DSVEuTkFTREFROkNBTE0uSVFfTElBQklMSVRJRVNfRkFJUl9WQUxVRS4uMjkvMDMvMjAyNi4uLlVTRC5IAQAAACB6BQACAAAAAjIzAI/YWH1Ejd4Ij9hYfUSN3ghGQ0lRLk5BU0RBUTpDQUxNLklRX0ZBSVJfVkFMVUVfQ0hBTkdFX0lOQ0xfRUFSTklOR1MuLjI5LzAzLzIwMjYuLi5VU0QuSAEAAAAgegUAAgAAAAUtMTYuNQCP2Fh9RI3eCI/YWH1Ejd4IPENJUS5OQVNEQVE6Q0FMTS5JUV9GSU5fRElWX0xUX0RFQlRfVE9UQUwuLjI5LzAzLzIwMjYuLi5VU0QuSAEAAAAgegUAAwAAAAAA2/9YfUSN3gjb/1h9RI3eCDxDSVEuTkFTREFROkNBTE0uSVFfRklOX0RJVl9TVF9ERUJUX1RPVEFMLi4yOS8wMy8yMDI2Li4uVVNELkgBAAAAIHoFAAMAAAAAANv/WH1Ejd4I2/9YfUSN3gg5Q0lRLk5BU0RBUTpDQUxNLklRX0ZJTl9ESVZfREVCVF9UT1RBTC4uMjkvMDMvMjAyNi4uLlVTRC5IAQAAACB6BQADAAAAAADb/1h9RI3eCNv/WH1Ejd4IOUNJUS5OQVNEQVE6Q0FMTS5JUV9GSU5fRElWX0NBU0hfRVFVSVYuLjI5LzAzLzIwMjYuLi5VU0QuSAEAAAAgegUAAwAAAAAA2/9YfUSN3gjb/1h9RI3eCDhDSVEuTkFTREFROkNBTE0uSVFfRklOX0RJVl9TVF9JTlZFU1QuLjI5LzAzLzIwMjYuLi5VU0QuSAEAAAAgegUAAwAAAAAA2/9YfUSN3gjb/1h9RI3eCDlD</t>
  </si>
  <si>
    <t>SVEuTkFTREFROkNBTE0uSVFfREVCVF9FUVVJVl9ORVRfUEJPLi4yOS8wMy8yMDI2Li4uVVNELkgBAAAAIHoFAAMAAAAAANv/WH1Ejd4I2/9YfUSN3gg8Q0lRLk5BU0RBUTpDQUxNLklRX0RFQlRfRVFVSVZfT1BFUl9MRUFTRS4uMjkvMDMvMjAyNi4uLlVTRC5IAQAAACB6BQADAAAAAADb/1h9RI3eCNv/WH1Ejd4IQkNJUS5OQVNEQVE6Q0FMTS5JUV9SRVNUUklDVEVEX0NBU0hfTk9OX0NVUlJFTlQuLjI5LzAzLzIwMjYuLi5VU0QuSAEAAAAgegUAAwAAAAAA2/9YfUSN3gjb/1h9RI3eCDxDSVEuTkFTREFROkNBTE0uSVFfUkVTVFJJQ1RFRF9DQVNIX1RPVEFMLi4yOS8wMy8yMDI2Li4uVVNELkgBAAAAIHoFAAMAAAAAANv/WH1Ejd4I2/9YfUSN3gg6Q0lRLk5BU0RBUTpDQUxNLklRX1RPVEFMX0RFQlRfRVhDTF9GSU4uLjI5LzAzLzIwMjYuLi5VU0QuSAEAAAAgegUAAwAAAAAA2/9YfUSN3gjb/1h9RI3eCDRDSVEuTkFTREFROkNBTE0uSVFfT1JERVJfQkFDS0xPRy4uMjkvMDMvMjAyNi4uLlVTRC5IAQAAACB6BQADAAAAAADb/1h9RI3eCNv/WH1Ejd4IPUNJUS5OQVNEQVE6Q0FMTS5JUV9DT05USU5HRU5UX0xJQUJJTElUSUVTLi4yOS8wMy8yMDI2Li4uVVNELkgBAAAAIHoFAAIAAAADNC43AQgAAAAFAAAAATEBAAAACy0xOTEwNjI3ODM4AwAAAAMxNjACAAAABTI0NjcxBAAAAAEwBwAAAAkzLzI5LzIwMjYI</t>
  </si>
  <si>
    <t>AAAACjExLzI5LzIwMjUJAAAAATDb/1h9RI3eCNv/WH1Ejd4IO0NJUS5OQVNEQVE6Q0FMTS5JUV9XQVJSQU5UWV9MSUFCSUxJVElFUy4uMjkvMDMvMjAyNi4uLlVTRC5IAQAAACB6BQADAAAAAADb/1h9RI3eCNv/WH1Ejd4IOkNJUS5OQVNEQVE6Q0FMTS5JUV9TVF9ERUJUX0RFUklWQVRJVkVTLi4yOS8wMy8yMDI2Li4uVVNELkgBAAAAIHoFAAMAAAAAANv/WH1Ejd4I2/9YfUSN3ghEQ0lRLk5BU0RBUTpDQUxNLklRX0NVUlJFTlRfUE9SVF9ERUJUX0RFUklWQVRJVkVTLi4yOS8wMy8yMDI2Li4uVVNELkgBAAAAIHoFAAMAAAAAANv/WH1Ejd4I2/9YfUSN3gg6Q0lRLk5BU0RBUTpDQUxNLklRX0xUX0RFQlRfREVSSVZBVElWRVMuLjI5LzAzLzIwMjYuLi5VU0QuSAEAAAAgegUAAwAAAAAA2/9YfUSN3gjb/1h9RI3eCD5DSVEuTkFTREFROkNBTE0uSVFfREVSSVZBVElWRV9MSUFCX0NVUlJFTlQuLjI5LzAzLzIwMjYuLi5VU0QuSAEAAAAgegUAAwAAAAAA2/9YfUSN3gjb/1h9RI3eCEJDSVEuTkFTREFROkNBTE0uSVFfREVSSVZBVElWRV9MSUFCX05PTl9DVVJSRU5ULi4yOS8wMy8yMDI2Li4uVVNELkgBAAAAIHoFAAMAAAAAANv/WH1Ejd4I2/9YfUSN3ghAQ0lRLk5BU0RBUTpDQUxNLklRX0RFUklWQVRJVkVfVFJBRElOR19BU1NFVFMuLjI5LzAzLzIwMjYuLi5VU0QuSAEAAAAgegUAAwAAAAAA2/9YfUSN3gjb</t>
  </si>
  <si>
    <t>/1h9RI3eCEBDSVEuTkFTREFROkNBTE0uSVFfREVSSVZBVElWRV9BU1NFVFNfQ1VSUkVOVC4uMjkvMDMvMjAyNi4uLlVTRC5IAQAAACB6BQADAAAAAADb/1h9RI3eCNv/WH1Ejd4IO0NJUS5OQVNEQVE6Q0FMTS5JUV9ERVJJVkFUSVZFX0FTU0VUU19MVC4uMjkvMDMvMjAyNi4uLlVTRC5IAQAAACB6BQADAAAAAADb/1h9RI3eCNv/WH1Ejd4IOUNJUS5OQVNEQVE6Q0FMTS5JUV9HUk9TU19JTlRBTl9BU1NFVFMuLjI5LzAzLzIwMjYuLi5VU0QuSAEAAAAgegUAAwAAAAAA2/9YfUSN3gjb/1h9RI3eCD9DSVEuTkFTREFROkNBTE0uSVFfQUNDVU1fQU1PUlRfSU5UQU5fQVNTRVRTLi4yOS8wMy8yMDI2Li4uVVNELkgBAAAAIHoFAAMAAAAAANv/WH1Ejd4I2/9YfUSN3ggvQ0lRLk5BU0RBUTpDQUxNLklRX0dST1NTX0dXLi4yOS8wMy8yMDI2Li4uVVNELkgBAAAAIHoFAAMAAAAAAOImWX1Ejd4I4iZZfUSN3gg1Q0lRLk5BU0RBUTpDQUxNLklRX0FDQ1VNX0FNT1JUX0dXLi4yOS8wMy8yMDI2Li4uVVNELkgBAAAAIHoFAAMAAAAAAOImWX1Ejd4I4iZZfUSN3gg5Q0lRLk5BU0RBUTpDQUxNLklRX0xUX01BUktfU0VDVVJJVElFUy4uMjkvMDMvMjAyNi4uLlVTRC5IAQAAACB6BQADAAAAAADiJll9RI3eCOImWX1Ejd4IPENJUS5OQVNEQVE6Q0FMTS5JUV9BRFZBTkNFU19GT1JfU1VQUExJRVMuLjI5LzAzLzIwMjYuLi5V</t>
  </si>
  <si>
    <t>U0QuSAEAAAAgegUAAwAAAAAA4iZZfUSN3gjiJll9RI3eCDNDSVEuTkFTREFROkNBTE0uSVFfR1dfSU5UQU5fTkVULi4yOS8wMy8yMDI2Li4uVVNELkgBAAAAIHoFAAMAAAAAAOImWX1Ejd4I4iZZfUSN3ggtQ0lRLk5BU0RBUTpDQUxNLklRX0dXX05FVC4uMjkvMDMvMjAyNi4uLlVTRC5IAQAAACB6BQACAAAABjg3LjA1OQEIAAAABQAAAAExAQAAAAstMTkxMDYyNzgzOAMAAAADMTYwAgAAAAU0ODk2MAQAAAABMAcAAAAJMy8yOS8yMDI2CAAAAAoxMS8yOS8yMDI1CQAAAAEw4iZZfUSN3gjiJll9RI3eCDBDSVEuTkFTREFROkNBTE0uSVFfSU5UQU5fTkVULi4yOS8wMy8yMDI2Li4uVVNELkgBAAAAIHoFAAIAAAAGNTUuMDkxAQgAAAAFAAAAATEBAAAACy0xOTEwNjI3ODM4AwAAAAMxNjACAAAABTQ4OTYyBAAAAAEwBwAAAAkzLzI5LzIwMjYIAAAACjExLzI5LzIwMjUJAAAAATDiJll9RI3eCOImWX1Ejd4INkNJUS5OQVNEQVE6Q0FMTS5JUV9JTlRFUkNPTVBBTllfQ0EuLjI5LzAzLzIwMjYuLi5VU0QuSAEAAAAgegUAAwAAAAAA4iZZfUSN3gjiJll9RI3eCDpDSVEuTkFTREFROkNBTE0uSVFfSU5URVJDT01QQU5ZX05PTl9DQS4uMjkvMDMvMjAyNi4uLlVTRC5IAQAAACB6BQADAAAAAADiJll9RI3eCOImWX1Ejd4INkNJUS5OQVNEQVE6Q0FMTS5JUV9JTlRFUkNPTVBBTllfQ0wuLjI5LzAzLzIwMjYuLi5VU0Qu</t>
  </si>
  <si>
    <t>SAEAAAAgegUAAwAAAAAA4iZZfUSN3gjiJll9RI3eCDpDSVEuTkFTREFROkNBTE0uSVFfSU5URVJDT01QQU5ZX05PTl9DTC4uMjkvMDMvMjAyNi4uLlVTRC5IAQAAACB6BQADAAAAAADiJll9RI3eCOImWX1Ejd4IOUNJUS5OQVNEQVE6Q0FMTS5JUV9UT1RBTF9SRVZfRU1QTE9ZRUUuLjI5LzAzLzIwMjYuLi5VU0QuSAEAAAAgegUAAwAAAAAA4iZZfUSN3gjiJll9RI3eCClDSVEuTkFTREFROkNBTE0uSVFfUEVSSU9EREFURS4uMjkvMDMvMjAyNgEAAAAgegUABQAAAAoyOS8xMS8yMDI1AOImWX1Ejd4I4iZZfUSN3ggrQ0lRLk5BU0RBUTpDQUxNLklRX0JBU0lDX1dFSUdIVC4uMjkvMDMvMjAyNgEAAAAgegUAAgAAAAY0OC40MTMA4iZZfUSN3gjiJll9RI3eCCtDSVEuTkFTREFROkNBTE0uSVFfRElMVVRfV0VJR0hULi4yOS8wMy8yMDI2AQAAACB6BQACAAAABjQ4LjU2MgCMOll9RI3eCIw6WX1Ejd4IPkNJUS5OQVNEQVE6Q0FMTS5JUV9ESVNUUklCVVRBQkxFX0NBU0hfU0hBUkVTX0JBU0lDLi4yOS8wMy8yMDI2AQAAACB6BQADAAAAAACMOll9RI3eCIw6WX1Ejd4IQENJUS5OQVNEQVE6Q0FMTS5JUV9ESVNUUklCVVRBQkxFX0NBU0hfU0hBUkVTX0RJTFVURUQuLjI5LzAzLzIwMjYBAAAAIHoFAAMAAAAAAIw6WX1Ejd4IjDpZfUSN3ggvQ0lRLk5BU0RBUTpDQUxNLklRX0RSX1JBVElPX1BSSU1BUlkuLjI5LzAz</t>
  </si>
  <si>
    <t>LzIwMjYBAAAAIHoFAAMAAAAAAIw6WX1Ejd4IjDpZfUSN3ggsQ0lRLk5BU0RBUTpDQUxNLklRX0ZJTElOR0RBVEVfSVMuLjI5LzAzLzIwMjYBAAAAIHoFAAUAAAAKMDcvMDEvMjAyNgCMOll9RI3eCIw6WX1Ejd4ILkNJUS5OQVNEQVE6Q0FMTS5JUV9QRVJJT0RMRU5HVEhfSVMuLjI5LzAzLzIwMjYBAAAAIHoFAAEAAAACMTIAjDpZfUSN3giMOll9RI3eCClDSVEuTkFTREFROkNBTE0uSVFfU0FNRV9TVE9SRS4uMjkvMDMvMjAyNgEAAAAgegUAAwAAAAAAjDpZfUSN3giMOll9RI3eCD1DSVEuTkFTREFROkNBTE0uSVFfQU5OVV9ESVNUUklCVVRJT05fVU5JVC4uMjkvMDMvMjAyNi4uLlVTRC5IAQAAACB6BQADAAAAAABnHLR9RI3eCGcctH1Ejd4IMUNJUS5OQVNEQVE6Q0FMTS5JUV9DT01NT05fRElWLi4yOS8wMy8yMDI2Li4uVVNELkgBAAAAIHoFAAIAAAAHMzg0LjM0NQAhT5Z9RI3eCCFPln1Ejd4IKkNJUS5OQVNEQVE6Q0FMTS5JUV9ESUMuLjI5LzAzLzIwMjYuLi5VU0QuSAEAAAAgegUAAwAAAAAAIU+WfUSN3gghT5Z9RI3eCDJDSVEuTkFTREFROkNBTE0uSVFfQURWRVJUSVNJTkcuLjI5LzAzLzIwMjYuLi5VU0QuSAEAAAAgegUAAwAAAAAAIU+WfUSN3gghT5Z9RI3eCDBDSVEuTkFTREFROkNBTE0uSVFfTUFSS0VUSU5HLi4yOS8wMy8yMDI2Li4uVVNELkgBAAAAIHoFAAMAAAAAACFPln1Ejd4IIU+WfUSN</t>
  </si>
  <si>
    <t>3gg2Q0lRLk5BU0RBUTpDQUxNLklRX1NBTEVTX01BUktFVElORy4uMjkvMDMvMjAyNi4uLlVTRC5IAQAAACB6BQACAAAABzE0Ny4yMjMBCAAAAAUAAAABMQEAAAALLTE5MTA2Mjc4MzgDAAAAAzE2MAIAAAAFMjE1NjEEAAAAATAHAAAACTMvMjkvMjAyNggAAAAKMTEvMjkvMjAyNQkAAAABMCFPln1Ejd4IIU+WfUSN3ggtQ0lRLk5BU0RBUTpDQUxNLklRX0dBX0VYUC4uMjkvMDMvMjAyNi4uLlVTRC5IAQAAACB6BQACAAAABzE1Mi4xMjgBCAAAAAUAAAABMQEAAAALLTE5MTA2Mjc4MzgDAAAAAzE2MAIAAAAFMjE1NjIEAAAAATAHAAAACTMvMjkvMjAyNggAAAAKMTEvMjkvMjAyNQkAAAABMCFPln1Ejd4IIU+WfUSN3ggwQ0lRLk5BU0RBUTpDQUxNLklRX1JEX0VYUF9GTi4uMjkvMDMvMjAyNi4uLlVTRC5IAQAAACB6BQADAAAAAAAhT5Z9RI3eCCFPln1Ejd4IOENJUS5OQVNEQVE6Q0FMTS5JUV9ORVRfUkVOVEFMX0VYUF9GTi4uMjkvMDMvMjAyNi4uLlVTRC5IAQAAACB6BQADAAAAAAAhT5Z9RI3eCCFPln1Ejd4INUNJUS5OQVNEQVE6Q0FMTS5JUV9ORVRfUkVOVEFMX0VYUC4uMjkvMDMvMjAyNi4uLlVTRC5IAQAAACB6BQADAAAAAAAhT5Z9RI3eCCFPln1Ejd4IPENJUS5OQVNEQVE6Q0FMTS5JUV9ORVRfUkVOVEFMX0VYUF9TVVBQTEUuLjI5LzAzLzIwMjYuLi5VU0QuSAEAAAAgegUAAwAAAAAAIU+WfUSN3ggh</t>
  </si>
  <si>
    <t>T5Z9RI3eCDhDSVEuTkFTREFROkNBTE0uSVFfQ09OVElOR0VOVF9SRU5UQUwuLjI5LzAzLzIwMjYuLi5VU0QuSAEAAAAgegUAAwAAAAAAIU+WfUSN3gghT5Z9RI3eCDVDSVEuTkFTREFROkNBTE0uSVFfTUlOSU1VTV9SRU5UQUwuLjI5LzAzLzIwMjYuLi5VU0QuSAEAAAAgegUAAwAAAAAAIU+WfUSN3gghT5Z9RI3eCDNDSVEuTkFTREFROkNBTE0uSVFfT1RIRVJfUkVOVEFMLi4yOS8wMy8yMDI2Li4uVVNELkgBAAAAIHoFAAMAAAAAACFPln1Ejd4IIU+WfUSN3gg0Q0lRLk5BU0RBUTpDQUxNLklRX0FJUkNSQUZUX1JFTlQuLjI5LzAzLzIwMjYuLi5VU0QuSAEAAAAgegUAAwAAAAAAIU+WfUSN3gghT5Z9RI3eCEFDSVEuTkFTREFROkNBTE0uSVFfREVQUkVDSUFUSU9OX1JFTlRBTF9BU1NFVFMuLjI5LzAzLzIwMjYuLi5VU0QuSAEAAAAgegUAAwAAAAAAIU+WfUSN3gghT5Z9RI3eCD5DSVEuTkFTREFROkNBTE0uSVFfRVhQTE9SRV9EUklMTF9FWFBfVE9UQUwuLjI5LzAzLzIwMjYuLi5VU0QuSAEAAAAgegUAAwAAAAAAIU+WfUSN3gghT5Z9RI3eCDNDSVEuTkFTREFROkNBTE0uSVFfTUFJTlRfUkVQQUlSLi4yOS8wMy8yMDI2Li4uVVNELkgBAAAAIHoFAAMAAAAAACFPln1Ejd4IIU+WfUSN3gg/Q0lRLk5BU0RBUTpDQUxNLklRX0lNUFVUX09QRVJfTEVBU0VfSU5UX0VYUC4uMjkvMDMvMjAyNi4uLlVTRC5IAQAA</t>
  </si>
  <si>
    <t>ACB6BQADAAAAAAAhT5Z9RI3eCCFPln1Ejd4IPENJUS5OQVNEQVE6Q0FMTS5JUV9JTVBVVF9PUEVSX0xFQVNFX0RFUFIuLjI5LzAzLzIwMjYuLi5VU0QuSAEAAAAgegUAAwAAAAAAIU+WfUSN3gghT5Z9RI3eCD5DSVEuTkFTREFROkNBTE0uSVFfU0FMQVJJRVNfT1RIRVJfQkVORUZJVFMuLjI5LzAzLzIwMjYuLi5VU0QuSAEAAAAgegUAAwAAAAAAIU+WfUSN3gghT5Z9RI3eCDlDSVEuTkFTREFROkNBTE0uSVFfUkVTVFJVQ1RVUkVfU1VQUExFLi4yOS8wMy8yMDI2Li4uVVNELkgBAAAAIHoFAAMAAAAAACFPln1Ejd4IIU+WfUSN3gg0Q0lRLk5BU0RBUTpDQUxNLklRX01FUkdFUl9TVVBQTEUuLjI5LzAzLzIwMjYuLi5VU0QuSAEAAAAgegUAAwAAAAAAIU+WfUSN3gghT5Z9RI3eCDtDSVEuTkFTREFROkNBTE0uSVFfSU1QQUlSTUVOVF9HV19TVVBQTEUuLjI5LzAzLzIwMjYuLi5VU0QuSAEAAAAgegUAAwAAAAAAIU+WfUSN3gghT5Z9RI3eCD1DSVEuTkFTREFROkNBTE0uSVFfQVNTRVRfV1JJVEVET1dOX1NVUFBMRS4uMjkvMDMvMjAyNi4uLlVTRC5IAQAAACB6BQADAAAAAAAhT5Z9RI3eCCFPln1Ejd4IMkNJUS5OQVNEQVE6Q0FMTS5JUV9JUFJEX1NVUFBMRS4uMjkvMDMvMjAyNi4uLlVTRC5IAQAAACB6BQADAAAAAAAhT5Z9RI3eCCFPln1Ejd4IN0NJUS5OQVNEQVE6Q0FMTS5JUV9HQUlOX0JBUkdBSU5fQUNR</t>
  </si>
  <si>
    <t>Li4yOS8wMy8yMDI2Li4uVVNELkgBAAAAIHoFAAMAAAAAACFPln1Ejd4IIU+WfUSN3gg+Q0lRLk5BU0RBUTpDQUxNLklRX0dBSU5fQkFSR0FJTl9BQ1FfU1VQUExFLi4yOS8wMy8yMDI2Li4uVVNELkgBAAAAIHoFAAMAAAAAACFPln1Ejd4IIU+WfUSN3gg4Q0lRLk5BU0RBUTpDQUxNLklRX0lOU19TRVRUTEVfU1VQUExFLi4yOS8wMy8yMDI2Li4uVVNELkgBAAAAIHoFAAMAAAAAACFPln1Ejd4IIU+WfUSN3gg6Q0lRLk5BU0RBUTpDQUxNLklRX0xFR0FMX1NFVFRMRV9TVVBQTEUuLjI5LzAzLzIwMjYuLi5VU0QuSAEAAAAgegUAAwAAAAAAIU+WfUSN3gghT5Z9RI3eCDtDSVEuTkFTREFROkNBTE0uSVFfT1RIRVJfVU5VU1VBTF9TVVBQTEUuLjI5LzAzLzIwMjYuLi5VU0QuSAEAAAAgegUAAwAAAAAAIU+WfUSN3gghT5Z9RI3eCDtDSVEuTkFTREFROkNBTE0uSVFfVE9UQUxfVU5VU1VBTF9TVVBQTEUuLjI5LzAzLzIwMjYuLi5VU0QuSAEAAAAgegUAAwAAAAAAIU+WfUSN3gghT5Z9RI3eCDhDSVEuTkFTREFROkNBTE0uSVFfTkVHQVRJVkVfR1dfQU1PUlQuLjI5LzAzLzIwMjYuLi5VU0QuSAEAAAAgegUAAwAAAAAAIU+WfUSN3gghT5Z9RI3eCDtDSVEuTkFTREFROkNBTE0uSVFfTkVHQVRJVkVfR1dfQU1PUlRfQVQuLjI5LzAzLzIwMjYuLi5VU0QuSAEAAAAgegUAAwAAAAAAIU+WfUSN3gghT5Z9RI3eCDdDSVEu</t>
  </si>
  <si>
    <t>TkFTREFROkNBTE0uSVFfU1RPQ0tfQkFTRURfQ09HUy4uMjkvMDMvMjAyNi4uLlVTRC5IAQAAACB6BQADAAAAAAC4dZZ9RI3eCLh1ln1Ejd4INUNJUS5OQVNEQVE6Q0FMTS5JUV9TVE9DS19CQVNFRF9SRC4uMjkvMDMvMjAyNi4uLlVTRC5IAQAAACB6BQADAAAAAAC4dZZ9RI3eCLh1ln1Ejd4INUNJUS5OQVNEQVE6Q0FMTS5JUV9TVE9DS19CQVNFRF9TTS4uMjkvMDMvMjAyNi4uLlVTRC5IAQAAACB6BQADAAAAAAC4dZZ9RI3eCLh1ln1Ejd4INUNJUS5OQVNEQVE6Q0FMTS5JUV9TVE9DS19CQVNFRF9HQS4uMjkvMDMvMjAyNi4uLlVTRC5IAQAAACB6BQADAAAAAAC4dZZ9RI3eCLh1ln1Ejd4INkNJUS5OQVNEQVE6Q0FMTS5JUV9TVE9DS19CQVNFRF9TR0EuLjI5LzAzLzIwMjYuLi5VU0QuSAEAAAAgegUAAwAAAAAAuHWWfUSN3gi4dZZ9RI3eCEBDSVEuTkFTREFROkNBTE0uSVFfU1RPQ0tfQkFTRURfRVhQTE9SRV9EUklMTC4uMjkvMDMvMjAyNi4uLlVTRC5IAQAAACB6BQADAAAAAAC4dZZ9RI3eCLh1ln1Ejd4IOENJUS5OQVNEQVE6Q0FMTS5JUV9TVE9DS19CQVNFRF9PVEhFUi4uMjkvMDMvMjAyNi4uLlVTRC5IAQAAACB6BQACAAAABTUuMDI3AQgAAAAFAAAAATEBAAAACy0xOTEwNjI3ODM4AwAAAAMxNjACAAAABTIyNjc2BAAAAAEwBwAAAAkzLzI5LzIwMjYIAAAACjExLzI5LzIwMjUJAAAAATC4dZZ9RI3e</t>
  </si>
  <si>
    <t>CLh1ln1Ejd4INUNJUS5OQVNEQVE6Q0FMTS5JUV9TVE9DS19CQVNFRF9BVC4uMjkvMDMvMjAyNi4uLlVTRC5IAQAAACB6BQADAAAAAAC4dZZ9RI3eCLh1ln1Ejd4IOENJUS5OQVNEQVE6Q0FMTS5JUV9TVE9DS19CQVNFRF9UT1RBTC4uMjkvMDMvMjAyNi4uLlVTRC5IAQAAACB6BQACAAAABTUuMDI3AQgAAAAFAAAAATEBAAAACy0xOTEwNjI3ODM4AwAAAAMxNjACAAAABTI0MDM0BAAAAAEwBwAAAAkzLzI5LzIwMjYIAAAACjExLzI5LzIwMjUJAAAAATC4dZZ9RI3eCLh1ln1Ejd4IPkNJUS5OQVNEQVE6Q0FMTS5JUV9SRVNUUl9TVE9DS19DT01QX1BSRVRBWC4uMjkvMDMvMjAyNi4uLlVTRC5IAQAAACB6BQADAAAAAAC4dZZ9RI3eCLh1ln1Ejd4IO0NJUS5OQVNEQVE6Q0FMTS5JUV9SRVNUUl9TVE9DS19DT01QX1RBWC4uMjkvMDMvMjAyNi4uLlVTRC5IAQAAACB6BQADAAAAAAC4dZZ9RI3eCLh1ln1Ejd4IN0NJUS5OQVNEQVE6Q0FMTS5JUV9SRVNUUl9TVE9DS19DT01QLi4yOS8wMy8yMDI2Li4uVVNELkgBAAAAIHoFAAMAAAAAALh1ln1Ejd4IuHWWfUSN3ghAQ0lRLk5BU0RBUTpDQUxNLklRX1NUT0NLX09QVElPTlNfQ09NUF9QUkVUQVguLjI5LzAzLzIwMjYuLi5VU0QuSAEAAAAgegUAAwAAAAAAuHWWfUSN3gi4dZZ9RI3eCD1DSVEuTkFTREFROkNBTE0uSVFfU1RPQ0tfT1BUSU9OU19DT01QX1RBWC4uMjkv</t>
  </si>
  <si>
    <t>MDMvMjAyNi4uLlVTRC5IAQAAACB6BQADAAAAAAC4dZZ9RI3eCLh1ln1Ejd4IOUNJUS5OQVNEQVE6Q0FMTS5JUV9TVE9DS19PUFRJT05TX0NPTVAuLjI5LzAzLzIwMjYuLi5VU0QuSAEAAAAgegUAAwAAAAAAuHWWfUSN3gi4dZZ9RI3eCD5DSVEuTkFTREFROkNBTE0uSVFfU1RPQ0tfQkFTRURfQ09NUF9QUkVUQVguLjI5LzAzLzIwMjYuLi5VU0QuSAEAAAAgegUAAgAAAAU1LjAyNwC4dZZ9RI3eCLh1ln1Ejd4IO0NJUS5OQVNEQVE6Q0FMTS5JUV9TVE9DS19CQVNFRF9DT01QX1RBWC4uMjkvMDMvMjAyNi4uLlVTRC5IAQAAACB6BQADAAAAAAC4dZZ9RI3eCLh1ln1Ejd4IN0NJUS5OQVNEQVE6Q0FMTS5JUV9TVE9DS19CQVNFRF9DT01QLi4yOS8wMy8yMDI2Li4uVVNELkgBAAAAIHoFAAMAAAAAALh1ln1Ejd4IuHWWfUSN3ggsQ0lRLk5BU0RBUTpDQUxNLklRX05JX0NGLi4yOS8wMy8yMDI2Li4uVVNELkgBAAAAIHoFAAIAAAAIMTE1My4xMDcBCAAAAAUAAAABMQEAAAALLTE5MTA2Mjc4MzgDAAAAAzE2MAIAAAAEMjE1MAQAAAABMAcAAAAJMy8yOS8yMDI2CAAAAAoxMS8yOS8yMDI1CQAAAAEwuHWWfUSN3gi4dZZ9RI3eCDJDSVEuTkFTREFROkNBTE0uSVFfREFfU1VQUExfQ0YuLjI5LzAzLzIwMjYuLi5VU0QuSAEAAAAgegUAAgAAAAcxMDUuODE0AQgAAAAFAAAAATEBAAAACy0xOTEwNjI3ODM4AwAAAAMxNjAC</t>
  </si>
  <si>
    <t>AAAABDIxNzEEAAAAATAHAAAACTMvMjkvMjAyNggAAAAKMTEvMjkvMjAyNQkAAAABMLh1ln1Ejd4IuHWWfUSN3gg4Q0lRLk5BU0RBUTpDQUxNLklRX0dXX0lOVEFOX0FNT1JUX0NGLi4yOS8wMy8yMDI2Li4uVVNELkgBAAAAIHoFAAIAAAAFMi4xNTgBCAAAAAUAAAABMQEAAAALLTE5MTA2Mjc4MzgDAAAAAzE2MAIAAAAEMjE4MgQAAAABMAcAAAAJMy8yOS8yMDI2CAAAAAoxMS8yOS8yMDI1CQAAAAEwuHWWfUSN3gi4dZZ9RI3eCDFDSVEuTkFTREFROkNBTE0uSVFfT0lMX0lNUEFJUi4uMjkvMDMvMjAyNi4uLlVTRC5IAQAAACB6BQADAAAAAAC4dZZ9RI3eCLh1ln1Ejd4ILENJUS5OQVNEQVE6Q0FMTS5JUV9EQV9DRi4uMjkvMDMvMjAyNi4uLlVTRC5IAQAAACB6BQACAAAABzEwNy45NzIBCAAAAAUAAAABMQEAAAALLTE5MTA2Mjc4MzgDAAAAAzE2MAIAAAAEMjE2MAQAAAABMAcAAAAJMy8yOS8yMDI2CAAAAAoxMS8yOS8yMDI1CQAAAAEwuHWWfUSN3gi4dZZ9RI3eCDJDSVEuTkFTREFROkNBTE0uSVFfT1RIRVJfQU1PUlQuLjI5LzAzLzIwMjYuLi5VU0QuSAEAAAAgegUAAwAAAAAAuHWWfUSN3gi4dZZ9RI3eCDtDSVEuTkFTREFROkNBTE0uSVFfTUlOT1JJVFlfSU5URVJFU1RfQ0YuLjI5LzAzLzIwMjYuLi5VU0QuSAEAAAAgegUAAwAAAAAAuHWWfUSN3gi4dZZ9RI3eCDVDSVEuTkFTREFROkNBTE0uSVFfR0FJ</t>
  </si>
  <si>
    <t>Tl9BU1NFVFNfQ0YuLjI5LzAzLzIwMjYuLi5VU0QuSAEAAAAgegUAAwAAAAAAuHWWfUSN3gi4dZZ9RI3eCDVDSVEuTkFTREFROkNBTE0uSVFfR0FJTl9JTlZFU1RfQ0YuLjI5LzAzLzIwMjYuLi5VU0QuSAEAAAAgegUAAwAAAAAAuHWWfUSN3gi4dZZ9RI3eCDlDSVEuTkFTREFROkNBTE0uSVFfQVNTRVRfV1JJVEVET1dOX0NGLi4yOS8wMy8yMDI2Li4uVVNELkgBAAAAIHoFAAMAAAAAALh1ln1Ejd4IuHWWfUSN3ggvQ0lRLk5BU0RBUTpDQUxNLklRX0xPQU5TX0NGLi4yOS8wMy8yMDI2Li4uVVNELkgBAAAAIHoFAAMAAAAAALh1ln1Ejd4IuHWWfUSN3gg1Q0lRLk5BU0RBUTpDQUxNLklRX0NSRURJVF9MT1NTX0NGLi4yOS8wMy8yMDI2Li4uVVNELkgBAAAAIHoFAAMAAAAAALh1ln1Ejd4IuHWWfUSN3gg0Q0lRLk5BU0RBUTpDQUxNLklRX0lOQ19FUVVJVFlfQ0YuLjI5LzAzLzIwMjYuLi5VU0QuSAEAAAAgegUAAwAAAAAAuHWWfUSN3gi4dZZ9RI3eCDVDSVEuTkFTREFROkNBTE0uSVFfU1RPQ0tfQkFTRURfQ0YuLjI5LzAzLzIwMjYuLi5VU0QuSAEAAAAgegUAAgAAAAU0LjUyNwEIAAAABQAAAAExAQAAAAstMTkxMDYyNzgzOAMAAAADMTYwAgAAAAQyMTI3BAAAAAEwBwAAAAkzLzI5LzIwMjYIAAAACjExLzI5LzIwMjUJAAAAATC4dZZ9RI3eCLh1ln1Ejd4IOkNJUS5OQVNEQVE6Q0FMTS5JUV9UQVhfQkVORUZJ</t>
  </si>
  <si>
    <t>VF9PUFRJT05TLi4yOS8wMy8yMDI2Li4uVVNELkgBAAAAIHoFAAMAAAAAALh1ln1Ejd4IuHWWfUSN3gg4Q0lRLk5BU0RBUTpDQUxNLklRX1BST1ZfQkFEX0RFQlRTX0NGLi4yOS8wMy8yMDI2Li4uVVNELkgBAAAAIHoFAAMAAAAAALh1ln1Ejd4IuHWWfUSN3ggsQ0lRLk5BU0RBUTpDQUxNLklRX0RPX0NGLi4yOS8wMy8yMDI2Li4uVVNELkgBAAAAIHoFAAMAAAAAALh1ln1Ejd4IuHWWfUSN3gg1Q0lRLk5BU0RBUTpDQUxNLklRX09USEVSX09QRVJfQUNULi4yOS8wMy8yMDI2Li4uVVNELkgBAAAAIHoFAAIAAAAHMTk1LjUyNAEIAAAABQAAAAExAQAAAAstMTkxMDYyNzgzOAMAAAADMTYwAgAAAAQyMDQ3BAAAAAEwBwAAAAkzLzI5LzIwMjYIAAAACjExLzI5LzIwMjUJAAAAATC4dZZ9RI3eCLh1ln1Ejd4IPENJUS5OQVNEQVE6Q0FMTS5JUV9DSEFOR0VfVFJBRElOR19BU1NFVFMuLjI5LzAzLzIwMjYuLi5VU0QuSAEAAAAgegUAAwAAAAAAuHWWfUSN3gi4dZZ9RI3eCDBDSVEuTkFTREFROkNBTE0uSVFfQ0hBTkdFX0FSLi4yOS8wMy8yMDI2Li4uVVNELkgBAAAAIHoFAAIAAAAILTEwNC45OTcBCAAAAAUAAAABMQEAAAALLTE5MTA2Mjc4MzgDAAAAAzE2MAIAAAAEMjAxOAQAAAABMAcAAAAJMy8yOS8yMDI2CAAAAAoxMS8yOS8yMDI1CQAAAAEwuHWWfUSN3gi4dZZ9RI3eCDdDSVEuTkFTREFROkNBTE0uSVFfQ0hB</t>
  </si>
  <si>
    <t>TkdFX0lOVkVOVE9SWS4uMjkvMDMvMjAyNi4uLlVTRC5IAQAAACB6BQACAAAABy0xMi4yMjQBCAAAAAUAAAABMQEAAAALLTE5MTA2Mjc4MzgDAAAAAzE2MAIAAAAEMjA5OQQAAAABMAcAAAAJMy8yOS8yMDI2CAAAAAoxMS8yOS8yMDI1CQAAAAEwyZyWfUSN3gjJnJZ9RI3eCDBDSVEuTkFTREFROkNBTE0uSVFfQ0hBTkdFX0FQLi4yOS8wMy8yMDI2Li4uVVNELkgBAAAAIHoFAAIAAAAGNjUuMzExAQgAAAAFAAAAATEBAAAACy0xOTEwNjI3ODM4AwAAAAMxNjACAAAABDIwMTcEAAAAATAHAAAACTMvMjkvMjAyNggAAAAKMTEvMjkvMjAyNQkAAAABMMmcln1Ejd4IyZyWfUSN3gg4Q0lRLk5BU0RBUTpDQUxNLklRX0NIQU5HRV9VTkVBUk5fUkVWLi4yOS8wMy8yMDI2Li4uVVNELkgBAAAAIHoFAAMAAAAAAMmcln1Ejd4IyZyWfUSN3gg1Q0lRLk5BU0RBUTpDQUxNLklRX0NIQU5HRV9JTkNfVEFYLi4yOS8wMy8yMDI2Li4uVVNELkgBAAAAIHoFAAIAAAAHLTQ1Ljk0NgEIAAAABQAAAAExAQAAAAstMTkxMDYyNzgzOAMAAAADMTYwAgAAAAQyMTAxBAAAAAEwBwAAAAkzLzI5LzIwMjYIAAAACjExLzI5LzIwMjUJAAAAATDJnJZ9RI3eCMmcln1Ejd4INUNJUS5OQVNEQVE6Q0FMTS5JUV9DSEFOR0VfREVGX1RBWC4uMjkvMDMvMjAyNi4uLlVTRC5IAQAAACB6BQADAAAAAADJnJZ9RI3eCMmcln1Ejd4IQ0NJUS5OQVNEQVE6</t>
  </si>
  <si>
    <t>Q0FMTS5JUV9DSEFOR0VfT1RIRVJfTkVUX09QRVJfQVNTRVRTLi4yOS8wMy8yMDI2Li4uVVNELkgBAAAAIHoFAAIAAAAGLTUuMzM0AQgAAAAFAAAAATEBAAAACy0xOTEwNjI3ODM4AwAAAAMxNjACAAAABDIwNDUEAAAAATAHAAAACTMvMjkvMjAyNggAAAAKMTEvMjkvMjAyNQkAAAABMMmcln1Ejd4IyZyWfUSN3ggwQ0lRLk5BU0RBUTpDQUxNLklRX0NBU0hfT1BFUi4uMjkvMDMvMjAyNi4uLlVTRC5IAQAAACB6BQACAAAABzEzNTcuOTQBCAAAAAUAAAABMQEAAAALLTE5MTA2Mjc4MzgDAAAAAzE2MAIAAAAEMjAwNgQAAAABMAcAAAAJMy8yOS8yMDI2CAAAAAoxMS8yOS8yMDI1CQAAAAEwyZyWfUSN3gjJnJZ9RI3eCCxDSVEuTkFTREFROkNBTE0uSVFfQ0FQRVguLjI5LzAzLzIwMjYuLi5VU0QuSAEAAAAgegUAAgAAAAgtMTg3LjgwMQEIAAAABQAAAAExAQAAAAstMTkxMDYyNzgzOAMAAAADMTYwAgAAAAQyMDIxBAAAAAEwBwAAAAkzLzI5LzIwMjYIAAAACjExLzI5LzIwMjUJAAAAATDJnJZ9RI3eCMmcln1Ejd4IMkNJUS5OQVNEQVE6Q0FMTS5JUV9TQUxFX1BQRV9DRi4uMjkvMDMvMjAyNi4uLlVTRC5IAQAAACB6BQACAAAABTAuMDExAQgAAAAFAAAAATEBAAAACy0xOTEwNjI3ODM4AwAAAAMxNjACAAAABDIwNDIEAAAAATAHAAAACTMvMjkvMjAyNggAAAAKMTEvMjkvMjAyNQkAAAABMMmcln1Ejd4IyZyWfUSN</t>
  </si>
  <si>
    <t>3gg2Q0lRLk5BU0RBUTpDQUxNLklRX0NBU0hfQUNRVUlSRV9DRi4uMjkvMDMvMjAyNi4uLlVTRC5IAQAAACB6BQACAAAACC0zMDMuNjgyAQgAAAAFAAAAATEBAAAACy0xOTEwNjI3ODM4AwAAAAMxNjACAAAABDIwNTcEAAAAATAHAAAACTMvMjkvMjAyNggAAAAKMTEvMjkvMjAyNQkAAAABMMmcln1Ejd4IyZyWfUSN3ggwQ0lRLk5BU0RBUTpDQUxNLklRX0RJVkVTVF9DRi4uMjkvMDMvMjAyNi4uLlVTRC5IAQAAACB6BQADAAAAAADJnJZ9RI3eCMmcln1Ejd4IOkNJUS5OQVNEQVE6Q0FMTS5JUV9TQUxFX1JFQUxfRVNUQVRFX0NGLi4yOS8wMy8yMDI2Li4uVVNELkgBAAAAIHoFAAMAAAAAAMmcln1Ejd4IyZyWfUSN3gg0Q0lRLk5BU0RBUTpDQUxNLklRX1NBTEVfSU5UQU5fQ0YuLjI5LzAzLzIwMjYuLi5VU0QuSAEAAAAgegUAAwAAAAAAyZyWfUSN3gjJnJZ9RI3eCDlDSVEuTkFTREFROkNBTE0uSVFfSU5WRVNUX1NFQ1VSSVRZX0NGLi4yOS8wMy8yMDI2Li4uVVNELkgBAAAAIHoFAAIAAAAHLTgyLjU2MQEIAAAABQAAAAExAQAAAAstMTkxMDYyNzgzOAMAAAADMTYwAgAAAAQyMDI3BAAAAAEwBwAAAAkzLzI5LzIwMjYIAAAACjExLzI5LzIwMjUJAAAAATDJnJZ9RI3eCMmcln1Ejd4INkNJUS5OQVNEQVE6Q0FMTS5JUV9JTlZFU1RfTE9BTlNfQ0YuLjI5LzAzLzIwMjYuLi5VU0QuSAEAAAAgegUAAwAAAAAAyZyW</t>
  </si>
  <si>
    <t>fUSN3gjJnJZ9RI3eCD1DSVEuTkFTREFROkNBTE0uSVFfT1RIRVJfSU5WRVNUX0FDVF9TVVBQTC4uMjkvMDMvMjAyNi4uLlVTRC5IAQAAACB6BQADAAAAAADJnJZ9RI3eCMmcln1Ejd4IMkNJUS5OQVNEQVE6Q0FMTS5JUV9DQVNIX0lOVkVTVC4uMjkvMDMvMjAyNi4uLlVTRC5IAQAAACB6BQACAAAACC01NzQuMDMzAQgAAAAFAAAAATEBAAAACy0xOTEwNjI3ODM4AwAAAAMxNjACAAAABDIwMDUEAAAAATAHAAAACTMvMjkvMjAyNggAAAAKMTEvMjkvMjAyNQkAAAABMMmcln1Ejd4IyZyWfUSN3gg1Q0lRLk5BU0RBUTpDQUxNLklRX1NUX0RFQlRfSVNTVUVELi4yOS8wMy8yMDI2Li4uVVNELkgBAAAAIHoFAAMAAAAAAMmcln1Ejd4IyZyWfUSN3gg1Q0lRLk5BU0RBUTpDQUxNLklRX0xUX0RFQlRfSVNTVUVELi4yOS8wMy8yMDI2Li4uVVNELkgBAAAAIHoFAAMAAAAAAMmcln1Ejd4IyZyWfUSN3gg4Q0lRLk5BU0RBUTpDQUxNLklRX1RPVEFMX0RFQlRfSVNTVUVELi4yOS8wMy8yMDI2Li4uVVNELkgBAAAAIHoFAAMAAAAAAMmcln1Ejd4IyZyWfUSN3gg1Q0lRLk5BU0RBUTpDQUxNLklRX1NUX0RFQlRfUkVQQUlELi4yOS8wMy8yMDI2Li4uVVNELkgBAAAAIHoFAAMAAAAAAMmcln1Ejd4IyZyWfUSN3gg1Q0lRLk5BU0RBUTpDQUxNLklRX0xUX0RFQlRfUkVQQUlELi4yOS8wMy8yMDI2Li4uVVNELkgBAAAAIHoFAAMA</t>
  </si>
  <si>
    <t>AAAAAMmcln1Ejd4IyZyWfUSN3gg4Q0lRLk5BU0RBUTpDQUxNLklRX1RPVEFMX0RFQlRfUkVQQUlELi4yOS8wMy8yMDI2Li4uVVNELkgBAAAAIHoFAAIAAAAGLTAuMDA0AQgAAAAFAAAAATEBAAAACy0xOTEwNjI3ODM4AwAAAAMxNjACAAAABDIxNjYEAAAAATAHAAAACTMvMjkvMjAyNggAAAAKMTEvMjkvMjAyNQkAAAABMMmcln1Ejd4IyZyWfUSN3gg0Q0lRLk5BU0RBUTpDQUxNLklRX0NPTU1PTl9JU1NVRUQuLjI5LzAzLzIwMjYuLi5VU0QuSAEAAAAgegUAAwAAAAAAyZyWfUSN3gjJnJZ9RI3eCDFDSVEuTkFTREFROkNBTE0uSVFfQ09NTU9OX1JFUC4uMjkvMDMvMjAyNi4uLlVTRC5IAQAAACB6BQACAAAACC0xMjguNzUzAQgAAAAFAAAAATEBAAAACy0xOTEwNjI3ODM4AwAAAAMxNjACAAAABDIxNjQEAAAAATAHAAAACTMvMjkvMjAyNggAAAAKMTEvMjkvMjAyNQkAAAABMMmcln1Ejd4IyZyWfUSN3ggyQ0lRLk5BU0RBUTpDQUxNLklRX1BSRUZfSVNTVUVELi4yOS8wMy8yMDI2Li4uVVNELkgBAAAAIHoFAAMAAAAAAMmcln1Ejd4IyZyWfUSN3ggvQ0lRLk5BU0RBUTpDQUxNLklRX1BSRUZfUkVQLi4yOS8wMy8yMDI2Li4uVVNELkgBAAAAIHoFAAMAAAAAAMmcln1Ejd4IyZyWfUSN3gg0Q0lRLk5BU0RBUTpDQUxNLklRX0NPTU1PTl9ESVZfQ0YuLjI5LzAzLzIwMjYuLi5VU0QuSAEAAAAgegUAAgAAAAgtNDIz</t>
  </si>
  <si>
    <t>LjA1NgEIAAAABQAAAAExAQAAAAstMTkxMDYyNzgzOAMAAAADMTYwAgAAAAQyMDc0BAAAAAEwBwAAAAkzLzI5LzIwMjYIAAAACjExLzI5LzIwMjUJAAAAATDJnJZ9RI3eCMmcln1Ejd4IMkNJUS5OQVNEQVE6Q0FMTS5JUV9QUkVGX0RJVl9DRi4uMjkvMDMvMjAyNi4uLlVTRC5IAQAAACB6BQADAAAAAADJnJZ9RI3eCMmcln1Ejd4IOUNJUS5OQVNEQVE6Q0FMTS5JUV9DT01NT05fUFJFRl9ESVZfQ0YuLjI5LzAzLzIwMjYuLi5VU0QuSAEAAAAgegUAAwAAAAAAyZyWfUSN3gjJnJZ9RI3eCDhDSVEuTkFTREFROkNBTE0uSVFfVE9UQUxfRElWX1BBSURfQ0YuLjI5LzAzLzIwMjYuLi5VU0QuSAEAAAAgegUAAgAAAAgtNDIzLjA1NgEIAAAABQAAAAExAQAAAAstMTkxMDYyNzgzOAMAAAADMTYwAgAAAAQyMDIyBAAAAAEwBwAAAAkzLzI5LzIwMjYIAAAACjExLzI5LzIwMjUJAAAAATDJnJZ9RI3eCMmcln1Ejd4INUNJUS5OQVNEQVE6Q0FMTS5JUV9TUEVDSUFMX0RJVl9DRi4uMjkvMDMvMjAyNi4uLlVTRC5IAQAAACB6BQADAAAAAADJnJZ9RI3eCMmcln1Ejd4IPkNJUS5OQVNEQVE6Q0FMTS5JUV9PVEhFUl9GSU5BTkNFX0FDVF9TVVBQTC4uMjkvMDMvMjAyNi4uLlVTRC5IAQAAACB6BQADAAAAAADJnJZ9RI3eCMmcln1Ejd4IMUNJUS5OQVNEQVE6Q0FMTS5JUV9DQVNIX0ZJTkFOLi4yOS8wMy8yMDI2Li4uVVNELkgB</t>
  </si>
  <si>
    <t>AAAAIHoFAAIAAAAILTU1MS44MTMBCAAAAAUAAAABMQEAAAALLTE5MTA2Mjc4MzgDAAAAAzE2MAIAAAAEMjAwNAQAAAABMAcAAAAJMy8yOS8yMDI2CAAAAAoxMS8yOS8yMDI1CQAAAAEwyZyWfUSN3gjJnJZ9RI3eCClDSVEuTkFTREFROkNBTE0uSVFfRlguLjI5LzAzLzIwMjYuLi5VU0QuSAEAAAAgegUAAwAAAAAAyZyWfUSN3gjJnJZ9RI3eCDVDSVEuTkFTREFROkNBTE0uSVFfTUlTQ19BREpVU1RfQ0YuLjI5LzAzLzIwMjYuLi5VU0QuSAEAAAAgegUAAwAAAAAAyZyWfUSN3gjJnJZ9RI3eCDFDSVEuTkFTREFROkNBTE0uSVFfTkVUX0NIQU5HRS4uMjkvMDMvMjAyNi4uLlVTRC5IAQAAACB6BQACAAAABzIzMi4wOTQBCAAAAAUAAAABMQEAAAALLTE5MTA2Mjc4MzgDAAAAAzE2MAIAAAAEMjA5MwQAAAABMAcAAAAJMy8yOS8yMDI2CAAAAAoxMS8yOS8yMDI1CQAAAAEwyZyWfUSN3gjJnJZ9RI3eCDpDSVEuTkFTREFROkNBTE0uSVFfREFfU1VQUExfUEFSVElBTF9DRi4uMjkvMDMvMjAyNi4uLlVTRC5IAQAAACB6BQADAAAAAADww5Z9RI3eCPDDln1Ejd4IQENJUS5OQVNEQVE6Q0FMTS5JUV9HV19JTlRBTl9BTU9SVF9QQVJUSUFMX0NGLi4yOS8wMy8yMDI2Li4uVVNELkgBAAAAIHoFAAMAAAAAAPDDln1Ejd4I8MOWfUSN3ggqQ0lRLk5BU0RBUTpDQUxNLklRX1JFVi4uMjkvMDMvMjAyNi4uLlVTRC5IAQAAACB6</t>
  </si>
  <si>
    <t>BQACAAAACDQyMTMuNDQzAQgAAAAFAAAAATEBAAAACy0xOTEwNjI3ODM4AwAAAAMxNjACAAAAAzExMgQAAAABMAcAAAAJMy8yOS8yMDI2CAAAAAoxMS8yOS8yMDI1CQAAAAEwR6ezfUSN3ghHp7N9RI3eCDJDSVEuTkFTREFROkNBTE0uSVFfRklOX0RJVl9SRVYuLjI5LzAzLzIwMjYuLi5VU0QuSAEAAAAgegUAAwAAAAAAR6ezfUSN3ghHp7N9RI3eCDJDSVEuTkFTREFROkNBTE0uSVFfSU5TX0RJVl9SRVYuLjI5LzAzLzIwMjYuLi5VU0QuSAEAAAAgegUAAwAAAAAAR6ezfUSN3ghHp7N9RI3eCDZDSVEuTkFTREFROkNBTE0uSVFfR0FJTl9BU1NFVFNfUkVWLi4yOS8wMy8yMDI2Li4uVVNELkgBAAAAIHoFAAMAAAAAAEens31Ejd4IR6ezfUSN3gg2Q0lRLk5BU0RBUTpDQUxNLklRX0dBSU5fSU5WRVNUX1JFVi4uMjkvMDMvMjAyNi4uLlVTRC5IAQAAACB6BQADAAAAAABHp7N9RI3eCEens31Ejd4IMkNJUS5OQVNEQVE6Q0FMTS5JUV9JTlRfSU5WX0lOQy4uMjkvMDMvMjAyNi4uLlVTRC5IAQAAACB6BQADAAAAAABHp7N9RI3eCEens31Ejd4INkNJUS5OQVNEQVE6Q0FMTS5JUV9PVEhFUl9SRVZfU1VQUEwuLjI5LzAzLzIwMjYuLi5VU0QuSAEAAAAgegUAAwAAAAAAR6ezfUSN3ghHp7N9RI3eCDBDSVEuTkFTREFROkNBTE0uSVFfVE9UQUxfUkVWLi4yOS8wMy8yMDI2Li4uVVNELkgBAAAAIHoFAAIAAAAINDIxMy40</t>
  </si>
  <si>
    <t>NDMBCAAAAAUAAAABMQEAAAALLTE5MTA2Mjc4MzgDAAAAAzE2MAIAAAACMjgEAAAAATAHAAAACTMvMjkvMjAyNggAAAAKMTEvMjkvMjAyNQkAAAABMEens31Ejd4IR6ezfUSN3ggrQ0lRLk5BU0RBUTpDQUxNLklRX0NPR1MuLjI5LzAzLzIwMjYuLi5VU0QuSAEAAAAgegUAAgAAAAgyNDQ3LjExOAEIAAAABQAAAAExAQAAAAstMTkxMDYyNzgzOAMAAAADMTYwAgAAAAIzNAQAAAABMAcAAAAJMy8yOS8yMDI2CAAAAAoxMS8yOS8yMDI1CQAAAAEwR6ezfUSN3ghHp7N9RI3eCDJDSVEuTkFTREFROkNBTE0uSVFfRklOX0RJVl9FWFAuLjI5LzAzLzIwMjYuLi5VU0QuSAEAAAAgegUAAwAAAAAAR6ezfUSN3ghHp7N9RI3eCDJDSVEuTkFTREFROkNBTE0uSVFfSU5TX0RJVl9FWFAuLjI5LzAzLzIwMjYuLi5VU0QuSAEAAAAgegUAAwAAAAAAR6ezfUSN3ghHp7N9RI3eCDZDSVEuTkFTREFROkNBTE0uSVFfRklOX0RJVl9JTlRfRVhQLi4yOS8wMy8yMDI2Li4uVVNELkgBAAAAIHoFAAMAAAAAAEens31Ejd4IR6ezfUSN3ggpQ0lRLk5BU0RBUTpDQUxNLklRX0dQLi4yOS8wMy8yMDI2Li4uVVNELkgBAAAAIHoFAAIAAAAIMTc2Ni4zMjUBCAAAAAUAAAABMQEAAAALLTE5MTA2Mjc4MzgDAAAAAzE2MAIAAAACMTAEAAAAATAHAAAACTMvMjkvMjAyNggAAAAKMTEvMjkvMjAyNQkAAAABMEens31Ejd4IR6ezfUSN3ggwQ0lRLk5B</t>
  </si>
  <si>
    <t>U0RBUTpDQUxNLklRX1NHQV9TVVBQTC4uMjkvMDMvMjAyNi4uLlVTRC5IAQAAACB6BQACAAAABzMxMC4xOTEBCAAAAAUAAAABMQEAAAALLTE5MTA2Mjc4MzgDAAAAAzE2MAIAAAADMTAyBAAAAAEwBwAAAAkzLzI5LzIwMjYIAAAACjExLzI5LzIwMjUJAAAAATBHp7N9RI3eCEens31Ejd4INENJUS5OQVNEQVE6Q0FMTS5JUV9FWFBMT1JFX0RSSUxMLi4yOS8wMy8yMDI2Li4uVVNELkgBAAAAIHoFAAMAAAAAAEens31Ejd4IR6ezfUSN3gg1Q0lRLk5BU0RBUTpDQUxNLklRX1BST1ZfQkFEX0RFQlRTLi4yOS8wMy8yMDI2Li4uVVNELkgBAAAAIHoFAAMAAAAAAEens31Ejd4IR6ezfUSN3ggyQ0lRLk5BU0RBUTpDQUxNLklRX1NUT0NLX0JBU0VELi4yOS8wMy8yMDI2Li4uVVNELkgBAAAAIHoFAAMAAAAAAEens31Ejd4IR6ezfUSN3gg0Q0lRLk5BU0RBUTpDQUxNLklRX1BSRV9PUEVOX0NPU1QuLjI5LzAzLzIwMjYuLi5VU0QuSAEAAAAgegUAAwAAAAAAR6ezfUSN3ghHp7N9RI3eCC1DSVEuTkFTREFROkNBTE0uSVFfUkRfRVhQLi4yOS8wMy8yMDI2Li4uVVNELkgBAAAAIHoFAAMAAAAAAEens31Ejd4IR6ezfUSN3ggvQ0lRLk5BU0RBUTpDQUxNLklRX0RBX1NVUFBMLi4yOS8wMy8yMDI2Li4uVVNELkgBAAAAIHoFAAMAAAAAAEens31Ejd4IR6ezfUSN3gg1Q0lRLk5BU0RBUTpDQUxNLklRX0dXX0lOVEFOX0FNT1JU</t>
  </si>
  <si>
    <t>Li4yOS8wMy8yMDI2Li4uVVNELkgBAAAAIHoFAAMAAAAAAEens31Ejd4IR6ezfUSN3ggxQ0lRLk5BU0RBUTpDQUxNLklRX0lNUEFJUl9PSUwuLjI5LzAzLzIwMjYuLi5VU0QuSAEAAAAgegUAAwAAAAAAR6ezfUSN3ghHp7N9RI3eCDFDSVEuTkFTREFROkNBTE0uSVFfT1RIRVJfT1BFUi4uMjkvMDMvMjAyNi4uLlVTRC5IAQAAACB6BQADAAAAAAAWzrN9RI3eCBbOs31Ejd4IN0NJUS5OQVNEQVE6Q0FMTS5JUV9UT1RBTF9PVEhFUl9PUEVSLi4yOS8wMy8yMDI2Li4uVVNELkgBAAAAIHoFAAIAAAAHMzEwLjE5MQEIAAAABQAAAAExAQAAAAstMTkxMDYyNzgzOAMAAAADMTYwAgAAAAMzODAEAAAAATAHAAAACTMvMjkvMjAyNggAAAAKMTEvMjkvMjAyNQkAAAABMBbOs31Ejd4IFs6zfUSN3ggvQ0lRLk5BU0RBUTpDQUxNLklRX09QRVJfSU5DLi4yOS8wMy8yMDI2Li4uVVNELkgBAAAAIHoFAAIAAAAIMTQ1Ni4xMzQBCAAAAAUAAAABMQEAAAALLTE5MTA2Mjc4MzgDAAAAAzE2MAIAAAACMjEEAAAAATAHAAAACTMvMjkvMjAyNggAAAAKMTEvMjkvMjAyNQkAAAABMBbOs31Ejd4IFs6zfUSN3ggzQ0lRLk5BU0RBUTpDQUxNLklRX0lOVEVSRVNUX0VYUC4uMjkvMDMvMjAyNi4uLlVTRC5IAQAAACB6BQACAAAABi0wLjY1MwEIAAAABQAAAAExAQAAAAstMTkxMDYyNzgzOAMAAAADMTYwAgAAAAI4MgQAAAABMAcAAAAJMy8y</t>
  </si>
  <si>
    <t>OS8yMDI2CAAAAAoxMS8yOS8yMDI1CQAAAAEwFs6zfUSN3ggWzrN9RI3eCDpDSVEuTkFTREFROkNBTE0uSVFfSU5URVJFU1RfSU5WRVNUX0lOQy4uMjkvMDMvMjAyNi4uLlVTRC5IAQAAACB6BQACAAAABTY1LjQ3AQgAAAAFAAAAATEBAAAACy0xOTEwNjI3ODM4AwAAAAMxNjACAAAAAjY1BAAAAAEwBwAAAAkzLzI5LzIwMjYIAAAACjExLzI5LzIwMjUJAAAAATAWzrN9RI3eCBbOs31Ejd4IN0NJUS5OQVNEQVE6Q0FMTS5JUV9ORVRfSU5URVJFU1RfRVhQLi4yOS8wMy8yMDI2Li4uVVNELkgBAAAAIHoFAAIAAAAGNjQuODE3AQgAAAAFAAAAATEBAAAACy0xOTEwNjI3ODM4AwAAAAMxNjACAAAAAzM2OAQAAAABMAcAAAAJMy8yOS8yMDI2CAAAAAoxMS8yOS8yMDI1CQAAAAEwFs6zfUSN3ggWzrN9RI3eCDFDSVEuTkFTREFROkNBTE0uSVFfSU5DX0VRVUlUWS4uMjkvMDMvMjAyNi4uLlVTRC5IAQAAACB6BQACAAAABTYuMjIxAQgAAAAFAAAAATEBAAAACy0xOTEwNjI3ODM4AwAAAAMxNjACAAAAAjQ3BAAAAAEwBwAAAAkzLzI5LzIwMjYIAAAACjExLzI5LzIwMjUJAAAAATAWzrN9RI3eCBbOs31Ejd4INENJUS5OQVNEQVE6Q0FMTS5JUV9DVVJSRU5DWV9HQUlOLi4yOS8wMy8yMDI2Li4uVVNELkgBAAAAIHoFAAMAAAAAABbOs31Ejd4IFs6zfUSN3gg/Q0lRLk5BU0RBUTpDQUxNLklRX09USEVSX05PTl9PUEVSX0VY</t>
  </si>
  <si>
    <t>UF9TVVBQTC4uMjkvMDMvMjAyNi4uLlVTRC5IAQAAACB6BQACAAAABTcuMzcyAQgAAAAFAAAAATEBAAAACy0xOTEwNjI3ODM4AwAAAAMxNjACAAAAAjg1BAAAAAEwBwAAAAkzLzI5LzIwMjYIAAAACjExLzI5LzIwMjUJAAAAATAWzrN9RI3eCBbOs31Ejd4IL0NJUS5OQVNEQVE6Q0FMTS5JUV9FQlRfRVhDTC4uMjkvMDMvMjAyNi4uLlVTRC5IAQAAACB6BQACAAAACDE1MzQuNTQ0AQgAAAAFAAAAATEBAAAACy0xOTEwNjI3ODM4AwAAAAMxNjACAAAAATQEAAAAATAHAAAACTMvMjkvMjAyNggAAAAKMTEvMjkvMjAyNQkAAAABMBbOs31Ejd4IFs6zfUSN3ggyQ0lRLk5BU0RBUTpDQUxNLklRX1JFU1RSVUNUVVJFLi4yOS8wMy8yMDI2Li4uVVNELkgBAAAAIHoFAAMAAAAAABbOs31Ejd4IFs6zfUSN3ggtQ0lRLk5BU0RBUTpDQUxNLklRX01FUkdFUi4uMjkvMDMvMjAyNi4uLlVTRC5IAQAAACB6BQACAAAABi0wLjU5NAEIAAAABQAAAAExAQAAAAstMTkxMDYyNzgzOAMAAAADMTYwAgAAAAI4MAQAAAABMAcAAAAJMy8yOS8yMDI2CAAAAAoxMS8yOS8yMDI1CQAAAAEwFs6zfUSN3ggWzrN9RI3eCDRDSVEuTkFTREFROkNBTE0uSVFfSU1QQUlSTUVOVF9HVy4uMjkvMDMvMjAyNi4uLlVTRC5IAQAAACB6BQADAAAAAAAWzrN9RI3eCBbOs31Ejd4IMkNJUS5OQVNEQVE6Q0FMTS5JUV9HQUlOX0lOVkVTVC4uMjkvMDMvMjAy</t>
  </si>
  <si>
    <t>Ni4uLlVTRC5IAQAAACB6BQACAAAABTAuMDc2AQgAAAAFAAAAATEBAAAACy0xOTEwNjI3ODM4AwAAAAMxNjACAAAAAjYyBAAAAAEwBwAAAAkzLzI5LzIwMjYIAAAACjExLzI5LzIwMjUJAAAAATAWzrN9RI3eCBbOs31Ejd4IMkNJUS5OQVNEQVE6Q0FMTS5JUV9HQUlOX0FTU0VUUy4uMjkvMDMvMjAyNi4uLlVTRC5IAQAAACB6BQACAAAABi0xLjk1NAEIAAAABQAAAAExAQAAAAstMTkxMDYyNzgzOAMAAAADMTYwAgAAAAI1NgQAAAABMAcAAAAJMy8yOS8yMDI2CAAAAAoxMS8yOS8yMDI1CQAAAAEwFs6zfUSN3ggWzrN9RI3eCDZDSVEuTkFTREFROkNBTE0uSVFfQVNTRVRfV1JJVEVET1dOLi4yOS8wMy8yMDI2Li4uVVNELkgBAAAAIHoFAAMAAAAAABbOs31Ejd4IFs6zfUSN3ggrQ0lRLk5BU0RBUTpDQUxNLklRX0lQUkQuLjI5LzAzLzIwMjYuLi5VU0QuSAEAAAAgegUAAwAAAAAAFs6zfUSN3ggWzrN9RI3eCDFDSVEuTkFTREFROkNBTE0uSVFfSU5TX1NFVFRMRS4uMjkvMDMvMjAyNi4uLlVTRC5IAQAAACB6BQADAAAAAAAWzrN9RI3eCBbOs31Ejd4IM0NJUS5OQVNEQVE6Q0FMTS5JUV9MRUdBTF9TRVRUTEUuLjI5LzAzLzIwMjYuLi5VU0QuSAEAAAAgegUAAwAAAAAAFs6zfUSN3ggWzrN9RI3eCDpDSVEuTkFTREFROkNBTE0uSVFfT1RIRVJfVU5VU1VBTF9TVVBQTC4uMjkvMDMvMjAyNi4uLlVTRC5IAQAAACB6</t>
  </si>
  <si>
    <t>BQACAAAABS0xNi41AQgAAAAFAAAAATEBAAAACy0xOTEwNjI3ODM4AwAAAAMxNjACAAAAAjg3BAAAAAEwBwAAAAkzLzI5LzIwMjYIAAAACjExLzI5LzIwMjUJAAAAATAWzrN9RI3eCBbOs31Ejd4IKkNJUS5OQVNEQVE6Q0FMTS5JUV9FQlQuLjI5LzAzLzIwMjYuLi5VU0QuSAEAAAAgegUAAgAAAAgxNTE1LjU3MgEIAAAABQAAAAExAQAAAAstMTkxMDYyNzgzOAMAAAADMTYwAgAAAAMxMzkEAAAAATAHAAAACTMvMjkvMjAyNggAAAAKMTEvMjkvMjAyNQkAAAABMBbOs31Ejd4IFs6zfUSN3gguQ0lRLk5BU0RBUTpDQUxNLklRX0lOQ19UQVguLjI5LzAzLzIwMjYuLi5VU0QuSAEAAAAgegUAAgAAAAczNjMuMjU1AQgAAAAFAAAAATEBAAAACy0xOTEwNjI3ODM4AwAAAAMxNjACAAAAAjc1BAAAAAEwBwAAAAkzLzI5LzIwMjYIAAAACjExLzI5LzIwMjUJAAAAATAWzrN9RI3eCBbOs31Ejd4IMUNJUS5OQVNEQVE6Q0FMTS5JUV9FQVJOSU5HX0NPLi4yOS8wMy8yMDI2Li4uVVNELkgBAAAAIHoFAAIAAAAIMTE1Mi4zMTcBCAAAAAUAAAABMQEAAAALLTE5MTA2Mjc4MzgDAAAAAzE2MAIAAAABNwQAAAABMAcAAAAJMy8yOS8yMDI2CAAAAAoxMS8yOS8yMDI1CQAAAAEwFs6zfUSN3ggWzrN9RI3eCClDSVEuTkFTREFROkNBTE0uSVFfRE8uLjI5LzAzLzIwMjYuLi5VU0QuSAEAAAAgegUAAwAAAAAAFs6zfUSN3ggWzrN9RI3e</t>
  </si>
  <si>
    <t>CDZDSVEuTkFTREFROkNBTE0uSVFfRVhUUkFfQUNDX0lURU1TLi4yOS8wMy8yMDI2Li4uVVNELkgBAAAAIHoFAAMAAAAAABbOs31Ejd4IFs6zfUSN3ggxQ0lRLk5BU0RBUTpDQUxNLklRX05JX0NPTVBBTlkuLjI5LzAzLzIwMjYuLi5VU0QuSAEAAAAgegUAAgAAAAgxMTUyLjMxNwEIAAAABQAAAAExAQAAAAstMTkxMDYyNzgzOAMAAAADMTYwAgAAAAU0MTU3MQQAAAABMAcAAAAJMy8yOS8yMDI2CAAAAAoxMS8yOS8yMDI1CQAAAAEwFs6zfUSN3ggWzrN9RI3eCDtDSVEuTkFTREFROkNBTE0uSVFfTUlOT1JJVFlfSU5URVJFU1RfSVMuLjI5LzAzLzIwMjYuLi5VU0QuSAEAAAAgegUAAgAAAAQwLjc5AQgAAAAFAAAAATEBAAAACy0xOTEwNjI3ODM4AwAAAAMxNjACAAAAAjgzBAAAAAEwBwAAAAkzLzI5LzIwMjYIAAAACjExLzI5LzIwMjUJAAAAATAWzrN9RI3eCBbOs31Ejd4IKUNJUS5OQVNEQVE6Q0FMTS5JUV9OSS4uMjkvMDMvMjAyNi4uLlVTRC5IAQAAACB6BQACAAAACDExNTMuMTA3AQgAAAAFAAAAATEBAAAACy0xOTEwNjI3ODM4AwAAAAMxNjACAAAAAjE1BAAAAAEwBwAAAAkzLzI5LzIwMjYIAAAACjExLzI5LzIwMjUJAAAAATAWzrN9RI3eCBbOs31Ejd4INUNJUS5OQVNEQVE6Q0FMTS5JUV9QUkVGX0RJVl9PVEhFUi4uMjkvMDMvMjAyNi4uLlVTRC5IAQAAACB6BQADAAAAAAAWzrN9RI3eCBbOs31Ejd4I</t>
  </si>
  <si>
    <t>NENJUS5OQVNEQVE6Q0FMTS5JUV9OSV9BVkFJTF9JTkNMLi4yOS8wMy8yMDI2Li4uVVNELkgBAAAAIHoFAAIAAAAIMTE1My4xMDcBCAAAAAUAAAABMQEAAAALLTE5MTA2Mjc4MzgDAAAAAzE2MAIAAAACMTYEAAAAATAHAAAACTMvMjkvMjAyNggAAAAKMTEvMjkvMjAyNQkAAAABMBbOs31Ejd4IFs6zfUSN3gg0Q0lRLk5BU0RBUTpDQUxNLklRX05JX0FWQUlMX0VYQ0wuLjI5LzAzLzIwMjYuLi5VU0QuSAEAAAAgegUAAgAAAAgxMTUzLjEwNwEIAAAABQAAAAExAQAAAAstMTkxMDYyNzgzOAMAAAADMTYwAgAAAAMzNzkEAAAAATAHAAAACTMvMjkvMjAyNggAAAAKMTEvMjkvMjAyNQkAAAABMBbOs31Ejd4IFs6zfUSN3gg1Q0lRLk5BU0RBUTpDQUxNLklRX0JBU0lDX0VQU19JTkNMLi4yOS8wMy8yMDI2Li4uVVNELkgBAAAAIHoFAAIAAAAJMjMuODE4MTI3AQgAAAAFAAAAATEBAAAACy0xOTEwNjI3ODM4AwAAAAMxNjACAAAAATkEAAAAATAHAAAACTMvMjkvMjAyNggAAAAKMTEvMjkvMjAyNQkAAAABMBbOs31Ejd4IFs6zfUSN3gg1Q0lRLk5BU0RBUTpDQUxNLklRX0JBU0lDX0VQU19FWENMLi4yOS8wMy8yMDI2Li4uVVNELkgBAAAAIHoFAAIAAAAJMjMuODE4MTI3AQgAAAAFAAAAATEBAAAACy0xOTEwNjI3ODM4AwAAAAMxNjACAAAABDMwNjQEAAAAATAHAAAACTMvMjkvMjAyNggAAAAKMTEvMjkvMjAyNQkAAAAB</t>
  </si>
  <si>
    <t>MBbOs31Ejd4IFs6zfUSN3gg1Q0lRLk5BU0RBUTpDQUxNLklRX0RJTFVUX0VQU19JTkNMLi4yOS8wMy8yMDI2Li4uVVNELkgBAAAAIHoFAAIAAAAJMjMuNzQzOTA1AQgAAAAFAAAAATEBAAAACy0xOTEwNjI3ODM4AwAAAAMxNjACAAAAATgEAAAAATAHAAAACTMvMjkvMjAyNggAAAAKMTEvMjkvMjAyNQkAAAABMBbOs31Ejd4IFs6zfUSN3gg1Q0lRLk5BU0RBUTpDQUxNLklRX0RJTFVUX0VQU19FWENMLi4yOS8wMy8yMDI2Li4uVVNELkgBAAAAIHoFAAIAAAAJMjMuNzQzOTA1AQgAAAAFAAAAATEBAAAACy0xOTEwNjI3ODM4AwAAAAMxNjACAAAAAzE0MgQAAAABMAcAAAAJMy8yOS8yMDI2CAAAAAoxMS8yOS8yMDI1CQAAAAEwFs6zfUSN3ggWzrN9RI3eCC9DSVEuTkFTREFROkNBTE0uSVFfRVBTX05PUk0uLjI5LzAzLzIwMjYuLi5VU0QuSAEAAAAgegUAAgAAAAkxOS44MjY5MDUBCAAAAAUAAAABMQEAAAALLTE5MTA2Mjc4MzgDAAAAAzE2MAIAAAAENDM3OQQAAAABMAcAAAAJMy8yOS8yMDI2CAAAAAoxMS8yOS8yMDI1CQAAAAEwKvWzfUSN3ggq9bN9RI3eCDVDSVEuTkFTREFROkNBTE0uSVFfRElMVVRfRVBTX05PUk0uLjI5LzAzLzIwMjYuLi5VU0QuSAEAAAAgegUAAgAAAAkxOS43NjYwNzIBCAAAAAUAAAABMQEAAAALLTE5MTA2Mjc4MzgDAAAAAzE2MAIAAAAENDM4MAQAAAABMAcAAAAJMy8yOS8yMDI2CAAA</t>
  </si>
  <si>
    <t>AAoxMS8yOS8yMDI1CQAAAAEwKvWzfUSN3ggq9bN9RI3eCEtDSVEuTkFTREFROkNBTE0uSVFfRElTVFJJQlVUQUJMRV9DQVNIX1BFUl9TSEFSRV9ESUxVVEVELi4yOS8wMy8yMDI2Li4uVVNELkgBAAAAIHoFAAMAAAAAACr1s31Ejd4IKvWzfUSN3ggwQ0lRLk5BU0RBUTpDQUxNLklRX0RJVl9TSEFSRS4uMjkvMDMvMjAyNi4uLlVTRC5IAQAAACB6BQACAAAABTcuOTQ1AQgAAAAFAAAAATEBAAAACy0xOTEwNjI3ODM4AwAAAAMxNjACAAAABDMwNTgEAAAAATAHAAAACTMvMjkvMjAyNggAAAAKMTEvMjkvMjAyNQkAAAABMCr1s31Ejd4IKvWzfUSN3gg2Q0lRLk5BU0RBUTpDQUxNLklRX1RPVEFMX1JFVl9TSEFSRS4uMjkvMDMvMjAyNi4uLlVTRC5IAQAAACB6BQACAAAACTg3LjAzMTIzMQEIAAAABQAAAAExAQAAAAstMTkxMDYyNzgzOAMAAAADMTYwAgAAAAQ0MzgyBAAAAAEwBwAAAAkzLzI5LzIwMjYIAAAACjExLzI5LzIwMjUJAAAAATAq9bN9RI3eCCr1s31Ejd4IP0NJUS5OQVNEQVE6Q0FMTS5JUV9ESVNUUklCVVRBQkxFX0NBU0hfU0hBUkUuLjI5LzAzLzIwMjYuLi5VU0QuSAEAAAAgegUAAwAAAAAAKvWzfUSN3ggq9bN9RI3eCDhDSVEuTkFTREFROkNBTE0uSVFfU1BFQ0lBTF9ESVZfU0hBUkUuLjI5LzAzLzIwMjYuLi5VU0QuSAEAAAAgegUAAwAAAAAAKvWzfUSN3ggq9bN9RI3eCC1DSVEuTkFTREFROkNB</t>
  </si>
  <si>
    <t>TE0uSVFfRUJJVERBLi4yOS8wMy8yMDI2Li4uVVNELkgBAAAAIHoFAAIAAAAIMTU2NC4xMDYBCAAAAAUAAAABMQEAAAALLTE5MTA2Mjc4MzgDAAAAAzE2MAIAAAAENDA1MQQAAAABMAcAAAAJMy8yOS8yMDI2CAAAAAoxMS8yOS8yMDI1CQAAAAEwKvWzfUSN3ggq9bN9RI3eCDRDSVEuTkFTREFROkNBTE0uSVFfRUJJVERBX0VRX0lOQy4uMjkvMDMvMjAyNi4uLlVTRC5IAQAAACB6BQACAAAACDE1NzAuMzI3AQgAAAAFAAAAATEBAAAACy0xOTEwNjI3ODM4AwAAAAMxNjACAAAABTIxNjc3BAAAAAEwBwAAAAkzLzI5LzIwMjYIAAAACjExLzI5LzIwMjUJAAAAATAq9bN9RI3eCCr1s31Ejd4IPUNJUS5OQVNEQVE6Q0FMTS5JUV9FQklUREFfRVFfSU5DX0VYQ0xfU0JDLi4yOS8wMy8yMDI2Li4uVVNELkgBAAAAIHoFAAIAAAAIMTU3NS4zNTQBCAAAAAUAAAABMQEAAAALLTE5MTA2Mjc4MzgDAAAAAzE2MAIAAAAFMjQxMzEEAAAAATAHAAAACTMvMjkvMjAyNggAAAAKMTEvMjkvMjAyNQkAAAABMCr1s31Ejd4IKvWzfUSN3gg2Q0lRLk5BU0RBUTpDQUxNLklRX0VCSVREQV9FWENMX1NCQy4uMjkvMDMvMjAyNi4uLlVTRC5IAQAAACB6BQACAAAACDE1NjkuMTMzAQgAAAAFAAAAATEBAAAACy0xOTEwNjI3ODM4AwAAAAMxNjACAAAABTI0MTM1BAAAAAEwBwAAAAkzLzI5LzIwMjYIAAAACjExLzI5LzIwMjUJAAAAATAq9bN9</t>
  </si>
  <si>
    <t>RI3eCCr1s31Ejd4IPENJUS5OQVNEQVE6Q0FMTS5JUV9FQklUREFfTEVBU0VfQURKVVNURUQuLjI5LzAzLzIwMjYuLi5VU0QuSAEAAAAgegUAAgAAAAgxNTY0LjEwNgEIAAAABQAAAAExAQAAAAstMTkxMDYyNzgzOAMAAAADMTYwAgAAAAU0ODk5MwQAAAABMAcAAAAJMy8yOS8yMDI2CAAAAAoxMS8yOS8yMDI1CQAAAAEwKvWzfUSN3ggq9bN9RI3eCD5DSVEuTkFTREFROkNBTE0uSVFfTEVBU0VfQURKVVNUTUVOVF9FQklUREEuLjI5LzAzLzIwMjYuLi5VU0QuSAEAAAAgegUAAwAAAAAAKvWzfUSN3ggq9bN9RI3eCEhDSVEuTkFTREFROkNBTE0uSVFfRUJJVERBX0VRX0lOQ19FWENMX09QRVJfTEVBU0VfQURKLi4yOS8wMy8yMDI2Li4uVVNELkgBAAAAIHoFAAIAAAAIMTU3MC4zMjcBCAAAAAUAAAABMQEAAAALLTE5MTA2Mjc4MzgDAAAAAzE2MAIAAAAFNDg5ODcEAAAAATAHAAAACTMvMjkvMjAyNggAAAAKMTEvMjkvMjAyNQkAAAABMCr1s31Ejd4IKvWzfUSN3ggrQ0lRLk5BU0RBUTpDQUxNLklRX0VCSVQuLjI5LzAzLzIwMjYuLi5VU0QuSAEAAAAgegUAAgAAAAgxNDU2LjEzNAEIAAAABQAAAAExAQAAAAstMTkxMDYyNzgzOAMAAAADMTYwAgAAAAM0MDAEAAAAATAHAAAACTMvMjkvMjAyNggAAAAKMTEvMjkvMjAyNQkAAAABMCr1s31Ejd4IKvWzfUSN3ggyQ0lRLk5BU0RBUTpDQUxNLklRX0VCSVRfRVFfSU5D</t>
  </si>
  <si>
    <t>Li4yOS8wMy8yMDI2Li4uVVNELkgBAAAAIHoFAAIAAAAIMTQ2Mi4zNTUBCAAAAAUAAAABMQEAAAALLTE5MTA2Mjc4MzgDAAAAAzE2MAIAAAAFMjE2NzUEAAAAATAHAAAACTMvMjkvMjAyNggAAAAKMTEvMjkvMjAyNQkAAAABMCr1s31Ejd4IKvWzfUSN3gg7Q0lRLk5BU0RBUTpDQUxNLklRX0VCSVRfRVFfSU5DX0VYQ0xfU0JDLi4yOS8wMy8yMDI2Li4uVVNELkgBAAAAIHoFAAIAAAAIMTQ2Ny4zODIBCAAAAAUAAAABMQEAAAALLTE5MTA2Mjc4MzgDAAAAAzE2MAIAAAAFMjQxMzAEAAAAATAHAAAACTMvMjkvMjAyNggAAAAKMTEvMjkvMjAyNQkAAAABMCr1s31Ejd4IKvWzfUSN3gg0Q0lRLk5BU0RBUTpDQUxNLklRX0VCSVRfRVhDTF9TQkMuLjI5LzAzLzIwMjYuLi5VU0QuSAEAAAAgegUAAgAAAAgxNDYxLjE2MQEIAAAABQAAAAExAQAAAAstMTkxMDYyNzgzOAMAAAADMTYwAgAAAAUyNDEzNAQAAAABMAcAAAAJMy8yOS8yMDI2CAAAAAoxMS8yOS8yMDI1CQAAAAEwKvWzfUSN3ggq9bN9RI3eCCxDSVEuTkFTREFROkNBTE0uSVFfRUJJVEEuLjI5LzAzLzIwMjYuLi5VU0QuSAEAAAAgegUAAgAAAAgxNDU4LjI5MgEIAAAABQAAAAExAQAAAAstMTkxMDYyNzgzOAMAAAADMTYwAgAAAAYxMDA2ODkEAAAAATAHAAAACTMvMjkvMjAyNggAAAAKMTEvMjkvMjAyNQkAAAABMCr1s31Ejd4IKvWzfUSN3ggzQ0lRLk5BU0RB</t>
  </si>
  <si>
    <t>UTpDQUxNLklRX0VCSVRBX0VRX0lOQy4uMjkvMDMvMjAyNi4uLlVTRC5IAQAAACB6BQACAAAACDE0NjQuNTEzAQgAAAAFAAAAATEBAAAACy0xOTEwNjI3ODM4AwAAAAMxNjACAAAABTIxNjc2BAAAAAEwBwAAAAkzLzI5LzIwMjYIAAAACjExLzI5LzIwMjUJAAAAATAq9bN9RI3eCCr1s31Ejd4IPENJUS5OQVNEQVE6Q0FMTS5JUV9FQklUQV9FUV9JTkNfRVhDTF9TQkMuLjI5LzAzLzIwMjYuLi5VU0QuSAEAAAAgegUAAgAAAAcxNDY5LjU0AQgAAAAFAAAAATEBAAAACy0xOTEwNjI3ODM4AwAAAAMxNjACAAAABTI0MTMyBAAAAAEwBwAAAAkzLzI5LzIwMjYIAAAACjExLzI5LzIwMjUJAAAAATAq9bN9RI3eCCr1s31Ejd4INUNJUS5OQVNEQVE6Q0FMTS5JUV9FQklUQV9FWENMX1NCQy4uMjkvMDMvMjAyNi4uLlVTRC5IAQAAACB6BQACAAAACDE0NjMuMzE5AQgAAAAFAAAAATEBAAAACy0xOTEwNjI3ODM4AwAAAAMxNjACAAAABTI0MTM2BAAAAAEwBwAAAAkzLzI5LzIwMjYIAAAACjExLzI5LzIwMjUJAAAAATAq9bN9RI3eCCr1s31Ejd4ILkNJUS5OQVNEQVE6Q0FMTS5JUV9FQklUREFSLi4yOS8wMy8yMDI2Li4uVVNELkgBAAAAIHoFAAMAAAAAACr1s31Ejd4IKvWzfUSN3gg1Q0lRLk5BU0RBUTpDQUxNLklRX0VCSVREQVJfRVFfSU5DLi4yOS8wMy8yMDI2Li4uVVNELkgBAAAAIHoFAAMAAAAAACr1s31Ejd4IKvWz</t>
  </si>
  <si>
    <t>fUSN3gg+Q0lRLk5BU0RBUTpDQUxNLklRX0VCSVREQVJfRVFfSU5DX0VYQ0xfU0JDLi4yOS8wMy8yMDI2Li4uVVNELkgBAAAAIHoFAAMAAAAAACr1s31Ejd4IKvWzfUSN3gg3Q0lRLk5BU0RBUTpDQUxNLklRX0VCSVREQVJfRVhDTF9TQkMuLjI5LzAzLzIwMjYuLi5VU0QuSAEAAAAgegUAAwAAAAAAKvWzfUSN3ggq9bN9RI3eCDNDSVEuTkFTREFROkNBTE0uSVFfRUJJVERBX0NBUEVYLi4yOS8wMy8yMDI2Li4uVVNELkgBAAAAIHoFAAIAAAAIMTM3Ni4zMDUBCAAAAAUAAAABMQEAAAALLTE5MTA2Mjc4MzgDAAAAAzE2MAIAAAAFMzUzNzkEAAAAATAHAAAACTMvMjkvMjAyNggAAAAKMTEvMjkvMjAyNQkAAAABMCr1s31Ejd4IKvWzfUSN3gg4Q0lRLk5BU0RBUTpDQUxNLklRX0ZFRVNfT1RIRVJfSU5DT01FLi4yOS8wMy8yMDI2Li4uVVNELkgBAAAAIHoFAAMAAAAAACr1s31Ejd4IKvWzfUSN3gg8Q0lRLk5BU0RBUTpDQUxNLklRX1RPVEFMX1JFVl9BU19SRVBPUlRFRC4uMjkvMDMvMjAyNi4uLlVTRC5IAQAAACB6BQADAAAAAAAq9bN9RI3eCCr1s31Ejd4IOUNJUS5OQVNEQVE6Q0FMTS5JUV9BU19SRVBPUlRFRF9FQklUREEuLjI5LzAzLzIwMjYuLi5VU0QuSAEAAAAgegUAAwAAAAAAKvWzfUSN3ggq9bN9RI3eCElDSVEuTkFTREFROkNBTE0uSVFfUFJPVl9CQURfREVCVFNfUEFUSUVOVF9TRVJWSUNFX1JFVi4u</t>
  </si>
  <si>
    <t>MjkvMDMvMjAyNi4uLlVTRC5IAQAAACB6BQADAAAAAAAq9bN9RI3eCCr1s31Ejd4IQENJUS5OQVNEQVE6Q0FMTS5JUV9FQVJOSU5HX1BBUkVOVF9FWENMX0VYVFJBLi4yOS8wMy8yMDI2Li4uVVNELkgBAAAAIHoFAAIAAAAIMTE1My4xMDcBCAAAAAUAAAABMQEAAAALLTE5MTA2Mjc4MzgDAAAAAzE2MAIAAAAFNDE1OTYEAAAAATAHAAAACTMvMjkvMjAyNggAAAAKMTEvMjkvMjAyNQkAAAABMGcctH1Ejd4IZxy0fUSN3gguQ0lRLk5BU0RBUTpDQUxNLklRX05JX1NGQVMuLjI5LzAzLzIwMjYuLi5VU0QuSAEAAAAgegUAAwAAAAAAZxy0fUSN3ghnHLR9RI3eCDZDSVEuTkFTREFROkNBTE0uSVFfSU5URVJFU1RfSU5DT01FLi4yOS8wMy8yMDI2Li4uVVNELkgBAAAAIHoFAAIAAAAFNjUuNDcBCAAAAAUAAAABMQEAAAALLTE5MTA2Mjc4MzgDAAAAAzE2MAIAAAADMjEwBAAAAAEwBwAAAAkzLzI5LzIwMjYIAAAACjExLzI5LzIwMjUJAAAAATBnHLR9RI3eCGcctH1Ejd4IOENJUS5OQVNEQVE6Q0FMTS5JUV9JTlZFU1RNRU5UX0lOQ09NRS4uMjkvMDMvMjAyNi4uLlVTRC5IAQAAACB6BQADAAAAAABnHLR9RI3eCGcctH1Ejd4IPkNJUS5OQVNEQVE6Q0FMTS5JUV9FWENJU0VfVEFYRVNfRVhDTF9TQUxFUy4uMjkvMDMvMjAyNi4uLlVTRC5IAQAAACB6BQADAAAAAABnHLR9RI3eCGcctH1Ejd4IPkNJUS5OQVNEQVE6Q0FM</t>
  </si>
  <si>
    <t>TS5JUV9FWENJU0VfVEFYRVNfSU5DTF9TQUxFUy4uMjkvMDMvMjAyNi4uLlVTRC5IAQAAACB6BQADAAAAAABnHLR9RI3eCGcctH1Ejd4IOkNJUS5OQVNEQVE6Q0FMTS5JUV9DVVJSX0RPTUVTVElDX1RBWEVTLi4yOS8wMy8yMDI2Li4uVVNELkgBAAAAIHoFAAIAAAAGMzczLjM0AQgAAAAFAAAAATEBAAAACy0xOTEwNjI3ODM4AwAAAAMxNjACAAAABDMwMjcEAAAAATAHAAAACTMvMjkvMjAyNggAAAAKMTEvMjkvMjAyNQkAAAABMGcctH1Ejd4IZxy0fUSN3gg5Q0lRLk5BU0RBUTpDQUxNLklRX0NVUlJfRk9SRUlHTl9UQVhFUy4uMjkvMDMvMjAyNi4uLlVTRC5IAQAAACB6BQADAAAAAABnHLR9RI3eCGcctH1Ejd4IMUNJUS5OQVNEQVE6Q0FMTS5JUV9DVVJSX1RBWEVTLi4yOS8wMy8yMDI2Li4uVVNELkgBAAAAIHoFAAIAAAAGMzczLjM0AQgAAAAFAAAAATEBAAAACy0xOTEwNjI3ODM4AwAAAAMxNjACAAAABTM1MzgzBAAAAAEwBwAAAAkzLzI5LzIwMjYIAAAACjExLzI5LzIwMjUJAAAAATBnHLR9RI3eCGcctH1Ejd4IPkNJUS5OQVNEQVE6Q0FMTS5JUV9ERUZFUlJFRF9ET01FU1RJQ19UQVhFUy4uMjkvMDMvMjAyNi4uLlVTRC5IAQAAACB6BQACAAAABTExLjU3AQgAAAAFAAAAATEBAAAACy0xOTEwNjI3ODM4AwAAAAMxNjACAAAABDMwNTQEAAAAATAHAAAACTMvMjkvMjAyNggAAAAKMTEvMjkvMjAyNQkAAAAB</t>
  </si>
  <si>
    <t>MGcctH1Ejd4IZxy0fUSN3gg9Q0lRLk5BU0RBUTpDQUxNLklRX0RFRkVSUkVEX0ZPUkVJR05fVEFYRVMuLjI5LzAzLzIwMjYuLi5VU0QuSAEAAAAgegUAAwAAAAAAZxy0fUSN3ghnHLR9RI3eCDtDSVEuTkFTREFROkNBTE0uSVFfREVGRVJSRURfVEFYRVNfVE9UQUwuLjI5LzAzLzIwMjYuLi5VU0QuSAEAAAAgegUAAgAAAAUxMS41NwEIAAAABQAAAAExAQAAAAstMTkxMDYyNzgzOAMAAAADMTYwAgAAAAUzNTM4NQQAAAABMAcAAAAJMy8yOS8yMDI2CAAAAAoxMS8yOS8yMDI1CQAAAAEwZxy0fUSN3ghnHLR9RI3eCEBDSVEuTkFTREFROkNBTE0uSVFfTk9OUkVDVVJSSU5HX0lOQ09NRV9UQVhFUy4uMjkvMDMvMjAyNi4uLlVTRC5IAQAAACB6BQADAAAAAABnHLR9RI3eCGcctH1Ejd4ILkNJUS5OQVNEQVE6Q0FMTS5JUV9OSV9OT1JNLi4yOS8wMy8yMDI2Li4uVVNELkgBAAAAIHoFAAIAAAAGOTU5Ljg4AQgAAAAFAAAAATEBAAAACy0xOTEwNjI3ODM4AwAAAAMxNjACAAAABDQzNzgEAAAAATAHAAAACTMvMjkvMjAyNggAAAAKMTEvMjkvMjAyNQkAAAABMGcctH1Ejd4IZxy0fUSN3ggvQ0lRLk5BU0RBUTpDQUxNLklRX0RJTFVUX05JLi4yOS8wMy8yMDI2Li4uVVNELkgBAAAAIHoFAAIAAAAKMTE1My4wNTE1MwEIAAAABQAAAAExAQAAAAstMTkxMDYyNzgzOAMAAAADMTYwAgAAAAQzNTIyBAAAAAEwBwAAAAkzLzI5</t>
  </si>
  <si>
    <t>LzIwMjYIAAAACjExLzI5LzIwMjUJAAAAATBnHLR9RI3eCGcctH1Ejd4IO0NJUS5OQVNEQVE6Q0FMTS5JUV9DQVBJVEFMSVpFRF9JTlRFUkVTVC4uMjkvMDMvMjAyNi4uLlVTRC5IAQAAACB6BQADAAAAAABnHLR9RI3eCGcctH1Ejd4IMkNJUS5OQVNEQVE6Q0FMTS5JUV9JTlRfRVhQX0xURC4uMjkvMDMvMjAyNi4uLlVTRC5IAQAAACB6BQADAAAAAABnHLR9RI3eCGcctH1Ejd4ISENJUS5OQVNEQVE6Q0FMTS5JUV9JTlRFUkVTVF9FWFBfTEVBU0VfTElBQklMSVRZX0RFQlQuLjI5LzAzLzIwMjYuLi5VU0QuSAEAAAAgegUAAwAAAAAAZxy0fUSN3ghnHLR9RI3eCDdDSVEuTkFTREFROkNBTE0uSVFfSU5UX0VYUF9JTkNMX0NBUC4uMjkvMDMvMjAyNi4uLlVTRC5IAQAAACB6BQACAAAABTAuNjUzAQgAAAAFAAAAATEBAAAACy0xOTEwNjI3ODM4AwAAAAMxNjACAAAABTIxODYxBAAAAAEwBwAAAAkzLzI5LzIwMjYIAAAACjExLzI5LzIwMjUJAAAAATBnHLR9RI3eCGcctH1Ejd4IOkNJUS5OQVNEQVE6Q0FMTS5JUV9OT05DQVNIX1BFTlNJT05fRVhQLi4yOS8wMy8yMDI2Li4uVVNELkgBAAAAIHoFAAMAAAAAAGcctH1Ejd4IZxy0fUSN3ggwQ0lRLk5BU0RBUTpDQUxNLklRX0RBX0VCSVREQS4uMjkvMDMvMjAyNi4uLlVTRC5IAQAAACB6BQACAAAABzEwNy45NzIBCAAAAAUAAAABMQEAAAALLTE5MTA2Mjc4MzgDAAAA</t>
  </si>
  <si>
    <t>AzE2MAIAAAAEMjIwNgQAAAABMAcAAAAJMy8yOS8yMDI2CAAAAAoxMS8yOS8yMDI1CQAAAAEwZxy0fUSN3ghnHLR9RI3eCDlDSVEuTkFTREFROkNBTE0uSVFfRElTVFJJQlVUQUJMRV9DQVNILi4yOS8wMy8yMDI2Li4uVVNELkgBAAAAIHoFAAMAAAAAAGcctH1Ejd4IZxy0fUSN3ghGQ0lRLk5BU0RBUTpDQUxNLklRX0RJU1RSSUJVVEFCTEVfQ0FTSF9TVEFOREFSRElaRUQuLjI5LzAzLzIwMjYuLi5VU0QuSAEAAAAgegUAAwAAAAAAZxy0fUSN3ghnHLR9RI3eCA==</t>
  </si>
  <si>
    <t>NASDAQ:MSFT</t>
  </si>
  <si>
    <t>8</t>
  </si>
  <si>
    <t>2</t>
  </si>
  <si>
    <t>BAABTAVMT0NBTAFI/////wFQPhYAADlDSVEuTkFTREFROk1TRlQuSVFfTkVUX1dPUktJTkdfQ0FQLjk5NS4wMi8wOC8yMDI2Li4uVVNELkgBAAAAS1UAAAIAAAAGLTIzNjgyAQgAAAAFAAAAATEBAAAACy0yMDM2ODQzODQzAwAAAAMxNjACAAAABDEzMTEEAAAAATAHAAAACDgvMi8yMDI2CAAAAAk2LzMwLzIwMjEJAAAAATDr2cFvLPDeCEcK0Ycs8N4IN0NJUS5OQVNEQVE6TVNGVC5JUV9FUVVJVFlfTUVUSE9ELjk5Ny4wMi8wOC8yMDI2Li4uVVNELkgBAAAAS1UAAAMAAAAAAOvZwW8s8N4IRwrRhyzw3ggxQ0lRLk5BU0RBUTpNU0ZULklRX1JBV19JTlYuOTkyLjAyLzA4LzIwMjYuLi5VU0QuSAEAAABLVQAAAgAAAAM2NTUBCAAAAAUAAAABMQEAAAAKMjA0NzI3MTc0NQMAAAADMTYwAgAAAAQzMTcxBAAAAAEwBwAAAAg4LzIvMjAyNggAAAAJNi8zMC8yMDE4CQAAAAEw69nBbyzw3ghHCtGHLPDeCDZDSVEuTkFTREFROk1TRlQuSVFfRklOSVNIRURfSU5WLjk5My4wMi8wOC8yMDI2Li4uVVNELkgBAAAAS1UAAAIAAAAEMTYxMQEIAAAABQAAAAExAQAAAAstMjE0MDk4MTQ2OQMAAAADMTYwAgAAAAQzMDc1BAAAAAEwBwAAAAg4LzIvMjAyNggAAAAJNi8zMC8yMDE5CQAAAAEw69nBbyzw3ggYRdGHLPDeCDNDSVEuTkFTREFROk1TRlQuSVFfQlVJTERJTkdTLjk5OS4wMi8wOC8yMDI2Li4uVVNELkgBAAAAS1UAAAIA</t>
  </si>
  <si>
    <t>AAAGMTM3OTIxAQgAAAAFAAAAATEBAAAACy0xODgwMjI5Njg2AwAAAAMxNjACAAAABDMwMjMEAAAAATAHAAAACDgvMi8yMDI2CAAAAAk2LzMwLzIwMjUJAAAAATDr2cFvLPDeCBhF0Ycs8N4IMkNJUS5OQVNEQVE6TVNGVC5JUV9TT0ZUV0FSRS45OTIuMDIvMDgvMjAyNi4uLlVTRC5IAQAAAEtVAAADAAAAAADr2cFvLPDeCEcK0Ycs8N4ILUNJUS5OQVNEQVE6TVNGVC5JUV9DSVAuOTkzLjAyLzA4LzIwMjYuLi5VU0QuSAEAAABLVQAAAwAAAAAA69nBbyzw3ghHCtGHLPDeCEZDSVEuTkFTREFROk1TRlQuSVFfRklOX0RJVl9NSU5PUklUWV9JTlRfUkVERUVNLjEwMDAuMDIvMDgvMjAyNi4uLlVTRC5IAQAAAEtVAAADAAAAAADr2cFvLPDeCEcK0Ycs8N4IQ0NJUS5OQVNEQVE6TVNGVC5JUV9GSU5fRElWX01JTk9SSVRZX0lOVEVSRVNULjk5Mi4wMi8wOC8yMDI2Li4uVVNELkgBAAAAS1UAAAMAAAAAAOvZwW8s8N4IGEXRhyzw3ghFQ0lRLk5BU0RBUTpNU0ZULklRX0dFTkVSQUxfUEFSVE5FUl9QUkVGX0VRVUlUWS45OTkuMDIvMDgvMjAyNi4uLlVTRC5IAQAAAEtVAAADAAAAAADr2cFvLPDeCBhF0Ycs8N4ISUNJUS5OQVNEQVE6TVNGVC5JUV9UT1RBTF9HRU5FUkFMX1BBUlRORVJfSU5URVJFU1QuMTAwMC4wMi8wOC8yMDI2Li4uVVNELkgBAAAAS1UAAAMAAAAAAOvZwW8s8N4IRwrRhyzw3ghQQ0lRLk5BU0RBUTpN</t>
  </si>
  <si>
    <t>U0ZULklRX0xJUVVJREFUSU9OX1ZBTFVFX1BSRUZFUlJFRF9OT05fUkVERUVNLjk5My4wMi8wOC8yMDI2Li4uVVNELkgBAAAAS1UAAAMAAAAAAOvZwW8s8N4IRwrRhyzw3gg4Q0lRLk5BU0RBUTpNU0ZULklRX0FTU0VUU19MRVZFTF8yLjk5OS4wMi8wOC8yMDI2Li4uVVNELkgBAAAAS1UAAAIAAAAFMzA1ODUA69nBbyzw3ggYRdGHLPDeCEtDSVEuTkFTREFROk1TRlQuSVFfQVNTRVRTX05FVFRJTkdfT1RIRVJfQURKVVNUTUVOVFMuMTAwMC4wMi8wOC8yMDI2Li4uVVNELkgBAAAAS1UAAAMAAAAAAOvZwW8s8N4IWWzRhyzw3gg9Q0lRLk5BU0RBUTpNU0ZULklRX0xJQUJJTElUSUVTX0xFVkVMXzIuOTk4LjAyLzA4LzIwMjYuLi5VU0QuSAEAAABLVQAAAgAAAAU0MzA5OQDr2cFvLPDeCFls0Ycs8N4IT0NJUS5OQVNEQVE6TVNGVC5JUV9MSUFCSUxJVElFU19ORVRUSU5HX09USEVSX0FESlVTVE1FTlRTLjk5OS4wMi8wOC8yMDI2Li4uVVNELkgBAAAAS1UAAAMAAAAAAOvZwW8s8N4IGEXRhyzw3ghKQ0lRLk5BU0RBUTpNU0ZULklRX0ZBSVJfVkFMVUVfQ0hBTkdFX0lOQ0xfRUFSTklOR1MuMTAwMC4wMi8wOC8yMDI2Li4uVVNELkgBAAAAS1UAAAMAAAAAAOvZwW8s8N4IGEXRhyzw3gg8Q0lRLk5BU0RBUTpNU0ZULklRX0ZJTl9ESVZfREVCVF9UT1RBTC45OTkuMDIvMDgvMjAyNi4uLlVTRC5IAQAAAEtVAAADAAAA</t>
  </si>
  <si>
    <t>AADr2cFvLPDeCBhF0Ycs8N4IPENJUS5OQVNEQVE6TVNGVC5JUV9ERUJUX0VRVUlWX05FVF9QQk8uOTkyLjAyLzA4LzIwMjYuLi5VU0QuSAEAAABLVQAAAwAAAAAA69nBbyzw3giNk9GHLPDeCD9DSVEuTkFTREFROk1TRlQuSVFfUkVTVFJJQ1RFRF9DQVNIX1RPVEFMLjk5NC4wMi8wOC8yMDI2Li4uVVNELkgBAAAAS1UAAAMAAAAAAOvZwW8s8N4IjZPRhyzw3gg3Q0lRLk5BU0RBUTpNU0ZULklRX09SREVSX0JBQ0tMT0cuOTk1LjAyLzA4LzIwMjYuLi5VU0QuSAEAAABLVQAAAwAAAAAA69nBbyzw3ghZbNGHLPDeCD5DSVEuTkFTREFROk1TRlQuSVFfV0FSUkFOVFlfTElBQklMSVRJRVMuOTk2LjAyLzA4LzIwMjYuLi5VU0QuSAEAAABLVQAAAwAAAAAA69nBbyzw3ghZbNGHLPDeCD1DSVEuTkFTREFROk1TRlQuSVFfTFRfREVCVF9ERVJJVkFUSVZFUy45OTQuMDIvMDgvMjAyNi4uLlVTRC5IAQAAAEtVAAADAAAAAADr2cFvLPDeCFls0Ycs8N4IRUNJUS5OQVNEQVE6TVNGVC5JUV9ERVJJVkFUSVZFX0xJQUJfTk9OX0NVUlJFTlQuOTk1LjAyLzA4LzIwMjYuLi5VU0QuSAEAAABLVQAAAgAAAAI1MwEIAAAABQAAAAExAQAAAAstMjAzNjg0Mzg0MwMAAAADMTYwAgAAAAU0MDQxOQQAAAABMAcAAAAIOC8yLzIwMjYIAAAACTYvMzAvMjAyMQkAAAABMOvZwW8s8N4IjZPRhyzw3gg+Q0lRLk5BU0RBUTpNU0ZULklRX0RF</t>
  </si>
  <si>
    <t>UklWQVRJVkVfQVNTRVRTX0xULjk5My4wMi8wOC8yMDI2Li4uVVNELkgBAAAAS1UAAAIAAAABNAEIAAAABQAAAAExAQAAAAstMjE0MDk4MTQ2OQMAAAADMTYwAgAAAAQxMTEwBAAAAAEwBwAAAAg4LzIvMjAyNggAAAAJNi8zMC8yMDE5CQAAAAEw69nBbyzw3giNk9GHLPDeCEJDSVEuTkFTREFROk1TRlQuSVFfQUNDVU1fQU1PUlRfSU5UQU5fQVNTRVRTLjk5NC4wMi8wOC8yMDI2Li4uVVNELkgBAAAAS1UAAAIAAAAGLTEwNzIxAQgAAAAFAAAAATEBAAAACy0yMDg3NDk2NjI3AwAAAAMxNjACAAAABTI0MzMxBAAAAAEwBwAAAAg4LzIvMjAyNggAAAAJNi8zMC8yMDIwCQAAAAEw69nBbyzw3ghZbNGHLPDeCDhDSVEuTkFTREFROk1TRlQuSVFfQUNDVU1fQU1PUlRfR1cuOTk2LjAyLzA4LzIwMjYuLi5VU0QuSAEAAABLVQAAAwAAAAAA69nBbyzw3ghZbNGHLPDeCDZDSVEuTkFTREFROk1TRlQuSVFfR1dfSU5UQU5fTkVULjk5My4wMi8wOC8yMDI2Li4uVVNELkgBAAAAS1UAAAMAAAAAAOvZwW8s8N4IWWzRhyzw3ggzQ0lRLk5BU0RBUTpNU0ZULklRX0lOVEFOX05FVC45OTUuMDIvMDgvMjAyNi4uLlVTRC5IAQAAAEtVAAACAAAABDc4MDABCAAAAAUAAAABMQEAAAALLTIwMzY4NDM4NDMDAAAAAzE2MAIAAAAFNDg5NjIEAAAAATAHAAAACDgvMi8yMDI2CAAAAAk2LzMwLzIwMjEJAAAAATDr2cFvLPDeCI2T0Ycs8N4I</t>
  </si>
  <si>
    <t>OUNJUS5OQVNEQVE6TVNGVC5JUV9JTlRFUkNPTVBBTllfQ0wuOTkyLjAyLzA4LzIwMjYuLi5VU0QuSAEAAABLVQAAAwAAAAAA69nBbyzw3giNk9GHLPDeCDxDSVEuTkFTREFROk1TRlQuSVFfVE9UQUxfUkVWX0VNUExPWUVFLjk5Mi4wMi8wOC8yMDI2Li4uVVNELkgBAAAAS1UAAAIAAAAHODQyLjQ0MgEIAAAABQAAAAExAQAAAAoyMDQ3MjcxNzQ1AwAAAAMxNjACAAAABDQxMjMEAAAAATAHAAAACDgvMi8yMDI2CAAAAAk2LzMwLzIwMTgJAAAAATDr2cFvLPDeCI2T0Ycs8N4ILkNJUS5OQVNEQVE6TVNGVC5JUV9CQVNJQ19XRUlHSFQuOTk0LjAyLzA4LzIwMjYBAAAAS1UAAAIAAAAENzYxMADr2cFvLPDeCN041Ics8N4IRENJUS5OQVNEQVE6TVNGVC5JUV9ESVNUUklCVVRBQkxFX0NBU0hfU0hBUkVTX0RJTFVURUQuMTAwMC4wMi8wOC8yMDI2AQAAAEtVAAADAAAAAAAXdsJvLPDeCAU63Ics8N4IL0NJUS5OQVNEQVE6TVNGVC5JUV9GSUxJTkdEQVRFX0lTLjk5Ny4wMi8wOC8yMDI2AQAAAEtVAAAFAAAACjMwLzA3LzIwMjUA69nBbyzw3gjYEdSHLPDeCEFDSVEuTkFTREFROk1TRlQuSVFfRElTVFJJQlVUQUJMRV9DQVNIX1NIQVJFU19CQVNJQy45OTYuMDIvMDgvMjAyNgEAAABLVQAAAwAAAAAAF3bCbyzw3giInduHLPDeCDtDSVEuTkFTREFROk1TRlQuSVFfRElTVFJJQlVUQUJMRV9DQVNIX1BBWU9VVC45OTQu</t>
  </si>
  <si>
    <t>MDIvMDgvMjAyNgEAAABLVQAAAwAAAAAA69nBbyzw3gjdONSHLPDeCC9DSVEuTkFTREFROk1TRlQuSVFfUEFZT1VUX1JBVElPLjEwMDAuMDIvMDgvMjAyNgEAAABLVQAAAgAAAAcxOS43NzIxAQgAAAAFAAAAATEBAAAACy0xODgwMjI5NjY1AwAAAAMxNjACAAAABDQzNzcEAAAAATAHAAAACDgvMi8yMDI2CAAAAAk2LzMwLzIwMjYJAAAAATDr2cFvLPDeCN041Ics8N4ILkNJUS5OQVNEQVE6TVNGVC5JUV9DQUxDX1RZUEVfSVMuOTk1LjAyLzA4LzIwMjYBAAAAS1UAAAMAAAADUkVQAOvZwW8s8N4I3TjUhyzw3ggyQ0lRLk5BU0RBUTpNU0ZULklRX1BFUklPRExFTkdUSF9DRi4xMDAwLjAyLzA4LzIwMjYBAAAAS1UAAAEAAAACMTIA69nBbyzw3gjYEdSHLPDeCC5DSVEuTkFTREFROk1TRlQuSVFfQ0FMQ19UWVBFX0NGLjk5Ni4wMi8wOC8yMDI2AQAAAEtVAAADAAAAA1JFUADr2cFvLPDeCNgR1Ics8N4IP0NJUS5OQVNEQVE6TVNGVC5JUV9UT1RBTF9PVVRTVEFORElOR19GSUxJTkdfREFURS45OTkuMDIvMDgvMjAyNgEAAABLVQAAAgAAAAs3NDMzLjE2NjM3OQEEAAAABQAAAAE1AQAAAAstMTg4MDIyOTY4NgIAAAAFMjQxNTMGAAAAATDr2cFvLPDeCN041Ics8N4ILENJUS5OQVNEQVE6TVNGVC5JUV9JTlZfTUVUSE9ELjk5OS4wMi8wOC8yMDI2AQAAAEtVAAADAAAAAk5BAOvZwW8s8N4I3TjUhyzw3ghBQ0lRLk5B</t>
  </si>
  <si>
    <t>U0RBUTpNU0ZULklRX0VNUExPWUVFU19VTkRFUl9VTklPTl9DT05UUkFDVFMuOTk1LjAyLzA4LzIwMjYBAAAAS1UAAAMAAAAAAOvZwW8s8N4I2BHUhyzw3gg0Q0lRLk5BU0RBUTpNU0ZULklRX0FWR19URU1QX0VNUExPWUVFUy45OTYuMDIvMDgvMjAyNgEAAABLVQAAAwAAAAAA69nBbyzw3giy6tOHLPDeCDFDSVEuTkFTREFROk1TRlQuSVFfRklMSU5HX0NVUlJFTkNZLjk5Ny4wMi8wOC8yMDI2AQAAAEtVAAADAAAAA1VTRADr2cFvLPDeCAOq4Ycs8N4ILkNJUS5OQVNEQVE6TVNGVC5JUV9DQUxDX1RZUEVfQlMuOTkyLjAyLzA4LzIwMjYBAAAAS1UAAAMAAAADUlVQAOvZwW8s8N4I2BHUhyzw3ggvQ0lRLk5BU0RBUTpNU0ZULklRX1JFVFVSTl9BU1NFVFMuOTk3LjAyLzA4LzIwMjYBAAAAS1UAAAIAAAAHMTQuMjQ0NQEIAAAABQAAAAExAQAAAAstMTkzNDI1NDI1MAMAAAADMTYwAgAAAAQ0MTc4BAAAAAEwBwAAAAg4LzIvMjAyNggAAAAJNi8zMC8yMDIzCQAAAAEw69nBbyzw3gjYEdSHLPDeCDZDSVEuTkFTREFROk1TRlQuSVFfUkVUVVJOX0NPTU1PTl9FUVVJVFkuOTk0LjAyLzA4LzIwMjYBAAAAS1UAAAIAAAAHNDAuMTM5NwEIAAAABQAAAAExAQAAAAstMjA4NzQ5NjYyNwMAAAADMTYwAgAAAAUzMzMyMAQAAAABMAcAAAAIOC8yLzIwMjYIAAAACTYvMzAvMjAyMAkAAAABMOvZwW8s8N4I2BHUhyzw3ggvQ0lR</t>
  </si>
  <si>
    <t>Lk5BU0RBUTpNU0ZULklRX0VCSVREQV9NQVJHSU4uOTk2LjAyLzA4LzIwMjYBAAAAS1UAAAIAAAAHNDkuNDE4OQEIAAAABQAAAAExAQAAAAstMTk4NTkzMTIyNAMAAAADMTYwAgAAAAQ0MDQ3BAAAAAEwBwAAAAg4LzIvMjAyNggAAAAJNi8zMC8yMDIyCQAAAAEw69nBbyzw3giy6tOHLPDeCC9DSVEuTkFTREFROk1TRlQuSVFfQ0FQRVhfUENUX1JFVi45OTMuMDIvMDgvMjAyNgEAAABLVQAAAgAAAAcxMS4wNjUzAQgAAAAFAAAAATEBAAAACy0yMTQwOTgxNDY5AwAAAAMxNjACAAAABTM1MzgwBAAAAAEwBwAAAAg4LzIvMjAyNggAAAAJNi8zMC8yMDE5CQAAAAEw69nBbyzw3gijw9OHLPDeCDNDSVEuTkFTREFROk1TRlQuSVFfRklYRURfQVNTRVRfVFVSTlMuOTk1LjAyLzA4LzIwMjYBAAAAS1UAAAIAAAAIMi43MTc1MTgBCAAAAAUAAAABMQEAAAALLTIwMzY4NDM4NDMDAAAAAzE2MAIAAAAENDA2NgQAAAABMAcAAAAIOC8yLzIwMjYIAAAACTYvMzAvMjAyMQkAAAABMOvZwW8s8N4I2BHUhyzw3ggxQ0lRLk5BU0RBUTpNU0ZULklRX0lOVkVOVE9SWV9UVVJOUy45OTcuMDIvMDgvMjAyNgEAAABLVQAAAgAAAAkyMS4xMDMxNzIBCAAAAAUAAAABMQEAAAALLTE5MzQyNTQyNTADAAAAAzE2MAIAAAAENDA4MgQAAAABMAcAAAAIOC8yLzIwMjYIAAAACTYvMzAvMjAyMwkAAAABMIuduW8s8N4IsurThyzw3ggyQ0lRLk5B</t>
  </si>
  <si>
    <t>U0RBUTpNU0ZULklRX0NGT19DVVJSRU5UX0xJQUIuOTk0LjAyLzA4LzIwMjYBAAAAS1UAAAIAAAAIMC44MzkwOTUBCAAAAAUAAAABMQEAAAALLTIwODc0OTY2MjcDAAAAAzE2MAIAAAAENDE4NQQAAAABMAcAAAAIOC8yLzIwMjYIAAAACTYvMzAvMjAyMAkAAAABMIuduW8s8N4IsurThyzw3gg0Q0lRLk5BU0RBUTpNU0ZULklRX0RBWVNfSU5WRU5UT1JZX09VVC45OTYuMDIvMDgvMjAyNgEAAABLVQAAAgAAAAkxOC41Nzg4NjUBCAAAAAUAAAABMQEAAAALLTE5ODU5MzEyMjQDAAAAAzE2MAIAAAAENDAzNQQAAAABMAcAAAAIOC8yLzIwMjYIAAAACTYvMzAvMjAyMgkAAAABMIuduW8s8N4Io8PThyzw3ggzQ0lRLk5BU0RBUTpNU0ZULklRX1RPVEFMX0RFQlRfRVFVSVRZLjk5My4wMi8wOC8yMDI2AQAAAEtVAAACAAAABzg0LjQ4NjQBCAAAAAUAAAABMQEAAAALLTIxNDA5ODE0NjkDAAAAAzE2MAIAAAAENDAzNAQAAAABMAcAAAAIOC8yLzIwMjYIAAAACTYvMzAvMjAxOQkAAAABMIuduW8s8N4Io8PThyzw3ggwQ0lRLk5BU0RBUTpNU0ZULklRX0xUX0RFQlRfRVFVSVRZLjk5NS4wMi8wOC8yMDI2AQAAAEtVAAACAAAABzUwLjMyMzIBCAAAAAUAAAABMQEAAAALLTIwMzY4NDM4NDMDAAAAAzE2MAIAAAAENDA4NQQAAAABMAcAAAAIOC8yLzIwMjYIAAAACTYvMzAvMjAyMQkAAAABMIuduW8s8N4IsurThyzw3gg5Q0lR</t>
  </si>
  <si>
    <t>Lk5BU0RBUTpNU0ZULklRX1RPVEFMX0xJQUJfVE9UQUxfQVNTRVRTLjk5Ny4wMi8wOC8yMDI2AQAAAEtVAAACAAAABzQ5Ljk0MjkBCAAAAAUAAAABMQEAAAALLTE5MzQyNTQyNTADAAAAAzE2MAIAAAAENDE4OAQAAAABMAcAAAAIOC8yLzIwMjYIAAAACTYvMzAvMjAyMwkAAAABMIuduW8s8N4IsurThyzw3gg9Q0lRLk5BU0RBUTpNU0ZULklRX0VCSVREQV9FWENMX09QRVJfTEVBU0VTX0lOVC45OTQuMDIvMDgvMjAyNgEAAABLVQAAAgAAAAcyNS4xODY4AQgAAAAFAAAAATEBAAAACy0yMDg3NDk2NjI3AwAAAAMxNjACAAAABTQ5MTczBAAAAAEwBwAAAAg4LzIvMjAyNggAAAAJNi8zMC8yMDIwCQAAAAEwi525byzw3giy6tOHLPDeCENDSVEuTkFTREFROk1TRlQuSVFfRUJJVERBX0VYQ0xfT1BFUl9MRUFTRVNfQ0FQRVhfSU5ULjk5Ni4wMi8wOC8yMDI2AQAAAEtVAAACAAAACDM2LjE5Nzg1AQgAAAAFAAAAATEBAAAACy0xOTg1OTMxMjI0AwAAAAMxNjACAAAABTQ5MTc0BAAAAAEwBwAAAAg4LzIvMjAyNggAAAAJNi8zMC8yMDIyCQAAAAEwa3a5byzw3gitnNOHLPDeCDJDSVEuTkFTREFROk1TRlQuSVFfTkVUX0RFQlRfRUJJVERBLjEwMDAuMDIvMDgvMjAyNgEAAABLVQAAAgAAAAgwLjI1OTI0OAEIAAAABQAAAAExAQAAAAstMTg4MDIyOTY2NQMAAAADMTYwAgAAAAQ0MTkzBAAAAAEwBwAAAAg4LzIvMjAyNggA</t>
  </si>
  <si>
    <t>AAAJNi8zMC8yMDI2CQAAAAEwa3a5byzw3gitnNOHLPDeCDlDSVEuTkFTREFROk1TRlQuSVFfVE9UQUxfREVCVF9FQklUREFfQ0FQRVguOTk1LjAyLzA4LzIwMjYBAAAAS1UAAAIAAAAIMS4zMjAyMjkBCAAAAAUAAAABMQEAAAALLTIwMzY4NDM4NDMDAAAAAzE2MAIAAAAFMjMzMTMEAAAAATAHAAAACDgvMi8yMDI2CAAAAAk2LzMwLzIwMjEJAAAAATBrdrlvLPDeCKPD04cs8N4IN0NJUS5OQVNEQVE6TVNGVC5JUV9ORVRfREVCVF9FQklUREFfQ0FQRVguOTk3LjAyLzA4LzIwMjYBAAAAS1UAAAMAAAACTk0BCAAAAAUAAAABMQEAAAALLTE5MzQyNTQyNTADAAAAAzE2MAIAAAAFMjMzMTQEAAAAATAHAAAACDgvMi8yMDI2CAAAAAk2LzMwLzIwMjMJAAAAATBrdrlvLPDeCKPD04cs8N4IOkNJUS5OQVNEQVE6TVNGVC5JUV9UT1RBTF9SRVZfMVlSX0FOTl9HUk9XVEguOTk4LjAyLzA4LzIwMjYBAAAAS1UAAAIAAAAHMTUuNjY5OQEIAAAABQAAAAExAQAAAAstMTg4MDIyOTY5NAMAAAADMTYwAgAAAAQ0MTk0BAAAAAEwBwAAAAg4LzIvMjAyNggAAAAJNi8zMC8yMDI0CQAAAAEwa3a5byzw3gijw9OHLPDeCDdDSVEuTkFTREFROk1TRlQuSVFfRUJJVERBXzFZUl9BTk5fR1JPV1RILjk5OS4wMi8wOC8yMDI2AQAAAEtVAAACAAAABzIwLjkzMzYBCAAAAAUAAAABMQEAAAALLTE4ODAyMjk2ODYDAAAAAzE2MAIAAAAENDE5</t>
  </si>
  <si>
    <t>NgQAAAABMAcAAAAIOC8yLzIwMjYIAAAACTYvMzAvMjAyNQkAAAABMGt2uW8s8N4IrZzThyzw3gg4Q0lRLk5BU0RBUTpNU0ZULklRX1RPVEFMX1JFVl8zWVJfQU5OX0NBR1IuOTk1LjAyLzA4LzIwMjYBAAAAS1UAAAIAAAAHMTUuMDU1OAEIAAAABQAAAAExAQAAAAstMjAzNjg0Mzg0MwMAAAADMTYwAgAAAAQ0MjIwBAAAAAEwBwAAAAg4LzIvMjAyNggAAAAJNi8zMC8yMDIxCQAAAAEwa3a5byzw3gitnNOHLPDeCDVDSVEuTkFTREFROk1TRlQuSVFfRUJJVERBXzNZUl9BTk5fQ0FHUi45OTYuMDIvMDgvMjAyNgEAAABLVQAAAgAAAAcyMS41NTE4AQgAAAAFAAAAATEBAAAACy0xOTg1OTMxMjI0AwAAAAMxNjACAAAABDQyMjIEAAAAATAHAAAACDgvMi8yMDI2CAAAAAk2LzMwLzIwMjIJAAAAATBrdrlvLPDeCKPD04cs8N4INENJUS5OQVNEQVE6TVNGVC5JUV9FQklUXzNZUl9BTk5fQ0FHUi4xMDAwLjAyLzA4LzIwMjYBAAAAS1UAAAIAAAAHMjAuNTkwNQEIAAAABQAAAAExAQAAAAstMTg4MDIyOTY2NQMAAAADMTYwAgAAAAQ0MjIzBAAAAAEwBwAAAAg4LzIvMjAyNggAAAAJNi8zMC8yMDI2CQAAAAEwa3a5byzw3gijw9OHLPDeCDFDSVEuTkFTREFROk1TRlQuSVFfR1BfNVlSX0FOTl9DQUdSLjk5NS4wMi8wOC8yMDI2AQAAAEtVAAACAAAABzE0LjY5MzgBCAAAAAUAAAABMQEAAAALLTIwMzY4NDM4NDMDAAAAAzE2</t>
  </si>
  <si>
    <t>MAIAAAAENDIzNAQAAAABMAcAAAAIOC8yLzIwMjYIAAAACTYvMzAvMjAyMQkAAAABMGt2uW8s8N4Io8PThyzw3ggzQ0lRLk5BU0RBUTpNU0ZULklRX0VCSVRfNVlSX0FOTl9DQUdSLjk5Ny4wMi8wOC8yMDI2AQAAAEtVAAACAAAABzIwLjM1MjEBCAAAAAUAAAABMQEAAAALLTE5MzQyNTQyNTADAAAAAzE2MAIAAAAENDIzNgQAAAABMAcAAAAIOC8yLzIwMjYIAAAACTYvMzAvMjAyMwkAAAABMGt2uW8s8N4IrZzThyzw3ggyQ0lRLk5BU0RBUTpNU0ZULklRX0VQU181WVJfQU5OX0NBR1IuOTk5LjAyLzA4LzIwMjYBAAAAS1UAAAIAAAAHMTguODE2OQEIAAAABQAAAAExAQAAAAstMTg4MDIyOTY4NgMAAAADMTYwAgAAAAQ0MjM5BAAAAAEwBwAAAAg4LzIvMjAyNggAAAAJNi8zMC8yMDI1CQAAAAEwa3a5byzw3gitnNOHLPDeCD9DSVEuTkFTREFROk1TRlQuSVFfRklOX0RJVl9MVF9ERUJUX1RPVEFMLjk5OS4wMi8wOC8yMDI2Li4uVVNELkgBAAAAS1UAAAMAAAAAAGt2uW8s8N4IjZPRhyzw3gg9Q0lRLk5BU0RBUTpNU0ZULklRX0ZJTl9ESVZfREVCVF9UT1RBTC4xMDAwLjAyLzA4LzIwMjYuLi5VU0QuSAEAAABLVQAAAwAAAAAAa3a5byzw3giNk9GHLPDeCDtDSVEuTkFTREFROk1TRlQuSVFfRklOX0RJVl9TVF9JTlZFU1QuOTk1LjAyLzA4LzIwMjYuLi5VU0QuSAEAAABLVQAAAwAAAAAAa3a5byzw3giNk9GHLPDe</t>
  </si>
  <si>
    <t>CEVDSVEuTkFTREFROk1TRlQuSVFfUkVTVFJJQ1RFRF9DQVNIX05PTl9DVVJSRU5ULjk5Ny4wMi8wOC8yMDI2Li4uVVNELkgBAAAAS1UAAAMAAAAAAGt2uW8s8N4IPQLShyzw3gg9Q0lRLk5BU0RBUTpNU0ZULklRX1RPVEFMX0RFQlRfRVhDTF9GSU4uOTk4LjAyLzA4LzIwMjYuLi5VU0QuSAEAAABLVQAAAgAAAAU5Nzg1MgEIAAAABQAAAAExAQAAAAstMTg4MDIyOTY5NAMAAAADMTYwAgAAAAUyMTg2MAQAAAABMAcAAAAIOC8yLzIwMjYIAAAACTYvMzAvMjAyNAkAAAABMGt2uW8s8N4IPQLShyzw3gg9Q0lRLk5BU0RBUTpNU0ZULklRX1NUX0RFQlRfREVSSVZBVElWRVMuOTk0LjAyLzA4LzIwMjYuLi5VU0QuSAEAAABLVQAAAwAAAAAAa3a5byzw3gheztGHLPDeCD1DSVEuTkFTREFROk1TRlQuSVFfTFRfREVCVF9ERVJJVkFUSVZFUy45OTUuMDIvMDgvMjAyNi4uLlVTRC5IAQAAAEtVAAADAAAAAABrdrlvLPDeCF7O0Ycs8N4IRUNJUS5OQVNEQVE6TVNGVC5JUV9ERVJJVkFUSVZFX0xJQUJfTk9OX0NVUlJFTlQuOTk2LjAyLzA4LzIwMjYuLi5VU0QuSAEAAABLVQAAAgAAAAMxOTUBCAAAAAUAAAABMQEAAAALLTE5ODU5MzEyMjQDAAAAAzE2MAIAAAAFNDA0MTkEAAAAATAHAAAACDgvMi8yMDI2CAAAAAk2LzMwLzIwMjIJAAAAATBrdrlvLPDeCF7O0Ycs8N4IPkNJUS5OQVNEQVE6TVNGVC5JUV9ERVJJVkFUSVZF</t>
  </si>
  <si>
    <t>X0FTU0VUU19MVC45OTQuMDIvMDgvMjAyNi4uLlVTRC5IAQAAAEtVAAACAAAAAjEyAQgAAAAFAAAAATEBAAAACy0yMDg3NDk2NjI3AwAAAAMxNjACAAAABDExMTAEAAAAATAHAAAACDgvMi8yMDI2CAAAAAk2LzMwLzIwMjAJAAAAATBrdrlvLPDeCD0C0ocs8N4IQkNJUS5OQVNEQVE6TVNGVC5JUV9BQ0NVTV9BTU9SVF9JTlRBTl9BU1NFVFMuOTk1LjAyLzA4LzIwMjYuLi5VU0QuSAEAAABLVQAAAgAAAAYtMTIxNzUBCAAAAAUAAAABMQEAAAALLTIwMzY4NDM4NDMDAAAAAzE2MAIAAAAFMjQzMzEEAAAAATAHAAAACDgvMi8yMDI2CAAAAAk2LzMwLzIwMjEJAAAAATBrdrlvLPDeCD0C0ocs8N4IPENJUS5OQVNEQVE6TVNGVC5JUV9MVF9NQVJLX1NFQ1VSSVRJRVMuOTkzLjAyLzA4LzIwMjYuLi5VU0QuSAEAAABLVQAAAwAAAAAAa3a5byzw3gheztGHLPDeCDZDSVEuTkFTREFROk1TRlQuSVFfR1dfSU5UQU5fTkVULjk5NC4wMi8wOC8yMDI2Li4uVVNELkgBAAAAS1UAAAMAAAAAAGt2uW8s8N4IPQLShyzw3ggzQ0lRLk5BU0RBUTpNU0ZULklRX0lOVEFOX05FVC45OTYuMDIvMDgvMjAyNi4uLlVTRC5IAQAAAEtVAAACAAAABTExMjk4AQgAAAAFAAAAATEBAAAACy0xOTg1OTMxMjI0AwAAAAMxNjACAAAABTQ4OTYyBAAAAAEwBwAAAAg4LzIvMjAyNggAAAAJNi8zMC8yMDIyCQAAAAEwa3a5byzw3gg9AtKHLPDeCDlD</t>
  </si>
  <si>
    <t>SVEuTkFTREFROk1TRlQuSVFfSU5URVJDT01QQU5ZX0NMLjk5My4wMi8wOC8yMDI2Li4uVVNELkgBAAAAS1UAAAMAAAAAAGt2uW8s8N4IPQLShyzw3gg8Q0lRLk5BU0RBUTpNU0ZULklRX1RPVEFMX1JFVl9FTVBMT1lFRS45OTMuMDIvMDgvMjAyNi4uLlVTRC5IAQAAAEtVAAACAAAABzg3My45MDkBCAAAAAUAAAABMQEAAAALLTIxNDA5ODE0NjkDAAAAAzE2MAIAAAAENDEyMwQAAAABMAcAAAAIOC8yLzIwMjYIAAAACTYvMzAvMjAxOQkAAAABMGt2uW8s8N4IsDzShyzw3gguQ0lRLk5BU0RBUTpNU0ZULklRX0RJTFVUX1dFSUdIVC45OTIuMDIvMDgvMjAyNgEAAABLVQAAAgAAAAQ3Nzk0AGt2uW8s8N4Il3XThyzw3ghDQ0lRLk5BU0RBUTpNU0ZULklRX0RJU1RSSUJVVEFCTEVfQ0FTSF9TSEFSRVNfRElMVVRFRC45OTIuMDIvMDgvMjAyNgEAAABLVQAAAwAAAAAAa3a5byzw3gg/rt6HLPDeCC9DSVEuTkFTREFROk1TRlQuSVFfRklMSU5HREFURV9JUy45OTguMDIvMDgvMjAyNgEAAABLVQAABQAAAAoyOS8wNy8yMDI2AGt2uW8s8N4Il3XThyzw3ghBQ0lRLk5BU0RBUTpNU0ZULklRX0RJU1RSSUJVVEFCTEVfQ0FTSF9TSEFSRVNfQkFTSUMuOTk3LjAyLzA4LzIwMjYBAAAAS1UAAAMAAAAAABtPwm8s8N4IdM3ahyzw3gg7Q0lRLk5BU0RBUTpNU0ZULklRX0RJU1RSSUJVVEFCTEVfQ0FTSF9QQVlPVVQuOTk1LjAy</t>
  </si>
  <si>
    <t>LzA4LzIwMjYBAAAAS1UAAAMAAAAAAGt2uW8s8N4IfE7Thyzw3ggxQ0lRLk5BU0RBUTpNU0ZULklRX0ZJTElOR19DVVJSRU5DWS45OTQuMDIvMDgvMjAyNgEAAABLVQAAAwAAAANVU0QA+ADCbyzw3ghoSt+HLPDeCC5DSVEuTkFTREFROk1TRlQuSVFfQ0FMQ19UWVBFX0lTLjk5Ni4wMi8wOC8yMDI2AQAAAEtVAAADAAAAA1JFUABrdrlvLPDeCJd104cs8N4IMUNJUS5OQVNEQVE6TVNGVC5JUV9QRVJJT0RMRU5HVEhfQ0YuOTk0LjAyLzA4LzIwMjYBAAAAS1UAAAEAAAACMTIAa3a5byzw3giXddOHLPDeCC5DSVEuTkFTREFROk1TRlQuSVFfQ0FMQ19UWVBFX0NGLjk5Ny4wMi8wOC8yMDI2AQAAAEtVAAADAAAAA1JFUABrdrlvLPDeCHxO04cs8N4IQENJUS5OQVNEQVE6TVNGVC5JUV9UT1RBTF9PVVRTVEFORElOR19GSUxJTkdfREFURS4xMDAwLjAyLzA4LzIwMjYBAAAAS1UAAAIAAAALNzQyNS41NDU0OTEBBAAAAAUAAAABNQEAAAALLTE4ODAyMjk2NjUCAAAABTI0MTUzBgAAAAEwa3a5byzw3gh8TtOHLPDeCCtDSVEuTkFTREFROk1TRlQuSVFfRlVMTF9USU1FLjk5Ny4wMi8wOC8yMDI2AQAAAEtVAAACAAAABjIyMTAwMABrdrlvLPDeCJd104cs8N4IMUNJUS5OQVNEQVE6TVNGVC5JUV9UT1RBTF9FTVBMT1lFRVMuOTk4LjAyLzA4LzIwMjYBAAAAS1UAAAIAAAAGMjI4MDAwAGt2uW8s8N4IfE7Thyzw3ggvQ0lR</t>
  </si>
  <si>
    <t>Lk5BU0RBUTpNU0ZULklRX0FWR19FTVBMT1lFRVMuOTk5LjAyLzA4LzIwMjYBAAAAS1UAAAMAAAAAAGt2uW8s8N4IfE7Thyzw3ggxQ0lRLk5BU0RBUTpNU0ZULklRX0ZJTElOR19DVVJSRU5DWS45OTIuMDIvMDgvMjAyNgEAAABLVQAAAwAAAANVU0QABCjCbyzw3gi05t+HLPDeCC5DSVEuTkFTREFROk1TRlQuSVFfQ0FMQ19UWVBFX0JTLjk5My4wMi8wOC8yMDI2AQAAAEtVAAADAAAAA1JVUABrdrlvLPDeCGMn04cs8N4IMENJUS5OQVNEQVE6TVNGVC5JUV9SRVRVUk5fQ0FQSVRBTC45OTQuMDIvMDgvMjAyNgEAAABLVQAAAgAAAAcxNy4wMDg5AQgAAAAFAAAAATEBAAAACy0yMDg3NDk2NjI3AwAAAAMxNjACAAAABDQzNjMEAAAAATAHAAAACDgvMi8yMDI2CAAAAAk2LzMwLzIwMjAJAAAAATBrdrlvLPDeCHxO04cs8N4INkNJUS5OQVNEQVE6TVNGVC5JUV9SRVRVUk5fQ09NTU9OX0VRVUlUWS45OTUuMDIvMDgvMjAyNgEAAABLVQAAAgAAAAc0Ny4wNzg2AQgAAAAFAAAAATEBAAAACy0yMDM2ODQzODQzAwAAAAMxNjACAAAABTMzMzIwBAAAAAEwBwAAAAg4LzIvMjAyNggAAAAJNi8zMC8yMDIxCQAAAAEwa3a5byzw3gh8TtOHLPDeCC9DSVEuTkFTREFROk1TRlQuSVFfRUJJVERBX01BUkdJTi45OTcuMDIvMDgvMjAyNgEAAABLVQAAAgAAAAc0OC4xNDMzAQgAAAAFAAAAATEBAAAACy0xOTM0MjU0MjUwAwAAAAMx</t>
  </si>
  <si>
    <t>NjACAAAABDQwNDcEAAAAATAHAAAACDgvMi8yMDI2CAAAAAk2LzMwLzIwMjMJAAAAATBrdrlvLPDeCHxO04cs8N4IL0NJUS5OQVNEQVE6TVNGVC5JUV9DQVBFWF9QQ1RfUkVWLjk5NC4wMi8wOC8yMDI2AQAAAEtVAAACAAAABzEwLjc5NjcBCAAAAAUAAAABMQEAAAALLTIwODc0OTY2MjcDAAAAAzE2MAIAAAAFMzUzODAEAAAAATAHAAAACDgvMi8yMDI2CAAAAAk2LzMwLzIwMjAJAAAAATBrdrlvLPDeCGcA04cs8N4IM0NJUS5OQVNEQVE6TVNGVC5JUV9GSVhFRF9BU1NFVF9UVVJOUy45OTYuMDIvMDgvMjAyNgEAAABLVQAAAgAAAAgyLjUwNDIxNQEIAAAABQAAAAExAQAAAAstMTk4NTkzMTIyNAMAAAADMTYwAgAAAAQ0MDY2BAAAAAEwBwAAAAg4LzIvMjAyNggAAAAJNi8zMC8yMDIyCQAAAAEwa3a5byzw3ghnANOHLPDeCC9DSVEuTkFTREFROk1TRlQuSVFfQ1VSUkVOVF9SQVRJTy45OTMuMDIvMDgvMjAyNgEAAABLVQAAAgAAAAgyLjUyODgzOAEIAAAABQAAAAExAQAAAAstMjE0MDk4MTQ2OQMAAAADMTYwAgAAAAQ0MDMwBAAAAAEwBwAAAAg4LzIvMjAyNggAAAAJNi8zMC8yMDE5CQAAAAEwa3a5byzw3ghjJ9OHLPDeCDJDSVEuTkFTREFROk1TRlQuSVFfQ0ZPX0NVUlJFTlRfTElBQi45OTUuMDIvMDgvMjAyNgEAAABLVQAAAgAAAAgwLjg2NTU4MwEIAAAABQAAAAExAQAAAAstMjAzNjg0Mzg0MwMAAAADMTYw</t>
  </si>
  <si>
    <t>AgAAAAQ0MTg1BAAAAAEwBwAAAAg4LzIvMjAyNggAAAAJNi8zMC8yMDIxCQAAAAEwa3a5byzw3ghjJ9OHLPDeCDRDSVEuTkFTREFROk1TRlQuSVFfREFZU19JTlZFTlRPUllfT1VULjk5Ny4wMi8wOC8yMDI2AQAAAEtVAAACAAAACDE3LjI5NTg5AQgAAAAFAAAAATEBAAAACy0xOTM0MjU0MjUwAwAAAAMxNjACAAAABDQwMzUEAAAAATAHAAAACDgvMi8yMDI2CAAAAAk2LzMwLzIwMjMJAAAAATBrdrlvLPDeCGMn04cs8N4IM0NJUS5OQVNEQVE6TVNGVC5JUV9UT1RBTF9ERUJUX0VRVUlUWS45OTQuMDIvMDgvMjAyNgEAAABLVQAAAgAAAAc2OS40MDU5AQgAAAAFAAAAATEBAAAACy0yMDg3NDk2NjI3AwAAAAMxNjACAAAABDQwMzQEAAAAATAHAAAACDgvMi8yMDI2CAAAAAk2LzMwLzIwMjAJAAAAATBrdrlvLPDeCEbZ0ocs8N4IMENJUS5OQVNEQVE6TVNGVC5JUV9MVF9ERUJUX0VRVUlUWS45OTYuMDIvMDgvMjAyNgEAAABLVQAAAgAAAAc0My40NTAzAQgAAAAFAAAAATEBAAAACy0xOTg1OTMxMjI0AwAAAAMxNjACAAAABDQwODUEAAAAATAHAAAACDgvMi8yMDI2CAAAAAk2LzMwLzIwMjIJAAAAATBrdrlvLPDeCEbZ0ocs8N4IKkNJUS5OQVNEQVE6TVNGVC5JUV9FQklUX0lOVC45OTMuMDIvMDgvMjAyNgEAAABLVQAAAgAAAAgxNS45OTM2NwEIAAAABQAAAAExAQAAAAstMjE0MDk4MTQ2OQMAAAADMTYwAgAAAAQ0</t>
  </si>
  <si>
    <t>MTg5BAAAAAEwBwAAAAg4LzIvMjAyNggAAAAJNi8zMC8yMDE5CQAAAAEwa3a5byzw3ghjJ9OHLPDeCD1DSVEuTkFTREFROk1TRlQuSVFfRUJJVERBX0VYQ0xfT1BFUl9MRUFTRVNfSU5ULjk5NS4wMi8wOC8yMDI2AQAAAEtVAAACAAAACTM0LjY4NDk3OAEIAAAABQAAAAExAQAAAAstMjAzNjg0Mzg0MwMAAAADMTYwAgAAAAU0OTE3MwQAAAABMAcAAAAIOC8yLzIwMjYIAAAACTYvMzAvMjAyMQkAAAABMGt2uW8s8N4IZwDThyzw3ghDQ0lRLk5BU0RBUTpNU0ZULklRX0VCSVREQV9FWENMX09QRVJfTEVBU0VTX0NBUEVYX0lOVC45OTcuMDIvMDgvMjAyNgEAAABLVQAAAgAAAAkzNy4wNTA2MjYBCAAAAAUAAAABMQEAAAALLTE5MzQyNTQyNTADAAAAAzE2MAIAAAAFNDkxNzQEAAAAATAHAAAACDgvMi8yMDI2CAAAAAk2LzMwLzIwMjMJAAAAATBrdrlvLPDeCGcA04cs8N4IMUNJUS5OQVNEQVE6TVNGVC5JUV9ORVRfREVCVF9FQklUREEuOTk0LjAyLzA4LzIwMjYBAAAAS1UAAAMAAAACTk0BCAAAAAUAAAABMQEAAAALLTIwODc0OTY2MjcDAAAAAzE2MAIAAAAENDE5MwQAAAABMAcAAAAIOC8yLzIwMjYIAAAACTYvMzAvMjAyMAkAAAABMGt2uW8s8N4INbLShyzw3gg5Q0lRLk5BU0RBUTpNU0ZULklRX1RPVEFMX0RFQlRfRUJJVERBX0NBUEVYLjk5Ni4wMi8wOC8yMDI2AQAAAEtVAAACAAAABzEuMDI0MDYBCAAAAAUA</t>
  </si>
  <si>
    <t>AAABMQEAAAALLTE5ODU5MzEyMjQDAAAAAzE2MAIAAAAFMjMzMTMEAAAAATAHAAAACDgvMi8yMDI2CAAAAAk2LzMwLzIwMjIJAAAAATBrdrlvLPDeCDWy0ocs8N4ISUNJUS5OQVNEQVE6TVNGVC5JUV9ORVRfREVCVF9FQklUREFfRVhDTF9PUEVSX0xFQVNFU19DQVBFWC4xMDAwLjAyLzA4LzIwMjYBAAAAS1UAAAIAAAAIMC42NjYyNzQBCAAAAAUAAAABMQEAAAALLTE4ODAyMjk2NjUDAAAAAzE2MAIAAAAFNDkxODIEAAAAATAHAAAACDgvMi8yMDI2CAAAAAk2LzMwLzIwMjYJAAAAATBrdrlvLPDeCGcA04cs8N4IOkNJUS5OQVNEQVE6TVNGVC5JUV9UT1RBTF9SRVZfMVlSX0FOTl9HUk9XVEguOTk5LjAyLzA4LzIwMjYBAAAAS1UAAAIAAAAHMTQuOTMyMQEIAAAABQAAAAExAQAAAAstMTg4MDIyOTY4NgMAAAADMTYwAgAAAAQ0MTk0BAAAAAEwBwAAAAg4LzIvMjAyNggAAAAJNi8zMC8yMDI1CQAAAAEwa3a5byzw3ghnANOHLPDeCDhDSVEuTkFTREFROk1TRlQuSVFfRUJJVERBXzFZUl9BTk5fR1JPV1RILjEwMDAuMDIvMDgvMjAyNgEAAABLVQAAAgAAAAcyNC4wOTA4AQgAAAAFAAAAATEBAAAACy0xODgwMjI5NjY1AwAAAAMxNjACAAAABDQxOTYEAAAAATAHAAAACDgvMi8yMDI2CAAAAAk2LzMwLzIwMjYJAAAAATBrdrlvLPDeCGcA04cs8N4INENJUS5OQVNEQVE6TVNGVC5JUV9FUFNfMVlSX0FOTl9HUk9XVEgu</t>
  </si>
  <si>
    <t>OTk4LjAyLzA4LzIwMjYBAAAAS1UAAAIAAAAHMjEuOTAwOAEIAAAABQAAAAExAQAAAAstMTg4MDIyOTY5NAMAAAADMTYwAgAAAAQ0MjAwBAAAAAEwBwAAAAg4LzIvMjAyNggAAAAJNi8zMC8yMDI0CQAAAAEwa3a5byzw3ggli9KHLPDeCDFDSVEuTkFTREFROk1TRlQuSVFfR1BfM1lSX0FOTl9DQUdSLjk5OS4wMi8wOC8yMDI2AQAAAEtVAAACAAAABzEyLjY1MzkBCAAAAAUAAAABMQEAAAALLTE4ODAyMjk2ODYDAAAAAzE2MAIAAAAENDIyMQQAAAABMAcAAAAIOC8yLzIwMjYIAAAACTYvMzAvMjAyNQkAAAABMGt2uW8s8N4IJYvShyzw3ggyQ0lRLk5BU0RBUTpNU0ZULklRX0VQU18zWVJfQU5OX0NBR1IuOTk1LjAyLzA4LzIwMjYBAAAAS1UAAAIAAAAHNTUuNzY1OAEIAAAABQAAAAExAQAAAAstMjAzNjg0Mzg0MwMAAAADMTYwAgAAAAQ0MjI2BAAAAAEwBwAAAAg4LzIvMjAyNggAAAAJNi8zMC8yMDIxCQAAAAEwa3a5byzw3ghG2dKHLPDeCDFDSVEuTkFTREFROk1TRlQuSVFfR1BfNVlSX0FOTl9DQUdSLjk5Ni4wMi8wOC8yMDI2AQAAAEtVAAACAAAABzE2LjgyOTcBCAAAAAUAAAABMQEAAAALLTE5ODU5MzEyMjQDAAAAAzE2MAIAAAAENDIzNAQAAAABMAcAAAAIOC8yLzIwMjYIAAAACTYvMzAvMjAyMgkAAAABMGt2uW8s8N4IRtnShyzw3gg2Q0lRLk5BU0RBUTpNU0ZULklRX0VCSVREQV81WVJfQU5OX0NBR1Iu</t>
  </si>
  <si>
    <t>MTAwMC4wMi8wOC8yMDI2AQAAAEtVAAACAAAABTE5LjE3AQgAAAAFAAAAATEBAAAACy0xODgwMjI5NjY1AwAAAAMxNjACAAAABDQyMzUEAAAAATAHAAAACDgvMi8yMDI2CAAAAAk2LzMwLzIwMjYJAAAAATBrdrlvLPDeCEbZ0ocs8N4IM0NJUS5OQVNEQVE6TVNGVC5JUV9FUFNfNVlSX0FOTl9DQUdSLjEwMDAuMDIvMDgvMjAyNgEAAABLVQAAAgAAAAcxNy4zOTYxAQgAAAAFAAAAATEBAAAACy0xODgwMjI5NjY1AwAAAAMxNjACAAAABDQyMzkEAAAAATAHAAAACDgvMi8yMDI2CAAAAAk2LzMwLzIwMjYJAAAAATBrdrlvLPDeCCWL0ocs8N4ILENJUS5OQVNEQVE6TVNGVC5JUV9QRVJJT0REQVRFLjk5MS4wMi8wOC8yMDI2AQAAAEtVAAAFAAAACjMwLzA2LzIwMTcAiuzabizw3giIGeWHLPDeCCxDSVEuTkFTREFROk1TRlQuSVFfUEVSSU9EREFURS45OTIuMDIvMDgvMjAyNgEAAABLVQAABQAAAAozMC8wNi8yMDE4AHy0b28s8N4IEdHhhyzw3ggsQ0lRLk5BU0RBUTpNU0ZULklRX1BFUklPRERBVEUuOTkzLjAyLzA4LzIwMjYBAAAAS1UAAAUAAAAKMzAvMDYvMjAxOQB8tG9vLPDeCOEN4Ycs8N4ILENJUS5OQVNEQVE6TVNGVC5JUV9QRVJJT0REQVRFLjk5NC4wMi8wOC8yMDI2AQAAAEtVAAAFAAAACjMwLzA2LzIwMjAAd41vbyzw3gjPXeCHLPDeCCxDSVEuTkFTREFROk1TRlQuSVFfUEVSSU9EREFURS45OTUuMDIv</t>
  </si>
  <si>
    <t>MDgvMjAyNgEAAABLVQAABQAAAAozMC8wNi8yMDIxAGZmb28s8N4IADnehyzw3ggsQ0lRLk5BU0RBUTpNU0ZULklRX1BFUklPRERBVEUuOTk2LjAyLzA4LzIwMjYBAAAAS1UAAAUAAAAKMzAvMDYvMjAyMgBmZm9vLPDeCIVy3Ycs8N4ILENJUS5OQVNEQVE6TVNGVC5JUV9QRVJJT0REQVRFLjk5Ny4wMi8wOC8yMDI2AQAAAEtVAAAFAAAACjMwLzA2LzIwMjMAF3bCbyzw3ghg/dyHLPDeCCxDSVEuTkFTREFROk1TRlQuSVFfUEVSSU9EREFURS45OTguMDIvMDgvMjAyNgEAAABLVQAABQAAAAozMC8wNi8yMDI0ABd2wm8s8N4IBTrchyzw3ggsQ0lRLk5BU0RBUTpNU0ZULklRX1BFUklPRERBVEUuOTk5LjAyLzA4LzIwMjYBAAAAS1UAAAUAAAAKMzAvMDYvMjAyNQAXdsJvLPDeCN9x24cs8N4INUNJUS5OQVNEQVE6TVNGVC5JUV9BUl9VTkJJTExFRC45OTIuMDIvMDgvMjAyNi4uLlVTRC5IAQAAAEtVAAADAAAAAABmZm9vLPDeCP0Cx4cs8N4IMUNJUS5OQVNEQVE6TVNGVC5JUV9XSVBfSU5WLjk5NC4wMi8wOC8yMDI2Li4uVVNELkgBAAAAS1UAAAIAAAACODMBCAAAAAUAAAABMQEAAAALLTIwODc0OTY2MjcDAAAAAzE2MAIAAAAEMzIxOQQAAAABMAcAAAAIOC8yLzIwMjYIAAAACTYvMzAvMjAyMAkAAAABMGZmb28s8N4I39vGhyzw3ggzQ0lRLk5BU0RBUTpNU0ZULklRX09USEVSX0lOVi45OTYuMDIvMDgvMjAyNi4u</t>
  </si>
  <si>
    <t>LlVTRC5IAQAAAEtVAAADAAAAAABmZm9vLPDeCN/bxocs8N4IM0NJUS5OQVNEQVE6TVNGVC5JUV9CVUlMRElOR1MuOTk4LjAyLzA4LzIwMjYuLi5VU0QuSAEAAABLVQAAAgAAAAU5Mzk0MwEIAAAABQAAAAExAQAAAAstMTg4MDIyOTY5NAMAAAADMTYwAgAAAAQzMDIzBAAAAAEwBwAAAAg4LzIvMjAyNggAAAAJNi8zMC8yMDI0CQAAAAEwZmZvbyzw3gj9AseHLPDeCEBDSVEuTkFTREFROk1TRlQuSVFfTkFUVVJBTF9SRVNPVVJDRVNfQ09TVC45OTUuMDIvMDgvMjAyNi4uLlVTRC5IAQAAAEtVAAADAAAAAABmZm9vLPDeCCoqx4cs8N4IP0NJUS5OQVNEQVE6TVNGVC5JUV9MRUFTRUhPTERfSU1QUk9WRU1FTlQuOTk3LjAyLzA4LzIwMjYuLi5VU0QuSAEAAABLVQAAAgAAAAQ4NTM3AQgAAAAFAAAAATEBAAAACy0xOTM0MjU0MjUwAwAAAAMxNjACAAAABDMxMDAEAAAAATAHAAAACDgvMi8yMDI2CAAAAAk2LzMwLzIwMjMJAAAAATBmZm9vLPDeCCoqx4cs8N4IQUNJUS5OQVNEQVE6TVNGVC5JUV9NSU5PUklUWV9JTlRfUkVERUVNX1RPVC45OTQuMDIvMDgvMjAyNi4uLlVTRC5IAQAAAEtVAAADAAAAAABmZm9vLPDeCP0Cx4cs8N4IRUNJUS5OQVNEQVE6TVNGVC5JUV9ERUZfVEFYX1ZBTFVBVElPTl9BTExPV0FOQ0UuOTk2LjAyLzA4LzIwMjYuLi5VU0QuSAEAAABLVQAAAgAAAAQxMDEyAQgAAAAFAAAAATEBAAAACy0x</t>
  </si>
  <si>
    <t>OTg1OTMxMjI0AwAAAAMxNjACAAAABTQ2MDQ1BAAAAAEwBwAAAAg4LzIvMjAyNggAAAAJNi8zMC8yMDIyCQAAAAEwZmZvbyzw3gj9AseHLPDeCEVDSVEuTkFTREFROk1TRlQuSVFfR0VORVJBTF9QQVJUTkVSX1BSRUZfRVFVSVRZLjk5OC4wMi8wOC8yMDI2Li4uVVNELkgBAAAAS1UAAAMAAAAAAGZmb28s8N4I/QLHhyzw3ghNQ0lRLk5BU0RBUTpNU0ZULklRX0xJUVVJREFUSU9OX1ZBTFVFX1BSRUZFUlJFRF9DT05WRVJULjk5NS4wMi8wOC8yMDI2Li4uVVNELkgBAAAAS1UAAAMAAAAAAGZmb28s8N4IKirHhyzw3ghMQ0lRLk5BU0RBUTpNU0ZULklRX0xJUVVJREFUSU9OX1ZBTFVFX1BSRUZFUlJFRF9SRURFRU0uOTk3LjAyLzA4LzIwMjYuLi5VU0QuSAEAAABLVQAAAwAAAAAAZmZvbyzw3ggqKseHLPDeCEpDSVEuTkFTREFROk1TRlQuSVFfQVNTRVRTX05FVFRJTkdfT1RIRVJfQURKVVNUTUVOVFMuOTkyLjAyLzA4LzIwMjYuLi5VU0QuSAEAAABLVQAAAwAAAAAAZmZvbyzw3ggqKseHLPDeCDtDSVEuTkFTREFROk1TRlQuSVFfQVNTRVRTX0ZBSVJfVkFMVUUuOTk2LjAyLzA4LzIwMjYuLi5VU0QuSAEAAABLVQAAAgAAAAU5NzMwMwBmZm9vLPDeCCoqx4cs8N4IPUNJUS5OQVNEQVE6TVNGVC5JUV9MSUFCSUxJVElFU19MRVZFTF8yLjk5Ny4wMi8wOC8yMDI2Li4uVVNELkgBAAAAS1UAAAIAAAAFNDcwMDUAZmZv</t>
  </si>
  <si>
    <t>byzw3ggqKseHLPDeCElDSVEuTkFTREFROk1TRlQuSVFfRkFJUl9WQUxVRV9DSEFOR0VfSU5DTF9FQVJOSU5HUy45OTMuMDIvMDgvMjAyNi4uLlVTRC5IAQAAAEtVAAADAAAAAABmZm9vLPDeCOVkx4cs8N4IP0NJUS5OQVNEQVE6TVNGVC5JUV9GSU5fRElWX1NUX0RFQlRfVE9UQUwuOTk1LjAyLzA4LzIwMjYuLi5VU0QuSAEAAABLVQAAAwAAAAAAZmZvbyzw3gjlZMeHLPDeCDtDSVEuTkFTREFROk1TRlQuSVFfRklOX0RJVl9TVF9JTlZFU1QuOTkzLjAyLzA4LzIwMjYuLi5VU0QuSAEAAABLVQAAAwAAAAAAZmZvbyzw3ggqKseHLPDeCD9DSVEuTkFTREFROk1TRlQuSVFfREVCVF9FUVVJVl9PUEVSX0xFQVNFLjk5NC4wMi8wOC8yMDI2Li4uVVNELkgBAAAAS1UAAAIAAAAFMTYzNDQBCAAAAAUAAAABMQEAAAALLTIwODc0OTY2MjcDAAAAAzE2MAIAAAAFMjE2NzEEAAAAATAHAAAACDgvMi8yMDI2CAAAAAk2LzMwLzIwMjAJAAAAATBmZm9vLPDeCCoqx4cs8N4IP0NJUS5OQVNEQVE6TVNGVC5JUV9SRVNUUklDVEVEX0NBU0hfVE9UQUwuOTkzLjAyLzA4LzIwMjYuLi5VU0QuSAEAAABLVQAAAwAAAAAAZmZvbyzw3ggqKseHLPDeCEBDSVEuTkFTREFROk1TRlQuSVFfQ09OVElOR0VOVF9MSUFCSUxJVElFUy45OTguMDIvMDgvMjAyNi4uLlVTRC5IAQAAAEtVAAADAAAAAABmZm9vLPDeCOVkx4cs8N4IPUNJUS5OQVNE</t>
  </si>
  <si>
    <t>QVE6TVNGVC5JUV9TVF9ERUJUX0RFUklWQVRJVkVTLjk5Mi4wMi8wOC8yMDI2Li4uVVNELkgBAAAAS1UAAAMAAAAAAGZmb28s8N4I5WTHhyzw3ghBQ0lRLk5BU0RBUTpNU0ZULklRX0RFUklWQVRJVkVfTElBQl9DVVJSRU5ULjk5Ny4wMi8wOC8yMDI2Li4uVVNELkgBAAAAS1UAAAIAAAADMzQxAQgAAAAFAAAAATEBAAAACy0xOTM0MjU0MjUwAwAAAAMxNjACAAAABTQwNDE3BAAAAAEwBwAAAAg4LzIvMjAyNggAAAAJNi8zMC8yMDIzCQAAAAEwZmZvbyzw3ggqKseHLPDeCENDSVEuTkFTREFROk1TRlQuSVFfREVSSVZBVElWRV9UUkFESU5HX0FTU0VUUy45OTkuMDIvMDgvMjAyNi4uLlVTRC5IAQAAAEtVAAADAAAAAABmZm9vLPDeCCoqx4cs8N4IPkNJUS5OQVNEQVE6TVNGVC5JUV9ERVJJVkFUSVZFX0FTU0VUU19MVC45OTIuMDIvMDgvMjAyNi4uLlVTRC5IAQAAAEtVAAACAAAAAjIyAQgAAAAFAAAAATEBAAAACjIwNDcyNzE3NDUDAAAAAzE2MAIAAAAEMTExMAQAAAABMAcAAAAIOC8yLzIwMjYIAAAACTYvMzAvMjAxOAkAAAABMGZmb28s8N4IKirHhyzw3ggyQ0lRLk5BU0RBUTpNU0ZULklRX0dST1NTX0dXLjk5OC4wMi8wOC8yMDI2Li4uVVNELkgBAAAAS1UAAAMAAAAAAGZmb28s8N4I5WTHhyzw3gg9Q0lRLk5BU0RBUTpNU0ZULklRX0xUX01BUktfU0VDVVJJVElFUy4xMDAwLjAyLzA4LzIwMjYuLi5VU0Qu</t>
  </si>
  <si>
    <t>SAEAAABLVQAAAwAAAAAAZmZvbyzw3gjlZMeHLPDeCDBDSVEuTkFTREFROk1TRlQuSVFfR1dfTkVULjk5Ny4wMi8wOC8yMDI2Li4uVVNELkgBAAAAS1UAAAIAAAAFNjc4ODYBCAAAAAUAAAABMQEAAAALLTE5MzQyNTQyNTADAAAAAzE2MAIAAAAFNDg5NjAEAAAAATAHAAAACDgvMi8yMDI2CAAAAAk2LzMwLzIwMjMJAAAAATBmZm9vLPDeCOVkx4cs8N4IOUNJUS5OQVNEQVE6TVNGVC5JUV9JTlRFUkNPTVBBTllfQ0EuOTk5LjAyLzA4LzIwMjYuLi5VU0QuSAEAAABLVQAAAwAAAAAAZmZvbyzw3gjlZMeHLPDeCDpDSVEuTkFTREFROk1TRlQuSVFfSU5URVJDT01QQU5ZX0NMLjEwMDAuMDIvMDgvMjAyNi4uLlVTRC5IAQAAAEtVAAADAAAAAABmZm9vLPDeCOVkx4cs8N4ILkNJUS5OQVNEQVE6TVNGVC5JUV9ESUxVVF9XRUlHSFQuOTk5LjAyLzA4LzIwMjYBAAAAS1UAAAIAAAAENzQ2NQBmZm9vLPDeCIVy3Ycs8N4IMkNJUS5OQVNEQVE6TVNGVC5JUV9EUl9SQVRJT19QUklNQVJZLjk5OS4wMi8wOC8yMDI2AQAAAEtVAAACAAAABzAuMDQxNjcAZmZvbyzw3givmd2HLPDeCDFDSVEuTkFTREFROk1TRlQuSVFfUEVSSU9ETEVOR1RIX0lTLjk5OS4wMi8wOC8yMDI2AQAAAEtVAAABAAAAAjEyAGZmb28s8N4Ir5ndhyzw3ghBQ0lRLk5BU0RBUTpNU0ZULklRX0RJU1RSSUJVVEFCTEVfQ0FTSF9TSEFSRVNfQkFTSUMuOTk1</t>
  </si>
  <si>
    <t>LjAyLzA4LzIwMjYBAAAAS1UAAAMAAAAAABd2wm8s8N4IhXLdhyzw3gguQ0lRLk5BU0RBUTpNU0ZULklRX1BBWU9VVF9SQVRJTy45OTIuMDIvMDgvMjAyNgEAAABLVQAAAgAAAAc3Ni42MzM4AQgAAAAFAAAAATEBAAAACjIwNDcyNzE3NDUDAAAAAzE2MAIAAAAENDM3NwQAAAABMAcAAAAIOC8yLzIwMjYIAAAACTYvMzAvMjAxOAkAAAABMGZmb28s8N4IhXLdhyzw3ggxQ0lRLk5BU0RBUTpNU0ZULklRX0ZJTElOR19DVVJSRU5DWS45OTkuMDIvMDgvMjAyNgEAAABLVQAAAwAAAANVU0QAG0/Cbyzw3gitNuCHLPDeCDFDSVEuTkFTREFROk1TRlQuSVFfUEVSSU9ETEVOR1RIX0NGLjk5My4wMi8wOC8yMDI2AQAAAEtVAAABAAAAAjEyAGZmb28s8N4IhXLdhyzw3ggyQ0lRLk5BU0RBUTpNU0ZULklRX0ZJTElOR19DVVJSRU5DWS4xMDAwLjAyLzA4LzIwMjYBAAAAS1UAAAMAAAADVVNEABd2wm8s8N4IrTbghyzw3ggpQ0lRLk5BU0RBUTpNU0ZULklRX0dBQVBfQ0YuOTkzLjAyLzA4LzIwMjYBAAAAS1UAAAMAAAAHVVMgR0FBUABmZm9vLPDeCIVy3Ycs8N4ILENJUS5OQVNEQVE6TVNGVC5JUV9JTlZfTUVUSE9ELjk5Mi4wMi8wOC8yMDI2AQAAAEtVAAADAAAACEF2ZyBDb3N0AGZmb28s8N4IcUvdhyzw3ggrQ0lRLk5BU0RBUTpNU0ZULklRX1BBUlRfVElNRS45OTMuMDIvMDgvMjAyNgEAAABLVQAAAwAAAAAAZmZvbyzw</t>
  </si>
  <si>
    <t>3ghxS92HLPDeCC9DSVEuTkFTREFROk1TRlQuSVFfQVZHX0VNUExPWUVFUy45OTguMDIvMDgvMjAyNgEAAABLVQAAAwAAAAAAZmZvbyzw3giFct2HLPDeCDNDSVEuTkFTREFROk1TRlQuSVFfTlVNQkVSX0FEUkhPTERFUlMuOTkyLjAyLzA4LzIwMjYBAAAAS1UAAAMAAAAAAGZmb28s8N4IhXLdhyzw3ggxQ0lRLk5BU0RBUTpNU0ZULklRX0ZJTElOR19DVVJSRU5DWS45OTYuMDIvMDgvMjAyNgEAAABLVQAAAwAAAANVU0QAt9tvbyzw3ghQbeKHLPDeCClDSVEuTkFTREFROk1TRlQuSVFfR0FBUF9CUy45OTMuMDIvMDgvMjAyNgEAAABLVQAAAwAAAAdVUyBHQUFQAGZmb28s8N4IpCTdhyzw3ggwQ0lRLk5BU0RBUTpNU0ZULklRX1JFVFVSTl9DQVBJVEFMLjk5Mi4wMi8wOC8yMDI2AQAAAEtVAAACAAAABjEyLjM5OAEIAAAABQAAAAExAQAAAAoyMDQ3MjcxNzQ1AwAAAAMxNjACAAAABDQzNjMEAAAAATAHAAAACDgvMi8yMDI2CAAAAAk2LzMwLzIwMTgJAAAAATBTP29vLPDeCKQk3Ycs8N4ILkNJUS5OQVNEQVE6TVNGVC5JUV9HUk9TU19NQVJHSU4uOTk4LjAyLzA4LzIwMjYBAAAAS1UAAAIAAAAHNjkuNzY0NAEIAAAABQAAAAExAQAAAAstMTg4MDIyOTY5NAMAAAADMTYwAgAAAAQ0MDc0BAAAAAEwBwAAAAg4LzIvMjAyNggAAAAJNi8zMC8yMDI0CQAAAAEwUz9vbyzw3ghxS92HLPDeCC5DSVEuTkFTREFROk1TRlQu</t>
  </si>
  <si>
    <t>SVFfRUJJVF9NQVJHSU4uMTAwMC4wMi8wOC8yMDI2AQAAAEtVAAACAAAABzQ2Ljc4MDgBCAAAAAUAAAABMQEAAAALLTE4ODAyMjk2NjUDAAAAAzE2MAIAAAAENDA1MwQAAAABMAcAAAAIOC8yLzIwMjYIAAAACTYvMzAvMjAyNgkAAAABMFM/b28s8N4IcUvdhyzw3ggvQ0lRLk5BU0RBUTpNU0ZULklRX0NBUEVYX1BDVF9SRVYuOTkyLjAyLzA4LzIwMjYBAAAAS1UAAAIAAAAFMTAuNTQBCAAAAAUAAAABMQEAAAAKMjA0NzI3MTc0NQMAAAADMTYwAgAAAAUzNTM4MAQAAAABMAcAAAAIOC8yLzIwMjYIAAAACTYvMzAvMjAxOAkAAAABMFM/b28s8N4IcUvdhyzw3ggqQ0lRLk5BU0RBUTpNU0ZULklRX0FSX1RVUk5TLjk5OS4wMi8wOC8yMDI2AQAAAEtVAAACAAAABzQuNDQyNTgBCAAAAAUAAAABMQEAAAALLTE4ODAyMjk2ODYDAAAAAzE2MAIAAAAENDAwMQQAAAABMAcAAAAIOC8yLzIwMjYIAAAACTYvMzAvMjAyNQkAAAABMFM/b28s8N4IpCTdhyzw3ggwQ0lRLk5BU0RBUTpNU0ZULklRX0NVUlJFTlRfUkFUSU8uMTAwMC4wMi8wOC8yMDI2AQAAAEtVAAACAAAACDEuMjMwMzI3AQgAAAAFAAAAATEBAAAACy0xODgwMjI5NjY1AwAAAAMxNjACAAAABDQwMzAEAAAAATAHAAAACDgvMi8yMDI2CAAAAAk2LzMwLzIwMjYJAAAAATBTP29vLPDeCKQk3Ycs8N4IMENJUS5OQVNEQVE6TVNGVC5JUV9EQVlTX1NBTEVTX09VVC45</t>
  </si>
  <si>
    <t>OTguMDIvMDgvMjAyNgEAAABLVQAAAgAAAAk3OC44NDYyODIBCAAAAAUAAAABMQEAAAALLTE4ODAyMjk2OTQDAAAAAzE2MAIAAAAENDA0MgQAAAABMAcAAAAIOC8yLzIwMjYIAAAACTYvMzAvMjAyNAkAAAABMBd2wm8s8N4IcUvdhyzw3ggyQ0lRLk5BU0RBUTpNU0ZULklRX0RBWVNfUEFZQUJMRV9PVVQuOTk5LjAyLzA4LzIwMjYBAAAAS1UAAAIAAAAKMTAzLjY3NDIzNQEIAAAABQAAAAExAQAAAAstMTg4MDIyOTY4NgMAAAADMTYwAgAAAAQ0MTgzBAAAAAEwBwAAAAg4LzIvMjAyNggAAAAJNi8zMC8yMDI1CQAAAAEwF3bCbyzw3ghxS92HLPDeCDRDSVEuTkFTREFROk1TRlQuSVFfVE9UQUxfREVCVF9FUVVJVFkuMTAwMC4wMi8wOC8yMDI2AQAAAEtVAAACAAAABzI5LjExNzcBCAAAAAUAAAABMQEAAAALLTE4ODAyMjk2NjUDAAAAAzE2MAIAAAAENDAzNAQAAAABMAcAAAAIOC8yLzIwMjYIAAAACTYvMzAvMjAyNgkAAAABMBd2wm8s8N4IpCTdhyzw3ggxQ0lRLk5BU0RBUTpNU0ZULklRX0xUX0RFQlRfQ0FQSVRBTC45OTguMDIvMDgvMjAyNgEAAABLVQAAAgAAAAYyMi42NTIBCAAAAAUAAAABMQEAAAALLTE4ODAyMjk2OTQDAAAAAzE2MAIAAAAENDE4NwQAAAABMAcAAAAIOC8yLzIwMjYIAAAACTYvMzAvMjAyNAkAAAABMBd2wm8s8N4IYP3chyzw3ggqQ0lRLk5BU0RBUTpNU0ZULklRX0VCSVRfSU5ULjk5OS4w</t>
  </si>
  <si>
    <t>Mi8wOC8yMDI2AQAAAEtVAAACAAAACTUzLjAwMTIzNwEIAAAABQAAAAExAQAAAAstMTg4MDIyOTY4NgMAAAADMTYwAgAAAAQ0MTg5BAAAAAEwBwAAAAg4LzIvMjAyNggAAAAJNi8zMC8yMDI1CQAAAAEwF3bCbyzw3ghg/dyHLPDeCDJDSVEuTkFTREFROk1TRlQuSVFfRUJJVERBX0NBUEVYX0lOVC45OTcuMDIvMDgvMjAyNgEAAABLVQAAAgAAAAkzOC40OTE3MjkBCAAAAAUAAAABMQEAAAALLTE5MzQyNTQyNTADAAAAAzE2MAIAAAAENDE5MQQAAAABMAcAAAAIOC8yLzIwMjYIAAAACTYvMzAvMjAyMwkAAAABMBd2wm8s8N4IpCTdhyzw3ggzQ0lRLk5BU0RBUTpNU0ZULklRX1RPVEFMX0RFQlRfRUJJVERBLjk5OC4wMi8wOC8yMDI2AQAAAEtVAAACAAAACDAuNzM1Nzk1AQgAAAAFAAAAATEBAAAACy0xODgwMjI5Njk0AwAAAAMxNjACAAAABDQxOTIEAAAAATAHAAAACDgvMi8yMDI2CAAAAAk2LzMwLzIwMjQJAAAAATAXdsJvLPDeCKQk3Ycs8N4IMUNJUS5OQVNEQVE6TVNGVC5JUV9ORVRfREVCVF9FQklUREEuOTk5LjAyLzA4LzIwMjYBAAAAS1UAAAIAAAAIMC4xMDg3ODYBCAAAAAUAAAABMQEAAAALLTE4ODAyMjk2ODYDAAAAAzE2MAIAAAAENDE5MwQAAAABMAcAAAAIOC8yLzIwMjYIAAAACTYvMzAvMjAyNQkAAAABMBd2wm8s8N4IpCTdhyzw3gg3Q0lRLk5BU0RBUTpNU0ZULklRX05FVF9ERUJUX0VCSVREQV9D</t>
  </si>
  <si>
    <t>QVBFWC45OTUuMDIvMDgvMjAyNgEAAABLVQAAAwAAAAJOTQEIAAAABQAAAAExAQAAAAstMjAzNjg0Mzg0MwMAAAADMTYwAgAAAAUyMzMxNAQAAAABMAcAAAAIOC8yLzIwMjYIAAAACTYvMzAvMjAyMQkAAAABMBd2wm8s8N4IYP3chyzw3ggpQ0lRLk5BU0RBUTpNU0ZULklRX1pfU0NPUkUuOTk0LjAyLzA4LzIwMjYBAAAAS1UAAAIAAAAINS41ODQwOTMBCAAAAAUAAAABMQEAAAALLTIwODc0OTY2MjcDAAAAAzE2MAIAAAAGMTAwMTIzBAAAAAEwBwAAAAg4LzIvMjAyNggAAAAJNi8zMC8yMDIwCQAAAAEwF3bCbyzw3ghu1tyHLPDeCDdDSVEuTkFTREFROk1TRlQuSVFfRUJJVERBXzFZUl9BTk5fR1JPV1RILjk5Mi4wMi8wOC8yMDI2AQAAAEtVAAACAAAABzIxLjA3OTQBCAAAAAUAAAABMQEAAAAKMjA0NzI3MTc0NQMAAAADMTYwAgAAAAQ0MTk2BAAAAAEwBwAAAAg4LzIvMjAyNggAAAAJNi8zMC8yMDE4CQAAAAEwF3bCbyzw3ghg/dyHLPDeCDNDSVEuTkFTREFROk1TRlQuSVFfTklfMVlSX0FOTl9HUk9XVEguOTkzLjAyLzA4LzIwMjYBAAAAS1UAAAIAAAAIMTM2Ljc5OTIBCAAAAAUAAAABMQEAAAALLTIxNDA5ODE0NjkDAAAAAzE2MAIAAAAENDE5OQQAAAABMAcAAAAIOC8yLzIwMjYIAAAACTYvMzAvMjAxOQkAAAABMBd2wm8s8N4IYP3chyzw3gg4Q0lRLk5BU0RBUTpNU0ZULklRX1RPVEFMX1JFVl8zWVJfQU5O</t>
  </si>
  <si>
    <t>X0NBR1IuOTk0LjAyLzA4LzIwMjYBAAAAS1UAAAIAAAAHMTMuOTg0MwEIAAAABQAAAAExAQAAAAstMjA4NzQ5NjYyNwMAAAADMTYwAgAAAAQ0MjIwBAAAAAEwBwAAAAg4LzIvMjAyNggAAAAJNi8zMC8yMDIwCQAAAAEwF3bCbyzw3ghg/dyHLPDeCDNDSVEuTkFTREFROk1TRlQuSVFfRUJJVF8zWVJfQU5OX0NBR1IuOTkyLjAyLzA4LzIwMjYBAAAAS1UAAAIAAAAGNy41NjE0AQgAAAAFAAAAATEBAAAACjIwNDcyNzE3NDUDAAAAAzE2MAIAAAAENDIyMwQAAAABMAcAAAAIOC8yLzIwMjYIAAAACTYvMzAvMjAxOAkAAAABMBd2wm8s8N4Ibtbchyzw3ggyQ0lRLk5BU0RBUTpNU0ZULklRX0VQU18zWVJfQU5OX0NBR1IuOTkzLjAyLzA4LzIwMjYBAAAAS1UAAAIAAAAGMjUuNDk4AQgAAAAFAAAAATEBAAAACy0yMTQwOTgxNDY5AwAAAAMxNjACAAAABDQyMjYEAAAAATAHAAAACDgvMi8yMDI2CAAAAAk2LzMwLzIwMTkJAAAAATAXdsJvLPDeCG7W3Ics8N4INUNJUS5OQVNEQVE6TVNGVC5JUV9FQklUREFfNVlSX0FOTl9DQUdSLjk5OS4wMi8wOC8yMDI2AQAAAEtVAAACAAAABzE5LjEyMTUBCAAAAAUAAAABMQEAAAALLTE4ODAyMjk2ODYDAAAAAzE2MAIAAAAENDIzNQQAAAABMAcAAAAIOC8yLzIwMjYIAAAACTYvMzAvMjAyNQkAAAABMBd2wm8s8N4IYP3chyzw3ggxQ0lRLk5BU0RBUTpNU0ZULklRX05JXzVZUl9BTk5f</t>
  </si>
  <si>
    <t>Q0FHUi45OTIuMDIvMDgvMjAyNgEAAABLVQAAAgAAAAYtNS4zOTIBCAAAAAUAAAABMQEAAAAKMjA0NzI3MTc0NQMAAAADMTYwAgAAAAQ0MjM4BAAAAAEwBwAAAAg4LzIvMjAyNggAAAAJNi8zMC8yMDE4CQAAAAEwF3bCbyzw3ghg/dyHLPDeCC9DSVEuTkFTREFROk1TRlQuSVFfRElMVVRfV0VJR0hULjEwMDAuMDIvMDgvMjAyNgEAAABLVQAAAgAAAAQ3NDUzABd2wm8s8N4Iba/chyzw3ggzQ0lRLk5BU0RBUTpNU0ZULklRX0RSX1JBVElPX1BSSU1BUlkuMTAwMC4wMi8wOC8yMDI2AQAAAEtVAAACAAAABzAuMDQxNjcAF3bCbyzw3ghtr9yHLPDeCDJDSVEuTkFTREFROk1TRlQuSVFfUEVSSU9ETEVOR1RIX0lTLjEwMDAuMDIvMDgvMjAyNgEAAABLVQAAAQAAAAIxMgAXdsJvLPDeCG7W3Ics8N4IQ0NJUS5OQVNEQVE6TVNGVC5JUV9ESVNUUklCVVRBQkxFX0NBU0hfU0hBUkVTX0RJTFVURUQuOTk5LjAyLzA4LzIwMjYBAAAAS1UAAAMAAAAAABd2wm8s8N4Ibtbchyzw3ggxQ0lRLk5BU0RBUTpNU0ZULklRX0VGRkVDVF9UQVhfUkFURS45OTUuMDIvMDgvMjAyNgEAAABLVQAAAgAAAAcxMy44MjY2AQgAAAAFAAAAATEBAAAACy0yMDM2ODQzODQzAwAAAAMxNjACAAAABDQzNzYEAAAAATAHAAAACDgvMi8yMDI2CAAAAAk2LzMwLzIwMjEJAAAAATAXdsJvLPDeCG7W3Ics8N4IN0NJUS5OQVNEQVE6TVNGVC5JUV9VTkxF</t>
  </si>
  <si>
    <t>VkVSRURfRkNGLjk5OS4wMi8wOC8yMDI2Li4uVVNELkgBAAAAS1UAAAIAAAAFNjI1ODgBCAAAAAUAAAABMQEAAAALLTE4ODAyMjk2ODYDAAAAAzE2MAIAAAAENDQyMwQAAAABMAcAAAAIOC8yLzIwMjYIAAAACTYvMzAvMjAyNQkAAAABMO3wRG8s8N4IQiG6hyzw3gg5Q0lRLk5BU0RBUTpNU0ZULklRX05FVF9ERUJUX0lTU1VFRC45OTYuMDIvMDgvMjAyNi4uLlVTRC5IAQAAAEtVAAACAAAABS05MDIzAQgAAAAFAAAAATEBAAAACy0xOTg1OTMxMjI0AwAAAAMxNjACAAAABDIwMDMEAAAAATAHAAAACDgvMi8yMDI2CAAAAAk2LzMwLzIwMjIJAAAAATDt8ERvLPDeCEIhuocs8N4IN0NJUS5OQVNEQVE6TVNGVC5JUV9ET19GSU5BTkNFX0NGLjk5NS4wMi8wOC8yMDI2Li4uVVNELkgBAAAAS1UAAAMAAAAAAO3wRG8s8N4IJvq5hyzw3ghNQ0lRLk5BU0RBUTpNU0ZULklRX09QRVJBVElOR19MRUFTRV9MSUFCSUxJVElFU19OT05DQVNILjk5NS4wMi8wOC8yMDI2Li4uVVNELkgBAAAAS1UAAAMAAAAAAO3wRG8s8N4IJvq5hyzw3gg9Q0lRLk5BU0RBUTpNU0ZULklRX0dBSU5fQkFSR0FJTl9BQ1FfQ0YuOTk0LjAyLzA4LzIwMjYuLi5VU0QuSAEAAABLVQAAAwAAAAAA7fBEbyzw3ggm+rmHLPDeCDhDSVEuTkFTREFROk1TRlQuSVFfVFJBRElOR19BU1NFVFMuOTk3LjAyLzA4LzIwMjYuLi5VU0QuSAEAAABLVQAAAwAAAAAA</t>
  </si>
  <si>
    <t>7fBEbyzw3ggfSLqHLPDeCDZDSVEuTkFTREFROk1TRlQuSVFfT1RIRVJfUkVDRUlWLjk5Ni4wMi8wOC8yMDI2Li4uVVNELkgBAAAAS1UAAAIAAAAENjEwMAEIAAAABQAAAAExAQAAAAstMTk4NTkzMTIyNAMAAAADMTYwAgAAAAQxMjA2BAAAAAEwBwAAAAg4LzIvMjAyNggAAAAJNi8zMC8yMDIyCQAAAAEw7fBEbyzw3ggfSLqHLPDeCDZDSVEuTkFTREFROk1TRlQuSVFfVE9UQUxfUkVDRUlWLjk5OS4wMi8wOC8yMDI2Li4uVVNELkgBAAAAS1UAAAIAAAAFNzgxMDUBCAAAAAUAAAABMQEAAAALLTE4ODAyMjk2ODYDAAAAAzE2MAIAAAAEMTAwMQQAAAABMAcAAAAIOC8yLzIwMjYIAAAACTYvMzAvMjAyNQkAAAABMO3wRG8s8N4IQiG6hyzw3gg/Q0lRLk5BU0RBUTpNU0ZULklRX0ZJTl9ESVZfTE9BTlNfQ1VSUkVOVC45OTIuMDIvMDgvMjAyNi4uLlVTRC5IAQAAAEtVAAADAAAAAADt8ERvLPDeCEIhuocs8N4IQENJUS5OQVNEQVE6TVNGVC5JUV9ERUZfVEFYX0FTU0VUU19DVVJSRU5ULjk5My4wMi8wOC8yMDI2Li4uVVNELkgBAAAAS1UAAAMAAAAAAO3wRG8s8N4IQiG6hyzw3gg4Q0lRLk5BU0RBUTpNU0ZULklRX09USEVSX0NBX1NVUFBMLjk5Ny4wMi8wOC8yMDI2Li4uVVNELkgBAAAAS1UAAAIAAAAFMTI2MTMBCAAAAAUAAAABMQEAAAALLTE5MzQyNTQyNTADAAAAAzE2MAIAAAAEMTA1NQQAAAABMAcAAAAIOC8y</t>
  </si>
  <si>
    <t>LzIwMjYIAAAACTYvMzAvMjAyMwkAAAABMO3wRG8s8N4IH0i6hyzw3ggsQ0lRLk5BU0RBUTpNU0ZULklRX0FELjk5OS4wMi8wOC8yMDI2Li4uVVNELkgBAAAAS1UAAAIAAAAGLTkzNjUzAQgAAAAFAAAAATEBAAAACy0xODgwMjI5Njg2AwAAAAMxNjACAAAABDEwNzUEAAAAATAHAAAACDgvMi8yMDI2CAAAAAk2LzMwLzIwMjUJAAAAATDt8ERvLPDeCB9Iuocs8N4ILENJUS5OQVNEQVE6TVNGVC5JUV9HVy45OTkuMDIvMDgvMjAyNi4uLlVTRC5IAQAAAEtVAAACAAAABjExOTUwOQEIAAAABQAAAAExAQAAAAstMTg4MDIyOTY4NgMAAAADMTYwAgAAAAQxMTcxBAAAAAEwBwAAAAg4LzIvMjAyNggAAAAJNi8zMC8yMDI1CQAAAAEw7fBEbyzw3ghCIbqHLPDeCDtDSVEuTkFTREFROk1TRlQuSVFfRklOX0RJVl9BU1NFVFNfTFQuOTkyLjAyLzA4LzIwMjYuLi5VU0QuSAEAAABLVQAAAwAAAAAA7fBEbyzw3ghCIbqHLPDeCDlDSVEuTkFTREFROk1TRlQuSVFfTE9BTlNfUkVDRUlWX0xULjk5NS4wMi8wOC8yMDI2Li4uVVNELkgBAAAAS1UAAAMAAAAAAO3wRG8s8N4IH0i6hyzw3gg5Q0lRLk5BU0RBUTpNU0ZULklRX09USEVSX0xUX0FTU0VUUy45OTUuMDIvMDgvMjAyNi4uLlVTRC5IAQAAAEtVAAACAAAABDQ0OTQBCAAAAAUAAAABMQEAAAALLTIwMzY4NDM4NDMDAAAAAzE2MAIAAAAEMTA2MAQAAAABMAcAAAAIOC8yLzIw</t>
  </si>
  <si>
    <t>MjYIAAAACTYvMzAvMjAyMQkAAAABMO3wRG8s8N4ILm+6hyzw3ggsQ0lRLk5BU0RBUTpNU0ZULklRX0FFLjk5NS4wMi8wOC8yMDI2Li4uVVNELkgBAAAAS1UAAAIAAAAFMTAwNTcBCAAAAAUAAAABMQEAAAALLTIwMzY4NDM4NDMDAAAAAzE2MAIAAAAEMTAxNgQAAAABMAcAAAAIOC8yLzIwMjYIAAAACTYvMzAvMjAyMQkAAAABMO3wRG8s8N4ILm+6hyzw3gg+Q0lRLk5BU0RBUTpNU0ZULklRX0ZJTl9ESVZfREVCVF9DVVJSRU5ULjk5NC4wMi8wOC8yMDI2Li4uVVNELkgBAAAAS1UAAAMAAAAAAO3wRG8s8N4IH0i6hyzw3gg9Q0lRLk5BU0RBUTpNU0ZULklRX0lOQ19UQVhfUEFZX0NVUlJFTlQuOTk3LjAyLzA4LzIwMjYuLi5VU0QuSAEAAABLVQAAAgAAAAQ0MTUyAQgAAAAFAAAAATEBAAAACy0xOTM0MjU0MjUwAwAAAAMxNjACAAAABDEwOTQEAAAAATAHAAAACDgvMi8yMDI2CAAAAAk2LzMwLzIwMjMJAAAAATDt8ERvLPDeCB9Iuocs8N4IOENJUS5OQVNEQVE6TVNGVC5JUV9PVEhFUl9DTF9TVVBQTC45OTcuMDIvMDgvMjAyNi4uLlVTRC5IAQAAAEtVAAACAAAABTExMTM5AQgAAAAFAAAAATEBAAAACy0xOTM0MjU0MjUwAwAAAAMxNjACAAAABDEwNTcEAAAAATAHAAAACDgvMi8yMDI2CAAAAAk2LzMwLzIwMjMJAAAAATDt8ERvLPDeCB9Iuocs8N4IOUNJUS5OQVNEQVE6TVNGVC5JUV9GSU5fRElWX0RFQlRfTFQu</t>
  </si>
  <si>
    <t>OTk2LjAyLzA4LzIwMjYuLi5VU0QuSAEAAABLVQAAAwAAAAAA7fBEbyzw3ggub7qHLPDeCDFDSVEuTkFTREFROk1TRlQuSVFfUEVOU0lPTi45OTIuMDIvMDgvMjAyNi4uLlVTRC5IAQAAAEtVAAADAAAAAADt8ERvLPDeCC5vuocs8N4INUNJUS5OQVNEQVE6TVNGVC5JUV9QUkVGX1JFREVFTS45OTYuMDIvMDgvMjAyNi4uLlVTRC5IAQAAAEtVAAADAAAAAADt8ERvLPDeCB9Iuocs8N4INENJUS5OQVNEQVE6TVNGVC5JUV9QUkVGX09USEVSLjk5My4wMi8wOC8yMDI2Li4uVVNELkgBAAAAS1UAAAMAAAAAAO3wRG8s8N4ILm+6hyzw3ggsQ0lRLk5BU0RBUTpNU0ZULklRX1JFLjk5Mi4wMi8wOC8yMDI2Li4uVVNELkgBAAAAS1UAAAIAAAAFMTM2ODIBCAAAAAUAAAABMQEAAAAKMjA0NzI3MTc0NQMAAAADMTYwAgAAAAQxMjIyBAAAAAEwBwAAAAg4LzIvMjAyNggAAAAJNi8zMC8yMDE4CQAAAAEw7fBEbyzw3ggub7qHLPDeCDtDSVEuTkFTREFROk1TRlQuSVFfTUlOT1JJVFlfSU5URVJFU1QuOTkyLjAyLzA4LzIwMjYuLi5VU0QuSAEAAABLVQAAAwAAAAAA7fBEbyzw3giDlrqHLPDeCDdDSVEuTkFTREFROk1TRlQuSVFfUlVBX0FDQ1VNX0RFUC45OTcuMDIvMDgvMjAyNi4uLlVTRC5IAQAAAEtVAAADAAAAAADt8ERvLPDeCIOWuocs8N4IP0NJUS5OQVNEQVE6TVNGVC5JUV9SVUFfQ0FQSVRBTF9MRUFTRV9ORVQuOTk2</t>
  </si>
  <si>
    <t>LjAyLzA4LzIwMjYuLi5VU0QuSAEAAABLVQAAAwAAAAAA7fBEbyzw3ggub7qHLPDeCEFDSVEuTkFTREFROk1TRlQuSVFfUlVBX09QRVJBVElOR19MRUFTRV9ORVQuOTk0LjAyLzA4LzIwMjYuLi5VU0QuSAEAAABLVQAAAwAAAAAA7fBEbyzw3ggub7qHLPDeCEJDSVEuTkFTREFROk1TRlQuSVFfRklOQU5DRV9MRUFTRVNfTE9OR19URVJNLjk5OC4wMi8wOC8yMDI2Li4uVVNELkgBAAAAS1UAAAIAAAAFMjQ3OTYBCAAAAAUAAAABMQEAAAALLTE4ODAyMjk2OTQDAAAAAzE2MAIAAAAFNDg5OTEEAAAAATAHAAAACDgvMi8yMDI2CAAAAAk2LzMwLzIwMjQJAAAAATDt8ERvLPDeCC5vuocs8N4IPENJUS5OQVNEQVE6TVNGVC5JUV9UT1RBTF9PUEVSX0xFQVNFUy4xMDAwLjAyLzA4LzIwMjYuLi5VU0QuSAEAAABLVQAAAgAAAAUyMTkyNQEIAAAABQAAAAExAQAAAAstMTg4MDIyOTY2NQMAAAADMTYwAgAAAAU0ODk3OAQAAAABMAcAAAAIOC8yLzIwMjYIAAAACTYvMzAvMjAyNgkAAAABMO3wRG8s8N4Iab26hyzw3ghAQ0lRLk5BU0RBUTpNU0ZULklRX1RPVEFMX0RFQlRfRVhDTF9MRUFTRVMuOTk5LjAyLzA4LzIwMjYuLi5VU0QuSAEAAABLVQAAAgAAAAU0MzE1MQEIAAAABQAAAAExAQAAAAstMTg4MDIyOTY4NgMAAAADMTYwAgAAAAU0ODk5MgQAAAABMAcAAAAIOC8yLzIwMjYIAAAACTYvMzAvMjAyNQkAAAABMO3wRG8s</t>
  </si>
  <si>
    <t>8N4Iab26hyzw3ggtQ0lRLk5BU0RBUTpNU0ZULklRX1RCVi45OTkuMDIvMDgvMjAyNi4uLlVTRC5IAQAAAEtVAAACAAAABjIwMTM2NgEIAAAABQAAAAExAQAAAAstMTg4MDIyOTY4NgMAAAADMTYwAgAAAAQxMzEwBAAAAAEwBwAAAAg4LzIvMjAyNggAAAAJNi8zMC8yMDI1CQAAAAEw7fBEbyzw3giDlrqHLPDeCEFDSVEuTkFTREFROk1TRlQuSVFfVE9UQUxfREVCVF9OT05fQ1VSUkVOVC4xMDAwLjAyLzA4LzIwMjYuLi5VU0QuSAEAAABLVQAAAgAAAAYxMDk5MDMBCAAAAAUAAAABMQEAAAALLTE4ODAyMjk2NjUDAAAAAzE2MAIAAAAFMjUyMjQEAAAAATAHAAAACDgvMi8yMDI2CAAAAAk2LzMwLzIwMjYJAAAAATDt8ERvLPDeCIOWuocs8N4IOkNJUS5OQVNEQVE6TVNGVC5JUV9BTExPV19ET1VCVF9BQ0NULjk5My4wMi8wOC8yMDI2Li4uVVNELkgBAAAAS1UAAAIAAAADNDExAQgAAAAFAAAAATEBAAAACy0yMTQwOTgxNDY5AwAAAAMxNjACAAAABDMwMTIEAAAAATAHAAAACDgvMi8yMDI2CAAAAAk2LzMwLzIwMTkJAAAAATDt8ERvLPDeCIOWuocs8N4INkNJUS5OQVNEQVE6TVNGVC5JUV9GSU5JU0hFRF9JTlYuOTkyLjAyLzA4LzIwMjYuLi5VU0QuSAEAAABLVQAAAgAAAAQxOTUzAQgAAAAFAAAAATEBAAAACjIwNDcyNzE3NDUDAAAAAzE2MAIAAAAEMzA3NQQAAAABMAcAAAAIOC8yLzIwMjYIAAAACTYvMzAvMjAx</t>
  </si>
  <si>
    <t>OAkAAAABMO3wRG8s8N4Iab26hyzw3ghAQ0lRLk5BU0RBUTpNU0ZULklRX05BVFVSQUxfUkVTT1VSQ0VTX0NPU1QuOTkzLjAyLzA4LzIwMjYuLi5VU0QuSAEAAABLVQAAAwAAAAAA7fBEbyzw3ghpvbqHLPDeCENDSVEuTkFTREFROk1TRlQuSVFfRklOX0RJVl9NSU5PUklUWV9JTlRFUkVTVC45OTMuMDIvMDgvMjAyNi4uLlVTRC5IAQAAAEtVAAADAAAAAADt8ERvLPDeCIOWuocs8N4ITENJUS5OQVNEQVE6TVNGVC5JUV9MSVFVSURBVElPTl9WQUxVRV9QUkVGRVJSRURfUkVERUVNLjk5OC4wMi8wOC8yMDI2Li4uVVNELkgBAAAAS1UAAAMAAAAAAO3wRG8s8N4Ig5a6hyzw3ghAQ0lRLk5BU0RBUTpNU0ZULklRX0xJQUJJTElUSUVTX0ZBSVJfVkFMVUUuOTk2LjAyLzA4LzIwMjYuLi5VU0QuSAEAAABLVQAAAgAAAAU1MTQ1MQDt8ERvLPDeCIOWuocs8N4IR0NJUS5OQVNEQVE6TVNGVC5JUV9DVVJSRU5UX1BPUlRfREVCVF9ERVJJVkFUSVZFUy45OTguMDIvMDgvMjAyNi4uLlVTRC5IAQAAAEtVAAADAAAAAADt8ERvLPDeCJfkuocs8N4IO0NJUS5OQVNEQVE6TVNGVC5JUV9ESVNUUklCVVRBQkxFX0NBU0hfUEFZT1VULjk5Ni4wMi8wOC8yMDI2AQAAAEtVAAADAAAAAADt8ERvLPDeCFBt4ocs8N4INUNJUS5OQVNEQVE6TVNGVC5JUV9JUFJEX1NVUFBMRS45OTguMDIvMDgvMjAyNi4uLlVTRC5IAQAAAEtVAAADAAAA</t>
  </si>
  <si>
    <t>AADt8ERvLPDeCGm9uocs8N4IO0NJUS5OQVNEQVE6TVNGVC5JUV9JTlNfU0VUVExFX1NVUFBMRS45OTYuMDIvMDgvMjAyNi4uLlVTRC5IAQAAAEtVAAADAAAAAADt8ERvLPDeCGm9uocs8N4IPkNJUS5OQVNEQVE6TVNGVC5JUV9PVEhFUl9VTlVTVUFMX1NVUFBMRS45OTcuMDIvMDgvMjAyNi4uLlVTRC5IAQAAAEtVAAADAAAAAADt8ERvLPDeCGm9uocs8N4IO0NJUS5OQVNEQVE6TVNGVC5JUV9ORUdBVElWRV9HV19BTU9SVC45OTguMDIvMDgvMjAyNi4uLlVTRC5IAQAAAEtVAAADAAAAAADt8ERvLPDeCJfkuocs8N4IOENJUS5OQVNEQVE6TVNGVC5JUV9TVE9DS19CQVNFRF9TTS45OTQuMDIvMDgvMjAyNi4uLlVTRC5IAQAAAEtVAAADAAAAAADt8ERvLPDeCJfkuocs8N4IOUNJUS5OQVNEQVE6TVNGVC5JUV9TVE9DS19CQVNFRF9TR0EuOTk1LjAyLzA4LzIwMjYuLi5VU0QuSAEAAABLVQAAAwAAAAAA7fBEbyzw3ghpvbqHLPDeCDhDSVEuTkFTREFROk1TRlQuSVFfU1RPQ0tfQkFTRURfQVQuOTkzLjAyLzA4LzIwMjYuLi5VU0QuSAEAAABLVQAAAwAAAAAA7fBEbyzw3ghpvbqHLPDeCEFDSVEuTkFTREFROk1TRlQuSVFfUkVTVFJfU1RPQ0tfQ09NUF9QUkVUQVguOTk0LjAyLzA4LzIwMjYuLi5VU0QuSAEAAABLVQAAAwAAAAAA7fBEbyzw3giX5LqHLPDeCDpDSVEuTkFTREFROk1TRlQuSVFfUkVTVFJfU1RPQ0tf</t>
  </si>
  <si>
    <t>Q09NUC45OTUuMDIvMDgvMjAyNi4uLlVTRC5IAQAAAEtVAAADAAAAAADt8ERvLPDeCFcLu4cs8N4IPENJUS5OQVNEQVE6TVNGVC5JUV9TVE9DS19PUFRJT05TX0NPTVAuOTkzLjAyLzA4LzIwMjYuLi5VU0QuSAEAAABLVQAAAwAAAAAAmAJwbyzw3ghXC7uHLPDeCD5DSVEuTkFTREFROk1TRlQuSVFfU1RPQ0tfQkFTRURfQ09NUF9UQVguOTk0LjAyLzA4LzIwMjYuLi5VU0QuSAEAAABLVQAAAgAAAAQtOTM4AJgCcG8s8N4Il+S6hyzw3gg1Q0lRLk5BU0RBUTpNU0ZULklRX0RBX1NVUFBMX0NGLjk5Mi4wMi8wOC8yMDI2Li4uVVNELkgBAAAAS1UAAAIAAAAENzcwMAEIAAAABQAAAAExAQAAAAoyMDQ3MjcxNzQ1AwAAAAMxNjACAAAABDIxNzEEAAAAATAHAAAACDgvMi8yMDI2CAAAAAk2LzMwLzIwMTgJAAAAATCYAnBvLPDeCJfkuocs8N4INENJUS5OQVNEQVE6TVNGVC5JUV9PSUxfSU1QQUlSLjk5My4wMi8wOC8yMDI2Li4uVVNELkgBAAAAS1UAAAMAAAAAAJgCcG8s8N4Il+S6hyzw3gg1Q0lRLk5BU0RBUTpNU0ZULklRX09USEVSX0FNT1JULjk5NS4wMi8wOC8yMDI2Li4uVVNELkgBAAAAS1UAAAMAAAAAAJgCcG8s8N4IczK7hyzw3gg4Q0lRLk5BU0RBUTpNU0ZULklRX0dBSU5fSU5WRVNUX0NGLjk5Mi4wMi8wOC8yMDI2Li4uVVNELkgBAAAAS1UAAAIAAAAFLTIyMTIBCAAAAAUAAAABMQEAAAAKMjA0NzI3MTc0</t>
  </si>
  <si>
    <t>NQMAAAADMTYwAgAAAAQyMDkwBAAAAAEwBwAAAAg4LzIvMjAyNggAAAAJNi8zMC8yMDE4CQAAAAEwmAJwbyzw3ghzMruHLPDeCDJDSVEuTkFTREFROk1TRlQuSVFfTE9BTlNfQ0YuOTk0LjAyLzA4LzIwMjYuLi5VU0QuSAEAAABLVQAAAwAAAAAAmAJwbyzw3ghXC7uHLPDeCDlDSVEuTkFTREFROk1TRlQuSVFfU1RPQ0tfQkFTRURfQ0YuMTAwMC4wMi8wOC8yMDI2Li4uVVNELkgBAAAAS1UAAAIAAAAFMTI0MDUBCAAAAAUAAAABMQEAAAALLTE4ODAyMjk2NjUDAAAAAzE2MAIAAAAEMjEyNwQAAAABMAcAAAAIOC8yLzIwMjYIAAAACTYvMzAvMjAyNgkAAAABMJgCcG8s8N4IVwu7hyzw3gg7Q0lRLk5BU0RBUTpNU0ZULklRX1BST1ZfQkFEX0RFQlRTX0NGLjk5My4wMi8wOC8yMDI2Li4uVVNELkgBAAAAS1UAAAMAAAAAAJgCcG8s8N4IVwu7hyzw3gg4Q0lRLk5BU0RBUTpNU0ZULklRX09USEVSX09QRVJfQUNULjk5NS4wMi8wOC8yMDI2Li4uVVNELkgBAAAAS1UAAAIAAAADNjM2AQgAAAAFAAAAATEBAAAACy0yMDM2ODQzODQzAwAAAAMxNjACAAAABDIwNDcEAAAAATAHAAAACDgvMi8yMDI2CAAAAAk2LzMwLzIwMjEJAAAAATCYAnBvLPDeCHMyu4cs8N4IO0NJUS5OQVNEQVE6TVNGVC5JUV9DSEFOR0VfSU5WRU5UT1JZLjEwMDAuMDIvMDgvMjAyNi4uLlVTRC5IAQAAAEtVAAACAAAABC00NjEBCAAAAAUAAAABMQEA</t>
  </si>
  <si>
    <t>AAALLTE4ODAyMjk2NjUDAAAAAzE2MAIAAAAEMjA5OQQAAAABMAcAAAAIOC8yLzIwMjYIAAAACTYvMzAvMjAyNgkAAAABMJgCcG8s8N4IczK7hyzw3gg7Q0lRLk5BU0RBUTpNU0ZULklRX0NIQU5HRV9VTkVBUk5fUkVWLjk5NC4wMi8wOC8yMDI2Li4uVVNELkgBAAAAS1UAAAIAAAAEMjIxMgEIAAAABQAAAAExAQAAAAstMjA4NzQ5NjYyNwMAAAADMTYwAgAAAAQyMTM5BAAAAAEwBwAAAAg4LzIvMjAyNggAAAAJNi8zMC8yMDIwCQAAAAEwmAJwbyzw3ghXC7uHLPDeCEZDSVEuTkFTREFROk1TRlQuSVFfQ0hBTkdFX09USEVSX05FVF9PUEVSX0FTU0VUUy45OTkuMDIvMDgvMjAyNi4uLlVTRC5IAQAAAEtVAAACAAAABS0xMDQ3AQgAAAAFAAAAATEBAAAACy0xODgwMjI5Njg2AwAAAAMxNjACAAAABDIwNDUEAAAAATAHAAAACDgvMi8yMDI2CAAAAAk2LzMwLzIwMjUJAAAAATCYAnBvLPDeCFcLu4cs8N4IMENJUS5OQVNEQVE6TVNGVC5JUV9DQVBFWC4xMDAwLjAyLzA4LzIwMjYuLi5VU0QuSAEAAABLVQAAAgAAAActMTE1OTQ4AQgAAAAFAAAAATEBAAAACy0xODgwMjI5NjY1AwAAAAMxNjACAAAABDIwMjEEAAAAATAHAAAACDgvMi8yMDI2CAAAAAk2LzMwLzIwMjYJAAAAATCYAnBvLPDeCHMyu4cs8N4IOUNJUS5OQVNEQVE6TVNGVC5JUV9DQVNIX0FDUVVJUkVfQ0YuOTk1LjAyLzA4LzIwMjYuLi5VU0QuSAEAAABL</t>
  </si>
  <si>
    <t>VQAAAgAAAAUtODkwOQEIAAAABQAAAAExAQAAAAstMjAzNjg0Mzg0MwMAAAADMTYwAgAAAAQyMDU3BAAAAAEwBwAAAAg4LzIvMjAyNggAAAAJNi8zMC8yMDIxCQAAAAEwmAJwbyzw3gh9WbuHLPDeCDdDSVEuTkFTREFROk1TRlQuSVFfU0FMRV9JTlRBTl9DRi45OTkuMDIvMDgvMjAyNi4uLlVTRC5IAQAAAEtVAAADAAAAAACYAnBvLPDeCH1Zu4cs8N4IQENJUS5OQVNEQVE6TVNGVC5JUV9PVEhFUl9JTlZFU1RfQUNUX1NVUFBMLjk5Mi4wMi8wOC8yMDI2Li4uVVNELkgBAAAAS1UAAAIAAAADLTk4AQgAAAAFAAAAATEBAAAACjIwNDcyNzE3NDUDAAAAAzE2MAIAAAAEMjA1MQQAAAABMAcAAAAIOC8yLzIwMjYIAAAACTYvMzAvMjAxOAkAAAABMJgCcG8s8N4IczK7hyzw3gg4Q0lRLk5BU0RBUTpNU0ZULklRX0xUX0RFQlRfSVNTVUVELjk5Ni4wMi8wOC8yMDI2Li4uVVNELkgBAAAAS1UAAAMAAAAAAJgCcG8s8N4IczK7hyzw3gg8Q0lRLk5BU0RBUTpNU0ZULklRX1RPVEFMX0RFQlRfSVNTVUVELjEwMDAuMDIvMDgvMjAyNi4uLlVTRC5IAQAAAEtVAAADAAAAAACYAnBvLPDeCHMyu4cs8N4IO0NJUS5OQVNEQVE6TVNGVC5JUV9UT1RBTF9ERUJUX1JFUEFJRC45OTMuMDIvMDgvMjAyNi4uLlVTRC5IAQAAAEtVAAACAAAABS00MDAwAQgAAAAFAAAAATEBAAAACy0yMTQwOTgxNDY5AwAAAAMxNjACAAAABDIxNjYEAAAA</t>
  </si>
  <si>
    <t>ATAHAAAACDgvMi8yMDI2CAAAAAk2LzMwLzIwMTkJAAAAATCYAnBvLPDeCIeAu4cs8N4INUNJUS5OQVNEQVE6TVNGVC5JUV9QUkVGX0lTU1VFRC45OTcuMDIvMDgvMjAyNi4uLlVTRC5IAQAAAEtVAAADAAAAAACYAnBvLPDeCIeAu4cs8N4IN0NJUS5OQVNEQVE6TVNGVC5JUV9DT01NT05fRElWX0NGLjk5Mi4wMi8wOC8yMDI2Li4uVVNELkgBAAAAS1UAAAIAAAAGLTEyNjk5AQgAAAAFAAAAATEBAAAACjIwNDcyNzE3NDUDAAAAAzE2MAIAAAAEMjA3NAQAAAABMAcAAAAIOC8yLzIwMjYIAAAACTYvMzAvMjAxOAkAAAABMJgCcG8s8N4IczK7hyzw3gg7Q0lRLk5BU0RBUTpNU0ZULklRX1RPVEFMX0RJVl9QQUlEX0NGLjk5Ni4wMi8wOC8yMDI2Li4uVVNELkgBAAAAS1UAAAIAAAAGLTE4MTM1AQgAAAAFAAAAATEBAAAACy0xOTg1OTMxMjI0AwAAAAMxNjACAAAABDIwMjIEAAAAATAHAAAACDgvMi8yMDI2CAAAAAk2LzMwLzIwMjIJAAAAATCYAnBvLPDeCH1Zu4cs8N4IQUNJUS5OQVNEQVE6TVNGVC5JUV9PVEhFUl9GSU5BTkNFX0FDVF9TVVBQTC45OTguMDIvMDgvMjAyNi4uLlVTRC5IAQAAAEtVAAACAAAABS0xMzA5AQgAAAAFAAAAATEBAAAACy0xODgwMjI5Njk0AwAAAAMxNjACAAAABDIwNTAEAAAAATAHAAAACDgvMi8yMDI2CAAAAAk2LzMwLzIwMjQJAAAAATCYAnBvLPDeCH1Zu4cs8N4ILENJUS5OQVNEQVE6</t>
  </si>
  <si>
    <t>TVNGVC5JUV9GWC45OTIuMDIvMDgvMjAyNi4uLlVTRC5IAQAAAEtVAAACAAAAAjUwAQgAAAAFAAAAATEBAAAACjIwNDcyNzE3NDUDAAAAAzE2MAIAAAAEMjE0NAQAAAABMAcAAAAIOC8yLzIwMjYIAAAACTYvMzAvMjAxOAkAAAABMJgCcG8s8N4Ih4C7hyzw3gg9Q0lRLk5BU0RBUTpNU0ZULklRX0RBX1NVUFBMX1BBUlRJQUxfQ0YuOTk1LjAyLzA4LzIwMjYuLi5VU0QuSAEAAABLVQAAAwAAAAAAmAJwbyzw3giHgLuHLPDeCEdDSVEuTkFTREFROk1TRlQuSVFfREVQUkVDSUFUSU9OX1JFTlRBTF9BU1NFVFNfQ0YuOTk1LjAyLzA4LzIwMjYuLi5VU0QuSAEAAABLVQAAAwAAAAAAmAJwbyzw3gh9WbuHLPDeCEZDSVEuTkFTREFROk1TRlQuSVFfREFfU1VQUExfQ0ZfRVhDTF9PUEVSX0xFQVNFUy45OTguMDIvMDgvMjAyNi4uLlVTRC5IAQAAAEtVAAACAAAABTE1MjAwAQgAAAAFAAAAATEBAAAACy0xODgwMjI5Njk0AwAAAAMxNjACAAAABTQ4OTgzBAAAAAEwBwAAAAg4LzIvMjAyNggAAAAJNi8zMC8yMDI0CQAAAAEwmAJwbyzw3gh9WbuHLPDeCDZDSVEuTkFTREFROk1TRlQuSVFfQU1PUlRfRElDX0NGLjk5OC4wMi8wOC8yMDI2Li4uVVNELkgBAAAAS1UAAAMAAAAAAJgCcG8s8N4IfVm7hyzw3gg3Q0lRLk5BU0RBUTpNU0ZULklRX0NBU0hfSU5URVJFU1QuOTk3LjAyLzA4LzIwMjYuLi5VU0QuSAEAAABLVQAAAgAA</t>
  </si>
  <si>
    <t>AAQxNzAwAQgAAAAFAAAAATEBAAAACy0xOTM0MjU0MjUwAwAAAAMxNjACAAAABDMwMjgEAAAAATAHAAAACDgvMi8yMDI2CAAAAAk2LzMwLzIwMjMJAAAAATCYAnBvLPDeCMGnu4cs8N4IQENJUS5OQVNEQVE6TVNGVC5JUV9DQVNIX0lOVEVSRVNUX1JFQ0VJVkVELjk5Mi4wMi8wOC8yMDI2Li4uVVNELkgBAAAAS1UAAAMAAAAAAJgCcG8s8N4Iwae7hyzw3gg9Q0lRLk5BU0RBUTpNU0ZULklRX0NBU0hfSU5URVJFU1RfRklOQU4uOTkyLjAyLzA4LzIwMjYuLi5VU0QuSAEAAABLVQAAAwAAAAAAmAJwbyzw3giHgLuHLPDeCDtDSVEuTkFTREFROk1TRlQuSVFfQ0FTSF9UQVhFU19JTlZFU1QuOTkzLjAyLzA4LzIwMjYuLi5VU0QuSAEAAABLVQAAAwAAAAAAmAJwbyzw3giHgLuHLPDeCERDSVEuTkFTREFROk1TRlQuSVFfQ0hBTkdFX05FVF9XT1JLSU5HX0NBUElUQUwuOTkyLjAyLzA4LzIwMjYuLi5VU0QuSAEAAABLVQAAAgAAAAUtMjYyNAEIAAAABQAAAAExAQAAAAoyMDQ3MjcxNzQ1AwAAAAMxNjACAAAABDQ0MjEEAAAAATAHAAAACDgvMi8yMDI2CAAAAAk2LzMwLzIwMTgJAAAAATCYAnBvLPDeCIeAu4cs8N4IOENJUS5OQVNEQVE6TVNGVC5JUV9VTkxFVkVSRURfRkNGLjEwMDAuMDIvMDgvMjAyNi4uLlVTRC5IAQAAAEtVAAACAAAACTE4Mjg5LjEyNQEIAAAABQAAAAExAQAAAAstMTg4MDIyOTY2NQMAAAADMTYw</t>
  </si>
  <si>
    <t>AgAAAAQ0NDIzBAAAAAEwBwAAAAg4LzIvMjAyNggAAAAJNi8zMC8yMDI2CQAAAAEwmAJwbyzw3gjBp7uHLPDeCDZDSVEuTkFTREFROk1TRlQuSVFfTUFJTlRfQ0FQRVguMTAwMC4wMi8wOC8yMDI2Li4uVVNELkgBAAAAS1UAAAMAAAAAAJgCcG8s8N4Iwae7hyzw3gg3Q0lRLk5BU0RBUTpNU0ZULklRX0RPX0ZJTkFOQ0VfQ0YuOTk2LjAyLzA4LzIwMjYuLi5VU0QuSAEAAABLVQAAAwAAAAAAmAJwbyzw3giHgLuHLPDeCE1DSVEuTkFTREFROk1TRlQuSVFfT1BFUkFUSU5HX0xFQVNFX0xJQUJJTElUSUVTX05PTkNBU0guOTk2LjAyLzA4LzIwMjYuLi5VU0QuSAEAAABLVQAAAwAAAAAAmAJwbyzw3giHgLuHLPDeCClDSVEuTkFTREFROk1TRlQuSVFfR0FBUF9JUy45OTguMDIvMDgvMjAyNgEAAABLVQAAAwAAAAdVUyBHQUFQABd2wm8s8N4Iba/chyzw3gg9Q0lRLk5BU0RBUTpNU0ZULklRX0dBSU5fQkFSR0FJTl9BQ1FfQ0YuOTk1LjAyLzA4LzIwMjYuLi5VU0QuSAEAAABLVQAAAwAAAAAAmAJwbyzw3giHgLuHLPDeCDRDSVEuTkFTREFROk1TRlQuSVFfU1RfSU5WRVNULjEwMDAuMDIvMDgvMjAyNi4uLlVTRC5IAQAAAEtVAAACAAAABTU1NzE2AQgAAAAFAAAAATEBAAAACy0xODgwMjI5NjY1AwAAAAMxNjACAAAABDEwNjkEAAAAATAHAAAACDgvMi8yMDI2CAAAAAk2LzMwLzIwMjYJAAAAATCYAnBvLPDeCM7Ou4cs</t>
  </si>
  <si>
    <t>8N4ILENJUS5OQVNEQVE6TVNGVC5JUV9BUi45OTkuMDIvMDgvMjAyNi4uLlVTRC5IAQAAAEtVAAACAAAABTY5OTA1AQgAAAAFAAAAATEBAAAACy0xODgwMjI5Njg2AwAAAAMxNjACAAAABDEwMjEEAAAAATAHAAAACDgvMi8yMDI2CAAAAAk2LzMwLzIwMjUJAAAAATCYAnBvLPDeCM7Ou4cs8N4IN0NJUS5OQVNEQVE6TVNGVC5JUV9UT1RBTF9SRUNFSVYuMTAwMC4wMi8wOC8yMDI2Li4uVVNELkgBAAAAS1UAAAIAAAAGMTA4Njc2AQgAAAAFAAAAATEBAAAACy0xODgwMjI5NjY1AwAAAAMxNjACAAAABDEwMDEEAAAAATAHAAAACDgvMi8yMDI2CAAAAAk2LzMwLzIwMjYJAAAAATCYAnBvLPDeCMGnu4cs8N4IMENJUS5OQVNEQVE6TVNGVC5JUV9SRVNUQVRFTUVOVF9DRi45OTIuMDIvMDgvMjAyNgEAAABLVQAAAwAAAAJOQwAXdsJvLPDeCG7W3Ics8N4IP0NJUS5OQVNEQVE6TVNGVC5JUV9UT1RBTF9PVVRTVEFORElOR19GSUxJTkdfREFURS45OTMuMDIvMDgvMjAyNgEAAABLVQAAAgAAAAk3NjM1LjQwOTQBBAAAAAUAAAABNQEAAAALLTIxNDA5ODE0NjkCAAAABTI0MTUzBgAAAAEwF3bCbyzw3ghu1tyHLPDeCCxDSVEuTkFTREFROk1TRlQuSVFfSU5WX01FVEhPRC45OTMuMDIvMDgvMjAyNgEAAABLVQAAAwAAAAhBdmcgQ29zdAAXdsJvLPDeCG7W3Ics8N4IK0NJUS5OQVNEQVE6TVNGVC5JUV9QQVJUX1RJTUUuOTk0</t>
  </si>
  <si>
    <t>LjAyLzA4LzIwMjYBAAAAS1UAAAMAAAAAABd2wm8s8N4IIojchyzw3ggvQ0lRLk5BU0RBUTpNU0ZULklRX0FWR19FTVBMT1lFRVMuOTkyLjAyLzA4LzIwMjYBAAAAS1UAAAMAAAAAABd2wm8s8N4IIojchyzw3ggzQ0lRLk5BU0RBUTpNU0ZULklRX05VTUJFUl9BRFJIT0xERVJTLjk5My4wMi8wOC8yMDI2AQAAAEtVAAADAAAAAAAXdsJvLPDeCG2v3Ics8N4IMENJUS5OQVNEQVE6TVNGVC5JUV9SRVNUQVRFTUVOVF9CUy45OTMuMDIvMDgvMjAyNgEAAABLVQAAAwAAAAJOQwAXdsJvLPDeCG2v3Ics8N4IKUNJUS5OQVNEQVE6TVNGVC5JUV9HQUFQX0JTLjk5NC4wMi8wOC8yMDI2AQAAAEtVAAADAAAAB1VTIEdBQVAAF3bCbyzw3ghtr9yHLPDeCDBDSVEuTkFTREFROk1TRlQuSVFfUkVUVVJOX0NBUElUQUwuOTkzLjAyLzA4LzIwMjYBAAAAS1UAAAIAAAAHMTQuOTU3NAEIAAAABQAAAAExAQAAAAstMjE0MDk4MTQ2OQMAAAADMTYwAgAAAAQ0MzYzBAAAAAEwBwAAAAg4LzIvMjAyNggAAAAJNi8zMC8yMDE5CQAAAAEwF3bCbyzw3ggiiNyHLPDeCC5DSVEuTkFTREFROk1TRlQuSVFfR1JPU1NfTUFSR0lOLjk5OS4wMi8wOC8yMDI2AQAAAEtVAAACAAAABzY4LjgyMzcBCAAAAAUAAAABMQEAAAALLTE4ODAyMjk2ODYDAAAAAzE2MAIAAAAENDA3NAQAAAABMAcAAAAIOC8yLzIwMjYIAAAACTYvMzAvMjAyNQkAAAABMBd2</t>
  </si>
  <si>
    <t>wm8s8N4IIojchyzw3ggtQ0lRLk5BU0RBUTpNU0ZULklRX0VCSVRfTUFSR0lOLjk5Mi4wMi8wOC8yMDI2AQAAAEtVAAACAAAABzMxLjc2NjkBCAAAAAUAAAABMQEAAAAKMjA0NzI3MTc0NQMAAAADMTYwAgAAAAQ0MDUzBAAAAAEwBwAAAAg4LzIvMjAyNggAAAAJNi8zMC8yMDE4CQAAAAEwF3bCbyzw3ghtr9yHLPDeCC1DSVEuTkFTREFROk1TRlQuSVFfQVNTRVRfVFVSTlMuOTk4LjAyLzA4LzIwMjYBAAAAS1UAAAIAAAAIMC41MzA0ODcBCAAAAAUAAAABMQEAAAALLTE4ODAyMjk2OTQDAAAAAzE2MAIAAAAENDE3NwQAAAABMAcAAAAIOC8yLzIwMjYIAAAACTYvMzAvMjAyNAkAAAABMBd2wm8s8N4Iba/chyzw3ggrQ0lRLk5BU0RBUTpNU0ZULklRX0FSX1RVUk5TLjEwMDAuMDIvMDgvMjAyNgEAAABLVQAAAgAAAAg0LjQwMTYwMgEIAAAABQAAAAExAQAAAAstMTg4MDIyOTY2NQMAAAADMTYwAgAAAAQ0MDAxBAAAAAEwBwAAAAg4LzIvMjAyNggAAAAJNi8zMC8yMDI2CQAAAAEwF3bCbyzw3ggiiNyHLPDeCC9DSVEuTkFTREFROk1TRlQuSVFfQ1VSUkVOVF9SQVRJTy45OTIuMDIvMDgvMjAyNgEAAABLVQAAAgAAAAYyLjkwMDgBCAAAAAUAAAABMQEAAAAKMjA0NzI3MTc0NQMAAAADMTYwAgAAAAQ0MDMwBAAAAAEwBwAAAAg4LzIvMjAyNggAAAAJNi8zMC8yMDE4CQAAAAEwF3bCbyzw3ggoYdyHLPDeCDBDSVEuTkFT</t>
  </si>
  <si>
    <t>REFROk1TRlQuSVFfREFZU19TQUxFU19PVVQuOTk5LjAyLzA4LzIwMjYBAAAAS1UAAAIAAAAIODIuMTU5MzEBCAAAAAUAAAABMQEAAAALLTE4ODAyMjk2ODYDAAAAAzE2MAIAAAAENDA0MgQAAAABMAcAAAAIOC8yLzIwMjYIAAAACTYvMzAvMjAyNQkAAAABMBd2wm8s8N4IKGHchyzw3ggzQ0lRLk5BU0RBUTpNU0ZULklRX0RBWVNfUEFZQUJMRV9PVVQuMTAwMC4wMi8wOC8yMDI2AQAAAEtVAAACAAAACjExOS44MTgxODUBCAAAAAUAAAABMQEAAAALLTE4ODAyMjk2NjUDAAAAAzE2MAIAAAAENDE4MwQAAAABMAcAAAAIOC8yLzIwMjYIAAAACTYvMzAvMjAyNgkAAAABMBd2wm8s8N4IIojchyzw3gg0Q0lRLk5BU0RBUTpNU0ZULklRX1RPVEFMX0RFQlRfQ0FQSVRBTC45OTguMDIvMDgvMjAyNgEAAABLVQAAAgAAAAcyNi43MTE1AQgAAAAFAAAAATEBAAAACy0xODgwMjI5Njk0AwAAAAMxNjACAAAABDQxODYEAAAAATAHAAAACDgvMi8yMDI2CAAAAAk2LzMwLzIwMjQJAAAAATAXdsJvLPDeCCKI3Ics8N4IMUNJUS5OQVNEQVE6TVNGVC5JUV9MVF9ERUJUX0NBUElUQUwuOTk5LjAyLzA4LzIwMjYBAAAAS1UAAAIAAAAHMjIuMDc1MwEIAAAABQAAAAExAQAAAAstMTg4MDIyOTY4NgMAAAADMTYwAgAAAAQ0MTg3BAAAAAEwBwAAAAg4LzIvMjAyNggAAAAJNi8zMC8yMDI1CQAAAAEwF3bCbyzw3ggiiNyHLPDeCCtDSVEu</t>
  </si>
  <si>
    <t>TkFTREFROk1TRlQuSVFfRUJJVF9JTlQuMTAwMC4wMi8wOC8yMDI2AQAAAEtVAAACAAAACTUwLjM4NTI2NAEIAAAABQAAAAExAQAAAAstMTg4MDIyOTY2NQMAAAADMTYwAgAAAAQ0MTg5BAAAAAEwBwAAAAg4LzIvMjAyNggAAAAJNi8zMC8yMDI2CQAAAAEwF3bCbyzw3ggoYdyHLPDeCDJDSVEuTkFTREFROk1TRlQuSVFfRUJJVERBX0NBUEVYX0lOVC45OTguMDIvMDgvMjAyNgEAAABLVQAAAgAAAAkyOS42NzE4MDYBCAAAAAUAAAABMQEAAAALLTE4ODAyMjk2OTQDAAAAAzE2MAIAAAAENDE5MQQAAAABMAcAAAAIOC8yLzIwMjYIAAAACTYvMzAvMjAyNAkAAAABMBd2wm8s8N4IKGHchyzw3ggzQ0lRLk5BU0RBUTpNU0ZULklRX1RPVEFMX0RFQlRfRUJJVERBLjk5OS4wMi8wOC8yMDI2AQAAAEtVAAACAAAACDAuNjkyMjcxAQgAAAAFAAAAATEBAAAACy0xODgwMjI5Njg2AwAAAAMxNjACAAAABDQxOTIEAAAAATAHAAAACDgvMi8yMDI2CAAAAAk2LzMwLzIwMjUJAAAAATAXdsJvLPDeCChh3Ics8N4IQkNJUS5OQVNEQVE6TVNGVC5JUV9ORVRfREVCVF9FQklUREFfRVhDTF9PUEVSX0xFQVNFUy45OTcuMDIvMDgvMjAyNgEAAABLVQAAAwAAAAJOTQEIAAAABQAAAAExAQAAAAstMTkzNDI1NDI1MAMAAAADMTYwAgAAAAU0OTE3NQQAAAABMAcAAAAIOC8yLzIwMjYIAAAACTYvMzAvMjAyMwkAAAABMBd2wm8s8N4IKGHc</t>
  </si>
  <si>
    <t>hyzw3ghKQ0lRLk5BU0RBUTpNU0ZULklRX1RPVEFMX0RFQlRfRUJJVERBX0VYQ0xfT1BFUl9MRUFTRVNfQ0FQRVguOTk4LjAyLzA4LzIwMjYBAAAAS1UAAAIAAAAIMS4xNTE3OTYBCAAAAAUAAAABMQEAAAALLTE4ODAyMjk2OTQDAAAAAzE2MAIAAAAFNDkxODMEAAAAATAHAAAACDgvMi8yMDI2CAAAAAk2LzMwLzIwMjQJAAAAATAXdsJvLPDeCChh3Ics8N4ISENJUS5OQVNEQVE6TVNGVC5JUV9ORVRfREVCVF9FQklUREFfRVhDTF9PUEVSX0xFQVNFU19DQVBFWC45OTkuMDIvMDgvMjAyNgEAAABLVQAAAgAAAAgwLjE5MTY2NwEIAAAABQAAAAExAQAAAAstMTg4MDIyOTY4NgMAAAADMTYwAgAAAAU0OTE4MgQAAAABMAcAAAAIOC8yLzIwMjYIAAAACTYvMzAvMjAyNQkAAAABMBd2wm8s8N4IKGHchyzw3gg3Q0lRLk5BU0RBUTpNU0ZULklRX0VCSVREQV8xWVJfQU5OX0dST1dUSC45OTMuMDIvMDgvMjAyNgEAAABLVQAAAgAAAAcyMS4zNTU0AQgAAAAFAAAAATEBAAAACy0yMTQwOTgxNDY5AwAAAAMxNjACAAAABDQxOTYEAAAAATAHAAAACDgvMi8yMDI2CAAAAAk2LzMwLzIwMTkJAAAAATAXdsJvLPDeCAU63Ics8N4IM0NJUS5OQVNEQVE6TVNGVC5JUV9OSV8xWVJfQU5OX0dST1dUSC45OTQuMDIvMDgvMjAyNgEAAABLVQAAAgAAAAcxMi44NDY1AQgAAAAFAAAAATEBAAAACy0yMDg3NDk2NjI3AwAAAAMxNjACAAAA</t>
  </si>
  <si>
    <t>BDQxOTkEAAAAATAHAAAACDgvMi8yMDI2CAAAAAk2LzMwLzIwMjAJAAAAATAXdsJvLPDeCChh3Ics8N4IMUNJUS5OQVNEQVE6TVNGVC5JUV9HUF8zWVJfQU5OX0NBR1IuOTkyLjAyLzA4LzIwMjYBAAAAS1UAAAIAAAAGNS45NTEyAQgAAAAFAAAAATEBAAAACjIwNDcyNzE3NDUDAAAAAzE2MAIAAAAENDIyMQQAAAABMAcAAAAIOC8yLzIwMjYIAAAACTYvMzAvMjAxOAkAAAABMBd2wm8s8N4IKGHchyzw3ggzQ0lRLk5BU0RBUTpNU0ZULklRX0VCSVRfM1lSX0FOTl9DQUdSLjk5My4wMi8wOC8yMDI2AQAAAEtVAAACAAAABzE2LjQ3MzEBCAAAAAUAAAABMQEAAAALLTIxNDA5ODE0NjkDAAAAAzE2MAIAAAAENDIyMwQAAAABMAcAAAAIOC8yLzIwMjYIAAAACTYvMzAvMjAxOQkAAAABMBd2wm8s8N4IKGHchyzw3ggyQ0lRLk5BU0RBUTpNU0ZULklRX0VQU18zWVJfQU5OX0NBR1IuOTk0LjAyLzA4LzIwMjYBAAAAS1UAAAIAAAAGMjEuMDE3AQgAAAAFAAAAATEBAAAACy0yMDg3NDk2NjI3AwAAAAMxNjACAAAABDQyMjYEAAAAATAHAAAACDgvMi8yMDI2CAAAAAk2LzMwLzIwMjAJAAAAATAXdsJvLPDeCAU63Ics8N4INUNJUS5OQVNEQVE6TVNGVC5JUV9FQklUREFfNVlSX0FOTl9DQUdSLjk5Mi4wMi8wOC8yMDI2AQAAAEtVAAACAAAABjcuODMyNQEIAAAABQAAAAExAQAAAAoyMDQ3MjcxNzQ1AwAAAAMxNjACAAAABDQy</t>
  </si>
  <si>
    <t>MzUEAAAAATAHAAAACDgvMi8yMDI2CAAAAAk2LzMwLzIwMTgJAAAAATAXdsJvLPDeCAU63Ics8N4IMUNJUS5OQVNEQVE6TVNGVC5JUV9OSV81WVJfQU5OX0NBR1IuOTkzLjAyLzA4LzIwMjYBAAAAS1UAAAIAAAAGMTIuMTk0AQgAAAAFAAAAATEBAAAACy0yMTQwOTgxNDY5AwAAAAMxNjACAAAABDQyMzgEAAAAATAHAAAACDgvMi8yMDI2CAAAAAk2LzMwLzIwMTkJAAAAATAXdsJvLPDeCChh3Ics8N4IO0NJUS5OQVNEQVE6TVNGVC5JUV9BU1NFVFNfRkFJUl9WQUxVRS45OTguMDIvMDgvMjAyNi4uLlVTRC5IAQAAAEtVAAACAAAABTY4Nzc3ABd2wm8s8N4I5WTHhyzw3gg9Q0lRLk5BU0RBUTpNU0ZULklRX0xJQUJJTElUSUVTX0xFVkVMXzMuOTk1LjAyLzA4LzIwMjYuLi5VU0QuSAEAAABLVQAAAwAAAAAAF3bCbyzw3ghAmseHLPDeCEBDSVEuTkFTREFROk1TRlQuSVFfTElBQklMSVRJRVNfRkFJUl9WQUxVRS45OTcuMDIvMDgvMjAyNi4uLlVTRC5IAQAAAEtVAAACAAAABTQ3MDA1ABd2wm8s8N4IQJrHhyzw3gg/Q0lRLk5BU0RBUTpNU0ZULklRX0ZJTl9ESVZfU1RfREVCVF9UT1RBTC45OTYuMDIvMDgvMjAyNi4uLlVTRC5IAQAAAEtVAAADAAAAAAAXdsJvLPDeCECax4cs8N4IPENJUS5OQVNEQVE6TVNGVC5JUV9GSU5fRElWX0NBU0hfRVFVSVYuOTk3LjAyLzA4LzIwMjYuLi5VU0QuSAEAAABLVQAAAwAAAAAA</t>
  </si>
  <si>
    <t>F3bCbyzw3ghAmseHLPDeCDxDSVEuTkFTREFROk1TRlQuSVFfREVCVF9FUVVJVl9ORVRfUEJPLjk5OC4wMi8wOC8yMDI2Li4uVVNELkgBAAAAS1UAAAMAAAAAABd2wm8s8N4IQJrHhyzw3ghAQ0lRLk5BU0RBUTpNU0ZULklRX1JFU1RSSUNURURfQ0FTSF9UT1RBTC4xMDAwLjAyLzA4LzIwMjYuLi5VU0QuSAEAAABLVQAAAwAAAAAAF3bCbyzw3ghAmseHLPDeCEBDSVEuTkFTREFROk1TRlQuSVFfQ09OVElOR0VOVF9MSUFCSUxJVElFUy45OTMuMDIvMDgvMjAyNi4uLlVTRC5IAQAAAEtVAAADAAAAAAAXdsJvLPDeCJ7Bx4cs8N4IR0NJUS5OQVNEQVE6TVNGVC5JUV9DVVJSRU5UX1BPUlRfREVCVF9ERVJJVkFUSVZFUy45OTcuMDIvMDgvMjAyNi4uLlVTRC5IAQAAAEtVAAADAAAAAAAXdsJvLPDeCJ7Bx4cs8N4IQUNJUS5OQVNEQVE6TVNGVC5JUV9ERVJJVkFUSVZFX0xJQUJfQ1VSUkVOVC45OTIuMDIvMDgvMjAyNi4uLlVTRC5IAQAAAEtVAAACAAAAAzI4OAEIAAAABQAAAAExAQAAAAoyMDQ3MjcxNzQ1AwAAAAMxNjACAAAABTQwNDE3BAAAAAEwBwAAAAg4LzIvMjAyNggAAAAJNi8zMC8yMDE4CQAAAAEwF3bCbyzw3ghAmseHLPDeCENDSVEuTkFTREFROk1TRlQuSVFfREVSSVZBVElWRV9UUkFESU5HX0FTU0VUUy45OTMuMDIvMDgvMjAyNi4uLlVTRC5IAQAAAEtVAAADAAAAAAAXdsJvLPDeCECax4cs8N4IPENJ</t>
  </si>
  <si>
    <t>US5OQVNEQVE6TVNGVC5JUV9HUk9TU19JTlRBTl9BU1NFVFMuOTk4LjAyLzA4LzIwMjYuLi5VU0QuSAEAAABLVQAAAgAAAAU0NDUwOQEIAAAABQAAAAExAQAAAAstMTg4MDIyOTY5NAMAAAADMTYwAgAAAAUyNDI5MwQAAAABMAcAAAAIOC8yLzIwMjYIAAAACTYvMzAvMjAyNAkAAAABMBd2wm8s8N4IQJrHhyzw3ggyQ0lRLk5BU0RBUTpNU0ZULklRX0dST1NTX0dXLjk5Mi4wMi8wOC8yMDI2Li4uVVNELkgBAAAAS1UAAAMAAAAAABd2wm8s8N4InsHHhyzw3gg/Q0lRLk5BU0RBUTpNU0ZULklRX0FEVkFOQ0VTX0ZPUl9TVVBQTElFUy45OTcuMDIvMDgvMjAyNi4uLlVTRC5IAQAAAEtVAAADAAAAAAAXdsJvLPDeCJ7Bx4cs8N4IMENJUS5OQVNEQVE6TVNGVC5JUV9HV19ORVQuOTk5LjAyLzA4LzIwMjYuLi5VU0QuSAEAAABLVQAAAgAAAAYxMTk1MDkBCAAAAAUAAAABMQEAAAALLTE4ODAyMjk2ODYDAAAAAzE2MAIAAAAFNDg5NjAEAAAAATAHAAAACDgvMi8yMDI2CAAAAAk2LzMwLzIwMjUJAAAAATAXdsJvLPDeCJ7Bx4cs8N4IOUNJUS5OQVNEQVE6TVNGVC5JUV9JTlRFUkNPTVBBTllfQ0EuOTkyLjAyLzA4LzIwMjYuLi5VU0QuSAEAAABLVQAAAwAAAAAAF3bCbyzw3giewceHLPDeCD1DSVEuTkFTREFROk1TRlQuSVFfSU5URVJDT01QQU5ZX05PTl9DTC45OTguMDIvMDgvMjAyNi4uLlVTRC5IAQAAAEtVAAADAAAA</t>
  </si>
  <si>
    <t>AAAXdsJvLPDeCJ7Bx4cs8N4IMkNJUS5OQVNEQVE6TVNGVC5JUV9EUl9SQVRJT19QUklNQVJZLjk5My4wMi8wOC8yMDI2AQAAAEtVAAACAAAABzAuMDQxNjcAF3bCbyzw3ggFOtyHLPDeCDFDSVEuTkFTREFROk1TRlQuSVFfUEVSSU9ETEVOR1RIX0lTLjk5My4wMi8wOC8yMDI2AQAAAEtVAAABAAAAAjEyABd2wm8s8N4IBTrchyzw3ggxQ0lRLk5BU0RBUTpNU0ZULklRX0VGRkVDVF9UQVhfUkFURS45OTYuMDIvMDgvMjAyNgEAAABLVQAAAgAAAAcxMy4xMTMzAQgAAAAFAAAAATEBAAAACy0xOTg1OTMxMjI0AwAAAAMxNjACAAAABDQzNzYEAAAAATAHAAAACDgvMi8yMDI2CAAAAAk2LzMwLzIwMjIJAAAAATAXdsJvLPDeCP0S3Ics8N4IMENJUS5OQVNEQVE6TVNGVC5JUV9SRVNUQVRFTUVOVF9JUy45OTguMDIvMDgvMjAyNgEAAABLVQAAAwAAAAJOQwAXdsJvLPDeCP0S3Ics8N4IKUNJUS5OQVNEQVE6TVNGVC5JUV9HQUFQX0lTLjk5OS4wMi8wOC8yMDI2AQAAAEtVAAADAAAAB1VTIEdBQVAAF3bCbyzw3ggFOtyHLPDeCDFDSVEuTkFTREFROk1TRlQuSVFfRklMSU5HX0NVUlJFTkNZLjk5NS4wMi8wOC8yMDI2AQAAAEtVAAADAAAAA1VTRAAXdsJvLPDeCFBt4ocs8N4IKUNJUS5OQVNEQVE6TVNGVC5JUV9HQUFQX0NGLjk5OS4wMi8wOC8yMDI2AQAAAEtVAAADAAAAB1VTIEdBQVAAF3bCbyzw3ggFOtyHLPDeCDtD</t>
  </si>
  <si>
    <t>SVEuTkFTREFROk1TRlQuSVFfVE9UQUxfT1VUU1RBTkRJTkdfQlNfREFURS45OTcuMDIvMDgvMjAyNgEAAABLVQAAAgAAAAQ3NDMyAQQAAAAFAAAAATUBAAAACy0xOTM0MjU0MjUwAgAAAAUyNDE1MgYAAAABMBd2wm8s8N4I/RLchyzw3ggsQ0lRLk5BU0RBUTpNU0ZULklRX1BBUlRfVElNRS4xMDAwLjAyLzA4LzIwMjYBAAAAS1UAAAMAAAAAABd2wm8s8N4I/RLchyzw3ggvQ0lRLk5BU0RBUTpNU0ZULklRX0FWR19FTVBMT1lFRVMuOTkzLjAyLzA4LzIwMjYBAAAAS1UAAAMAAAAAABd2wm8s8N4IBTrchyzw3ggzQ0lRLk5BU0RBUTpNU0ZULklRX05VTUJFUl9BRFJIT0xERVJTLjk5NC4wMi8wOC8yMDI2AQAAAEtVAAADAAAAAAAXdsJvLPDeCP0S3Ics8N4IMENJUS5OQVNEQVE6TVNGVC5JUV9SRVNUQVRFTUVOVF9CUy45OTQuMDIvMDgvMjAyNgEAAABLVQAAAwAAAAJOQwAXdsJvLPDeCP0S3Ics8N4IKUNJUS5OQVNEQVE6TVNGVC5JUV9HQUFQX0JTLjk5NS4wMi8wOC8yMDI2AQAAAEtVAAADAAAAB1VTIEdBQVAAF3bCbyzw3gjn69uHLPDeCC9DSVEuTkFTREFROk1TRlQuSVFfUkVUVVJOX0VRVUlUWS45OTguMDIvMDgvMjAyNgEAAABLVQAAAgAAAAczNy4xMzMzAQgAAAAFAAAAATEBAAAACy0xODgwMjI5Njk0AwAAAAMxNjACAAAABDQxMjgEAAAAATAHAAAACDgvMi8yMDI2CAAAAAk2LzMwLzIwMjQJAAAAATAX</t>
  </si>
  <si>
    <t>dsJvLPDeCOfr24cs8N4ILkNJUS5OQVNEQVE6TVNGVC5JUV9HUk9TU19NQVJHSU4uOTkyLjAyLzA4LzIwMjYBAAAAS1UAAAIAAAAHNjUuMjQ3MwEIAAAABQAAAAExAQAAAAoyMDQ3MjcxNzQ1AwAAAAMxNjACAAAABDQwNzQEAAAAATAHAAAACDgvMi8yMDI2CAAAAAk2LzMwLzIwMTgJAAAAATAXdsJvLPDeCP0S3Ics8N4ILUNJUS5OQVNEQVE6TVNGVC5JUV9FQklUX01BUkdJTi45OTMuMDIvMDgvMjAyNgEAAABLVQAAAgAAAAczNC4xMzY5AQgAAAAFAAAAATEBAAAACy0yMTQwOTgxNDY5AwAAAAMxNjACAAAABDQwNTMEAAAAATAHAAAACDgvMi8yMDI2CAAAAAk2LzMwLzIwMTkJAAAAATAXdsJvLPDeCP0S3Ics8N4ILUNJUS5OQVNEQVE6TVNGVC5JUV9BU1NFVF9UVVJOUy45OTkuMDIvMDgvMjAyNgEAAABLVQAAAgAAAAgwLjQ5ODExMgEIAAAABQAAAAExAQAAAAstMTg4MDIyOTY4NgMAAAADMTYwAgAAAAQ0MTc3BAAAAAEwBwAAAAg4LzIvMjAyNggAAAAJNi8zMC8yMDI1CQAAAAEwF3bCbyzw3gj9EtyHLPDeCCpDSVEuTkFTREFROk1TRlQuSVFfQVJfVFVSTlMuOTkyLjAyLzA4LzIwMjYBAAAAS1UAAAIAAAAINC41MTI1OTQBCAAAAAUAAAABMQEAAAAKMjA0NzI3MTc0NQMAAAADMTYwAgAAAAQ0MDAxBAAAAAEwBwAAAAg4LzIvMjAyNggAAAAJNi8zMC8yMDE4CQAAAAEwF3bCbyzw3gjn69uHLPDeCC1DSVEuTkFT</t>
  </si>
  <si>
    <t>REFROk1TRlQuSVFfUVVJQ0tfUkFUSU8uOTk4LjAyLzA4LzIwMjYBAAAAS1UAAAIAAAAIMS4xNDEwMjkBCAAAAAUAAAABMQEAAAALLTE4ODAyMjk2OTQDAAAAAzE2MAIAAAAENDEyMQQAAAABMAcAAAAIOC8yLzIwMjYIAAAACTYvMzAvMjAyNAkAAAABMBd2wm8s8N4I58Tbhyzw3ggxQ0lRLk5BU0RBUTpNU0ZULklRX0RBWVNfU0FMRVNfT1VULjEwMDAuMDIvMDgvMjAyNgEAAABLVQAAAgAAAAk4Mi45MjM5ODUBCAAAAAUAAAABMQEAAAALLTE4ODAyMjk2NjUDAAAAAzE2MAIAAAAENDA0MgQAAAABMAcAAAAIOC8yLzIwMjYIAAAACTYvMzAvMjAyNgkAAAABMBd2wm8s8N4I5+vbhyzw3ggyQ0lRLk5BU0RBUTpNU0ZULklRX0RBWVNfUEFZQUJMRV9PVVQuOTkyLjAyLzA4LzIwMjYBAAAAS1UAAAIAAAAJNzUuMjI0Njc1AQgAAAAFAAAAATEBAAAACjIwNDcyNzE3NDUDAAAAAzE2MAIAAAAENDE4MwQAAAABMAcAAAAIOC8yLzIwMjYIAAAACTYvMzAvMjAxOAkAAAABMBd2wm8s8N4I5+vbhyzw3gg0Q0lRLk5BU0RBUTpNU0ZULklRX1RPVEFMX0RFQlRfQ0FQSVRBTC45OTkuMDIvMDgvMjAyNgEAAABLVQAAAgAAAAcyNC42MTk5AQgAAAAFAAAAATEBAAAACy0xODgwMjI5Njg2AwAAAAMxNjACAAAABDQxODYEAAAAATAHAAAACDgvMi8yMDI2CAAAAAk2LzMwLzIwMjUJAAAAATAXdsJvLPDeCOfr24cs8N4IMkNJUS5OQVNE</t>
  </si>
  <si>
    <t>QVE6TVNGVC5JUV9MVF9ERUJUX0NBUElUQUwuMTAwMC4wMi8wOC8yMDI2AQAAAEtVAAACAAAABzE5LjI0MDcBCAAAAAUAAAABMQEAAAALLTE4ODAyMjk2NjUDAAAAAzE2MAIAAAAENDE4NwQAAAABMAcAAAAIOC8yLzIwMjYIAAAACTYvMzAvMjAyNgkAAAABMBd2wm8s8N4I58Tbhyzw3gg/Q0lRLk5BU0RBUTpNU0ZULklRX0ZJTl9ESVZfTE9BTlNfQ1VSUkVOVC45OTMuMDIvMDgvMjAyNi4uLlVTRC5IAQAAAEtVAAADAAAAAACYAnBvLPDeCMGnu4cs8N4ILENJUS5OQVNEQVE6TVNGVC5JUV9FQklUREFfSU5ULjk5OC4wMi8wOC8yMDI2AQAAAEtVAAACAAAACTQ0LjU4MTk2NAEIAAAABQAAAAExAQAAAAstMTg4MDIyOTY5NAMAAAADMTYwAgAAAAQ0MTkwBAAAAAEwBwAAAAg4LzIvMjAyNggAAAAJNi8zMC8yMDI0CQAAAAEwF3bCbyzw3gjnxNuHLPDeCDJDSVEuTkFTREFROk1TRlQuSVFfRUJJVERBX0NBUEVYX0lOVC45OTkuMDIvMDgvMjAyNgEAAABLVQAAAgAAAAk0MC4yMDY1OTcBCAAAAAUAAAABMQEAAAALLTE4ODAyMjk2ODYDAAAAAzE2MAIAAAAENDE5MQQAAAABMAcAAAAIOC8yLzIwMjYIAAAACTYvMzAvMjAyNQkAAAABMBd2wm8s8N4I5+vbhyzw3gg0Q0lRLk5BU0RBUTpNU0ZULklRX1RPVEFMX0RFQlRfRUJJVERBLjEwMDAuMDIvMDgvMjAyNgEAAABLVQAAAgAAAAgwLjY0MDIwNwEIAAAABQAAAAExAQAA</t>
  </si>
  <si>
    <t>AAstMTg4MDIyOTY2NQMAAAADMTYwAgAAAAQ0MTkyBAAAAAEwBwAAAAg4LzIvMjAyNggAAAAJNi8zMC8yMDI2CQAAAAEwF3bCbyzw3gjn69uHLPDeCEJDSVEuTkFTREFROk1TRlQuSVFfTkVUX0RFQlRfRUJJVERBX0VYQ0xfT1BFUl9MRUFTRVMuOTk4LjAyLzA4LzIwMjYBAAAAS1UAAAIAAAAIMC4xNzI0NTIBCAAAAAUAAAABMQEAAAALLTE4ODAyMjk2OTQDAAAAAzE2MAIAAAAFNDkxNzUEAAAAATAHAAAACDgvMi8yMDI2CAAAAAk2LzMwLzIwMjQJAAAAATAXdsJvLPDeCOfr24cs8N4IQENJUS5OQVNEQVE6TVNGVC5JUV9ERUZfVEFYX0FTU0VUU19DVVJSRU5ULjk5NC4wMi8wOC8yMDI2Li4uVVNELkgBAAAAS1UAAAMAAAAAAJgCcG8s8N4Iwae7hyzw3ghKQ0lRLk5BU0RBUTpNU0ZULklRX1RPVEFMX0RFQlRfRUJJVERBX0VYQ0xfT1BFUl9MRUFTRVNfQ0FQRVguOTk5LjAyLzA4LzIwMjYBAAAAS1UAAAIAAAAIMS4yMTk2OTYBCAAAAAUAAAABMQEAAAALLTE4ODAyMjk2ODYDAAAAAzE2MAIAAAAFNDkxODMEAAAAATAHAAAACDgvMi8yMDI2CAAAAAk2LzMwLzIwMjUJAAAAATAXdsJvLPDeCOfE24cs8N4IOkNJUS5OQVNEQVE6TVNGVC5JUV9UT1RBTF9SRVZfMVlSX0FOTl9HUk9XVEguOTkyLjAyLzA4LzIwMjYBAAAAS1UAAAIAAAAHMTQuMjc4NgEIAAAABQAAAAExAQAAAAoyMDQ3MjcxNzQ1AwAAAAMxNjACAAAA</t>
  </si>
  <si>
    <t>BDQxOTQEAAAAATAHAAAACDgvMi8yMDI2CAAAAAk2LzMwLzIwMTgJAAAAATAXdsJvLPDeCOfE24cs8N4IM0NJUS5OQVNEQVE6TVNGVC5JUV9HUF8xWVJfQU5OX0dST1dUSC45OTYuMDIvMDgvMjAyNgEAAABLVQAAAgAAAAcxNy4wNTkxAQgAAAAFAAAAATEBAAAACy0xOTg1OTMxMjI0AwAAAAMxNjACAAAABDQxOTUEAAAAATAHAAAACDgvMi8yMDI2CAAAAAk2LzMwLzIwMjIJAAAAATAXdsJvLPDeCOfE24cs8N4INUNJUS5OQVNEQVE6TVNGVC5JUV9FQklUXzFZUl9BTk5fR1JPV1RILjk5Ny4wMi8wOC8yMDI2AQAAAEtVAAACAAAABjYuMTY0MwEIAAAABQAAAAExAQAAAAstMTkzNDI1NDI1MAMAAAADMTYwAgAAAAQ0MTk3BAAAAAEwBwAAAAg4LzIvMjAyNggAAAAJNi8zMC8yMDIzCQAAAAEwF3bCbyzw3gjnxNuHLPDeCDFDSVEuTkFTREFROk1TRlQuSVFfR1BfM1lSX0FOTl9DQUdSLjk5My4wMi8wOC8yMDI2AQAAAEtVAAACAAAABjEyLjQxOAEIAAAABQAAAAExAQAAAAstMjE0MDk4MTQ2OQMAAAADMTYwAgAAAAQ0MjIxBAAAAAEwBwAAAAg4LzIvMjAyNggAAAAJNi8zMC8yMDE5CQAAAAEwF3bCbyzw3gjnxNuHLPDeCDNDSVEuTkFTREFROk1TRlQuSVFfRUJJVF8zWVJfQU5OX0NBR1IuOTk0LjAyLzA4LzIwMjYBAAAAS1UAAAIAAAAHMjEuNzY5MgEIAAAABQAAAAExAQAAAAstMjA4NzQ5NjYyNwMAAAADMTYwAgAA</t>
  </si>
  <si>
    <t>AAQ0MjIzBAAAAAEwBwAAAAg4LzIvMjAyNggAAAAJNi8zMC8yMDIwCQAAAAEwF3bCbyzw3giInduHLPDeCDhDSVEuTkFTREFROk1TRlQuSVFfVE9UQUxfUkVWXzVZUl9BTk5fQ0FHUi45OTIuMDIvMDgvMjAyNgEAAABLVQAAAgAAAAY3LjIyODkBCAAAAAUAAAABMQEAAAAKMjA0NzI3MTc0NQMAAAADMTYwAgAAAAQ0MjMzBAAAAAEwBwAAAAg4LzIvMjAyNggAAAAJNi8zMC8yMDE4CQAAAAEwF3bCbyzw3giInduHLPDeCDVDSVEuTkFTREFROk1TRlQuSVFfRUJJVERBXzVZUl9BTk5fQ0FHUi45OTMuMDIvMDgvMjAyNgEAAABLVQAAAgAAAAcxMS4xNzAyAQgAAAAFAAAAATEBAAAACy0yMTQwOTgxNDY5AwAAAAMxNjACAAAABDQyMzUEAAAAATAHAAAACDgvMi8yMDI2CAAAAAk2LzMwLzIwMTkJAAAAATAXdsJvLPDeCOfE24cs8N4IMUNJUS5OQVNEQVE6TVNGVC5JUV9OSV81WVJfQU5OX0NBR1IuOTk0LjAyLzA4LzIwMjYBAAAAS1UAAAIAAAAHMjkuNDI1OQEIAAAABQAAAAExAQAAAAstMjA4NzQ5NjYyNwMAAAADMTYwAgAAAAQ0MjM4BAAAAAEwBwAAAAg4LzIvMjAyNggAAAAJNi8zMC8yMDIwCQAAAAEwF3bCbyzw3gjnxNuHLPDeCENDSVEuTkFTREFROk1TRlQuSVFfREVSSVZBVElWRV9BU1NFVFNfQ1VSUkVOVC45OTcuMDIvMDgvMjAyNi4uLlVTRC5IAQAAAEtVAAACAAAAAzI1MQEIAAAABQAAAAExAQAAAAstMTkz</t>
  </si>
  <si>
    <t>NDI1NDI1MAMAAAADMTYwAgAAAAQxMTA5BAAAAAEwBwAAAAg4LzIvMjAyNggAAAAJNi8zMC8yMDIzCQAAAAEwF3bCbyzw3giewceHLPDeCDxDSVEuTkFTREFROk1TRlQuSVFfR1JPU1NfSU5UQU5fQVNTRVRTLjk5Mi4wMi8wOC8yMDI2Li4uVVNELkgBAAAAS1UAAAIAAAAFMTU5MzYBCAAAAAUAAAABMQEAAAAKMjA0NzI3MTc0NQMAAAADMTYwAgAAAAUyNDI5MwQAAAABMAcAAAAIOC8yLzIwMjYIAAAACTYvMzAvMjAxOAkAAAABMBd2wm8s8N4IiOjHhyzw3gg4Q0lRLk5BU0RBUTpNU0ZULklRX09USEVSX0NBX1NVUFBMLjk5OS4wMi8wOC8yMDI2Li4uVVNELkgBAAAAS1UAAAIAAAAFMTc1MzMBCAAAAAUAAAABMQEAAAALLTE4ODAyMjk2ODYDAAAAAzE2MAIAAAAEMTA1NQQAAAABMAcAAAAIOC8yLzIwMjYIAAAACTYvMzAvMjAyNQkAAAABMJgCcG8s8N4Izs67hyzw3ggyQ0lRLk5BU0RBUTpNU0ZULklRX0dST1NTX0dXLjk5My4wMi8wOC8yMDI2Li4uVVNELkgBAAAAS1UAAAMAAAAAABd2wm8s8N4IiOjHhyzw3ggtQ0lRLk5BU0RBUTpNU0ZULklRX0FELjEwMDAuMDIvMDgvMjAyNi4uLlVTRC5IAQAAAEtVAAACAAAABy0xMTg2OTEBCAAAAAUAAAABMQEAAAALLTE4ODAyMjk2NjUDAAAAAzE2MAIAAAAEMTA3NQQAAAABMAcAAAAIOC8yLzIwMjYIAAAACTYvMzAvMjAyNgkAAAABMJgCcG8s8N4Izs67hyzw3gg/Q0lR</t>
  </si>
  <si>
    <t>Lk5BU0RBUTpNU0ZULklRX0FEVkFOQ0VTX0ZPUl9TVVBQTElFUy45OTguMDIvMDgvMjAyNi4uLlVTRC5IAQAAAEtVAAADAAAAAAAXdsJvLPDeCJ7Bx4cs8N4ILENJUS5OQVNEQVE6TVNGVC5JUV9HVy45OTIuMDIvMDgvMjAyNi4uLlVTRC5IAQAAAEtVAAACAAAABTM1NjgzAQgAAAAFAAAAATEBAAAACjIwNDcyNzE3NDUDAAAAAzE2MAIAAAAEMTE3MQQAAAABMAcAAAAIOC8yLzIwMjYIAAAACTYvMzAvMjAxOAkAAAABMJgCcG8s8N4Iwae7hyzw3ggwQ0lRLk5BU0RBUTpNU0ZULklRX0dXX05FVC45OTIuMDIvMDgvMjAyNi4uLlVTRC5IAQAAAEtVAAADAAAAAAAXdsJvLPDeCIjox4cs8N4IO0NJUS5OQVNEQVE6TVNGVC5JUV9GSU5fRElWX0FTU0VUU19MVC45OTMuMDIvMDgvMjAyNi4uLlVTRC5IAQAAAEtVAAADAAAAAACYAnBvLPDeCMGnu4cs8N4IPUNJUS5OQVNEQVE6TVNGVC5JUV9JTlRFUkNPTVBBTllfTk9OX0NBLjk5Ny4wMi8wOC8yMDI2Li4uVVNELkgBAAAAS1UAAAMAAAAAABd2wm8s8N4IiOjHhyzw3gg7Q0lRLk5BU0RBUTpNU0ZULklRX0RFRl9UQVhfQVNTRVRTX0xULjk5OS4wMi8wOC8yMDI2Li4uVVNELkgBAAAAS1UAAAIAAAAFMjkxMDgBCAAAAAUAAAABMQEAAAALLTE4ODAyMjk2ODYDAAAAAzE2MAIAAAAEMTAyNgQAAAABMAcAAAAIOC8yLzIwMjYIAAAACTYvMzAvMjAyNQkAAAABMJgCcG8s8N4I</t>
  </si>
  <si>
    <t>wae7hyzw3gg9Q0lRLk5BU0RBUTpNU0ZULklRX0lOVEVSQ09NUEFOWV9OT05fQ0wuOTk5LjAyLzA4LzIwMjYuLi5VU0QuSAEAAABLVQAAAwAAAAAAF3bCbyzw3giI6MeHLPDeCDdDSVEuTkFTREFROk1TRlQuSVFfVE9UQUxfQVNTRVRTLjEwMDAuMDIvMDgvMjAyNi4uLlVTRC5IAQAAAEtVAAACAAAABjc1ODM3NgEIAAAABQAAAAExAQAAAAstMTg4MDIyOTY2NQMAAAADMTYwAgAAAAQxMDA3BAAAAAEwBwAAAAg4LzIvMjAyNggAAAAJNi8zMC8yMDI2CQAAAAEwmAJwbyzw3gjW9buHLPDeCDJDSVEuTkFTREFROk1TRlQuSVFfRFJfUkFUSU9fUFJJTUFSWS45OTQuMDIvMDgvMjAyNgEAAABLVQAAAgAAAAcwLjA0MTY3ABd2wm8s8N4IiJ3bhyzw3ggxQ0lRLk5BU0RBUTpNU0ZULklRX1NUX0RFQlQuOTkzLjAyLzA4LzIwMjYuLi5VU0QuSAEAAABLVQAAAwAAAAAAmAJwbyzw3gjW9buHLPDeCCxDSVEuTkFTREFROk1TRlQuSVFfU0FNRV9TVE9SRS45OTUuMDIvMDgvMjAyNgEAAABLVQAAAwAAAAAAF3bCbyzw3giInduHLPDeCD1DSVEuTkFTREFROk1TRlQuSVFfQ1VSUkVOVF9QT1JUX0xFQVNFUy45OTcuMDIvMDgvMjAyNi4uLlVTRC5IAQAAAEtVAAACAAAABDM2MDYBCAAAAAUAAAABMQEAAAALLTE5MzQyNTQyNTADAAAAAzE2MAIAAAAEMTA5MAQAAAABMAcAAAAIOC8yLzIwMjYIAAAACTYvMzAvMjAyMwkAAAABMJgC</t>
  </si>
  <si>
    <t>cG8s8N4Izs67hyzw3ghDQ0lRLk5BU0RBUTpNU0ZULklRX0RJU1RSSUJVVEFCTEVfQ0FTSF9TSEFSRVNfRElMVVRFRC45OTMuMDIvMDgvMjAyNgEAAABLVQAAAwAAAAAAF3bCbyzw3ghQbeKHLPDeCD1DSVEuTkFTREFROk1TRlQuSVFfSU5DX1RBWF9QQVlfQ1VSUkVOVC45OTguMDIvMDgvMjAyNi4uLlVTRC5IAQAAAEtVAAACAAAABDUwMTcBCAAAAAUAAAABMQEAAAALLTE4ODAyMjk2OTQDAAAAAzE2MAIAAAAEMTA5NAQAAAABMAcAAAAIOC8yLzIwMjYIAAAACTYvMzAvMjAyNAkAAAABMJgCcG8s8N4Izs67hyzw3ggxQ0lRLk5BU0RBUTpNU0ZULklRX0VGRkVDVF9UQVhfUkFURS45OTcuMDIvMDgvMjAyNgEAAABLVQAAAgAAAAcxOC45Nzg2AQgAAAAFAAAAATEBAAAACy0xOTM0MjU0MjUwAwAAAAMxNjACAAAABDQzNzYEAAAAATAHAAAACDgvMi8yMDI2CAAAAAk2LzMwLzIwMjMJAAAAATAXdsJvLPDeCN9x24cs8N4IOENJUS5OQVNEQVE6TVNGVC5JUV9PVEhFUl9DTF9TVVBQTC45OTguMDIvMDgvMjAyNi4uLlVTRC5IAQAAAEtVAAACAAAABTEzMjU2AQgAAAAFAAAAATEBAAAACy0xODgwMjI5Njk0AwAAAAMxNjACAAAABDEwNTcEAAAAATAHAAAACDgvMi8yMDI2CAAAAAk2LzMwLzIwMjQJAAAAATCYAnBvLPDeCM7Ou4cs8N4IMENJUS5OQVNEQVE6TVNGVC5JUV9SRVNUQVRFTUVOVF9JUy45OTkuMDIvMDgvMjAy</t>
  </si>
  <si>
    <t>NgEAAABLVQAAAwAAAAJOQwAXdsJvLPDeCIid24cs8N4IOkNJUS5OQVNEQVE6TVNGVC5JUV9MT05HX1RFUk1fTEVBU0VTLjk5OS4wMi8wOC8yMDI2Li4uVVNELkgBAAAAS1UAAAIAAAAFNjA0MzcBCAAAAAUAAAABMQEAAAALLTE4ODAyMjk2ODYDAAAAAzE2MAIAAAAEMTE4MwQAAAABMAcAAAAIOC8yLzIwMjYIAAAACTYvMzAvMjAyNQkAAAABMJgCcG8s8N4Ivwm8hyzw3ggqQ0lRLk5BU0RBUTpNU0ZULklRX0dBQVBfSVMuMTAwMC4wMi8wOC8yMDI2AQAAAEtVAAADAAAAB1VTIEdBQVAAF3bCbyzw3giInduHLPDeCDFDSVEuTkFTREFROk1TRlQuSVFfUEVOU0lPTi45OTMuMDIvMDgvMjAyNi4uLlVTRC5IAQAAAEtVAAADAAAAAACYAnBvLPDeCL8JvIcs8N4IMENJUS5OQVNEQVE6TVNGVC5JUV9SRVNUQVRFTUVOVF9DRi45OTkuMDIvMDgvMjAyNgEAAABLVQAAAwAAAAJOQwAXdsJvLPDeCN9x24cs8N4INUNJUS5OQVNEQVE6TVNGVC5JUV9QUkVGX1JFREVFTS45OTcuMDIvMDgvMjAyNi4uLlVTRC5IAQAAAEtVAAADAAAAAACYAnBvLPDeCM7Ou4cs8N4IKkNJUS5OQVNEQVE6TVNGVC5JUV9HQUFQX0NGLjEwMDAuMDIvMDgvMjAyNgEAAABLVQAAAwAAAAdVUyBHQUFQABd2wm8s8N4Iskrbhyzw3gg0Q0lRLk5BU0RBUTpNU0ZULklRX1BSRUZfT1RIRVIuOTk0LjAyLzA4LzIwMjYuLi5VU0QuSAEAAABLVQAAAwAAAAAA</t>
  </si>
  <si>
    <t>mAJwbyzw3gjOzruHLPDeCDtDSVEuTkFTREFROk1TRlQuSVFfVE9UQUxfT1VUU1RBTkRJTkdfQlNfREFURS45OTguMDIvMDgvMjAyNgEAAABLVQAAAgAAAAQ3NDM0AQQAAAAFAAAAATUBAAAACy0xODgwMjI5Njk0AgAAAAUyNDE1MgYAAAABMBd2wm8s8N4Iskrbhyzw3ggsQ0lRLk5BU0RBUTpNU0ZULklRX1JFLjk5My4wMi8wOC8yMDI2Li4uVVNELkgBAAAAS1UAAAIAAAAFMjQxNTABCAAAAAUAAAABMQEAAAALLTIxNDA5ODE0NjkDAAAAAzE2MAIAAAAEMTIyMgQAAAABMAcAAAAIOC8yLzIwMjYIAAAACTYvMzAvMjAxOQkAAAABMJgCcG8s8N4Izs67hyzw3gg7Q0lRLk5BU0RBUTpNU0ZULklRX01JTk9SSVRZX0lOVEVSRVNULjk5NS4wMi8wOC8yMDI2Li4uVVNELkgBAAAAS1UAAAMAAAAAAJgCcG8s8N4Ivwm8hyzw3gg0Q0lRLk5BU0RBUTpNU0ZULklRX1JVQV9HUk9TUy4xMDAwLjAyLzA4LzIwMjYuLi5VU0QuSAEAAABLVQAAAwAAAAAAmAJwbyzw3gi/CbyHLPDeCD9DSVEuTkFTREFROk1TRlQuSVFfUlVBX0NBUElUQUxfTEVBU0VfTkVULjk5Ny4wMi8wOC8yMDI2Li4uVVNELkgBAAAAS1UAAAMAAAAAAJgCcG8s8N4I1vW7hyzw3ggxQ0lRLk5BU0RBUTpNU0ZULklRX1RPVEFMX0VNUExPWUVFUy45OTIuMDIvMDgvMjAyNgEAAABLVQAAAgAAAAYxMzEwMDAAF3bCbyzw3gjfcduHLPDeCEFDSVEuTkFTREFROk1T</t>
  </si>
  <si>
    <t>RlQuSVFfUlVBX09QRVJBVElOR19MRUFTRV9ORVQuOTk1LjAyLzA4LzIwMjYuLi5VU0QuSAEAAABLVQAAAwAAAAAAmAJwbyzw3gjW9buHLPDeCEFDSVEuTkFTREFROk1TRlQuSVFfRU1QTE9ZRUVTX1VOREVSX1VOSU9OX0NPTlRSQUNUUy45OTYuMDIvMDgvMjAyNgEAAABLVQAAAwAAAAAAF3bCbyzw3gjfcduHLPDeCEJDSVEuTkFTREFROk1TRlQuSVFfRklOQU5DRV9MRUFTRVNfTE9OR19URVJNLjk5My4wMi8wOC8yMDI2Li4uVVNELkgBAAAAS1UAAAIAAAAENjI1NwEIAAAABQAAAAExAQAAAAstMjE0MDk4MTQ2OQMAAAADMTYwAgAAAAU0ODk5MQQAAAABMAcAAAAIOC8yLzIwMjYIAAAACTYvMzAvMjAxOQkAAAABMJgCcG8s8N4I1vW7hyzw3ggwQ0lRLk5BU0RBUTpNU0ZULklRX0NPU1RfQk9SUk9XSU5HLjk5My4wMi8wOC8yMDI2AQAAAEtVAAACAAAABTMuMDg4AQgAAAAFAAAAATEBAAAACy0yMTQwOTgxNDY5AwAAAAMxNjACAAAABTIxNjgxBAAAAAEwBwAAAAg4LzIvMjAyNggAAAAJNi8zMC8yMDE5CQAAAAEwF3bCbyzw3gjfcduHLPDeCDZDSVEuTkFTREFROk1TRlQuSVFfVE9UQUxfTEVBU0VTLjk5Ni4wMi8wOC8yMDI2Li4uVVNELkgBAAAAS1UAAAIAAAAFMjg2MTkBCAAAAAUAAAABMQEAAAALLTE5ODU5MzEyMjQDAAAAAzE2MAIAAAAFNDg5NzkEAAAAATAHAAAACDgvMi8yMDI2CAAAAAk2LzMwLzIwMjIJ</t>
  </si>
  <si>
    <t>AAAAATCYAnBvLPDeCNwwvIcs8N4IQUNJUS5OQVNEQVE6TVNGVC5JUV9UT1RBTF9ERUJUX0VYQ0xfTEVBU0VTLjEwMDAuMDIvMDgvMjAyNi4uLlVTRC5IAQAAAEtVAAACAAAABTQwMjk0AQgAAAAFAAAAATEBAAAACy0xODgwMjI5NjY1AwAAAAMxNjACAAAABTQ4OTkyBAAAAAEwBwAAAAg4LzIvMjAyNggAAAAJNi8zMC8yMDI2CQAAAAEwmAJwbyzw3gjcMLyHLPDeCC5DSVEuTkFTREFROk1TRlQuSVFfVEJWLjEwMDAuMDIvMDgvMjAyNi4uLlVTRC5IAQAAAEtVAAACAAAABjMwNDEyNwEIAAAABQAAAAExAQAAAAstMTg4MDIyOTY2NQMAAAADMTYwAgAAAAQxMzEwBAAAAAEwBwAAAAg4LzIvMjAyNggAAAAJNi8zMC8yMDI2CQAAAAEwmAJwbyzw3gi/CbyHLPDeCDJDSVEuTkFTREFROk1TRlQuSVFfTkVUX0RFQlQuOTkzLjAyLzA4LzIwMjYuLi5VU0QuSAEAAABLVQAAAgAAAAYtNDczNzcBCAAAAAUAAAABMQEAAAALLTIxNDA5ODE0NjkDAAAAAzE2MAIAAAAENDM2NAQAAAABMAcAAAAIOC8yLzIwMjYIAAAACTYvMzAvMjAxOQkAAAABMJgCcG8s8N4Ivwm8hyzw3gg6Q0lRLk5BU0RBUTpNU0ZULklRX0FMTE9XX0RPVUJUX0FDQ1QuOTk0LjAyLzA4LzIwMjYuLi5VU0QuSAEAAABLVQAAAgAAAAM3ODgBCAAAAAUAAAABMQEAAAALLTIwODc0OTY2MjcDAAAAAzE2MAIAAAAEMzAxMgQAAAABMAcAAAAIOC8yLzIwMjYIAAAA</t>
  </si>
  <si>
    <t>CTYvMzAvMjAyMAkAAAABMJgCcG8s8N4Ivwm8hyzw3gg2Q0lRLk5BU0RBUTpNU0ZULklRX0ZJTklTSEVEX0lOVi45OTQuMDIvMDgvMjAyNi4uLlVTRC5IAQAAAEtVAAACAAAABDExMTIBCAAAAAUAAAABMQEAAAALLTIwODc0OTY2MjcDAAAAAzE2MAIAAAAEMzA3NQQAAAABMAcAAAAIOC8yLzIwMjYIAAAACTYvMzAvMjAyMAkAAAABMJgCcG8s8N4I3DC8hyzw3ghAQ0lRLk5BU0RBUTpNU0ZULklRX05BVFVSQUxfUkVTT1VSQ0VTX0NPU1QuOTk2LjAyLzA4LzIwMjYuLi5VU0QuSAEAAABLVQAAAwAAAAAAmAJwbyzw3gj5V7yHLPDeCEVDSVEuTkFTREFROk1TRlQuSVFfREVGX1RBWF9WQUxVQVRJT05fQUxMT1dBTkNFLjk5OS4wMi8wOC8yMDI2Li4uVVNELkgBAAAAS1UAAAIAAAAEMTE2OQEIAAAABQAAAAExAQAAAAstMTg4MDIyOTY4NgMAAAADMTYwAgAAAAU0NjA0NQQAAAABMAcAAAAIOC8yLzIwMjYIAAAACTYvMzAvMjAyNQkAAAABMJgCcG8s8N4Ivwm8hyzw3gg4Q0lRLk5BU0RBUTpNU0ZULklRX0FTU0VUU19MRVZFTF8xLjk5NC4wMi8wOC8yMDI2Li4uVVNELkgBAAAAS1UAAAIAAAAFOTk3NjAAmAJwbyzw3gi/CbyHLPDeCEBDSVEuTkFTREFROk1TRlQuSVFfTElBQklMSVRJRVNfRkFJUl9WQUxVRS45OTguMDIvMDgvMjAyNi4uLlVTRC5IAQAAAEtVAAACAAAABTQzMTAwAJgCcG8s8N4I3DC8hyzw3ghBQ0lR</t>
  </si>
  <si>
    <t>Lk5BU0RBUTpNU0ZULklRX0RFUklWQVRJVkVfTElBQl9DVVJSRU5ULjk5OC4wMi8wOC8yMDI2Li4uVVNELkgBAAAAS1UAAAIAAAADNDAxAQgAAAAFAAAAATEBAAAACy0xODgwMjI5Njk0AwAAAAMxNjACAAAABTQwNDE3BAAAAAEwBwAAAAg4LzIvMjAyNggAAAAJNi8zMC8yMDI0CQAAAAEwmAJwbyzw3gj5V7yHLPDeCDhDSVEuTkFTREFROk1TRlQuSVFfU1RPQ0tfQkFTRURfUkQuOTk3LjAyLzA4LzIwMjYuLi5VU0QuSAEAAABLVQAAAwAAAAAAmAJwbyzw3gjcMLyHLPDeCDhDSVEuTkFTREFROk1TRlQuSVFfU1RPQ0tfQkFTRURfR0EuOTk4LjAyLzA4LzIwMjYuLi5VU0QuSAEAAABLVQAAAwAAAAAAmAJwbyzw3gjcMLyHLPDeCDhDSVEuTkFTREFROk1TRlQuSVFfU1RPQ0tfQkFTRURfQVQuOTk0LjAyLzA4LzIwMjYuLi5VU0QuSAEAAABLVQAAAwAAAAAAmAJwbyzw3gjcMLyHLPDeCEFDSVEuTkFTREFROk1TRlQuSVFfUkVTVFJfU1RPQ0tfQ09NUF9QUkVUQVguOTk1LjAyLzA4LzIwMjYuLi5VU0QuSAEAAABLVQAAAwAAAAAAmAJwbyzw3gj7fryHLPDeCENDSVEuTkFTREFROk1TRlQuSVFfU1RPQ0tfT1BUSU9OU19DT01QX1BSRVRBWC45OTMuMDIvMDgvMjAyNi4uLlVTRC5IAQAAAEtVAAADAAAAAACYAnBvLPDeCPt+vIcs8N4IPENJUS5OQVNEQVE6TVNGVC5JUV9TVE9DS19PUFRJT05TX0NPTVAuOTk0LjAyLzA4</t>
  </si>
  <si>
    <t>LzIwMjYuLi5VU0QuSAEAAABLVQAAAwAAAAAAmAJwbyzw3gj5V7yHLPDeCD5DSVEuTkFTREFROk1TRlQuSVFfU1RPQ0tfQkFTRURfQ09NUF9UQVguOTk1LjAyLzA4LzIwMjYuLi5VU0QuSAEAAABLVQAAAgAAAAUtMTA2NQCYAnBvLPDeCPlXvIcs8N4INUNJUS5OQVNEQVE6TVNGVC5JUV9EQV9TVVBQTF9DRi45OTMuMDIvMDgvMjAyNi4uLlVTRC5IAQAAAEtVAAACAAAABDk3MDABCAAAAAUAAAABMQEAAAALLTIxNDA5ODE0NjkDAAAAAzE2MAIAAAAEMjE3MQQAAAABMAcAAAAIOC8yLzIwMjYIAAAACTYvMzAvMjAxOQkAAAABMJgCcG8s8N4I+Ve8hyzw3gg0Q0lRLk5BU0RBUTpNU0ZULklRX09JTF9JTVBBSVIuOTk0LjAyLzA4LzIwMjYuLi5VU0QuSAEAAABLVQAAAwAAAAAAmAJwbyzw3gj7fryHLPDeCD5DSVEuTkFTREFROk1TRlQuSVFfTUlOT1JJVFlfSU5URVJFU1RfQ0YuOTkyLjAyLzA4LzIwMjYuLi5VU0QuSAEAAABLVQAAAwAAAAAAmAJwbyzw3gj7fryHLPDeCDhDSVEuTkFTREFROk1TRlQuSVFfR0FJTl9JTlZFU1RfQ0YuOTkzLjAyLzA4LzIwMjYuLi5VU0QuSAEAAABLVQAAAgAAAAQtNzkyAQgAAAAFAAAAATEBAAAACy0yMTQwOTgxNDY5AwAAAAMxNjACAAAABDIwOTAEAAAAATAHAAAACDgvMi8yMDI2CAAAAAk2LzMwLzIwMTkJAAAAATCYAnBvLPDeCPlXvIcs8N4IMkNJUS5OQVNEQVE6TVNGVC5JUV9M</t>
  </si>
  <si>
    <t>T0FOU19DRi45OTUuMDIvMDgvMjAyNi4uLlVTRC5IAQAAAEtVAAADAAAAAACYAnBvLPDeCPlXvIcs8N4IMENJUS5OQVNEQVE6TVNGVC5JUV9SRVNUQVRFTUVOVF9CUy45OTUuMDIvMDgvMjAyNgEAAABLVQAAAwAAAAJOQwAXdsJvLPDeCLJK24cs8N4IKUNJUS5OQVNEQVE6TVNGVC5JUV9HQUFQX0JTLjk5Ni4wMi8wOC8yMDI2AQAAAEtVAAADAAAAB1VTIEdBQVAAF3bCbyzw3giyStuHLPDeCC9DSVEuTkFTREFROk1TRlQuSVFfUkVUVVJOX0VRVUlUWS45OTIuMDIvMDgvMjAyNgEAAABLVQAAAgAAAAcxOS40NDYyAQgAAAAFAAAAATEBAAAACjIwNDcyNzE3NDUDAAAAAzE2MAIAAAAENDEyOAQAAAABMAcAAAAIOC8yLzIwMjYIAAAACTYvMzAvMjAxOAkAAAABMBd2wm8s8N4I33Hbhyzw3gg4Q0lRLk5BU0RBUTpNU0ZULklRX1NUT0NLX0JBU0VEX0NGLjk5Mi4wMi8wOC8yMDI2Li4uVVNELkgBAAAAS1UAAAIAAAAEMzk0MAEIAAAABQAAAAExAQAAAAoyMDQ3MjcxNzQ1AwAAAAMxNjACAAAABDIxMjcEAAAAATAHAAAACDgvMi8yMDI2CAAAAAk2LzMwLzIwMTgJAAAAATCYAnBvLPDeCPt+vIcs8N4IO0NJUS5OQVNEQVE6TVNGVC5JUV9QUk9WX0JBRF9ERUJUU19DRi45OTQuMDIvMDgvMjAyNi4uLlVTRC5IAQAAAEtVAAADAAAAAACYAnBvLPDeCPt+vIcs8N4IQENJUS5OQVNEQVE6TVNGVC5JUV9DSEFOR0VfVFJBRElO</t>
  </si>
  <si>
    <t>R19BU1NFVFMuMTAwMC4wMi8wOC8yMDI2Li4uVVNELkgBAAAAS1UAAAMAAAAAAJgCcG8s8N4I6rG8hyzw3gguQ0lRLk5BU0RBUTpNU0ZULklRX0dST1NTX01BUkdJTi45OTMuMDIvMDgvMjAyNgEAAABLVQAAAgAAAAc2NS45MDE5AQgAAAAFAAAAATEBAAAACy0yMTQwOTgxNDY5AwAAAAMxNjACAAAABDQwNzQEAAAAATAHAAAACDgvMi8yMDI2CAAAAAk2LzMwLzIwMTkJAAAAATAXdsJvLPDeCLJK24cs8N4IOkNJUS5OQVNEQVE6TVNGVC5JUV9DSEFOR0VfSU5WRU5UT1JZLjk5My4wMi8wOC8yMDI2Li4uVVNELkgBAAAAS1UAAAIAAAADNTk3AQgAAAAFAAAAATEBAAAACy0yMTQwOTgxNDY5AwAAAAMxNjACAAAABDIwOTkEAAAAATAHAAAACDgvMi8yMDI2CAAAAAk2LzMwLzIwMTkJAAAAATCYAnBvLPDeCPt+vIcs8N4IK0NJUS5OQVNEQVE6TVNGVC5JUV9OSV9NQVJHSU4uOTk4LjAyLzA4LzIwMjYBAAAAS1UAAAIAAAAHMzUuOTU1OQEIAAAABQAAAAExAQAAAAstMTg4MDIyOTY5NAMAAAADMTYwAgAAAAQ0MDk0BAAAAAEwBwAAAAg4LzIvMjAyNggAAAAJNi8zMC8yMDI0CQAAAAEwF3bCbyzw3giyStuHLPDeCDtDSVEuTkFTREFROk1TRlQuSVFfQ0hBTkdFX1VORUFSTl9SRVYuOTk1LjAyLzA4LzIwMjYuLi5VU0QuSAEAAABLVQAAAgAAAAQ0NjMzAQgAAAAFAAAAATEBAAAACy0yMDM2ODQzODQzAwAAAAMxNjACAAAA</t>
  </si>
  <si>
    <t>BDIxMzkEAAAAATAHAAAACDgvMi8yMDI2CAAAAAk2LzMwLzIwMjEJAAAAATCYAnBvLPDeCPt+vIcs8N4ILUNJUS5OQVNEQVE6TVNGVC5JUV9BU1NFVF9UVVJOUy45OTIuMDIvMDgvMjAyNgEAAABLVQAAAgAAAAgwLjQzMzQ5OAEIAAAABQAAAAExAQAAAAoyMDQ3MjcxNzQ1AwAAAAMxNjACAAAABDQxNzcEAAAAATAHAAAACDgvMi8yMDI2CAAAAAk2LzMwLzIwMTgJAAAAATAXdsJvLPDeCJEb24cs8N4IR0NJUS5OQVNEQVE6TVNGVC5JUV9DSEFOR0VfT1RIRVJfTkVUX09QRVJfQVNTRVRTLjEwMDAuMDIvMDgvMjAyNi4uLlVTRC5IAQAAAEtVAAACAAAABS00NDUxAQgAAAAFAAAAATEBAAAACy0xODgwMjI5NjY1AwAAAAMxNjACAAAABDIwNDUEAAAAATAHAAAACDgvMi8yMDI2CAAAAAk2LzMwLzIwMjYJAAAAATCYAnBvLPDeCPt+vIcs8N4IKkNJUS5OQVNEQVE6TVNGVC5JUV9BUl9UVVJOUy45OTMuMDIvMDgvMjAyNgEAAABLVQAAAgAAAAg0LjQ5Mzk5MQEIAAAABQAAAAExAQAAAAstMjE0MDk4MTQ2OQMAAAADMTYwAgAAAAQ0MDAxBAAAAAEwBwAAAAg4LzIvMjAyNggAAAAJNi8zMC8yMDE5CQAAAAEwF3bCbyzw3giRG9uHLPDeCC9DSVEuTkFTREFROk1TRlQuSVFfQ0FQRVguOTk0LjAyLzA4LzIwMjYuLi5VU0QuSAEAAABLVQAAAgAAAAYtMTU0NDEBCAAAAAUAAAABMQEAAAALLTIwODc0OTY2MjcDAAAAAzE2MAIA</t>
  </si>
  <si>
    <t>AAAEMjAyMQQAAAABMAcAAAAIOC8yLzIwMjYIAAAACTYvMzAvMjAyMAkAAAABMJgCcG8s8N4I6rG8hyzw3ggtQ0lRLk5BU0RBUTpNU0ZULklRX1FVSUNLX1JBVElPLjk5OS4wMi8wOC8yMDI2AQAAAEtVAAACAAAACDEuMjIyNjQ4AQgAAAAFAAAAATEBAAAACy0xODgwMjI5Njg2AwAAAAMxNjACAAAABDQxMjEEAAAAATAHAAAACDgvMi8yMDI2CAAAAAk2LzMwLzIwMjUJAAAAATAXdsJvLPDeCLJK24cs8N4IM0NJUS5OQVNEQVE6TVNGVC5JUV9ESVZFU1RfQ0YuOTk5LjAyLzA4LzIwMjYuLi5VU0QuSAEAAABLVQAAAwAAAAAAmAJwbyzw3gjqsbyHLPDeCDBDSVEuTkFTREFROk1TRlQuSVFfREFZU19TQUxFU19PVVQuOTkyLjAyLzA4LzIwMjYBAAAAS1UAAAIAAAAIODAuODg0NzMBCAAAAAUAAAABMQEAAAAKMjA0NzI3MTc0NQMAAAADMTYwAgAAAAQ0MDQyBAAAAAEwBwAAAAg4LzIvMjAyNggAAAAJNi8zMC8yMDE4CQAAAAEwF3bCbyzw3giyStuHLPDeCDhDSVEuTkFTREFROk1TRlQuSVFfU0FMRV9JTlRBTl9DRi4xMDAwLjAyLzA4LzIwMjYuLi5VU0QuSAEAAABLVQAAAwAAAAAAmAJwbyzw3gj7fryHLPDeCDFDSVEuTkFTREFROk1TRlQuSVFfQ0FTSF9DT05WRVJTSU9OLjk5OC4wMi8wOC8yMDI2AQAAAEtVAAACAAAACS0xMi41OTk1NQEIAAAABQAAAAExAQAAAAstMTg4MDIyOTY5NAMAAAADMTYwAgAAAAQ0MTg0</t>
  </si>
  <si>
    <t>BAAAAAEwBwAAAAg4LzIvMjAyNggAAAAJNi8zMC8yMDI0CQAAAAEwF3bCbyzw3giyStuHLPDeCDlDSVEuTkFTREFROk1TRlQuSVFfSU5WRVNUX0xPQU5TX0NGLjk5NS4wMi8wOC8yMDI2Li4uVVNELkgBAAAAS1UAAAMAAAAAAJgCcG8s8N4I+368hyzw3gg1Q0lRLk5BU0RBUTpNU0ZULklRX1RPVEFMX0RFQlRfQ0FQSVRBTC4xMDAwLjAyLzA4LzIwMjYBAAAAS1UAAAIAAAAHMjIuNTUxMgEIAAAABQAAAAExAQAAAAstMTg4MDIyOTY2NQMAAAADMTYwAgAAAAQ0MTg2BAAAAAEwBwAAAAg4LzIvMjAyNggAAAAJNi8zMC8yMDI2CQAAAAEwF3bCbyzw3giRG9uHLPDeCDhDSVEuTkFTREFROk1TRlQuSVFfU1RfREVCVF9JU1NVRUQuOTk5LjAyLzA4LzIwMjYuLi5VU0QuSAEAAABLVQAAAwAAAAAAmAJwbyzw3gj7fryHLPDeCDFDSVEuTkFTREFROk1TRlQuSVFfTFRfREVCVF9DQVBJVEFMLjk5Mi4wMi8wOC8yMDI2AQAAAEtVAAACAAAABjQ4LjEzMwEIAAAABQAAAAExAQAAAAoyMDQ3MjcxNzQ1AwAAAAMxNjACAAAABDQxODcEAAAAATAHAAAACDgvMi8yMDI2CAAAAAk2LzMwLzIwMTgJAAAAATAXdsJvLPDeCJEb24cs8N4IOENJUS5OQVNEQVE6TVNGVC5JUV9TVF9ERUJUX1JFUEFJRC45OTIuMDIvMDgvMjAyNi4uLlVTRC5IAQAAAEtVAAACAAAABS03MzI0AQgAAAAFAAAAATEBAAAACjIwNDcyNzE3NDUDAAAAAzE2MAIA</t>
  </si>
  <si>
    <t>AAAEMjA0NAQAAAABMAcAAAAIOC8yLzIwMjYIAAAACTYvMzAvMjAxOAkAAAABMJgCcG8s8N4Iydi8hyzw3ggsQ0lRLk5BU0RBUTpNU0ZULklRX0VCSVREQV9JTlQuOTk5LjAyLzA4LzIwMjYBAAAAS1UAAAIAAAAJNjYuODI1NTY3AQgAAAAFAAAAATEBAAAACy0xODgwMjI5Njg2AwAAAAMxNjACAAAABDQxOTAEAAAAATAHAAAACDgvMi8yMDI2CAAAAAk2LzMwLzIwMjUJAAAAATAXdsJvLPDeCJEb24cs8N4IM0NJUS5OQVNEQVE6TVNGVC5JUV9FQklUREFfQ0FQRVhfSU5ULjEwMDAuMDIvMDgvMjAyNgEAAABLVQAAAgAAAAkyNy42NzE4NTkBCAAAAAUAAAABMQEAAAALLTE4ODAyMjk2NjUDAAAAAzE2MAIAAAAENDE5MQQAAAABMAcAAAAIOC8yLzIwMjYIAAAACTYvMzAvMjAyNgkAAAABMBd2wm8s8N4IkRvbhyzw3ghEQ0lRLk5BU0RBUTpNU0ZULklRX1RPVEFMX0RFQlRfRUJJVERBX0VYQ0xfT1BFUl9MRUFTRVMuOTk4LjAyLzA4LzIwMjYBAAAAS1UAAAIAAAAIMC43NTYwMDUBCAAAAAUAAAABMQEAAAALLTE4ODAyMjk2OTQDAAAAAzE2MAIAAAAFNDg5OTQEAAAAATAHAAAACDgvMi8yMDI2CAAAAAk2LzMwLzIwMjQJAAAAATAXdsJvLPDeCJEb24cs8N4IN0NJUS5OQVNEQVE6TVNGVC5JUV9DT01NT05fSVNTVUVELjk5Ni4wMi8wOC8yMDI2Li4uVVNELkgBAAAAS1UAAAIAAAAEMTg0MQEIAAAABQAAAAExAQAAAAst</t>
  </si>
  <si>
    <t>MTk4NTkzMTIyNAMAAAADMTYwAgAAAAQyMTY5BAAAAAEwBwAAAAg4LzIvMjAyNggAAAAJNi8zMC8yMDIyCQAAAAEwmAJwbyzw3gjJ2LyHLPDeCDVDSVEuTkFTREFROk1TRlQuSVFfQ09NTU9OX1JFUC4xMDAwLjAyLzA4LzIwMjYuLi5VU0QuSAEAAABLVQAAAgAAAAYtMjIyNzEBCAAAAAUAAAABMQEAAAALLTE4ODAyMjk2NjUDAAAAAzE2MAIAAAAEMjE2NAQAAAABMAcAAAAIOC8yLzIwMjYIAAAACTYvMzAvMjAyNgkAAAABMJgCcG8s8N4I6rG8hyzw3gg3Q0lRLk5BU0RBUTpNU0ZULklRX0NPTU1PTl9ESVZfQ0YuOTkzLjAyLzA4LzIwMjYuLi5VU0QuSAEAAABLVQAAAgAAAAYtMTM4MTEBCAAAAAUAAAABMQEAAAALLTIxNDA5ODE0NjkDAAAAAzE2MAIAAAAEMjA3NAQAAAABMAcAAAAIOC8yLzIwMjYIAAAACTYvMzAvMjAxOQkAAAABMJgCcG8s8N4I6rG8hyzw3ghCQ0lRLk5BU0RBUTpNU0ZULklRX05FVF9ERUJUX0VCSVREQV9FWENMX09QRVJfTEVBU0VTLjk5OS4wMi8wOC8yMDI2AQAAAEtVAAACAAAACDAuMTEyNjI1AQgAAAAFAAAAATEBAAAACy0xODgwMjI5Njg2AwAAAAMxNjACAAAABTQ5MTc1BAAAAAEwBwAAAAg4LzIvMjAyNggAAAAJNi8zMC8yMDI1CQAAAAEwF3bCbyzw3gia9NqHLPDeCDtDSVEuTkFTREFROk1TRlQuSVFfVE9UQUxfRElWX1BBSURfQ0YuOTk3LjAyLzA4LzIwMjYuLi5VU0QuSAEAAABL</t>
  </si>
  <si>
    <t>VQAAAgAAAAYtMTk4MDABCAAAAAUAAAABMQEAAAALLTE5MzQyNTQyNTADAAAAAzE2MAIAAAAEMjAyMgQAAAABMAcAAAAIOC8yLzIwMjYIAAAACTYvMzAvMjAyMwkAAAABMJgCcG8s8N4I6rG8hyzw3ghBQ0lRLk5BU0RBUTpNU0ZULklRX09USEVSX0ZJTkFOQ0VfQUNUX1NVUFBMLjk5Mi4wMi8wOC8yMDI2Li4uVVNELkgBAAAAS1UAAAIAAAAELTk3MQEIAAAABQAAAAExAQAAAAoyMDQ3MjcxNzQ1AwAAAAMxNjACAAAABDIwNTAEAAAAATAHAAAACDgvMi8yMDI2CAAAAAk2LzMwLzIwMTgJAAAAATCYAnBvLPDeCMnYvIcs8N4IOENJUS5OQVNEQVE6TVNGVC5JUV9NSVNDX0FESlVTVF9DRi45OTYuMDIvMDgvMjAyNi4uLlVTRC5IAQAAAEtVAAADAAAAAACYAnBvLPDeCMnYvIcs8N4IPUNJUS5OQVNEQVE6TVNGVC5JUV9EQV9TVVBQTF9QQVJUSUFMX0NGLjk5Ni4wMi8wOC8yMDI2Li4uVVNELkgBAAAAS1UAAAMAAAAAAJgCcG8s8N4I6rG8hyzw3gg0Q0lRLk5BU0RBUTpNU0ZULklRX0RFUFJFX1NVUFAuOTk5LjAyLzA4LzIwMjYuLi5VU0QuSAEAAABLVQAAAgAAAAUyMjAwMAEIAAAABQAAAAExAQAAAAstMTg4MDIyOTY4NgMAAAADMTYwAgAAAAQyMTQzBAAAAAEwBwAAAAg4LzIvMjAyNggAAAAJNi8zMC8yMDI1CQAAAAEwmAJwbyzw3gjqsbyHLPDeCEZDSVEuTkFTREFROk1TRlQuSVFfREFfU1VQUExfQ0ZfRVhDTF9P</t>
  </si>
  <si>
    <t>UEVSX0xFQVNFUy45OTkuMDIvMDgvMjAyNi4uLlVTRC5IAQAAAEtVAAACAAAABTIyMDAwAQgAAAAFAAAAATEBAAAACy0xODgwMjI5Njg2AwAAAAMxNjACAAAABTQ4OTgzBAAAAAEwBwAAAAg4LzIvMjAyNggAAAAJNi8zMC8yMDI1CQAAAAEwmAJwbyzw3gjJ2LyHLPDeCDZDSVEuTkFTREFROk1TRlQuSVFfQU1PUlRfRElDX0NGLjk5OS4wMi8wOC8yMDI2Li4uVVNELkgBAAAAS1UAAAMAAAAAAJgCcG8s8N4I0v+8hyzw3gg3Q0lRLk5BU0RBUTpNU0ZULklRX0NBU0hfSU5URVJFU1QuOTk4LjAyLzA4LzIwMjYuLi5VU0QuSAEAAABLVQAAAgAAAAQxNzAwAQgAAAAFAAAAATEBAAAACy0xODgwMjI5Njk0AwAAAAMxNjACAAAABDMwMjgEAAAAATAHAAAACDgvMi8yMDI2CAAAAAk2LzMwLzIwMjQJAAAAATCYAnBvLPDeCNL/vIcs8N4IPENJUS5OQVNEQVE6TVNGVC5JUV9DQVNIX0lOVEVSRVNUX09QRVIuOTk3LjAyLzA4LzIwMjYuLi5VU0QuSAEAAABLVQAAAwAAAAAAmAJwbyzw3gjJ2LyHLPDeCD1DSVEuTkFTREFROk1TRlQuSVFfQ0FTSF9JTlRFUkVTVF9GSU5BTi45OTMuMDIvMDgvMjAyNi4uLlVTRC5IAQAAAEtVAAADAAAAAACYAnBvLPDeCMnYvIcs8N4IS0NJUS5OQVNEQVE6TVNGVC5JUV9UT1RBTF9ERUJUX0VCSVREQV9FWENMX09QRVJfTEVBU0VTX0NBUEVYLjEwMDAuMDIvMDgvMjAyNgEAAABLVQAAAgAAAAgx</t>
  </si>
  <si>
    <t>LjY0NTM1MgEIAAAABQAAAAExAQAAAAstMTg4MDIyOTY2NQMAAAADMTYwAgAAAAU0OTE4MwQAAAABMAcAAAAIOC8yLzIwMjYIAAAACTYvMzAvMjAyNgkAAAABMBd2wm8s8N4ImvTahyzw3gg5Q0lRLk5BU0RBUTpNU0ZULklRX0NBU0hfVEFYRVNfT1BFUi45OTYuMDIvMDgvMjAyNi4uLlVTRC5IAQAAAEtVAAADAAAAAACYAnBvLPDeCMnYvIcs8N4IPkNJUS5OQVNEQVE6TVNGVC5JUV9DSEFOR0VfREVGX1RBWF9UT1RBTC45OTUuMDIvMDgvMjAyNi4uLlVTRC5IAQAAAEtVAAACAAAABC0xNTABCAAAAAUAAAABMQEAAAALLTIwMzY4NDM4NDMDAAAAAzE2MAIAAAAFMzA5MjQEAAAAATAHAAAACDgvMi8yMDI2CAAAAAk2LzMwLzIwMjEJAAAAATCYAnBvLPDeCNL/vIcs8N4IN0NJUS5OQVNEQVE6TVNGVC5JUV9VTkxFVkVSRURfRkNGLjk5NC4wMi8wOC8yMDI2Li4uVVNELkgBAAAAS1UAAAIAAAAJMzU4NzcuMzc1AQgAAAAFAAAAATEBAAAACy0yMDg3NDk2NjI3AwAAAAMxNjACAAAABDQ0MjMEAAAAATAHAAAACDgvMi8yMDI2CAAAAAk2LzMwLzIwMjAJAAAAATCYAnBvLPDeCNL/vIcs8N4INUNJUS5OQVNEQVE6TVNGVC5JUV9NQUlOVF9DQVBFWC45OTMuMDIvMDgvMjAyNi4uLlVTRC5IAQAAAEtVAAADAAAAAACYAnBvLPDeCNL/vIcs8N4IQkNJUS5OQVNEQVE6TVNGVC5JUV9PUEVSQVRJTkdfTEVBU0VfUEFZTUVOVFMu</t>
  </si>
  <si>
    <t>OTkzLjAyLzA4LzIwMjYuLi5VU0QuSAEAAABLVQAAAwAAAAAAmAJwbyzw3gjS/7yHLPDeCEtDSVEuTkFTREFROk1TRlQuSVFfTE9OR19URVJNX0RFQlRfUkVQQUlEX0VYQ0xfTEVBU0VTLjk5My4wMi8wOC8yMDI2Li4uVVNELkgBAAAAS1UAAAIAAAAFLTQwMDABCAAAAAUAAAABMQEAAAALLTIxNDA5ODE0NjkDAAAAAzE2MAIAAAAFNDg5ODQEAAAAATAHAAAACDgvMi8yMDI2CAAAAAk2LzMwLzIwMTkJAAAAATCYAnBvLPDeCNL/vIcs8N4IPUNJUS5OQVNEQVE6TVNGVC5JUV9HQUlOX0JBUkdBSU5fQUNRX0NGLjk5Ni4wMi8wOC8yMDI2Li4uVVNELkgBAAAAS1UAAAMAAAAAAJgCcG8s8N4IsTC9hyzw3gg4Q0lRLk5BU0RBUTpNU0ZULklRX1RSQURJTkdfQVNTRVRTLjk5Mi4wMi8wOC8yMDI2Li4uVVNELkgBAAAAS1UAAAMAAAAAAJgCcG8s8N4IsTC9hyzw3ggtQ0lRLk5BU0RBUTpNU0ZULklRX0FSLjEwMDAuMDIvMDgvMjAyNi4uLlVTRC5IAQAAAEtVAAACAAAABTgwODc2AQgAAAAFAAAAATEBAAAACy0xODgwMjI5NjY1AwAAAAMxNjACAAAABDEwMjEEAAAAATAHAAAACDgvMi8yMDI2CAAAAAk2LzMwLzIwMjYJAAAAATCYAnBvLPDeCNL/vIcs8N4INkNJUS5OQVNEQVE6TVNGVC5JUV9UT1RBTF9SRUNFSVYuOTk0LjAyLzA4LzIwMjYuLi5VU0QuSAEAAABLVQAAAgAAAAUzMjAxMQEIAAAABQAAAAExAQAAAAstMjA4</t>
  </si>
  <si>
    <t>NzQ5NjYyNwMAAAADMTYwAgAAAAQxMDAxBAAAAAEwBwAAAAg4LzIvMjAyNggAAAAJNi8zMC8yMDIwCQAAAAEwmAJwbyzw3gjS/7yHLPDeCD9DSVEuTkFTREFROk1TRlQuSVFfRklOX0RJVl9MT0FOU19DVVJSRU5ULjk5NC4wMi8wOC8yMDI2Li4uVVNELkgBAAAAS1UAAAMAAAAAAJgCcG8s8N4I0v+8hyzw3ghAQ0lRLk5BU0RBUTpNU0ZULklRX0RFRl9UQVhfQVNTRVRTX0NVUlJFTlQuOTk1LjAyLzA4LzIwMjYuLi5VU0QuSAEAAABLVQAAAwAAAAAAmAJwbyzw3gixML2HLPDeCDJDSVEuTkFTREFROk1TRlQuSVFfVE9UQUxfQ0EuOTk2LjAyLzA4LzIwMjYuLi5VU0QuSAEAAABLVQAAAgAAAAYxNjk2ODQBCAAAAAUAAAABMQEAAAALLTE5ODU5MzEyMjQDAAAAAzE2MAIAAAAEMTAwOAQAAAABMAcAAAAIOC8yLzIwMjYIAAAACTYvMzAvMjAyMgkAAAABMJgCcG8s8N4IsTC9hyzw3gguQ0lRLk5BU0RBUTpNU0ZULklRX05QUEUuOTk2LjAyLzA4LzIwMjYuLi5VU0QuSAEAAABLVQAAAgAAAAU4NzU0NgEIAAAABQAAAAExAQAAAAstMTk4NTkzMTIyNAMAAAADMTYwAgAAAAQxMDA0BAAAAAEwBwAAAAg4LzIvMjAyNggAAAAJNi8zMC8yMDIyCQAAAAEwmAJwbyzw3gjS/7yHLPDeCDVDSVEuTkFTREFROk1TRlQuSVFfT1RIRVJfSU5UQU4uOTk2LjAyLzA4LzIwMjYuLi5VU0QuSAEAAABLVQAAAgAAAAUxMTI5OAEIAAAABQAA</t>
  </si>
  <si>
    <t>AAExAQAAAAstMTk4NTkzMTIyNAMAAAADMTYwAgAAAAQxMDQwBAAAAAEwBwAAAAg4LzIvMjAyNggAAAAJNi8zMC8yMDIyCQAAAAEwmAJwbyzw3gixML2HLPDeCC9DSVEuTkFTREFROk1TRlQuSVFfQVJfTFQuOTk2LjAyLzA4LzIwMjYuLi5VU0QuSAEAAABLVQAAAgAAAAQzODAwAQgAAAAFAAAAATEBAAAACy0xOTg1OTMxMjI0AwAAAAMxNjACAAAABDEwODgEAAAAATAHAAAACDgvMi8yMDI2CAAAAAk2LzMwLzIwMjIJAAAAATCYAnBvLPDeCLEwvYcs8N4IPENJUS5OQVNEQVE6TVNGVC5JUV9ERUZfVEFYX0FTU0VUU19MVC4xMDAwLjAyLzA4LzIwMjYuLi5VU0QuSAEAAABLVQAAAgAAAAUxNTExNAEIAAAABQAAAAExAQAAAAstMTg4MDIyOTY2NQMAAAADMTYwAgAAAAQxMDI2BAAAAAEwBwAAAAg4LzIvMjAyNggAAAAJNi8zMC8yMDI2CQAAAAEwmAJwbyzw3gj2V72HLPDeCDZDSVEuTkFTREFROk1TRlQuSVFfVE9UQUxfQVNTRVRTLjk5Mi4wMi8wOC8yMDI2Li4uVVNELkgBAAAAS1UAAAIAAAAGMjU4ODQ4AQgAAAAFAAAAATEBAAAACjIwNDcyNzE3NDUDAAAAAzE2MAIAAAAEMTAwNwQAAAABMAcAAAAIOC8yLzIwMjYIAAAACTYvMzAvMjAxOAkAAAABMJgCcG8s8N4I9le9hyzw3ggxQ0lRLk5BU0RBUTpNU0ZULklRX1NUX0RFQlQuOTk1LjAyLzA4LzIwMjYuLi5VU0QuSAEAAABLVQAAAwAAAAAAmAJwbyzw3gixML2H</t>
  </si>
  <si>
    <t>LPDeCD1DSVEuTkFTREFROk1TRlQuSVFfQ1VSUkVOVF9QT1JUX0xFQVNFUy45OTguMDIvMDgvMjAyNi4uLlVTRC5IAQAAAEtVAAACAAAABDU5MjkBCAAAAAUAAAABMQEAAAALLTE4ODAyMjk2OTQDAAAAAzE2MAIAAAAEMTA5MAQAAAABMAcAAAAIOC8yLzIwMjYIAAAACTYvMzAvMjAyNAkAAAABMJgCcG8s8N4IsTC9hyzw3gg9Q0lRLk5BU0RBUTpNU0ZULklRX0lOQ19UQVhfUEFZX0NVUlJFTlQuOTk5LjAyLzA4LzIwMjYuLi5VU0QuSAEAAABLVQAAAgAAAAQ3MjExAQgAAAAFAAAAATEBAAAACy0xODgwMjI5Njg2AwAAAAMxNjACAAAABDEwOTQEAAAAATAHAAAACDgvMi8yMDI2CAAAAAk2LzMwLzIwMjUJAAAAATCYAnBvLPDeCLEwvYcs8N4IOENJUS5OQVNEQVE6TVNGVC5JUV9PVEhFUl9DTF9TVVBQTC45OTIuMDIvMDgvMjAyNi4uLlVTRC5IAQAAAEtVAAACAAAABDcxNjkBCAAAAAUAAAABMQEAAAAKMjA0NzI3MTc0NQMAAAADMTYwAgAAAAQxMDU3BAAAAAEwBwAAAAg4LzIvMjAyNggAAAAJNi8zMC8yMDE4CQAAAAEwmAJwbyzw3gj2V72HLPDeCDtDSVEuTkFTREFROk1TRlQuSVFfTE9OR19URVJNX0xFQVNFUy4xMDAwLjAyLzA4LzIwMjYuLi5VU0QuSAEAAABLVQAAAgAAAAU3ODgzNgEIAAAABQAAAAExAQAAAAstMTg4MDIyOTY2NQMAAAADMTYwAgAAAAQxMTgzBAAAAAEwBwAAAAg4LzIvMjAyNggAAAAJNi8z</t>
  </si>
  <si>
    <t>MC8yMDI2CQAAAAEwmAJwbyzw3ggNf72HLPDeCDFDSVEuTkFTREFROk1TRlQuSVFfUEVOU0lPTi45OTQuMDIvMDgvMjAyNi4uLlVTRC5IAQAAAEtVAAADAAAAAACYAnBvLPDeCPZXvYcs8N4INUNJUS5OQVNEQVE6TVNGVC5JUV9UT1RBTF9MSUFCLjEwMDAuMDIvMDgvMjAyNi4uLlVTRC5IAQAAAEtVAAACAAAABjMxNTk4OQEIAAAABQAAAAExAQAAAAstMTg4MDIyOTY2NQMAAAADMTYwAgAAAAQxMjc2BAAAAAEwBwAAAAg4LzIvMjAyNggAAAAJNi8zMC8yMDI2CQAAAAEwmAJwbyzw3gj2V72HLPDeCDRDSVEuTkFTREFROk1TRlQuSVFfUFJFRl9PVEhFUi45OTUuMDIvMDgvMjAyNi4uLlVTRC5IAQAAAEtVAAADAAAAAACYAnBvLPDeCPZXvYcs8N4IMkNJUS5OQVNEQVE6TVNGVC5JUV9UUkVBU1VSWS45OTYuMDIvMDgvMjAyNi4uLlVTRC5IAQAAAEtVAAADAAAAAACYAnBvLPDeCA1/vYcs8N4IO0NJUS5OQVNEQVE6TVNGVC5JUV9NSU5PUklUWV9JTlRFUkVTVC45OTYuMDIvMDgvMjAyNi4uLlVTRC5IAQAAAEtVAAADAAAAAACYAnBvLPDeCA1/vYcs8N4IM0NJUS5OQVNEQVE6TVNGVC5JUV9SVUFfR1JPU1MuOTk1LjAyLzA4LzIwMjYuLi5VU0QuSAEAAABLVQAAAwAAAAAAmAJwbyzw3gj2V72HLPDeCD9DSVEuTkFTREFROk1TRlQuSVFfUlVBX0NBUElUQUxfTEVBU0VfTkVULjk5OC4wMi8wOC8yMDI2Li4uVVNELkgB</t>
  </si>
  <si>
    <t>AAAAS1UAAAMAAAAAAJgCcG8s8N4I9le9hyzw3ghAQ0lRLk5BU0RBUTpNU0ZULklRX0dQUEVfRVhDTF9PUEVSX0xFQVNFUy4xMDAwLjAyLzA4LzIwMjYuLi5VU0QuSAEAAABLVQAAAgAAAAY0MzE3NjcBCAAAAAUAAAABMQEAAAALLTE4ODAyMjk2NjUDAAAAAzE2MAIAAAAFNDg5NzQEAAAAATAHAAAACDgvMi8yMDI2CAAAAAk2LzMwLzIwMjYJAAAAATCYAnBvLPDeCPZXvYcs8N4IQ0NJUS5OQVNEQVE6TVNGVC5JUV9GSU5BTkNFX0xFQVNFU19MT05HX1RFUk0uMTAwMC4wMi8wOC8yMDI2Li4uVVNELkgBAAAAS1UAAAIAAAAFNjIzMDQBCAAAAAUAAAABMQEAAAALLTE4ODAyMjk2NjUDAAAAAzE2MAIAAAAFNDg5OTEEAAAAATAHAAAACDgvMi8yMDI2CAAAAAk2LzMwLzIwMjYJAAAAATCYAnBvLPDeCA1/vYcs8N4INkNJUS5OQVNEQVE6TVNGVC5JUV9UT1RBTF9MRUFTRVMuOTk3LjAyLzA4LzIwMjYuLi5VU0QuSAEAAABLVQAAAgAAAAUzMjIwNAEIAAAABQAAAAExAQAAAAstMTkzNDI1NDI1MAMAAAADMTYwAgAAAAU0ODk3OQQAAAABMAcAAAAIOC8yLzIwMjYIAAAACTYvMzAvMjAyMwkAAAABMJgCcG8s8N4IDaa9hyzw3ggyQ0lRLk5BU0RBUTpNU0ZULklRX0JWX1NIQVJFLjk5OC4wMi8wOC8yMDI2Li4uVVNELkgBAAAAS1UAAAIAAAAJMzYuMTE0NzQzAQgAAAAFAAAAATEBAAAACy0xODgwMjI5Njk0AwAAAAMxNjAC</t>
  </si>
  <si>
    <t>AAAABDQwMjAEAAAAATAHAAAACDgvMi8yMDI2CAAAAAk2LzMwLzIwMjQJAAAAATCYAnBvLPDeCA1/vYcs8N4ILUNJUS5OQVNEQVE6TVNGVC5JUV9UQlYuOTkyLjAyLzA4LzIwMjYuLi5VU0QuSAEAAABLVQAAAgAAAAUzODk4MgEIAAAABQAAAAExAQAAAAoyMDQ3MjcxNzQ1AwAAAAMxNjACAAAABDEzMTAEAAAAATAHAAAACDgvMi8yMDI2CAAAAAk2LzMwLzIwMTgJAAAAATCYAnBvLPDeCA1/vYcs8N4IMkNJUS5OQVNEQVE6TVNGVC5JUV9ORVRfREVCVC45OTQuMDIvMDgvMjAyNi4uLlVTRC5IAQAAAEtVAAACAAAABi01NDM4MgEIAAAABQAAAAExAQAAAAstMjA4NzQ5NjYyNwMAAAADMTYwAgAAAAQ0MzY0BAAAAAEwBwAAAAg4LzIvMjAyNggAAAAJNi8zMC8yMDIwCQAAAAEwmAJwbyzw3ggNf72HLPDeCDpDSVEuTkFTREFROk1TRlQuSVFfQUxMT1dfRE9VQlRfQUNDVC45OTcuMDIvMDgvMjAyNi4uLlVTRC5IAQAAAEtVAAACAAAAAzY1MAEIAAAABQAAAAExAQAAAAstMTkzNDI1NDI1MAMAAAADMTYwAgAAAAQzMDEyBAAAAAEwBwAAAAg4LzIvMjAyNggAAAAJNi8zMC8yMDIzCQAAAAEwmAJwbyzw3ggNpr2HLPDeCDNDSVEuTkFTREFROk1TRlQuSVFfT1RIRVJfSU5WLjk5Mi4wMi8wOC8yMDI2Li4uVVNELkgBAAAAS1UAAAMAAAAAAJgCcG8s8N4IDaa9hyzw3ghAQ0lRLk5BU0RBUTpNU0ZULklRX05BVFVSQUxfUkVT</t>
  </si>
  <si>
    <t>T1VSQ0VTX0NPU1QuOTk3LjAyLzA4LzIwMjYuLi5VU0QuSAEAAABLVQAAAwAAAAAAmAJwbyzw3ggNf72HLPDeCEVDSVEuTkFTREFROk1TRlQuSVFfREVGX1RBWF9WQUxVQVRJT05fQUxMT1dBTkNFLjk5Mi4wMi8wOC8yMDI2Li4uVVNELkgBAAAAS1UAAAIAAAAEMzE4NgEIAAAABQAAAAExAQAAAAoyMDQ3MjcxNzQ1AwAAAAMxNjACAAAABTQ2MDQ1BAAAAAEwBwAAAAg4LzIvMjAyNggAAAAJNi8zMC8yMDE4CQAAAAEwmAJwbyzw3ggNf72HLPDeCDhDSVEuTkFTREFROk1TRlQuSVFfQVNTRVRTX0xFVkVMXzEuOTk1LjAyLzA4LzIwMjYuLi5VU0QuSAEAAABLVQAAAgAAAAU5NTk2NwCYAnBvLPDeCA1/vYcs8N4ISUNJUS5OQVNEQVE6TVNGVC5JUV9GQUlSX1ZBTFVFX0NIQU5HRV9JTkNMX0VBUk5JTkdTLjk5OC4wMi8wOC8yMDI2Li4uVVNELkgBAAAAS1UAAAMAAAAAALfbb28s8N4IJc29hyzw3ghBQ0lRLk5BU0RBUTpNU0ZULklRX0RFUklWQVRJVkVfTElBQl9DVVJSRU5ULjk5My4wMi8wOC8yMDI2Li4uVVNELkgBAAAAS1UAAAIAAAADMjIxAQgAAAAFAAAAATEBAAAACy0yMTQwOTgxNDY5AwAAAAMxNjACAAAABTQwNDE3BAAAAAEwBwAAAAg4LzIvMjAyNggAAAAJNi8zMC8yMDE5CQAAAAEwt9tvbyzw3gglzb2HLPDeCC5DSVEuTkFTREFROk1TRlQuSVFfQ0FMQ19UWVBFX0lTLjk5Ny4wMi8wOC8yMDI2AQAAAEtV</t>
  </si>
  <si>
    <t>AAADAAAAA1JFUAC3229vLPDeCFBt4ocs8N4INUNJUS5OQVNEQVE6TVNGVC5JUV9HQUlOX0FTU0VUUy45OTcuMDIvMDgvMjAyNi4uLlVTRC5IAQAAAEtVAAADAAAAAAC3229vLPDeCA2mvYcs8N4INkNJUS5OQVNEQVE6TVNGVC5JUV9MRUdBTF9TRVRUTEUuOTkyLjAyLzA4LzIwMjYuLi5VU0QuSAEAAABLVQAAAwAAAAAAt9tvbyzw3ggNpr2HLPDeCD1DSVEuTkFTREFROk1TRlQuSVFfT1RIRVJfVU5VU1VBTF9TVVBQTC45OTYuMDIvMDgvMjAyNi4uLlVTRC5IAQAAAEtVAAADAAAAAAC3229vLPDeCCXNvYcs8N4IMUNJUS5OQVNEQVE6TVNGVC5JUV9JTkNfVEFYLjk5Ny4wMi8wOC8yMDI2Li4uVVNELkgBAAAAS1UAAAIAAAAFMTY5NTABCAAAAAUAAAABMQEAAAALLTE5MzQyNTQyNTADAAAAAzE2MAIAAAACNzUEAAAAATAHAAAACDgvMi8yMDI2CAAAAAk2LzMwLzIwMjMJAAAAATC3229vLPDeCCXNvYcs8N4INENJUS5OQVNEQVE6TVNGVC5JUV9OSV9DT01QQU5ZLjk5My4wMi8wOC8yMDI2Li4uVVNELkgBAAAAS1UAAAIAAAAFMzkyNDABCAAAAAUAAAABMQEAAAALLTIxNDA5ODE0NjkDAAAAAzE2MAIAAAAFNDE1NzEEAAAAATAHAAAACDgvMi8yMDI2CAAAAAk2LzMwLzIwMTkJAAAAATC3229vLPDeCA2mvYcs8N4ILENJUS5OQVNEQVE6TVNGVC5JUV9OSS45OTQuMDIvMDgvMjAyNi4uLlVTRC5IAQAAAEtVAAACAAAA</t>
  </si>
  <si>
    <t>BTQ0MjgxAQgAAAAFAAAAATEBAAAACy0yMDg3NDk2NjI3AwAAAAMxNjACAAAAAjE1BAAAAAEwBwAAAAg4LzIvMjAyNggAAAAJNi8zMC8yMDIwCQAAAAEwt9tvbyzw3ggNpr2HLPDeCDdDSVEuTkFTREFROk1TRlQuSVFfTklfQVZBSUxfRVhDTC45OTIuMDIvMDgvMjAyNi4uLlVTRC5IAQAAAEtVAAACAAAABTE2NTcxAQgAAAAFAAAAATEBAAAACjIwNDcyNzE3NDUDAAAAAzE2MAIAAAADMzc5BAAAAAEwBwAAAAg4LzIvMjAyNggAAAAJNi8zMC8yMDE4CQAAAAEwt9tvbyzw3ggNpr2HLPDeCDhDSVEuTkFTREFROk1TRlQuSVFfQkFTSUNfRVBTX0VYQ0wuOTkzLjAyLzA4LzIwMjYuLi5VU0QuSAEAAABLVQAAAgAAAAg1LjExNDAzNgEIAAAABQAAAAExAQAAAAstMjE0MDk4MTQ2OQMAAAADMTYwAgAAAAQzMDY0BAAAAAEwBwAAAAg4LzIvMjAyNggAAAAJNi8zMC8yMDE5CQAAAAEwt9tvbyzw3gglzb2HLPDeCDhDSVEuTkFTREFROk1TRlQuSVFfRElMVVRfRVBTX0VYQ0wuOTkyLjAyLzA4LzIwMjYuLi5VU0QuSAEAAABLVQAAAgAAAAQyLjEzAQgAAAAFAAAAATEBAAAACjIwNDcyNzE3NDUDAAAAAzE2MAIAAAADMTQyBAAAAAEwBwAAAAg4LzIvMjAyNggAAAAJNi8zMC8yMDE4CQAAAAEwt9tvbyzw3gglzb2HLPDeCE5DSVEuTkFTREFROk1TRlQuSVFfRElTVFJJQlVUQUJMRV9DQVNIX1BFUl9TSEFSRV9ESUxVVEVELjk5</t>
  </si>
  <si>
    <t>My4wMi8wOC8yMDI2Li4uVVNELkgBAAAAS1UAAAMAAAAAALfbb28s8N4IJc29hyzw3gg5Q0lRLk5BU0RBUTpNU0ZULklRX1RPVEFMX1JFVl9TSEFSRS45OTMuMDIvMDgvMjAyNi4uLlVTRC5IAQAAAEtVAAACAAAACTE2LjQwMDc1NQEIAAAABQAAAAExAQAAAAstMjE0MDk4MTQ2OQMAAAADMTYwAgAAAAQ0MzgyBAAAAAEwBwAAAAg4LzIvMjAyNggAAAAJNi8zMC8yMDE5CQAAAAEwt9tvbyzw3gglzb2HLPDeCDBDSVEuTkFTREFROk1TRlQuSVFfRUJJVERBLjk5Mi4wMi8wOC8yMDI2Li4uVVNELkgBAAAAS1UAAAIAAAAFNDQ5NTgBCAAAAAUAAAABMQEAAAAKMjA0NzI3MTc0NQMAAAADMTYwAgAAAAQ0MDUxBAAAAAEwBwAAAAg4LzIvMjAyNggAAAAJNi8zMC8yMDE4CQAAAAEwt9tvbyzw3gglzb2HLPDeCEBDSVEuTkFTREFROk1TRlQuSVFfRUJJVERBX0VRX0lOQ19FWENMX1NCQy45OTMuMDIvMDgvMjAyNi4uLlVTRC5IAQAAAEtVAAACAAAABTU5MjExAQgAAAAFAAAAATEBAAAACy0yMTQwOTgxNDY5AwAAAAMxNjACAAAABTI0MTMxBAAAAAEwBwAAAAg4LzIvMjAyNggAAAAJNi8zMC8yMDE5CQAAAAEwt9tvbyzw3ggu9L2HLPDeCD9DSVEuTkFTREFROk1TRlQuSVFfRUJJVERBX0xFQVNFX0FESlVTVEVELjk5NS4wMi8wOC8yMDI2Li4uVVNELkgBAAAAS1UAAAIAAAAFODI5NDMBCAAAAAUAAAABMQEAAAALLTIwMzY4</t>
  </si>
  <si>
    <t>NDM4NDMDAAAAAzE2MAIAAAAFNDg5OTMEAAAAATAHAAAACDgvMi8yMDI2CAAAAAk2LzMwLzIwMjEJAAAAATC3229vLPDeCC70vYcs8N4ILkNJUS5OQVNEQVE6TVNGVC5JUV9FQklULjk5Mi4wMi8wOC8yMDI2Li4uVVNELkgBAAAAS1UAAAIAAAAFMzUwNTgBCAAAAAUAAAABMQEAAAAKMjA0NzI3MTc0NQMAAAADMTYwAgAAAAM0MDAEAAAAATAHAAAACDgvMi8yMDI2CAAAAAk2LzMwLzIwMTgJAAAAATC3229vLPDeCCXNvYcs8N4IPkNJUS5OQVNEQVE6TVNGVC5JUV9FQklUX0VRX0lOQ19FWENMX1NCQy45OTQuMDIvMDgvMjAyNi4uLlVTRC5IAQAAAEtVAAACAAAABTU4MjQ4AQgAAAAFAAAAATEBAAAACy0yMDg3NDk2NjI3AwAAAAMxNjACAAAABTI0MTMwBAAAAAEwBwAAAAg4LzIvMjAyNggAAAAJNi8zMC8yMDIwCQAAAAEwt9tvbyzw3gglzb2HLPDeCDdDSVEuTkFTREFROk1TRlQuSVFfRUJJVEFfRVFfSU5DLjEwMDAuMDIvMDgvMjAyNi4uLlVTRC5IAQAAAEtVAAACAAAABjE2NDY1OQEIAAAABQAAAAExAQAAAAstMTg4MDIyOTY2NQMAAAADMTYwAgAAAAUyMTY3NgQAAAABMAcAAAAIOC8yLzIwMjYIAAAACTYvMzAvMjAyNgkAAAABMLfbb28s8N4IJc29hyzw3gg4Q0lRLk5BU0RBUTpNU0ZULklRX0VCSVRBX0VYQ0xfU0JDLjk5My4wMi8wOC8yMDI2Li4uVVNELkgBAAAAS1UAAAIAAAAFNDk1MTEBCAAAAAUAAAAB</t>
  </si>
  <si>
    <t>MQEAAAALLTIxNDA5ODE0NjkDAAAAAzE2MAIAAAAFMjQxMzYEAAAAATAHAAAACDgvMi8yMDI2CAAAAAk2LzMwLzIwMTkJAAAAATC3229vLPDeCC70vYcs8N4IOENJUS5OQVNEQVE6TVNGVC5JUV9FQklUREFSX0VRX0lOQy45OTUuMDIvMDgvMjAyNi4uLlVTRC5IAQAAAEtVAAACAAAABTg1MDcwAQgAAAAFAAAAATEBAAAACy0yMDM2ODQzODQzAwAAAAMxNjACAAAABTI0MTI5BAAAAAEwBwAAAAg4LzIvMjAyNggAAAAJNi8zMC8yMDIxCQAAAAEwt9tvbyzw3ggu9L2HLPDeCDdDSVEuTkFTREFROk1TRlQuSVFfRUJJVERBX0NBUEVYLjEwMDAuMDIvMDgvMjAyNi4uLlVTRC5IAQAAAEtVAAACAAAABTc4Mjg5AQgAAAAFAAAAATEBAAAACy0xODgwMjI5NjY1AwAAAAMxNjACAAAABTM1Mzc5BAAAAAEwBwAAAAg4LzIvMjAyNggAAAAJNi8zMC8yMDI2CQAAAAEwt9tvbyzw3ggu9L2HLPDeCD9DSVEuTkFTREFROk1TRlQuSVFfVE9UQUxfUkVWX0FTX1JFUE9SVEVELjk5OS4wMi8wOC8yMDI2Li4uVVNELkgBAAAAS1UAAAIAAAAGMjgxNzI0AQgAAAAFAAAAATEBAAAACy0xODgwMjI5Njg2AwAAAAMxNjACAAAAAzMzOQQAAAABMAcAAAAIOC8yLzIwMjYIAAAACTYvMzAvMjAyNQkAAAABMLfbb28s8N4ILvS9hyzw3ghDQ0lRLk5BU0RBUTpNU0ZULklRX0VBUk5JTkdfUEFSRU5UX0VYQ0xfRVhUUkEuOTk3LjAyLzA4LzIwMjYu</t>
  </si>
  <si>
    <t>Li5VU0QuSAEAAABLVQAAAgAAAAU3MjM2MQEIAAAABQAAAAExAQAAAAstMTkzNDI1NDI1MAMAAAADMTYwAgAAAAU0MTU5NgQAAAABMAcAAAAIOC8yLzIwMjYIAAAACTYvMzAvMjAyMwkAAAABMLfbb28s8N4ILvS9hyzw3gg5Q0lRLk5BU0RBUTpNU0ZULklRX0lOVEVSRVNUX0lOQ09NRS45OTguMDIvMDgvMjAyNi4uLlVTRC5IAQAAAEtVAAACAAAABDMxNTcBCAAAAAUAAAABMQEAAAALLTE4ODAyMjk2OTQDAAAAAzE2MAIAAAADMjEwBAAAAAEwBwAAAAg4LzIvMjAyNggAAAAJNi8zMC8yMDI0CQAAAAEwt9tvbyzw3gg9G76HLPDeCEFDSVEuTkFTREFROk1TRlQuSVFfRVhDSVNFX1RBWEVTX0VYQ0xfU0FMRVMuOTk5LjAyLzA4LzIwMjYuLi5VU0QuSAEAAABLVQAAAwAAAAAAt9tvbyzw3gg9G76HLPDeCDxDSVEuTkFTREFROk1TRlQuSVFfQ1VSUl9GT1JFSUdOX1RBWEVTLjk5Ny4wMi8wOC8yMDI2Li4uVVNELkgBAAAAS1UAAAIAAAAENjY3OAEIAAAABQAAAAExAQAAAAstMTkzNDI1NDI1MAMAAAADMTYwAgAAAAQzMDMwBAAAAAEwBwAAAAg4LzIvMjAyNggAAAAJNi8zMC8yMDIzCQAAAAEwt9tvbyzw3ggu9L2HLPDeCEFDSVEuTkFTREFROk1TRlQuSVFfREVGRVJSRURfRE9NRVNUSUNfVEFYRVMuOTk4LjAyLzA4LzIwMjYuLi5VU0QuSAEAAABLVQAAAgAAAAUtNTE3MAEIAAAABQAAAAExAQAAAAstMTg4MDIyOTY5</t>
  </si>
  <si>
    <t>NAMAAAADMTYwAgAAAAQzMDU0BAAAAAEwBwAAAAg4LzIvMjAyNggAAAAJNi8zMC8yMDI0CQAAAAEwt9tvbyzw3ggu9L2HLPDeCDFDSVEuTkFTREFROk1TRlQuSVFfTklfTk9STS45OTQuMDIvMDgvMjAyNi4uLlVTRC5IAQAAAEtVAAACAAAABzMzMTI3LjUBCAAAAAUAAAABMQEAAAALLTIwODc0OTY2MjcDAAAAAzE2MAIAAAAENDM3OAQAAAABMAcAAAAIOC8yLzIwMjYIAAAACTYvMzAvMjAyMAkAAAABMLfbb28s8N4ILvS9hyzw3gg+Q0lRLk5BU0RBUTpNU0ZULklRX0NBUElUQUxJWkVEX0lOVEVSRVNULjk5NS4wMi8wOC8yMDI2Li4uVVNELkgBAAAAS1UAAAMAAAAAALfbb28s8N4Im0K+hyzw3ghLQ0lRLk5BU0RBUTpNU0ZULklRX0lOVEVSRVNUX0VYUF9MRUFTRV9MSUFCSUxJVFlfREVCVC45OTYuMDIvMDgvMjAyNi4uLlVTRC5IAQAAAEtVAAACAAAAAzQyOQEIAAAABQAAAAExAQAAAAstMTk4NTkzMTIyNAMAAAADMTYwAgAAAAU0ODkwNwQAAAABMAcAAAAIOC8yLzIwMjYIAAAACTYvMzAvMjAyMgkAAAABMLfbb28s8N4Im0K+hyzw3ggzQ0lRLk5BU0RBUTpNU0ZULklRX0RBX0VCSVREQS45OTQuMDIvMDgvMjAyNi4uLlVTRC5IAQAAAEtVAAACAAAABTEyMzAwAQgAAAAFAAAAATEBAAAACy0yMDg3NDk2NjI3AwAAAAMxNjACAAAABDIyMDYEAAAAATAHAAAACDgvMi8yMDI2CAAAAAk2LzMwLzIwMjAJAAAAATC3</t>
  </si>
  <si>
    <t>229vLPDeCC70vYcs8N4ISUNJUS5OQVNEQVE6TVNGVC5JUV9ESVNUUklCVVRBQkxFX0NBU0hfU1RBTkRBUkRJWkVELjk5NS4wMi8wOC8yMDI2Li4uVVNELkgBAAAAS1UAAAMAAAAAALfbb28s8N4IPRu+hyzw3ggtQ0lRLk5BU0RBUTpNU0ZULklRX0RJQy45OTMuMDIvMDgvMjAyNi4uLlVTRC5IAQAAAEtVAAADAAAAAAC3229vLPDeCD0bvocs8N4IM0NJUS5OQVNEQVE6TVNGVC5JUV9NQVJLRVRJTkcuOTk4LjAyLzA4LzIwMjYuLi5VU0QuSAEAAABLVQAAAwAAAAAAt9tvbyzw3gibQr6HLPDeCDBDSVEuTkFTREFROk1TRlQuSVFfR0FfRVhQLjk5Mi4wMi8wOC8yMDI2Li4uVVNELkgBAAAAS1UAAAIAAAAENDc1NAEIAAAABQAAAAExAQAAAAoyMDQ3MjcxNzQ1AwAAAAMxNjACAAAABTIxNTYyBAAAAAEwBwAAAAg4LzIvMjAyNggAAAAJNi8zMC8yMDE4CQAAAAEwt9tvbyzw3giXab6HLPDeCDhDSVEuTkFTREFROk1TRlQuSVFfTkVUX1JFTlRBTF9FWFAuOTk3LjAyLzA4LzIwMjYuLi5VU0QuSAEAAABLVQAAAwAAAAAAt9tvbyzw3gg9G76HLPDeCDtDSVEuTkFTREFROk1TRlQuSVFfQ09OVElOR0VOVF9SRU5UQUwuOTk5LjAyLzA4LzIwMjYuLi5VU0QuSAEAAABLVQAAAwAAAAAAt9tvbyzw3gg9G76HLPDeCDdDSVEuTkFTREFROk1TRlQuSVFfQUlSQ1JBRlRfUkVOVC45OTYuMDIvMDgvMjAyNi4uLlVTRC5IAQAAAEtV</t>
  </si>
  <si>
    <t>AAADAAAAAAC3229vLPDeCD0bvocs8N4IQUNJUS5OQVNEQVE6TVNGVC5JUV9FWFBMT1JFX0RSSUxMX0VYUF9UT1RBTC45OTguMDIvMDgvMjAyNi4uLlVTRC5IAQAAAEtVAAADAAAAAAC3229vLPDeCJdpvocs8N4IQ0NJUS5OQVNEQVE6TVNGVC5JUV9JTVBVVF9PUEVSX0xFQVNFX0lOVF9FWFAuMTAwMC4wMi8wOC8yMDI2Li4uVVNELkgBAAAAS1UAAAIAAAALMTQyNS4yNjI1OTIBCAAAAAUAAAABMQEAAAALLTE4ODAyMjk2NjUDAAAAAzE2MAIAAAAFMjE2NzIEAAAAATAHAAAACDgvMi8yMDI2CAAAAAk2LzMwLzIwMjYJAAAAATC3229vLPDeCJdpvocs8N4IPENJUS5OQVNEQVE6TVNGVC5JUV9SRVNUUlVDVFVSRV9TVVBQTEUuOTk3LjAyLzA4LzIwMjYuLi5VU0QuSAEAAABLVQAAAwAAAAAAt9tvbyzw3gibQr6HLPDeCD5DSVEuTkFTREFROk1TRlQuSVFfSU1QQUlSTUVOVF9HV19TVVBQTEUuOTk5LjAyLzA4LzIwMjYuLi5VU0QuSAEAAABLVQAAAwAAAAAAt9tvbyzw3gibQr6HLPDeCClDSVEuTkFTREFROk1TRlQuSVFfWl9TQ09SRS45OTUuMDIvMDgvMjAyNgEAAABLVQAAAgAAAAg3LjE1NzUyNQEIAAAABQAAAAExAQAAAAstMjAzNjg0Mzg0MwMAAAADMTYwAgAAAAYxMDAxMjMEAAAAATAHAAAACDgvMi8yMDI2CAAAAAk2LzMwLzIwMjEJAAAAATAXdsJvLPDeCJEb24cs8N4IOkNJUS5OQVNEQVE6TVNGVC5JUV9H</t>
  </si>
  <si>
    <t>QUlOX0JBUkdBSU5fQUNRLjk5Ni4wMi8wOC8yMDI2Li4uVVNELkgBAAAAS1UAAAMAAAAAALfbb28s8N4Im0K+hyzw3gg7Q0lRLk5BU0RBUTpNU0ZULklRX0lOU19TRVRUTEVfU1VQUExFLjk5OC4wMi8wOC8yMDI2Li4uVVNELkgBAAAAS1UAAAMAAAAAALfbb28s8N4It5C+hyzw3gg+Q0lRLk5BU0RBUTpNU0ZULklRX09USEVSX1VOVVNVQUxfU1VQUExFLjk5OS4wMi8wOC8yMDI2Li4uVVNELkgBAAAAS1UAAAMAAAAAALfbb28s8N4It5C+hyzw3gg+Q0lRLk5BU0RBUTpNU0ZULklRX05FR0FUSVZFX0dXX0FNT1JUX0FULjk5Ny4wMi8wOC8yMDI2Li4uVVNELkgBAAAAS1UAAAMAAAAAALfbb28s8N4Il2m+hyzw3gg4Q0lRLk5BU0RBUTpNU0ZULklRX1NUT0NLX0JBU0VEX1JELjk5OC4wMi8wOC8yMDI2Li4uVVNELkgBAAAAS1UAAAMAAAAAALfbb28s8N4Il2m+hyzw3gg5Q0lRLk5BU0RBUTpNU0ZULklRX1NUT0NLX0JBU0VEX1NHQS45OTYuMDIvMDgvMjAyNi4uLlVTRC5IAQAAAEtVAAADAAAAAAC3229vLPDeCJdpvocs8N4IO0NJUS5OQVNEQVE6TVNGVC5JUV9TVE9DS19CQVNFRF9PVEhFUi45OTcuMDIvMDgvMjAyNi4uLlVTRC5IAQAAAEtVAAACAAAABDk2MTEBCAAAAAUAAAABMQEAAAALLTE5MzQyNTQyNTADAAAAAzE2MAIAAAAFMjI2NzYEAAAAATAHAAAACDgvMi8yMDI2CAAAAAk2LzMwLzIwMjMJAAAAATC3</t>
  </si>
  <si>
    <t>229vLPDeCLeQvocs8N4IO0NJUS5OQVNEQVE6TVNGVC5JUV9TVE9DS19CQVNFRF9UT1RBTC45OTguMDIvMDgvMjAyNi4uLlVTRC5IAQAAAEtVAAACAAAABTEwNzM0AQgAAAAFAAAAATEBAAAACy0xODgwMjI5Njk0AwAAAAMxNjACAAAABTI0MDM0BAAAAAEwBwAAAAg4LzIvMjAyNggAAAAJNi8zMC8yMDI0CQAAAAEwt9tvbyzw3gi3kL6HLPDeCENDSVEuTkFTREFROk1TRlQuSVFfU1RPQ0tfT1BUSU9OU19DT01QX1BSRVRBWC45OTQuMDIvMDgvMjAyNi4uLlVTRC5IAQAAAEtVAAADAAAAAAC3229vLPDeCJdpvocs8N4IM0NJUS5OQVNEQVE6TVNGVC5JUV9HUF8xWVJfQU5OX0dST1dUSC45OTcuMDIvMDgvMjAyNgEAAABLVQAAAgAAAAU3LjY5MgEIAAAABQAAAAExAQAAAAstMTkzNDI1NDI1MAMAAAADMTYwAgAAAAQ0MTk1BAAAAAEwBwAAAAg4LzIvMjAyNggAAAAJNi8zMC8yMDIzCQAAAAEwF3bCbyzw3giRG9uHLPDeCDxDSVEuTkFTREFROk1TRlQuSVFfU1RPQ0tfT1BUSU9OU19DT01QLjk5NS4wMi8wOC8yMDI2Li4uVVNELkgBAAAAS1UAAAMAAAAAALfbb28s8N4It5C+hyzw3gg0Q0lRLk5BU0RBUTpNU0ZULklRX0VQU18xWVJfQU5OX0dST1dUSC45OTIuMDIvMDgvMjAyNgEAAABLVQAAAgAAAAgtMzQuNDYxNgEIAAAABQAAAAExAQAAAAoyMDQ3MjcxNzQ1AwAAAAMxNjACAAAABDQyMDAEAAAAATAHAAAACDgv</t>
  </si>
  <si>
    <t>Mi8yMDI2CAAAAAk2LzMwLzIwMTgJAAAAATAXdsJvLPDeCJEb24cs8N4IOkNJUS5OQVNEQVE6TVNGVC5JUV9TVE9DS19CQVNFRF9DT01QLjk5My4wMi8wOC8yMDI2Li4uVVNELkgBAAAAS1UAAAIAAAAEMzgzNgC3229vLPDeCLeQvocs8N4INUNJUS5OQVNEQVE6TVNGVC5JUV9EQV9TVVBQTF9DRi45OTQuMDIvMDgvMjAyNi4uLlVTRC5IAQAAAEtVAAACAAAABTEwNzAwAQgAAAAFAAAAATEBAAAACy0yMDg3NDk2NjI3AwAAAAMxNjACAAAABDIxNzEEAAAAATAHAAAACDgvMi8yMDI2CAAAAAk2LzMwLzIwMjAJAAAAATC3229vLPDeCIi9vocs8N4INENJUS5OQVNEQVE6TVNGVC5JUV9PSUxfSU1QQUlSLjk5NS4wMi8wOC8yMDI2Li4uVVNELkgBAAAAS1UAAAMAAAAAALfbb28s8N4IiL2+hyzw3gg+Q0lRLk5BU0RBUTpNU0ZULklRX01JTk9SSVRZX0lOVEVSRVNUX0NGLjk5My4wMi8wOC8yMDI2Li4uVVNELkgBAAAAS1UAAAMAAAAAALfbb28s8N4It5C+hyzw3gg4Q0lRLk5BU0RBUTpNU0ZULklRX0dBSU5fSU5WRVNUX0NGLjk5NC4wMi8wOC8yMDI2Li4uVVNELkgBAAAAS1UAAAIAAAAELTIxOQEIAAAABQAAAAExAQAAAAstMjA4NzQ5NjYyNwMAAAADMTYwAgAAAAQyMDkwBAAAAAEwBwAAAAg4LzIvMjAyNggAAAAJNi8zMC8yMDIwCQAAAAEwt9tvbyzw3gi3kL6HLPDeCDhDSVEuTkFTREFROk1TRlQuSVFfQ1JFRElU</t>
  </si>
  <si>
    <t>X0xPU1NfQ0YuOTkyLjAyLzA4LzIwMjYuLi5VU0QuSAEAAABLVQAAAwAAAAAAt9tvbyzw3gi3kL6HLPDeCDhDSVEuTkFTREFROk1TRlQuSVFfU1RPQ0tfQkFTRURfQ0YuOTkzLjAyLzA4LzIwMjYuLi5VU0QuSAEAAABLVQAAAgAAAAQ0NjUyAQgAAAAFAAAAATEBAAAACy0yMTQwOTgxNDY5AwAAAAMxNjACAAAABDIxMjcEAAAAATAHAAAACDgvMi8yMDI2CAAAAAk2LzMwLzIwMTkJAAAAATC3229vLPDeCIi9vocs8N4IO0NJUS5OQVNEQVE6TVNGVC5JUV9QUk9WX0JBRF9ERUJUU19DRi45OTUuMDIvMDgvMjAyNi4uLlVTRC5IAQAAAEtVAAADAAAAAAC3229vLPDeCALlvocs8N4IP0NJUS5OQVNEQVE6TVNGVC5JUV9DSEFOR0VfVFJBRElOR19BU1NFVFMuOTkyLjAyLzA4LzIwMjYuLi5VU0QuSAEAAABLVQAAAwAAAAAAt9tvbyzw3giIvb6HLPDeCDpDSVEuTkFTREFROk1TRlQuSVFfQ0hBTkdFX0lOVkVOVE9SWS45OTQuMDIvMDgvMjAyNi4uLlVTRC5IAQAAAEtVAAACAAAAAzE2OAEIAAAABQAAAAExAQAAAAstMjA4NzQ5NjYyNwMAAAADMTYwAgAAAAQyMDk5BAAAAAEwBwAAAAg4LzIvMjAyNggAAAAJNi8zMC8yMDIwCQAAAAEwt9tvbyzw3giIvb6HLPDeCDlDSVEuTkFTREFROk1TRlQuSVFfQ0hBTkdFX0lOQ19UQVguMTAwMC4wMi8wOC8yMDI2Li4uVVNELkgBAAAAS1UAAAIAAAAFLTE4NzUBCAAAAAUAAAABMQEA</t>
  </si>
  <si>
    <t>AAALLTE4ODAyMjk2NjUDAAAAAzE2MAIAAAAEMjEwMQQAAAABMAcAAAAIOC8yLzIwMjYIAAAACTYvMzAvMjAyNgkAAAABMLfbb28s8N4IiL2+hyzw3ghGQ0lRLk5BU0RBUTpNU0ZULklRX0NIQU5HRV9PVEhFUl9ORVRfT1BFUl9BU1NFVFMuOTkzLjAyLzA4LzIwMjYuLi5VU0QuSAEAAABLVQAAAgAAAAUtMTU0MgEIAAAABQAAAAExAQAAAAstMjE0MDk4MTQ2OQMAAAADMTYwAgAAAAQyMDQ1BAAAAAEwBwAAAAg4LzIvMjAyNggAAAAJNi8zMC8yMDE5CQAAAAEwt9tvbyzw3ggC5b6HLPDeCC9DSVEuTkFTREFROk1TRlQuSVFfQ0FQRVguOTk1LjAyLzA4LzIwMjYuLi5VU0QuSAEAAABLVQAAAgAAAAYtMjA2MjIBCAAAAAUAAAABMQEAAAALLTIwMzY4NDM4NDMDAAAAAzE2MAIAAAAEMjAyMQQAAAABMAcAAAAIOC8yLzIwMjYIAAAACTYvMzAvMjAyMQkAAAABMLfbb28s8N4IAuW+hyzw3gg0Q0lRLk5BU0RBUTpNU0ZULklRX0RJVkVTVF9DRi4xMDAwLjAyLzA4LzIwMjYuLi5VU0QuSAEAAABLVQAAAwAAAAAAt9tvbyzw3giIvb6HLPDeCDdDSVEuTkFTREFROk1TRlQuSVFfU0FMRV9JTlRBTl9DRi45OTQuMDIvMDgvMjAyNi4uLlVTRC5IAQAAAEtVAAADAAAAAAC3229vLPDeCIi9vocs8N4IQENJUS5OQVNEQVE6TVNGVC5JUV9PVEhFUl9JTlZFU1RfQUNUX1NVUFBMLjk5OS4wMi8wOC8yMDI2Li4uVVNELkgBAAAAS1UA</t>
  </si>
  <si>
    <t>AAIAAAAEMjMxNwEIAAAABQAAAAExAQAAAAstMTg4MDIyOTY4NgMAAAADMTYwAgAAAAQyMDUxBAAAAAEwBwAAAAg4LzIvMjAyNggAAAAJNi8zMC8yMDI1CQAAAAEwt9tvbyzw3giIvb6HLPDeCDlDSVEuTkFTREFROk1TRlQuSVFfU1RfREVCVF9JU1NVRUQuMTAwMC4wMi8wOC8yMDI2Li4uVVNELkgBAAAAS1UAAAMAAAAAALfbb28s8N4I2gu/hyzw3gg7Q0lRLk5BU0RBUTpNU0ZULklRX1RPVEFMX0RFQlRfSVNTVUVELjk5NS4wMi8wOC8yMDI2Li4uVVNELkgBAAAAS1UAAAMAAAAAALfbb28s8N4I2gu/hyzw3gg7Q0lRLk5BU0RBUTpNU0ZULklRX1RPVEFMX0RFQlRfUkVQQUlELjk5OS4wMi8wOC8yMDI2Li4uVVNELkgBAAAAS1UAAAIAAAAFLTg5NjIBCAAAAAUAAAABMQEAAAALLTE4ODAyMjk2ODYDAAAAAzE2MAIAAAAEMjE2NgQAAAABMAcAAAAIOC8yLzIwMjYIAAAACTYvMzAvMjAyNQkAAAABMLfbb28s8N4IAuW+hyzw3gg1Q0lRLk5BU0RBUTpNU0ZULklRX1BSRUZfSVNTVUVELjk5Mi4wMi8wOC8yMDI2Li4uVVNELkgBAAAAS1UAAAMAAAAAALfbb28s8N4IAuW+hyzw3gg1Q0lRLk5BU0RBUTpNU0ZULklRX1BSRUZfRElWX0NGLjk5Ni4wMi8wOC8yMDI2Li4uVVNELkgBAAAAS1UAAAMAAAAAALfbb28s8N4IAuW+hyzw3gg9Q0lRLk5BU0RBUTpNU0ZULklRX0NPTU1PTl9QUkVGX0RJVl9DRi4xMDAwLjAyLzA4</t>
  </si>
  <si>
    <t>LzIwMjYuLi5VU0QuSAEAAABLVQAAAwAAAAAAt9tvbyzw3gjaC7+HLPDeCEFDSVEuTkFTREFROk1TRlQuSVFfT1RIRVJfRklOQU5DRV9BQ1RfU1VQUEwuOTkzLjAyLzA4LzIwMjYuLi5VU0QuSAEAAABLVQAAAgAAAAQtNjc1AQgAAAAFAAAAATEBAAAACy0yMTQwOTgxNDY5AwAAAAMxNjACAAAABDIwNTAEAAAAATAHAAAACDgvMi8yMDI2CAAAAAk2LzMwLzIwMTkJAAAAATC3229vLPDeCNoLv4cs8N4IOENJUS5OQVNEQVE6TVNGVC5JUV9NSVNDX0FESlVTVF9DRi45OTcuMDIvMDgvMjAyNi4uLlVTRC5IAQAAAEtVAAADAAAAAAC3229vLPDeCALlvocs8N4IQ0NJUS5OQVNEQVE6TVNGVC5JUV9HV19JTlRBTl9BTU9SVF9QQVJUSUFMX0NGLjk5NC4wMi8wOC8yMDI2Li4uVVNELkgBAAAAS1UAAAMAAAAAALfbb28s8N4IAuW+hyzw3gg4Q0lRLk5BU0RBUTpNU0ZULklRX1RPVEFMX1JFVl8zWVJfQU5OX0NBR1IuOTk2LjAyLzA4LzIwMjYBAAAAS1UAAAIAAAAHMTYuMzYxNQEIAAAABQAAAAExAQAAAAstMTk4NTkzMTIyNAMAAAADMTYwAgAAAAQ0MjIwBAAAAAEwBwAAAAg4LzIvMjAyNggAAAAJNi8zMC8yMDIyCQAAAAEwF3bCbyzw3gia9NqHLPDeCEdDSVEuTkFTREFROk1TRlQuSVFfREVQUkVDSUFUSU9OX1JFTlRBTF9BU1NFVFNfQ0YuOTk3LjAyLzA4LzIwMjYuLi5VU0QuSAEAAABLVQAAAwAAAAAAt9tvbyzw3gja</t>
  </si>
  <si>
    <t>C7+HLPDeCDVDSVEuTkFTREFROk1TRlQuSVFfRUJJVERBXzNZUl9BTk5fQ0FHUi45OTcuMDIvMDgvMjAyNgEAAABLVQAAAgAAAAcxNi4wNjA5AQgAAAAFAAAAATEBAAAACy0xOTM0MjU0MjUwAwAAAAMxNjACAAAABDQyMjIEAAAAATAHAAAACDgvMi8yMDI2CAAAAAk2LzMwLzIwMjMJAAAAATAXdsJvLPDeCHTN2ocs8N4IR0NJUS5OQVNEQVE6TVNGVC5JUV9EQV9TVVBQTF9DRl9FWENMX09QRVJfTEVBU0VTLjEwMDAuMDIvMDgvMjAyNi4uLlVTRC5IAQAAAEtVAAACAAAABTM0MzAwAQgAAAAFAAAAATEBAAAACy0xODgwMjI5NjY1AwAAAAMxNjACAAAABTQ4OTgzBAAAAAEwBwAAAAg4LzIvMjAyNggAAAAJNi8zMC8yMDI2CQAAAAEwt9tvbyzw3gjaC7+HLPDeCDdDSVEuTkFTREFROk1TRlQuSVFfQU1PUlRfRElDX0NGLjEwMDAuMDIvMDgvMjAyNi4uLlVTRC5IAQAAAEtVAAADAAAAAAC3229vLPDeCNoLv4cs8N4IN0NJUS5OQVNEQVE6TVNGVC5JUV9DQVNIX0lOVEVSRVNULjk5OS4wMi8wOC8yMDI2Li4uVVNELkgBAAAAS1UAAAIAAAAEMTYwMAEIAAAABQAAAAExAQAAAAstMTg4MDIyOTY4NgMAAAADMTYwAgAAAAQzMDI4BAAAAAEwBwAAAAg4LzIvMjAyNggAAAAJNi8zMC8yMDI1CQAAAAEwt9tvbyzw3gjaC7+HLPDeCDxDSVEuTkFTREFROk1TRlQuSVFfQ0FTSF9JTlRFUkVTVF9PUEVSLjk5OC4wMi8wOC8yMDI2</t>
  </si>
  <si>
    <t>Li4uVVNELkgBAAAAS1UAAAMAAAAAALfbb28s8N4I2gu/hyzw3gg+Q0lRLk5BU0RBUTpNU0ZULklRX0NBU0hfSU5URVJFU1RfRklOQU4uMTAwMC4wMi8wOC8yMDI2Li4uVVNELkgBAAAAS1UAAAMAAAAAALfbb28s8N4I2gu/hyzw3gg7Q0lRLk5BU0RBUTpNU0ZULklRX0NBU0hfVEFYRVNfSU5WRVNULjk5OS4wMi8wOC8yMDI2Li4uVVNELkgBAAAAS1UAAAMAAAAAALfbb28s8N4I3jK/hyzw3gg+Q0lRLk5BU0RBUTpNU0ZULklRX0NIQU5HRV9ERUZfVEFYX1RPVEFMLjk5Ni4wMi8wOC8yMDI2Li4uVVNELkgBAAAAS1UAAAIAAAAFLTU3MDIBCAAAAAUAAAABMQEAAAALLTE5ODU5MzEyMjQDAAAAAzE2MAIAAAAFMzA5MjQEAAAAATAHAAAACDgvMi8yMDI2CAAAAAk2LzMwLzIwMjIJAAAAATC3229vLPDeCN4yv4cs8N4IN0NJUS5OQVNEQVE6TVNGVC5JUV9VTkxFVkVSRURfRkNGLjk5NS4wMi8wOC8yMDI2Li4uVVNELkgBAAAAS1UAAAIAAAAHNDI3OTMuNQEIAAAABQAAAAExAQAAAAstMjAzNjg0Mzg0MwMAAAADMTYwAgAAAAQ0NDIzBAAAAAEwBwAAAAg4LzIvMjAyNggAAAAJNi8zMC8yMDIxCQAAAAEwt9tvbyzw3gjaC7+HLPDeCDVDSVEuTkFTREFROk1TRlQuSVFfTUFJTlRfQ0FQRVguOTk0LjAyLzA4LzIwMjYuLi5VU0QuSAEAAABLVQAAAwAAAAAAt9tvbyzw3gjaC7+HLPDeCEJDSVEuTkFTREFROk1TRlQuSVFf</t>
  </si>
  <si>
    <t>T1BFUkFUSU5HX0xFQVNFX1BBWU1FTlRTLjk5NC4wMi8wOC8yMDI2Li4uVVNELkgBAAAAS1UAAAMAAAAAALfbb28s8N4I2gu/hyzw3ghLQ0lRLk5BU0RBUTpNU0ZULklRX0xPTkdfVEVSTV9ERUJUX1JFUEFJRF9FWENMX0xFQVNFUy45OTQuMDIvMDgvMjAyNi4uLlVTRC5IAQAAAEtVAAACAAAABS01NTE4AQgAAAAFAAAAATEBAAAACy0yMDg3NDk2NjI3AwAAAAMxNjACAAAABTQ4OTg0BAAAAAEwBwAAAAg4LzIvMjAyNggAAAAJNi8zMC8yMDIwCQAAAAEwt9tvbyzw3gjeMr+HLPDeCDRDSVEuTkFTREFROk1TRlQuSVFfQ0FTSF9FUVVJVi45OTYuMDIvMDgvMjAyNi4uLlVTRC5IAQAAAEtVAAACAAAABTEzOTMxAQgAAAAFAAAAATEBAAAACy0xOTg1OTMxMjI0AwAAAAMxNjACAAAABDEwOTYEAAAAATAHAAAACDgvMi8yMDI2CAAAAAk2LzMwLzIwMjIJAAAAATC3229vLPDeCCZav4cs8N4IM0NJUS5OQVNEQVE6TVNGVC5JUV9TVF9JTlZFU1QuOTk1LjAyLzA4LzIwMjYuLi5VU0QuSAEAAABLVQAAAgAAAAYxMTYwMzIBCAAAAAUAAAABMQEAAAALLTIwMzY4NDM4NDMDAAAAAzE2MAIAAAAEMTA2OQQAAAABMAcAAAAIOC8yLzIwMjYIAAAACTYvMzAvMjAyMQkAAAABMLfbb28s8N4I2gu/hyzw3ggsQ0lRLk5BU0RBUTpNU0ZULklRX0FSLjk5NC4wMi8wOC8yMDI2Li4uVVNELkgBAAAAS1UAAAIAAAAFMzIwMTEBCAAAAAUA</t>
  </si>
  <si>
    <t>AAABMQEAAAALLTIwODc0OTY2MjcDAAAAAzE2MAIAAAAEMTAyMQQAAAABMAcAAAAIOC8yLzIwMjYIAAAACTYvMzAvMjAyMAkAAAABMLfbb28s8N4I3jK/hyzw3gg2Q0lRLk5BU0RBUTpNU0ZULklRX1RPVEFMX1JFQ0VJVi45OTUuMDIvMDgvMjAyNi4uLlVTRC5IAQAAAEtVAAACAAAABTM4MDQzAQgAAAAFAAAAATEBAAAACy0yMDM2ODQzODQzAwAAAAMxNjACAAAABDEwMDEEAAAAATAHAAAACDgvMi8yMDI2CAAAAAk2LzMwLzIwMjEJAAAAATC3229vLPDeCN4yv4cs8N4IP0NJUS5OQVNEQVE6TVNGVC5JUV9GSU5fRElWX0xPQU5TX0NVUlJFTlQuOTk1LjAyLzA4LzIwMjYuLi5VU0QuSAEAAABLVQAAAwAAAAAAt9tvbyzw3ggmWr+HLPDeCEBDSVEuTkFTREFROk1TRlQuSVFfREVGX1RBWF9BU1NFVFNfQ1VSUkVOVC45OTYuMDIvMDgvMjAyNi4uLlVTRC5IAQAAAEtVAAADAAAAAAC3229vLPDeCCZav4cs8N4IMkNJUS5OQVNEQVE6TVNGVC5JUV9UT1RBTF9DQS45OTcuMDIvMDgvMjAyNi4uLlVTRC5IAQAAAEtVAAACAAAABjE4NDI1NwEIAAAABQAAAAExAQAAAAstMTkzNDI1NDI1MAMAAAADMTYwAgAAAAQxMDA4BAAAAAEwBwAAAAg4LzIvMjAyNggAAAAJNi8zMC8yMDIzCQAAAAEwt9tvbyzw3gjeMr+HLPDeCC5DSVEuTkFTREFROk1TRlQuSVFfTlBQRS45OTcuMDIvMDgvMjAyNi4uLlVTRC5IAQAAAEtVAAACAAAA</t>
  </si>
  <si>
    <t>BjEwOTk4NwEIAAAABQAAAAExAQAAAAstMTkzNDI1NDI1MAMAAAADMTYwAgAAAAQxMDA0BAAAAAEwBwAAAAg4LzIvMjAyNggAAAAJNi8zMC8yMDIzCQAAAAEwt9tvbyzw3gjeMr+HLPDeCDVDSVEuTkFTREFROk1TRlQuSVFfT1RIRVJfSU5UQU4uOTk3LjAyLzA4LzIwMjYuLi5VU0QuSAEAAABLVQAAAgAAAAQ5MzY2AQgAAAAFAAAAATEBAAAACy0xOTM0MjU0MjUwAwAAAAMxNjACAAAABDEwNDAEAAAAATAHAAAACDgvMi8yMDI2CAAAAAk2LzMwLzIwMjMJAAAAATC3229vLPDeCN4yv4cs8N4IPENJUS5OQVNEQVE6TVNGVC5JUV9GSU5fRElWX0FTU0VUU19MVC4xMDAwLjAyLzA4LzIwMjYuLi5VU0QuSAEAAABLVQAAAwAAAAAAt9tvbyzw3ggggb+HLPDeCDtDSVEuTkFTREFROk1TRlQuSVFfREVGX1RBWF9BU1NFVFNfTFQuOTkzLjAyLzA4LzIwMjYuLi5VU0QuSAEAAABLVQAAAgAAAAQ3NTM2AQgAAAAFAAAAATEBAAAACy0yMTQwOTgxNDY5AwAAAAMxNjACAAAABDEwMjYEAAAAATAHAAAACDgvMi8yMDI2CAAAAAk2LzMwLzIwMTkJAAAAATC3229vLPDeCCCBv4cs8N4INkNJUS5OQVNEQVE6TVNGVC5JUV9UT1RBTF9BU1NFVFMuOTkzLjAyLzA4LzIwMjYuLi5VU0QuSAEAAABLVQAAAgAAAAYyODY1NTYBCAAAAAUAAAABMQEAAAALLTIxNDA5ODE0NjkDAAAAAzE2MAIAAAAEMTAwNwQAAAABMAcAAAAIOC8yLzIwMjYI</t>
  </si>
  <si>
    <t>AAAACTYvMzAvMjAxOQkAAAABMLfbb28s8N4IJlq/hyzw3ggsQ0lRLk5BU0RBUTpNU0ZULklRX0FFLjk5OC4wMi8wOC8yMDI2Li4uVVNELkgBAAAAS1UAAAIAAAAFMTI1NjQBCAAAAAUAAAABMQEAAAALLTE4ODAyMjk2OTQDAAAAAzE2MAIAAAAEMTAxNgQAAAABMAcAAAAIOC8yLzIwMjYIAAAACTYvMzAvMjAyNAkAAAABMLfbb28s8N4IJlq/hyzw3gg9Q0lRLk5BU0RBUTpNU0ZULklRX0NVUlJFTlRfUE9SVF9MRUFTRVMuOTk5LjAyLzA4LzIwMjYuLi5VU0QuSAEAAABLVQAAAgAAAAQ4NTk2AQgAAAAFAAAAATEBAAAACy0xODgwMjI5Njg2AwAAAAMxNjACAAAABDEwOTAEAAAAATAHAAAACDgvMi8yMDI2CAAAAAk2LzMwLzIwMjUJAAAAATC3229vLPDeCCZav4cs8N4IPkNJUS5OQVNEQVE6TVNGVC5JUV9JTkNfVEFYX1BBWV9DVVJSRU5ULjEwMDAuMDIvMDgvMjAyNi4uLlVTRC5IAQAAAEtVAAACAAAABDI1MzQBCAAAAAUAAAABMQEAAAALLTE4ODAyMjk2NjUDAAAAAzE2MAIAAAAEMTA5NAQAAAABMAcAAAAIOC8yLzIwMjYIAAAACTYvMzAvMjAyNgkAAAABMLfbb28s8N4IIIG/hyzw3ggyQ0lRLk5BU0RBUTpNU0ZULklRX1RPVEFMX0NMLjk5Ny4wMi8wOC8yMDI2Li4uVVNELkgBAAAAS1UAAAIAAAAGMTA0MTQ5AQgAAAAFAAAAATEBAAAACy0xOTM0MjU0MjUwAwAAAAMxNjACAAAABDEwMDkEAAAAATAHAAAACDgv</t>
  </si>
  <si>
    <t>Mi8yMDI2CAAAAAk2LzMwLzIwMjMJAAAAATC3229vLPDeCCCBv4cs8N4IOkNJUS5OQVNEQVE6TVNGVC5JUV9MT05HX1RFUk1fTEVBU0VTLjk5NC4wMi8wOC8yMDI2Li4uVVNELkgBAAAAS1UAAAIAAAAFMTY2MjcBCAAAAAUAAAABMQEAAAALLTIwODc0OTY2MjcDAAAAAzE2MAIAAAAEMTE4MwQAAAABMAcAAAAIOC8yLzIwMjYIAAAACTYvMzAvMjAyMAkAAAABMLfbb28s8N4IJlq/hyzw3ggxQ0lRLk5BU0RBUTpNU0ZULklRX1BFTlNJT04uOTk1LjAyLzA4LzIwMjYuLi5VU0QuSAEAAABLVQAAAwAAAAAAt9tvbyzw3ggmWr+HLPDeCDVDSVEuTkFTREFROk1TRlQuSVFfUFJFRl9SRURFRU0uOTkyLjAyLzA4LzIwMjYuLi5VU0QuSAEAAABLVQAAAwAAAAAAt9tvbyzw3ggggb+HLPDeCDRDSVEuTkFTREFROk1TRlQuSVFfUFJFRl9PVEhFUi45OTcuMDIvMDgvMjAyNi4uLlVTRC5IAQAAAEtVAAADAAAAAAC3229vLPDeCESov4cs8N4ILENJUS5OQVNEQVE6TVNGVC5JUV9SRS45OTkuMDIvMDgvMjAyNi4uLlVTRC5IAQAAAEtVAAACAAAABjIzNzczMQEIAAAABQAAAAExAQAAAAstMTg4MDIyOTY4NgMAAAADMTYwAgAAAAQxMjIyBAAAAAEwBwAAAAg4LzIvMjAyNggAAAAJNi8zMC8yMDI1CQAAAAEwt9tvbyzw3ghEqL+HLPDeCDxDSVEuTkFTREFROk1TRlQuSVFfTUlOT1JJVFlfSU5URVJFU1QuMTAwMC4wMi8wOC8yMDI2</t>
  </si>
  <si>
    <t>Li4uVVNELkgBAAAAS1UAAAMAAAAAALfbb28s8N4IIIG/hyzw3gg4Q0lRLk5BU0RBUTpNU0ZULklRX1JVQV9BQ0NVTV9ERVAuMTAwMC4wMi8wOC8yMDI2Li4uVVNELkgBAAAAS1UAAAMAAAAAALfbb28s8N4IIIG/hyzw3gg/Q0lRLk5BU0RBUTpNU0ZULklRX1JVQV9DQVBJVEFMX0xFQVNFX05FVC45OTkuMDIvMDgvMjAyNi4uLlVTRC5IAQAAAEtVAAADAAAAAAC3229vLPDeCCCBv4cs8N4IPUNJUS5OQVNEQVE6TVNGVC5JUV9BRF9FWENMX09QRVJfTEVBU0VTLjk5My4wMi8wOC8yMDI2Li4uVVNELkgBAAAAS1UAAAIAAAAGLTM1MzMwAQgAAAAFAAAAATEBAAAACy0yMTQwOTgxNDY5AwAAAAMxNjACAAAABTQ4OTc1BAAAAAEwBwAAAAg4LzIvMjAyNggAAAAJNi8zMC8yMDE5CQAAAAEwt9tvbyzw3ghEqL+HLPDeCEJDSVEuTkFTREFROk1TRlQuSVFfRklOQU5DRV9MRUFTRVNfTE9OR19URVJNLjk5NC4wMi8wOC8yMDI2Li4uVVNELkgBAAAAS1UAAAIAAAAEODk1NgEIAAAABQAAAAExAQAAAAstMjA4NzQ5NjYyNwMAAAADMTYwAgAAAAU0ODk5MQQAAAABMAcAAAAIOC8yLzIwMjYIAAAACTYvMzAvMjAyMAkAAAABMLfbb28s8N4IRKi/hyzw3gg2Q0lRLk5BU0RBUTpNU0ZULklRX1RPVEFMX0xFQVNFUy45OTkuMDIvMDgvMjAyNi4uLlVTRC5IAQAAAEtVAAACAAAABTY5MDMzAQgAAAAFAAAAATEBAAAACy0xODgwMjI5</t>
  </si>
  <si>
    <t>Njg2AwAAAAMxNjACAAAABTQ4OTc5BAAAAAEwBwAAAAg4LzIvMjAyNggAAAAJNi8zMC8yMDI1CQAAAAEwt9tvbyzw3ggggb+HLPDeCDNDSVEuTkFTREFROk1TRlQuSVFfQlZfU0hBUkUuMTAwMC4wMi8wOC8yMDI2Li4uVVNELkgBAAAAS1UAAAIAAAAJNTkuNTY0Njk2AQgAAAAFAAAAATEBAAAACy0xODgwMjI5NjY1AwAAAAMxNjACAAAABDQwMjAEAAAAATAHAAAACDgvMi8yMDI2CAAAAAk2LzMwLzIwMjYJAAAAATC3229vLPDeCESov4cs8N4IMkNJUS5OQVNEQVE6TVNGVC5JUV9HV19JTlRBTi45OTQuMDIvMDgvMjAyNi4uLlVTRC5IAQAAAEtVAAACAAAABTUwMzg5AQgAAAAFAAAAATEBAAAACy0yMDg3NDk2NjI3AwAAAAMxNjACAAAABTM1MzgxBAAAAAEwBwAAAAg4LzIvMjAyNggAAAAJNi8zMC8yMDIwCQAAAAEwt9tvbyzw3ghEqL+HLPDeCDNDSVEuTkFTREFROk1TRlQuSVFfTkVUX0RFQlQuMTAwMC4wMi8wOC8yMDI2Li4uVVNELkgBAAAAS1UAAAIAAAAFNTIxNjIBCAAAAAUAAAABMQEAAAALLTE4ODAyMjk2NjUDAAAAAzE2MAIAAAAENDM2NAQAAAABMAcAAAAIOC8yLzIwMjYIAAAACTYvMzAvMjAyNgkAAAABMLfbb28s8N4IQ8+/hyzw3gg3Q0lRLk5BU0RBUTpNU0ZULklRX0VRVUlUWV9NRVRIT0QuOTk2LjAyLzA4LzIwMjYuLi5VU0QuSAEAAABLVQAAAwAAAAAAt9tvbyzw3ghDz7+HLPDeCDNDSVEuTkFT</t>
  </si>
  <si>
    <t>REFROk1TRlQuSVFfT1RIRVJfSU5WLjk5My4wMi8wOC8yMDI2Li4uVVNELkgBAAAAS1UAAAMAAAAAALfbb28s8N4IRKi/hyzw3ghAQ0lRLk5BU0RBUTpNU0ZULklRX05BVFVSQUxfUkVTT1VSQ0VTX0NPU1QuOTk4LjAyLzA4LzIwMjYuLi5VU0QuSAEAAABLVQAAAwAAAAAAt9tvbyzw3ghEqL+HLPDeCEVDSVEuTkFTREFROk1TRlQuSVFfREVGX1RBWF9WQUxVQVRJT05fQUxMT1dBTkNFLjk5Ny4wMi8wOC8yMDI2Li4uVVNELkgBAAAAS1UAAAIAAAADOTM5AQgAAAAFAAAAATEBAAAACy0xOTM0MjU0MjUwAwAAAAMxNjACAAAABTQ2MDQ1BAAAAAEwBwAAAAg4LzIvMjAyNggAAAAJNi8zMC8yMDIzCQAAAAEwt9tvbyzw3ghEqL+HLPDeCDhDSVEuTkFTREFROk1TRlQuSVFfQVNTRVRTX0xFVkVMXzIuOTk1LjAyLzA4LzIwMjYuLi5VU0QuSAEAAABLVQAAAgAAAAUyNzg2OAC3229vLPDeCD72v4cs8N4IQENJUS5OQVNEQVE6TVNGVC5JUV9GSU5fRElWX0xUX0RFQlRfVE9UQUwuMTAwMC4wMi8wOC8yMDI2Li4uVVNELkgBAAAAS1UAAAMAAAAAALfbb28s8N4IPva/hyzw3ghDQ0lRLk5BU0RBUTpNU0ZULklRX0RFUklWQVRJVkVfVFJBRElOR19BU1NFVFMuOTk0LjAyLzA4LzIwMjYuLi5VU0QuSAEAAABLVQAAAwAAAAAAt9tvbyzw3ghDz7+HLPDeCDRDSVEuTkFTREFROk1TRlQuSVFfSU5TX1NFVFRMRS45OTUuMDIvMDgv</t>
  </si>
  <si>
    <t>MjAyNi4uLlVTRC5IAQAAAEtVAAADAAAAAAC3229vLPDeCEPPv4cs8N4IPUNJUS5OQVNEQVE6TVNGVC5JUV9PVEhFUl9VTlVTVUFMX1NVUFBMLjk5Ny4wMi8wOC8yMDI2Li4uVVNELkgBAAAAS1UAAAMAAAAAALfbb28s8N4IPva/hyzw3ggsQ0lRLk5BU0RBUTpNU0ZULklRX0RPLjk5Mi4wMi8wOC8yMDI2Li4uVVNELkgBAAAAS1UAAAMAAAAAALfbb28s8N4IPva/hyzw3gg5Q0lRLk5BU0RBUTpNU0ZULklRX0VYVFJBX0FDQ19JVEVNUy45OTYuMDIvMDgvMjAyNi4uLlVTRC5IAQAAAEtVAAADAAAAAAC3229vLPDeCEPPv4cs8N4IPkNJUS5OQVNEQVE6TVNGVC5JUV9NSU5PUklUWV9JTlRFUkVTVF9JUy45OTcuMDIvMDgvMjAyNi4uLlVTRC5IAQAAAEtVAAADAAAAAAC3229vLPDeCEPPv4cs8N4IN0NJUS5OQVNEQVE6TVNGVC5JUV9OSV9BVkFJTF9FWENMLjk5My4wMi8wOC8yMDI2Li4uVVNELkgBAAAAS1UAAAIAAAAFMzkyNDABCAAAAAUAAAABMQEAAAALLTIxNDA5ODE0NjkDAAAAAzE2MAIAAAADMzc5BAAAAAEwBwAAAAg4LzIvMjAyNggAAAAJNi8zMC8yMDE5CQAAAAEwt9tvbyzw3ghDz7+HLPDeCDhDSVEuTkFTREFROk1TRlQuSVFfQkFTSUNfRVBTX0VYQ0wuOTk0LjAyLzA4LzIwMjYuLi5VU0QuSAEAAABLVQAAAgAAAAg1LjgxODc5MQEIAAAABQAAAAExAQAAAAstMjA4NzQ5NjYyNwMAAAADMTYwAgAAAAQz</t>
  </si>
  <si>
    <t>MDY0BAAAAAEwBwAAAAg4LzIvMjAyNggAAAAJNi8zMC8yMDIwCQAAAAEwt9tvbyzw3ghLHcCHLPDeCDJDSVEuTkFTREFROk1TRlQuSVFfRVBTX05PUk0uOTkzLjAyLzA4LzIwMjYuLi5VU0QuSAEAAABLVQAAAgAAAAgzLjUwNTc5OQEIAAAABQAAAAExAQAAAAstMjE0MDk4MTQ2OQMAAAADMTYwAgAAAAQ0Mzc5BAAAAAEwBwAAAAg4LzIvMjAyNggAAAAJNi8zMC8yMDE5CQAAAAEwt9tvbyzw3ghLHcCHLPDeCE5DSVEuTkFTREFROk1TRlQuSVFfRElTVFJJQlVUQUJMRV9DQVNIX1BFUl9TSEFSRV9ESUxVVEVELjk5NC4wMi8wOC8yMDI2Li4uVVNELkgBAAAAS1UAAAMAAAAAALfbb28s8N4IPva/hyzw3gg5Q0lRLk5BU0RBUTpNU0ZULklRX1RPVEFMX1JFVl9TSEFSRS45OTQuMDIvMDgvMjAyNi4uLlVTRC5IAQAAAEtVAAACAAAACTE4Ljc5MzAzNQEIAAAABQAAAAExAQAAAAstMjA4NzQ5NjYyNwMAAAADMTYwAgAAAAQ0MzgyBAAAAAEwBwAAAAg4LzIvMjAyNggAAAAJNi8zMC8yMDIwCQAAAAEwt9tvbyzw3gg+9r+HLPDeCDBDSVEuTkFTREFROk1TRlQuSVFfRUJJVERBLjk5My4wMi8wOC8yMDI2Li4uVVNELkgBAAAAS1UAAAIAAAAFNTQ1NTkBCAAAAAUAAAABMQEAAAALLTIxNDA5ODE0NjkDAAAAAzE2MAIAAAAENDA1MQQAAAABMAcAAAAIOC8yLzIwMjYIAAAACTYvMzAvMjAxOQkAAAABMLfbb28s8N4IPva/hyzw</t>
  </si>
  <si>
    <t>3ghAQ0lRLk5BU0RBUTpNU0ZULklRX0VCSVREQV9FUV9JTkNfRVhDTF9TQkMuOTk0LjAyLzA4LzIwMjYuLi5VU0QuSAEAAABLVQAAAgAAAAU3MDU0OAEIAAAABQAAAAExAQAAAAstMjA4NzQ5NjYyNwMAAAADMTYwAgAAAAUyNDEzMQQAAAABMAcAAAAIOC8yLzIwMjYIAAAACTYvMzAvMjAyMAkAAAABMLfbb28s8N4ISx3Ahyzw3ghBQ0lRLk5BU0RBUTpNU0ZULklRX0xFQVNFX0FESlVTVE1FTlRfRUJJVERBLjk5Mi4wMi8wOC8yMDI2Li4uVVNELkgBAAAAS1UAAAIAAAAEMTU4NQC3229vLPDeCEsdwIcs8N4ILkNJUS5OQVNEQVE6TVNGVC5JUV9FQklULjk5My4wMi8wOC8yMDI2Li4uVVNELkgBAAAAS1UAAAIAAAAFNDI5NTkBCAAAAAUAAAABMQEAAAALLTIxNDA5ODE0NjkDAAAAAzE2MAIAAAADNDAwBAAAAAEwBwAAAAg4LzIvMjAyNggAAAAJNi8zMC8yMDE5CQAAAAEwt9tvbyzw3gg+9r+HLPDeCD5DSVEuTkFTREFROk1TRlQuSVFfRUJJVF9FUV9JTkNfRVhDTF9TQkMuOTk1LjAyLzA4LzIwMjYuLi5VU0QuSAEAAABLVQAAAgAAAAU3NjAzNAEIAAAABQAAAAExAQAAAAstMjAzNjg0Mzg0MwMAAAADMTYwAgAAAAUyNDEzMAQAAAABMAcAAAAIOC8yLzIwMjYIAAAACTYvMzAvMjAyMQkAAAABMLfbb28s8N4IPva/hyzw3gg2Q0lRLk5BU0RBUTpNU0ZULklRX0VCSVRBX0VRX0lOQy45OTIuMDIvMDgvMjAyNi4uLlVT</t>
  </si>
  <si>
    <t>RC5IAQAAAEtVAAACAAAABTM3MjU4AQgAAAAFAAAAATEBAAAACjIwNDcyNzE3NDUDAAAAAzE2MAIAAAAFMjE2NzYEAAAAATAHAAAACDgvMi8yMDI2CAAAAAk2LzMwLzIwMTgJAAAAATC3229vLPDeCEsdwIcs8N4IOENJUS5OQVNEQVE6TVNGVC5JUV9FQklUQV9FWENMX1NCQy45OTQuMDIvMDgvMjAyNi4uLlVTRC5IAQAAAEtVAAACAAAABTU5ODQ4AQgAAAAFAAAAATEBAAAACy0yMDg3NDk2NjI3AwAAAAMxNjACAAAABTI0MTM2BAAAAAEwBwAAAAg4LzIvMjAyNggAAAAJNi8zMC8yMDIwCQAAAAEwt9tvbyzw3ghcRMCHLPDeCEJDSVEuTkFTREFROk1TRlQuSVFfRUJJVERBUl9FUV9JTkNfRVhDTF9TQkMuMTAwMC4wMi8wOC8yMDI2Li4uVVNELkgBAAAAS1UAAAIAAAAGMjE4MzMyAQgAAAAFAAAAATEBAAAACy0xODgwMjI5NjY1AwAAAAMxNjACAAAABTI0MTMzBAAAAAEwBwAAAAg4LzIvMjAyNggAAAAJNi8zMC8yMDI2CQAAAAEwt9tvbyzw3ghcRMCHLPDeCDZDSVEuTkFTREFROk1TRlQuSVFfRUJJVERBX0NBUEVYLjk5My4wMi8wOC8yMDI2Li4uVVNELkgBAAAAS1UAAAIAAAAFNDA2MzQBCAAAAAUAAAABMQEAAAALLTIxNDA5ODE0NjkDAAAAAzE2MAIAAAAFMzUzNzkEAAAAATAHAAAACDgvMi8yMDI2CAAAAAk2LzMwLzIwMTkJAAAAATC3229vLPDeCEsdwIcs8N4IQENJUS5OQVNEQVE6TVNGVC5JUV9UT1RBTF9S</t>
  </si>
  <si>
    <t>RVZfQVNfUkVQT1JURUQuMTAwMC4wMi8wOC8yMDI2Li4uVVNELkgBAAAAS1UAAAIAAAAGMzMxODM5AQgAAAAFAAAAATEBAAAACy0xODgwMjI5NjY1AwAAAAMxNjACAAAAAzMzOQQAAAABMAcAAAAIOC8yLzIwMjYIAAAACTYvMzAvMjAyNgkAAAABMLfbb28s8N4ISx3Ahyzw3ghDQ0lRLk5BU0RBUTpNU0ZULklRX0VBUk5JTkdfUEFSRU5UX0VYQ0xfRVhUUkEuOTk4LjAyLzA4LzIwMjYuLi5VU0QuSAEAAABLVQAAAgAAAAU4ODEzNgEIAAAABQAAAAExAQAAAAstMTg4MDIyOTY5NAMAAAADMTYwAgAAAAU0MTU5NgQAAAABMAcAAAAIOC8yLzIwMjYIAAAACTYvMzAvMjAyNAkAAAABMLfbb28s8N4ISx3Ahyzw3gg5Q0lRLk5BU0RBUTpNU0ZULklRX0lOVEVSRVNUX0lOQ09NRS45OTkuMDIvMDgvMjAyNi4uLlVTRC5IAQAAAEtVAAACAAAABDI2NDcBCAAAAAUAAAABMQEAAAALLTE4ODAyMjk2ODYDAAAAAzE2MAIAAAADMjEwBAAAAAEwBwAAAAg4LzIvMjAyNggAAAAJNi8zMC8yMDI1CQAAAAEwt9tvbyzw3ghcRMCHLPDeCEFDSVEuTkFTREFROk1TRlQuSVFfRVhDSVNFX1RBWEVTX0lOQ0xfU0FMRVMuOTk3LjAyLzA4LzIwMjYuLi5VU0QuSAEAAABLVQAAAwAAAAAAt9tvbyzw3ghcRMCHLPDeCDxDSVEuTkFTREFROk1TRlQuSVFfQ1VSUl9GT1JFSUdOX1RBWEVTLjk5OC4wMi8wOC8yMDI2Li4uVVNELkgBAAAAS1UAAAIA</t>
  </si>
  <si>
    <t>AAAEOTg1OAEIAAAABQAAAAExAQAAAAstMTg4MDIyOTY5NAMAAAADMTYwAgAAAAQzMDMwBAAAAAEwBwAAAAg4LzIvMjAyNggAAAAJNi8zMC8yMDI0CQAAAAEwt9tvbyzw3ghLHcCHLPDeCEFDSVEuTkFTREFROk1TRlQuSVFfREVGRVJSRURfRE9NRVNUSUNfVEFYRVMuOTk5LjAyLzA4LzIwMjYuLi5VU0QuSAEAAABLVQAAAgAAAAUtNzMzNwEIAAAABQAAAAExAQAAAAstMTg4MDIyOTY4NgMAAAADMTYwAgAAAAQzMDU0BAAAAAEwBwAAAAg4LzIvMjAyNggAAAAJNi8zMC8yMDI1CQAAAAEwt9tvbyzw3ghcRMCHLPDeCENDSVEuTkFTREFROk1TRlQuSVFfTk9OUkVDVVJSSU5HX0lOQ09NRV9UQVhFUy45OTcuMDIvMDgvMjAyNi4uLlVTRC5IAQAAAEtVAAADAAAAAAC3229vLPDeCFxEwIcs8N4IMkNJUS5OQVNEQVE6TVNGVC5JUV9ESUxVVF9OSS45OTguMDIvMDgvMjAyNi4uLlVTRC5IAQAAAEtVAAACAAAABzg4MTM0LjIBCAAAAAUAAAABMQEAAAALLTE4ODAyMjk2OTQDAAAAAzE2MAIAAAAEMzUyMgQAAAABMAcAAAAIOC8yLzIwMjYIAAAACTYvMzAvMjAyNAkAAAABMLfbb28s8N4IXETAhyzw3gg6Q0lRLk5BU0RBUTpNU0ZULklRX0lOVF9FWFBfSU5DTF9DQVAuOTk0LjAyLzA4LzIwMjYuLi5VU0QuSAEAAABLVQAAAgAAAAQyNTkxAQgAAAAFAAAAATEBAAAACy0yMDg3NDk2NjI3AwAAAAMxNjACAAAABTIxODYxBAAA</t>
  </si>
  <si>
    <t>AAEwBwAAAAg4LzIvMjAyNggAAAAJNi8zMC8yMDIwCQAAAAEwt9tvbyzw3ghcRMCHLPDeCDNDSVEuTkFTREFROk1TRlQuSVFfREFfRUJJVERBLjk5NS4wMi8wOC8yMDI2Li4uVVNELkgBAAAAS1UAAAIAAAAFMTA5MDABCAAAAAUAAAABMQEAAAALLTIwMzY4NDM4NDMDAAAAAzE2MAIAAAAEMjIwNgQAAAABMAcAAAAIOC8yLzIwMjYIAAAACTYvMzAvMjAyMQkAAAABMLfbb28s8N4IXETAhyzw3ghJQ0lRLk5BU0RBUTpNU0ZULklRX0RJU1RSSUJVVEFCTEVfQ0FTSF9TVEFOREFSRElaRUQuOTk2LjAyLzA4LzIwMjYuLi5VU0QuSAEAAABLVQAAAwAAAAAAt9tvbyzw3ghcRMCHLPDeCC1DSVEuTkFTREFROk1TRlQuSVFfRElDLjk5NC4wMi8wOC8yMDI2Li4uVVNELkgBAAAAS1UAAAMAAAAAALfbb28s8N4IXETAhyzw3ggzQ0lRLk5BU0RBUTpNU0ZULklRX01BUktFVElORy45OTIuMDIvMDgvMjAyNi4uLlVTRC5IAQAAAEtVAAADAAAAAAC3229vLPDeCBh/wIcs8N4IM0NJUS5OQVNEQVE6TVNGVC5JUV9SRF9FWFBfRk4uOTk2LjAyLzA4LzIwMjYuLi5VU0QuSAEAAABLVQAAAgAAAAUyNDUxMgEIAAAABQAAAAExAQAAAAstMTk4NTkzMTIyNAMAAAADMTYwAgAAAAQzMTY4BAAAAAEwBwAAAAg4LzIvMjAyNggAAAAJNi8zMC8yMDIyCQAAAAEwt9tvbyzw3ggYf8CHLPDeCDhDSVEuTkFTREFROk1TRlQuSVFfTkVUX1JFTlRB</t>
  </si>
  <si>
    <t>TF9FWFAuOTk4LjAyLzA4LzIwMjYuLi5VU0QuSAEAAABLVQAAAwAAAAAAt9tvbyzw3ghcRMCHLPDeCDtDSVEuTkFTREFROk1TRlQuSVFfQ09OVElOR0VOVF9SRU5UQUwuOTkyLjAyLzA4LzIwMjYuLi5VU0QuSAEAAABLVQAAAwAAAAAAt9tvbyzw3ghcRMCHLPDeCDdDSVEuTkFTREFROk1TRlQuSVFfQUlSQ1JBRlRfUkVOVC45OTcuMDIvMDgvMjAyNi4uLlVTRC5IAQAAAEtVAAADAAAAAAC3229vLPDeCFxEwIcs8N4IQUNJUS5OQVNEQVE6TVNGVC5JUV9FWFBMT1JFX0RSSUxMX0VYUF9UT1RBTC45OTkuMDIvMDgvMjAyNi4uLlVTRC5IAQAAAEtVAAADAAAAAAC3229vLPDeCHWmwIcs8N4IP0NJUS5OQVNEQVE6TVNGVC5JUV9JTVBVVF9PUEVSX0xFQVNFX0RFUFIuOTk2LjAyLzA4LzIwMjYuLi5VU0QuSAEAAABLVQAAAgAAAAsxOTU5LjM2OTQ0OAEIAAAABQAAAAExAQAAAAstMTk4NTkzMTIyNAMAAAADMTYwAgAAAAUyMTY3MwQAAAABMAcAAAAIOC8yLzIwMjYIAAAACTYvMzAvMjAyMgkAAAABMLfbb28s8N4IdabAhyzw3gg8Q0lRLk5BU0RBUTpNU0ZULklRX1JFU1RSVUNUVVJFX1NVUFBMRS45OTguMDIvMDgvMjAyNi4uLlVTRC5IAQAAAEtVAAADAAAAAAC3229vLPDeCBh/wIcs8N4IP0NJUS5OQVNEQVE6TVNGVC5JUV9JTVBBSVJNRU5UX0dXX1NVUFBMRS4xMDAwLjAyLzA4LzIwMjYuLi5VU0QuSAEAAABLVQAA</t>
  </si>
  <si>
    <t>AwAAAAAAt9tvbyzw3ggYf8CHLPDeCDpDSVEuTkFTREFROk1TRlQuSVFfR0FJTl9CQVJHQUlOX0FDUS45OTcuMDIvMDgvMjAyNi4uLlVTRC5IAQAAAEtVAAADAAAAAAC3229vLPDeCBh/wIcs8N4IO0NJUS5OQVNEQVE6TVNGVC5JUV9JTlNfU0VUVExFX1NVUFBMRS45OTkuMDIvMDgvMjAyNi4uLlVTRC5IAQAAAEtVAAADAAAAAAC3229vLPDeCHWmwIcs8N4IPkNJUS5OQVNEQVE6TVNGVC5JUV9UT1RBTF9VTlVTVUFMX1NVUFBMRS45OTYuMDIvMDgvMjAyNi4uLlVTRC5IAQAAAEtVAAADAAAAAAC3229vLPDeCHWmwIcs8N4IPkNJUS5OQVNEQVE6TVNGVC5JUV9ORUdBVElWRV9HV19BTU9SVF9BVC45OTguMDIvMDgvMjAyNi4uLlVTRC5IAQAAAEtVAAADAAAAAAC3229vLPDeCBh/wIcs8N4IOENJUS5OQVNEQVE6TVNGVC5JUV9TVE9DS19CQVNFRF9SRC45OTkuMDIvMDgvMjAyNi4uLlVTRC5IAQAAAEtVAAADAAAAAAC3229vLPDeCBh/wIcs8N4IOUNJUS5OQVNEQVE6TVNGVC5JUV9TVE9DS19CQVNFRF9TR0EuOTk3LjAyLzA4LzIwMjYuLi5VU0QuSAEAAABLVQAAAwAAAAAAt9tvbyzw3ggYf8CHLPDeCDtDSVEuTkFTREFROk1TRlQuSVFfU1RPQ0tfQkFTRURfT1RIRVIuOTk4LjAyLzA4LzIwMjYuLi5VU0QuSAEAAABLVQAAAgAAAAUxMDczNAEIAAAABQAAAAExAQAAAAstMTg4MDIyOTY5NAMAAAADMTYwAgAAAAUy</t>
  </si>
  <si>
    <t>MjY3NgQAAAABMAcAAAAIOC8yLzIwMjYIAAAACTYvMzAvMjAyNAkAAAABMLfbb28s8N4Iac3Ahyzw3ghBQ0lRLk5BU0RBUTpNU0ZULklRX1JFU1RSX1NUT0NLX0NPTVBfUFJFVEFYLjk5Ni4wMi8wOC8yMDI2Li4uVVNELkgBAAAAS1UAAAMAAAAAALfbb28s8N4Iac3Ahyzw3gg6Q0lRLk5BU0RBUTpNU0ZULklRX1JFU1RSX1NUT0NLX0NPTVAuOTk3LjAyLzA4LzIwMjYuLi5VU0QuSAEAAABLVQAAAwAAAAAAt9tvbyzw3gh1psCHLPDeCEBDSVEuTkFTREFROk1TRlQuSVFfU1RPQ0tfT1BUSU9OU19DT01QX1RBWC45OTguMDIvMDgvMjAyNi4uLlVTRC5IAQAAAEtVAAADAAAAAAC3229vLPDeCHWmwIcs8N4IOkNJUS5OQVNEQVE6TVNGVC5JUV9TVE9DS19CQVNFRF9DT01QLjk5NC4wMi8wOC8yMDI2Li4uVVNELkgBAAAAS1UAAAIAAAAENDM1MQC3229vLPDeCHWmwIcs8N4INUNJUS5OQVNEQVE6TVNGVC5JUV9EQV9TVVBQTF9DRi45OTUuMDIvMDgvMjAyNi4uLlVTRC5IAQAAAEtVAAACAAAABDkzMDABCAAAAAUAAAABMQEAAAALLTIwMzY4NDM4NDMDAAAAAzE2MAIAAAAEMjE3MQQAAAABMAcAAAAIOC8yLzIwMjYIAAAACTYvMzAvMjAyMQkAAAABMLfbb28s8N4Iac3Ahyzw3ggvQ0lRLk5BU0RBUTpNU0ZULklRX0RBX0NGLjk5My4wMi8wOC8yMDI2Li4uVVNELkgBAAAAS1UAAAIAAAAFMTE2MDABCAAAAAUAAAABMQEA</t>
  </si>
  <si>
    <t>AAALLTIxNDA5ODE0NjkDAAAAAzE2MAIAAAAEMjE2MAQAAAABMAcAAAAIOC8yLzIwMjYIAAAACTYvMzAvMjAxOQkAAAABMLfbb28s8N4Iac3Ahyzw3gg+Q0lRLk5BU0RBUTpNU0ZULklRX01JTk9SSVRZX0lOVEVSRVNUX0NGLjk5NC4wMi8wOC8yMDI2Li4uVVNELkgBAAAAS1UAAAMAAAAAALfbb28s8N4IdabAhyzw3gg4Q0lRLk5BU0RBUTpNU0ZULklRX0dBSU5fSU5WRVNUX0NGLjk5NS4wMi8wOC8yMDI2Li4uVVNELkgBAAAAS1UAAAIAAAAFLTEyNDkBCAAAAAUAAAABMQEAAAALLTIwMzY4NDM4NDMDAAAAAzE2MAIAAAAEMjA5MAQAAAABMAcAAAAIOC8yLzIwMjYIAAAACTYvMzAvMjAyMQkAAAABMLfbb28s8N4IdabAhyzw3gg4Q0lRLk5BU0RBUTpNU0ZULklRX0NSRURJVF9MT1NTX0NGLjk5My4wMi8wOC8yMDI2Li4uVVNELkgBAAAAS1UAAAMAAAAAALfbb28s8N4Iac3Ahyzw3gg4Q0lRLk5BU0RBUTpNU0ZULklRX1NUT0NLX0JBU0VEX0NGLjk5NC4wMi8wOC8yMDI2Li4uVVNELkgBAAAAS1UAAAIAAAAENTI4OQEIAAAABQAAAAExAQAAAAstMjA4NzQ5NjYyNwMAAAADMTYwAgAAAAQyMTI3BAAAAAEwBwAAAAg4LzIvMjAyNggAAAAJNi8zMC8yMDIwCQAAAAEwt9tvbyzw3gh69MCHLPDeCC9DSVEuTkFTREFROk1TRlQuSVFfRE9fQ0YuOTkyLjAyLzA4LzIwMjYuLi5VU0QuSAEAAABLVQAAAwAAAAAAt9tvbyzw</t>
  </si>
  <si>
    <t>3gh69MCHLPDeCD9DSVEuTkFTREFROk1TRlQuSVFfQ0hBTkdFX1RSQURJTkdfQVNTRVRTLjk5My4wMi8wOC8yMDI2Li4uVVNELkgBAAAAS1UAAAMAAAAAALfbb28s8N4Iac3Ahyzw3gg6Q0lRLk5BU0RBUTpNU0ZULklRX0NIQU5HRV9JTlZFTlRPUlkuOTk1LjAyLzA4LzIwMjYuLi5VU0QuSAEAAABLVQAAAgAAAAQtNzM3AQgAAAAFAAAAATEBAAAACy0yMDM2ODQzODQzAwAAAAMxNjACAAAABDIwOTkEAAAAATAHAAAACDgvMi8yMDI2CAAAAAk2LzMwLzIwMjEJAAAAATC3229vLPDeCGnNwIcs8N4IOENJUS5OQVNEQVE6TVNGVC5JUV9DSEFOR0VfSU5DX1RBWC45OTIuMDIvMDgvMjAyNi4uLlVTRC5IAQAAAEtVAAACAAAABTE4MTgzAQgAAAAFAAAAATEBAAAACjIwNDcyNzE3NDUDAAAAAzE2MAIAAAAEMjEwMQQAAAABMAcAAAAIOC8yLzIwMjYIAAAACTYvMzAvMjAxOAkAAAABMLfbb28s8N4Iac3Ahyzw3ghGQ0lRLk5BU0RBUTpNU0ZULklRX0NIQU5HRV9PVEhFUl9ORVRfT1BFUl9BU1NFVFMuOTk0LjAyLzA4LzIwMjYuLi5VU0QuSAEAAABLVQAAAgAAAAQtNjczAQgAAAAFAAAAATEBAAAACy0yMDg3NDk2NjI3AwAAAAMxNjACAAAABDIwNDUEAAAAATAHAAAACDgvMi8yMDI2CAAAAAk2LzMwLzIwMjAJAAAAATC3229vLPDeCHr0wIcs8N4INkNJUS5OQVNEQVE6TVNGVC5JUV9TQUxFX1BQRV9DRi4xMDAwLjAyLzA4</t>
  </si>
  <si>
    <t>LzIwMjYuLi5VU0QuSAEAAABLVQAAAwAAAAAAt9tvbyzw3giJG8GHLPDeCDNDSVEuTkFTREFROk1TRlQuSVFfRElWRVNUX0NGLjk5My4wMi8wOC8yMDI2Li4uVVNELkgBAAAAS1UAAAMAAAAAALfbb28s8N4Iac3Ahyzw3gg3Q0lRLk5BU0RBUTpNU0ZULklRX1NBTEVfSU5UQU5fQ0YuOTk1LjAyLzA4LzIwMjYuLi5VU0QuSAEAAABLVQAAAwAAAAAAt9tvbyzw3gh69MCHLPDeCEFDSVEuTkFTREFROk1TRlQuSVFfT1RIRVJfSU5WRVNUX0FDVF9TVVBQTC4xMDAwLjAyLzA4LzIwMjYuLi5VU0QuSAEAAABLVQAAAgAAAAYtMTk4NjEBCAAAAAUAAAABMQEAAAALLTE4ODAyMjk2NjUDAAAAAzE2MAIAAAAEMjA1MQQAAAABMAcAAAAIOC8yLzIwMjYIAAAACTYvMzAvMjAyNgkAAAABMLfbb28s8N4IevTAhyzw3gg4Q0lRLk5BU0RBUTpNU0ZULklRX1NUX0RFQlRfSVNTVUVELjk5NC4wMi8wOC8yMDI2Li4uVVNELkgBAAAAS1UAAAMAAAAAALfbb28s8N4IiRvBhyzw3gg4Q0lRLk5BU0RBUTpNU0ZULklRX1NUX0RFQlRfUkVQQUlELjk5OS4wMi8wOC8yMDI2Li4uVVNELkgBAAAAS1UAAAIAAAAFLTU3NDYBCAAAAAUAAAABMQEAAAALLTE4ODAyMjk2ODYDAAAAAzE2MAIAAAAEMjA0NAQAAAABMAcAAAAIOC8yLzIwMjYIAAAACTYvMzAvMjAyNQkAAAABMLfbb28s8N4IiRvBhyzw3gg8Q0lRLk5BU0RBUTpNU0ZULklRX1RPVEFM</t>
  </si>
  <si>
    <t>X0RFQlRfUkVQQUlELjEwMDAuMDIvMDgvMjAyNi4uLlVTRC5IAQAAAEtVAAACAAAABS0zMDAwAQgAAAAFAAAAATEBAAAACy0xODgwMjI5NjY1AwAAAAMxNjACAAAABDIxNjYEAAAAATAHAAAACDgvMi8yMDI2CAAAAAk2LzMwLzIwMjYJAAAAATC3229vLPDeCHr0wIcs8N4INENJUS5OQVNEQVE6TVNGVC5JUV9DT01NT05fUkVQLjk5NS4wMi8wOC8yMDI2Li4uVVNELkgBAAAAS1UAAAIAAAAGLTI3Mzg1AQgAAAAFAAAAATEBAAAACy0yMDM2ODQzODQzAwAAAAMxNjACAAAABDIxNjQEAAAAATAHAAAACDgvMi8yMDI2CAAAAAk2LzMwLzIwMjEJAAAAATC3229vLPDeCHr0wIcs8N4IN0NJUS5OQVNEQVE6TVNGVC5JUV9DT01NT05fRElWX0NGLjk5OS4wMi8wOC8yMDI2Li4uVVNELkgBAAAAS1UAAAIAAAAGLTI0MDgyAQgAAAAFAAAAATEBAAAACy0xODgwMjI5Njg2AwAAAAMxNjACAAAABDIwNzQEAAAAATAHAAAACDgvMi8yMDI2CAAAAAk2LzMwLzIwMjUJAAAAATC3229vLPDeCHr0wIcs8N4IO0NJUS5OQVNEQVE6TVNGVC5JUV9UT1RBTF9ESVZfUEFJRF9DRi45OTIuMDIvMDgvMjAyNi4uLlVTRC5IAQAAAEtVAAACAAAABi0xMjY5OQEIAAAABQAAAAExAQAAAAoyMDQ3MjcxNzQ1AwAAAAMxNjACAAAABDIwMjIEAAAAATAHAAAACDgvMi8yMDI2CAAAAAk2LzMwLzIwMTgJAAAAATC3229vLPDeCJFCwYcs8N4INENJUS5O</t>
  </si>
  <si>
    <t>QVNEQVE6TVNGVC5JUV9DQVNIX0ZJTkFOLjk5Ni4wMi8wOC8yMDI2Li4uVVNELkgBAAAAS1UAAAIAAAAGLTU4ODc2AQgAAAAFAAAAATEBAAAACy0xOTg1OTMxMjI0AwAAAAMxNjACAAAABDIwMDQEAAAAATAHAAAACDgvMi8yMDI2CAAAAAk2LzMwLzIwMjIJAAAAATC3229vLPDeCJFCwYcs8N4ILUNJUS5OQVNEQVE6TVNGVC5JUV9GWC4xMDAwLjAyLzA4LzIwMjYuLi5VU0QuSAEAAABLVQAAAgAAAAQtMTk2AQgAAAAFAAAAATEBAAAACy0xODgwMjI5NjY1AwAAAAMxNjACAAAABDIxNDQEAAAAATAHAAAACDgvMi8yMDI2CAAAAAk2LzMwLzIwMjYJAAAAATC3229vLPDeCIkbwYcs8N4IPUNJUS5OQVNEQVE6TVNGVC5JUV9EQV9TVVBQTF9QQVJUSUFMX0NGLjk5OC4wMi8wOC8yMDI2Li4uVVNELkgBAAAAS1UAAAMAAAAAALfbb28s8N4IiRvBhyzw3ghHQ0lRLk5BU0RBUTpNU0ZULklRX0RFUFJFQ0lBVElPTl9SRU5UQUxfQVNTRVRTX0NGLjk5OC4wMi8wOC8yMDI2Li4uVVNELkgBAAAAS1UAAAMAAAAAALfbb28s8N4IiRvBhyzw3ghAQ0lRLk5BU0RBUTpNU0ZULklRX0RBX0NGX0VYQ0xfT1BFUl9MRUFTRVMuOTk3LjAyLzA4LzIwMjYuLi5VU0QuSAEAAABLVQAAAgAAAAUxMzUwMAEIAAAABQAAAAExAQAAAAstMTkzNDI1NDI1MAMAAAADMTYwAgAAAAU0ODk4NQQAAAABMAcAAAAIOC8yLzIwMjYIAAAACTYvMzAvMjAy</t>
  </si>
  <si>
    <t>MwkAAAABMLfbb28s8N4IkULBhyzw3gg2Q0lRLk5BU0RBUTpNU0ZULklRX0FNT1JUX0RJQ19DRi45OTIuMDIvMDgvMjAyNi4uLlVTRC5IAQAAAEtVAAADAAAAAAC3229vLPDeCJFCwYcs8N4IN0NJUS5OQVNEQVE6TVNGVC5JUV9DQVNIX0lOVEVSRVNULjk5Mi4wMi8wOC8yMDI2Li4uVVNELkgBAAAAS1UAAAMAAAAAALfbb28s8N4IiRvBhyzw3gg8Q0lRLk5BU0RBUTpNU0ZULklRX0NBU0hfSU5URVJFU1RfT1BFUi45OTIuMDIvMDgvMjAyNi4uLlVTRC5IAQAAAEtVAAADAAAAAAC3229vLPDeCIkbwYcs8N4INENJUS5OQVNEQVE6TVNGVC5JUV9DQVNIX1RBWEVTLjk5Mi4wMi8wOC8yMDI2Li4uVVNELkgBAAAAS1UAAAIAAAAENTUwMAEIAAAABQAAAAExAQAAAAoyMDQ3MjcxNzQ1AwAAAAMxNjACAAAABDMwNTMEAAAAATAHAAAACDgvMi8yMDI2CAAAAAk2LzMwLzIwMTgJAAAAATC3229vLPDeCIkbwYcs8N4IPENJUS5OQVNEQVE6TVNGVC5JUV9DQVNIX1RBWEVTX0lOVkVTVC4xMDAwLjAyLzA4LzIwMjYuLi5VU0QuSAEAAABLVQAAAwAAAAAAt9tvbyzw3gj2bMGHLPDeCEVDSVEuTkFTREFROk1TRlQuSVFfQ0hBTkdFX05FVF9XT1JLSU5HX0NBUElUQUwuMTAwMC4wMi8wOC8yMDI2Li4uVVNELkgBAAAAS1UAAAIAAAAFMTQxOTEBCAAAAAUAAAABMQEAAAALLTE4ODAyMjk2NjUDAAAAAzE2MAIAAAAENDQyMQQAAAAB</t>
  </si>
  <si>
    <t>MAcAAAAIOC8yLzIwMjYIAAAACTYvMzAvMjAyNgkAAAABMLfbb28s8N4I9mzBhyzw3gg3Q0lRLk5BU0RBUTpNU0ZULklRX1VOTEVWRVJFRF9GQ0YuOTk2LjAyLzA4LzIwMjYuLi5VU0QuSAEAAABLVQAAAgAAAAk1MDc1OC4zNzUBCAAAAAUAAAABMQEAAAALLTE5ODU5MzEyMjQDAAAAAzE2MAIAAAAENDQyMwQAAAABMAcAAAAIOC8yLzIwMjYIAAAACTYvMzAvMjAyMgkAAAABMLfbb28s8N4IkULBhyzw3gg1Q0lRLk5BU0RBUTpNU0ZULklRX01BSU5UX0NBUEVYLjk5Ni4wMi8wOC8yMDI2Li4uVVNELkgBAAAAS1UAAAMAAAAAALfbb28s8N4IkULBhyzw3ghCQ0lRLk5BU0RBUTpNU0ZULklRX09QRVJBVElOR19MRUFTRV9QQVlNRU5UUy45OTUuMDIvMDgvMjAyNi4uLlVTRC5IAQAAAEtVAAADAAAAAAC3229vLPDeCJFCwYcs8N4IS0NJUS5OQVNEQVE6TVNGVC5JUV9MT05HX1RFUk1fREVCVF9SRVBBSURfRVhDTF9MRUFTRVMuOTk1LjAyLzA4LzIwMjYuLi5VU0QuSAEAAABLVQAAAgAAAAUtMzc1MAEIAAAABQAAAAExAQAAAAstMjAzNjg0Mzg0MwMAAAADMTYwAgAAAAU0ODk4NAQAAAABMAcAAAAIOC8yLzIwMjYIAAAACTYvMzAvMjAyMQkAAAABMLfbb28s8N4I9mzBhyzw3gg9Q0lRLk5BU0RBUTpNU0ZULklRX0dBSU5fQkFSR0FJTl9BQ1FfQ0YuOTk3LjAyLzA4LzIwMjYuLi5VU0QuSAEAAABLVQAAAwAAAAAAt9tv</t>
  </si>
  <si>
    <t>byzw3gj2bMGHLPDeCDhDSVEuTkFTREFROk1TRlQuSVFfVFJBRElOR19BU1NFVFMuOTk5LjAyLzA4LzIwMjYuLi5VU0QuSAEAAABLVQAAAwAAAAAAt9tvbyzw3giRQsGHLPDeCCxDSVEuTkFTREFROk1TRlQuSVFfQVIuOTk1LjAyLzA4LzIwMjYuLi5VU0QuSAEAAABLVQAAAgAAAAUzODA0MwEIAAAABQAAAAExAQAAAAstMjAzNjg0Mzg0MwMAAAADMTYwAgAAAAQxMDIxBAAAAAEwBwAAAAg4LzIvMjAyNggAAAAJNi8zMC8yMDIxCQAAAAEwt9tvbyzw3gj2bMGHLPDeCDNDSVEuTkFTREFROk1TRlQuSVFfSU5WRU5UT1JZLjk5Mi4wMi8wOC8yMDI2Li4uVVNELkgBAAAAS1UAAAIAAAAEMjY2MgEIAAAABQAAAAExAQAAAAoyMDQ3MjcxNzQ1AwAAAAMxNjACAAAABDEwNDMEAAAAATAHAAAACDgvMi8yMDI2CAAAAAk2LzMwLzIwMTgJAAAAATC3229vLPDeCPZswYcs8N4IQENJUS5OQVNEQVE6TVNGVC5JUV9GSU5fRElWX0FTU0VUU19DVVJSRU5ULjk5My4wMi8wOC8yMDI2Li4uVVNELkgBAAAAS1UAAAMAAAAAALfbb28s8N4IF5TBhyzw3ghAQ0lRLk5BU0RBUTpNU0ZULklRX0RFRl9UQVhfQVNTRVRTX0NVUlJFTlQuOTk4LjAyLzA4LzIwMjYuLi5VU0QuSAEAAABLVQAAAwAAAAAAt9tvbyzw3ggXlMGHLPDeCDJDSVEuTkFTREFROk1TRlQuSVFfVE9UQUxfQ0EuOTk4LjAyLzA4LzIwMjYuLi5VU0QuSAEAAABLVQAAAgAA</t>
  </si>
  <si>
    <t>AAYxNTk3MzQBCAAAAAUAAAABMQEAAAALLTE4ODAyMjk2OTQDAAAAAzE2MAIAAAAEMTAwOAQAAAABMAcAAAAIOC8yLzIwMjYIAAAACTYvMzAvMjAyNAkAAAABMLfbb28s8N4I9mzBhyzw3gguQ0lRLk5BU0RBUTpNU0ZULklRX05QUEUuOTk4LjAyLzA4LzIwMjYuLi5VU0QuSAEAAABLVQAAAgAAAAYxNTQ1NTIBCAAAAAUAAAABMQEAAAALLTE4ODAyMjk2OTQDAAAAAzE2MAIAAAAEMTAwNAQAAAABMAcAAAAIOC8yLzIwMjYIAAAACTYvMzAvMjAyNAkAAAABMLfbb28s8N4I9mzBhyzw3ggtQ0lRLk5BU0RBUTpNU0ZULklRX0dXLjEwMDAuMDIvMDgvMjAyNi4uLlVTRC5IAQAAAEtVAAACAAAABjExOTY1MQEIAAAABQAAAAExAQAAAAstMTg4MDIyOTY2NQMAAAADMTYwAgAAAAQxMTcxBAAAAAEwBwAAAAg4LzIvMjAyNggAAAAJNi8zMC8yMDI2CQAAAAEwt9tvbyzw3gj2bMGHLPDeCDtDSVEuTkFTREFROk1TRlQuSVFfRklOX0RJVl9BU1NFVFNfTFQuOTk0LjAyLzA4LzIwMjYuLi5VU0QuSAEAAABLVQAAAwAAAAAAt9tvbyzw3ggLu8GHLPDeCDtDSVEuTkFTREFROk1TRlQuSVFfREVGX1RBWF9BU1NFVFNfTFQuOTk0LjAyLzA4LzIwMjYuLi5VU0QuSAEAAABLVQAAAgAAAAQ2NDA1AQgAAAAFAAAAATEBAAAACy0yMDg3NDk2NjI3AwAAAAMxNjACAAAABDEwMjYEAAAAATAHAAAACDgvMi8yMDI2CAAAAAk2LzMwLzIwMjAJ</t>
  </si>
  <si>
    <t>AAAAATC3229vLPDeCAu7wYcs8N4INkNJUS5OQVNEQVE6TVNGVC5JUV9UT1RBTF9BU1NFVFMuOTk1LjAyLzA4LzIwMjYuLi5VU0QuSAEAAABLVQAAAgAAAAYzMzM3NzkBCAAAAAUAAAABMQEAAAALLTIwMzY4NDM4NDMDAAAAAzE2MAIAAAAEMTAwNwQAAAABMAcAAAAIOC8yLzIwMjYIAAAACTYvMzAvMjAyMQkAAAABMLfbb28s8N4IF5TBhyzw3ggxQ0lRLk5BU0RBUTpNU0ZULklRX1NUX0RFQlQuOTk2LjAyLzA4LzIwMjYuLi5VU0QuSAEAAABLVQAAAwAAAAAAt9tvbyzw3ggXlMGHLPDeCD5DSVEuTkFTREFROk1TRlQuSVFfRklOX0RJVl9ERUJUX0NVUlJFTlQuOTk2LjAyLzA4LzIwMjYuLi5VU0QuSAEAAABLVQAAAwAAAAAAt9tvbyzw3ggXlMGHLPDeCDxDSVEuTkFTREFROk1TRlQuSVFfVU5FQVJOX1JFVl9DVVJSRU5ULjk5Ni4wMi8wOC8yMDI2Li4uVVNELkgBAAAAS1UAAAIAAAAFNDU1MzgBCAAAAAUAAAABMQEAAAALLTE5ODU5MzEyMjQDAAAAAzE2MAIAAAAEMTA3NAQAAAABMAcAAAAIOC8yLzIwMjYIAAAACTYvMzAvMjAyMgkAAAABMHy0b28s8N4IC7vBhyzw3gg5Q0lRLk5BU0RBUTpNU0ZULklRX09USEVSX0NMX1NVUFBMLjEwMDAuMDIvMDgvMjAyNi4uLlVTRC5IAQAAAEtVAAACAAAABTE3MDU1AQgAAAAFAAAAATEBAAAACy0xODgwMjI5NjY1AwAAAAMxNjACAAAABDEwNTcEAAAAATAHAAAACDgvMi8y</t>
  </si>
  <si>
    <t>MDI2CAAAAAk2LzMwLzIwMjYJAAAAATB8tG9vLPDeCHb+wYcs8N4IOkNJUS5OQVNEQVE6TVNGVC5JUV9MT05HX1RFUk1fTEVBU0VTLjk5NS4wMi8wOC8yMDI2Li4uVVNELkgBAAAAS1UAAAIAAAAFMjEzNzkBCAAAAAUAAAABMQEAAAALLTIwMzY4NDM4NDMDAAAAAzE2MAIAAAAEMTE4MwQAAAABMAcAAAAIOC8yLzIwMjYIAAAACTYvMzAvMjAyMQkAAAABMHy0b28s8N4IF5TBhyzw3ggxQ0lRLk5BU0RBUTpNU0ZULklRX1BFTlNJT04uOTk3LjAyLzA4LzIwMjYuLi5VU0QuSAEAAABLVQAAAwAAAAAAfLRvbyzw3ggLu8GHLPDeCDRDSVEuTkFTREFROk1TRlQuSVFfVE9UQUxfTElBQi45OTUuMDIvMDgvMjAyNi4uLlVTRC5IAQAAAEtVAAACAAAABjE5MTc5MQEIAAAABQAAAAExAQAAAAstMjAzNjg0Mzg0MwMAAAADMTYwAgAAAAQxMjc2BAAAAAEwBwAAAAg4LzIvMjAyNggAAAAJNi8zMC8yMDIxCQAAAAEwfLRvbyzw3ggLu8GHLPDeCDRDSVEuTkFTREFROk1TRlQuSVFfUFJFRl9PVEhFUi45OTkuMDIvMDgvMjAyNi4uLlVTRC5IAQAAAEtVAAADAAAAAAB8tG9vLPDeCHb+wYcs8N4ILENJUS5OQVNEQVE6TVNGVC5JUV9SRS45OTQuMDIvMDgvMjAyNi4uLlVTRC5IAQAAAEtVAAACAAAABTM0NTY2AQgAAAAFAAAAATEBAAAACy0yMDg3NDk2NjI3AwAAAAMxNjACAAAABDEyMjIEAAAAATAHAAAACDgvMi8yMDI2CAAAAAk2</t>
  </si>
  <si>
    <t>LzMwLzIwMjAJAAAAATB8tG9vLPDeCHb+wYcs8N4INkNJUS5OQVNEQVE6TVNGVC5JUV9UT1RBTF9FUVVJVFkuOTk2LjAyLzA4LzIwMjYuLi5VU0QuSAEAAABLVQAAAgAAAAYxNjY1NDIBCAAAAAUAAAABMQEAAAALLTE5ODU5MzEyMjQDAAAAAzE2MAIAAAAEMTI3NQQAAAABMAcAAAAIOC8yLzIwMjYIAAAACTYvMzAvMjAyMgkAAAABMHy0b28s8N4IC7vBhyzw3gg3Q0lRLk5BU0RBUTpNU0ZULklRX1JVQV9BQ0NVTV9ERVAuOTkzLjAyLzA4LzIwMjYuLi5VU0QuSAEAAABLVQAAAwAAAAAAfLRvbyzw3ggLu8GHLPDeCD9DSVEuTkFTREFROk1TRlQuSVFfUlVBX0NBUElUQUxfTEVBU0VfTkVULjk5Mi4wMi8wOC8yMDI2Li4uVVNELkgBAAAAS1UAAAMAAAAAAHy0b28s8N4IC7vBhyzw3gg/Q0lRLk5BU0RBUTpNU0ZULklRX0dQUEVfRVhDTF9PUEVSX0xFQVNFUy45OTkuMDIvMDgvMjAyNi4uLlVTRC5IAQAAAEtVAAACAAAABjI5ODYxOQEIAAAABQAAAAExAQAAAAstMTg4MDIyOTY4NgMAAAADMTYwAgAAAAU0ODk3NAQAAAABMAcAAAAIOC8yLzIwMjYIAAAACTYvMzAvMjAyNQkAAAABMHy0b28s8N4IxSXChyzw3ghCQ0lRLk5BU0RBUTpNU0ZULklRX0ZJTkFOQ0VfTEVBU0VTX0xPTkdfVEVSTS45OTUuMDIvMDgvMjAyNi4uLlVTRC5IAQAAAEtVAAACAAAABTExNzUwAQgAAAAFAAAAATEBAAAACy0yMDM2ODQzODQzAwAA</t>
  </si>
  <si>
    <t>AAMxNjACAAAABTQ4OTkxBAAAAAEwBwAAAAg4LzIvMjAyNggAAAAJNi8zMC8yMDIxCQAAAAEwfLRvbyzw3gjFJcKHLPDeCDdDSVEuTkFTREFROk1TRlQuSVFfVE9UQUxfTEVBU0VTLjEwMDAuMDIvMDgvMjAyNi4uLlVTRC5IAQAAAEtVAAACAAAABTg4NTE5AQgAAAAFAAAAATEBAAAACy0xODgwMjI5NjY1AwAAAAMxNjACAAAABTQ4OTc5BAAAAAEwBwAAAAg4LzIvMjAyNggAAAAJNi8zMC8yMDI2CQAAAAEwfLRvbyzw3gh2/sGHLPDeCDtDSVEuTkFTREFROk1TRlQuSVFfQlZfU0hBUkVfUkVQT1JURUQuOTkyLjAyLzA4LzIwMjYuLi5VU0QuSAEAAABLVQAAAwAAAAAAfLRvbyzw3gh2/sGHLPDeCDNDSVEuTkFTREFROk1TRlQuSVFfR1dfSU5UQU4uMTAwMC4wMi8wOC8yMDI2Li4uVVNELkgBAAAAS1UAAAIAAAAGMTM4MjYwAQgAAAAFAAAAATEBAAAACy0xODgwMjI5NjY1AwAAAAMxNjACAAAABTM1MzgxBAAAAAEwBwAAAAg4LzIvMjAyNggAAAAJNi8zMC8yMDI2CQAAAAEwfLRvbyzw3gh2/sGHLPDeCEFDSVEuTkFTREFROk1TRlQuSVFfTUlOT1JJVFlfSU5URVJFU1RfVE9UQUwuOTkzLjAyLzA4LzIwMjYuLi5VU0QuSAEAAABLVQAAAwAAAAAAfLRvbyzw3gjFJcKHLPDeCDVDSVEuTkFTREFROk1TRlQuSVFfQVJfVU5CSUxMRUQuOTk0LjAyLzA4LzIwMjYuLi5VU0QuSAEAAABLVQAAAwAAAAAAfLRvbyzw3gjFJcKH</t>
  </si>
  <si>
    <t>LPDeCDZDSVEuTkFTREFROk1TRlQuSVFfRklOSVNIRURfSU5WLjk5Ni4wMi8wOC8yMDI2Li4uVVNELkgBAAAAS1UAAAIAAAAEMjUxNgEIAAAABQAAAAExAQAAAAstMTk4NTkzMTIyNAMAAAADMTYwAgAAAAQzMDc1BAAAAAEwBwAAAAg4LzIvMjAyNggAAAAJNi8zMC8yMDIyCQAAAAEwfLRvbyzw3gh2/sGHLPDeCEFDSVEuTkFTREFROk1TRlQuSVFfTkFUVVJBTF9SRVNPVVJDRVNfQ09TVC4xMDAwLjAyLzA4LzIwMjYuLi5VU0QuSAEAAABLVQAAAwAAAAAAfLRvbyzw3gh2/sGHLPDeCEVDSVEuTkFTREFROk1TRlQuSVFfREVGX1RBWF9WQUxVQVRJT05fQUxMT1dBTkNFLjk5OC4wMi8wOC8yMDI2Li4uVVNELkgBAAAAS1UAAAIAAAAEMTA0NQEIAAAABQAAAAExAQAAAAstMTg4MDIyOTY5NAMAAAADMTYwAgAAAAU0NjA0NQQAAAABMAcAAAAIOC8yLzIwMjYIAAAACTYvMzAvMjAyNAkAAAABMHy0b28s8N4Idv7Bhyzw3gg5Q0lRLk5BU0RBUTpNU0ZULklRX0FTU0VUU19MRVZFTF8yLjEwMDAuMDIvMDgvMjAyNi4uLlVTRC5IAQAAAEtVAAACAAAABTIyODYxAHy0b28s8N4IxSXChyzw3gg/Q0lRLk5BU0RBUTpNU0ZULklRX0ZJTl9ESVZfTFRfREVCVF9UT1RBTC45OTguMDIvMDgvMjAyNi4uLlVTRC5IAQAAAEtVAAADAAAAAAB8tG9vLPDeCMUlwocs8N4IQ0NJUS5OQVNEQVE6TVNGVC5JUV9ERVJJVkFUSVZFX1RSQURJ</t>
  </si>
  <si>
    <t>TkdfQVNTRVRTLjk5Mi4wMi8wOC8yMDI2Li4uVVNELkgBAAAAS1UAAAMAAAAAAHy0b28s8N4IxSXChyzw3gguQ0lRLk5BU0RBUTpNU0ZULklRX0NBTENfVFlQRV9DRi45OTguMDIvMDgvMjAyNgEAAABLVQAAAwAAAANSRVAAfLRvbyzw3ghORuKHLPDeCD9DSVEuTkFTREFROk1TRlQuSVFfVE9UQUxfT1VUU1RBTkRJTkdfRklMSU5HX0RBVEUuOTk0LjAyLzA4LzIwMjYBAAAAS1UAAAIAAAALNzU2Ny42NTI5MzUBBAAAAAUAAAABNQEAAAALLTIwODc0OTY2MjcCAAAABTI0MTUzBgAAAAEwfLRvbyzw3ghORuKHLPDeCCtDSVEuTkFTREFROk1TRlQuSVFfRlVMTF9USU1FLjk5OC4wMi8wOC8yMDI2AQAAAEtVAAACAAAABjIyODAwMAB8tG9vLPDeCE5G4ocs8N4IMUNJUS5OQVNEQVE6TVNGVC5JUV9UT1RBTF9FTVBMT1lFRVMuOTk5LjAyLzA4LzIwMjYBAAAAS1UAAAIAAAAGMjI4MDAwAHy0b28s8N4ITkbihyzw3gg0Q0lRLk5BU0RBUTpNU0ZULklRX0FWR19URU1QX0VNUExPWUVFUy45OTcuMDIvMDgvMjAyNgEAAABLVQAAAwAAAAAAfLRvbyzw3ghORuKHLPDeCDBDSVEuTkFTREFROk1TRlQuSVFfQ09TVF9CT1JST1dJTkcuOTk5LjAyLzA4LzIwMjYBAAAAS1UAAAIAAAAGMi4zMDkxAQgAAAAFAAAAATEBAAAACy0xODgwMjI5Njg2AwAAAAMxNjACAAAABTIxNjgxBAAAAAEwBwAAAAg4LzIvMjAyNggAAAAJNi8zMC8y</t>
  </si>
  <si>
    <t>MDI1CQAAAAEwfLRvbyzw3ghORuKHLPDeCDBDSVEuTkFTREFROk1TRlQuSVFfUkVTVEFURU1FTlRfQlMuOTk2LjAyLzA4LzIwMjYBAAAAS1UAAAMAAAACTkMAfLRvbyzw3ghORuKHLPDeCDBDSVEuTkFTREFROk1TRlQuSVFfUkVUVVJOX0NBUElUQUwuOTk1LjAyLzA4LzIwMjYBAAAAS1UAAAIAAAAGMjAuNTc5AQgAAAAFAAAAATEBAAAACy0yMDM2ODQzODQzAwAAAAMxNjACAAAABDQzNjMEAAAAATAHAAAACDgvMi8yMDI2CAAAAAk2LzMwLzIwMjEJAAAAATB8tG9vLPDeCDYf4ocs8N4INkNJUS5OQVNEQVE6TVNGVC5JUV9SRVRVUk5fQ09NTU9OX0VRVUlUWS45OTYuMDIvMDgvMjAyNgEAAABLVQAAAgAAAAc0Ny4xNTEzAQgAAAAFAAAAATEBAAAACy0xOTg1OTMxMjI0AwAAAAMxNjACAAAABTMzMzIwBAAAAAEwBwAAAAg4LzIvMjAyNggAAAAJNi8zMC8yMDIyCQAAAAEwfLRvbyzw3gg2H+KHLPDeCC1DSVEuTkFTREFROk1TRlQuSVFfRUJJVF9NQVJHSU4uOTk0LjAyLzA4LzIwMjYBAAAAS1UAAAIAAAAHMzcuMDMwMwEIAAAABQAAAAExAQAAAAstMjA4NzQ5NjYyNwMAAAADMTYwAgAAAAQ0MDUzBAAAAAEwBwAAAAg4LzIvMjAyNggAAAAJNi8zMC8yMDIwCQAAAAEwfLRvbyzw3ghORuKHLPDeCC9DSVEuTkFTREFROk1TRlQuSVFfQ0FQRVhfUENUX1JFVi45OTUuMDIvMDgvMjAyNgEAAABLVQAAAgAAAAcxMi4yNjg1</t>
  </si>
  <si>
    <t>AQgAAAAFAAAAATEBAAAACy0yMDM2ODQzODQzAwAAAAMxNjACAAAABTM1MzgwBAAAAAEwBwAAAAg4LzIvMjAyNggAAAAJNi8zMC8yMDIxCQAAAAEwfLRvbyzw3ghORuKHLPDeCDNDSVEuTkFTREFROk1TRlQuSVFfRklYRURfQVNTRVRfVFVSTlMuOTk3LjAyLzA4LzIwMjYBAAAAS1UAAAIAAAAIMi4xNDU2MTYBCAAAAAUAAAABMQEAAAALLTE5MzQyNTQyNTADAAAAAzE2MAIAAAAENDA2NgQAAAABMAcAAAAIOC8yLzIwMjYIAAAACTYvMzAvMjAyMwkAAAABMHy0b28s8N4ITkbihyzw3ggvQ0lRLk5BU0RBUTpNU0ZULklRX0NVUlJFTlRfUkFUSU8uOTk0LjAyLzA4LzIwMjYBAAAAS1UAAAIAAAAIMi41MTU3NjUBCAAAAAUAAAABMQEAAAALLTIwODc0OTY2MjcDAAAAAzE2MAIAAAAENDAzMAQAAAABMAcAAAAIOC8yLzIwMjYIAAAACTYvMzAvMjAyMAkAAAABMHy0b28s8N4INh/ihyzw3ggyQ0lRLk5BU0RBUTpNU0ZULklRX0NGT19DVVJSRU5UX0xJQUIuOTk2LjAyLzA4LzIwMjYBAAAAS1UAAAIAAAAIMC45MzY0MDIBCAAAAAUAAAABMQEAAAALLTE5ODU5MzEyMjQDAAAAAzE2MAIAAAAENDE4NQQAAAABMAcAAAAIOC8yLzIwMjYIAAAACTYvMzAvMjAyMgkAAAABMHy0b28s8N4INh/ihyzw3ggyQ0lRLk5BU0RBUTpNU0ZULklRX0RBWVNfUEFZQUJMRV9PVVQuOTkzLjAyLzA4LzIwMjYBAAAAS1UAAAIAAAAINzcuNjM0</t>
  </si>
  <si>
    <t>NzcBCAAAAAUAAAABMQEAAAALLTIxNDA5ODE0NjkDAAAAAzE2MAIAAAAENDE4MwQAAAABMAcAAAAIOC8yLzIwMjYIAAAACTYvMzAvMjAxOQkAAAABMHy0b28s8N4ITkbihyzw3ggzQ0lRLk5BU0RBUTpNU0ZULklRX1RPVEFMX0RFQlRfRVFVSVRZLjk5NS4wMi8wOC8yMDI2AQAAAEtVAAACAAAABzU3Ljk0NzEBCAAAAAUAAAABMQEAAAALLTIwMzY4NDM4NDMDAAAAAzE2MAIAAAAENDAzNAQAAAABMAcAAAAIOC8yLzIwMjYIAAAACTYvMzAvMjAyMQkAAAABMHy0b28s8N4INh/ihyzw3ggwQ0lRLk5BU0RBUTpNU0ZULklRX0xUX0RFQlRfRVFVSVRZLjk5Ny4wMi8wOC8yMDI2AQAAAEtVAAACAAAABzM0LjIyODkBCAAAAAUAAAABMQEAAAALLTE5MzQyNTQyNTADAAAAAzE2MAIAAAAENDA4NQQAAAABMAcAAAAIOC8yLzIwMjYIAAAACTYvMzAvMjAyMwkAAAABMHy0b28s8N4INh/ihyzw3ggqQ0lRLk5BU0RBUTpNU0ZULklRX0VCSVRfSU5ULjk5NC4wMi8wOC8yMDI2AQAAAEtVAAACAAAACTIwLjQzOTU5OAEIAAAABQAAAAExAQAAAAstMjA4NzQ5NjYyNwMAAAADMTYwAgAAAAQ0MTg5BAAAAAEwBwAAAAg4LzIvMjAyNggAAAAJNi8zMC8yMDIwCQAAAAEwfLRvbyzw3gg6+OGHLPDeCD1DSVEuTkFTREFROk1TRlQuSVFfRUJJVERBX0VYQ0xfT1BFUl9MRUFTRVNfSU5ULjk5Ni4wMi8wOC8yMDI2AQAAAEtVAAACAAAACTQ3</t>
  </si>
  <si>
    <t>Ljg2NjYzNAEIAAAABQAAAAExAQAAAAstMTk4NTkzMTIyNAMAAAADMTYwAgAAAAU0OTE3MwQAAAABMAcAAAAIOC8yLzIwMjYIAAAACTYvMzAvMjAyMgkAAAABMHy0b28s8N4IOvjhhyzw3ggzQ0lRLk5BU0RBUTpNU0ZULklRX1RPVEFMX0RFQlRfRUJJVERBLjk5My4wMi8wOC8yMDI2AQAAAEtVAAACAAAABzEuNTM2NTQBCAAAAAUAAAABMQEAAAALLTIxNDA5ODE0NjkDAAAAAzE2MAIAAAAENDE5MgQAAAABMAcAAAAIOC8yLzIwMjYIAAAACTYvMzAvMjAxOQkAAAABMHy0b28s8N4INh/ihyzw3ggxQ0lRLk5BU0RBUTpNU0ZULklRX05FVF9ERUJUX0VCSVREQS45OTUuMDIvMDgvMjAyNgEAAABLVQAAAwAAAAJOTQEIAAAABQAAAAExAQAAAAstMjAzNjg0Mzg0MwMAAAADMTYwAgAAAAQ0MTkzBAAAAAEwBwAAAAg4LzIvMjAyNggAAAAJNi8zMC8yMDIxCQAAAAEwfLRvbyzw3gg2H+KHLPDeCDlDSVEuTkFTREFROk1TRlQuSVFfVE9UQUxfREVCVF9FQklUREFfQ0FQRVguOTk3LjAyLzA4LzIwMjYBAAAAS1UAAAIAAAAIMS4wMzQ1MDkBCAAAAAUAAAABMQEAAAALLTE5MzQyNTQyNTADAAAAAzE2MAIAAAAFMjMzMTMEAAAAATAHAAAACDgvMi8yMDI2CAAAAAk2LzMwLzIwMjMJAAAAATB8tG9vLPDeCDYf4ocs8N4ISENJUS5OQVNEQVE6TVNGVC5JUV9ORVRfREVCVF9FQklUREFfRVhDTF9PUEVSX0xFQVNFU19DQVBFWC45</t>
  </si>
  <si>
    <t>OTQuMDIvMDgvMjAyNgEAAABLVQAAAwAAAAJOTQEIAAAABQAAAAExAQAAAAstMjA4NzQ5NjYyNwMAAAADMTYwAgAAAAU0OTE4MgQAAAABMAcAAAAIOC8yLzIwMjYIAAAACTYvMzAvMjAyMAkAAAABMHy0b28s8N4IOvjhhyzw3gg7Q0lRLk5BU0RBUTpNU0ZULklRX1RPVEFMX1JFVl8xWVJfQU5OX0dST1dUSC4xMDAwLjAyLzA4LzIwMjYBAAAAS1UAAAIAAAAHMTcuNzg4NgEIAAAABQAAAAExAQAAAAstMTg4MDIyOTY2NQMAAAADMTYwAgAAAAQ0MTk0BAAAAAEwBwAAAAg4LzIvMjAyNggAAAAJNi8zMC8yMDI2CQAAAAEwfLRvbyzw3gg6+OGHLPDeCDVDSVEuTkFTREFROk1TRlQuSVFfRUJJVF8xWVJfQU5OX0dST1dUSC45OTguMDIvMDgvMjAyNgEAAABLVQAAAgAAAAcyMy42MjA5AQgAAAAFAAAAATEBAAAACy0xODgwMjI5Njk0AwAAAAMxNjACAAAABDQxOTcEAAAAATAHAAAACDgvMi8yMDI2CAAAAAk2LzMwLzIwMjQJAAAAATB8tG9vLPDeCDr44Ycs8N4INENJUS5OQVNEQVE6TVNGVC5JUV9FUFNfMVlSX0FOTl9HUk9XVEguOTk5LjAyLzA4LzIwMjYBAAAAS1UAAAIAAAAHMTUuNTkzMgEIAAAABQAAAAExAQAAAAstMTg4MDIyOTY4NgMAAAADMTYwAgAAAAQ0MjAwBAAAAAEwBwAAAAg4LzIvMjAyNggAAAAJNi8zMC8yMDI1CQAAAAEwfLRvbyzw3gg6+OGHLPDeCDJDSVEuTkFTREFROk1TRlQuSVFfR1BfM1lSX0FO</t>
  </si>
  <si>
    <t>Tl9DQUdSLjEwMDAuMDIvMDgvMjAyNgEAAABLVQAAAgAAAAcxNS41NzMyAQgAAAAFAAAAATEBAAAACy0xODgwMjI5NjY1AwAAAAMxNjACAAAABDQyMjEEAAAAATAHAAAACDgvMi8yMDI2CAAAAAk2LzMwLzIwMjYJAAAAATB8tG9vLPDeCDr44Ycs8N4IMUNJUS5OQVNEQVE6TVNGVC5JUV9OSV8zWVJfQU5OX0NBR1IuOTk4LjAyLzA4LzIwMjYBAAAAS1UAAAIAAAAHMTIuODg0MQEIAAAABQAAAAExAQAAAAstMTg4MDIyOTY5NAMAAAADMTYwAgAAAAQ0MjI1BAAAAAEwBwAAAAg4LzIvMjAyNggAAAAJNi8zMC8yMDI0CQAAAAEwfLRvbyzw3gg6+OGHLPDeCDhDSVEuTkFTREFROk1TRlQuSVFfVE9UQUxfUkVWXzVZUl9BTk5fQ0FHUi45OTkuMDIvMDgvMjAyNgEAAABLVQAAAgAAAAcxNC41MjE5AQgAAAAFAAAAATEBAAAACy0xODgwMjI5Njg2AwAAAAMxNjACAAAABDQyMzMEAAAAATAHAAAACDgvMi8yMDI2CAAAAAk2LzMwLzIwMjUJAAAAATB8tG9vLPDeCBHR4Ycs8N4IMUNJUS5OQVNEQVE6TVNGVC5JUV9OSV81WVJfQU5OX0NBR1IuOTk1LjAyLzA4LzIwMjYBAAAAS1UAAAIAAAAHMjQuNDMyOQEIAAAABQAAAAExAQAAAAstMjAzNjg0Mzg0MwMAAAADMTYwAgAAAAQ0MjM4BAAAAAEwBwAAAAg4LzIvMjAyNggAAAAJNi8zMC8yMDIxCQAAAAEwfLRvbyzw3gg6+OGHLPDeCE1DSVEuTkFTREFROk1TRlQuSVFfTElRVUlE</t>
  </si>
  <si>
    <t>QVRJT05fVkFMVUVfUFJFRkVSUkVEX0NPTlZFUlQuOTk5LjAyLzA4LzIwMjYuLi5VU0QuSAEAAABLVQAAAwAAAAAAfLRvbyzw3gjFJcKHLPDeCExDSVEuTkFTREFROk1TRlQuSVFfTElRVUlEQVRJT05fVkFMVUVfUFJFRkVSUkVEX1JFREVFTS45OTIuMDIvMDgvMjAyNi4uLlVTRC5IAQAAAEtVAAADAAAAAAB8tG9vLPDeCNpMwocs8N4IOENJUS5OQVNEQVE6TVNGVC5JUV9BU1NFVFNfTEVWRUxfMi45OTMuMDIvMDgvMjAyNi4uLlVTRC5IAQAAAEtVAAACAAAABTIzMjAyAHy0b28s8N4I2kzChyzw3gg8Q0lRLk5BU0RBUTpNU0ZULklRX0FTU0VUU19GQUlSX1ZBTFVFLjEwMDAuMDIvMDgvMjAyNi4uLlVTRC5IAQAAAEtVAAACAAAABTc3NTQ5AHy0b28s8N4I2kzChyzw3gg9Q0lRLk5BU0RBUTpNU0ZULklRX0xJQUJJTElUSUVTX0xFVkVMXzIuOTkyLjAyLzA4LzIwMjYuLi5VU0QuSAEAAABLVQAAAgAAAAU3NzcwNgB8tG9vLPDeCNpMwocs8N4IQENJUS5OQVNEQVE6TVNGVC5JUV9MSUFCSUxJVElFU19GQUlSX1ZBTFVFLjk5OS4wMi8wOC8yMDI2Li4uVVNELkgBAAAAS1UAAAIAAAAFNDIyMzcAfLRvbyzw3gjaTMKHLPDeCD9DSVEuTkFTREFROk1TRlQuSVFfRklOX0RJVl9MVF9ERUJUX1RPVEFMLjk5My4wMi8wOC8yMDI2Li4uVVNELkgBAAAAS1UAAAMAAAAAAHy0b28s8N4I2kzChyzw3gg8Q0lRLk5BU0RBUTpN</t>
  </si>
  <si>
    <t>U0ZULklRX0ZJTl9ESVZfREVCVF9UT1RBTC45OTUuMDIvMDgvMjAyNi4uLlVTRC5IAQAAAEtVAAADAAAAAAB8tG9vLPDeCJqHwocs8N4IPUNJUS5OQVNEQVE6TVNGVC5JUV9ERUJUX0VRVUlWX05FVF9QQk8uMTAwMC4wMi8wOC8yMDI2Li4uVVNELkgBAAAAS1UAAAMAAAAAAHy0b28s8N4ImofChyzw3ghFQ0lRLk5BU0RBUTpNU0ZULklRX1JFU1RSSUNURURfQ0FTSF9OT05fQ1VSUkVOVC45OTkuMDIvMDgvMjAyNi4uLlVTRC5IAQAAAEtVAAADAAAAAAB8tG9vLPDeCNpMwocs8N4IN0NJUS5OQVNEQVE6TVNGVC5JUV9PUkRFUl9CQUNLTE9HLjk5Ny4wMi8wOC8yMDI2Li4uVVNELkgBAAAAS1UAAAMAAAAAAHy0b28s8N4I2kzChyzw3gg+Q0lRLk5BU0RBUTpNU0ZULklRX1dBUlJBTlRZX0xJQUJJTElUSUVTLjk5OC4wMi8wOC8yMDI2Li4uVVNELkgBAAAAS1UAAAMAAAAAAHy0b28s8N4I2kzChyzw3ghHQ0lRLk5BU0RBUTpNU0ZULklRX0NVUlJFTlRfUE9SVF9ERUJUX0RFUklWQVRJVkVTLjk5OS4wMi8wOC8yMDI2Li4uVVNELkgBAAAAS1UAAAMAAAAAAHy0b28s8N4ImofChyzw3ghFQ0lRLk5BU0RBUTpNU0ZULklRX0RFUklWQVRJVkVfTElBQl9OT05fQ1VSUkVOVC45OTcuMDIvMDgvMjAyNi4uLlVTRC5IAQAAAEtVAAACAAAAAzM4MwEIAAAABQAAAAExAQAAAAstMTkzNDI1NDI1MAMAAAADMTYwAgAAAAU0MDQx</t>
  </si>
  <si>
    <t>OQQAAAABMAcAAAAIOC8yLzIwMjYIAAAACTYvMzAvMjAyMwkAAAABMHy0b28s8N4ImofChyzw3ghDQ0lRLk5BU0RBUTpNU0ZULklRX0RFUklWQVRJVkVfQVNTRVRTX0NVUlJFTlQuOTk4LjAyLzA4LzIwMjYuLi5VU0QuSAEAAABLVQAAAgAAAAMxNjEBCAAAAAUAAAABMQEAAAALLTE4ODAyMjk2OTQDAAAAAzE2MAIAAAAEMTEwOQQAAAABMAcAAAAIOC8yLzIwMjYIAAAACTYvMzAvMjAyNAkAAAABMHy0b28s8N4I2kzChyzw3ggyQ0lRLk5BU0RBUTpNU0ZULklRX0dST1NTX0dXLjk5NC4wMi8wOC8yMDI2Li4uVVNELkgBAAAAS1UAAAMAAAAAAHy0b28s8N4I2kzChyzw3gg8Q0lRLk5BU0RBUTpNU0ZULklRX0xUX01BUktfU0VDVVJJVElFUy45OTUuMDIvMDgvMjAyNi4uLlVTRC5IAQAAAEtVAAADAAAAAAB8tG9vLPDeCNpMwocs8N4INkNJUS5OQVNEQVE6TVNGVC5JUV9HV19JTlRBTl9ORVQuOTk2LjAyLzA4LzIwMjYuLi5VU0QuSAEAAABLVQAAAwAAAAAAfLRvbyzw3giah8KHLPDeCDlDSVEuTkFTREFROk1TRlQuSVFfSU5URVJDT01QQU5ZX0NBLjk5NC4wMi8wOC8yMDI2Li4uVVNELkgBAAAAS1UAAAMAAAAAAHy0b28s8N4ImofChyzw3gg5Q0lRLk5BU0RBUTpNU0ZULklRX0lOVEVSQ09NUEFOWV9DTC45OTUuMDIvMDgvMjAyNi4uLlVTRC5IAQAAAEtVAAADAAAAAAB8tG9vLPDeCJqHwocs8N4ILkNJUS5OQVNE</t>
  </si>
  <si>
    <t>QVE6TVNGVC5JUV9ESUxVVF9XRUlHSFQuOTk0LjAyLzA4LzIwMjYBAAAAS1UAAAIAAAAENzY4MwB8tG9vLPDeCBHR4Ycs8N4IQ0NJUS5OQVNEQVE6TVNGVC5JUV9ESVNUUklCVVRBQkxFX0NBU0hfU0hBUkVTX0RJTFVURUQuOTk0LjAyLzA4LzIwMjYBAAAAS1UAAAMAAAAAABtPwm8s8N4IA6rhhyzw3ggxQ0lRLk5BU0RBUTpNU0ZULklRX1BFUklPRExFTkdUSF9JUy45OTUuMDIvMDgvMjAyNgEAAABLVQAAAQAAAAIxMgB8tG9vLPDeCAOq4Ycs8N4IQUNJUS5OQVNEQVE6TVNGVC5JUV9ESVNUUklCVVRBQkxFX0NBU0hfU0hBUkVTX0JBU0lDLjk5OS4wMi8wOC8yMDI2AQAAAEtVAAADAAAAAAAEKMJvLPDeCBHR4Ycs8N4IMUNJUS5OQVNEQVE6TVNGVC5JUV9FRkZFQ1RfVEFYX1JBVEUuOTk4LjAyLzA4LzIwMjYBAAAAS1UAAAIAAAAHMTguMjMxMwEIAAAABQAAAAExAQAAAAstMTg4MDIyOTY5NAMAAAADMTYwAgAAAAQ0Mzc2BAAAAAEwBwAAAAg4LzIvMjAyNggAAAAJNi8zMC8yMDI0CQAAAAEwfLRvbyzw3ggR0eGHLPDeCC5DSVEuTkFTREFROk1TRlQuSVFfQ0FMQ19UWVBFX0lTLjk5OC4wMi8wOC8yMDI2AQAAAEtVAAADAAAAA1JFUAB8tG9vLPDeCAOq4Ycs8N4ILkNJUS5OQVNEQVE6TVNGVC5JUV9DQUxDX1RZUEVfQ0YuOTk5LjAyLzA4LzIwMjYBAAAAS1UAAAMAAAADUkVQAHy0b28s8N4IEdHhhyzw3gg7Q0lR</t>
  </si>
  <si>
    <t>Lk5BU0RBUTpNU0ZULklRX1RPVEFMX09VVFNUQU5ESU5HX0JTX0RBVEUuOTk5LjAyLzA4LzIwMjYBAAAAS1UAAAIAAAAENzQzNAEEAAAABQAAAAE1AQAAAAstMTg4MDIyOTY4NgIAAAAFMjQxNTIGAAAAATB8tG9vLPDeCBHR4Ycs8N4IK0NJUS5OQVNEQVE6TVNGVC5JUV9GVUxMX1RJTUUuOTk5LjAyLzA4LzIwMjYBAAAAS1UAAAIAAAAGMjI4MDAwAHy0b28s8N4IA6rhhyzw3ggyQ0lRLk5BU0RBUTpNU0ZULklRX1RPVEFMX0VNUExPWUVFUy4xMDAwLjAyLzA4LzIwMjYBAAAAS1UAAAIAAAAGMjIzMDAwAHy0b28s8N4I/4Lhhyzw3gg0Q0lRLk5BU0RBUTpNU0ZULklRX0FWR19URU1QX0VNUExPWUVFUy45OTguMDIvMDgvMjAyNgEAAABLVQAAAwAAAAAAfLRvbyzw3gj/guGHLPDeCDFDSVEuTkFTREFROk1TRlQuSVFfQ09TVF9CT1JST1dJTkcuMTAwMC4wMi8wOC8yMDI2AQAAAEtVAAACAAAABjIuNTU2OAEIAAAABQAAAAExAQAAAAstMTg4MDIyOTY2NQMAAAADMTYwAgAAAAUyMTY4MQQAAAABMAcAAAAIOC8yLzIwMjYIAAAACTYvMzAvMjAyNgkAAAABMHy0b28s8N4IA6rhhyzw3gguQ0lRLk5BU0RBUTpNU0ZULklRX0NBTENfVFlQRV9CUy45OTkuMDIvMDgvMjAyNgEAAABLVQAAAwAAAANSRVAAfLRvbyzw3ggDquGHLPDeCC9DSVEuTkFTREFROk1TRlQuSVFfUkVUVVJOX0FTU0VUUy45OTguMDIvMDgvMjAyNgEA</t>
  </si>
  <si>
    <t>AABLVQAAAgAAAAYxNC44MDIBCAAAAAUAAAABMQEAAAALLTE4ODAyMjk2OTQDAAAAAzE2MAIAAAAENDE3OAQAAAABMAcAAAAIOC8yLzIwMjYIAAAACTYvMzAvMjAyNAkAAAABMHy0b28s8N4IA6rhhyzw3ggvQ0lRLk5BU0RBUTpNU0ZULklRX1JFVFVSTl9FUVVJVFkuOTk5LjAyLzA4LzIwMjYBAAAAS1UAAAIAAAAHMzMuMjgwOAEIAAAABQAAAAExAQAAAAstMTg4MDIyOTY4NgMAAAADMTYwAgAAAAQ0MTI4BAAAAAEwBwAAAAg4LzIvMjAyNggAAAAJNi8zMC8yMDI1CQAAAAEwfLRvbyzw3gjcW+GHLPDeCC1DSVEuTkFTREFROk1TRlQuSVFfRUJJVF9NQVJHSU4uOTk1LjAyLzA4LzIwMjYBAAAAS1UAAAIAAAAHNDEuNTk0OAEIAAAABQAAAAExAQAAAAstMjAzNjg0Mzg0MwMAAAADMTYwAgAAAAQ0MDUzBAAAAAEwBwAAAAg4LzIvMjAyNggAAAAJNi8zMC8yMDIxCQAAAAEwfLRvbyzw3gjcW+GHLPDeCC9DSVEuTkFTREFROk1TRlQuSVFfQ0FQRVhfUENUX1JFVi45OTYuMDIvMDgvMjAyNgEAAABLVQAAAgAAAAcxMi4wNDcyAQgAAAAFAAAAATEBAAAACy0xOTg1OTMxMjI0AwAAAAMxNjACAAAABTM1MzgwBAAAAAEwBwAAAAg4LzIvMjAyNggAAAAJNi8zMC8yMDIyCQAAAAEwfLRvbyzw3gj/guGHLPDeCCpDSVEuTkFTREFROk1TRlQuSVFfQVJfVFVSTlMuOTk0LjAyLzA4LzIwMjYBAAAAS1UAAAIAAAAINC42NDgyNDgB</t>
  </si>
  <si>
    <t>CAAAAAUAAAABMQEAAAALLTIwODc0OTY2MjcDAAAAAzE2MAIAAAAENDAwMQQAAAABMAcAAAAIOC8yLzIwMjYIAAAACTYvMzAvMjAyMAkAAAABMHy0b28s8N4I/4Lhhyzw3ggvQ0lRLk5BU0RBUTpNU0ZULklRX0NVUlJFTlRfUkFUSU8uOTk1LjAyLzA4LzIwMjYBAAAAS1UAAAIAAAAIMi4wNzk5OTMBCAAAAAUAAAABMQEAAAALLTIwMzY4NDM4NDMDAAAAAzE2MAIAAAAENDAzMAQAAAABMAcAAAAIOC8yLzIwMjYIAAAACTYvMzAvMjAyMQkAAAABMHy0b28s8N4I/4Lhhyzw3ggyQ0lRLk5BU0RBUTpNU0ZULklRX0NGT19DVVJSRU5UX0xJQUIuOTk3LjAyLzA4LzIwMjYBAAAAS1UAAAIAAAAIMC44NDA5MjkBCAAAAAUAAAABMQEAAAALLTE5MzQyNTQyNTADAAAAAzE2MAIAAAAENDE4NQQAAAABMAcAAAAIOC8yLzIwMjYIAAAACTYvMzAvMjAyMwkAAAABMHy0b28s8N4I3Fvhhyzw3ggyQ0lRLk5BU0RBUTpNU0ZULklRX0RBWVNfUEFZQUJMRV9PVVQuOTk0LjAyLzA4LzIwMjYBAAAAS1UAAAIAAAAIODcuMzQyMjQBCAAAAAUAAAABMQEAAAALLTIwODc0OTY2MjcDAAAAAzE2MAIAAAAENDE4MwQAAAABMAcAAAAIOC8yLzIwMjYIAAAACTYvMzAvMjAyMAkAAAABMHy0b28s8N4I3Fvhhyzw3ggzQ0lRLk5BU0RBUTpNU0ZULklRX1RPVEFMX0RFQlRfRVFVSVRZLjk5Ni4wMi8wOC8yMDI2AQAAAEtVAAACAAAABzQ3LjA3NTIB</t>
  </si>
  <si>
    <t>CAAAAAUAAAABMQEAAAALLTE5ODU5MzEyMjQDAAAAAzE2MAIAAAAENDAzNAQAAAABMAcAAAAIOC8yLzIwMjYIAAAACTYvMzAvMjAyMgkAAAABMHy0b28s8N4I/4Lhhyzw3ggxQ0lRLk5BU0RBUTpNU0ZULklRX0xUX0RFQlRfQ0FQSVRBTC45OTMuMDIvMDgvMjAyNgEAAABLVQAAAgAAAAc0MS45MDMyAQgAAAAFAAAAATEBAAAACy0yMTQwOTgxNDY5AwAAAAMxNjACAAAABDQxODcEAAAAATAHAAAACDgvMi8yMDI2CAAAAAk2LzMwLzIwMTkJAAAAATB8tG9vLPDeCP+C4Ycs8N4IKkNJUS5OQVNEQVE6TVNGVC5JUV9FQklUX0lOVC45OTUuMDIvMDgvMjAyNgEAAABLVQAAAgAAAAkzMC4wMDY4NjYBCAAAAAUAAAABMQEAAAALLTIwMzY4NDM4NDMDAAAAAzE2MAIAAAAENDE4OQQAAAABMAcAAAAIOC8yLzIwMjYIAAAACTYvMzAvMjAyMQkAAAABMHy0b28s8N4I/4Lhhyzw3gg9Q0lRLk5BU0RBUTpNU0ZULklRX0VCSVREQV9FWENMX09QRVJfTEVBU0VTX0lOVC45OTcuMDIvMDgvMjAyNgEAAABLVQAAAgAAAAk1MS4xMzkzNDgBCAAAAAUAAAABMQEAAAALLTE5MzQyNTQyNTADAAAAAzE2MAIAAAAFNDkxNzMEAAAAATAHAAAACDgvMi8yMDI2CAAAAAk2LzMwLzIwMjMJAAAAATB8tG9vLPDeCPE04Ycs8N4IM0NJUS5OQVNEQVE6TVNGVC5JUV9UT1RBTF9ERUJUX0VCSVREQS45OTQuMDIvMDgvMjAyNgEAAABLVQAAAgAAAAgx</t>
  </si>
  <si>
    <t>LjIyMDAyMwEIAAAABQAAAAExAQAAAAstMjA4NzQ5NjYyNwMAAAADMTYwAgAAAAQ0MTkyBAAAAAEwBwAAAAg4LzIvMjAyNggAAAAJNi8zMC8yMDIwCQAAAAEwfLRvbyzw3gjxNOGHLPDeCDFDSVEuTkFTREFROk1TRlQuSVFfTkVUX0RFQlRfRUJJVERBLjk5Ni4wMi8wOC8yMDI2AQAAAEtVAAADAAAAAk5NAQgAAAAFAAAAATEBAAAACy0xOTg1OTMxMjI0AwAAAAMxNjACAAAABDQxOTMEAAAAATAHAAAACDgvMi8yMDI2CAAAAAk2LzMwLzIwMjIJAAAAATB8tG9vLPDeCNxb4Ycs8N4ISkNJUS5OQVNEQVE6TVNGVC5JUV9UT1RBTF9ERUJUX0VCSVREQV9FWENMX09QRVJfTEVBU0VTX0NBUEVYLjk5My4wMi8wOC8yMDI2AQAAAEtVAAACAAAACDIuMTI3NjUxAQgAAAAFAAAAATEBAAAACy0yMTQwOTgxNDY5AwAAAAMxNjACAAAABTQ5MTgzBAAAAAEwBwAAAAg4LzIvMjAyNggAAAAJNi8zMC8yMDE5CQAAAAEwfLRvbyzw3gjcW+GHLPDeCEhDSVEuTkFTREFROk1TRlQuSVFfTkVUX0RFQlRfRUJJVERBX0VYQ0xfT1BFUl9MRUFTRVNfQ0FQRVguOTk1LjAyLzA4LzIwMjYBAAAAS1UAAAMAAAACTk0BCAAAAAUAAAABMQEAAAALLTIwMzY4NDM4NDMDAAAAAzE2MAIAAAAFNDkxODIEAAAAATAHAAAACDgvMi8yMDI2CAAAAAk2LzMwLzIwMjEJAAAAATB8tG9vLPDeCNxb4Ycs8N4IOkNJUS5OQVNEQVE6TVNGVC5JUV9UT1RBTF9S</t>
  </si>
  <si>
    <t>RVZfMVlSX0FOTl9HUk9XVEguOTkzLjAyLzA4LzIwMjYBAAAAS1UAAAIAAAAHMTQuMDI5NQEIAAAABQAAAAExAQAAAAstMjE0MDk4MTQ2OQMAAAADMTYwAgAAAAQ0MTk0BAAAAAEwBwAAAAg4LzIvMjAyNggAAAAJNi8zMC8yMDE5CQAAAAEwfLRvbyzw3gjxNOGHLPDeCDVDSVEuTkFTREFROk1TRlQuSVFfRUJJVF8xWVJfQU5OX0dST1dUSC45OTkuMDIvMDgvMjAyNgEAAABLVQAAAgAAAAYxNy40NDkBCAAAAAUAAAABMQEAAAALLTE4ODAyMjk2ODYDAAAAAzE2MAIAAAAENDE5NwQAAAABMAcAAAAIOC8yLzIwMjYIAAAACTYvMzAvMjAyNQkAAAABMHy0b28s8N4I8TThhyzw3gg1Q0lRLk5BU0RBUTpNU0ZULklRX0VQU18xWVJfQU5OX0dST1dUSC4xMDAwLjAyLzA4LzIwMjYBAAAAS1UAAAIAAAAHMzEuNTk4MgEIAAAABQAAAAExAQAAAAstMTg4MDIyOTY2NQMAAAADMTYwAgAAAAQ0MjAwBAAAAAEwBwAAAAg4LzIvMjAyNggAAAAJNi8zMC8yMDI2CQAAAAEwfLRvbyzw3gjcW+GHLPDeCDVDSVEuTkFTREFROk1TRlQuSVFfRUJJVERBXzNZUl9BTk5fQ0FHUi45OTguMDIvMDgvMjAyNgEAAABLVQAAAgAAAAcxNi45OTkxAQgAAAAFAAAAATEBAAAACy0xODgwMjI5Njk0AwAAAAMxNjACAAAABDQyMjIEAAAAATAHAAAACDgvMi8yMDI2CAAAAAk2LzMwLzIwMjQJAAAAATB8tG9vLPDeCPE04Ycs8N4IMUNJUS5OQVNEQVE6</t>
  </si>
  <si>
    <t>TVNGVC5JUV9OSV8zWVJfQU5OX0NBR1IuOTk5LjAyLzA4LzIwMjYBAAAAS1UAAAIAAAAHMTEuODY4NAEIAAAABQAAAAExAQAAAAstMTg4MDIyOTY4NgMAAAADMTYwAgAAAAQ0MjI1BAAAAAEwBwAAAAg4LzIvMjAyNggAAAAJNi8zMC8yMDI1CQAAAAEwfLRvbyzw3gjxNOGHLPDeCDlDSVEuTkFTREFROk1TRlQuSVFfVE9UQUxfUkVWXzVZUl9BTk5fQ0FHUi4xMDAwLjAyLzA4LzIwMjYBAAAAS1UAAAIAAAAHMTQuNTcxOQEIAAAABQAAAAExAQAAAAstMTg4MDIyOTY2NQMAAAADMTYwAgAAAAQ0MjMzBAAAAAEwBwAAAAg4LzIvMjAyNggAAAAJNi8zMC8yMDI2CQAAAAEwfLRvbyzw3gjxNOGHLPDeCDNDSVEuTkFTREFROk1TRlQuSVFfRUJJVF81WVJfQU5OX0NBR1IuOTk4LjAyLzA4LzIwMjYBAAAAS1UAAAIAAAAHMjAuNTY0MwEIAAAABQAAAAExAQAAAAstMTg4MDIyOTY5NAMAAAADMTYwAgAAAAQ0MjM2BAAAAAEwBwAAAAg4LzIvMjAyNggAAAAJNi8zMC8yMDI0CQAAAAEwfLRvbyzw3gjxNOGHLPDeCEFDSVEuTkFTREFROk1TRlQuSVFfTUlOT1JJVFlfSU5UX1JFREVFTV9UT1QuOTkyLjAyLzA4LzIwMjYuLi5VU0QuSAEAAABLVQAAAwAAAAAAfLRvbyzw3giah8KHLPDeCEVDSVEuTkFTREFROk1TRlQuSVFfREVGX1RBWF9WQUxVQVRJT05fQUxMT1dBTkNFLjk5My4wMi8wOC8yMDI2Li4uVVNELkgBAAAAS1UAAAIA</t>
  </si>
  <si>
    <t>AAAEMzIxNAEIAAAABQAAAAExAQAAAAstMjE0MDk4MTQ2OQMAAAADMTYwAgAAAAU0NjA0NQQAAAABMAcAAAAIOC8yLzIwMjYIAAAACTYvMzAvMjAxOQkAAAABMHy0b28s8N4I/K7Chyzw3ghFQ0lRLk5BU0RBUTpNU0ZULklRX0dFTkVSQUxfUEFSVE5FUl9QUkVGX0VRVUlUWS45OTQuMDIvMDgvMjAyNi4uLlVTRC5IAQAAAEtVAAADAAAAAAB8tG9vLPDeCPyuwocs8N4ITUNJUS5OQVNEQVE6TVNGVC5JUV9MSVFVSURBVElPTl9WQUxVRV9QUkVGRVJSRURfQ09OVkVSVC45OTIuMDIvMDgvMjAyNi4uLlVTRC5IAQAAAEtVAAADAAAAAAB8tG9vLPDeCPyuwocs8N4ITENJUS5OQVNEQVE6TVNGVC5JUV9MSVFVSURBVElPTl9WQUxVRV9QUkVGRVJSRURfUkVERUVNLjk5My4wMi8wOC8yMDI2Li4uVVNELkgBAAAAS1UAAAMAAAAAAHy0b28s8N4I59XChyzw3gg4Q0lRLk5BU0RBUTpNU0ZULklRX0FTU0VUU19MRVZFTF8zLjk5OS4wMi8wOC8yMDI2Li4uVVNELkgBAAAAS1UAAAIAAAAEMjk0NAB8tG9vLPDeCPyuwocs8N4IO0NJUS5OQVNEQVE6TVNGVC5JUV9BU1NFVFNfRkFJUl9WQUxVRS45OTIuMDIvMDgvMjAyNi4uLlVTRC5IAQAAAEtVAAACAAAABjEzMDU2NAB8tG9vLPDeCPyuwocs8N4IPUNJUS5OQVNEQVE6TVNGVC5JUV9MSUFCSUxJVElFU19MRVZFTF8yLjk5My4wMi8wOC8yMDI2Li4uVVNELkgBAAAAS1UAAAIA</t>
  </si>
  <si>
    <t>AAAFNzkxNzIAfLRvbyzw3gj8rsKHLPDeCEFDSVEuTkFTREFROk1TRlQuSVFfTElBQklMSVRJRVNfRkFJUl9WQUxVRS4xMDAwLjAyLzA4LzIwMjYuLi5VU0QuSAEAAABLVQAAAgAAAAUzNzkzMAB8tG9vLPDeCOfVwocs8N4IP0NJUS5OQVNEQVE6TVNGVC5JUV9GSU5fRElWX0xUX0RFQlRfVE9UQUwuOTk0LjAyLzA4LzIwMjYuLi5VU0QuSAEAAABLVQAAAwAAAAAAfLRvbyzw3gjn1cKHLPDeCD1DSVEuTkFTREFROk1TRlQuSVFfRklOX0RJVl9DQVNIX0VRVUlWLjEwMDAuMDIvMDgvMjAyNi4uLlVTRC5IAQAAAEtVAAADAAAAAAB8tG9vLPDeCPyuwocs8N4IPENJUS5OQVNEQVE6TVNGVC5JUV9ERUJUX0VRVUlWX05FVF9QQk8uOTkzLjAyLzA4LzIwMjYuLi5VU0QuSAEAAABLVQAAAwAAAAAAfLRvbyzw3gj8rsKHLPDeCEZDSVEuTkFTREFROk1TRlQuSVFfUkVTVFJJQ1RFRF9DQVNIX05PTl9DVVJSRU5ULjEwMDAuMDIvMDgvMjAyNi4uLlVTRC5IAQAAAEtVAAADAAAAAAB8tG9vLPDeCPyuwocs8N4IN0NJUS5OQVNEQVE6TVNGVC5JUV9PUkRFUl9CQUNLTE9HLjk5OC4wMi8wOC8yMDI2Li4uVVNELkgBAAAAS1UAAAMAAAAAAHy0b28s8N4I59XChyzw3gg+Q0lRLk5BU0RBUTpNU0ZULklRX1dBUlJBTlRZX0xJQUJJTElUSUVTLjk5OS4wMi8wOC8yMDI2Li4uVVNELkgBAAAAS1UAAAMAAAAAAHy0b28s8N4I59XChyzw</t>
  </si>
  <si>
    <t>3gg9Q0lRLk5BU0RBUTpNU0ZULklRX0xUX0RFQlRfREVSSVZBVElWRVMuOTk3LjAyLzA4LzIwMjYuLi5VU0QuSAEAAABLVQAAAwAAAAAAfLRvbyzw3gjn1cKHLPDeCEVDSVEuTkFTREFROk1TRlQuSVFfREVSSVZBVElWRV9MSUFCX05PTl9DVVJSRU5ULjk5OC4wMi8wOC8yMDI2Li4uVVNELkgBAAAAS1UAAAIAAAADMzUxAQgAAAAFAAAAATEBAAAACy0xODgwMjI5Njk0AwAAAAMxNjACAAAABTQwNDE5BAAAAAEwBwAAAAg4LzIvMjAyNggAAAAJNi8zMC8yMDI0CQAAAAEwfLRvbyzw3gjn1cKHLPDeCENDSVEuTkFTREFROk1TRlQuSVFfREVSSVZBVElWRV9BU1NFVFNfQ1VSUkVOVC45OTkuMDIvMDgvMjAyNi4uLlVTRC5IAQAAAEtVAAACAAAAAzIxMQEIAAAABQAAAAExAQAAAAstMTg4MDIyOTY4NgMAAAADMTYwAgAAAAQxMTA5BAAAAAEwBwAAAAg4LzIvMjAyNggAAAAJNi8zMC8yMDI1CQAAAAEwfLRvbyzw3gjn1cKHLPDeCEJDSVEuTkFTREFROk1TRlQuSVFfQUNDVU1fQU1PUlRfSU5UQU5fQVNTRVRTLjk5Ny4wMi8wOC8yMDI2Li4uVVNELkgBAAAAS1UAAAIAAAAGLTE0MTI0AQgAAAAFAAAAATEBAAAACy0xOTM0MjU0MjUwAwAAAAMxNjACAAAABTI0MzMxBAAAAAEwBwAAAAg4LzIvMjAyNggAAAAJNi8zMC8yMDIzCQAAAAEwfLRvbyzw3gjn1cKHLPDeCDhDSVEuTkFTREFROk1TRlQuSVFfQUNDVU1fQU1PUlRf</t>
  </si>
  <si>
    <t>R1cuOTk4LjAyLzA4LzIwMjYuLi5VU0QuSAEAAABLVQAAAwAAAAAAfLRvbyzw3gjn1cKHLPDeCDBDSVEuTkFTREFROk1TRlQuSVFfR1dfTkVULjk5NC4wMi8wOC8yMDI2Li4uVVNELkgBAAAAS1UAAAIAAAAFNDMzNTEBCAAAAAUAAAABMQEAAAALLTIwODc0OTY2MjcDAAAAAzE2MAIAAAAFNDg5NjAEAAAAATAHAAAACDgvMi8yMDI2CAAAAAk2LzMwLzIwMjAJAAAAATB8tG9vLPDeCOfVwocs8N4IOUNJUS5OQVNEQVE6TVNGVC5JUV9JTlRFUkNPTVBBTllfQ0EuOTk1LjAyLzA4LzIwMjYuLi5VU0QuSAEAAABLVQAAAwAAAAAAfLRvbyzw3gjn1cKHLPDeCDlDSVEuTkFTREFROk1TRlQuSVFfSU5URVJDT01QQU5ZX0NMLjk5Ni4wMi8wOC8yMDI2Li4uVVNELkgBAAAAS1UAAAMAAAAAAHy0b28s8N4I59XChyzw3gguQ0lRLk5BU0RBUTpNU0ZULklRX0RJTFVUX1dFSUdIVC45OTUuMDIvMDgvMjAyNgEAAABLVQAAAgAAAAQ3NjA4AHy0b28s8N4I4Q3hhyzw3ggyQ0lRLk5BU0RBUTpNU0ZULklRX0RSX1JBVElPX1BSSU1BUlkuOTk2LjAyLzA4LzIwMjYBAAAAS1UAAAIAAAAHMC4wNDE2NwB8tG9vLPDeCPE04Ycs8N4IMUNJUS5OQVNEQVE6TVNGVC5JUV9QRVJJT0RMRU5HVEhfSVMuOTk2LjAyLzA4LzIwMjYBAAAAS1UAAAEAAAACMTIAfLRvbyzw3gjhDeGHLPDeCEFDSVEuTkFTREFROk1TRlQuSVFfRElTVFJJQlVUQUJM</t>
  </si>
  <si>
    <t>RV9DQVNIX1NIQVJFU19CQVNJQy45OTIuMDIvMDgvMjAyNgEAAABLVQAAAwAAAAAAG0/Cbyzw3gjhDeGHLPDeCDFDSVEuTkFTREFROk1TRlQuSVFfRUZGRUNUX1RBWF9SQVRFLjk5OS4wMi8wOC8yMDI2AQAAAEtVAAACAAAABzE3LjYyOTYBCAAAAAUAAAABMQEAAAALLTE4ODAyMjk2ODYDAAAAAzE2MAIAAAAENDM3NgQAAAABMAcAAAAIOC8yLzIwMjYIAAAACTYvMzAvMjAyNQkAAAABMHy0b28s8N4Iyebghyzw3ggpQ0lRLk5BU0RBUTpNU0ZULklRX0dBQVBfSVMuOTk0LjAyLzA4LzIwMjYBAAAAS1UAAAMAAAAHVVMgR0FBUAB8tG9vLPDeCOEN4Ycs8N4IMUNJUS5OQVNEQVE6TVNGVC5JUV9GSUxJTkdfQ1VSUkVOQ1kuOTk4LjAyLzA4LzIwMjYBAAAAS1UAAAMAAAADVVNEABtPwm8s8N4I4Q3hhyzw3ggvQ0lRLk5BU0RBUTpNU0ZULklRX0NBTENfVFlQRV9DRi4xMDAwLjAyLzA4LzIwMjYBAAAAS1UAAAMAAAADUkVQAHy0b28s8N4I4Q3hhyzw3gg8Q0lRLk5BU0RBUTpNU0ZULklRX1RPVEFMX09VVFNUQU5ESU5HX0JTX0RBVEUuMTAwMC4wMi8wOC8yMDI2AQAAAEtVAAACAAAABDc0MjcBBAAAAAUAAAABNQEAAAALLTE4ODAyMjk2NjUCAAAABTI0MTUyBgAAAAEwfLRvbyzw3gjJ5uCHLPDeCCxDSVEuTkFTREFROk1TRlQuSVFfRlVMTF9USU1FLjEwMDAuMDIvMDgvMjAyNgEAAABLVQAAAgAAAAYyMjMwMDAAfLRv</t>
  </si>
  <si>
    <t>byzw3gjJ5uCHLPDeCEFDSVEuTkFTREFROk1TRlQuSVFfRU1QTE9ZRUVTX1VOREVSX1VOSU9OX0NPTlRSQUNUUy45OTguMDIvMDgvMjAyNgEAAABLVQAAAwAAAAAAfLRvbyzw3gjhDeGHLPDeCDRDSVEuTkFTREFROk1TRlQuSVFfQVZHX1RFTVBfRU1QTE9ZRUVTLjk5OS4wMi8wOC8yMDI2AQAAAEtVAAADAAAAAAB8tG9vLPDeCMnm4Ics8N4IMENJUS5OQVNEQVE6TVNGVC5JUV9DT1NUX0JPUlJPV0lORy45OTQuMDIvMDgvMjAyNgEAAABLVQAAAgAAAAYzLjA3NDEBCAAAAAUAAAABMQEAAAALLTIwODc0OTY2MjcDAAAAAzE2MAIAAAAFMjE2ODEEAAAAATAHAAAACDgvMi8yMDI2CAAAAAk2LzMwLzIwMjAJAAAAATB8tG9vLPDeCMnm4Ics8N4IL0NJUS5OQVNEQVE6TVNGVC5JUV9DQUxDX1RZUEVfQlMuMTAwMC4wMi8wOC8yMDI2AQAAAEtVAAADAAAAA1JFUAB8tG9vLPDeCMK/4Ics8N4IL0NJUS5OQVNEQVE6TVNGVC5JUV9SRVRVUk5fQVNTRVRTLjk5OS4wMi8wOC8yMDI2AQAAAEtVAAACAAAABjE0LjIwMwEIAAAABQAAAAExAQAAAAstMTg4MDIyOTY4NgMAAAADMTYwAgAAAAQ0MTc4BAAAAAEwBwAAAAg4LzIvMjAyNggAAAAJNi8zMC8yMDI1CQAAAAEwfLRvbyzw3gjCv+CHLPDeCDZDSVEuTkFTREFROk1TRlQuSVFfUkVUVVJOX0NPTU1PTl9FUVVJVFkuOTk3LjAyLzA4LzIwMjYBAAAAS1UAAAIAAAAHMzguODIz</t>
  </si>
  <si>
    <t>OQEIAAAABQAAAAExAQAAAAstMTkzNDI1NDI1MAMAAAADMTYwAgAAAAUzMzMyMAQAAAABMAcAAAAIOC8yLzIwMjYIAAAACTYvMzAvMjAyMwkAAAABMHy0b28s8N4Iyebghyzw3ggvQ0lRLk5BU0RBUTpNU0ZULklRX0VCSVREQV9NQVJHSU4uOTk4LjAyLzA4LzIwMjYBAAAAS1UAAAIAAAAHNTIuODAzNQEIAAAABQAAAAExAQAAAAstMTg4MDIyOTY5NAMAAAADMTYwAgAAAAQ0MDQ3BAAAAAEwBwAAAAg4LzIvMjAyNggAAAAJNi8zMC8yMDI0CQAAAAEwfLRvbyzw3gjJ5uCHLPDeCCtDSVEuTkFTREFROk1TRlQuSVFfTklfTUFSR0lOLjk5OS4wMi8wOC8yMDI2AQAAAEtVAAACAAAABjM2LjE0NgEIAAAABQAAAAExAQAAAAstMTg4MDIyOTY4NgMAAAADMTYwAgAAAAQ0MDk0BAAAAAEwBwAAAAg4LzIvMjAyNggAAAAJNi8zMC8yMDI1CQAAAAEwfLRvbyzw3gjJ5uCHLPDeCCpDSVEuTkFTREFROk1TRlQuSVFfQVJfVFVSTlMuOTk1LjAyLzA4LzIwMjYBAAAAS1UAAAIAAAAINC43OTg4MTIBCAAAAAUAAAABMQEAAAALLTIwMzY4NDM4NDMDAAAAAzE2MAIAAAAENDAwMQQAAAABMAcAAAAIOC8yLzIwMjYIAAAACTYvMzAvMjAyMQkAAAABMHy0b28s8N4Iapjghyzw3ggvQ0lRLk5BU0RBUTpNU0ZULklRX0NVUlJFTlRfUkFUSU8uOTk2LjAyLzA4LzIwMjYBAAAAS1UAAAIAAAAIMS43ODQ2MDYBCAAAAAUAAAABMQEAAAALLTE5</t>
  </si>
  <si>
    <t>ODU5MzEyMjQDAAAAAzE2MAIAAAAENDAzMAQAAAABMAcAAAAIOC8yLzIwMjYIAAAACTYvMzAvMjAyMgkAAAABMHy0b28s8N4Iapjghyzw3ggwQ0lRLk5BU0RBUTpNU0ZULklRX0RBWVNfU0FMRVNfT1VULjk5NC4wMi8wOC8yMDI2AQAAAEtVAAACAAAACTc4LjczOTA0NAEIAAAABQAAAAExAQAAAAstMjA4NzQ5NjYyNwMAAAADMTYwAgAAAAQ0MDQyBAAAAAEwBwAAAAg4LzIvMjAyNggAAAAJNi8zMC8yMDIwCQAAAAEwfLRvbyzw3gjJ5uCHLPDeCDJDSVEuTkFTREFROk1TRlQuSVFfREFZU19QQVlBQkxFX09VVC45OTUuMDIvMDgvMjAyNgEAAABLVQAAAgAAAAk5NS40MDYyNTUBCAAAAAUAAAABMQEAAAALLTIwMzY4NDM4NDMDAAAAAzE2MAIAAAAENDE4MwQAAAABMAcAAAAIOC8yLzIwMjYIAAAACTYvMzAvMjAyMQkAAAABMHy0b28s8N4Iwr/ghyzw3ggzQ0lRLk5BU0RBUTpNU0ZULklRX1RPVEFMX0RFQlRfRVFVSVRZLjk5Ny4wMi8wOC8yMDI2AQAAAEtVAAACAAAABzM4LjUyMTgBCAAAAAUAAAABMQEAAAALLTE5MzQyNTQyNTADAAAAAzE2MAIAAAAENDAzNAQAAAABMAcAAAAIOC8yLzIwMjYIAAAACTYvMzAvMjAyMwkAAAABMHy0b28s8N4Iwr/ghyzw3ggxQ0lRLk5BU0RBUTpNU0ZULklRX0xUX0RFQlRfQ0FQSVRBTC45OTQuMDIvMDgvMjAyNgEAAABLVQAAAgAAAAczOC4wMjM3AQgAAAAFAAAAATEBAAAACy0y</t>
  </si>
  <si>
    <t>MDg3NDk2NjI3AwAAAAMxNjACAAAABDQxODcEAAAAATAHAAAACDgvMi8yMDI2CAAAAAk2LzMwLzIwMjAJAAAAATB8tG9vLPDeCGqY4Ics8N4IKkNJUS5OQVNEQVE6TVNGVC5JUV9FQklUX0lOVC45OTYuMDIvMDgvMjAyNgEAAABLVQAAAgAAAAk0MC43MzQyNDUBCAAAAAUAAAABMQEAAAALLTE5ODU5MzEyMjQDAAAAAzE2MAIAAAAENDE4OQQAAAABMAcAAAAIOC8yLzIwMjYIAAAACTYvMzAvMjAyMgkAAAABMHy0b28s8N4Iapjghyzw3ggyQ0lRLk5BU0RBUTpNU0ZULklRX0VCSVREQV9DQVBFWF9JTlQuOTkzLjAyLzA4LzIwMjYBAAAAS1UAAAIAAAAJMTUuNzYzNTg4AQgAAAAFAAAAATEBAAAACy0yMTQwOTgxNDY5AwAAAAMxNjACAAAABDQxOTEEAAAAATAHAAAACDgvMi8yMDI2CAAAAAk2LzMwLzIwMTkJAAAAATB8tG9vLPDeCMK/4Ics8N4IM0NJUS5OQVNEQVE6TVNGVC5JUV9UT1RBTF9ERUJUX0VCSVREQS45OTUuMDIvMDgvMjAyNgEAAABLVQAAAgAAAAgwLjk5MTk4MgEIAAAABQAAAAExAQAAAAstMjAzNjg0Mzg0MwMAAAADMTYwAgAAAAQ0MTkyBAAAAAEwBwAAAAg4LzIvMjAyNggAAAAJNi8zMC8yMDIxCQAAAAEwfLRvbyzw3gjCv+CHLPDeCDFDSVEuTkFTREFROk1TRlQuSVFfTkVUX0RFQlRfRUJJVERBLjk5Ny4wMi8wOC8yMDI2AQAAAEtVAAADAAAAAk5NAQgAAAAFAAAAATEBAAAACy0xOTM0MjU0MjUw</t>
  </si>
  <si>
    <t>AwAAAAMxNjACAAAABDQxOTMEAAAAATAHAAAACDgvMi8yMDI2CAAAAAk2LzMwLzIwMjMJAAAAATB8tG9vLPDeCMK/4Ics8N4ISkNJUS5OQVNEQVE6TVNGVC5JUV9UT1RBTF9ERUJUX0VCSVREQV9FWENMX09QRVJfTEVBU0VTX0NBUEVYLjk5NC4wMi8wOC8yMDI2AQAAAEtVAAACAAAACDEuNjQ4MTk5AQgAAAAFAAAAATEBAAAACy0yMDg3NDk2NjI3AwAAAAMxNjACAAAABTQ5MTgzBAAAAAEwBwAAAAg4LzIvMjAyNggAAAAJNi8zMC8yMDIwCQAAAAEwfLRvbyzw3gjChOCHLPDeCEhDSVEuTkFTREFROk1TRlQuSVFfTkVUX0RFQlRfRUJJVERBX0VYQ0xfT1BFUl9MRUFTRVNfQ0FQRVguOTk2LjAyLzA4LzIwMjYBAAAAS1UAAAMAAAACTk0BCAAAAAUAAAABMQEAAAALLTE5ODU5MzEyMjQDAAAAAzE2MAIAAAAFNDkxODIEAAAAATAHAAAACDgvMi8yMDI2CAAAAAk2LzMwLzIwMjIJAAAAATB8tG9vLPDeCMKE4Ics8N4IM0NJUS5OQVNEQVE6TVNGVC5JUV9HUF8xWVJfQU5OX0dST1dUSC45OTkuMDIvMDgvMjAyNgEAAABLVQAAAgAAAAcxMy4zODI0AQgAAAAFAAAAATEBAAAACy0xODgwMjI5Njg2AwAAAAMxNjACAAAABDQxOTUEAAAAATAHAAAACDgvMi8yMDI2CAAAAAk2LzMwLzIwMjUJAAAAATB8tG9vLPDeCGqY4Ics8N4INkNJUS5OQVNEQVE6TVNGVC5JUV9FQklUXzFZUl9BTk5fR1JPV1RILjEwMDAuMDIvMDgvMjAy</t>
  </si>
  <si>
    <t>NgEAAABLVQAAAgAAAAcyMC43ODA2AQgAAAAFAAAAATEBAAAACy0xODgwMjI5NjY1AwAAAAMxNjACAAAABDQxOTcEAAAAATAHAAAACDgvMi8yMDI2CAAAAAk2LzMwLzIwMjYJAAAAATB8tG9vLPDeCGqY4Ics8N4INENJUS5OQVNEQVE6TVNGVC5JUV9FUFNfMVlSX0FOTl9HUk9XVEguOTkzLjAyLzA4LzIwMjYBAAAAS1UAAAIAAAAIMTM3LjU1ODYBCAAAAAUAAAABMQEAAAALLTIxNDA5ODE0NjkDAAAAAzE2MAIAAAAENDIwMAQAAAABMAcAAAAIOC8yLzIwMjYIAAAACTYvMzAvMjAxOQkAAAABMHy0b28s8N4Iapjghyzw3gg1Q0lRLk5BU0RBUTpNU0ZULklRX0VCSVREQV8zWVJfQU5OX0NBR1IuOTk5LjAyLzA4LzIwMjYBAAAAS1UAAAIAAAAHMTYuODk5OAEIAAAABQAAAAExAQAAAAstMTg4MDIyOTY4NgMAAAADMTYwAgAAAAQ0MjIyBAAAAAEwBwAAAAg4LzIvMjAyNggAAAAJNi8zMC8yMDI1CQAAAAEwfLRvbyzw3gjChOCHLPDeCDJDSVEuTkFTREFROk1TRlQuSVFfTklfM1lSX0FOTl9DQUdSLjEwMDAuMDIvMDgvMjAyNgEAAABLVQAAAgAAAAcyMi43MjM4AQgAAAAFAAAAATEBAAAACy0xODgwMjI5NjY1AwAAAAMxNjACAAAABDQyMjUEAAAAATAHAAAACDgvMi8yMDI2CAAAAAk2LzMwLzIwMjYJAAAAATB8tG9vLPDeCM9d4Ics8N4IMUNJUS5OQVNEQVE6TVNGVC5JUV9HUF81WVJfQU5OX0NBR1IuOTk4LjAyLzA4</t>
  </si>
  <si>
    <t>LzIwMjYBAAAAS1UAAAIAAAAHMTUuNTczNAEIAAAABQAAAAExAQAAAAstMTg4MDIyOTY5NAMAAAADMTYwAgAAAAQ0MjM0BAAAAAEwBwAAAAg4LzIvMjAyNggAAAAJNi8zMC8yMDI0CQAAAAEwfLRvbyzw3gjChOCHLPDeCDNDSVEuTkFTREFROk1TRlQuSVFfRUJJVF81WVJfQU5OX0NBR1IuOTk5LjAyLzA4LzIwMjYBAAAAS1UAAAIAAAAGMTkuNDAyAQgAAAAFAAAAATEBAAAACy0xODgwMjI5Njg2AwAAAAMxNjACAAAABDQyMzYEAAAAATAHAAAACDgvMi8yMDI2CAAAAAk2LzMwLzIwMjUJAAAAATB8tG9vLPDeCMKE4Ics8N4IMUNJUS5OQVNEQVE6TVNGVC5JUV9SQVdfSU5WLjk5NS4wMi8wOC8yMDI2Li4uVVNELkgBAAAAS1UAAAIAAAAEMTE5MAEIAAAABQAAAAExAQAAAAstMjAzNjg0Mzg0MwMAAAADMTYwAgAAAAQzMTcxBAAAAAEwBwAAAAg4LzIvMjAyNggAAAAJNi8zMC8yMDIxCQAAAAEwfLRvbyzw3gjn1cKHLPDeCDZDSVEuTkFTREFROk1TRlQuSVFfRklOSVNIRURfSU5WLjk5Ny4wMi8wOC8yMDI2Li4uVVNELkgBAAAAS1UAAAIAAAAEMTc2OAEIAAAABQAAAAExAQAAAAstMTkzNDI1NDI1MAMAAAADMTYwAgAAAAQzMDc1BAAAAAEwBwAAAAg4LzIvMjAyNggAAAAJNi8zMC8yMDIzCQAAAAEwfLRvbyzw3ginD8OHLPDeCDNDSVEuTkFTREFROk1TRlQuSVFfTUFDSElORVJZLjk5Mi4wMi8wOC8yMDI2Li4uVVNE</t>
  </si>
  <si>
    <t>LkgBAAAAS1UAAAIAAAAFMzIwOTABCAAAAAUAAAABMQEAAAAKMjA0NzI3MTc0NQMAAAADMTYwAgAAAAQzMTE0BAAAAAEwBwAAAAg4LzIvMjAyNggAAAAJNi8zMC8yMDE4CQAAAAEwfLRvbyzw3ginD8OHLPDeCDJDSVEuTkFTREFROk1TRlQuSVFfU09GVFdBUkUuOTk2LjAyLzA4LzIwMjYuLi5VU0QuSAEAAABLVQAAAwAAAAAAfLRvbyzw3ginD8OHLPDeCC1DSVEuTkFTREFROk1TRlQuSVFfQ0lQLjk5Ny4wMi8wOC8yMDI2Li4uVVNELkgBAAAAS1UAAAMAAAAAAHy0b28s8N4Ipw/Dhyzw3ghBQ0lRLk5BU0RBUTpNU0ZULklRX01JTk9SSVRZX0lOVF9SRURFRU1fVE9ULjk5My4wMi8wOC8yMDI2Li4uVVNELkgBAAAAS1UAAAMAAAAAAHy0b28s8N4Ipw/Dhyzw3ghFQ0lRLk5BU0RBUTpNU0ZULklRX0RFRl9UQVhfVkFMVUFUSU9OX0FMTE9XQU5DRS45OTQuMDIvMDgvMjAyNi4uLlVTRC5IAQAAAEtVAAACAAAAAzc1NQEIAAAABQAAAAExAQAAAAstMjA4NzQ5NjYyNwMAAAADMTYwAgAAAAU0NjA0NQQAAAABMAcAAAAIOC8yLzIwMjYIAAAACTYvMzAvMjAyMAkAAAABMHy0b28s8N4I9DbDhyzw3ghLQ0lRLk5BU0RBUTpNU0ZULklRX0dFTkVSQUxfUEFSVE5FUl9NSU5PUklUWV9JTlRFUkVTVC45OTIuMDIvMDgvMjAyNi4uLlVTRC5IAQAAAEtVAAADAAAAAAB8tG9vLPDeCPQ2w4cs8N4ITUNJUS5OQVNEQVE6TVNGVC5J</t>
  </si>
  <si>
    <t>UV9MSVFVSURBVElPTl9WQUxVRV9QUkVGRVJSRURfQ09OVkVSVC45OTMuMDIvMDgvMjAyNi4uLlVTRC5IAQAAAEtVAAADAAAAAAB8tG9vLPDeCKcPw4cs8N4ITENJUS5OQVNEQVE6TVNGVC5JUV9MSVFVSURBVElPTl9WQUxVRV9QUkVGRVJSRURfUkVERUVNLjk5NC4wMi8wOC8yMDI2Li4uVVNELkgBAAAAS1UAAAMAAAAAAHy0b28s8N4Ipw/Dhyzw3gg4Q0lRLk5BU0RBUTpNU0ZULklRX0FTU0VUU19MRVZFTF8zLjk5Mi4wMi8wOC8yMDI2Li4uVVNELkgBAAAAS1UAAAIAAAACMzUAfLRvbyzw3ginD8OHLPDeCDtDSVEuTkFTREFROk1TRlQuSVFfQVNTRVRTX0ZBSVJfVkFMVUUuOTkzLjAyLzA4LzIwMjYuLi5VU0QuSAEAAABLVQAAAgAAAAYxMzA4NzUAfLRvbyzw3gj0NsOHLPDeCD1DSVEuTkFTREFROk1TRlQuSVFfTElBQklMSVRJRVNfTEVWRUxfMy45OTkuMDIvMDgvMjAyNi4uLlVTRC5IAQAAAEtVAAACAAAAATUAfLRvbyzw3gj0NsOHLPDeCEBDSVEuTkFTREFROk1TRlQuSVFfTElBQklMSVRJRVNfRkFJUl9WQUxVRS45OTIuMDIvMDgvMjAyNi4uLlVTRC5IAQAAAEtVAAACAAAABTc3NzA3AHy0b28s8N4Ipw/Dhyzw3gg/Q0lRLk5BU0RBUTpNU0ZULklRX0ZJTl9ESVZfTFRfREVCVF9UT1RBTC45OTUuMDIvMDgvMjAyNi4uLlVTRC5IAQAAAEtVAAADAAAAAAB8tG9vLPDeCPQ2w4cs8N4IPENJUS5OQVNEQVE6</t>
  </si>
  <si>
    <t>TVNGVC5JUV9GSU5fRElWX0NBU0hfRVFVSVYuOTkyLjAyLzA4LzIwMjYuLi5VU0QuSAEAAABLVQAAAwAAAAAAfLRvbyzw3gj0NsOHLPDeCDxDSVEuTkFTREFROk1TRlQuSVFfREVCVF9FUVVJVl9ORVRfUEJPLjk5NC4wMi8wOC8yMDI2Li4uVVNELkgBAAAAS1UAAAMAAAAAAHy0b28s8N4I813Dhyzw3gg/Q0lRLk5BU0RBUTpNU0ZULklRX1JFU1RSSUNURURfQ0FTSF9UT1RBTC45OTcuMDIvMDgvMjAyNi4uLlVTRC5IAQAAAEtVAAADAAAAAAB3jW9vLPDeCPNdw4cs8N4IN0NJUS5OQVNEQVE6TVNGVC5JUV9PUkRFUl9CQUNLTE9HLjk5OS4wMi8wOC8yMDI2Li4uVVNELkgBAAAAS1UAAAMAAAAAAHeNb28s8N4I9DbDhyzw3gg/Q0lRLk5BU0RBUTpNU0ZULklRX1dBUlJBTlRZX0xJQUJJTElUSUVTLjEwMDAuMDIvMDgvMjAyNi4uLlVTRC5IAQAAAEtVAAADAAAAAAB3jW9vLPDeCPQ2w4cs8N4IPUNJUS5OQVNEQVE6TVNGVC5JUV9MVF9ERUJUX0RFUklWQVRJVkVTLjk5OC4wMi8wOC8yMDI2Li4uVVNELkgBAAAAS1UAAAMAAAAAAHeNb28s8N4I9DbDhyzw3ghFQ0lRLk5BU0RBUTpNU0ZULklRX0RFUklWQVRJVkVfTElBQl9OT05fQ1VSUkVOVC45OTkuMDIvMDgvMjAyNi4uLlVTRC5IAQAAAEtVAAACAAAAAjM3AQgAAAAFAAAAATEBAAAACy0xODgwMjI5Njg2AwAAAAMxNjACAAAABTQwNDE5BAAAAAEwBwAAAAg4LzIv</t>
  </si>
  <si>
    <t>MjAyNggAAAAJNi8zMC8yMDI1CQAAAAEwd41vbyzw3gjzXcOHLPDeCD5DSVEuTkFTREFROk1TRlQuSVFfREVSSVZBVElWRV9BU1NFVFNfTFQuOTk3LjAyLzA4LzIwMjYuLi5VU0QuSAEAAABLVQAAAgAAAAIxNgEIAAAABQAAAAExAQAAAAstMTkzNDI1NDI1MAMAAAADMTYwAgAAAAQxMTEwBAAAAAEwBwAAAAg4LzIvMjAyNggAAAAJNi8zMC8yMDIzCQAAAAEwd41vbyzw3gjzXcOHLPDeCEJDSVEuTkFTREFROk1TRlQuSVFfQUNDVU1fQU1PUlRfSU5UQU5fQVNTRVRTLjk5OC4wMi8wOC8yMDI2Li4uVVNELkgBAAAAS1UAAAIAAAAGLTE2OTEyAQgAAAAFAAAAATEBAAAACy0xODgwMjI5Njk0AwAAAAMxNjACAAAABTI0MzMxBAAAAAEwBwAAAAg4LzIvMjAyNggAAAAJNi8zMC8yMDI0CQAAAAEwd41vbyzw3gjzXcOHLPDeCDhDSVEuTkFTREFROk1TRlQuSVFfQUNDVU1fQU1PUlRfR1cuOTk5LjAyLzA4LzIwMjYuLi5VU0QuSAEAAABLVQAAAwAAAAAAd41vbyzw3gjzXcOHLPDeCDZDSVEuTkFTREFROk1TRlQuSVFfR1dfSU5UQU5fTkVULjk5Ny4wMi8wOC8yMDI2Li4uVVNELkgBAAAAS1UAAAMAAAAAAHeNb28s8N4I813Dhyzw3ggzQ0lRLk5BU0RBUTpNU0ZULklRX0lOVEFOX05FVC45OTguMDIvMDgvMjAyNi4uLlVTRC5IAQAAAEtVAAACAAAABTI3NTk3AQgAAAAFAAAAATEBAAAACy0xODgwMjI5Njk0AwAAAAMxNjAC</t>
  </si>
  <si>
    <t>AAAABTQ4OTYyBAAAAAEwBwAAAAg4LzIvMjAyNggAAAAJNi8zMC8yMDI0CQAAAAEwd41vbyzw3gjzXcOHLPDeCD1DSVEuTkFTREFROk1TRlQuSVFfSU5URVJDT01QQU5ZX05PTl9DTC45OTQuMDIvMDgvMjAyNi4uLlVTRC5IAQAAAEtVAAADAAAAAAB3jW9vLPDeCPNdw4cs8N4ILkNJUS5OQVNEQVE6TVNGVC5JUV9ESUxVVF9XRUlHSFQuOTk2LjAyLzA4LzIwMjYBAAAAS1UAAAIAAAAENzU0MAB3jW9vLPDeCM9d4Ics8N4IMkNJUS5OQVNEQVE6TVNGVC5JUV9EUl9SQVRJT19QUklNQVJZLjk5Ny4wMi8wOC8yMDI2AQAAAEtVAAACAAAABzAuMDQxNjcAd41vbyzw3gjPXeCHLPDeCDFDSVEuTkFTREFROk1TRlQuSVFfUEVSSU9ETEVOR1RIX0lTLjk5Ny4wMi8wOC8yMDI2AQAAAEtVAAABAAAAAjEyAHeNb28s8N4Iz13ghyzw3ghDQ0lRLk5BU0RBUTpNU0ZULklRX0RJU1RSSUJVVEFCTEVfQ0FTSF9TSEFSRVNfRElMVVRFRC45OTYuMDIvMDgvMjAyNgEAAABLVQAAAwAAAAAABCjCbyzw3gitNuCHLPDeCDFDSVEuTkFTREFROk1TRlQuSVFfRUZGRUNUX1RBWF9SQVRFLjk5Mi4wMi8wOC8yMDI2AQAAAEtVAAACAAAABzU0LjU2NzYBCAAAAAUAAAABMQEAAAAKMjA0NzI3MTc0NQMAAAADMTYwAgAAAAQ0Mzc2BAAAAAEwBwAAAAg4LzIvMjAyNggAAAAJNi8zMC8yMDE4CQAAAAEwd41vbyzw3gjPXeCHLPDeCClDSVEuTkFT</t>
  </si>
  <si>
    <t>REFROk1TRlQuSVFfR0FBUF9JUy45OTUuMDIvMDgvMjAyNgEAAABLVQAAAwAAAAdVUyBHQUFQAHeNb28s8N4Iz13ghyzw3ggpQ0lRLk5BU0RBUTpNU0ZULklRX0dBQVBfQ0YuOTk2LjAyLzA4LzIwMjYBAAAAS1UAAAMAAAAHVVMgR0FBUAB3jW9vLPDeCK024Ics8N4IO0NJUS5OQVNEQVE6TVNGVC5JUV9UT1RBTF9PVVRTVEFORElOR19CU19EQVRFLjk5Mi4wMi8wOC8yMDI2AQAAAEtVAAACAAAABDc2NzcBBAAAAAUAAAABNQEAAAAKMjA0NzI3MTc0NQIAAAAFMjQxNTIGAAAAATB3jW9vLPDeCM9d4Ics8N4IK0NJUS5OQVNEQVE6TVNGVC5JUV9GVUxMX1RJTUUuOTkyLjAyLzA4LzIwMjYBAAAAS1UAAAIAAAAGMTMxMDAwAHeNb28s8N4Iz13ghyzw3ghBQ0lRLk5BU0RBUTpNU0ZULklRX0VNUExPWUVFU19VTkRFUl9VTklPTl9DT05UUkFDVFMuOTk5LjAyLzA4LzIwMjYBAAAAS1UAAAMAAAAAAHeNb28s8N4Iz13ghyzw3gg1Q0lRLk5BU0RBUTpNU0ZULklRX0FWR19URU1QX0VNUExPWUVFUy4xMDAwLjAyLzA4LzIwMjYBAAAAS1UAAAMAAAAAAHeNb28s8N4IrTbghyzw3gguQ0lRLk5BU0RBUTpNU0ZULklRX0NBTENfVFlQRV9CUy45OTQuMDIvMDgvMjAyNgEAAABLVQAAAwAAAANSVVAAd41vbyzw3gitNuCHLPDeCDBDSVEuTkFTREFROk1TRlQuSVFfUkVUVVJOX0FTU0VUUy4xMDAwLjAyLzA4LzIwMjYBAAAAS1UA</t>
  </si>
  <si>
    <t>AAIAAAAGMTQuMDg4AQgAAAAFAAAAATEBAAAACy0xODgwMjI5NjY1AwAAAAMxNjACAAAABDQxNzgEAAAAATAHAAAACDgvMi8yMDI2CAAAAAk2LzMwLzIwMjYJAAAAATB3jW9vLPDeCK024Ics8N4INkNJUS5OQVNEQVE6TVNGVC5JUV9SRVRVUk5fQ09NTU9OX0VRVUlUWS45OTguMDIvMDgvMjAyNgEAAABLVQAAAgAAAAczNy4xMzMzAQgAAAAFAAAAATEBAAAACy0xODgwMjI5Njk0AwAAAAMxNjACAAAABTMzMzIwBAAAAAEwBwAAAAg4LzIvMjAyNggAAAAJNi8zMC8yMDI0CQAAAAEwd41vbyzw3gitNuCHLPDeCC9DSVEuTkFTREFROk1TRlQuSVFfRUJJVERBX01BUkdJTi45OTkuMDIvMDgvMjAyNgEAAABLVQAAAgAAAAc1NS41NjA3AQgAAAAFAAAAATEBAAAACy0xODgwMjI5Njg2AwAAAAMxNjACAAAABDQwNDcEAAAAATAHAAAACDgvMi8yMDI2CAAAAAk2LzMwLzIwMjUJAAAAATB3jW9vLPDeCIwP4Ics8N4IL0NJUS5OQVNEQVE6TVNGVC5JUV9DQVBFWF9QQ1RfUkVWLjk5Ny4wMi8wOC8yMDI2AQAAAEtVAAACAAAABzEzLjI2MzMBCAAAAAUAAAABMQEAAAALLTE5MzQyNTQyNTADAAAAAzE2MAIAAAAFMzUzODAEAAAAATAHAAAACDgvMi8yMDI2CAAAAAk2LzMwLzIwMjMJAAAAATB3jW9vLPDeCIwP4Ics8N4IM0NJUS5OQVNEQVE6TVNGVC5JUV9GSVhFRF9BU1NFVF9UVVJOUy45OTguMDIvMDgvMjAyNgEAAABLVQAA</t>
  </si>
  <si>
    <t>AgAAAAgxLjg1MzIwMQEIAAAABQAAAAExAQAAAAstMTg4MDIyOTY5NAMAAAADMTYwAgAAAAQ0MDY2BAAAAAEwBwAAAAg4LzIvMjAyNggAAAAJNi8zMC8yMDI0CQAAAAEwd41vbyzw3gitNuCHLPDeCDFDSVEuTkFTREFROk1TRlQuSVFfSU5WRU5UT1JZX1RVUk5TLjk5OS4wMi8wOC8yMDI2AQAAAEtVAAACAAAACTgwLjQzMTMxOAEIAAAABQAAAAExAQAAAAstMTg4MDIyOTY4NgMAAAADMTYwAgAAAAQ0MDgyBAAAAAEwBwAAAAg4LzIvMjAyNggAAAAJNi8zMC8yMDI1CQAAAAEwd41vbyzw3gitNuCHLPDeCDBDSVEuTkFTREFROk1TRlQuSVFfREFZU19TQUxFU19PVVQuOTk1LjAyLzA4LzIwMjYBAAAAS1UAAAIAAAAINzYuMDYwMTYBCAAAAAUAAAABMQEAAAALLTIwMzY4NDM4NDMDAAAAAzE2MAIAAAAENDA0MgQAAAABMAcAAAAIOC8yLzIwMjYIAAAACTYvMzAvMjAyMQkAAAABMHeNb28s8N4IrTbghyzw3ggyQ0lRLk5BU0RBUTpNU0ZULklRX0RBWVNfUEFZQUJMRV9PVVQuOTk2LjAyLzA4LzIwMjYBAAAAS1UAAAIAAAAJOTcuNzkwNDM1AQgAAAAFAAAAATEBAAAACy0xOTg1OTMxMjI0AwAAAAMxNjACAAAABDQxODMEAAAAATAHAAAACDgvMi8yMDI2CAAAAAk2LzMwLzIwMjIJAAAAATB3jW9vLPDeCIwP4Ics8N4INENJUS5OQVNEQVE6TVNGVC5JUV9UT1RBTF9ERUJUX0NBUElUQUwuOTk0LjAyLzA4LzIwMjYBAAAA</t>
  </si>
  <si>
    <t>S1UAAAIAAAAHNDAuOTcwMQEIAAAABQAAAAExAQAAAAstMjA4NzQ5NjYyNwMAAAADMTYwAgAAAAQ0MTg2BAAAAAEwBwAAAAg4LzIvMjAyNggAAAAJNi8zMC8yMDIwCQAAAAEwd41vbyzw3giMD+CHLPDeCDFDSVEuTkFTREFROk1TRlQuSVFfTFRfREVCVF9DQVBJVEFMLjk5NS4wMi8wOC8yMDI2AQAAAEtVAAACAAAABzMxLjg2MDgBCAAAAAUAAAABMQEAAAALLTIwMzY4NDM4NDMDAAAAAzE2MAIAAAAENDE4NwQAAAABMAcAAAAIOC8yLzIwMjYIAAAACTYvMzAvMjAyMQkAAAABMHeNb28s8N4IrTbghyzw3ggqQ0lRLk5BU0RBUTpNU0ZULklRX0VCSVRfSU5ULjk5Ny4wMi8wOC8yMDI2AQAAAEtVAAACAAAACTQ0LjM3MjQzMQEIAAAABQAAAAExAQAAAAstMTkzNDI1NDI1MAMAAAADMTYwAgAAAAQ0MTg5BAAAAAEwBwAAAAg4LzIvMjAyNggAAAAJNi8zMC8yMDIzCQAAAAEwd41vbyzw3giMD+CHLPDeCDJDSVEuTkFTREFROk1TRlQuSVFfRUJJVERBX0NBUEVYX0lOVC45OTQuMDIvMDgvMjAyNgEAAABLVQAAAgAAAAkyMC4wMTU4MjQBCAAAAAUAAAABMQEAAAALLTIwODc0OTY2MjcDAAAAAzE2MAIAAAAENDE5MQQAAAABMAcAAAAIOC8yLzIwMjYIAAAACTYvMzAvMjAyMAkAAAABMHeNb28s8N4IjA/ghyzw3ggzQ0lRLk5BU0RBUTpNU0ZULklRX1RPVEFMX0RFQlRfRUJJVERBLjk5Ni4wMi8wOC8yMDI2AQAAAEtVAAAC</t>
  </si>
  <si>
    <t>AAAACDAuNzgwNTM0AQgAAAAFAAAAATEBAAAACy0xOTg1OTMxMjI0AwAAAAMxNjACAAAABDQxOTIEAAAAATAHAAAACDgvMi8yMDI2CAAAAAk2LzMwLzIwMjIJAAAAATB3jW9vLPDeCLTm34cs8N4IQkNJUS5OQVNEQVE6TVNGVC5JUV9ORVRfREVCVF9FQklUREFfRVhDTF9PUEVSX0xFQVNFUy45OTMuMDIvMDgvMjAyNgEAAABLVQAAAwAAAAJOTQEIAAAABQAAAAExAQAAAAstMjE0MDk4MTQ2OQMAAAADMTYwAgAAAAU0OTE3NQQAAAABMAcAAAAIOC8yLzIwMjYIAAAACTYvMzAvMjAxOQkAAAABMHeNb28s8N4ItObfhyzw3ghKQ0lRLk5BU0RBUTpNU0ZULklRX1RPVEFMX0RFQlRfRUJJVERBX0VYQ0xfT1BFUl9MRUFTRVNfQ0FQRVguOTk1LjAyLzA4LzIwMjYBAAAAS1UAAAIAAAAHMS4zNjY4OAEIAAAABQAAAAExAQAAAAstMjAzNjg0Mzg0MwMAAAADMTYwAgAAAAU0OTE4MwQAAAABMAcAAAAIOC8yLzIwMjYIAAAACTYvMzAvMjAyMQkAAAABMHeNb28s8N4IjA/ghyzw3ghIQ0lRLk5BU0RBUTpNU0ZULklRX05FVF9ERUJUX0VCSVREQV9FWENMX09QRVJfTEVBU0VTX0NBUEVYLjk5Ny4wMi8wOC8yMDI2AQAAAEtVAAADAAAAAk5NAQgAAAAFAAAAATEBAAAACy0xOTM0MjU0MjUwAwAAAAMxNjACAAAABTQ5MTgyBAAAAAEwBwAAAAg4LzIvMjAyNggAAAAJNi8zMC8yMDIzCQAAAAEwd41vbyzw3giMD+CHLPDeCDRDSVEu</t>
  </si>
  <si>
    <t>TkFTREFROk1TRlQuSVFfR1BfMVlSX0FOTl9HUk9XVEguMTAwMC4wMi8wOC8yMDI2AQAAAEtVAAACAAAABzE2LjI4MzIBCAAAAAUAAAABMQEAAAALLTE4ODAyMjk2NjUDAAAAAzE2MAIAAAAENDE5NQQAAAABMAcAAAAIOC8yLzIwMjYIAAAACTYvMzAvMjAyNgkAAAABMHeNb28s8N4IjA/ghyzw3gg1Q0lRLk5BU0RBUTpNU0ZULklRX0VCSVRfMVlSX0FOTl9HUk9XVEguOTkyLjAyLzA4LzIwMjYBAAAAS1UAAAIAAAAHMTkuNTI1NAEIAAAABQAAAAExAQAAAAoyMDQ3MjcxNzQ1AwAAAAMxNjACAAAABDQxOTcEAAAAATAHAAAACDgvMi8yMDI2CAAAAAk2LzMwLzIwMTgJAAAAATB3jW9vLPDeCLTm34cs8N4IOENJUS5OQVNEQVE6TVNGVC5JUV9UT1RBTF9SRVZfM1lSX0FOTl9DQUdSLjk5OS4wMi8wOC8yMDI2AQAAAEtVAAACAAAABzEyLjQyMzEBCAAAAAUAAAABMQEAAAALLTE4ODAyMjk2ODYDAAAAAzE2MAIAAAAENDIyMAQAAAABMAcAAAAIOC8yLzIwMjYIAAAACTYvMzAvMjAyNQkAAAABMHeNb28s8N4ItObfhyzw3gg2Q0lRLk5BU0RBUTpNU0ZULklRX0VCSVREQV8zWVJfQU5OX0NBR1IuMTAwMC4wMi8wOC8yMDI2AQAAAEtVAAACAAAABzIzLjkzOTkBCAAAAAUAAAABMQEAAAALLTE4ODAyMjk2NjUDAAAAAzE2MAIAAAAENDIyMgQAAAABMAcAAAAIOC8yLzIwMjYIAAAACTYvMzAvMjAyNgkAAAABMHeNb28s8N4I</t>
  </si>
  <si>
    <t>jA/ghyzw3ggxQ0lRLk5BU0RBUTpNU0ZULklRX05JXzNZUl9BTk5fQ0FHUi45OTMuMDIvMDgvMjAyNgEAAABLVQAAAgAAAAcyNC4wODQyAQgAAAAFAAAAATEBAAAACy0yMTQwOTgxNDY5AwAAAAMxNjACAAAABDQyMjUEAAAAATAHAAAACDgvMi8yMDI2CAAAAAk2LzMwLzIwMTkJAAAAATB3jW9vLPDeCIwP4Ics8N4IMUNJUS5OQVNEQVE6TVNGVC5JUV9HUF81WVJfQU5OX0NBR1IuOTk5LjAyLzA4LzIwMjYBAAAAS1UAAAIAAAAHMTQuODcyMQEIAAAABQAAAAExAQAAAAstMTg4MDIyOTY4NgMAAAADMTYwAgAAAAQ0MjM0BAAAAAEwBwAAAAg4LzIvMjAyNggAAAAJNi8zMC8yMDI1CQAAAAEwd41vbyzw3giMD+CHLPDeCDRDSVEuTkFTREFROk1TRlQuSVFfRUJJVF81WVJfQU5OX0NBR1IuMTAwMC4wMi8wOC8yMDI2AQAAAEtVAAACAAAABzE3LjI5NjEBCAAAAAUAAAABMQEAAAALLTE4ODAyMjk2NjUDAAAAAzE2MAIAAAAENDIzNgQAAAABMAcAAAAIOC8yLzIwMjYIAAAACTYvMzAvMjAyNgkAAAABMHeNb28s8N4ItObfhyzw3gg2Q0lRLk5BU0RBUTpNU0ZULklRX09USEVSX1JFQ0VJVi45OTguMDIvMDgvMjAyNi4uLlVTRC5IAQAAAEtVAAACAAAABTEwNTAwAQgAAAAFAAAAATEBAAAACy0xODgwMjI5Njk0AwAAAAMxNjACAAAABDEyMDYEAAAAATAHAAAACDgvMi8yMDI2CAAAAAk2LzMwLzIwMjQJAAAAATB3jW9vLPDe</t>
  </si>
  <si>
    <t>CBOFw4cs8N4IM0NJUS5OQVNEQVE6TVNGVC5JUV9JTlZFTlRPUlkuOTk2LjAyLzA4LzIwMjYuLi5VU0QuSAEAAABLVQAAAgAAAAQzNzQyAQgAAAAFAAAAATEBAAAACy0xOTg1OTMxMjI0AwAAAAMxNjACAAAABDEwNDMEAAAAATAHAAAACDgvMi8yMDI2CAAAAAk2LzMwLzIwMjIJAAAAATB3jW9vLPDeCBOFw4cs8N4IP0NJUS5OQVNEQVE6TVNGVC5JUV9GSU5fRElWX0xPQU5TX0NVUlJFTlQuOTk3LjAyLzA4LzIwMjYuLi5VU0QuSAEAAABLVQAAAwAAAAAAd41vbyzw3ggThcOHLPDeCDhDSVEuTkFTREFROk1TRlQuSVFfTE9BTlNfRk9SX1NBTEUuOTk4LjAyLzA4LzIwMjYuLi5VU0QuSAEAAABLVQAAAwAAAAAAd41vbyzw3ggThcOHLPDeCDJDSVEuTkFTREFROk1TRlQuSVFfVE9UQUxfQ0EuOTk0LjAyLzA4LzIwMjYuLi5VU0QuSAEAAABLVQAAAgAAAAYxODE5MTUBCAAAAAUAAAABMQEAAAALLTIwODc0OTY2MjcDAAAAAzE2MAIAAAAEMTAwOAQAAAABMAcAAAAIOC8yLzIwMjYIAAAACTYvMzAvMjAyMAkAAAABMHeNb28s8N4IOazDhyzw3ggsQ0lRLk5BU0RBUTpNU0ZULklRX0FELjk5NS4wMi8wOC8yMDI2Li4uVVNELkgBAAAAS1UAAAIAAAAGLTUxMzUxAQgAAAAFAAAAATEBAAAACy0yMDM2ODQzODQzAwAAAAMxNjACAAAABDEwNzUEAAAAATAHAAAACDgvMi8yMDI2CAAAAAk2LzMwLzIwMjEJAAAAATB3jW9vLPDe</t>
  </si>
  <si>
    <t>CDmsw4cs8N4ILENJUS5OQVNEQVE6TVNGVC5JUV9HVy45OTMuMDIvMDgvMjAyNi4uLlVTRC5IAQAAAEtVAAACAAAABTQyMDI2AQgAAAAFAAAAATEBAAAACy0yMTQwOTgxNDY5AwAAAAMxNjACAAAABDExNzEEAAAAATAHAAAACDgvMi8yMDI2CAAAAAk2LzMwLzIwMTkJAAAAATB3jW9vLPDeCBOFw4cs8N4IOkNJUS5OQVNEQVE6TVNGVC5JUV9GSU5fRElWX0xPQU5TX0xULjk5NC4wMi8wOC8yMDI2Li4uVVNELkgBAAAAS1UAAAMAAAAAAHeNb28s8N4IE4XDhyzw3ggvQ0lRLk5BU0RBUTpNU0ZULklRX0FSX0xULjk5NS4wMi8wOC8yMDI2Li4uVVNELkgBAAAAS1UAAAIAAAAEMzQwMAEIAAAABQAAAAExAQAAAAstMjAzNjg0Mzg0MwMAAAADMTYwAgAAAAQxMDg4BAAAAAEwBwAAAAg4LzIvMjAyNggAAAAJNi8zMC8yMDIxCQAAAAEwd41vbyzw3ggThcOHLPDeCDhDSVEuTkFTREFROk1TRlQuSVFfREVGX0NIQVJHRVNfTFQuOTkzLjAyLzA4LzIwMjYuLi5VU0QuSAEAAABLVQAAAwAAAAAAd41vbyzw3gg5rMOHLPDeCDZDSVEuTkFTREFROk1TRlQuSVFfVE9UQUxfQVNTRVRTLjk5NC4wMi8wOC8yMDI2Li4uVVNELkgBAAAAS1UAAAIAAAAGMzAxMzExAQgAAAAFAAAAATEBAAAACy0yMDg3NDk2NjI3AwAAAAMxNjACAAAABDEwMDcEAAAAATAHAAAACDgvMi8yMDI2CAAAAAk2LzMwLzIwMjAJAAAAATB3jW9vLPDeCDmsw4cs</t>
  </si>
  <si>
    <t>8N4IMUNJUS5OQVNEQVE6TVNGVC5JUV9TVF9ERUJULjk5Mi4wMi8wOC8yMDI2Li4uVVNELkgBAAAAS1UAAAMAAAAAAHeNb28s8N4IE4XDhyzw3gg9Q0lRLk5BU0RBUTpNU0ZULklRX0NVUlJFTlRfUE9SVF9MRUFTRVMuOTkzLjAyLzA4LzIwMjYuLi5VU0QuSAEAAABLVQAAAgAAAAQxODMyAQgAAAAFAAAAATEBAAAACy0yMTQwOTgxNDY5AwAAAAMxNjACAAAABDEwOTAEAAAAATAHAAAACDgvMi8yMDI2CAAAAAk2LzMwLzIwMTkJAAAAATB3jW9vLPDeCBOFw4cs8N4IPkNJUS5OQVNEQVE6TVNGVC5JUV9GSU5fRElWX0xJQUJfQ1VSUkVOVC45OTUuMDIvMDgvMjAyNi4uLlVTRC5IAQAAAEtVAAADAAAAAAB3jW9vLPDeCDmsw4cs8N4IPkNJUS5OQVNEQVE6TVNGVC5JUV9ERUZfVEFYX0xJQUJfQ1VSUkVOVC45OTIuMDIvMDgvMjAyNi4uLlVTRC5IAQAAAEtVAAADAAAAAAB3jW9vLPDeCEDTw4cs8N4IMkNJUS5OQVNEQVE6TVNGVC5JUV9UT1RBTF9DTC45OTQuMDIvMDgvMjAyNi4uLlVTRC5IAQAAAEtVAAACAAAABTcyMzEwAQgAAAAFAAAAATEBAAAACy0yMDg3NDk2NjI3AwAAAAMxNjACAAAABDEwMDkEAAAAATAHAAAACDgvMi8yMDI2CAAAAAk2LzMwLzIwMjAJAAAAATB3jW9vLPDeCEDTw4cs8N4IOkNJUS5OQVNEQVE6TVNGVC5JUV9GSU5fRElWX0RFQlRfTFQuMTAwMC4wMi8wOC8yMDI2Li4uVVNELkgBAAAAS1UA</t>
  </si>
  <si>
    <t>AAMAAAAAAHeNb28s8N4IOazDhyzw3gg3Q0lRLk5BU0RBUTpNU0ZULklRX1VORUFSTl9SRVZfTFQuOTkzLjAyLzA4LzIwMjYuLi5VU0QuSAEAAABLVQAAAgAAAAQ0NTMwAQgAAAAFAAAAATEBAAAACy0yMTQwOTgxNDY5AwAAAAMxNjACAAAABDEyNTYEAAAAATAHAAAACDgvMi8yMDI2CAAAAAk2LzMwLzIwMTkJAAAAATB3jW9vLPDeCDmsw4cs8N4IOUNJUS5OQVNEQVE6TVNGVC5JUV9ERUZfVEFYX0xJQUJfTFQuOTk1LjAyLzA4LzIwMjYuLi5VU0QuSAEAAABLVQAAAgAAAAMxOTgBCAAAAAUAAAABMQEAAAALLTIwMzY4NDM4NDMDAAAAAzE2MAIAAAAEMTAyNwQAAAABMAcAAAAIOC8yLzIwMjYIAAAACTYvMzAvMjAyMQkAAAABMHeNb28s8N4IOazDhyzw3gg2Q0lRLk5BU0RBUTpNU0ZULklRX1BSRUZfUkVERUVNLjEwMDAuMDIvMDgvMjAyNi4uLlVTRC5IAQAAAEtVAAADAAAAAAB3jW9vLPDeCCr6w4cs8N4INkNJUS5OQVNEQVE6TVNGVC5JUV9QUkVGX0NPTlZFUlQuOTk0LjAyLzA4LzIwMjYuLi5VU0QuSAEAAABLVQAAAwAAAAAAd41vbyzw3ggq+sOHLPDeCDBDSVEuTkFTREFROk1TRlQuSVFfQ09NTU9OLjk5OS4wMi8wOC8yMDI2Li4uVVNELkgBAAAAS1UAAAIAAAAGMTA5MDk1AQgAAAAFAAAAATEBAAAACy0xODgwMjI5Njg2AwAAAAMxNjACAAAABDExMDMEAAAAATAHAAAACDgvMi8yMDI2CAAAAAk2LzMwLzIw</t>
  </si>
  <si>
    <t>MjUJAAAAATB3jW9vLPDeCEDTw4cs8N4ILUNJUS5OQVNEQVE6TVNGVC5JUV9SRS4xMDAwLjAyLzA4LzIwMjYuLi5VU0QuSAEAAABLVQAAAgAAAAYzMjgyNjUBCAAAAAUAAAABMQEAAAALLTE4ODAyMjk2NjUDAAAAAzE2MAIAAAAEMTIyMgQAAAABMAcAAAAIOC8yLzIwMjYIAAAACTYvMzAvMjAyNgkAAAABMHeNb28s8N4IQNPDhyzw3gg2Q0lRLk5BU0RBUTpNU0ZULklRX09USEVSX0VRVUlUWS45OTUuMDIvMDgvMjAyNi4uLlVTRC5IAQAAAEtVAAACAAAABDE4MjIBCAAAAAUAAAABMQEAAAALLTIwMzY4NDM4NDMDAAAAAzE2MAIAAAAEMTAyOAQAAAABMAcAAAAIOC8yLzIwMjYIAAAACTYvMzAvMjAyMQkAAAABMHeNb28s8N4IQNPDhyzw3gg2Q0lRLk5BU0RBUTpNU0ZULklRX1RPVEFMX0VRVUlUWS45OTkuMDIvMDgvMjAyNi4uLlVTRC5IAQAAAEtVAAACAAAABjM0MzQ3OQEIAAAABQAAAAExAQAAAAstMTg4MDIyOTY4NgMAAAADMTYwAgAAAAQxMjc1BAAAAAEwBwAAAAg4LzIvMjAyNggAAAAJNi8zMC8yMDI1CQAAAAEwd41vbyzw3ggq+sOHLPDeCDdDSVEuTkFTREFROk1TRlQuSVFfUlVBX0FDQ1VNX0RFUC45OTIuMDIvMDgvMjAyNi4uLlVTRC5IAQAAAEtVAAADAAAAAAB3jW9vLPDeCCr6w4cs8N4IRUNJUS5OQVNEQVE6TVNGVC5JUV9SVUFfQ0FQSVRBTF9MRUFTRV9BQ0NVTV9ERVAuOTk2LjAyLzA4LzIwMjYu</t>
  </si>
  <si>
    <t>Li5VU0QuSAEAAABLVQAAAwAAAAAAd41vbyzw3ghA08OHLPDeCEBDSVEuTkFTREFROk1TRlQuSVFfUlVBX0NBUElUQUxfTEVBU0VfTkVULjEwMDAuMDIvMDgvMjAyNi4uLlVTRC5IAQAAAEtVAAADAAAAAAB3jW9vLPDeCEDTw4cs8N4IQUNJUS5OQVNEQVE6TVNGVC5JUV9SVUFfT1BFUkFUSU5HX0xFQVNFX05FVC45OTMuMDIvMDgvMjAyNi4uLlVTRC5IAQAAAEtVAAADAAAAAAB3jW9vLPDeCEDTw4cs8N4IP0NJUS5OQVNEQVE6TVNGVC5JUV9OUFBFX0VYQ0xfT1BFUl9MRUFTRVMuOTk3LjAyLzA4LzIwMjYuLi5VU0QuSAEAAABLVQAAAgAAAAU5NTY0MQEIAAAABQAAAAExAQAAAAstMTkzNDI1NDI1MAMAAAADMTYwAgAAAAU0ODk3NgQAAAABMAcAAAAIOC8yLzIwMjYIAAAACTYvMzAvMjAyMwkAAAABMHeNb28s8N4IPiHEhyzw3ghCQ0lRLk5BU0RBUTpNU0ZULklRX0ZJTkFOQ0VfTEVBU0VTX0xPTkdfVEVSTS45OTIuMDIvMDgvMjAyNi4uLlVTRC5IAQAAAEtVAAACAAAABDQxMjUBCAAAAAUAAAABMQEAAAAKMjA0NzI3MTc0NQMAAAADMTYwAgAAAAU0ODk5MQQAAAABMAcAAAAIOC8yLzIwMjYIAAAACTYvMzAvMjAxOAkAAAABMHeNb28s8N4IPiHEhyzw3ghLQ0lRLk5BU0RBUTpNU0ZULklRX0xUX1BPUlRJT05fT1BFUl9MRUFTRV9MSUFCSUxJVElFUy45OTYuMDIvMDgvMjAyNi4uLlVTRC5IAQAAAEtVAAACAAAA</t>
  </si>
  <si>
    <t>BTExNDg5AQgAAAAFAAAAATEBAAAACy0xOTg1OTMxMjI0AwAAAAMxNjACAAAABTQ4MzgzBAAAAAEwBwAAAAg4LzIvMjAyNggAAAAJNi8zMC8yMDIyCQAAAAEwd41vbyzw3ggq+sOHLPDeCDZDSVEuTkFTREFROk1TRlQuSVFfVE9UQUxfTEVBU0VTLjk5OC4wMi8wOC8yMDI2Li4uVVNELkgBAAAAS1UAAAIAAAAFNDYyMjIBCAAAAAUAAAABMQEAAAALLTE4ODAyMjk2OTQDAAAAAzE2MAIAAAAFNDg5NzkEAAAAATAHAAAACDgvMi8yMDI2CAAAAAk2LzMwLzIwMjQJAAAAATB3jW9vLPDeCCr6w4cs8N4IVkNJUS5OQVNEQVE6TVNGVC5JUV9GSU5BTkNJTkdfT0JMSUdfTk9OX0NVUlJFTlRfRVhDTF9PUEVSX0xFQVNFUy45OTIuMDIvMDgvMjAyNi4uLlVTRC5IAQAAAEtVAAACAAAABTc2MzY3AQgAAAAFAAAAATEBAAAACjIwNDcyNzE3NDUDAAAAAzE2MAIAAAAFNDg5ODEEAAAAATAHAAAACDgvMi8yMDI2CAAAAAk2LzMwLzIwMTgJAAAAATB3jW9vLPDeCCr6w4cs8N4IMkNJUS5OQVNEQVE6TVNGVC5JUV9CVl9TSEFSRS45OTkuMDIvMDgvMjAyNi4uLlVTRC5IAQAAAEtVAAACAAAACTQ2LjIwMzc5MwEIAAAABQAAAAExAQAAAAstMTg4MDIyOTY4NgMAAAADMTYwAgAAAAQ0MDIwBAAAAAEwBwAAAAg4LzIvMjAyNggAAAAJNi8zMC8yMDI1CQAAAAEwd41vbyzw3gg+IcSHLPDeCDNDSVEuTkFTREFROk1TRlQuSVFfVEJWX1NI</t>
  </si>
  <si>
    <t>QVJFLjk5Mi4wMi8wOC8yMDI2Li4uVVNELkgBAAAAS1UAAAIAAAAINS4wNzc3NjQBCAAAAAUAAAABMQEAAAAKMjA0NzI3MTc0NQMAAAADMTYwAgAAAAQ0MTU2BAAAAAEwBwAAAAg4LzIvMjAyNggAAAAJNi8zMC8yMDE4CQAAAAEwd41vbyzw3gg+IcSHLPDeCDJDSVEuTkFTREFROk1TRlQuSVFfR1dfSU5UQU4uOTk4LjAyLzA4LzIwMjYuLi5VU0QuSAEAAABLVQAAAgAAAAYxNDY4MTcBCAAAAAUAAAABMQEAAAALLTE4ODAyMjk2OTQDAAAAAzE2MAIAAAAFMzUzODEEAAAAATAHAAAACDgvMi8yMDI2CAAAAAk2LzMwLzIwMjQJAAAAATB3jW9vLPDeCCr6w4cs8N4INUNJUS5OQVNEQVE6TVNGVC5JUV9UT1RBTF9ERUJULjEwMDAuMDIvMDgvMjAyNi4uLlVTRC5IAQAAAEtVAAACAAAABjEyODgxMwEIAAAABQAAAAExAQAAAAstMTg4MDIyOTY2NQMAAAADMTYwAgAAAAQ0MTczBAAAAAEwBwAAAAg4LzIvMjAyNggAAAAJNi8zMC8yMDI2CQAAAAEwd41vbyzw3ggq+sOHLPDeCEBDSVEuTkFTREFROk1TRlQuSVFfVE9UQUxfREVCVF9OT05fQ1VSUkVOVC45OTIuMDIvMDgvMjAyNi4uLlVTRC5IAQAAAEtVAAACAAAABTgxOTM1AQgAAAAFAAAAATEBAAAACjIwNDcyNzE3NDUDAAAAAzE2MAIAAAAFMjUyMjQEAAAAATAHAAAACDgvMi8yMDI2CAAAAAk2LzMwLzIwMTgJAAAAATB3jW9vLPDeCD4hxIcs8N4IM0NJUS5OQVNEQVE6</t>
  </si>
  <si>
    <t>TVNGVC5JUV9UT1RBTF9DQVAuOTk5LjAyLzA4LzIwMjYuLi5VU0QuSAEAAABLVQAAAgAAAAY0NTU2NjMBCAAAAAUAAAABMQEAAAALLTE4ODAyMjk2ODYDAAAAAzE2MAIAAAAENDE3NQQAAAABMAcAAAAIOC8yLzIwMjYIAAAACTYvMzAvMjAyNQkAAAABMHeNb28s8N4IXkjEhyzw3gg6Q0lRLk5BU0RBUTpNU0ZULklRX05FVF9XT1JLSU5HX0NBUC4xMDAwLjAyLzA4LzIwMjYuLi5VU0QuSAEAAABLVQAAAgAAAAYtMTg4NTYBCAAAAAUAAAABMQEAAAALLTE4ODAyMjk2NjUDAAAAAzE2MAIAAAAEMTMxMQQAAAABMAcAAAAIOC8yLzIwMjYIAAAACTYvMzAvMjAyNgkAAAABMHeNb28s8N4IXkjEhyzw3gg1Q0lRLk5BU0RBUTpNU0ZULklRX0FSX1VOQklMTEVELjk5OC4wMi8wOC8yMDI2Li4uVVNELkgBAAAAS1UAAAMAAAAAAHeNb28s8N4IPiHEhyzw3ggxQ0lRLk5BU0RBUTpNU0ZULklRX1JBV19JTlYuOTk2LjAyLzA4LzIwMjYuLi5VU0QuSAEAAABLVQAAAgAAAAQxMTQ0AQgAAAAFAAAAATEBAAAACy0xOTg1OTMxMjI0AwAAAAMxNjACAAAABDMxNzEEAAAAATAHAAAACDgvMi8yMDI2CAAAAAk2LzMwLzIwMjIJAAAAATB3jW9vLPDeCD4hxIcs8N4INkNJUS5OQVNEQVE6TVNGVC5JUV9GSU5JU0hFRF9JTlYuOTk4LjAyLzA4LzIwMjYuLi5VU0QuSAEAAABLVQAAAwAAAAAAd41vbyzw3gg+IcSHLPDeCDNDSVEuTkFTREFR</t>
  </si>
  <si>
    <t>Ok1TRlQuSVFfQlVJTERJTkdTLjk5NS4wMi8wOC8yMDI2Li4uVVNELkgBAAAAS1UAAAIAAAAFNDM5MjgBCAAAAAUAAAABMQEAAAALLTIwMzY4NDM4NDMDAAAAAzE2MAIAAAAEMzAyMwQAAAABMAcAAAAIOC8yLzIwMjYIAAAACTYvMzAvMjAyMQkAAAABMHeNb28s8N4IXkjEhyzw3ggyQ0lRLk5BU0RBUTpNU0ZULklRX1NPRlRXQVJFLjk5Ny4wMi8wOC8yMDI2Li4uVVNELkgBAAAAS1UAAAMAAAAAAHeNb28s8N4Idm/Ehyzw3gg9Q0lRLk5BU0RBUTpNU0ZULklRX01JTk9SSVRZX0lOVF9SRURFRU0uOTkyLjAyLzA4LzIwMjYuLi5VU0QuSAEAAABLVQAAAwAAAAAAd41vbyzw3gg+IcSHLPDeCEVDSVEuTkFTREFROk1TRlQuSVFfRklOX0RJVl9NSU5PUklUWV9JTlRfUkVERUVNLjk5Ni4wMi8wOC8yMDI2Li4uVVNELkgBAAAAS1UAAAMAAAAAAHeNb28s8N4IXkjEhyzw3ghDQ0lRLk5BU0RBUTpNU0ZULklRX0ZJTl9ESVZfTUlOT1JJVFlfSU5URVJFU1QuOTk3LjAyLzA4LzIwMjYuLi5VU0QuSAEAAABLVQAAAwAAAAAAd41vbyzw3gheSMSHLPDeCEtDSVEuTkFTREFROk1TRlQuSVFfR0VORVJBTF9QQVJUTkVSX01JTk9SSVRZX0lOVEVSRVNULjk5My4wMi8wOC8yMDI2Li4uVVNELkgBAAAAS1UAAAMAAAAAAHeNb28s8N4Idm/Ehyzw3ghNQ0lRLk5BU0RBUTpNU0ZULklRX0xJUVVJREFUSU9OX1ZBTFVFX1BSRUZFUlJF</t>
  </si>
  <si>
    <t>RF9DT05WRVJULjk5NC4wMi8wOC8yMDI2Li4uVVNELkgBAAAAS1UAAAMAAAAAAHeNb28s8N4Idm/Ehyzw3gg4Q0lRLk5BU0RBUTpNU0ZULklRX0FTU0VUU19MRVZFTF8xLjk5Mi4wMi8wOC8yMDI2Li4uVVNELkgBAAAAS1UAAAIAAAAGMTA3NTcxAHeNb28s8N4IXkjEhyzw3gg4Q0lRLk5BU0RBUTpNU0ZULklRX0FTU0VUU19MRVZFTF8zLjk5My4wMi8wOC8yMDI2Li4uVVNELkgBAAAAS1UAAAIAAAACMjUAd41vbyzw3gheSMSHLPDeCDtDSVEuTkFTREFROk1TRlQuSVFfQVNTRVRTX0ZBSVJfVkFMVUUuOTk0LjAyLzA4LzIwMjYuLi5VU0QuSAEAAABLVQAAAgAAAAYxMzEzOTYAd41vbyzw3gheSMSHLPDeCD1DSVEuTkFTREFROk1TRlQuSVFfTElBQklMSVRJRVNfTEVWRUxfMy45OTIuMDIvMDgvMjAyNi4uLlVTRC5IAQAAAEtVAAADAAAAAAB3jW9vLPDeCKidxIcs8N4IQENJUS5OQVNEQVE6TVNGVC5JUV9MSUFCSUxJVElFU19GQUlSX1ZBTFVFLjk5My4wMi8wOC8yMDI2Li4uVVNELkgBAAAAS1UAAAIAAAAFNzkxNzIAd41vbyzw3gioncSHLPDeCD9DSVEuTkFTREFROk1TRlQuSVFfRklOX0RJVl9TVF9ERUJUX1RPVEFMLjk5Mi4wMi8wOC8yMDI2Li4uVVNELkgBAAAAS1UAAAMAAAAAAHeNb28s8N4Idm/Ehyzw3gg8Q0lRLk5BU0RBUTpNU0ZULklRX0ZJTl9ESVZfQ0FTSF9FUVVJVi45OTMuMDIvMDgvMjAyNi4u</t>
  </si>
  <si>
    <t>LlVTRC5IAQAAAEtVAAADAAAAAAB3jW9vLPDeCHZvxIcs8N4IPENJUS5OQVNEQVE6TVNGVC5JUV9ERUJUX0VRVUlWX05FVF9QQk8uOTk1LjAyLzA4LzIwMjYuLi5VU0QuSAEAAABLVQAAAwAAAAAAd41vbyzw3gh2b8SHLPDeCD9DSVEuTkFTREFROk1TRlQuSVFfUkVTVFJJQ1RFRF9DQVNIX1RPVEFMLjk5OC4wMi8wOC8yMDI2Li4uVVNELkgBAAAAS1UAAAMAAAAAAHeNb28s8N4IqJ3Ehyzw3gg4Q0lRLk5BU0RBUTpNU0ZULklRX09SREVSX0JBQ0tMT0cuMTAwMC4wMi8wOC8yMDI2Li4uVVNELkgBAAAAS1UAAAMAAAAAAHeNb28s8N4IqJ3Ehyzw3gg9Q0lRLk5BU0RBUTpNU0ZULklRX1NUX0RFQlRfREVSSVZBVElWRVMuOTk3LjAyLzA4LzIwMjYuLi5VU0QuSAEAAABLVQAAAwAAAAAAd41vbyzw3gh2b8SHLPDeCD1DSVEuTkFTREFROk1TRlQuSVFfTFRfREVCVF9ERVJJVkFUSVZFUy45OTkuMDIvMDgvMjAyNi4uLlVTRC5IAQAAAEtVAAADAAAAAAB3jW9vLPDeCHZvxIcs8N4IRkNJUS5OQVNEQVE6TVNGVC5JUV9ERVJJVkFUSVZFX0xJQUJfTk9OX0NVUlJFTlQuMTAwMC4wMi8wOC8yMDI2Li4uVVNELkgBAAAAS1UAAAIAAAADMTE2AQgAAAAFAAAAATEBAAAACy0xODgwMjI5NjY1AwAAAAMxNjACAAAABTQwNDE5BAAAAAEwBwAAAAg4LzIvMjAyNggAAAAJNi8zMC8yMDI2CQAAAAEwd41vbyzw3gh2b8SHLPDeCD5D</t>
  </si>
  <si>
    <t>SVEuTkFTREFROk1TRlQuSVFfREVSSVZBVElWRV9BU1NFVFNfTFQuOTk4LjAyLzA4LzIwMjYuLi5VU0QuSAEAAABLVQAAAgAAAAIxOQEIAAAABQAAAAExAQAAAAstMTg4MDIyOTY5NAMAAAADMTYwAgAAAAQxMTEwBAAAAAEwBwAAAAg4LzIvMjAyNggAAAAJNi8zMC8yMDI0CQAAAAEwd41vbyzw3gioncSHLPDeCEJDSVEuTkFTREFROk1TRlQuSVFfQUNDVU1fQU1PUlRfSU5UQU5fQVNTRVRTLjk5OS4wMi8wOC8yMDI2Li4uVVNELkgBAAAAS1UAAAIAAAAGLTIwOTUzAQgAAAAFAAAAATEBAAAACy0xODgwMjI5Njg2AwAAAAMxNjACAAAABTI0MzMxBAAAAAEwBwAAAAg4LzIvMjAyNggAAAAJNi8zMC8yMDI1CQAAAAEwd41vbyzw3gioncSHLPDeCDxDSVEuTkFTREFROk1TRlQuSVFfTFRfTUFSS19TRUNVUklUSUVTLjk5Ny4wMi8wOC8yMDI2Li4uVVNELkgBAAAAS1UAAAMAAAAAAHeNb28s8N4IqJ3Ehyzw3gg2Q0lRLk5BU0RBUTpNU0ZULklRX0dXX0lOVEFOX05FVC45OTguMDIvMDgvMjAyNi4uLlVTRC5IAQAAAEtVAAADAAAAAAB3jW9vLPDeCKidxIcs8N4IM0NJUS5OQVNEQVE6TVNGVC5JUV9JTlRBTl9ORVQuOTk5LjAyLzA4LzIwMjYuLi5VU0QuSAEAAABLVQAAAgAAAAUyMjYwNAEIAAAABQAAAAExAQAAAAstMTg4MDIyOTY4NgMAAAADMTYwAgAAAAU0ODk2MgQAAAABMAcAAAAIOC8yLzIwMjYIAAAACTYvMzAv</t>
  </si>
  <si>
    <t>MjAyNQkAAAABMHeNb28s8N4IqJ3Ehyzw3gg5Q0lRLk5BU0RBUTpNU0ZULklRX0lOVEVSQ09NUEFOWV9DTC45OTcuMDIvMDgvMjAyNi4uLlVTRC5IAQAAAEtVAAADAAAAAAB3jW9vLPDeCPrExIcs8N4IPENJUS5OQVNEQVE6TVNGVC5JUV9UT1RBTF9SRVZfRU1QTE9ZRUUuOTk3LjAyLzA4LzIwMjYuLi5VU0QuSAEAAABLVQAAAgAAAAc5NTguODkxAQgAAAAFAAAAATEBAAAACy0xOTM0MjU0MjUwAwAAAAMxNjACAAAABDQxMjMEAAAAATAHAAAACDgvMi8yMDI2CAAAAAk2LzMwLzIwMjMJAAAAATB3jW9vLPDeCPrExIcs8N4IQUNJUS5OQVNEQVE6TVNGVC5JUV9ESVNUUklCVVRBQkxFX0NBU0hfU0hBUkVTX0JBU0lDLjk5My4wMi8wOC8yMDI2AQAAAEtVAAADAAAAAAAEKMJvLPDeCLTm34cs8N4IMkNJUS5OQVNEQVE6TVNGVC5JUV9EUl9SQVRJT19QUklNQVJZLjk5Mi4wMi8wOC8yMDI2AQAAAEtVAAACAAAABzAuMDQxNjcAd41vbyzw3gi05t+HLPDeCDBDSVEuTkFTREFROk1TRlQuSVFfRklMSU5HREFURV9JUy4xMDAwLjAyLzA4LzIwMjYBAAAAS1UAAAUAAAAKMjkvMDcvMjAyNgB3jW9vLPDeCLTm34cs8N4IQ0NJUS5OQVNEQVE6TVNGVC5JUV9ESVNUUklCVVRBQkxFX0NBU0hfU0hBUkVTX0RJTFVURUQuOTk3LjAyLzA4LzIwMjYBAAAAS1UAAAMAAAAAAHeNb28s8N4Ivb/fhyzw3ggxQ0lRLk5BU0RBUTpNU0ZU</t>
  </si>
  <si>
    <t>LklRX0VGRkVDVF9UQVhfUkFURS45OTMuMDIvMDgvMjAyNgEAAABLVQAAAgAAAAcxMC4xODEyAQgAAAAFAAAAATEBAAAACy0yMTQwOTgxNDY5AwAAAAMxNjACAAAABDQzNzYEAAAAATAHAAAACDgvMi8yMDI2CAAAAAk2LzMwLzIwMTkJAAAAATB3jW9vLPDeCL2/34cs8N4IMENJUS5OQVNEQVE6TVNGVC5JUV9SRVNUQVRFTUVOVF9JUy45OTQuMDIvMDgvMjAyNgEAAABLVQAAAwAAAAJOQwB3jW9vLPDeCLTm34cs8N4IKUNJUS5OQVNEQVE6TVNGVC5JUV9HQUFQX0lTLjk5Ni4wMi8wOC8yMDI2AQAAAEtVAAADAAAAB1VTIEdBQVAAd41vbyzw3gi05t+HLPDeCClDSVEuTkFTREFROk1TRlQuSVFfR0FBUF9DRi45OTcuMDIvMDgvMjAyNgEAAABLVQAAAwAAAAdVUyBHQUFQAHeNb28s8N4Ivb/fhyzw3gg7Q0lRLk5BU0RBUTpNU0ZULklRX1RPVEFMX09VVFNUQU5ESU5HX0JTX0RBVEUuOTkzLjAyLzA4LzIwMjYBAAAAS1UAAAIAAAAENzY0MwEEAAAABQAAAAE1AQAAAAstMjE0MDk4MTQ2OQIAAAAFMjQxNTIGAAAAATB3jW9vLPDeCL2/34cs8N4IK0NJUS5OQVNEQVE6TVNGVC5JUV9QQVJUX1RJTUUuOTk4LjAyLzA4LzIwMjYBAAAAS1UAAAMAAAAAAHeNb28s8N4ItObfhyzw3ghCQ0lRLk5BU0RBUTpNU0ZULklRX0VNUExPWUVFU19VTkRFUl9VTklPTl9DT05UUkFDVFMuMTAwMC4wMi8wOC8yMDI2AQAAAEtVAAADAAAA</t>
  </si>
  <si>
    <t>AAB3jW9vLPDeCLTm34cs8N4INENJUS5OQVNEQVE6TVNGVC5JUV9BVkdfVEVNUF9FTVBMT1lFRVMuOTkyLjAyLzA4LzIwMjYBAAAAS1UAAAMAAAAAAHeNb28s8N4ItObfhyzw3ggxQ0lRLk5BU0RBUTpNU0ZULklRX0ZJTElOR19DVVJSRU5DWS45OTMuMDIvMDgvMjAyNgEAAABLVQAAAwAAAANVU0QA+ADCbyzw3giDmN+HLPDeCC5DSVEuTkFTREFROk1TRlQuSVFfQ0FMQ19UWVBFX0JTLjk5NS4wMi8wOC8yMDI2AQAAAEtVAAADAAAAA1JVUAB3jW9vLPDeCIOY34cs8N4IMENJUS5OQVNEQVE6TVNGVC5JUV9SRVRVUk5fQ0FQSVRBTC45OTguMDIvMDgvMjAyNgEAAABLVQAAAgAAAAcyMC45ODA0AQgAAAAFAAAAATEBAAAACy0xODgwMjI5Njk0AwAAAAMxNjACAAAABDQzNjMEAAAAATAHAAAACDgvMi8yMDI2CAAAAAk2LzMwLzIwMjQJAAAAATB3jW9vLPDeCL2/34cs8N4INkNJUS5OQVNEQVE6TVNGVC5JUV9SRVRVUk5fQ09NTU9OX0VRVUlUWS45OTkuMDIvMDgvMjAyNgEAAABLVQAAAgAAAAczMy4yODA4AQgAAAAFAAAAATEBAAAACy0xODgwMjI5Njg2AwAAAAMxNjACAAAABTMzMzIwBAAAAAEwBwAAAAg4LzIvMjAyNggAAAAJNi8zMC8yMDI1CQAAAAEwd41vbyzw3gi9v9+HLPDeCDBDSVEuTkFTREFROk1TRlQuSVFfRUJJVERBX01BUkdJTi4xMDAwLjAyLzA4LzIwMjYBAAAAS1UAAAIAAAAHNTguNTMzNQEIAAAA</t>
  </si>
  <si>
    <t>BQAAAAExAQAAAAstMTg4MDIyOTY2NQMAAAADMTYwAgAAAAQ0MDQ3BAAAAAEwBwAAAAg4LzIvMjAyNggAAAAJNi8zMC8yMDI2CQAAAAEwd41vbyzw3gi9v9+HLPDeCC9DSVEuTkFTREFROk1TRlQuSVFfQ0FQRVhfUENUX1JFVi45OTguMDIvMDgvMjAyNgEAAABLVQAAAgAAAAcxOC4xNDQ4AQgAAAAFAAAAATEBAAAACy0xODgwMjI5Njk0AwAAAAMxNjACAAAABTM1MzgwBAAAAAEwBwAAAAg4LzIvMjAyNggAAAAJNi8zMC8yMDI0CQAAAAEwd41vbyzw3giDmN+HLPDeCDNDSVEuTkFTREFROk1TRlQuSVFfRklYRURfQVNTRVRfVFVSTlMuOTk5LjAyLzA4LzIwMjYBAAAAS1UAAAIAAAAHMS40NjYwMQEIAAAABQAAAAExAQAAAAstMTg4MDIyOTY4NgMAAAADMTYwAgAAAAQ0MDY2BAAAAAEwBwAAAAg4LzIvMjAyNggAAAAJNi8zMC8yMDI1CQAAAAEwd41vbyzw3giDmN+HLPDeCC9DSVEuTkFTREFROk1TRlQuSVFfQ1VSUkVOVF9SQVRJTy45OTcuMDIvMDgvMjAyNgEAAABLVQAAAgAAAAgxLjc2OTE2NwEIAAAABQAAAAExAQAAAAstMTkzNDI1NDI1MAMAAAADMTYwAgAAAAQ0MDMwBAAAAAEwBwAAAAg4LzIvMjAyNggAAAAJNi8zMC8yMDIzCQAAAAEwd41vbyzw3gi9v9+HLPDeCDJDSVEuTkFTREFROk1TRlQuSVFfQ0ZPX0NVUlJFTlRfTElBQi45OTguMDIvMDgvMjAyNgEAAABLVQAAAgAAAAgwLjk0NjIxOQEIAAAABQAA</t>
  </si>
  <si>
    <t>AAExAQAAAAstMTg4MDIyOTY5NAMAAAADMTYwAgAAAAQ0MTg1BAAAAAEwBwAAAAg4LzIvMjAyNggAAAAJNi8zMC8yMDI0CQAAAAEwd41vbyzw3gi9v9+HLPDeCDRDSVEuTkFTREFROk1TRlQuSVFfREFZU19JTlZFTlRPUllfT1VULjk5OS4wMi8wOC8yMDI2AQAAAEtVAAACAAAABzQuNTM3NjgBCAAAAAUAAAABMQEAAAALLTE4ODAyMjk2ODYDAAAAAzE2MAIAAAAENDAzNQQAAAABMAcAAAAIOC8yLzIwMjYIAAAACTYvMzAvMjAyNQkAAAABMHeNb28s8N4Ivb/fhyzw3gg0Q0lRLk5BU0RBUTpNU0ZULklRX1RPVEFMX0RFQlRfQ0FQSVRBTC45OTUuMDIvMDgvMjAyNgEAAABLVQAAAgAAAAczNi42ODc2AQgAAAAFAAAAATEBAAAACy0yMDM2ODQzODQzAwAAAAMxNjACAAAABDQxODYEAAAAATAHAAAACDgvMi8yMDI2CAAAAAk2LzMwLzIwMjEJAAAAATB3jW9vLPDeCIOY34cs8N4IMUNJUS5OQVNEQVE6TVNGVC5JUV9MVF9ERUJUX0NBUElUQUwuOTk2LjAyLzA4LzIwMjYBAAAAS1UAAAIAAAAHMjkuNTQyOQEIAAAABQAAAAExAQAAAAstMTk4NTkzMTIyNAMAAAADMTYwAgAAAAQ0MTg3BAAAAAEwBwAAAAg4LzIvMjAyNggAAAAJNi8zMC8yMDIyCQAAAAEwd41vbyzw3giDmN+HLPDeCCxDSVEuTkFTREFROk1TRlQuSVFfRUJJVERBX0lOVC45OTQuMDIvMDgvMjAyNgEAAABLVQAAAgAAAAkyNS45NzUyOTkBCAAAAAUAAAAB</t>
  </si>
  <si>
    <t>MQEAAAALLTIwODc0OTY2MjcDAAAAAzE2MAIAAAAENDE5MAQAAAABMAcAAAAIOC8yLzIwMjYIAAAACTYvMzAvMjAyMAkAAAABMHeNb28s8N4Ig5jfhyzw3ggyQ0lRLk5BU0RBUTpNU0ZULklRX0VCSVREQV9DQVBFWF9JTlQuOTk1LjAyLzA4LzIwMjYBAAAAS1UAAAIAAAAIMjYuNzQ3MjEBCAAAAAUAAAABMQEAAAALLTIwMzY4NDM4NDMDAAAAAzE2MAIAAAAENDE5MQQAAAABMAcAAAAIOC8yLzIwMjYIAAAACTYvMzAvMjAyMQkAAAABMHeNb28s8N4Ig5jfhyzw3ggzQ0lRLk5BU0RBUTpNU0ZULklRX1RPVEFMX0RFQlRfRUJJVERBLjk5Ny4wMi8wOC8yMDI2AQAAAEtVAAACAAAACDAuNzU3MzE2AQgAAAAFAAAAATEBAAAACy0xOTM0MjU0MjUwAwAAAAMxNjACAAAABDQxOTIEAAAAATAHAAAACDgvMi8yMDI2CAAAAAk2LzMwLzIwMjMJAAAAATB3jW9vLPDeCIOY34cs8N4IQkNJUS5OQVNEQVE6TVNGVC5JUV9ORVRfREVCVF9FQklUREFfRVhDTF9PUEVSX0xFQVNFUy45OTQuMDIvMDgvMjAyNgEAAABLVQAAAwAAAAJOTQEIAAAABQAAAAExAQAAAAstMjA4NzQ5NjYyNwMAAAADMTYwAgAAAAU0OTE3NQQAAAABMAcAAAAIOC8yLzIwMjYIAAAACTYvMzAvMjAyMAkAAAABMHeNb28s8N4IdnHfhyzw3ghKQ0lRLk5BU0RBUTpNU0ZULklRX1RPVEFMX0RFQlRfRUJJVERBX0VYQ0xfT1BFUl9MRUFTRVNfQ0FQRVguOTk2LjAy</t>
  </si>
  <si>
    <t>LzA4LzIwMjYBAAAAS1UAAAIAAAAIMS4wNTgwNzIBCAAAAAUAAAABMQEAAAALLTE5ODU5MzEyMjQDAAAAAzE2MAIAAAAFNDkxODMEAAAAATAHAAAACDgvMi8yMDI2CAAAAAk2LzMwLzIwMjIJAAAAATB3jW9vLPDeCHZx34cs8N4IKUNJUS5OQVNEQVE6TVNGVC5JUV9aX1NDT1JFLjk5OS4wMi8wOC8yMDI2AQAAAEtVAAACAAAACDguNjM4NzgyAQgAAAAFAAAAATEBAAAACy0xODgwMjI5Njg2AwAAAAMxNjACAAAABjEwMDEyMwQAAAABMAcAAAAIOC8yLzIwMjYIAAAACTYvMzAvMjAyNQkAAAABMHeNb28s8N4Ig5jfhyzw3ggzQ0lRLk5BU0RBUTpNU0ZULklRX0dQXzFZUl9BTk5fR1JPV1RILjk5Mi4wMi8wOC8yMDI2AQAAAEtVAAACAAAABzE1LjU2MjUBCAAAAAUAAAABMQEAAAAKMjA0NzI3MTc0NQMAAAADMTYwAgAAAAQ0MTk1BAAAAAEwBwAAAAg4LzIvMjAyNggAAAAJNi8zMC8yMDE4CQAAAAEwd41vbyzw3giDmN+HLPDeCDVDSVEuTkFTREFROk1TRlQuSVFfRUJJVF8xWVJfQU5OX0dST1dUSC45OTMuMDIvMDgvMjAyNgEAAABLVQAAAgAAAAcyMi41MzY5AQgAAAAFAAAAATEBAAAACy0yMTQwOTgxNDY5AwAAAAMxNjACAAAABDQxOTcEAAAAATAHAAAACDgvMi8yMDI2CAAAAAk2LzMwLzIwMTkJAAAAATB3jW9vLPDeCIOY34cs8N4IOUNJUS5OQVNEQVE6TVNGVC5JUV9UT1RBTF9SRVZfM1lSX0FOTl9DQUdSLjEw</t>
  </si>
  <si>
    <t>MDAuMDIvMDgvMjAyNgEAAABLVQAAAgAAAAYxNi4xMjQBCAAAAAUAAAABMQEAAAALLTE4ODAyMjk2NjUDAAAAAzE2MAIAAAAENDIyMAQAAAABMAcAAAAIOC8yLzIwMjYIAAAACTYvMzAvMjAyNgkAAAABMHeNb28s8N4IdnHfhyzw3gg1Q0lRLk5BU0RBUTpNU0ZULklRX0VCSVREQV8zWVJfQU5OX0NBR1IuOTkyLjAyLzA4LzIwMjYBAAAAS1UAAAIAAAAHMTAuMjI0MQEIAAAABQAAAAExAQAAAAoyMDQ3MjcxNzQ1AwAAAAMxNjACAAAABDQyMjIEAAAAATAHAAAACDgvMi8yMDI2CAAAAAk2LzMwLzIwMTgJAAAAATB3jW9vLPDeCHZx34cs8N4IMkNJUS5OQVNEQVE6TVNGVC5JUV9FUFNfM1lSX0FOTl9DQUdSLjk5OS4wMi8wOC8yMDI2AQAAAEtVAAACAAAABzEyLjIyNjYBCAAAAAUAAAABMQEAAAALLTE4ODAyMjk2ODYDAAAAAzE2MAIAAAAENDIyNgQAAAABMAcAAAAIOC8yLzIwMjYIAAAACTYvMzAvMjAyNQkAAAABMHeNb28s8N4IdnHfhyzw3ggyQ0lRLk5BU0RBUTpNU0ZULklRX0dQXzVZUl9BTk5fQ0FHUi4xMDAwLjAyLzA4LzIwMjYBAAAAS1UAAAIAAAAHMTQuMjQzNwEIAAAABQAAAAExAQAAAAstMTg4MDIyOTY2NQMAAAADMTYwAgAAAAQ0MjM0BAAAAAEwBwAAAAg4LzIvMjAyNggAAAAJNi8zMC8yMDI2CQAAAAEwd41vbyzw3gh2cd+HLPDeCDNDSVEuTkFTREFROk1TRlQuSVFfRUJJVF81WVJfQU5OX0NBR1Iu</t>
  </si>
  <si>
    <t>OTkzLjAyLzA4LzIwMjYBAAAAS1UAAAIAAAAGOS4wMjY5AQgAAAAFAAAAATEBAAAACy0yMTQwOTgxNDY5AwAAAAMxNjACAAAABDQyMzYEAAAAATAHAAAACDgvMi8yMDI2CAAAAAk2LzMwLzIwMTkJAAAAATB3jW9vLPDeCHZx34cs8N4INkNJUS5OQVNEQVE6TVNGVC5JUV9UT1RBTF9MRUFTRVMuOTkyLjAyLzA4LzIwMjYuLi5VU0QuSAEAAABLVQAAAgAAAAUxMTI2OAEIAAAABQAAAAExAQAAAAoyMDQ3MjcxNzQ1AwAAAAMxNjACAAAABTQ4OTc5BAAAAAEwBwAAAAg4LzIvMjAyNggAAAAJNi8zMC8yMDE4CQAAAAEwd41vbyzw3gj768SHLPDeCEVDSVEuTkFTREFROk1TRlQuSVFfVE9UQUxfREVCVF9FWENMX09QRVJfTEVBU0VTLjk5Ni4wMi8wOC8yMDI2Li4uVVNELkgBAAAAS1UAAAIAAAAFNjQ2ODMBCAAAAAUAAAABMQEAAAALLTE5ODU5MzEyMjQDAAAAAzE2MAIAAAAFNDg5ODIEAAAAATAHAAAACDgvMi8yMDI2CAAAAAk2LzMwLzIwMjIJAAAAATB3jW9vLPDeCPvrxIcs8N4IMkNJUS5OQVNEQVE6TVNGVC5JUV9CVl9TSEFSRS45OTIuMDIvMDgvMjAyNi4uLlVTRC5IAQAAAEtVAAACAAAACTEwLjc3NDc4MQEIAAAABQAAAAExAQAAAAoyMDQ3MjcxNzQ1AwAAAAMxNjACAAAABDQwMjAEAAAAATAHAAAACDgvMi8yMDI2CAAAAAk2LzMwLzIwMTgJAAAAATB3jW9vLPDeCPrExIcs8N4IM0NJUS5OQVNEQVE6TVNGVC5J</t>
  </si>
  <si>
    <t>UV9UQlZfU0hBUkUuOTkzLjAyLzA4LzIwMjYuLi5VU0QuSAEAAABLVQAAAgAAAAg2Ljg3NjA5NQEIAAAABQAAAAExAQAAAAstMjE0MDk4MTQ2OQMAAAADMTYwAgAAAAQ0MTU2BAAAAAEwBwAAAAg4LzIvMjAyNggAAAAJNi8zMC8yMDE5CQAAAAEwd41vbyzw3gj6xMSHLPDeCDJDSVEuTkFTREFROk1TRlQuSVFfR1dfSU5UQU4uOTk5LjAyLzA4LzIwMjYuLi5VU0QuSAEAAABLVQAAAgAAAAYxNDIxMTMBCAAAAAUAAAABMQEAAAALLTE4ODAyMjk2ODYDAAAAAzE2MAIAAAAFMzUzODEEAAAAATAHAAAACDgvMi8yMDI2CAAAAAk2LzMwLzIwMjUJAAAAATB3jW9vLPDeCPrExIcs8N4INENJUS5OQVNEQVE6TVNGVC5JUV9UT1RBTF9ERUJULjk5Mi4wMi8wOC8yMDI2Li4uVVNELkgBAAAAS1UAAAIAAAAFODc1MDgBCAAAAAUAAAABMQEAAAAKMjA0NzI3MTc0NQMAAAADMTYwAgAAAAQ0MTczBAAAAAEwBwAAAAg4LzIvMjAyNggAAAAJNi8zMC8yMDE4CQAAAAEwd41vbyzw3gj768SHLPDeCDJDSVEuTkFTREFROk1TRlQuSVFfTkVUX0RFQlQuOTk4LjAyLzA4LzIwMjYuLi5VU0QuSAEAAABLVQAAAgAAAAUyMjMyMQEIAAAABQAAAAExAQAAAAstMTg4MDIyOTY5NAMAAAADMTYwAgAAAAQ0MzY0BAAAAAEwBwAAAAg4LzIvMjAyNggAAAAJNi8zMC8yMDI0CQAAAAEwd41vbyzw3gj768SHLPDeCDRDSVEuTkFTREFROk1TRlQuSVFf</t>
  </si>
  <si>
    <t>VE9UQUxfQ0FQLjEwMDAuMDIvMDgvMjAyNi4uLlVTRC5IAQAAAEtVAAACAAAABjU3MTIwMAEIAAAABQAAAAExAQAAAAstMTg4MDIyOTY2NQMAAAADMTYwAgAAAAQ0MTc1BAAAAAEwBwAAAAg4LzIvMjAyNggAAAAJNi8zMC8yMDI2CQAAAAEwd41vbyzw3gj6xMSHLPDeCDlDSVEuTkFTREFROk1TRlQuSVFfTkVUX1dPUktJTkdfQ0FQLjk5Mi4wMi8wOC8yMDI2Li4uVVNELkgBAAAAS1UAAAIAAAAGLTE2OTE3AQgAAAAFAAAAATEBAAAACjIwNDcyNzE3NDUDAAAAAzE2MAIAAAAEMTMxMQQAAAABMAcAAAAIOC8yLzIwMjYIAAAACTYvMzAvMjAxOAkAAAABMHeNb28s8N4I+sTEhyzw3gg1Q0lRLk5BU0RBUTpNU0ZULklRX0FSX1VOQklMTEVELjk5OS4wMi8wOC8yMDI2Li4uVVNELkgBAAAAS1UAAAMAAAAAAHeNb28s8N4I+sTEhyzw3ggxQ0lRLk5BU0RBUTpNU0ZULklRX1JBV19JTlYuOTk3LjAyLzA4LzIwMjYuLi5VU0QuSAEAAABLVQAAAgAAAAM3MDkBCAAAAAUAAAABMQEAAAALLTE5MzQyNTQyNTADAAAAAzE2MAIAAAAEMzE3MQQAAAABMAcAAAAIOC8yLzIwMjYIAAAACTYvMzAvMjAyMwkAAAABMHeNb28s8N4I++vEhyzw3ggzQ0lRLk5BU0RBUTpNU0ZULklRX09USEVSX0lOVi45OTQuMDIvMDgvMjAyNi4uLlVTRC5IAQAAAEtVAAADAAAAAAB3jW9vLPDeCPvrxIcs8N4IM0NJUS5OQVNEQVE6TVNGVC5JUV9CVUlM</t>
  </si>
  <si>
    <t>RElOR1MuOTk2LjAyLzA4LzIwMjYuLi5VU0QuSAEAAABLVQAAAgAAAAU1NTAxNAEIAAAABQAAAAExAQAAAAstMTk4NTkzMTIyNAMAAAADMTYwAgAAAAQzMDIzBAAAAAEwBwAAAAg4LzIvMjAyNggAAAAJNi8zMC8yMDIyCQAAAAEwd41vbyzw3gj768SHLPDeCDJDSVEuTkFTREFROk1TRlQuSVFfU09GVFdBUkUuOTk4LjAyLzA4LzIwMjYuLi5VU0QuSAEAAABLVQAAAwAAAAAAd41vbyzw3gj768SHLPDeCD9DSVEuTkFTREFROk1TRlQuSVFfTEVBU0VIT0xEX0lNUFJPVkVNRU5ULjk5NS4wMi8wOC8yMDI2Li4uVVNELkgBAAAAS1UAAAIAAAAENjg4NAEIAAAABQAAAAExAQAAAAstMjAzNjg0Mzg0MwMAAAADMTYwAgAAAAQzMTAwBAAAAAEwBwAAAAg4LzIvMjAyNggAAAAJNi8zMC8yMDIxCQAAAAEwd41vbyzw3gj768SHLPDeCEVDSVEuTkFTREFROk1TRlQuSVFfRklOX0RJVl9NSU5PUklUWV9JTlRfUkVERUVNLjk5Ny4wMi8wOC8yMDI2Li4uVVNELkgBAAAAS1UAAAMAAAAAAHeNb28s8N4I++vEhyzw3ghHQ0lRLk5BU0RBUTpNU0ZULklRX0dFTkVSQUxfUEFSVE5FUl9DT01NT05fRVFVSVRZLjk5Mi4wMi8wOC8yMDI2Li4uVVNELkgBAAAAS1UAAAMAAAAAAHeNb28s8N4I++vEhyzw3ghFQ0lRLk5BU0RBUTpNU0ZULklRX0dFTkVSQUxfUEFSVE5FUl9QUkVGX0VRVUlUWS45OTYuMDIvMDgvMjAyNi4uLlVTRC5IAQAA</t>
  </si>
  <si>
    <t>AEtVAAADAAAAAAB3jW9vLPDeCPvrxIcs8N4ISENJUS5OQVNEQVE6TVNGVC5JUV9UT1RBTF9HRU5FUkFMX1BBUlRORVJfSU5URVJFU1QuOTk3LjAyLzA4LzIwMjYuLi5VU0QuSAEAAABLVQAAAwAAAAAAd41vbyzw3gj768SHLPDeCDhDSVEuTkFTREFROk1TRlQuSVFfQVNTRVRTX0xFVkVMXzEuOTkzLjAyLzA4LzIwMjYuLi5VU0QuSAEAAABLVQAAAgAAAAYxMDc2NDgAd41vbyzw3gj768SHLPDeCDhDSVEuTkFTREFROk1TRlQuSVFfQVNTRVRTX0xFVkVMXzMuOTk0LjAyLzA4LzIwMjYuLi5VU0QuSAEAAABLVQAAAgAAAAMxNTAAd41vbyzw3gjMI8WHLPDeCD1DSVEuTkFTREFROk1TRlQuSVFfTElBQklMSVRJRVNfTEVWRUxfMS45OTIuMDIvMDgvMjAyNi4uLlVTRC5IAQAAAEtVAAACAAAAATEAd41vbyzw3gjMI8WHLPDeCD1DSVEuTkFTREFROk1TRlQuSVFfTElBQklMSVRJRVNfTEVWRUxfMy45OTMuMDIvMDgvMjAyNi4uLlVTRC5IAQAAAEtVAAADAAAAAAB3jW9vLPDeCPvrxIcs8N4IQENJUS5OQVNEQVE6TVNGVC5JUV9MSUFCSUxJVElFU19GQUlSX1ZBTFVFLjk5NC4wMi8wOC8yMDI2Li4uVVNELkgBAAAAS1UAAAIAAAAFNzc0OTkAd41vbyzw3gj768SHLPDeCD9DSVEuTkFTREFROk1TRlQuSVFfRklOX0RJVl9TVF9ERUJUX1RPVEFMLjk5My4wMi8wOC8yMDI2Li4uVVNELkgBAAAAS1UAAAMAAAAAAHeNb28s</t>
  </si>
  <si>
    <t>8N4I++vEhyzw3gg8Q0lRLk5BU0RBUTpNU0ZULklRX0ZJTl9ESVZfQ0FTSF9FUVVJVi45OTQuMDIvMDgvMjAyNi4uLlVTRC5IAQAAAEtVAAADAAAAAAB3jW9vLPDeCMwjxYcs8N4IP0NJUS5OQVNEQVE6TVNGVC5JUV9ERUJUX0VRVUlWX09QRVJfTEVBU0UuOTkyLjAyLzA4LzIwMjYuLi5VU0QuSAEAAABLVQAAAgAAAAUxMjY4MAEIAAAABQAAAAExAQAAAAoyMDQ3MjcxNzQ1AwAAAAMxNjACAAAABTIxNjcxBAAAAAEwBwAAAAg4LzIvMjAyNggAAAAJNi8zMC8yMDE4CQAAAAEwd41vbyzw3gjMI8WHLPDeCD9DSVEuTkFTREFROk1TRlQuSVFfUkVTVFJJQ1RFRF9DQVNIX1RPVEFMLjk5OS4wMi8wOC8yMDI2Li4uVVNELkgBAAAAS1UAAAMAAAAAAHeNb28s8N4IzCPFhyzw3gg3Q0lRLk5BU0RBUTpNU0ZULklRX09SREVSX0JBQ0tMT0cuOTkyLjAyLzA4LzIwMjYuLi5VU0QuSAEAAABLVQAAAwAAAAAAd41vbyzw3gjMI8WHLPDeCD1DSVEuTkFTREFROk1TRlQuSVFfU1RfREVCVF9ERVJJVkFUSVZFUy45OTguMDIvMDgvMjAyNi4uLlVTRC5IAQAAAEtVAAADAAAAAAB3jW9vLPDeCMwjxYcs8N4IPkNJUS5OQVNEQVE6TVNGVC5JUV9MVF9ERUJUX0RFUklWQVRJVkVTLjEwMDAuMDIvMDgvMjAyNi4uLlVTRC5IAQAAAEtVAAADAAAAAAB3jW9vLPDeCD9LxYcs8N4IQ0NJUS5OQVNEQVE6TVNGVC5JUV9ERVJJVkFUSVZFX1RS</t>
  </si>
  <si>
    <t>QURJTkdfQVNTRVRTLjk5Ny4wMi8wOC8yMDI2Li4uVVNELkgBAAAAS1UAAAMAAAAAAHeNb28s8N4IP0vFhyzw3gg+Q0lRLk5BU0RBUTpNU0ZULklRX0RFUklWQVRJVkVfQVNTRVRTX0xULjk5OS4wMi8wOC8yMDI2Li4uVVNELkgBAAAAS1UAAAIAAAACMTcBCAAAAAUAAAABMQEAAAALLTE4ODAyMjk2ODYDAAAAAzE2MAIAAAAEMTExMAQAAAABMAcAAAAIOC8yLzIwMjYIAAAACTYvMzAvMjAyNQkAAAABMHeNb28s8N4IzCPFhyzw3ghDQ0lRLk5BU0RBUTpNU0ZULklRX0FDQ1VNX0FNT1JUX0lOVEFOX0FTU0VUUy4xMDAwLjAyLzA4LzIwMjYuLi5VU0QuSAEAAABLVQAAAgAAAAYtMjU0NzABCAAAAAUAAAABMQEAAAALLTE4ODAyMjk2NjUDAAAAAzE2MAIAAAAFMjQzMzEEAAAAATAHAAAACDgvMi8yMDI2CAAAAAk2LzMwLzIwMjYJAAAAATB3jW9vLPDeCMwjxYcs8N4IPENJUS5OQVNEQVE6TVNGVC5JUV9MVF9NQVJLX1NFQ1VSSVRJRVMuOTk4LjAyLzA4LzIwMjYuLi5VU0QuSAEAAABLVQAAAwAAAAAAd41vbyzw3gjMI8WHLPDeCDZDSVEuTkFTREFROk1TRlQuSVFfR1dfSU5UQU5fTkVULjk5OS4wMi8wOC8yMDI2Li4uVVNELkgBAAAAS1UAAAMAAAAAAHeNb28s8N4IP0vFhyzw3gg5Q0lRLk5BU0RBUTpNU0ZULklRX0lOVEVSQ09NUEFOWV9DQS45OTcuMDIvMDgvMjAyNi4uLlVTRC5IAQAAAEtVAAADAAAAAAB3jW9v</t>
  </si>
  <si>
    <t>LPDeCD9LxYcs8N4IOUNJUS5OQVNEQVE6TVNGVC5JUV9JTlRFUkNPTVBBTllfQ0wuOTk4LjAyLzA4LzIwMjYuLi5VU0QuSAEAAABLVQAAAwAAAAAAd41vbyzw3gjMI8WHLPDeCDxDSVEuTkFTREFROk1TRlQuSVFfVE9UQUxfUkVWX0VNUExPWUVFLjk5OC4wMi8wOC8yMDI2Li4uVVNELkgBAAAAS1UAAAIAAAAIMTA3NS4wOTYBCAAAAAUAAAABMQEAAAALLTE4ODAyMjk2OTQDAAAAAzE2MAIAAAAENDEyMwQAAAABMAcAAAAIOC8yLzIwMjYIAAAACTYvMzAvMjAyNAkAAAABMHeNb28s8N4IzCPFhyzw3gguQ0lRLk5BU0RBUTpNU0ZULklRX0RJTFVUX1dFSUdIVC45OTcuMDIvMDgvMjAyNgEAAABLVQAAAgAAAAQ3NDcyAHeNb28s8N4IdnHfhyzw3ggsQ0lRLk5BU0RBUTpNU0ZULklRX1NBTUVfU1RPUkUuOTkzLjAyLzA4LzIwMjYBAAAAS1UAAAMAAAAAAHeNb28s8N4IaErfhyzw3ghCQ0lRLk5BU0RBUTpNU0ZULklRX0RJU1RSSUJVVEFCTEVfQ0FTSF9TSEFSRVNfQkFTSUMuMTAwMC4wMi8wOC8yMDI2AQAAAEtVAAADAAAAAAD4AMJvLPDeCHZx34cs8N4IMUNJUS5OQVNEQVE6TVNGVC5JUV9FRkZFQ1RfVEFYX1JBVEUuOTk0LjAyLzA4LzIwMjYBAAAAS1UAAAIAAAAHMTYuNTA3NgEIAAAABQAAAAExAQAAAAstMjA4NzQ5NjYyNwMAAAADMTYwAgAAAAQ0Mzc2BAAAAAEwBwAAAAg4LzIvMjAyNggAAAAJNi8zMC8yMDIw</t>
  </si>
  <si>
    <t>CQAAAAEwd41vbyzw3gh2cd+HLPDeCDBDSVEuTkFTREFROk1TRlQuSVFfUkVTVEFURU1FTlRfSVMuOTk1LjAyLzA4LzIwMjYBAAAAS1UAAAMAAAACTkMAd41vbyzw3gh2cd+HLPDeCClDSVEuTkFTREFROk1TRlQuSVFfR0FBUF9JUy45OTcuMDIvMDgvMjAyNgEAAABLVQAAAwAAAAdVUyBHQUFQAHeNb28s8N4ImyPfhyzw3ggwQ0lRLk5BU0RBUTpNU0ZULklRX1JFU1RBVEVNRU5UX0NGLjk5Ni4wMi8wOC8yMDI2AQAAAEtVAAADAAAAAk5DAHeNb28s8N4ImyPfhyzw3ggpQ0lRLk5BU0RBUTpNU0ZULklRX0dBQVBfQ0YuOTk4LjAyLzA4LzIwMjYBAAAAS1UAAAMAAAAHVVMgR0FBUAB3jW9vLPDeCGhK34cs8N4IO0NJUS5OQVNEQVE6TVNGVC5JUV9UT1RBTF9PVVRTVEFORElOR19CU19EQVRFLjk5NC4wMi8wOC8yMDI2AQAAAEtVAAACAAAABDc1NzEBBAAAAAUAAAABNQEAAAALLTIwODc0OTY2MjcCAAAABTI0MTUyBgAAAAEwZmZvbyzw3ghoSt+HLPDeCCtDSVEuTkFTREFROk1TRlQuSVFfUEFSVF9USU1FLjk5OS4wMi8wOC8yMDI2AQAAAEtVAAADAAAAAABmZm9vLPDeCGhK34cs8N4IQUNJUS5OQVNEQVE6TVNGVC5JUV9FTVBMT1lFRVNfVU5ERVJfVU5JT05fQ09OVFJBQ1RTLjk5Mi4wMi8wOC8yMDI2AQAAAEtVAAADAAAAAABmZm9vLPDeCJsj34cs8N4IM0NJUS5OQVNEQVE6TVNGVC5JUV9OVU1CRVJfQURSSE9M</t>
  </si>
  <si>
    <t>REVSUy45OTguMDIvMDgvMjAyNgEAAABLVQAAAwAAAAAAZmZvbyzw3ghi/N6HLPDeCC5DSVEuTkFTREFROk1TRlQuSVFfQ0FMQ19UWVBFX0JTLjk5Ni4wMi8wOC8yMDI2AQAAAEtVAAADAAAAA1JVUABmZm9vLPDeCGhK34cs8N4IMENJUS5OQVNEQVE6TVNGVC5JUV9SRVRVUk5fQ0FQSVRBTC45OTkuMDIvMDgvMjAyNgEAAABLVQAAAgAAAAcxOS41NDUyAQgAAAAFAAAAATEBAAAACy0xODgwMjI5Njg2AwAAAAMxNjACAAAABDQzNjMEAAAAATAHAAAACDgvMi8yMDI2CAAAAAk2LzMwLzIwMjUJAAAAATBmZm9vLPDeCJsj34cs8N4IN0NJUS5OQVNEQVE6TVNGVC5JUV9SRVRVUk5fQ09NTU9OX0VRVUlUWS4xMDAwLjAyLzA4LzIwMjYBAAAAS1UAAAIAAAAHMzQuMDM4NgEIAAAABQAAAAExAQAAAAstMTg4MDIyOTY2NQMAAAADMTYwAgAAAAUzMzMyMAQAAAABMAcAAAAIOC8yLzIwMjYIAAAACTYvMzAvMjAyNgkAAAABMGZmb28s8N4IYvzehyzw3ggtQ0lRLk5BU0RBUTpNU0ZULklRX0VCSVRfTUFSR0lOLjk5OC4wMi8wOC8yMDI2AQAAAEtVAAACAAAABzQ0LjY0NDIBCAAAAAUAAAABMQEAAAALLTE4ODAyMjk2OTQDAAAAAzE2MAIAAAAENDA1MwQAAAABMAcAAAAIOC8yLzIwMjYIAAAACTYvMzAvMjAyNAkAAAABMGZmb28s8N4IYvzehyzw3ggvQ0lRLk5BU0RBUTpNU0ZULklRX0NBUEVYX1BDVF9SRVYuOTk5LjAyLzA4</t>
  </si>
  <si>
    <t>LzIwMjYBAAAAS1UAAAIAAAAHMjIuOTEyOAEIAAAABQAAAAExAQAAAAstMTg4MDIyOTY4NgMAAAADMTYwAgAAAAUzNTM4MAQAAAABMAcAAAAIOC8yLzIwMjYIAAAACTYvMzAvMjAyNQkAAAABMGZmb28s8N4ImyPfhyzw3gg0Q0lRLk5BU0RBUTpNU0ZULklRX0ZJWEVEX0FTU0VUX1RVUk5TLjEwMDAuMDIvMDgvMjAyNgEAAABLVQAAAgAAAAgxLjE3MDQyMQEIAAAABQAAAAExAQAAAAstMTg4MDIyOTY2NQMAAAADMTYwAgAAAAQ0MDY2BAAAAAEwBwAAAAg4LzIvMjAyNggAAAAJNi8zMC8yMDI2CQAAAAEwZmZvbyzw3gibI9+HLPDeCC9DSVEuTkFTREFROk1TRlQuSVFfQ1VSUkVOVF9SQVRJTy45OTguMDIvMDgvMjAyNgEAAABLVQAAAgAAAAgxLjI3NDk1NAEIAAAABQAAAAExAQAAAAstMTg4MDIyOTY5NAMAAAADMTYwAgAAAAQ0MDMwBAAAAAEwBwAAAAg4LzIvMjAyNggAAAAJNi8zMC8yMDI0CQAAAAEwZmZvbyzw3gibI9+HLPDeCDJDSVEuTkFTREFROk1TRlQuSVFfQ0ZPX0NVUlJFTlRfTElBQi45OTkuMDIvMDgvMjAyNgEAAABLVQAAAgAAAAgwLjk2NDE5NwEIAAAABQAAAAExAQAAAAstMTg4MDIyOTY4NgMAAAADMTYwAgAAAAQ0MTg1BAAAAAEwBwAAAAg4LzIvMjAyNggAAAAJNi8zMC8yMDI1CQAAAAEwZmZvbyzw3ghO1d6HLPDeCDJDSVEuTkFTREFROk1TRlQuSVFfREFZU19QQVlBQkxFX09VVC45OTcuMDIv</t>
  </si>
  <si>
    <t>MDgvMjAyNgEAAABLVQAAAgAAAAoxMDQuNzYxOTM1AQgAAAAFAAAAATEBAAAACy0xOTM0MjU0MjUwAwAAAAMxNjACAAAABDQxODMEAAAAATAHAAAACDgvMi8yMDI2CAAAAAk2LzMwLzIwMjMJAAAAATBmZm9vLPDeCE7V3ocs8N4IM0NJUS5OQVNEQVE6TVNGVC5JUV9UT1RBTF9ERUJUX0VRVUlUWS45OTguMDIvMDgvMjAyNgEAAABLVQAAAgAAAAYzNi40NDcBCAAAAAUAAAABMQEAAAALLTE4ODAyMjk2OTQDAAAAAzE2MAIAAAAENDAzNAQAAAABMAcAAAAIOC8yLzIwMjYIAAAACTYvMzAvMjAyNAkAAAABMGZmb28s8N4IYvzehyzw3ggwQ0lRLk5BU0RBUTpNU0ZULklRX0xUX0RFQlRfRVFVSVRZLjk5OS4wMi8wOC8yMDI2AQAAAEtVAAACAAAABzI5LjI4NTMBCAAAAAUAAAABMQEAAAALLTE4ODAyMjk2ODYDAAAAAzE2MAIAAAAENDA4NQQAAAABMAcAAAAIOC8yLzIwMjYIAAAACTYvMzAvMjAyNQkAAAABMGZmb28s8N4IYvzehyzw3ggsQ0lRLk5BU0RBUTpNU0ZULklRX0VCSVREQV9JTlQuOTk1LjAyLzA4LzIwMjYBAAAAS1UAAAIAAAAJMzUuNTk3ODU0AQgAAAAFAAAAATEBAAAACy0yMDM2ODQzODQzAwAAAAMxNjACAAAABDQxOTAEAAAAATAHAAAACDgvMi8yMDI2CAAAAAk2LzMwLzIwMjEJAAAAATBmZm9vLPDeCGL83ocs8N4IMkNJUS5OQVNEQVE6TVNGVC5JUV9FQklUREFfQ0FQRVhfSU5ULjk5Ni4wMi8wOC8y</t>
  </si>
  <si>
    <t>MDI2AQAAAEtVAAACAAAACTM3LjQwMDA5NwEIAAAABQAAAAExAQAAAAstMTk4NTkzMTIyNAMAAAADMTYwAgAAAAQ0MTkxBAAAAAEwBwAAAAg4LzIvMjAyNggAAAAJNi8zMC8yMDIyCQAAAAEwZmZvbyzw3ghO1d6HLPDeCERDSVEuTkFTREFROk1TRlQuSVFfVE9UQUxfREVCVF9FQklUREFfRVhDTF9PUEVSX0xFQVNFUy45OTQuMDIvMDgvMjAyNgEAAABLVQAAAgAAAAgxLjI1ODIxNwEIAAAABQAAAAExAQAAAAstMjA4NzQ5NjYyNwMAAAADMTYwAgAAAAU0ODk5NAQAAAABMAcAAAAIOC8yLzIwMjYIAAAACTYvMzAvMjAyMAkAAAABMGZmb28s8N4ITtXehyzw3ghCQ0lRLk5BU0RBUTpNU0ZULklRX05FVF9ERUJUX0VCSVREQV9FWENMX09QRVJfTEVBU0VTLjk5NS4wMi8wOC8yMDI2AQAAAEtVAAADAAAAAk5NAQgAAAAFAAAAATEBAAAACy0yMDM2ODQzODQzAwAAAAMxNjACAAAABTQ5MTc1BAAAAAEwBwAAAAg4LzIvMjAyNggAAAAJNi8zMC8yMDIxCQAAAAEwZmZvbyzw3ghi/N6HLPDeCEpDSVEuTkFTREFROk1TRlQuSVFfVE9UQUxfREVCVF9FQklUREFfRVhDTF9PUEVSX0xFQVNFU19DQVBFWC45OTcuMDIvMDgvMjAyNgEAAABLVQAAAgAAAAgxLjA3NDc0NwEIAAAABQAAAAExAQAAAAstMTkzNDI1NDI1MAMAAAADMTYwAgAAAAU0OTE4MwQAAAABMAcAAAAIOC8yLzIwMjYIAAAACTYvMzAvMjAyMwkAAAABMGZmb28s</t>
  </si>
  <si>
    <t>8N4IYvzehyzw3ggpQ0lRLk5BU0RBUTpNU0ZULklRX1pfU0NPUkUuOTkyLjAyLzA4LzIwMjYBAAAAS1UAAAIAAAAIMy43MTU0OTQBCAAAAAUAAAABMQEAAAAKMjA0NzI3MTc0NQMAAAADMTYwAgAAAAYxMDAxMjMEAAAAATAHAAAACDgvMi8yMDI2CAAAAAk2LzMwLzIwMTgJAAAAATBmZm9vLPDeCE7V3ocs8N4IM0NJUS5OQVNEQVE6TVNGVC5JUV9HUF8xWVJfQU5OX0dST1dUSC45OTMuMDIvMDgvMjAyNgEAAABLVQAAAgAAAAcxNS4xNzM1AQgAAAAFAAAAATEBAAAACy0yMTQwOTgxNDY5AwAAAAMxNjACAAAABDQxOTUEAAAAATAHAAAACDgvMi8yMDI2CAAAAAk2LzMwLzIwMTkJAAAAATBmZm9vLPDeCE7V3ocs8N4IM0NJUS5OQVNEQVE6TVNGVC5JUV9OSV8xWVJfQU5OX0dST1dUSC45OTkuMDIvMDgvMjAyNgEAAABLVQAAAgAAAAcxNS41Mzk2AQgAAAAFAAAAATEBAAAACy0xODgwMjI5Njg2AwAAAAMxNjACAAAABDQxOTkEAAAAATAHAAAACDgvMi8yMDI2CAAAAAk2LzMwLzIwMjUJAAAAATBmZm9vLPDeCD+u3ocs8N4IOENJUS5OQVNEQVE6TVNGVC5JUV9UT1RBTF9SRVZfM1lSX0FOTl9DQUdSLjk5Mi4wMi8wOC8yMDI2AQAAAEtVAAACAAAABjUuNjUxNgEIAAAABQAAAAExAQAAAAoyMDQ3MjcxNzQ1AwAAAAMxNjACAAAABDQyMjAEAAAAATAHAAAACDgvMi8yMDI2CAAAAAk2LzMwLzIwMTgJAAAAATBmZm9vLPDe</t>
  </si>
  <si>
    <t>CE7V3ocs8N4INUNJUS5OQVNEQVE6TVNGVC5JUV9FQklUREFfM1lSX0FOTl9DQUdSLjk5My4wMi8wOC8yMDI2AQAAAEtVAAACAAAABzE4LjE2NjYBCAAAAAUAAAABMQEAAAALLTIxNDA5ODE0NjkDAAAAAzE2MAIAAAAENDIyMgQAAAABMAcAAAAIOC8yLzIwMjYIAAAACTYvMzAvMjAxOQkAAAABMGZmb28s8N4ITtXehyzw3ggzQ0lRLk5BU0RBUTpNU0ZULklRX0VQU18zWVJfQU5OX0NBR1IuMTAwMC4wMi8wOC8yMDI2AQAAAEtVAAACAAAABjIyLjg1NgEIAAAABQAAAAExAQAAAAstMTg4MDIyOTY2NQMAAAADMTYwAgAAAAQ0MjI2BAAAAAEwBwAAAAg4LzIvMjAyNggAAAAJNi8zMC8yMDI2CQAAAAEwZmZvbyzw3ghO1d6HLPDeCDFDSVEuTkFTREFROk1TRlQuSVFfR1BfNVlSX0FOTl9DQUdSLjk5Mi4wMi8wOC8yMDI2AQAAAEtVAAACAAAABjQuNjE1NAEIAAAABQAAAAExAQAAAAoyMDQ3MjcxNzQ1AwAAAAMxNjACAAAABDQyMzQEAAAAATAHAAAACDgvMi8yMDI2CAAAAAk2LzMwLzIwMTgJAAAAATBmZm9vLPDeCD+u3ocs8N4IMUNJUS5OQVNEQVE6TVNGVC5JUV9OSV81WVJfQU5OX0NBR1IuOTk5LjAyLzA4LzIwMjYBAAAAS1UAAAIAAAAHMTguMTIyNwEIAAAABQAAAAExAQAAAAstMTg4MDIyOTY4NgMAAAADMTYwAgAAAAQ0MjM4BAAAAAEwBwAAAAg4LzIvMjAyNggAAAAJNi8zMC8yMDI1CQAAAAEwZmZvbyzw3gg/</t>
  </si>
  <si>
    <t>rt6HLPDeCCxDSVEuTkFTREFROk1TRlQuSVFfRlguOTk1LjAyLzA4LzIwMjYuLi5VU0QuSAEAAABLVQAAAgAAAAMtMjkBCAAAAAUAAAABMQEAAAALLTIwMzY4NDM4NDMDAAAAAzE2MAIAAAAEMjE0NAQAAAABMAcAAAAIOC8yLzIwMjYIAAAACTYvMzAvMjAyMQkAAAABMGZmb28s8N4IP0vFhyzw3gg9Q0lRLk5BU0RBUTpNU0ZULklRX0RBX1NVUFBMX1BBUlRJQUxfQ0YuOTk3LjAyLzA4LzIwMjYuLi5VU0QuSAEAAABLVQAAAwAAAAAAZmZvbyzw3gg/S8WHLPDeCDRDSVEuTkFTREFROk1TRlQuSVFfREVQUkVfU1VQUC45OTguMDIvMDgvMjAyNi4uLlVTRC5IAQAAAEtVAAACAAAABTE1MjAwAQgAAAAFAAAAATEBAAAACy0xODgwMjI5Njk0AwAAAAMxNjACAAAABDIxNDMEAAAAATAHAAAACDgvMi8yMDI2CAAAAAk2LzMwLzIwMjQJAAAAATBmZm9vLPDeCD9LxYcs8N4IQENJUS5OQVNEQVE6TVNGVC5JUV9EQV9DRl9FWENMX09QRVJfTEVBU0VTLjk5NC4wMi8wOC8yMDI2Li4uVVNELkgBAAAAS1UAAAIAAAAFMTIzMDABCAAAAAUAAAABMQEAAAALLTIwODc0OTY2MjcDAAAAAzE2MAIAAAAFNDg5ODUEAAAAATAHAAAACDgvMi8yMDI2CAAAAAk2LzMwLzIwMjAJAAAAATBmZm9vLPDeCCpyxYcs8N4INkNJUS5OQVNEQVE6TVNGVC5JUV9BTU9SVF9ESUNfQ0YuOTk1LjAyLzA4LzIwMjYuLi5VU0QuSAEAAABLVQAAAwAAAAAA</t>
  </si>
  <si>
    <t>ZmZvbyzw3ggqcsWHLPDeCEVDSVEuTkFTREFROk1TRlQuSVFfU0FMRV9QUk9DRUVEU19SRU5UQUxfQVNTRVRTLjk5Ni4wMi8wOC8yMDI2Li4uVVNELkgBAAAAS1UAAAMAAAAAAGZmb28s8N4IP0vFhyzw3ghAQ0lRLk5BU0RBUTpNU0ZULklRX0NBU0hfSU5URVJFU1RfUkVDRUlWRUQuOTk0LjAyLzA4LzIwMjYuLi5VU0QuSAEAAABLVQAAAwAAAAAAZmZvbyzw3gg/S8WHLPDeCD5DSVEuTkFTREFROk1TRlQuSVFfQ0FTSF9JTlRFUkVTVF9JTlZFU1QuOTk1LjAyLzA4LzIwMjYuLi5VU0QuSAEAAABLVQAAAwAAAAAAZmZvbyzw3gg/S8WHLPDeCDlDSVEuTkFTREFROk1TRlQuSVFfQ0FTSF9UQVhFU19PUEVSLjk5My4wMi8wOC8yMDI2Li4uVVNELkgBAAAAS1UAAAMAAAAAAGZmb28s8N4ITZnFhyzw3gg6Q0lRLk5BU0RBUTpNU0ZULklRX0NBU0hfVEFYRVNfRklOQU4uOTk0LjAyLzA4LzIwMjYuLi5VU0QuSAEAAABLVQAAAwAAAAAAZmZvbyzw3ghNmcWHLPDeCERDSVEuTkFTREFROk1TRlQuSVFfQ0hBTkdFX05FVF9XT1JLSU5HX0NBUElUQUwuOTk2LjAyLzA4LzIwMjYuLi5VU0QuSAEAAABLVQAAAgAAAAQtNDI4AQgAAAAFAAAAATEBAAAACy0xOTg1OTMxMjI0AwAAAAMxNjACAAAABDQ0MjEEAAAAATAHAAAACDgvMi8yMDI2CAAAAAk2LzMwLzIwMjIJAAAAATBmZm9vLPDeCCpyxYcs8N4IMkNJUS5OQVNEQVE6TVNG</t>
  </si>
  <si>
    <t>VC5JUV9DRl9TSEFSRS45OTMuMDIvMDgvMjAyNi4uLlVTRC5IAQAAAEtVAAACAAAACDQuOTg2MzE1AQgAAAAFAAAAATEBAAAACy0yMTQwOTgxNDY5AwAAAAMxNjACAAAABTQzOTIzBAAAAAEwBwAAAAg4LzIvMjAyNggAAAAJNi8zMC8yMDE5CQAAAAEwZmZvbyzw3ggqcsWHLPDeCDVDSVEuTkFTREFROk1TRlQuSVFfTUFJTlRfQ0FQRVguOTk1LjAyLzA4LzIwMjYuLi5VU0QuSAEAAABLVQAAAwAAAAAAZmZvbyzw3ggqcsWHLPDeCEJDSVEuTkFTREFROk1TRlQuSVFfT1BFUkFUSU5HX0xFQVNFX1BBWU1FTlRTLjk5Mi4wMi8wOC8yMDI2Li4uVVNELkgBAAAAS1UAAAMAAAAAAGZmb28s8N4ITZnFhyzw3ghNQ0lRLk5BU0RBUTpNU0ZULklRX09QRVJBVElOR19MRUFTRV9MSUFCSUxJVElFU19OT05DQVNILjk5NC4wMi8wOC8yMDI2Li4uVVNELkgBAAAAS1UAAAMAAAAAAGZmb28s8N4ITZnFhyzw3ghHQ0lRLk5BU0RBUTpNU0ZULklRX1RPVEFMX0RFQlRfUkVQQUlEX0VYQ0xfTEVBU0VTLjk5Ni4wMi8wOC8yMDI2Li4uVVNELkgBAAAAS1UAAAIAAAAFLTkwMjMBCAAAAAUAAAABMQEAAAALLTE5ODU5MzEyMjQDAAAAAzE2MAIAAAAFNDg5ODYEAAAAATAHAAAACDgvMi8yMDI2CAAAAAk2LzMwLzIwMjIJAAAAATBmZm9vLPDeCCpyxYcs8N4IM0NJUS5OQVNEQVE6TVNGVC5JUV9TVF9JTlZFU1QuOTk3LjAyLzA4LzIwMjYu</t>
  </si>
  <si>
    <t>Li5VU0QuSAEAAABLVQAAAgAAAAU3NjU1MgEIAAAABQAAAAExAQAAAAstMTkzNDI1NDI1MAMAAAADMTYwAgAAAAQxMDY5BAAAAAEwBwAAAAg4LzIvMjAyNggAAAAJNi8zMC8yMDIzCQAAAAEwZmZvbyzw3ggqcsWHLPDeCDhDSVEuTkFTREFROk1TRlQuSVFfQ0FTSF9TVF9JTlZFU1QuOTk5LjAyLzA4LzIwMjYuLi5VU0QuSAEAAABLVQAAAgAAAAU5NDU1NQEIAAAABQAAAAExAQAAAAstMTg4MDIyOTY4NgMAAAADMTYwAgAAAAQxMDAyBAAAAAEwBwAAAAg4LzIvMjAyNggAAAAJNi8zMC8yMDI1CQAAAAEwZmZvbyzw3ggqcsWHLPDeCDhDSVEuTkFTREFROk1TRlQuSVFfU1RfTk9URV9SRUNFSVYuOTk2LjAyLzA4LzIwMjYuLi5VU0QuSAEAAABLVQAAAwAAAAAAZmZvbyzw3ghCwMWHLPDeCDNDSVEuTkFTREFROk1TRlQuSVFfSU5WRU5UT1JZLjk5OC4wMi8wOC8yMDI2Li4uVVNELkgBAAAAS1UAAAIAAAAEMTI0NgEIAAAABQAAAAExAQAAAAstMTg4MDIyOTY5NAMAAAADMTYwAgAAAAQxMDQzBAAAAAEwBwAAAAg4LzIvMjAyNggAAAAJNi8zMC8yMDI0CQAAAAEwZmZvbyzw3ghCwMWHLPDeCD9DSVEuTkFTREFROk1TRlQuSVFfRklOX0RJVl9MT0FOU19DVVJSRU5ULjk5OS4wMi8wOC8yMDI2Li4uVVNELkgBAAAAS1UAAAMAAAAAAGZmb28s8N4ITZnFhyzw3ghAQ0lRLk5BU0RBUTpNU0ZULklRX0RFRl9UQVhfQVNTRVRT</t>
  </si>
  <si>
    <t>X0NVUlJFTlQuOTk3LjAyLzA4LzIwMjYuLi5VU0QuSAEAAABLVQAAAwAAAAAAZmZvbyzw3ghNmcWHLPDeCDhDSVEuTkFTREFROk1TRlQuSVFfT1RIRVJfQ0FfU1VQUEwuOTk4LjAyLzA4LzIwMjYuLi5VU0QuSAEAAABLVQAAAgAAAAUxNTUzMwEIAAAABQAAAAExAQAAAAstMTg4MDIyOTY5NAMAAAADMTYwAgAAAAQxMDU1BAAAAAEwBwAAAAg4LzIvMjAyNggAAAAJNi8zMC8yMDI0CQAAAAEwZmZvbyzw3ghNmcWHLPDeCCxDSVEuTkFTREFROk1TRlQuSVFfQUQuOTk2LjAyLzA4LzIwMjYuLi5VU0QuSAEAAABLVQAAAgAAAAYtNTk2NjABCAAAAAUAAAABMQEAAAALLTE5ODU5MzEyMjQDAAAAAzE2MAIAAAAEMTA3NQQAAAABMAcAAAAIOC8yLzIwMjYIAAAACTYvMzAvMjAyMgkAAAABMGZmb28s8N4IYOfFhyzw3ggzQ0lRLk5BU0RBUTpNU0ZULklRX0xUX0lOVkVTVC45OTcuMDIvMDgvMjAyNi4uLlVTRC5IAQAAAEtVAAACAAAABDk4NzkBCAAAAAUAAAABMQEAAAALLTE5MzQyNTQyNTADAAAAAzE2MAIAAAAEMTA1NAQAAAABMAcAAAAIOC8yLzIwMjYIAAAACTYvMzAvMjAyMwkAAAABMGZmb28s8N4IYOfFhyzw3gg1Q0lRLk5BU0RBUTpNU0ZULklRX09USEVSX0lOVEFOLjk5OC4wMi8wOC8yMDI2Li4uVVNELkgBAAAAS1UAAAIAAAAFMjc1OTcBCAAAAAUAAAABMQEAAAALLTE4ODAyMjk2OTQDAAAAAzE2MAIAAAAEMTA0</t>
  </si>
  <si>
    <t>MAQAAAABMAcAAAAIOC8yLzIwMjYIAAAACTYvMzAvMjAyNAkAAAABMGZmb28s8N4IQsDFhyzw3gg5Q0lRLk5BU0RBUTpNU0ZULklRX0xPQU5TX1JFQ0VJVl9MVC45OTQuMDIvMDgvMjAyNi4uLlVTRC5IAQAAAEtVAAADAAAAAABmZm9vLPDeCELAxYcs8N4IOENJUS5OQVNEQVE6TVNGVC5JUV9ERUZfQ0hBUkdFU19MVC45OTUuMDIvMDgvMjAyNi4uLlVTRC5IAQAAAEtVAAADAAAAAABmZm9vLPDeCELAxYcs8N4ILENJUS5OQVNEQVE6TVNGVC5JUV9BUC45OTMuMDIvMDgvMjAyNi4uLlVTRC5IAQAAAEtVAAACAAAABDkzODIBCAAAAAUAAAABMQEAAAALLTIxNDA5ODE0NjkDAAAAAzE2MAIAAAAEMTAxOAQAAAABMAcAAAAIOC8yLzIwMjYIAAAACTYvMzAvMjAxOQkAAAABMGZmb28s8N4IYOfFhyzw3ggxQ0lRLk5BU0RBUTpNU0ZULklRX1NUX0RFQlQuOTk0LjAyLzA4LzIwMjYuLi5VU0QuSAEAAABLVQAAAwAAAAAAZmZvbyzw3ghg58WHLPDeCD1DSVEuTkFTREFROk1TRlQuSVFfQ1VSUkVOVF9QT1JUX0xFQVNFUy45OTUuMDIvMDgvMjAyNi4uLlVTRC5IAQAAAEtVAAACAAAABDI3NTMBCAAAAAUAAAABMQEAAAALLTIwMzY4NDM4NDMDAAAAAzE2MAIAAAAEMTA5MAQAAAABMAcAAAAIOC8yLzIwMjYIAAAACTYvMzAvMjAyMQkAAAABMGZmb28s8N4IQsDFhyzw3gg9Q0lRLk5BU0RBUTpNU0ZULklRX0lOQ19UQVhfUEFZ</t>
  </si>
  <si>
    <t>X0NVUlJFTlQuOTkzLjAyLzA4LzIwMjYuLi5VU0QuSAEAAABLVQAAAgAAAAQ1NjY1AQgAAAAFAAAAATEBAAAACy0yMTQwOTgxNDY5AwAAAAMxNjACAAAABDEwOTQEAAAAATAHAAAACDgvMi8yMDI2CAAAAAk2LzMwLzIwMTkJAAAAATBmZm9vLPDeCELAxYcs8N4IPkNJUS5OQVNEQVE6TVNGVC5JUV9ERUZfVEFYX0xJQUJfQ1VSUkVOVC45OTQuMDIvMDgvMjAyNi4uLlVTRC5IAQAAAEtVAAADAAAAAABmZm9vLPDeCGDnxYcs8N4IMUNJUS5OQVNEQVE6TVNGVC5JUV9MVF9ERUJULjk5Mi4wMi8wOC8yMDI2Li4uVVNELkgBAAAAS1UAAAIAAAAFNzIyNDIBCAAAAAUAAAABMQEAAAAKMjA0NzI3MTc0NQMAAAADMTYwAgAAAAQxMDQ5BAAAAAEwBwAAAAg4LzIvMjAyNggAAAAJNi8zMC8yMDE4CQAAAAEwZmZvbyzw3ghYGMaHLPDeCDlDSVEuTkFTREFROk1TRlQuSVFfRklOX0RJVl9ERUJUX0xULjk5My4wMi8wOC8yMDI2Li4uVVNELkgBAAAAS1UAAAMAAAAAAGZmb28s8N4IWBjGhyzw3gg3Q0lRLk5BU0RBUTpNU0ZULklRX1VORUFSTl9SRVZfTFQuOTk1LjAyLzA4LzIwMjYuLi5VU0QuSAEAAABLVQAAAgAAAAQyNjE2AQgAAAAFAAAAATEBAAAACy0yMDM2ODQzODQzAwAAAAMxNjACAAAABDEyNTYEAAAAATAHAAAACDgvMi8yMDI2CAAAAAk2LzMwLzIwMjEJAAAAATBmZm9vLPDeCGDnxYcs8N4IN0NJUS5OQVNEQVE6TVNG</t>
  </si>
  <si>
    <t>VC5JUV9PVEhFUl9MSUFCX0xULjk5Mi4wMi8wOC8yMDI2Li4uVVNELkgBAAAAS1UAAAIAAAAFMzEzNTEBCAAAAAUAAAABMQEAAAAKMjA0NzI3MTc0NQMAAAADMTYwAgAAAAQxMDYyBAAAAAEwBwAAAAg4LzIvMjAyNggAAAAJNi8zMC8yMDE4CQAAAAEwZmZvbyzw3ghg58WHLPDeCDVDSVEuTkFTREFROk1TRlQuSVFfUFJFRl9SRURFRU0uOTk0LjAyLzA4LzIwMjYuLi5VU0QuSAEAAABLVQAAAwAAAAAAZmZvbyzw3ghg58WHLPDeCDVDSVEuTkFTREFROk1TRlQuSVFfUFJFRl9PVEhFUi4xMDAwLjAyLzA4LzIwMjYuLi5VU0QuSAEAAABLVQAAAwAAAAAAZmZvbyzw3ghYGMaHLPDeCDBDSVEuTkFTREFROk1TRlQuSVFfQ09NTU9OLjk5My4wMi8wOC8yMDI2Li4uVVNELkgBAAAAS1UAAAIAAAAFNzg1MjABCAAAAAUAAAABMQEAAAALLTIxNDA5ODE0NjkDAAAAAzE2MAIAAAAEMTEwMwQAAAABMAcAAAAIOC8yLzIwMjYIAAAACTYvMzAvMjAxOQkAAAABMGZmb28s8N4IWBjGhyzw3ggsQ0lRLk5BU0RBUTpNU0ZULklRX1JFLjk5NS4wMi8wOC8yMDI2Li4uVVNELkgBAAAAS1UAAAIAAAAFNTcwNTUBCAAAAAUAAAABMQEAAAALLTIwMzY4NDM4NDMDAAAAAzE2MAIAAAAEMTIyMgQAAAABMAcAAAAIOC8yLzIwMjYIAAAACTYvMzAvMjAyMQkAAAABMGZmb28s8N4IYOfFhyzw3gg+Q0lRLk5BU0RBUTpNU0ZULklRX1RPVEFMX0NP</t>
  </si>
  <si>
    <t>TU1PTl9FUVVJVFkuMTAwMC4wMi8wOC8yMDI2Li4uVVNELkgBAAAAS1UAAAIAAAAGNDQyMzg3AQgAAAAFAAAAATEBAAAACy0xODgwMjI5NjY1AwAAAAMxNjACAAAABDEwMDYEAAAAATAHAAAACDgvMi8yMDI2CAAAAAk2LzMwLzIwMjYJAAAAATBmZm9vLPDeCGDnxYcs8N4INkNJUS5OQVNEQVE6TVNGVC5JUV9UT1RBTF9FUVVJVFkuOTk0LjAyLzA4LzIwMjYuLi5VU0QuSAEAAABLVQAAAgAAAAYxMTgzMDQBCAAAAAUAAAABMQEAAAALLTIwODc0OTY2MjcDAAAAAzE2MAIAAAAEMTI3NQQAAAABMAcAAAAIOC8yLzIwMjYIAAAACTYvMzAvMjAyMAkAAAABMGZmb28s8N4IYOfFhyzw3gg3Q0lRLk5BU0RBUTpNU0ZULklRX1JVQV9BQ0NVTV9ERVAuOTk5LjAyLzA4LzIwMjYuLi5VU0QuSAEAAABLVQAAAwAAAAAAZmZvbyzw3gjHP8aHLPDeCEJDSVEuTkFTREFROk1TRlQuSVFfUlVBX0NBUElUQUxfTEVBU0VfR1JPU1MuMTAwMC4wMi8wOC8yMDI2Li4uVVNELkgBAAAAS1UAAAMAAAAAAGZmb28s8N4Ixz/Ghyzw3gg/Q0lRLk5BU0RBUTpNU0ZULklRX1JVQV9DQVBJVEFMX0xFQVNFX05FVC45OTUuMDIvMDgvMjAyNi4uLlVTRC5IAQAAAEtVAAADAAAAAABmZm9vLPDeCFgYxocs8N4IQUNJUS5OQVNEQVE6TVNGVC5JUV9SVUFfT1BFUkFUSU5HX0xFQVNFX05FVC45OTkuMDIvMDgvMjAyNi4uLlVTRC5IAQAAAEtVAAADAAAA</t>
  </si>
  <si>
    <t>AABmZm9vLPDeCFgYxocs8N4IP0NJUS5OQVNEQVE6TVNGVC5JUV9OUFBFX0VYQ0xfT1BFUl9MRUFTRVMuOTkyLjAyLzA4LzIwMjYuLi5VU0QuSAEAAABLVQAAAgAAAAUyOTQ2MAEIAAAABQAAAAExAQAAAAoyMDQ3MjcxNzQ1AwAAAAMxNjACAAAABTQ4OTc2BAAAAAEwBwAAAAg4LzIvMjAyNggAAAAJNi8zMC8yMDE4CQAAAAEwZmZvbyzw3ghYGMaHLPDeCD5DSVEuTkFTREFROk1TRlQuSVFfVE9UQUxfRklOQU5DRV9MRUFTRVMuOTk2LjAyLzA4LzIwMjYuLi5VU0QuSAEAAABLVQAAAgAAAAUxNDkwMgEIAAAABQAAAAExAQAAAAstMTk4NTkzMTIyNAMAAAADMTYwAgAAAAU0OTAzMQQAAAABMAcAAAAIOC8yLzIwMjYIAAAACTYvMzAvMjAyMgkAAAABMGZmb28s8N4Ixz/Ghyzw3ghRQ0lRLk5BU0RBUTpNU0ZULklRX0NVUlJFTlRfUE9SVElPTl9PUEVSX0xFQVNFX0xJQUJJTElUSUVTLjEwMDAuMDIvMDgvMjAyNi4uLlVTRC5IAQAAAEtVAAACAAAABDUzOTMBCAAAAAUAAAABMQEAAAALLTE4ODAyMjk2NjUDAAAAAzE2MAIAAAAFNDgzODUEAAAAATAHAAAACDgvMi8yMDI2CAAAAAk2LzMwLzIwMjYJAAAAATBmZm9vLPDeCMc/xocs8N4INkNJUS5OQVNEQVE6TVNGVC5JUV9UT1RBTF9MRUFTRVMuOTkzLjAyLzA4LzIwMjYuLi5VU0QuSAEAAABLVQAAAgAAAAUxNDI3NwEIAAAABQAAAAExAQAAAAstMjE0MDk4MTQ2OQMA</t>
  </si>
  <si>
    <t>AAADMTYwAgAAAAU0ODk3OQQAAAABMAcAAAAIOC8yLzIwMjYIAAAACTYvMzAvMjAxOQkAAAABMGZmb28s8N4IWBjGhyzw3ghFQ0lRLk5BU0RBUTpNU0ZULklRX1RPVEFMX0RFQlRfRVhDTF9PUEVSX0xFQVNFUy45OTcuMDIvMDgvMjAyNi4uLlVTRC5IAQAAAEtVAAACAAAABTY0MzA0AQgAAAAFAAAAATEBAAAACy0xOTM0MjU0MjUwAwAAAAMxNjACAAAABTQ4OTgyBAAAAAEwBwAAAAg4LzIvMjAyNggAAAAJNi8zMC8yMDIzCQAAAAEwZmZvbyzw3ghYGMaHLPDeCDJDSVEuTkFTREFROk1TRlQuSVFfQlZfU0hBUkUuOTkzLjAyLzA4LzIwMjYuLi5VU0QuSAEAAABLVQAAAgAAAAkxMy4zODg3MjEBCAAAAAUAAAABMQEAAAALLTIxNDA5ODE0NjkDAAAAAzE2MAIAAAAENDAyMAQAAAABMAcAAAAIOC8yLzIwMjYIAAAACTYvMzAvMjAxOQkAAAABMGZmb28s8N4Ixz/Ghyzw3gg8Q0lRLk5BU0RBUTpNU0ZULklRX1RCVl9TSEFSRV9SRVBPUlRFRC45OTguMDIvMDgvMjAyNi4uLlVTRC5IAQAAAEtVAAADAAAAAABmZm9vLPDeCLhmxocs8N4IMkNJUS5OQVNEQVE6TVNGVC5JUV9HV19JTlRBTi45OTIuMDIvMDgvMjAyNi4uLlVTRC5IAQAAAEtVAAACAAAABTQzNzM2AQgAAAAFAAAAATEBAAAACjIwNDcyNzE3NDUDAAAAAzE2MAIAAAAFMzUzODEEAAAAATAHAAAACDgvMi8yMDI2CAAAAAk2LzMwLzIwMTgJAAAAATBmZm9vLPDe</t>
  </si>
  <si>
    <t>CLhmxocs8N4INENJUS5OQVNEQVE6TVNGVC5JUV9UT1RBTF9ERUJULjk5My4wMi8wOC8yMDI2Li4uVVNELkgBAAAAS1UAAAIAAAAFODY0NTUBCAAAAAUAAAABMQEAAAALLTIxNDA5ODE0NjkDAAAAAzE2MAIAAAAENDE3MwQAAAABMAcAAAAIOC8yLzIwMjYIAAAACTYvMzAvMjAxOQkAAAABMGZmb28s8N4Ixz/Ghyzw3ggyQ0lRLk5BU0RBUTpNU0ZULklRX05FVF9ERUJULjk5OS4wMi8wOC8yMDI2Li4uVVNELkgBAAAAS1UAAAIAAAAFMTc2MjkBCAAAAAUAAAABMQEAAAALLTE4ODAyMjk2ODYDAAAAAzE2MAIAAAAENDM2NAQAAAABMAcAAAAIOC8yLzIwMjYIAAAACTYvMzAvMjAyNQkAAAABMGZmb28s8N4Ixz/Ghyzw3ggzQ0lRLk5BU0RBUTpNU0ZULklRX1RPVEFMX0NBUC45OTIuMDIvMDgvMjAyNi4uLlVTRC5IAQAAAEtVAAACAAAABjE3MDIyNgEIAAAABQAAAAExAQAAAAoyMDQ3MjcxNzQ1AwAAAAMxNjACAAAABDQxNzUEAAAAATAHAAAACDgvMi8yMDI2CAAAAAk2LzMwLzIwMTgJAAAAATBmZm9vLPDeCMc/xocs8N4IOkNJUS5OQVNEQVE6TVNGVC5JUV9BTExPV19ET1VCVF9BQ0NULjk5OC4wMi8wOC8yMDI2Li4uVVNELkgBAAAAS1UAAAIAAAADODMwAQgAAAAFAAAAATEBAAAACy0xODgwMjI5Njk0AwAAAAMxNjACAAAABDMwMTIEAAAAATAHAAAACDgvMi8yMDI2CAAAAAk2LzMwLzIwMjQJAAAAATBmZm9vLPDe</t>
  </si>
  <si>
    <t>CLhmxocs8N4INkNJUS5OQVNEQVE6TVNGVC5JUV9BUl9VTkJJTExFRC4xMDAwLjAyLzA4LzIwMjYuLi5VU0QuSAEAAABLVQAAAwAAAAAAZmZvbyzw3gi4ZsaHLPDeCDFDSVEuTkFTREFROk1TRlQuSVFfUkFXX0lOVi45OTguMDIvMDgvMjAyNi4uLlVTRC5IAQAAAEtVAAADAAAAAABmZm9vLPDeCMc/xocs8N4IM0NJUS5OQVNEQVE6TVNGVC5JUV9PVEhFUl9JTlYuOTk1LjAyLzA4LzIwMjYuLi5VU0QuSAEAAABLVQAAAwAAAAAAZmZvbyzw3gi4ZsaHLPDeCDNDSVEuTkFTREFROk1TRlQuSVFfQlVJTERJTkdTLjk5Ny4wMi8wOC8yMDI2Li4uVVNELkgBAAAAS1UAAAIAAAAFNjg0NjUBCAAAAAUAAAABMQEAAAALLTE5MzQyNTQyNTADAAAAAzE2MAIAAAAEMzAyMwQAAAABMAcAAAAIOC8yLzIwMjYIAAAACTYvMzAvMjAyMwkAAAABMGZmb28s8N4IuGbGhyzw3ghAQ0lRLk5BU0RBUTpNU0ZULklRX05BVFVSQUxfUkVTT1VSQ0VTX0NPU1QuOTk0LjAyLzA4LzIwMjYuLi5VU0QuSAEAAABLVQAAAwAAAAAAZmZvbyzw3gjojcaHLPDeCD9DSVEuTkFTREFROk1TRlQuSVFfTEVBU0VIT0xEX0lNUFJPVkVNRU5ULjk5Ni4wMi8wOC8yMDI2Li4uVVNELkgBAAAAS1UAAAIAAAAENzgxOQEIAAAABQAAAAExAQAAAAstMTk4NTkzMTIyNAMAAAADMTYwAgAAAAQzMTAwBAAAAAEwBwAAAAg4LzIvMjAyNggAAAAJNi8zMC8yMDIyCQAA</t>
  </si>
  <si>
    <t>AAEwZmZvbyzw3gjojcaHLPDeCEVDSVEuTkFTREFROk1TRlQuSVFfRklOX0RJVl9NSU5PUklUWV9JTlRfUkVERUVNLjk5OC4wMi8wOC8yMDI2Li4uVVNELkgBAAAAS1UAAAMAAAAAAGZmb28s8N4IuGbGhyzw3ghFQ0lRLk5BU0RBUTpNU0ZULklRX0RFRl9UQVhfVkFMVUFUSU9OX0FMTE9XQU5DRS45OTUuMDIvMDgvMjAyNi4uLlVTRC5IAQAAAEtVAAACAAAAAzc2OQEIAAAABQAAAAExAQAAAAstMjAzNjg0Mzg0MwMAAAADMTYwAgAAAAU0NjA0NQQAAAABMAcAAAAIOC8yLzIwMjYIAAAACTYvMzAvMjAyMQkAAAABMGZmb28s8N4IuGbGhyzw3ghFQ0lRLk5BU0RBUTpNU0ZULklRX0dFTkVSQUxfUEFSVE5FUl9QUkVGX0VRVUlUWS45OTcuMDIvMDgvMjAyNi4uLlVTRC5IAQAAAEtVAAADAAAAAABmZm9vLPDeCLhmxocs8N4IUENJUS5OQVNEQVE6TVNGVC5JUV9MSVFVSURBVElPTl9WQUxVRV9QUkVGRVJSRURfTk9OX1JFREVFTS45OTIuMDIvMDgvMjAyNi4uLlVTRC5IAQAAAEtVAAADAAAAAABmZm9vLPDeCOiNxocs8N4ITENJUS5OQVNEQVE6TVNGVC5JUV9MSVFVSURBVElPTl9WQUxVRV9QUkVGRVJSRURfUkVERUVNLjk5Ni4wMi8wOC8yMDI2Li4uVVNELkgBAAAAS1UAAAMAAAAAAGZmb28s8N4I6I3Ghyzw3gg4Q0lRLk5BU0RBUTpNU0ZULklRX0FTU0VUU19MRVZFTF8yLjk5Ny4wMi8wOC8yMDI2Li4uVVNELkgB</t>
  </si>
  <si>
    <t>AAAAS1UAAAIAAAAFMzQyMTgAZmZvbyzw3gi4ZsaHLPDeCD1DSVEuTkFTREFROk1TRlQuSVFfTElBQklMSVRJRVNfTEVWRUxfMS45OTMuMDIvMDgvMjAyNi4uLlVTRC5IAQAAAEtVAAADAAAAAABmZm9vLPDeCLhmxocs8N4IPUNJUS5OQVNEQVE6TVNGVC5JUV9MSUFCSUxJVElFU19MRVZFTF8zLjk5NC4wMi8wOC8yMDI2Li4uVVNELkgBAAAAS1UAAAMAAAAAAGZmb28s8N4IuGbGhyzw3ghJQ0lRLk5BU0RBUTpNU0ZULklRX0ZBSVJfVkFMVUVfQ0hBTkdFX0lOQ0xfRUFSTklOR1MuOTkyLjAyLzA4LzIwMjYuLi5VU0QuSAEAAABLVQAAAwAAAAAAZmZvbyzw3gjojcaHLPDeCD9DSVEuTkFTREFROk1TRlQuSVFfRklOX0RJVl9TVF9ERUJUX1RPVEFMLjk5NC4wMi8wOC8yMDI2Li4uVVNELkgBAAAAS1UAAAMAAAAAAGZmb28s8N4I6I3Ghyzw3gg8Q0lRLk5BU0RBUTpNU0ZULklRX0ZJTl9ESVZfQ0FTSF9FUVVJVi45OTUuMDIvMDgvMjAyNi4uLlVTRC5IAQAAAEtVAAADAAAAAABmZm9vLPDeCOiNxocs8N4IP0NJUS5OQVNEQVE6TVNGVC5JUV9ERUJUX0VRVUlWX09QRVJfTEVBU0UuOTkzLjAyLzA4LzIwMjYuLi5VU0QuSAEAAABLVQAAAgAAAAUxMzY1NgEIAAAABQAAAAExAQAAAAstMjE0MDk4MTQ2OQMAAAADMTYwAgAAAAUyMTY3MQQAAAABMAcAAAAIOC8yLzIwMjYIAAAACTYvMzAvMjAxOQkAAAABMGZmb28s8N4I</t>
  </si>
  <si>
    <t>6I3Ghyzw3gg/Q0lRLk5BU0RBUTpNU0ZULklRX1JFU1RSSUNURURfQ0FTSF9UT1RBTC45OTIuMDIvMDgvMjAyNi4uLlVTRC5IAQAAAEtVAAADAAAAAABmZm9vLPDeCOiNxocs8N4IQENJUS5OQVNEQVE6TVNGVC5JUV9DT05USU5HRU5UX0xJQUJJTElUSUVTLjk5Ny4wMi8wOC8yMDI2Li4uVVNELkgBAAAAS1UAAAMAAAAAAGZmb28s8N4I8rTGhyzw3gg9Q0lRLk5BU0RBUTpNU0ZULklRX1NUX0RFQlRfREVSSVZBVElWRVMuOTk5LjAyLzA4LzIwMjYuLi5VU0QuSAEAAABLVQAAAwAAAAAAZmZvbyzw3gjytMaHLPDeCD1DSVEuTkFTREFROk1TRlQuSVFfTFRfREVCVF9ERVJJVkFUSVZFUy45OTIuMDIvMDgvMjAyNi4uLlVTRC5IAQAAAEtVAAADAAAAAABmZm9vLPDeCOiNxocs8N4IQ0NJUS5OQVNEQVE6TVNGVC5JUV9ERVJJVkFUSVZFX1RSQURJTkdfQVNTRVRTLjk5OC4wMi8wOC8yMDI2Li4uVVNELkgBAAAAS1UAAAMAAAAAAGZmb28s8N4I6I3Ghyzw3gg/Q0lRLk5BU0RBUTpNU0ZULklRX0RFUklWQVRJVkVfQVNTRVRTX0xULjEwMDAuMDIvMDgvMjAyNi4uLlVTRC5IAQAAAEtVAAACAAAAATMBCAAAAAUAAAABMQEAAAALLTE4ODAyMjk2NjUDAAAAAzE2MAIAAAAEMTExMAQAAAABMAcAAAAIOC8yLzIwMjYIAAAACTYvMzAvMjAyNgkAAAABMGZmb28s8N4I6I3Ghyzw3ggyQ0lRLk5BU0RBUTpNU0ZULklRX0dST1NT</t>
  </si>
  <si>
    <t>X0dXLjk5Ny4wMi8wOC8yMDI2Li4uVVNELkgBAAAAS1UAAAMAAAAAAGZmb28s8N4I8rTGhyzw3gg8Q0lRLk5BU0RBUTpNU0ZULklRX0xUX01BUktfU0VDVVJJVElFUy45OTkuMDIvMDgvMjAyNi4uLlVTRC5IAQAAAEtVAAADAAAAAABmZm9vLPDeCPK0xocs8N4IN0NJUS5OQVNEQVE6TVNGVC5JUV9HV19JTlRBTl9ORVQuMTAwMC4wMi8wOC8yMDI2Li4uVVNELkgBAAAAS1UAAAMAAAAAAGZmb28s8N4I6I3Ghyzw3gg5Q0lRLk5BU0RBUTpNU0ZULklRX0lOVEVSQ09NUEFOWV9DQS45OTguMDIvMDgvMjAyNi4uLlVTRC5IAQAAAEtVAAADAAAAAABmZm9vLPDeCPK0xocs8N4IOUNJUS5OQVNEQVE6TVNGVC5JUV9JTlRFUkNPTVBBTllfQ0wuOTk5LjAyLzA4LzIwMjYuLi5VU0QuSAEAAABLVQAAAwAAAAAAZmZvbyzw3gjytMaHLPDeCC5DSVEuTkFTREFROk1TRlQuSVFfRElMVVRfV0VJR0hULjk5OC4wMi8wOC8yMDI2AQAAAEtVAAACAAAABDc0NjkAZmZvbyzw3gj7Ed6HLPDeCENDSVEuTkFTREFROk1TRlQuSVFfRElTVFJJQlVUQUJMRV9DQVNIX1NIQVJFU19ESUxVVEVELjk5OC4wMi8wOC8yMDI2AQAAAEtVAAADAAAAAAD4AMJvLPDeCD+u3ocs8N4IMUNJUS5OQVNEQVE6TVNGVC5JUV9QRVJJT0RMRU5HVEhfSVMuOTk4LjAyLzA4LzIwMjYBAAAAS1UAAAEAAAACMTIAZmZvbyzw3gg/rt6HLPDeCDJDSVEuTkFTREFR</t>
  </si>
  <si>
    <t>Ok1TRlQuSVFfRUZGRUNUX1RBWF9SQVRFLjEwMDAuMDIvMDgvMjAyNgEAAABLVQAAAgAAAAcxOS4zOTYyAQgAAAAFAAAAATEBAAAACy0xODgwMjI5NjY1AwAAAAMxNjACAAAABDQzNzYEAAAAATAHAAAACDgvMi8yMDI2CAAAAAk2LzMwLzIwMjYJAAAAATBmZm9vLPDeCPsR3ocs8N4IMENJUS5OQVNEQVE6TVNGVC5JUV9SRVNUQVRFTUVOVF9JUy45OTYuMDIvMDgvMjAyNgEAAABLVQAAAwAAAAJOQwBmZm9vLPDeCPsR3ocs8N4IL0NJUS5OQVNEQVE6TVNGVC5JUV9DQUxDX1RZUEVfSVMuMTAwMC4wMi8wOC8yMDI2AQAAAEtVAAADAAAAA1JFUABmZm9vLPDeCD+u3ocs8N4IMENJUS5OQVNEQVE6TVNGVC5JUV9SRVNUQVRFTUVOVF9DRi45OTcuMDIvMDgvMjAyNgEAAABLVQAAAwAAAAJOQwBmZm9vLPDeCD+u3ocs8N4IKUNJUS5OQVNEQVE6TVNGVC5JUV9HQUFQX0NGLjk5Mi4wMi8wOC8yMDI2AQAAAEtVAAADAAAAB1VTIEdBQVAAZmZvbyzw3ggqh96HLPDeCCxDSVEuTkFTREFROk1TRlQuSVFfSU5WX01FVEhPRC45OTguMDIvMDgvMjAyNgEAAABLVQAAAwAAAAhBdmcgQ29zdABmZm9vLPDeCK/q3Ycs8N4IK0NJUS5OQVNEQVE6TVNGVC5JUV9QQVJUX1RJTUUuOTkyLjAyLzA4LzIwMjYBAAAAS1UAAAMAAAAAAGZmb28s8N4Ir+rdhyzw3ghBQ0lRLk5BU0RBUTpNU0ZULklRX0VNUExPWUVFU19VTkRFUl9VTklPTl9D</t>
  </si>
  <si>
    <t>T05UUkFDVFMuOTkzLjAyLzA4LzIwMjYBAAAAS1UAAAMAAAAAAGZmb28s8N4I+xHehyzw3ggzQ0lRLk5BU0RBUTpNU0ZULklRX05VTUJFUl9BRFJIT0xERVJTLjk5OS4wMi8wOC8yMDI2AQAAAEtVAAADAAAAAABmZm9vLPDeCPsR3ocs8N4IKUNJUS5OQVNEQVE6TVNGVC5JUV9HQUFQX0JTLjk5Mi4wMi8wOC8yMDI2AQAAAEtVAAADAAAAB1VTIEdBQVAAZmZvbyzw3giv6t2HLPDeCDFDSVEuTkFTREFROk1TRlQuSVFfUkVUVVJOX0NBUElUQUwuMTAwMC4wMi8wOC8yMDI2AQAAAEtVAAACAAAABzE4Ljg5NjkBCAAAAAUAAAABMQEAAAALLTE4ODAyMjk2NjUDAAAAAzE2MAIAAAAENDM2MwQAAAABMAcAAAAIOC8yLzIwMjYIAAAACTYvMzAvMjAyNgkAAAABMGZmb28s8N4Ir+rdhyzw3gg2Q0lRLk5BU0RBUTpNU0ZULklRX1JFVFVSTl9DT01NT05fRVFVSVRZLjk5Mi4wMi8wOC8yMDI2AQAAAEtVAAACAAAABzE5LjQ0NjIBCAAAAAUAAAABMQEAAAAKMjA0NzI3MTc0NQMAAAADMTYwAgAAAAUzMzMyMAQAAAABMAcAAAAIOC8yLzIwMjYIAAAACTYvMzAvMjAxOAkAAAABMGZmb28s8N4I+xHehyzw3ggtQ0lRLk5BU0RBUTpNU0ZULklRX0VCSVRfTUFSR0lOLjk5OS4wMi8wOC8yMDI2AQAAAEtVAAACAAAABzQ1LjYyMTkBCAAAAAUAAAABMQEAAAALLTE4ODAyMjk2ODYDAAAAAzE2MAIAAAAENDA1MwQAAAABMAcAAAAIOC8y</t>
  </si>
  <si>
    <t>LzIwMjYIAAAACTYvMzAvMjAyNQkAAAABMGZmb28s8N4I+xHehyzw3ggwQ0lRLk5BU0RBUTpNU0ZULklRX0NBUEVYX1BDVF9SRVYuMTAwMC4wMi8wOC8yMDI2AQAAAEtVAAACAAAABjM0Ljk0MQEIAAAABQAAAAExAQAAAAstMTg4MDIyOTY2NQMAAAADMTYwAgAAAAUzNTM4MAQAAAABMAcAAAAIOC8yLzIwMjYIAAAACTYvMzAvMjAyNgkAAAABMGZmb28s8N4Ir+rdhyzw3ggqQ0lRLk5BU0RBUTpNU0ZULklRX0FSX1RVUk5TLjk5OC4wMi8wOC8yMDI2AQAAAEtVAAACAAAACDQuNjQxOTM0AQgAAAAFAAAAATEBAAAACy0xODgwMjI5Njk0AwAAAAMxNjACAAAABDQwMDEEAAAAATAHAAAACDgvMi8yMDI2CAAAAAk2LzMwLzIwMjQJAAAAATBmZm9vLPDeCPrA3Ycs8N4IL0NJUS5OQVNEQVE6TVNGVC5JUV9DVVJSRU5UX1JBVElPLjk5OS4wMi8wOC8yMDI2AQAAAEtVAAACAAAACDEuMzUzNDQ2AQgAAAAFAAAAATEBAAAACy0xODgwMjI5Njg2AwAAAAMxNjACAAAABDQwMzAEAAAAATAHAAAACDgvMi8yMDI2CAAAAAk2LzMwLzIwMjUJAAAAATBmZm9vLPDeCPrA3Ycs8N4IM0NJUS5OQVNEQVE6TVNGVC5JUV9DRk9fQ1VSUkVOVF9MSUFCLjEwMDAuMDIvMDgvMjAyNgEAAABLVQAAAgAAAAgxLjA4MzU3NwEIAAAABQAAAAExAQAAAAstMTg4MDIyOTY2NQMAAAADMTYwAgAAAAQ0MTg1BAAAAAEwBwAAAAg4LzIvMjAyNggAAAAJ</t>
  </si>
  <si>
    <t>Ni8zMC8yMDI2CQAAAAEwZmZvbyzw3giv6t2HLPDeCDJDSVEuTkFTREFROk1TRlQuSVFfREFZU19QQVlBQkxFX09VVC45OTguMDIvMDgvMjAyNgEAAABLVQAAAgAAAAoxMDAuNjk1MDE4AQgAAAAFAAAAATEBAAAACy0xODgwMjI5Njk0AwAAAAMxNjACAAAABDQxODMEAAAAATAHAAAACDgvMi8yMDI2CAAAAAk2LzMwLzIwMjQJAAAAATBmZm9vLPDeCK/q3Ycs8N4IM0NJUS5OQVNEQVE6TVNGVC5JUV9UT1RBTF9ERUJUX0VRVUlUWS45OTkuMDIvMDgvMjAyNgEAAABLVQAAAgAAAAYzMi42NjEBCAAAAAUAAAABMQEAAAALLTE4ODAyMjk2ODYDAAAAAzE2MAIAAAAENDAzNAQAAAABMAcAAAAIOC8yLzIwMjYIAAAACTYvMzAvMjAyNQkAAAABMGZmb28s8N4Ir+rdhyzw3ggxQ0lRLk5BU0RBUTpNU0ZULklRX0xUX0RFQlRfQ0FQSVRBTC45OTcuMDIvMDgvMjAyNgEAAABLVQAAAgAAAAcyNC43MTAxAQgAAAAFAAAAATEBAAAACy0xOTM0MjU0MjUwAwAAAAMxNjACAAAABDQxODcEAAAAATAHAAAACDgvMi8yMDI2CAAAAAk2LzMwLzIwMjMJAAAAATBmZm9vLPDeCPrA3Ycs8N4IKkNJUS5OQVNEQVE6TVNGVC5JUV9FQklUX0lOVC45OTguMDIvMDgvMjAyNgEAAABLVQAAAgAAAAkzNi42ODU1NTEBCAAAAAUAAAABMQEAAAALLTE4ODAyMjk2OTQDAAAAAzE2MAIAAAAENDE4OQQAAAABMAcAAAAIOC8yLzIwMjYIAAAACTYvMzAv</t>
  </si>
  <si>
    <t>MjAyNAkAAAABMGZmb28s8N4I+sDdhyzw3gg4Q0lRLk5BU0RBUTpNU0ZULklRX1RPVEFMX1JFVl81WVJfQU5OX0NBR1IuOTkzLjAyLzA4LzIwMjYBAAAAS1UAAAIAAAAGNy43MDMzAQgAAAAFAAAAATEBAAAACy0yMTQwOTgxNDY5AwAAAAMxNjACAAAABDQyMzMEAAAAATAHAAAACDgvMi8yMDI2CAAAAAk2LzMwLzIwMTkJAAAAATAXdsJvLPDeCJEb24cs8N4IPUNJUS5OQVNEQVE6TVNGVC5JUV9FQklUREFfRVhDTF9PUEVSX0xFQVNFU19JTlQuOTk5LjAyLzA4LzIwMjYBAAAAS1UAAAIAAAAJNjQuNTQ3NjI4AQgAAAAFAAAAATEBAAAACy0xODgwMjI5Njg2AwAAAAMxNjACAAAABTQ5MTczBAAAAAEwBwAAAAg4LzIvMjAyNggAAAAJNi8zMC8yMDI1CQAAAAEwZmZvbyzw3giv6t2HLPDeCERDSVEuTkFTREFROk1TRlQuSVFfVE9UQUxfREVCVF9FQklUREFfRVhDTF9PUEVSX0xFQVNFUy45OTUuMDIvMDgvMjAyNgEAAABLVQAAAgAAAAcxLjAxODA5AQgAAAAFAAAAATEBAAAACy0yMDM2ODQzODQzAwAAAAMxNjACAAAABTQ4OTk0BAAAAAEwBwAAAAg4LzIvMjAyNggAAAAJNi8zMC8yMDIxCQAAAAEwZmZvbyzw3giv6t2HLPDeCDVDSVEuTkFTREFROk1TRlQuSVFfRUJJVERBXzVZUl9BTk5fQ0FHUi45OTQuMDIvMDgvMjAyNgEAAABLVQAAAgAAAAcxNC4yMTc1AQgAAAAFAAAAATEBAAAACy0yMDg3NDk2NjI3AwAAAAMx</t>
  </si>
  <si>
    <t>NjACAAAABDQyMzUEAAAAATAHAAAACDgvMi8yMDI2CAAAAAk2LzMwLzIwMjAJAAAAATAXdsJvLPDeCJr02ocs8N4IMkNJUS5OQVNEQVE6TVNGVC5JUV9FUFNfNVlSX0FOTl9DQUdSLjk5Mi4wMi8wOC8yMDI2AQAAAEtVAAACAAAABy0zLjc2MDgBCAAAAAUAAAABMQEAAAAKMjA0NzI3MTc0NQMAAAADMTYwAgAAAAQ0MjM5BAAAAAEwBwAAAAg4LzIvMjAyNggAAAAJNi8zMC8yMDE4CQAAAAEwF3bCbyzw3gia9NqHLPDeCDdDSVEuTkFTREFROk1TRlQuSVFfVU5FQVJOX1JFVl9MVC45OTguMDIvMDgvMjAyNi4uLlVTRC5IAQAAAEtVAAACAAAABDI2MDIBCAAAAAUAAAABMQEAAAALLTE4ODAyMjk2OTQDAAAAAzE2MAIAAAAEMTI1NgQAAAABMAcAAAAIOC8yLzIwMjYIAAAACTYvMzAvMjAyNAkAAAABMBd2wm8s8N4ImA/Ihyzw3gg0Q0lRLk5BU0RBUTpNU0ZULklRX1RPVEFMX0xJQUIuOTk0LjAyLzA4LzIwMjYuLi5VU0QuSAEAAABLVQAAAgAAAAYxODMwMDcBCAAAAAUAAAABMQEAAAALLTIwODc0OTY2MjcDAAAAAzE2MAIAAAAEMTI3NgQAAAABMAcAAAAIOC8yLzIwMjYIAAAACTYvMzAvMjAyMAkAAAABMBd2wm8s8N4ImA/Ihyzw3gg5Q0lRLk5BU0RBUTpNU0ZULklRX1BSRUZfTk9OX1JFREVFTS45OTUuMDIvMDgvMjAyNi4uLlVTRC5IAQAAAEtVAAADAAAAAAAXdsJvLPDeCIjox4cs8N4INUNJUS5OQVNEQVE6TVNG</t>
  </si>
  <si>
    <t>VC5JUV9QUkVGX0VRVUlUWS45OTMuMDIvMDgvMjAyNi4uLlVTRC5IAQAAAEtVAAADAAAAAAAXdsJvLPDeCIjox4cs8N4ILkNJUS5OQVNEQVE6TVNGVC5JUV9BUElDLjk5NC4wMi8wOC8yMDI2Li4uVVNELkgBAAAAS1UAAAMAAAAAABd2wm8s8N4IiOjHhyzw3ggyQ0lRLk5BU0RBUTpNU0ZULklRX1RSRUFTVVJZLjk5NS4wMi8wOC8yMDI2Li4uVVNELkgBAAAAS1UAAAMAAAAAABd2wm8s8N4IsTbIhyzw3gg7Q0lRLk5BU0RBUTpNU0ZULklRX01JTk9SSVRZX0lOVEVSRVNULjk5My4wMi8wOC8yMDI2Li4uVVNELkgBAAAAS1UAAAMAAAAAABd2wm8s8N4IsTbIhyzw3gg7Q0lRLk5BU0RBUTpNU0ZULklRX1RPVEFMX0xJQUJfRVFVSVRZLjk5NC4wMi8wOC8yMDI2Li4uVVNELkgBAAAAS1UAAAIAAAAGMzAxMzExAQgAAAAFAAAAATEBAAAACy0yMDg3NDk2NjI3AwAAAAMxNjACAAAABDEwMTMEAAAAATAHAAAACDgvMi8yMDI2CAAAAAk2LzMwLzIwMjAJAAAAATAXdsJvLPDeCIjox4cs8N4IMUNJUS5OQVNEQVE6TVNGVC5JUV9SVUFfTkVULjk5Mi4wMi8wOC8yMDI2Li4uVVNELkgBAAAAS1UAAAMAAAAAABd2wm8s8N4ImA/Ihyzw3ghFQ0lRLk5BU0RBUTpNU0ZULklRX1JVQV9DQVBJVEFMX0xFQVNFX0FDQ1VNX0RFUC45OTMuMDIvMDgvMjAyNi4uLlVTRC5IAQAAAEtVAAADAAAAAAAXdsJvLPDeCJgPyIcs8N4IQ0NJUS5O</t>
  </si>
  <si>
    <t>QVNEQVE6TVNGVC5JUV9SVUFfT1BFUkFUSU5HX0xFQVNFX0dST1NTLjk5NS4wMi8wOC8yMDI2Li4uVVNELkgBAAAAS1UAAAIAAAAFMTEwODgBCAAAAAUAAAABMQEAAAALLTIwMzY4NDM4NDMDAAAAAzE2MAIAAAAFNDgzNzcEAAAAATAHAAAACDgvMi8yMDI2CAAAAAk2LzMwLzIwMjEJAAAAATAXdsJvLPDeCLE2yIcs8N4IP0NJUS5OQVNEQVE6TVNGVC5JUV9HUFBFX0VYQ0xfT1BFUl9MRUFTRVMuOTkyLjAyLzA4LzIwMjYuLi5VU0QuSAEAAABLVQAAAgAAAAU1ODY4MwEIAAAABQAAAAExAQAAAAoyMDQ3MjcxNzQ1AwAAAAMxNjACAAAABTQ4OTc0BAAAAAEwBwAAAAg4LzIvMjAyNggAAAAJNi8zMC8yMDE4CQAAAAEwF3bCbyzw3gixNsiHLPDeCD9DSVEuTkFTREFROk1TRlQuSVFfTlBQRV9FWENMX09QRVJfTEVBU0VTLjk5NC4wMi8wOC8yMDI2Li4uVVNELkgBAAAAS1UAAAIAAAAFNDQxNTEBCAAAAAUAAAABMQEAAAALLTIwODc0OTY2MjcDAAAAAzE2MAIAAAAFNDg5NzYEAAAAATAHAAAACDgvMi8yMDI2CAAAAAk2LzMwLzIwMjAJAAAAATAXdsJvLPDeCJgPyIcs8N4IP0NJUS5OQVNEQVE6TVNGVC5JUV9UT1RBTF9GSU5BTkNFX0xFQVNFUy4xMDAwLjAyLzA4LzIwMjYuLi5VU0QuSAEAAABLVQAAAgAAAAU2NjU5NAEIAAAABQAAAAExAQAAAAstMTg4MDIyOTY2NQMAAAADMTYwAgAAAAU0OTAzMQQAAAABMAcAAAAI</t>
  </si>
  <si>
    <t>OC8yLzIwMjYIAAAACTYvMzAvMjAyNgkAAAABMBd2wm8s8N4ImA/Ihyzw3ghLQ0lRLk5BU0RBUTpNU0ZULklRX0xUX1BPUlRJT05fT1BFUl9MRUFTRV9MSUFCSUxJVElFUy45OTMuMDIvMDgvMjAyNi4uLlVTRC5IAQAAAEtVAAACAAAABDYxODgBCAAAAAUAAAABMQEAAAALLTIxNDA5ODE0NjkDAAAAAzE2MAIAAAAFNDgzODMEAAAAATAHAAAACDgvMi8yMDI2CAAAAAk2LzMwLzIwMTkJAAAAATAXdsJvLPDeCJgPyIcs8N4INkNJUS5OQVNEQVE6TVNGVC5JUV9UT1RBTF9MRUFTRVMuOTk1LjAyLzA4LzIwMjYuLi5VU0QuSAEAAABLVQAAAgAAAAUyNDEzMgEIAAAABQAAAAExAQAAAAstMjAzNjg0Mzg0MwMAAAADMTYwAgAAAAU0ODk3OQQAAAABMAcAAAAIOC8yLzIwMjYIAAAACTYvMzAvMjAyMQkAAAABMBd2wm8s8N4Iy13Ihyzw3ghGQ0lRLk5BU0RBUTpNU0ZULklRX1RPVEFMX0RFQlRfRVhDTF9PUEVSX0xFQVNFUy4xMDAwLjAyLzA4LzIwMjYuLi5VU0QuSAEAAABLVQAAAgAAAAYxMDY4ODgBCAAAAAUAAAABMQEAAAALLTE4ODAyMjk2NjUDAAAAAzE2MAIAAAAFNDg5ODIEAAAAATAHAAAACDgvMi8yMDI2CAAAAAk2LzMwLzIwMjYJAAAAATAXdsJvLPDeCMtdyIcs8N4IMkNJUS5OQVNEQVE6TVNGVC5JUV9CVl9TSEFSRS45OTYuMDIvMDgvMjAyNi4uLlVTRC5IAQAAAEtVAAACAAAABzIyLjMxMjcBCAAAAAUAAAAB</t>
  </si>
  <si>
    <t>MQEAAAALLTE5ODU5MzEyMjQDAAAAAzE2MAIAAAAENDAyMAQAAAABMAcAAAAIOC8yLzIwMjYIAAAACTYvMzAvMjAyMgkAAAABMBd2wm8s8N4IsTbIhyzw3gg9Q0lRLk5BU0RBUTpNU0ZULklRX1RCVl9TSEFSRV9SRVBPUlRFRC4xMDAwLjAyLzA4LzIwMjYuLi5VU0QuSAEAAABLVQAAAwAAAAAAF3bCbyzw3gixNsiHLPDeCDJDSVEuTkFTREFROk1TRlQuSVFfR1dfSU5UQU4uOTk1LjAyLzA4LzIwMjYuLi5VU0QuSAEAAABLVQAAAgAAAAU1NzUxMQEIAAAABQAAAAExAQAAAAstMjAzNjg0Mzg0MwMAAAADMTYwAgAAAAUzNTM4MQQAAAABMAcAAAAIOC8yLzIwMjYIAAAACTYvMzAvMjAyMQkAAAABMBd2wm8s8N4IsTbIhyzw3gg0Q0lRLk5BU0RBUTpNU0ZULklRX1RPVEFMX0RFQlQuOTk3LjAyLzA4LzIwMjYuLi5VU0QuSAEAAABLVQAAAgAAAAU3OTQ0MQEIAAAABQAAAAExAQAAAAstMTkzNDI1NDI1MAMAAAADMTYwAgAAAAQ0MTczBAAAAAEwBwAAAAg4LzIvMjAyNggAAAAJNi8zMC8yMDIzCQAAAAEwF3bCbyzw3gjLXciHLPDeCEFDSVEuTkFTREFROk1TRlQuSVFfTUlOT1JJVFlfSU5URVJFU1RfVE9UQUwuOTkyLjAyLzA4LzIwMjYuLi5VU0QuSAEAAABLVQAAAwAAAAAAF3bCbyzw3gjLXciHLPDeCDNDSVEuTkFTREFROk1TRlQuSVFfVE9UQUxfQ0FQLjk5Ni4wMi8wOC8yMDI2Li4uVVNELkgBAAAAS1UAAAIAAAAG</t>
  </si>
  <si>
    <t>MjQ0OTQyAQgAAAAFAAAAATEBAAAACy0xOTg1OTMxMjI0AwAAAAMxNjACAAAABDQxNzUEAAAAATAHAAAACDgvMi8yMDI2CAAAAAk2LzMwLzIwMjIJAAAAATAXdsJvLPDeCLE2yIcs8N4IO0NJUS5OQVNEQVE6TVNGVC5JUV9BTExPV19ET1VCVF9BQ0NULjEwMDAuMDIvMDgvMjAyNi4uLlVTRC5IAQAAAEtVAAACAAAABDEwNDABCAAAAAUAAAABMQEAAAALLTE4ODAyMjk2NjUDAAAAAzE2MAIAAAAEMzAxMgQAAAABMAcAAAAIOC8yLzIwMjYIAAAACTYvMzAvMjAyNgkAAAABMBd2wm8s8N4Iy13Ihyzw3ggvQ0lRLk5BU0RBUTpNU0ZULklRX0xJRk9SLjk5Ni4wMi8wOC8yMDI2Li4uVVNELkgBAAAAS1UAAAMAAAAAABd2wm8s8N4Iy13Ihyzw3ggyQ0lRLk5BU0RBUTpNU0ZULklRX1JBV19JTlYuMTAwMC4wMi8wOC8yMDI2Li4uVVNELkgBAAAAS1UAAAMAAAAAABd2wm8s8N4I04TIhyzw3gguQ0lRLk5BU0RBUTpNU0ZULklRX0xBTkQuOTk1LjAyLzA4LzIwMjYuLi5VU0QuSAEAAABLVQAAAgAAAAQzNjYwAQgAAAAFAAAAATEBAAAACy0yMDM2ODQzODQzAwAAAAMxNjACAAAABDMwOTgEAAAAATAHAAAACDgvMi8yMDI2CAAAAAk2LzMwLzIwMjEJAAAAATAXdsJvLPDeCNOEyIcs8N4IM0NJUS5OQVNEQVE6TVNGVC5JUV9NQUNISU5FUlkuOTk3LjAyLzA4LzIwMjYuLi5VU0QuSAEAAABLVQAAAgAAAAU4MTIwNwEIAAAABQAA</t>
  </si>
  <si>
    <t>AAExAQAAAAstMTkzNDI1NDI1MAMAAAADMTYwAgAAAAQzMTE0BAAAAAEwBwAAAAg4LzIvMjAyNggAAAAJNi8zMC8yMDIzCQAAAAEwF3bCbyzw3gjLXciHLPDeCC1DSVEuTkFTREFROk1TRlQuSVFfQ0lQLjk5NC4wMi8wOC8yMDI2Li4uVVNELkgBAAAAS1UAAAMAAAAAABd2wm8s8N4Iy13Ihyzw3gg9Q0lRLk5BU0RBUTpNU0ZULklRX01JTk9SSVRZX0lOVF9SRURFRU0uOTk2LjAyLzA4LzIwMjYuLi5VU0QuSAEAAABLVQAAAwAAAAAAF3bCbyzw3gjLXciHLPDeCEFDSVEuTkFTREFROk1TRlQuSVFfTUlOT1JJVFlfSU5UX1JFREVFTV9UT1QuOTk4LjAyLzA4LzIwMjYuLi5VU0QuSAEAAABLVQAAAwAAAAAAF3bCbyzw3gjThMiHLPDeCEdDSVEuTkFTREFROk1TRlQuSVFfR0VORVJBTF9QQVJUTkVSX0NPTU1PTl9FUVVJVFkuOTk1LjAyLzA4LzIwMjYuLi5VU0QuSAEAAABLVQAAAwAAAAAAF3bCbyzw3gjThMiHLPDeCEtDSVEuTkFTREFROk1TRlQuSVFfR0VORVJBTF9QQVJUTkVSX01JTk9SSVRZX0lOVEVSRVNULjk5Ny4wMi8wOC8yMDI2Li4uVVNELkgBAAAAS1UAAAMAAAAAABd2wm8s8N4Iy13Ihyzw3ghQQ0lRLk5BU0RBUTpNU0ZULklRX0xJUVVJREFUSU9OX1ZBTFVFX1BSRUZFUlJFRF9OT05fUkVERUVNLjk5NC4wMi8wOC8yMDI2Li4uVVNELkgBAAAAS1UAAAMAAAAAABd2wm8s8N4I04TIhyzw3gg4Q0lRLk5B</t>
  </si>
  <si>
    <t>U0RBUTpNU0ZULklRX0FTU0VUU19MRVZFTF8xLjk5Ni4wMi8wOC8yMDI2Li4uVVNELkgBAAAAS1UAAAIAAAAFNzkxMzgAF3bCbyzw3gjThMiHLPDeCDhDSVEuTkFTREFROk1TRlQuSVFfQVNTRVRTX0xFVkVMXzMuOTk4LjAyLzA4LzIwMjYuLi5VU0QuSAEAAABLVQAAAgAAAAQxNzMxABd2wm8s8N4I56vIhyzw3gg9Q0lRLk5BU0RBUTpNU0ZULklRX0xJQUJJTElUSUVTX0xFVkVMXzEuOTk1LjAyLzA4LzIwMjYuLi5VU0QuSAEAAABLVQAAAwAAAAAAF3bCbyzw3gjnq8iHLPDeCD1DSVEuTkFTREFROk1TRlQuSVFfTElBQklMSVRJRVNfTEVWRUxfMy45OTcuMDIvMDgvMjAyNi4uLlVTRC5IAQAAAEtVAAADAAAAAAAXdsJvLPDeCNOEyIcs8N4ISUNJUS5OQVNEQVE6TVNGVC5JUV9GQUlSX1ZBTFVFX0NIQU5HRV9JTkNMX0VBUk5JTkdTLjk5NC4wMi8wOC8yMDI2Li4uVVNELkgBAAAAS1UAAAMAAAAAABd2wm8s8N4I04TIhyzw3gg/Q0lRLk5BU0RBUTpNU0ZULklRX0ZJTl9ESVZfU1RfREVCVF9UT1RBTC45OTguMDIvMDgvMjAyNi4uLlVTRC5IAQAAAEtVAAADAAAAAAAXdsJvLPDeCNOEyIcs8N4IPENJUS5OQVNEQVE6TVNGVC5JUV9GSU5fRElWX0NBU0hfRVFVSVYuOTk5LjAyLzA4LzIwMjYuLi5VU0QuSAEAAABLVQAAAwAAAAAAG0/Cbyzw3gjnq8iHLPDeCD9DSVEuTkFTREFROk1TRlQuSVFfREVCVF9FUVVJVl9P</t>
  </si>
  <si>
    <t>UEVSX0xFQVNFLjk5Ny4wMi8wOC8yMDI2Li4uVVNELkgBAAAAS1UAAAIAAAAFMjMwMDABCAAAAAUAAAABMQEAAAALLTE5MzQyNTQyNTADAAAAAzE2MAIAAAAFMjE2NzEEAAAAATAHAAAACDgvMi8yMDI2CAAAAAk2LzMwLzIwMjMJAAAAATAbT8JvLPDeCOeryIcs8N4IP0NJUS5OQVNEQVE6TVNGVC5JUV9SRVNUUklDVEVEX0NBU0hfVE9UQUwuOTk1LjAyLzA4LzIwMjYuLi5VU0QuSAEAAABLVQAAAwAAAAAAG0/Cbyzw3gjThMiHLPDeCEBDSVEuTkFTREFROk1TRlQuSVFfQ09OVElOR0VOVF9MSUFCSUxJVElFUy45OTkuMDIvMDgvMjAyNi4uLlVTRC5IAQAAAEtVAAADAAAAAAAbT8JvLPDeCOeryIcs8N4IR0NJUS5OQVNEQVE6TVNGVC5JUV9DVVJSRU5UX1BPUlRfREVCVF9ERVJJVkFUSVZFUy45OTIuMDIvMDgvMjAyNi4uLlVTRC5IAQAAAEtVAAADAAAAAAAbT8JvLPDeCOeryIcs8N4IPUNJUS5OQVNEQVE6TVNGVC5JUV9MVF9ERUJUX0RFUklWQVRJVkVTLjk5Ni4wMi8wOC8yMDI2Li4uVVNELkgBAAAAS1UAAAMAAAAAABtPwm8s8N4I/NLIhyzw3ghEQ0lRLk5BU0RBUTpNU0ZULklRX0RFUklWQVRJVkVfVFJBRElOR19BU1NFVFMuMTAwMC4wMi8wOC8yMDI2Li4uVVNELkgBAAAAS1UAAAMAAAAAABtPwm8s8N4I/NLIhyzw3gg8Q0lRLk5BU0RBUTpNU0ZULklRX0dST1NTX0lOVEFOX0FTU0VUUy45OTMuMDIvMDgv</t>
  </si>
  <si>
    <t>MjAyNi4uLlVTRC5IAQAAAEtVAAACAAAABTE3MTM5AQgAAAAFAAAAATEBAAAACy0yMTQwOTgxNDY5AwAAAAMxNjACAAAABTI0MjkzBAAAAAEwBwAAAAg4LzIvMjAyNggAAAAJNi8zMC8yMDE5CQAAAAEwG0/Cbyzw3gjnq8iHLPDeCDhDSVEuTkFTREFROk1TRlQuSVFfQUNDVU1fQU1PUlRfR1cuOTk3LjAyLzA4LzIwMjYuLi5VU0QuSAEAAABLVQAAAwAAAAAAG0/Cbyzw3gjnq8iHLPDeCD9DSVEuTkFTREFROk1TRlQuSVFfQURWQU5DRVNfRk9SX1NVUFBMSUVTLjk5Mi4wMi8wOC8yMDI2Li4uVVNELkgBAAAAS1UAAAMAAAAAABtPwm8s8N4I56vIhyzw3ggwQ0lRLk5BU0RBUTpNU0ZULklRX0dXX05FVC45OTMuMDIvMDgvMjAyNi4uLlVTRC5IAQAAAEtVAAACAAAABTQyMDI2AQgAAAAFAAAAATEBAAAACy0yMTQwOTgxNDY5AwAAAAMxNjACAAAABTQ4OTYwBAAAAAEwBwAAAAg4LzIvMjAyNggAAAAJNi8zMC8yMDE5CQAAAAEwG0/Cbyzw3gj80siHLPDeCD1DSVEuTkFTREFROk1TRlQuSVFfSU5URVJDT01QQU5ZX05PTl9DQS45OTguMDIvMDgvMjAyNi4uLlVTRC5IAQAAAEtVAAADAAAAAAAbT8JvLPDeCPzSyIcs8N4IPUNJUS5OQVNEQVE6TVNGVC5JUV9JTlRFUkNPTVBBTllfTk9OX0NMLjk5Mi4wMi8wOC8yMDI2Li4uVVNELkgBAAAAS1UAAAMAAAAAABtPwm8s8N4I/NLIhyzw3gguQ0lRLk5BU0RBUTpNU0ZULklR</t>
  </si>
  <si>
    <t>X0JBU0lDX1dFSUdIVC45OTUuMDIvMDgvMjAyNgEAAABLVQAAAgAAAAQ3NTQ3ABtPwm8s8N4IdM3ahyzw3ggyQ0lRLk5BU0RBUTpNU0ZULklRX0RSX1JBVElPX1BSSU1BUlkuOTk1LjAyLzA4LzIwMjYBAAAAS1UAAAIAAAAHMC4wNDE2NwAbT8JvLPDeCDem2ocs8N4ILENJUS5OQVNEQVE6TVNGVC5JUV9TQU1FX1NUT1JFLjk5Ni4wMi8wOC8yMDI2AQAAAEtVAAADAAAAAAAbT8JvLPDeCI2S2ocs8N4ILkNJUS5OQVNEQVE6TVNGVC5JUV9QQVlPVVRfUkFUSU8uOTkzLjAyLzA4LzIwMjYBAAAAS1UAAAIAAAAHMzUuMTk2MgEIAAAABQAAAAExAQAAAAstMjE0MDk4MTQ2OQMAAAADMTYwAgAAAAQ0Mzc3BAAAAAEwBwAAAAg4LzIvMjAyNggAAAAJNi8zMC8yMDE5CQAAAAEwG0/Cbyzw3gg3ptqHLPDeCDFDSVEuTkFTREFROk1TRlQuSVFfUkVTVEFURU1FTlRfSVMuMTAwMC4wMi8wOC8yMDI2AQAAAEtVAAADAAAAAU8AG0/Cbyzw3gg3ptqHLPDeCClDSVEuTkFTREFROk1TRlQuSVFfR0FBUF9JUy45OTMuMDIvMDgvMjAyNgEAAABLVQAAAwAAAAdVUyBHQUFQABtPwm8s8N4Ibmvahyzw3ggxQ0lRLk5BU0RBUTpNU0ZULklRX1JFU1RBVEVNRU5UX0NGLjEwMDAuMDIvMDgvMjAyNgEAAABLVQAAAwAAAAFPABtPwm8s8N4Ibmvahyzw3ggpQ0lRLk5BU0RBUTpNU0ZULklRX0dBQVBfQ0YuOTk0LjAyLzA4LzIwMjYBAAAAS1UA</t>
  </si>
  <si>
    <t>AAMAAAAHVVMgR0FBUAAbT8JvLPDeCDem2ocs8N4ILUNJUS5OQVNEQVE6TVNGVC5JUV9JTlZfTUVUSE9ELjEwMDAuMDIvMDgvMjAyNgEAAABLVQAAAwAAAAJOQQAbT8JvLPDeCDem2ocs8N4IK0NJUS5OQVNEQVE6TVNGVC5JUV9QQVJUX1RJTUUuOTk1LjAyLzA4LzIwMjYBAAAAS1UAAAMAAAAAABtPwm8s8N4IN6bahyzw3ghBQ0lRLk5BU0RBUTpNU0ZULklRX0VNUExPWUVFU19VTkRFUl9VTklPTl9DT05UUkFDVFMuOTk3LjAyLzA4LzIwMjYBAAAAS1UAAAMAAAAAABtPwm8s8N4Ibmvahyzw3gg0Q0lRLk5BU0RBUTpNU0ZULklRX05VTUJFUl9BRFJIT0xERVJTLjEwMDAuMDIvMDgvMjAyNgEAAABLVQAAAwAAAAAAG0/Cbyzw3ghua9qHLPDeCC9DSVEuTkFTREFROk1TRlQuSVFfUkVUVVJOX0FTU0VUUy45OTIuMDIvMDgvMjAyNgEAAABLVQAAAgAAAAY4LjYwNjgBCAAAAAUAAAABMQEAAAAKMjA0NzI3MTc0NQMAAAADMTYwAgAAAAQ0MTc4BAAAAAEwBwAAAAg4LzIvMjAyNggAAAAJNi8zMC8yMDE4CQAAAAEwG0/Cbyzw3giNktqHLPDeCC9DSVEuTkFTREFROk1TRlQuSVFfUkVUVVJOX0VRVUlUWS45OTMuMDIvMDgvMjAyNgEAAABLVQAAAgAAAAc0Mi40MTA2AQgAAAAFAAAAATEBAAAACy0yMTQwOTgxNDY5AwAAAAMxNjACAAAABDQxMjgEAAAAATAHAAAACDgvMi8yMDI2CAAAAAk2LzMwLzIwMTkJAAAAATAbT8Jv</t>
  </si>
  <si>
    <t>LPDeCI2S2ocs8N4ILkNJUS5OQVNEQVE6TVNGVC5JUV9HUk9TU19NQVJHSU4uOTk0LjAyLzA4LzIwMjYBAAAAS1UAAAIAAAAGNjcuNzgxAQgAAAAFAAAAATEBAAAACy0yMDg3NDk2NjI3AwAAAAMxNjACAAAABDQwNzQEAAAAATAHAAAACDgvMi8yMDI2CAAAAAk2LzMwLzIwMjAJAAAAATAbT8JvLPDeCG1E2ocs8N4IK0NJUS5OQVNEQVE6TVNGVC5JUV9OSV9NQVJHSU4uOTkyLjAyLzA4LzIwMjYBAAAAS1UAAAIAAAAHMTUuMDE1NAEIAAAABQAAAAExAQAAAAoyMDQ3MjcxNzQ1AwAAAAMxNjACAAAABDQwOTQEAAAAATAHAAAACDgvMi8yMDI2CAAAAAk2LzMwLzIwMTgJAAAAATAbT8JvLPDeCG1E2ocs8N4ILUNJUS5OQVNEQVE6TVNGVC5JUV9BU1NFVF9UVVJOUy45OTMuMDIvMDgvMjAyNgEAAABLVQAAAgAAAAgwLjQ2MTQ2NwEIAAAABQAAAAExAQAAAAstMjE0MDk4MTQ2OQMAAAADMTYwAgAAAAQ0MTc3BAAAAAEwBwAAAAg4LzIvMjAyNggAAAAJNi8zMC8yMDE5CQAAAAEwG0/Cbyzw3ghua9qHLPDeCDFDSVEuTkFTREFROk1TRlQuSVFfSU5WRU5UT1JZX1RVUk5TLjk5OC4wMi8wOC8yMDI2AQAAAEtVAAACAAAACTM5LjU2OTY3NAEIAAAABQAAAAExAQAAAAstMTg4MDIyOTY5NAMAAAADMTYwAgAAAAQ0MDgyBAAAAAEwBwAAAAg4LzIvMjAyNggAAAAJNi8zMC8yMDI0CQAAAAEwG0/Cbyzw3ghua9qHLPDeCC1DSVEu</t>
  </si>
  <si>
    <t>TkFTREFROk1TRlQuSVFfUVVJQ0tfUkFUSU8uOTkyLjAyLzA4LzIwMjYBAAAAS1UAAAIAAAAIMi43MzgwODMBCAAAAAUAAAABMQEAAAAKMjA0NzI3MTc0NQMAAAADMTYwAgAAAAQ0MTIxBAAAAAEwBwAAAAg4LzIvMjAyNggAAAAJNi8zMC8yMDE4CQAAAAEwG0/Cbyzw3ghua9qHLPDeCDBDSVEuTkFTREFROk1TRlQuSVFfREFZU19TQUxFU19PVVQuOTkzLjAyLzA4LzIwMjYBAAAAS1UAAAIAAAAJODEuMjE5NDM1AQgAAAAFAAAAATEBAAAACy0yMTQwOTgxNDY5AwAAAAMxNjACAAAABDQwNDIEAAAAATAHAAAACDgvMi8yMDI2CAAAAAk2LzMwLzIwMTkJAAAAATAbT8JvLPDeCG1E2ocs8N4IMUNJUS5OQVNEQVE6TVNGVC5JUV9DQVNIX0NPTlZFUlNJT04uOTk5LjAyLzA4LzIwMjYBAAAAS1UAAAIAAAAKLTE2Ljk3NzI0NQEIAAAABQAAAAExAQAAAAstMTg4MDIyOTY4NgMAAAADMTYwAgAAAAQ0MTg0BAAAAAEwBwAAAAg4LzIvMjAyNggAAAAJNi8zMC8yMDI1CQAAAAEwG0/Cbyzw3ghtRNqHLPDeCDRDSVEuTkFTREFROk1TRlQuSVFfVE9UQUxfREVCVF9DQVBJVEFMLjk5Mi4wMi8wOC8yMDI2AQAAAEtVAAACAAAABzUxLjQwNjkBCAAAAAUAAAABMQEAAAAKMjA0NzI3MTc0NQMAAAADMTYwAgAAAAQ0MTg2BAAAAAEwBwAAAAg4LzIvMjAyNggAAAAJNi8zMC8yMDE4CQAAAAEwG0/Cbyzw3ghua9qHLPDeCDlDSVEuTkFT</t>
  </si>
  <si>
    <t>REFROk1TRlQuSVFfVE9UQUxfTElBQl9UT1RBTF9BU1NFVFMuOTk4LjAyLzA4LzIwMjYBAAAAS1UAAAIAAAAHNDcuNTc5NwEIAAAABQAAAAExAQAAAAstMTg4MDIyOTY5NAMAAAADMTYwAgAAAAQ0MTg4BAAAAAEwBwAAAAg4LzIvMjAyNggAAAAJNi8zMC8yMDI0CQAAAAEwG0/Cbyzw3ghua9qHLPDeCC1DSVEuTkFTREFROk1TRlQuSVFfRUJJVERBX0lOVC4xMDAwLjAyLzA4LzIwMjYBAAAAS1UAAAIAAAAJNjUuMzA1MDk1AQgAAAAFAAAAATEBAAAACy0xODgwMjI5NjY1AwAAAAMxNjACAAAABDQxOTAEAAAAATAHAAAACDgvMi8yMDI2CAAAAAk2LzMwLzIwMjYJAAAAATAbT8JvLPDeCG1E2ocs8N4IMkNJUS5OQVNEQVE6TVNGVC5JUV9FQklUREFfQ0FQRVhfSU5ULjk5Mi4wMi8wOC8yMDI2AQAAAEtVAAACAAAACTEyLjc3Mzg3NAEIAAAABQAAAAExAQAAAAoyMDQ3MjcxNzQ1AwAAAAMxNjACAAAABDQxOTEEAAAAATAHAAAACDgvMi8yMDI2CAAAAAk2LzMwLzIwMTgJAAAAATAbT8JvLPDeCGYd2ocs8N4IRENJUS5OQVNEQVE6TVNGVC5JUV9UT1RBTF9ERUJUX0VCSVREQV9FWENMX09QRVJfTEVBU0VTLjk5OS4wMi8wOC8yMDI2AQAAAEtVAAACAAAACDAuNzE2NzAyAQgAAAAFAAAAATEBAAAACy0xODgwMjI5Njg2AwAAAAMxNjACAAAABTQ4OTk0BAAAAAEwBwAAAAg4LzIvMjAyNggAAAAJNi8zMC8yMDI1CQAAAAEw</t>
  </si>
  <si>
    <t>G0/Cbyzw3ghmHdqHLPDeCENDSVEuTkFTREFROk1TRlQuSVFfTkVUX0RFQlRfRUJJVERBX0VYQ0xfT1BFUl9MRUFTRVMuMTAwMC4wMi8wOC8yMDI2AQAAAEtVAAACAAAACDAuMjY4NTQ4AQgAAAAFAAAAATEBAAAACy0xODgwMjI5NjY1AwAAAAMxNjACAAAABTQ5MTc1BAAAAAEwBwAAAAg4LzIvMjAyNggAAAAJNi8zMC8yMDI2CQAAAAEwG0/Cbyzw3ghtRNqHLPDeCDdDSVEuTkFTREFROk1TRlQuSVFfTkVUX0RFQlRfRUJJVERBX0NBUEVYLjk5OC4wMi8wOC8yMDI2AQAAAEtVAAACAAAACDAuMjUyMTgzAQgAAAAFAAAAATEBAAAACy0xODgwMjI5Njk0AwAAAAMxNjACAAAABTIzMzE0BAAAAAEwBwAAAAg4LzIvMjAyNggAAAAJNi8zMC8yMDI0CQAAAAEwG0/Cbyzw3ghtRNqHLPDeCClDSVEuTkFTREFROk1TRlQuSVFfWl9TQ09SRS45OTYuMDIvMDgvMjAyNgEAAABLVQAAAgAAAAg4LjYxMDA0MwEIAAAABQAAAAExAQAAAAstMTk4NTkzMTIyNAMAAAADMTYwAgAAAAYxMDAxMjMEAAAAATAHAAAACDgvMi8yMDI2CAAAAAk2LzMwLzIwMjIJAAAAATAbT8JvLPDeCG1E2ocs8N4IM0NJUS5OQVNEQVE6TVNGVC5JUV9HUF8xWVJfQU5OX0dST1dUSC45OTguMDIvMDgvMjAyNgEAAABLVQAAAgAAAAYxNy4wODcBCAAAAAUAAAABMQEAAAALLTE4ODAyMjk2OTQDAAAAAzE2MAIAAAAENDE5NQQAAAABMAcAAAAIOC8yLzIwMjYI</t>
  </si>
  <si>
    <t>AAAACTYvMzAvMjAyNAkAAAABMBtPwm8s8N4IZh3ahyzw3ggzQ0lRLk5BU0RBUTpNU0ZULklRX05JXzFZUl9BTk5fR1JPV1RILjk5NS4wMi8wOC8yMDI2AQAAAEtVAAACAAAABzM4LjM2ODYBCAAAAAUAAAABMQEAAAALLTIwMzY4NDM4NDMDAAAAAzE2MAIAAAAENDE5OQQAAAABMAcAAAAIOC8yLzIwMjYIAAAACTYvMzAvMjAyMQkAAAABMBtPwm8s8N4IZh3ahyzw3gg4Q0lRLk5BU0RBUTpNU0ZULklRX1RPVEFMX1JFVl8zWVJfQU5OX0NBR1IuOTk3LjAyLzA4LzIwMjYBAAAAS1UAAAIAAAAHMTQuMDA1NwEIAAAABQAAAAExAQAAAAstMTkzNDI1NDI1MAMAAAADMTYwAgAAAAQ0MjIwBAAAAAEwBwAAAAg4LzIvMjAyNggAAAAJNi8zMC8yMDIzCQAAAAEwG0/Cbyzw3ghmHdqHLPDeCDFDSVEuTkFTREFROk1TRlQuSVFfTklfM1lSX0FOTl9DQUdSLjk5Mi4wMi8wOC8yMDI2AQAAAEtVAAACAAAABzEwLjc2NzYBCAAAAAUAAAABMQEAAAAKMjA0NzI3MTc0NQMAAAADMTYwAgAAAAQ0MjI1BAAAAAEwBwAAAAg4LzIvMjAyNggAAAAJNi8zMC8yMDE4CQAAAAEwG0/Cbyzw3ghmHdqHLPDeCDJDSVEuTkFTREFROk1TRlQuSVFfRVBTXzNZUl9BTk5fQ0FHUi45OTYuMDIvMDgvMjAyNgEAAABLVQAAAgAAAAcyNC4wMTA2AQgAAAAFAAAAATEBAAAACy0xOTg1OTMxMjI0AwAAAAMxNjACAAAABDQyMjYEAAAAATAHAAAACDgvMi8y</t>
  </si>
  <si>
    <t>MDI2CAAAAAk2LzMwLzIwMjIJAAAAATAbT8JvLPDeCGYd2ocs8N4IMUNJUS5OQVNEQVE6TVNGVC5JUV9HUF81WVJfQU5OX0NBR1IuOTk3LjAyLzA4LzIwMjYBAAAAS1UAAAIAAAAHMTUuMTkzMQEIAAAABQAAAAExAQAAAAstMTkzNDI1NDI1MAMAAAADMTYwAgAAAAQ0MjM0BAAAAAEwBwAAAAg4LzIvMjAyNggAAAAJNi8zMC8yMDIzCQAAAAEwG0/Cbyzw3ghmHdqHLPDeCDJDSVEuTkFTREFROk1TRlQuSVFfRVBTXzVZUl9BTk5fQ0FHUi45OTMuMDIvMDgvMjAyNgEAAABLVQAAAgAAAAcxMy45ODI3AQgAAAAFAAAAATEBAAAACy0yMTQwOTgxNDY5AwAAAAMxNjACAAAABDQyMzkEAAAAATAHAAAACDgvMi8yMDI2CAAAAAk2LzMwLzIwMTkJAAAAATAbT8JvLPDeCD/22Ycs8N4IMUNJUS5OQVNEQVE6TVNGVC5JUV9MVF9ERUJULjk5Ny4wMi8wOC8yMDI2Li4uVVNELkgBAAAAS1UAAAIAAAAFNDE5OTABCAAAAAUAAAABMQEAAAALLTE5MzQyNTQyNTADAAAAAzE2MAIAAAAEMTA0OQQAAAABMAcAAAAIOC8yLzIwMjYIAAAACTYvMzAvMjAyMwkAAAABMBtPwm8s8N4I/NLIhyzw3gg5Q0lRLk5BU0RBUTpNU0ZULklRX0ZJTl9ESVZfREVCVF9MVC45OTguMDIvMDgvMjAyNi4uLlVTRC5IAQAAAEtVAAADAAAAAAAbT8JvLPDeCPzSyIcs8N4IMUNJUS5OQVNEQVE6TVNGVC5JUV9QRU5TSU9OLjk5Ni4wMi8wOC8yMDI2Li4uVVNE</t>
  </si>
  <si>
    <t>LkgBAAAAS1UAAAMAAAAAABtPwm8s8N4I/NLIhyzw3ghCQ0lRLk5BU0RBUTpNU0ZULklRX05FVF9ERUJUX0VCSVREQV9FWENMX09QRVJfTEVBU0VTLjk5Ni4wMi8wOC8yMDI2AQAAAEtVAAADAAAAAk5NAQgAAAAFAAAAATEBAAAACy0xOTg1OTMxMjI0AwAAAAMxNjACAAAABTQ5MTc1BAAAAAEwBwAAAAg4LzIvMjAyNggAAAAJNi8zMC8yMDIyCQAAAAEwZmZvbyzw3giv6t2HLPDeCDdDSVEuTkFTREFROk1TRlQuSVFfT1RIRVJfTElBQl9MVC45OTcuMDIvMDgvMjAyNi4uLlVTRC5IAQAAAEtVAAACAAAABTI3NjcxAQgAAAAFAAAAATEBAAAACy0xOTM0MjU0MjUwAwAAAAMxNjACAAAABDEwNjIEAAAAATAHAAAACDgvMi8yMDI2CAAAAAk2LzMwLzIwMjMJAAAAATAbT8JvLPDeCAH6yIcs8N4IN0NJUS5OQVNEQVE6TVNGVC5JUV9ORVRfREVCVF9FQklUREFfQ0FQRVguOTk0LjAyLzA4LzIwMjYBAAAAS1UAAAMAAAACTk0BCAAAAAUAAAABMQEAAAALLTIwODc0OTY2MjcDAAAAAzE2MAIAAAAFMjMzMTQEAAAAATAHAAAACDgvMi8yMDI2CAAAAAk2LzMwLzIwMjAJAAAAATBmZm9vLPDeCPrA3Ycs8N4INUNJUS5OQVNEQVE6TVNGVC5JUV9QUkVGX1JFREVFTS45OTguMDIvMDgvMjAyNi4uLlVTRC5IAQAAAEtVAAADAAAAAAAbT8JvLPDeCAH6yIcs8N4INUNJUS5OQVNEQVE6TVNGVC5JUV9QUkVGX0VRVUlUWS45OTQuMDIv</t>
  </si>
  <si>
    <t>MDgvMjAyNi4uLlVTRC5IAQAAAEtVAAADAAAAAAAbT8JvLPDeCPzSyIcs8N4ILkNJUS5OQVNEQVE6TVNGVC5JUV9BUElDLjk5NS4wMi8wOC8yMDI2Li4uVVNELkgBAAAAS1UAAAMAAAAAABtPwm8s8N4IAfrIhyzw3gg2Q0lRLk5BU0RBUTpNU0ZULklRX09USEVSX0VRVUlUWS45OTMuMDIvMDgvMjAyNi4uLlVTRC5IAQAAAEtVAAACAAAABC0zNDABCAAAAAUAAAABMQEAAAALLTIxNDA5ODE0NjkDAAAAAzE2MAIAAAAEMTAyOAQAAAABMAcAAAAIOC8yLzIwMjYIAAAACTYvMzAvMjAxOQkAAAABMBtPwm8s8N4IAfrIhyzw3gg7Q0lRLk5BU0RBUTpNU0ZULklRX01JTk9SSVRZX0lOVEVSRVNULjk5NC4wMi8wOC8yMDI2Li4uVVNELkgBAAAAS1UAAAMAAAAAABtPwm8s8N4IfCHJhyzw3gg7Q0lRLk5BU0RBUTpNU0ZULklRX1RPVEFMX0xJQUJfRVFVSVRZLjk5NS4wMi8wOC8yMDI2Li4uVVNELkgBAAAAS1UAAAIAAAAGMzMzNzc5AQgAAAAFAAAAATEBAAAACy0yMDM2ODQzODQzAwAAAAMxNjACAAAABDEwMTMEAAAAATAHAAAACDgvMi8yMDI2CAAAAAk2LzMwLzIwMjEJAAAAATAbT8JvLPDeCHwhyYcs8N4IMUNJUS5OQVNEQVE6TVNGVC5JUV9SVUFfTkVULjk5My4wMi8wOC8yMDI2Li4uVVNELkgBAAAAS1UAAAMAAAAAABtPwm8s8N4IAfrIhyzw3ghFQ0lRLk5BU0RBUTpNU0ZULklRX1JVQV9DQVBJVEFMX0xFQVNFX0FD</t>
  </si>
  <si>
    <t>Q1VNX0RFUC45OTQuMDIvMDgvMjAyNi4uLlVTRC5IAQAAAEtVAAADAAAAAAAbT8JvLPDeCAH6yIcs8N4IR0NJUS5OQVNEQVE6TVNGVC5JUV9SVUFfT1BFUkFUSU5HX0xFQVNFX0FDQ1VNX0RFUC45OTIuMDIvMDgvMjAyNi4uLlVTRC5IAQAAAEtVAAADAAAAAAAbT8JvLPDeCAH6yIcs8N4IP0NJUS5OQVNEQVE6TVNGVC5JUV9HUFBFX0VYQ0xfT1BFUl9MRUFTRVMuOTkzLjAyLzA4LzIwMjYuLi5VU0QuSAEAAABLVQAAAgAAAAU3MTgwNwEIAAAABQAAAAExAQAAAAstMjE0MDk4MTQ2OQMAAAADMTYwAgAAAAU0ODk3NAQAAAABMAcAAAAIOC8yLzIwMjYIAAAACTYvMzAvMjAxOQkAAAABMBtPwm8s8N4IfCHJhyzw3gg/Q0lRLk5BU0RBUTpNU0ZULklRX05QUEVfRVhDTF9PUEVSX0xFQVNFUy45OTUuMDIvMDgvMjAyNi4uLlVTRC5IAQAAAEtVAAACAAAABTU5NzE1AQgAAAAFAAAAATEBAAAACy0yMDM2ODQzODQzAwAAAAMxNjACAAAABTQ4OTc2BAAAAAEwBwAAAAg4LzIvMjAyNggAAAAJNi8zMC8yMDIxCQAAAAEwG0/Cbyzw3gh8IcmHLPDeCD5DSVEuTkFTREFROk1TRlQuSVFfVE9UQUxfRklOQU5DRV9MRUFTRVMuOTkyLjAyLzA4LzIwMjYuLi5VU0QuSAEAAABLVQAAAgAAAAQ0MzAxAQgAAAAFAAAAATEBAAAACjIwNDcyNzE3NDUDAAAAAzE2MAIAAAAFNDkwMzEEAAAAATAHAAAACDgvMi8yMDI2CAAAAAk2LzMwLzIw</t>
  </si>
  <si>
    <t>MTgJAAAAATAbT8JvLPDeCAH6yIcs8N4IS0NJUS5OQVNEQVE6TVNGVC5JUV9MVF9QT1JUSU9OX09QRVJfTEVBU0VfTElBQklMSVRJRVMuOTk0LjAyLzA4LzIwMjYuLi5VU0QuSAEAAABLVQAAAgAAAAQ3NjcxAQgAAAAFAAAAATEBAAAACy0yMDg3NDk2NjI3AwAAAAMxNjACAAAABTQ4MzgzBAAAAAEwBwAAAAg4LzIvMjAyNggAAAAJNi8zMC8yMDIwCQAAAAEwG0/Cbyzw3ggB+siHLPDeCFNDSVEuTkFTREFROk1TRlQuSVFfRklOQU5DSU5HX09CTElHX0NVUlJFTlRfRVhDTF9PUEVSX0xFQVNFUy4xMDAwLjAyLzA4LzIwMjYuLi5VU0QuSAEAAABLVQAAAgAAAAUxMzUxNwEIAAAABQAAAAExAQAAAAstMTg4MDIyOTY2NQMAAAADMTYwAgAAAAU0ODk4MAQAAAABMAcAAAAIOC8yLzIwMjYIAAAACTYvMzAvMjAyNgkAAAABMBtPwm8s8N4IAfrIhyzw3ghFQ0lRLk5BU0RBUTpNU0ZULklRX1RPVEFMX0RFQlRfRVhDTF9PUEVSX0xFQVNFUy45OTMuMDIvMDgvMjAyNi4uLlVTRC5IAQAAAEtVAAACAAAABTc4NzUyAQgAAAAFAAAAATEBAAAACy0yMTQwOTgxNDY5AwAAAAMxNjACAAAABTQ4OTgyBAAAAAEwBwAAAAg4LzIvMjAyNggAAAAJNi8zMC8yMDE5CQAAAAEwG0/Cbyzw3ghlSMmHLPDeCDJDSVEuTkFTREFROk1TRlQuSVFfQlZfU0hBUkUuOTk3LjAyLzA4LzIwMjYuLi5VU0QuSAEAAABLVQAAAgAAAAkyNy43NDc5ODEB</t>
  </si>
  <si>
    <t>CAAAAAUAAAABMQEAAAALLTE5MzQyNTQyNTADAAAAAzE2MAIAAAAENDAyMAQAAAABMAcAAAAIOC8yLzIwMjYIAAAACTYvMzAvMjAyMwkAAAABMBtPwm8s8N4IZUjJhyzw3gg8Q0lRLk5BU0RBUTpNU0ZULklRX1RCVl9TSEFSRV9SRVBPUlRFRC45OTQuMDIvMDgvMjAyNi4uLlVTRC5IAQAAAEtVAAADAAAAAAAbT8JvLPDeCHwhyYcs8N4IMkNJUS5OQVNEQVE6TVNGVC5JUV9HV19JTlRBTi45OTYuMDIvMDgvMjAyNi4uLlVTRC5IAQAAAEtVAAACAAAABTc4ODIyAQgAAAAFAAAAATEBAAAACy0xOTg1OTMxMjI0AwAAAAMxNjACAAAABTM1MzgxBAAAAAEwBwAAAAg4LzIvMjAyNggAAAAJNi8zMC8yMDIyCQAAAAEwG0/Cbyzw3gh8IcmHLPDeCD1DSVEuTkFTREFROk1TRlQuSVFfVE9UQUxfREVCVF9DVVJSRU5ULjEwMDAuMDIvMDgvMjAyNi4uLlVTRC5IAQAAAEtVAAACAAAABTE4OTEwAQgAAAAFAAAAATEBAAAACy0xODgwMjI5NjY1AwAAAAMxNjACAAAABTI1MjIzBAAAAAEwBwAAAAg4LzIvMjAyNggAAAAJNi8zMC8yMDI2CQAAAAEwG0/Cbyzw3gh8IcmHLPDeCDJDSVEuTkFTREFROk1TRlQuSVFfTkVUX0RFQlQuOTk1LjAyLzA4LzIwMjYuLi5VU0QuSAEAAABLVQAAAgAAAAYtNDc5NzgBCAAAAAUAAAABMQEAAAALLTIwMzY4NDM4NDMDAAAAAzE2MAIAAAAENDM2NAQAAAABMAcAAAAIOC8yLzIwMjYIAAAACTYvMzAv</t>
  </si>
  <si>
    <t>MjAyMQkAAAABMBtPwm8s8N4IZUjJhyzw3ggzQ0lRLk5BU0RBUTpNU0ZULklRX1RPVEFMX0NBUC45OTcuMDIvMDgvMjAyNi4uLlVTRC5IAQAAAEtVAAACAAAABjI4NTY2NAEIAAAABQAAAAExAQAAAAstMTkzNDI1NDI1MAMAAAADMTYwAgAAAAQ0MTc1BAAAAAEwBwAAAAg4LzIvMjAyNggAAAAJNi8zMC8yMDIzCQAAAAEwG0/Cbyzw3ghlSMmHLPDeCDdDSVEuTkFTREFROk1TRlQuSVFfRVFVSVRZX01FVEhPRC45OTIuMDIvMDgvMjAyNi4uLlVTRC5IAQAAAEtVAAADAAAAAAAbT8JvLPDeCHwhyYcs8N4INUNJUS5OQVNEQVE6TVNGVC5JUV9BUl9VTkJJTExFRC45OTYuMDIvMDgvMjAyNi4uLlVTRC5IAQAAAEtVAAADAAAAAAAbT8JvLPDeCHwhyYcs8N4INkNJUS5OQVNEQVE6TVNGVC5JUV9GSU5JU0hFRF9JTlYuOTk1LjAyLzA4LzIwMjYuLi5VU0QuSAEAAABLVQAAAgAAAAQxMzY3AQgAAAAFAAAAATEBAAAACy0yMDM2ODQzODQzAwAAAAMxNjACAAAABDMwNzUEAAAAATAHAAAACDgvMi8yMDI2CAAAAAk2LzMwLzIwMjEJAAAAATAbT8JvLPDeCGVIyYcs8N4ILkNJUS5OQVNEQVE6TVNGVC5JUV9MQU5ELjk5Ni4wMi8wOC8yMDI2Li4uVVNELkgBAAAAS1UAAAIAAAAENDczNAEIAAAABQAAAAExAQAAAAstMTk4NTkzMTIyNAMAAAADMTYwAgAAAAQzMDk4BAAAAAEwBwAAAAg4LzIvMjAyNggAAAAJNi8zMC8yMDIyCQAA</t>
  </si>
  <si>
    <t>AAEwG0/Cbyzw3ghub8mHLPDeCDRDSVEuTkFTREFROk1TRlQuSVFfQlVJTERJTkdTLjEwMDAuMDIvMDgvMjAyNi4uLlVTRC5IAQAAAEtVAAACAAAABjE4Mjc0OQEIAAAABQAAAAExAQAAAAstMTg4MDIyOTY2NQMAAAADMTYwAgAAAAQzMDIzBAAAAAEwBwAAAAg4LzIvMjAyNggAAAAJNi8zMC8yMDI2CQAAAAEwG0/Cbyzw3ghub8mHLPDeCC1DSVEuTkFTREFROk1TRlQuSVFfQ0lQLjk5NS4wMi8wOC8yMDI2Li4uVVNELkgBAAAAS1UAAAMAAAAAABtPwm8s8N4IZUjJhyzw3gg9Q0lRLk5BU0RBUTpNU0ZULklRX01JTk9SSVRZX0lOVF9SRURFRU0uOTk3LjAyLzA4LzIwMjYuLi5VU0QuSAEAAABLVQAAAwAAAAAAG0/Cbyzw3ghlSMmHLPDeCENDSVEuTkFTREFROk1TRlQuSVFfRklOX0RJVl9NSU5PUklUWV9JTlRFUkVTVC45OTQuMDIvMDgvMjAyNi4uLlVTRC5IAQAAAEtVAAADAAAAAAAbT8JvLPDeCGVIyYcs8N4IR0NJUS5OQVNEQVE6TVNGVC5JUV9HRU5FUkFMX1BBUlRORVJfQ09NTU9OX0VRVUlUWS45OTYuMDIvMDgvMjAyNi4uLlVTRC5IAQAAAEtVAAADAAAAAAAbT8JvLPDeCG5vyYcs8N4IS0NJUS5OQVNEQVE6TVNGVC5JUV9HRU5FUkFMX1BBUlRORVJfTUlOT1JJVFlfSU5URVJFU1QuOTk4LjAyLzA4LzIwMjYuLi5VU0QuSAEAAABLVQAAAwAAAAAAG0/Cbyzw3ghub8mHLPDeCFBDSVEuTkFTREFROk1TRlQu</t>
  </si>
  <si>
    <t>SVFfTElRVUlEQVRJT05fVkFMVUVfUFJFRkVSUkVEX05PTl9SRURFRU0uOTk1LjAyLzA4LzIwMjYuLi5VU0QuSAEAAABLVQAAAwAAAAAAG0/Cbyzw3ghub8mHLPDeCDhDSVEuTkFTREFROk1TRlQuSVFfQVNTRVRTX0xFVkVMXzEuOTk3LjAyLzA4LzIwMjYuLi5VU0QuSAEAAABLVQAAAgAAAAU3MTUwNwAbT8JvLPDeCG5vyYcs8N4ISkNJUS5OQVNEQVE6TVNGVC5JUV9BU1NFVFNfTkVUVElOR19PVEhFUl9BREpVU1RNRU5UUy45OTQuMDIvMDgvMjAyNi4uLlVTRC5IAQAAAEtVAAADAAAAAAAbT8JvLPDeCG5vyYcs8N4IPUNJUS5OQVNEQVE6TVNGVC5JUV9MSUFCSUxJVElFU19MRVZFTF8xLjk5Ni4wMi8wOC8yMDI2Li4uVVNELkgBAAAAS1UAAAMAAAAAABtPwm8s8N4IgpbJhyzw3gg9Q0lRLk5BU0RBUTpNU0ZULklRX0xJQUJJTElUSUVTX0xFVkVMXzMuOTk4LjAyLzA4LzIwMjYuLi5VU0QuSAEAAABLVQAAAwAAAAAAG0/Cbyzw3giClsmHLPDeCElDSVEuTkFTREFROk1TRlQuSVFfRkFJUl9WQUxVRV9DSEFOR0VfSU5DTF9FQVJOSU5HUy45OTUuMDIvMDgvMjAyNi4uLlVTRC5IAQAAAEtVAAADAAAAAAAbT8JvLPDeCG5vyYcs8N4IP0NJUS5OQVNEQVE6TVNGVC5JUV9GSU5fRElWX1NUX0RFQlRfVE9UQUwuOTk5LjAyLzA4LzIwMjYuLi5VU0QuSAEAAABLVQAAAwAAAAAAG0/Cbyzw3ghub8mHLPDeCDtDSVEuTkFT</t>
  </si>
  <si>
    <t>REFROk1TRlQuSVFfRklOX0RJVl9TVF9JTlZFU1QuOTk2LjAyLzA4LzIwMjYuLi5VU0QuSAEAAABLVQAAAwAAAAAAG0/Cbyzw3ghub8mHLPDeCD9DSVEuTkFTREFROk1TRlQuSVFfREVCVF9FUVVJVl9PUEVSX0xFQVNFLjk5OC4wMi8wOC8yMDI2Li4uVVNELkgBAAAAS1UAAAIAAAAFMjg0NDABCAAAAAUAAAABMQEAAAALLTE4ODAyMjk2OTQDAAAAAzE2MAIAAAAFMjE2NzEEAAAAATAHAAAACDgvMi8yMDI2CAAAAAk2LzMwLzIwMjQJAAAAATAbT8JvLPDeCIKWyYcs8N4IP0NJUS5OQVNEQVE6TVNGVC5JUV9SRVNUUklDVEVEX0NBU0hfVE9UQUwuOTk2LjAyLzA4LzIwMjYuLi5VU0QuSAEAAABLVQAAAwAAAAAAG0/Cbyzw3giClsmHLPDeCEFDSVEuTkFTREFROk1TRlQuSVFfQ09OVElOR0VOVF9MSUFCSUxJVElFUy4xMDAwLjAyLzA4LzIwMjYuLi5VU0QuSAEAAABLVQAAAwAAAAAAG0/Cbyzw3giClsmHLPDeCD1DSVEuTkFTREFROk1TRlQuSVFfU1RfREVCVF9ERVJJVkFUSVZFUy45OTUuMDIvMDgvMjAyNi4uLlVTRC5IAQAAAEtVAAADAAAAAAAbT8JvLPDeCIKWyYcs8N4IQUNJUS5OQVNEQVE6TVNGVC5JUV9ERVJJVkFUSVZFX0xJQUJfQ1VSUkVOVC45OTkuMDIvMDgvMjAyNi4uLlVTRC5IAQAAAEtVAAACAAAABDE2MzkBCAAAAAUAAAABMQEAAAALLTE4ODAyMjk2ODYDAAAAAzE2MAIAAAAFNDA0MTcEAAAAATAH</t>
  </si>
  <si>
    <t>AAAACDgvMi8yMDI2CAAAAAk2LzMwLzIwMjUJAAAAATAbT8JvLPDeCIKWyYcs8N4IQ0NJUS5OQVNEQVE6TVNGVC5JUV9ERVJJVkFUSVZFX0FTU0VUU19DVVJSRU5ULjk5Mi4wMi8wOC8yMDI2Li4uVVNELkgBAAAAS1UAAAIAAAADMzY0AQgAAAAFAAAAATEBAAAACjIwNDcyNzE3NDUDAAAAAzE2MAIAAAAEMTEwOQQAAAABMAcAAAAIOC8yLzIwMjYIAAAACTYvMzAvMjAxOAkAAAABMBtPwm8s8N4IgpbJhyzw3gg+Q0lRLk5BU0RBUTpNU0ZULklRX0RFUklWQVRJVkVfQVNTRVRTX0xULjk5Ni4wMi8wOC8yMDI2Li4uVVNELkgBAAAAS1UAAAMAAAAAABtPwm8s8N4Ic73Jhyzw3ggzQ0lRLk5BU0RBUTpNU0ZULklRX0dST1NTX0dXLjEwMDAuMDIvMDgvMjAyNi4uLlVTRC5IAQAAAEtVAAADAAAAAAAbT8JvLPDeCIKWyYcs8N4IP0NJUS5OQVNEQVE6TVNGVC5JUV9BRFZBTkNFU19GT1JfU1VQUExJRVMuOTkzLjAyLzA4LzIwMjYuLi5VU0QuSAEAAABLVQAAAwAAAAAAG0/Cbyzw3giClsmHLPDeCDNDSVEuTkFTREFROk1TRlQuSVFfSU5UQU5fTkVULjk5Ny4wMi8wOC8yMDI2Li4uVVNELkgBAAAAS1UAAAIAAAAEOTM2NgEIAAAABQAAAAExAQAAAAstMTkzNDI1NDI1MAMAAAADMTYwAgAAAAU0ODk2MgQAAAABMAcAAAAIOC8yLzIwMjYIAAAACTYvMzAvMjAyMwkAAAABMBtPwm8s8N4IgpbJhyzw3gg9Q0lRLk5BU0RBUTpN</t>
  </si>
  <si>
    <t>U0ZULklRX0lOVEVSQ09NUEFOWV9OT05fQ0EuOTkyLjAyLzA4LzIwMjYuLi5VU0QuSAEAAABLVQAAAwAAAAAAG0/Cbyzw3ghzvcmHLPDeCD1DSVEuTkFTREFROk1TRlQuSVFfSU5URVJDT01QQU5ZX05PTl9DTC45OTMuMDIvMDgvMjAyNi4uLlVTRC5IAQAAAEtVAAADAAAAAAAbT8JvLPDeCHO9yYcs8N4ILkNJUS5OQVNEQVE6TVNGVC5JUV9CQVNJQ19XRUlHSFQuOTk2LjAyLzA4LzIwMjYBAAAAS1UAAAIAAAAENzQ5NgAbT8JvLPDeCD/22Ycs8N4IQUNJUS5OQVNEQVE6TVNGVC5JUV9ESVNUUklCVVRBQkxFX0NBU0hfU0hBUkVTX0JBU0lDLjk5OC4wMi8wOC8yMDI2AQAAAEtVAAADAAAAAAAbT8JvLPDeCFBt4ocs8N4IL0NJUS5OQVNEQVE6TVNGVC5JUV9GSUxJTkdEQVRFX0lTLjk5OS4wMi8wOC8yMDI2AQAAAEtVAAAFAAAACjI5LzA3LzIwMjYAG0/Cbyzw3gg/9tmHLPDeCCxDSVEuTkFTREFROk1TRlQuSVFfU0FNRV9TVE9SRS45OTcuMDIvMDgvMjAyNgEAAABLVQAAAwAAAAAAG0/Cbyzw3ggwz9mHLPDeCENDSVEuTkFTREFROk1TRlQuSVFfRElTVFJJQlVUQUJMRV9DQVNIX1NIQVJFU19ESUxVVEVELjk5NS4wMi8wOC8yMDI2AQAAAEtVAAADAAAAAAAbT8JvLPDeCDDP2Ycs8N4ILkNJUS5OQVNEQVE6TVNGVC5JUV9QQVlPVVRfUkFUSU8uOTk0LjAyLzA4LzIwMjYBAAAAS1UAAAIAAAAHMzQuMTgzOQEIAAAA</t>
  </si>
  <si>
    <t>BQAAAAExAQAAAAstMjA4NzQ5NjYyNwMAAAADMTYwAgAAAAQ0Mzc3BAAAAAEwBwAAAAg4LzIvMjAyNggAAAAJNi8zMC8yMDIwCQAAAAEwG0/Cbyzw3gg/9tmHLPDeCDBDSVEuTkFTREFROk1TRlQuSVFfUkVTVEFURU1FTlRfSVMuOTkyLjAyLzA4LzIwMjYBAAAAS1UAAAMAAAACTkMAG0/Cbyzw3gg/9tmHLPDeCDFDSVEuTkFTREFROk1TRlQuSVFfUEVSSU9ETEVOR1RIX0NGLjk5NS4wMi8wOC8yMDI2AQAAAEtVAAABAAAAAjEyABtPwm8s8N4IP/bZhyzw3ggwQ0lRLk5BU0RBUTpNU0ZULklRX1JFU1RBVEVNRU5UX0NGLjk5My4wMi8wOC8yMDI2AQAAAEtVAAADAAAAAk5DABtPwm8s8N4IMM/Zhyzw3ggpQ0lRLk5BU0RBUTpNU0ZULklRX0dBQVBfQ0YuOTk1LjAyLzA4LzIwMjYBAAAAS1UAAAMAAAAHVVMgR0FBUAAbT8JvLPDeCBeo2Ycs8N4ILENJUS5OQVNEQVE6TVNGVC5JUV9JTlZfTUVUSE9ELjk5NC4wMi8wOC8yMDI2AQAAAEtVAAADAAAACEF2ZyBDb3N0ABtPwm8s8N4IP/bZhyzw3ggrQ0lRLk5BU0RBUTpNU0ZULklRX1BBUlRfVElNRS45OTYuMDIvMDgvMjAyNgEAAABLVQAAAwAAAAAAG0/Cbyzw3gg/9tmHLPDeCDBDSVEuTkFTREFROk1TRlQuSVFfQVZHX0VNUExPWUVFUy4xMDAwLjAyLzA4LzIwMjYBAAAAS1UAAAMAAAAAABtPwm8s8N4IP/bZhyzw3ggzQ0lRLk5BU0RBUTpNU0ZULklRX05VTUJFUl9B</t>
  </si>
  <si>
    <t>RFJIT0xERVJTLjk5NS4wMi8wOC8yMDI2AQAAAEtVAAADAAAAAAAbT8JvLPDeCBeo2Ycs8N4IKUNJUS5OQVNEQVE6TVNGVC5JUV9HQUFQX0JTLjk5Ny4wMi8wOC8yMDI2AQAAAEtVAAADAAAAB1VTIEdBQVAAG0/Cbyzw3ggwz9mHLPDeCDBDSVEuTkFTREFROk1TRlQuSVFfUkVUVVJOX0NBUElUQUwuOTk2LjAyLzA4LzIwMjYBAAAAS1UAAAIAAAAHMjIuMjEzNwEIAAAABQAAAAExAQAAAAstMTk4NTkzMTIyNAMAAAADMTYwAgAAAAQ0MzYzBAAAAAEwBwAAAAg4LzIvMjAyNggAAAAJNi8zMC8yMDIyCQAAAAEwG0/Cbyzw3ggwz9mHLPDeCC9DSVEuTkFTREFROk1TRlQuSVFfR1JPU1NfTUFSR0lOLjEwMDAuMDIvMDgvMjAyNgEAAABLVQAAAgAAAAY2Ny45NDQBCAAAAAUAAAABMQEAAAALLTE4ODAyMjk2NjUDAAAAAzE2MAIAAAAENDA3NAQAAAABMAcAAAAIOC8yLzIwMjYIAAAACTYvMzAvMjAyNgkAAAABMBtPwm8s8N4IMM/Zhyzw3ggrQ0lRLk5BU0RBUTpNU0ZULklRX05JX01BUkdJTi45OTMuMDIvMDgvMjAyNgEAAABLVQAAAgAAAAczMS4xODE3AQgAAAAFAAAAATEBAAAACy0yMTQwOTgxNDY5AwAAAAMxNjACAAAABDQwOTQEAAAAATAHAAAACDgvMi8yMDI2CAAAAAk2LzMwLzIwMTkJAAAAATAbT8JvLPDeCAqB2Ycs8N4ILUNJUS5OQVNEQVE6TVNGVC5JUV9BU1NFVF9UVVJOUy45OTQuMDIvMDgvMjAyNgEAAABL</t>
  </si>
  <si>
    <t>VQAAAgAAAAgwLjQ4NjU1NQEIAAAABQAAAAExAQAAAAstMjA4NzQ5NjYyNwMAAAADMTYwAgAAAAQ0MTc3BAAAAAEwBwAAAAg4LzIvMjAyNggAAAAJNi8zMC8yMDIwCQAAAAEwG0/Cbyzw3ggKgdmHLPDeCDFDSVEuTkFTREFROk1TRlQuSVFfSU5WRU5UT1JZX1RVUk5TLjk5Mi4wMi8wOC8yMDI2AQAAAEtVAAACAAAACTE1LjgzODUyOQEIAAAABQAAAAExAQAAAAoyMDQ3MjcxNzQ1AwAAAAMxNjACAAAABDQwODIEAAAAATAHAAAACDgvMi8yMDI2CAAAAAk2LzMwLzIwMTgJAAAAATAbT8JvLPDeCBeo2Ycs8N4ILUNJUS5OQVNEQVE6TVNGVC5JUV9RVUlDS19SQVRJTy45OTMuMDIvMDgvMjAyNgEAAABLVQAAAgAAAAgyLjM1MzE1NAEIAAAABQAAAAExAQAAAAstMjE0MDk4MTQ2OQMAAAADMTYwAgAAAAQ0MTIxBAAAAAEwBwAAAAg4LzIvMjAyNggAAAAJNi8zMC8yMDE5CQAAAAEwG0/Cbyzw3ggXqNmHLPDeCDRDSVEuTkFTREFROk1TRlQuSVFfREFZU19JTlZFTlRPUllfT1VULjk5OC4wMi8wOC8yMDI2AQAAAEtVAAACAAAACDkuMjQ5MTg2AQgAAAAFAAAAATEBAAAACy0xODgwMjI5Njk0AwAAAAMxNjACAAAABDQwMzUEAAAAATAHAAAACDgvMi8yMDI2CAAAAAk2LzMwLzIwMjQJAAAAATAbT8JvLPDeCBeo2Ycs8N4IMUNJUS5OQVNEQVE6TVNGVC5JUV9DQVNIX0NPTlZFUlNJT04uOTkyLjAyLzA4LzIwMjYBAAAAS1UA</t>
  </si>
  <si>
    <t>AAIAAAAIMjguNzA1MDYBCAAAAAUAAAABMQEAAAAKMjA0NzI3MTc0NQMAAAADMTYwAgAAAAQ0MTg0BAAAAAEwBwAAAAg4LzIvMjAyNggAAAAJNi8zMC8yMDE4CQAAAAEwG0/Cbyzw3gj3WdmHLPDeCDRDSVEuTkFTREFROk1TRlQuSVFfVE9UQUxfREVCVF9DQVBJVEFMLjk5My4wMi8wOC8yMDI2AQAAAEtVAAACAAAABzQ1Ljc5NTQBCAAAAAUAAAABMQEAAAALLTIxNDA5ODE0NjkDAAAAAzE2MAIAAAAENDE4NgQAAAABMAcAAAAIOC8yLzIwMjYIAAAACTYvMzAvMjAxOQkAAAABMBtPwm8s8N4I91nZhyzw3gg5Q0lRLk5BU0RBUTpNU0ZULklRX1RPVEFMX0xJQUJfVE9UQUxfQVNTRVRTLjk5OS4wMi8wOC8yMDI2AQAAAEtVAAACAAAABzQ0LjUxMDkBCAAAAAUAAAABMQEAAAALLTE4ODAyMjk2ODYDAAAAAzE2MAIAAAAENDE4OAQAAAABMAcAAAAIOC8yLzIwMjYIAAAACTYvMzAvMjAyNQkAAAABMBtPwm8s8N4IF6jZhyzw3ggsQ0lRLk5BU0RBUTpNU0ZULklRX0VCSVREQV9JTlQuOTkyLjAyLzA4LzIwMjYBAAAAS1UAAAIAAAAJMTcuMDMwMDAzAQgAAAAFAAAAATEBAAAACjIwNDcyNzE3NDUDAAAAAzE2MAIAAAAENDE5MAQAAAABMAcAAAAIOC8yLzIwMjYIAAAACTYvMzAvMjAxOAkAAAABMBtPwm8s8N4IF6jZhyzw3ghDQ0lRLk5BU0RBUTpNU0ZULklRX0VCSVREQV9FWENMX09QRVJfTEVBU0VTX0NBUEVYX0lOVC45</t>
  </si>
  <si>
    <t>OTguMDIvMDgvMjAyNgEAAABLVQAAAgAAAAkyOC40ODAwNTMBCAAAAAUAAAABMQEAAAALLTE4ODAyMjk2OTQDAAAAAzE2MAIAAAAFNDkxNzQEAAAAATAHAAAACDgvMi8yMDI2CAAAAAk2LzMwLzIwMjQJAAAAATAbT8JvLPDeCAqB2Ycs8N4IRUNJUS5OQVNEQVE6TVNGVC5JUV9UT1RBTF9ERUJUX0VCSVREQV9FWENMX09QRVJfTEVBU0VTLjEwMDAuMDIvMDgvMjAyNgEAAABLVQAAAgAAAAgwLjY2MzE3NAEIAAAABQAAAAExAQAAAAstMTg4MDIyOTY2NQMAAAADMTYwAgAAAAU0ODk5NAQAAAABMAcAAAAIOC8yLzIwMjYIAAAACTYvMzAvMjAyNgkAAAABMBtPwm8s8N4I91nZhyzw3ghCQ0lRLk5BU0RBUTpNU0ZULklRX05FVF9ERUJUX0VCSVREQV9FWENMX09QRVJfTEVBU0VTLjk5Mi4wMi8wOC8yMDI2AQAAAEtVAAADAAAAAk5NAQgAAAAFAAAAATEBAAAACjIwNDcyNzE3NDUDAAAAAzE2MAIAAAAFNDkxNzUEAAAAATAHAAAACDgvMi8yMDI2CAAAAAk2LzMwLzIwMTgJAAAAATAbT8JvLPDeCPdZ2Ycs8N4IN0NJUS5OQVNEQVE6TVNGVC5JUV9ORVRfREVCVF9FQklUREFfQ0FQRVguOTk5LjAyLzA4LzIwMjYBAAAAS1UAAAIAAAAIMC4xODA4MDgBCAAAAAUAAAABMQEAAAALLTE4ODAyMjk2ODYDAAAAAzE2MAIAAAAFMjMzMTQEAAAAATAHAAAACDgvMi8yMDI2CAAAAAk2LzMwLzIwMjUJAAAAATAbT8JvLPDeCAqB2Ycs</t>
  </si>
  <si>
    <t>8N4IKUNJUS5OQVNEQVE6TVNGVC5JUV9aX1NDT1JFLjk5Ny4wMi8wOC8yMDI2AQAAAEtVAAACAAAACDcuNjgyNzg4AQgAAAAFAAAAATEBAAAACy0xOTM0MjU0MjUwAwAAAAMxNjACAAAABjEwMDEyMwQAAAABMAcAAAAIOC8yLzIwMjYIAAAACTYvMzAvMjAyMwkAAAABMBtPwm8s8N4ICoHZhyzw3gg3Q0lRLk5BU0RBUTpNU0ZULklRX0VCSVREQV8xWVJfQU5OX0dST1dUSC45OTQuMDIvMDgvMjAyNgEAAABLVQAAAgAAAAcxOS42MTE3AQgAAAAFAAAAATEBAAAACy0yMDg3NDk2NjI3AwAAAAMxNjACAAAABDQxOTYEAAAAATAHAAAACDgvMi8yMDI2CAAAAAk2LzMwLzIwMjAJAAAAATAbT8JvLPDeCAqB2Ycs8N4IM0NJUS5OQVNEQVE6TVNGVC5JUV9OSV8xWVJfQU5OX0dST1dUSC45OTYuMDIvMDgvMjAyNgEAAABLVQAAAgAAAAcxOC43MTUyAQgAAAAFAAAAATEBAAAACy0xOTg1OTMxMjI0AwAAAAMxNjACAAAABDQxOTkEAAAAATAHAAAACDgvMi8yMDI2CAAAAAk2LzMwLzIwMjIJAAAAATAbT8JvLPDeCBcz2Ycs8N4IOENJUS5OQVNEQVE6TVNGVC5JUV9UT1RBTF9SRVZfM1lSX0FOTl9DQUdSLjk5OC4wMi8wOC8yMDI2AQAAAEtVAAACAAAABzEzLjQwMDUBCAAAAAUAAAABMQEAAAALLTE4ODAyMjk2OTQDAAAAAzE2MAIAAAAENDIyMAQAAAABMAcAAAAIOC8yLzIwMjYIAAAACTYvMzAvMjAyNAkAAAABMBtPwm8s8N4I</t>
  </si>
  <si>
    <t>FzPZhyzw3ggzQ0lRLk5BU0RBUTpNU0ZULklRX0VCSVRfM1lSX0FOTl9DQUdSLjk5NS4wMi8wOC8yMDI2AQAAAEtVAAACAAAABzI1Ljg3MjIBCAAAAAUAAAABMQEAAAALLTIwMzY4NDM4NDMDAAAAAzE2MAIAAAAENDIyMwQAAAABMAcAAAAIOC8yLzIwMjYIAAAACTYvMzAvMjAyMQkAAAABMBtPwm8s8N4I91nZhyzw3ggyQ0lRLk5BU0RBUTpNU0ZULklRX0VQU18zWVJfQU5OX0NBR1IuOTk3LjAyLzA4LzIwMjYBAAAAS1UAAAIAAAAHMTguODkxNQEIAAAABQAAAAExAQAAAAstMTkzNDI1NDI1MAMAAAADMTYwAgAAAAQ0MjI2BAAAAAEwBwAAAAg4LzIvMjAyNggAAAAJNi8zMC8yMDIzCQAAAAEwG0/Cbyzw3gj3WdmHLPDeCDNDSVEuTkFTREFROk1TRlQuSVFfRUJJVF81WVJfQU5OX0NBR1IuOTkyLjAyLzA4LzIwMjYBAAAAS1UAAAIAAAAGNC45Nzg1AQgAAAAFAAAAATEBAAAACjIwNDcyNzE3NDUDAAAAAzE2MAIAAAAENDIzNgQAAAABMAcAAAAIOC8yLzIwMjYIAAAACTYvMzAvMjAxOAkAAAABMBtPwm8s8N4I91nZhyzw3ggxQ0lRLk5BU0RBUTpNU0ZULklRX05JXzVZUl9BTk5fQ0FHUi45OTYuMDIvMDgvMjAyNgEAAABLVQAAAgAAAAcyMy4zMzM3AQgAAAAFAAAAATEBAAAACy0xOTg1OTMxMjI0AwAAAAMxNjACAAAABDQyMzgEAAAAATAHAAAACDgvMi8yMDI2CAAAAAk2LzMwLzIwMjIJAAAAATAbT8JvLPDeCBcz</t>
  </si>
  <si>
    <t>2Ycs8N4IRUNJUS5OQVNEQVE6TVNGVC5JUV9SVUFfQ0FQSVRBTF9MRUFTRV9BQ0NVTV9ERVAuOTk1LjAyLzA4LzIwMjYuLi5VU0QuSAEAAABLVQAAAwAAAAAAG0/Cbyzw3ghzvcmHLPDeCEdDSVEuTkFTREFROk1TRlQuSVFfUlVBX09QRVJBVElOR19MRUFTRV9BQ0NVTV9ERVAuOTkzLjAyLzA4LzIwMjYuLi5VU0QuSAEAAABLVQAAAwAAAAAAG0/Cbyzw3ghzvcmHLPDeCD9DSVEuTkFTREFROk1TRlQuSVFfR1BQRV9FWENMX09QRVJfTEVBU0VTLjk5NC4wMi8wOC8yMDI2Li4uVVNELkgBAAAAS1UAAAIAAAAFODczNDgBCAAAAAUAAAABMQEAAAALLTIwODc0OTY2MjcDAAAAAzE2MAIAAAAFNDg5NzQEAAAAATAHAAAACDgvMi8yMDI2CAAAAAk2LzMwLzIwMjAJAAAAATAbT8JvLPDeCHO9yYcs8N4IKUNJUS5OQVNEQVE6TVNGVC5JUV9aX1NDT1JFLjk5My4wMi8wOC8yMDI2AQAAAEtVAAACAAAACDQuMzIyMDY5AQgAAAAFAAAAATEBAAAACy0yMTQwOTgxNDY5AwAAAAMxNjACAAAABjEwMDEyMwQAAAABMAcAAAAIOC8yLzIwMjYIAAAACTYvMzAvMjAxOQkAAAABMGZmb28s8N4Ir5ndhyzw3ghAQ0lRLk5BU0RBUTpNU0ZULklRX0ZJTkFOQ0VfTEVBU0VTX0NVUlJFTlQuOTkyLjAyLzA4LzIwMjYuLi5VU0QuSAEAAABLVQAAAgAAAAMxNzYBCAAAAAUAAAABMQEAAAAKMjA0NzI3MTc0NQMAAAADMTYwAgAAAAU0ODk5MAQA</t>
  </si>
  <si>
    <t>AAABMAcAAAAIOC8yLzIwMjYIAAAACTYvMzAvMjAxOAkAAAABMBtPwm8s8N4Ic73Jhyzw3gg+Q0lRLk5BU0RBUTpNU0ZULklRX1RPVEFMX0ZJTkFOQ0VfTEVBU0VTLjk5My4wMi8wOC8yMDI2Li4uVVNELkgBAAAAS1UAAAIAAAAENjU3NAEIAAAABQAAAAExAQAAAAstMjE0MDk4MTQ2OQMAAAADMTYwAgAAAAU0OTAzMQQAAAABMAcAAAAIOC8yLzIwMjYIAAAACTYvMzAvMjAxOQkAAAABMBtPwm8s8N4Ih+TJhyzw3ghLQ0lRLk5BU0RBUTpNU0ZULklRX0xUX1BPUlRJT05fT1BFUl9MRUFTRV9MSUFCSUxJVElFUy45OTUuMDIvMDgvMjAyNi4uLlVTRC5IAQAAAEtVAAACAAAABDk2MjkBCAAAAAUAAAABMQEAAAALLTIwMzY4NDM4NDMDAAAAAzE2MAIAAAAFNDgzODMEAAAAATAHAAAACDgvMi8yMDI2CAAAAAk2LzMwLzIwMjEJAAAAATAbT8JvLPDeCIfkyYcs8N4IM0NJUS5OQVNEQVE6TVNGVC5JUV9HUF8xWVJfQU5OX0dST1dUSC45OTQuMDIvMDgvMjAyNgEAAABLVQAAAgAAAAcxNi44ODU5AQgAAAAFAAAAATEBAAAACy0yMDg3NDk2NjI3AwAAAAMxNjACAAAABDQxOTUEAAAAATAHAAAACDgvMi8yMDI2CAAAAAk2LzMwLzIwMjAJAAAAATBmZm9vLPDeCPrA3Ycs8N4IUkNJUS5OQVNEQVE6TVNGVC5JUV9GSU5BTkNJTkdfT0JMSUdfQ1VSUkVOVF9FWENMX09QRVJfTEVBU0VTLjk5Mi4wMi8wOC8yMDI2Li4uVVNELkgB</t>
  </si>
  <si>
    <t>AAAAS1UAAAIAAAAENDE3NAEIAAAABQAAAAExAQAAAAoyMDQ3MjcxNzQ1AwAAAAMxNjACAAAABTQ4OTgwBAAAAAEwBwAAAAg4LzIvMjAyNggAAAAJNi8zMC8yMDE4CQAAAAEwG0/Cbyzw3ghzvcmHLPDeCEVDSVEuTkFTREFROk1TRlQuSVFfVE9UQUxfREVCVF9FWENMX09QRVJfTEVBU0VTLjk5NC4wMi8wOC8yMDI2Li4uVVNELkgBAAAAS1UAAAIAAAAFNzI4MjMBCAAAAAUAAAABMQEAAAALLTIwODc0OTY2MjcDAAAAAzE2MAIAAAAFNDg5ODIEAAAAATAHAAAACDgvMi8yMDI2CAAAAAk2LzMwLzIwMjAJAAAAATAbT8JvLPDeCHO9yYcs8N4IO0NJUS5OQVNEQVE6TVNGVC5JUV9CVl9TSEFSRV9SRVBPUlRFRC45OTMuMDIvMDgvMjAyNi4uLlVTRC5IAQAAAEtVAAADAAAAAAAbT8JvLPDeCHO9yYcs8N4IPENJUS5OQVNEQVE6TVNGVC5JUV9UQlZfU0hBUkVfUkVQT1JURUQuOTk1LjAyLzA4LzIwMjYuLi5VU0QuSAEAAABLVQAAAwAAAAAAG0/Cbyzw3gi9C8qHLPDeCDJDSVEuTkFTREFROk1TRlQuSVFfR1dfSU5UQU4uOTk3LjAyLzA4LzIwMjYuLi5VU0QuSAEAAABLVQAAAgAAAAU3NzI1MgEIAAAABQAAAAExAQAAAAstMTkzNDI1NDI1MAMAAAADMTYwAgAAAAUzNTM4MQQAAAABMAcAAAAIOC8yLzIwMjYIAAAACTYvMzAvMjAyMwkAAAABMBtPwm8s8N4IvQvKhyzw3gg8Q0lRLk5BU0RBUTpNU0ZULklRX1RPVEFMX0RF</t>
  </si>
  <si>
    <t>QlRfQ1VSUkVOVC45OTQuMDIvMDgvMjAyNi4uLlVTRC5IAQAAAEtVAAACAAAABDU5MDUBCAAAAAUAAAABMQEAAAALLTIwODc0OTY2MjcDAAAAAzE2MAIAAAAFMjUyMjMEAAAAATAHAAAACDgvMi8yMDI2CAAAAAk2LzMwLzIwMjAJAAAAATAbT8JvLPDeCHO9yYcs8N4IMkNJUS5OQVNEQVE6TVNGVC5JUV9ORVRfREVCVC45OTYuMDIvMDgvMjAyNi4uLlVTRC5IAQAAAEtVAAACAAAABi0yNjM0OQEIAAAABQAAAAExAQAAAAstMTk4NTkzMTIyNAMAAAADMTYwAgAAAAQ0MzY0BAAAAAEwBwAAAAg4LzIvMjAyNggAAAAJNi8zMC8yMDIyCQAAAAEwG0/Cbyzw3giH5MmHLPDeCDZDSVEuTkFTREFROk1TRlQuSVFfV09SS0lOR19DQVAuMTAwMC4wMi8wOC8yMDI2Li4uVVNELkgBAAAAS1UAAAIAAAAFMzg4ODUBCAAAAAUAAAABMQEAAAALLTE4ODAyMjk2NjUDAAAAAzE2MAIAAAAENDE2NQQAAAABMAcAAAAIOC8yLzIwMjYIAAAACTYvMzAvMjAyNgkAAAABMBtPwm8s8N4Ih+TJhyzw3gg6Q0lRLk5BU0RBUTpNU0ZULklRX0FMTE9XX0RPVUJUX0FDQ1QuOTk1LjAyLzA4LzIwMjYuLi5VU0QuSAEAAABLVQAAAgAAAAM3NTEBCAAAAAUAAAABMQEAAAALLTIwMzY4NDM4NDMDAAAAAzE2MAIAAAAEMzAxMgQAAAABMAcAAAAIOC8yLzIwMjYIAAAACTYvMzAvMjAyMQkAAAABMBtPwm8s8N4IvQvKhyzw3gg1Q0lRLk5BU0RBUTpNU0ZU</t>
  </si>
  <si>
    <t>LklRX0FSX1VOQklMTEVELjk5Ny4wMi8wOC8yMDI2Li4uVVNELkgBAAAAS1UAAAMAAAAAABtPwm8s8N4IoTLKhyzw3ggxQ0lRLk5BU0RBUTpNU0ZULklRX1dJUF9JTlYuOTk4LjAyLzA4LzIwMjYuLi5VU0QuSAEAAABLVQAAAwAAAAAAG0/Cbyzw3giH5MmHLPDeCDNDSVEuTkFTREFROk1TRlQuSVFfT1RIRVJfSU5WLjk5OS4wMi8wOC8yMDI2Li4uVVNELkgBAAAAS1UAAAMAAAAAABtPwm8s8N4Ih+TJhyzw3ggyQ0lRLk5BU0RBUTpNU0ZULklRX1NPRlRXQVJFLjk5NS4wMi8wOC8yMDI2Li4uVVNELkgBAAAAS1UAAAMAAAAAABtPwm8s8N4Ih+TJhyzw3ggtQ0lRLk5BU0RBUTpNU0ZULklRX0NJUC45OTYuMDIvMDgvMjAyNi4uLlVTRC5IAQAAAEtVAAADAAAAAAAbT8JvLPDeCKEyyocs8N4IQENJUS5OQVNEQVE6TVNGVC5JUV9MRUFTRUhPTERfSU1QUk9WRU1FTlQuMTAwMC4wMi8wOC8yMDI2Li4uVVNELkgBAAAAS1UAAAIAAAAFMTYzNDgBCAAAAAUAAAABMQEAAAALLTE4ODAyMjk2NjUDAAAAAzE2MAIAAAAEMzEwMAQAAAABMAcAAAAIOC8yLzIwMjYIAAAACTYvMzAvMjAyNgkAAAABMBtPwm8s8N4IoTLKhyzw3ghDQ0lRLk5BU0RBUTpNU0ZULklRX0ZJTl9ESVZfTUlOT1JJVFlfSU5URVJFU1QuOTk1LjAyLzA4LzIwMjYuLi5VU0QuSAEAAABLVQAAAwAAAAAAG0/Cbyzw3gi9C8qHLPDeCEdDSVEuTkFTREFROk1T</t>
  </si>
  <si>
    <t>RlQuSVFfR0VORVJBTF9QQVJUTkVSX0NPTU1PTl9FUVVJVFkuOTk3LjAyLzA4LzIwMjYuLi5VU0QuSAEAAABLVQAAAwAAAAAAG0/Cbyzw3gi9C8qHLPDeCEhDSVEuTkFTREFROk1TRlQuSVFfVE9UQUxfR0VORVJBTF9QQVJUTkVSX0lOVEVSRVNULjk5NC4wMi8wOC8yMDI2Li4uVVNELkgBAAAAS1UAAAMAAAAAABtPwm8s8N4IvQvKhyzw3ghQQ0lRLk5BU0RBUTpNU0ZULklRX0xJUVVJREFUSU9OX1ZBTFVFX1BSRUZFUlJFRF9OT05fUkVERUVNLjk5Ni4wMi8wOC8yMDI2Li4uVVNELkgBAAAAS1UAAAMAAAAAABtPwm8s8N4IsFnKhyzw3gg4Q0lRLk5BU0RBUTpNU0ZULklRX0FTU0VUU19MRVZFTF8xLjk5OC4wMi8wOC8yMDI2Li4uVVNELkgBAAAAS1UAAAIAAAAFNTAyMDYAG0/Cbyzw3giwWcqHLPDeCEpDSVEuTkFTREFROk1TRlQuSVFfQVNTRVRTX05FVFRJTkdfT1RIRVJfQURKVVNUTUVOVFMuOTk1LjAyLzA4LzIwMjYuLi5VU0QuSAEAAABLVQAAAwAAAAAAG0/Cbyzw3gihMsqHLPDeCD1DSVEuTkFTREFROk1TRlQuSVFfTElBQklMSVRJRVNfTEVWRUxfMS45OTcuMDIvMDgvMjAyNi4uLlVTRC5IAQAAAEtVAAADAAAAAAAbT8JvLPDeCKEyyocs8N4IT0NJUS5OQVNEQVE6TVNGVC5JUV9MSUFCSUxJVElFU19ORVRUSU5HX09USEVSX0FESlVTVE1FTlRTLjk5NC4wMi8wOC8yMDI2Li4uVVNELkgBAAAAS1UAAAMA</t>
  </si>
  <si>
    <t>AAAAABtPwm8s8N4IoTLKhyzw3ghJQ0lRLk5BU0RBUTpNU0ZULklRX0ZBSVJfVkFMVUVfQ0hBTkdFX0lOQ0xfRUFSTklOR1MuOTk2LjAyLzA4LzIwMjYuLi5VU0QuSAEAAABLVQAAAwAAAAAAG0/Cbyzw3giwWcqHLPDeCEBDSVEuTkFTREFROk1TRlQuSVFfRklOX0RJVl9TVF9ERUJUX1RPVEFMLjEwMDAuMDIvMDgvMjAyNi4uLlVTRC5IAQAAAEtVAAADAAAAAAAbT8JvLPDeCMKAyocs8N4IO0NJUS5OQVNEQVE6TVNGVC5JUV9GSU5fRElWX1NUX0lOVkVTVC45OTcuMDIvMDgvMjAyNi4uLlVTRC5IAQAAAEtVAAADAAAAAAAbT8JvLPDeCKEyyocs8N4IP0NJUS5OQVNEQVE6TVNGVC5JUV9ERUJUX0VRVUlWX09QRVJfTEVBU0UuOTk5LjAyLzA4LzIwMjYuLi5VU0QuSAEAAABLVQAAAgAAAAU0NDE5MgEIAAAABQAAAAExAQAAAAstMTg4MDIyOTY4NgMAAAADMTYwAgAAAAUyMTY3MQQAAAABMAcAAAAIOC8yLzIwMjYIAAAACTYvMzAvMjAyNQkAAAABMBtPwm8s8N4IoTLKhyzw3gg+Q0lRLk5BU0RBUTpNU0ZULklRX1RPVEFMX0RFQlRfRVhDTF9GSU4uMTAwMC4wMi8wOC8yMDI2Li4uVVNELkgBAAAAS1UAAAIAAAAGMTI4ODEzAQgAAAAFAAAAATEBAAAACy0xODgwMjI5NjY1AwAAAAMxNjACAAAABTIxODYwBAAAAAEwBwAAAAg4LzIvMjAyNggAAAAJNi8zMC8yMDI2CQAAAAEwG0/Cbyzw3giwWcqHLPDeCEBDSVEuTkFT</t>
  </si>
  <si>
    <t>REFROk1TRlQuSVFfQ09OVElOR0VOVF9MSUFCSUxJVElFUy45OTQuMDIvMDgvMjAyNi4uLlVTRC5IAQAAAEtVAAADAAAAAAAbT8JvLPDeCMKAyocs8N4IPUNJUS5OQVNEQVE6TVNGVC5JUV9TVF9ERUJUX0RFUklWQVRJVkVTLjk5Ni4wMi8wOC8yMDI2Li4uVVNELkgBAAAAS1UAAAMAAAAAABtPwm8s8N4I6afKhyzw3ghCQ0lRLk5BU0RBUTpNU0ZULklRX0RFUklWQVRJVkVfTElBQl9DVVJSRU5ULjEwMDAuMDIvMDgvMjAyNi4uLlVTRC5IAQAAAEtVAAACAAAAAzM3OQEIAAAABQAAAAExAQAAAAstMTg4MDIyOTY2NQMAAAADMTYwAgAAAAU0MDQxNwQAAAABMAcAAAAIOC8yLzIwMjYIAAAACTYvMzAvMjAyNgkAAAABMBtPwm8s8N4IsFnKhyzw3ggzQ0lRLk5BU0RBUTpNU0ZULklRX05JXzFZUl9BTk5fR1JPV1RILjk5Mi4wMi8wOC8yMDI2AQAAAEtVAAACAAAACC0zNC45ODc3AQgAAAAFAAAAATEBAAAACjIwNDcyNzE3NDUDAAAAAzE2MAIAAAAENDE5OQQAAAABMAcAAAAIOC8yLzIwMjYIAAAACTYvMzAvMjAxOAkAAAABMGZmb28s8N4I+sDdhyzw3ghDQ0lRLk5BU0RBUTpNU0ZULklRX0RFUklWQVRJVkVfVFJBRElOR19BU1NFVFMuOTk1LjAyLzA4LzIwMjYuLi5VU0QuSAEAAABLVQAAAwAAAAAAG0/Cbyzw3giwWcqHLPDeCDhDSVEuTkFTREFROk1TRlQuSVFfVE9UQUxfUkVWXzNZUl9BTk5fQ0FHUi45OTMuMDIv</t>
  </si>
  <si>
    <t>MDgvMjAyNgEAAABLVQAAAgAAAAcxMS4zNDg1AQgAAAAFAAAAATEBAAAACy0yMTQwOTgxNDY5AwAAAAMxNjACAAAABDQyMjAEAAAAATAHAAAACDgvMi8yMDI2CAAAAAk2LzMwLzIwMTkJAAAAATBmZm9vLPDeCPrA3Ycs8N4IM0NJUS5OQVNEQVE6TVNGVC5JUV9FQklUXzNZUl9BTk5fQ0FHUi45OTkuMDIvMDgvMjAyNgEAAABLVQAAAgAAAAcxNS41MTU0AQgAAAAFAAAAATEBAAAACy0xODgwMjI5Njg2AwAAAAMxNjACAAAABDQyMjMEAAAAATAHAAAACDgvMi8yMDI2CAAAAAk2LzMwLzIwMjUJAAAAATBmZm9vLPDeCK+Z3Ycs8N4IMkNJUS5OQVNEQVE6TVNGVC5JUV9FUFNfM1lSX0FOTl9DQUdSLjk5Mi4wMi8wOC8yMDI2AQAAAEtVAAACAAAABzEyLjkwMzEBCAAAAAUAAAABMQEAAAAKMjA0NzI3MTc0NQMAAAADMTYwAgAAAAQ0MjI2BAAAAAEwBwAAAAg4LzIvMjAyNggAAAAJNi8zMC8yMDE4CQAAAAEwZmZvbyzw3givmd2HLPDeCDFDSVEuTkFTREFROk1TRlQuSVFfR1BfNVlSX0FOTl9DQUdSLjk5My4wMi8wOC8yMDI2AQAAAEtVAAACAAAABjYuNzc1MgEIAAAABQAAAAExAQAAAAstMjE0MDk4MTQ2OQMAAAADMTYwAgAAAAQ0MjM0BAAAAAEwBwAAAAg4LzIvMjAyNggAAAAJNi8zMC8yMDE5CQAAAAEwZmZvbyzw3gj6wN2HLPDeCDJDSVEuTkFTREFROk1TRlQuSVFfTklfNVlSX0FOTl9DQUdSLjEwMDAuMDIvMDgv</t>
  </si>
  <si>
    <t>MjAyNgEAAABLVQAAAgAAAAYxNi44OTgBCAAAAAUAAAABMQEAAAALLTE4ODAyMjk2NjUDAAAAAzE2MAIAAAAENDIzOAQAAAABMAcAAAAIOC8yLzIwMjYIAAAACTYvMzAvMjAyNgkAAAABMGZmb28s8N4I+sDdhyzw3gg9Q0lRLk5BU0RBUTpNU0ZULklRX0FEX0VYQ0xfT1BFUl9MRUFTRVMuOTk1LjAyLzA4LzIwMjYuLi5VU0QuSAEAAABLVQAAAgAAAAYtNTEzNTEBCAAAAAUAAAABMQEAAAALLTIwMzY4NDM4NDMDAAAAAzE2MAIAAAAFNDg5NzUEAAAAATAHAAAACDgvMi8yMDI2CAAAAAk2LzMwLzIwMjEJAAAAATBmZm9vLPDeCPK0xocs8N4IQkNJUS5OQVNEQVE6TVNGVC5JUV9GSU5BTkNFX0xFQVNFU19MT05HX1RFUk0uOTk5LjAyLzA4LzIwMjYuLi5VU0QuSAEAAABLVQAAAgAAAAU0MzAwMAEIAAAABQAAAAExAQAAAAstMTg4MDIyOTY4NgMAAAADMTYwAgAAAAU0ODk5MQQAAAABMAcAAAAIOC8yLzIwMjYIAAAACTYvMzAvMjAyNQkAAAABMGZmb28s8N4I39vGhyzw3ghLQ0lRLk5BU0RBUTpNU0ZULklRX0xUX1BPUlRJT05fT1BFUl9MRUFTRV9MSUFCSUxJVElFUy45OTIuMDIvMDgvMjAyNi4uLlVTRC5IAQAAAEtVAAACAAAABDU1NjgBCAAAAAUAAAABMQEAAAAKMjA0NzI3MTc0NQMAAAADMTYwAgAAAAU0ODM4MwQAAAABMAcAAAAIOC8yLzIwMjYIAAAACTYvMzAvMjAxOAkAAAABMGZmb28s8N4I39vGhyzw3ghS</t>
  </si>
  <si>
    <t>Q0lRLk5BU0RBUTpNU0ZULklRX0ZJTkFOQ0lOR19PQkxJR19DVVJSRU5UX0VYQ0xfT1BFUl9MRUFTRVMuOTk2LjAyLzA4LzIwMjYuLi5VU0QuSAEAAABLVQAAAgAAAAQzODA5AQgAAAAFAAAAATEBAAAACy0xOTg1OTMxMjI0AwAAAAMxNjACAAAABTQ4OTgwBAAAAAEwBwAAAAg4LzIvMjAyNggAAAAJNi8zMC8yMDIyCQAAAAEwZmZvbyzw3gjytMaHLPDeCFdDSVEuTkFTREFROk1TRlQuSVFfRklOQU5DSU5HX09CTElHX05PTl9DVVJSRU5UX0VYQ0xfT1BFUl9MRUFTRVMuMTAwMC4wMi8wOC8yMDI2Li4uVVNELkgBAAAAS1UAAAIAAAAFOTMzNzEBCAAAAAUAAAABMQEAAAALLTE4ODAyMjk2NjUDAAAAAzE2MAIAAAAFNDg5ODEEAAAAATAHAAAACDgvMi8yMDI2CAAAAAk2LzMwLzIwMjYJAAAAATBmZm9vLPDeCPK0xocs8N4IMkNJUS5OQVNEQVE6TVNGVC5JUV9CVl9TSEFSRS45OTQuMDIvMDgvMjAyNi4uLlVTRC5IAQAAAEtVAAACAAAACTE1LjYyNTk0MQEIAAAABQAAAAExAQAAAAstMjA4NzQ5NjYyNwMAAAADMTYwAgAAAAQ0MDIwBAAAAAEwBwAAAAg4LzIvMjAyNggAAAAJNi8zMC8yMDIwCQAAAAEwZmZvbyzw3gjytMaHLPDeCDxDSVEuTkFTREFROk1TRlQuSVFfVEJWX1NIQVJFX1JFUE9SVEVELjk5Mi4wMi8wOC8yMDI2Li4uVVNELkgBAAAAS1UAAAMAAAAAAGZmb28s8N4I/QLHhyzw3ggyQ0lRLk5BU0RBUTpN</t>
  </si>
  <si>
    <t>U0ZULklRX0dXX0lOVEFOLjk5My4wMi8wOC8yMDI2Li4uVVNELkgBAAAAS1UAAAIAAAAFNDk3NzYBCAAAAAUAAAABMQEAAAALLTIxNDA5ODE0NjkDAAAAAzE2MAIAAAAFMzUzODEEAAAAATAHAAAACDgvMi8yMDI2CAAAAAk2LzMwLzIwMTkJAAAAATBmZm9vLPDeCP0Cx4cs8N4IPENJUS5OQVNEQVE6TVNGVC5JUV9UT1RBTF9ERUJUX0NVUlJFTlQuOTk4LjAyLzA4LzIwMjYuLi5VU0QuSAEAAABLVQAAAgAAAAUxNDg3MQEIAAAABQAAAAExAQAAAAstMTg4MDIyOTY5NAMAAAADMTYwAgAAAAUyNTIyMwQAAAABMAcAAAAIOC8yLzIwMjYIAAAACTYvMzAvMjAyNAkAAAABMGZmb28s8N4I39vGhyzw3ggyQ0lRLk5BU0RBUTpNU0ZULklRX05FVF9ERUJULjk5Mi4wMi8wOC8yMDI2Li4uVVNELkgBAAAAS1UAAAIAAAAGLTQ2MTU2AQgAAAAFAAAAATEBAAAACjIwNDcyNzE3NDUDAAAAAzE2MAIAAAAENDM2NAQAAAABMAcAAAAIOC8yLzIwMjYIAAAACTYvMzAvMjAxOAkAAAABMGZmb28s8N4I39vGhyzw3ggzQ0lRLk5BU0RBUTpNU0ZULklRX1RPVEFMX0NBUC45OTMuMDIvMDgvMjAyNi4uLlVTRC5IAQAAAEtVAAACAAAABjE4ODc4NQEIAAAABQAAAAExAQAAAAstMjE0MDk4MTQ2OQMAAAADMTYwAgAAAAQ0MTc1BAAAAAEwBwAAAAg4LzIvMjAyNggAAAAJNi8zMC8yMDE5CQAAAAEwZmZvbyzw3gjf28aHLPDeCDpDSVEuTkFT</t>
  </si>
  <si>
    <t>REFROk1TRlQuSVFfQUxMT1dfRE9VQlRfQUNDVC45OTkuMDIvMDgvMjAyNi4uLlVTRC5IAQAAAEtVAAACAAAAAzk0NAEIAAAABQAAAAExAQAAAAstMTg4MDIyOTY4NgMAAAADMTYwAgAAAAQzMDEyBAAAAAEwBwAAAAg4LzIvMjAyNggAAAAJNi8zMC8yMDI1CQAAAAEwZmZvbyzw3gj9AseHLPDeCDxDSVEuTkFTREFROk1TRlQuSVFfR1JPU1NfSU5UQU5fQVNTRVRTLjk5OS4wMi8wOC8yMDI2Li4uVVNELkgBAAAAS1UAAAIAAAAFNDM1NTcBCAAAAAUAAAABMQEAAAALLTE4ODAyMjk2ODYDAAAAAzE2MAIAAAAFMjQyOTMEAAAAATAHAAAACDgvMi8yMDI2CAAAAAk2LzMwLzIwMjUJAAAAATAbT8JvLPDeCLBZyocs8N4IOENJUS5OQVNEQVE6TVNGVC5JUV9BQ0NVTV9BTU9SVF9HVy45OTIuMDIvMDgvMjAyNi4uLlVTRC5IAQAAAEtVAAADAAAAAAAbT8JvLPDeCOmnyocs8N4IPENJUS5OQVNEQVE6TVNGVC5JUV9MVF9NQVJLX1NFQ1VSSVRJRVMuOTk2LjAyLzA4LzIwMjYuLi5VU0QuSAEAAABLVQAAAwAAAAAAG0/Cbyzw3gjpp8qHLPDeCDFDSVEuTkFTREFROk1TRlQuSVFfR1dfTkVULjEwMDAuMDIvMDgvMjAyNi4uLlVTRC5IAQAAAEtVAAACAAAABjExOTY1MQEIAAAABQAAAAExAQAAAAstMTg4MDIyOTY2NQMAAAADMTYwAgAAAAU0ODk2MAQAAAABMAcAAAAIOC8yLzIwMjYIAAAACTYvMzAvMjAyNgkAAAABMBtPwm8s</t>
  </si>
  <si>
    <t>8N4IwoDKhyzw3gg9Q0lRLk5BU0RBUTpNU0ZULklRX0lOVEVSQ09NUEFOWV9OT05fQ0EuOTkzLjAyLzA4LzIwMjYuLi5VU0QuSAEAAABLVQAAAwAAAAAAG0/Cbyzw3gjCgMqHLPDeCDxDSVEuTkFTREFROk1TRlQuSVFfVE9UQUxfUkVWX0VNUExPWUVFLjk5NS4wMi8wOC8yMDI2Li4uVVNELkgBAAAAS1UAAAIAAAAHOTI4LjY2MgEIAAAABQAAAAExAQAAAAstMjAzNjg0Mzg0MwMAAAADMTYwAgAAAAQ0MTIzBAAAAAEwBwAAAAg4LzIvMjAyNggAAAAJNi8zMC8yMDIxCQAAAAEwG0/Cbyzw3gjCgMqHLPDeCC5DSVEuTkFTREFROk1TRlQuSVFfQkFTSUNfV0VJR0hULjk5Ny4wMi8wOC8yMDI2AQAAAEtVAAACAAAABDc0NDYAG0/Cbyzw3gjXC9mHLPDeCC9DSVEuTkFTREFROk1TRlQuSVFfRklMSU5HREFURV9JUy45OTIuMDIvMDgvMjAyNgEAAABLVQAABQAAAAozMS8wNy8yMDIwABtPwm8s8N4IFzPZhyzw3ggsQ0lRLk5BU0RBUTpNU0ZULklRX1NBTUVfU1RPUkUuOTk4LjAyLzA4LzIwMjYBAAAAS1UAAAMAAAAAABtPwm8s8N4IFzPZhyzw3gg7Q0lRLk5BU0RBUTpNU0ZULklRX0RJU1RSSUJVVEFCTEVfQ0FTSF9QQVlPVVQuOTk3LjAyLzA4LzIwMjYBAAAAS1UAAAMAAAAAABtPwm8s8N4IFzPZhyzw3gguQ0lRLk5BU0RBUTpNU0ZULklRX1BBWU9VVF9SQVRJTy45OTUuMDIvMDgvMjAyNgEAAABLVQAAAgAAAAcyNi45</t>
  </si>
  <si>
    <t>NjM4AQgAAAAFAAAAATEBAAAACy0yMDM2ODQzODQzAwAAAAMxNjACAAAABDQzNzcEAAAAATAHAAAACDgvMi8yMDI2CAAAAAk2LzMwLzIwMjEJAAAAATAbT8JvLPDeCNcL2Ycs8N4IMENJUS5OQVNEQVE6TVNGVC5JUV9SRVNUQVRFTUVOVF9JUy45OTMuMDIvMDgvMjAyNgEAAABLVQAAAwAAAAJOQwAbT8JvLPDeCNcL2Ycs8N4IMUNJUS5OQVNEQVE6TVNGVC5JUV9QRVJJT0RMRU5HVEhfQ0YuOTk2LjAyLzA4LzIwMjYBAAAAS1UAAAEAAAACMTIAG0/Cbyzw3ggXM9mHLPDeCDBDSVEuTkFTREFROk1TRlQuSVFfUkVTVEFURU1FTlRfQ0YuOTk0LjAyLzA4LzIwMjYBAAAAS1UAAAMAAAACTkMAG0/Cbyzw3ggXM9mHLPDeCD9DSVEuTkFTREFROk1TRlQuSVFfVE9UQUxfT1VUU1RBTkRJTkdfRklMSU5HX0RBVEUuOTk1LjAyLzA4LzIwMjYBAAAAS1UAAAIAAAALNzUxNC44OTEyNDgBBAAAAAUAAAABNQEAAAALLTIwMzY4NDM4NDMCAAAABTI0MTUzBgAAAAEwG0/Cbyzw3gjXC9mHLPDeCCxDSVEuTkFTREFROk1TRlQuSVFfSU5WX01FVEhPRC45OTUuMDIvMDgvMjAyNgEAAABLVQAAAwAAAAhBdmcgQ29zdAAbT8JvLPDeCOrk2Ics8N4IK0NJUS5OQVNEQVE6TVNGVC5JUV9QQVJUX1RJTUUuOTk3LjAyLzA4LzIwMjYBAAAAS1UAAAMAAAAAABtPwm8s8N4I6uTYhyzw3ggvQ0lRLk5BU0RBUTpNU0ZULklRX0FWR19FTVBMT1lF</t>
  </si>
  <si>
    <t>RVMuOTk0LjAyLzA4LzIwMjYBAAAAS1UAAAMAAAAAABtPwm8s8N4I1wvZhyzw3ggzQ0lRLk5BU0RBUTpNU0ZULklRX05VTUJFUl9BRFJIT0xERVJTLjk5Ni4wMi8wOC8yMDI2AQAAAEtVAAADAAAAAAAbT8JvLPDeCNcL2Ycs8N4IMENJUS5OQVNEQVE6TVNGVC5JUV9SRVNUQVRFTUVOVF9CUy45OTcuMDIvMDgvMjAyNgEAAABLVQAAAwAAAAJOQwAbT8JvLPDeCNcL2Ycs8N4IKUNJUS5OQVNEQVE6TVNGVC5JUV9HQUFQX0JTLjk5OC4wMi8wOC8yMDI2AQAAAEtVAAADAAAAB1VTIEdBQVAAG0/Cbyzw3gjq5NiHLPDeCDBDSVEuTkFTREFROk1TRlQuSVFfUkVUVVJOX0NBUElUQUwuOTk3LjAyLzA4LzIwMjYBAAAAS1UAAAIAAAAHMjAuODU0MgEIAAAABQAAAAExAQAAAAstMTkzNDI1NDI1MAMAAAADMTYwAgAAAAQ0MzYzBAAAAAEwBwAAAAg4LzIvMjAyNggAAAAJNi8zMC8yMDIzCQAAAAEwG0/Cbyzw3gi4vdiHLPDeCC9DSVEuTkFTREFROk1TRlQuSVFfRUJJVERBX01BUkdJTi45OTIuMDIvMDgvMjAyNgEAAABLVQAAAgAAAAc0MC43Mzc1AQgAAAAFAAAAATEBAAAACjIwNDcyNzE3NDUDAAAAAzE2MAIAAAAENDA0NwQAAAABMAcAAAAIOC8yLzIwMjYIAAAACTYvMzAvMjAxOAkAAAABMBtPwm8s8N4I6uTYhyzw3ggtQ0lRLk5BU0RBUTpNU0ZULklRX0VCSVRfTUFSR0lOLjk5Ni4wMi8wOC8yMDI2AQAAAEtVAAACAAAA</t>
  </si>
  <si>
    <t>BzQyLjA1NTIBCAAAAAUAAAABMQEAAAALLTE5ODU5MzEyMjQDAAAAAzE2MAIAAAAENDA1MwQAAAABMAcAAAAIOC8yLzIwMjYIAAAACTYvMzAvMjAyMgkAAAABMBtPwm8s8N4I6uTYhyzw3gguQ0lRLk5BU0RBUTpNU0ZULklRX0FTU0VUX1RVUk5TLjEwMDAuMDIvMDgvMjAyNgEAAABLVQAAAgAAAAgwLjQ4MTg0MQEIAAAABQAAAAExAQAAAAstMTg4MDIyOTY2NQMAAAADMTYwAgAAAAQ0MTc3BAAAAAEwBwAAAAg4LzIvMjAyNggAAAAJNi8zMC8yMDI2CQAAAAEwG0/Cbyzw3gjq5NiHLPDeCDFDSVEuTkFTREFROk1TRlQuSVFfSU5WRU5UT1JZX1RVUk5TLjk5My4wMi8wOC8yMDI2AQAAAEtVAAACAAAACTE4LjE2Mjk2MgEIAAAABQAAAAExAQAAAAstMjE0MDk4MTQ2OQMAAAADMTYwAgAAAAQ0MDgyBAAAAAEwBwAAAAg4LzIvMjAyNggAAAAJNi8zMC8yMDE5CQAAAAEwG0/Cbyzw3gi4vdiHLPDeCC1DSVEuTkFTREFROk1TRlQuSVFfUVVJQ0tfUkFUSU8uOTk0LjAyLzA4LzIwMjYBAAAAS1UAAAIAAAAIMi4zMzAyODYBCAAAAAUAAAABMQEAAAALLTIwODc0OTY2MjcDAAAAAzE2MAIAAAAENDEyMQQAAAABMAcAAAAIOC8yLzIwMjYIAAAACTYvMzAvMjAyMAkAAAABMBtPwm8s8N4IuL3Yhyzw3gg0Q0lRLk5BU0RBUTpNU0ZULklRX0RBWVNfSU5WRU5UT1JZX09VVC45OTIuMDIvMDgvMjAyNgEAAABLVQAAAgAAAAkyMy4w</t>
  </si>
  <si>
    <t>NDUwMDUBCAAAAAUAAAABMQEAAAAKMjA0NzI3MTc0NQMAAAADMTYwAgAAAAQ0MDM1BAAAAAEwBwAAAAg4LzIvMjAyNggAAAAJNi8zMC8yMDE4CQAAAAEwG0/Cbyzw3gjq5NiHLPDeCDFDSVEuTkFTREFROk1TRlQuSVFfQ0FTSF9DT05WRVJTSU9OLjk5My4wMi8wOC8yMDI2AQAAAEtVAAACAAAACDIzLjY4MDQ3AQgAAAAFAAAAATEBAAAACy0yMTQwOTgxNDY5AwAAAAMxNjACAAAABDQxODQEAAAAATAHAAAACDgvMi8yMDI2CAAAAAk2LzMwLzIwMTkJAAAAATAbT8JvLPDeCOrk2Ics8N4IMENJUS5OQVNEQVE6TVNGVC5JUV9MVF9ERUJUX0VRVUlUWS45OTguMDIvMDgvMjAyNgEAAABLVQAAAgAAAAYzMC45MDgBCAAAAAUAAAABMQEAAAALLTE4ODAyMjk2OTQDAAAAAzE2MAIAAAAENDA4NQQAAAABMAcAAAAIOC8yLzIwMjYIAAAACTYvMzAvMjAyNAkAAAABMBtPwm8s8N4I6uTYhyzw3gg5Q0lRLk5BU0RBUTpNU0ZULklRX1RPVEFMX0xJQUJfVE9UQUxfQVNTRVRTLjk5Mi4wMi8wOC8yMDI2AQAAAEtVAAACAAAABzY4LjA0MzcBCAAAAAUAAAABMQEAAAAKMjA0NzI3MTc0NQMAAAADMTYwAgAAAAQ0MTg4BAAAAAEwBwAAAAg4LzIvMjAyNggAAAAJNi8zMC8yMDE4CQAAAAEwG0/Cbyzw3giqltiHLPDeCCxDSVEuTkFTREFROk1TRlQuSVFfRUJJVERBX0lOVC45OTMuMDIvMDgvMjAyNgEAAABLVQAAAgAAAAkyMC45NDc4</t>
  </si>
  <si>
    <t>NzcBCAAAAAUAAAABMQEAAAALLTIxNDA5ODE0NjkDAAAAAzE2MAIAAAAENDE5MAQAAAABMAcAAAAIOC8yLzIwMjYIAAAACTYvMzAvMjAxOQkAAAABMBtPwm8s8N4IqpbYhyzw3ghDQ0lRLk5BU0RBUTpNU0ZULklRX0VCSVREQV9FWENMX09QRVJfTEVBU0VTX0NBUEVYX0lOVC45OTkuMDIvMDgvMjAyNgEAAABLVQAAAgAAAAkzNy45Mjg2NTkBCAAAAAUAAAABMQEAAAALLTE4ODAyMjk2ODYDAAAAAzE2MAIAAAAFNDkxNzQEAAAAATAHAAAACDgvMi8yMDI2CAAAAAk2LzMwLzIwMjUJAAAAATAbT8JvLPDeCLi92Ics8N4IRENJUS5OQVNEQVE6TVNGVC5JUV9UT1RBTF9ERUJUX0VCSVREQV9FWENMX09QRVJfTEVBU0VTLjk5Mi4wMi8wOC8yMDI2AQAAAEtVAAACAAAACDEuOTQ2NDM4AQgAAAAFAAAAATEBAAAACjIwNDcyNzE3NDUDAAAAAzE2MAIAAAAFNDg5OTQEAAAAATAHAAAACDgvMi8yMDI2CAAAAAk2LzMwLzIwMTgJAAAAATAbT8JvLPDeCLi92Ics8N4IOUNJUS5OQVNEQVE6TVNGVC5JUV9UT1RBTF9ERUJUX0VCSVREQV9DQVBFWC45OTguMDIvMDgvMjAyNgEAAABLVQAAAgAAAAgxLjEwNTUzNAEIAAAABQAAAAExAQAAAAstMTg4MDIyOTY5NAMAAAADMTYwAgAAAAUyMzMxMwQAAAABMAcAAAAIOC8yLzIwMjYIAAAACTYvMzAvMjAyNAkAAAABMBtPwm8s8N4IuL3Yhyzw3gg4Q0lRLk5BU0RBUTpNU0ZULklRX05F</t>
  </si>
  <si>
    <t>VF9ERUJUX0VCSVREQV9DQVBFWC4xMDAwLjAyLzA4LzIwMjYBAAAAS1UAAAIAAAAHMC42MTE4MgEIAAAABQAAAAExAQAAAAstMTg4MDIyOTY2NQMAAAADMTYwAgAAAAUyMzMxNAQAAAABMAcAAAAIOC8yLzIwMjYIAAAACTYvMzAvMjAyNgkAAAABMBtPwm8s8N4IqpbYhyzw3ggpQ0lRLk5BU0RBUTpNU0ZULklRX1pfU0NPUkUuOTk4LjAyLzA4LzIwMjYBAAAAS1UAAAIAAAAHOC42NTcyMwEIAAAABQAAAAExAQAAAAstMTg4MDIyOTY5NAMAAAADMTYwAgAAAAYxMDAxMjMEAAAAATAHAAAACDgvMi8yMDI2CAAAAAk2LzMwLzIwMjQJAAAAATAbT8JvLPDeCKqW2Ics8N4IN0NJUS5OQVNEQVE6TVNGVC5JUV9FQklUREFfMVlSX0FOTl9HUk9XVEguOTk1LjAyLzA4LzIwMjYBAAAAS1UAAAIAAAAHMjMuODM4OAEIAAAABQAAAAExAQAAAAstMjAzNjg0Mzg0MwMAAAADMTYwAgAAAAQ0MTk2BAAAAAEwBwAAAAg4LzIvMjAyNggAAAAJNi8zMC8yMDIxCQAAAAEwG0/Cbyzw3gi4vdiHLPDeCDNDSVEuTkFTREFROk1TRlQuSVFfTklfMVlSX0FOTl9HUk9XVEguOTk3LjAyLzA4LzIwMjYBAAAAS1UAAAIAAAAHLTAuNTE4MwEIAAAABQAAAAExAQAAAAstMTkzNDI1NDI1MAMAAAADMTYwAgAAAAQ0MTk5BAAAAAEwBwAAAAg4LzIvMjAyNggAAAAJNi8zMC8yMDIzCQAAAAEwG0/Cbyzw3gi4vdiHLPDeCDFDSVEuTkFTREFROk1TRlQu</t>
  </si>
  <si>
    <t>SVFfR1BfM1lSX0FOTl9DQUdSLjk5NC4wMi8wOC8yMDI2AQAAAEtVAAACAAAABzE1Ljg3MTcBCAAAAAUAAAABMQEAAAALLTIwODc0OTY2MjcDAAAAAzE2MAIAAAAENDIyMQQAAAABMAcAAAAIOC8yLzIwMjYIAAAACTYvMzAvMjAyMAkAAAABMBtPwm8s8N4IuL3Yhyzw3ggzQ0lRLk5BU0RBUTpNU0ZULklRX0VCSVRfM1lSX0FOTl9DQUdSLjk5Ni4wMi8wOC8yMDI2AQAAAEtVAAACAAAABzI0Ljc0MDYBCAAAAAUAAAABMQEAAAALLTE5ODU5MzEyMjQDAAAAAzE2MAIAAAAENDIyMwQAAAABMAcAAAAIOC8yLzIwMjYIAAAACTYvMzAvMjAyMgkAAAABMBtPwm8s8N4IqpbYhyzw3ggyQ0lRLk5BU0RBUTpNU0ZULklRX0VQU18zWVJfQU5OX0NBR1IuOTk4LjAyLzA4LzIwMjYBAAAAS1UAAAIAAAAHMTMuNTk1NwEIAAAABQAAAAExAQAAAAstMTg4MDIyOTY5NAMAAAADMTYwAgAAAAQ0MjI2BAAAAAEwBwAAAAg4LzIvMjAyNggAAAAJNi8zMC8yMDI0CQAAAAEwG0/Cbyzw3giqltiHLPDeCDVDSVEuTkFTREFROk1TRlQuSVFfRUJJVERBXzVZUl9BTk5fQ0FHUi45OTUuMDIvMDgvMjAyNgEAAABLVQAAAgAAAAcxOS41NzAyAQgAAAAFAAAAATEBAAAACy0yMDM2ODQzODQzAwAAAAMxNjACAAAABDQyMzUEAAAAATAHAAAACDgvMi8yMDI2CAAAAAk2LzMwLzIwMjEJAAAAATAbT8JvLPDeCKqW2Ics8N4IMUNJUS5OQVNEQVE6TVNG</t>
  </si>
  <si>
    <t>VC5JUV9OSV81WVJfQU5OX0NBR1IuOTk3LjAyLzA4LzIwMjYBAAAAS1UAAAIAAAAHMzQuMjg2MQEIAAAABQAAAAExAQAAAAstMTkzNDI1NDI1MAMAAAADMTYwAgAAAAQ0MjM4BAAAAAEwBwAAAAg4LzIvMjAyNggAAAAJNi8zMC8yMDIzCQAAAAEwG0/Cbyzw3giqltiHLPDeCDlDSVEuTkFTREFROk1TRlQuSVFfRklOX0RJVl9MSUFCX0xULjk5Ni4wMi8wOC8yMDI2Li4uVVNELkgBAAAAS1UAAAMAAAAAABtPwm8s8N4I6afKhyzw3ggxQ0lRLk5BU0RBUTpNU0ZULklRX1BFTlNJT04uOTk4LjAyLzA4LzIwMjYuLi5VU0QuSAEAAABLVQAAAwAAAAAAG0/Cbyzw3gi52cqHLPDeCDdDSVEuTkFTREFROk1TRlQuSVFfT1RIRVJfTElBQl9MVC45OTkuMDIvMDgvMjAyNi4uLlVTRC5IAQAAAEtVAAACAAAABTI4MTcyAQgAAAAFAAAAATEBAAAACy0xODgwMjI5Njg2AwAAAAMxNjACAAAABDEwNjIEAAAAATAHAAAACDgvMi8yMDI2CAAAAAk2LzMwLzIwMjUJAAAAATAbT8JvLPDeCLnZyocs8N4IOUNJUS5OQVNEQVE6TVNGVC5JUV9QUkVGX05PTl9SRURFRU0uOTk3LjAyLzA4LzIwMjYuLi5VU0QuSAEAAABLVQAAAwAAAAAAG0/Cbyzw3gjpp8qHLPDeCDRDSVEuTkFTREFROk1TRlQuSVFfUFJFRl9PVEhFUi45OTguMDIvMDgvMjAyNi4uLlVTRC5IAQAAAEtVAAADAAAAAAAbT8JvLPDeCOmnyocs8N4ILkNJUS5OQVNEQVE6TVNG</t>
  </si>
  <si>
    <t>VC5JUV9BUElDLjk5Ni4wMi8wOC8yMDI2Li4uVVNELkgBAAAAS1UAAAMAAAAAABtPwm8s8N4I6afKhyzw3ggyQ0lRLk5BU0RBUTpNU0ZULklRX1RSRUFTVVJZLjk5Ny4wMi8wOC8yMDI2Li4uVVNELkgBAAAAS1UAAAMAAAAAABtPwm8s8N4IudnKhyzw3gg9Q0lRLk5BU0RBUTpNU0ZULklRX1RPVEFMX0NPTU1PTl9FUVVJVFkuOTk4LjAyLzA4LzIwMjYuLi5VU0QuSAEAAABLVQAAAgAAAAYyNjg0NzcBCAAAAAUAAAABMQEAAAALLTE4ODAyMjk2OTQDAAAAAzE2MAIAAAAEMTAwNgQAAAABMAcAAAAIOC8yLzIwMjYIAAAACTYvMzAvMjAyNAkAAAABMBtPwm8s8N4IudnKhyzw3ggzQ0lRLk5BU0RBUTpNU0ZULklRX1JVQV9HUk9TUy45OTQuMDIvMDgvMjAyNi4uLlVTRC5IAQAAAEtVAAADAAAAAAAbT8JvLPDeCOmnyocs8N4IMUNJUS5OQVNEQVE6TVNGVC5JUV9SVUFfTkVULjk5NS4wMi8wOC8yMDI2Li4uVVNELkgBAAAAS1UAAAMAAAAAABtPwm8s8N4I6afKhyzw3gg/Q0lRLk5BU0RBUTpNU0ZULklRX1JVQV9DQVBJVEFMX0xFQVNFX05FVC45OTMuMDIvMDgvMjAyNi4uLlVTRC5IAQAAAEtVAAADAAAAAAAbT8JvLPDeCLnZyocs8N4IR0NJUS5OQVNEQVE6TVNGVC5JUV9SVUFfT1BFUkFUSU5HX0xFQVNFX0FDQ1VNX0RFUC45OTQuMDIvMDgvMjAyNi4uLlVTRC5IAQAAAEtVAAADAAAAAAAbT8JvLPDeCAwBy4cs8N4I</t>
  </si>
  <si>
    <t>P0NJUS5OQVNEQVE6TVNGVC5JUV9HUFBFX0VYQ0xfT1BFUl9MRUFTRVMuOTk1LjAyLzA4LzIwMjYuLi5VU0QuSAEAAABLVQAAAgAAAAYxMTEwNjYBCAAAAAUAAAABMQEAAAALLTIwMzY4NDM4NDMDAAAAAzE2MAIAAAAFNDg5NzQEAAAAATAHAAAACDgvMi8yMDI2CAAAAAk2LzMwLzIwMjEJAAAAATAbT8JvLPDeCAwBy4cs8N4IQENJUS5OQVNEQVE6TVNGVC5JUV9GSU5BTkNFX0xFQVNFU19DVVJSRU5ULjk5My4wMi8wOC8yMDI2Li4uVVNELkgBAAAAS1UAAAIAAAADMzE3AQgAAAAFAAAAATEBAAAACy0yMTQwOTgxNDY5AwAAAAMxNjACAAAABTQ4OTkwBAAAAAEwBwAAAAg4LzIvMjAyNggAAAAJNi8zMC8yMDE5CQAAAAEwG0/Cbyzw3gi52cqHLPDeCD5DSVEuTkFTREFROk1TRlQuSVFfVE9UQUxfRklOQU5DRV9MRUFTRVMuOTk0LjAyLzA4LzIwMjYuLi5VU0QuSAEAAABLVQAAAgAAAAQ5NDk2AQgAAAAFAAAAATEBAAAACy0yMDg3NDk2NjI3AwAAAAMxNjACAAAABTQ5MDMxBAAAAAEwBwAAAAg4LzIvMjAyNggAAAAJNi8zMC8yMDIwCQAAAAEwG0/Cbyzw3gi52cqHLPDeCDtDSVEuTkFTREFROk1TRlQuSVFfVE9UQUxfT1BFUl9MRUFTRVMuOTkyLjAyLzA4LzIwMjYuLi5VU0QuSAEAAABLVQAAAgAAAAQ2OTY3AQgAAAAFAAAAATEBAAAACjIwNDcyNzE3NDUDAAAAAzE2MAIAAAAFNDg5NzgEAAAAATAHAAAACDgvMi8y</t>
  </si>
  <si>
    <t>MDI2CAAAAAk2LzMwLzIwMTgJAAAAATAbT8JvLPDeCLnZyocs8N4IUkNJUS5OQVNEQVE6TVNGVC5JUV9GSU5BTkNJTkdfT0JMSUdfQ1VSUkVOVF9FWENMX09QRVJfTEVBU0VTLjk5My4wMi8wOC8yMDI2Li4uVVNELkgBAAAAS1UAAAIAAAAENTgzMwEIAAAABQAAAAExAQAAAAstMjE0MDk4MTQ2OQMAAAADMTYwAgAAAAU0ODk4MAQAAAABMAcAAAAIOC8yLzIwMjYIAAAACTYvMzAvMjAxOQkAAAABMBtPwm8s8N4IDAHLhyzw3ghFQ0lRLk5BU0RBUTpNU0ZULklRX1RPVEFMX0RFQlRfRVhDTF9PUEVSX0xFQVNFUy45OTUuMDIvMDgvMjAyNi4uLlVTRC5IAQAAAEtVAAACAAAABTcwNjg3AQgAAAAFAAAAATEBAAAACy0yMDM2ODQzODQzAwAAAAMxNjACAAAABTQ4OTgyBAAAAAEwBwAAAAg4LzIvMjAyNggAAAAJNi8zMC8yMDIxCQAAAAEwG0/Cbyzw3ggMAcuHLPDeCDtDSVEuTkFTREFROk1TRlQuSVFfQlZfU0hBUkVfUkVQT1JURUQuOTk0LjAyLzA4LzIwMjYuLi5VU0QuSAEAAABLVQAAAwAAAAAAG0/Cbyzw3ggMAcuHLPDeCDxDSVEuTkFTREFROk1TRlQuSVFfVEJWX1NIQVJFX1JFUE9SVEVELjk5Ni4wMi8wOC8yMDI2Li4uVVNELkgBAAAAS1UAAAMAAAAAABtPwm8s8N4IDAHLhyzw3gg0Q0lRLk5BU0RBUTpNU0ZULklRX0NBU0hfU0hBUkUuOTkzLjAyLzA4LzIwMjYuLi5VU0QuSAEAAABLVQAAAgAAAAgxLjQ4NTgw</t>
  </si>
  <si>
    <t>NAEIAAAABQAAAAExAQAAAAstMjE0MDk4MTQ2OQMAAAADMTYwAgAAAAQ0MzgxBAAAAAEwBwAAAAg4LzIvMjAyNggAAAAJNi8zMC8yMDE5CQAAAAEwG0/Cbyzw3ggMAcuHLPDeCDxDSVEuTkFTREFROk1TRlQuSVFfVE9UQUxfREVCVF9DVVJSRU5ULjk5NS4wMi8wOC8yMDI2Li4uVVNELkgBAAAAS1UAAAIAAAAFMTA4MjUBCAAAAAUAAAABMQEAAAALLTIwMzY4NDM4NDMDAAAAAzE2MAIAAAAFMjUyMjMEAAAAATAHAAAACDgvMi8yMDI2CAAAAAk2LzMwLzIwMjEJAAAAATAbT8JvLPDeCM47y4cs8N4IMkNJUS5OQVNEQVE6TVNGVC5JUV9ORVRfREVCVC45OTcuMDIvMDgvMjAyNi4uLlVTRC5IAQAAAEtVAAACAAAABi0zMTgxNQEIAAAABQAAAAExAQAAAAstMTkzNDI1NDI1MAMAAAADMTYwAgAAAAQ0MzY0BAAAAAEwBwAAAAg4LzIvMjAyNggAAAAJNi8zMC8yMDIzCQAAAAEwG0/Cbyzw3gjOO8uHLPDeCDVDSVEuTkFTREFROk1TRlQuSVFfV09SS0lOR19DQVAuOTk0LjAyLzA4LzIwMjYuLi5VU0QuSAEAAABLVQAAAgAAAAYxMDk2MDUBCAAAAAUAAAABMQEAAAALLTIwODc0OTY2MjcDAAAAAzE2MAIAAAAENDE2NQQAAAABMAcAAAAIOC8yLzIwMjYIAAAACTYvMzAvMjAyMAkAAAABMBtPwm8s8N4IDAHLhyzw3gg6Q0lRLk5BU0RBUTpNU0ZULklRX0FMTE9XX0RPVUJUX0FDQ1QuOTk2LjAyLzA4LzIwMjYuLi5VU0QuSAEA</t>
  </si>
  <si>
    <t>AABLVQAAAgAAAAM2MzMBCAAAAAUAAAABMQEAAAALLTE5ODU5MzEyMjQDAAAAAzE2MAIAAAAEMzAxMgQAAAABMAcAAAAIOC8yLzIwMjYIAAAACTYvMzAvMjAyMgkAAAABMBtPwm8s8N4IDAHLhyzw3ggvQ0lRLk5BU0RBUTpNU0ZULklRX0xJRk9SLjk5OC4wMi8wOC8yMDI2Li4uVVNELkgBAAAAS1UAAAMAAAAAABtPwm8s8N4IDAHLhyzw3ggxQ0lRLk5BU0RBUTpNU0ZULklRX1dJUF9JTlYuOTk5LjAyLzA4LzIwMjYuLi5VU0QuSAEAAABLVQAAAwAAAAAAG0/Cbyzw3gghY8uHLPDeCDRDSVEuTkFTREFROk1TRlQuSVFfT1RIRVJfSU5WLjEwMDAuMDIvMDgvMjAyNi4uLlVTRC5IAQAAAEtVAAADAAAAAAAbT8JvLPDeCCFjy4cs8N4IM0NJUS5OQVNEQVE6TVNGVC5JUV9NQUNISU5FUlkuOTk4LjAyLzA4LzIwMjYuLi5VU0QuSAEAAABLVQAAAgAAAAYxMDAzMTIBCAAAAAUAAAABMQEAAAALLTE4ODAyMjk2OTQDAAAAAzE2MAIAAAAEMzExNAQAAAABMAcAAAAIOC8yLzIwMjYIAAAACTYvMzAvMjAyNAkAAAABMBtPwm8s8N4IDAHLhyzw3ghAQ0lRLk5BU0RBUTpNU0ZULklRX05BVFVSQUxfUkVTT1VSQ0VTX0NPU1QuOTk5LjAyLzA4LzIwMjYuLi5VU0QuSAEAAABLVQAAAwAAAAAABCjCbyzw3gjOO8uHLPDeCEVDSVEuTkFTREFROk1TRlQuSVFfRklOX0RJVl9NSU5PUklUWV9JTlRfUkVERUVNLjk5NS4wMi8wOC8yMDI2</t>
  </si>
  <si>
    <t>Li4uVVNELkgBAAAAS1UAAAMAAAAAAAQowm8s8N4IzjvLhyzw3ghDQ0lRLk5BU0RBUTpNU0ZULklRX0ZJTl9ESVZfTUlOT1JJVFlfSU5URVJFU1QuOTk2LjAyLzA4LzIwMjYuLi5VU0QuSAEAAABLVQAAAwAAAAAABCjCbyzw3gghY8uHLPDeCEZDSVEuTkFTREFROk1TRlQuSVFfREVGX1RBWF9WQUxVQVRJT05fQUxMT1dBTkNFLjEwMDAuMDIvMDgvMjAyNi4uLlVTRC5IAQAAAEtVAAACAAAABDEzMzIBCAAAAAUAAAABMQEAAAALLTE4ODAyMjk2NjUDAAAAAzE2MAIAAAAFNDYwNDUEAAAAATAHAAAACDgvMi8yMDI2CAAAAAk2LzMwLzIwMjYJAAAAATAEKMJvLPDeCCFjy4cs8N4ISENJUS5OQVNEQVE6TVNGVC5JUV9UT1RBTF9HRU5FUkFMX1BBUlRORVJfSU5URVJFU1QuOTk1LjAyLzA4LzIwMjYuLi5VU0QuSAEAAABLVQAAAwAAAAAABCjCbyzw3gjOO8uHLPDeCFBDSVEuTkFTREFROk1TRlQuSVFfTElRVUlEQVRJT05fVkFMVUVfUFJFRkVSUkVEX05PTl9SRURFRU0uOTk3LjAyLzA4LzIwMjYuLi5VU0QuSAEAAABLVQAAAwAAAAAABCjCbyzw3gjOO8uHLPDeCDhDSVEuTkFTREFROk1TRlQuSVFfQVNTRVRTX0xFVkVMXzIuOTk0LjAyLzA4LzIwMjYuLi5VU0QuSAEAAABLVQAAAgAAAAUzMTQ4NgAEKMJvLPDeCM47y4cs8N4ISkNJUS5OQVNEQVE6TVNGVC5JUV9BU1NFVFNfTkVUVElOR19PVEhFUl9BREpVU1RNRU5U</t>
  </si>
  <si>
    <t>Uy45OTYuMDIvMDgvMjAyNi4uLlVTRC5IAQAAAEtVAAADAAAAAAAEKMJvLPDeCB+Ky4cs8N4IPUNJUS5OQVNEQVE6TVNGVC5JUV9MSUFCSUxJVElFU19MRVZFTF8xLjk5OC4wMi8wOC8yMDI2Li4uVVNELkgBAAAAS1UAAAIAAAABMQAEKMJvLPDeCB+Ky4cs8N4IT0NJUS5OQVNEQVE6TVNGVC5JUV9MSUFCSUxJVElFU19ORVRUSU5HX09USEVSX0FESlVTVE1FTlRTLjk5NS4wMi8wOC8yMDI2Li4uVVNELkgBAAAAS1UAAAMAAAAAAAQowm8s8N4IIWPLhyzw3ghJQ0lRLk5BU0RBUTpNU0ZULklRX0ZBSVJfVkFMVUVfQ0hBTkdFX0lOQ0xfRUFSTklOR1MuOTk3LjAyLzA4LzIwMjYuLi5VU0QuSAEAAABLVQAAAwAAAAAABCjCbyzw3gghY8uHLPDeCDxDSVEuTkFTREFROk1TRlQuSVFfRklOX0RJVl9ERUJUX1RPVEFMLjk5Ni4wMi8wOC8yMDI2Li4uVVNELkgBAAAAS1UAAAMAAAAAAAQowm8s8N4IIWPLhyzw3gg7Q0lRLk5BU0RBUTpNU0ZULklRX0ZJTl9ESVZfU1RfSU5WRVNULjk5OC4wMi8wOC8yMDI2Li4uVVNELkgBAAAAS1UAAAMAAAAAAAQowm8s8N4I8sTLhyzw3ghAQ0lRLk5BU0RBUTpNU0ZULklRX0RFQlRfRVFVSVZfT1BFUl9MRUFTRS4xMDAwLjAyLzA4LzIwMjYuLi5VU0QuSAEAAABLVQAAAgAAAAU1NTc0NAEIAAAABQAAAAExAQAAAAstMTg4MDIyOTY2NQMAAAADMTYwAgAAAAUyMTY3MQQAAAABMAcAAAAI</t>
  </si>
  <si>
    <t>OC8yLzIwMjYIAAAACTYvMzAvMjAyNgkAAAABMAQowm8s8N4I8sTLhyzw3gg9Q0lRLk5BU0RBUTpNU0ZULklRX1RPVEFMX0RFQlRfRVhDTF9GSU4uOTkzLjAyLzA4LzIwMjYuLi5VU0QuSAEAAABLVQAAAgAAAAU4NjQ1NQEIAAAABQAAAAExAQAAAAstMjE0MDk4MTQ2OQMAAAADMTYwAgAAAAUyMTg2MAQAAAABMAcAAAAIOC8yLzIwMjYIAAAACTYvMzAvMjAxOQkAAAABMAQowm8s8N4IIWPLhyzw3ghAQ0lRLk5BU0RBUTpNU0ZULklRX0NPTlRJTkdFTlRfTElBQklMSVRJRVMuOTk1LjAyLzA4LzIwMjYuLi5VU0QuSAEAAABLVQAAAwAAAAAABCjCbyzw3ggfisuHLPDeCEhDSVEuTkFTREFROk1TRlQuSVFfQ1VSUkVOVF9QT1JUX0RFQlRfREVSSVZBVElWRVMuMTAwMC4wMi8wOC8yMDI2Li4uVVNELkgBAAAAS1UAAAMAAAAAAAQowm8s8N4IH4rLhyzw3ghBQ0lRLk5BU0RBUTpNU0ZULklRX0RFUklWQVRJVkVfTElBQl9DVVJSRU5ULjk5NC4wMi8wOC8yMDI2Li4uVVNELkgBAAAAS1UAAAIAAAADMzM0AQgAAAAFAAAAATEBAAAACy0yMDg3NDk2NjI3AwAAAAMxNjACAAAABTQwNDE3BAAAAAEwBwAAAAg4LzIvMjAyNggAAAAJNi8zMC8yMDIwCQAAAAEwBCjCbyzw3gjyxMuHLPDeCENDSVEuTkFTREFROk1TRlQuSVFfREVSSVZBVElWRV9UUkFESU5HX0FTU0VUUy45OTYuMDIvMDgvMjAyNi4uLlVTRC5IAQAAAEtVAAAD</t>
  </si>
  <si>
    <t>AAAAAAAEKMJvLPDeCPLEy4cs8N4IPUNJUS5OQVNEQVE6TVNGVC5JUV9HUk9TU19JTlRBTl9BU1NFVFMuMTAwMC4wMi8wOC8yMDI2Li4uVVNELkgBAAAAS1UAAAIAAAAFNDQwNzkBCAAAAAUAAAABMQEAAAALLTE4ODAyMjk2NjUDAAAAAzE2MAIAAAAFMjQyOTMEAAAAATAHAAAACDgvMi8yMDI2CAAAAAk2LzMwLzIwMjYJAAAAATAEKMJvLPDeCB+Ky4cs8N4IMkNJUS5OQVNEQVE6TVNGVC5JUV9HUk9TU19HVy45OTUuMDIvMDgvMjAyNi4uLlVTRC5IAQAAAEtVAAADAAAAAAAEKMJvLPDeCB+Ky4cs8N4IP0NJUS5OQVNEQVE6TVNGVC5JUV9BRFZBTkNFU19GT1JfU1VQUExJRVMuOTk5LjAyLzA4LzIwMjYuLi5VU0QuSAEAAABLVQAAAwAAAAAABCjCbyzw3ggfisuHLPDeCDNDSVEuTkFTREFROk1TRlQuSVFfSU5UQU5fTkVULjk5Mi4wMi8wOC8yMDI2Li4uVVNELkgBAAAAS1UAAAMAAAAAAAQowm8s8N4I8sTLhyzw3gg5Q0lRLk5BU0RBUTpNU0ZULklRX0lOVEVSQ09NUEFOWV9DQS45OTYuMDIvMDgvMjAyNi4uLlVTRC5IAQAAAEtVAAADAAAAAAAEKMJvLPDeCPLEy4cs8N4IPENJUS5OQVNEQVE6TVNGVC5JUV9UT1RBTF9SRVZfRU1QTE9ZRUUuOTk2LjAyLzA4LzIwMjYuLi5VU0QuSAEAAABLVQAAAgAAAAc4OTcuMTQ5AQgAAAAFAAAAATEBAAAACy0xOTg1OTMxMjI0AwAAAAMxNjACAAAABDQxMjMEAAAAATAHAAAA</t>
  </si>
  <si>
    <t>CDgvMi8yMDI2CAAAAAk2LzMwLzIwMjIJAAAAATAEKMJvLPDeCPLEy4cs8N4ILkNJUS5OQVNEQVE6TVNGVC5JUV9CQVNJQ19XRUlHSFQuOTkyLjAyLzA4LzIwMjYBAAAAS1UAAAIAAAAENzcwMAAEKMJvLPDeCONv2Ics8N4IL0NJUS5OQVNEQVE6TVNGVC5JUV9GSUxJTkdEQVRFX0lTLjk5My4wMi8wOC8yMDI2AQAAAEtVAAAFAAAACjI5LzA3LzIwMjEABCjCbyzw3gjjb9iHLPDeCCxDSVEuTkFTREFROk1TRlQuSVFfU0FNRV9TVE9SRS45OTIuMDIvMDgvMjAyNgEAAABLVQAAAwAAAAAABCjCbyzw3giOSNiHLPDeCDtDSVEuTkFTREFROk1TRlQuSVFfRElTVFJJQlVUQUJMRV9DQVNIX1BBWU9VVC45OTguMDIvMDgvMjAyNgEAAABLVQAAAwAAAAAABCjCbyzw3gjjb9iHLPDeCC5DSVEuTkFTREFROk1TRlQuSVFfUEFZT1VUX1JBVElPLjk5Ni4wMi8wOC8yMDI2AQAAAEtVAAACAAAABzI0LjkzMTkBCAAAAAUAAAABMQEAAAALLTE5ODU5MzEyMjQDAAAAAzE2MAIAAAAENDM3NwQAAAABMAcAAAAIOC8yLzIwMjYIAAAACTYvMzAvMjAyMgkAAAABMAQowm8s8N4I42/Yhyzw3gguQ0lRLk5BU0RBUTpNU0ZULklRX0NBTENfVFlQRV9JUy45OTkuMDIvMDgvMjAyNgEAAABLVQAAAwAAAANSRVAABCjCbyzw3gjjb9iHLPDeCDFDSVEuTkFTREFROk1TRlQuSVFfUEVSSU9ETEVOR1RIX0NGLjk5Ny4wMi8wOC8yMDI2AQAAAEtV</t>
  </si>
  <si>
    <t>AAABAAAAAjEyAAQowm8s8N4IjkjYhyzw3ggwQ0lRLk5BU0RBUTpNU0ZULklRX1JFU1RBVEVNRU5UX0NGLjk5NS4wMi8wOC8yMDI2AQAAAEtVAAADAAAAAk5DAAQowm8s8N4IjkjYhyzw3gg/Q0lRLk5BU0RBUTpNU0ZULklRX1RPVEFMX09VVFNUQU5ESU5HX0ZJTElOR19EQVRFLjk5Ni4wMi8wOC8yMDI2AQAAAEtVAAACAAAACzc0NTcuODkxODcyAQQAAAAFAAAAATUBAAAACy0xOTg1OTMxMjI0AgAAAAUyNDE1MwYAAAABMAQowm8s8N4I42/Yhyzw3ggsQ0lRLk5BU0RBUTpNU0ZULklRX0lOVl9NRVRIT0QuOTk2LjAyLzA4LzIwMjYBAAAAS1UAAAMAAAAIQXZnIENvc3QABCjCbyzw3gjjb9iHLPDeCDFDSVEuTkFTREFROk1TRlQuSVFfVE9UQUxfRU1QTE9ZRUVTLjk5My4wMi8wOC8yMDI2AQAAAEtVAAACAAAABjE0NDAwMAAEKMJvLPDeCONv2Ics8N4IL0NJUS5OQVNEQVE6TVNGVC5JUV9BVkdfRU1QTE9ZRUVTLjk5NS4wMi8wOC8yMDI2AQAAAEtVAAADAAAAAAAEKMJvLPDeCFch2Ics8N4IM0NJUS5OQVNEQVE6TVNGVC5JUV9OVU1CRVJfQURSSE9MREVSUy45OTcuMDIvMDgvMjAyNgEAAABLVQAAAwAAAAAABCjCbyzw3ghXIdiHLPDeCDBDSVEuTkFTREFROk1TRlQuSVFfUkVTVEFURU1FTlRfQlMuOTk4LjAyLzA4LzIwMjYBAAAAS1UAAAMAAAACTkMABCjCbyzw3giOSNiHLPDeCClDSVEuTkFTREFROk1TRlQu</t>
  </si>
  <si>
    <t>SVFfR0FBUF9CUy45OTkuMDIvMDgvMjAyNgEAAABLVQAAAwAAAAdVUyBHQUFQAAQowm8s8N4IjkjYhyzw3ggwQ0lRLk5BU0RBUTpNU0ZULklRX1JFVFVSTl9FUVVJVFkuMTAwMC4wMi8wOC8yMDI2AQAAAEtVAAACAAAABzM0LjAzODYBCAAAAAUAAAABMQEAAAALLTE4ODAyMjk2NjUDAAAAAzE2MAIAAAAENDEyOAQAAAABMAcAAAAIOC8yLzIwMjYIAAAACTYvMzAvMjAyNgkAAAABMAQowm8s8N4IjkjYhyzw3gguQ0lRLk5BU0RBUTpNU0ZULklRX0dST1NTX01BUkdJTi45OTUuMDIvMDgvMjAyNgEAAABLVQAAAgAAAAc2OC45MjU4AQgAAAAFAAAAATEBAAAACy0yMDM2ODQzODQzAwAAAAMxNjACAAAABDQwNzQEAAAAATAHAAAACDgvMi8yMDI2CAAAAAk2LzMwLzIwMjEJAAAAATAEKMJvLPDeCFch2Ics8N4ILUNJUS5OQVNEQVE6TVNGVC5JUV9FQklUX01BUkdJTi45OTcuMDIvMDgvMjAyNgEAAABLVQAAAgAAAAc0MS43NzI4AQgAAAAFAAAAATEBAAAACy0xOTM0MjU0MjUwAwAAAAMxNjACAAAABDQwNTMEAAAAATAHAAAACDgvMi8yMDI2CAAAAAk2LzMwLzIwMjMJAAAAATAEKMJvLPDeCE3614cs8N4IM0NJUS5OQVNEQVE6TVNGVC5JUV9GSVhFRF9BU1NFVF9UVVJOUy45OTIuMDIvMDgvMjAyNgEAAABLVQAAAgAAAAgzLjMyMjM0NQEIAAAABQAAAAExAQAAAAoyMDQ3MjcxNzQ1AwAAAAMxNjACAAAABDQwNjYEAAAA</t>
  </si>
  <si>
    <t>ATAHAAAACDgvMi8yMDI2CAAAAAk2LzMwLzIwMTgJAAAAATAEKMJvLPDeCI5I2Ics8N4IKkNJUS5OQVNEQVE6TVNGVC5JUV9BUl9UVVJOUy45OTYuMDIvMDgvMjAyNgEAAABLVQAAAgAAAAg0LjgxNzk5MQEIAAAABQAAAAExAQAAAAstMTk4NTkzMTIyNAMAAAADMTYwAgAAAAQ0MDAxBAAAAAEwBwAAAAg4LzIvMjAyNggAAAAJNi8zMC8yMDIyCQAAAAEwBCjCbyzw3ghXIdiHLPDeCC5DSVEuTkFTREFROk1TRlQuSVFfUVVJQ0tfUkFUSU8uMTAwMC4wMi8wOC8yMDI2AQAAAEtVAAACAAAACDEuMDk3NzQ2AQgAAAAFAAAAATEBAAAACy0xODgwMjI5NjY1AwAAAAMxNjACAAAABDQxMjEEAAAAATAHAAAACDgvMi8yMDI2CAAAAAk2LzMwLzIwMjYJAAAAATAEKMJvLPDeCFch2Ics8N4INENJUS5OQVNEQVE6TVNGVC5JUV9EQVlTX0lOVkVOVE9SWV9PVVQuOTkzLjAyLzA4LzIwMjYBAAAAS1UAAAIAAAAJMjAuMDk1ODA1AQgAAAAFAAAAATEBAAAACy0yMTQwOTgxNDY5AwAAAAMxNjACAAAABDQwMzUEAAAAATAHAAAACDgvMi8yMDI2CAAAAAk2LzMwLzIwMTkJAAAAATAEKMJvLPDeCE3614cs8N4IMUNJUS5OQVNEQVE6TVNGVC5JUV9DQVNIX0NPTlZFUlNJT04uOTk0LjAyLzA4LzIwMjYBAAAAS1UAAAIAAAAINy4xMTU3NzIBCAAAAAUAAAABMQEAAAALLTIwODc0OTY2MjcDAAAAAzE2MAIAAAAENDE4NAQAAAABMAcAAAAI</t>
  </si>
  <si>
    <t>OC8yLzIwMjYIAAAACTYvMzAvMjAyMAkAAAABMAQowm8s8N4ITfrXhyzw3ggwQ0lRLk5BU0RBUTpNU0ZULklRX0xUX0RFQlRfRVFVSVRZLjk5Mi4wMi8wOC8yMDI2AQAAAEtVAAACAAAABzk5LjA1MzQBCAAAAAUAAAABMQEAAAAKMjA0NzI3MTc0NQMAAAADMTYwAgAAAAQ0MDg1BAAAAAEwBwAAAAg4LzIvMjAyNggAAAAJNi8zMC8yMDE4CQAAAAEwBCjCbyzw3ghXIdiHLPDeCDlDSVEuTkFTREFROk1TRlQuSVFfVE9UQUxfTElBQl9UT1RBTF9BU1NFVFMuOTkzLjAyLzA4LzIwMjYBAAAAS1UAAAIAAAAHNjQuMjg5NwEIAAAABQAAAAExAQAAAAstMjE0MDk4MTQ2OQMAAAADMTYwAgAAAAQ0MTg4BAAAAAEwBwAAAAg4LzIvMjAyNggAAAAJNi8zMC8yMDE5CQAAAAEwBCjCbyzw3ghXIdiHLPDeCD1DSVEuTkFTREFROk1TRlQuSVFfRUJJVERBX0VYQ0xfT1BFUl9MRUFTRVNfSU5ULjk5OC4wMi8wOC8yMDI2AQAAAEtVAAACAAAACTQzLjM5MDIxMQEIAAAABQAAAAExAQAAAAstMTg4MDIyOTY5NAMAAAADMTYwAgAAAAU0OTE3MwQAAAABMAcAAAAIOC8yLzIwMjYIAAAACTYvMzAvMjAyNAkAAAABMAQowm8s8N4IVyHYhyzw3ghDQ0lRLk5BU0RBUTpNU0ZULklRX0VCSVREQV9FWENMX09QRVJfTEVBU0VTX0NBUEVYX0lOVC45OTIuMDIvMDgvMjAyNgEAAABLVQAAAgAAAAkxMi4xOTM5MjYBCAAAAAUAAAABMQEAAAAKMjA0</t>
  </si>
  <si>
    <t>NzI3MTc0NQMAAAADMTYwAgAAAAU0OTE3NAQAAAABMAcAAAAIOC8yLzIwMjYIAAAACTYvMzAvMjAxOAkAAAABMAQowm8s8N4IPdPXhyzw3ghEQ0lRLk5BU0RBUTpNU0ZULklRX1RPVEFMX0RFQlRfRUJJVERBX0VYQ0xfT1BFUl9MRUFTRVMuOTkzLjAyLzA4LzIwMjYBAAAAS1UAAAIAAAAIMS41ODQ2MTQBCAAAAAUAAAABMQEAAAALLTIxNDA5ODE0NjkDAAAAAzE2MAIAAAAFNDg5OTQEAAAAATAHAAAACDgvMi8yMDI2CAAAAAk2LzMwLzIwMTkJAAAAATAEKMJvLPDeCD3T14cs8N4IOUNJUS5OQVNEQVE6TVNGVC5JUV9UT1RBTF9ERUJUX0VCSVREQV9DQVBFWC45OTkuMDIvMDgvMjAyNgEAAABLVQAAAgAAAAgxLjE1MDU5MwEIAAAABQAAAAExAQAAAAstMTg4MDIyOTY4NgMAAAADMTYwAgAAAAUyMzMxMwQAAAABMAcAAAAIOC8yLzIwMjYIAAAACTYvMzAvMjAyNQkAAAABMAQowm8s8N4ITfrXhyzw3gg3Q0lRLk5BU0RBUTpNU0ZULklRX05FVF9ERUJUX0VCSVREQV9DQVBFWC45OTIuMDIvMDgvMjAyNgEAAABLVQAAAwAAAAJOTQEIAAAABQAAAAExAQAAAAoyMDQ3MjcxNzQ1AwAAAAMxNjACAAAABTIzMzE0BAAAAAEwBwAAAAg4LzIvMjAyNggAAAAJNi8zMC8yMDE4CQAAAAEwBCjCbyzw3ghN+teHLPDeCDpDSVEuTkFTREFROk1TRlQuSVFfVE9UQUxfUkVWXzFZUl9BTk5fR1JPV1RILjk5NC4wMi8wOC8yMDI2AQAA</t>
  </si>
  <si>
    <t>AEtVAAACAAAABzEzLjY0NTUBCAAAAAUAAAABMQEAAAALLTIwODc0OTY2MjcDAAAAAzE2MAIAAAAENDE5NAQAAAABMAcAAAAIOC8yLzIwMjYIAAAACTYvMzAvMjAyMAkAAAABMAQowm8s8N4ITfrXhyzw3gg3Q0lRLk5BU0RBUTpNU0ZULklRX0VCSVREQV8xWVJfQU5OX0dST1dUSC45OTYuMDIvMDgvMjAyNgEAAABLVQAAAgAAAAYyMS4yNDIBCAAAAAUAAAABMQEAAAALLTE5ODU5MzEyMjQDAAAAAzE2MAIAAAAENDE5NgQAAAABMAcAAAAIOC8yLzIwMjYIAAAACTYvMzAvMjAyMgkAAAABMAQowm8s8N4IPdPXhyzw3ggzQ0lRLk5BU0RBUTpNU0ZULklRX05JXzFZUl9BTk5fR1JPV1RILjk5OC4wMi8wOC8yMDI2AQAAAEtVAAACAAAABzIxLjgwMDQBCAAAAAUAAAABMQEAAAALLTE4ODAyMjk2OTQDAAAAAzE2MAIAAAAENDE5OQQAAAABMAcAAAAIOC8yLzIwMjYIAAAACTYvMzAvMjAyNAkAAAABMAQowm8s8N4IPdPXhyzw3ggxQ0lRLk5BU0RBUTpNU0ZULklRX0dQXzNZUl9BTk5fQ0FHUi45OTUuMDIvMDgvMjAyNgEAAABLVQAAAgAAAAcxNy4xNzg1AQgAAAAFAAAAATEBAAAACy0yMDM2ODQzODQzAwAAAAMxNjACAAAABDQyMjEEAAAAATAHAAAACDgvMi8yMDI2CAAAAAk2LzMwLzIwMjEJAAAAATAEKMJvLPDeCE3614cs8N4IM0NJUS5OQVNEQVE6TVNGVC5JUV9FQklUXzNZUl9BTk5fQ0FHUi45OTcuMDIvMDgvMjAy</t>
  </si>
  <si>
    <t>NgEAAABLVQAAAgAAAAcxOC42Nzg1AQgAAAAFAAAAATEBAAAACy0xOTM0MjU0MjUwAwAAAAMxNjACAAAABDQyMjMEAAAAATAHAAAACDgvMi8yMDI2CAAAAAk2LzMwLzIwMjMJAAAAATAEKMJvLPDeCE3614cs8N4IOENJUS5OQVNEQVE6TVNGVC5JUV9UT1RBTF9SRVZfNVlSX0FOTl9DQUdSLjk5NC4wMi8wOC8yMDI2AQAAAEtVAAACAAAABjguODUyOAEIAAAABQAAAAExAQAAAAstMjA4NzQ5NjYyNwMAAAADMTYwAgAAAAQ0MjMzBAAAAAEwBwAAAAg4LzIvMjAyNggAAAAJNi8zMC8yMDIwCQAAAAEwBCjCbyzw3gg909eHLPDeCDVDSVEuTkFTREFROk1TRlQuSVFfRUJJVERBXzVZUl9BTk5fQ0FHUi45OTYuMDIvMDgvMjAyNgEAAABLVQAAAgAAAAcyMS40MTc5AQgAAAAFAAAAATEBAAAACy0xOTg1OTMxMjI0AwAAAAMxNjACAAAABDQyMzUEAAAAATAHAAAACDgvMi8yMDI2CAAAAAk2LzMwLzIwMjIJAAAAATAEKMJvLPDeCD3T14cs8N4IMUNJUS5OQVNEQVE6TVNGVC5JUV9OSV81WVJfQU5OX0NBR1IuOTk4LjAyLzA4LzIwMjYBAAAAS1UAAAIAAAAHMTcuNTY2OAEIAAAABQAAAAExAQAAAAstMTg4MDIyOTY5NAMAAAADMTYwAgAAAAQ0MjM4BAAAAAEwBwAAAAg4LzIvMjAyNggAAAAJNi8zMC8yMDI0CQAAAAEwBCjCbyzw3gg909eHLPDeCDtDSVEuTkFTREFROk1TRlQuSVFfRklOX0RJVl9TVF9JTlZFU1QuOTk5LjAy</t>
  </si>
  <si>
    <t>LzA4LzIwMjYuLi5VU0QuSAEAAABLVQAAAwAAAAAABCjCbyzw3gg/7MuHLPDeCEVDSVEuTkFTREFROk1TRlQuSVFfUkVTVFJJQ1RFRF9DQVNIX05PTl9DVVJSRU5ULjk5Mi4wMi8wOC8yMDI2Li4uVVNELkgBAAAAS1UAAAMAAAAAAAQowm8s8N4IP+zLhyzw3gg9Q0lRLk5BU0RBUTpNU0ZULklRX1RPVEFMX0RFQlRfRVhDTF9GSU4uOTk0LjAyLzA4LzIwMjYuLi5VU0QuSAEAAABLVQAAAgAAAAU4MjExMAEIAAAABQAAAAExAQAAAAstMjA4NzQ5NjYyNwMAAAADMTYwAgAAAAUyMTg2MAQAAAABMAcAAAAIOC8yLzIwMjYIAAAACTYvMzAvMjAyMAkAAAABMAQowm8s8N4IP+zLhyzw3ghAQ0lRLk5BU0RBUTpNU0ZULklRX0NPTlRJTkdFTlRfTElBQklMSVRJRVMuOTk2LjAyLzA4LzIwMjYuLi5VU0QuSAEAAABLVQAAAwAAAAAABCjCbyzw3ghVE8yHLPDeCEdDSVEuTkFTREFROk1TRlQuSVFfQ1VSUkVOVF9QT1JUX0RFQlRfREVSSVZBVElWRVMuOTkzLjAyLzA4LzIwMjYuLi5VU0QuSAEAAABLVQAAAwAAAAAABCjCbyzw3ghVE8yHLPDeCEFDSVEuTkFTREFROk1TRlQuSVFfREVSSVZBVElWRV9MSUFCX0NVUlJFTlQuOTk1LjAyLzA4LzIwMjYuLi5VU0QuSAEAAABLVQAAAgAAAAMxODIBCAAAAAUAAAABMQEAAAALLTIwMzY4NDM4NDMDAAAAAzE2MAIAAAAFNDA0MTcEAAAAATAHAAAACDgvMi8yMDI2CAAAAAk2LzMwLzIw</t>
  </si>
  <si>
    <t>MjEJAAAAATAEKMJvLPDeCD/sy4cs8N4IRENJUS5OQVNEQVE6TVNGVC5JUV9ERVJJVkFUSVZFX0FTU0VUU19DVVJSRU5ULjEwMDAuMDIvMDgvMjAyNi4uLlVTRC5IAQAAAEtVAAACAAAAAzg3MwEIAAAABQAAAAExAQAAAAstMTg4MDIyOTY2NQMAAAADMTYwAgAAAAQxMTA5BAAAAAEwBwAAAAg4LzIvMjAyNggAAAAJNi8zMC8yMDI2CQAAAAEwBCjCbyzw3gg/7MuHLPDeCDxDSVEuTkFTREFROk1TRlQuSVFfR1JPU1NfSU5UQU5fQVNTRVRTLjk5NC4wMi8wOC8yMDI2Li4uVVNELkgBAAAAS1UAAAIAAAAFMTc3NTkBCAAAAAUAAAABMQEAAAALLTIwODc0OTY2MjcDAAAAAzE2MAIAAAAFMjQyOTMEAAAAATAHAAAACDgvMi8yMDI2CAAAAAk2LzMwLzIwMjAJAAAAATAEKMJvLPDeCD/sy4cs8N4IMkNJUS5OQVNEQVE6TVNGVC5JUV9HUk9TU19HVy45OTYuMDIvMDgvMjAyNi4uLlVTRC5IAQAAAEtVAAADAAAAAAAEKMJvLPDeCFUTzIcs8N4IQENJUS5OQVNEQVE6TVNGVC5JUV9BRFZBTkNFU19GT1JfU1VQUExJRVMuMTAwMC4wMi8wOC8yMDI2Li4uVVNELkgBAAAAS1UAAAMAAAAAAAQowm8s8N4IXTrMhyzw3ggwQ0lRLk5BU0RBUTpNU0ZULklRX0dXX05FVC45OTUuMDIvMDgvMjAyNi4uLlVTRC5IAQAAAEtVAAACAAAABTQ5NzExAQgAAAAFAAAAATEBAAAACy0yMDM2ODQzODQzAwAAAAMxNjACAAAABTQ4OTYwBAAAAAEw</t>
  </si>
  <si>
    <t>BwAAAAg4LzIvMjAyNggAAAAJNi8zMC8yMDIxCQAAAAEwBCjCbyzw3gg/7MuHLPDeCD1DSVEuTkFTREFROk1TRlQuSVFfSU5URVJDT01QQU5ZX05PTl9DQS45OTkuMDIvMDgvMjAyNi4uLlVTRC5IAQAAAEtVAAADAAAAAAAEKMJvLPDeCFUTzIcs8N4IPkNJUS5OQVNEQVE6TVNGVC5JUV9JTlRFUkNPTVBBTllfTk9OX0NMLjEwMDAuMDIvMDgvMjAyNi4uLlVTRC5IAQAAAEtVAAADAAAAAAAEKMJvLPDeCFUTzIcs8N4ILUNJUS5OQVNEQVE6TVNGVC5JUV9QRVJJT0REQVRFLjEwMDAuMDIvMDgvMjAyNgEAAABLVQAABQAAAAozMC8wNi8yMDI2AAQowm8s8N4IPqzXhyzw3ggvQ0lRLk5BU0RBUTpNU0ZULklRX0ZJTElOR0RBVEVfSVMuOTk0LjAyLzA4LzIwMjYBAAAAS1UAAAUAAAAKMjgvMDcvMjAyMgAEKMJvLPDeCD3T14cs8N4IO0NJUS5OQVNEQVE6TVNGVC5JUV9ESVNUUklCVVRBQkxFX0NBU0hfUEFZT1VULjk5Mi4wMi8wOC8yMDI2AQAAAEtVAAADAAAAAAAEKMJvLPDeCD6s14cs8N4ILkNJUS5OQVNEQVE6TVNGVC5JUV9QQVlPVVRfUkFUSU8uOTk3LjAyLzA4LzIwMjYBAAAAS1UAAAIAAAAHMjcuMzYyOAEIAAAABQAAAAExAQAAAAstMTkzNDI1NDI1MAMAAAADMTYwAgAAAAQ0Mzc3BAAAAAEwBwAAAAg4LzIvMjAyNggAAAAJNi8zMC8yMDIzCQAAAAEwBCjCbyzw3ggbhdeHLPDeCC5DSVEuTkFTREFROk1TRlQu</t>
  </si>
  <si>
    <t>SVFfQ0FMQ19UWVBFX0lTLjk5Mi4wMi8wOC8yMDI2AQAAAEtVAAADAAAAA1JFUAAEKMJvLPDeCBuF14cs8N4IMUNJUS5OQVNEQVE6TVNGVC5JUV9QRVJJT0RMRU5HVEhfQ0YuOTk4LjAyLzA4LzIwMjYBAAAAS1UAAAEAAAACMTIABCjCbyzw3gg+rNeHLPDeCC5DSVEuTkFTREFROk1TRlQuSVFfQ0FMQ19UWVBFX0NGLjk5Mi4wMi8wOC8yMDI2AQAAAEtVAAADAAAAA1JFUAAEKMJvLPDeCD6s14cs8N4IP0NJUS5OQVNEQVE6TVNGVC5JUV9UT1RBTF9PVVRTVEFORElOR19GSUxJTkdfREFURS45OTcuMDIvMDgvMjAyNgEAAABLVQAAAgAAAAs3NDI5Ljc2MzcyMgEEAAAABQAAAAE1AQAAAAstMTkzNDI1NDI1MAIAAAAFMjQxNTMGAAAAATAEKMJvLPDeCD6s14cs8N4ILENJUS5OQVNEQVE6TVNGVC5JUV9JTlZfTUVUSE9ELjk5Ny4wMi8wOC8yMDI2AQAAAEtVAAADAAAACEF2ZyBDb3N0AAQowm8s8N4IG4XXhyzw3ggxQ0lRLk5BU0RBUTpNU0ZULklRX1RPVEFMX0VNUExPWUVFUy45OTQuMDIvMDgvMjAyNgEAAABLVQAAAgAAAAYxNjMwMDAABCjCbyzw3ggbhdeHLPDeCC9DSVEuTkFTREFROk1TRlQuSVFfQVZHX0VNUExPWUVFUy45OTYuMDIvMDgvMjAyNgEAAABLVQAAAwAAAAAABCjCbyzw3gg+rNeHLPDeCDBDSVEuTkFTREFROk1TRlQuSVFfQ09TVF9CT1JST1dJTkcuOTk1LjAyLzA4LzIwMjYBAAAAS1UAAAIAAAAG</t>
  </si>
  <si>
    <t>Mi44MzQ3AQgAAAAFAAAAATEBAAAACy0yMDM2ODQzODQzAwAAAAMxNjACAAAABTIxNjgxBAAAAAEwBwAAAAg4LzIvMjAyNggAAAAJNi8zMC8yMDIxCQAAAAEwBCjCbyzw3gg+rNeHLPDeCDBDSVEuTkFTREFROk1TRlQuSVFfUkVTVEFURU1FTlRfQlMuOTk5LjAyLzA4LzIwMjYBAAAAS1UAAAMAAAACTkMABCjCbyzw3gg+rNeHLPDeCCpDSVEuTkFTREFROk1TRlQuSVFfR0FBUF9CUy4xMDAwLjAyLzA4LzIwMjYBAAAAS1UAAAMAAAAHVVMgR0FBUAAEKMJvLPDeCBuF14cs8N4IL0NJUS5OQVNEQVE6TVNGVC5JUV9SRVRVUk5fRVFVSVRZLjk5NC4wMi8wOC8yMDI2AQAAAEtVAAACAAAABzQwLjEzOTcBCAAAAAUAAAABMQEAAAALLTIwODc0OTY2MjcDAAAAAzE2MAIAAAAENDEyOAQAAAABMAcAAAAIOC8yLzIwMjYIAAAACTYvMzAvMjAyMAkAAAABMAQowm8s8N4IeVrXhyzw3gguQ0lRLk5BU0RBUTpNU0ZULklRX0dST1NTX01BUkdJTi45OTYuMDIvMDgvMjAyNgEAAABLVQAAAgAAAAc2OC40MDE2AQgAAAAFAAAAATEBAAAACy0xOTg1OTMxMjI0AwAAAAMxNjACAAAABDQwNzQEAAAAATAHAAAACDgvMi8yMDI2CAAAAAk2LzMwLzIwMjIJAAAAATAEKMJvLPDeCBuF14cs8N4ILENJUS5OQVNEQVE6TVNGVC5JUV9OSV9NQVJHSU4uMTAwMC4wMi8wOC8yMDI2AQAAAEtVAAACAAAABzQwLjMwNTMBCAAAAAUAAAABMQEAAAAL</t>
  </si>
  <si>
    <t>LTE4ODAyMjk2NjUDAAAAAzE2MAIAAAAENDA5NAQAAAABMAcAAAAIOC8yLzIwMjYIAAAACTYvMzAvMjAyNgkAAAABMAQowm8s8N4IG4XXhyzw3ggtQ0lRLk5BU0RBUTpNU0ZULklRX0FTU0VUX1RVUk5TLjk5NS4wMi8wOC8yMDI2AQAAAEtVAAACAAAACDAuNTI5MzM1AQgAAAAFAAAAATEBAAAACy0yMDM2ODQzODQzAwAAAAMxNjACAAAABDQxNzcEAAAAATAHAAAACDgvMi8yMDI2CAAAAAk2LzMwLzIwMjEJAAAAATAEKMJvLPDeCBuF14cs8N4IKkNJUS5OQVNEQVE6TVNGVC5JUV9BUl9UVVJOUy45OTcuMDIvMDgvMjAyNgEAAABLVQAAAgAAAAg0LjU1OTgxMgEIAAAABQAAAAExAQAAAAstMTkzNDI1NDI1MAMAAAADMTYwAgAAAAQ0MDAxBAAAAAEwBwAAAAg4LzIvMjAyNggAAAAJNi8zMC8yMDIzCQAAAAEwBCjCbyzw3gh5WteHLPDeCDJDSVEuTkFTREFROk1TRlQuSVFfQ0ZPX0NVUlJFTlRfTElBQi45OTIuMDIvMDgvMjAyNgEAAABLVQAAAgAAAAgwLjc1MDMwNwEIAAAABQAAAAExAQAAAAoyMDQ3MjcxNzQ1AwAAAAMxNjACAAAABDQxODUEAAAAATAHAAAACDgvMi8yMDI2CAAAAAk2LzMwLzIwMTgJAAAAATAEKMJvLPDeCHla14cs8N4IMENJUS5OQVNEQVE6TVNGVC5JUV9EQVlTX1NBTEVTX09VVC45OTYuMDIvMDgvMjAyNgEAAABLVQAAAgAAAAk3NS43NTc1NzUBCAAAAAUAAAABMQEAAAALLTE5ODU5MzEyMjQD</t>
  </si>
  <si>
    <t>AAAAAzE2MAIAAAAENDA0MgQAAAABMAcAAAAIOC8yLzIwMjYIAAAACTYvMzAvMjAyMgkAAAABMAQowm8s8N4IG4XXhyzw3ggyQ0lRLk5BU0RBUTpNU0ZULklRX0NBU0hfQ09OVkVSU0lPTi4xMDAwLjAyLzA4LzIwMjYBAAAAS1UAAAIAAAAKLTMyLjg4ODMyNQEIAAAABQAAAAExAQAAAAstMTg4MDIyOTY2NQMAAAADMTYwAgAAAAQ0MTg0BAAAAAEwBwAAAAg4LzIvMjAyNggAAAAJNi8zMC8yMDI2CQAAAAEwBCjCbyzw3ggbhdeHLPDeCDBDSVEuTkFTREFROk1TRlQuSVFfTFRfREVCVF9FUVVJVFkuOTkzLjAyLzA4LzIwMjYBAAAAS1UAAAIAAAAHNzcuMzA1NwEIAAAABQAAAAExAQAAAAstMjE0MDk4MTQ2OQMAAAADMTYwAgAAAAQ0MDg1BAAAAAEwBwAAAAg4LzIvMjAyNggAAAAJNi8zMC8yMDE5CQAAAAEwBCjCbyzw3ggbhdeHLPDeCDlDSVEuTkFTREFROk1TRlQuSVFfVE9UQUxfTElBQl9UT1RBTF9BU1NFVFMuOTk0LjAyLzA4LzIwMjYBAAAAS1UAAAIAAAAHNjAuNzM2OQEIAAAABQAAAAExAQAAAAstMjA4NzQ5NjYyNwMAAAADMTYwAgAAAAQ0MTg4BAAAAAEwBwAAAAg4LzIvMjAyNggAAAAJNi8zMC8yMDIwCQAAAAEwBCjCbyzw3gh5WteHLPDeCD1DSVEuTkFTREFROk1TRlQuSVFfRUJJVERBX0VYQ0xfT1BFUl9MRUFTRVNfSU5ULjk5Mi4wMi8wOC8yMDI2AQAAAEtVAAACAAAACTE2LjQ1MDA1NAEIAAAABQAA</t>
  </si>
  <si>
    <t>AAExAQAAAAoyMDQ3MjcxNzQ1AwAAAAMxNjACAAAABTQ5MTczBAAAAAEwBwAAAAg4LzIvMjAyNggAAAAJNi8zMC8yMDE4CQAAAAEwBCjCbyzw3ghLM9eHLPDeCENDSVEuTkFTREFROk1TRlQuSVFfRUJJVERBX0VYQ0xfT1BFUl9MRUFTRVNfQ0FQRVhfSU5ULjk5My4wMi8wOC8yMDI2AQAAAEtVAAACAAAACTE1LjEyODA3MQEIAAAABQAAAAExAQAAAAstMjE0MDk4MTQ2OQMAAAADMTYwAgAAAAU0OTE3NAQAAAABMAcAAAAIOC8yLzIwMjYIAAAACTYvMzAvMjAxOQkAAAABMAQowm8s8N4IeVrXhyzw3ggxQ0lRLk5BU0RBUTpNU0ZULklRX05FVF9ERUJUX0VCSVREQS45OTguMDIvMDgvMjAyNgEAAABLVQAAAgAAAAgwLjE2Nzg0MgEIAAAABQAAAAExAQAAAAstMTg4MDIyOTY5NAMAAAADMTYwAgAAAAQ0MTkzBAAAAAEwBwAAAAg4LzIvMjAyNggAAAAJNi8zMC8yMDI0CQAAAAEwBCjCbyzw3gh5WteHLPDeCDlDSVEuTkFTREFROk1TRlQuSVFfVE9UQUxfREVCVF9FQklUREFfQ0FQRVguOTkyLjAyLzA4LzIwMjYBAAAAS1UAAAIAAAAIMi41MDY2MDIBCAAAAAUAAAABMQEAAAAKMjA0NzI3MTc0NQMAAAADMTYwAgAAAAUyMzMxMwQAAAABMAcAAAAIOC8yLzIwMjYIAAAACTYvMzAvMjAxOAkAAAABMAQowm8s8N4IeVrXhyzw3gg3Q0lRLk5BU0RBUTpNU0ZULklRX05FVF9ERUJUX0VCSVREQV9DQVBFWC45OTMuMDIvMDgv</t>
  </si>
  <si>
    <t>MjAyNgEAAABLVQAAAwAAAAJOTQEIAAAABQAAAAExAQAAAAstMjE0MDk4MTQ2OQMAAAADMTYwAgAAAAUyMzMxNAQAAAABMAcAAAAIOC8yLzIwMjYIAAAACTYvMzAvMjAxOQkAAAABMAQowm8s8N4ISzPXhyzw3gg6Q0lRLk5BU0RBUTpNU0ZULklRX1RPVEFMX1JFVl8xWVJfQU5OX0dST1dUSC45OTUuMDIvMDgvMjAyNgEAAABLVQAAAgAAAAcxNy41MzE3AQgAAAAFAAAAATEBAAAACy0yMDM2ODQzODQzAwAAAAMxNjACAAAABDQxOTQEAAAAATAHAAAACDgvMi8yMDI2CAAAAAk2LzMwLzIwMjEJAAAAATAEKMJvLPDeCEsz14cs8N4IN0NJUS5OQVNEQVE6TVNGVC5JUV9FQklUREFfMVlSX0FOTl9HUk9XVEguOTk3LjAyLzA4LzIwMjYBAAAAS1UAAAIAAAAGNC4xMjMxAQgAAAAFAAAAATEBAAAACy0xOTM0MjU0MjUwAwAAAAMxNjACAAAABDQxOTYEAAAAATAHAAAACDgvMi8yMDI2CAAAAAk2LzMwLzIwMjMJAAAAATAEKMJvLPDeCHla14cs8N4INENJUS5OQVNEQVE6TVNGVC5JUV9FUFNfMVlSX0FOTl9HUk9XVEguOTk0LjAyLzA4LzIwMjYBAAAAS1UAAAIAAAAHMTMuODMzOQEIAAAABQAAAAExAQAAAAstMjA4NzQ5NjYyNwMAAAADMTYwAgAAAAQ0MjAwBAAAAAEwBwAAAAg4LzIvMjAyNggAAAAJNi8zMC8yMDIwCQAAAAEwBCjCbyzw3gh5WteHLPDeCDFDSVEuTkFTREFROk1TRlQuSVFfR1BfM1lSX0FOTl9DQUdSLjk5</t>
  </si>
  <si>
    <t>Ni4wMi8wOC8yMDI2AQAAAEtVAAACAAAABzE3LjgxNDUBCAAAAAUAAAABMQEAAAALLTE5ODU5MzEyMjQDAAAAAzE2MAIAAAAENDIyMQQAAAABMAcAAAAIOC8yLzIwMjYIAAAACTYvMzAvMjAyMgkAAAABMAQowm8s8N4IeVrXhyzw3ggzQ0lRLk5BU0RBUTpNU0ZULklRX0VCSVRfM1lSX0FOTl9DQUdSLjk5OC4wMi8wOC8yMDI2AQAAAEtVAAACAAAABzE2LjEwNjcBCAAAAAUAAAABMQEAAAALLTE4ODAyMjk2OTQDAAAAAzE2MAIAAAAENDIyMwQAAAABMAcAAAAIOC8yLzIwMjYIAAAACTYvMzAvMjAyNAkAAAABMAQowm8s8N4ISzPXhyzw3gg4Q0lRLk5BU0RBUTpNU0ZULklRX1RPVEFMX1JFVl81WVJfQU5OX0NBR1IuOTk1LjAyLzA4LzIwMjYBAAAAS1UAAAIAAAAHMTMuMDE5MgEIAAAABQAAAAExAQAAAAstMjAzNjg0Mzg0MwMAAAADMTYwAgAAAAQ0MjMzBAAAAAEwBwAAAAg4LzIvMjAyNggAAAAJNi8zMC8yMDIxCQAAAAEwBCjCbyzw3ghLM9eHLPDeCDVDSVEuTkFTREFROk1TRlQuSVFfRUJJVERBXzVZUl9BTk5fQ0FHUi45OTcuMDIvMDgvMjAyNgEAAABLVQAAAgAAAAcxNy44MDg5AQgAAAAFAAAAATEBAAAACy0xOTM0MjU0MjUwAwAAAAMxNjACAAAABDQyMzUEAAAAATAHAAAACDgvMi8yMDI2CAAAAAk2LzMwLzIwMjMJAAAAATAEKMJvLPDeCEsz14cs8N4IMkNJUS5OQVNEQVE6TVNGVC5JUV9FUFNfNVlSX0FO</t>
  </si>
  <si>
    <t>Tl9DQUdSLjk5NC4wMi8wOC8yMDI2AQAAAEtVAAACAAAABzMxLjIyOTcBCAAAAAUAAAABMQEAAAALLTIwODc0OTY2MjcDAAAAAzE2MAIAAAAENDIzOQQAAAABMAcAAAAIOC8yLzIwMjYIAAAACTYvMzAvMjAyMAkAAAABMAQowm8s8N4ISzPXhyzw3gg4Q0lRLk5BU0RBUTpNU0ZULklRX09USEVSX0NMX1NVUFBMLjk5OS4wMi8wOC8yMDI2Li4uVVNELkgBAAAAS1UAAAIAAAAFMTY0MjQBCAAAAAUAAAABMQEAAAALLTE4ODAyMjk2ODYDAAAAAzE2MAIAAAAEMTA1NwQAAAABMAcAAAAIOC8yLzIwMjYIAAAACTYvMzAvMjAyNQkAAAABMAQowm8s8N4IXTrMhyzw3gg6Q0lRLk5BU0RBUTpNU0ZULklRX0xPTkdfVEVSTV9MRUFTRVMuOTk2LjAyLzA4LzIwMjYuLi5VU0QuSAEAAABLVQAAAgAAAAUyNTMzMQEIAAAABQAAAAExAQAAAAstMTk4NTkzMTIyNAMAAAADMTYwAgAAAAQxMTgzBAAAAAEwBwAAAAg4LzIvMjAyNggAAAAJNi8zMC8yMDIyCQAAAAEwBCjCbyzw3ghwYcyHLPDeCDlDSVEuTkFTREFROk1TRlQuSVFfRklOX0RJVl9MSUFCX0xULjk5OC4wMi8wOC8yMDI2Li4uVVNELkgBAAAAS1UAAAMAAAAAAAQowm8s8N4IcGHMhyzw3ggyQ0lRLk5BU0RBUTpNU0ZULklRX1BFTlNJT04uMTAwMC4wMi8wOC8yMDI2Li4uVVNELkgBAAAAS1UAAAMAAAAAAAQowm8s8N4IXTrMhyzw3gg0Q0lRLk5BU0RBUTpNU0ZULklRX1RP</t>
  </si>
  <si>
    <t>VEFMX0xJQUIuOTk3LjAyLzA4LzIwMjYuLi5VU0QuSAEAAABLVQAAAgAAAAYyMDU3NTMBCAAAAAUAAAABMQEAAAALLTE5MzQyNTQyNTADAAAAAzE2MAIAAAAEMTI3NgQAAAABMAcAAAAIOC8yLzIwMjYIAAAACTYvMzAvMjAyMwkAAAABMAQowm8s8N4IXTrMhyzw3gg5Q0lRLk5BU0RBUTpNU0ZULklRX1BSRUZfTk9OX1JFREVFTS45OTkuMDIvMDgvMjAyNi4uLlVTRC5IAQAAAEtVAAADAAAAAAAEKMJvLPDeCF06zIcs8N4INUNJUS5OQVNEQVE6TVNGVC5JUV9QUkVGX0VRVUlUWS45OTYuMDIvMDgvMjAyNi4uLlVTRC5IAQAAAEtVAAADAAAAAAAEKMJvLPDeCCN1zIcs8N4ILkNJUS5OQVNEQVE6TVNGVC5JUV9BUElDLjk5OC4wMi8wOC8yMDI2Li4uVVNELkgBAAAAS1UAAAMAAAAAAAQowm8s8N4II3XMhyzw3ggyQ0lRLk5BU0RBUTpNU0ZULklRX1RSRUFTVVJZLjk5OS4wMi8wOC8yMDI2Li4uVVNELkgBAAAAS1UAAAMAAAAAAAQowm8s8N4IXTrMhyzw3gg7Q0lRLk5BU0RBUTpNU0ZULklRX01JTk9SSVRZX0lOVEVSRVNULjk5Ny4wMi8wOC8yMDI2Li4uVVNELkgBAAAAS1UAAAMAAAAAAAQowm8s8N4IXTrMhyzw3gg7Q0lRLk5BU0RBUTpNU0ZULklRX1RPVEFMX0xJQUJfRVFVSVRZLjk5OC4wMi8wOC8yMDI2Li4uVVNELkgBAAAAS1UAAAIAAAAGNTEyMTYzAQgAAAAFAAAAATEBAAAACy0xODgwMjI5Njk0AwAAAAMx</t>
  </si>
  <si>
    <t>NjACAAAABDEwMTMEAAAAATAHAAAACDgvMi8yMDI2CAAAAAk2LzMwLzIwMjQJAAAAATAEKMJvLPDeCHBhzIcs8N4IMUNJUS5OQVNEQVE6TVNGVC5JUV9SVUFfTkVULjk5Ni4wMi8wOC8yMDI2Li4uVVNELkgBAAAAS1UAAAMAAAAAAAQowm8s8N4II3XMhyzw3ghFQ0lRLk5BU0RBUTpNU0ZULklRX1JVQV9DQVBJVEFMX0xFQVNFX0FDQ1VNX0RFUC45OTcuMDIvMDgvMjAyNi4uLlVTRC5IAQAAAEtVAAADAAAAAAAEKMJvLPDeCHGczIcs8N4IQ0NJUS5OQVNEQVE6TVNGVC5JUV9SVUFfT1BFUkFUSU5HX0xFQVNFX0dST1NTLjk5OC4wMi8wOC8yMDI2Li4uVVNELkgBAAAAS1UAAAIAAAAFMTg5NjEBCAAAAAUAAAABMQEAAAALLTE4ODAyMjk2OTQDAAAAAzE2MAIAAAAFNDgzNzcEAAAAATAHAAAACDgvMi8yMDI2CAAAAAk2LzMwLzIwMjQJAAAAATAEKMJvLPDeCHBhzIcs8N4IPUNJUS5OQVNEQVE6TVNGVC5JUV9BRF9FWENMX09QRVJfTEVBU0VTLjk5NC4wMi8wOC8yMDI2Li4uVVNELkgBAAAAS1UAAAIAAAAGLTQzMTk3AQgAAAAFAAAAATEBAAAACy0yMDg3NDk2NjI3AwAAAAMxNjACAAAABTQ4OTc1BAAAAAEwBwAAAAg4LzIvMjAyNggAAAAJNi8zMC8yMDIwCQAAAAEwBCjCbyzw3ghwYcyHLPDeCEBDSVEuTkFTREFROk1TRlQuSVFfRklOQU5DRV9MRUFTRVNfQ1VSUkVOVC45OTUuMDIvMDgvMjAyNi4uLlVTRC5IAQAA</t>
  </si>
  <si>
    <t>AEtVAAACAAAAAzc5MQEIAAAABQAAAAExAQAAAAstMjAzNjg0Mzg0MwMAAAADMTYwAgAAAAU0ODk5MAQAAAABMAcAAAAIOC8yLzIwMjYIAAAACTYvMzAvMjAyMQkAAAABMAQowm8s8N4IcGHMhyzw3ghQQ0lRLk5BU0RBUTpNU0ZULklRX0NVUlJFTlRfUE9SVElPTl9PUEVSX0xFQVNFX0xJQUJJTElUSUVTLjk5My4wMi8wOC8yMDI2Li4uVVNELkgBAAAAS1UAAAIAAAAEMTUxNQEIAAAABQAAAAExAQAAAAstMjE0MDk4MTQ2OQMAAAADMTYwAgAAAAU0ODM4NQQAAAABMAcAAAAIOC8yLzIwMjYIAAAACTYvMzAvMjAxOQkAAAABMAQowm8s8N4IcZzMhyzw3gg7Q0lRLk5BU0RBUTpNU0ZULklRX1RPVEFMX09QRVJfTEVBU0VTLjk5NC4wMi8wOC8yMDI2Li4uVVNELkgBAAAAS1UAAAIAAAAEOTI4NwEIAAAABQAAAAExAQAAAAstMjA4NzQ5NjYyNwMAAAADMTYwAgAAAAU0ODk3OAQAAAABMAcAAAAIOC8yLzIwMjYIAAAACTYvMzAvMjAyMAkAAAABMAQowm8s8N4IcZzMhyzw3ghSQ0lRLk5BU0RBUTpNU0ZULklRX0ZJTkFOQ0lOR19PQkxJR19DVVJSRU5UX0VYQ0xfT1BFUl9MRUFTRVMuOTk1LjAyLzA4LzIwMjYuLi5VU0QuSAEAAABLVQAAAgAAAAQ4ODYzAQgAAAAFAAAAATEBAAAACy0yMDM2ODQzODQzAwAAAAMxNjACAAAABTQ4OTgwBAAAAAEwBwAAAAg4LzIvMjAyNggAAAAJNi8zMC8yMDIxCQAAAAEwBCjCbyzw3ggj</t>
  </si>
  <si>
    <t>dcyHLPDeCEBDSVEuTkFTREFROk1TRlQuSVFfVE9UQUxfREVCVF9FWENMX0xFQVNFUy45OTMuMDIvMDgvMjAyNi4uLlVTRC5IAQAAAEtVAAACAAAABTcyMTc4AQgAAAAFAAAAATEBAAAACy0yMTQwOTgxNDY5AwAAAAMxNjACAAAABTQ4OTkyBAAAAAEwBwAAAAg4LzIvMjAyNggAAAAJNi8zMC8yMDE5CQAAAAEwBCjCbyzw3ggjdcyHLPDeCDtDSVEuTkFTREFROk1TRlQuSVFfQlZfU0hBUkVfUkVQT1JURUQuOTk2LjAyLzA4LzIwMjYuLi5VU0QuSAEAAABLVQAAAwAAAAAABCjCbyzw3ggjdcyHLPDeCC1DSVEuTkFTREFROk1TRlQuSVFfVEJWLjk5My4wMi8wOC8yMDI2Li4uVVNELkgBAAAAS1UAAAIAAAAFNTI1NTQBCAAAAAUAAAABMQEAAAALLTIxNDA5ODE0NjkDAAAAAzE2MAIAAAAEMTMxMAQAAAABMAcAAAAIOC8yLzIwMjYIAAAACTYvMzAvMjAxOQkAAAABMAQowm8s8N4IhsPMhyzw3gg0Q0lRLk5BU0RBUTpNU0ZULklRX0NBU0hfU0hBUkUuOTk1LjAyLzA4LzIwMjYuLi5VU0QuSAEAAABLVQAAAgAAAAcxLjg5MTc0AQgAAAAFAAAAATEBAAAACy0yMDM2ODQzODQzAwAAAAMxNjACAAAABDQzODEEAAAAATAHAAAACDgvMi8yMDI2CAAAAAk2LzMwLzIwMjEJAAAAATAEKMJvLPDeCIbDzIcs8N4IPENJUS5OQVNEQVE6TVNGVC5JUV9UT1RBTF9ERUJUX0NVUlJFTlQuOTk3LjAyLzA4LzIwMjYuLi5VU0QuSAEAAABL</t>
  </si>
  <si>
    <t>VQAAAgAAAAQ4ODUzAQgAAAAFAAAAATEBAAAACy0xOTM0MjU0MjUwAwAAAAMxNjACAAAABTI1MjIzBAAAAAEwBwAAAAg4LzIvMjAyNggAAAAJNi8zMC8yMDIzCQAAAAEwBCjCbyzw3ghxnMyHLPDeCEFDSVEuTkFTREFROk1TRlQuSVFfTUlOT1JJVFlfSU5URVJFU1RfVE9UQUwuOTk0LjAyLzA4LzIwMjYuLi5VU0QuSAEAAABLVQAAAwAAAAAABCjCbyzw3ghxnMyHLPDeCDVDSVEuTkFTREFROk1TRlQuSVFfV09SS0lOR19DQVAuOTk2LjAyLzA4LzIwMjYuLi5VU0QuSAEAAABLVQAAAgAAAAU3NDYwMgEIAAAABQAAAAExAQAAAAstMTk4NTkzMTIyNAMAAAADMTYwAgAAAAQ0MTY1BAAAAAEwBwAAAAg4LzIvMjAyNggAAAAJNi8zMC8yMDIyCQAAAAEwBCjCbyzw3ghxnMyHLPDeCDdDSVEuTkFTREFROk1TRlQuSVFfRVFVSVRZX01FVEhPRC45OTMuMDIvMDgvMjAyNi4uLlVTRC5IAQAAAEtVAAADAAAAAAAEKMJvLPDeCIbDzIcs8N4IMENJUS5OQVNEQVE6TVNGVC5JUV9MSUZPUi4xMDAwLjAyLzA4LzIwMjYuLi5VU0QuSAEAAABLVQAAAwAAAAAABCjCbyzw3giGw8yHLPDeCDFDSVEuTkFTREFROk1TRlQuSVFfV0lQX0lOVi45OTMuMDIvMDgvMjAyNi4uLlVTRC5IAQAAAEtVAAACAAAAAjUzAQgAAAAFAAAAATEBAAAACy0yMTQwOTgxNDY5AwAAAAMxNjACAAAABDMyMTkEAAAAATAHAAAACDgvMi8yMDI2CAAAAAk2LzMw</t>
  </si>
  <si>
    <t>LzIwMTkJAAAAATAEKMJvLPDeCHGczIcs8N4ILkNJUS5OQVNEQVE6TVNGVC5JUV9MQU5ELjk5OS4wMi8wOC8yMDI2Li4uVVNELkgBAAAAS1UAAAIAAAAEOTMzOAEIAAAABQAAAAExAQAAAAstMTg4MDIyOTY4NgMAAAADMTYwAgAAAAQzMDk4BAAAAAEwBwAAAAg4LzIvMjAyNggAAAAJNi8zMC8yMDI1CQAAAAEwBCjCbyzw3ghxnMyHLPDeCDRDSVEuTkFTREFROk1TRlQuSVFfTUFDSElORVJZLjEwMDAuMDIvMDgvMjAyNi4uLlVTRC5IAQAAAEtVAAACAAAABjIyMjEyNAEIAAAABQAAAAExAQAAAAstMTg4MDIyOTY2NQMAAAADMTYwAgAAAAQzMTE0BAAAAAEwBwAAAAg4LzIvMjAyNggAAAAJNi8zMC8yMDI2CQAAAAEwBCjCbyzw3giGw8yHLPDeCC1DSVEuTkFTREFROk1TRlQuSVFfQ0lQLjk5OC4wMi8wOC8yMDI2Li4uVVNELkgBAAAAS1UAAAMAAAAAAAQowm8s8N4IlerMhyzw3gg9Q0lRLk5BU0RBUTpNU0ZULklRX01JTk9SSVRZX0lOVF9SRURFRU0uOTk5LjAyLzA4LzIwMjYuLi5VU0QuSAEAAABLVQAAAwAAAAAABCjCbyzw3giV6syHLPDeCEJDSVEuTkFTREFROk1TRlQuSVFfTUlOT1JJVFlfSU5UX1JFREVFTV9UT1QuMTAwMC4wMi8wOC8yMDI2Li4uVVNELkgBAAAAS1UAAAMAAAAAAAQowm8s8N4IhsPMhyzw3ghHQ0lRLk5BU0RBUTpNU0ZULklRX0dFTkVSQUxfUEFSVE5FUl9DT01NT05fRVFVSVRZLjk5OC4w</t>
  </si>
  <si>
    <t>Mi8wOC8yMDI2Li4uVVNELkgBAAAAS1UAAAMAAAAAAAQowm8s8N4IhsPMhyzw3ghLQ0lRLk5BU0RBUTpNU0ZULklRX0dFTkVSQUxfUEFSVE5FUl9NSU5PUklUWV9JTlRFUkVTVC45OTkuMDIvMDgvMjAyNi4uLlVTRC5IAQAAAEtVAAADAAAAAAAEKMJvLPDeCIbDzIcs8N4ITENJUS5OQVNEQVE6TVNGVC5JUV9MSVFVSURBVElPTl9WQUxVRV9QUkVGRVJSRURfUkVERUVNLjk5NS4wMi8wOC8yMDI2Li4uVVNELkgBAAAAS1UAAAMAAAAAAAQowm8s8N4ImhHNhyzw3gg4Q0lRLk5BU0RBUTpNU0ZULklRX0FTU0VUU19MRVZFTF8yLjk5Ni4wMi8wOC8yMDI2Li4uVVNELkgBAAAAS1UAAAIAAAAFMTc5OTUABCjCbyzw3giaEc2HLPDeCDlDSVEuTkFTREFROk1TRlQuSVFfQVNTRVRTX0xFVkVMXzMuMTAwMC4wMi8wOC8yMDI2Li4uVVNELkgBAAAAS1UAAAIAAAAEMTgzNwAEKMJvLPDeCIbDzIcs8N4IPUNJUS5OQVNEQVE6TVNGVC5JUV9MSUFCSUxJVElFU19MRVZFTF8yLjk5NS4wMi8wOC8yMDI2Li4uVVNELkgBAAAAS1UAAAIAAAAFNzAzMzUABCjCbyzw3giV6syHLPDeCE9DSVEuTkFTREFROk1TRlQuSVFfTElBQklMSVRJRVNfTkVUVElOR19PVEhFUl9BREpVU1RNRU5UUy45OTcuMDIvMDgvMjAyNi4uLlVTRC5IAQAAAEtVAAADAAAAAAAEKMJvLPDeCJXqzIcs8N4IP0NJUS5OQVNEQVE6TVNGVC5JUV9GSU5fRElWX0xU</t>
  </si>
  <si>
    <t>X0RFQlRfVE9UQUwuOTk2LjAyLzA4LzIwMjYuLi5VU0QuSAEAAABLVQAAAwAAAAAABCjCbyzw3gjOOM2HLPDeCDxDSVEuTkFTREFROk1TRlQuSVFfRklOX0RJVl9ERUJUX1RPVEFMLjk5OC4wMi8wOC8yMDI2Li4uVVNELkgBAAAAS1UAAAMAAAAAAAQowm8s8N4IzjjNhyzw3gg7Q0lRLk5BU0RBUTpNU0ZULklRX0ZJTl9ESVZfU1RfSU5WRVNULjk5Mi4wMi8wOC8yMDI2Li4uVVNELkgBAAAAS1UAAAMAAAAAAAQowm8s8N4ImhHNhyzw3ghFQ0lRLk5BU0RBUTpNU0ZULklRX1JFU1RSSUNURURfQ0FTSF9OT05fQ1VSUkVOVC45OTMuMDIvMDgvMjAyNi4uLlVTRC5IAQAAAEtVAAADAAAAAAAEKMJvLPDeCJoRzYcs8N4IPUNJUS5OQVNEQVE6TVNGVC5JUV9UT1RBTF9ERUJUX0VYQ0xfRklOLjk5NS4wMi8wOC8yMDI2Li4uVVNELkgBAAAAS1UAAAIAAAAFODIyNzgBCAAAAAUAAAABMQEAAAALLTIwMzY4NDM4NDMDAAAAAzE2MAIAAAAFMjE4NjAEAAAAATAHAAAACDgvMi8yMDI2CAAAAAk2LzMwLzIwMjEJAAAAATAEKMJvLPDeCJoRzYcs8N4IPkNJUS5OQVNEQVE6TVNGVC5JUV9XQVJSQU5UWV9MSUFCSUxJVElFUy45OTIuMDIvMDgvMjAyNi4uLlVTRC5IAQAAAEtVAAADAAAAAAAEKMJvLPDeCM44zYcs8N4IR0NJUS5OQVNEQVE6TVNGVC5JUV9DVVJSRU5UX1BPUlRfREVCVF9ERVJJVkFUSVZFUy45OTQuMDIvMDgvMjAy</t>
  </si>
  <si>
    <t>Ni4uLlVTRC5IAQAAAEtVAAADAAAAAAAEKMJvLPDeCM44zYcs8N4IQUNJUS5OQVNEQVE6TVNGVC5JUV9ERVJJVkFUSVZFX0xJQUJfQ1VSUkVOVC45OTYuMDIvMDgvMjAyNi4uLlVTRC5IAQAAAEtVAAACAAAAAzI5OAEIAAAABQAAAAExAQAAAAstMTk4NTkzMTIyNAMAAAADMTYwAgAAAAU0MDQxNwQAAAABMAcAAAAIOC8yLzIwMjYIAAAACTYvMzAvMjAyMgkAAAABMAQowm8s8N4ImhHNhyzw3ghDQ0lRLk5BU0RBUTpNU0ZULklRX0RFUklWQVRJVkVfQVNTRVRTX0NVUlJFTlQuOTkzLjAyLzA4LzIwMjYuLi5VU0QuSAEAAABLVQAAAgAAAAMxMzMBCAAAAAUAAAABMQEAAAALLTIxNDA5ODE0NjkDAAAAAzE2MAIAAAAEMTEwOQQAAAABMAcAAAAIOC8yLzIwMjYIAAAACTYvMzAvMjAxOQkAAAABMAQowm8s8N4ImhHNhyzw3gg8Q0lRLk5BU0RBUTpNU0ZULklRX0dST1NTX0lOVEFOX0FTU0VUUy45OTUuMDIvMDgvMjAyNi4uLlVTRC5IAQAAAEtVAAACAAAABTE5OTc1AQgAAAAFAAAAATEBAAAACy0yMDM2ODQzODQzAwAAAAMxNjACAAAABTI0MjkzBAAAAAEwBwAAAAg4LzIvMjAyNggAAAAJNi8zMC8yMDIxCQAAAAEwBCjCbyzw3giaEc2HLPDeCDlDSVEuTkFTREFROk1TRlQuSVFfQUNDVU1fQU1PUlRfR1cuMTAwMC4wMi8wOC8yMDI2Li4uVVNELkgBAAAAS1UAAAMAAAAAAAQowm8s8N4IzjjNhyzw3gg/Q0lRLk5BU0RB</t>
  </si>
  <si>
    <t>UTpNU0ZULklRX0FEVkFOQ0VTX0ZPUl9TVVBQTElFUy45OTQuMDIvMDgvMjAyNi4uLlVTRC5IAQAAAEtVAAADAAAAAAAEKMJvLPDeCM44zYcs8N4IMENJUS5OQVNEQVE6TVNGVC5JUV9HV19ORVQuOTk2LjAyLzA4LzIwMjYuLi5VU0QuSAEAAABLVQAAAgAAAAU2NzUyNAEIAAAABQAAAAExAQAAAAstMTk4NTkzMTIyNAMAAAADMTYwAgAAAAU0ODk2MAQAAAABMAcAAAAIOC8yLzIwMjYIAAAACTYvMzAvMjAyMgkAAAABMAQowm8s8N4IzjjNhyzw3gg+Q0lRLk5BU0RBUTpNU0ZULklRX0lOVEVSQ09NUEFOWV9OT05fQ0EuMTAwMC4wMi8wOC8yMDI2Li4uVVNELkgBAAAAS1UAAAMAAAAAAAQowm8s8N4IzjjNhyzw3gg9Q0lRLk5BU0RBUTpNU0ZULklRX0lOVEVSQ09NUEFOWV9OT05fQ0wuOTk1LjAyLzA4LzIwMjYuLi5VU0QuSAEAAABLVQAAAwAAAAAABCjCbyzw3gjOOM2HLPDeCC5DSVEuTkFTREFROk1TRlQuSVFfQkFTSUNfV0VJR0hULjk5OC4wMi8wOC8yMDI2AQAAAEtVAAACAAAABDc0MzEABCjCbyzw3gg/DNeHLPDeCDJDSVEuTkFTREFROk1TRlQuSVFfRFJfUkFUSU9fUFJJTUFSWS45OTguMDIvMDgvMjAyNgEAAABLVQAAAgAAAAcwLjA0MTY3AAQowm8s8N4ISzPXhyzw3ghBQ0lRLk5BU0RBUTpNU0ZULklRX0RJU1RSSUJVVEFCTEVfQ0FTSF9TSEFSRVNfQkFTSUMuOTk0LjAyLzA4LzIwMjYBAAAAS1UAAAMA</t>
  </si>
  <si>
    <t>AAAAAAQowm8s8N4ISzPXhyzw3gg7Q0lRLk5BU0RBUTpNU0ZULklRX0RJU1RSSUJVVEFCTEVfQ0FTSF9QQVlPVVQuOTkzLjAyLzA4LzIwMjYBAAAAS1UAAAMAAAAAAAQowm8s8N4IPwzXhyzw3gguQ0lRLk5BU0RBUTpNU0ZULklRX0NBTENfVFlQRV9JUy45OTMuMDIvMDgvMjAyNgEAAABLVQAAAwAAAANSRVAABCjCbyzw3gg05daHLPDeCDFDSVEuTkFTREFROk1TRlQuSVFfUEVSSU9ETEVOR1RIX0NGLjk5Mi4wMi8wOC8yMDI2AQAAAEtVAAABAAAAAjEyAAQowm8s8N4IPwzXhyzw3gguQ0lRLk5BU0RBUTpNU0ZULklRX0NBTENfVFlQRV9DRi45OTMuMDIvMDgvMjAyNgEAAABLVQAAAwAAAANSRVAABCjCbyzw3gg/DNeHLPDeCD9DSVEuTkFTREFROk1TRlQuSVFfVE9UQUxfT1VUU1RBTkRJTkdfRklMSU5HX0RBVEUuOTk4LjAyLzA4LzIwMjYBAAAAS1UAAAIAAAALNzQzMy4wMzgzODEBBAAAAAUAAAABNQEAAAALLTE4ODAyMjk2OTQCAAAABTI0MTUzBgAAAAEwBCjCbyzw3gg/DNeHLPDeCCtDSVEuTkFTREFROk1TRlQuSVFfRlVMTF9USU1FLjk5My4wMi8wOC8yMDI2AQAAAEtVAAACAAAABjE0NDAwMAAEKMJvLPDeCDTl1ocs8N4IMUNJUS5OQVNEQVE6TVNGVC5JUV9UT1RBTF9FTVBMT1lFRVMuOTk1LjAyLzA4LzIwMjYBAAAAS1UAAAIAAAAGMTgxMDAwAAQowm8s8N4INOXWhyzw3ggvQ0lRLk5BU0RBUTpNU0ZU</t>
  </si>
  <si>
    <t>LklRX0FWR19FTVBMT1lFRVMuOTk3LjAyLzA4LzIwMjYBAAAAS1UAAAMAAAAAAAQowm8s8N4IPwzXhyzw3ggwQ0lRLk5BU0RBUTpNU0ZULklRX0NPU1RfQk9SUk9XSU5HLjk5Ni4wMi8wOC8yMDI2AQAAAEtVAAACAAAABjIuNTQ3OQEIAAAABQAAAAExAQAAAAstMTk4NTkzMTIyNAMAAAADMTYwAgAAAAUyMTY4MQQAAAABMAcAAAAIOC8yLzIwMjYIAAAACTYvMzAvMjAyMgkAAAABMAQowm8s8N4IPwzXhyzw3ggxQ0lRLk5BU0RBUTpNU0ZULklRX1JFU1RBVEVNRU5UX0JTLjEwMDAuMDIvMDgvMjAyNgEAAABLVQAAAwAAAAFPAAQowm8s8N4IPwzXhyzw3ggvQ0lRLk5BU0RBUTpNU0ZULklRX1JFVFVSTl9BU1NFVFMuOTkzLjAyLzA4LzIwMjYBAAAAS1UAAAIAAAAGOS44NDU2AQgAAAAFAAAAATEBAAAACy0yMTQwOTgxNDY5AwAAAAMxNjACAAAABDQxNzgEAAAAATAHAAAACDgvMi8yMDI2CAAAAAk2LzMwLzIwMTkJAAAAATAEKMJvLPDeCPW91ocs8N4IL0NJUS5OQVNEQVE6TVNGVC5JUV9SRVRVUk5fRVFVSVRZLjk5NS4wMi8wOC8yMDI2AQAAAEtVAAACAAAABzQ3LjA3ODYBCAAAAAUAAAABMQEAAAALLTIwMzY4NDM4NDMDAAAAAzE2MAIAAAAENDEyOAQAAAABMAcAAAAIOC8yLzIwMjYIAAAACTYvMzAvMjAyMQkAAAABMAQowm8s8N4I9b3Whyzw3gguQ0lRLk5BU0RBUTpNU0ZULklRX0dST1NTX01BUkdJTi45OTcu</t>
  </si>
  <si>
    <t>MDIvMDgvMjAyNgEAAABLVQAAAgAAAAU2OC45MgEIAAAABQAAAAExAQAAAAstMTkzNDI1NDI1MAMAAAADMTYwAgAAAAQ0MDc0BAAAAAEwBwAAAAg4LzIvMjAyNggAAAAJNi8zMC8yMDIzCQAAAAEwBCjCbyzw3gg05daHLPDeCCtDSVEuTkFTREFROk1TRlQuSVFfTklfTUFSR0lOLjk5NC4wMi8wOC8yMDI2AQAAAEtVAAACAAAABzMwLjk2MjQBCAAAAAUAAAABMQEAAAALLTIwODc0OTY2MjcDAAAAAzE2MAIAAAAENDA5NAQAAAABMAcAAAAIOC8yLzIwMjYIAAAACTYvMzAvMjAyMAkAAAABMAQowm8s8N4INOXWhyzw3ggtQ0lRLk5BU0RBUTpNU0ZULklRX0FTU0VUX1RVUk5TLjk5Ni4wMi8wOC8yMDI2AQAAAEtVAAACAAAACDAuNTY3NjA1AQgAAAAFAAAAATEBAAAACy0xOTg1OTMxMjI0AwAAAAMxNjACAAAABDQxNzcEAAAAATAHAAAACDgvMi8yMDI2CAAAAAk2LzMwLzIwMjIJAAAAATAEKMJvLPDeCDTl1ocs8N4IMkNJUS5OQVNEQVE6TVNGVC5JUV9JTlZFTlRPUllfVFVSTlMuMTAwMC4wMi8wOC8yMDI2AQAAAEtVAAACAAAACTkxLjExMjYzMwEIAAAABQAAAAExAQAAAAstMTg4MDIyOTY2NQMAAAADMTYwAgAAAAQ0MDgyBAAAAAEwBwAAAAg4LzIvMjAyNggAAAAJNi8zMC8yMDI2CQAAAAEwBCjCbyzw3gj1vdaHLPDeCC1DSVEuTkFTREFROk1TRlQuSVFfUVVJQ0tfUkFUSU8uOTk1LjAyLzA4LzIwMjYBAAAAS1UA</t>
  </si>
  <si>
    <t>AAIAAAAIMS44OTgzMTUBCAAAAAUAAAABMQEAAAALLTIwMzY4NDM4NDMDAAAAAzE2MAIAAAAENDEyMQQAAAABMAcAAAAIOC8yLzIwMjYIAAAACTYvMzAvMjAyMQkAAAABMAQowm8s8N4I9b3Whyzw3ggwQ0lRLk5BU0RBUTpNU0ZULklRX0RBWVNfU0FMRVNfT1VULjk5Ny4wMi8wOC8yMDI2AQAAAEtVAAACAAAACTgwLjA0NzA1NQEIAAAABQAAAAExAQAAAAstMTkzNDI1NDI1MAMAAAADMTYwAgAAAAQ0MDQyBAAAAAEwBwAAAAg4LzIvMjAyNggAAAAJNi8zMC8yMDIzCQAAAAEwBCjCbyzw3gg05daHLPDeCDNDSVEuTkFTREFROk1TRlQuSVFfVE9UQUxfREVCVF9FUVVJVFkuOTkyLjAyLzA4LzIwMjYBAAAAS1UAAAIAAAAIMTA1Ljc5MDcBCAAAAAUAAAABMQEAAAAKMjA0NzI3MTc0NQMAAAADMTYwAgAAAAQ0MDM0BAAAAAEwBwAAAAg4LzIvMjAyNggAAAAJNi8zMC8yMDE4CQAAAAEwBCjCbyzw3gg05daHLPDeCDRDSVEuTkFTREFROk1TRlQuSVFfVE9UQUxfREVCVF9DQVBJVEFMLjk5Ni4wMi8wOC8yMDI2AQAAAEtVAAACAAAABzMyLjAwNzUBCAAAAAUAAAABMQEAAAALLTE5ODU5MzEyMjQDAAAAAzE2MAIAAAAENDE4NgQAAAABMAcAAAAIOC8yLzIwMjYIAAAACTYvMzAvMjAyMgkAAAABMAQowm8s8N4I9b3Whyzw3gg6Q0lRLk5BU0RBUTpNU0ZULklRX1RPVEFMX0xJQUJfVE9UQUxfQVNTRVRTLjEwMDAuMDIvMDgv</t>
  </si>
  <si>
    <t>MjAyNgEAAABLVQAAAgAAAAc0MS42NjY1AQgAAAAFAAAAATEBAAAACy0xODgwMjI5NjY1AwAAAAMxNjACAAAABDQxODgEAAAAATAHAAAACDgvMi8yMDI2CAAAAAk2LzMwLzIwMjYJAAAAATAEKMJvLPDeCPep1ocs8N4IPUNJUS5OQVNEQVE6TVNGVC5JUV9FQklUREFfRVhDTF9PUEVSX0xFQVNFU19JTlQuOTkzLjAyLzA4LzIwMjYBAAAAS1UAAAIAAAAIMjAuMzEyMzYBCAAAAAUAAAABMQEAAAALLTIxNDA5ODE0NjkDAAAAAzE2MAIAAAAFNDkxNzMEAAAAATAHAAAACDgvMi8yMDI2CAAAAAk2LzMwLzIwMTkJAAAAATAEKMJvLPDeCOeC1ocs8N4IQ0NJUS5OQVNEQVE6TVNGVC5JUV9FQklUREFfRVhDTF9PUEVSX0xFQVNFU19DQVBFWF9JTlQuOTk0LjAyLzA4LzIwMjYBAAAAS1UAAAIAAAAJMTkuMjI3MzI1AQgAAAAFAAAAATEBAAAACy0yMDg3NDk2NjI3AwAAAAMxNjACAAAABTQ5MTc0BAAAAAEwBwAAAAg4LzIvMjAyNggAAAAJNi8zMC8yMDIwCQAAAAEwBCjCbyzw3gj1vdaHLPDeCDFDSVEuTkFTREFROk1TRlQuSVFfTkVUX0RFQlRfRUJJVERBLjk5Mi4wMi8wOC8yMDI2AQAAAEtVAAADAAAAAk5NAQgAAAAFAAAAATEBAAAACjIwNDcyNzE3NDUDAAAAAzE2MAIAAAAENDE5MwQAAAABMAcAAAAIOC8yLzIwMjYIAAAACTYvMzAvMjAxOAkAAAABMAQowm8s8N4I9b3Whyzw3gg5Q0lRLk5BU0RBUTpNU0ZULklRX1RP</t>
  </si>
  <si>
    <t>VEFMX0RFQlRfRUJJVERBX0NBUEVYLjk5My4wMi8wOC8yMDI2AQAAAEtVAAACAAAACDIuMDQxODc0AQgAAAAFAAAAATEBAAAACy0yMTQwOTgxNDY5AwAAAAMxNjACAAAABTIzMzEzBAAAAAEwBwAAAAg4LzIvMjAyNggAAAAJNi8zMC8yMDE5CQAAAAEwBCjCbyzw3gj1vdaHLPDeCEhDSVEuTkFTREFROk1TRlQuSVFfTkVUX0RFQlRfRUJJVERBX0VYQ0xfT1BFUl9MRUFTRVNfQ0FQRVguOTk4LjAyLzA4LzIwMjYBAAAAS1UAAAIAAAAIMC4yNjI3MzYBCAAAAAUAAAABMQEAAAALLTE4ODAyMjk2OTQDAAAAAzE2MAIAAAAFNDkxODIEAAAAATAHAAAACDgvMi8yMDI2CAAAAAk2LzMwLzIwMjQJAAAAATAEKMJvLPDeCOeC1ocs8N4IOkNJUS5OQVNEQVE6TVNGVC5JUV9UT1RBTF9SRVZfMVlSX0FOTl9HUk9XVEguOTk2LjAyLzA4LzIwMjYBAAAAS1UAAAIAAAAGMTcuOTU2AQgAAAAFAAAAATEBAAAACy0xOTg1OTMxMjI0AwAAAAMxNjACAAAABDQxOTQEAAAAATAHAAAACDgvMi8yMDI2CAAAAAk2LzMwLzIwMjIJAAAAATAEKMJvLPDeCOeC1ocs8N4IN0NJUS5OQVNEQVE6TVNGVC5JUV9FQklUREFfMVlSX0FOTl9HUk9XVEguOTk4LjAyLzA4LzIwMjYBAAAAS1UAAAIAAAAHMjYuODY2NAEIAAAABQAAAAExAQAAAAstMTg4MDIyOTY5NAMAAAADMTYwAgAAAAQ0MTk2BAAAAAEwBwAAAAg4LzIvMjAyNggAAAAJNi8zMC8yMDI0</t>
  </si>
  <si>
    <t>CQAAAAEwBCjCbyzw3gj3qdaHLPDeCDRDSVEuTkFTREFROk1TRlQuSVFfRVBTXzFZUl9BTk5fR1JPV1RILjk5NS4wMi8wOC8yMDI2AQAAAEtVAAACAAAABzM5Ljc1NjkBCAAAAAUAAAABMQEAAAALLTIwMzY4NDM4NDMDAAAAAzE2MAIAAAAENDIwMAQAAAABMAcAAAAIOC8yLzIwMjYIAAAACTYvMzAvMjAyMQkAAAABMAQowm8s8N4I96nWhyzw3ggxQ0lRLk5BU0RBUTpNU0ZULklRX0dQXzNZUl9BTk5fQ0FHUi45OTcuMDIvMDgvMjAyNgEAAABLVQAAAgAAAAcxNC42NDA4AQgAAAAFAAAAATEBAAAACy0xOTM0MjU0MjUwAwAAAAMxNjACAAAABDQyMjEEAAAAATAHAAAACDgvMi8yMDI2CAAAAAk2LzMwLzIwMjMJAAAAATAEKMJvLPDeCPep1ocs8N4IMUNJUS5OQVNEQVE6TVNGVC5JUV9OSV8zWVJfQU5OX0NBR1IuOTk0LjAyLzA4LzIwMjYBAAAAS1UAAAIAAAAHMjAuMjEzOQEIAAAABQAAAAExAQAAAAstMjA4NzQ5NjYyNwMAAAADMTYwAgAAAAQ0MjI1BAAAAAEwBwAAAAg4LzIvMjAyNggAAAAJNi8zMC8yMDIwCQAAAAEwBCjCbyzw3gjngtaHLPDeCDhDSVEuTkFTREFROk1TRlQuSVFfVE9UQUxfUkVWXzVZUl9BTk5fQ0FHUi45OTYuMDIvMDgvMjAyNgEAAABLVQAAAgAAAAcxNS40NzM0AQgAAAAFAAAAATEBAAAACy0xOTg1OTMxMjI0AwAAAAMxNjACAAAABDQyMzMEAAAAATAHAAAACDgvMi8yMDI2CAAAAAk2LzMw</t>
  </si>
  <si>
    <t>LzIwMjIJAAAAATAEKMJvLPDeCOeC1ocs8N4INUNJUS5OQVNEQVE6TVNGVC5JUV9FQklUREFfNVlSX0FOTl9DQUdSLjk5OC4wMi8wOC8yMDI2AQAAAEtVAAACAAAABTE4Ljg2AQgAAAAFAAAAATEBAAAACy0xODgwMjI5Njk0AwAAAAMxNjACAAAABDQyMzUEAAAAATAHAAAACDgvMi8yMDI2CAAAAAk2LzMwLzIwMjQJAAAAATAEKMJvLPDeCOeC1ocs8N4IMkNJUS5OQVNEQVE6TVNGVC5JUV9FUFNfNVlSX0FOTl9DQUdSLjk5NS4wMi8wOC8yMDI2AQAAAEtVAAACAAAABzI1Ljc1MDkBCAAAAAUAAAABMQEAAAALLTIwMzY4NDM4NDMDAAAAAzE2MAIAAAAENDIzOQQAAAABMAcAAAAIOC8yLzIwMjYIAAAACTYvMzAvMjAyMQkAAAABMAQowm8s8N4I54LWhyzw3gg0Q0lRLk5BU0RBUTpNU0ZULklRX1RPVEFMX0xJQUIuOTk4LjAyLzA4LzIwMjYuLi5VU0QuSAEAAABLVQAAAgAAAAYyNDM2ODYBCAAAAAUAAAABMQEAAAALLTE4ODAyMjk2OTQDAAAAAzE2MAIAAAAEMTI3NgQAAAABMAcAAAAIOC8yLzIwMjYIAAAACTYvMzAvMjAyNAkAAAABMAQowm8s8N4IEmTNhyzw3gg6Q0lRLk5BU0RBUTpNU0ZULklRX1BSRUZfTk9OX1JFREVFTS4xMDAwLjAyLzA4LzIwMjYuLi5VU0QuSAEAAABLVQAAAwAAAAAABCjCbyzw3ghmi82HLPDeCDVDSVEuTkFTREFROk1TRlQuSVFfUFJFRl9FUVVJVFkuOTk3LjAyLzA4LzIwMjYuLi5VU0Qu</t>
  </si>
  <si>
    <t>SAEAAABLVQAAAwAAAAAABCjCbyzw3ghmi82HLPDeCC5DSVEuTkFTREFROk1TRlQuSVFfQVBJQy45OTkuMDIvMDgvMjAyNi4uLlVTRC5IAQAAAEtVAAADAAAAAAAEKMJvLPDeCBJkzYcs8N4INkNJUS5OQVNEQVE6TVNGVC5JUV9PVEhFUl9FUVVJVFkuOTk2LjAyLzA4LzIwMjYuLi5VU0QuSAEAAABLVQAAAgAAAAUtNDY3OAEIAAAABQAAAAExAQAAAAstMTk4NTkzMTIyNAMAAAADMTYwAgAAAAQxMDI4BAAAAAEwBwAAAAg4LzIvMjAyNggAAAAJNi8zMC8yMDIyCQAAAAEwBCjCbyzw3ggSZM2HLPDeCDtDSVEuTkFTREFROk1TRlQuSVFfTUlOT1JJVFlfSU5URVJFU1QuOTk4LjAyLzA4LzIwMjYuLi5VU0QuSAEAAABLVQAAAwAAAAAABCjCbyzw3ggSZM2HLPDeCDtDSVEuTkFTREFROk1TRlQuSVFfVE9UQUxfTElBQl9FUVVJVFkuOTk5LjAyLzA4LzIwMjYuLi5VU0QuSAEAAABLVQAAAgAAAAY2MTkwMDMBCAAAAAUAAAABMQEAAAALLTE4ODAyMjk2ODYDAAAAAzE2MAIAAAAEMTAxMwQAAAABMAcAAAAIOC8yLzIwMjYIAAAACTYvMzAvMjAyNQkAAAABMAQowm8s8N4IZovNhyzw3ggxQ0lRLk5BU0RBUTpNU0ZULklRX1JVQV9ORVQuOTk3LjAyLzA4LzIwMjYuLi5VU0QuSAEAAABLVQAAAwAAAAAABCjCbyzw3giKss2HLPDeCEVDSVEuTkFTREFROk1TRlQuSVFfUlVBX0NBUElUQUxfTEVBU0VfQUNDVU1fREVQLjk5OC4w</t>
  </si>
  <si>
    <t>Mi8wOC8yMDI2Li4uVVNELkgBAAAAS1UAAAMAAAAAAAQowm8s8N4IEmTNhyzw3ghHQ0lRLk5BU0RBUTpNU0ZULklRX1JVQV9PUEVSQVRJTkdfTEVBU0VfQUNDVU1fREVQLjk5Ni4wMi8wOC8yMDI2Li4uVVNELkgBAAAAS1UAAAMAAAAAAAQowm8s8N4IEmTNhyzw3gg/Q0lRLk5BU0RBUTpNU0ZULklRX0dQUEVfRVhDTF9PUEVSX0xFQVNFUy45OTcuMDIvMDgvMjAyNi4uLlVTRC5IAQAAAEtVAAACAAAABjE2Mzg5MgEIAAAABQAAAAExAQAAAAstMTkzNDI1NDI1MAMAAAADMTYwAgAAAAU0ODk3NAQAAAABMAcAAAAIOC8yLzIwMjYIAAAACTYvMzAvMjAyMwkAAAABMAQowm8s8N4IEmTNhyzw3gg/Q0lRLk5BU0RBUTpNU0ZULklRX05QUEVfRVhDTF9PUEVSX0xFQVNFUy45OTguMDIvMDgvMjAyNi4uLlVTRC5IAQAAAEtVAAACAAAABjEzNTU5MQEIAAAABQAAAAExAQAAAAstMTg4MDIyOTY5NAMAAAADMTYwAgAAAAU0ODk3NgQAAAABMAcAAAAIOC8yLzIwMjYIAAAACTYvMzAvMjAyNAkAAAABMAQowm8s8N4IirLNhyzw3ghQQ0lRLk5BU0RBUTpNU0ZULklRX0NVUlJFTlRfUE9SVElPTl9PUEVSX0xFQVNFX0xJQUJJTElUSUVTLjk5NC4wMi8wOC8yMDI2Li4uVVNELkgBAAAAS1UAAAIAAAAEMTYxNgEIAAAABQAAAAExAQAAAAstMjA4NzQ5NjYyNwMAAAADMTYwAgAAAAU0ODM4NQQAAAABMAcAAAAIOC8yLzIwMjYIAAAA</t>
  </si>
  <si>
    <t>CTYvMzAvMjAyMAkAAAABMAQowm8s8N4IirLNhyzw3gg7Q0lRLk5BU0RBUTpNU0ZULklRX1RPVEFMX09QRVJfTEVBU0VTLjk5NS4wMi8wOC8yMDI2Li4uVVNELkgBAAAAS1UAAAIAAAAFMTE1OTEBCAAAAAUAAAABMQEAAAALLTIwMzY4NDM4NDMDAAAAAzE2MAIAAAAFNDg5NzgEAAAAATAHAAAACDgvMi8yMDI2CAAAAAk2LzMwLzIwMjEJAAAAATAEKMJvLPDeCGaLzYcs8N4IVkNJUS5OQVNEQVE6TVNGVC5JUV9GSU5BTkNJTkdfT0JMSUdfTk9OX0NVUlJFTlRfRVhDTF9PUEVSX0xFQVNFUy45OTMuMDIvMDgvMjAyNi4uLlVTRC5IAQAAAEtVAAACAAAABTcyOTE5AQgAAAAFAAAAATEBAAAACy0yMTQwOTgxNDY5AwAAAAMxNjACAAAABTQ4OTgxBAAAAAEwBwAAAAg4LzIvMjAyNggAAAAJNi8zMC8yMDE5CQAAAAEwBCjCbyzw3ghmi82HLPDeCEBDSVEuTkFTREFROk1TRlQuSVFfVE9UQUxfREVCVF9FWENMX0xFQVNFUy45OTQuMDIvMDgvMjAyNi4uLlVTRC5IAQAAAEtVAAACAAAABTYzMzI3AQgAAAAFAAAAATEBAAAACy0yMDg3NDk2NjI3AwAAAAMxNjACAAAABTQ4OTkyBAAAAAEwBwAAAAg4LzIvMjAyNggAAAAJNi8zMC8yMDIwCQAAAAEwBCjCbyzw3ghmi82HLPDeCDtDSVEuTkFTREFROk1TRlQuSVFfQlZfU0hBUkVfUkVQT1JURUQuOTk3LjAyLzA4LzIwMjYuLi5VU0QuSAEAAABLVQAAAwAAAAAABCjCbyzw3giB</t>
  </si>
  <si>
    <t>2c2HLPDeCC1DSVEuTkFTREFROk1TRlQuSVFfVEJWLjk5NC4wMi8wOC8yMDI2Li4uVVNELkgBAAAAS1UAAAIAAAAFNjc5MTUBCAAAAAUAAAABMQEAAAALLTIwODc0OTY2MjcDAAAAAzE2MAIAAAAEMTMxMAQAAAABMAcAAAAIOC8yLzIwMjYIAAAACTYvMzAvMjAyMAkAAAABMAQowm8s8N4IgdnNhyzw3gg0Q0lRLk5BU0RBUTpNU0ZULklRX0NBU0hfU0hBUkUuOTk2LjAyLzA4LzIwMjYuLi5VU0QuSAEAAABLVQAAAgAAAAgxLjg2NjQyNQEIAAAABQAAAAExAQAAAAstMTk4NTkzMTIyNAMAAAADMTYwAgAAAAQ0MzgxBAAAAAEwBwAAAAg4LzIvMjAyNggAAAAJNi8zMC8yMDIyCQAAAAEwBCjCbyzw3giKss2HLPDeCEBDSVEuTkFTREFROk1TRlQuSVFfVE9UQUxfREVCVF9OT05fQ1VSUkVOVC45OTMuMDIvMDgvMjAyNi4uLlVTRC5IAQAAAEtVAAACAAAABTc5MTA3AQgAAAAFAAAAATEBAAAACy0yMTQwOTgxNDY5AwAAAAMxNjACAAAABTI1MjI0BAAAAAEwBwAAAAg4LzIvMjAyNggAAAAJNi8zMC8yMDE5CQAAAAEwBCjCbyzw3giKss2HLPDeCEFDSVEuTkFTREFROk1TRlQuSVFfTUlOT1JJVFlfSU5URVJFU1RfVE9UQUwuOTk1LjAyLzA4LzIwMjYuLi5VU0QuSAEAAABLVQAAAwAAAAAABCjCbyzw3giKss2HLPDeCDVDSVEuTkFTREFROk1TRlQuSVFfV09SS0lOR19DQVAuOTk3LjAyLzA4LzIwMjYuLi5VU0QuSAEAAABL</t>
  </si>
  <si>
    <t>VQAAAgAAAAU4MDEwOAEIAAAABQAAAAExAQAAAAstMTkzNDI1NDI1MAMAAAADMTYwAgAAAAQ0MTY1BAAAAAEwBwAAAAg4LzIvMjAyNggAAAAJNi8zMC8yMDIzCQAAAAEwBCjCbyzw3giWAM6HLPDeCDdDSVEuTkFTREFROk1TRlQuSVFfRVFVSVRZX01FVEhPRC45OTQuMDIvMDgvMjAyNi4uLlVTRC5IAQAAAEtVAAADAAAAAAAEKMJvLPDeCJYAzocs8N4IL0NJUS5OQVNEQVE6TVNGVC5JUV9MSUZPUi45OTIuMDIvMDgvMjAyNi4uLlVTRC5IAQAAAEtVAAADAAAAAAD4AMJvLPDeCIqyzYcs8N4INkNJUS5OQVNEQVE6TVNGVC5JUV9GSU5JU0hFRF9JTlYuOTk5LjAyLzA4LzIwMjYuLi5VU0QuSAEAAABLVQAAAwAAAAAA+ADCbyzw3giB2c2HLPDeCC9DSVEuTkFTREFROk1TRlQuSVFfTEFORC4xMDAwLjAyLzA4LzIwMjYuLi5VU0QuSAEAAABLVQAAAgAAAAUxMDU0NgEIAAAABQAAAAExAQAAAAstMTg4MDIyOTY2NQMAAAADMTYwAgAAAAQzMDk4BAAAAAEwBwAAAAg4LzIvMjAyNggAAAAJNi8zMC8yMDI2CQAAAAEw+ADCbyzw3giB2c2HLPDeCDNDSVEuTkFTREFROk1TRlQuSVFfTUFDSElORVJZLjk5My4wMi8wOC8yMDI2Li4uVVNELkgBAAAAS1UAAAIAAAAFMzg2NjMBCAAAAAUAAAABMQEAAAALLTIxNDA5ODE0NjkDAAAAAzE2MAIAAAAEMzExNAQAAAABMAcAAAAIOC8yLzIwMjYIAAAACTYvMzAvMjAxOQkAAAABMPgA</t>
  </si>
  <si>
    <t>wm8s8N4IqCfOhyzw3ggtQ0lRLk5BU0RBUTpNU0ZULklRX0NJUC45OTkuMDIvMDgvMjAyNi4uLlVTRC5IAQAAAEtVAAADAAAAAAD4AMJvLPDeCKgnzocs8N4IPkNJUS5OQVNEQVE6TVNGVC5JUV9NSU5PUklUWV9JTlRfUkVERUVNLjEwMDAuMDIvMDgvMjAyNi4uLlVTRC5IAQAAAEtVAAADAAAAAAD4AMJvLPDeCIHZzYcs8N4IQ0NJUS5OQVNEQVE6TVNGVC5JUV9GSU5fRElWX01JTk9SSVRZX0lOVEVSRVNULjk5OC4wMi8wOC8yMDI2Li4uVVNELkgBAAAAS1UAAAMAAAAAAPgAwm8s8N4IgdnNhyzw3ghHQ0lRLk5BU0RBUTpNU0ZULklRX0dFTkVSQUxfUEFSVE5FUl9DT01NT05fRVFVSVRZLjk5OS4wMi8wOC8yMDI2Li4uVVNELkgBAAAAS1UAAAMAAAAAAPgAwm8s8N4IlgDOhyzw3ghMQ0lRLk5BU0RBUTpNU0ZULklRX0dFTkVSQUxfUEFSVE5FUl9NSU5PUklUWV9JTlRFUkVTVC4xMDAwLjAyLzA4LzIwMjYuLi5VU0QuSAEAAABLVQAAAwAAAAAA+ADCbyzw3gioJ86HLPDeCFBDSVEuTkFTREFROk1TRlQuSVFfTElRVUlEQVRJT05fVkFMVUVfUFJFRkVSUkVEX05PTl9SRURFRU0uOTk4LjAyLzA4LzIwMjYuLi5VU0QuSAEAAABLVQAAAwAAAAAA+ADCbyzw3gioJ86HLPDeCDhDSVEuTkFTREFROk1TRlQuSVFfQVNTRVRTX0xFVkVMXzEuOTk5LjAyLzA4LzIwMjYuLi5VU0QuSAEAAABLVQAAAgAAAAU1NjA2NQD4AMJv</t>
  </si>
  <si>
    <t>LPDeCJYAzocs8N4IO0NJUS5OQVNEQVE6TVNGVC5JUV9BU1NFVFNfRkFJUl9WQUxVRS45OTUuMDIvMDgvMjAyNi4uLlVTRC5IAQAAAEtVAAACAAAABjEyMzk4OQD4AMJvLPDeCJYAzocs8N4IPUNJUS5OQVNEQVE6TVNGVC5JUV9MSUFCSUxJVElFU19MRVZFTF8yLjk5Ni4wMi8wOC8yMDI2Li4uVVNELkgBAAAAS1UAAAIAAAAFNTE0NTEA+ADCbyzw3gioJ86HLPDeCD5DSVEuTkFTREFROk1TRlQuSVFfTElBQklMSVRJRVNfTEVWRUxfMy4xMDAwLjAyLzA4LzIwMjYuLi5VU0QuSAEAAABLVQAAAwAAAAAA+ADCbyzw3gjcWs6HLPDeCD9DSVEuTkFTREFROk1TRlQuSVFfRklOX0RJVl9MVF9ERUJUX1RPVEFMLjk5Ny4wMi8wOC8yMDI2Li4uVVNELkgBAAAAS1UAAAMAAAAAAPgAwm8s8N4I3FrOhyzw3gg8Q0lRLk5BU0RBUTpNU0ZULklRX0ZJTl9ESVZfREVCVF9UT1RBTC45OTIuMDIvMDgvMjAyNi4uLlVTRC5IAQAAAEtVAAADAAAAAAD4AMJvLPDeCKgnzocs8N4IPENJUS5OQVNEQVE6TVNGVC5JUV9ERUJUX0VRVUlWX05FVF9QQk8uOTk2LjAyLzA4LzIwMjYuLi5VU0QuSAEAAABLVQAAAwAAAAAA+ADCbyzw3gioJ86HLPDeCEVDSVEuTkFTREFROk1TRlQuSVFfUkVTVFJJQ1RFRF9DQVNIX05PTl9DVVJSRU5ULjk5NC4wMi8wOC8yMDI2Li4uVVNELkgBAAAAS1UAAAMAAAAAAPgAwm8s8N4IqCfOhyzw3gg9Q0lRLk5B</t>
  </si>
  <si>
    <t>U0RBUTpNU0ZULklRX1RPVEFMX0RFQlRfRVhDTF9GSU4uOTk2LjAyLzA4LzIwMjYuLi5VU0QuSAEAAABLVQAAAgAAAAU3ODQwMAEIAAAABQAAAAExAQAAAAstMTk4NTkzMTIyNAMAAAADMTYwAgAAAAUyMTg2MAQAAAABMAcAAAAIOC8yLzIwMjYIAAAACTYvMzAvMjAyMgkAAAABMPgAwm8s8N4IOYXOhyzw3gg+Q0lRLk5BU0RBUTpNU0ZULklRX1dBUlJBTlRZX0xJQUJJTElUSUVTLjk5My4wMi8wOC8yMDI2Li4uVVNELkgBAAAAS1UAAAMAAAAAAPgAwm8s8N4IOYXOhyzw3ghHQ0lRLk5BU0RBUTpNU0ZULklRX0NVUlJFTlRfUE9SVF9ERUJUX0RFUklWQVRJVkVTLjk5NS4wMi8wOC8yMDI2Li4uVVNELkgBAAAAS1UAAAMAAAAAAPgAwm8s8N4IqCfOhyzw3ghFQ0lRLk5BU0RBUTpNU0ZULklRX0RFUklWQVRJVkVfTElBQl9OT05fQ1VSUkVOVC45OTIuMDIvMDgvMjAyNi4uLlVTRC5IAQAAAEtVAAACAAAAATEBCAAAAAUAAAABMQEAAAAKMjA0NzI3MTc0NQMAAAADMTYwAgAAAAU0MDQxOQQAAAABMAcAAAAIOC8yLzIwMjYIAAAACTYvMzAvMjAxOAkAAAABMPgAwm8s8N4I3FrOhyzw3ghDQ0lRLk5BU0RBUTpNU0ZULklRX0RFUklWQVRJVkVfQVNTRVRTX0NVUlJFTlQuOTk0LjAyLzA4LzIwMjYuLi5VU0QuSAEAAABLVQAAAgAAAAMyMzQBCAAAAAUAAAABMQEAAAALLTIwODc0OTY2MjcDAAAAAzE2MAIAAAAEMTEwOQQA</t>
  </si>
  <si>
    <t>AAABMAcAAAAIOC8yLzIwMjYIAAAACTYvMzAvMjAyMAkAAAABMPgAwm8s8N4I3FrOhyzw3gg8Q0lRLk5BU0RBUTpNU0ZULklRX0dST1NTX0lOVEFOX0FTU0VUUy45OTYuMDIvMDgvMjAyNi4uLlVTRC5IAQAAAEtVAAACAAAABTIzNTc3AQgAAAAFAAAAATEBAAAACy0xOTg1OTMxMjI0AwAAAAMxNjACAAAABTI0MjkzBAAAAAEwBwAAAAg4LzIvMjAyNggAAAAJNi8zMC8yMDIyCQAAAAEw+ADCbyzw3gg5hc6HLPDeCDhDSVEuTkFTREFROk1TRlQuSVFfQUNDVU1fQU1PUlRfR1cuOTkzLjAyLzA4LzIwMjYuLi5VU0QuSAEAAABLVQAAAwAAAAAA+ADCbyzw3gg5hc6HLPDeCD9DSVEuTkFTREFROk1TRlQuSVFfQURWQU5DRVNfRk9SX1NVUFBMSUVTLjk5NS4wMi8wOC8yMDI2Li4uVVNELkgBAAAAS1UAAAMAAAAAAPgAwm8s8N4I3FrOhyzw3gg0Q0lRLk5BU0RBUTpNU0ZULklRX0lOVEFOX05FVC4xMDAwLjAyLzA4LzIwMjYuLi5VU0QuSAEAAABLVQAAAgAAAAUxODYwOQEIAAAABQAAAAExAQAAAAstMTg4MDIyOTY2NQMAAAADMTYwAgAAAAU0ODk2MgQAAAABMAcAAAAIOC8yLzIwMjYIAAAACTYvMzAvMjAyNgkAAAABMPgAwm8s8N4I3FrOhyzw3gg9Q0lRLk5BU0RBUTpNU0ZULklRX0lOVEVSQ09NUEFOWV9OT05fQ0EuOTk0LjAyLzA4LzIwMjYuLi5VU0QuSAEAAABLVQAAAwAAAAAA+ADCbyzw3gjcWs6HLPDeCD1DSVEu</t>
  </si>
  <si>
    <t>TkFTREFROk1TRlQuSVFfSU5URVJDT01QQU5ZX05PTl9DTC45OTYuMDIvMDgvMjAyNi4uLlVTRC5IAQAAAEtVAAADAAAAAAD4AMJvLPDeCDmFzocs8N4ILkNJUS5OQVNEQVE6TVNGVC5JUV9CQVNJQ19XRUlHSFQuOTk5LjAyLzA4LzIwMjYBAAAAS1UAAAIAAAAENzQzMwD4AMJvLPDeCPFb1ocs8N4IMUNJUS5OQVNEQVE6TVNGVC5JUV9QRVJJT0RMRU5HVEhfSVMuOTkyLjAyLzA4LzIwMjYBAAAAS1UAAAEAAAACMTIA+ADCbyzw3gjxW9aHLPDeCCxDSVEuTkFTREFROk1TRlQuSVFfU0FNRV9TVE9SRS45OTkuMDIvMDgvMjAyNgEAAABLVQAAAwAAAAAA+ADCbyzw3gjxW9aHLPDeCC5DSVEuTkFTREFROk1TRlQuSVFfQ0FMQ19UWVBFX0lTLjk5NC4wMi8wOC8yMDI2AQAAAEtVAAADAAAAA1JFUAD4AMJvLPDeCPFb1ocs8N4ILkNJUS5OQVNEQVE6TVNGVC5JUV9DQUxDX1RZUEVfQ0YuOTk0LjAyLzA4LzIwMjYBAAAAS1UAAAMAAAADUkVQAPgAwm8s8N4I8VvWhyzw3gg/Q0lRLk5BU0RBUTpNU0ZULklRX1RPVEFMX09VVFNUQU5ESU5HX0ZJTElOR19EQVRFLjk5Mi4wMi8wOC8yMDI2AQAAAEtVAAACAAAACzc2NjguMjE3MzE2AQQAAAAFAAAAATUBAAAACjIwNDcyNzE3NDUCAAAABTI0MTUzBgAAAAEw+ADCbyzw3gjINNaHLPDeCCtDSVEuTkFTREFROk1TRlQuSVFfRlVMTF9USU1FLjk5NC4wMi8wOC8yMDI2AQAAAEtV</t>
  </si>
  <si>
    <t>AAACAAAABjE2MzAwMAD4AMJvLPDeCMg01ocs8N4IMUNJUS5OQVNEQVE6TVNGVC5JUV9UT1RBTF9FTVBMT1lFRVMuOTk2LjAyLzA4LzIwMjYBAAAAS1UAAAIAAAAGMjIxMDAwAPgAwm8s8N4I8VvWhyzw3gg0Q0lRLk5BU0RBUTpNU0ZULklRX0FWR19URU1QX0VNUExPWUVFUy45OTMuMDIvMDgvMjAyNgEAAABLVQAAAwAAAAAA+ADCbyzw3gjxW9aHLPDeCDBDSVEuTkFTREFROk1TRlQuSVFfQ09TVF9CT1JST1dJTkcuOTk3LjAyLzA4LzIwMjYBAAAAS1UAAAIAAAAGMi41Mjc4AQgAAAAFAAAAATEBAAAACy0xOTM0MjU0MjUwAwAAAAMxNjACAAAABTIxNjgxBAAAAAEwBwAAAAg4LzIvMjAyNggAAAAJNi8zMC8yMDIzCQAAAAEw+ADCbyzw3gjINNaHLPDeCDBDSVEuTkFTREFROk1TRlQuSVFfUkVTVEFURU1FTlRfQlMuOTkyLjAyLzA4LzIwMjYBAAAAS1UAAAMAAAACTkMA+ADCbyzw3gi2DdaHLPDeCC9DSVEuTkFTREFROk1TRlQuSVFfUkVUVVJOX0FTU0VUUy45OTQuMDIvMDgvMjAyNgEAAABLVQAAAgAAAAcxMS4yNjA4AQgAAAAFAAAAATEBAAAACy0yMDg3NDk2NjI3AwAAAAMxNjACAAAABDQxNzgEAAAAATAHAAAACDgvMi8yMDI2CAAAAAk2LzMwLzIwMjAJAAAAATD4AMJvLPDeCLYN1ocs8N4IL0NJUS5OQVNEQVE6TVNGVC5JUV9SRVRVUk5fRVFVSVRZLjk5Ni4wMi8wOC8yMDI2AQAAAEtVAAACAAAABzQ3LjE1</t>
  </si>
  <si>
    <t>MTMBCAAAAAUAAAABMQEAAAALLTE5ODU5MzEyMjQDAAAAAzE2MAIAAAAENDEyOAQAAAABMAcAAAAIOC8yLzIwMjYIAAAACTYvMzAvMjAyMgkAAAABMPgAwm8s8N4IyDTWhyzw3ggvQ0lRLk5BU0RBUTpNU0ZULklRX0VCSVREQV9NQVJHSU4uOTkzLjAyLzA4LzIwMjYBAAAAS1UAAAIAAAAHNDMuMzU0OAEIAAAABQAAAAExAQAAAAstMjE0MDk4MTQ2OQMAAAADMTYwAgAAAAQ0MDQ3BAAAAAEwBwAAAAg4LzIvMjAyNggAAAAJNi8zMC8yMDE5CQAAAAEw+ADCbyzw3gjINNaHLPDeCCtDSVEuTkFTREFROk1TRlQuSVFfTklfTUFSR0lOLjk5NS4wMi8wOC8yMDI2AQAAAEtVAAACAAAABzM2LjQ1MTcBCAAAAAUAAAABMQEAAAALLTIwMzY4NDM4NDMDAAAAAzE2MAIAAAAENDA5NAQAAAABMAcAAAAIOC8yLzIwMjYIAAAACTYvMzAvMjAyMQkAAAABMPgAwm8s8N4IyDTWhyzw3ggtQ0lRLk5BU0RBUTpNU0ZULklRX0FTU0VUX1RVUk5TLjk5Ny4wMi8wOC8yMDI2AQAAAEtVAAACAAAACDAuNTQ1NTk4AQgAAAAFAAAAATEBAAAACy0xOTM0MjU0MjUwAwAAAAMxNjACAAAABDQxNzcEAAAAATAHAAAACDgvMi8yMDI2CAAAAAk2LzMwLzIwMjMJAAAAATD4AMJvLPDeCKfm1Ycs8N4IMUNJUS5OQVNEQVE6TVNGVC5JUV9JTlZFTlRPUllfVFVSTlMuOTk0LjAyLzA4LzIwMjYBAAAAS1UAAAIAAAAJMjMuMjgzNDc2AQgAAAAFAAAAATEB</t>
  </si>
  <si>
    <t>AAAACy0yMDg3NDk2NjI3AwAAAAMxNjACAAAABDQwODIEAAAAATAHAAAACDgvMi8yMDI2CAAAAAk2LzMwLzIwMjAJAAAAATD4AMJvLPDeCKfm1Ycs8N4ILUNJUS5OQVNEQVE6TVNGVC5JUV9RVUlDS19SQVRJTy45OTYuMDIvMDgvMjAyNgEAAABLVQAAAgAAAAgxLjYzMTMyOAEIAAAABQAAAAExAQAAAAstMTk4NTkzMTIyNAMAAAADMTYwAgAAAAQ0MTIxBAAAAAEwBwAAAAg4LzIvMjAyNggAAAAJNi8zMC8yMDIyCQAAAAEw+ADCbyzw3gi2DdaHLPDeCDVDSVEuTkFTREFROk1TRlQuSVFfREFZU19JTlZFTlRPUllfT1VULjEwMDAuMDIvMDgvMjAyNgEAAABLVQAAAgAAAAg0LjAwNTg3NQEIAAAABQAAAAExAQAAAAstMTg4MDIyOTY2NQMAAAADMTYwAgAAAAQ0MDM1BAAAAAEwBwAAAAg4LzIvMjAyNggAAAAJNi8zMC8yMDI2CQAAAAEw+ADCbyzw3gi2DdaHLPDeCDFDSVEuTkFTREFROk1TRlQuSVFfQ0FTSF9DT05WRVJTSU9OLjk5NS4wMi8wOC8yMDI2AQAAAEtVAAACAAAACC0zLjUxNDk1AQgAAAAFAAAAATEBAAAACy0yMDM2ODQzODQzAwAAAAMxNjACAAAABDQxODQEAAAAATAHAAAACDgvMi8yMDI2CAAAAAk2LzMwLzIwMjEJAAAAATD4AMJvLPDeCLYN1ocs8N4INENJUS5OQVNEQVE6TVNGVC5JUV9UT1RBTF9ERUJUX0NBUElUQUwuOTk3LjAyLzA4LzIwMjYBAAAAS1UAAAIAAAAHMjcuODA5MgEIAAAABQAAAAEx</t>
  </si>
  <si>
    <t>AQAAAAstMTkzNDI1NDI1MAMAAAADMTYwAgAAAAQ0MTg2BAAAAAEwBwAAAAg4LzIvMjAyNggAAAAJNi8zMC8yMDIzCQAAAAEw+ADCbyzw3gin5tWHLPDeCCpDSVEuTkFTREFROk1TRlQuSVFfRUJJVF9JTlQuOTkyLjAyLzA4LzIwMjYBAAAAS1UAAAIAAAAJMTIuODI3NjYxAQgAAAAFAAAAATEBAAAACjIwNDcyNzE3NDUDAAAAAzE2MAIAAAAENDE4OQQAAAABMAcAAAAIOC8yLzIwMjYIAAAACTYvMzAvMjAxOAkAAAABMPgAwm8s8N4Ip+bVhyzw3ggsQ0lRLk5BU0RBUTpNU0ZULklRX0VCSVREQV9JTlQuOTk2LjAyLzA4LzIwMjYBAAAAS1UAAAIAAAAJNDkuMDY4ODgxAQgAAAAFAAAAATEBAAAACy0xOTg1OTMxMjI0AwAAAAMxNjACAAAABDQxOTAEAAAAATAHAAAACDgvMi8yMDI2CAAAAAk2LzMwLzIwMjIJAAAAATD4AMJvLPDeCLYN1ocs8N4IRENJUS5OQVNEQVE6TVNGVC5JUV9FQklUREFfRVhDTF9PUEVSX0xFQVNFU19DQVBFWF9JTlQuMTAwMC4wMi8wOC8yMDI2AQAAAEtVAAACAAAACTI1LjQxMDI1NgEIAAAABQAAAAExAQAAAAstMTg4MDIyOTY2NQMAAAADMTYwAgAAAAU0OTE3NAQAAAABMAcAAAAIOC8yLzIwMjYIAAAACTYvMzAvMjAyNgkAAAABMPgAwm8s8N4Itg3Whyzw3ggxQ0lRLk5BU0RBUTpNU0ZULklRX05FVF9ERUJUX0VCSVREQS45OTMuMDIvMDgvMjAyNgEAAABLVQAAAwAAAAJOTQEIAAAABQAA</t>
  </si>
  <si>
    <t>AAExAQAAAAstMjE0MDk4MTQ2OQMAAAADMTYwAgAAAAQ0MTkzBAAAAAEwBwAAAAg4LzIvMjAyNggAAAAJNi8zMC8yMDE5CQAAAAEw+ADCbyzw3gi2DdaHLPDeCDlDSVEuTkFTREFROk1TRlQuSVFfVE9UQUxfREVCVF9FQklUREFfQ0FQRVguOTk0LjAyLzA4LzIwMjYBAAAAS1UAAAIAAAAHMS41ODMyNwEIAAAABQAAAAExAQAAAAstMjA4NzQ5NjYyNwMAAAADMTYwAgAAAAUyMzMxMwQAAAABMAcAAAAIOC8yLzIwMjYIAAAACTYvMzAvMjAyMAkAAAABMPgAwm8s8N4Iob/Vhyzw3ghIQ0lRLk5BU0RBUTpNU0ZULklRX05FVF9ERUJUX0VCSVREQV9FWENMX09QRVJfTEVBU0VTX0NBUEVYLjk5Mi4wMi8wOC8yMDI2AQAAAEtVAAADAAAAAk5NAQgAAAAFAAAAATEBAAAACjIwNDcyNzE3NDUDAAAAAzE2MAIAAAAFNDkxODIEAAAAATAHAAAACDgvMi8yMDI2CAAAAAk2LzMwLzIwMTgJAAAAATD4AMJvLPDeCKG/1Ycs8N4IOkNJUS5OQVNEQVE6TVNGVC5JUV9UT1RBTF9SRVZfMVlSX0FOTl9HUk9XVEguOTk3LjAyLzA4LzIwMjYBAAAAS1UAAAIAAAAFNi44ODIBCAAAAAUAAAABMQEAAAALLTE5MzQyNTQyNTADAAAAAzE2MAIAAAAENDE5NAQAAAABMAcAAAAIOC8yLzIwMjYIAAAACTYvMzAvMjAyMwkAAAABMPgAwm8s8N4Ip+bVhyzw3gg1Q0lRLk5BU0RBUTpNU0ZULklRX0VCSVRfMVlSX0FOTl9HUk9XVEguOTk0LjAyLzA4</t>
  </si>
  <si>
    <t>LzIwMjYBAAAAS1UAAAIAAAAGMjMuMjc4AQgAAAAFAAAAATEBAAAACy0yMDg3NDk2NjI3AwAAAAMxNjACAAAABDQxOTcEAAAAATAHAAAACDgvMi8yMDI2CAAAAAk2LzMwLzIwMjAJAAAAATD4AMJvLPDeCKfm1Ycs8N4INENJUS5OQVNEQVE6TVNGVC5JUV9FUFNfMVlSX0FOTl9HUk9XVEguOTk2LjAyLzA4LzIwMjYBAAAAS1UAAAIAAAAHMTkuODc1NwEIAAAABQAAAAExAQAAAAstMTk4NTkzMTIyNAMAAAADMTYwAgAAAAQ0MjAwBAAAAAEwBwAAAAg4LzIvMjAyNggAAAAJNi8zMC8yMDIyCQAAAAEw+ADCbyzw3gin5tWHLPDeCDFDSVEuTkFTREFROk1TRlQuSVFfR1BfM1lSX0FOTl9DQUdSLjk5OC4wMi8wOC8yMDI2AQAAAEtVAAACAAAABzEzLjg1ODYBCAAAAAUAAAABMQEAAAALLTE4ODAyMjk2OTQDAAAAAzE2MAIAAAAENDIyMQQAAAABMAcAAAAIOC8yLzIwMjYIAAAACTYvMzAvMjAyNAkAAAABMPgAwm8s8N4Iob/Vhyzw3ggxQ0lRLk5BU0RBUTpNU0ZULklRX05JXzNZUl9BTk5fQ0FHUi45OTUuMDIvMDgvMjAyNgEAAABLVQAAAgAAAAY1NC42MzMBCAAAAAUAAAABMQEAAAALLTIwMzY4NDM4NDMDAAAAAzE2MAIAAAAENDIyNQQAAAABMAcAAAAIOC8yLzIwMjYIAAAACTYvMzAvMjAyMQkAAAABMPgAwm8s8N4Iob/Vhyzw3gg4Q0lRLk5BU0RBUTpNU0ZULklRX1RPVEFMX1JFVl81WVJfQU5OX0NBR1IuOTk3LjAy</t>
  </si>
  <si>
    <t>LzA4LzIwMjYBAAAAS1UAAAIAAAAHMTMuOTM4NAEIAAAABQAAAAExAQAAAAstMTkzNDI1NDI1MAMAAAADMTYwAgAAAAQ0MjMzBAAAAAEwBwAAAAg4LzIvMjAyNggAAAAJNi8zMC8yMDIzCQAAAAEw+ADCbyzw3gin5tWHLPDeCDNDSVEuTkFTREFROk1TRlQuSVFfRUJJVF81WVJfQU5OX0NBR1IuOTk0LjAyLzA4LzIwMjYBAAAAS1UAAAIAAAAHMTMuNDU1MgEIAAAABQAAAAExAQAAAAstMjA4NzQ5NjYyNwMAAAADMTYwAgAAAAQ0MjM2BAAAAAEwBwAAAAg4LzIvMjAyNggAAAAJNi8zMC8yMDIwCQAAAAEw+ADCbyzw3gin5tWHLPDeCDJDSVEuTkFTREFROk1TRlQuSVFfRVBTXzVZUl9BTk5fQ0FHUi45OTYuMDIvMDgvMjAyNgEAAABLVQAAAgAAAAcyNC4zMTY1AQgAAAAFAAAAATEBAAAACy0xOTg1OTMxMjI0AwAAAAMxNjACAAAABDQyMzkEAAAAATAHAAAACDgvMi8yMDI2CAAAAAk2LzMwLzIwMjIJAAAAATD4AMJvLPDeCKG/1Ycs8N4INENJUS5OQVNEQVE6TVNGVC5JUV9ORVRfQ0hBTkdFLjk5Ny4wMi8wOC8yMDI2Li4uVVNELkgBAAAAS1UAAAIAAAAFMjA3NzMBCAAAAAUAAAABMQEAAAALLTE5MzQyNTQyNTADAAAAAzE2MAIAAAAEMjA5MwQAAAABMAcAAAAIOC8yLzIwMjYIAAAACTYvMzAvMjAyMwkAAAABMPgAwm8s8N4Ig6zOhyzw3ghDQ0lRLk5BU0RBUTpNU0ZULklRX0dXX0lOVEFOX0FNT1JUX1BBUlRJQUxf</t>
  </si>
  <si>
    <t>Q0YuOTk1LjAyLzA4LzIwMjYuLi5VU0QuSAEAAABLVQAAAwAAAAAA+ADCbyzw3giDrM6HLPDeCDFDSVEuTkFTREFROk1TRlQuSVFfREVQX1JVQS45OTkuMDIvMDgvMjAyNi4uLlVTRC5IAQAAAEtVAAADAAAAAAD4AMJvLPDeCDmFzocs8N4IPkNJUS5OQVNEQVE6TVNGVC5JUV9ORUdBVElWRV9HV19BTU9SVF9DRi45OTIuMDIvMDgvMjAyNi4uLlVTRC5IAQAAAEtVAAADAAAAAAD4AMJvLPDeCDmFzocs8N4INkNJUS5OQVNEQVE6TVNGVC5JUV9BTU9SVF9ESUNfQ0YuOTk2LjAyLzA4LzIwMjYuLi5VU0QuSAEAAABLVQAAAwAAAAAA+ADCbyzw3giDrM6HLPDeCDhDSVEuTkFTREFROk1TRlQuSVFfQ0FTSF9JTlRFUkVTVC4xMDAwLjAyLzA4LzIwMjYuLi5VU0QuSAEAAABLVQAAAgAAAAQxNTAwAQgAAAAFAAAAATEBAAAACy0xODgwMjI5NjY1AwAAAAMxNjACAAAABDMwMjgEAAAAATAHAAAACDgvMi8yMDI2CAAAAAk2LzMwLzIwMjYJAAAAATD4AMJvLPDeCI7Tzocs8N4IPENJUS5OQVNEQVE6TVNGVC5JUV9DQVNIX0lOVEVSRVNUX09QRVIuOTkzLjAyLzA4LzIwMjYuLi5VU0QuSAEAAABLVQAAAwAAAAAA+ADCbyzw3giO086HLPDeCDRDSVEuTkFTREFROk1TRlQuSVFfQ0FTSF9UQVhFUy45OTcuMDIvMDgvMjAyNi4uLlVTRC5IAQAAAEtVAAACAAAABTIzMTAwAQgAAAAFAAAAATEBAAAACy0xOTM0MjU0MjUwAwAAAAMx</t>
  </si>
  <si>
    <t>NjACAAAABDMwNTMEAAAAATAHAAAACDgvMi8yMDI2CAAAAAk2LzMwLzIwMjMJAAAAATD4AMJvLPDeCIOszocs8N4IO0NJUS5OQVNEQVE6TVNGVC5JUV9DQVNIX1RBWEVTX0lOVkVTVC45OTIuMDIvMDgvMjAyNi4uLlVTRC5IAQAAAEtVAAADAAAAAAD4AMJvLPDeCIOszocs8N4IPkNJUS5OQVNEQVE6TVNGVC5JUV9DSEFOR0VfREVGX1RBWF9UT1RBTC45OTMuMDIvMDgvMjAyNi4uLlVTRC5IAQAAAEtVAAACAAAABS02NDYzAQgAAAAFAAAAATEBAAAACy0yMTQwOTgxNDY5AwAAAAMxNjACAAAABTMwOTI0BAAAAAEwBwAAAAg4LzIvMjAyNggAAAAJNi8zMC8yMDE5CQAAAAEw+ADCbyzw3giDrM6HLPDeCDdDSVEuTkFTREFROk1TRlQuSVFfVU5MRVZFUkVEX0ZDRi45OTguMDIvMDgvMjAyNi4uLlVTRC5IAQAAAEtVAAACAAAACTU4NTY5LjYyNQEIAAAABQAAAAExAQAAAAstMTg4MDIyOTY5NAMAAAADMTYwAgAAAAQ0NDIzBAAAAAEwBwAAAAg4LzIvMjAyNggAAAAJNi8zMC8yMDI0CQAAAAEw+ADCbyzw3giO086HLPDeCDlDSVEuTkFTREFROk1TRlQuSVFfTkVUX0RFQlRfSVNTVUVELjk5Mi4wMi8wOC8yMDI2Li4uVVNELkgBAAAAS1UAAAIAAAAGLTEwMjAxAQgAAAAFAAAAATEBAAAACjIwNDcyNzE3NDUDAAAAAzE2MAIAAAAEMjAwMwQAAAABMAcAAAAIOC8yLzIwMjYIAAAACTYvMzAvMjAxOAkAAAABMPgAwm8s8N4I</t>
  </si>
  <si>
    <t>kPrOhyzw3gg3Q0lRLk5BU0RBUTpNU0ZULklRX0RPX0ZJTkFOQ0VfQ0YuOTk3LjAyLzA4LzIwMjYuLi5VU0QuSAEAAABLVQAAAwAAAAAA+ADCbyzw3giDrM6HLPDeCEVDSVEuTkFTREFROk1TRlQuSVFfT1BFUkFUSU5HX0xFQVNFX0xJQUJJTElUSUVTLjk5OS4wMi8wOC8yMDI2Li4uVVNELkgBAAAAS1UAAAMAAAAAAPgAwm8s8N4Ig6zOhyzw3ghLQ0lRLk5BU0RBUTpNU0ZULklRX0xPTkdfVEVSTV9ERUJUX1JFUEFJRF9FWENMX0xFQVNFUy45OTIuMDIvMDgvMjAyNi4uLlVTRC5IAQAAAEtVAAACAAAABi0xMDA2MAEIAAAABQAAAAExAQAAAAoyMDQ3MjcxNzQ1AwAAAAMxNjACAAAABTQ4OTg0BAAAAAEwBwAAAAg4LzIvMjAyNggAAAAJNi8zMC8yMDE4CQAAAAEw+ADCbyzw3giO086HLPDeCDRDSVEuTkFTREFROk1TRlQuSVFfQ0FTSF9FUVVJVi45OTIuMDIvMDgvMjAyNi4uLlVTRC5IAQAAAEtVAAACAAAABTExOTQ2AQgAAAAFAAAAATEBAAAACjIwNDcyNzE3NDUDAAAAAzE2MAIAAAAEMTA5NgQAAAABMAcAAAAIOC8yLzIwMjYIAAAACTYvMzAvMjAxOAkAAAABMPgAwm8s8N4IkPrOhyzw3gg4Q0lRLk5BU0RBUTpNU0ZULklRX1RSQURJTkdfQVNTRVRTLjk5NC4wMi8wOC8yMDI2Li4uVVNELkgBAAAAS1UAAAMAAAAAAPgAwm8s8N4IkPrOhyzw3gg3Q0lRLk5BU0RBUTpNU0ZULklRX09USEVSX1JFQ0VJVi4xMDAw</t>
  </si>
  <si>
    <t>LjAyLzA4LzIwMjYuLi5VU0QuSAEAAABLVQAAAgAAAAUyNzgwMAEIAAAABQAAAAExAQAAAAstMTg4MDIyOTY2NQMAAAADMTYwAgAAAAQxMjA2BAAAAAEwBwAAAAg4LzIvMjAyNggAAAAJNi8zMC8yMDI2CQAAAAEw+ADCbyzw3giO086HLPDeCDZDSVEuTkFTREFROk1TRlQuSVFfVE9UQUxfUkVDRUlWLjk5My4wMi8wOC8yMDI2Li4uVVNELkgBAAAAS1UAAAIAAAAFMjk1MjQBCAAAAAUAAAABMQEAAAALLTIxNDA5ODE0NjkDAAAAAzE2MAIAAAAEMTAwMQQAAAABMAcAAAAIOC8yLzIwMjYIAAAACTYvMzAvMjAxOQkAAAABMPgAwm8s8N4IjtPOhyzw3gg1Q0lRLk5BU0RBUTpNU0ZULklRX1BSRVBBSURfRVhQLjk5NS4wMi8wOC8yMDI2Li4uVVNELkgBAAAAS1UAAAMAAAAAAPgAwm8s8N4IjtPOhyzw3gg5Q0lRLk5BU0RBUTpNU0ZULklRX0xPQU5TX0ZPUl9TQUxFLjEwMDAuMDIvMDgvMjAyNi4uLlVTRC5IAQAAAEtVAAADAAAAAAD4AMJvLPDeCLMhz4cs8N4IOUNJUS5OQVNEQVE6TVNGVC5JUV9SRVNUUklDVEVEX0NBU0guOTk0LjAyLzA4LzIwMjYuLi5VU0QuSAEAAABLVQAAAwAAAAAA+ADCbyzw3gizIc+HLPDeCC5DSVEuTkFTREFROk1TRlQuSVFfR1BQRS45OTkuMDIvMDgvMjAyNi4uLlVTRC5IAQAAAEtVAAACAAAABjMyMzQ0MgEIAAAABQAAAAExAQAAAAstMTg4MDIyOTY4NgMAAAADMTYwAgAAAAQxMTY5BAAA</t>
  </si>
  <si>
    <t>AAEwBwAAAAg4LzIvMjAyNggAAAAJNi8zMC8yMDI1CQAAAAEw+ADCbyzw3giQ+s6HLPDeCC9DSVEuTkFTREFROk1TRlQuSVFfTlBQRS4xMDAwLjAyLzA4LzIwMjYuLi5VU0QuSAEAAABLVQAAAgAAAAYzMzcyNTMBCAAAAAUAAAABMQEAAAALLTE4ODAyMjk2NjUDAAAAAzE2MAIAAAAEMTAwNAQAAAABMAcAAAAIOC8yLzIwMjYIAAAACTYvMzAvMjAyNgkAAAABMPgAwm8s8N4IkPrOhyzw3ggsQ0lRLk5BU0RBUTpNU0ZULklRX0dXLjk5NS4wMi8wOC8yMDI2Li4uVVNELkgBAAAAS1UAAAIAAAAFNDk3MTEBCAAAAAUAAAABMQEAAAALLTIwMzY4NDM4NDMDAAAAAzE2MAIAAAAEMTE3MQQAAAABMAcAAAAIOC8yLzIwMjYIAAAACTYvMzAvMjAyMQkAAAABMPgAwm8s8N4IkPrOhyzw3gg7Q0lRLk5BU0RBUTpNU0ZULklRX0ZJTl9ESVZfQVNTRVRTX0xULjk5OS4wMi8wOC8yMDI2Li4uVVNELkgBAAAAS1UAAAMAAAAAAPgAwm8s8N4I6EjPhyzw3gg7Q0lRLk5BU0RBUTpNU0ZULklRX0RFRl9UQVhfQVNTRVRTX0xULjk5Mi4wMi8wOC8yMDI2Li4uVVNELkgBAAAAS1UAAAIAAAAEMTM2OQEIAAAABQAAAAExAQAAAAoyMDQ3MjcxNzQ1AwAAAAMxNjACAAAABDEwMjYEAAAAATAHAAAACDgvMi8yMDI2CAAAAAk2LzMwLzIwMTgJAAAAATD4AMJvLPDeCOhIz4cs8N4INkNJUS5OQVNEQVE6TVNGVC5JUV9UT1RBTF9BU1NFVFMuOTk2</t>
  </si>
  <si>
    <t>LjAyLzA4LzIwMjYuLi5VU0QuSAEAAABLVQAAAgAAAAYzNjQ4NDABCAAAAAUAAAABMQEAAAALLTE5ODU5MzEyMjQDAAAAAzE2MAIAAAAEMTAwNwQAAAABMAcAAAAIOC8yLzIwMjYIAAAACTYvMzAvMjAyMgkAAAABMPgAwm8s8N4IkPrOhyzw3ggtQ0lRLk5BU0RBUTpNU0ZULklRX0FQLjEwMDAuMDIvMDgvMjAyNi4uLlVTRC5IAQAAAEtVAAACAAAABTQyNDE2AQgAAAAFAAAAATEBAAAACy0xODgwMjI5NjY1AwAAAAMxNjACAAAABDEwMTgEAAAAATAHAAAACDgvMi8yMDI2CAAAAAk2LzMwLzIwMjYJAAAAATD4AMJvLPDeCLMhz4cs8N4IO0NJUS5OQVNEQVE6TVNGVC5JUV9DVVJSRU5UX1BPUlRfREVCVC45OTMuMDIvMDgvMjAyNi4uLlVTRC5IAQAAAEtVAAACAAAABDU1MTYBCAAAAAUAAAABMQEAAAALLTIxNDA5ODE0NjkDAAAAAzE2MAIAAAAEMTI5NwQAAAABMAcAAAAIOC8yLzIwMjYIAAAACTYvMzAvMjAxOQkAAAABMPgAwm8s8N4IsyHPhyzw3gg+Q0lRLk5BU0RBUTpNU0ZULklRX0ZJTl9ESVZfTElBQl9DVVJSRU5ULjk5Ny4wMi8wOC8yMDI2Li4uVVNELkgBAAAAS1UAAAMAAAAAAPgAwm8s8N4I6EjPhyzw3gg8Q0lRLk5BU0RBUTpNU0ZULklRX1VORUFSTl9SRVZfQ1VSUkVOVC45OTIuMDIvMDgvMjAyNi4uLlVTRC5IAQAAAEtVAAACAAAABTI4OTA1AQgAAAAFAAAAATEBAAAACjIwNDcyNzE3NDUDAAAAAzE2</t>
  </si>
  <si>
    <t>MAIAAAAEMTA3NAQAAAABMAcAAAAIOC8yLzIwMjYIAAAACTYvMzAvMjAxOAkAAAABMPgAwm8s8N4I/W/Phyzw3ggyQ0lRLk5BU0RBUTpNU0ZULklRX1RPVEFMX0NMLjk5Ni4wMi8wOC8yMDI2Li4uVVNELkgBAAAAS1UAAAIAAAAFOTUwODIBCAAAAAUAAAABMQEAAAALLTE5ODU5MzEyMjQDAAAAAzE2MAIAAAAEMTAwOQQAAAABMAcAAAAIOC8yLzIwMjYIAAAACTYvMzAvMjAyMgkAAAABMPgAwm8s8N4IsyHPhyzw3gg6Q0lRLk5BU0RBUTpNU0ZULklRX0xPTkdfVEVSTV9MRUFTRVMuOTk4LjAyLzA4LzIwMjYuLi5VU0QuSAEAAABLVQAAAgAAAAU0MDI5MwEIAAAABQAAAAExAQAAAAstMTg4MDIyOTY5NAMAAAADMTYwAgAAAAQxMTgzBAAAAAEwBwAAAAg4LzIvMjAyNggAAAAJNi8zMC8yMDI0CQAAAAEw+ADCbyzw3gizIc+HLPDeCDlDSVEuTkFTREFROk1TRlQuSVFfRklOX0RJVl9MSUFCX0xULjk5Mi4wMi8wOC8yMDI2Li4uVVNELkgBAAAAS1UAAAMAAAAAAPgAwm8s8N4IsyHPhyzw3gg5Q0lRLk5BU0RBUTpNU0ZULklRX0RFRl9UQVhfTElBQl9MVC45OTcuMDIvMDgvMjAyNi4uLlVTRC5IAQAAAEtVAAACAAAAAzQzMwEIAAAABQAAAAExAQAAAAstMTkzNDI1NDI1MAMAAAADMTYwAgAAAAQxMDI3BAAAAAEwBwAAAAg4LzIvMjAyNggAAAAJNi8zMC8yMDIzCQAAAAEw+ADCbyzw3gj9b8+HLPDeCDRDSVEuTkFTREFR</t>
  </si>
  <si>
    <t>Ok1TRlQuSVFfVE9UQUxfTElBQi45OTkuMDIvMDgvMjAyNi4uLlVTRC5IAQAAAEtVAAACAAAABjI3NTUyNAEIAAAABQAAAAExAQAAAAstMTg4MDIyOTY4NgMAAAADMTYwAgAAAAQxMjc2BAAAAAEwBwAAAAg4LzIvMjAyNggAAAAJNi8zMC8yMDI1CQAAAAEw+ADCbyzw3gj9b8+HLPDeCDZDSVEuTkFTREFROk1TRlQuSVFfUFJFRl9DT05WRVJULjk5Ni4wMi8wOC8yMDI2Li4uVVNELkgBAAAAS1UAAAMAAAAAAPgAwm8s8N4I6EjPhyzw3gg1Q0lRLk5BU0RBUTpNU0ZULklRX1BSRUZfRVFVSVRZLjk5OC4wMi8wOC8yMDI2Li4uVVNELkgBAAAAS1UAAAMAAAAAAPgAwm8s8N4I6EjPhyzw3ggvQ0lRLk5BU0RBUTpNU0ZULklRX0FQSUMuMTAwMC4wMi8wOC8yMDI2Li4uVVNELkgBAAAAS1UAAAMAAAAAAPgAwm8s8N4I6EjPhyzw3gg2Q0lRLk5BU0RBUTpNU0ZULklRX09USEVSX0VRVUlUWS45OTcuMDIvMDgvMjAyNi4uLlVTRC5IAQAAAEtVAAACAAAABS02MzQzAQgAAAAFAAAAATEBAAAACy0xOTM0MjU0MjUwAwAAAAMxNjACAAAABDEwMjgEAAAAATAHAAAACDgvMi8yMDI2CAAAAAk2LzMwLzIwMjMJAAAAATD4AMJvLPDeCPCWz4cs8N4IO0NJUS5OQVNEQVE6TVNGVC5JUV9NSU5PUklUWV9JTlRFUkVTVC45OTkuMDIvMDgvMjAyNi4uLlVTRC5IAQAAAEtVAAADAAAAAAD4AMJvLPDeCPCWz4cs8N4IM0NJUS5OQVNEQVE6</t>
  </si>
  <si>
    <t>TVNGVC5JUV9SVUFfR1JPU1MuOTk2LjAyLzA4LzIwMjYuLi5VU0QuSAEAAABLVQAAAwAAAAAA+ADCbyzw3gj9b8+HLPDeCDFDSVEuTkFTREFROk1TRlQuSVFfUlVBX05FVC45OTguMDIvMDgvMjAyNi4uLlVTRC5IAQAAAEtVAAADAAAAAAD4AMJvLPDeCP1vz4cs8N4IRUNJUS5OQVNEQVE6TVNGVC5JUV9SVUFfQ0FQSVRBTF9MRUFTRV9BQ0NVTV9ERVAuOTk5LjAyLzA4LzIwMjYuLi5VU0QuSAEAAABLVQAAAwAAAAAA+ADCbyzw3gj9b8+HLPDeCEdDSVEuTkFTREFROk1TRlQuSVFfUlVBX09QRVJBVElOR19MRUFTRV9BQ0NVTV9ERVAuOTk3LjAyLzA4LzIwMjYuLi5VU0QuSAEAAABLVQAAAwAAAAAA+ADCbyzw3gjwls+HLPDeCD9DSVEuTkFTREFROk1TRlQuSVFfR1BQRV9FWENMX09QRVJfTEVBU0VTLjk5OC4wMi8wOC8yMDI2Li4uVVNELkgBAAAAS1UAAAIAAAAGMjEyMDEyAQgAAAAFAAAAATEBAAAACy0xODgwMjI5Njk0AwAAAAMxNjACAAAABTQ4OTc0BAAAAAEwBwAAAAg4LzIvMjAyNggAAAAJNi8zMC8yMDI0CQAAAAEw+ADCbyzw3ghQvs+HLPDeCEBDSVEuTkFTREFROk1TRlQuSVFfRklOQU5DRV9MRUFTRVNfQ1VSUkVOVC45OTYuMDIvMDgvMjAyNi4uLlVTRC5IAQAAAEtVAAACAAAABDEwNjABCAAAAAUAAAABMQEAAAALLTE5ODU5MzEyMjQDAAAAAzE2MAIAAAAFNDg5OTAEAAAAATAHAAAACDgvMi8yMDI2</t>
  </si>
  <si>
    <t>CAAAAAk2LzMwLzIwMjIJAAAAATD4AMJvLPDeCP1vz4cs8N4IPkNJUS5OQVNEQVE6TVNGVC5JUV9UT1RBTF9GSU5BTkNFX0xFQVNFUy45OTcuMDIvMDgvMjAyNi4uLlVTRC5IAQAAAEtVAAACAAAABTE3MDY3AQgAAAAFAAAAATEBAAAACy0xOTM0MjU0MjUwAwAAAAMxNjACAAAABTQ5MDMxBAAAAAEwBwAAAAg4LzIvMjAyNggAAAAJNi8zMC8yMDIzCQAAAAEw+ADCbyzw3gj9b8+HLPDeCEtDSVEuTkFTREFROk1TRlQuSVFfTFRfUE9SVElPTl9PUEVSX0xFQVNFX0xJQUJJTElUSUVTLjk5OC4wMi8wOC8yMDI2Li4uVVNELkgBAAAAS1UAAAIAAAAFMTU0OTcBCAAAAAUAAAABMQEAAAALLTE4ODAyMjk2OTQDAAAAAzE2MAIAAAAFNDgzODMEAAAAATAHAAAACDgvMi8yMDI2CAAAAAk2LzMwLzIwMjQJAAAAATD4AMJvLPDeCPCWz4cs8N4IVkNJUS5OQVNEQVE6TVNGVC5JUV9GSU5BTkNJTkdfT0JMSUdfTk9OX0NVUlJFTlRfRVhDTF9PUEVSX0xFQVNFUy45OTQuMDIvMDgvMjAyNi4uLlVTRC5IAQAAAEtVAAACAAAABTY4NTM0AQgAAAAFAAAAATEBAAAACy0yMDg3NDk2NjI3AwAAAAMxNjACAAAABTQ4OTgxBAAAAAEwBwAAAAg4LzIvMjAyNggAAAAJNi8zMC8yMDIwCQAAAAEw+ADCbyzw3ghQvs+HLPDeCEBDSVEuTkFTREFROk1TRlQuSVFfVE9UQUxfREVCVF9FWENMX0xFQVNFUy45OTUuMDIvMDgvMjAyNi4uLlVTRC5I</t>
  </si>
  <si>
    <t>AQAAAEtVAAACAAAABTU4MTQ2AQgAAAAFAAAAATEBAAAACy0yMDM2ODQzODQzAwAAAAMxNjACAAAABTQ4OTkyBAAAAAEwBwAAAAg4LzIvMjAyNggAAAAJNi8zMC8yMDIxCQAAAAEw+ADCbyzw3ghQvs+HLPDeCDNDSVEuTkFTREFROk1TRlQuSVFfVEJWX1NIQVJFLjk5NC4wMi8wOC8yMDI2Li4uVVNELkgBAAAAS1UAAAIAAAAIOC45NzA0MTMBCAAAAAUAAAABMQEAAAALLTIwODc0OTY2MjcDAAAAAzE2MAIAAAAENDE1NgQAAAABMAcAAAAIOC8yLzIwMjYIAAAACTYvMzAvMjAyMAkAAAABMPgAwm8s8N4I8JbPhyzw3ggtQ0lRLk5BU0RBUTpNU0ZULklRX1RCVi45OTUuMDIvMDgvMjAyNi4uLlVTRC5IAQAAAEtVAAACAAAABTg0NDc3AQgAAAAFAAAAATEBAAAACy0yMDM2ODQzODQzAwAAAAMxNjACAAAABDEzMTAEAAAAATAHAAAACDgvMi8yMDI2CAAAAAk2LzMwLzIwMjEJAAAAATD4AMJvLPDeCPCWz4cs8N4INENJUS5OQVNEQVE6TVNGVC5JUV9DQVNIX1NIQVJFLjk5Ny4wMi8wOC8yMDI2Li4uVVNELkgBAAAAS1UAAAIAAAAINC42Njk1MzcBCAAAAAUAAAABMQEAAAALLTE5MzQyNTQyNTADAAAAAzE2MAIAAAAENDM4MQQAAAABMAcAAAAIOC8yLzIwMjYIAAAACTYvMzAvMjAyMwkAAAABMPgAwm8s8N4I8JbPhyzw3ghAQ0lRLk5BU0RBUTpNU0ZULklRX1RPVEFMX0RFQlRfTk9OX0NVUlJFTlQuOTk0LjAyLzA4LzIw</t>
  </si>
  <si>
    <t>MjYuLi5VU0QuSAEAAABLVQAAAgAAAAU3NjIwNQEIAAAABQAAAAExAQAAAAstMjA4NzQ5NjYyNwMAAAADMTYwAgAAAAUyNTIyNAQAAAABMAcAAAAIOC8yLzIwMjYIAAAACTYvMzAvMjAyMAkAAAABMPgAwm8s8N4IB+XPhyzw3ghBQ0lRLk5BU0RBUTpNU0ZULklRX01JTk9SSVRZX0lOVEVSRVNUX1RPVEFMLjk5Ni4wMi8wOC8yMDI2Li4uVVNELkgBAAAAS1UAAAMAAAAAAPgAwm8s8N4IB+XPhyzw3gg5Q0lRLk5BU0RBUTpNU0ZULklRX05FVF9XT1JLSU5HX0NBUC45OTMuMDIvMDgvMjAyNi4uLlVTRC5IAQAAAEtVAAACAAAABi0yMDM1MgEIAAAABQAAAAExAQAAAAstMjE0MDk4MTQ2OQMAAAADMTYwAgAAAAQxMzExBAAAAAEwBwAAAAg4LzIvMjAyNggAAAAJNi8zMC8yMDE5CQAAAAEw+ADCbyzw3ghQvs+HLPDeCDdDSVEuTkFTREFROk1TRlQuSVFfRVFVSVRZX01FVEhPRC45OTUuMDIvMDgvMjAyNi4uLlVTRC5IAQAAAEtVAAADAAAAAAD4AMJvLPDeCFC+z4cs8N4IL0NJUS5OQVNEQVE6TVNGVC5JUV9MSUZPUi45OTMuMDIvMDgvMjAyNi4uLlVTRC5IAQAAAEtVAAADAAAAAAD4AMJvLPDeCFC+z4cs8N4IN0NJUS5OQVNEQVE6TVNGVC5JUV9GSU5JU0hFRF9JTlYuMTAwMC4wMi8wOC8yMDI2Li4uVVNELkgBAAAAS1UAAAMAAAAAAPgAwm8s8N4IFgzQhyzw3gguQ0lRLk5BU0RBUTpNU0ZULklRX0xBTkQuOTkyLjAy</t>
  </si>
  <si>
    <t>LzA4LzIwMjYuLi5VU0QuSAEAAABLVQAAAgAAAAQxMjU0AQgAAAAFAAAAATEBAAAACjIwNDcyNzE3NDUDAAAAAzE2MAIAAAAEMzA5OAQAAAABMAcAAAAIOC8yLzIwMjYIAAAACTYvMzAvMjAxOAkAAAABMPgAwm8s8N4IFgzQhyzw3ggyQ0lRLk5BU0RBUTpNU0ZULklRX1NPRlRXQVJFLjk5OS4wMi8wOC8yMDI2Li4uVVNELkgBAAAAS1UAAAMAAAAAAPgAwm8s8N4IUL7Phyzw3gguQ0lRLk5BU0RBUTpNU0ZULklRX0NJUC4xMDAwLjAyLzA4LzIwMjYuLi5VU0QuSAEAAABLVQAAAwAAAAAA+ADCbyzw3ggH5c+HLPDeCD1DSVEuTkFTREFROk1TRlQuSVFfTUlOT1JJVFlfSU5UX1JFREVFTS45OTMuMDIvMDgvMjAyNi4uLlVTRC5IAQAAAEtVAAADAAAAAAD4AMJvLPDeCAflz4cs8N4IQ0NJUS5OQVNEQVE6TVNGVC5JUV9GSU5fRElWX01JTk9SSVRZX0lOVEVSRVNULjk5OS4wMi8wOC8yMDI2Li4uVVNELkgBAAAAS1UAAAMAAAAAAPgAwm8s8N4IFgzQhyzw3ghIQ0lRLk5BU0RBUTpNU0ZULklRX0dFTkVSQUxfUEFSVE5FUl9DT01NT05fRVFVSVRZLjEwMDAuMDIvMDgvMjAyNi4uLlVTRC5IAQAAAEtVAAADAAAAAAD4AMJvLPDeCBYM0Ics8N4ISENJUS5OQVNEQVE6TVNGVC5JUV9UT1RBTF9HRU5FUkFMX1BBUlRORVJfSU5URVJFU1QuOTk4LjAyLzA4LzIwMjYuLi5VU0QuSAEAAABLVQAAAwAAAAAA+ADCbyzw3ggH5c+H</t>
  </si>
  <si>
    <t>LPDeCFBDSVEuTkFTREFROk1TRlQuSVFfTElRVUlEQVRJT05fVkFMVUVfUFJFRkVSUkVEX05PTl9SRURFRU0uOTk5LjAyLzA4LzIwMjYuLi5VU0QuSAEAAABLVQAAAwAAAAAA+ADCbyzw3ggH5c+HLPDeCDlDSVEuTkFTREFROk1TRlQuSVFfQVNTRVRTX0xFVkVMXzEuMTAwMC4wMi8wOC8yMDI2Li4uVVNELkgBAAAAS1UAAAIAAAAFNTI4NTEA+ADCbyzw3ggH5c+HLPDeCEpDSVEuTkFTREFROk1TRlQuSVFfQVNTRVRTX05FVFRJTkdfT1RIRVJfQURKVVNUTUVOVFMuOTk4LjAyLzA4LzIwMjYuLi5VU0QuSAEAAABLVQAAAwAAAAAA+ADCbyzw3ggjM9CHLPDeCD1DSVEuTkFTREFROk1TRlQuSVFfTElBQklMSVRJRVNfTEVWRUxfMS45OTkuMDIvMDgvMjAyNi4uLlVTRC5IAQAAAEtVAAADAAAAAAD4AMJvLPDeCCMz0Ics8N4IQENJUS5OQVNEQVE6TVNGVC5JUV9MSUFCSUxJVElFU19GQUlSX1ZBTFVFLjk5NS4wMi8wOC8yMDI2Li4uVVNELkgBAAAAS1UAAAIAAAAFNzAzMzUA+ADCbyzw3ggWDNCHLPDeCD9DSVEuTkFTREFROk1TRlQuSVFfRklOX0RJVl9MVF9ERUJUX1RPVEFMLjk5Mi4wMi8wOC8yMDI2Li4uVVNELkgBAAAAS1UAAAMAAAAAAPgAwm8s8N4IFgzQhyzw3gg8Q0lRLk5BU0RBUTpNU0ZULklRX0ZJTl9ESVZfREVCVF9UT1RBTC45OTMuMDIvMDgvMjAyNi4uLlVTRC5IAQAAAEtVAAADAAAAAAD4AMJvLPDe</t>
  </si>
  <si>
    <t>CBYM0Ics8N4IPENJUS5OQVNEQVE6TVNGVC5JUV9ERUJUX0VRVUlWX05FVF9QQk8uOTk3LjAyLzA4LzIwMjYuLi5VU0QuSAEAAABLVQAAAwAAAAAA+ADCbyzw3ggjM9CHLPDeCEVDSVEuTkFTREFROk1TRlQuSVFfUkVTVFJJQ1RFRF9DQVNIX05PTl9DVVJSRU5ULjk5NS4wMi8wOC8yMDI2Li4uVVNELkgBAAAAS1UAAAMAAAAAAPgAwm8s8N4ILVrQhyzw3gg3Q0lRLk5BU0RBUTpNU0ZULklRX09SREVSX0JBQ0tMT0cuOTkzLjAyLzA4LzIwMjYuLi5VU0QuSAEAAABLVQAAAwAAAAAA+ADCbyzw3ggWDNCHLPDeCD5DSVEuTkFTREFROk1TRlQuSVFfV0FSUkFOVFlfTElBQklMSVRJRVMuOTk0LjAyLzA4LzIwMjYuLi5VU0QuSAEAAABLVQAAAwAAAAAA+ADCbyzw3ggjM9CHLPDeCEdDSVEuTkFTREFROk1TRlQuSVFfQ1VSUkVOVF9QT1JUX0RFQlRfREVSSVZBVElWRVMuOTk2LjAyLzA4LzIwMjYuLi5VU0QuSAEAAABLVQAAAwAAAAAA+ADCbyzw3ggjM9CHLPDeCEVDSVEuTkFTREFROk1TRlQuSVFfREVSSVZBVElWRV9MSUFCX05PTl9DVVJSRU5ULjk5My4wMi8wOC8yMDI2Li4uVVNELkgBAAAAS1UAAAIAAAACMTUBCAAAAAUAAAABMQEAAAALLTIxNDA5ODE0NjkDAAAAAzE2MAIAAAAFNDA0MTkEAAAAATAHAAAACDgvMi8yMDI2CAAAAAk2LzMwLzIwMTkJAAAAATD4AMJvLPDeCC1a0Ics8N4IQ0NJUS5OQVNEQVE6TVNG</t>
  </si>
  <si>
    <t>VC5JUV9ERVJJVkFUSVZFX0FTU0VUU19DVVJSRU5ULjk5NS4wMi8wOC8yMDI2Li4uVVNELkgBAAAAS1UAAAIAAAADMjE1AQgAAAAFAAAAATEBAAAACy0yMDM2ODQzODQzAwAAAAMxNjACAAAABDExMDkEAAAAATAHAAAACDgvMi8yMDI2CAAAAAk2LzMwLzIwMjEJAAAAATD4AMJvLPDeCC1a0Ics8N4IQkNJUS5OQVNEQVE6TVNGVC5JUV9BQ0NVTV9BTU9SVF9JTlRBTl9BU1NFVFMuOTkyLjAyLzA4LzIwMjYuLi5VU0QuSAEAAABLVQAAAgAAAAUtNzg4MwEIAAAABQAAAAExAQAAAAoyMDQ3MjcxNzQ1AwAAAAMxNjACAAAABTI0MzMxBAAAAAEwBwAAAAg4LzIvMjAyNggAAAAJNi8zMC8yMDE4CQAAAAEw+ADCbyzw3ggjM9CHLPDeCDhDSVEuTkFTREFROk1TRlQuSVFfQUNDVU1fQU1PUlRfR1cuOTk0LjAyLzA4LzIwMjYuLi5VU0QuSAEAAABLVQAAAwAAAAAA+ADCbyzw3ggjM9CHLPDeCD9DSVEuTkFTREFROk1TRlQuSVFfQURWQU5DRVNfRk9SX1NVUFBMSUVTLjk5Ni4wMi8wOC8yMDI2Li4uVVNELkgBAAAAS1UAAAMAAAAAAPgAwm8s8N4IIzPQhyzw3ggzQ0lRLk5BU0RBUTpNU0ZULklRX0lOVEFOX05FVC45OTMuMDIvMDgvMjAyNi4uLlVTRC5IAQAAAEtVAAACAAAABDc3NTABCAAAAAUAAAABMQEAAAALLTIxNDA5ODE0NjkDAAAAAzE2MAIAAAAFNDg5NjIEAAAAATAHAAAACDgvMi8yMDI2CAAAAAk2LzMwLzIwMTkJ</t>
  </si>
  <si>
    <t>AAAAATD4AMJvLPDeCC1a0Ics8N4IPUNJUS5OQVNEQVE6TVNGVC5JUV9JTlRFUkNPTVBBTllfTk9OX0NBLjk5NS4wMi8wOC8yMDI2Li4uVVNELkgBAAAAS1UAAAMAAAAAAPgAwm8s8N4ILVrQhyzw3gg8Q0lRLk5BU0RBUTpNU0ZULklRX1RPVEFMX1JFVl9FTVBMT1lFRS45OTkuMDIvMDgvMjAyNi4uLlVTRC5IAQAAAEtVAAACAAAACDEyMzUuNjMxAQgAAAAFAAAAATEBAAAACy0xODgwMjI5Njg2AwAAAAMxNjACAAAABDQxMjMEAAAAATAHAAAACDgvMi8yMDI2CAAAAAk2LzMwLzIwMjUJAAAAATD4AMJvLPDeCC1a0Ics8N4IL0NJUS5OQVNEQVE6TVNGVC5JUV9CQVNJQ19XRUlHSFQuMTAwMC4wMi8wOC8yMDI2AQAAAEtVAAACAAAABDc0MjkA+ADCbyzw3gihv9WHLPDeCC9DSVEuTkFTREFROk1TRlQuSVFfRklMSU5HREFURV9JUy45OTUuMDIvMDgvMjAyNgEAAABLVQAABQAAAAoyNy8wNy8yMDIzAPgAwm8s8N4IxZjVhyzw3ggtQ0lRLk5BU0RBUTpNU0ZULklRX1NBTUVfU1RPUkUuMTAwMC4wMi8wOC8yMDI2AQAAAEtVAAADAAAAAAD4AMJvLPDeCMWY1Ycs8N4IO0NJUS5OQVNEQVE6TVNGVC5JUV9ESVNUUklCVVRBQkxFX0NBU0hfUEFZT1VULjk5OS4wMi8wOC8yMDI2AQAAAEtVAAADAAAAAAD4AMJvLPDeCKG/1Ycs8N4ILkNJUS5OQVNEQVE6TVNGVC5JUV9QQVlPVVRfUkFUSU8uOTk4LjAyLzA4LzIwMjYBAAAA</t>
  </si>
  <si>
    <t>S1UAAAIAAAAHMjQuNzAxNQEIAAAABQAAAAExAQAAAAstMTg4MDIyOTY5NAMAAAADMTYwAgAAAAQ0Mzc3BAAAAAEwBwAAAAg4LzIvMjAyNggAAAAJNi8zMC8yMDI0CQAAAAEw+ADCbyzw3gjFmNWHLPDeCDBDSVEuTkFTREFROk1TRlQuSVFfUkVTVEFURU1FTlRfSVMuOTk3LjAyLzA4LzIwMjYBAAAAS1UAAAMAAAACUkMA+ADCbyzw3gjFmNWHLPDeCC5DSVEuTkFTREFROk1TRlQuSVFfQ0FMQ19UWVBFX0NGLjk5NS4wMi8wOC8yMDI2AQAAAEtVAAADAAAAA1JFUAD4AMJvLPDeCIJx1Ycs8N4IO0NJUS5OQVNEQVE6TVNGVC5JUV9UT1RBTF9PVVRTVEFORElOR19CU19EQVRFLjk5NS4wMi8wOC8yMDI2AQAAAEtVAAACAAAABDc1MTkBBAAAAAUAAAABNQEAAAALLTIwMzY4NDM4NDMCAAAABTI0MTUyBgAAAAEw+ADCbyzw3gjFmNWHLPDeCCtDSVEuTkFTREFROk1TRlQuSVFfRlVMTF9USU1FLjk5NS4wMi8wOC8yMDI2AQAAAEtVAAACAAAABjE4MTAwMAD4AMJvLPDeCMWY1Ycs8N4IMUNJUS5OQVNEQVE6TVNGVC5JUV9UT1RBTF9FTVBMT1lFRVMuOTk3LjAyLzA4LzIwMjYBAAAAS1UAAAIAAAAGMjIxMDAwAPgAwm8s8N4IxZjVhyzw3gg0Q0lRLk5BU0RBUTpNU0ZULklRX0FWR19URU1QX0VNUExPWUVFUy45OTQuMDIvMDgvMjAyNgEAAABLVQAAAwAAAAAA+ADCbyzw3giCcdWHLPDeCDBDSVEuTkFTREFROk1TRlQuSVFf</t>
  </si>
  <si>
    <t>Q09TVF9CT1JST1dJTkcuOTk4LjAyLzA4LzIwMjYBAAAAS1UAAAIAAAAFMy4zNjUBCAAAAAUAAAABMQEAAAALLTE4ODAyMjk2OTQDAAAAAzE2MAIAAAAFMjE2ODEEAAAAATAHAAAACDgvMi8yMDI2CAAAAAk2LzMwLzIwMjQJAAAAATD4AMJvLPDeCIJx1Ycs8N4ILkNJUS5OQVNEQVE6TVNGVC5JUV9DQUxDX1RZUEVfQlMuOTk3LjAyLzA4LzIwMjYBAAAAS1UAAAMAAAADUlVQAPgAwm8s8N4IxZjVhyzw3ggvQ0lRLk5BU0RBUTpNU0ZULklRX1JFVFVSTl9BU1NFVFMuOTk1LjAyLzA4LzIwMjYBAAAAS1UAAAIAAAAGMTMuNzYxAQgAAAAFAAAAATEBAAAACy0yMDM2ODQzODQzAwAAAAMxNjACAAAABDQxNzgEAAAAATAHAAAACDgvMi8yMDI2CAAAAAk2LzMwLzIwMjEJAAAAATD4AMJvLPDeCMWY1Ycs8N4IL0NJUS5OQVNEQVE6TVNGVC5JUV9SRVRVUk5fRVFVSVRZLjk5Ny4wMi8wOC8yMDI2AQAAAEtVAAACAAAABzM4LjgyMzkBCAAAAAUAAAABMQEAAAALLTE5MzQyNTQyNTADAAAAAzE2MAIAAAAENDEyOAQAAAABMAcAAAAIOC8yLzIwMjYIAAAACTYvMzAvMjAyMwkAAAABMPgAwm8s8N4IxZjVhyzw3ggvQ0lRLk5BU0RBUTpNU0ZULklRX0VCSVREQV9NQVJHSU4uOTk0LjAyLzA4LzIwMjYBAAAAS1UAAAIAAAAHNDUuNjMwOAEIAAAABQAAAAExAQAAAAstMjA4NzQ5NjYyNwMAAAADMTYwAgAAAAQ0MDQ3BAAAAAEwBwAA</t>
  </si>
  <si>
    <t>AAg4LzIvMjAyNggAAAAJNi8zMC8yMDIwCQAAAAEw+ADCbyzw3gh8StWHLPDeCCtDSVEuTkFTREFROk1TRlQuSVFfTklfTUFSR0lOLjk5Ni4wMi8wOC8yMDI2AQAAAEtVAAACAAAABzM2LjY4NjMBCAAAAAUAAAABMQEAAAALLTE5ODU5MzEyMjQDAAAAAzE2MAIAAAAENDA5NAQAAAABMAcAAAAIOC8yLzIwMjYIAAAACTYvMzAvMjAyMgkAAAABMPgAwm8s8N4IfErVhyzw3ggzQ0lRLk5BU0RBUTpNU0ZULklRX0ZJWEVEX0FTU0VUX1RVUk5TLjk5My4wMi8wOC8yMDI2AQAAAEtVAAACAAAACDMuMTQ1OTk2AQgAAAAFAAAAATEBAAAACy0yMTQwOTgxNDY5AwAAAAMxNjACAAAABDQwNjYEAAAAATAHAAAACDgvMi8yMDI2CAAAAAk2LzMwLzIwMTkJAAAAATD4AMJvLPDeCIJx1Ycs8N4IMUNJUS5OQVNEQVE6TVNGVC5JUV9JTlZFTlRPUllfVFVSTlMuOTk1LjAyLzA4LzIwMjYBAAAAS1UAAAIAAAAJMjMuMDU1Mzk2AQgAAAAFAAAAATEBAAAACy0yMDM2ODQzODQzAwAAAAMxNjACAAAABDQwODIEAAAAATAHAAAACDgvMi8yMDI2CAAAAAk2LzMwLzIwMjEJAAAAATD4AMJvLPDeCIJx1Ycs8N4ILUNJUS5OQVNEQVE6TVNGVC5JUV9RVUlDS19SQVRJTy45OTcuMDIvMDgvMjAyNgEAAABLVQAAAgAAAAgxLjYyNDA1NwEIAAAABQAAAAExAQAAAAstMTkzNDI1NDI1MAMAAAADMTYwAgAAAAQ0MTIxBAAAAAEwBwAAAAg4LzIvMjAy</t>
  </si>
  <si>
    <t>NggAAAAJNi8zMC8yMDIzCQAAAAEw+ADCbyzw3giCcdWHLPDeCDRDSVEuTkFTREFROk1TRlQuSVFfREFZU19JTlZFTlRPUllfT1VULjk5NC4wMi8wOC8yMDI2AQAAAEtVAAACAAAACTE1LjcxODk2OAEIAAAABQAAAAExAQAAAAstMjA4NzQ5NjYyNwMAAAADMTYwAgAAAAQ0MDM1BAAAAAEwBwAAAAg4LzIvMjAyNggAAAAJNi8zMC8yMDIwCQAAAAEw+ADCbyzw3gh8StWHLPDeCDFDSVEuTkFTREFROk1TRlQuSVFfQ0FTSF9DT05WRVJTSU9OLjk5Ni4wMi8wOC8yMDI2AQAAAEtVAAACAAAACS0zLjQ1Mzk5NQEIAAAABQAAAAExAQAAAAstMTk4NTkzMTIyNAMAAAADMTYwAgAAAAQ0MTg0BAAAAAEwBwAAAAg4LzIvMjAyNggAAAAJNi8zMC8yMDIyCQAAAAEw+ADCbyzw3ghrI9WHLPDeCDFDSVEuTkFTREFROk1TRlQuSVFfTFRfREVCVF9FUVVJVFkuMTAwMC4wMi8wOC8yMDI2AQAAAEtVAAACAAAABzI0Ljg0MzEBCAAAAAUAAAABMQEAAAALLTE4ODAyMjk2NjUDAAAAAzE2MAIAAAAENDA4NQQAAAABMAcAAAAIOC8yLzIwMjYIAAAACTYvMzAvMjAyNgkAAAABMPgAwm8s8N4IgnHVhyzw3gg5Q0lRLk5BU0RBUTpNU0ZULklRX1RPVEFMX0xJQUJfVE9UQUxfQVNTRVRTLjk5NS4wMi8wOC8yMDI2AQAAAEtVAAACAAAABzU3LjQ2MDQBCAAAAAUAAAABMQEAAAALLTIwMzY4NDM4NDMDAAAAAzE2MAIAAAAENDE4OAQAAAABMAcA</t>
  </si>
  <si>
    <t>AAAIOC8yLzIwMjYIAAAACTYvMzAvMjAyMQkAAAABMPgAwm8s8N4IfErVhyzw3ggsQ0lRLk5BU0RBUTpNU0ZULklRX0VCSVREQV9JTlQuOTk3LjAyLzA4LzIwMjYBAAAAS1UAAAIAAAAJNTIuNTgwNDUxAQgAAAAFAAAAATEBAAAACy0xOTM0MjU0MjUwAwAAAAMxNjACAAAABDQxOTAEAAAAATAHAAAACDgvMi8yMDI2CAAAAAk2LzMwLzIwMjMJAAAAATD4AMJvLPDeCHxK1Ycs8N4IM0NJUS5OQVNEQVE6TVNGVC5JUV9UT1RBTF9ERUJUX0VCSVREQS45OTIuMDIvMDgvMjAyNgEAAABLVQAAAgAAAAgxLjg4MDE1MwEIAAAABQAAAAExAQAAAAoyMDQ3MjcxNzQ1AwAAAAMxNjACAAAABDQxOTIEAAAAATAHAAAACDgvMi8yMDI2CAAAAAk2LzMwLzIwMTgJAAAAATD4AMJvLPDeCGsj1Ycs8N4IRENJUS5OQVNEQVE6TVNGVC5JUV9UT1RBTF9ERUJUX0VCSVREQV9FWENMX09QRVJfTEVBU0VTLjk5Ni4wMi8wOC8yMDI2AQAAAEtVAAACAAAACDAuODAwMTM4AQgAAAAFAAAAATEBAAAACy0xOTg1OTMxMjI0AwAAAAMxNjACAAAABTQ4OTk0BAAAAAEwBwAAAAg4LzIvMjAyNggAAAAJNi8zMC8yMDIyCQAAAAEw+ADCbyzw3ghrI9WHLPDeCDpDSVEuTkFTREFROk1TRlQuSVFfVE9UQUxfREVCVF9FQklUREFfQ0FQRVguMTAwMC4wMi8wOC8yMDI2AQAAAEtVAAACAAAACDEuNTEwODc4AQgAAAAFAAAAATEBAAAACy0xODgwMjI5NjY1</t>
  </si>
  <si>
    <t>AwAAAAMxNjACAAAABTIzMzEzBAAAAAEwBwAAAAg4LzIvMjAyNggAAAAJNi8zMC8yMDI2CQAAAAEw+ADCbyzw3gh8StWHLPDeCEhDSVEuTkFTREFROk1TRlQuSVFfTkVUX0RFQlRfRUJJVERBX0VYQ0xfT1BFUl9MRUFTRVNfQ0FQRVguOTkzLjAyLzA4LzIwMjYBAAAAS1UAAAMAAAACTk0BCAAAAAUAAAABMQEAAAALLTIxNDA5ODE0NjkDAAAAAzE2MAIAAAAFNDkxODIEAAAAATAHAAAACDgvMi8yMDI2CAAAAAk2LzMwLzIwMTkJAAAAATD4AMJvLPDeCHxK1Ycs8N4IKkNJUS5OQVNEQVE6TVNGVC5JUV9aX1NDT1JFLjEwMDAuMDIvMDgvMjAyNgEAAABLVQAAAgAAAAg4LjI2MzUwMwEIAAAABQAAAAExAQAAAAstMTg4MDIyOTY2NQMAAAADMTYwAgAAAAYxMDAxMjMEAAAAATAHAAAACDgvMi8yMDI2CAAAAAk2LzMwLzIwMjYJAAAAATD4AMJvLPDeCHxK1Ycs8N4INUNJUS5OQVNEQVE6TVNGVC5JUV9FQklUXzFZUl9BTk5fR1JPV1RILjk5NS4wMi8wOC8yMDI2AQAAAEtVAAACAAAABzMyLjAxOTEBCAAAAAUAAAABMQEAAAALLTIwMzY4NDM4NDMDAAAAAzE2MAIAAAAENDE5NwQAAAABMAcAAAAIOC8yLzIwMjYIAAAACTYvMzAvMjAyMQkAAAABMPgAwm8s8N4IayPVhyzw3gg0Q0lRLk5BU0RBUTpNU0ZULklRX0VQU18xWVJfQU5OX0dST1dUSC45OTcuMDIvMDgvMjAyNgEAAABLVQAAAgAAAAYwLjMxMDgBCAAAAAUAAAAB</t>
  </si>
  <si>
    <t>MQEAAAALLTE5MzQyNTQyNTADAAAAAzE2MAIAAAAENDIwMAQAAAABMAcAAAAIOC8yLzIwMjYIAAAACTYvMzAvMjAyMwkAAAABMPgAwm8s8N4IU/zUhyzw3gg1Q0lRLk5BU0RBUTpNU0ZULklRX0VCSVREQV8zWVJfQU5OX0NBR1IuOTk0LjAyLzA4LzIwMjYBAAAAS1UAAAIAAAAHMjAuNjc5OAEIAAAABQAAAAExAQAAAAstMjA4NzQ5NjYyNwMAAAADMTYwAgAAAAQ0MjIyBAAAAAEwBwAAAAg4LzIvMjAyNggAAAAJNi8zMC8yMDIwCQAAAAEw+ADCbyzw3ghrI9WHLPDeCDFDSVEuTkFTREFROk1TRlQuSVFfTklfM1lSX0FOTl9DQUdSLjk5Ni4wMi8wOC8yMDI2AQAAAEtVAAACAAAABzIyLjg0MTIBCAAAAAUAAAABMQEAAAALLTE5ODU5MzEyMjQDAAAAAzE2MAIAAAAENDIyNQQAAAABMAcAAAAIOC8yLzIwMjYIAAAACTYvMzAvMjAyMgkAAAABMPgAwm8s8N4IayPVhyzw3gg4Q0lRLk5BU0RBUTpNU0ZULklRX1RPVEFMX1JFVl81WVJfQU5OX0NBR1IuOTk4LjAyLzA4LzIwMjYBAAAAS1UAAAIAAAAHMTQuMjY0MwEIAAAABQAAAAExAQAAAAstMTg4MDIyOTY5NAMAAAADMTYwAgAAAAQ0MjMzBAAAAAEwBwAAAAg4LzIvMjAyNggAAAAJNi8zMC8yMDI0CQAAAAEw+ADCbyzw3ghrI9WHLPDeCDNDSVEuTkFTREFROk1TRlQuSVFfRUJJVF81WVJfQU5OX0NBR1IuOTk1LjAyLzA4LzIwMjYBAAAAS1UAAAIAAAAHMjAuNzkyNQEI</t>
  </si>
  <si>
    <t>AAAABQAAAAExAQAAAAstMjAzNjg0Mzg0MwMAAAADMTYwAgAAAAQ0MjM2BAAAAAEwBwAAAAg4LzIvMjAyNggAAAAJNi8zMC8yMDIxCQAAAAEw+ADCbyzw3ghT/NSHLPDeCDJDSVEuTkFTREFROk1TRlQuSVFfRVBTXzVZUl9BTk5fQ0FHUi45OTcuMDIvMDgvMjAyNgEAAABLVQAAAgAAAAczNS4zNjI3AQgAAAAFAAAAATEBAAAACy0xOTM0MjU0MjUwAwAAAAMxNjACAAAABDQyMzkEAAAAATAHAAAACDgvMi8yMDI2CAAAAAk2LzMwLzIwMjMJAAAAATD4AMJvLPDeCFP81Ics8N4IRENJUS5OQVNEQVE6TVNGVC5JUV9GSU5fRElWX01JTk9SSVRZX0lOVEVSRVNULjEwMDAuMDIvMDgvMjAyNi4uLlVTRC5IAQAAAEtVAAADAAAAAAD4AMJvLPDeCC1a0Ics8N4IR0NJUS5OQVNEQVE6TVNGVC5JUV9HRU5FUkFMX1BBUlRORVJfQ09NTU9OX0VRVUlUWS45OTMuMDIvMDgvMjAyNi4uLlVTRC5IAQAAAEtVAAADAAAAAAD4AMJvLPDeCC1a0Ics8N4ISENJUS5OQVNEQVE6TVNGVC5JUV9UT1RBTF9HRU5FUkFMX1BBUlRORVJfSU5URVJFU1QuOTk5LjAyLzA4LzIwMjYuLi5VU0QuSAEAAABLVQAAAwAAAAAA+ADCbyzw3gjylNCHLPDeCFFDSVEuTkFTREFROk1TRlQuSVFfTElRVUlEQVRJT05fVkFMVUVfUFJFRkVSUkVEX05PTl9SRURFRU0uMTAwMC4wMi8wOC8yMDI2Li4uVVNELkgBAAAAS1UAAAMAAAAAAPgAwm8s8N4INLzQhyzw</t>
  </si>
  <si>
    <t>3gg4Q0lRLk5BU0RBUTpNU0ZULklRX0FTU0VUU19MRVZFTF8yLjk5OC4wMi8wOC8yMDI2Li4uVVNELkgBAAAAS1UAAAIAAAAFMTY4NDAA+ADCbyzw3gg0vNCHLPDeCEpDSVEuTkFTREFROk1TRlQuSVFfQVNTRVRTX05FVFRJTkdfT1RIRVJfQURKVVNUTUVOVFMuOTk5LjAyLzA4LzIwMjYuLi5VU0QuSAEAAABLVQAAAwAAAAAA+ADCbyzw3gjylNCHLPDeCD5DSVEuTkFTREFROk1TRlQuSVFfTElBQklMSVRJRVNfTEVWRUxfMS4xMDAwLjAyLzA4LzIwMjYuLi5VU0QuSAEAAABLVQAAAwAAAAAA+ADCbyzw3gjylNCHLPDeCE9DSVEuTkFTREFROk1TRlQuSVFfTElBQklMSVRJRVNfTkVUVElOR19PVEhFUl9BREpVU1RNRU5UUy45OTguMDIvMDgvMjAyNi4uLlVTRC5IAQAAAEtVAAADAAAAAAD4AMJvLPDeCPKU0Ics8N4ISUNJUS5OQVNEQVE6TVNGVC5JUV9GQUlSX1ZBTFVFX0NIQU5HRV9JTkNMX0VBUk5JTkdTLjk5OS4wMi8wOC8yMDI2Li4uVVNELkgBAAAAS1UAAAMAAAAAAPgAwm8s8N4IbuPQhyzw3gg8Q0lRLk5BU0RBUTpNU0ZULklRX0ZJTl9ESVZfQ0FTSF9FUVVJVi45OTYuMDIvMDgvMjAyNi4uLlVTRC5IAQAAAEtVAAADAAAAAAD4AMJvLPDeCG7j0Ics8N4IPENJUS5OQVNEQVE6TVNGVC5JUV9GSU5fRElWX1NUX0lOVkVTVC4xMDAwLjAyLzA4LzIwMjYuLi5VU0QuSAEAAABLVQAAAwAAAAAA+ADCbyzw3gjy</t>
  </si>
  <si>
    <t>lNCHLPDeCEVDSVEuTkFTREFROk1TRlQuSVFfUkVTVFJJQ1RFRF9DQVNIX05PTl9DVVJSRU5ULjk5Ni4wMi8wOC8yMDI2Li4uVVNELkgBAAAAS1UAAAMAAAAAAPgAwm8s8N4I8pTQhyzw3gg3Q0lRLk5BU0RBUTpNU0ZULklRX09SREVSX0JBQ0tMT0cuOTk0LjAyLzA4LzIwMjYuLi5VU0QuSAEAAABLVQAAAwAAAAAA+ADCbyzw3gjylNCHLPDeCD5DSVEuTkFTREFROk1TRlQuSVFfV0FSUkFOVFlfTElBQklMSVRJRVMuOTk1LjAyLzA4LzIwMjYuLi5VU0QuSAEAAABLVQAAAwAAAAAA+ADCbyzw3ghu49CHLPDeCD1DSVEuTkFTREFROk1TRlQuSVFfTFRfREVCVF9ERVJJVkFUSVZFUy45OTMuMDIvMDgvMjAyNi4uLlVTRC5IAQAAAEtVAAADAAAAAAD4AMJvLPDeCG7j0Ics8N4IRUNJUS5OQVNEQVE6TVNGVC5JUV9ERVJJVkFUSVZFX0xJQUJfTk9OX0NVUlJFTlQuOTk0LjAyLzA4LzIwMjYuLi5VU0QuSAEAAABLVQAAAgAAAAI2MQEIAAAABQAAAAExAQAAAAstMjA4NzQ5NjYyNwMAAAADMTYwAgAAAAU0MDQxOQQAAAABMAcAAAAIOC8yLzIwMjYIAAAACTYvMzAvMjAyMAkAAAABMPgAwm8s8N4INLzQhyzw3ghDQ0lRLk5BU0RBUTpNU0ZULklRX0RFUklWQVRJVkVfQVNTRVRTX0NVUlJFTlQuOTk2LjAyLzA4LzIwMjYuLi5VU0QuSAEAAABLVQAAAgAAAAMyMjYBCAAAAAUAAAABMQEAAAALLTE5ODU5MzEyMjQDAAAAAzE2</t>
  </si>
  <si>
    <t>MAIAAAAEMTEwOQQAAAABMAcAAAAIOC8yLzIwMjYIAAAACTYvMzAvMjAyMgkAAAABMPgAwm8s8N4INLzQhyzw3ghCQ0lRLk5BU0RBUTpNU0ZULklRX0FDQ1VNX0FNT1JUX0lOVEFOX0FTU0VUUy45OTMuMDIvMDgvMjAyNi4uLlVTRC5IAQAAAEtVAAACAAAABS05Mzg5AQgAAAAFAAAAATEBAAAACy0yMTQwOTgxNDY5AwAAAAMxNjACAAAABTI0MzMxBAAAAAEwBwAAAAg4LzIvMjAyNggAAAAJNi8zMC8yMDE5CQAAAAEw+ADCbyzw3gg0vNCHLPDeCDhDSVEuTkFTREFROk1TRlQuSVFfQUNDVU1fQU1PUlRfR1cuOTk1LjAyLzA4LzIwMjYuLi5VU0QuSAEAAABLVQAAAwAAAAAA+ADCbyzw3ghu49CHLPDeCDZDSVEuTkFTREFROk1TRlQuSVFfR1dfSU5UQU5fTkVULjk5Mi4wMi8wOC8yMDI2Li4uVVNELkgBAAAAS1UAAAMAAAAAAPgAwm8s8N4IRwrRhyzw3ggzQ0lRLk5BU0RBUTpNU0ZULklRX0lOVEFOX05FVC45OTQuMDIvMDgvMjAyNi4uLlVTRC5IAQAAAEtVAAACAAAABDcwMzgBCAAAAAUAAAABMQEAAAALLTIwODc0OTY2MjcDAAAAAzE2MAIAAAAFNDg5NjIEAAAAATAHAAAACDgvMi8yMDI2CAAAAAk2LzMwLzIwMjAJAAAAATD4AMJvLPDeCG7j0Ics8N4IPUNJUS5OQVNEQVE6TVNGVC5JUV9JTlRFUkNPTVBBTllfTk9OX0NBLjk5Ni4wMi8wOC8yMDI2Li4uVVNELkgBAAAAS1UAAAMAAAAAAPgAwm8s8N4IbuPQhyzw</t>
  </si>
  <si>
    <t>3gg9Q0lRLk5BU0RBUTpNU0ZULklRX1RPVEFMX1JFVl9FTVBMT1lFRS4xMDAwLjAyLzA4LzIwMjYuLi5VU0QuSAEAAABLVQAAAgAAAAgxNDg4LjA2NwEIAAAABQAAAAExAQAAAAstMTg4MDIyOTY2NQMAAAADMTYwAgAAAAQ0MTIzBAAAAAEwBwAAAAg4LzIvMjAyNggAAAAJNi8zMC8yMDI2CQAAAAEw+ADCbyzw3ghu49CHLPDeCC5DSVEuTkFTREFROk1TRlQuSVFfQkFTSUNfV0VJR0hULjk5My4wMi8wOC8yMDI2AQAAAEtVAAACAAAABDc2NzMA+ADCbyzw3ghG1dSHLPDeCC9DSVEuTkFTREFROk1TRlQuSVFfRklMSU5HREFURV9JUy45OTYuMDIvMDgvMjAyNgEAAABLVQAABQAAAAozMC8wNy8yMDI0APgAwm8s8N4IU/zUhyzw3ggsQ0lRLk5BU0RBUTpNU0ZULklRX1NBTUVfU1RPUkUuOTk0LjAyLzA4LzIwMjYBAAAAS1UAAAMAAAAAAPgAwm8s8N4IU/zUhyzw3gg8Q0lRLk5BU0RBUTpNU0ZULklRX0RJU1RSSUJVVEFCTEVfQ0FTSF9QQVlPVVQuMTAwMC4wMi8wOC8yMDI2AQAAAEtVAAADAAAAAAD4AMJvLPDeCEbV1Ics8N4ILkNJUS5OQVNEQVE6TVNGVC5JUV9QQVlPVVRfUkFUSU8uOTk5LjAyLzA4LzIwMjYBAAAAS1UAAAIAAAAHMjMuNjQ4NwEIAAAABQAAAAExAQAAAAstMTg4MDIyOTY4NgMAAAADMTYwAgAAAAQ0Mzc3BAAAAAEwBwAAAAg4LzIvMjAyNggAAAAJNi8zMC8yMDI1CQAAAAEw+ADCbyzw3ggyrtSH</t>
  </si>
  <si>
    <t>LPDeCClDSVEuTkFTREFROk1TRlQuSVFfR0FBUF9JUy45OTIuMDIvMDgvMjAyNgEAAABLVQAAAwAAAAdVUyBHQUFQAPgAwm8s8N4IMq7Uhyzw3ggxQ0lRLk5BU0RBUTpNU0ZULklRX1BFUklPRExFTkdUSF9DRi45OTkuMDIvMDgvMjAyNgEAAABLVQAAAQAAAAIxMgD4AMJvLPDeCEbV1Ics8N4IMENJUS5OQVNEQVE6TVNGVC5JUV9SRVNUQVRFTUVOVF9DRi45OTguMDIvMDgvMjAyNgEAAABLVQAAAwAAAAJOQwD4AMJvLPDeCEbV1Ics8N4IO0NJUS5OQVNEQVE6TVNGVC5JUV9UT1RBTF9PVVRTVEFORElOR19CU19EQVRFLjk5Ni4wMi8wOC8yMDI2AQAAAEtVAAACAAAABDc0NjQBBAAAAAUAAAABNQEAAAALLTE5ODU5MzEyMjQCAAAABTI0MTUyBgAAAAEw+ADCbyzw3ghG1dSHLPDeCCtDSVEuTkFTREFROk1TRlQuSVFfRlVMTF9USU1FLjk5Ni4wMi8wOC8yMDI2AQAAAEtVAAACAAAABjIyMTAwMAD4AMJvLPDeCDKu1Ics8N4IQUNJUS5OQVNEQVE6TVNGVC5JUV9FTVBMT1lFRVNfVU5ERVJfVU5JT05fQ09OVFJBQ1RTLjk5NC4wMi8wOC8yMDI2AQAAAEtVAAADAAAAAAD4AMJvLPDeCDKu1Ics8N4INENJUS5OQVNEQVE6TVNGVC5JUV9BVkdfVEVNUF9FTVBMT1lFRVMuOTk1LjAyLzA4LzIwMjYBAAAAS1UAAAMAAAAAAPgAwm8s8N4IRtXUhyzw3ggwQ0lRLk5BU0RBUTpNU0ZULklRX0NPU1RfQk9SUk9XSU5HLjk5Mi4w</t>
  </si>
  <si>
    <t>Mi8wOC8yMDI2AQAAAEtVAAACAAAABjIuOTg2MwEIAAAABQAAAAExAQAAAAoyMDQ3MjcxNzQ1AwAAAAMxNjACAAAABTIxNjgxBAAAAAEwBwAAAAg4LzIvMjAyNggAAAAJNi8zMC8yMDE4CQAAAAEw+ADCbyzw3ggyrtSHLPDeCC5DSVEuTkFTREFROk1TRlQuSVFfQ0FMQ19UWVBFX0JTLjk5OC4wMi8wOC8yMDI2AQAAAEtVAAADAAAAA1JVUAD4AMJvLPDeCDKu1Ics8N4IL0NJUS5OQVNEQVE6TVNGVC5JUV9SRVRVUk5fQVNTRVRTLjk5Ni4wMi8wOC8yMDI2AQAAAEtVAAACAAAABzE0LjkxOTIBCAAAAAUAAAABMQEAAAALLTE5ODU5MzEyMjQDAAAAAzE2MAIAAAAENDE3OAQAAAABMAcAAAAIOC8yLzIwMjYIAAAACTYvMzAvMjAyMgkAAAABMPgAwm8s8N4II4fUhyzw3gg2Q0lRLk5BU0RBUTpNU0ZULklRX1JFVFVSTl9DT01NT05fRVFVSVRZLjk5My4wMi8wOC8yMDI2AQAAAEtVAAACAAAABzQyLjQxMDYBCAAAAAUAAAABMQEAAAALLTIxNDA5ODE0NjkDAAAAAzE2MAIAAAAFMzMzMjAEAAAAATAHAAAACDgvMi8yMDI2CAAAAAk2LzMwLzIwMTkJAAAAATD4AMJvLPDeCCOH1Ics8N4IL0NJUS5OQVNEQVE6TVNGVC5JUV9FQklUREFfTUFSR0lOLjk5NS4wMi8wOC8yMDI2AQAAAEtVAAACAAAABzQ4LjA3OTUBCAAAAAUAAAABMQEAAAALLTIwMzY4NDM4NDMDAAAAAzE2MAIAAAAENDA0NwQAAAABMAcAAAAIOC8yLzIwMjYI</t>
  </si>
  <si>
    <t>AAAACTYvMzAvMjAyMQkAAAABMPgAwm8s8N4IMq7Uhyzw3ggrQ0lRLk5BU0RBUTpNU0ZULklRX05JX01BUkdJTi45OTcuMDIvMDgvMjAyNgEAAABLVQAAAgAAAAczNC4xNDYyAQgAAAAFAAAAATEBAAAACy0xOTM0MjU0MjUwAwAAAAMxNjACAAAABDQwOTQEAAAAATAHAAAACDgvMi8yMDI2CAAAAAk2LzMwLzIwMjMJAAAAATD4AMJvLPDeCDKu1Ics8N4IM0NJUS5OQVNEQVE6TVNGVC5JUV9GSVhFRF9BU1NFVF9UVVJOUy45OTQuMDIvMDgvMjAyNgEAAABLVQAAAgAAAAgyLjk1NjA3NgEIAAAABQAAAAExAQAAAAstMjA4NzQ5NjYyNwMAAAADMTYwAgAAAAQ0MDY2BAAAAAEwBwAAAAg4LzIvMjAyNggAAAAJNi8zMC8yMDIwCQAAAAEw+ADCbyzw3ggyrtSHLPDeCDFDSVEuTkFTREFROk1TRlQuSVFfSU5WRU5UT1JZX1RVUk5TLjk5Ni4wMi8wOC8yMDI2AQAAAEtVAAACAAAACTE5LjY0NTY1NgEIAAAABQAAAAExAQAAAAstMTk4NTkzMTIyNAMAAAADMTYwAgAAAAQ0MDgyBAAAAAEwBwAAAAg4LzIvMjAyNggAAAAJNi8zMC8yMDIyCQAAAAEw+ADCbyzw3ggjh9SHLPDeCDJDSVEuTkFTREFROk1TRlQuSVFfQ0ZPX0NVUlJFTlRfTElBQi45OTMuMDIvMDgvMjAyNgEAAABLVQAAAgAAAAgwLjc1MTcyOAEIAAAABQAAAAExAQAAAAstMjE0MDk4MTQ2OQMAAAADMTYwAgAAAAQ0MTg1BAAAAAEwBwAAAAg4LzIvMjAyNggAAAAJ</t>
  </si>
  <si>
    <t>Ni8zMC8yMDE5CQAAAAEw+ADCbyzw3gjmX9SHLPDeCDRDSVEuTkFTREFROk1TRlQuSVFfREFZU19JTlZFTlRPUllfT1VULjk5NS4wMi8wOC8yMDI2AQAAAEtVAAACAAAACTE1LjgzMTE0NQEIAAAABQAAAAExAQAAAAstMjAzNjg0Mzg0MwMAAAADMTYwAgAAAAQ0MDM1BAAAAAEwBwAAAAg4LzIvMjAyNggAAAAJNi8zMC8yMDIxCQAAAAEw+ADCbyzw3ggjh9SHLPDeCDFDSVEuTkFTREFROk1TRlQuSVFfQ0FTSF9DT05WRVJTSU9OLjk5Ny4wMi8wOC8yMDI2AQAAAEtVAAACAAAACC03LjQxODk5AQgAAAAFAAAAATEBAAAACy0xOTM0MjU0MjUwAwAAAAMxNjACAAAABDQxODQEAAAAATAHAAAACDgvMi8yMDI2CAAAAAk2LzMwLzIwMjMJAAAAATD4AMJvLPDeCCOH1Ics8N4IMENJUS5OQVNEQVE6TVNGVC5JUV9MVF9ERUJUX0VRVUlUWS45OTQuMDIvMDgvMjAyNgEAAABLVQAAAgAAAAc2NC40MTQ1AQgAAAAFAAAAATEBAAAACy0yMDg3NDk2NjI3AwAAAAMxNjACAAAABDQwODUEAAAAATAHAAAACDgvMi8yMDI2CAAAAAk2LzMwLzIwMjAJAAAAATD4AMJvLPDeCCOH1Ics8N4IOUNJUS5OQVNEQVE6TVNGVC5JUV9UT1RBTF9MSUFCX1RPVEFMX0FTU0VUUy45OTYuMDIvMDgvMjAyNgEAAABLVQAAAgAAAAY1NC4zNTIBCAAAAAUAAAABMQEAAAALLTE5ODU5MzEyMjQDAAAAAzE2MAIAAAAENDE4OAQAAAABMAcAAAAIOC8yLzIw</t>
  </si>
  <si>
    <t>MjYIAAAACTYvMzAvMjAyMgkAAAABMPgAwm8s8N4I5l/Uhyzw3gg+Q0lRLk5BU0RBUTpNU0ZULklRX0VCSVREQV9FWENMX09QRVJfTEVBU0VTX0lOVC4xMDAwLjAyLzA4LzIwMjYBAAAAS1UAAAIAAAAJNjMuMDQzNDkyAQgAAAAFAAAAATEBAAAACy0xODgwMjI5NjY1AwAAAAMxNjACAAAABTQ5MTczBAAAAAEwBwAAAAg4LzIvMjAyNggAAAAJNi8zMC8yMDI2CQAAAAEw+ADCbyzw3gjmX9SHLPDeCENDSVEuTkFTREFROk1TRlQuSVFfRUJJVERBX0VYQ0xfT1BFUl9MRUFTRVNfQ0FQRVhfSU5ULjk5NS4wMi8wOC8yMDI2AQAAAEtVAAACAAAACTI1LjgzNDMzNAEIAAAABQAAAAExAQAAAAstMjAzNjg0Mzg0MwMAAAADMTYwAgAAAAU0OTE3NAQAAAABMAcAAAAIOC8yLzIwMjYIAAAACTYvMzAvMjAyMQkAAAABMPgAwm8s8N4II4fUhyzw3ghEQ0lRLk5BU0RBUTpNU0ZULklRX1RPVEFMX0RFQlRfRUJJVERBX0VYQ0xfT1BFUl9MRUFTRVMuOTk3LjAyLzA4LzIwMjYBAAAAS1UAAAIAAAAIMC43Nzg2NTcBCAAAAAUAAAABMQEAAAALLTE5MzQyNTQyNTADAAAAAzE2MAIAAAAFNDg5OTQEAAAAATAHAAAACDgvMi8yMDI2CAAAAAk2LzMwLzIwMjMJAAAAATD4AMJvLPDeCCOH1Ics8N4ISkNJUS5OQVNEQVE6TVNGVC5JUV9UT1RBTF9ERUJUX0VCSVREQV9FWENMX09QRVJfTEVBU0VTX0NBUEVYLjk5Mi4wMi8wOC8yMDI2AQAA</t>
  </si>
  <si>
    <t>AEtVAAACAAAACDIuNjI1ODE3AQgAAAAFAAAAATEBAAAACjIwNDcyNzE3NDUDAAAAAzE2MAIAAAAFNDkxODMEAAAAATAHAAAACDgvMi8yMDI2CAAAAAk2LzMwLzIwMTgJAAAAATD4AMJvLPDeCCOH1Ics8N4IN0NJUS5OQVNEQVE6TVNGVC5JUV9ORVRfREVCVF9FQklUREFfQ0FQRVguOTk2LjAyLzA4LzIwMjYBAAAAS1UAAAMAAAACTk0BCAAAAAUAAAABMQEAAAALLTE5ODU5MzEyMjQDAAAAAzE2MAIAAAAFMjMzMTQEAAAAATAHAAAACDgvMi8yMDI2CAAAAAk2LzMwLzIwMjIJAAAAATD4AMJvLPDeCOZf1Ics8N4IM0NJUS5OQVNEQVE6TVNGVC5JUV9HUF8xWVJfQU5OX0dST1dUSC45OTUuMDIvMDgvMjAyNgEAAABLVQAAAgAAAAcxOS41MTY3AQgAAAAFAAAAATEBAAAACy0yMDM2ODQzODQzAwAAAAMxNjACAAAABDQxOTUEAAAAATAHAAAACDgvMi8yMDI2CAAAAAk2LzMwLzIwMjEJAAAAATDr2cFvLPDeCOZf1Ics8N4INUNJUS5OQVNEQVE6TVNGVC5JUV9FQklUXzFZUl9BTk5fR1JPV1RILjk5Ni4wMi8wOC8yMDI2AQAAAEtVAAACAAAABzE5LjI2MTYBCAAAAAUAAAABMQEAAAALLTE5ODU5MzEyMjQDAAAAAzE2MAIAAAAENDE5NwQAAAABMAcAAAAIOC8yLzIwMjYIAAAACTYvMzAvMjAyMgkAAAABMOvZwW8s8N4I5l/Uhyzw3gg0Q0lRLk5BU0RBUTpNU0ZULklRX05JXzFZUl9BTk5fR1JPV1RILjEwMDAuMDIvMDgv</t>
  </si>
  <si>
    <t>MjAyNgEAAABLVQAAAgAAAAczMS4zNDI3AQgAAAAFAAAAATEBAAAACy0xODgwMjI5NjY1AwAAAAMxNjACAAAABDQxOTkEAAAAATAHAAAACDgvMi8yMDI2CAAAAAk2LzMwLzIwMjYJAAAAATDr2cFvLPDeCOZf1Ics8N4INUNJUS5OQVNEQVE6TVNGVC5JUV9FQklUREFfM1lSX0FOTl9DQUdSLjk5NS4wMi8wOC8yMDI2AQAAAEtVAAACAAAABzIxLjU4OTcBCAAAAAUAAAABMQEAAAALLTIwMzY4NDM4NDMDAAAAAzE2MAIAAAAENDIyMgQAAAABMAcAAAAIOC8yLzIwMjYIAAAACTYvMzAvMjAyMQkAAAABMOvZwW8s8N4I5l/Uhyzw3ggxQ0lRLk5BU0RBUTpNU0ZULklRX05JXzNZUl9BTk5fQ0FHUi45OTcuMDIvMDgvMjAyNgEAAABLVQAAAgAAAAcxNy43ODY2AQgAAAAFAAAAATEBAAAACy0xOTM0MjU0MjUwAwAAAAMxNjACAAAABDQyMjUEAAAAATAHAAAACDgvMi8yMDI2CAAAAAk2LzMwLzIwMjMJAAAAATDr2cFvLPDeCOZf1Ics8N4IMUNJUS5OQVNEQVE6TVNGVC5JUV9HUF81WVJfQU5OX0NBR1IuOTk0LjAyLzA4LzIwMjYBAAAAS1UAAAIAAAAGOS44NzE5AQgAAAAFAAAAATEBAAAACy0yMDg3NDk2NjI3AwAAAAMxNjACAAAABDQyMzQEAAAAATAHAAAACDgvMi8yMDI2CAAAAAk2LzMwLzIwMjAJAAAAATDr2cFvLPDeCN041Ics8N4IM0NJUS5OQVNEQVE6TVNGVC5JUV9FQklUXzVZUl9BTk5fQ0FHUi45OTYuMDIvMDgv</t>
  </si>
  <si>
    <t>MjAyNgEAAABLVQAAAgAAAAcyMy4yMzk2AQgAAAAFAAAAATEBAAAACy0xOTg1OTMxMjI0AwAAAAMxNjACAAAABDQyMzYEAAAAATAHAAAACDgvMi8yMDI2CAAAAAk2LzMwLzIwMjIJAAAAATDr2cFvLPDeCOZf1Ics8N4IMkNJUS5OQVNEQVE6TVNGVC5JUV9FUFNfNVlSX0FOTl9DQUdSLjk5OC4wMi8wOC8yMDI2AQAAAEtVAAACAAAABzE4LjQ1MzEBCAAAAAUAAAABMQEAAAALLTE4ODAyMjk2OTQDAAAAAzE2MAIAAAAENDIzOQQAAAABMAcAAAAIOC8yLzIwMjYIAAAACTYvMzAvMjAyNAkAAAABMOvZwW8s8N4I5l/Uhyzw3gg0Q0lRLk5BU0RBUTpNU0ZULklRX1RPVEFMX0RFQlQuOTk1LjAyLzA4LzIwMjYuLi5VU0QuSAEAAABLVQAAAgAAAAU4MjI3OAEIAAAABQAAAAExAQAAAAstMjAzNjg0Mzg0MwMAAAADMTYwAgAAAAQ0MTczBAAAAAEwBwAAAAg4LzIvMjAyNggAAAAJNi8zMC8yMDIxCQAAAAEw69nBbyzw3ghHCtGHLPDeCEBDSVEuTkFTREFROk1TRlQuSVFfVE9UQUxfREVCVF9OT05fQ1VSUkVOVC45OTYuMDIvMDgvMjAyNi4uLlVTRC5IAQAAAEtVAAACAAAABTcyMzYzAQgAAAAFAAAAATEBAAAACy0xOTg1OTMxMjI0AwAAAAMxNjACAAAABTI1MjI0BAAAAAEwBwAAAAg4LzIvMjAyNggAAAAJNi8zMC8yMDIyCQAAAAEw69nBbyzw3ghHCtGHLPDeCDNDSVEuTkFTREFROk1TRlQuSVFfVE9UQUxfQ0FQLjk5NC4w</t>
  </si>
  <si>
    <t>Mi8wOC8yMDI2Li4uVVNELkgBAAAAS1UAAAIAAAAGMjAwNDE0AQgAAAAFAAAAATEBAAAACy0yMDg3NDk2NjI3AwAAAAMxNjACAAAABDQxNzUEAAAAATAHAAAACDgvMi8yMDI2CAAAAAk2LzMwLzIwMjAJAAAAATDr2cFvLPDeCEcK0Ycs8N4IQUNJUS5OQVNEQVE6TVNGVC5JUV9SVUFfQ0FQSVRBTF9MRUFTRV9HUk9TUy45OTYuMDIvMDgvMjAyNi4uLlVTRC5IAQAAAEtVAAADAAAAAAAfE0FvLPDeCPejp4cs8N4IQ0NJUS5OQVNEQVE6TVNGVC5JUV9SVUFfT1BFUkFUSU5HX0xFQVNFX0dST1NTLjk5NC4wMi8wOC8yMDI2Li4uVVNELkgBAAAAS1UAAAIAAAAEODc1MwEIAAAABQAAAAExAQAAAAstMjA4NzQ5NjYyNwMAAAADMTYwAgAAAAU0ODM3NwQAAAABMAcAAAAIOC8yLzIwMjYIAAAACTYvMzAvMjAyMAkAAAABMB8TQW8s8N4IDMunhyzw3gg+Q0lRLk5BU0RBUTpNU0ZULklRX0FEX0VYQ0xfT1BFUl9MRUFTRVMuMTAwMC4wMi8wOC8yMDI2Li4uVVNELkgBAAAAS1UAAAIAAAAHLTExODY5MQEIAAAABQAAAAExAQAAAAstMTg4MDIyOTY2NQMAAAADMTYwAgAAAAU0ODk3NQQAAAABMAcAAAAIOC8yLzIwMjYIAAAACTYvMzAvMjAyNgkAAAABMB8TQW8s8N4IDMunhyzw3ghQQ0lRLk5BU0RBUTpNU0ZULklRX0NVUlJFTlRfUE9SVElPTl9PUEVSX0xFQVNFX0xJQUJJTElUSUVTLjk5OS4wMi8wOC8yMDI2Li4uVVNELkgB</t>
  </si>
  <si>
    <t>AAAAS1UAAAIAAAAENTQyNAEIAAAABQAAAAExAQAAAAstMTg4MDIyOTY4NgMAAAADMTYwAgAAAAU0ODM4NQQAAAABMAcAAAAIOC8yLzIwMjYIAAAACTYvMzAvMjAyNQkAAAABMB8TQW8s8N4I96Onhyzw3ghWQ0lRLk5BU0RBUTpNU0ZULklRX0ZJTkFOQ0lOR19PQkxJR19OT05fQ1VSUkVOVF9FWENMX09QRVJfTEVBU0VTLjk5Ny4wMi8wOC8yMDI2Li4uVVNELkgBAAAAS1UAAAIAAAAFNTc4NjABCAAAAAUAAAABMQEAAAALLTE5MzQyNTQyNTADAAAAAzE2MAIAAAAFNDg5ODEEAAAAATAHAAAACDgvMi8yMDI2CAAAAAk2LzMwLzIwMjMJAAAAATAfE0FvLPDeCPejp4cs8N4IM0NJUS5OQVNEQVE6TVNGVC5JUV9UQlZfU0hBUkUuOTk4LjAyLzA4LzIwMjYuLi5VU0QuSAEAAABLVQAAAgAAAAkxNi4zNjUzNDgBCAAAAAUAAAABMQEAAAALLTE4ODAyMjk2OTQDAAAAAzE2MAIAAAAENDE1NgQAAAABMAcAAAAIOC8yLzIwMjYIAAAACTYvMzAvMjAyNAkAAAABMB8TQW8s8N4I96Onhyzw3gg0Q0lRLk5BU0RBUTpNU0ZULklRX1RPVEFMX0RFQlQuOTk4LjAyLzA4LzIwMjYuLi5VU0QuSAEAAABLVQAAAgAAAAU5Nzg1MgEIAAAABQAAAAExAQAAAAstMTg4MDIyOTY5NAMAAAADMTYwAgAAAAQ0MTczBAAAAAEwBwAAAAg4LzIvMjAyNggAAAAJNi8zMC8yMDI0CQAAAAEwHxNBbyzw3ggd8qeHLPDeCDVDSVEuTkFTREFROk1TRlQu</t>
  </si>
  <si>
    <t>SVFfV09SS0lOR19DQVAuOTk4LjAyLzA4LzIwMjYuLi5VU0QuSAEAAABLVQAAAgAAAAUzNDQ0OAEIAAAABQAAAAExAQAAAAstMTg4MDIyOTY5NAMAAAADMTYwAgAAAAQ0MTY1BAAAAAEwBwAAAAg4LzIvMjAyNggAAAAJNi8zMC8yMDI0CQAAAAEwHxNBbyzw3ggd8qeHLPDeCC9DSVEuTkFTREFROk1TRlQuSVFfTElGT1IuOTk1LjAyLzA4LzIwMjYuLi5VU0QuSAEAAABLVQAAAwAAAAAAHxNBbyzw3ggMy6eHLPDeCDNDSVEuTkFTREFROk1TRlQuSVFfQlVJTERJTkdTLjk5My4wMi8wOC8yMDI2Li4uVVNELkgBAAAAS1UAAAIAAAAFMjYyODgBCAAAAAUAAAABMQEAAAALLTIxNDA5ODE0NjkDAAAAAzE2MAIAAAAEMzAyMwQAAAABMAcAAAAIOC8yLzIwMjYIAAAACTYvMzAvMjAxOQkAAAABMB8TQW8s8N4IDMunhyzw3gg9Q0lRLk5BU0RBUTpNU0ZULklRX01JTk9SSVRZX0lOVF9SRURFRU0uOTk0LjAyLzA4LzIwMjYuLi5VU0QuSAEAAABLVQAAAwAAAAAAHxNBbyzw3ggMy6eHLPDeCEtDSVEuTkFTREFROk1TRlQuSVFfR0VORVJBTF9QQVJUTkVSX01JTk9SSVRZX0lOVEVSRVNULjk5NS4wMi8wOC8yMDI2Li4uVVNELkgBAAAAS1UAAAMAAAAAAB8TQW8s8N4IHfKnhyzw3gg7Q0lRLk5BU0RBUTpNU0ZULklRX0FTU0VUU19GQUlSX1ZBTFVFLjk5OS4wMi8wOC8yMDI2Li4uVVNELkgBAAAAS1UAAAIAAAAFODk1OTQAHxNB</t>
  </si>
  <si>
    <t>byzw3ggd8qeHLPDeCD9DSVEuTkFTREFROk1TRlQuSVFfREVCVF9FUVVJVl9PUEVSX0xFQVNFLjk5NS4wMi8wOC8yMDI2Li4uVVNELkgBAAAAS1UAAAIAAAAFMTcwMTYBCAAAAAUAAAABMQEAAAALLTIwMzY4NDM4NDMDAAAAAzE2MAIAAAAFMjE2NzEEAAAAATAHAAAACDgvMi8yMDI2CAAAAAk2LzMwLzIwMjEJAAAAATAfE0FvLPDeCAzLp4cs8N4INkNJUS5OQVNEQVE6TVNGVC5JUV9HV19JTlRBTl9ORVQuOTk1LjAyLzA4LzIwMjYuLi5VU0QuSAEAAABLVQAAAwAAAAAAHxNBbyzw3ggd8qeHLPDeCD5DSVEuTkFTREFROk1TRlQuSVFfREVGRVJSRURfVEFYRVNfVE9UQUwuOTkyLjAyLzA4LzIwMjYuLi5VU0QuSAEAAABLVQAAAgAAAAUtNTE0MwEIAAAABQAAAAExAQAAAAoyMDQ3MjcxNzQ1AwAAAAMxNjACAAAABTM1Mzg1BAAAAAEwBwAAAAg4LzIvMjAyNggAAAAJNi8zMC8yMDE4CQAAAAEwHxNBbyzw3ggd8qeHLPDeCDFDSVEuTkFTREFROk1TRlQuSVFfTklfTk9STS45OTMuMDIvMDgvMjAyNi4uLlVTRC5IAQAAAEtVAAACAAAABTI2OTAwAQgAAAAFAAAAATEBAAAACy0yMTQwOTgxNDY5AwAAAAMxNjACAAAABDQzNzgEAAAAATAHAAAACDgvMi8yMDI2CAAAAAk2LzMwLzIwMTkJAAAAATAfE0FvLPDeCCkZqIcs8N4INUNJUS5OQVNEQVE6TVNGVC5JUV9JTlRfRVhQX0xURC45OTguMDIvMDgvMjAyNi4uLlVTRC5I</t>
  </si>
  <si>
    <t>AQAAAEtVAAACAAAAAzczNAEIAAAABQAAAAExAQAAAAstMTg4MDIyOTY5NAMAAAADMTYwAgAAAAQzMTAxBAAAAAEwBwAAAAg4LzIvMjAyNggAAAAJNi8zMC8yMDI0CQAAAAEwHxNBbyzw3ggpGaiHLPDeCDpDSVEuTkFTREFROk1TRlQuSVFfSU5UX0VYUF9JTkNMX0NBUC45OTIuMDIvMDgvMjAyNi4uLlVTRC5IAQAAAEtVAAACAAAABDI3MzMBCAAAAAUAAAABMQEAAAAKMjA0NzI3MTc0NQMAAAADMTYwAgAAAAUyMTg2MQQAAAABMAcAAAAIOC8yLzIwMjYIAAAACTYvMzAvMjAxOAkAAAABMB8TQW8s8N4IHfKnhyzw3gg8Q0lRLk5BU0RBUTpNU0ZULklRX0RJU1RSSUJVVEFCTEVfQ0FTSC45OTcuMDIvMDgvMjAyNi4uLlVTRC5IAQAAAEtVAAADAAAAAAAfE0FvLPDeCB3yp4cs8N4IQENJUS5OQVNEQVE6TVNGVC5JUV9BTk5VX0RJU1RSSUJVVElPTl9VTklULjk5Mi4wMi8wOC8yMDI2Li4uVVNELkgBAAAAS1UAAAMAAAAAAB8TQW8s8N4IHfKnhyzw3ggtQ0lRLk5BU0RBUTpNU0ZULklRX0RJQy45OTIuMDIvMDgvMjAyNi4uLlVTRC5IAQAAAEtVAAADAAAAAAAfE0FvLPDeCCkZqIcs8N4IOUNJUS5OQVNEQVE6TVNGVC5JUV9TQUxFU19NQVJLRVRJTkcuOTkyLjAyLzA4LzIwMjYuLi5VU0QuSAEAAABLVQAAAgAAAAUxNzQ2OQEIAAAABQAAAAExAQAAAAoyMDQ3MjcxNzQ1AwAAAAMxNjACAAAABTIxNTYxBAAAAAEwBwAA</t>
  </si>
  <si>
    <t>AAg4LzIvMjAyNggAAAAJNi8zMC8yMDE4CQAAAAEwHxNBbyzw3ggpGaiHLPDeCDNDSVEuTkFTREFROk1TRlQuSVFfUkRfRVhQX0ZOLjk5NC4wMi8wOC8yMDI2Li4uVVNELkgBAAAAS1UAAAIAAAAFMTkyNjkBCAAAAAUAAAABMQEAAAALLTIwODc0OTY2MjcDAAAAAzE2MAIAAAAEMzE2OAQAAAABMAcAAAAIOC8yLzIwMjYIAAAACTYvMzAvMjAyMAkAAAABMB8TQW8s8N4IHfKnhyzw3ghAQ0lRLk5BU0RBUTpNU0ZULklRX05FVF9SRU5UQUxfRVhQX1NVUFBMRS4xMDAwLjAyLzA4LzIwMjYuLi5VU0QuSAEAAABLVQAAAgAAAAQ2OTY4AQgAAAAFAAAAATEBAAAACy0xODgwMjI5NjY1AwAAAAMxNjACAAAABTI0MjYzBAAAAAEwBwAAAAg4LzIvMjAyNggAAAAJNi8zMC8yMDI2CQAAAAEwHxNBbyzw3ggd8qeHLPDeCDhDSVEuTkFTREFROk1TRlQuSVFfTUlOSU1VTV9SRU5UQUwuOTkzLjAyLzA4LzIwMjYuLi5VU0QuSAEAAABLVQAAAwAAAAAAHxNBbyzw3ggd8qeHLPDeCDdDSVEuTkFTREFROk1TRlQuSVFfQUlSQ1JBRlRfUkVOVC45OTUuMDIvMDgvMjAyNi4uLlVTRC5IAQAAAEtVAAADAAAAAAAfE0FvLPDeCCkZqIcs8N4IN0NJUS5OQVNEQVE6TVNGVC5JUV9NQUlOVF9SRVBBSVIuMTAwMC4wMi8wOC8yMDI2Li4uVVNELkgBAAAAS1UAAAMAAAAAAB8TQW8s8N4IKRmohyzw3gg/Q0lRLk5BU0RBUTpNU0ZULklRX0lNUFVU</t>
  </si>
  <si>
    <t>X09QRVJfTEVBU0VfREVQUi45OTQuMDIvMDgvMjAyNi4uLlVTRC5IAQAAAEtVAAACAAAACzE1NDAuNTY5MDk2AQgAAAAFAAAAATEBAAAACy0yMDg3NDk2NjI3AwAAAAMxNjACAAAABTIxNjczBAAAAAEwBwAAAAg4LzIvMjAyNggAAAAJNi8zMC8yMDIwCQAAAAEwHxNBbyzw3ggpGaiHLPDeCDdDSVEuTkFTREFROk1TRlQuSVFfTUVSR0VSX1NVUFBMRS45OTkuMDIvMDgvMjAyNi4uLlVTRC5IAQAAAEtVAAADAAAAAAAfE0FvLPDeCCkZqIcs8N4IQUNJUS5OQVNEQVE6TVNGVC5JUV9BU1NFVF9XUklURURPV05fU1VQUExFLjEwMDAuMDIvMDgvMjAyNi4uLlVTRC5IAQAAAEtVAAADAAAAAAAfE0FvLPDeCCkZqIcs8N4IOkNJUS5OQVNEQVE6TVNGVC5JUV9HQUlOX0JBUkdBSU5fQUNRLjk5NS4wMi8wOC8yMDI2Li4uVVNELkgBAAAAS1UAAAMAAAAAAB8TQW8s8N4IGUCohyzw3gg9Q0lRLk5BU0RBUTpNU0ZULklRX0xFR0FMX1NFVFRMRV9TVVBQTEUuOTk5LjAyLzA4LzIwMjYuLi5VU0QuSAEAAABLVQAAAwAAAAAAHxNBbyzw3ggZQKiHLPDeCDtDSVEuTkFTREFROk1TRlQuSVFfTkVHQVRJVkVfR1dfQU1PUlQuOTkyLjAyLzA4LzIwMjYuLi5VU0QuSAEAAABLVQAAAwAAAAAAHxNBbyzw3ggpGaiHLPDeCDhDSVEuTkFTREFROk1TRlQuSVFfU1RPQ0tfQkFTRURfUkQuOTk2LjAyLzA4LzIwMjYuLi5VU0QuSAEAAABLVQAA</t>
  </si>
  <si>
    <t>AwAAAAAAHxNBbyzw3ggpGaiHLPDeCDlDSVEuTkFTREFROk1TRlQuSVFfU1RPQ0tfQkFTRURfU00uMTAwMC4wMi8wOC8yMDI2Li4uVVNELkgBAAAAS1UAAAMAAAAAAB8TQW8s8N4IKRmohyzw3ghDQ0lRLk5BU0RBUTpNU0ZULklRX1NUT0NLX0JBU0VEX0VYUExPUkVfRFJJTEwuOTkzLjAyLzA4LzIwMjYuLi5VU0QuSAEAAABLVQAAAwAAAAAA9+tAbyzw3ggZQKiHLPDeCDtDSVEuTkFTREFROk1TRlQuSVFfU1RPQ0tfQkFTRURfVE9UQUwuOTk3LjAyLzA4LzIwMjYuLi5VU0QuSAEAAABLVQAAAgAAAAQ5NjExAQgAAAAFAAAAATEBAAAACy0xOTM0MjU0MjUwAwAAAAMxNjACAAAABTI0MDM0BAAAAAEwBwAAAAg4LzIvMjAyNggAAAAJNi8zMC8yMDIzCQAAAAEw9+tAbyzw3ggZQKiHLPDeCD5DSVEuTkFTREFROk1TRlQuSVFfUkVTVFJfU1RPQ0tfQ09NUF9UQVguOTkyLjAyLzA4LzIwMjYuLi5VU0QuSAEAAABLVQAAAwAAAAAA9+tAbyzw3ggpGaiHLPDeCEBDSVEuTkFTREFROk1TRlQuSVFfU1RPQ0tfT1BUSU9OU19DT01QX1RBWC45OTYuMDIvMDgvMjAyNi4uLlVTRC5IAQAAAEtVAAADAAAAAAD360BvLPDeCBlAqIcs8N4IQUNJUS5OQVNEQVE6TVNGVC5JUV9TVE9DS19CQVNFRF9DT01QX1BSRVRBWC45OTguMDIvMDgvMjAyNi4uLlVTRC5IAQAAAEtVAAACAAAABTEwNzM0APfrQG8s8N4IGUCohyzw3gg6Q0lRLk5B</t>
  </si>
  <si>
    <t>U0RBUTpNU0ZULklRX1NUT0NLX0JBU0VEX0NPTVAuOTkyLjAyLzA4LzIwMjYuLi5VU0QuSAEAAABLVQAAAgAAAAQzMTE3APfrQG8s8N4IUmeohyzw3gg7Q0lRLk5BU0RBUTpNU0ZULklRX0dXX0lOVEFOX0FNT1JUX0NGLjk5Ny4wMi8wOC8yMDI2Li4uVVNELkgBAAAAS1UAAAIAAAAEMjUwMAEIAAAABQAAAAExAQAAAAstMTkzNDI1NDI1MAMAAAADMTYwAgAAAAQyMTgyBAAAAAEwBwAAAAg4LzIvMjAyNggAAAAJNi8zMC8yMDIzCQAAAAEw9+tAbyzw3ghSZ6iHLPDeCC9DSVEuTkFTREFROk1TRlQuSVFfREFfQ0YuOTk5LjAyLzA4LzIwMjYuLi5VU0QuSAEAAABLVQAAAgAAAAUyODAwMAEIAAAABQAAAAExAQAAAAstMTg4MDIyOTY4NgMAAAADMTYwAgAAAAQyMTYwBAAAAAEwBwAAAAg4LzIvMjAyNggAAAAJNi8zMC8yMDI1CQAAAAEw9+tAbyzw3ggZQKiHLPDeCDhDSVEuTkFTREFROk1TRlQuSVFfR0FJTl9BU1NFVFNfQ0YuOTk2LjAyLzA4LzIwMjYuLi5VU0QuSAEAAABLVQAAAwAAAAAA9+tAbyzw3ggZQKiHLPDeCDxDSVEuTkFTREFROk1TRlQuSVFfQVNTRVRfV1JJVEVET1dOX0NGLjk5OC4wMi8wOC8yMDI2Li4uVVNELkgBAAAAS1UAAAMAAAAAAPfrQG8s8N4IGUCohyzw3gg5Q0lRLk5BU0RBUTpNU0ZULklRX0NSRURJVF9MT1NTX0NGLjEwMDAuMDIvMDgvMjAyNi4uLlVTRC5IAQAAAEtVAAADAAAAAAD360Bv</t>
  </si>
  <si>
    <t>LPDeCFJnqIcs8N4IPUNJUS5OQVNEQVE6TVNGVC5JUV9UQVhfQkVORUZJVF9PUFRJT05TLjk5Ny4wMi8wOC8yMDI2Li4uVVNELkgBAAAAS1UAAAMAAAAAAPfrQG8s8N4IUmeohyzw3ggvQ0lRLk5BU0RBUTpNU0ZULklRX0RPX0NGLjk5OS4wMi8wOC8yMDI2Li4uVVNELkgBAAAAS1UAAAMAAAAAAPfrQG8s8N4IGUCohyzw3ggzQ0lRLk5BU0RBUTpNU0ZULklRX0NIQU5HRV9BUi45OTYuMDIvMDgvMjAyNi4uLlVTRC5IAQAAAEtVAAACAAAABS02ODM0AQgAAAAFAAAAATEBAAAACy0xOTg1OTMxMjI0AwAAAAMxNjACAAAABDIwMTgEAAAAATAHAAAACDgvMi8yMDI2CAAAAAk2LzMwLzIwMjIJAAAAATD360BvLPDeCFJnqIcs8N4IM0NJUS5OQVNEQVE6TVNGVC5JUV9DSEFOR0VfQVAuOTk4LjAyLzA4LzIwMjYuLi5VU0QuSAEAAABLVQAAAgAAAAQzNTQ1AQgAAAAFAAAAATEBAAAACy0xODgwMjI5Njk0AwAAAAMxNjACAAAABDIwMTcEAAAAATAHAAAACDgvMi8yMDI2CAAAAAk2LzMwLzIwMjQJAAAAATD360BvLPDeCFJnqIcs8N4IOENJUS5OQVNEQVE6TVNGVC5JUV9DSEFOR0VfSU5DX1RBWC45OTkuMDIvMDgvMjAyNi4uLlVTRC5IAQAAAEtVAAACAAAAAy0zOAEIAAAABQAAAAExAQAAAAstMTg4MDIyOTY4NgMAAAADMTYwAgAAAAQyMTAxBAAAAAEwBwAAAAg4LzIvMjAyNggAAAAJNi8zMC8yMDI1CQAAAAEwxKFFbyzw</t>
  </si>
  <si>
    <t>3ghUjqiHLPDeCDNDSVEuTkFTREFROk1TRlQuSVFfQ0FTSF9PUEVSLjk5Ny4wMi8wOC8yMDI2Li4uVVNELkgBAAAAS1UAAAIAAAAFODc1ODIBCAAAAAUAAAABMQEAAAALLTE5MzQyNTQyNTADAAAAAzE2MAIAAAAEMjAwNgQAAAABMAcAAAAIOC8yLzIwMjYIAAAACTYvMzAvMjAyMwkAAAABMMShRW8s8N4IVI6ohyzw3gg1Q0lRLk5BU0RBUTpNU0ZULklRX1NBTEVfUFBFX0NGLjk5OC4wMi8wOC8yMDI2Li4uVVNELkgBAAAAS1UAAAMAAAAAAMShRW8s8N4IUmeohyzw3gg9Q0lRLk5BU0RBUTpNU0ZULklRX1NBTEVfUkVBTF9FU1RBVEVfQ0YuOTk2LjAyLzA4LzIwMjYuLi5VU0QuSAEAAABLVQAAAwAAAAAAxKFFbyzw3ghSZ6iHLPDeCDxDSVEuTkFTREFROk1TRlQuSVFfSU5WRVNUX1NFQ1VSSVRZX0NGLjk5Ny4wMi8wOC8yMDI2Li4uVVNELkgBAAAAS1UAAAIAAAAFMTAyMTMBCAAAAAUAAAABMQEAAAALLTE5MzQyNTQyNTADAAAAAzE2MAIAAAAEMjAyNwQAAAABMAcAAAAIOC8yLzIwMjYIAAAACTYvMzAvMjAyMwkAAAABMMShRW8s8N4IUmeohyzw3ghAQ0lRLk5BU0RBUTpNU0ZULklRX09USEVSX0lOVkVTVF9BQ1RfU1VQUEwuOTk4LjAyLzA4LzIwMjYuLi5VU0QuSAEAAABLVQAAAgAAAAUtMTI5OAEIAAAABQAAAAExAQAAAAstMTg4MDIyOTY5NAMAAAADMTYwAgAAAAQyMDUxBAAAAAEwBwAAAAg4LzIvMjAyNggA</t>
  </si>
  <si>
    <t>AAAJNi8zMC8yMDI0CQAAAAEwxKFFbyzw3ghUjqiHLPDeCDtDSVEuTkFTREFROk1TRlQuSVFfVE9UQUxfREVCVF9JU1NVRUQuOTk0LjAyLzA4LzIwMjYuLi5VU0QuSAEAAABLVQAAAwAAAAAAxKFFbyzw3ghUjqiHLPDeCDhDSVEuTkFTREFROk1TRlQuSVFfTFRfREVCVF9SRVBBSUQuOTk1LjAyLzA4LzIwMjYuLi5VU0QuSAEAAABLVQAAAgAAAAUtMzc1MAEIAAAABQAAAAExAQAAAAstMjAzNjg0Mzg0MwMAAAADMTYwAgAAAAQyMDM2BAAAAAEwBwAAAAg4LzIvMjAyNggAAAAJNi8zMC8yMDIxCQAAAAEwxKFFbyzw3ghSZ6iHLPDeCDRDSVEuTkFTREFROk1TRlQuSVFfQ09NTU9OX1JFUC45OTMuMDIvMDgvMjAyNi4uLlVTRC5IAQAAAEtVAAACAAAABi0xOTU0MwEIAAAABQAAAAExAQAAAAstMjE0MDk4MTQ2OQMAAAADMTYwAgAAAAQyMTY0BAAAAAEwBwAAAAg4LzIvMjAyNggAAAAJNi8zMC8yMDE5CQAAAAEwxKFFbyzw3ghUjqiHLPDeCDJDSVEuTkFTREFROk1TRlQuSVFfUFJFRl9SRVAuOTk0LjAyLzA4LzIwMjYuLi5VU0QuSAEAAABLVQAAAwAAAAAAxKFFbyzw3ghUjqiHLPDeCDVDSVEuTkFTREFROk1TRlQuSVFfUFJFRl9ESVZfQ0YuOTk1LjAyLzA4LzIwMjYuLi5VU0QuSAEAAABLVQAAAwAAAAAAxKFFbyzw3ghUjqiHLPDeCDhDSVEuTkFTREFROk1TRlQuSVFfU1BFQ0lBTF9ESVZfQ0YuOTkzLjAyLzA4LzIw</t>
  </si>
  <si>
    <t>MjYuLi5VU0QuSAEAAABLVQAAAwAAAAAAxKFFbyzw3ghUjqiHLPDeCDRDSVEuTkFTREFROk1TRlQuSVFfQ0FTSF9GSU5BTi45OTQuMDIvMDgvMjAyNi4uLlVTRC5IAQAAAEtVAAACAAAABi00NjAzMQEIAAAABQAAAAExAQAAAAstMjA4NzQ5NjYyNwMAAAADMTYwAgAAAAQyMDA0BAAAAAEwBwAAAAg4LzIvMjAyNggAAAAJNi8zMC8yMDIwCQAAAAEwxKFFbyzw3ghUjqiHLPDeCDRDSVEuTkFTREFROk1TRlQuSVFfTkVUX0NIQU5HRS45OTMuMDIvMDgvMjAyNi4uLlVTRC5IAQAAAEtVAAACAAAABC01OTABCAAAAAUAAAABMQEAAAALLTIxNDA5ODE0NjkDAAAAAzE2MAIAAAAEMjA5MwQAAAABMAcAAAAIOC8yLzIwMjYIAAAACTYvMzAvMjAxOQkAAAABMMShRW8s8N4IVI6ohyzw3gg0Q0lRLk5BU0RBUTpNU0ZULklRX0RFUFJFX1NVUFAuOTk3LjAyLzA4LzIwMjYuLi5VU0QuSAEAAABLVQAAAgAAAAUxMTAwMAEIAAAABQAAAAExAQAAAAstMTkzNDI1NDI1MAMAAAADMTYwAgAAAAQyMTQzBAAAAAEwBwAAAAg4LzIvMjAyNggAAAAJNi8zMC8yMDIzCQAAAAEwxKFFbyzw3ghUjqiHLPDeCEdDSVEuTkFTREFROk1TRlQuSVFfREVQUkVDSUFUSU9OX1JFTlRBTF9BU1NFVFNfQ0YuOTk2LjAyLzA4LzIwMjYuLi5VU0QuSAEAAABLVQAAAwAAAAAAxKFFbyzw3ggoyaiHLPDeCEBDSVEuTkFTREFROk1TRlQuSVFfREFfQ0ZfRVhD</t>
  </si>
  <si>
    <t>TF9PUEVSX0xFQVNFUy45OTYuMDIvMDgvMjAyNi4uLlVTRC5IAQAAAEtVAAACAAAABTE0NjAwAQgAAAAFAAAAATEBAAAACy0xOTg1OTMxMjI0AwAAAAMxNjACAAAABTQ4OTg1BAAAAAEwBwAAAAg4LzIvMjAyNggAAAAJNi8zMC8yMDIyCQAAAAEwxKFFbyzw3ggoyaiHLPDeCEJDSVEuTkFTREFROk1TRlQuSVFfQU1PUlRfU09GVFdBUkVfQVNTRVRTX0NGLjk5NS4wMi8wOC8yMDI2Li4uVVNELkgBAAAAS1UAAAMAAAAAAMShRW8s8N4IVI6ohyzw3gg7Q0lRLk5BU0RBUTpNU0ZULklRX0NBU0hfSU5URVJFU1RfTkVULjk5NC4wMi8wOC8yMDI2Li4uVVNELkgBAAAAS1UAAAMAAAAAAMShRW8s8N4IVI6ohyzw3gg+Q0lRLk5BU0RBUTpNU0ZULklRX0NBU0hfSU5URVJFU1RfSU5WRVNULjk5My4wMi8wOC8yMDI2Li4uVVNELkgBAAAAS1UAAAMAAAAAAMShRW8s8N4IVI6ohyzw3gg5Q0lRLk5BU0RBUTpNU0ZULklRX0NBU0hfVEFYRVNfT1BFUi45OTQuMDIvMDgvMjAyNi4uLlVTRC5IAQAAAEtVAAADAAAAAADEoUVvLPDeCCjJqIcs8N4IPkNJUS5OQVNEQVE6TVNGVC5JUV9DSEFOR0VfREVGX1RBWF9UT1RBTC45OTQuMDIvMDgvMjAyNi4uLlVTRC5IAQAAAEtVAAACAAAAAjExAQgAAAAFAAAAATEBAAAACy0yMDg3NDk2NjI3AwAAAAMxNjACAAAABTMwOTI0BAAAAAEwBwAAAAg4LzIvMjAyNggAAAAJNi8zMC8yMDIwCQAA</t>
  </si>
  <si>
    <t>AAEwxKFFbyzw3giA8KiHLPDeCERDSVEuTkFTREFROk1TRlQuSVFfQ0hBTkdFX05FVF9XT1JLSU5HX0NBUElUQUwuOTk5LjAyLzA4LzIwMjYuLi5VU0QuSAEAAABLVQAAAgAAAAUtNjgzNQEIAAAABQAAAAExAQAAAAstMTg4MDIyOTY4NgMAAAADMTYwAgAAAAQ0NDIxBAAAAAEwBwAAAAg4LzIvMjAyNggAAAAJNi8zMC8yMDI1CQAAAAEwxKFFbyzw3ghUjqiHLPDeCDJDSVEuTkFTREFROk1TRlQuSVFfQ0ZfU0hBUkUuOTk5LjAyLzA4LzIwMjYuLi5VU0QuSAEAAABLVQAAAgAAAAg5LjYzNDE5OAEIAAAABQAAAAExAQAAAAstMTg4MDIyOTY4NgMAAAADMTYwAgAAAAU0MzkyMwQAAAABMAcAAAAIOC8yLzIwMjYIAAAACTYvMzAvMjAyNQkAAAABMMShRW8s8N4IVI6ohyzw3gg2Q0lRLk5BU0RBUTpNU0ZULklRX0RPX0lOVkVTVF9DRi45OTkuMDIvMDgvMjAyNi4uLlVTRC5IAQAAAEtVAAADAAAAAADEoUVvLPDeCCjJqIcs8N4IRUNJUS5OQVNEQVE6TVNGVC5JUV9PUEVSQVRJTkdfTEVBU0VfTElBQklMSVRJRVMuOTk4LjAyLzA4LzIwMjYuLi5VU0QuSAEAAABLVQAAAwAAAAAAxKFFbyzw3giA8KiHLPDeCEdDSVEuTkFTREFROk1TRlQuSVFfVE9UQUxfREVCVF9SRVBBSURfRVhDTF9MRUFTRVMuOTk4LjAyLzA4LzIwMjYuLi5VU0QuSAEAAABLVQAAAgAAAAYtMjkwNzABCAAAAAUAAAABMQEAAAALLTE4ODAyMjk2OTQD</t>
  </si>
  <si>
    <t>AAAAAzE2MAIAAAAFNDg5ODYEAAAAATAHAAAACDgvMi8yMDI2CAAAAAk2LzMwLzIwMjQJAAAAATDEoUVvLPDeCIDwqIcs8N4IM0NJUS5OQVNEQVE6TVNGVC5JUV9TVF9JTlZFU1QuOTkzLjAyLzA4LzIwMjYuLi5VU0QuSAEAAABLVQAAAgAAAAYxMjI0NzYBCAAAAAUAAAABMQEAAAALLTIxNDA5ODE0NjkDAAAAAzE2MAIAAAAEMTA2OQQAAAABMAcAAAAIOC8yLzIwMjYIAAAACTYvMzAvMjAxOQkAAAABMMShRW8s8N4IKMmohyzw3gg4Q0lRLk5BU0RBUTpNU0ZULklRX1RSQURJTkdfQVNTRVRTLjk5OC4wMi8wOC8yMDI2Li4uVVNELkgBAAAAS1UAAAMAAAAAAMShRW8s8N4IKMmohyzw3gg2Q0lRLk5BU0RBUTpNU0ZULklRX09USEVSX1JFQ0VJVi45OTkuMDIvMDgvMjAyNi4uLlVTRC5IAQAAAEtVAAACAAAABDgyMDABCAAAAAUAAAABMQEAAAALLTE4ODAyMjk2ODYDAAAAAzE2MAIAAAAEMTIwNgQAAAABMAcAAAAIOC8yLzIwMjYIAAAACTYvMzAvMjAyNQkAAAABMMShRW8s8N4IKMmohyzw3gg1Q0lRLk5BU0RBUTpNU0ZULklRX1BSRVBBSURfRVhQLjk5Ni4wMi8wOC8yMDI2Li4uVVNELkgBAAAAS1UAAAMAAAAAAMShRW8s8N4IgPCohyzw3gg4Q0lRLk5BU0RBUTpNU0ZULklRX0xPQU5TX0ZPUl9TQUxFLjk5Ni4wMi8wOC8yMDI2Li4uVVNELkgBAAAAS1UAAAMAAAAAAMShRW8s8N4Inxephyzw3gg4Q0lRLk5BU0RB</t>
  </si>
  <si>
    <t>UTpNU0ZULklRX09USEVSX0NBX1NVUFBMLjk5Ni4wMi8wOC8yMDI2Li4uVVNELkgBAAAAS1UAAAIAAAAFMTA4MzIBCAAAAAUAAAABMQEAAAALLTE5ODU5MzEyMjQDAAAAAzE2MAIAAAAEMTA1NQQAAAABMAcAAAAIOC8yLzIwMjYIAAAACTYvMzAvMjAyMgkAAAABMMShRW8s8N4IgPCohyzw3ggvQ0lRLk5BU0RBUTpNU0ZULklRX0dQUEUuMTAwMC4wMi8wOC8yMDI2Li4uVVNELkgBAAAAS1UAAAIAAAAGNDU1OTQ0AQgAAAAFAAAAATEBAAAACy0xODgwMjI5NjY1AwAAAAMxNjACAAAABDExNjkEAAAAATAHAAAACDgvMi8yMDI2CAAAAAk2LzMwLzIwMjYJAAAAATDEoUVvLPDeCIDwqIcs8N4IM0NJUS5OQVNEQVE6TVNGVC5JUV9MVF9JTlZFU1QuOTkyLjAyLzA4LzIwMjYuLi5VU0QuSAEAAABLVQAAAgAAAAQxODYyAQgAAAAFAAAAATEBAAAACjIwNDcyNzE3NDUDAAAAAzE2MAIAAAAEMTA1NAQAAAABMAcAAAAIOC8yLzIwMjYIAAAACTYvMzAvMjAxOAkAAAABMMShRW8s8N4IgPCohyzw3gg6Q0lRLk5BU0RBUTpNU0ZULklRX0ZJTl9ESVZfTE9BTlNfTFQuOTkzLjAyLzA4LzIwMjYuLi5VU0QuSAEAAABLVQAAAwAAAAAAxKFFbyzw3gifF6mHLPDeCC9DSVEuTkFTREFROk1TRlQuSVFfQVJfTFQuOTk4LjAyLzA4LzIwMjYuLi5VU0QuSAEAAABLVQAAAgAAAAQ0OTAwAQgAAAAFAAAAATEBAAAACy0xODgwMjI5Njk0AwAA</t>
  </si>
  <si>
    <t>AAMxNjACAAAABDEwODgEAAAAATAHAAAACDgvMi8yMDI2CAAAAAk2LzMwLzIwMjQJAAAAATDEoUVvLPDeCJ8XqYcs8N4IOENJUS5OQVNEQVE6TVNGVC5JUV9ERUZfQ0hBUkdFU19MVC45OTkuMDIvMDgvMjAyNi4uLlVTRC5IAQAAAEtVAAADAAAAAADEoUVvLPDeCIDwqIcs8N4ILENJUS5OQVNEQVE6TVNGVC5JUV9BUC45OTkuMDIvMDgvMjAyNi4uLlVTRC5IAQAAAEtVAAACAAAABTI3NzI0AQgAAAAFAAAAATEBAAAACy0xODgwMjI5Njg2AwAAAAMxNjACAAAABDEwMTgEAAAAATAHAAAACDgvMi8yMDI2CAAAAAk2LzMwLzIwMjUJAAAAATDEoUVvLPDeCIDwqIcs8N4IO0NJUS5OQVNEQVE6TVNGVC5JUV9DVVJSRU5UX1BPUlRfREVCVC45OTIuMDIvMDgvMjAyNi4uLlVTRC5IAQAAAEtVAAACAAAABDM5OTgBCAAAAAUAAAABMQEAAAAKMjA0NzI3MTc0NQMAAAADMTYwAgAAAAQxMjk3BAAAAAEwBwAAAAg4LzIvMjAyNggAAAAJNi8zMC8yMDE4CQAAAAEwxKFFbyzw3giA8KiHLPDeCD5DSVEuTkFTREFROk1TRlQuSVFfRklOX0RJVl9ERUJUX0NVUlJFTlQuOTk1LjAyLzA4LzIwMjYuLi5VU0QuSAEAAABLVQAAAwAAAAAAxKFFbyzw3gi0PqmHLPDeCDxDSVEuTkFTREFROk1TRlQuSVFfVU5FQVJOX1JFVl9DVVJSRU5ULjk5NS4wMi8wOC8yMDI2Li4uVVNELkgBAAAAS1UAAAIAAAAFNDE1MjUBCAAAAAUAAAABMQEAAAAL</t>
  </si>
  <si>
    <t>LTIwMzY4NDM4NDMDAAAAAzE2MAIAAAAEMTA3NAQAAAABMAcAAAAIOC8yLzIwMjYIAAAACTYvMzAvMjAyMQkAAAABMMShRW8s8N4ItD6phyzw3ggxQ0lRLk5BU0RBUTpNU0ZULklRX0xUX0RFQlQuOTk0LjAyLzA4LzIwMjYuLi5VU0QuSAEAAABLVQAAAgAAAAU1OTU3OAEIAAAABQAAAAExAQAAAAstMjA4NzQ5NjYyNwMAAAADMTYwAgAAAAQxMDQ5BAAAAAEwBwAAAAg4LzIvMjAyNggAAAAJNi8zMC8yMDIwCQAAAAEwxKFFbyzw3gifF6mHLPDeCDlDSVEuTkFTREFROk1TRlQuSVFfRklOX0RJVl9MSUFCX0xULjk5Ny4wMi8wOC8yMDI2Li4uVVNELkgBAAAAS1UAAAMAAAAAAMShRW8s8N4Inxephyzw3gg6Q0lRLk5BU0RBUTpNU0ZULklRX0RFRl9UQVhfTElBQl9MVC4xMDAwLjAyLzA4LzIwMjYuLi5VU0QuSAEAAABLVQAAAgAAAAQzMDU0AQgAAAAFAAAAATEBAAAACy0xODgwMjI5NjY1AwAAAAMxNjACAAAABDEwMjcEAAAAATAHAAAACDgvMi8yMDI2CAAAAAk2LzMwLzIwMjYJAAAAATDEoUVvLPDeCJ8XqYcs8N4IOUNJUS5OQVNEQVE6TVNGVC5JUV9QUkVGX05PTl9SRURFRU0uOTk4LjAyLzA4LzIwMjYuLi5VU0QuSAEAAABLVQAAAwAAAAAAxKFFbyzw3gi0PqmHLPDeCDFDSVEuTkFTREFROk1TRlQuSVFfQ09NTU9OLjEwMDAuMDIvMDgvMjAyNi4uLlVTRC5IAQAAAEtVAAACAAAABjExNzQwNgEIAAAABQAAAAEx</t>
  </si>
  <si>
    <t>AQAAAAstMTg4MDIyOTY2NQMAAAADMTYwAgAAAAQxMTAzBAAAAAEwBwAAAAg4LzIvMjAyNggAAAAJNi8zMC8yMDI2CQAAAAEwxKFFbyzw3gjFZamHLPDeCDZDSVEuTkFTREFROk1TRlQuSVFfT1RIRVJfRVFVSVRZLjk5OS4wMi8wOC8yMDI2Li4uVVNELkgBAAAAS1UAAAIAAAAFLTMzNDcBCAAAAAUAAAABMQEAAAALLTE4ODAyMjk2ODYDAAAAAzE2MAIAAAAEMTAyOAQAAAABMAcAAAAIOC8yLzIwMjYIAAAACTYvMzAvMjAyNQkAAAABMMShRW8s8N4Inxephyzw3gg8Q0lRLk5BU0RBUTpNU0ZULklRX1RPVEFMX0xJQUJfRVFVSVRZLjEwMDAuMDIvMDgvMjAyNi4uLlVTRC5IAQAAAEtVAAACAAAABjc1ODM3NgEIAAAABQAAAAExAQAAAAstMTg4MDIyOTY2NQMAAAADMTYwAgAAAAQxMDEzBAAAAAEwBwAAAAg4LzIvMjAyNggAAAAJNi8zMC8yMDI2CQAAAAEwxKFFbyzw3gifF6mHLPDeCEFDSVEuTkFTREFROk1TRlQuSVFfUlVBX0NBUElUQUxfTEVBU0VfR1JPU1MuOTk3LjAyLzA4LzIwMjYuLi5VU0QuSAEAAABLVQAAAwAAAAAAxKFFbyzw3gi0PqmHLPDeCEdDSVEuTkFTREFROk1TRlQuSVFfUlVBX09QRVJBVElOR19MRUFTRV9BQ0NVTV9ERVAuOTk1LjAyLzA4LzIwMjYuLi5VU0QuSAEAAABLVQAAAwAAAAAAxKFFbyzw3gjFZamHLPDeCD9DSVEuTkFTREFROk1TRlQuSVFfTlBQRV9FWENMX09QRVJfTEVBU0VTLjk5</t>
  </si>
  <si>
    <t>OS4wMi8wOC8yMDI2Li4uVVNELkgBAAAAS1UAAAIAAAAGMjA0OTY2AQgAAAAFAAAAATEBAAAACy0xODgwMjI5Njg2AwAAAAMxNjACAAAABTQ4OTc2BAAAAAEwBwAAAAg4LzIvMjAyNggAAAAJNi8zMC8yMDI1CQAAAAEwxKFFbyzw3gjFZamHLPDeCFBDSVEuTkFTREFROk1TRlQuSVFfQ1VSUkVOVF9QT1JUSU9OX09QRVJfTEVBU0VfTElBQklMSVRJRVMuOTkyLjAyLzA4LzIwMjYuLi5VU0QuSAEAAABLVQAAAgAAAAQxMzk5AQgAAAAFAAAAATEBAAAACjIwNDcyNzE3NDUDAAAAAzE2MAIAAAAFNDgzODUEAAAAATAHAAAACDgvMi8yMDI2CAAAAAk2LzMwLzIwMTgJAAAAATDEoUVvLPDeCLQ+qYcs8N4IVkNJUS5OQVNEQVE6TVNGVC5JUV9GSU5BTkNJTkdfT0JMSUdfTk9OX0NVUlJFTlRfRVhDTF9PUEVSX0xFQVNFUy45OTguMDIvMDgvMjAyNi4uLlVTRC5IAQAAAEtVAAACAAAABTY3NDg0AQgAAAAFAAAAATEBAAAACy0xODgwMjI5Njk0AwAAAAMxNjACAAAABTQ4OTgxBAAAAAEwBwAAAAg4LzIvMjAyNggAAAAJNi8zMC8yMDI0CQAAAAEwxKFFbyzw3gi0PqmHLPDeCDNDSVEuTkFTREFROk1TRlQuSVFfVEJWX1NIQVJFLjk5OS4wMi8wOC8yMDI2Li4uVVNELkgBAAAAS1UAAAIAAAAJMjcuMDg3MTY3AQgAAAAFAAAAATEBAAAACy0xODgwMjI5Njg2AwAAAAMxNjACAAAABDQxNTYEAAAAATAHAAAACDgvMi8yMDI2CAAA</t>
  </si>
  <si>
    <t>AAk2LzMwLzIwMjUJAAAAATDEoUVvLPDeCLQ+qYcs8N4INENJUS5OQVNEQVE6TVNGVC5JUV9UT1RBTF9ERUJULjk5OS4wMi8wOC8yMDI2Li4uVVNELkgBAAAAS1UAAAIAAAAGMTEyMTg0AQgAAAAFAAAAATEBAAAACy0xODgwMjI5Njg2AwAAAAMxNjACAAAABDQxNzMEAAAAATAHAAAACDgvMi8yMDI2CAAAAAk2LzMwLzIwMjUJAAAAATDEoUVvLPDeCMVlqYcs8N4INUNJUS5OQVNEQVE6TVNGVC5JUV9XT1JLSU5HX0NBUC45OTIuMDIvMDgvMjAyNi4uLlVTRC5IAQAAAEtVAAACAAAABjExMTE3NAEIAAAABQAAAAExAQAAAAoyMDQ3MjcxNzQ1AwAAAAMxNjACAAAABDQxNjUEAAAAATAHAAAACDgvMi8yMDI2CAAAAAk2LzMwLzIwMTgJAAAAATDEoUVvLPDeCKKgqYcs8N4IL0NJUS5OQVNEQVE6TVNGVC5JUV9MSUZPUi45OTkuMDIvMDgvMjAyNi4uLlVTRC5IAQAAAEtVAAADAAAAAADEoUVvLPDeCMVlqYcs8N4IM0NJUS5OQVNEQVE6TVNGVC5JUV9CVUlMRElOR1MuOTk0LjAyLzA4LzIwMjYuLi5VU0QuSAEAAABLVQAAAgAAAAUzMzk5NQEIAAAABQAAAAExAQAAAAstMjA4NzQ5NjYyNwMAAAADMTYwAgAAAAQzMDIzBAAAAAEwBwAAAAg4LzIvMjAyNggAAAAJNi8zMC8yMDIwCQAAAAEwxKFFbyzw3gjFZamHLPDeCD1DSVEuTkFTREFROk1TRlQuSVFfTUlOT1JJVFlfSU5UX1JFREVFTS45OTUuMDIvMDgvMjAyNi4uLlVT</t>
  </si>
  <si>
    <t>RC5IAQAAAEtVAAADAAAAAADEoUVvLPDeCMVlqYcs8N4IS0NJUS5OQVNEQVE6TVNGVC5JUV9HRU5FUkFMX1BBUlRORVJfTUlOT1JJVFlfSU5URVJFU1QuOTk2LjAyLzA4LzIwMjYuLi5VU0QuSAEAAABLVQAAAwAAAAAAxKFFbyzw3giioKmHLPDeCDtDSVEuTkFTREFROk1TRlQuSVFfQVNTRVRTX0ZBSVJfVkFMVUUuOTk3LjAyLzA4LzIwMjYuLi5VU0QuSAEAAABLVQAAAgAAAAYxMDU5MzkAxKFFbyzw3giioKmHLPDeCD9DSVEuTkFTREFROk1TRlQuSVFfREVCVF9FUVVJVl9PUEVSX0xFQVNFLjk5Ni4wMi8wOC8yMDI2Li4uVVNELkgBAAAAS1UAAAIAAAAFMTk2ODgBCAAAAAUAAAABMQEAAAALLTE5ODU5MzEyMjQDAAAAAzE2MAIAAAAFMjE2NzEEAAAAATAHAAAACDgvMi8yMDI2CAAAAAk2LzMwLzIwMjIJAAAAATDEoUVvLPDeCMVlqYcs8N4IMENJUS5OQVNEQVE6TVNGVC5JUV9HV19ORVQuOTk4LjAyLzA4LzIwMjYuLi5VU0QuSAEAAABLVQAAAgAAAAYxMTkyMjABCAAAAAUAAAABMQEAAAALLTE4ODAyMjk2OTQDAAAAAzE2MAIAAAAFNDg5NjAEAAAAATAHAAAACDgvMi8yMDI2CAAAAAk2LzMwLzIwMjQJAAAAATDEoUVvLPDeCMVlqYcs8N4IM0NJUS5OQVNEQVE6TVNGVC5JUV9DSEFOR0VfQVAuOTk5LjAyLzA4LzIwMjYuLi5VU0QuSAEAAABLVQAAAgAAAAM1NjkBCAAAAAUAAAABMQEAAAALLTE4ODAyMjk2ODYD</t>
  </si>
  <si>
    <t>AAAAAzE2MAIAAAAEMjAxNwQAAAABMAcAAAAIOC8yLzIwMjYIAAAACTYvMzAvMjAyNQkAAAABMMShRW8s8N4IxWWphyzw3gg4Q0lRLk5BU0RBUTpNU0ZULklRX0NIQU5HRV9ERUZfVEFYLjk5Ni4wMi8wOC8yMDI2Li4uVVNELkgBAAAAS1UAAAMAAAAAAMShRW8s8N4IBMiphyzw3ggzQ0lRLk5BU0RBUTpNU0ZULklRX0NBU0hfT1BFUi45OTguMDIvMDgvMjAyNi4uLlVTRC5IAQAAAEtVAAACAAAABjExODU0OAEIAAAABQAAAAExAQAAAAstMTg4MDIyOTY5NAMAAAADMTYwAgAAAAQyMDA2BAAAAAEwBwAAAAg4LzIvMjAyNggAAAAJNi8zMC8yMDI0CQAAAAEwxKFFbyzw3ggEyKmHLPDeCDVDSVEuTkFTREFROk1TRlQuSVFfU0FMRV9QUEVfQ0YuOTk5LjAyLzA4LzIwMjYuLi5VU0QuSAEAAABLVQAAAwAAAAAAxKFFbyzw3giioKmHLPDeCD1DSVEuTkFTREFROk1TRlQuSVFfU0FMRV9SRUFMX0VTVEFURV9DRi45OTcuMDIvMDgvMjAyNi4uLlVTRC5IAQAAAEtVAAADAAAAAADEoUVvLPDeCKKgqYcs8N4IPENJUS5OQVNEQVE6TVNGVC5JUV9JTlZFU1RfU0VDVVJJVFlfQ0YuOTk4LjAyLzA4LzIwMjYuLi5VU0QuSAEAAABLVQAAAgAAAAUxNzkzNwEIAAAABQAAAAExAQAAAAstMTg4MDIyOTY5NAMAAAADMTYwAgAAAAQyMDI3BAAAAAEwBwAAAAg4LzIvMjAyNggAAAAJNi8zMC8yMDI0CQAAAAEwxKFFbyzw3giioKmHLPDe</t>
  </si>
  <si>
    <t>CDVDSVEuTkFTREFROk1TRlQuSVFfQ0FTSF9JTlZFU1QuOTk2LjAyLzA4LzIwMjYuLi5VU0QuSAEAAABLVQAAAgAAAAYtMzAzMTEBCAAAAAUAAAABMQEAAAALLTE5ODU5MzEyMjQDAAAAAzE2MAIAAAAEMjAwNQQAAAABMAcAAAAIOC8yLzIwMjYIAAAACTYvMzAvMjAyMgkAAAABMMShRW8s8N4IGu+phyzw3gg4Q0lRLk5BU0RBUTpNU0ZULklRX0xUX0RFQlRfSVNTVUVELjk5Ny4wMi8wOC8yMDI2Li4uVVNELkgBAAAAS1UAAAMAAAAAAMShRW8s8N4IGu+phyzw3gg4Q0lRLk5BU0RBUTpNU0ZULklRX1NUX0RFQlRfUkVQQUlELjk5OC4wMi8wOC8yMDI2Li4uVVNELkgBAAAAS1UAAAMAAAAAAMShRW8s8N4IoqCphyzw3gg0Q0lRLk5BU0RBUTpNU0ZULklRX0NPTU1PTl9SRVAuOTk0LjAyLzA4LzIwMjYuLi5VU0QuSAEAAABLVQAAAgAAAAYtMjI5NjgBCAAAAAUAAAABMQEAAAALLTIwODc0OTY2MjcDAAAAAzE2MAIAAAAEMjE2NAQAAAABMAcAAAAIOC8yLzIwMjYIAAAACTYvMzAvMjAyMAkAAAABMMShRW8s8N4IoqCphyzw3ggyQ0lRLk5BU0RBUTpNU0ZULklRX1BSRUZfUkVQLjk5NS4wMi8wOC8yMDI2Li4uVVNELkgBAAAAS1UAAAMAAAAAAMShRW8s8N4IBMiphyzw3gg8Q0lRLk5BU0RBUTpNU0ZULklRX0NPTU1PTl9QUkVGX0RJVl9DRi45OTMuMDIvMDgvMjAyNi4uLlVTRC5IAQAAAEtVAAADAAAAAADEoUVvLPDe</t>
  </si>
  <si>
    <t>CBrvqYcs8N4IOENJUS5OQVNEQVE6TVNGVC5JUV9TUEVDSUFMX0RJVl9DRi45OTQuMDIvMDgvMjAyNi4uLlVTRC5IAQAAAEtVAAADAAAAAADEoUVvLPDeCBrvqYcs8N4INENJUS5OQVNEQVE6TVNGVC5JUV9DQVNIX0ZJTkFOLjk5NS4wMi8wOC8yMDI2Li4uVVNELkgBAAAAS1UAAAIAAAAGLTQ4NDg2AQgAAAAFAAAAATEBAAAACy0yMDM2ODQzODQzAwAAAAMxNjACAAAABDIwMDQEAAAAATAHAAAACDgvMi8yMDI2CAAAAAk2LzMwLzIwMjEJAAAAATDEoUVvLPDeCATIqYcs8N4INENJUS5OQVNEQVE6TVNGVC5JUV9ORVRfQ0hBTkdFLjk5NC4wMi8wOC8yMDI2Li4uVVNELkgBAAAAS1UAAAIAAAAEMjIyMAEIAAAABQAAAAExAQAAAAstMjA4NzQ5NjYyNwMAAAADMTYwAgAAAAQyMDkzBAAAAAEwBwAAAAg4LzIvMjAyNggAAAAJNi8zMC8yMDIwCQAAAAEwxKFFbyzw3ggEyKmHLPDeCERDSVEuTkFTREFROk1TRlQuSVFfR1dfSU5UQU5fQU1PUlRfUEFSVElBTF9DRi4xMDAwLjAyLzA4LzIwMjYuLi5VU0QuSAEAAABLVQAAAwAAAAAAxKFFbyzw3ggEyKmHLPDeCDJDSVEuTkFTREFROk1TRlQuSVFfREVQX1JVQS4xMDAwLjAyLzA4LzIwMjYuLi5VU0QuSAEAAABLVQAAAwAAAAAAxKFFbyzw3ggnFqqHLPDeCD9DSVEuTkFTREFROk1TRlQuSVFfTkVHQVRJVkVfR1dfQU1PUlRfQ0YuMTAwMC4wMi8wOC8yMDI2Li4uVVNELkgB</t>
  </si>
  <si>
    <t>AAAAS1UAAAMAAAAAAMShRW8s8N4IJxaqhyzw3ghCQ0lRLk5BU0RBUTpNU0ZULklRX0FNT1JUX1NPRlRXQVJFX0FTU0VUU19DRi45OTYuMDIvMDgvMjAyNi4uLlVTRC5IAQAAAEtVAAADAAAAAADEoUVvLPDeCBrvqYcs8N4IO0NJUS5OQVNEQVE6TVNGVC5JUV9DQVNIX0lOVEVSRVNUX05FVC45OTUuMDIvMDgvMjAyNi4uLlVTRC5IAQAAAEtVAAADAAAAAADEoUVvLPDeCBrvqYcs8N4IPkNJUS5OQVNEQVE6TVNGVC5JUV9DQVNIX0lOVEVSRVNUX0lOVkVTVC45OTQuMDIvMDgvMjAyNi4uLlVTRC5IAQAAAEtVAAADAAAAAADEoUVvLPDeCBrvqYcs8N4IOUNJUS5OQVNEQVE6TVNGVC5JUV9DQVNIX1RBWEVTX09QRVIuOTk1LjAyLzA4LzIwMjYuLi5VU0QuSAEAAABLVQAAAwAAAAAAxKFFbyzw3ggyPaqHLPDeCDpDSVEuTkFTREFROk1TRlQuSVFfQ0FTSF9UQVhFU19GSU5BTi45OTcuMDIvMDgvMjAyNi4uLlVTRC5IAQAAAEtVAAADAAAAAADEoUVvLPDeCDI9qocs8N4INUNJUS5OQVNEQVE6TVNGVC5JUV9MRVZFUkVEX0ZDRi45OTcuMDIvMDgvMjAyNi4uLlVTRC5IAQAAAEtVAAACAAAABTQ3MjY5AQgAAAAFAAAAATEBAAAACy0xOTM0MjU0MjUwAwAAAAMxNjACAAAABDQ0MjIEAAAAATAHAAAACDgvMi8yMDI2CAAAAAk2LzMwLzIwMjMJAAAAATDEoUVvLPDeCBrvqYcs8N4IM0NJUS5OQVNEQVE6TVNGVC5JUV9DRl9T</t>
  </si>
  <si>
    <t>SEFSRS4xMDAwLjAyLzA4LzIwMjYuLi5VU0QuSAEAAABLVQAAAgAAAAc5LjAxNjk2AQgAAAAFAAAAATEBAAAACy0xODgwMjI5NjY1AwAAAAMxNjACAAAABTQzOTIzBAAAAAEwBwAAAAg4LzIvMjAyNggAAAAJNi8zMC8yMDI2CQAAAAEwxKFFbyzw3ggnFqqHLPDeCDdDSVEuTkFTREFROk1TRlQuSVFfRE9fSU5WRVNUX0NGLjEwMDAuMDIvMDgvMjAyNi4uLlVTRC5IAQAAAEtVAAADAAAAAADEoUVvLPDeCCcWqocs8N4IRUNJUS5OQVNEQVE6TVNGVC5JUV9PUEVSQVRJTkdfTEVBU0VfTElBQklMSVRJRVMuOTkyLjAyLzA4LzIwMjYuLi5VU0QuSAEAAABLVQAAAwAAAAAAxKFFbyzw3ggyPaqHLPDeCEdDSVEuTkFTREFROk1TRlQuSVFfVE9UQUxfREVCVF9SRVBBSURfRVhDTF9MRUFTRVMuOTkyLjAyLzA4LzIwMjYuLi5VU0QuSAEAAABLVQAAAgAAAAYtMTczODQBCAAAAAUAAAABMQEAAAAKMjA0NzI3MTc0NQMAAAADMTYwAgAAAAU0ODk4NgQAAAABMAcAAAAIOC8yLzIwMjYIAAAACTYvMzAvMjAxOAkAAAABMMShRW8s8N4IMj2qhyzw3ggzQ0lRLk5BU0RBUTpNU0ZULklRX1NUX0lOVkVTVC45OTQuMDIvMDgvMjAyNi4uLlVTRC5IAQAAAEtVAAACAAAABjEyMjkxNgEIAAAABQAAAAExAQAAAAstMjA4NzQ5NjYyNwMAAAADMTYwAgAAAAQxMDY5BAAAAAEwBwAAAAg4LzIvMjAyNggAAAAJNi8zMC8yMDIwCQAAAAEwxKFF</t>
  </si>
  <si>
    <t>byzw3ggnFqqHLPDeCDhDSVEuTkFTREFROk1TRlQuSVFfQ0FTSF9TVF9JTlZFU1QuOTk2LjAyLzA4LzIwMjYuLi5VU0QuSAEAAABLVQAAAgAAAAYxMDQ3NDkBCAAAAAUAAAABMQEAAAALLTE5ODU5MzEyMjQDAAAAAzE2MAIAAAAEMTAwMgQAAAABMAcAAAAIOC8yLzIwMjYIAAAACTYvMzAvMjAyMgkAAAABMMShRW8s8N4IJxaqhyzw3gg4Q0lRLk5BU0RBUTpNU0ZULklRX1NUX05PVEVfUkVDRUlWLjk5Ny4wMi8wOC8yMDI2Li4uVVNELkgBAAAAS1UAAAMAAAAAAMShRW8s8N4IJxaqhyzw3gg1Q0lRLk5BU0RBUTpNU0ZULklRX1BSRVBBSURfRVhQLjk5Ny4wMi8wOC8yMDI2Li4uVVNELkgBAAAAS1UAAAMAAAAAAMShRW8s8N4IgGSqhyzw3gg4Q0lRLk5BU0RBUTpNU0ZULklRX0xPQU5TX0ZPUl9TQUxFLjk5Ny4wMi8wOC8yMDI2Li4uVVNELkgBAAAAS1UAAAMAAAAAAMShRW8s8N4IgGSqhyzw3gg5Q0lRLk5BU0RBUTpNU0ZULklRX1JFU1RSSUNURURfQ0FTSC45OTkuMDIvMDgvMjAyNi4uLlVTRC5IAQAAAEtVAAADAAAAAADEoUVvLPDeCDI9qocs8N4ILkNJUS5OQVNEQVE6TVNGVC5JUV9HUFBFLjk5My4wMi8wOC8yMDI2Li4uVVNELkgBAAAAS1UAAAIAAAAFNzkxODYBCAAAAAUAAAABMQEAAAALLTIxNDA5ODE0NjkDAAAAAzE2MAIAAAAEMTE2OQQAAAABMAcAAAAIOC8yLzIwMjYIAAAACTYvMzAvMjAxOQkAAAAB</t>
  </si>
  <si>
    <t>MMShRW8s8N4IMj2qhyzw3ggzQ0lRLk5BU0RBUTpNU0ZULklRX0xUX0lOVkVTVC45OTMuMDIvMDgvMjAyNi4uLlVTRC5IAQAAAEtVAAACAAAABDI2NDkBCAAAAAUAAAABMQEAAAALLTIxNDA5ODE0NjkDAAAAAzE2MAIAAAAEMTA1NAQAAAABMAcAAAAIOC8yLzIwMjYIAAAACTYvMzAvMjAxOQkAAAABMMShRW8s8N4IMj2qhyzw3gg6Q0lRLk5BU0RBUTpNU0ZULklRX0ZJTl9ESVZfTE9BTlNfTFQuOTk1LjAyLzA4LzIwMjYuLi5VU0QuSAEAAABLVQAAAwAAAAAAxKFFbyzw3giXi6qHLPDeCC9DSVEuTkFTREFROk1TRlQuSVFfQVJfTFQuOTk5LjAyLzA4LzIwMjYuLi5VU0QuSAEAAABLVQAAAgAAAAQ1MjAwAQgAAAAFAAAAATEBAAAACy0xODgwMjI5Njg2AwAAAAMxNjACAAAABDEwODgEAAAAATAHAAAACDgvMi8yMDI2CAAAAAk2LzMwLzIwMjUJAAAAATDEoUVvLPDeCJeLqocs8N4IOUNJUS5OQVNEQVE6TVNGVC5JUV9ERUZfQ0hBUkdFU19MVC4xMDAwLjAyLzA4LzIwMjYuLi5VU0QuSAEAAABLVQAAAwAAAAAAxKFFbyzw3giAZKqHLPDeCCxDSVEuTkFTREFROk1TRlQuSVFfQVAuOTkyLjAyLzA4LzIwMjYuLi5VU0QuSAEAAABLVQAAAgAAAAQ4NjE3AQgAAAAFAAAAATEBAAAACjIwNDcyNzE3NDUDAAAAAzE2MAIAAAAEMTAxOAQAAAABMAcAAAAIOC8yLzIwMjYIAAAACTYvMzAvMjAxOAkAAAABMMShRW8s8N4IgGSq</t>
  </si>
  <si>
    <t>hyzw3gg9Q0lRLk5BU0RBUTpNU0ZULklRX0NVUlJFTlRfUE9SVF9MRUFTRVMuOTk2LjAyLzA4LzIwMjYuLi5VU0QuSAEAAABLVQAAAgAAAAQzMjg4AQgAAAAFAAAAATEBAAAACy0xOTg1OTMxMjI0AwAAAAMxNjACAAAABDEwOTAEAAAAATAHAAAACDgvMi8yMDI2CAAAAAk2LzMwLzIwMjIJAAAAATDEoUVvLPDeCIBkqocs8N4IPkNJUS5OQVNEQVE6TVNGVC5JUV9GSU5fRElWX0xJQUJfQ1VSUkVOVC45OTkuMDIvMDgvMjAyNi4uLlVTRC5IAQAAAEtVAAADAAAAAADEoUVvLPDeCKKyqocs8N4IP0NJUS5OQVNEQVE6TVNGVC5JUV9ERUZfVEFYX0xJQUJfQ1VSUkVOVC4xMDAwLjAyLzA4LzIwMjYuLi5VU0QuSAEAAABLVQAAAwAAAAAAxKFFbyzw3giisqqHLPDeCDFDSVEuTkFTREFROk1TRlQuSVFfTFRfREVCVC45OTUuMDIvMDgvMjAyNi4uLlVTRC5IAQAAAEtVAAACAAAABTUwMDc0AQgAAAAFAAAAATEBAAAACy0yMDM2ODQzODQzAwAAAAMxNjACAAAABDEwNDkEAAAAATAHAAAACDgvMi8yMDI2CAAAAAk2LzMwLzIwMjEJAAAAATDEoUVvLPDeCIBkqocs8N4IOUNJUS5OQVNEQVE6TVNGVC5JUV9GSU5fRElWX0xJQUJfTFQuOTk5LjAyLzA4LzIwMjYuLi5VU0QuSAEAAABLVQAAAwAAAAAAxKFFbyzw3giXi6qHLPDeCDlDSVEuTkFTREFROk1TRlQuSVFfREVGX1RBWF9MSUFCX0xULjk5NC4wMi8wOC8yMDI2Li4uVVNE</t>
  </si>
  <si>
    <t>LkgBAAAAS1UAAAIAAAADMjA0AQgAAAAFAAAAATEBAAAACy0yMDg3NDk2NjI3AwAAAAMxNjACAAAABDEwMjcEAAAAATAHAAAACDgvMi8yMDI2CAAAAAk2LzMwLzIwMjAJAAAAATDEoUVvLPDeCJeLqocs8N4INkNJUS5OQVNEQVE6TVNGVC5JUV9QUkVGX0NPTlZFUlQuOTk3LjAyLzA4LzIwMjYuLi5VU0QuSAEAAABLVQAAAwAAAAAAxKFFbyzw3gi32aqHLPDeCDBDSVEuTkFTREFROk1TRlQuSVFfQ09NTU9OLjk5NC4wMi8wOC8yMDI2Li4uVVNELkgBAAAAS1UAAAIAAAAFODA1NTIBCAAAAAUAAAABMQEAAAALLTIwODc0OTY2MjcDAAAAAzE2MAIAAAAEMTEwMwQAAAABMAcAAAAIOC8yLzIwMjYIAAAACTYvMzAvMjAyMAkAAAABMMShRW8s8N4It9mqhyzw3gg2Q0lRLk5BU0RBUTpNU0ZULklRX09USEVSX0VRVUlUWS45OTIuMDIvMDgvMjAyNi4uLlVTRC5IAQAAAEtVAAACAAAABS0yMTg3AQgAAAAFAAAAATEBAAAACjIwNDcyNzE3NDUDAAAAAzE2MAIAAAAEMTAyOAQAAAABMAcAAAAIOC8yLzIwMjYIAAAACTYvMzAvMjAxOAkAAAABMMShRW8s8N4Il4uqhyzw3gg7Q0lRLk5BU0RBUTpNU0ZULklRX1RPVEFMX0xJQUJfRVFVSVRZLjk5Mi4wMi8wOC8yMDI2Li4uVVNELkgBAAAAS1UAAAIAAAAGMjU4ODQ4AQgAAAAFAAAAATEBAAAACjIwNDcyNzE3NDUDAAAAAzE2MAIAAAAEMTAxMwQAAAABMAcAAAAIOC8yLzIwMjYI</t>
  </si>
  <si>
    <t>AAAACTYvMzAvMjAxOAkAAAABMMShRW8s8N4Il4uqhyzw3ghBQ0lRLk5BU0RBUTpNU0ZULklRX1JVQV9DQVBJVEFMX0xFQVNFX0dST1NTLjk5OC4wMi8wOC8yMDI2Li4uVVNELkgBAAAAS1UAAAMAAAAAAMShRW8s8N4IorKqhyzw3ghHQ0lRLk5BU0RBUTpNU0ZULklRX1JVQV9PUEVSQVRJTkdfTEVBU0VfQUNDVU1fREVQLjk5OC4wMi8wOC8yMDI2Li4uVVNELkgBAAAAS1UAAAMAAAAAAMShRW8s8N4It9mqhyzw3ghAQ0lRLk5BU0RBUTpNU0ZULklRX05QUEVfRVhDTF9PUEVSX0xFQVNFUy4xMDAwLjAyLzA4LzIwMjYuLi5VU0QuSAEAAABLVQAAAgAAAAYzMTMwNzYBCAAAAAUAAAABMQEAAAALLTE4ODAyMjk2NjUDAAAAAzE2MAIAAAAFNDg5NzYEAAAAATAHAAAACDgvMi8yMDI2CAAAAAk2LzMwLzIwMjYJAAAAATDEoUVvLPDeCLfZqocs8N4IS0NJUS5OQVNEQVE6TVNGVC5JUV9MVF9QT1JUSU9OX09QRVJfTEVBU0VfTElBQklMSVRJRVMuOTk3LjAyLzA4LzIwMjYuLi5VU0QuSAEAAABLVQAAAgAAAAUxMjcyOAEIAAAABQAAAAExAQAAAAstMTkzNDI1NDI1MAMAAAADMTYwAgAAAAU0ODM4MwQAAAABMAcAAAAIOC8yLzIwMjYIAAAACTYvMzAvMjAyMwkAAAABMMShRW8s8N4IorKqhyzw3ghWQ0lRLk5BU0RBUTpNU0ZULklRX0ZJTkFOQ0lOR19PQkxJR19OT05fQ1VSUkVOVF9FWENMX09QRVJfTEVBU0VTLjk5OS4w</t>
  </si>
  <si>
    <t>Mi8wOC8yMDI2Li4uVVNELkgBAAAAS1UAAAIAAAAFODMxNTIBCAAAAAUAAAABMQEAAAALLTE4ODAyMjk2ODYDAAAAAzE2MAIAAAAFNDg5ODEEAAAAATAHAAAACDgvMi8yMDI2CAAAAAk2LzMwLzIwMjUJAAAAATDEoUVvLPDeCKKyqocs8N4INENJUS5OQVNEQVE6TVNGVC5JUV9UQlZfU0hBUkUuMTAwMC4wMi8wOC8yMDI2Li4uVVNELkgBAAAAS1UAAAIAAAAJNDAuOTQ4ODM1AQgAAAAFAAAAATEBAAAACy0xODgwMjI5NjY1AwAAAAMxNjACAAAABDQxNTYEAAAAATAHAAAACDgvMi8yMDI2CAAAAAk2LzMwLzIwMjYJAAAAATDEoUVvLPDeCKKyqocs8N4IPENJUS5OQVNEQVE6TVNGVC5JUV9UT1RBTF9ERUJUX0NVUlJFTlQuOTkyLjAyLzA4LzIwMjYuLi5VU0QuSAEAAABLVQAAAgAAAAQ1NTczAQgAAAAFAAAAATEBAAAACjIwNDcyNzE3NDUDAAAAAzE2MAIAAAAFMjUyMjMEAAAAATAHAAAACDgvMi8yMDI2CAAAAAk2LzMwLzIwMTgJAAAAATDEoUVvLPDeCL8Aq4cs8N4INUNJUS5OQVNEQVE6TVNGVC5JUV9XT1JLSU5HX0NBUC45OTMuMDIvMDgvMjAyNi4uLlVTRC5IAQAAAEtVAAACAAAABjEwNjEzMgEIAAAABQAAAAExAQAAAAstMjE0MDk4MTQ2OQMAAAADMTYwAgAAAAQ0MTY1BAAAAAEwBwAAAAg4LzIvMjAyNggAAAAJNi8zMC8yMDE5CQAAAAEwxKFFbyzw3gi/AKuHLPDeCDFDSVEuTkFTREFROk1TRlQuSVFfUkFX</t>
  </si>
  <si>
    <t>X0lOVi45OTkuMDIvMDgvMjAyNi4uLlVTRC5IAQAAAEtVAAADAAAAAADEoUVvLPDeCLfZqocs8N4ILkNJUS5OQVNEQVE6TVNGVC5JUV9MQU5ELjk5Ny4wMi8wOC8yMDI2Li4uVVNELkgBAAAAS1UAAAIAAAAENTY4MwEIAAAABQAAAAExAQAAAAstMTkzNDI1NDI1MAMAAAADMTYwAgAAAAQzMDk4BAAAAAEwBwAAAAg4LzIvMjAyNggAAAAJNi8zMC8yMDIzCQAAAAEwxKFFbyzw3gi32aqHLPDeCD1DSVEuTkFTREFROk1TRlQuSVFfTUlOT1JJVFlfSU5UX1JFREVFTS45OTguMDIvMDgvMjAyNi4uLlVTRC5IAQAAAEtVAAADAAAAAADEoUVvLPDeCLfZqocs8N4ISENJUS5OQVNEQVE6TVNGVC5JUV9UT1RBTF9HRU5FUkFMX1BBUlRORVJfSU5URVJFU1QuOTk2LjAyLzA4LzIwMjYuLi5VU0QuSAEAAABLVQAAAwAAAAAAxKFFbyzw3gjcJ6uHLPDeCD1DSVEuTkFTREFROk1TRlQuSVFfTElBQklMSVRJRVNfTEVWRUxfMS45OTQuMDIvMDgvMjAyNi4uLlVTRC5IAQAAAEtVAAADAAAAAADEoUVvLPDeCNwnq4cs8N4IRUNJUS5OQVNEQVE6TVNGVC5JUV9SRVNUUklDVEVEX0NBU0hfTk9OX0NVUlJFTlQuOTk4LjAyLzA4LzIwMjYuLi5VU0QuSAEAAABLVQAAAwAAAAAAxKFFbyzw3gi32aqHLPDeCDlDSVEuTkFTREFROk1TRlQuSVFfSU5URVJDT01QQU5ZX0NBLjk5My4wMi8wOC8yMDI2Li4uVVNELkgBAAAAS1UAAAMAAAAAAMSh</t>
  </si>
  <si>
    <t>RW8s8N4IvwCrhyzw3gg5Q0lRLk5BU0RBUTpNU0ZULklRX0VCSVREQV9FWENMX1NCQy45OTkuMDIvMDgvMjAyNi4uLlVTRC5IAQAAAEtVAAACAAAABjE2ODUwMgEIAAAABQAAAAExAQAAAAstMTg4MDIyOTY4NgMAAAADMTYwAgAAAAUyNDEzNQQAAAABMAcAAAAIOC8yLzIwMjYIAAAACTYvMzAvMjAyNQkAAAABMMShRW8s8N4IvwCrhyzw3ghLQ0lRLk5BU0RBUTpNU0ZULklRX0VCSVREQV9FUV9JTkNfRVhDTF9PUEVSX0xFQVNFX0FESi45OTYuMDIvMDgvMjAyNi4uLlVTRC5IAQAAAEtVAAACAAAABTk3OTUxAQgAAAAFAAAAATEBAAAACy0xOTg1OTMxMjI0AwAAAAMxNjACAAAABTQ4OTg3BAAAAAEwBwAAAAg4LzIvMjAyNggAAAAJNi8zMC8yMDIyCQAAAAEwxKFFbyzw3gjcJ6uHLPDeCDVDSVEuTkFTREFROk1TRlQuSVFfRUJJVF9FUV9JTkMuOTk4LjAyLzA4LzIwMjYuLi5VU0QuSAEAAABLVQAAAgAAAAYxMDgxMTQBCAAAAAUAAAABMQEAAAALLTE4ODAyMjk2OTQDAAAAAzE2MAIAAAAFMjE2NzUEAAAAATAHAAAACDgvMi8yMDI2CAAAAAk2LzMwLzIwMjQJAAAAATDEoUVvLPDeCNwnq4cs8N4IOENJUS5OQVNEQVE6TVNGVC5JUV9FQklUX0VYQ0xfU0JDLjEwMDAuMDIvMDgvMjAyNi4uLlVTRC5IAQAAAEtVAAACAAAABjE2NzY0MgEIAAAABQAAAAExAQAAAAstMTg4MDIyOTY2NQMAAAADMTYwAgAAAAUyNDEzNAQA</t>
  </si>
  <si>
    <t>AAABMAcAAAAIOC8yLzIwMjYIAAAACTYvMzAvMjAyNgkAAAABMMShRW8s8N4IvwCrhyzw3gg/Q0lRLk5BU0RBUTpNU0ZULklRX0VCSVRBX0VRX0lOQ19FWENMX1NCQy45OTcuMDIvMDgvMjAyNi4uLlVTRC5IAQAAAEtVAAACAAAABjEwMDYzNAEIAAAABQAAAAExAQAAAAstMTkzNDI1NDI1MAMAAAADMTYwAgAAAAUyNDEzMgQAAAABMAcAAAAIOC8yLzIwMjYIAAAACTYvMzAvMjAyMwkAAAABMMShRW8s8N4IvwCrhyzw3ggxQ0lRLk5BU0RBUTpNU0ZULklRX0VCSVREQVIuOTk5LjAyLzA4LzIwMjYuLi5VU0QuSAEAAABLVQAAAgAAAAYxNjIwNTIBCAAAAAUAAAABMQEAAAALLTE4ODAyMjk2ODYDAAAAAzE2MAIAAAAFMjE2NzQEAAAAATAHAAAACDgvMi8yMDI2CAAAAAk2LzMwLzIwMjUJAAAAATDEoUVvLPDeCL8Aq4cs8N4IOkNJUS5OQVNEQVE6TVNGVC5JUV9FQklUREFSX0VYQ0xfU0JDLjk5Ni4wMi8wOC8yMDI2Li4uVVNELkgBAAAAS1UAAAIAAAAGMTA3OTQ2AQgAAAAFAAAAATEBAAAACy0xOTg1OTMxMjI0AwAAAAMxNjACAAAABTI0MTM3BAAAAAEwBwAAAAg4LzIvMjAyNggAAAAJNi8zMC8yMDIyCQAAAAEwxKFFbyzw3gjkTquHLPDeCDtDSVEuTkFTREFROk1TRlQuSVFfRkVFU19PVEhFUl9JTkNPTUUuOTk4LjAyLzA4LzIwMjYuLi5VU0QuSAEAAABLVQAAAwAAAAAAxKFFbyzw3gjkTquHLPDeCDxDSVEuTkFT</t>
  </si>
  <si>
    <t>REFROk1TRlQuSVFfQVNfUkVQT1JURURfRUJJVERBLjk5Ni4wMi8wOC8yMDI2Li4uVVNELkgBAAAAS1UAAAMAAAAAAMShRW8s8N4I3Cerhyzw3ggyQ0lRLk5BU0RBUTpNU0ZULklRX05JX1NGQVMuMTAwMC4wMi8wOC8yMDI2Li4uVVNELkgBAAAAS1UAAAMAAAAAAMShRW8s8N4I3Cerhyzw3gg7Q0lRLk5BU0RBUTpNU0ZULklRX0lOVkVTVE1FTlRfSU5DT01FLjk5NS4wMi8wOC8yMDI2Li4uVVNELkgBAAAAS1UAAAMAAAAAAMShRW8s8N4I3Cerhyzw3gg9Q0lRLk5BU0RBUTpNU0ZULklRX0NVUlJfRE9NRVNUSUNfVEFYRVMuOTk5LjAyLzA4LzIwMjYuLi5VU0QuSAEAAABLVQAAAgAAAAUxNzQyOAEIAAAABQAAAAExAQAAAAstMTg4MDIyOTY4NgMAAAADMTYwAgAAAAQzMDI3BAAAAAEwBwAAAAg4LzIvMjAyNggAAAAJNi8zMC8yMDI1CQAAAAEwxKFFbyzw3gj5dauHLPDeCEFDSVEuTkFTREFROk1TRlQuSVFfREVGRVJSRURfRE9NRVNUSUNfVEFYRVMuOTkyLjAyLzA4LzIwMjYuLi5VU0QuSAEAAABLVQAAAgAAAAUtNDc1MAEIAAAABQAAAAExAQAAAAoyMDQ3MjcxNzQ1AwAAAAMxNjACAAAABDMwNTQEAAAAATAHAAAACDgvMi8yMDI2CAAAAAk2LzMwLzIwMTgJAAAAATDEoUVvLPDeCPl1q4cs8N4IQENJUS5OQVNEQVE6TVNGVC5JUV9ERUZFUlJFRF9GT1JFSUdOX1RBWEVTLjk5Ni4wMi8wOC8yMDI2Li4uVVNELkgB</t>
  </si>
  <si>
    <t>AAAAS1UAAAIAAAADMTc1AQgAAAAFAAAAATEBAAAACy0xOTg1OTMxMjI0AwAAAAMxNjACAAAABDMwNTUEAAAAATAHAAAACDgvMi8yMDI2CAAAAAk2LzMwLzIwMjIJAAAAATDEoUVvLPDeCOROq4cs8N4IMkNJUS5OQVNEQVE6TVNGVC5JUV9OSV9OT1JNLjEwMDAuMDIvMDgvMjAyNi4uLlVTRC5IAQAAAEtVAAACAAAACTk5ODAzLjEyNQEIAAAABQAAAAExAQAAAAstMTg4MDIyOTY2NQMAAAADMTYwAgAAAAQ0Mzc4BAAAAAEwBwAAAAg4LzIvMjAyNggAAAAJNi8zMC8yMDI2CQAAAAEwxKFFbyzw3gjkTquHLPDeCDVDSVEuTkFTREFROk1TRlQuSVFfSU5UX0VYUF9MVEQuOTkzLjAyLzA4LzIwMjYuLi5VU0QuSAEAAABLVQAAAgAAAAMyNDcBCAAAAAUAAAABMQEAAAALLTIxNDA5ODE0NjkDAAAAAzE2MAIAAAAEMzEwMQQAAAABMAcAAAAIOC8yLzIwMjYIAAAACTYvMzAvMjAxOQkAAAABMMShRW8s8N4I5E6rhyzw3gg9Q0lRLk5BU0RBUTpNU0ZULklRX05PTkNBU0hfUEVOU0lPTl9FWFAuOTk3LjAyLzA4LzIwMjYuLi5VU0QuSAEAAABLVQAAAwAAAAAAxKFFbyzw3gj5dauHLPDeCDxDSVEuTkFTREFROk1TRlQuSVFfRElTVFJJQlVUQUJMRV9DQVNILjk5Mi4wMi8wOC8yMDI2Li4uVVNELkgBAAAAS1UAAAMAAAAAAMShRW8s8N4I+XWrhyzw3ghAQ0lRLk5BU0RBUTpNU0ZULklRX0FOTlVfRElTVFJJQlVUSU9OX1VOSVQu</t>
  </si>
  <si>
    <t>OTk0LjAyLzA4LzIwMjYuLi5VU0QuSAEAAABLVQAAAwAAAAAAxKFFbyzw3gjkTquHLPDeCDVDSVEuTkFTREFROk1TRlQuSVFfQURWRVJUSVNJTkcuOTkzLjAyLzA4LzIwMjYuLi5VU0QuSAEAAABLVQAAAgAAAAQxNjAwAQgAAAAFAAAAATEBAAAACy0yMTQwOTgxNDY5AwAAAAMxNjACAAAABDMwMTMEAAAAATAHAAAACDgvMi8yMDI2CAAAAAk2LzMwLzIwMTkJAAAAATDEoUVvLPDeCOROq4cs8N4IOUNJUS5OQVNEQVE6TVNGVC5JUV9TQUxFU19NQVJLRVRJTkcuOTk0LjAyLzA4LzIwMjYuLi5VU0QuSAEAAABLVQAAAgAAAAUxOTU5OAEIAAAABQAAAAExAQAAAAstMjA4NzQ5NjYyNwMAAAADMTYwAgAAAAUyMTU2MQQAAAABMAcAAAAIOC8yLzIwMjYIAAAACTYvMzAvMjAyMAkAAAABMMShRW8s8N4I5E6rhyzw3gg7Q0lRLk5BU0RBUTpNU0ZULklRX05FVF9SRU5UQUxfRVhQX0ZOLjk5Mi4wMi8wOC8yMDI2Li4uVVNELkgBAAAAS1UAAAIAAAAEMTU4NQEIAAAABQAAAAExAQAAAAoyMDQ3MjcxNzQ1AwAAAAMxNjACAAAABDMxNzAEAAAAATAHAAAACDgvMi8yMDI2CAAAAAk2LzMwLzIwMTgJAAAAATDEoUVvLPDeCAydq4cs8N4IP0NJUS5OQVNEQVE6TVNGVC5JUV9ORVRfUkVOVEFMX0VYUF9TVVBQTEUuOTkzLjAyLzA4LzIwMjYuLi5VU0QuSAEAAABLVQAAAgAAAAQxNzA3AQgAAAAFAAAAATEBAAAACy0yMTQwOTgxNDY5</t>
  </si>
  <si>
    <t>AwAAAAMxNjACAAAABTI0MjYzBAAAAAEwBwAAAAg4LzIvMjAyNggAAAAJNi8zMC8yMDE5CQAAAAEwxKFFbyzw3ggMnauHLPDeCDhDSVEuTkFTREFROk1TRlQuSVFfTUlOSU1VTV9SRU5UQUwuOTk1LjAyLzA4LzIwMjYuLi5VU0QuSAEAAABLVQAAAwAAAAAAxKFFbyzw3gj5dauHLPDeCERDSVEuTkFTREFROk1TRlQuSVFfREVQUkVDSUFUSU9OX1JFTlRBTF9BU1NFVFMuOTkyLjAyLzA4LzIwMjYuLi5VU0QuSAEAAABLVQAAAwAAAAAAxKFFbyzw3gj5dauHLPDeCDZDSVEuTkFTREFROk1TRlQuSVFfTUFJTlRfUkVQQUlSLjk5NC4wMi8wOC8yMDI2Li4uVVNELkgBAAAAS1UAAAMAAAAAAMShRW8s8N4I+XWrhyzw3ghCQ0lRLk5BU0RBUTpNU0ZULklRX1NBTEFSSUVTX09USEVSX0JFTkVGSVRTLjEwMDAuMDIvMDgvMjAyNi4uLlVTRC5IAQAAAEtVAAADAAAAAADEoUVvLPDeCNzNq4cs8N4IN0NJUS5OQVNEQVE6TVNGVC5JUV9NRVJHRVJfU1VQUExFLjk5My4wMi8wOC8yMDI2Li4uVVNELkgBAAAAS1UAAAMAAAAAAMShRW8s8N4I3M2rhyzw3ghAQ0lRLk5BU0RBUTpNU0ZULklRX0FTU0VUX1dSSVRFRE9XTl9TVVBQTEUuOTk1LjAyLzA4LzIwMjYuLi5VU0QuSAEAAABLVQAAAwAAAAAAxKFFbyzw3ggMnauHLPDeCEJDSVEuTkFTREFROk1TRlQuSVFfR0FJTl9CQVJHQUlOX0FDUV9TVVBQTEUuMTAwMC4wMi8wOC8yMDI2</t>
  </si>
  <si>
    <t>Li4uVVNELkgBAAAAS1UAAAMAAAAAAMShRW8s8N4IDJ2rhyzw3gg9Q0lRLk5BU0RBUTpNU0ZULklRX0xFR0FMX1NFVFRMRV9TVVBQTEUuOTk0LjAyLzA4LzIwMjYuLi5VU0QuSAEAAABLVQAAAwAAAAAAxKFFbyzw3ggMnauHLPDeCDtDSVEuTkFTREFROk1TRlQuSVFfTkVHQVRJVkVfR1dfQU1PUlQuOTk5LjAyLzA4LzIwMjYuLi5VU0QuSAEAAABLVQAAAwAAAAAAxKFFbyzw3ggn9auHLPDeCDtDSVEuTkFTREFROk1TRlQuSVFfU1RPQ0tfQkFTRURfQ09HUy4xMDAwLjAyLzA4LzIwMjYuLi5VU0QuSAEAAABLVQAAAwAAAAAAxKFFbyzw3ggn9auHLPDeCDhDSVEuTkFTREFROk1TRlQuSVFfU1RPQ0tfQkFTRURfU00uOTk1LjAyLzA4LzIwMjYuLi5VU0QuSAEAAABLVQAAAwAAAAAAxKFFbyzw3ggMnauHLPDeCENDSVEuTkFTREFROk1TRlQuSVFfU1RPQ0tfQkFTRURfRVhQTE9SRV9EUklMTC45OTkuMDIvMDgvMjAyNi4uLlVTRC5IAQAAAEtVAAADAAAAAADEoUVvLPDeCNzNq4cs8N4IO0NJUS5OQVNEQVE6TVNGVC5JUV9TVE9DS19CQVNFRF9UT1RBTC45OTIuMDIvMDgvMjAyNi4uLlVTRC5IAQAAAEtVAAACAAAABDM5NDABCAAAAAUAAAABMQEAAAAKMjA0NzI3MTc0NQMAAAADMTYwAgAAAAUyNDAzNAQAAAABMAcAAAAIOC8yLzIwMjYIAAAACTYvMzAvMjAxOAkAAAABMMShRW8s8N4I3M2rhyzw3gg6Q0lRLk5BU0RB</t>
  </si>
  <si>
    <t>UTpNU0ZULklRX1JFU1RSX1NUT0NLX0NPTVAuOTk2LjAyLzA4LzIwMjYuLi5VU0QuSAEAAABLVQAAAwAAAAAAxKFFbyzw3ggn9auHLPDeCERDSVEuTkFTREFROk1TRlQuSVFfU1RPQ0tfT1BUSU9OU19DT01QX1BSRVRBWC4xMDAwLjAyLzA4LzIwMjYuLi5VU0QuSAEAAABLVQAAAwAAAAAAxKFFbyzw3ggvHKyHLPDeCEFDSVEuTkFTREFROk1TRlQuSVFfU1RPQ0tfQkFTRURfQ09NUF9QUkVUQVguOTkzLjAyLzA4LzIwMjYuLi5VU0QuSAEAAABLVQAAAgAAAAQ0NjUyAKt6RW8s8N4I3M2rhyzw3ggvQ0lRLk5BU0RBUTpNU0ZULklRX05JX0NGLjk5Ny4wMi8wOC8yMDI2Li4uVVNELkgBAAAAS1UAAAIAAAAFNzIzNjEBCAAAAAUAAAABMQEAAAALLTE5MzQyNTQyNTADAAAAAzE2MAIAAAAEMjE1MAQAAAABMAcAAAAIOC8yLzIwMjYIAAAACTYvMzAvMjAyMwkAAAABMKt6RW8s8N4I3M2rhyzw3gg7Q0lRLk5BU0RBUTpNU0ZULklRX0dXX0lOVEFOX0FNT1JUX0NGLjk5Mi4wMi8wOC8yMDI2Li4uVVNELkgBAAAAS1UAAAIAAAAEMjIwMAEIAAAABQAAAAExAQAAAAoyMDQ3MjcxNzQ1AwAAAAMxNjACAAAABDIxODIEAAAAATAHAAAACDgvMi8yMDI2CAAAAAk2LzMwLzIwMTgJAAAAATCrekVvLPDeCCf1q4cs8N4INUNJUS5OQVNEQVE6TVNGVC5JUV9PVEhFUl9BTU9SVC45OTYuMDIvMDgvMjAyNi4uLlVTRC5IAQAAAEtVAAAD</t>
  </si>
  <si>
    <t>AAAAAACrekVvLPDeCC8crIcs8N4IOENJUS5OQVNEQVE6TVNGVC5JUV9HQUlOX0FTU0VUU19DRi45OTguMDIvMDgvMjAyNi4uLlVTRC5IAQAAAEtVAAADAAAAAACrekVvLPDeCC8crIcs8N4IPENJUS5OQVNEQVE6TVNGVC5JUV9BU1NFVF9XUklURURPV05fQ0YuOTkyLjAyLzA4LzIwMjYuLi5VU0QuSAEAAABLVQAAAwAAAAAAq3pFbyzw3ggn9auHLPDeCDdDSVEuTkFTREFROk1TRlQuSVFfSU5DX0VRVUlUWV9DRi45OTcuMDIvMDgvMjAyNi4uLlVTRC5IAQAAAEtVAAADAAAAAACrekVvLPDeCCf1q4cs8N4IPUNJUS5OQVNEQVE6TVNGVC5JUV9UQVhfQkVORUZJVF9PUFRJT05TLjk5OS4wMi8wOC8yMDI2Li4uVVNELkgBAAAAS1UAAAMAAAAAAKt6RW8s8N4IJ/Wrhyzw3gg4Q0lRLk5BU0RBUTpNU0ZULklRX09USEVSX09QRVJfQUNULjk5Ni4wMi8wOC8yMDI2Li4uVVNELkgBAAAAS1UAAAIAAAAFLTU4NDIBCAAAAAUAAAABMQEAAAALLTE5ODU5MzEyMjQDAAAAAzE2MAIAAAAEMjA0NwQAAAABMAcAAAAIOC8yLzIwMjYIAAAACTYvMzAvMjAyMgkAAAABMKt6RW8s8N4ISkOshyzw3ggzQ0lRLk5BU0RBUTpNU0ZULklRX0NIQU5HRV9BUi45OTguMDIvMDgvMjAyNi4uLlVTRC5IAQAAAEtVAAACAAAABS03MTkxAQgAAAAFAAAAATEBAAAACy0xODgwMjI5Njk0AwAAAAMxNjACAAAABDIwMTgEAAAAATAHAAAACDgvMi8y</t>
  </si>
  <si>
    <t>MDI2CAAAAAk2LzMwLzIwMjQJAAAAATCrekVvLPDeCEpDrIcs8N4INENJUS5OQVNEQVE6TVNGVC5JUV9DSEFOR0VfQVAuMTAwMC4wMi8wOC8yMDI2Li4uVVNELkgBAAAAS1UAAAIAAAAENTI2OAEIAAAABQAAAAExAQAAAAstMTg4MDIyOTY2NQMAAAADMTYwAgAAAAQyMDE3BAAAAAEwBwAAAAg4LzIvMjAyNggAAAAJNi8zMC8yMDI2CQAAAAEwq3pFbyzw3ggvHKyHLPDeCDhDSVEuTkFTREFROk1TRlQuSVFfQ0hBTkdFX0RFRl9UQVguOTk3LjAyLzA4LzIwMjYuLi5VU0QuSAEAAABLVQAAAwAAAAAAq3pFbyzw3ggvHKyHLPDeCDNDSVEuTkFTREFROk1TRlQuSVFfQ0FTSF9PUEVSLjk5OS4wMi8wOC8yMDI2Li4uVVNELkgBAAAAS1UAAAIAAAAGMTM2MTYyAQgAAAAFAAAAATEBAAAACy0xODgwMjI5Njg2AwAAAAMxNjACAAAABDIwMDYEAAAAATAHAAAACDgvMi8yMDI2CAAAAAk2LzMwLzIwMjUJAAAAATCrekVvLPDeCC8crIcs8N4IOUNJUS5OQVNEQVE6TVNGVC5JUV9DQVNIX0FDUVVJUkVfQ0YuOTk2LjAyLzA4LzIwMjYuLi5VU0QuSAEAAABLVQAAAgAAAAYtMjIwMzgBCAAAAAUAAAABMQEAAAALLTE5ODU5MzEyMjQDAAAAAzE2MAIAAAAEMjA1NwQAAAABMAcAAAAIOC8yLzIwMjYIAAAACTYvMzAvMjAyMgkAAAABMKt6RW8s8N4IaGqshyzw3gg9Q0lRLk5BU0RBUTpNU0ZULklRX1NBTEVfUkVBTF9FU1RBVEVfQ0Yu</t>
  </si>
  <si>
    <t>OTk4LjAyLzA4LzIwMjYuLi5VU0QuSAEAAABLVQAAAwAAAAAAq3pFbyzw3ghoaqyHLPDeCDxDSVEuTkFTREFROk1TRlQuSVFfSU5WRVNUX1NFQ1VSSVRZX0NGLjk5OS4wMi8wOC8yMDI2Li4uVVNELkgBAAAAS1UAAAIAAAAFLTQzODcBCAAAAAUAAAABMQEAAAALLTE4ODAyMjk2ODYDAAAAAzE2MAIAAAAEMjAyNwQAAAABMAcAAAAIOC8yLzIwMjYIAAAACTYvMzAvMjAyNQkAAAABMKt6RW8s8N4ISkOshyzw3gg1Q0lRLk5BU0RBUTpNU0ZULklRX0NBU0hfSU5WRVNULjk5Ny4wMi8wOC8yMDI2Li4uVVNELkgBAAAAS1UAAAIAAAAGLTIyNjgwAQgAAAAFAAAAATEBAAAACy0xOTM0MjU0MjUwAwAAAAMxNjACAAAABDIwMDUEAAAAATAHAAAACDgvMi8yMDI2CAAAAAk2LzMwLzIwMjMJAAAAATCrekVvLPDeCEpDrIcs8N4IOENJUS5OQVNEQVE6TVNGVC5JUV9MVF9ERUJUX0lTU1VFRC45OTguMDIvMDgvMjAyNi4uLlVTRC5IAQAAAEtVAAACAAAABTI0Mzk1AQgAAAAFAAAAATEBAAAACy0xODgwMjI5Njk0AwAAAAMxNjACAAAABDIwMzQEAAAAATAHAAAACDgvMi8yMDI2CAAAAAk2LzMwLzIwMjQJAAAAATCrekVvLPDeCEpDrIcs8N4IOENJUS5OQVNEQVE6TVNGVC5JUV9MVF9ERUJUX1JFUEFJRC45OTYuMDIvMDgvMjAyNi4uLlVTRC5IAQAAAEtVAAACAAAABS05MDIzAQgAAAAFAAAAATEBAAAACy0xOTg1OTMxMjI0AwAA</t>
  </si>
  <si>
    <t>AAMxNjACAAAABDIwMzYEAAAAATAHAAAACDgvMi8yMDI2CAAAAAk2LzMwLzIwMjIJAAAAATCrekVvLPDeCGhqrIcs8N4IN0NJUS5OQVNEQVE6TVNGVC5JUV9DT01NT05fSVNTVUVELjk5Ny4wMi8wOC8yMDI2Li4uVVNELkgBAAAAS1UAAAIAAAAEMTg2NgEIAAAABQAAAAExAQAAAAstMTkzNDI1NDI1MAMAAAADMTYwAgAAAAQyMTY5BAAAAAEwBwAAAAg4LzIvMjAyNggAAAAJNi8zMC8yMDIzCQAAAAEwq3pFbyzw3ghoaqyHLPDeCDVDSVEuTkFTREFROk1TRlQuSVFfUFJFRl9JU1NVRUQuOTk4LjAyLzA4LzIwMjYuLi5VU0QuSAEAAABLVQAAAwAAAAAAq3pFbyzw3ghKQ6yHLPDeCDxDSVEuTkFTREFROk1TRlQuSVFfQ09NTU9OX1BSRUZfRElWX0NGLjk5NC4wMi8wOC8yMDI2Li4uVVNELkgBAAAAS1UAAAMAAAAAAKt6RW8s8N4ISkOshyzw3gg4Q0lRLk5BU0RBUTpNU0ZULklRX1NQRUNJQUxfRElWX0NGLjk5NS4wMi8wOC8yMDI2Li4uVVNELkgBAAAAS1UAAAMAAAAAAKt6RW8s8N4IaGqshyzw3ggsQ0lRLk5BU0RBUTpNU0ZULklRX0ZYLjk5My4wMi8wOC8yMDI2Li4uVVNELkgBAAAAS1UAAAIAAAAELTExNQEIAAAABQAAAAExAQAAAAstMjE0MDk4MTQ2OQMAAAADMTYwAgAAAAQyMTQ0BAAAAAEwBwAAAAg4LzIvMjAyNggAAAAJNi8zMC8yMDE5CQAAAAEwq3pFbyzw3ghHpayHLPDeCDRDSVEuTkFTREFROk1TRlQu</t>
  </si>
  <si>
    <t>SVFfTkVUX0NIQU5HRS45OTUuMDIvMDgvMjAyNi4uLlVTRC5IAQAAAEtVAAACAAAAAzY0OAEIAAAABQAAAAExAQAAAAstMjAzNjg0Mzg0MwMAAAADMTYwAgAAAAQyMDkzBAAAAAEwBwAAAAg4LzIvMjAyNggAAAAJNi8zMC8yMDIxCQAAAAEwq3pFbyzw3ghHpayHLPDeCDRDSVEuTkFTREFROk1TRlQuSVFfREVQUkVfU1VQUC45OTIuMDIvMDgvMjAyNi4uLlVTRC5IAQAAAEtVAAACAAAABDc3MDABCAAAAAUAAAABMQEAAAAKMjA0NzI3MTc0NQMAAAADMTYwAgAAAAQyMTQzBAAAAAEwBwAAAAg4LzIvMjAyNggAAAAJNi8zMC8yMDE4CQAAAAEwq3pFbyzw3ghoaqyHLPDeCDFDSVEuTkFTREFROk1TRlQuSVFfREVQX1JVQS45OTQuMDIvMDgvMjAyNi4uLlVTRC5IAQAAAEtVAAADAAAAAACrekVvLPDeCGhqrIcs8N4IPkNJUS5OQVNEQVE6TVNGVC5JUV9ORUdBVElWRV9HV19BTU9SVF9DRi45OTMuMDIvMDgvMjAyNi4uLlVTRC5IAQAAAEtVAAADAAAAAACrekVvLPDeCGhqrIcs8N4IRUNJUS5OQVNEQVE6TVNGVC5JUV9TQUxFX1BST0NFRURTX1JFTlRBTF9BU1NFVFMuOTkyLjAyLzA4LzIwMjYuLi5VU0QuSAEAAABLVQAAAwAAAAAAq3pFbyzw3ghHpayHLPDeCDtDSVEuTkFTREFROk1TRlQuSVFfQ0FTSF9JTlRFUkVTVF9ORVQuOTk2LjAyLzA4LzIwMjYuLi5VU0QuSAEAAABLVQAAAwAAAAAAq3pFbyzw3ghHpayHLPDe</t>
  </si>
  <si>
    <t>CD5DSVEuTkFTREFROk1TRlQuSVFfQ0FTSF9JTlRFUkVTVF9JTlZFU1QuOTk2LjAyLzA4LzIwMjYuLi5VU0QuSAEAAABLVQAAAwAAAAAAq3pFbyzw3ghoaqyHLPDeCDRDSVEuTkFTREFROk1TRlQuSVFfQ0FTSF9UQVhFUy45OTguMDIvMDgvMjAyNi4uLlVTRC5IAQAAAEtVAAACAAAABTIzNDAwAQgAAAAFAAAAATEBAAAACy0xODgwMjI5Njk0AwAAAAMxNjACAAAABDMwNTMEAAAAATAHAAAACDgvMi8yMDI2CAAAAAk2LzMwLzIwMjQJAAAAATCrekVvLPDeCGhqrIcs8N4IOkNJUS5OQVNEQVE6TVNGVC5JUV9DQVNIX1RBWEVTX0ZJTkFOLjk5OC4wMi8wOC8yMDI2Li4uVVNELkgBAAAAS1UAAAMAAAAAAKt6RW8s8N4IR6Wshyzw3gg1Q0lRLk5BU0RBUTpNU0ZULklRX0xFVkVSRURfRkNGLjk5OC4wMi8wOC8yMDI2Li4uVVNELkgBAAAAS1UAAAIAAAAINTY3MDUuMjUBCAAAAAUAAAABMQEAAAALLTE4ODAyMjk2OTQDAAAAAzE2MAIAAAAENDQyMgQAAAABMAcAAAAIOC8yLzIwMjYIAAAACTYvMzAvMjAyNAkAAAABMKt6RW8s8N4IsMyshyzw3gg5Q0lRLk5BU0RBUTpNU0ZULklRX05FVF9ERUJUX0lTU1VFRC45OTcuMDIvMDgvMjAyNi4uLlVTRC5IAQAAAEtVAAACAAAABS0yNzUwAQgAAAAFAAAAATEBAAAACy0xOTM0MjU0MjUwAwAAAAMxNjACAAAABDIwMDMEAAAAATAHAAAACDgvMi8yMDI2CAAAAAk2LzMwLzIwMjMJ</t>
  </si>
  <si>
    <t>AAAAATCrekVvLPDeCLDMrIcs8N4INkNJUS5OQVNEQVE6TVNGVC5JUV9ET19JTlZFU1RfQ0YuOTkyLjAyLzA4LzIwMjYuLi5VU0QuSAEAAABLVQAAAwAAAAAAq3pFbyzw3ghHpayHLPDeCEVDSVEuTkFTREFROk1TRlQuSVFfT1BFUkFUSU5HX0xFQVNFX0xJQUJJTElUSUVTLjk5My4wMi8wOC8yMDI2Li4uVVNELkgBAAAAS1UAAAMAAAAAAKt6RW8s8N4IR6Wshyzw3ghHQ0lRLk5BU0RBUTpNU0ZULklRX1RPVEFMX0RFQlRfUkVQQUlEX0VYQ0xfTEVBU0VTLjk5My4wMi8wOC8yMDI2Li4uVVNELkgBAAAAS1UAAAIAAAAFLTQwMDABCAAAAAUAAAABMQEAAAALLTIxNDA5ODE0NjkDAAAAAzE2MAIAAAAFNDg5ODYEAAAAATAHAAAACDgvMi8yMDI2CAAAAAk2LzMwLzIwMTkJAAAAATCrekVvLPDeCEelrIcs8N4INENJUS5OQVNEQVE6TVNGVC5JUV9DQVNIX0VRVUlWLjk5Ny4wMi8wOC8yMDI2Li4uVVNELkgBAAAAS1UAAAIAAAAFMzQ3MDQBCAAAAAUAAAABMQEAAAALLTE5MzQyNTQyNTADAAAAAzE2MAIAAAAEMTA5NgQAAAABMAcAAAAIOC8yLzIwMjYIAAAACTYvMzAvMjAyMwkAAAABMKt6RW8s8N4IvvOshyzw3gg4Q0lRLk5BU0RBUTpNU0ZULklRX0NBU0hfU1RfSU5WRVNULjk5Ny4wMi8wOC8yMDI2Li4uVVNELkgBAAAAS1UAAAIAAAAGMTExMjU2AQgAAAAFAAAAATEBAAAACy0xOTM0MjU0MjUwAwAAAAMxNjACAAAA</t>
  </si>
  <si>
    <t>BDEwMDIEAAAAATAHAAAACDgvMi8yMDI2CAAAAAk2LzMwLzIwMjMJAAAAATCrekVvLPDeCL7zrIcs8N4IOENJUS5OQVNEQVE6TVNGVC5JUV9TVF9OT1RFX1JFQ0VJVi45OTguMDIvMDgvMjAyNi4uLlVTRC5IAQAAAEtVAAADAAAAAACrekVvLPDeCLDMrIcs8N4INUNJUS5OQVNEQVE6TVNGVC5JUV9QUkVQQUlEX0VYUC45OTguMDIvMDgvMjAyNi4uLlVTRC5IAQAAAEtVAAADAAAAAACrekVvLPDeCLDMrIcs8N4IQUNJUS5OQVNEQVE6TVNGVC5JUV9GSU5fRElWX0FTU0VUU19DVVJSRU5ULjEwMDAuMDIvMDgvMjAyNi4uLlVTRC5IAQAAAEtVAAADAAAAAACrekVvLPDeCLDMrIcs8N4IOkNJUS5OQVNEQVE6TVNGVC5JUV9SRVNUUklDVEVEX0NBU0guMTAwMC4wMi8wOC8yMDI2Li4uVVNELkgBAAAAS1UAAAMAAAAAAKt6RW8s8N4IvvOshyzw3gguQ0lRLk5BU0RBUTpNU0ZULklRX0dQUEUuOTk0LjAyLzA4LzIwMjYuLi5VU0QuSAEAAABLVQAAAgAAAAU5NjEwMQEIAAAABQAAAAExAQAAAAstMjA4NzQ5NjYyNwMAAAADMTYwAgAAAAQxMTY5BAAAAAEwBwAAAAg4LzIvMjAyNggAAAAJNi8zMC8yMDIwCQAAAAEwq3pFbyzw3gi+86yHLPDeCDNDSVEuTkFTREFROk1TRlQuSVFfTFRfSU5WRVNULjk5NC4wMi8wOC8yMDI2Li4uVVNELkgBAAAAS1UAAAIAAAAEMjk2NQEIAAAABQAAAAExAQAAAAstMjA4NzQ5NjYyNwMAAAAD</t>
  </si>
  <si>
    <t>MTYwAgAAAAQxMDU0BAAAAAEwBwAAAAg4LzIvMjAyNggAAAAJNi8zMC8yMDIwCQAAAAEwq3pFbyzw3giwzKyHLPDeCDpDSVEuTkFTREFROk1TRlQuSVFfRklOX0RJVl9MT0FOU19MVC45OTYuMDIvMDgvMjAyNi4uLlVTRC5IAQAAAEtVAAADAAAAAACrekVvLPDeCLDMrIcs8N4IOUNJUS5OQVNEQVE6TVNGVC5JUV9MT0FOU19SRUNFSVZfTFQuOTk2LjAyLzA4LzIwMjYuLi5VU0QuSAEAAABLVQAAAwAAAAAAq3pFbyzw3gi+86yHLPDeCDlDSVEuTkFTREFROk1TRlQuSVFfT1RIRVJfTFRfQVNTRVRTLjk5Ni4wMi8wOC8yMDI2Li4uVVNELkgBAAAAS1UAAAIAAAAENDU4MgEIAAAABQAAAAExAQAAAAstMTk4NTkzMTIyNAMAAAADMTYwAgAAAAQxMDYwBAAAAAEwBwAAAAg4LzIvMjAyNggAAAAJNi8zMC8yMDIyCQAAAAEwq3pFbyzw3giZLq2HLPDeCCxDSVEuTkFTREFROk1TRlQuSVFfQUUuOTk2LjAyLzA4LzIwMjYuLi5VU0QuSAEAAABLVQAAAgAAAAUxMDY2MQEIAAAABQAAAAExAQAAAAstMTk4NTkzMTIyNAMAAAADMTYwAgAAAAQxMDE2BAAAAAEwBwAAAAg4LzIvMjAyNggAAAAJNi8zMC8yMDIyCQAAAAEwq3pFbyzw3giZLq2HLPDeCDtDSVEuTkFTREFROk1TRlQuSVFfQ1VSUkVOVF9QT1JUX0RFQlQuOTk5LjAyLzA4LzIwMjYuLi5VU0QuSAEAAABLVQAAAgAAAAQyOTk5AQgAAAAFAAAAATEBAAAACy0xODgwMjI5</t>
  </si>
  <si>
    <t>Njg2AwAAAAMxNjACAAAABDEyOTcEAAAAATAHAAAACDgvMi8yMDI2CAAAAAk2LzMwLzIwMjUJAAAAATCrekVvLPDeCL7zrIcs8N4IP0NJUS5OQVNEQVE6TVNGVC5JUV9GSU5fRElWX0xJQUJfQ1VSUkVOVC4xMDAwLjAyLzA4LzIwMjYuLi5VU0QuSAEAAABLVQAAAwAAAAAAq3pFbyzw3gi+86yHLPDeCD5DSVEuTkFTREFROk1TRlQuSVFfREVGX1RBWF9MSUFCX0NVUlJFTlQuOTkzLjAyLzA4LzIwMjYuLi5VU0QuSAEAAABLVQAAAwAAAAAAq3pFbyzw3gi+86yHLPDeCDJDSVEuTkFTREFROk1TRlQuSVFfVE9UQUxfQ0wuOTk4LjAyLzA4LzIwMjYuLi5VU0QuSAEAAABLVQAAAgAAAAYxMjUyODYBCAAAAAUAAAABMQEAAAALLTE4ODAyMjk2OTQDAAAAAzE2MAIAAAAEMTAwOQQAAAABMAcAAAAIOC8yLzIwMjYIAAAACTYvMzAvMjAyNAkAAAABMKt6RW8s8N4ImS6thyzw3gg3Q0lRLk5BU0RBUTpNU0ZULklRX1VORUFSTl9SRVZfTFQuOTk2LjAyLzA4LzIwMjYuLi5VU0QuSAEAAABLVQAAAgAAAAQyODcwAQgAAAAFAAAAATEBAAAACy0xOTg1OTMxMjI0AwAAAAMxNjACAAAABDEyNTYEAAAAATAHAAAACDgvMi8yMDI2CAAAAAk2LzMwLzIwMjIJAAAAATCrekVvLPDeCJkurYcs8N4IOENJUS5OQVNEQVE6TVNGVC5JUV9PVEhFUl9MSUFCX0xULjEwMDAuMDIvMDgvMjAyNi4uLlVTRC5IAQAAAEtVAAACAAAABTMxNDYwAQgA</t>
  </si>
  <si>
    <t>AAAFAAAAATEBAAAACy0xODgwMjI5NjY1AwAAAAMxNjACAAAABDEwNjIEAAAAATAHAAAACDgvMi8yMDI2CAAAAAk2LzMwLzIwMjYJAAAAATCrekVvLPDeCL7zrIcs8N4INkNJUS5OQVNEQVE6TVNGVC5JUV9QUkVGX0NPTlZFUlQuOTk4LjAyLzA4LzIwMjYuLi5VU0QuSAEAAABLVQAAAwAAAAAAq3pFbyzw3gi+86yHLPDeCDBDSVEuTkFTREFROk1TRlQuSVFfQ09NTU9OLjk5NS4wMi8wOC8yMDI2Li4uVVNELkgBAAAAS1UAAAIAAAAFODMxMTEBCAAAAAUAAAABMQEAAAALLTIwMzY4NDM4NDMDAAAAAzE2MAIAAAAEMTEwMwQAAAABMAcAAAAIOC8yLzIwMjYIAAAACTYvMzAvMjAyMQkAAAABMKt6RW8s8N4IvvOshyzw3gg9Q0lRLk5BU0RBUTpNU0ZULklRX1RPVEFMX0NPTU1PTl9FUVVJVFkuOTk2LjAyLzA4LzIwMjYuLi5VU0QuSAEAAABLVQAAAgAAAAYxNjY1NDIBCAAAAAUAAAABMQEAAAALLTE5ODU5MzEyMjQDAAAAAzE2MAIAAAAEMTAwNgQAAAABMAcAAAAIOC8yLzIwMjYIAAAACTYvMzAvMjAyMgkAAAABMKt6RW8s8N4I/lWthyzw3gg7Q0lRLk5BU0RBUTpNU0ZULklRX1RPVEFMX0xJQUJfRVFVSVRZLjk5My4wMi8wOC8yMDI2Li4uVVNELkgBAAAAS1UAAAIAAAAGMjg2NTU2AQgAAAAFAAAAATEBAAAACy0yMTQwOTgxNDY5AwAAAAMxNjACAAAABDEwMTMEAAAAATAHAAAACDgvMi8yMDI2CAAAAAk2LzMwLzIw</t>
  </si>
  <si>
    <t>MTkJAAAAATCrekVvLPDeCP5VrYcs8N4IQUNJUS5OQVNEQVE6TVNGVC5JUV9SVUFfQ0FQSVRBTF9MRUFTRV9HUk9TUy45OTIuMDIvMDgvMjAyNi4uLlVTRC5IAQAAAEtVAAADAAAAAACrekVvLPDeCJkurYcs8N4IR0NJUS5OQVNEQVE6TVNGVC5JUV9SVUFfT1BFUkFUSU5HX0xFQVNFX0FDQ1VNX0RFUC45OTkuMDIvMDgvMjAyNi4uLlVTRC5IAQAAAEtVAAADAAAAAACrekVvLPDeCJkurYcs8N4IP0NJUS5OQVNEQVE6TVNGVC5JUV9OUFBFX0VYQ0xfT1BFUl9MRUFTRVMuOTkzLjAyLzA4LzIwMjYuLi5VU0QuSAEAAABLVQAAAgAAAAUzNjQ3NwEIAAAABQAAAAExAQAAAAstMjE0MDk4MTQ2OQMAAAADMTYwAgAAAAU0ODk3NgQAAAABMAcAAAAIOC8yLzIwMjYIAAAACTYvMzAvMjAxOQkAAAABMKt6RW8s8N4ImS6thyzw3ghQQ0lRLk5BU0RBUTpNU0ZULklRX0NVUlJFTlRfUE9SVElPTl9PUEVSX0xFQVNFX0xJQUJJTElUSUVTLjk5NS4wMi8wOC8yMDI2Li4uVVNELkgBAAAAS1UAAAIAAAAEMTk2MgEIAAAABQAAAAExAQAAAAstMjAzNjg0Mzg0MwMAAAADMTYwAgAAAAU0ODM4NQQAAAABMAcAAAAIOC8yLzIwMjYIAAAACTYvMzAvMjAyMQkAAAABMKt6RW8s8N4ICX2thyzw3ghFQ0lRLk5BU0RBUTpNU0ZULklRX1RPVEFMX0RFQlRfRVhDTF9PUEVSX0xFQVNFUy45OTIuMDIvMDgvMjAyNi4uLlVTRC5IAQAAAEtVAAAC</t>
  </si>
  <si>
    <t>AAAABTgwNTQxAQgAAAAFAAAAATEBAAAACjIwNDcyNzE3NDUDAAAAAzE2MAIAAAAFNDg5ODIEAAAAATAHAAAACDgvMi8yMDI2CAAAAAk2LzMwLzIwMTgJAAAAATCrekVvLPDeCAl9rYcs8N4IPENJUS5OQVNEQVE6TVNGVC5JUV9UQlZfU0hBUkVfUkVQT1JURUQuOTkzLjAyLzA4LzIwMjYuLi5VU0QuSAEAAABLVQAAAwAAAAAAq3pFbyzw3gj+Va2HLPDeCDxDSVEuTkFTREFROk1TRlQuSVFfVE9UQUxfREVCVF9DVVJSRU5ULjk5My4wMi8wOC8yMDI2Li4uVVNELkgBAAAAS1UAAAIAAAAENzM0OAEIAAAABQAAAAExAQAAAAstMjE0MDk4MTQ2OQMAAAADMTYwAgAAAAUyNTIyMwQAAAABMAcAAAAIOC8yLzIwMjYIAAAACTYvMzAvMjAxOQkAAAABMKt6RW8s8N4I/lWthyzw3gg1Q0lRLk5BU0RBUTpNU0ZULklRX1dPUktJTkdfQ0FQLjk5NS4wMi8wOC8yMDI2Li4uVVNELkgBAAAAS1UAAAIAAAAFOTU3NDkBCAAAAAUAAAABMQEAAAALLTIwMzY4NDM4NDMDAAAAAzE2MAIAAAAENDE2NQQAAAABMAcAAAAIOC8yLzIwMjYIAAAACTYvMzAvMjAyMQkAAAABMKt6RW8s8N4I/lWthyzw3ggxQ0lRLk5BU0RBUTpNU0ZULklRX1JBV19JTlYuOTkzLjAyLzA4LzIwMjYuLi5VU0QuSAEAAABLVQAAAgAAAAMzOTkBCAAAAAUAAAABMQEAAAALLTIxNDA5ODE0NjkDAAAAAzE2MAIAAAAEMzE3MQQAAAABMAcAAAAIOC8yLzIwMjYIAAAA</t>
  </si>
  <si>
    <t>CTYvMzAvMjAxOQkAAAABMKt6RW8s8N4IH6Sthyzw3ggzQ0lRLk5BU0RBUTpNU0ZULklRX01BQ0hJTkVSWS45OTQuMDIvMDgvMjAyNi4uLlVTRC5IAQAAAEtVAAACAAAABTQ2MDQzAQgAAAAFAAAAATEBAAAACy0yMDg3NDk2NjI3AwAAAAMxNjACAAAABDMxMTQEAAAAATAHAAAACDgvMi8yMDI2CAAAAAk2LzMwLzIwMjAJAAAAATCrekVvLPDeCB+krYcs8N4IRUNJUS5OQVNEQVE6TVNGVC5JUV9GSU5fRElWX01JTk9SSVRZX0lOVF9SRURFRU0uOTk5LjAyLzA4LzIwMjYuLi5VU0QuSAEAAABLVQAAAwAAAAAAq3pFbyzw3gj+Va2HLPDeCEhDSVEuTkFTREFROk1TRlQuSVFfVE9UQUxfR0VORVJBTF9QQVJUTkVSX0lOVEVSRVNULjk5Mi4wMi8wOC8yMDI2Li4uVVNELkgBAAAAS1UAAAMAAAAAAKt6RW8s8N4ICX2thyzw3gg9Q0lRLk5BU0RBUTpNU0ZULklRX0xJQUJJTElUSUVTX0xFVkVMXzIuOTk0LjAyLzA4LzIwMjYuLi5VU0QuSAEAAABLVQAAAgAAAAU3NzQ5OQCrekVvLPDeCAl9rYcs8N4IPUNJUS5OQVNEQVE6TVNGVC5JUV9UT1RBTF9ERUJUX0VYQ0xfRklOLjk5Ny4wMi8wOC8yMDI2Li4uVVNELkgBAAAAS1UAAAIAAAAFNzk0NDEBCAAAAAUAAAABMQEAAAALLTE5MzQyNTQyNTADAAAAAzE2MAIAAAAFMjE4NjAEAAAAATAHAAAACDgvMi8yMDI2CAAAAAk2LzMwLzIwMjMJAAAAATCrekVvLPDeCB+krYcs8N4I</t>
  </si>
  <si>
    <t>OkNJUS5OQVNEQVE6TVNGVC5JUV9JTlRFUkNPTVBBTllfQ0EuMTAwMC4wMi8wOC8yMDI2Li4uVVNELkgBAAAAS1UAAAMAAAAAAKt6RW8s8N4IH6Sthyzw3ggwQ0lRLk5BU0RBUTpNU0ZULklRX01FUkdFUi45OTkuMDIvMDgvMjAyNi4uLlVTRC5IAQAAAEtVAAADAAAAAACrekVvLPDeCAl9rYcs8N4INkNJUS5OQVNEQVE6TVNGVC5JUV9HQUlOX0lOVkVTVC4xMDAwLjAyLzA4LzIwMjYuLi5VU0QuSAEAAABLVQAAAgAAAAQ2MjQ5AQgAAAAFAAAAATEBAAAACy0xODgwMjI5NjY1AwAAAAMxNjACAAAAAjYyBAAAAAEwBwAAAAg4LzIvMjAyNggAAAAJNi8zMC8yMDI2CQAAAAEwq3pFbyzw3ggJfa2HLPDeCC5DSVEuTkFTREFROk1TRlQuSVFfSVBSRC45OTguMDIvMDgvMjAyNi4uLlVTRC5IAQAAAEtVAAADAAAAAACrekVvLPDeCAl9rYcs8N4INkNJUS5OQVNEQVE6TVNGVC5JUV9MRUdBTF9TRVRUTEUuOTk5LjAyLzA4LzIwMjYuLi5VU0QuSAEAAABLVQAAAwAAAAAAq3pFbyzw3ggry62HLPDeCC5DSVEuTkFTREFROk1TRlQuSVFfRUJULjEwMDAuMDIvMDgvMjAyNi4uLlVTRC5IAQAAAEtVAAACAAAABjE2NTkzNAEIAAAABQAAAAExAQAAAAstMTg4MDIyOTY2NQMAAAADMTYwAgAAAAMxMzkEAAAAATAHAAAACDgvMi8yMDI2CAAAAAk2LzMwLzIwMjYJAAAAATCrekVvLPDeCCvLrYcs8N4ILENJUS5OQVNEQVE6TVNGVC5J</t>
  </si>
  <si>
    <t>UV9ETy45OTguMDIvMDgvMjAyNi4uLlVTRC5IAQAAAEtVAAADAAAAAACrekVvLPDeCB+krYcs8N4INENJUS5OQVNEQVE6TVNGVC5JUV9OSV9DT01QQU5ZLjk5OS4wMi8wOC8yMDI2Li4uVVNELkgBAAAAS1UAAAIAAAAGMTAxODMyAQgAAAAFAAAAATEBAAAACy0xODgwMjI5Njg2AwAAAAMxNjACAAAABTQxNTcxBAAAAAEwBwAAAAg4LzIvMjAyNggAAAAJNi8zMC8yMDI1CQAAAAEwq3pFbyzw3ggfpK2HLPDeCDdDSVEuTkFTREFROk1TRlQuSVFfTklfQVZBSUxfSU5DTC45OTUuMDIvMDgvMjAyNi4uLlVTRC5IAQAAAEtVAAACAAAABTYxMjcxAQgAAAAFAAAAATEBAAAACy0yMDM2ODQzODQzAwAAAAMxNjACAAAAAjE2BAAAAAEwBwAAAAg4LzIvMjAyNggAAAAJNi8zMC8yMDIxCQAAAAEwq3pFbyzw3ggfpK2HLPDeCDhDSVEuTkFTREFROk1TRlQuSVFfQkFTSUNfRVBTX0lOQ0wuOTk2LjAyLzA4LzIwMjYuLi5VU0QuSAEAAABLVQAAAgAAAAg5LjcwMzU3NQEIAAAABQAAAAExAQAAAAstMTk4NTkzMTIyNAMAAAADMTYwAgAAAAE5BAAAAAEwBwAAAAg4LzIvMjAyNggAAAAJNi8zMC8yMDIyCQAAAAEwq3pFbyzw3gg/8q2HLPDeCDhDSVEuTkFTREFROk1TRlQuSVFfRElMVVRfRVBTX0lOQ0wuOTk1LjAyLzA4LzIwMjYuLi5VU0QuSAEAAABLVQAAAgAAAAQ4LjA1AQgAAAAFAAAAATEBAAAACy0yMDM2ODQzODQzAwAAAAMx</t>
  </si>
  <si>
    <t>NjACAAAAATgEAAAAATAHAAAACDgvMi8yMDI2CAAAAAk2LzMwLzIwMjEJAAAAATCrekVvLPDeCD/yrYcs8N4IOENJUS5OQVNEQVE6TVNGVC5JUV9ESUxVVF9FUFNfTk9STS45OTcuMDIvMDgvMjAyNi4uLlVTRC5IAQAAAEtVAAACAAAACDcuNTAyNTA5AQgAAAAFAAAAATEBAAAACy0xOTM0MjU0MjUwAwAAAAMxNjACAAAABDQzODAEAAAAATAHAAAACDgvMi8yMDI2CAAAAAk2LzMwLzIwMjMJAAAAATCrekVvLPDeCCvLrYcs8N4IM0NJUS5OQVNEQVE6TVNGVC5JUV9ESVZfU0hBUkUuOTkzLjAyLzA4LzIwMjYuLi5VU0QuSAEAAABLVQAAAgAAAAQxLjg0AQgAAAAFAAAAATEBAAAACy0yMTQwOTgxNDY5AwAAAAMxNjACAAAABDMwNTgEAAAAATAHAAAACDgvMi8yMDI2CAAAAAk2LzMwLzIwMTkJAAAAATCrekVvLPDeCCvLrYcs8N4IO0NJUS5OQVNEQVE6TVNGVC5JUV9TUEVDSUFMX0RJVl9TSEFSRS45OTQuMDIvMDgvMjAyNi4uLlVTRC5IAQAAAEtVAAADAAAAAACrekVvLPDeCCvLrYcs8N4IN0NJUS5OQVNEQVE6TVNGVC5JUV9FQklUREFfRVFfSU5DLjk5OC4wMi8wOC8yMDI2Li4uVVNELkgBAAAAS1UAAAIAAAAGMTMxNjY5AQgAAAAFAAAAATEBAAAACy0xODgwMjI5Njk0AwAAAAMxNjACAAAABTIxNjc3BAAAAAEwBwAAAAg4LzIvMjAyNggAAAAJNi8zMC8yMDI0CQAAAAEwq3pFbyzw3gg/8q2HLPDeCDlDSVEuTkFT</t>
  </si>
  <si>
    <t>REFROk1TRlQuSVFfRUJJVERBX0VYQ0xfU0JDLjk5Mi4wMi8wOC8yMDI2Li4uVVNELkgBAAAAS1UAAAIAAAAFNDg4OTgBCAAAAAUAAAABMQEAAAAKMjA0NzI3MTc0NQMAAAADMTYwAgAAAAUyNDEzNQQAAAABMAcAAAAIOC8yLzIwMjYIAAAACTYvMzAvMjAxOAkAAAABMKt6RW8s8N4IP/Kthyzw3ghLQ0lRLk5BU0RBUTpNU0ZULklRX0VCSVREQV9FUV9JTkNfRVhDTF9PUEVSX0xFQVNFX0FESi45OTcuMDIvMDgvMjAyNi4uLlVTRC5IAQAAAEtVAAACAAAABjEwMjAyMwEIAAAABQAAAAExAQAAAAstMTkzNDI1NDI1MAMAAAADMTYwAgAAAAU0ODk4NwQAAAABMAcAAAAIOC8yLzIwMjYIAAAACTYvMzAvMjAyMwkAAAABMKt6RW8s8N4IK8uthyzw3gg1Q0lRLk5BU0RBUTpNU0ZULklRX0VCSVRfRVFfSU5DLjk5OS4wMi8wOC8yMDI2Li4uVVNELkgBAAAAS1UAAAIAAAAGMTIzODAzAQgAAAAFAAAAATEBAAAACy0xODgwMjI5Njg2AwAAAAMxNjACAAAABTIxNjc1BAAAAAEwBwAAAAg4LzIvMjAyNggAAAAJNi8zMC8yMDI1CQAAAAEwq3pFbyzw3ggry62HLPDeCC9DSVEuTkFTREFROk1TRlQuSVFfRUJJVEEuOTk2LjAyLzA4LzIwMjYuLi5VU0QuSAEAAABLVQAAAgAAAAU4NTM4MwEIAAAABQAAAAExAQAAAAstMTk4NTkzMTIyNAMAAAADMTYwAgAAAAYxMDA2ODkEAAAAATAHAAAACDgvMi8yMDI2CAAAAAk2LzMwLzIwMjIJ</t>
  </si>
  <si>
    <t>AAAAATCrekVvLPDeCD/yrYcs8N4IP0NJUS5OQVNEQVE6TVNGVC5JUV9FQklUQV9FUV9JTkNfRVhDTF9TQkMuOTk4LjAyLzA4LzIwMjYuLi5VU0QuSAEAAABLVQAAAgAAAAYxMjM2NDgBCAAAAAUAAAABMQEAAAALLTE4ODAyMjk2OTQDAAAAAzE2MAIAAAAFMjQxMzIEAAAAATAHAAAACDgvMi8yMDI2CAAAAAk2LzMwLzIwMjQJAAAAATCrekVvLPDeCDkZrocs8N4IMkNJUS5OQVNEQVE6TVNGVC5JUV9FQklUREFSLjEwMDAuMDIvMDgvMjAyNi4uLlVTRC5IAQAAAEtVAAACAAAABjIwMTIwNQEIAAAABQAAAAExAQAAAAstMTg4MDIyOTY2NQMAAAADMTYwAgAAAAUyMTY3NAQAAAABMAcAAAAIOC8yLzIwMjYIAAAACTYvMzAvMjAyNgkAAAABMKt6RW8s8N4IORmuhyzw3gg6Q0lRLk5BU0RBUTpNU0ZULklRX0VCSVREQVJfRVhDTF9TQkMuOTk3LjAyLzA4LzIwMjYuLi5VU0QuSAEAAABLVQAAAgAAAAYxMTQ1MDkBCAAAAAUAAAABMQEAAAALLTE5MzQyNTQyNTADAAAAAzE2MAIAAAAFMjQxMzcEAAAAATAHAAAACDgvMi8yMDI2CAAAAAk2LzMwLzIwMjMJAAAAATCrekVvLPDeCD/yrYcs8N4IO0NJUS5OQVNEQVE6TVNGVC5JUV9GRUVTX09USEVSX0lOQ09NRS45OTkuMDIvMDgvMjAyNi4uLlVTRC5IAQAAAEtVAAADAAAAAACrekVvLPDeCD/yrYcs8N4ITUNJUS5OQVNEQVE6TVNGVC5JUV9QUk9WX0JBRF9ERUJUU19QQVRJ</t>
  </si>
  <si>
    <t>RU5UX1NFUlZJQ0VfUkVWLjEwMDAuMDIvMDgvMjAyNi4uLlVTRC5IAQAAAEtVAAADAAAAAACrekVvLPDeCD/yrYcs8N4IMUNJUS5OQVNEQVE6TVNGVC5JUV9OSV9TRkFTLjk5NC4wMi8wOC8yMDI2Li4uVVNELkgBAAAAS1UAAAMAAAAAAKt6RW8s8N4IORmuhyzw3gg7Q0lRLk5BU0RBUTpNU0ZULklRX0lOVkVTVE1FTlRfSU5DT01FLjk5Ni4wMi8wOC8yMDI2Li4uVVNELkgBAAAAS1UAAAMAAAAAAKt6RW8s8N4IORmuhyzw3gg+Q0lRLk5BU0RBUTpNU0ZULklRX0NVUlJfRE9NRVNUSUNfVEFYRVMuMTAwMC4wMi8wOC8yMDI2Li4uVVNELkgBAAAAS1UAAAIAAAAENTE3NAEIAAAABQAAAAExAQAAAAstMTg4MDIyOTY2NQMAAAADMTYwAgAAAAQzMDI3BAAAAAEwBwAAAAg4LzIvMjAyNggAAAAJNi8zMC8yMDI2CQAAAAEwq3pFbyzw3gg/8q2HLPDeCDRDSVEuTkFTREFROk1TRlQuSVFfQ1VSUl9UQVhFUy45OTUuMDIvMDgvMjAyNi4uLlVTRC5IAQAAAEtVAAACAAAABDk5ODEBCAAAAAUAAAABMQEAAAALLTIwMzY4NDM4NDMDAAAAAzE2MAIAAAAFMzUzODMEAAAAATAHAAAACDgvMi8yMDI2CAAAAAk2LzMwLzIwMjEJAAAAATCrekVvLPDeCDkZrocs8N4IPkNJUS5OQVNEQVE6TVNGVC5JUV9ERUZFUlJFRF9UQVhFU19UT1RBTC45OTkuMDIvMDgvMjAyNi4uLlVTRC5IAQAAAEtVAAACAAAABS03MDU2AQgAAAAFAAAAATEB</t>
  </si>
  <si>
    <t>AAAACy0xODgwMjI5Njg2AwAAAAMxNjACAAAABTM1Mzg1BAAAAAEwBwAAAAg4LzIvMjAyNggAAAAJNi8zMC8yMDI1CQAAAAEwq3pFbyzw3gg5Ga6HLPDeCDJDSVEuTkFTREFROk1TRlQuSVFfRElMVVRfTkkuOTkyLjAyLzA4LzIwMjYuLi5VU0QuSAEAAABLVQAAAgAAAAgxNjYwMS4yMgEIAAAABQAAAAExAQAAAAoyMDQ3MjcxNzQ1AwAAAAMxNjACAAAABDM1MjIEAAAAATAHAAAACDgvMi8yMDI2CAAAAAk2LzMwLzIwMTgJAAAAATCrekVvLPDeCFtArocs8N4IPkNJUS5OQVNEQVE6TVNGVC5JUV9DQVBJVEFMSVpFRF9JTlRFUkVTVC45OTYuMDIvMDgvMjAyNi4uLlVTRC5IAQAAAEtVAAADAAAAAACrekVvLPDeCFtArocs8N4IO0NJUS5OQVNEQVE6TVNGVC5JUV9JTlRfRVhQX0lOQ0xfQ0FQLjEwMDAuMDIvMDgvMjAyNi4uLlVTRC5IAQAAAEtVAAACAAAABDMwODEBCAAAAAUAAAABMQEAAAALLTE4ODAyMjk2NjUDAAAAAzE2MAIAAAAFMjE4NjEEAAAAATAHAAAACDgvMi8yMDI2CAAAAAk2LzMwLzIwMjYJAAAAATCrekVvLPDeCDkZrocs8N4IPENJUS5OQVNEQVE6TVNGVC5JUV9ESVNUUklCVVRBQkxFX0NBU0guOTkzLjAyLzA4LzIwMjYuLi5VU0QuSAEAAABLVQAAAwAAAAAAq3pFbyzw3gg5Ga6HLPDeCDRDSVEuTkFTREFROk1TRlQuSVFfQ09NTU9OX0RJVi45OTUuMDIvMDgvMjAyNi4uLlVTRC5IAQAAAEtVAAAC</t>
  </si>
  <si>
    <t>AAAABTE2ODcxAKt6RW8s8N4IORmuhyzw3gg1Q0lRLk5BU0RBUTpNU0ZULklRX0FEVkVSVElTSU5HLjk5NC4wMi8wOC8yMDI2Li4uVVNELkgBAAAAS1UAAAIAAAAEMTYwMAEIAAAABQAAAAExAQAAAAstMjA4NzQ5NjYyNwMAAAADMTYwAgAAAAQzMDEzBAAAAAEwBwAAAAg4LzIvMjAyNggAAAAJNi8zMC8yMDIwCQAAAAEwq3pFbyzw3ghbQK6HLPDeCDlDSVEuTkFTREFROk1TRlQuSVFfU0FMRVNfTUFSS0VUSU5HLjk5NS4wMi8wOC8yMDI2Li4uVVNELkgBAAAAS1UAAAIAAAAFMjAxMTcBCAAAAAUAAAABMQEAAAALLTIwMzY4NDM4NDMDAAAAAzE2MAIAAAAFMjE1NjEEAAAAATAHAAAACDgvMi8yMDI2CAAAAAk2LzMwLzIwMjEJAAAAATCrekVvLPDeCFtArocs8N4IO0NJUS5OQVNEQVE6TVNGVC5JUV9ORVRfUkVOVEFMX0VYUF9GTi45OTMuMDIvMDgvMjAyNi4uLlVTRC5IAQAAAEtVAAACAAAABDE3MDcBCAAAAAUAAAABMQEAAAALLTIxNDA5ODE0NjkDAAAAAzE2MAIAAAAEMzE3MAQAAAABMAcAAAAIOC8yLzIwMjYIAAAACTYvMzAvMjAxOQkAAAABMKt6RW8s8N4IORmuhyzw3gg/Q0lRLk5BU0RBUTpNU0ZULklRX05FVF9SRU5UQUxfRVhQX1NVUFBMRS45OTQuMDIvMDgvMjAyNi4uLlVTRC5IAQAAAEtVAAACAAAABDIwNDMBCAAAAAUAAAABMQEAAAALLTIwODc0OTY2MjcDAAAAAzE2MAIAAAAFMjQyNjMEAAAAATAH</t>
  </si>
  <si>
    <t>AAAACDgvMi8yMDI2CAAAAAk2LzMwLzIwMjAJAAAAATCrekVvLPDeCFtArocs8N4INkNJUS5OQVNEQVE6TVNGVC5JUV9PVEhFUl9SRU5UQUwuOTkyLjAyLzA4LzIwMjYuLi5VU0QuSAEAAABLVQAAAwAAAAAAq3pFbyzw3ghbQK6HLPDeCERDSVEuTkFTREFROk1TRlQuSVFfREVQUkVDSUFUSU9OX1JFTlRBTF9BU1NFVFMuOTkzLjAyLzA4LzIwMjYuLi5VU0QuSAEAAABLVQAAAwAAAAAAq3pFbyzw3gh2Z66HLPDeCDZDSVEuTkFTREFROk1TRlQuSVFfTUFJTlRfUkVQQUlSLjk5NS4wMi8wOC8yMDI2Li4uVVNELkgBAAAAS1UAAAMAAAAAAKt6RW8s8N4Idmeuhyzw3ghBQ0lRLk5BU0RBUTpNU0ZULklRX1NBTEFSSUVTX09USEVSX0JFTkVGSVRTLjk5Mi4wMi8wOC8yMDI2Li4uVVNELkgBAAAAS1UAAAMAAAAAAKt6RW8s8N4IW0Cuhyzw3gg3Q0lRLk5BU0RBUTpNU0ZULklRX01FUkdFUl9TVVBQTEUuOTk0LjAyLzA4LzIwMjYuLi5VU0QuSAEAAABLVQAAAwAAAAAAq3pFbyzw3ghbQK6HLPDeCDZDSVEuTkFTREFROk1TRlQuSVFfSVBSRF9TVVBQTEUuMTAwMC4wMi8wOC8yMDI2Li4uVVNELkgBAAAAS1UAAAMAAAAAAKt6RW8s8N4IW0Cuhyzw3ghBQ0lRLk5BU0RBUTpNU0ZULklRX0dBSU5fQkFSR0FJTl9BQ1FfU1VQUExFLjk5My4wMi8wOC8yMDI2Li4uVVNELkgBAAAAS1UAAAMAAAAAAKt6RW8s8N4Idmeuhyzw3gg9</t>
  </si>
  <si>
    <t>Q0lRLk5BU0RBUTpNU0ZULklRX0xFR0FMX1NFVFRMRV9TVVBQTEUuOTk1LjAyLzA4LzIwMjYuLi5VU0QuSAEAAABLVQAAAwAAAAAAq3pFbyzw3gh2Z66HLPDeCDxDSVEuTkFTREFROk1TRlQuSVFfTkVHQVRJVkVfR1dfQU1PUlQuMTAwMC4wMi8wOC8yMDI2Li4uVVNELkgBAAAAS1UAAAMAAAAAAKt6RW8s8N4IW0Cuhyzw3gg6Q0lRLk5BU0RBUTpNU0ZULklRX1NUT0NLX0JBU0VEX0NPR1MuOTk0LjAyLzA4LzIwMjYuLi5VU0QuSAEAAABLVQAAAwAAAAAAq3pFbyzw3ghbQK6HLPDeCDhDSVEuTkFTREFROk1TRlQuSVFfU1RPQ0tfQkFTRURfR0EuOTk5LjAyLzA4LzIwMjYuLi5VU0QuSAEAAABLVQAAAwAAAAAAq3pFbyzw3ghbQK6HLPDeCERDSVEuTkFTREFROk1TRlQuSVFfU1RPQ0tfQkFTRURfRVhQTE9SRV9EUklMTC4xMDAwLjAyLzA4LzIwMjYuLi5VU0QuSAEAAABLVQAAAwAAAAAAq3pFbyzw3giCjq6HLPDeCDhDSVEuTkFTREFROk1TRlQuSVFfU1RPQ0tfQkFTRURfQVQuOTk1LjAyLzA4LzIwMjYuLi5VU0QuSAEAAABLVQAAAwAAAAAAq3pFbyzw3giCjq6HLPDeCD5DSVEuTkFTREFROk1TRlQuSVFfUkVTVFJfU1RPQ0tfQ09NUF9UQVguOTk5LjAyLzA4LzIwMjYuLi5VU0QuSAEAAABLVQAAAwAAAAAAq3pFbyzw3gh2Z66HLPDeCEBDSVEuTkFTREFROk1TRlQuSVFfU1RPQ0tfT1BUSU9OU19DT01QX1RBWC45</t>
  </si>
  <si>
    <t>OTIuMDIvMDgvMjAyNi4uLlVTRC5IAQAAAEtVAAADAAAAAACrekVvLPDeCHZnrocs8N4IPkNJUS5OQVNEQVE6TVNGVC5JUV9TVE9DS19CQVNFRF9DT01QX1RBWC45OTYuMDIvMDgvMjAyNi4uLlVTRC5IAQAAAEtVAAACAAAABS0xMjkzAKt6RW8s8N4Idmeuhyzw3gg7Q0lRLk5BU0RBUTpNU0ZULklRX1NUT0NLX0JBU0VEX0NPTVAuMTAwMC4wMi8wOC8yMDI2Li4uVVNELkgBAAAAS1UAAAIAAAAFMTAzMTYAq3pFbyzw3giCjq6HLPDeCDtDSVEuTkFTREFROk1TRlQuSVFfR1dfSU5UQU5fQU1PUlRfQ0YuOTkzLjAyLzA4LzIwMjYuLi5VU0QuSAEAAABLVQAAAgAAAAQxOTAwAQgAAAAFAAAAATEBAAAACy0yMTQwOTgxNDY5AwAAAAMxNjACAAAABDIxODIEAAAAATAHAAAACDgvMi8yMDI2CAAAAAk2LzMwLzIwMTkJAAAAATCrekVvLPDeCIq1rocs8N4INUNJUS5OQVNEQVE6TVNGVC5JUV9PVEhFUl9BTU9SVC45OTcuMDIvMDgvMjAyNi4uLlVTRC5IAQAAAEtVAAADAAAAAACrekVvLPDeCHZnrocs8N4IOENJUS5OQVNEQVE6TVNGVC5JUV9HQUlOX0FTU0VUU19DRi45OTIuMDIvMDgvMjAyNi4uLlVTRC5IAQAAAEtVAAADAAAAAACrekVvLPDeCHZnrocs8N4IMkNJUS5OQVNEQVE6TVNGVC5JUV9MT0FOU19DRi45OTYuMDIvMDgvMjAyNi4uLlVTRC5IAQAAAEtVAAADAAAAAACrekVvLPDeCIKOrocs8N4IN0NJUS5OQVNE</t>
  </si>
  <si>
    <t>QVE6TVNGVC5JUV9JTkNfRVFVSVRZX0NGLjk5OC4wMi8wOC8yMDI2Li4uVVNELkgBAAAAS1UAAAMAAAAAAKt6RW8s8N4IirWuhyzw3gg9Q0lRLk5BU0RBUTpNU0ZULklRX1RBWF9CRU5FRklUX09QVElPTlMuOTkyLjAyLzA4LzIwMjYuLi5VU0QuSAEAAABLVQAAAwAAAAAAq3pFbyzw3giKta6HLPDeCDhDSVEuTkFTREFROk1TRlQuSVFfT1RIRVJfT1BFUl9BQ1QuOTk3LjAyLzA4LzIwMjYuLi5VU0QuSAEAAABLVQAAAgAAAAUtNTY5OAEIAAAABQAAAAExAQAAAAstMTkzNDI1NDI1MAMAAAADMTYwAgAAAAQyMDQ3BAAAAAEwBwAAAAg4LzIvMjAyNggAAAAJNi8zMC8yMDIzCQAAAAEwq3pFbyzw3giCjq6HLPDeCDNDSVEuTkFTREFROk1TRlQuSVFfQ0hBTkdFX0FSLjk5OS4wMi8wOC8yMDI2Li4uVVNELkgBAAAAS1UAAAIAAAAGLTEwNTgxAQgAAAAFAAAAATEBAAAACy0xODgwMjI5Njg2AwAAAAMxNjACAAAABDIwMTgEAAAAATAHAAAACDgvMi8yMDI2CAAAAAk2LzMwLzIwMjUJAAAAATCrekVvLPDeCIKOrocs8N4IO0NJUS5OQVNEQVE6TVNGVC5JUV9DSEFOR0VfVU5FQVJOX1JFVi45OTYuMDIvMDgvMjAyNi4uLlVTRC5IAQAAAEtVAAACAAAABDUxMDkBCAAAAAUAAAABMQEAAAALLTE5ODU5MzEyMjQDAAAAAzE2MAIAAAAEMjEzOQQAAAABMAcAAAAIOC8yLzIwMjYIAAAACTYvMzAvMjAyMgkAAAABMKt6RW8s8N4I</t>
  </si>
  <si>
    <t>go6uhyzw3gg4Q0lRLk5BU0RBUTpNU0ZULklRX0NIQU5HRV9ERUZfVEFYLjk5OC4wMi8wOC8yMDI2Li4uVVNELkgBAAAAS1UAAAMAAAAAAKt6RW8s8N4IoNyuhyzw3gg0Q0lRLk5BU0RBUTpNU0ZULklRX0NBU0hfT1BFUi4xMDAwLjAyLzA4LzIwMjYuLi5VU0QuSAEAAABLVQAAAgAAAAYxODI5MzUBCAAAAAUAAAABMQEAAAALLTE4ODAyMjk2NjUDAAAAAzE2MAIAAAAEMjAwNgQAAAABMAcAAAAIOC8yLzIwMjYIAAAACTYvMzAvMjAyNgkAAAABMKt6RW8s8N4IoNyuhyzw3gg5Q0lRLk5BU0RBUTpNU0ZULklRX0NBU0hfQUNRVUlSRV9DRi45OTcuMDIvMDgvMjAyNi4uLlVTRC5IAQAAAEtVAAACAAAABS0xNjcwAQgAAAAFAAAAATEBAAAACy0xOTM0MjU0MjUwAwAAAAMxNjACAAAABDIwNTcEAAAAATAHAAAACDgvMi8yMDI2CAAAAAk2LzMwLzIwMjMJAAAAATCrekVvLPDeCIq1rocs8N4IPUNJUS5OQVNEQVE6TVNGVC5JUV9TQUxFX1JFQUxfRVNUQVRFX0NGLjk5OS4wMi8wOC8yMDI2Li4uVVNELkgBAAAAS1UAAAMAAAAAAKt6RW8s8N4IirWuhyzw3gg5Q0lRLk5BU0RBUTpNU0ZULklRX0lOVkVTVF9MT0FOU19DRi45OTYuMDIvMDgvMjAyNi4uLlVTRC5IAQAAAEtVAAADAAAAAACrekVvLPDeCIq1rocs8N4INUNJUS5OQVNEQVE6TVNGVC5JUV9DQVNIX0lOVkVTVC45OTguMDIvMDgvMjAyNi4uLlVTRC5IAQAAAEtV</t>
  </si>
  <si>
    <t>AAACAAAABi05Njk3MAEIAAAABQAAAAExAQAAAAstMTg4MDIyOTY5NAMAAAADMTYwAgAAAAQyMDA1BAAAAAEwBwAAAAg4LzIvMjAyNggAAAAJNi8zMC8yMDI0CQAAAAEwq3pFbyzw3giqA6+HLPDeCDhDSVEuTkFTREFROk1TRlQuSVFfTFRfREVCVF9JU1NVRUQuOTk5LjAyLzA4LzIwMjYuLi5VU0QuSAEAAABLVQAAAwAAAAAAq3pFbyzw3giqA6+HLPDeCDhDSVEuTkFTREFROk1TRlQuSVFfTFRfREVCVF9SRVBBSUQuOTk3LjAyLzA4LzIwMjYuLi5VU0QuSAEAAABLVQAAAgAAAAUtMjc1MAEIAAAABQAAAAExAQAAAAstMTkzNDI1NDI1MAMAAAADMTYwAgAAAAQyMDM2BAAAAAEwBwAAAAg4LzIvMjAyNggAAAAJNi8zMC8yMDIzCQAAAAEwq3pFbyzw3giKta6HLPDeCDdDSVEuTkFTREFROk1TRlQuSVFfQ09NTU9OX0lTU1VFRC45OTguMDIvMDgvMjAyNi4uLlVTRC5IAQAAAEtVAAACAAAABDIwMDIBCAAAAAUAAAABMQEAAAALLTE4ODAyMjk2OTQDAAAAAzE2MAIAAAAEMjE2OQQAAAABMAcAAAAIOC8yLzIwMjYIAAAACTYvMzAvMjAyNAkAAAABMKt6RW8s8N4IoNyuhyzw3ggyQ0lRLk5BU0RBUTpNU0ZULklRX1BSRUZfUkVQLjk5Ni4wMi8wOC8yMDI2Li4uVVNELkgBAAAAS1UAAAMAAAAAAKt6RW8s8N4IoNyuhyzw3gg1Q0lRLk5BU0RBUTpNU0ZULklRX1BSRUZfRElWX0NGLjk5Ny4wMi8wOC8yMDI2Li4uVVNELkgB</t>
  </si>
  <si>
    <t>AAAAS1UAAAMAAAAAAKt6RW8s8N4IqgOvhyzw3gg7Q0lRLk5BU0RBUTpNU0ZULklRX1RPVEFMX0RJVl9QQUlEX0NGLjk5OC4wMi8wOC8yMDI2Li4uVVNELkgBAAAAS1UAAAIAAAAGLTIxNzcxAQgAAAAFAAAAATEBAAAACy0xODgwMjI5Njk0AwAAAAMxNjACAAAABDIwMjIEAAAAATAHAAAACDgvMi8yMDI2CAAAAAk2LzMwLzIwMjQJAAAAATCrekVvLPDeCLsqr4cs8N4ILENJUS5OQVNEQVE6TVNGVC5JUV9GWC45OTQuMDIvMDgvMjAyNi4uLlVTRC5IAQAAAEtVAAACAAAABC0yMDEBCAAAAAUAAAABMQEAAAALLTIwODc0OTY2MjcDAAAAAzE2MAIAAAAEMjE0NAQAAAABMAcAAAAIOC8yLzIwMjYIAAAACTYvMzAvMjAyMAkAAAABMKt6RW8s8N4IoNyuhyzw3gg4Q0lRLk5BU0RBUTpNU0ZULklRX01JU0NfQURKVVNUX0NGLjk5OC4wMi8wOC8yMDI2Li4uVVNELkgBAAAAS1UAAAMAAAAAAKt6RW8s8N4IoNyuhyzw3ghDQ0lRLk5BU0RBUTpNU0ZULklRX0dXX0lOVEFOX0FNT1JUX1BBUlRJQUxfQ0YuOTk2LjAyLzA4LzIwMjYuLi5VU0QuSAEAAABLVQAAAwAAAAAAq3pFbyzw3gig3K6HLPDeCDFDSVEuTkFTREFROk1TRlQuSVFfREVQX1JVQS45OTUuMDIvMDgvMjAyNi4uLlVTRC5IAQAAAEtVAAADAAAAAACrekVvLPDeCLsqr4cs8N4IPkNJUS5OQVNEQVE6TVNGVC5JUV9ORUdBVElWRV9HV19BTU9SVF9DRi45OTQuMDIv</t>
  </si>
  <si>
    <t>MDgvMjAyNi4uLlVTRC5IAQAAAEtVAAADAAAAAACrekVvLPDeCLsqr4cs8N4IRUNJUS5OQVNEQVE6TVNGVC5JUV9TQUxFX1BST0NFRURTX1JFTlRBTF9BU1NFVFMuOTkzLjAyLzA4LzIwMjYuLi5VU0QuSAEAAABLVQAAAwAAAAAAq3pFbyzw3giqA6+HLPDeCEBDSVEuTkFTREFROk1TRlQuSVFfQ0FTSF9JTlRFUkVTVF9SRUNFSVZFRC45OTMuMDIvMDgvMjAyNi4uLlVTRC5IAQAAAEtVAAADAAAAAACrekVvLPDeCKoDr4cs8N4IPUNJUS5OQVNEQVE6TVNGVC5JUV9DQVNIX0lOVEVSRVNUX0ZJTkFOLjk5NC4wMi8wOC8yMDI2Li4uVVNELkgBAAAAS1UAAAMAAAAAAKt6RW8s8N4IqgOvhyzw3gg0Q0lRLk5BU0RBUTpNU0ZULklRX0NBU0hfVEFYRVMuOTk5LjAyLzA4LzIwMjYuLi5VU0QuSAEAAABLVQAAAgAAAAUyODcwMAEIAAAABQAAAAExAQAAAAstMTg4MDIyOTY4NgMAAAADMTYwAgAAAAQzMDUzBAAAAAEwBwAAAAg4LzIvMjAyNggAAAAJNi8zMC8yMDI1CQAAAAEwq3pFbyzw3gjBUa+HLPDeCDpDSVEuTkFTREFROk1TRlQuSVFfQ0FTSF9UQVhFU19GSU5BTi45OTkuMDIvMDgvMjAyNi4uLlVTRC5IAQAAAEtVAAADAAAAAACrekVvLPDeCMFRr4cs8N4INUNJUS5OQVNEQVE6TVNGVC5JUV9MRVZFUkVEX0ZDRi45OTkuMDIvMDgvMjAyNi4uLlVTRC5IAQAAAEtVAAACAAAACTYxMDcyLjM3NQEIAAAABQAAAAExAQAA</t>
  </si>
  <si>
    <t>AAstMTg4MDIyOTY4NgMAAAADMTYwAgAAAAQ0NDIyBAAAAAEwBwAAAAg4LzIvMjAyNggAAAAJNi8zMC8yMDI1CQAAAAEwq3pFbyzw3gi7Kq+HLPDeCDlDSVEuTkFTREFROk1TRlQuSVFfTkVUX0RFQlRfSVNTVUVELjk5OC4wMi8wOC8yMDI2Li4uVVNELkgBAAAAS1UAAAIAAAADNTc1AQgAAAAFAAAAATEBAAAACy0xODgwMjI5Njk0AwAAAAMxNjACAAAABDIwMDMEAAAAATAHAAAACDgvMi8yMDI2CAAAAAk2LzMwLzIwMjQJAAAAATCrekVvLPDeCLsqr4cs8N4IN0NJUS5OQVNEQVE6TVNGVC5JUV9ET19GSU5BTkNFX0NGLjk5OC4wMi8wOC8yMDI2Li4uVVNELkgBAAAAS1UAAAMAAAAAAKt6RW8s8N4Iuyqvhyzw3ghNQ0lRLk5BU0RBUTpNU0ZULklRX09QRVJBVElOR19MRUFTRV9MSUFCSUxJVElFU19OT05DQVNILjk5Ny4wMi8wOC8yMDI2Li4uVVNELkgBAAAAS1UAAAMAAAAAAKt6RW8s8N4IwVGvhyzw3ghLQ0lRLk5BU0RBUTpNU0ZULklRX0xPTkdfVEVSTV9ERUJUX1JFUEFJRF9FWENMX0xFQVNFUy45OTYuMDIvMDgvMjAyNi4uLlVTRC5IAQAAAEtVAAACAAAABS05MDIzAQgAAAAFAAAAATEBAAAACy0xOTg1OTMxMjI0AwAAAAMxNjACAAAABTQ4OTg0BAAAAAEwBwAAAAg4LzIvMjAyNggAAAAJNi8zMC8yMDIyCQAAAAEwq3pFbyzw3gjYeK+HLPDeCDRDSVEuTkFTREFROk1TRlQuSVFfQ0FTSF9FUVVJVi45OTgu</t>
  </si>
  <si>
    <t>MDIvMDgvMjAyNi4uLlVTRC5IAQAAAEtVAAACAAAABTE4MzE1AQgAAAAFAAAAATEBAAAACy0xODgwMjI5Njk0AwAAAAMxNjACAAAABDEwOTYEAAAAATAHAAAACDgvMi8yMDI2CAAAAAk2LzMwLzIwMjQJAAAAATCrekVvLPDeCLsqr4cs8N4IOENJUS5OQVNEQVE6TVNGVC5JUV9DQVNIX1NUX0lOVkVTVC45OTguMDIvMDgvMjAyNi4uLlVTRC5IAQAAAEtVAAACAAAABTc1NTMxAQgAAAAFAAAAATEBAAAACy0xODgwMjI5Njk0AwAAAAMxNjACAAAABDEwMDIEAAAAATAHAAAACDgvMi8yMDI2CAAAAAk2LzMwLzIwMjQJAAAAATCrekVvLPDeCLsqr4cs8N4IOENJUS5OQVNEQVE6TVNGVC5JUV9TVF9OT1RFX1JFQ0VJVi45OTkuMDIvMDgvMjAyNi4uLlVTRC5IAQAAAEtVAAADAAAAAACrekVvLPDeCMFRr4cs8N4INUNJUS5OQVNEQVE6TVNGVC5JUV9QUkVQQUlEX0VYUC45OTIuMDIvMDgvMjAyNi4uLlVTRC5IAQAAAEtVAAADAAAAAACrekVvLPDeCNh4r4cs8N4IOENJUS5OQVNEQVE6TVNGVC5JUV9MT0FOU19GT1JfU0FMRS45OTIuMDIvMDgvMjAyNi4uLlVTRC5IAQAAAEtVAAADAAAAAACrekVvLPDeCNh4r4cs8N4IOUNJUS5OQVNEQVE6TVNGVC5JUV9SRVNUUklDVEVEX0NBU0guOTk1LjAyLzA4LzIwMjYuLi5VU0QuSAEAAABLVQAAAwAAAAAAq3pFbyzw3gjBUa+HLPDeCC5DSVEuTkFTREFROk1TRlQuSVFfR1BQRS45</t>
  </si>
  <si>
    <t>OTUuMDIvMDgvMjAyNi4uLlVTRC5IAQAAAEtVAAACAAAABjEyMjE1NAEIAAAABQAAAAExAQAAAAstMjAzNjg0Mzg0MwMAAAADMTYwAgAAAAQxMTY5BAAAAAEwBwAAAAg4LzIvMjAyNggAAAAJNi8zMC8yMDIxCQAAAAEwq3pFbyzw3gjBUa+HLPDeCDNDSVEuTkFTREFROk1TRlQuSVFfTFRfSU5WRVNULjk5NS4wMi8wOC8yMDI2Li4uVVNELkgBAAAAS1UAAAIAAAAENTk4NAEIAAAABQAAAAExAQAAAAstMjAzNjg0Mzg0MwMAAAADMTYwAgAAAAQxMDU0BAAAAAEwBwAAAAg4LzIvMjAyNggAAAAJNi8zMC8yMDIxCQAAAAEwq3pFbyzw3gjBUa+HLPDeCDpDSVEuTkFTREFROk1TRlQuSVFfRklOX0RJVl9MT0FOU19MVC45OTcuMDIvMDgvMjAyNi4uLlVTRC5IAQAAAEtVAAADAAAAAACrekVvLPDeCOifr4cs8N4IOUNJUS5OQVNEQVE6TVNGVC5JUV9MT0FOU19SRUNFSVZfTFQuOTk3LjAyLzA4LzIwMjYuLi5VU0QuSAEAAABLVQAAAwAAAAAAq3pFbyzw3gjon6+HLPDeCDlDSVEuTkFTREFROk1TRlQuSVFfT1RIRVJfTFRfQVNTRVRTLjk5Ny4wMi8wOC8yMDI2Li4uVVNELkgBAAAAS1UAAAIAAAAENTkzOAEIAAAABQAAAAExAQAAAAstMTkzNDI1NDI1MAMAAAADMTYwAgAAAAQxMDYwBAAAAAEwBwAAAAg4LzIvMjAyNggAAAAJNi8zMC8yMDIzCQAAAAEwq3pFbyzw3gjYeK+HLPDeCCxDSVEuTkFTREFROk1TRlQuSVFfQUUu</t>
  </si>
  <si>
    <t>OTk3LjAyLzA4LzIwMjYuLi5VU0QuSAEAAABLVQAAAgAAAAUxMTAwOQEIAAAABQAAAAExAQAAAAstMTkzNDI1NDI1MAMAAAADMTYwAgAAAAQxMDE2BAAAAAEwBwAAAAg4LzIvMjAyNggAAAAJNi8zMC8yMDIzCQAAAAEwq3pFbyzw3gjYeK+HLPDeCDxDSVEuTkFTREFROk1TRlQuSVFfQ1VSUkVOVF9QT1JUX0RFQlQuMTAwMC4wMi8wOC8yMDI2Li4uVVNELkgBAAAAS1UAAAIAAAAEOTIyNwEIAAAABQAAAAExAQAAAAstMTg4MDIyOTY2NQMAAAADMTYwAgAAAAQxMjk3BAAAAAEwBwAAAAg4LzIvMjAyNggAAAAJNi8zMC8yMDI2CQAAAAEwq3pFbyzw3gjYeK+HLPDeCD5DSVEuTkFTREFROk1TRlQuSVFfRklOX0RJVl9MSUFCX0NVUlJFTlQuOTkzLjAyLzA4LzIwMjYuLi5VU0QuSAEAAABLVQAAAwAAAAAAq3pFbyzw3gjon6+HLPDeCD5DSVEuTkFTREFROk1TRlQuSVFfREVGX1RBWF9MSUFCX0NVUlJFTlQuOTk1LjAyLzA4LzIwMjYuLi5VU0QuSAEAAABLVQAAAwAAAAAAq3pFbyzw3gg+x6+HLPDeCDFDSVEuTkFTREFROk1TRlQuSVFfTFRfREVCVC45OTYuMDIvMDgvMjAyNi4uLlVTRC5IAQAAAEtVAAACAAAABTQ3MDMyAQgAAAAFAAAAATEBAAAACy0xOTg1OTMxMjI0AwAAAAMxNjACAAAABDEwNDkEAAAAATAHAAAACDgvMi8yMDI2CAAAAAk2LzMwLzIwMjIJAAAAATCrekVvLPDeCNh4r4cs8N4IN0NJUS5OQVNEQVE6</t>
  </si>
  <si>
    <t>TVNGVC5JUV9VTkVBUk5fUkVWX0xULjk5Ny4wMi8wOC8yMDI2Li4uVVNELkgBAAAAS1UAAAIAAAAEMjkxMgEIAAAABQAAAAExAQAAAAstMTkzNDI1NDI1MAMAAAADMTYwAgAAAAQxMjU2BAAAAAEwBwAAAAg4LzIvMjAyNggAAAAJNi8zMC8yMDIzCQAAAAEwq3pFbyzw3gjYeK+HLPDeCDdDSVEuTkFTREFROk1TRlQuSVFfT1RIRVJfTElBQl9MVC45OTMuMDIvMDgvMjAyNi4uLlVTRC5IAQAAAEtVAAACAAAABTMwOTM2AQgAAAAFAAAAATEBAAAACy0yMTQwOTgxNDY5AwAAAAMxNjACAAAABDEwNjIEAAAAATAHAAAACDgvMi8yMDI2CAAAAAk2LzMwLzIwMTkJAAAAATCrekVvLPDeCOifr4cs8N4INkNJUS5OQVNEQVE6TVNGVC5JUV9QUkVGX0NPTlZFUlQuOTkyLjAyLzA4LzIwMjYuLi5VU0QuSAEAAABLVQAAAwAAAAAAq3pFbyzw3gg+x6+HLPDeCC5DSVEuTkFTREFROk1TRlQuSVFfQVBJQy45OTIuMDIvMDgvMjAyNi4uLlVTRC5IAQAAAEtVAAADAAAAAACrekVvLPDeCD7Hr4cs8N4IPUNJUS5OQVNEQVE6TVNGVC5JUV9UT1RBTF9DT01NT05fRVFVSVRZLjk5Ny4wMi8wOC8yMDI2Li4uVVNELkgBAAAAS1UAAAIAAAAGMjA2MjIzAQgAAAAFAAAAATEBAAAACy0xOTM0MjU0MjUwAwAAAAMxNjACAAAABDEwMDYEAAAAATAHAAAACDgvMi8yMDI2CAAAAAk2LzMwLzIwMjMJAAAAATCrekVvLPDeCOifr4cs8N4IM0NJUS5O</t>
  </si>
  <si>
    <t>QVNEQVE6TVNGVC5JUV9SVUFfR1JPU1MuOTkzLjAyLzA4LzIwMjYuLi5VU0QuSAEAAABLVQAAAwAAAAAAq3pFbyzw3gjon6+HLPDeCEFDSVEuTkFTREFROk1TRlQuSVFfUlVBX0NBUElUQUxfTEVBU0VfR1JPU1MuOTkzLjAyLzA4LzIwMjYuLi5VU0QuSAEAAABLVQAAAwAAAAAAq3pFbyzw3gjon6+HLPDeCEhDSVEuTkFTREFROk1TRlQuSVFfUlVBX09QRVJBVElOR19MRUFTRV9BQ0NVTV9ERVAuMTAwMC4wMi8wOC8yMDI2Li4uVVNELkgBAAAAS1UAAAMAAAAAAKt6RW8s8N4IRe6vhyzw3ghAQ0lRLk5BU0RBUTpNU0ZULklRX0ZJTkFOQ0VfTEVBU0VTX0NVUlJFTlQuOTk0LjAyLzA4LzIwMjYuLi5VU0QuSAEAAABLVQAAAgAAAAM1NDABCAAAAAUAAAABMQEAAAALLTIwODc0OTY2MjcDAAAAAzE2MAIAAAAFNDg5OTAEAAAAATAHAAAACDgvMi8yMDI2CAAAAAk2LzMwLzIwMjAJAAAAATCrekVvLPDeCEXur4cs8N4IS0NJUS5OQVNEQVE6TVNGVC5JUV9MVF9QT1JUSU9OX09QRVJfTEVBU0VfTElBQklMSVRJRVMuOTk5LjAyLzA4LzIwMjYuLi5VU0QuSAEAAABLVQAAAgAAAAUxNzQzNwEIAAAABQAAAAExAQAAAAstMTg4MDIyOTY4NgMAAAADMTYwAgAAAAU0ODM4MwQAAAABMAcAAAAIOC8yLzIwMjYIAAAACTYvMzAvMjAyNQkAAAABMKt6RW8s8N4IPsevhyzw3ghWQ0lRLk5BU0RBUTpNU0ZULklRX0ZJTkFOQ0lOR19P</t>
  </si>
  <si>
    <t>QkxJR19OT05fQ1VSUkVOVF9FWENMX09QRVJfTEVBU0VTLjk5NS4wMi8wOC8yMDI2Li4uVVNELkgBAAAAS1UAAAIAAAAFNjE4MjQBCAAAAAUAAAABMQEAAAALLTIwMzY4NDM4NDMDAAAAAzE2MAIAAAAFNDg5ODEEAAAAATAHAAAACDgvMi8yMDI2CAAAAAk2LzMwLzIwMjEJAAAAATCrekVvLPDeCD7Hr4cs8N4IM0NJUS5OQVNEQVE6TVNGVC5JUV9UQlZfU0hBUkUuOTk2LjAyLzA4LzIwMjYuLi5VU0QuSAEAAABLVQAAAgAAAAkxMS43NTI0MTEBCAAAAAUAAAABMQEAAAALLTE5ODU5MzEyMjQDAAAAAzE2MAIAAAAENDE1NgQAAAABMAcAAAAIOC8yLzIwMjYIAAAACTYvMzAvMjAyMgkAAAABMKt6RW8s8N4IPsevhyzw3gg0Q0lRLk5BU0RBUTpNU0ZULklRX1RPVEFMX0RFQlQuOTk2LjAyLzA4LzIwMjYuLi5VU0QuSAEAAABLVQAAAgAAAAU3ODQwMAEIAAAABQAAAAExAQAAAAstMTk4NTkzMTIyNAMAAAADMTYwAgAAAAQ0MTczBAAAAAEwBwAAAAg4LzIvMjAyNggAAAAJNi8zMC8yMDIyCQAAAAEwq3pFbyzw3ghWFbCHLPDeCDlDSVEuTkFTREFROk1TRlQuSVFfTkVUX1dPUktJTkdfQ0FQLjk5NC4wMi8wOC8yMDI2Li4uVVNELkgBAAAAS1UAAAIAAAAGLTIwOTgyAQgAAAAFAAAAATEBAAAACy0yMDg3NDk2NjI3AwAAAAMxNjACAAAABDEzMTEEAAAAATAHAAAACDgvMi8yMDI2CAAAAAk2LzMwLzIwMjAJAAAAATCrekVv</t>
  </si>
  <si>
    <t>LPDeCFYVsIcs8N4IMUNJUS5OQVNEQVE6TVNGVC5JUV9SQVdfSU5WLjk5NC4wMi8wOC8yMDI2Li4uVVNELkgBAAAAS1UAAAIAAAADNzAwAQgAAAAFAAAAATEBAAAACy0yMDg3NDk2NjI3AwAAAAMxNjACAAAABDMxNzEEAAAAATAHAAAACDgvMi8yMDI2CAAAAAk2LzMwLzIwMjAJAAAAATCrekVvLPDeCD7Hr4cs8N4IM0NJUS5OQVNEQVE6TVNGVC5JUV9NQUNISU5FUlkuOTk1LjAyLzA4LzIwMjYuLi5VU0QuSAEAAABLVQAAAgAAAAU1NjU5NAEIAAAABQAAAAExAQAAAAstMjAzNjg0Mzg0MwMAAAADMTYwAgAAAAQzMTE0BAAAAAEwBwAAAAg4LzIvMjAyNggAAAAJNi8zMC8yMDIxCQAAAAEwq3pFbyzw3ghF7q+HLPDeCEVDSVEuTkFTREFROk1TRlQuSVFfRklOX0RJVl9NSU5PUklUWV9JTlRfUkVERUVNLjk5Mi4wMi8wOC8yMDI2Li4uVVNELkgBAAAAS1UAAAMAAAAAAKt6RW8s8N4IRe6vhyzw3ghIQ0lRLk5BU0RBUTpNU0ZULklRX1RPVEFMX0dFTkVSQUxfUEFSVE5FUl9JTlRFUkVTVC45OTMuMDIvMDgvMjAyNi4uLlVTRC5IAQAAAEtVAAADAAAAAACrekVvLPDeCFYVsIcs8N4IPUNJUS5OQVNEQVE6TVNGVC5JUV9MSUFCSUxJVElFU19MRVZFTF8yLjk5OS4wMi8wOC8yMDI2Li4uVVNELkgBAAAAS1UAAAIAAAAFNDIyMzIAq3pFbyzw3ghWFbCHLPDeCD1DSVEuTkFTREFROk1TRlQuSVFfVE9UQUxfREVCVF9FWENM</t>
  </si>
  <si>
    <t>X0ZJTi45OTIuMDIvMDgvMjAyNi4uLlVTRC5IAQAAAEtVAAACAAAABTg3NTA4AQgAAAAFAAAAATEBAAAACjIwNDcyNzE3NDUDAAAAAzE2MAIAAAAFMjE4NjAEAAAAATAHAAAACDgvMi8yMDI2CAAAAAk2LzMwLzIwMTgJAAAAATCrekVvLPDeCEXur4cs8N4IOUNJUS5OQVNEQVE6TVNGVC5JUV9JTlRFUkNPTVBBTllfQ0wuOTk0LjAyLzA4LzIwMjYuLi5VU0QuSAEAAABLVQAAAwAAAAAAq3pFbyzw3ghF7q+HLPDeCDdDSVEuTkFTREFROk1TRlQuSVFfTEVHQUxfU0VUVExFLjEwMDAuMDIvMDgvMjAyNi4uLlVTRC5IAQAAAEtVAAADAAAAAACrekVvLPDeCEXur4cs8N4IMUNJUS5OQVNEQVE6TVNGVC5JUV9JTkNfVEFYLjk5OC4wMi8wOC8yMDI2Li4uVVNELkgBAAAAS1UAAAIAAAAFMTk2NTEBCAAAAAUAAAABMQEAAAALLTE4ODAyMjk2OTQDAAAAAzE2MAIAAAACNzUEAAAAATAHAAAACDgvMi8yMDI2CAAAAAk2LzMwLzIwMjQJAAAAATCrekVvLPDeCGc8sIcs8N4ILENJUS5OQVNEQVE6TVNGVC5JUV9ETy45OTkuMDIvMDgvMjAyNi4uLlVTRC5IAQAAAEtVAAADAAAAAACrekVvLPDeCGc8sIcs8N4INUNJUS5OQVNEQVE6TVNGVC5JUV9OSV9DT01QQU5ZLjEwMDAuMDIvMDgvMjAyNi4uLlVTRC5IAQAAAEtVAAACAAAABjEzMzc0OQEIAAAABQAAAAExAQAAAAstMTg4MDIyOTY2NQMAAAADMTYwAgAAAAU0MTU3MQQAAAAB</t>
  </si>
  <si>
    <t>MAcAAAAIOC8yLzIwMjYIAAAACTYvMzAvMjAyNgkAAAABMKt6RW8s8N4IVhWwhyzw3gg4Q0lRLk5BU0RBUTpNU0ZULklRX1BSRUZfRElWX09USEVSLjk5OC4wMi8wOC8yMDI2Li4uVVNELkgBAAAAS1UAAAMAAAAAAKt6RW8s8N4IVhWwhyzw3gg3Q0lRLk5BU0RBUTpNU0ZULklRX05JX0FWQUlMX0VYQ0wuOTk5LjAyLzA4LzIwMjYuLi5VU0QuSAEAAABLVQAAAgAAAAYxMDE4MzIBCAAAAAUAAAABMQEAAAALLTE4ODAyMjk2ODYDAAAAAzE2MAIAAAADMzc5BAAAAAEwBwAAAAg4LzIvMjAyNggAAAAJNi8zMC8yMDI1CQAAAAEwq3pFbyzw3ghWFbCHLPDeCDhDSVEuTkFTREFROk1TRlQuSVFfRElMVVRfRVBTX0VYQ0wuOTkzLjAyLzA4LzIwMjYuLi5VU0QuSAEAAABLVQAAAgAAAAQ1LjA2AQgAAAAFAAAAATEBAAAACy0yMTQwOTgxNDY5AwAAAAMxNjACAAAAAzE0MgQAAAABMAcAAAAIOC8yLzIwMjYIAAAACTYvMzAvMjAxOQkAAAABMKt6RW8s8N4IcmOwhyzw3ggzQ0lRLk5BU0RBUTpNU0ZULklRX0VQU19OT1JNLjEwMDAuMDIvMDgvMjAyNi4uLlVTRC5IAQAAAEtVAAACAAAACTEzLjQzNDI2MQEIAAAABQAAAAExAQAAAAstMTg4MDIyOTY2NQMAAAADMTYwAgAAAAQ0Mzc5BAAAAAEwBwAAAAg4LzIvMjAyNggAAAAJNi8zMC8yMDI2CQAAAAEwq3pFbyzw3ghyY7CHLPDeCDNDSVEuTkFTREFROk1TRlQuSVFfRElWX1NI</t>
  </si>
  <si>
    <t>QVJFLjk5NC4wMi8wOC8yMDI2Li4uVVNELkgBAAAAS1UAAAIAAAAEMi4wNAEIAAAABQAAAAExAQAAAAstMjA4NzQ5NjYyNwMAAAADMTYwAgAAAAQzMDU4BAAAAAEwBwAAAAg4LzIvMjAyNggAAAAJNi8zMC8yMDIwCQAAAAEwq3pFbyzw3ghnPLCHLPDeCDtDSVEuTkFTREFROk1TRlQuSVFfU1BFQ0lBTF9ESVZfU0hBUkUuOTk1LjAyLzA4LzIwMjYuLi5VU0QuSAEAAABLVQAAAwAAAAAAq3pFbyzw3ghnPLCHLPDeCDdDSVEuTkFTREFROk1TRlQuSVFfRUJJVERBX0VRX0lOQy45OTIuMDIvMDgvMjAyNi4uLlVTRC5IAQAAAEtVAAACAAAABTQ2NTQzAQgAAAAFAAAAATEBAAAACjIwNDcyNzE3NDUDAAAAAzE2MAIAAAAFMjE2NzcEAAAAATAHAAAACDgvMi8yMDI2CAAAAAk2LzMwLzIwMTgJAAAAATCrekVvLPDeCGc8sIcs8N4IP0NJUS5OQVNEQVE6TVNGVC5JUV9FQklUREFfTEVBU0VfQURKVVNURUQuOTk2LjAyLzA4LzIwMjYuLi5VU0QuSAEAAABLVQAAAgAAAAYxMDA0NDQBCAAAAAUAAAABMQEAAAALLTE5ODU5MzEyMjQDAAAAAzE2MAIAAAAFNDg5OTMEAAAAATAHAAAACDgvMi8yMDI2CAAAAAk2LzMwLzIwMjIJAAAAATCrekVvLPDeCHJjsIcs8N4IS0NJUS5OQVNEQVE6TVNGVC5JUV9FQklUREFfRVFfSU5DX0VYQ0xfT1BFUl9MRUFTRV9BREouOTk4LjAyLzA4LzIwMjYuLi5VU0QuSAEAAABLVQAAAgAAAAYxMjgx</t>
  </si>
  <si>
    <t>MTQBCAAAAAUAAAABMQEAAAALLTE4ODAyMjk2OTQDAAAAAzE2MAIAAAAFNDg5ODcEAAAAATAHAAAACDgvMi8yMDI2CAAAAAk2LzMwLzIwMjQJAAAAATCrekVvLPDeCHJjsIcs8N4INUNJUS5OQVNEQVE6TVNGVC5JUV9FQklUX0VRX0lOQy45OTIuMDIvMDgvMjAyNi4uLlVTRC5IAQAAAEtVAAACAAAABTM1MDU4AQgAAAAFAAAAATEBAAAACjIwNDcyNzE3NDUDAAAAAzE2MAIAAAAFMjE2NzUEAAAAATAHAAAACDgvMi8yMDI2CAAAAAk2LzMwLzIwMTgJAAAAATCrekVvLPDeCGc8sIcs8N4IL0NJUS5OQVNEQVE6TVNGVC5JUV9FQklUQS45OTcuMDIvMDgvMjAyNi4uLlVTRC5IAQAAAEtVAAACAAAABTkxMDIzAQgAAAAFAAAAATEBAAAACy0xOTM0MjU0MjUwAwAAAAMxNjACAAAABjEwMDY4OQQAAAABMAcAAAAIOC8yLzIwMjYIAAAACTYvMzAvMjAyMwkAAAABMKt6RW8s8N4IZzywhyzw3gg/Q0lRLk5BU0RBUTpNU0ZULklRX0VCSVRBX0VRX0lOQ19FWENMX1NCQy45OTkuMDIvMDgvMjAyNi4uLlVTRC5IAQAAAEtVAAACAAAABjE0MTc3NwEIAAAABQAAAAExAQAAAAstMTg4MDIyOTY4NgMAAAADMTYwAgAAAAUyNDEzMgQAAAABMAcAAAAIOC8yLzIwMjYIAAAACTYvMzAvMjAyNQkAAAABMKt6RW8s8N4IZzywhyzw3gg4Q0lRLk5BU0RBUTpNU0ZULklRX0VCSVREQVJfRVFfSU5DLjk5Ni4wMi8wOC8yMDI2Li4uVVNELkgB</t>
  </si>
  <si>
    <t>AAAAS1UAAAIAAAAGMTAyODczAQgAAAAFAAAAATEBAAAACy0xOTg1OTMxMjI0AwAAAAMxNjACAAAABTI0MTI5BAAAAAEwBwAAAAg4LzIvMjAyNggAAAAJNi8zMC8yMDIyCQAAAAEwq3pFbyzw3ggpjLCHLPDeCDpDSVEuTkFTREFROk1TRlQuSVFfRUJJVERBUl9FWENMX1NCQy45OTguMDIvMDgvMjAyNi4uLlVTRC5IAQAAAEtVAAACAAAABjE0MzcyMgEIAAAABQAAAAExAQAAAAstMTg4MDIyOTY5NAMAAAADMTYwAgAAAAUyNDEzNwQAAAABMAcAAAAIOC8yLzIwMjYIAAAACTYvMzAvMjAyNAkAAAABMKt6RW8s8N4IKYywhyzw3gg8Q0lRLk5BU0RBUTpNU0ZULklRX0ZFRVNfT1RIRVJfSU5DT01FLjEwMDAuMDIvMDgvMjAyNi4uLlVTRC5IAQAAAEtVAAADAAAAAABRU0VvLPDeCHJjsIcs8N4ITENJUS5OQVNEQVE6TVNGVC5JUV9QUk9WX0JBRF9ERUJUU19QQVRJRU5UX1NFUlZJQ0VfUkVWLjk5My4wMi8wOC8yMDI2Li4uVVNELkgBAAAAS1UAAAMAAAAAAFFTRW8s8N4IcmOwhyzw3ggxQ0lRLk5BU0RBUTpNU0ZULklRX05JX1NGQVMuOTk1LjAyLzA4LzIwMjYuLi5VU0QuSAEAAABLVQAAAwAAAAAAUVNFbyzw3ghyY7CHLPDeCEJDSVEuTkFTREFROk1TRlQuSVFfRVhDSVNFX1RBWEVTX0VYQ0xfU0FMRVMuMTAwMC4wMi8wOC8yMDI2Li4uVVNELkgBAAAAS1UAAAMAAAAAAFFTRW8s8N4IKYywhyzw3gg9Q0lRLk5BU0RB</t>
  </si>
  <si>
    <t>UTpNU0ZULklRX0NVUlJfRE9NRVNUSUNfVEFYRVMuOTk0LjAyLzA4LzIwMjYuLi5VU0QuSAEAAABLVQAAAgAAAAQ0MzAwAQgAAAAFAAAAATEBAAAACy0yMDg3NDk2NjI3AwAAAAMxNjACAAAABDMwMjcEAAAAATAHAAAACDgvMi8yMDI2CAAAAAk2LzMwLzIwMjAJAAAAATBRU0VvLPDeCCmMsIcs8N4INENJUS5OQVNEQVE6TVNGVC5JUV9DVVJSX1RBWEVTLjk5Ni4wMi8wOC8yMDI2Li4uVVNELkgBAAAAS1UAAAIAAAAFMTY2ODABCAAAAAUAAAABMQEAAAALLTE5ODU5MzEyMjQDAAAAAzE2MAIAAAAFMzUzODMEAAAAATAHAAAACDgvMi8yMDI2CAAAAAk2LzMwLzIwMjIJAAAAATBRU0VvLPDeCHJjsIcs8N4IP0NJUS5OQVNEQVE6TVNGVC5JUV9ERUZFUlJFRF9UQVhFU19UT1RBTC4xMDAwLjAyLzA4LzIwMjYuLi5VU0QuSAEAAABLVQAAAgAAAAUxNDQyNAEIAAAABQAAAAExAQAAAAstMTg4MDIyOTY2NQMAAAADMTYwAgAAAAUzNTM4NQQAAAABMAcAAAAIOC8yLzIwMjYIAAAACTYvMzAvMjAyNgkAAAABMFFTRW8s8N4IcmOwhyzw3ggxQ0lRLk5BU0RBUTpNU0ZULklRX05JX05PUk0uOTk1LjAyLzA4LzIwMjYuLi5VU0QuSAEAAABLVQAAAgAAAAg0MzY2OC43NQEIAAAABQAAAAExAQAAAAstMjAzNjg0Mzg0MwMAAAADMTYwAgAAAAQ0Mzc4BAAAAAEwBwAAAAg4LzIvMjAyNggAAAAJNi8zMC8yMDIxCQAAAAEwUVNFbyzw</t>
  </si>
  <si>
    <t>3ggpjLCHLPDeCDVDSVEuTkFTREFROk1TRlQuSVFfSU5UX0VYUF9MVEQuOTk5LjAyLzA4LzIwMjYuLi5VU0QuSAEAAABLVQAAAgAAAAQxNDE3AQgAAAAFAAAAATEBAAAACy0xODgwMjI5Njg2AwAAAAMxNjACAAAABDMxMDEEAAAAATAHAAAACDgvMi8yMDI2CAAAAAk2LzMwLzIwMjUJAAAAATBRU0VvLPDeCC0FsYcs8N4IPUNJUS5OQVNEQVE6TVNGVC5JUV9OT05DQVNIX1BFTlNJT05fRVhQLjk5Mi4wMi8wOC8yMDI2Li4uVVNELkgBAAAAS1UAAAMAAAAAAFFTRW8s8N4ILQWxhyzw3ggzQ0lRLk5BU0RBUTpNU0ZULklRX0RBX0VCSVREQS45OTYuMDIvMDgvMjAyNi4uLlVTRC5IAQAAAEtVAAACAAAABTE0NjAwAQgAAAAFAAAAATEBAAAACy0xOTg1OTMxMjI0AwAAAAMxNjACAAAABDIyMDYEAAAAATAHAAAACDgvMi8yMDI2CAAAAAk2LzMwLzIwMjIJAAAAATBRU0VvLPDeCCmMsIcs8N4INENJUS5OQVNEQVE6TVNGVC5JUV9DT01NT05fRElWLjk5Ni4wMi8wOC8yMDI2Li4uVVNELkgBAAAAS1UAAAIAAAAFMTg1NTIAUVNFbyzw3ggpjLCHLPDeCDVDSVEuTkFTREFROk1TRlQuSVFfQURWRVJUSVNJTkcuOTk1LjAyLzA4LzIwMjYuLi5VU0QuSAEAAABLVQAAAgAAAAQxNTAwAQgAAAAFAAAAATEBAAAACy0yMDM2ODQzODQzAwAAAAMxNjACAAAABDMwMTMEAAAAATAHAAAACDgvMi8yMDI2CAAAAAk2LzMwLzIwMjEJAAAA</t>
  </si>
  <si>
    <t>ATBRU0VvLPDeCCmMsIcs8N4IMENJUS5OQVNEQVE6TVNGVC5JUV9HQV9FWFAuOTkzLjAyLzA4LzIwMjYuLi5VU0QuSAEAAABLVQAAAgAAAAQ0ODg1AQgAAAAFAAAAATEBAAAACy0yMTQwOTgxNDY5AwAAAAMxNjACAAAABTIxNTYyBAAAAAEwBwAAAAg4LzIvMjAyNggAAAAJNi8zMC8yMDE5CQAAAAEwUVNFbyzw3ggtBbGHLPDeCDtDSVEuTkFTREFROk1TRlQuSVFfTkVUX1JFTlRBTF9FWFBfRk4uOTk0LjAyLzA4LzIwMjYuLi5VU0QuSAEAAABLVQAAAgAAAAQyMDQzAQgAAAAFAAAAATEBAAAACy0yMDg3NDk2NjI3AwAAAAMxNjACAAAABDMxNzAEAAAAATAHAAAACDgvMi8yMDI2CAAAAAk2LzMwLzIwMjAJAAAAATBRU0VvLPDeCJAssYcs8N4IP0NJUS5OQVNEQVE6TVNGVC5JUV9ORVRfUkVOVEFMX0VYUF9TVVBQTEUuOTk1LjAyLzA4LzIwMjYuLi5VU0QuSAEAAABLVQAAAgAAAAQyMTI3AQgAAAAFAAAAATEBAAAACy0yMDM2ODQzODQzAwAAAAMxNjACAAAABTI0MjYzBAAAAAEwBwAAAAg4LzIvMjAyNggAAAAJNi8zMC8yMDIxCQAAAAEwUVNFbyzw3gh1s7CHLPDeCDZDSVEuTkFTREFROk1TRlQuSVFfT1RIRVJfUkVOVEFMLjk5My4wMi8wOC8yMDI2Li4uVVNELkgBAAAAS1UAAAMAAAAAAFFTRW8s8N4IdbOwhyzw3ghEQ0lRLk5BU0RBUTpNU0ZULklRX0RFUFJFQ0lBVElPTl9SRU5UQUxfQVNTRVRTLjk5NC4wMi8w</t>
  </si>
  <si>
    <t>OC8yMDI2Li4uVVNELkgBAAAAS1UAAAMAAAAAAFFTRW8s8N4ILQWxhyzw3ghCQ0lRLk5BU0RBUTpNU0ZULklRX0lNUFVUX09QRVJfTEVBU0VfSU5UX0VYUC45OTIuMDIvMDgvMjAyNi4uLlVTRC5IAQAAAEtVAAACAAAACTM3OC42NjI4NAEIAAAABQAAAAExAQAAAAoyMDQ3MjcxNzQ1AwAAAAMxNjACAAAABTIxNjcyBAAAAAEwBwAAAAg4LzIvMjAyNggAAAAJNi8zMC8yMDE4CQAAAAEwUVNFbyzw3giQLLGHLPDeCEFDSVEuTkFTREFROk1TRlQuSVFfU0FMQVJJRVNfT1RIRVJfQkVORUZJVFMuOTkzLjAyLzA4LzIwMjYuLi5VU0QuSAEAAABLVQAAAwAAAAAAUVNFbyzw3giQLLGHLPDeCDdDSVEuTkFTREFROk1TRlQuSVFfTUVSR0VSX1NVUFBMRS45OTUuMDIvMDgvMjAyNi4uLlVTRC5IAQAAAEtVAAADAAAAAABRU0VvLPDeCC0FsYcs8N4INUNJUS5OQVNEQVE6TVNGVC5JUV9JUFJEX1NVUFBMRS45OTIuMDIvMDgvMjAyNi4uLlVTRC5IAQAAAEtVAAADAAAAAABRU0VvLPDeCC0FsYcs8N4IQUNJUS5OQVNEQVE6TVNGVC5JUV9HQUlOX0JBUkdBSU5fQUNRX1NVUFBMRS45OTQuMDIvMDgvMjAyNi4uLlVTRC5IAQAAAEtVAAADAAAAAABRU0VvLPDeCC0FsYcs8N4IP0NJUS5OQVNEQVE6TVNGVC5JUV9PVEhFUl9VTlVTVUFMX1NVUFBMRS4xMDAwLjAyLzA4LzIwMjYuLi5VU0QuSAEAAABLVQAAAwAAAAAAUVNFbyzw3gii</t>
  </si>
  <si>
    <t>U7GHLPDeCDtDSVEuTkFTREFROk1TRlQuSVFfTkVHQVRJVkVfR1dfQU1PUlQuOTkzLjAyLzA4LzIwMjYuLi5VU0QuSAEAAABLVQAAAwAAAAAAUVNFbyzw3giiU7GHLPDeCDpDSVEuTkFTREFROk1TRlQuSVFfU1RPQ0tfQkFTRURfQ09HUy45OTUuMDIvMDgvMjAyNi4uLlVTRC5IAQAAAEtVAAADAAAAAABRU0VvLPDeCJAssYcs8N4IOUNJUS5OQVNEQVE6TVNGVC5JUV9TVE9DS19CQVNFRF9HQS4xMDAwLjAyLzA4LzIwMjYuLi5VU0QuSAEAAABLVQAAAwAAAAAAUVNFbyzw3giQLLGHLPDeCENDSVEuTkFTREFROk1TRlQuSVFfU1RPQ0tfQkFTRURfRVhQTE9SRV9EUklMTC45OTQuMDIvMDgvMjAyNi4uLlVTRC5IAQAAAEtVAAADAAAAAABRU0VvLPDeCJAssYcs8N4IO0NJUS5OQVNEQVE6TVNGVC5JUV9TVE9DS19CQVNFRF9UT1RBTC45OTkuMDIvMDgvMjAyNi4uLlVTRC5IAQAAAEtVAAACAAAABTExOTc0AQgAAAAFAAAAATEBAAAACy0xODgwMjI5Njg2AwAAAAMxNjACAAAABTI0MDM0BAAAAAEwBwAAAAg4LzIvMjAyNggAAAAJNi8zMC8yMDI1CQAAAAEwUVNFbyzw3giverGHLPDeCD9DSVEuTkFTREFROk1TRlQuSVFfUkVTVFJfU1RPQ0tfQ09NUF9UQVguMTAwMC4wMi8wOC8yMDI2Li4uVVNELkgBAAAAS1UAAAMAAAAAAFFTRW8s8N4Ir3qxhyzw3ghDQ0lRLk5BU0RBUTpNU0ZULklRX1NUT0NLX09QVElPTlNfQ09N</t>
  </si>
  <si>
    <t>UF9QUkVUQVguOTk1LjAyLzA4LzIwMjYuLi5VU0QuSAEAAABLVQAAAwAAAAAAUVNFbyzw3giQLLGHLPDeCEFDSVEuTkFTREFROk1TRlQuSVFfU1RPQ0tfQkFTRURfQ09NUF9QUkVUQVguOTk5LjAyLzA4LzIwMjYuLi5VU0QuSAEAAABLVQAAAgAAAAUxMTk3NABRU0VvLPDeCKJTsYcs8N4IL0NJUS5OQVNEQVE6TVNGVC5JUV9OSV9DRi45OTIuMDIvMDgvMjAyNi4uLlVTRC5IAQAAAEtVAAACAAAABTE2NTcxAQgAAAAFAAAAATEBAAAACjIwNDcyNzE3NDUDAAAAAzE2MAIAAAAEMjE1MAQAAAABMAcAAAAIOC8yLzIwMjYIAAAACTYvMzAvMjAxOAkAAAABMFFTRW8s8N4IolOxhyzw3gg0Q0lRLk5BU0RBUTpNU0ZULklRX09JTF9JTVBBSVIuOTk2LjAyLzA4LzIwMjYuLi5VU0QuSAEAAABLVQAAAwAAAAAAUVNFbyzw3giverGHLPDeCDBDSVEuTkFTREFROk1TRlQuSVFfREFfQ0YuMTAwMC4wMi8wOC8yMDI2Li4uVVNELkgBAAAAS1UAAAIAAAAFMzkwMDABCAAAAAUAAAABMQEAAAALLTE4ODAyMjk2NjUDAAAAAzE2MAIAAAAEMjE2MAQAAAABMAcAAAAIOC8yLzIwMjYIAAAACTYvMzAvMjAyNgkAAAABMFFTRW8s8N4Ir3qxhyzw3gg4Q0lRLk5BU0RBUTpNU0ZULklRX0dBSU5fQVNTRVRTX0NGLjk5My4wMi8wOC8yMDI2Li4uVVNELkgBAAAAS1UAAAMAAAAAAFFTRW8s8N4IolOxhyzw3ggyQ0lRLk5BU0RBUTpNU0ZULklR</t>
  </si>
  <si>
    <t>X0xPQU5TX0NGLjk5Ny4wMi8wOC8yMDI2Li4uVVNELkgBAAAAS1UAAAMAAAAAAFFTRW8s8N4IolOxhyzw3gg3Q0lRLk5BU0RBUTpNU0ZULklRX0lOQ19FUVVJVFlfQ0YuOTkyLjAyLzA4LzIwMjYuLi5VU0QuSAEAAABLVQAAAwAAAAAAUVNFbyzw3giiU7GHLPDeCDtDSVEuTkFTREFROk1TRlQuSVFfUFJPVl9CQURfREVCVFNfQ0YuOTk2LjAyLzA4LzIwMjYuLi5VU0QuSAEAAABLVQAAAwAAAAAAUVNFbyzw3gjEobGHLPDeCDhDSVEuTkFTREFROk1TRlQuSVFfT1RIRVJfT1BFUl9BQ1QuOTk4LjAyLzA4LzIwMjYuLi5VU0QuSAEAAABLVQAAAgAAAAUtMzc4MAEIAAAABQAAAAExAQAAAAstMTg4MDIyOTY5NAMAAAADMTYwAgAAAAQyMDQ3BAAAAAEwBwAAAAg4LzIvMjAyNggAAAAJNi8zMC8yMDI0CQAAAAEwUVNFbyzw3gjEobGHLPDeCDNDSVEuTkFTREFROk1TRlQuSVFfQ0hBTkdFX0FSLjk5Mi4wMi8wOC8yMDI2Li4uVVNELkgBAAAAS1UAAAIAAAAFLTM4NjIBCAAAAAUAAAABMQEAAAAKMjA0NzI3MTc0NQMAAAADMTYwAgAAAAQyMDE4BAAAAAEwBwAAAAg4LzIvMjAyNggAAAAJNi8zMC8yMDE4CQAAAAEwUVNFbyzw3giverGHLPDeCDtDSVEuTkFTREFROk1TRlQuSVFfQ0hBTkdFX1VORUFSTl9SRVYuOTk3LjAyLzA4LzIwMjYuLi5VU0QuSAEAAABLVQAAAgAAAAQ1NTM1AQgAAAAFAAAAATEBAAAACy0xOTM0MjU0</t>
  </si>
  <si>
    <t>MjUwAwAAAAMxNjACAAAABDIxMzkEAAAAATAHAAAACDgvMi8yMDI2CAAAAAk2LzMwLzIwMjMJAAAAATBRU0VvLPDeCK96sYcs8N4IOENJUS5OQVNEQVE6TVNGVC5JUV9DSEFOR0VfREVGX1RBWC45OTkuMDIvMDgvMjAyNi4uLlVTRC5IAQAAAEtVAAADAAAAAABRU0VvLPDeCK96sYcs8N4IL0NJUS5OQVNEQVE6TVNGVC5JUV9DQVBFWC45OTYuMDIvMDgvMjAyNi4uLlVTRC5IAQAAAEtVAAACAAAABi0yMzg4NgEIAAAABQAAAAExAQAAAAstMTk4NTkzMTIyNAMAAAADMTYwAgAAAAQyMDIxBAAAAAEwBwAAAAg4LzIvMjAyNggAAAAJNi8zMC8yMDIyCQAAAAEwUVNFbyzw3gjQyLGHLPDeCDlDSVEuTkFTREFROk1TRlQuSVFfQ0FTSF9BQ1FVSVJFX0NGLjk5OC4wMi8wOC8yMDI2Li4uVVNELkgBAAAAS1UAAAIAAAAGLTY5MTMyAQgAAAAFAAAAATEBAAAACy0xODgwMjI5Njk0AwAAAAMxNjACAAAABDIwNTcEAAAAATAHAAAACDgvMi8yMDI2CAAAAAk2LzMwLzIwMjQJAAAAATBRU0VvLPDeCNDIsYcs8N4IPkNJUS5OQVNEQVE6TVNGVC5JUV9TQUxFX1JFQUxfRVNUQVRFX0NGLjEwMDAuMDIvMDgvMjAyNi4uLlVTRC5IAQAAAEtVAAADAAAAAABRU0VvLPDeCMShsYcs8N4IOUNJUS5OQVNEQVE6TVNGVC5JUV9JTlZFU1RfTE9BTlNfQ0YuOTk3LjAyLzA4LzIwMjYuLi5VU0QuSAEAAABLVQAAAwAAAAAAUVNFbyzw3gjEobGH</t>
  </si>
  <si>
    <t>LPDeCDVDSVEuTkFTREFROk1TRlQuSVFfQ0FTSF9JTlZFU1QuOTk5LjAyLzA4LzIwMjYuLi5VU0QuSAEAAABLVQAAAgAAAAYtNzI1OTkBCAAAAAUAAAABMQEAAAALLTE4ODAyMjk2ODYDAAAAAzE2MAIAAAAEMjAwNQQAAAABMAcAAAAIOC8yLzIwMjYIAAAACTYvMzAvMjAyNQkAAAABMFFTRW8s8N4IxKGxhyzw3gg7Q0lRLk5BU0RBUTpNU0ZULklRX1RPVEFMX0RFQlRfSVNTVUVELjk5Ni4wMi8wOC8yMDI2Li4uVVNELkgBAAAAS1UAAAMAAAAAAFFTRW8s8N4I0Mixhyzw3gg4Q0lRLk5BU0RBUTpNU0ZULklRX0xUX0RFQlRfUkVQQUlELjk5OC4wMi8wOC8yMDI2Li4uVVNELkgBAAAAS1UAAAIAAAAGLTI5MDcwAQgAAAAFAAAAATEBAAAACy0xODgwMjI5Njk0AwAAAAMxNjACAAAABDIwMzYEAAAAATAHAAAACDgvMi8yMDI2CAAAAAk2LzMwLzIwMjQJAAAAATBRU0VvLPDeCOLvsYcs8N4IN0NJUS5OQVNEQVE6TVNGVC5JUV9DT01NT05fSVNTVUVELjk5OS4wMi8wOC8yMDI2Li4uVVNELkgBAAAAS1UAAAIAAAAEMjA1NgEIAAAABQAAAAExAQAAAAstMTg4MDIyOTY4NgMAAAADMTYwAgAAAAQyMTY5BAAAAAEwBwAAAAg4LzIvMjAyNggAAAAJNi8zMC8yMDI1CQAAAAEwUVNFbyzw3gjEobGHLPDeCDJDSVEuTkFTREFROk1TRlQuSVFfUFJFRl9SRVAuOTk3LjAyLzA4LzIwMjYuLi5VU0QuSAEAAABLVQAAAwAAAAAAUVNF</t>
  </si>
  <si>
    <t>byzw3gjEobGHLPDeCDVDSVEuTkFTREFROk1TRlQuSVFfUFJFRl9ESVZfQ0YuOTk4LjAyLzA4LzIwMjYuLi5VU0QuSAEAAABLVQAAAwAAAAAAUVNFbyzw3gjQyLGHLPDeCDhDSVEuTkFTREFROk1TRlQuSVFfU1BFQ0lBTF9ESVZfQ0YuOTk2LjAyLzA4LzIwMjYuLi5VU0QuSAEAAABLVQAAAwAAAAAAUVNFbyzw3gi3A7KHLPDeCDRDSVEuTkFTREFROk1TRlQuSVFfQ0FTSF9GSU5BTi45OTcuMDIvMDgvMjAyNi4uLlVTRC5IAQAAAEtVAAACAAAABi00MzkzNQEIAAAABQAAAAExAQAAAAstMTkzNDI1NDI1MAMAAAADMTYwAgAAAAQyMDA0BAAAAAEwBwAAAAg4LzIvMjAyNggAAAAJNi8zMC8yMDIzCQAAAAEwUVNFbyzw3gi3A7KHLPDeCDRDSVEuTkFTREFROk1TRlQuSVFfTkVUX0NIQU5HRS45OTYuMDIvMDgvMjAyNi4uLlVTRC5IAQAAAEtVAAACAAAABC0yOTMBCAAAAAUAAAABMQEAAAALLTE5ODU5MzEyMjQDAAAAAzE2MAIAAAAEMjA5MwQAAAABMAcAAAAIOC8yLzIwMjYIAAAACTYvMzAvMjAyMgkAAAABMFFTRW8s8N4I0Mixhyzw3gg1Q0lRLk5BU0RBUTpNU0ZULklRX0RFUFJFX1NVUFAuMTAwMC4wMi8wOC8yMDI2Li4uVVNELkgBAAAAS1UAAAIAAAAFMzQzMDABCAAAAAUAAAABMQEAAAALLTE4ODAyMjk2NjUDAAAAAzE2MAIAAAAEMjE0MwQAAAABMAcAAAAIOC8yLzIwMjYIAAAACTYvMzAvMjAyNgkAAAABMFFT</t>
  </si>
  <si>
    <t>RW8s8N4I0Mixhyzw3ggxQ0lRLk5BU0RBUTpNU0ZULklRX0RFUF9SVUEuOTk2LjAyLzA4LzIwMjYuLi5VU0QuSAEAAABLVQAAAwAAAAAAUVNFbyzw3gjQyLGHLPDeCD5DSVEuTkFTREFROk1TRlQuSVFfTkVHQVRJVkVfR1dfQU1PUlRfQ0YuOTk1LjAyLzA4LzIwMjYuLi5VU0QuSAEAAABLVQAAAwAAAAAAUVNFbyzw3gi3A7KHLPDeCEVDSVEuTkFTREFROk1TRlQuSVFfU0FMRV9QUk9DRUVEU19SRU5UQUxfQVNTRVRTLjk5NC4wMi8wOC8yMDI2Li4uVVNELkgBAAAAS1UAAAMAAAAAAFFTRW8s8N4IBiuyhyzw3ghAQ0lRLk5BU0RBUTpNU0ZULklRX0NBU0hfSU5URVJFU1RfUkVDRUlWRUQuOTk1LjAyLzA4LzIwMjYuLi5VU0QuSAEAAABLVQAAAwAAAAAAUVNFbyzw3gji77GHLPDeCD5DSVEuTkFTREFROk1TRlQuSVFfQ0FTSF9JTlRFUkVTVF9JTlZFU1QuOTk3LjAyLzA4LzIwMjYuLi5VU0QuSAEAAABLVQAAAwAAAAAAUVNFbyzw3gji77GHLPDeCDlDSVEuTkFTREFROk1TRlQuSVFfQ0FTSF9UQVhFU19PUEVSLjk5Ny4wMi8wOC8yMDI2Li4uVVNELkgBAAAAS1UAAAMAAAAAAFFTRW8s8N4ItwOyhyzw3gg7Q0lRLk5BU0RBUTpNU0ZULklRX0NBU0hfVEFYRVNfRklOQU4uMTAwMC4wMi8wOC8yMDI2Li4uVVNELkgBAAAAS1UAAAMAAAAAAFFTRW8s8N4IBiuyhyzw3gg2Q0lRLk5BU0RBUTpNU0ZULklRX0xFVkVSRURf</t>
  </si>
  <si>
    <t>RkNGLjEwMDAuMDIvMDgvMjAyNi4uLlVTRC5IAQAAAEtVAAACAAAABzE2MzYzLjUBCAAAAAUAAAABMQEAAAALLTE4ODAyMjk2NjUDAAAAAzE2MAIAAAAENDQyMgQAAAABMAcAAAAIOC8yLzIwMjYIAAAACTYvMzAvMjAyNgkAAAABMFFTRW8s8N4IBiuyhyzw3gg5Q0lRLk5BU0RBUTpNU0ZULklRX05FVF9ERUJUX0lTU1VFRC45OTkuMDIvMDgvMjAyNi4uLlVTRC5IAQAAAEtVAAACAAAABS04OTYyAQgAAAAFAAAAATEBAAAACy0xODgwMjI5Njg2AwAAAAMxNjACAAAABDIwMDMEAAAAATAHAAAACDgvMi8yMDI2CAAAAAk2LzMwLzIwMjUJAAAAATBRU0VvLPDeCLcDsocs8N4IN0NJUS5OQVNEQVE6TVNGVC5JUV9ET19GSU5BTkNFX0NGLjk5Mi4wMi8wOC8yMDI2Li4uVVNELkgBAAAAS1UAAAMAAAAAAFFTRW8s8N4ItwOyhyzw3ghGQ0lRLk5BU0RBUTpNU0ZULklRX09QRVJBVElOR19MRUFTRV9MSUFCSUxJVElFUy4xMDAwLjAyLzA4LzIwMjYuLi5VU0QuSAEAAABLVQAAAwAAAAAAUVNFbyzw3gi3A7KHLPDeCEdDSVEuTkFTREFROk1TRlQuSVFfVE9UQUxfREVCVF9SRVBBSURfRVhDTF9MRUFTRVMuOTk5LjAyLzA4LzIwMjYuLi5VU0QuSAEAAABLVQAAAgAAAAUtODk2MgEIAAAABQAAAAExAQAAAAstMTg4MDIyOTY4NgMAAAADMTYwAgAAAAU0ODk4NgQAAAABMAcAAAAIOC8yLzIwMjYIAAAACTYvMzAvMjAyNQkAAAAB</t>
  </si>
  <si>
    <t>MFFTRW8s8N4IPFKyhyzw3gg0Q0lRLk5BU0RBUTpNU0ZULklRX0NBU0hfRVFVSVYuOTk5LjAyLzA4LzIwMjYuLi5VU0QuSAEAAABLVQAAAgAAAAUzMDI0MgEIAAAABQAAAAExAQAAAAstMTg4MDIyOTY4NgMAAAADMTYwAgAAAAQxMDk2BAAAAAEwBwAAAAg4LzIvMjAyNggAAAAJNi8zMC8yMDI1CQAAAAEwUVNFbyzw3gg8UrKHLPDeCDlDSVEuTkFTREFROk1TRlQuSVFfQ0FTSF9TVF9JTlZFU1QuMTAwMC4wMi8wOC8yMDI2Li4uVVNELkgBAAAAS1UAAAIAAAAFNzY2NTEBCAAAAAUAAAABMQEAAAALLTE4ODAyMjk2NjUDAAAAAzE2MAIAAAAEMTAwMgQAAAABMAcAAAAIOC8yLzIwMjYIAAAACTYvMzAvMjAyNgkAAAABMFFTRW8s8N4IBiuyhyzw3gg4Q0lRLk5BU0RBUTpNU0ZULklRX1NUX05PVEVfUkVDRUlWLjk5Mi4wMi8wOC8yMDI2Li4uVVNELkgBAAAAS1UAAAMAAAAAAFFTRW8s8N4IBiuyhyzw3gg1Q0lRLk5BU0RBUTpNU0ZULklRX1BSRVBBSURfRVhQLjk5My4wMi8wOC8yMDI2Li4uVVNELkgBAAAAS1UAAAMAAAAAAFFTRW8s8N4IBiuyhyzw3ghAQ0lRLk5BU0RBUTpNU0ZULklRX0ZJTl9ESVZfQVNTRVRTX0NVUlJFTlQuOTk1LjAyLzA4LzIwMjYuLi5VU0QuSAEAAABLVQAAAwAAAAAAUVNFbyzw3gg8UrKHLPDeCDlDSVEuTkFTREFROk1TRlQuSVFfT1RIRVJfQ0FfU1VQUEwuMTAwMC4wMi8wOC8yMDI2Li4u</t>
  </si>
  <si>
    <t>VVNELkgBAAAAS1UAAAIAAAAFMjA5ODYBCAAAAAUAAAABMQEAAAALLTE4ODAyMjk2NjUDAAAAAzE2MAIAAAAEMTA1NQQAAAABMAcAAAAIOC8yLzIwMjYIAAAACTYvMzAvMjAyNgkAAAABMFFTRW8s8N4IPFKyhyzw3ggsQ0lRLk5BU0RBUTpNU0ZULklRX0FELjk5Mi4wMi8wOC8yMDI2Li4uVVNELkgBAAAAS1UAAAIAAAAGLTI5MjIzAQgAAAAFAAAAATEBAAAACjIwNDcyNzE3NDUDAAAAAzE2MAIAAAAEMTA3NQQAAAABMAcAAAAIOC8yLzIwMjYIAAAACTYvMzAvMjAxOAkAAAABMFFTRW8s8N4IBiuyhyzw3ggsQ0lRLk5BU0RBUTpNU0ZULklRX0dXLjk5NC4wMi8wOC8yMDI2Li4uVVNELkgBAAAAS1UAAAIAAAAFNDMzNTEBCAAAAAUAAAABMQEAAAALLTIwODc0OTY2MjcDAAAAAzE2MAIAAAAEMTE3MQQAAAABMAcAAAAIOC8yLzIwMjYIAAAACTYvMzAvMjAyMAkAAAABMFFTRW8s8N4IBiuyhyzw3gg6Q0lRLk5BU0RBUTpNU0ZULklRX0ZJTl9ESVZfTE9BTlNfTFQuOTk4LjAyLzA4LzIwMjYuLi5VU0QuSAEAAABLVQAAAwAAAAAAUVNFbyzw3gg8UrKHLPDeCDlDSVEuTkFTREFROk1TRlQuSVFfTE9BTlNfUkVDRUlWX0xULjk5OC4wMi8wOC8yMDI2Li4uVVNELkgBAAAAS1UAAAMAAAAAAFFTRW8s8N4IRXmyhyzw3gg5Q0lRLk5BU0RBUTpNU0ZULklRX09USEVSX0xUX0FTU0VUUy45OTguMDIvMDgvMjAyNi4uLlVTRC5I</t>
  </si>
  <si>
    <t>AQAAAEtVAAACAAAABDkyOTABCAAAAAUAAAABMQEAAAALLTE4ODAyMjk2OTQDAAAAAzE2MAIAAAAEMTA2MAQAAAABMAcAAAAIOC8yLzIwMjYIAAAACTYvMzAvMjAyNAkAAAABMFFTRW8s8N4IRXmyhyzw3ggsQ0lRLk5BU0RBUTpNU0ZULklRX0FFLjk5Mi4wMi8wOC8yMDI2Li4uVVNELkgBAAAAS1UAAAIAAAAENjEwMwEIAAAABQAAAAExAQAAAAoyMDQ3MjcxNzQ1AwAAAAMxNjACAAAABDEwMTYEAAAAATAHAAAACDgvMi8yMDI2CAAAAAk2LzMwLzIwMTgJAAAAATBRU0VvLPDeCDxSsocs8N4IO0NJUS5OQVNEQVE6TVNGVC5JUV9DVVJSRU5UX1BPUlRfREVCVC45OTQuMDIvMDgvMjAyNi4uLlVTRC5IAQAAAEtVAAACAAAABDM3NDkBCAAAAAUAAAABMQEAAAALLTIwODc0OTY2MjcDAAAAAzE2MAIAAAAEMTI5NwQAAAABMAcAAAAIOC8yLzIwMjYIAAAACTYvMzAvMjAyMAkAAAABMFFTRW8s8N4IPFKyhyzw3gg+Q0lRLk5BU0RBUTpNU0ZULklRX0ZJTl9ESVZfTElBQl9DVVJSRU5ULjk5NC4wMi8wOC8yMDI2Li4uVVNELkgBAAAAS1UAAAMAAAAAAFFTRW8s8N4IPFKyhyzw3gg4Q0lRLk5BU0RBUTpNU0ZULklRX09USEVSX0NMX1NVUFBMLjk5My4wMi8wOC8yMDI2Li4uVVNELkgBAAAAS1UAAAIAAAAENzUxOQEIAAAABQAAAAExAQAAAAstMjE0MDk4MTQ2OQMAAAADMTYwAgAAAAQxMDU3BAAAAAEwBwAAAAg4LzIvMjAy</t>
  </si>
  <si>
    <t>NggAAAAJNi8zMC8yMDE5CQAAAAEwUVNFbyzw3ghFebKHLPDeCDFDSVEuTkFTREFROk1TRlQuSVFfTFRfREVCVC45OTguMDIvMDgvMjAyNi4uLlVTRC5IAQAAAEtVAAACAAAABTQyNjg4AQgAAAAFAAAAATEBAAAACy0xODgwMjI5Njk0AwAAAAMxNjACAAAABDEwNDkEAAAAATAHAAAACDgvMi8yMDI2CAAAAAk2LzMwLzIwMjQJAAAAATBRU0VvLPDeCEV5socs8N4IOkNJUS5OQVNEQVE6TVNGVC5JUV9GSU5fRElWX0xJQUJfTFQuMTAwMC4wMi8wOC8yMDI2Li4uVVNELkgBAAAAS1UAAAMAAAAAAFFTRW8s8N4IRXmyhyzw3gg3Q0lRLk5BU0RBUTpNU0ZULklRX09USEVSX0xJQUJfTFQuOTk0LjAyLzA4LzIwMjYuLi5VU0QuSAEAAABLVQAAAgAAAAUzMTEwOAEIAAAABQAAAAExAQAAAAstMjA4NzQ5NjYyNwMAAAADMTYwAgAAAAQxMDYyBAAAAAEwBwAAAAg4LzIvMjAyNggAAAAJNi8zMC8yMDIwCQAAAAEwUVNFbyzw3ghFebKHLPDeCDZDSVEuTkFTREFROk1TRlQuSVFfUFJFRl9DT05WRVJULjk5My4wMi8wOC8yMDI2Li4uVVNELkgBAAAAS1UAAAMAAAAAAFFTRW8s8N4IRXmyhyzw3gguQ0lRLk5BU0RBUTpNU0ZULklRX0FQSUMuOTkzLjAyLzA4LzIwMjYuLi5VU0QuSAEAAABLVQAAAwAAAAAAUVNFbyzw3ghFebKHLPDeCDdDSVEuTkFTREFROk1TRlQuSVFfT1RIRVJfRVFVSVRZLjEwMDAuMDIvMDgvMjAyNi4uLlVT</t>
  </si>
  <si>
    <t>RC5IAQAAAEtVAAACAAAABS0zMjg0AQgAAAAFAAAAATEBAAAACy0xODgwMjI5NjY1AwAAAAMxNjACAAAABDEwMjgEAAAAATAHAAAACDgvMi8yMDI2CAAAAAk2LzMwLzIwMjYJAAAAATBRU0VvLPDeCEV5socs8N4IO0NJUS5OQVNEQVE6TVNGVC5JUV9UT1RBTF9MSUFCX0VRVUlUWS45OTcuMDIvMDgvMjAyNi4uLlVTRC5IAQAAAEtVAAACAAAABjQxMTk3NgEIAAAABQAAAAExAQAAAAstMTkzNDI1NDI1MAMAAAADMTYwAgAAAAQxMDEzBAAAAAEwBwAAAAg4LzIvMjAyNggAAAAJNi8zMC8yMDIzCQAAAAEwUVNFbyzw3ghFebKHLPDeCEFDSVEuTkFTREFROk1TRlQuSVFfUlVBX0NBUElUQUxfTEVBU0VfR1JPU1MuOTk5LjAyLzA4LzIwMjYuLi5VU0QuSAEAAABLVQAAAwAAAAAAUVNFbyzw3ghFebKHLPDeCEFDSVEuTkFTREFROk1TRlQuSVFfUlVBX09QRVJBVElOR19MRUFTRV9ORVQuOTk2LjAyLzA4LzIwMjYuLi5VU0QuSAEAAABLVQAAAwAAAAAAUVNFbyzw3ghFebKHLPDeCEBDSVEuTkFTREFROk1TRlQuSVFfRklOQU5DRV9MRUFTRVNfQ1VSUkVOVC45OTcuMDIvMDgvMjAyNi4uLlVTRC5IAQAAAEtVAAACAAAABDExOTcBCAAAAAUAAAABMQEAAAALLTE5MzQyNTQyNTADAAAAAzE2MAIAAAAFNDg5OTAEAAAAATAHAAAACDgvMi8yMDI2CAAAAAk2LzMwLzIwMjMJAAAAATBRU0VvLPDeCB20socs8N4ITENJUS5OQVNE</t>
  </si>
  <si>
    <t>QVE6TVNGVC5JUV9MVF9QT1JUSU9OX09QRVJfTEVBU0VfTElBQklMSVRJRVMuMTAwMC4wMi8wOC8yMDI2Li4uVVNELkgBAAAAS1UAAAIAAAAFMTY1MzIBCAAAAAUAAAABMQEAAAALLTE4ODAyMjk2NjUDAAAAAzE2MAIAAAAFNDgzODMEAAAAATAHAAAACDgvMi8yMDI2CAAAAAk2LzMwLzIwMjYJAAAAATBRU0VvLPDeCB20socs8N4IRUNJUS5OQVNEQVE6TVNGVC5JUV9UT1RBTF9ERUJUX0VYQ0xfT1BFUl9MRUFTRVMuOTk5LjAyLzA4LzIwMjYuLi5VU0QuSAEAAABLVQAAAgAAAAU4OTMyMwEIAAAABQAAAAExAQAAAAstMTg4MDIyOTY4NgMAAAADMTYwAgAAAAU0ODk4MgQAAAABMAcAAAAIOC8yLzIwMjYIAAAACTYvMzAvMjAyNQkAAAABMFFTRW8s8N4IRXmyhyzw3ggzQ0lRLk5BU0RBUTpNU0ZULklRX1RCVl9TSEFSRS45OTcuMDIvMDgvMjAyNi4uLlVTRC5IAQAAAEtVAAACAAAACTE3LjM1MzQ3MQEIAAAABQAAAAExAQAAAAstMTkzNDI1NDI1MAMAAAADMTYwAgAAAAQ0MTU2BAAAAAEwBwAAAAg4LzIvMjAyNggAAAAJNi8zMC8yMDIzCQAAAAEwUVNFbyzw3ghFebKHLPDeCDxDSVEuTkFTREFROk1TRlQuSVFfVE9UQUxfREVCVF9DVVJSRU5ULjk5Ni4wMi8wOC8yMDI2Li4uVVNELkgBAAAAS1UAAAIAAAAENjAzNwEIAAAABQAAAAExAQAAAAstMTk4NTkzMTIyNAMAAAADMTYwAgAAAAUyNTIyMwQAAAABMAcAAAAI</t>
  </si>
  <si>
    <t>OC8yLzIwMjYIAAAACTYvMzAvMjAyMgkAAAABMFFTRW8s8N4IRXmyhyzw3gg5Q0lRLk5BU0RBUTpNU0ZULklRX05FVF9XT1JLSU5HX0NBUC45OTYuMDIvMDgvMjAyNi4uLlVTRC5IAQAAAEtVAAACAAAABi0yNDExMAEIAAAABQAAAAExAQAAAAstMTk4NTkzMTIyNAMAAAADMTYwAgAAAAQxMzExBAAAAAEwBwAAAAg4LzIvMjAyNggAAAAJNi8zMC8yMDIyCQAAAAEwUVNFbyzw3ggdtLKHLPDeCC9DSVEuTkFTREFROk1TRlQuSVFfTElGT1IuOTk3LjAyLzA4LzIwMjYuLi5VU0QuSAEAAABLVQAAAwAAAAAAUVNFbyzw3ggdtLKHLPDeCDNDSVEuTkFTREFROk1TRlQuSVFfTUFDSElORVJZLjk5Ni4wMi8wOC8yMDI2Li4uVVNELkgBAAAAS1UAAAIAAAAFNjY0OTEBCAAAAAUAAAABMQEAAAALLTE5ODU5MzEyMjQDAAAAAzE2MAIAAAAEMzExNAQAAAABMAcAAAAIOC8yLzIwMjYIAAAACTYvMzAvMjAyMgkAAAABMFFTRW8s8N4IRXmyhyzw3ghFQ0lRLk5BU0RBUTpNU0ZULklRX0ZJTl9ESVZfTUlOT1JJVFlfSU5UX1JFREVFTS45OTMuMDIvMDgvMjAyNi4uLlVTRC5IAQAAAEtVAAADAAAAAABRU0VvLPDeCB20socs8N4ITUNJUS5OQVNEQVE6TVNGVC5JUV9MSVFVSURBVElPTl9WQUxVRV9QUkVGRVJSRURfQ09OVkVSVC45OTYuMDIvMDgvMjAyNi4uLlVTRC5IAQAAAEtVAAADAAAAAABRU0VvLPDeCB20socs8N4IPkNJUS5O</t>
  </si>
  <si>
    <t>QVNEQVE6TVNGVC5JUV9MSUFCSUxJVElFU19MRVZFTF8yLjEwMDAuMDIvMDgvMjAyNi4uLlVTRC5IAQAAAEtVAAACAAAABTM3OTMwAFFTRW8s8N4Ijduyhyzw3gg9Q0lRLk5BU0RBUTpNU0ZULklRX1RPVEFMX0RFQlRfRVhDTF9GSU4uOTk5LjAyLzA4LzIwMjYuLi5VU0QuSAEAAABLVQAAAgAAAAYxMTIxODQBCAAAAAUAAAABMQEAAAALLTE4ODAyMjk2ODYDAAAAAzE2MAIAAAAFMjE4NjAEAAAAATAHAAAACDgvMi8yMDI2CAAAAAk2LzMwLzIwMjUJAAAAATBRU0VvLPDeCI3bsocs8N4IPUNJUS5OQVNEQVE6TVNGVC5JUV9JTlRFUkNPTVBBTllfTk9OX0NMLjk5Ny4wMi8wOC8yMDI2Li4uVVNELkgBAAAAS1UAAAMAAAAAAFFTRW8s8N4IHbSyhyzw3ghBQ0lRLk5BU0RBUTpNU0ZULklRX1NBTEFSSUVTX09USEVSX0JFTkVGSVRTLjk5NC4wMi8wOC8yMDI2Li4uVVNELkgBAAAAS1UAAAMAAAAAAFFTRW8s8N4IHbSyhyzw3gg+Q0lRLk5BU0RBUTpNU0ZULklRX0lNUEFJUk1FTlRfR1dfU1VQUExFLjk5Mi4wMi8wOC8yMDI2Li4uVVNELkgBAAAAS1UAAAMAAAAAAFFTRW8s8N4IHbSyhyzw3gg1Q0lRLk5BU0RBUTpNU0ZULklRX0lQUkRfU1VQUExFLjk5My4wMi8wOC8yMDI2Li4uVVNELkgBAAAAS1UAAAMAAAAAAFFTRW8s8N4Ijduyhyzw3ghBQ0lRLk5BU0RBUTpNU0ZULklRX0dBSU5fQkFSR0FJTl9BQ1FfU1VQUExF</t>
  </si>
  <si>
    <t>Ljk5NS4wMi8wOC8yMDI2Li4uVVNELkgBAAAAS1UAAAMAAAAAAFFTRW8s8N4Ijduyhyzw3gg+Q0lRLk5BU0RBUTpNU0ZULklRX09USEVSX1VOVVNVQUxfU1VQUExFLjk5Mi4wMi8wOC8yMDI2Li4uVVNELkgBAAAAS1UAAAMAAAAAAFFTRW8s8N4Ijduyhyzw3gg7Q0lRLk5BU0RBUTpNU0ZULklRX05FR0FUSVZFX0dXX0FNT1JULjk5NC4wMi8wOC8yMDI2Li4uVVNELkgBAAAAS1UAAAMAAAAAAFFTRW8s8N4Ijduyhyzw3gg5Q0lRLk5BU0RBUTpNU0ZULklRX1NUT0NLX0JBU0VEX1JELjEwMDAuMDIvMDgvMjAyNi4uLlVTRC5IAQAAAEtVAAADAAAAAABRU0VvLPDeCI3bsocs8N4IOENJUS5OQVNEQVE6TVNGVC5JUV9TVE9DS19CQVNFRF9HQS45OTMuMDIvMDgvMjAyNi4uLlVTRC5IAQAAAEtVAAADAAAAAABRU0VvLPDeCJUCs4cs8N4IQ0NJUS5OQVNEQVE6TVNGVC5JUV9TVE9DS19CQVNFRF9FWFBMT1JFX0RSSUxMLjk5NS4wMi8wOC8yMDI2Li4uVVNELkgBAAAAS1UAAAMAAAAAAFFTRW8s8N4IlQKzhyzw3gg8Q0lRLk5BU0RBUTpNU0ZULklRX1NUT0NLX0JBU0VEX1RPVEFMLjEwMDAuMDIvMDgvMjAyNi4uLlVTRC5IAQAAAEtVAAACAAAABTEyNDA1AQgAAAAFAAAAATEBAAAACy0xODgwMjI5NjY1AwAAAAMxNjACAAAABTI0MDM0BAAAAAEwBwAAAAg4LzIvMjAyNggAAAAJNi8zMC8yMDI2CQAAAAEwUVNFbyzw3giN</t>
  </si>
  <si>
    <t>27KHLPDeCD5DSVEuTkFTREFROk1TRlQuSVFfUkVTVFJfU1RPQ0tfQ09NUF9UQVguOTk0LjAyLzA4LzIwMjYuLi5VU0QuSAEAAABLVQAAAwAAAAAAUVNFbyzw3giN27KHLPDeCEBDSVEuTkFTREFROk1TRlQuSVFfU1RPQ0tfT1BUSU9OU19DT01QX1RBWC45OTkuMDIvMDgvMjAyNi4uLlVTRC5IAQAAAEtVAAADAAAAAABRU0VvLPDeCI3bsocs8N4IQkNJUS5OQVNEQVE6TVNGVC5JUV9TVE9DS19CQVNFRF9DT01QX1BSRVRBWC4xMDAwLjAyLzA4LzIwMjYuLi5VU0QuSAEAAABLVQAAAgAAAAUxMjQwNQBRU0VvLPDeCJAps4cs8N4IOkNJUS5OQVNEQVE6TVNGVC5JUV9TVE9DS19CQVNFRF9DT01QLjk5NS4wMi8wOC8yMDI2Li4uVVNELkgBAAAAS1UAAAIAAAAENTA1MwBRU0VvLPDeCJAps4cs8N4IO0NJUS5OQVNEQVE6TVNGVC5JUV9HV19JTlRBTl9BTU9SVF9DRi45OTkuMDIvMDgvMjAyNi4uLlVTRC5IAQAAAEtVAAACAAAABDYwMDABCAAAAAUAAAABMQEAAAALLTE4ODAyMjk2ODYDAAAAAzE2MAIAAAAEMjE4MgQAAAABMAcAAAAIOC8yLzIwMjYIAAAACTYvMzAvMjAyNQkAAAABMFFTRW8s8N4Ijduyhyzw3gg1Q0lRLk5BU0RBUTpNU0ZULklRX09USEVSX0FNT1JULjk5Mi4wMi8wOC8yMDI2Li4uVVNELkgBAAAAS1UAAAMAAAAAAFFTRW8s8N4Ijduyhyzw3gg4Q0lRLk5BU0RBUTpNU0ZULklRX0dBSU5fSU5WRVNU</t>
  </si>
  <si>
    <t>X0NGLjk5Ni4wMi8wOC8yMDI2Li4uVVNELkgBAAAAS1UAAAIAAAAELTQwOQEIAAAABQAAAAExAQAAAAstMTk4NTkzMTIyNAMAAAADMTYwAgAAAAQyMDkwBAAAAAEwBwAAAAg4LzIvMjAyNggAAAAJNi8zMC8yMDIyCQAAAAEwUVNFbyzw3giVArOHLPDeCD1DSVEuTkFTREFROk1TRlQuSVFfQVNTRVRfV1JJVEVET1dOX0NGLjEwMDAuMDIvMDgvMjAyNi4uLlVTRC5IAQAAAEtVAAADAAAAAABRU0VvLPDeCJAps4cs8N4IN0NJUS5OQVNEQVE6TVNGVC5JUV9JTkNfRVFVSVRZX0NGLjk5My4wMi8wOC8yMDI2Li4uVVNELkgBAAAAS1UAAAMAAAAAAFFTRW8s8N4IkCmzhyzw3gg7Q0lRLk5BU0RBUTpNU0ZULklRX1BST1ZfQkFEX0RFQlRTX0NGLjk5Ny4wMi8wOC8yMDI2Li4uVVNELkgBAAAAS1UAAAMAAAAAAFFTRW8s8N4IlQKzhyzw3gg4Q0lRLk5BU0RBUTpNU0ZULklRX09USEVSX09QRVJfQUNULjk5Mi4wMi8wOC8yMDI2Li4uVVNELkgBAAAAS1UAAAIAAAAFLTQ3ODIBCAAAAAUAAAABMQEAAAAKMjA0NzI3MTc0NQMAAAADMTYwAgAAAAQyMDQ3BAAAAAEwBwAAAAg4LzIvMjAyNggAAAAJNi8zMC8yMDE4CQAAAAEwUVNFbyzw3giVArOHLPDeCDpDSVEuTkFTREFROk1TRlQuSVFfQ0hBTkdFX0lOVkVOVE9SWS45OTYuMDIvMDgvMjAyNi4uLlVTRC5IAQAAAEtVAAACAAAABS0xMTIzAQgAAAAFAAAAATEBAAAACy0xOTg1</t>
  </si>
  <si>
    <t>OTMxMjI0AwAAAAMxNjACAAAABDIwOTkEAAAAATAHAAAACDgvMi8yMDI2CAAAAAk2LzMwLzIwMjIJAAAAATBRU0VvLPDeCJAps4cs8N4IO0NJUS5OQVNEQVE6TVNGVC5JUV9DSEFOR0VfVU5FQVJOX1JFVi45OTguMDIvMDgvMjAyNi4uLlVTRC5IAQAAAEtVAAACAAAABDUzNDgBCAAAAAUAAAABMQEAAAALLTE4ODAyMjk2OTQDAAAAAzE2MAIAAAAEMjEzOQQAAAABMAcAAAAIOC8yLzIwMjYIAAAACTYvMzAvMjAyNAkAAAABMFFTRW8s8N4IqFCzhyzw3gg4Q0lRLk5BU0RBUTpNU0ZULklRX0NIQU5HRV9ERUZfVEFYLjk5Mi4wMi8wOC8yMDI2Li4uVVNELkgBAAAAS1UAAAMAAAAAAFFTRW8s8N4IqFCzhyzw3ggvQ0lRLk5BU0RBUTpNU0ZULklRX0NBUEVYLjk5Ny4wMi8wOC8yMDI2Li4uVVNELkgBAAAAS1UAAAIAAAAGLTI4MTA3AQgAAAAFAAAAATEBAAAACy0xOTM0MjU0MjUwAwAAAAMxNjACAAAABDIwMjEEAAAAATAHAAAACDgvMi8yMDI2CAAAAAk2LzMwLzIwMjMJAAAAATBRU0VvLPDeCJAps4cs8N4IOUNJUS5OQVNEQVE6TVNGVC5JUV9DQVNIX0FDUVVJUkVfQ0YuOTk5LjAyLzA4LzIwMjYuLi5VU0QuSAEAAABLVQAAAgAAAAUtNTk3OAEIAAAABQAAAAExAQAAAAstMTg4MDIyOTY4NgMAAAADMTYwAgAAAAQyMDU3BAAAAAEwBwAAAAg4LzIvMjAyNggAAAAJNi8zMC8yMDI1CQAAAAEwUVNFbyzw3giQKbOHLPDe</t>
  </si>
  <si>
    <t>CDdDSVEuTkFTREFROk1TRlQuSVFfU0FMRV9JTlRBTl9DRi45OTYuMDIvMDgvMjAyNi4uLlVTRC5IAQAAAEtVAAADAAAAAABRU0VvLPDeCJAps4cs8N4IOUNJUS5OQVNEQVE6TVNGVC5JUV9JTlZFU1RfTE9BTlNfQ0YuOTk4LjAyLzA4LzIwMjYuLi5VU0QuSAEAAABLVQAAAwAAAAAAUVNFbyzw3gioULOHLPDeCDZDSVEuTkFTREFROk1TRlQuSVFfQ0FTSF9JTlZFU1QuMTAwMC4wMi8wOC8yMDI2Li4uVVNELkgBAAAAS1UAAAIAAAAHLTEzOTUwMAEIAAAABQAAAAExAQAAAAstMTg4MDIyOTY2NQMAAAADMTYwAgAAAAQyMDA1BAAAAAEwBwAAAAg4LzIvMjAyNggAAAAJNi8zMC8yMDI2CQAAAAEwUVNFbyzw3gioULOHLPDeCDtDSVEuTkFTREFROk1TRlQuSVFfVE9UQUxfREVCVF9JU1NVRUQuOTk3LjAyLzA4LzIwMjYuLi5VU0QuSAEAAABLVQAAAwAAAAAAUVNFbyzw3gioULOHLPDeCDhDSVEuTkFTREFROk1TRlQuSVFfTFRfREVCVF9SRVBBSUQuOTk5LjAyLzA4LzIwMjYuLi5VU0QuSAEAAABLVQAAAgAAAAUtMzIxNgEIAAAABQAAAAExAQAAAAstMTg4MDIyOTY4NgMAAAADMTYwAgAAAAQyMDM2BAAAAAEwBwAAAAg4LzIvMjAyNggAAAAJNi8zMC8yMDI1CQAAAAEwUVNFbyzw3gioULOHLPDeCDRDSVEuTkFTREFROk1TRlQuSVFfQ09NTU9OX1JFUC45OTYuMDIvMDgvMjAyNi4uLlVTRC5IAQAAAEtVAAACAAAABi0z</t>
  </si>
  <si>
    <t>MjY5NgEIAAAABQAAAAExAQAAAAstMTk4NTkzMTIyNAMAAAADMTYwAgAAAAQyMTY0BAAAAAEwBwAAAAg4LzIvMjAyNggAAAAJNi8zMC8yMDIyCQAAAAEwUVNFbyzw3gioULOHLPDeCDJDSVEuTkFTREFROk1TRlQuSVFfUFJFRl9SRVAuOTk4LjAyLzA4LzIwMjYuLi5VU0QuSAEAAABLVQAAAwAAAAAAUVNFbyzw3gjBd7OHLPDeCDVDSVEuTkFTREFROk1TRlQuSVFfUFJFRl9ESVZfQ0YuOTk5LjAyLzA4LzIwMjYuLi5VU0QuSAEAAABLVQAAAwAAAAAAUVNFbyzw3gjBd7OHLPDeCDhDSVEuTkFTREFROk1TRlQuSVFfU1BFQ0lBTF9ESVZfQ0YuOTk3LjAyLzA4LzIwMjYuLi5VU0QuSAEAAABLVQAAAwAAAAAAUVNFbyzw3gioULOHLPDeCDRDSVEuTkFTREFROk1TRlQuSVFfQ0FTSF9GSU5BTi45OTguMDIvMDgvMjAyNi4uLlVTRC5IAQAAAEtVAAACAAAABi0zNzc1NwEIAAAABQAAAAExAQAAAAstMTg4MDIyOTY5NAMAAAADMTYwAgAAAAQyMDA0BAAAAAEwBwAAAAg4LzIvMjAyNggAAAAJNi8zMC8yMDI0CQAAAAEwUVNFbyzw3gioULOHLPDeCDRDSVEuTkFTREFROk1TRlQuSVFfTkVUX0NIQU5HRS45OTguMDIvMDgvMjAyNi4uLlVTRC5IAQAAAEtVAAACAAAABi0xNjM4OQEIAAAABQAAAAExAQAAAAstMTg4MDIyOTY5NAMAAAADMTYwAgAAAAQyMDkzBAAAAAEwBwAAAAg4LzIvMjAyNggAAAAJNi8zMC8yMDI0CQAAAAEw</t>
  </si>
  <si>
    <t>UVNFbyzw3gioULOHLPDeCDRDSVEuTkFTREFROk1TRlQuSVFfREVQUkVfU1VQUC45OTMuMDIvMDgvMjAyNi4uLlVTRC5IAQAAAEtVAAACAAAABDk3MDABCAAAAAUAAAABMQEAAAALLTIxNDA5ODE0NjkDAAAAAzE2MAIAAAAEMjE0MwQAAAABMAcAAAAIOC8yLzIwMjYIAAAACTYvMzAvMjAxOQkAAAABMFFTRW8s8N4IwXezhyzw3ghGQ0lRLk5BU0RBUTpNU0ZULklRX0RBX1NVUFBMX0NGX0VYQ0xfT1BFUl9MRUFTRVMuOTkyLjAyLzA4LzIwMjYuLi5VU0QuSAEAAABLVQAAAgAAAAQ3NzAwAQgAAAAFAAAAATEBAAAACjIwNDcyNzE3NDUDAAAAAzE2MAIAAAAFNDg5ODMEAAAAATAHAAAACDgvMi8yMDI2CAAAAAk2LzMwLzIwMTgJAAAAATBRU0VvLPDeCMF3s4cs8N4IPkNJUS5OQVNEQVE6TVNGVC5JUV9ORUdBVElWRV9HV19BTU9SVF9DRi45OTYuMDIvMDgvMjAyNi4uLlVTRC5IAQAAAEtVAAADAAAAAABRU0VvLPDeCKhQs4cs8N4IRUNJUS5OQVNEQVE6TVNGVC5JUV9TQUxFX1BST0NFRURTX1JFTlRBTF9BU1NFVFMuOTk1LjAyLzA4LzIwMjYuLi5VU0QuSAEAAABLVQAAAwAAAAAAUVNFbyzw3gioULOHLPDeCDtDSVEuTkFTREFROk1TRlQuSVFfQ0FTSF9JTlRFUkVTVF9ORVQuOTk4LjAyLzA4LzIwMjYuLi5VU0QuSAEAAABLVQAAAwAAAAAAUVNFbyzw3gioULOHLPDeCD5DSVEuTkFTREFROk1TRlQuSVFfQ0FTSF9J</t>
  </si>
  <si>
    <t>TlRFUkVTVF9JTlZFU1QuOTk4LjAyLzA4LzIwMjYuLi5VU0QuSAEAAABLVQAAAwAAAAAAUVNFbyzw3gjBd7OHLPDeCDlDSVEuTkFTREFROk1TRlQuSVFfQ0FTSF9UQVhFU19PUEVSLjk5OC4wMi8wOC8yMDI2Li4uVVNELkgBAAAAS1UAAAMAAAAAAFFTRW8s8N4Iw56zhyzw3gg+Q0lRLk5BU0RBUTpNU0ZULklRX0NIQU5HRV9ERUZfVEFYX1RPVEFMLjk5Ny4wMi8wOC8yMDI2Li4uVVNELkgBAAAAS1UAAAIAAAAFLTYwNTkBCAAAAAUAAAABMQEAAAALLTE5MzQyNTQyNTADAAAAAzE2MAIAAAAFMzA5MjQEAAAAATAHAAAACDgvMi8yMDI2CAAAAAk2LzMwLzIwMjMJAAAAATBRU0VvLPDeCMF3s4cs8N4INUNJUS5OQVNEQVE6TVNGVC5JUV9MRVZFUkVEX0ZDRi45OTIuMDIvMDgvMjAyNi4uLlVTRC5IAQAAAEtVAAACAAAACTI1MDM1LjEyNQEIAAAABQAAAAExAQAAAAoyMDQ3MjcxNzQ1AwAAAAMxNjACAAAABDQ0MjIEAAAAATAHAAAACDgvMi8yMDI2CAAAAAk2LzMwLzIwMTgJAAAAATBRU0VvLPDeCMF3s4cs8N4IOUNJUS5OQVNEQVE6TVNGVC5JUV9ORVRfREVCVF9JU1NVRUQuOTkzLjAyLzA4LzIwMjYuLi5VU0QuSAEAAABLVQAAAgAAAAUtNDAwMAEIAAAABQAAAAExAQAAAAstMjE0MDk4MTQ2OQMAAAADMTYwAgAAAAQyMDAzBAAAAAEwBwAAAAg4LzIvMjAyNggAAAAJNi8zMC8yMDE5CQAAAAEwUVNFbyzw3gjBd7OH</t>
  </si>
  <si>
    <t>LPDeCDdDSVEuTkFTREFROk1TRlQuSVFfRE9fRklOQU5DRV9DRi45OTMuMDIvMDgvMjAyNi4uLlVTRC5IAQAAAEtVAAADAAAAAABRU0VvLPDeCMOes4cs8N4ITUNJUS5OQVNEQVE6TVNGVC5JUV9PUEVSQVRJTkdfTEVBU0VfTElBQklMSVRJRVNfTk9OQ0FTSC45OTIuMDIvMDgvMjAyNi4uLlVTRC5IAQAAAEtVAAADAAAAAABRU0VvLPDeCMOes4cs8N4ISENJUS5OQVNEQVE6TVNGVC5JUV9UT1RBTF9ERUJUX1JFUEFJRF9FWENMX0xFQVNFUy4xMDAwLjAyLzA4LzIwMjYuLi5VU0QuSAEAAABLVQAAAgAAAAUtMzAwMAEIAAAABQAAAAExAQAAAAstMTg4MDIyOTY2NQMAAAADMTYwAgAAAAU0ODk4NgQAAAABMAcAAAAIOC8yLzIwMjYIAAAACTYvMzAvMjAyNgkAAAABMFFTRW8s8N4IwXezhyzw3ggzQ0lRLk5BU0RBUTpNU0ZULklRX1NUX0lOVkVTVC45OTYuMDIvMDgvMjAyNi4uLlVTRC5IAQAAAEtVAAACAAAABTkwODE4AQgAAAAFAAAAATEBAAAACy0xOTg1OTMxMjI0AwAAAAMxNjACAAAABDEwNjkEAAAAATAHAAAACDgvMi8yMDI2CAAAAAk2LzMwLzIwMjIJAAAAATBRU0VvLPDeCMF3s4cs8N4ILENJUS5OQVNEQVE6TVNGVC5JUV9BUi45OTYuMDIvMDgvMjAyNi4uLlVTRC5IAQAAAEtVAAACAAAABTQ0MjYxAQgAAAAFAAAAATEBAAAACy0xOTg1OTMxMjI0AwAAAAMxNjACAAAABDEwMjEEAAAAATAHAAAACDgvMi8y</t>
  </si>
  <si>
    <t>MDI2CAAAAAk2LzMwLzIwMjIJAAAAATBRU0VvLPDeCMF3s4cs8N4INkNJUS5OQVNEQVE6TVNGVC5JUV9UT1RBTF9SRUNFSVYuOTk2LjAyLzA4LzIwMjYuLi5VU0QuSAEAAABLVQAAAgAAAAU1MDM2MQEIAAAABQAAAAExAQAAAAstMTk4NTkzMTIyNAMAAAADMTYwAgAAAAQxMDAxBAAAAAEwBwAAAAg4LzIvMjAyNggAAAAJNi8zMC8yMDIyCQAAAAEwUVNFbyzw3gjDnrOHLPDeCD9DSVEuTkFTREFROk1TRlQuSVFfRklOX0RJVl9MT0FOU19DVVJSRU5ULjk5Ni4wMi8wOC8yMDI2Li4uVVNELkgBAAAAS1UAAAMAAAAAAFFTRW8s8N4Iw56zhyzw3gg4Q0lRLk5BU0RBUTpNU0ZULklRX0xPQU5TX0ZPUl9TQUxFLjk5OS4wMi8wOC8yMDI2Li4uVVNELkgBAAAAS1UAAAMAAAAAAFFTRW8s8N4Iw56zhyzw3gg4Q0lRLk5BU0RBUTpNU0ZULklRX09USEVSX0NBX1NVUFBMLjk5Mi4wMi8wOC8yMDI2Li4uVVNELkgBAAAAS1UAAAIAAAAENjg1NQEIAAAABQAAAAExAQAAAAoyMDQ3MjcxNzQ1AwAAAAMxNjACAAAABDEwNTUEAAAAATAHAAAACDgvMi8yMDI2CAAAAAk2LzMwLzIwMTgJAAAAATBRU0VvLPDeCMOes4cs8N4ILENJUS5OQVNEQVE6TVNGVC5JUV9BRC45OTMuMDIvMDgvMjAyNi4uLlVTRC5IAQAAAEtVAAACAAAABi0zNTMzMAEIAAAABQAAAAExAQAAAAstMjE0MDk4MTQ2OQMAAAADMTYwAgAAAAQxMDc1BAAAAAEwBwAA</t>
  </si>
  <si>
    <t>AAg4LzIvMjAyNggAAAAJNi8zMC8yMDE5CQAAAAEwUVNFbyzw3gjDnrOHLPDeCDNDSVEuTkFTREFROk1TRlQuSVFfTFRfSU5WRVNULjk5OC4wMi8wOC8yMDI2Li4uVVNELkgBAAAAS1UAAAIAAAAFMTQ2MDABCAAAAAUAAAABMQEAAAALLTE4ODAyMjk2OTQDAAAAAzE2MAIAAAAEMTA1NAQAAAABMAcAAAAIOC8yLzIwMjYIAAAACTYvMzAvMjAyNAkAAAABMFFTRW8s8N4IzMWzhyzw3gg6Q0lRLk5BU0RBUTpNU0ZULklRX0ZJTl9ESVZfTE9BTlNfTFQuOTk5LjAyLzA4LzIwMjYuLi5VU0QuSAEAAABLVQAAAwAAAAAAUVNFbyzw3gjMxbOHLPDeCDlDSVEuTkFTREFROk1TRlQuSVFfTE9BTlNfUkVDRUlWX0xULjk5OS4wMi8wOC8yMDI2Li4uVVNELkgBAAAAS1UAAAMAAAAAAFFTRW8s8N4Iw56zhyzw3gg5Q0lRLk5BU0RBUTpNU0ZULklRX09USEVSX0xUX0FTU0VUUy45OTIuMDIvMDgvMjAyNi4uLlVTRC5IAQAAAEtVAAACAAAABDQyNzMBCAAAAAUAAAABMQEAAAAKMjA0NzI3MTc0NQMAAAADMTYwAgAAAAQxMDYwBAAAAAEwBwAAAAg4LzIvMjAyNggAAAAJNi8zMC8yMDE4CQAAAAEwUVNFbyzw3gjDnrOHLPDeCCxDSVEuTkFTREFROk1TRlQuSVFfQVAuOTk1LjAyLzA4LzIwMjYuLi5VU0QuSAEAAABLVQAAAgAAAAUxNTE2MwEIAAAABQAAAAExAQAAAAstMjAzNjg0Mzg0MwMAAAADMTYwAgAAAAQxMDE4BAAAAAEwBwAA</t>
  </si>
  <si>
    <t>AAg4LzIvMjAyNggAAAAJNi8zMC8yMDIxCQAAAAEwUVNFbyzw3gjDnrOHLPDeCDtDSVEuTkFTREFROk1TRlQuSVFfQ1VSUkVOVF9QT1JUX0RFQlQuOTk1LjAyLzA4LzIwMjYuLi5VU0QuSAEAAABLVQAAAgAAAAQ4MDcyAQgAAAAFAAAAATEBAAAACy0yMDM2ODQzODQzAwAAAAMxNjACAAAABDEyOTcEAAAAATAHAAAACDgvMi8yMDI2CAAAAAk2LzMwLzIwMjEJAAAAATBRU0VvLPDeCMzFs4cs8N4IPUNJUS5OQVNEQVE6TVNGVC5JUV9JTkNfVEFYX1BBWV9DVVJSRU5ULjk5Mi4wMi8wOC8yMDI2Li4uVVNELkgBAAAAS1UAAAIAAAAEMjEyMQEIAAAABQAAAAExAQAAAAoyMDQ3MjcxNzQ1AwAAAAMxNjACAAAABDEwOTQEAAAAATAHAAAACDgvMi8yMDI2CAAAAAk2LzMwLzIwMTgJAAAAATBRU0VvLPDeCMzFs4cs8N4IOENJUS5OQVNEQVE6TVNGVC5JUV9PVEhFUl9DTF9TVVBQTC45OTQuMDIvMDgvMjAyNi4uLlVTRC5IAQAAAEtVAAACAAAABDc4NzEBCAAAAAUAAAABMQEAAAALLTIwODc0OTY2MjcDAAAAAzE2MAIAAAAEMTA1NwQAAAABMAcAAAAIOC8yLzIwMjYIAAAACTYvMzAvMjAyMAkAAAABMFFTRW8s8N4Iw56zhyzw3ggxQ0lRLk5BU0RBUTpNU0ZULklRX0xUX0RFQlQuOTk5LjAyLzA4LzIwMjYuLi5VU0QuSAEAAABLVQAAAgAAAAU0MDE1MgEIAAAABQAAAAExAQAAAAstMTg4MDIyOTY4NgMAAAADMTYwAgAAAAQx</t>
  </si>
  <si>
    <t>MDQ5BAAAAAEwBwAAAAg4LzIvMjAyNggAAAAJNi8zMC8yMDI1CQAAAAEwUVNFbyzw3gjMxbOHLPDeCDdDSVEuTkFTREFROk1TRlQuSVFfVU5FQVJOX1JFVl9MVC45OTIuMDIvMDgvMjAyNi4uLlVTRC5IAQAAAEtVAAACAAAABDM4MTUBCAAAAAUAAAABMQEAAAAKMjA0NzI3MTc0NQMAAAADMTYwAgAAAAQxMjU2BAAAAAEwBwAAAAg4LzIvMjAyNggAAAAJNi8zMC8yMDE4CQAAAAEwUVNFbyzw3gjMxbOHLPDeCDdDSVEuTkFTREFROk1TRlQuSVFfT1RIRVJfTElBQl9MVC45OTUuMDIvMDgvMjAyNi4uLlVTRC5IAQAAAEtVAAACAAAABTI4ODY3AQgAAAAFAAAAATEBAAAACy0yMDM2ODQzODQzAwAAAAMxNjACAAAABDEwNjIEAAAAATAHAAAACDgvMi8yMDI2CAAAAAk2LzMwLzIwMjEJAAAAATBRU0VvLPDeCPHss4cs8N4INENJUS5OQVNEQVE6TVNGVC5JUV9QUkVGX09USEVSLjk5Ni4wMi8wOC8yMDI2Li4uVVNELkgBAAAAS1UAAAMAAAAAAFFTRW8s8N4I8eyzhyzw3ggwQ0lRLk5BU0RBUTpNU0ZULklRX0NPTU1PTi45OTguMDIvMDgvMjAyNi4uLlVTRC5IAQAAAEtVAAACAAAABjEwMDkyMwEIAAAABQAAAAExAQAAAAstMTg4MDIyOTY5NAMAAAADMTYwAgAAAAQxMTAzBAAAAAEwBwAAAAg4LzIvMjAyNggAAAAJNi8zMC8yMDI0CQAAAAEwUVNFbyzw3gjMxbOHLPDeCD1DSVEuTkFTREFROk1TRlQuSVFfVE9UQUxfQ09N</t>
  </si>
  <si>
    <t>TU9OX0VRVUlUWS45OTIuMDIvMDgvMjAyNi4uLlVTRC5IAQAAAEtVAAACAAAABTgyNzE4AQgAAAAFAAAAATEBAAAACjIwNDcyNzE3NDUDAAAAAzE2MAIAAAAEMTAwNgQAAAABMAcAAAAIOC8yLzIwMjYIAAAACTYvMzAvMjAxOAkAAAABMFFTRW8s8N4IzMWzhyzw3ggzQ0lRLk5BU0RBUTpNU0ZULklRX1JVQV9HUk9TUy45OTcuMDIvMDgvMjAyNi4uLlVTRC5IAQAAAEtVAAADAAAAAABRU0VvLPDeCMzFs4cs8N4IQUNJUS5OQVNEQVE6TVNGVC5JUV9SVUFfQ0FQSVRBTF9MRUFTRV9HUk9TUy45OTQuMDIvMDgvMjAyNi4uLlVTRC5IAQAAAEtVAAADAAAAAABRU0VvLPDeCPHss4cs8N4IQUNJUS5OQVNEQVE6TVNGVC5JUV9SVUFfT1BFUkFUSU5HX0xFQVNFX05FVC45OTcuMDIvMDgvMjAyNi4uLlVTRC5IAQAAAEtVAAADAAAAAABRU0VvLPDeCPHss4cs8N4IQENJUS5OQVNEQVE6TVNGVC5JUV9GSU5BTkNFX0xFQVNFU19DVVJSRU5ULjk5OC4wMi8wOC8yMDI2Li4uVVNELkgBAAAAS1UAAAIAAAAEMjM0OQEIAAAABQAAAAExAQAAAAstMTg4MDIyOTY5NAMAAAADMTYwAgAAAAU0ODk5MAQAAAABMAcAAAAIOC8yLzIwMjYIAAAACTYvMzAvMjAyNAkAAAABMFFTRW8s8N4I8eyzhyzw3gg7Q0lRLk5BU0RBUTpNU0ZULklRX1RPVEFMX09QRVJfTEVBU0VTLjk5My4wMi8wOC8yMDI2Li4uVVNELkgBAAAAS1UAAAIAAAAENzcw</t>
  </si>
  <si>
    <t>MwEIAAAABQAAAAExAQAAAAstMjE0MDk4MTQ2OQMAAAADMTYwAgAAAAU0ODk3OAQAAAABMAcAAAAIOC8yLzIwMjYIAAAACTYvMzAvMjAxOQkAAAABMFFTRW8s8N4I8eyzhyzw3ghAQ0lRLk5BU0RBUTpNU0ZULklRX1RPVEFMX0RFQlRfRVhDTF9MRUFTRVMuOTkyLjAyLzA4LzIwMjYuLi5VU0QuSAEAAABLVQAAAgAAAAU3NjI0MAEIAAAABQAAAAExAQAAAAoyMDQ3MjcxNzQ1AwAAAAMxNjACAAAABTQ4OTkyBAAAAAEwBwAAAAg4LzIvMjAyNggAAAAJNi8zMC8yMDE4CQAAAAEwUVNFbyzw3gjx7LOHLPDeCDxDSVEuTkFTREFROk1TRlQuSVFfVEJWX1NIQVJFX1JFUE9SVEVELjk5Ny4wMi8wOC8yMDI2Li4uVVNELkgBAAAAS1UAAAMAAAAAAFFTRW8s8N4I8hO0hyzw3ghAQ0lRLk5BU0RBUTpNU0ZULklRX1RPVEFMX0RFQlRfTk9OX0NVUlJFTlQuOTk1LjAyLzA4LzIwMjYuLi5VU0QuSAEAAABLVQAAAgAAAAU3MTQ1MwEIAAAABQAAAAExAQAAAAstMjAzNjg0Mzg0MwMAAAADMTYwAgAAAAUyNTIyNAQAAAABMAcAAAAIOC8yLzIwMjYIAAAACTYvMzAvMjAyMQkAAAABMFFTRW8s8N4I8hO0hyzw3gg1Q0lRLk5BU0RBUTpNU0ZULklRX1dPUktJTkdfQ0FQLjk5OS4wMi8wOC8yMDI2Li4uVVNELkgBAAAAS1UAAAIAAAAFNDk5MTMBCAAAAAUAAAABMQEAAAALLTE4ODAyMjk2ODYDAAAAAzE2MAIAAAAENDE2NQQAAAABMAcA</t>
  </si>
  <si>
    <t>AAAIOC8yLzIwMjYIAAAACTYvMzAvMjAyNQkAAAABMFFTRW8s8N4I8eyzhyzw3ggxQ0lRLk5BU0RBUTpNU0ZULklRX1dJUF9JTlYuOTkyLjAyLzA4LzIwMjYuLi5VU0QuSAEAAABLVQAAAgAAAAI1NAEIAAAABQAAAAExAQAAAAoyMDQ3MjcxNzQ1AwAAAAMxNjACAAAABDMyMTkEAAAAATAHAAAACDgvMi8yMDI2CAAAAAk2LzMwLzIwMTgJAAAAATBRU0VvLPDeCPHss4cs8N4IM0NJUS5OQVNEQVE6TVNGVC5JUV9NQUNISU5FUlkuOTk5LjAyLzA4LzIwMjYuLi5VU0QuSAEAAABLVQAAAgAAAAYxMzkyNDMBCAAAAAUAAAABMQEAAAALLTE4ODAyMjk2ODYDAAAAAzE2MAIAAAAEMzExNAQAAAABMAcAAAAIOC8yLzIwMjYIAAAACTYvMzAvMjAyNQkAAAABMFFTRW8s8N4I8eyzhyzw3ghFQ0lRLk5BU0RBUTpNU0ZULklRX0ZJTl9ESVZfTUlOT1JJVFlfSU5UX1JFREVFTS45OTQuMDIvMDgvMjAyNi4uLlVTRC5IAQAAAEtVAAADAAAAAABRU0VvLPDeCPITtIcs8N4ITUNJUS5OQVNEQVE6TVNGVC5JUV9MSVFVSURBVElPTl9WQUxVRV9QUkVGRVJSRURfQ09OVkVSVC45OTcuMDIvMDgvMjAyNi4uLlVTRC5IAQAAAEtVAAADAAAAAABRU0VvLPDeCBI7tIcs8N4IT0NJUS5OQVNEQVE6TVNGVC5JUV9MSUFCSUxJVElFU19ORVRUSU5HX09USEVSX0FESlVTVE1FTlRTLjk5Mi4wMi8wOC8yMDI2Li4uVVNELkgBAAAAS1UAAAMAAAAA</t>
  </si>
  <si>
    <t>AFFTRW8s8N4I8hO0hyzw3ghAQ0lRLk5BU0RBUTpNU0ZULklRX0NPTlRJTkdFTlRfTElBQklMSVRJRVMuOTkyLjAyLzA4LzIwMjYuLi5VU0QuSAEAAABLVQAAAwAAAAAAUVNFbyzw3gjyE7SHLPDeCDxDSVEuTkFTREFROk1TRlQuSVFfVE9UQUxfUkVWX0VNUExPWUVFLjk5NC4wMi8wOC8yMDI2Li4uVVNELkgBAAAAS1UAAAIAAAAHODc3LjM5MgEIAAAABQAAAAExAQAAAAstMjA4NzQ5NjYyNwMAAAADMTYwAgAAAAQ0MTIzBAAAAAEwBwAAAAg4LzIvMjAyNggAAAAJNi8zMC8yMDIwCQAAAAEwUVNFbyzw3gjyE7SHLPDeCDJDSVEuTkFTREFROk1TRlQuSVFfTE9BTlNfQ0YuOTkyLjAyLzA4LzIwMjYuLi5VU0QuSAEAAABLVQAAAwAAAAAAUVNFbyzw3ggSO7SHLPDeCDhDSVEuTkFTREFROk1TRlQuSVFfU1RPQ0tfQkFTRURfQ0YuOTk2LjAyLzA4LzIwMjYuLi5VU0QuSAEAAABLVQAAAgAAAAQ3NTAyAQgAAAAFAAAAATEBAAAACy0xOTg1OTMxMjI0AwAAAAMxNjACAAAABDIxMjcEAAAAATAHAAAACDgvMi8yMDI2CAAAAAk2LzMwLzIwMjIJAAAAATBRU0VvLPDeCBI7tIcs8N4IPkNJUS5OQVNEQVE6TVNGVC5JUV9UQVhfQkVORUZJVF9PUFRJT05TLjEwMDAuMDIvMDgvMjAyNi4uLlVTRC5IAQAAAEtVAAADAAAAAABRU0VvLPDeCPITtIcs8N4IOENJUS5OQVNEQVE6TVNGVC5JUV9PVEhFUl9PUEVSX0FDVC45OTMuMDIv</t>
  </si>
  <si>
    <t>MDgvMjAyNi4uLlVTRC5IAQAAAEtVAAACAAAABS02MzgxAQgAAAAFAAAAATEBAAAACy0yMTQwOTgxNDY5AwAAAAMxNjACAAAABDIwNDcEAAAAATAHAAAACDgvMi8yMDI2CAAAAAk2LzMwLzIwMTkJAAAAATBRU0VvLPDeCPITtIcs8N4IOkNJUS5OQVNEQVE6TVNGVC5JUV9DSEFOR0VfSU5WRU5UT1JZLjk5Ny4wMi8wOC8yMDI2Li4uVVNELkgBAAAAS1UAAAIAAAAEMTI0MgEIAAAABQAAAAExAQAAAAstMTkzNDI1NDI1MAMAAAADMTYwAgAAAAQyMDk5BAAAAAEwBwAAAAg4LzIvMjAyNggAAAAJNi8zMC8yMDIzCQAAAAEwUVNFbyzw3gjyE7SHLPDeCDtDSVEuTkFTREFROk1TRlQuSVFfQ0hBTkdFX1VORUFSTl9SRVYuOTkyLjAyLzA4LzIwMjYuLi5VU0QuSAEAAABLVQAAAgAAAAQ1OTIyAQgAAAAFAAAAATEBAAAACjIwNDcyNzE3NDUDAAAAAzE2MAIAAAAEMjEzOQQAAAABMAcAAAAIOC8yLzIwMjYIAAAACTYvMzAvMjAxOAkAAAABMFFTRW8s8N4ICGK0hyzw3ghGQ0lRLk5BU0RBUTpNU0ZULklRX0NIQU5HRV9PVEhFUl9ORVRfT1BFUl9BU1NFVFMuOTk2LjAyLzA4LzIwMjYuLi5VU0QuSAEAAABLVQAAAgAAAAQtMzQ1AQgAAAAFAAAAATEBAAAACy0xOTg1OTMxMjI0AwAAAAMxNjACAAAABDIwNDUEAAAAATAHAAAACDgvMi8yMDI2CAAAAAk2LzMwLzIwMjIJAAAAATBRU0VvLPDeCAhitIcs8N4IL0NJUS5OQVNEQVE6</t>
  </si>
  <si>
    <t>TVNGVC5JUV9DQVBFWC45OTguMDIvMDgvMjAyNi4uLlVTRC5IAQAAAEtVAAACAAAABi00NDQ3NwEIAAAABQAAAAExAQAAAAstMTg4MDIyOTY5NAMAAAADMTYwAgAAAAQyMDIxBAAAAAEwBwAAAAg4LzIvMjAyNggAAAAJNi8zMC8yMDI0CQAAAAEwUVNFbyzw3ggSO7SHLPDeCDlDSVEuTkFTREFROk1TRlQuSVFfQ0FTSF9BQ1FVSVJFX0NGLjk5Mi4wMi8wOC8yMDI2Li4uVVNELkgBAAAAS1UAAAIAAAAELTg4OAEIAAAABQAAAAExAQAAAAoyMDQ3MjcxNzQ1AwAAAAMxNjACAAAABDIwNTcEAAAAATAHAAAACDgvMi8yMDI2CAAAAAk2LzMwLzIwMTgJAAAAATBRU0VvLPDeCBI7tIcs8N4IN0NJUS5OQVNEQVE6TVNGVC5JUV9TQUxFX0lOVEFOX0NGLjk5Ny4wMi8wOC8yMDI2Li4uVVNELkgBAAAAS1UAAAMAAAAAAFFTRW8s8N4IEju0hyzw3gg5Q0lRLk5BU0RBUTpNU0ZULklRX0lOVkVTVF9MT0FOU19DRi45OTkuMDIvMDgvMjAyNi4uLlVTRC5IAQAAAEtVAAADAAAAAABRU0VvLPDeCAhitIcs8N4IOENJUS5OQVNEQVE6TVNGVC5JUV9TVF9ERUJUX0lTU1VFRC45OTYuMDIvMDgvMjAyNi4uLlVTRC5IAQAAAEtVAAADAAAAAABRU0VvLPDeCAhitIcs8N4IO0NJUS5OQVNEQVE6TVNGVC5JUV9UT1RBTF9ERUJUX0lTU1VFRC45OTguMDIvMDgvMjAyNi4uLlVTRC5IAQAAAEtVAAACAAAABTI5NjQ1AQgAAAAFAAAAATEBAAAA</t>
  </si>
  <si>
    <t>Cy0xODgwMjI5Njk0AwAAAAMxNjACAAAABDIxNjEEAAAAATAHAAAACDgvMi8yMDI2CAAAAAk2LzMwLzIwMjQJAAAAATBRU0VvLPDeCBI7tIcs8N4IOUNJUS5OQVNEQVE6TVNGVC5JUV9MVF9ERUJUX1JFUEFJRC4xMDAwLjAyLzA4LzIwMjYuLi5VU0QuSAEAAABLVQAAAgAAAAUtMzAwMAEIAAAABQAAAAExAQAAAAstMTg4MDIyOTY2NQMAAAADMTYwAgAAAAQyMDM2BAAAAAEwBwAAAAg4LzIvMjAyNggAAAAJNi8zMC8yMDI2CQAAAAEwUVNFbyzw3ggSO7SHLPDeCDRDSVEuTkFTREFROk1TRlQuSVFfQ09NTU9OX1JFUC45OTcuMDIvMDgvMjAyNi4uLlVTRC5IAQAAAEtVAAACAAAABi0yMjI0NQEIAAAABQAAAAExAQAAAAstMTkzNDI1NDI1MAMAAAADMTYwAgAAAAQyMTY0BAAAAAEwBwAAAAg4LzIvMjAyNggAAAAJNi8zMC8yMDIzCQAAAAEwUVNFbyzw3ggIYrSHLPDeCDJDSVEuTkFTREFROk1TRlQuSVFfUFJFRl9SRVAuOTk5LjAyLzA4LzIwMjYuLi5VU0QuSAEAAABLVQAAAwAAAAAAUVNFbyzw3ggsibSHLPDeCDxDSVEuTkFTREFROk1TRlQuSVFfQ09NTU9OX1BSRUZfRElWX0NGLjk5Ni4wMi8wOC8yMDI2Li4uVVNELkgBAAAAS1UAAAMAAAAAAFFTRW8s8N4ILIm0hyzw3gg4Q0lRLk5BU0RBUTpNU0ZULklRX1NQRUNJQUxfRElWX0NGLjk5OC4wMi8wOC8yMDI2Li4uVVNELkgBAAAAS1UAAAMAAAAAAFFTRW8s8N4I</t>
  </si>
  <si>
    <t>CGK0hyzw3gg0Q0lRLk5BU0RBUTpNU0ZULklRX0NBU0hfRklOQU4uOTk5LjAyLzA4LzIwMjYuLi5VU0QuSAEAAABLVQAAAgAAAAYtNTE2OTkBCAAAAAUAAAABMQEAAAALLTE4ODAyMjk2ODYDAAAAAzE2MAIAAAAEMjAwNAQAAAABMAcAAAAIOC8yLzIwMjYIAAAACTYvMzAvMjAyNQkAAAABMFFTRW8s8N4ICGK0hyzw3gg0Q0lRLk5BU0RBUTpNU0ZULklRX05FVF9DSEFOR0UuOTk5LjAyLzA4LzIwMjYuLi5VU0QuSAEAAABLVQAAAgAAAAUxMTkyNwEIAAAABQAAAAExAQAAAAstMTg4MDIyOTY4NgMAAAADMTYwAgAAAAQyMDkzBAAAAAEwBwAAAAg4LzIvMjAyNggAAAAJNi8zMC8yMDI1CQAAAAEwUVNFbyzw3ggIYrSHLPDeCDRDSVEuTkFTREFROk1TRlQuSVFfREVQUkVfU1VQUC45OTQuMDIvMDgvMjAyNi4uLlVTRC5IAQAAAEtVAAACAAAABTEwNzAwAQgAAAAFAAAAATEBAAAACy0yMDg3NDk2NjI3AwAAAAMxNjACAAAABDIxNDMEAAAAATAHAAAACDgvMi8yMDI2CAAAAAk2LzMwLzIwMjAJAAAAATBRU0VvLPDeCCyJtIcs8N4IRkNJUS5OQVNEQVE6TVNGVC5JUV9EQV9TVVBQTF9DRl9FWENMX09QRVJfTEVBU0VTLjk5My4wMi8wOC8yMDI2Li4uVVNELkgBAAAAS1UAAAIAAAAEOTcwMAEIAAAABQAAAAExAQAAAAstMjE0MDk4MTQ2OQMAAAADMTYwAgAAAAU0ODk4MwQAAAABMAcAAAAIOC8yLzIwMjYIAAAACTYvMzAv</t>
  </si>
  <si>
    <t>MjAxOQkAAAABMFFTRW8s8N4ILIm0hyzw3gg2Q0lRLk5BU0RBUTpNU0ZULklRX0FNT1JUX0RJQ19DRi45OTMuMDIvMDgvMjAyNi4uLlVTRC5IAQAAAEtVAAADAAAAAABRU0VvLPDeCAhitIcs8N4IN0NJUS5OQVNEQVE6TVNGVC5JUV9DQVNIX0lOVEVSRVNULjk5NC4wMi8wOC8yMDI2Li4uVVNELkgBAAAAS1UAAAIAAAAEMjQwMAEIAAAABQAAAAExAQAAAAstMjA4NzQ5NjYyNwMAAAADMTYwAgAAAAQzMDI4BAAAAAEwBwAAAAg4LzIvMjAyNggAAAAJNi8zMC8yMDIwCQAAAAEwUVNFbyzw3ggsibSHLPDeCDtDSVEuTkFTREFROk1TRlQuSVFfQ0FTSF9JTlRFUkVTVF9ORVQuOTk5LjAyLzA4LzIwMjYuLi5VU0QuSAEAAABLVQAAAwAAAAAAUVNFbyzw3ggsibSHLPDeCD5DSVEuTkFTREFROk1TRlQuSVFfQ0FTSF9JTlRFUkVTVF9JTlZFU1QuOTk5LjAyLzA4LzIwMjYuLi5VU0QuSAEAAABLVQAAAwAAAAAAUVNFbyzw3ghHsLSHLPDeCDlDSVEuTkFTREFROk1TRlQuSVFfQ0FTSF9UQVhFU19PUEVSLjk5OS4wMi8wOC8yMDI2Li4uVVNELkgBAAAAS1UAAAMAAAAAAFFTRW8s8N4IR7C0hyzw3gg+Q0lRLk5BU0RBUTpNU0ZULklRX0NIQU5HRV9ERUZfVEFYX1RPVEFMLjk5OC4wMi8wOC8yMDI2Li4uVVNELkgBAAAAS1UAAAIAAAAFLTQ3MzgBCAAAAAUAAAABMQEAAAALLTE4ODAyMjk2OTQDAAAAAzE2MAIAAAAFMzA5MjQE</t>
  </si>
  <si>
    <t>AAAAATAHAAAACDgvMi8yMDI2CAAAAAk2LzMwLzIwMjQJAAAAATBRU0VvLPDeCCyJtIcs8N4IN0NJUS5OQVNEQVE6TVNGVC5JUV9VTkxFVkVSRURfRkNGLjk5Ny4wMi8wOC8yMDI2Li4uVVNELkgBAAAAS1UAAAIAAAAJNDg1MTUuODc1AQgAAAAFAAAAATEBAAAACy0xOTM0MjU0MjUwAwAAAAMxNjACAAAABDQ0MjMEAAAAATAHAAAACDgvMi8yMDI2CAAAAAk2LzMwLzIwMjMJAAAAATBRU0VvLPDeCCyJtIcs8N4INUNJUS5OQVNEQVE6TVNGVC5JUV9NQUlOVF9DQVBFWC45OTcuMDIvMDgvMjAyNi4uLlVTRC5IAQAAAEtVAAADAAAAAABRU0VvLPDeCCyJtIcs8N4INkNJUS5OQVNEQVE6TVNGVC5JUV9ET19JTlZFU1RfQ0YuOTk2LjAyLzA4LzIwMjYuLi5VU0QuSAEAAABLVQAAAwAAAAAAUVNFbyzw3ghHsLSHLPDeCEVDSVEuTkFTREFROk1TRlQuSVFfT1BFUkFUSU5HX0xFQVNFX0xJQUJJTElUSUVTLjk5NS4wMi8wOC8yMDI2Li4uVVNELkgBAAAAS1UAAAMAAAAAAFFTRW8s8N4IUNe0hyzw3ghHQ0lRLk5BU0RBUTpNU0ZULklRX1RPVEFMX0RFQlRfUkVQQUlEX0VYQ0xfTEVBU0VTLjk5NC4wMi8wOC8yMDI2Li4uVVNELkgBAAAAS1UAAAIAAAAFLTU1MTgBCAAAAAUAAAABMQEAAAALLTIwODc0OTY2MjcDAAAAAzE2MAIAAAAFNDg5ODYEAAAAATAHAAAACDgvMi8yMDI2CAAAAAk2LzMwLzIwMjAJAAAAATBRU0VvLPDe</t>
  </si>
  <si>
    <t>CEewtIcs8N4IM0NJUS5OQVNEQVE6TVNGVC5JUV9TVF9JTlZFU1QuOTk4LjAyLzA4LzIwMjYuLi5VU0QuSAEAAABLVQAAAgAAAAU1NzIxNgEIAAAABQAAAAExAQAAAAstMTg4MDIyOTY5NAMAAAADMTYwAgAAAAQxMDY5BAAAAAEwBwAAAAg4LzIvMjAyNggAAAAJNi8zMC8yMDI0CQAAAAEwUVNFbyzw3ghHsLSHLPDeCCxDSVEuTkFTREFROk1TRlQuSVFfQVIuOTk3LjAyLzA4LzIwMjYuLi5VU0QuSAEAAABLVQAAAgAAAAU0ODY4OAEIAAAABQAAAAExAQAAAAstMTkzNDI1NDI1MAMAAAADMTYwAgAAAAQxMDIxBAAAAAEwBwAAAAg4LzIvMjAyNggAAAAJNi8zMC8yMDIzCQAAAAEwSyRFbyzw3ghHsLSHLPDeCDZDSVEuTkFTREFROk1TRlQuSVFfVE9UQUxfUkVDRUlWLjk5Ny4wMi8wOC8yMDI2Li4uVVNELkgBAAAAS1UAAAIAAAAFNTc4ODgBCAAAAAUAAAABMQEAAAALLTE5MzQyNTQyNTADAAAAAzE2MAIAAAAEMTAwMQQAAAABMAcAAAAIOC8yLzIwMjYIAAAACTYvMzAvMjAyMwkAAAABMEskRW8s8N4IUNe0hyzw3gg1Q0lRLk5BU0RBUTpNU0ZULklRX1BSRVBBSURfRVhQLjk5OS4wMi8wOC8yMDI2Li4uVVNELkgBAAAAS1UAAAMAAAAAAEskRW8s8N4IUNe0hyzw3gg4Q0lRLk5BU0RBUTpNU0ZULklRX0xPQU5TX0ZPUl9TQUxFLjk5My4wMi8wOC8yMDI2Li4uVVNELkgBAAAAS1UAAAMAAAAAAEskRW8s8N4IR7C0hyzw</t>
  </si>
  <si>
    <t>3gg4Q0lRLk5BU0RBUTpNU0ZULklRX09USEVSX0NBX1NVUFBMLjk5My4wMi8wOC8yMDI2Li4uVVNELkgBAAAAS1UAAAIAAAAFMTAxMzMBCAAAAAUAAAABMQEAAAALLTIxNDA5ODE0NjkDAAAAAzE2MAIAAAAEMTA1NQQAAAABMAcAAAAIOC8yLzIwMjYIAAAACTYvMzAvMjAxOQkAAAABMEskRW8s8N4IR7C0hyzw3ggsQ0lRLk5BU0RBUTpNU0ZULklRX0FELjk5NC4wMi8wOC8yMDI2Li4uVVNELkgBAAAAS1UAAAIAAAAGLTQzMTk3AQgAAAAFAAAAATEBAAAACy0yMDg3NDk2NjI3AwAAAAMxNjACAAAABDEwNzUEAAAAATAHAAAACDgvMi8yMDI2CAAAAAk2LzMwLzIwMjAJAAAAATBLJEVvLPDeCEewtIcs8N4IM0NJUS5OQVNEQVE6TVNGVC5JUV9MVF9JTlZFU1QuOTk5LjAyLzA4LzIwMjYuLi5VU0QuSAEAAABLVQAAAgAAAAUxNTQwNQEIAAAABQAAAAExAQAAAAstMTg4MDIyOTY4NgMAAAADMTYwAgAAAAQxMDU0BAAAAAEwBwAAAAg4LzIvMjAyNggAAAAJNi8zMC8yMDI1CQAAAAEwSyRFbyzw3ghQ17SHLPDeCDtDSVEuTkFTREFROk1TRlQuSVFfRklOX0RJVl9MT0FOU19MVC4xMDAwLjAyLzA4LzIwMjYuLi5VU0QuSAEAAABLVQAAAwAAAAAASyRFbyzw3ghQ17SHLPDeCDlDSVEuTkFTREFROk1TRlQuSVFfTE9BTlNfUkVDRUlWX0xULjk5Mi4wMi8wOC8yMDI2Li4uVVNELkgBAAAAS1UAAAMAAAAAAEskRW8s8N4IUNe0</t>
  </si>
  <si>
    <t>hyzw3gg5Q0lRLk5BU0RBUTpNU0ZULklRX09USEVSX0xUX0FTU0VUUy45OTMuMDIvMDgvMjAyNi4uLlVTRC5IAQAAAEtVAAACAAAABDQ5ODcBCAAAAAUAAAABMQEAAAALLTIxNDA5ODE0NjkDAAAAAzE2MAIAAAAEMTA2MAQAAAABMAcAAAAIOC8yLzIwMjYIAAAACTYvMzAvMjAxOQkAAAABMEskRW8s8N4IUNe0hyzw3ggsQ0lRLk5BU0RBUTpNU0ZULklRX0FFLjk5OS4wMi8wOC8yMDI2Li4uVVNELkgBAAAAS1UAAAIAAAAFMTM3MDkBCAAAAAUAAAABMQEAAAALLTE4ODAyMjk2ODYDAAAAAzE2MAIAAAAEMTAxNgQAAAABMAcAAAAIOC8yLzIwMjYIAAAACTYvMzAvMjAyNQkAAAABMEskRW8s8N4IUNe0hyzw3gg+Q0lRLk5BU0RBUTpNU0ZULklRX0NVUlJFTlRfUE9SVF9MRUFTRVMuMTAwMC4wMi8wOC8yMDI2Li4uVVNELkgBAAAAS1UAAAIAAAAEOTY4MwEIAAAABQAAAAExAQAAAAstMTg4MDIyOTY2NQMAAAADMTYwAgAAAAQxMDkwBAAAAAEwBwAAAAg4LzIvMjAyNggAAAAJNi8zMC8yMDI2CQAAAAEwSyRFbyzw3gg7D7WHLPDeCD1DSVEuTkFTREFROk1TRlQuSVFfSU5DX1RBWF9QQVlfQ1VSUkVOVC45OTQuMDIvMDgvMjAyNi4uLlVTRC5IAQAAAEtVAAACAAAABDIxMzABCAAAAAUAAAABMQEAAAALLTIwODc0OTY2MjcDAAAAAzE2MAIAAAAEMTA5NAQAAAABMAcAAAAIOC8yLzIwMjYIAAAACTYvMzAvMjAyMAkAAAAB</t>
  </si>
  <si>
    <t>MEskRW8s8N4IOw+1hyzw3gg+Q0lRLk5BU0RBUTpNU0ZULklRX0RFRl9UQVhfTElBQl9DVVJSRU5ULjk5Ny4wMi8wOC8yMDI2Li4uVVNELkgBAAAAS1UAAAMAAAAAAEskRW8s8N4IUNe0hyzw3ggyQ0lRLk5BU0RBUTpNU0ZULklRX0xUX0RFQlQuMTAwMC4wMi8wOC8yMDI2Li4uVVNELkgBAAAAS1UAAAIAAAAFMzEwNjcBCAAAAAUAAAABMQEAAAALLTE4ODAyMjk2NjUDAAAAAzE2MAIAAAAEMTA0OQQAAAABMAcAAAAIOC8yLzIwMjYIAAAACTYvMzAvMjAyNgkAAAABMEskRW8s8N4IUNe0hyzw3gg5Q0lRLk5BU0RBUTpNU0ZULklRX0ZJTl9ESVZfTElBQl9MVC45OTUuMDIvMDgvMjAyNi4uLlVTRC5IAQAAAEtVAAADAAAAAABLJEVvLPDeCFDXtIcs8N4INENJUS5OQVNEQVE6TVNGVC5JUV9UT1RBTF9MSUFCLjk5My4wMi8wOC8yMDI2Li4uVVNELkgBAAAAS1UAAAIAAAAGMTg0MjI2AQgAAAAFAAAAATEBAAAACy0yMTQwOTgxNDY5AwAAAAMxNjACAAAABDEyNzYEAAAAATAHAAAACDgvMi8yMDI2CAAAAAk2LzMwLzIwMTkJAAAAATBLJEVvLPDeCCg9tYcs8N4INkNJUS5OQVNEQVE6TVNGVC5JUV9QUkVGX0NPTlZFUlQuOTk5LjAyLzA4LzIwMjYuLi5VU0QuSAEAAABLVQAAAwAAAAAASyRFbyzw3ggoPbWHLPDeCC5DSVEuTkFTREFROk1TRlQuSVFfQVBJQy45OTcuMDIvMDgvMjAyNi4uLlVTRC5IAQAAAEtVAAADAAAA</t>
  </si>
  <si>
    <t>AABLJEVvLPDeCFDXtIcs8N4IPUNJUS5OQVNEQVE6TVNGVC5JUV9UT1RBTF9DT01NT05fRVFVSVRZLjk5OS4wMi8wOC8yMDI2Li4uVVNELkgBAAAAS1UAAAIAAAAGMzQzNDc5AQgAAAAFAAAAATEBAAAACy0xODgwMjI5Njg2AwAAAAMxNjACAAAABDEwMDYEAAAAATAHAAAACDgvMi8yMDI2CAAAAAk2LzMwLzIwMjUJAAAAATBLJEVvLPDeCDsPtYcs8N4IM0NJUS5OQVNEQVE6TVNGVC5JUV9SVUFfR1JPU1MuOTk4LjAyLzA4LzIwMjYuLi5VU0QuSAEAAABLVQAAAwAAAAAASyRFbyzw3gg7D7WHLPDeCEFDSVEuTkFTREFROk1TRlQuSVFfUlVBX0NBUElUQUxfTEVBU0VfR1JPU1MuOTk1LjAyLzA4LzIwMjYuLi5VU0QuSAEAAABLVQAAAwAAAAAASyRFbyzw3ggoPbWHLPDeCEFDSVEuTkFTREFROk1TRlQuSVFfUlVBX09QRVJBVElOR19MRUFTRV9ORVQuOTk4LjAyLzA4LzIwMjYuLi5VU0QuSAEAAABLVQAAAwAAAAAASyRFbyzw3ghxZLWHLPDeCEBDSVEuTkFTREFROk1TRlQuSVFfRklOQU5DRV9MRUFTRVNfQ1VSUkVOVC45OTkuMDIvMDgvMjAyNi4uLlVTRC5IAQAAAEtVAAACAAAABDMxNzIBCAAAAAUAAAABMQEAAAALLTE4ODAyMjk2ODYDAAAAAzE2MAIAAAAFNDg5OTAEAAAAATAHAAAACDgvMi8yMDI2CAAAAAk2LzMwLzIwMjUJAAAAATBLJEVvLPDeCDsPtYcs8N4IO0NJUS5OQVNEQVE6TVNGVC5JUV9UT1RBTF9P</t>
  </si>
  <si>
    <t>UEVSX0xFQVNFUy45OTYuMDIvMDgvMjAyNi4uLlVTRC5IAQAAAEtVAAACAAAABTEzNzE3AQgAAAAFAAAAATEBAAAACy0xOTg1OTMxMjI0AwAAAAMxNjACAAAABTQ4OTc4BAAAAAEwBwAAAAg4LzIvMjAyNggAAAAJNi8zMC8yMDIyCQAAAAEwSyRFbyzw3gg7D7WHLPDeCEVDSVEuTkFTREFROk1TRlQuSVFfVE9UQUxfREVCVF9FWENMX09QRVJfTEVBU0VTLjk5OC4wMi8wOC8yMDI2Li4uVVNELkgBAAAAS1UAAAIAAAAFNzg3NzUBCAAAAAUAAAABMQEAAAALLTE4ODAyMjk2OTQDAAAAAzE2MAIAAAAFNDg5ODIEAAAAATAHAAAACDgvMi8yMDI2CAAAAAk2LzMwLzIwMjQJAAAAATBLJEVvLPDeCCg9tYcs8N4ILUNJUS5OQVNEQVE6TVNGVC5JUV9UQlYuOTk2LjAyLzA4LzIwMjYuLi5VU0QuSAEAAABLVQAAAgAAAAU4NzcyMAEIAAAABQAAAAExAQAAAAstMTk4NTkzMTIyNAMAAAADMTYwAgAAAAQxMzEwBAAAAAEwBwAAAAg4LzIvMjAyNggAAAAJNi8zMC8yMDIyCQAAAAEwSyRFbyzw3ghxZLWHLPDeCDxDSVEuTkFTREFROk1TRlQuSVFfVE9UQUxfREVCVF9DVVJSRU5ULjk5OS4wMi8wOC8yMDI2Li4uVVNELkgBAAAAS1UAAAIAAAAFMTE1OTUBCAAAAAUAAAABMQEAAAALLTE4ODAyMjk2ODYDAAAAAzE2MAIAAAAFMjUyMjMEAAAAATAHAAAACDgvMi8yMDI2CAAAAAk2LzMwLzIwMjUJAAAAATBLJEVvLPDeCHFktYcs8N4I</t>
  </si>
  <si>
    <t>OUNJUS5OQVNEQVE6TVNGVC5JUV9ORVRfV09SS0lOR19DQVAuOTk3LjAyLzA4LzIwMjYuLi5VU0QuSAEAAABLVQAAAgAAAAYtMjIyOTUBCAAAAAUAAAABMQEAAAALLTE5MzQyNTQyNTADAAAAAzE2MAIAAAAEMTMxMQQAAAABMAcAAAAIOC8yLzIwMjYIAAAACTYvMzAvMjAyMwkAAAABMEskRW8s8N4IKD21hyzw3ggxQ0lRLk5BU0RBUTpNU0ZULklRX1dJUF9JTlYuOTk1LjAyLzA4LzIwMjYuLi5VU0QuSAEAAABLVQAAAgAAAAI3OQEIAAAABQAAAAExAQAAAAstMjAzNjg0Mzg0MwMAAAADMTYwAgAAAAQzMjE5BAAAAAEwBwAAAAg4LzIvMjAyNggAAAAJNi8zMC8yMDIxCQAAAAEwSyRFbyzw3ggoPbWHLPDeCDNDSVEuTkFTREFROk1TRlQuSVFfU09GVFdBUkUuMTAwMC4wMi8wOC8yMDI2Li4uVVNELkgBAAAAS1UAAAMAAAAAAEskRW8s8N4IKD21hyzw3ghBQ0lRLk5BU0RBUTpNU0ZULklRX01JTk9SSVRZX0lOVF9SRURFRU1fVE9ULjk5NS4wMi8wOC8yMDI2Li4uVVNELkgBAAAAS1UAAAMAAAAAAEskRW8s8N4IcWS1hyzw3ghNQ0lRLk5BU0RBUTpNU0ZULklRX0xJUVVJREFUSU9OX1ZBTFVFX1BSRUZFUlJFRF9DT05WRVJULjk5OC4wMi8wOC8yMDI2Li4uVVNELkgBAAAAS1UAAAMAAAAAAEskRW8s8N4IcWS1hyzw3gg9Q0lRLk5BU0RBUTpNU0ZULklRX0xJQUJJTElUSUVTX0xFVkVMXzMuOTk2LjAyLzA4LzIwMjYu</t>
  </si>
  <si>
    <t>Li5VU0QuSAEAAABLVQAAAwAAAAAASyRFbyzw3ghxZLWHLPDeCDdDSVEuTkFTREFROk1TRlQuSVFfT1JERVJfQkFDS0xPRy45OTYuMDIvMDgvMjAyNi4uLlVTRC5IAQAAAEtVAAADAAAAAABLJEVvLPDeCHFktYcs8N4ILkNJUS5OQVNEQVE6TVNGVC5JUV9ESUxVVF9XRUlHSFQuOTkzLjAyLzA4LzIwMjYBAAAAS1UAAAIAAAAENzc1MwBLJEVvLPDeCFBt4ocs8N4IQUNJUS5OQVNEQVE6TVNGVC5JUV9TVE9DS19CQVNFRF9DT01QX1BSRVRBWC45OTUuMDIvMDgvMjAyNi4uLlVTRC5IAQAAAEtVAAACAAAABDYxMTgASyRFbyzw3ghxZLWHLPDeCDBDSVEuTkFTREFROk1TRlQuSVFfTklfQ0YuMTAwMC4wMi8wOC8yMDI2Li4uVVNELkgBAAAAS1UAAAIAAAAGMTMzNzQ5AQgAAAAFAAAAATEBAAAACy0xODgwMjI5NjY1AwAAAAMxNjACAAAABDIxNTAEAAAAATAHAAAACDgvMi8yMDI2CAAAAAk2LzMwLzIwMjYJAAAAATBLJEVvLPDeCBmftYcs8N4IO0NJUS5OQVNEQVE6TVNGVC5JUV9HV19JTlRBTl9BTU9SVF9DRi45OTQuMDIvMDgvMjAyNi4uLlVTRC5IAQAAAEtVAAACAAAABDE2MDABCAAAAAUAAAABMQEAAAALLTIwODc0OTY2MjcDAAAAAzE2MAIAAAAEMjE4MgQAAAABMAcAAAAIOC8yLzIwMjYIAAAACTYvMzAvMjAyMAkAAAABMEskRW8s8N4IcWS1hyzw3gg1Q0lRLk5BU0RBUTpNU0ZULklRX09USEVSX0FNT1JULjk5</t>
  </si>
  <si>
    <t>OS4wMi8wOC8yMDI2Li4uVVNELkgBAAAAS1UAAAMAAAAAAEskRW8s8N4IcWS1hyzw3gg5Q0lRLk5BU0RBUTpNU0ZULklRX0dBSU5fQVNTRVRTX0NGLjEwMDAuMDIvMDgvMjAyNi4uLlVTRC5IAQAAAEtVAAADAAAAAABLJEVvLPDeCHFktYcs8N4IPENJUS5OQVNEQVE6TVNGVC5JUV9BU1NFVF9XUklURURPV05fQ0YuOTk1LjAyLzA4LzIwMjYuLi5VU0QuSAEAAABLVQAAAwAAAAAASyRFbyzw3ggZn7WHLPDeCDdDSVEuTkFTREFROk1TRlQuSVFfSU5DX0VRVUlUWV9DRi45OTkuMDIvMDgvMjAyNi4uLlVTRC5IAQAAAEtVAAADAAAAAABLJEVvLPDeCBmftYcs8N4IO0NJUS5OQVNEQVE6TVNGVC5JUV9QUk9WX0JBRF9ERUJUU19DRi45OTIuMDIvMDgvMjAyNi4uLlVTRC5IAQAAAEtVAAADAAAAAABLJEVvLPDeCHFktYcs8N4IP0NJUS5OQVNEQVE6TVNGVC5JUV9DSEFOR0VfVFJBRElOR19BU1NFVFMuOTk2LjAyLzA4LzIwMjYuLi5VU0QuSAEAAABLVQAAAwAAAAAASyRFbyzw3ghxZLWHLPDeCDRDSVEuTkFTREFROk1TRlQuSVFfQ0hBTkdFX0FSLjEwMDAuMDIvMDgvMjAyNi4uLlVTRC5IAQAAAEtVAAACAAAABi0xMjczNwEIAAAABQAAAAExAQAAAAstMTg4MDIyOTY2NQMAAAADMTYwAgAAAAQyMDE4BAAAAAEwBwAAAAg4LzIvMjAyNggAAAAJNi8zMC8yMDI2CQAAAAEwSyRFbyzw3ghxZLWHLPDeCDtDSVEuTkFTREFR</t>
  </si>
  <si>
    <t>Ok1TRlQuSVFfQ0hBTkdFX1VORUFSTl9SRVYuOTkzLjAyLzA4LzIwMjYuLi5VU0QuSAEAAABLVQAAAgAAAAQ0NDYyAQgAAAAFAAAAATEBAAAACy0yMTQwOTgxNDY5AwAAAAMxNjACAAAABDIxMzkEAAAAATAHAAAACDgvMi8yMDI2CAAAAAk2LzMwLzIwMTkJAAAAATBLJEVvLPDeCHPGtYcs8N4IRkNJUS5OQVNEQVE6TVNGVC5JUV9DSEFOR0VfT1RIRVJfTkVUX09QRVJfQVNTRVRTLjk5Ny4wMi8wOC8yMDI2Li4uVVNELkgBAAAAS1UAAAIAAAAFLTE5OTkBCAAAAAUAAAABMQEAAAALLTE5MzQyNTQyNTADAAAAAzE2MAIAAAAEMjA0NQQAAAABMAcAAAAIOC8yLzIwMjYIAAAACTYvMzAvMjAyMwkAAAABMEskRW8s8N4Ic8a1hyzw3ggvQ0lRLk5BU0RBUTpNU0ZULklRX0NBUEVYLjk5Mi4wMi8wOC8yMDI2Li4uVVNELkgBAAAAS1UAAAIAAAAGLTExNjMyAQgAAAAFAAAAATEBAAAACjIwNDcyNzE3NDUDAAAAAzE2MAIAAAAEMjAyMQQAAAABMAcAAAAIOC8yLzIwMjYIAAAACTYvMzAvMjAxOAkAAAABMEskRW8s8N4IGZ+1hyzw3ggzQ0lRLk5BU0RBUTpNU0ZULklRX0RJVkVTVF9DRi45OTYuMDIvMDgvMjAyNi4uLlVTRC5IAQAAAEtVAAADAAAAAABLJEVvLPDeCBmftYcs8N4IN0NJUS5OQVNEQVE6TVNGVC5JUV9TQUxFX0lOVEFOX0NGLjk5OC4wMi8wOC8yMDI2Li4uVVNELkgBAAAAS1UAAAMAAAAAAEskRW8s8N4IGZ+1</t>
  </si>
  <si>
    <t>hyzw3gg5Q0lRLk5BU0RBUTpNU0ZULklRX0lOVkVTVF9MT0FOU19DRi45OTIuMDIvMDgvMjAyNi4uLlVTRC5IAQAAAEtVAAADAAAAAABLJEVvLPDeCHPGtYcs8N4IOENJUS5OQVNEQVE6TVNGVC5JUV9TVF9ERUJUX0lTU1VFRC45OTcuMDIvMDgvMjAyNi4uLlVTRC5IAQAAAEtVAAADAAAAAABLJEVvLPDeCHPGtYcs8N4IO0NJUS5OQVNEQVE6TVNGVC5JUV9UT1RBTF9ERUJUX0lTU1VFRC45OTkuMDIvMDgvMjAyNi4uLlVTRC5IAQAAAEtVAAADAAAAAABLJEVvLPDeCBmftYcs8N4IO0NJUS5OQVNEQVE6TVNGVC5JUV9UT1RBTF9ERUJUX1JFUEFJRC45OTYuMDIvMDgvMjAyNi4uLlVTRC5IAQAAAEtVAAACAAAABS05MDIzAQgAAAAFAAAAATEBAAAACy0xOTg1OTMxMjI0AwAAAAMxNjACAAAABDIxNjYEAAAAATAHAAAACDgvMi8yMDI2CAAAAAk2LzMwLzIwMjIJAAAAATBLJEVvLPDeCBmftYcs8N4INENJUS5OQVNEQVE6TVNGVC5JUV9DT01NT05fUkVQLjk5OC4wMi8wOC8yMDI2Li4uVVNELkgBAAAAS1UAAAIAAAAGLTE3MjU0AQgAAAAFAAAAATEBAAAACy0xODgwMjI5Njk0AwAAAAMxNjACAAAABDIxNjQEAAAAATAHAAAACDgvMi8yMDI2CAAAAAk2LzMwLzIwMjQJAAAAATBLJEVvLPDeCBmftYcs8N4IM0NJUS5OQVNEQVE6TVNGVC5JUV9QUkVGX1JFUC4xMDAwLjAyLzA4LzIwMjYuLi5VU0QuSAEAAABLVQAAAwAA</t>
  </si>
  <si>
    <t>AAAASyRFbyzw3gjI7bWHLPDeCDxDSVEuTkFTREFROk1TRlQuSVFfQ09NTU9OX1BSRUZfRElWX0NGLjk5Ny4wMi8wOC8yMDI2Li4uVVNELkgBAAAAS1UAAAMAAAAAAEskRW8s8N4IyO21hyzw3gg4Q0lRLk5BU0RBUTpNU0ZULklRX1NQRUNJQUxfRElWX0NGLjk5OS4wMi8wOC8yMDI2Li4uVVNELkgBAAAAS1UAAAMAAAAAAEskRW8s8N4Ic8a1hyzw3ggsQ0lRLk5BU0RBUTpNU0ZULklRX0ZYLjk5Ni4wMi8wOC8yMDI2Li4uVVNELkgBAAAAS1UAAAIAAAAELTE0MQEIAAAABQAAAAExAQAAAAstMTk4NTkzMTIyNAMAAAADMTYwAgAAAAQyMTQ0BAAAAAEwBwAAAAg4LzIvMjAyNggAAAAJNi8zMC8yMDIyCQAAAAEwSyRFbyzw3ghzxrWHLPDeCDVDSVEuTkFTREFROk1TRlQuSVFfTkVUX0NIQU5HRS4xMDAwLjAyLzA4LzIwMjYuLi5VU0QuSAEAAABLVQAAAgAAAAUtOTMwNwEIAAAABQAAAAExAQAAAAstMTg4MDIyOTY2NQMAAAADMTYwAgAAAAQyMDkzBAAAAAEwBwAAAAg4LzIvMjAyNggAAAAJNi8zMC8yMDI2CQAAAAEwSyRFbyzw3ghzxrWHLPDeCDRDSVEuTkFTREFROk1TRlQuSVFfREVQUkVfU1VQUC45OTUuMDIvMDgvMjAyNi4uLlVTRC5IAQAAAEtVAAACAAAABDkzMDABCAAAAAUAAAABMQEAAAALLTIwMzY4NDM4NDMDAAAAAzE2MAIAAAAEMjE0MwQAAAABMAcAAAAIOC8yLzIwMjYIAAAACTYvMzAvMjAyMQkAAAAB</t>
  </si>
  <si>
    <t>MEskRW8s8N4I0BS2hyzw3ghGQ0lRLk5BU0RBUTpNU0ZULklRX0RBX1NVUFBMX0NGX0VYQ0xfT1BFUl9MRUFTRVMuOTk0LjAyLzA4LzIwMjYuLi5VU0QuSAEAAABLVQAAAgAAAAUxMDcwMAEIAAAABQAAAAExAQAAAAstMjA4NzQ5NjYyNwMAAAADMTYwAgAAAAU0ODk4MwQAAAABMAcAAAAIOC8yLzIwMjYIAAAACTYvMzAvMjAyMAkAAAABMEskRW8s8N4I0BS2hyzw3gg2Q0lRLk5BU0RBUTpNU0ZULklRX0FNT1JUX0RJQ19DRi45OTQuMDIvMDgvMjAyNi4uLlVTRC5IAQAAAEtVAAADAAAAAABLJEVvLPDeCHPGtYcs8N4IRUNJUS5OQVNEQVE6TVNGVC5JUV9TQUxFX1BST0NFRURTX1JFTlRBTF9BU1NFVFMuOTk3LjAyLzA4LzIwMjYuLi5VU0QuSAEAAABLVQAAAwAAAAAASyRFbyzw3gjI7bWHLPDeCEBDSVEuTkFTREFROk1TRlQuSVFfQ0FTSF9JTlRFUkVTVF9SRUNFSVZFRC45OTcuMDIvMDgvMjAyNi4uLlVTRC5IAQAAAEtVAAADAAAAAABLJEVvLPDeCMjttYcs8N4IP0NJUS5OQVNEQVE6TVNGVC5JUV9DQVNIX0lOVEVSRVNUX0lOVkVTVC4xMDAwLjAyLzA4LzIwMjYuLi5VU0QuSAEAAABLVQAAAwAAAAAASyRFbyzw3gjQFLaHLPDeCDpDSVEuTkFTREFROk1TRlQuSVFfQ0FTSF9UQVhFU19PUEVSLjEwMDAuMDIvMDgvMjAyNi4uLlVTRC5IAQAAAEtVAAADAAAAAABLJEVvLPDeCNAUtocs8N4IPkNJUS5OQVNEQVE6</t>
  </si>
  <si>
    <t>TVNGVC5JUV9DSEFOR0VfREVGX1RBWF9UT1RBTC45OTkuMDIvMDgvMjAyNi4uLlVTRC5IAQAAAEtVAAACAAAABS03MDU2AQgAAAAFAAAAATEBAAAACy0xODgwMjI5Njg2AwAAAAMxNjACAAAABTMwOTI0BAAAAAEwBwAAAAg4LzIvMjAyNggAAAAJNi8zMC8yMDI1CQAAAAEwSyRFbyzw3gjI7bWHLPDeCDdDSVEuTkFTREFROk1TRlQuSVFfVU5MRVZFUkVEX0ZDRi45OTIuMDIvMDgvMjAyNi4uLlVTRC5IAQAAAEtVAAACAAAACDI2NzQzLjI1AQgAAAAFAAAAATEBAAAACjIwNDcyNzE3NDUDAAAAAzE2MAIAAAAENDQyMwQAAAABMAcAAAAIOC8yLzIwMjYIAAAACTYvMzAvMjAxOAkAAAABMEskRW8s8N4IyO21hyzw3gg6Q0lRLk5BU0RBUTpNU0ZULklRX05FVF9ERUJUX0lTU1VFRC4xMDAwLjAyLzA4LzIwMjYuLi5VU0QuSAEAAABLVQAAAgAAAAUtMzAwMAEIAAAABQAAAAExAQAAAAstMTg4MDIyOTY2NQMAAAADMTYwAgAAAAQyMDAzBAAAAAEwBwAAAAg4LzIvMjAyNggAAAAJNi8zMC8yMDI2CQAAAAEwSyRFbyzw3gjI7bWHLPDeCDdDSVEuTkFTREFROk1TRlQuSVFfRE9fRklOQU5DRV9DRi45OTkuMDIvMDgvMjAyNi4uLlVTRC5IAQAAAEtVAAADAAAAAABLJEVvLPDeCNAUtocs8N4IRUNJUS5OQVNEQVE6TVNGVC5JUV9PUEVSQVRJTkdfTEVBU0VfTElBQklMSVRJRVMuOTk2LjAyLzA4LzIwMjYuLi5VU0QuSAEAAABL</t>
  </si>
  <si>
    <t>VQAAAwAAAAAASyRFbyzw3gjhO7aHLPDeCEdDSVEuTkFTREFROk1TRlQuSVFfVE9UQUxfREVCVF9SRVBBSURfRVhDTF9MRUFTRVMuOTk1LjAyLzA4LzIwMjYuLi5VU0QuSAEAAABLVQAAAgAAAAUtMzc1MAEIAAAABQAAAAExAQAAAAstMjAzNjg0Mzg0MwMAAAADMTYwAgAAAAU0ODk4NgQAAAABMAcAAAAIOC8yLzIwMjYIAAAACTYvMzAvMjAyMQkAAAABMEskRW8s8N4I0BS2hyzw3ggzQ0lRLk5BU0RBUTpNU0ZULklRX1NUX0lOVkVTVC45OTkuMDIvMDgvMjAyNi4uLlVTRC5IAQAAAEtVAAACAAAABTY0MzEzAQgAAAAFAAAAATEBAAAACy0xODgwMjI5Njg2AwAAAAMxNjACAAAABDEwNjkEAAAAATAHAAAACDgvMi8yMDI2CAAAAAk2LzMwLzIwMjUJAAAAATBLJEVvLPDeCNAUtocs8N4ILENJUS5OQVNEQVE6TVNGVC5JUV9BUi45OTguMDIvMDgvMjAyNi4uLlVTRC5IAQAAAEtVAAACAAAABTU2OTI0AQgAAAAFAAAAATEBAAAACy0xODgwMjI5Njk0AwAAAAMxNjACAAAABDEwMjEEAAAAATAHAAAACDgvMi8yMDI2CAAAAAk2LzMwLzIwMjQJAAAAATBLJEVvLPDeCNAUtocs8N4IOUNJUS5OQVNEQVE6TVNGVC5JUV9TVF9OT1RFX1JFQ0VJVi4xMDAwLjAyLzA4LzIwMjYuLi5VU0QuSAEAAABLVQAAAwAAAAAASyRFbyzw3gjhO7aHLPDeCDZDSVEuTkFTREFROk1TRlQuSVFfUFJFUEFJRF9FWFAuMTAwMC4wMi8wOC8yMDI2</t>
  </si>
  <si>
    <t>Li4uVVNELkgBAAAAS1UAAAMAAAAAAEskRW8s8N4I4Tu2hyzw3gg4Q0lRLk5BU0RBUTpNU0ZULklRX0xPQU5TX0ZPUl9TQUxFLjk5NC4wMi8wOC8yMDI2Li4uVVNELkgBAAAAS1UAAAMAAAAAAEskRW8s8N4I0BS2hyzw3gg4Q0lRLk5BU0RBUTpNU0ZULklRX09USEVSX0NBX1NVUFBMLjk5NC4wMi8wOC8yMDI2Li4uVVNELkgBAAAAS1UAAAIAAAAFMTE1MTcBCAAAAAUAAAABMQEAAAALLTIwODc0OTY2MjcDAAAAAzE2MAIAAAAEMTA1NQQAAAABMAcAAAAIOC8yLzIwMjYIAAAACTYvMzAvMjAyMAkAAAABMEskRW8s8N4I0BS2hyzw3gguQ0lRLk5BU0RBUTpNU0ZULklRX0dQUEUuOTk4LjAyLzA4LzIwMjYuLi5VU0QuSAEAAABLVQAAAgAAAAYyMzA5NzMBCAAAAAUAAAABMQEAAAALLTE4ODAyMjk2OTQDAAAAAzE2MAIAAAAEMTE2OQQAAAABMAcAAAAIOC8yLzIwMjYIAAAACTYvMzAvMjAyNAkAAAABMEskRW8s8N4I0BS2hyzw3ggsQ0lRLk5BU0RBUTpNU0ZULklRX0dXLjk5Ni4wMi8wOC8yMDI2Li4uVVNELkgBAAAAS1UAAAIAAAAFNjc1MjQBCAAAAAUAAAABMQEAAAALLTE5ODU5MzEyMjQDAAAAAzE2MAIAAAAEMTE3MQQAAAABMAcAAAAIOC8yLzIwMjYIAAAACTYvMzAvMjAyMgkAAAABMEskRW8s8N4I4Tu2hyzw3gg7Q0lRLk5BU0RBUTpNU0ZULklRX0ZJTl9ESVZfQVNTRVRTX0xULjk5Ni4wMi8wOC8yMDI2Li4u</t>
  </si>
  <si>
    <t>VVNELkgBAAAAS1UAAAMAAAAAAEskRW8s8N4I4Tu2hyzw3gg7Q0lRLk5BU0RBUTpNU0ZULklRX0RFRl9UQVhfQVNTRVRTX0xULjk5Ni4wMi8wOC8yMDI2Li4uVVNELkgBAAAAS1UAAAIAAAAFMTM1MTUBCAAAAAUAAAABMQEAAAALLTE5ODU5MzEyMjQDAAAAAzE2MAIAAAAEMTAyNgQAAAABMAcAAAAIOC8yLzIwMjYIAAAACTYvMzAvMjAyMgkAAAABMEskRW8s8N4I4Tu2hyzw3gg5Q0lRLk5BU0RBUTpNU0ZULklRX09USEVSX0xUX0FTU0VUUy45OTkuMDIvMDgvMjAyNi4uLlVTRC5IAQAAAEtVAAACAAAABDYyNTcBCAAAAAUAAAABMQEAAAALLTE4ODAyMjk2ODYDAAAAAzE2MAIAAAAEMTA2MAQAAAABMAcAAAAIOC8yLzIwMjYIAAAACTYvMzAvMjAyNQkAAAABMEskRW8s8N4I4Tu2hyzw3ggtQ0lRLk5BU0RBUTpNU0ZULklRX0FFLjEwMDAuMDIvMDgvMjAyNi4uLlVTRC5IAQAAAEtVAAACAAAABTE0OTQ1AQgAAAAFAAAAATEBAAAACy0xODgwMjI5NjY1AwAAAAMxNjACAAAABDEwMTYEAAAAATAHAAAACDgvMi8yMDI2CAAAAAk2LzMwLzIwMjYJAAAAATBLJEVvLPDeCOE7tocs8N4IPUNJUS5OQVNEQVE6TVNGVC5JUV9DVVJSRU5UX1BPUlRfTEVBU0VTLjk5Mi4wMi8wOC8yMDI2Li4uVVNELkgBAAAAS1UAAAIAAAAEMTU3NQEIAAAABQAAAAExAQAAAAoyMDQ3MjcxNzQ1AwAAAAMxNjACAAAABDEwOTAEAAAAATAHAAAA</t>
  </si>
  <si>
    <t>CDgvMi8yMDI2CAAAAAk2LzMwLzIwMTgJAAAAATBLJEVvLPDeCOhitocs8N4IPUNJUS5OQVNEQVE6TVNGVC5JUV9JTkNfVEFYX1BBWV9DVVJSRU5ULjk5NS4wMi8wOC8yMDI2Li4uVVNELkgBAAAAS1UAAAIAAAAEMjE3NAEIAAAABQAAAAExAQAAAAstMjAzNjg0Mzg0MwMAAAADMTYwAgAAAAQxMDk0BAAAAAEwBwAAAAg4LzIvMjAyNggAAAAJNi8zMC8yMDIxCQAAAAEwSyRFbyzw3gjoYraHLPDeCD5DSVEuTkFTREFROk1TRlQuSVFfREVGX1RBWF9MSUFCX0NVUlJFTlQuOTk4LjAyLzA4LzIwMjYuLi5VU0QuSAEAAABLVQAAAwAAAAAASyRFbyzw3gjhO7aHLPDeCDpDSVEuTkFTREFROk1TRlQuSVFfTE9OR19URVJNX0xFQVNFUy45OTcuMDIvMDgvMjAyNi4uLlVTRC5IAQAAAEtVAAACAAAABTI4NTk4AQgAAAAFAAAAATEBAAAACy0xOTM0MjU0MjUwAwAAAAMxNjACAAAABDExODMEAAAAATAHAAAACDgvMi8yMDI2CAAAAAk2LzMwLzIwMjMJAAAAATBLJEVvLPDeCOE7tocs8N4IN0NJUS5OQVNEQVE6TVNGVC5JUV9VTkVBUk5fUkVWX0xULjk5OS4wMi8wOC8yMDI2Li4uVVNELkgBAAAAS1UAAAIAAAAEMjcxMAEIAAAABQAAAAExAQAAAAstMTg4MDIyOTY4NgMAAAADMTYwAgAAAAQxMjU2BAAAAAEwBwAAAAg4LzIvMjAyNggAAAAJNi8zMC8yMDI1CQAAAAEwSyRFbyzw3gjhO7aHLPDeCDdDSVEuTkFTREFROk1TRlQu</t>
  </si>
  <si>
    <t>SVFfT1RIRVJfTElBQl9MVC45OTguMDIvMDgvMjAyNi4uLlVTRC5IAQAAAEtVAAACAAAABTMwMTk5AQgAAAAFAAAAATEBAAAACy0xODgwMjI5Njk0AwAAAAMxNjACAAAABDEwNjIEAAAAATAHAAAACDgvMi8yMDI2CAAAAAk2LzMwLzIwMjQJAAAAATBLJEVvLPDeCOhitocs8N4IN0NJUS5OQVNEQVE6TVNGVC5JUV9QUkVGX0NPTlZFUlQuMTAwMC4wMi8wOC8yMDI2Li4uVVNELkgBAAAAS1UAAAMAAAAAAEskRW8s8N4I6GK2hyzw3ggsQ0lRLk5BU0RBUTpNU0ZULklRX1JFLjk5Ni4wMi8wOC8yMDI2Li4uVVNELkgBAAAAS1UAAAIAAAAFODQyODEBCAAAAAUAAAABMQEAAAALLTE5ODU5MzEyMjQDAAAAAzE2MAIAAAAEMTIyMgQAAAABMAcAAAAIOC8yLzIwMjYIAAAACTYvMzAvMjAyMgkAAAABMEskRW8s8N4I4Tu2hyzw3gg9Q0lRLk5BU0RBUTpNU0ZULklRX1RPVEFMX0NPTU1PTl9FUVVJVFkuOTkzLjAyLzA4LzIwMjYuLi5VU0QuSAEAAABLVQAAAgAAAAYxMDIzMzABCAAAAAUAAAABMQEAAAALLTIxNDA5ODE0NjkDAAAAAzE2MAIAAAAEMTAwNgQAAAABMAcAAAAIOC8yLzIwMjYIAAAACTYvMzAvMjAxOQkAAAABMEskRW8s8N4I6GK2hyzw3ggzQ0lRLk5BU0RBUTpNU0ZULklRX1JVQV9HUk9TUy45OTkuMDIvMDgvMjAyNi4uLlVTRC5IAQAAAEtVAAADAAAAAABLJEVvLPDeCOhitocs8N4IRkNJUS5OQVNEQVE6TVNG</t>
  </si>
  <si>
    <t>VC5JUV9SVUFfQ0FQSVRBTF9MRUFTRV9BQ0NVTV9ERVAuMTAwMC4wMi8wOC8yMDI2Li4uVVNELkgBAAAAS1UAAAMAAAAAAEskRW8s8N4IAIq2hyzw3ghBQ0lRLk5BU0RBUTpNU0ZULklRX1JVQV9PUEVSQVRJTkdfTEVBU0VfTkVULjk5Mi4wMi8wOC8yMDI2Li4uVVNELkgBAAAAS1UAAAMAAAAAAEskRW8s8N4IAIq2hyzw3ghBQ0lRLk5BU0RBUTpNU0ZULklRX0ZJTkFOQ0VfTEVBU0VTX0NVUlJFTlQuMTAwMC4wMi8wOC8yMDI2Li4uVVNELkgBAAAAS1UAAAIAAAAENDI5MAEIAAAABQAAAAExAQAAAAstMTg4MDIyOTY2NQMAAAADMTYwAgAAAAU0ODk5MAQAAAABMAcAAAAIOC8yLzIwMjYIAAAACTYvMzAvMjAyNgkAAAABMEskRW8s8N4I6GK2hyzw3gg7Q0lRLk5BU0RBUTpNU0ZULklRX1RPVEFMX09QRVJfTEVBU0VTLjk5Ny4wMi8wOC8yMDI2Li4uVVNELkgBAAAAS1UAAAIAAAAFMTUxMzcBCAAAAAUAAAABMQEAAAALLTE5MzQyNTQyNTADAAAAAzE2MAIAAAAFNDg5NzgEAAAAATAHAAAACDgvMi8yMDI2CAAAAAk2LzMwLzIwMjMJAAAAATBLJEVvLPDeCOhitocs8N4IQENJUS5OQVNEQVE6TVNGVC5JUV9UT1RBTF9ERUJUX0VYQ0xfTEVBU0VTLjk5Ni4wMi8wOC8yMDI2Li4uVVNELkgBAAAAS1UAAAIAAAAFNDk3ODEBCAAAAAUAAAABMQEAAAALLTE5ODU5MzEyMjQDAAAAAzE2MAIAAAAFNDg5OTIEAAAAATAHAAAA</t>
  </si>
  <si>
    <t>CDgvMi8yMDI2CAAAAAk2LzMwLzIwMjIJAAAAATBLJEVvLPDeCOhitocs8N4IPENJUS5OQVNEQVE6TVNGVC5JUV9UQlZfU0hBUkVfUkVQT1JURUQuOTk5LjAyLzA4LzIwMjYuLi5VU0QuSAEAAABLVQAAAwAAAAAASyRFbyzw3ggAiraHLPDeCEBDSVEuTkFTREFROk1TRlQuSVFfVE9UQUxfREVCVF9OT05fQ1VSUkVOVC45OTcuMDIvMDgvMjAyNi4uLlVTRC5IAQAAAEtVAAACAAAABTcwNTg4AQgAAAAFAAAAATEBAAAACy0xOTM0MjU0MjUwAwAAAAMxNjACAAAABTI1MjI0BAAAAAEwBwAAAAg4LzIvMjAyNggAAAAJNi8zMC8yMDIzCQAAAAEwSyRFbyzw3ggAiraHLPDeCDlDSVEuTkFTREFROk1TRlQuSVFfTkVUX1dPUktJTkdfQ0FQLjk5OC4wMi8wOC8yMDI2Li4uVVNELkgBAAAAS1UAAAIAAAAGLTI2MjEyAQgAAAAFAAAAATEBAAAACy0xODgwMjI5Njk0AwAAAAMxNjACAAAABDEzMTEEAAAAATAHAAAACDgvMi8yMDI2CAAAAAk2LzMwLzIwMjQJAAAAATBLJEVvLPDeCOhitocs8N4IMUNJUS5OQVNEQVE6TVNGVC5JUV9XSVBfSU5WLjk5Ni4wMi8wOC8yMDI2Li4uVVNELkgBAAAAS1UAAAIAAAACODIBCAAAAAUAAAABMQEAAAALLTE5ODU5MzEyMjQDAAAAAzE2MAIAAAAEMzIxOQQAAAABMAcAAAAIOC8yLzIwMjYIAAAACTYvMzAvMjAyMgkAAAABMEskRW8s8N4I6GK2hyzw3ggyQ0lRLk5BU0RBUTpNU0ZULklRX1NP</t>
  </si>
  <si>
    <t>RlRXQVJFLjk5My4wMi8wOC8yMDI2Li4uVVNELkgBAAAAS1UAAAMAAAAAAEskRW8s8N4IAIq2hyzw3ghBQ0lRLk5BU0RBUTpNU0ZULklRX01JTk9SSVRZX0lOVF9SRURFRU1fVE9ULjk5Ni4wMi8wOC8yMDI2Li4uVVNELkgBAAAAS1UAAAMAAAAAAEskRW8s8N4IDrG2hyzw3ghOQ0lRLk5BU0RBUTpNU0ZULklRX0xJUVVJREFUSU9OX1ZBTFVFX1BSRUZFUlJFRF9DT05WRVJULjEwMDAuMDIvMDgvMjAyNi4uLlVTRC5IAQAAAEtVAAADAAAAAABLJEVvLPDeCA6xtocs8N4IT0NJUS5OQVNEQVE6TVNGVC5JUV9MSUFCSUxJVElFU19ORVRUSU5HX09USEVSX0FESlVTVE1FTlRTLjk5Ni4wMi8wOC8yMDI2Li4uVVNELkgBAAAAS1UAAAMAAAAAAEskRW8s8N4IAIq2hyzw3gg+Q0lRLk5BU0RBUTpNU0ZULklRX1dBUlJBTlRZX0xJQUJJTElUSUVTLjk5Ny4wMi8wOC8yMDI2Li4uVVNELkgBAAAAS1UAAAMAAAAAAEskRW8s8N4IAIq2hyzw3gg/Q0lRLk5BU0RBUTpNU0ZULklRX1RPVEFMX1JFVl9BU19SRVBPUlRFRC45OTUuMDIvMDgvMjAyNi4uLlVTRC5IAQAAAEtVAAACAAAABjE2ODA4OAEIAAAABQAAAAExAQAAAAstMjAzNjg0Mzg0MwMAAAADMTYwAgAAAAMzMzkEAAAAATAHAAAACDgvMi8yMDI2CAAAAAk2LzMwLzIwMjEJAAAAATBLJEVvLPDeCA6xtocs8N4IQ0NJUS5OQVNEQVE6TVNGVC5JUV9FQVJOSU5HX1BBUkVO</t>
  </si>
  <si>
    <t>VF9FWENMX0VYVFJBLjk5My4wMi8wOC8yMDI2Li4uVVNELkgBAAAAS1UAAAIAAAAFMzkyNDABCAAAAAUAAAABMQEAAAALLTIxNDA5ODE0NjkDAAAAAzE2MAIAAAAFNDE1OTYEAAAAATAHAAAACDgvMi8yMDI2CAAAAAk2LzMwLzIwMTkJAAAAATBLJEVvLPDeCA6xtocs8N4IOUNJUS5OQVNEQVE6TVNGVC5JUV9JTlRFUkVTVF9JTkNPTUUuOTk0LjAyLzA4LzIwMjYuLi5VU0QuSAEAAABLVQAAAgAAAAQyNjgwAQgAAAAFAAAAATEBAAAACy0yMDg3NDk2NjI3AwAAAAMxNjACAAAAAzIxMAQAAAABMAcAAAAIOC8yLzIwMjYIAAAACTYvMzAvMjAyMAkAAAABMEskRW8s8N4IAIq2hyzw3ghBQ0lRLk5BU0RBUTpNU0ZULklRX0VYQ0lTRV9UQVhFU19FWENMX1NBTEVTLjk5Ni4wMi8wOC8yMDI2Li4uVVNELkgBAAAAS1UAAAMAAAAAAEskRW8s8N4IAIq2hyzw3gg8Q0lRLk5BU0RBUTpNU0ZULklRX0NVUlJfRk9SRUlHTl9UQVhFUy45OTMuMDIvMDgvMjAyNi4uLlVTRC5IAQAAAEtVAAACAAAABDU1MzEBCAAAAAUAAAABMQEAAAALLTIxNDA5ODE0NjkDAAAAAzE2MAIAAAAEMzAzMAQAAAABMAcAAAAIOC8yLzIwMjYIAAAACTYvMzAvMjAxOQkAAAABMEskRW8s8N4IDrG2hyzw3ghBQ0lRLk5BU0RBUTpNU0ZULklRX0RFRkVSUkVEX0RPTUVTVElDX1RBWEVTLjk5NS4wMi8wOC8yMDI2Li4uVVNELkgBAAAAS1UAAAIAAAAELTE3</t>
  </si>
  <si>
    <t>OQEIAAAABQAAAAExAQAAAAstMjAzNjg0Mzg0MwMAAAADMTYwAgAAAAQzMDU0BAAAAAEwBwAAAAg4LzIvMjAyNggAAAAJNi8zMC8yMDIxCQAAAAEwSyRFbyzw3ggc2LaHLPDeCENDSVEuTkFTREFROk1TRlQuSVFfTk9OUkVDVVJSSU5HX0lOQ09NRV9UQVhFUy45OTIuMDIvMDgvMjAyNi4uLlVTRC5IAQAAAEtVAAACAAAABTEzNjk2AQgAAAAFAAAAATEBAAAACjIwNDcyNzE3NDUDAAAAAzE2MAIAAAAFNDg4MzkEAAAAATAHAAAACDgvMi8yMDI2CAAAAAk2LzMwLzIwMTgJAAAAATBLJEVvLPDeCBzYtocs8N4IMkNJUS5OQVNEQVE6TVNGVC5JUV9ESUxVVF9OSS45OTQuMDIvMDgvMjAyNi4uLlVTRC5IAQAAAEtVAAACAAAACDQ0MjU0LjA4AQgAAAAFAAAAATEBAAAACy0yMDg3NDk2NjI3AwAAAAMxNjACAAAABDM1MjIEAAAAATAHAAAACDgvMi8yMDI2CAAAAAk2LzMwLzIwMjAJAAAAATBLJEVvLPDeCA6xtocs8N4INUNJUS5OQVNEQVE6TVNGVC5JUV9JTlRfRVhQX0xURC45OTYuMDIvMDgvMjAyNi4uLlVTRC5IAQAAAEtVAAACAAAAAzQyOQEIAAAABQAAAAExAQAAAAstMTk4NTkzMTIyNAMAAAADMTYwAgAAAAQzMTAxBAAAAAEwBwAAAAg4LzIvMjAyNggAAAAJNi8zMC8yMDIyCQAAAAEwSyRFbyzw3ggOsbaHLPDeCD1DSVEuTkFTREFROk1TRlQuSVFfTk9OQ0FTSF9QRU5TSU9OX0VYUC45OTMuMDIvMDgvMjAyNi4u</t>
  </si>
  <si>
    <t>LlVTRC5IAQAAAEtVAAADAAAAAABLJEVvLPDeCA6xtocs8N4IPENJUS5OQVNEQVE6TVNGVC5JUV9ESVNUUklCVVRBQkxFX0NBU0guOTk1LjAyLzA4LzIwMjYuLi5VU0QuSAEAAABLVQAAAwAAAAAASyRFbyzw3ggc2LaHLPDeCDRDSVEuTkFTREFROk1TRlQuSVFfQ09NTU9OX0RJVi45OTkuMDIvMDgvMjAyNi4uLlVTRC5IAQAAAEtVAAACAAAABTI0Njc2AEskRW8s8N4IHNi2hyzw3gg1Q0lRLk5BU0RBUTpNU0ZULklRX0FEVkVSVElTSU5HLjk5OC4wMi8wOC8yMDI2Li4uVVNELkgBAAAAS1UAAAIAAAAEMTcwMAEIAAAABQAAAAExAQAAAAstMTg4MDIyOTY5NAMAAAADMTYwAgAAAAQzMDEzBAAAAAEwBwAAAAg4LzIvMjAyNggAAAAJNi8zMC8yMDI0CQAAAAEwSyRFbyzw3ggOsbaHLPDeCDlDSVEuTkFTREFROk1TRlQuSVFfU0FMRVNfTUFSS0VUSU5HLjk5OS4wMi8wOC8yMDI2Li4uVVNELkgBAAAAS1UAAAIAAAAFMjU2NTQBCAAAAAUAAAABMQEAAAALLTE4ODAyMjk2ODYDAAAAAzE2MAIAAAAFMjE1NjEEAAAAATAHAAAACDgvMi8yMDI2CAAAAAk2LzMwLzIwMjUJAAAAATBLJEVvLPDeCA6xtocs8N4IO0NJUS5OQVNEQVE6TVNGVC5JUV9ORVRfUkVOVEFMX0VYUF9GTi45OTcuMDIvMDgvMjAyNi4uLlVTRC5IAQAAAEtVAAACAAAABDI4NzUBCAAAAAUAAAABMQEAAAALLTE5MzQyNTQyNTADAAAAAzE2MAIAAAAEMzE3</t>
  </si>
  <si>
    <t>MAQAAAABMAcAAAAIOC8yLzIwMjYIAAAACTYvMzAvMjAyMwkAAAABMEskRW8s8N4IDrG2hyzw3gg/Q0lRLk5BU0RBUTpNU0ZULklRX05FVF9SRU5UQUxfRVhQX1NVUFBMRS45OTguMDIvMDgvMjAyNi4uLlVTRC5IAQAAAEtVAAACAAAABDM1NTUBCAAAAAUAAAABMQEAAAALLTE4ODAyMjk2OTQDAAAAAzE2MAIAAAAFMjQyNjMEAAAAATAHAAAACDgvMi8yMDI2CAAAAAk2LzMwLzIwMjQJAAAAATBLJEVvLPDeCBzYtocs8N4INkNJUS5OQVNEQVE6TVNGVC5JUV9PVEhFUl9SRU5UQUwuOTk2LjAyLzA4LzIwMjYuLi5VU0QuSAEAAABLVQAAAwAAAAAASyRFbyzw3ghX/7aHLPDeCERDSVEuTkFTREFROk1TRlQuSVFfREVQUkVDSUFUSU9OX1JFTlRBTF9BU1NFVFMuOTk3LjAyLzA4LzIwMjYuLi5VU0QuSAEAAABLVQAAAwAAAAAASyRFbyzw3ggc2LaHLPDeCDZDSVEuTkFTREFROk1TRlQuSVFfTUFJTlRfUkVQQUlSLjk5OC4wMi8wOC8yMDI2Li4uVVNELkgBAAAAS1UAAAMAAAAAAEskRW8s8N4IHNi2hyzw3gg8Q0lRLk5BU0RBUTpNU0ZULklRX1JFU1RSVUNUVVJFX1NVUFBMRS45OTQuMDIvMDgvMjAyNi4uLlVTRC5IAQAAAEtVAAADAAAAAABLJEVvLPDeCBzYtocs8N4IPkNJUS5OQVNEQVE6TVNGVC5JUV9JTVBBSVJNRU5UX0dXX1NVUFBMRS45OTUuMDIvMDgvMjAyNi4uLlVTRC5IAQAAAEtVAAADAAAAAABLJEVvLPDe</t>
  </si>
  <si>
    <t>CFf/tocs8N4IOkNJUS5OQVNEQVE6TVNGVC5JUV9HQUlOX0JBUkdBSU5fQUNRLjk5My4wMi8wOC8yMDI2Li4uVVNELkgBAAAAS1UAAAMAAAAAAEskRW8s8N4IV/+2hyzw3gg7Q0lRLk5BU0RBUTpNU0ZULklRX0lOU19TRVRUTEVfU1VQUExFLjk5NC4wMi8wOC8yMDI2Li4uVVNELkgBAAAAS1UAAAMAAAAAAEskRW8s8N4IHNi2hyzw3gg+Q0lRLk5BU0RBUTpNU0ZULklRX09USEVSX1VOVVNVQUxfU1VQUExFLjk5NS4wMi8wOC8yMDI2Li4uVVNELkgBAAAAS1UAAAMAAAAAAEskRW8s8N4IHNi2hyzw3gg+Q0lRLk5BU0RBUTpNU0ZULklRX05FR0FUSVZFX0dXX0FNT1JUX0FULjk5My4wMi8wOC8yMDI2Li4uVVNELkgBAAAAS1UAAAMAAAAAAEskRW8s8N4IHNi2hyzw3gg4Q0lRLk5BU0RBUTpNU0ZULklRX1NUT0NLX0JBU0VEX1JELjk5NC4wMi8wOC8yMDI2Li4uVVNELkgBAAAAS1UAAAMAAAAAAEskRW8s8N4IV/+2hyzw3gg5Q0lRLk5BU0RBUTpNU0ZULklRX1NUT0NLX0JBU0VEX1NHQS45OTIuMDIvMDgvMjAyNi4uLlVTRC5IAQAAAEtVAAADAAAAAABLJEVvLPDeCFf/tocs8N4IO0NJUS5OQVNEQVE6TVNGVC5JUV9TVE9DS19CQVNFRF9PVEhFUi45OTMuMDIvMDgvMjAyNi4uLlVTRC5IAQAAAEtVAAACAAAABDQ2NTIBCAAAAAUAAAABMQEAAAALLTIxNDA5ODE0NjkDAAAAAzE2MAIAAAAFMjI2NzYEAAAAATAHAAAA</t>
  </si>
  <si>
    <t>CDgvMi8yMDI2CAAAAAk2LzMwLzIwMTkJAAAAATBLJEVvLPDeCFf/tocs8N4IO0NJUS5OQVNEQVE6TVNGVC5JUV9TVE9DS19CQVNFRF9UT1RBTC45OTUuMDIvMDgvMjAyNi4uLlVTRC5IAQAAAEtVAAACAAAABDYxMTgBCAAAAAUAAAABMQEAAAALLTIwMzY4NDM4NDMDAAAAAzE2MAIAAAAFMjQwMzQEAAAAATAHAAAACDgvMi8yMDI2CAAAAAk2LzMwLzIwMjEJAAAAATBLJEVvLPDeCFf/tocs8N4IOkNJUS5OQVNEQVE6TVNGVC5JUV9SRVNUUl9TVE9DS19DT01QLjk5Mi4wMi8wOC8yMDI2Li4uVVNELkgBAAAAS1UAAAMAAAAAAEskRW8s8N4IV/+2hyzw3ghAQ0lRLk5BU0RBUTpNU0ZULklRX1NUT0NLX09QVElPTlNfQ09NUF9UQVguOTk0LjAyLzA4LzIwMjYuLi5VU0QuSAEAAABLVQAAAwAAAAAASyRFbyzw3gheJreHLPDeCD9DSVEuTkFTREFROk1TRlQuSVFfU1RPQ0tfQkFTRURfQ09NUF9UQVguMTAwMC4wMi8wOC8yMDI2Li4uVVNELkgBAAAAS1UAAAIAAAAFLTIwODkASyRFbyzw3gheJreHLPDeCC9DSVEuTkFTREFROk1TRlQuSVFfTklfQ0YuOTkzLjAyLzA4LzIwMjYuLi5VU0QuSAEAAABLVQAAAgAAAAUzOTI0MAEIAAAABQAAAAExAQAAAAstMjE0MDk4MTQ2OQMAAAADMTYwAgAAAAQyMTUwBAAAAAEwBwAAAAg4LzIvMjAyNggAAAAJNi8zMC8yMDE5CQAAAAEwSyRFbyzw3ghX/7aHLPDeCDtDSVEuTkFTREFR</t>
  </si>
  <si>
    <t>Ok1TRlQuSVFfR1dfSU5UQU5fQU1PUlRfQ0YuOTk1LjAyLzA4LzIwMjYuLi5VU0QuSAEAAABLVQAAAgAAAAQxNjAwAQgAAAAFAAAAATEBAAAACy0yMDM2ODQzODQzAwAAAAMxNjACAAAABDIxODIEAAAAATAHAAAACDgvMi8yMDI2CAAAAAk2LzMwLzIwMjEJAAAAATBLJEVvLPDeCFf/tocs8N4INkNJUS5OQVNEQVE6TVNGVC5JUV9PVEhFUl9BTU9SVC4xMDAwLjAyLzA4LzIwMjYuLi5VU0QuSAEAAABLVQAAAwAAAAAASyRFbyzw3ghX/7aHLPDeCDhDSVEuTkFTREFROk1TRlQuSVFfR0FJTl9BU1NFVFNfQ0YuOTk0LjAyLzA4LzIwMjYuLi5VU0QuSAEAAABLVQAAAwAAAAAASyRFbyzw3gheJreHLPDeCDJDSVEuTkFTREFROk1TRlQuSVFfTE9BTlNfQ0YuOTk5LjAyLzA4LzIwMjYuLi5VU0QuSAEAAABLVQAAAwAAAAAASyRFbyzw3gheJreHLPDeCDhDSVEuTkFTREFROk1TRlQuSVFfSU5DX0VRVUlUWV9DRi4xMDAwLjAyLzA4LzIwMjYuLi5VU0QuSAEAAABLVQAAAwAAAAAASyRFbyzw3ghX/7aHLPDeCD1DSVEuTkFTREFROk1TRlQuSVFfVEFYX0JFTkVGSVRfT1BUSU9OUy45OTUuMDIvMDgvMjAyNi4uLlVTRC5IAQAAAEtVAAADAAAAAABLJEVvLPDeCF4mt4cs8N4IOENJUS5OQVNEQVE6TVNGVC5JUV9PVEhFUl9PUEVSX0FDVC45OTkuMDIvMDgvMjAyNi4uLlVTRC5IAQAAAEtVAAACAAAABS01NjIzAQgAAAAFAAAA</t>
  </si>
  <si>
    <t>ATEBAAAACy0xODgwMjI5Njg2AwAAAAMxNjACAAAABDIwNDcEAAAAATAHAAAACDgvMi8yMDI2CAAAAAk2LzMwLzIwMjUJAAAAATBLJEVvLPDeCF4mt4cs8N4IOkNJUS5OQVNEQVE6TVNGVC5JUV9DSEFOR0VfSU5WRU5UT1JZLjk5Mi4wMi8wOC8yMDI2Li4uVVNELkgBAAAAS1UAAAIAAAAELTQ2NQEIAAAABQAAAAExAQAAAAoyMDQ3MjcxNzQ1AwAAAAMxNjACAAAABDIwOTkEAAAAATAHAAAACDgvMi8yMDI2CAAAAAk2LzMwLzIwMTgJAAAAATBLJEVvLPDeCF4mt4cs8N4IOENJUS5OQVNEQVE6TVNGVC5JUV9DSEFOR0VfSU5DX1RBWC45OTYuMDIvMDgvMjAyNi4uLlVTRC5IAQAAAEtVAAACAAAAAzY5NgEIAAAABQAAAAExAQAAAAstMTk4NTkzMTIyNAMAAAADMTYwAgAAAAQyMTAxBAAAAAEwBwAAAAg4LzIvMjAyNggAAAAJNi8zMC8yMDIyCQAAAAEwSyRFbyzw3gg8TbeHLPDeCDlDSVEuTkFTREFROk1TRlQuSVFfQ0hBTkdFX0RFRl9UQVguMTAwMC4wMi8wOC8yMDI2Li4uVVNELkgBAAAAS1UAAAMAAAAAAEskRW8s8N4IXia3hyzw3ggvQ0lRLk5BU0RBUTpNU0ZULklRX0NBUEVYLjk5My4wMi8wOC8yMDI2Li4uVVNELkgBAAAAS1UAAAIAAAAGLTEzOTI1AQgAAAAFAAAAATEBAAAACy0yMTQwOTgxNDY5AwAAAAMxNjACAAAABDIwMjEEAAAAATAHAAAACDgvMi8yMDI2CAAAAAk2LzMwLzIwMTkJAAAAATBLJEVvLPDe</t>
  </si>
  <si>
    <t>CF4mt4cs8N4IM0NJUS5OQVNEQVE6TVNGVC5JUV9ESVZFU1RfQ0YuOTk3LjAyLzA4LzIwMjYuLi5VU0QuSAEAAABLVQAAAwAAAAAASyRFbyzw3gheJreHLPDeCDdDSVEuTkFTREFROk1TRlQuSVFfU0FMRV9JTlRBTl9DRi45OTIuMDIvMDgvMjAyNi4uLlVTRC5IAQAAAEtVAAADAAAAAABLJEVvLPDeCDxNt4cs8N4IQENJUS5OQVNEQVE6TVNGVC5JUV9PVEhFUl9JTlZFU1RfQUNUX1NVUFBMLjk5Ni4wMi8wOC8yMDI2Li4uVVNELkgBAAAAS1UAAAIAAAAFLTI4MjUBCAAAAAUAAAABMQEAAAALLTE5ODU5MzEyMjQDAAAAAzE2MAIAAAAEMjA1MQQAAAABMAcAAAAIOC8yLzIwMjYIAAAACTYvMzAvMjAyMgkAAAABMEskRW8s8N4IPE23hyzw3gg4Q0lRLk5BU0RBUTpNU0ZULklRX1NUX0RFQlRfSVNTVUVELjk5OC4wMi8wOC8yMDI2Li4uVVNELkgBAAAAS1UAAAIAAAAENTI1MAEIAAAABQAAAAExAQAAAAstMTg4MDIyOTY5NAMAAAADMTYwAgAAAAQyMDQzBAAAAAEwBwAAAAg4LzIvMjAyNggAAAAJNi8zMC8yMDI0CQAAAAEwSyRFbyzw3gheJreHLPDeCDtDSVEuTkFTREFROk1TRlQuSVFfVE9UQUxfREVCVF9JU1NVRUQuOTkyLjAyLzA4LzIwMjYuLi5VU0QuSAEAAABLVQAAAgAAAAQ3MTgzAQgAAAAFAAAAATEBAAAACjIwNDcyNzE3NDUDAAAAAzE2MAIAAAAEMjE2MQQAAAABMAcAAAAIOC8yLzIwMjYIAAAACTYvMzAv</t>
  </si>
  <si>
    <t>MjAxOAkAAAABMEskRW8s8N4IXia3hyzw3gg7Q0lRLk5BU0RBUTpNU0ZULklRX1RPVEFMX0RFQlRfUkVQQUlELjk5Ny4wMi8wOC8yMDI2Li4uVVNELkgBAAAAS1UAAAIAAAAFLTI3NTABCAAAAAUAAAABMQEAAAALLTE5MzQyNTQyNTADAAAAAzE2MAIAAAAEMjE2NgQAAAABMAcAAAAIOC8yLzIwMjYIAAAACTYvMzAvMjAyMwkAAAABMEskRW8s8N4IXia3hyzw3gg0Q0lRLk5BU0RBUTpNU0ZULklRX0NPTU1PTl9SRVAuOTk5LjAyLzA4LzIwMjYuLi5VU0QuSAEAAABLVQAAAgAAAAYtMTg0MjABCAAAAAUAAAABMQEAAAALLTE4ODAyMjk2ODYDAAAAAzE2MAIAAAAEMjE2NAQAAAABMAcAAAAIOC8yLzIwMjYIAAAACTYvMzAvMjAyNQkAAAABMEskRW8s8N4IPE23hyzw3gg3Q0lRLk5BU0RBUTpNU0ZULklRX0NPTU1PTl9ESVZfQ0YuOTk2LjAyLzA4LzIwMjYuLi5VU0QuSAEAAABLVQAAAgAAAAYtMTgxMzUBCAAAAAUAAAABMQEAAAALLTE5ODU5MzEyMjQDAAAAAzE2MAIAAAAEMjA3NAQAAAABMAcAAAAIOC8yLzIwMjYIAAAACTYvMzAvMjAyMgkAAAABMEskRW8s8N4IPE23hyzw3gg8Q0lRLk5BU0RBUTpNU0ZULklRX0NPTU1PTl9QUkVGX0RJVl9DRi45OTguMDIvMDgvMjAyNi4uLlVTRC5IAQAAAEtVAAADAAAAAABLJEVvLPDeCDxNt4cs8N4IOUNJUS5OQVNEQVE6TVNGVC5JUV9TUEVDSUFMX0RJVl9DRi4xMDAwLjAy</t>
  </si>
  <si>
    <t>LzA4LzIwMjYuLi5VU0QuSAEAAABLVQAAAwAAAAAASyRFbyzw3gg8TbeHLPDeCCxDSVEuTkFTREFROk1TRlQuSVFfRlguOTk3LjAyLzA4LzIwMjYuLi5VU0QuSAEAAABLVQAAAgAAAAQtMTk0AQgAAAAFAAAAATEBAAAACy0xOTM0MjU0MjUwAwAAAAMxNjACAAAABDIxNDQEAAAAATAHAAAACDgvMi8yMDI2CAAAAAk2LzMwLzIwMjMJAAAAATBLJEVvLPDeCDxNt4cs8N4IPUNJUS5OQVNEQVE6TVNGVC5JUV9EQV9TVVBQTF9QQVJUSUFMX0NGLjk5Mi4wMi8wOC8yMDI2Li4uVVNELkgBAAAAS1UAAAMAAAAAAEskRW8s8N4ITnS3hyzw3gg0Q0lRLk5BU0RBUTpNU0ZULklRX0RFUFJFX1NVUFAuOTk2LjAyLzA4LzIwMjYuLi5VU0QuSAEAAABLVQAAAgAAAAUxMjYwMAEIAAAABQAAAAExAQAAAAstMTk4NTkzMTIyNAMAAAADMTYwAgAAAAQyMTQzBAAAAAEwBwAAAAg4LzIvMjAyNggAAAAJNi8zMC8yMDIyCQAAAAEwSyRFbyzw3ghOdLeHLPDeCEZDSVEuTkFTREFROk1TRlQuSVFfREFfU1VQUExfQ0ZfRVhDTF9PUEVSX0xFQVNFUy45OTUuMDIvMDgvMjAyNi4uLlVTRC5IAQAAAEtVAAACAAAABDkzMDABCAAAAAUAAAABMQEAAAALLTIwMzY4NDM4NDMDAAAAAzE2MAIAAAAFNDg5ODMEAAAAATAHAAAACDgvMi8yMDI2CAAAAAk2LzMwLzIwMjEJAAAAATBLJEVvLPDeCDxNt4cs8N4IPkNJUS5OQVNEQVE6TVNGVC5JUV9ORUdB</t>
  </si>
  <si>
    <t>VElWRV9HV19BTU9SVF9DRi45OTguMDIvMDgvMjAyNi4uLlVTRC5IAQAAAEtVAAADAAAAAABLJEVvLPDeCDxNt4cs8N4IRUNJUS5OQVNEQVE6TVNGVC5JUV9TQUxFX1BST0NFRURTX1JFTlRBTF9BU1NFVFMuOTk4LjAyLzA4LzIwMjYuLi5VU0QuSAEAAABLVQAAAwAAAAAASyRFbyzw3gg8TbeHLPDeCEBDSVEuTkFTREFROk1TRlQuSVFfQ0FTSF9JTlRFUkVTVF9SRUNFSVZFRC45OTguMDIvMDgvMjAyNi4uLlVTRC5IAQAAAEtVAAADAAAAAABLJEVvLPDeCE50t4cs8N4IPUNJUS5OQVNEQVE6TVNGVC5JUV9DQVNIX0lOVEVSRVNUX0ZJTkFOLjk5Ny4wMi8wOC8yMDI2Li4uVVNELkgBAAAAS1UAAAMAAAAAAEskRW8s8N4IXpu3hyzw3gg5Q0lRLk5BU0RBUTpNU0ZULklRX0NBU0hfVEFYRVNfT1BFUi45OTIuMDIvMDgvMjAyNi4uLlVTRC5IAQAAAEtVAAADAAAAAABLJEVvLPDeCDxNt4cs8N4IPkNJUS5OQVNEQVE6TVNGVC5JUV9DSEFOR0VfREVGX1RBWF9UT1RBTC45OTIuMDIvMDgvMjAyNi4uLlVTRC5IAQAAAEtVAAACAAAABS01MTQzAQgAAAAFAAAAATEBAAAACjIwNDcyNzE3NDUDAAAAAzE2MAIAAAAFMzA5MjQEAAAAATAHAAAACDgvMi8yMDI2CAAAAAk2LzMwLzIwMTgJAAAAATBLJEVvLPDeCE50t4cs8N4IN0NJUS5OQVNEQVE6TVNGVC5JUV9VTkxFVkVSRURfRkNGLjk5My4wMi8wOC8yMDI2Li4uVVNELkgB</t>
  </si>
  <si>
    <t>AAAAS1UAAAIAAAAJMzI2MTEuMzc1AQgAAAAFAAAAATEBAAAACy0yMTQwOTgxNDY5AwAAAAMxNjACAAAABDQ0MjMEAAAAATAHAAAACDgvMi8yMDI2CAAAAAk2LzMwLzIwMTkJAAAAATBLJEVvLPDeCE50t4cs8N4INUNJUS5OQVNEQVE6TVNGVC5JUV9NQUlOVF9DQVBFWC45OTIuMDIvMDgvMjAyNi4uLlVTRC5IAQAAAEtVAAADAAAAAABLJEVvLPDeCF6bt4cs8N4IOENJUS5OQVNEQVE6TVNGVC5JUV9ET19GSU5BTkNFX0NGLjEwMDAuMDIvMDgvMjAyNi4uLlVTRC5IAQAAAEtVAAADAAAAAABLJEVvLPDeCF6bt4cs8N4ITkNJUS5OQVNEQVE6TVNGVC5JUV9PUEVSQVRJTkdfTEVBU0VfTElBQklMSVRJRVNfTk9OQ0FTSC4xMDAwLjAyLzA4LzIwMjYuLi5VU0QuSAEAAABLVQAAAwAAAAAASyRFbyzw3ghOdLeHLPDeCD1DSVEuTkFTREFROk1TRlQuSVFfR0FJTl9CQVJHQUlOX0FDUV9DRi45OTIuMDIvMDgvMjAyNi4uLlVTRC5IAQAAAEtVAAADAAAAAABLJEVvLPDeCE50t4cs8N4IM0NJUS5OQVNEQVE6TVNGVC5JUV9TVF9JTlZFU1QuOTkyLjAyLzA4LzIwMjYuLi5VU0QuSAEAAABLVQAAAgAAAAYxMjE3MTgBCAAAAAUAAAABMQEAAAAKMjA0NzI3MTc0NQMAAAADMTYwAgAAAAQxMDY5BAAAAAEwBwAAAAg4LzIvMjAyNggAAAAJNi8zMC8yMDE4CQAAAAEwSyRFbyzw3ghOdLeHLPDeCCxDSVEuTkFTREFROk1TRlQuSVFf</t>
  </si>
  <si>
    <t>QVIuOTkyLjAyLzA4LzIwMjYuLi5VU0QuSAEAAABLVQAAAgAAAAUyNjQ4MQEIAAAABQAAAAExAQAAAAoyMDQ3MjcxNzQ1AwAAAAMxNjACAAAABDEwMjEEAAAAATAHAAAACDgvMi8yMDI2CAAAAAk2LzMwLzIwMTgJAAAAATBLJEVvLPDeCHHCt4cs8N4INkNJUS5OQVNEQVE6TVNGVC5JUV9UT1RBTF9SRUNFSVYuOTkyLjAyLzA4LzIwMjYuLi5VU0QuSAEAAABLVQAAAgAAAAUyNjQ4MQEIAAAABQAAAAExAQAAAAoyMDQ3MjcxNzQ1AwAAAAMxNjACAAAABDEwMDEEAAAAATAHAAAACDgvMi8yMDI2CAAAAAk2LzMwLzIwMTgJAAAAATBLJEVvLPDeCHHCt4cs8N4INUNJUS5OQVNEQVE6TVNGVC5JUV9QUkVQQUlEX0VYUC45OTQuMDIvMDgvMjAyNi4uLlVTRC5IAQAAAEtVAAADAAAAAABLJEVvLPDeCF6bt4cs8N4IOENJUS5OQVNEQVE6TVNGVC5JUV9MT0FOU19GT1JfU0FMRS45OTUuMDIvMDgvMjAyNi4uLlVTRC5IAQAAAEtVAAADAAAAAABLJEVvLPDeCF6bt4cs8N4IOENJUS5OQVNEQVE6TVNGVC5JUV9PVEhFUl9DQV9TVVBQTC45OTUuMDIvMDgvMjAyNi4uLlVTRC5IAQAAAEtVAAACAAAABTEzNDcxAQgAAAAFAAAAATEBAAAACy0yMDM2ODQzODQzAwAAAAMxNjACAAAABDEwNTUEAAAAATAHAAAACDgvMi8yMDI2CAAAAAk2LzMwLzIwMjEJAAAAATBLJEVvLPDeCF6bt4cs8N4ILENJUS5OQVNEQVE6TVNGVC5JUV9BRC45</t>
  </si>
  <si>
    <t>OTcuMDIvMDgvMjAyNi4uLlVTRC5IAQAAAEtVAAACAAAABi02ODI1MQEIAAAABQAAAAExAQAAAAstMTkzNDI1NDI1MAMAAAADMTYwAgAAAAQxMDc1BAAAAAEwBwAAAAg4LzIvMjAyNggAAAAJNi8zMC8yMDIzCQAAAAEwSyRFbyzw3ghxwreHLPDeCCxDSVEuTkFTREFROk1TRlQuSVFfR1cuOTk3LjAyLzA4LzIwMjYuLi5VU0QuSAEAAABLVQAAAgAAAAU2Nzg4NgEIAAAABQAAAAExAQAAAAstMTkzNDI1NDI1MAMAAAADMTYwAgAAAAQxMTcxBAAAAAEwBwAAAAg4LzIvMjAyNggAAAAJNi8zMC8yMDIzCQAAAAEwSyRFbyzw3ghxwreHLPDeCDtDSVEuTkFTREFROk1TRlQuSVFfRklOX0RJVl9BU1NFVFNfTFQuOTk3LjAyLzA4LzIwMjYuLi5VU0QuSAEAAABLVQAAAwAAAAAASyRFbyzw3ghem7eHLPDeCDtDSVEuTkFTREFROk1TRlQuSVFfREVGX1RBWF9BU1NFVFNfTFQuOTk3LjAyLzA4LzIwMjYuLi5VU0QuSAEAAABLVQAAAgAAAAUyMDE2MwEIAAAABQAAAAExAQAAAAstMTkzNDI1NDI1MAMAAAADMTYwAgAAAAQxMDI2BAAAAAEwBwAAAAg4LzIvMjAyNggAAAAJNi8zMC8yMDIzCQAAAAEwSyRFbyzw3ghem7eHLPDeCDpDSVEuTkFTREFROk1TRlQuSVFfT1RIRVJfTFRfQVNTRVRTLjEwMDAuMDIvMDgvMjAyNi4uLlVTRC5IAQAAAEtVAAACAAAABTE4MTkxAQgAAAAFAAAAATEBAAAACy0xODgwMjI5NjY1AwAAAAMxNjAC</t>
  </si>
  <si>
    <t>AAAABDEwNjAEAAAAATAHAAAACDgvMi8yMDI2CAAAAAk2LzMwLzIwMjYJAAAAATBLJEVvLPDeCF6bt4cs8N4ILENJUS5OQVNEQVE6TVNGVC5JUV9BRS45OTMuMDIvMDgvMjAyNi4uLlVTRC5IAQAAAEtVAAACAAAABDY4MzABCAAAAAUAAAABMQEAAAALLTIxNDA5ODE0NjkDAAAAAzE2MAIAAAAEMTAxNgQAAAABMAcAAAAIOC8yLzIwMjYIAAAACTYvMzAvMjAxOQkAAAABMEskRW8s8N4Iium3hyzw3gg9Q0lRLk5BU0RBUTpNU0ZULklRX0NVUlJFTlRfUE9SVF9MRUFTRVMuOTk0LjAyLzA4LzIwMjYuLi5VU0QuSAEAAABLVQAAAgAAAAQyMTU2AQgAAAAFAAAAATEBAAAACy0yMDg3NDk2NjI3AwAAAAMxNjACAAAABDEwOTAEAAAAATAHAAAACDgvMi8yMDI2CAAAAAk2LzMwLzIwMjAJAAAAATBLJEVvLPDeCIrpt4cs8N4IPkNJUS5OQVNEQVE6TVNGVC5JUV9GSU5fRElWX0xJQUJfQ1VSUkVOVC45OTguMDIvMDgvMjAyNi4uLlVTRC5IAQAAAEtVAAADAAAAAABLJEVvLPDeCHHCt4cs8N4IPkNJUS5OQVNEQVE6TVNGVC5JUV9ERUZfVEFYX0xJQUJfQ1VSUkVOVC45OTkuMDIvMDgvMjAyNi4uLlVTRC5IAQAAAEtVAAADAAAAAABLJEVvLPDeCHHCt4cs8N4IOkNJUS5OQVNEQVE6TVNGVC5JUV9MT05HX1RFUk1fTEVBU0VTLjk5Mi4wMi8wOC8yMDI2Li4uVVNELkgBAAAAS1UAAAIAAAAEOTY5MwEIAAAABQAAAAExAQAAAAoy</t>
  </si>
  <si>
    <t>MDQ3MjcxNzQ1AwAAAAMxNjACAAAABDExODMEAAAAATAHAAAACDgvMi8yMDI2CAAAAAk2LzMwLzIwMTgJAAAAATBLJEVvLPDeCHHCt4cs8N4IOENJUS5OQVNEQVE6TVNGVC5JUV9VTkVBUk5fUkVWX0xULjEwMDAuMDIvMDgvMjAyNi4uLlVTRC5IAQAAAEtVAAACAAAABDI3NDcBCAAAAAUAAAABMQEAAAALLTE4ODAyMjk2NjUDAAAAAzE2MAIAAAAEMTI1NgQAAAABMAcAAAAIOC8yLzIwMjYIAAAACTYvMzAvMjAyNgkAAAABMEskRW8s8N4Iium3hyzw3gg0Q0lRLk5BU0RBUTpNU0ZULklRX1RPVEFMX0xJQUIuOTk2LjAyLzA4LzIwMjYuLi5VU0QuSAEAAABLVQAAAgAAAAYxOTgyOTgBCAAAAAUAAAABMQEAAAALLTE5ODU5MzEyMjQDAAAAAzE2MAIAAAAEMTI3NgQAAAABMAcAAAAIOC8yLzIwMjYIAAAACTYvMzAvMjAyMgkAAAABMEskRW8s8N4Iium3hyzw3gg2Q0lRLk5BU0RBUTpNU0ZULklRX1BSRUZfQ09OVkVSVC45OTUuMDIvMDgvMjAyNi4uLlVTRC5IAQAAAEtVAAADAAAAAABLJEVvLPDeCHHCt4cs8N4ILENJUS5OQVNEQVE6TVNGVC5JUV9SRS45OTcuMDIvMDgvMjAyNi4uLlVTRC5IAQAAAEtVAAACAAAABjExODg0OAEIAAAABQAAAAExAQAAAAstMTkzNDI1NDI1MAMAAAADMTYwAgAAAAQxMjIyBAAAAAEwBwAAAAg4LzIvMjAyNggAAAAJNi8zMC8yMDIzCQAAAAEwSyRFbyzw3ghxwreHLPDeCD1DSVEuTkFT</t>
  </si>
  <si>
    <t>REFROk1TRlQuSVFfVE9UQUxfQ09NTU9OX0VRVUlUWS45OTQuMDIvMDgvMjAyNi4uLlVTRC5IAQAAAEtVAAACAAAABjExODMwNAEIAAAABQAAAAExAQAAAAstMjA4NzQ5NjYyNwMAAAADMTYwAgAAAAQxMDA2BAAAAAEwBwAAAAg4LzIvMjAyNggAAAAJNi8zMC8yMDIwCQAAAAEwSyRFbyzw3ghxwreHLPDeCDNDSVEuTkFTREFROk1TRlQuSVFfUlVBX0dST1NTLjk5Mi4wMi8wOC8yMDI2Li4uVVNELkgBAAAAS1UAAAMAAAAAAEskRW8s8N4ItRC4hyzw3ghFQ0lRLk5BU0RBUTpNU0ZULklRX1JVQV9DQVBJVEFMX0xFQVNFX0FDQ1VNX0RFUC45OTIuMDIvMDgvMjAyNi4uLlVTRC5IAQAAAEtVAAADAAAAAABLJEVvLPDeCLUQuIcs8N4IP0NJUS5OQVNEQVE6TVNGVC5JUV9HUFBFX0VYQ0xfT1BFUl9MRUFTRVMuOTk2LjAyLzA4LzIwMjYuLi5VU0QuSAEAAABLVQAAAgAAAAYxMzQwNTgBCAAAAAUAAAABMQEAAAALLTE5ODU5MzEyMjQDAAAAAzE2MAIAAAAFNDg5NzQEAAAAATAHAAAACDgvMi8yMDI2CAAAAAk2LzMwLzIwMjIJAAAAATBLJEVvLPDeCIrpt4cs8N4IQkNJUS5OQVNEQVE6TVNGVC5JUV9GSU5BTkNFX0xFQVNFU19MT05HX1RFUk0uOTk2LjAyLzA4LzIwMjYuLi5VU0QuSAEAAABLVQAAAgAAAAUxMzg0MgEIAAAABQAAAAExAQAAAAstMTk4NTkzMTIyNAMAAAADMTYwAgAAAAU0ODk5MQQAAAABMAcAAAAIOC8y</t>
  </si>
  <si>
    <t>LzIwMjYIAAAACTYvMzAvMjAyMgkAAAABMEskRW8s8N4Iium3hyzw3gg7Q0lRLk5BU0RBUTpNU0ZULklRX1RPVEFMX09QRVJfTEVBU0VTLjk5OC4wMi8wOC8yMDI2Li4uVVNELkgBAAAAS1UAAAIAAAAFMTkwNzcBCAAAAAUAAAABMQEAAAALLTE4ODAyMjk2OTQDAAAAAzE2MAIAAAAFNDg5NzgEAAAAATAHAAAACDgvMi8yMDI2CAAAAAk2LzMwLzIwMjQJAAAAATBLJEVvLPDeCIrpt4cs8N4IQENJUS5OQVNEQVE6TVNGVC5JUV9UT1RBTF9ERUJUX0VYQ0xfTEVBU0VTLjk5Ny4wMi8wOC8yMDI2Li4uVVNELkgBAAAAS1UAAAIAAAAFNDcyMzcBCAAAAAUAAAABMQEAAAALLTE5MzQyNTQyNTADAAAAAzE2MAIAAAAFNDg5OTIEAAAAATAHAAAACDgvMi8yMDI2CAAAAAk2LzMwLzIwMjMJAAAAATBLJEVvLPDeCLUQuIcs8N4ILUNJUS5OQVNEQVE6TVNGVC5JUV9UQlYuOTk3LjAyLzA4LzIwMjYuLi5VU0QuSAEAAABLVQAAAgAAAAYxMjg5NzEBCAAAAAUAAAABMQEAAAALLTE5MzQyNTQyNTADAAAAAzE2MAIAAAAEMTMxMAQAAAABMAcAAAAIOC8yLzIwMjYIAAAACTYvMzAvMjAyMwkAAAABMEskRW8s8N4IsyS4hyzw3ghAQ0lRLk5BU0RBUTpNU0ZULklRX1RPVEFMX0RFQlRfTk9OX0NVUlJFTlQuOTk4LjAyLzA4LzIwMjYuLi5VU0QuSAEAAABLVQAAAgAAAAU4Mjk4MQEIAAAABQAAAAExAQAAAAstMTg4MDIyOTY5NAMAAAAD</t>
  </si>
  <si>
    <t>MTYwAgAAAAUyNTIyNAQAAAABMAcAAAAIOC8yLzIwMjYIAAAACTYvMzAvMjAyNAkAAAABMEskRW8s8N4Iium3hyzw3gg5Q0lRLk5BU0RBUTpNU0ZULklRX05FVF9XT1JLSU5HX0NBUC45OTkuMDIvMDgvMjAyNi4uLlVTRC5IAQAAAEtVAAACAAAABi0zMzA0NwEIAAAABQAAAAExAQAAAAstMTg4MDIyOTY4NgMAAAADMTYwAgAAAAQxMzExBAAAAAEwBwAAAAg4LzIvMjAyNggAAAAJNi8zMC8yMDI1CQAAAAEwSyRFbyzw3giK6beHLPDeCDFDSVEuTkFTREFROk1TRlQuSVFfV0lQX0lOVi45OTcuMDIvMDgvMjAyNi4uLlVTRC5IAQAAAEtVAAACAAAAAjIzAQgAAAAFAAAAATEBAAAACy0xOTM0MjU0MjUwAwAAAAMxNjACAAAABDMyMTkEAAAAATAHAAAACDgvMi8yMDI2CAAAAAk2LzMwLzIwMjMJAAAAATBLJEVvLPDeCIrpt4cs8N4IMkNJUS5OQVNEQVE6TVNGVC5JUV9TT0ZUV0FSRS45OTQuMDIvMDgvMjAyNi4uLlVTRC5IAQAAAEtVAAADAAAAAABLJEVvLPDeCLMkuIcs8N4IQUNJUS5OQVNEQVE6TVNGVC5JUV9NSU5PUklUWV9JTlRfUkVERUVNX1RPVC45OTcuMDIvMDgvMjAyNi4uLlVTRC5IAQAAAEtVAAADAAAAAABLJEVvLPDeCLMkuIcs8N4ITENJUS5OQVNEQVE6TVNGVC5JUV9MSVFVSURBVElPTl9WQUxVRV9QUkVGRVJSRURfUkVERUVNLjk5OS4wMi8wOC8yMDI2Li4uVVNELkgBAAAAS1UAAAMAAAAAAEskRW8s</t>
  </si>
  <si>
    <t>8N4ItRC4hyzw3ghQQ0lRLk5BU0RBUTpNU0ZULklRX0xJQUJJTElUSUVTX05FVFRJTkdfT1RIRVJfQURKVVNUTUVOVFMuMTAwMC4wMi8wOC8yMDI2Li4uVVNELkgBAAAAS1UAAAMAAAAAAEskRW8s8N4ItRC4hyzw3gg9Q0lRLk5BU0RBUTpNU0ZULklRX1NUX0RFQlRfREVSSVZBVElWRVMuOTkzLjAyLzA4LzIwMjYuLi5VU0QuSAEAAABLVQAAAwAAAAAASyRFbyzw3gi1ELiHLPDeCDFDSVEuTkFTREFROk1TRlQuSVFfUEVSSU9ETEVOR1RIX0lTLjk5NC4wMi8wOC8yMDI2AQAAAEtVAAABAAAAAjEyAEskRW8s8N4IUG3ihyzw3ghGQ0lRLk5BU0RBUTpNU0ZULklRX0RBX1NVUFBMX0NGX0VYQ0xfT1BFUl9MRUFTRVMuOTk2LjAyLzA4LzIwMjYuLi5VU0QuSAEAAABLVQAAAgAAAAUxMjYwMAEIAAAABQAAAAExAQAAAAstMTk4NTkzMTIyNAMAAAADMTYwAgAAAAU0ODk4MwQAAAABMAcAAAAIOC8yLzIwMjYIAAAACTYvMzAvMjAyMgkAAAABMEskRW8s8N4IsyS4hyzw3gg+Q0lRLk5BU0RBUTpNU0ZULklRX05FR0FUSVZFX0dXX0FNT1JUX0NGLjk5OS4wMi8wOC8yMDI2Li4uVVNELkgBAAAAS1UAAAMAAAAAAEskRW8s8N4IsyS4hyzw3ghFQ0lRLk5BU0RBUTpNU0ZULklRX1NBTEVfUFJPQ0VFRFNfUkVOVEFMX0FTU0VUUy45OTkuMDIvMDgvMjAyNi4uLlVTRC5IAQAAAEtVAAADAAAAAABLJEVvLPDeCLMkuIcs8N4IQENJ</t>
  </si>
  <si>
    <t>US5OQVNEQVE6TVNGVC5JUV9DQVNIX0lOVEVSRVNUX1JFQ0VJVkVELjk5OS4wMi8wOC8yMDI2Li4uVVNELkgBAAAAS1UAAAMAAAAAAEskRW8s8N4IsyS4hyzw3gg9Q0lRLk5BU0RBUTpNU0ZULklRX0NBU0hfSU5URVJFU1RfRklOQU4uOTk4LjAyLzA4LzIwMjYuLi5VU0QuSAEAAABLVQAAAwAAAAAASyRFbyzw3ggKTLiHLPDeCDtDSVEuTkFTREFROk1TRlQuSVFfQ0FTSF9UQVhFU19JTlZFU1QuOTk3LjAyLzA4LzIwMjYuLi5VU0QuSAEAAABLVQAAAwAAAAAASyRFbyzw3ggKTLiHLPDeCERDSVEuTkFTREFROk1TRlQuSVFfQ0hBTkdFX05FVF9XT1JLSU5HX0NBUElUQUwuOTk3LjAyLzA4LzIwMjYuLi5VU0QuSAEAAABLVQAAAgAAAAQxODE1AQgAAAAFAAAAATEBAAAACy0xOTM0MjU0MjUwAwAAAAMxNjACAAAABDQ0MjEEAAAAATAHAAAACDgvMi8yMDI2CAAAAAk2LzMwLzIwMjMJAAAAATBLJEVvLPDeCLMkuIcs8N4INUNJUS5OQVNEQVE6TVNGVC5JUV9MRVZFUkVEX0ZDRi45OTYuMDIvMDgvMjAyNi4uLlVTRC5IAQAAAEtVAAACAAAABTQ5NDc5AQgAAAAFAAAAATEBAAAACy0xOTg1OTMxMjI0AwAAAAMxNjACAAAABDQ0MjIEAAAAATAHAAAACDgvMi8yMDI2CAAAAAk2LzMwLzIwMjIJAAAAATBLJEVvLPDeCLMkuIcs8N4IOUNJUS5OQVNEQVE6TVNGVC5JUV9ORVRfREVCVF9JU1NVRUQuOTk1LjAyLzA4LzIwMjYu</t>
  </si>
  <si>
    <t>Li5VU0QuSAEAAABLVQAAAgAAAAUtMzc1MAEIAAAABQAAAAExAQAAAAstMjAzNjg0Mzg0MwMAAAADMTYwAgAAAAQyMDAzBAAAAAEwBwAAAAg4LzIvMjAyNggAAAAJNi8zMC8yMDIxCQAAAAEwSyRFbyzw3gizJLiHLPDeCDdDSVEuTkFTREFROk1TRlQuSVFfRE9fRklOQU5DRV9DRi45OTQuMDIvMDgvMjAyNi4uLlVTRC5IAQAAAEtVAAADAAAAAABLJEVvLPDeCApMuIcs8N4ITUNJUS5OQVNEQVE6TVNGVC5JUV9PUEVSQVRJTkdfTEVBU0VfTElBQklMSVRJRVNfTk9OQ0FTSC45OTMuMDIvMDgvMjAyNi4uLlVTRC5IAQAAAEtVAAADAAAAAABLJEVvLPDeCCpzuIcs8N4IPUNJUS5OQVNEQVE6TVNGVC5JUV9HQUlOX0JBUkdBSU5fQUNRX0NGLjk5My4wMi8wOC8yMDI2Li4uVVNELkgBAAAAS1UAAAMAAAAAAEskRW8s8N4ICky4hyzw3gg4Q0lRLk5BU0RBUTpNU0ZULklRX1RSQURJTkdfQVNTRVRTLjk5Ni4wMi8wOC8yMDI2Li4uVVNELkgBAAAAS1UAAAMAAAAAAEskRW8s8N4ICky4hyzw3ggsQ0lRLk5BU0RBUTpNU0ZULklRX0FSLjk5My4wMi8wOC8yMDI2Li4uVVNELkgBAAAAS1UAAAIAAAAFMjk1MjQBCAAAAAUAAAABMQEAAAALLTIxNDA5ODE0NjkDAAAAAzE2MAIAAAAEMTAyMQQAAAABMAcAAAAIOC8yLzIwMjYIAAAACTYvMzAvMjAxOQkAAAABMEskRW8s8N4ICky4hyzw3gg4Q0lRLk5BU0RBUTpNU0ZULklRX1NU</t>
  </si>
  <si>
    <t>X05PVEVfUkVDRUlWLjk5NS4wMi8wOC8yMDI2Li4uVVNELkgBAAAAS1UAAAMAAAAAAEskRW8s8N4IKnO4hyzw3ghAQ0lRLk5BU0RBUTpNU0ZULklRX0ZJTl9ESVZfTE9BTlNfQ1VSUkVOVC4xMDAwLjAyLzA4LzIwMjYuLi5VU0QuSAEAAABLVQAAAwAAAAAASyRFbyzw3ggqc7iHLPDeCEBDSVEuTkFTREFROk1TRlQuSVFfREVGX1RBWF9BU1NFVFNfQ1VSUkVOVC45OTIuMDIvMDgvMjAyNi4uLlVTRC5IAQAAAEtVAAADAAAAAABLJEVvLPDeCApMuIcs8N4IMkNJUS5OQVNEQVE6TVNGVC5JUV9UT1RBTF9DQS45OTMuMDIvMDgvMjAyNi4uLlVTRC5IAQAAAEtVAAACAAAABjE3NTU1MgEIAAAABQAAAAExAQAAAAstMjE0MDk4MTQ2OQMAAAADMTYwAgAAAAQxMDA4BAAAAAEwBwAAAAg4LzIvMjAyNggAAAAJNi8zMC8yMDE5CQAAAAEwSyRFbyzw3ggKTLiHLPDeCCxDSVEuTkFTREFROk1TRlQuSVFfQUQuOTk4LjAyLzA4LzIwMjYuLi5VU0QuSAEAAABLVQAAAgAAAAYtNzY0MjEBCAAAAAUAAAABMQEAAAALLTE4ODAyMjk2OTQDAAAAAzE2MAIAAAAEMTA3NQQAAAABMAcAAAAIOC8yLzIwMjYIAAAACTYvMzAvMjAyNAkAAAABMEskRW8s8N4ICky4hyzw3ggsQ0lRLk5BU0RBUTpNU0ZULklRX0dXLjk5OC4wMi8wOC8yMDI2Li4uVVNELkgBAAAAS1UAAAIAAAAGMTE5MjIwAQgAAAAFAAAAATEBAAAACy0xODgwMjI5Njk0AwAA</t>
  </si>
  <si>
    <t>AAMxNjACAAAABDExNzEEAAAAATAHAAAACDgvMi8yMDI2CAAAAAk2LzMwLzIwMjQJAAAAATBLJEVvLPDeCB+auIcs8N4IO0NJUS5OQVNEQVE6TVNGVC5JUV9GSU5fRElWX0FTU0VUU19MVC45OTguMDIvMDgvMjAyNi4uLlVTRC5IAQAAAEtVAAADAAAAAABLJEVvLPDeCB+auIcs8N4IOkNJUS5OQVNEQVE6TVNGVC5JUV9MT0FOU19SRUNFSVZfTFQuMTAwMC4wMi8wOC8yMDI2Li4uVVNELkgBAAAAS1UAAAMAAAAAAEskRW8s8N4IKnO4hyzw3gg5Q0lRLk5BU0RBUTpNU0ZULklRX09USEVSX0xUX0FTU0VUUy45OTQuMDIvMDgvMjAyNi4uLlVTRC5IAQAAAEtVAAACAAAABDQwMzMBCAAAAAUAAAABMQEAAAALLTIwODc0OTY2MjcDAAAAAzE2MAIAAAAEMTA2MAQAAAABMAcAAAAIOC8yLzIwMjYIAAAACTYvMzAvMjAyMAkAAAABMEskRW8s8N4IKnO4hyzw3ggsQ0lRLk5BU0RBUTpNU0ZULklRX0FFLjk5NC4wMi8wOC8yMDI2Li4uVVNELkgBAAAAS1UAAAIAAAAENzg3NAEIAAAABQAAAAExAQAAAAstMjA4NzQ5NjYyNwMAAAADMTYwAgAAAAQxMDE2BAAAAAEwBwAAAAg4LzIvMjAyNggAAAAJNi8zMC8yMDIwCQAAAAEwSyRFbyzw3ggqc7iHLPDeCD5DSVEuTkFTREFROk1TRlQuSVFfRklOX0RJVl9ERUJUX0NVUlJFTlQuOTkzLjAyLzA4LzIwMjYuLi5VU0QuSAEAAABLVQAAAwAAAAAASyRFbyzw3ggfmriHLPDeCD1DSVEu</t>
  </si>
  <si>
    <t>TkFTREFROk1TRlQuSVFfSU5DX1RBWF9QQVlfQ1VSUkVOVC45OTYuMDIvMDgvMjAyNi4uLlVTRC5IAQAAAEtVAAACAAAABDQwNjcBCAAAAAUAAAABMQEAAAALLTE5ODU5MzEyMjQDAAAAAzE2MAIAAAAEMTA5NAQAAAABMAcAAAAIOC8yLzIwMjYIAAAACTYvMzAvMjAyMgkAAAABMEskRW8s8N4IH5q4hyzw3gg4Q0lRLk5BU0RBUTpNU0ZULklRX09USEVSX0NMX1NVUFBMLjk5Ni4wMi8wOC8yMDI2Li4uVVNELkgBAAAAS1UAAAIAAAAEOTc3OQEIAAAABQAAAAExAQAAAAstMTk4NTkzMTIyNAMAAAADMTYwAgAAAAQxMDU3BAAAAAEwBwAAAAg4LzIvMjAyNggAAAAJNi8zMC8yMDIyCQAAAAEwSyRFbyzw3ggqc7iHLPDeCDpDSVEuTkFTREFROk1TRlQuSVFfTE9OR19URVJNX0xFQVNFUy45OTMuMDIvMDgvMjAyNi4uLlVTRC5IAQAAAEtVAAACAAAABTEyNDQ1AQgAAAAFAAAAATEBAAAACy0yMTQwOTgxNDY5AwAAAAMxNjACAAAABDExODMEAAAAATAHAAAACDgvMi8yMDI2CAAAAAk2LzMwLzIwMTkJAAAAATBLJEVvLPDeCCpzuIcs8N4IN0NJUS5OQVNEQVE6TVNGVC5JUV9VTkVBUk5fUkVWX0xULjk5NC4wMi8wOC8yMDI2Li4uVVNELkgBAAAAS1UAAAIAAAAEMzE4MAEIAAAABQAAAAExAQAAAAstMjA4NzQ5NjYyNwMAAAADMTYwAgAAAAQxMjU2BAAAAAEwBwAAAAg4LzIvMjAyNggAAAAJNi8zMC8yMDIwCQAAAAEwSyRF</t>
  </si>
  <si>
    <t>byzw3ggqc7iHLPDeCDRDSVEuTkFTREFROk1TRlQuSVFfVE9UQUxfTElBQi45OTIuMDIvMDgvMjAyNi4uLlVTRC5IAQAAAEtVAAACAAAABjE3NjEzMAEIAAAABQAAAAExAQAAAAoyMDQ3MjcxNzQ1AwAAAAMxNjACAAAABDEyNzYEAAAAATAHAAAACDgvMi8yMDI2CAAAAAk2LzMwLzIwMTgJAAAAATBLJEVvLPDeCCjBuIcs8N4INENJUS5OQVNEQVE6TVNGVC5JUV9QUkVGX09USEVSLjk5Mi4wMi8wOC8yMDI2Li4uVVNELkgBAAAAS1UAAAMAAAAAAEskRW8s8N4IKMG4hyzw3ggsQ0lRLk5BU0RBUTpNU0ZULklRX1JFLjk5OC4wMi8wOC8yMDI2Li4uVVNELkgBAAAAS1UAAAIAAAAGMTczMTQ0AQgAAAAFAAAAATEBAAAACy0xODgwMjI5Njk0AwAAAAMxNjACAAAABDEyMjIEAAAAATAHAAAACDgvMi8yMDI2CAAAAAk2LzMwLzIwMjQJAAAAATBLJEVvLPDeCB+auIcs8N4IPUNJUS5OQVNEQVE6TVNGVC5JUV9UT1RBTF9DT01NT05fRVFVSVRZLjk5NS4wMi8wOC8yMDI2Li4uVVNELkgBAAAAS1UAAAIAAAAGMTQxOTg4AQgAAAAFAAAAATEBAAAACy0yMDM2ODQzODQzAwAAAAMxNjACAAAABDEwMDYEAAAAATAHAAAACDgvMi8yMDI2CAAAAAk2LzMwLzIwMjEJAAAAATBLJEVvLPDeCB+auIcs8N4IN0NJUS5OQVNEQVE6TVNGVC5JUV9SVUFfQUNDVU1fREVQLjk5Ni4wMi8wOC8yMDI2Li4uVVNELkgBAAAAS1UAAAMAAAAAAEsk</t>
  </si>
  <si>
    <t>RW8s8N4IH5q4hyzw3gg/Q0lRLk5BU0RBUTpNU0ZULklRX1JVQV9DQVBJVEFMX0xFQVNFX05FVC45OTQuMDIvMDgvMjAyNi4uLlVTRC5IAQAAAEtVAAADAAAAAABLJEVvLPDeCCjBuIcs8N4IQkNJUS5OQVNEQVE6TVNGVC5JUV9SVUFfT1BFUkFUSU5HX0xFQVNFX05FVC4xMDAwLjAyLzA4LzIwMjYuLi5VU0QuSAEAAABLVQAAAwAAAAAASyRFbyzw3ggowbiHLPDeCEJDSVEuTkFTREFROk1TRlQuSVFfRklOQU5DRV9MRUFTRVNfTE9OR19URVJNLjk5Ny4wMi8wOC8yMDI2Li4uVVNELkgBAAAAS1UAAAIAAAAFMTU4NzABCAAAAAUAAAABMQEAAAALLTE5MzQyNTQyNTADAAAAAzE2MAIAAAAFNDg5OTEEAAAAATAHAAAACDgvMi8yMDI2CAAAAAk2LzMwLzIwMjMJAAAAATBLJEVvLPDeCB+auIcs8N4IO0NJUS5OQVNEQVE6TVNGVC5JUV9UT1RBTF9PUEVSX0xFQVNFUy45OTkuMDIvMDgvMjAyNi4uLlVTRC5IAQAAAEtVAAACAAAABTIyODYxAQgAAAAFAAAAATEBAAAACy0xODgwMjI5Njg2AwAAAAMxNjACAAAABTQ4OTc4BAAAAAEwBwAAAAg4LzIvMjAyNggAAAAJNi8zMC8yMDI1CQAAAAEwSyRFbyzw3ggfmriHLPDeCEBDSVEuTkFTREFROk1TRlQuSVFfVE9UQUxfREVCVF9FWENMX0xFQVNFUy45OTguMDIvMDgvMjAyNi4uLlVTRC5IAQAAAEtVAAACAAAABTUxNjMwAQgAAAAFAAAAATEBAAAACy0xODgwMjI5Njk0AwAA</t>
  </si>
  <si>
    <t>AAMxNjACAAAABTQ4OTkyBAAAAAEwBwAAAAg4LzIvMjAyNggAAAAJNi8zMC8yMDI0CQAAAAEwSyRFbyzw3ggfmriHLPDeCC1DSVEuTkFTREFROk1TRlQuSVFfVEJWLjk5OC4wMi8wOC8yMDI2Li4uVVNELkgBAAAAS1UAAAIAAAAGMTIxNjYwAQgAAAAFAAAAATEBAAAACy0xODgwMjI5Njk0AwAAAAMxNjACAAAABDEzMTAEAAAAATAHAAAACDgvMi8yMDI2CAAAAAk2LzMwLzIwMjQJAAAAATBLJEVvLPDeCErouIcs8N4IQENJUS5OQVNEQVE6TVNGVC5JUV9UT1RBTF9ERUJUX05PTl9DVVJSRU5ULjk5OS4wMi8wOC8yMDI2Li4uVVNELkgBAAAAS1UAAAIAAAAGMTAwNTg5AQgAAAAFAAAAATEBAAAACy0xODgwMjI5Njg2AwAAAAMxNjACAAAABTI1MjI0BAAAAAEwBwAAAAg4LzIvMjAyNggAAAAJNi8zMC8yMDI1CQAAAAEwSyRFbyzw3ghK6LiHLPDeCDpDSVEuTkFTREFROk1TRlQuSVFfQUxMT1dfRE9VQlRfQUNDVC45OTIuMDIvMDgvMjAyNi4uLlVTRC5IAQAAAEtVAAACAAAAAzM3NwEIAAAABQAAAAExAQAAAAoyMDQ3MjcxNzQ1AwAAAAMxNjACAAAABDMwMTIEAAAAATAHAAAACDgvMi8yMDI2CAAAAAk2LzMwLzIwMTgJAAAAATBLJEVvLPDeCCjBuIcs8N4IMkNJUS5OQVNEQVE6TVNGVC5JUV9XSVBfSU5WLjEwMDAuMDIvMDgvMjAyNi4uLlVTRC5IAQAAAEtVAAADAAAAAABLJEVvLPDeCCjBuIcs8N4IQENJUS5OQVNE</t>
  </si>
  <si>
    <t>QVE6TVNGVC5JUV9OQVRVUkFMX1JFU09VUkNFU19DT1NULjk5Mi4wMi8wOC8yMDI2Li4uVVNELkgBAAAAS1UAAAMAAAAAAEskRW8s8N4IKMG4hyzw3ghBQ0lRLk5BU0RBUTpNU0ZULklRX01JTk9SSVRZX0lOVF9SRURFRU1fVE9ULjk5OS4wMi8wOC8yMDI2Li4uVVNELkgBAAAAS1UAAAMAAAAAAEskRW8s8N4ISui4hyzw3ghNQ0lRLk5BU0RBUTpNU0ZULklRX0xJUVVJREFUSU9OX1ZBTFVFX1BSRUZFUlJFRF9SRURFRU0uMTAwMC4wMi8wOC8yMDI2Li4uVVNELkgBAAAAS1UAAAMAAAAAAEskRW8s8N4ISui4hyzw3ghPQ0lRLk5BU0RBUTpNU0ZULklRX0xJQUJJTElUSUVTX05FVFRJTkdfT1RIRVJfQURKVVNUTUVOVFMuOTkzLjAyLzA4LzIwMjYuLi5VU0QuSAEAAABLVQAAAwAAAAAASyRFbyzw3ggowbiHLPDeCD5DSVEuTkFTREFROk1TRlQuSVFfU1RfREVCVF9ERVJJVkFUSVZFUy4xMDAwLjAyLzA4LzIwMjYuLi5VU0QuSAEAAABLVQAAAwAAAAAASyRFbyzw3ghK6LiHLPDeCEtDSVEuTkFTREFROk1TRlQuSVFfRUJJVERBX0VRX0lOQ19FWENMX09QRVJfTEVBU0VfQURKLjk5NC4wMi8wOC8yMDI2Li4uVVNELkgBAAAAS1UAAAIAAAAFNjUyNTkBCAAAAAUAAAABMQEAAAALLTIwODc0OTY2MjcDAAAAAzE2MAIAAAAFNDg5ODcEAAAAATAHAAAACDgvMi8yMDI2CAAAAAk2LzMwLzIwMjAJAAAAATBLJEVvLPDeCH0P</t>
  </si>
  <si>
    <t>uYcs8N4IPkNJUS5OQVNEQVE6TVNGVC5JUV9FQklUX0VRX0lOQ19FWENMX1NCQy45OTkuMDIvMDgvMjAyNi4uLlVTRC5IAQAAAEtVAAACAAAABjEzNTc3NwEIAAAABQAAAAExAQAAAAstMTg4MDIyOTY4NgMAAAADMTYwAgAAAAUyNDEzMAQAAAABMAcAAAAIOC8yLzIwMjYIAAAACTYvMzAvMjAyNQkAAAABMEskRW8s8N4IfQ+5hyzw3ggwQ0lRLk5BU0RBUTpNU0ZULklRX0VCSVRBLjEwMDAuMDIvMDgvMjAyNi4uLlVTRC5IAQAAAEtVAAACAAAABjE1OTkzNwEIAAAABQAAAAExAQAAAAstMTg4MDIyOTY2NQMAAAADMTYwAgAAAAYxMDA2ODkEAAAAATAHAAAACDgvMi8yMDI2CAAAAAk2LzMwLzIwMjYJAAAAATBLJEVvLPDeCErouIcs8N4IP0NJUS5OQVNEQVE6TVNGVC5JUV9FQklUQV9FUV9JTkNfRVhDTF9TQkMuOTk1LjAyLzA4LzIwMjYuLi5VU0QuSAEAAABLVQAAAgAAAAU3NzYzNAEIAAAABQAAAAExAQAAAAstMjAzNjg0Mzg0MwMAAAADMTYwAgAAAAUyNDEzMgQAAAABMAcAAAAIOC8yLzIwMjYIAAAACTYvMzAvMjAyMQkAAAABMEskRW8s8N4ISui4hyzw3gg4Q0lRLk5BU0RBUTpNU0ZULklRX0VCSVREQVJfRVFfSU5DLjk5OS4wMi8wOC8yMDI2Li4uVVNELkgBAAAAS1UAAAIAAAAGMTYyODUxAQgAAAAFAAAAATEBAAAACy0xODgwMjI5Njg2AwAAAAMxNjACAAAABTI0MTI5BAAAAAEwBwAAAAg4LzIvMjAyNggA</t>
  </si>
  <si>
    <t>AAAJNi8zMC8yMDI1CQAAAAEwSyRFbyzw3ghK6LiHLPDeCDZDSVEuTkFTREFROk1TRlQuSVFfRUJJVERBX0NBUEVYLjk5Mi4wMi8wOC8yMDI2Li4uVVNELkgBAAAAS1UAAAIAAAAFMzMzMjYBCAAAAAUAAAABMQEAAAAKMjA0NzI3MTc0NQMAAAADMTYwAgAAAAUzNTM3OQQAAAABMAcAAAAIOC8yLzIwMjYIAAAACTYvMzAvMjAxOAkAAAABMEskRW8s8N4IfQ+5hyzw3gg8Q0lRLk5BU0RBUTpNU0ZULklRX0FTX1JFUE9SVEVEX0VCSVREQS45OTQuMDIvMDgvMjAyNi4uLlVTRC5IAQAAAEtVAAADAAAAAADt8ERvLPDeCF42uYcs8N4IQ0NJUS5OQVNEQVE6TVNGVC5JUV9FQVJOSU5HX1BBUkVOVF9FWENMX0VYVFJBLjk5NS4wMi8wOC8yMDI2Li4uVVNELkgBAAAAS1UAAAIAAAAFNjEyNzEBCAAAAAUAAAABMQEAAAALLTIwMzY4NDM4NDMDAAAAAzE2MAIAAAAFNDE1OTYEAAAAATAHAAAACDgvMi8yMDI2CAAAAAk2LzMwLzIwMjEJAAAAATDt8ERvLPDeCH0PuYcs8N4IOUNJUS5OQVNEQVE6TVNGVC5JUV9JTlRFUkVTVF9JTkNPTUUuOTk2LjAyLzA4LzIwMjYuLi5VU0QuSAEAAABLVQAAAgAAAAQyMDk0AQgAAAAFAAAAATEBAAAACy0xOTg1OTMxMjI0AwAAAAMxNjACAAAAAzIxMAQAAAABMAcAAAAIOC8yLzIwMjYIAAAACTYvMzAvMjAyMgkAAAABMO3wRG8s8N4IfQ+5hyzw3ghBQ0lRLk5BU0RBUTpNU0ZULklRX0VYQ0lT</t>
  </si>
  <si>
    <t>RV9UQVhFU19JTkNMX1NBTEVTLjk5NC4wMi8wOC8yMDI2Li4uVVNELkgBAAAAS1UAAAMAAAAAAO3wRG8s8N4IfQ+5hyzw3gg8Q0lRLk5BU0RBUTpNU0ZULklRX0NVUlJfRk9SRUlHTl9UQVhFUy45OTUuMDIvMDgvMjAyNi4uLlVTRC5IAQAAAEtVAAACAAAABDU0NjcBCAAAAAUAAAABMQEAAAALLTIwMzY4NDM4NDMDAAAAAzE2MAIAAAAEMzAzMAQAAAABMAcAAAAIOC8yLzIwMjYIAAAACTYvMzAvMjAyMQkAAAABMO3wRG8s8N4IXja5hyzw3ghAQ0lRLk5BU0RBUTpNU0ZULklRX0RFRkVSUkVEX0ZPUkVJR05fVEFYRVMuOTkzLjAyLzA4LzIwMjYuLi5VU0QuSAEAAABLVQAAAgAAAAMxOTQBCAAAAAUAAAABMQEAAAALLTIxNDA5ODE0NjkDAAAAAzE2MAIAAAAEMzA1NQQAAAABMAcAAAAIOC8yLzIwMjYIAAAACTYvMzAvMjAxOQkAAAABMO3wRG8s8N4IXja5hyzw3ghDQ0lRLk5BU0RBUTpNU0ZULklRX05PTlJFQ1VSUklOR19JTkNPTUVfVEFYRVMuOTk0LjAyLzA4LzIwMjYuLi5VU0QuSAEAAABLVQAAAwAAAAAA7fBEbyzw3gh9D7mHLPDeCDJDSVEuTkFTREFROk1TRlQuSVFfRElMVVRfTkkuOTk2LjAyLzA4LzIwMjYuLi5VU0QuSAEAAABLVQAAAgAAAAU3Mjc2MQEIAAAABQAAAAExAQAAAAstMTk4NTkzMTIyNAMAAAADMTYwAgAAAAQzNTIyBAAAAAEwBwAAAAg4LzIvMjAyNggAAAAJNi8zMC8yMDIyCQAAAAEw7fBE</t>
  </si>
  <si>
    <t>byzw3gh9D7mHLPDeCEtDSVEuTkFTREFROk1TRlQuSVFfSU5URVJFU1RfRVhQX0xFQVNFX0xJQUJJTElUWV9ERUJULjk5My4wMi8wOC8yMDI2Li4uVVNELkgBAAAAS1UAAAMAAAAAAO3wRG8s8N4IfQ+5hyzw3gg9Q0lRLk5BU0RBUTpNU0ZULklRX05PTkNBU0hfUEVOU0lPTl9FWFAuOTk1LjAyLzA4LzIwMjYuLi5VU0QuSAEAAABLVQAAAwAAAAAA7fBEbyzw3ghrXbmHLPDeCElDSVEuTkFTREFROk1TRlQuSVFfRElTVFJJQlVUQUJMRV9DQVNIX1NUQU5EQVJESVpFRC45OTIuMDIvMDgvMjAyNi4uLlVTRC5IAQAAAEtVAAADAAAAAADt8ERvLPDeCGtduYcs8N4INENJUS5OQVNEQVE6TVNGVC5JUV9DT01NT05fRElWLjk5Mi4wMi8wOC8yMDI2Li4uVVNELkgBAAAAS1UAAAIAAAAFMTI5MTcA7fBEbyzw3gheNrmHLPDeCDZDSVEuTkFTREFROk1TRlQuSVFfQURWRVJUSVNJTkcuMTAwMC4wMi8wOC8yMDI2Li4uVVNELkgBAAAAS1UAAAIAAAAEMjcwMAEIAAAABQAAAAExAQAAAAstMTg4MDIyOTY2NQMAAAADMTYwAgAAAAQzMDEzBAAAAAEwBwAAAAg4LzIvMjAyNggAAAAJNi8zMC8yMDI2CQAAAAEw7fBEbyzw3gheNrmHLPDeCDBDSVEuTkFTREFROk1TRlQuSVFfR0FfRVhQLjk5Ny4wMi8wOC8yMDI2Li4uVVNELkgBAAAAS1UAAAIAAAAENzU3NQEIAAAABQAAAAExAQAAAAstMTkzNDI1NDI1MAMAAAADMTYwAgAAAAUy</t>
  </si>
  <si>
    <t>MTU2MgQAAAABMAcAAAAIOC8yLzIwMjYIAAAACTYvMzAvMjAyMwkAAAABMO3wRG8s8N4IXja5hyzw3gg7Q0lRLk5BU0RBUTpNU0ZULklRX05FVF9SRU5UQUxfRVhQX0ZOLjk5OS4wMi8wOC8yMDI2Li4uVVNELkgBAAAAS1UAAAIAAAAENTUyNAEIAAAABQAAAAExAQAAAAstMTg4MDIyOTY4NgMAAAADMTYwAgAAAAQzMTcwBAAAAAEwBwAAAAg4LzIvMjAyNggAAAAJNi8zMC8yMDI1CQAAAAEw7fBEbyzw3ghrXbmHLPDeCDtDSVEuTkFTREFROk1TRlQuSVFfQ09OVElOR0VOVF9SRU5UQUwuOTk2LjAyLzA4LzIwMjYuLi5VU0QuSAEAAABLVQAAAwAAAAAA7fBEbyzw3ghrXbmHLPDeCDZDSVEuTkFTREFROk1TRlQuSVFfT1RIRVJfUkVOVEFMLjk5OC4wMi8wOC8yMDI2Li4uVVNELkgBAAAAS1UAAAMAAAAAAO3wRG8s8N4IXja5hyzw3ghEQ0lRLk5BU0RBUTpNU0ZULklRX0RFUFJFQ0lBVElPTl9SRU5UQUxfQVNTRVRTLjk5OS4wMi8wOC8yMDI2Li4uVVNELkgBAAAAS1UAAAMAAAAAAO3wRG8s8N4IXja5hyzw3ghCQ0lRLk5BU0RBUTpNU0ZULklRX0lNUFVUX09QRVJfTEVBU0VfSU5UX0VYUC45OTcuMDIvMDgvMjAyNi4uLlVTRC5IAQAAAEtVAAACAAAABzU4MS4zOTQBCAAAAAUAAAABMQEAAAALLTE5MzQyNTQyNTADAAAAAzE2MAIAAAAFMjE2NzIEAAAAATAHAAAACDgvMi8yMDI2CAAAAAk2LzMwLzIwMjMJAAAAATDt</t>
  </si>
  <si>
    <t>8ERvLPDeCF42uYcs8N4IQUNJUS5OQVNEQVE6TVNGVC5JUV9TQUxBUklFU19PVEhFUl9CRU5FRklUUy45OTguMDIvMDgvMjAyNi4uLlVTRC5IAQAAAEtVAAADAAAAAADt8ERvLPDeCIGEuYcs8N4IPkNJUS5OQVNEQVE6TVNGVC5JUV9JTVBBSVJNRU5UX0dXX1NVUFBMRS45OTYuMDIvMDgvMjAyNi4uLlVTRC5IAQAAAEtVAAADAAAAAADt8ERvLPDeCIGEuYcs8N4INUNJUS5OQVNEQVE6TVNGVC5JUV9JUFJEX1NVUFBMRS45OTcuMDIvMDgvMjAyNi4uLlVTRC5IAQAAAEtVAAADAAAAAADt8ERvLPDeCGtduYcs8N4IQUNJUS5OQVNEQVE6TVNGVC5JUV9HQUlOX0JBUkdBSU5fQUNRX1NVUFBMRS45OTguMDIvMDgvMjAyNi4uLlVTRC5IAQAAAEtVAAADAAAAAADt8ERvLPDeCGtduYcs8N4IPkNJUS5OQVNEQVE6TVNGVC5JUV9UT1RBTF9VTlVTVUFMX1NVUFBMRS45OTQuMDIvMDgvMjAyNi4uLlVTRC5IAQAAAEtVAAADAAAAAADt8ERvLPDeCGtduYcs8N4IPkNJUS5OQVNEQVE6TVNGVC5JUV9ORUdBVElWRV9HV19BTU9SVF9BVC45OTUuMDIvMDgvMjAyNi4uLlVTRC5IAQAAAEtVAAADAAAAAADt8ERvLPDeCIGEuYcs8N4IOENJUS5OQVNEQVE6TVNGVC5JUV9TVE9DS19CQVNFRF9TTS45OTMuMDIvMDgvMjAyNi4uLlVTRC5IAQAAAEtVAAADAAAAAADt8ERvLPDeCIGEuYcs8N4IOUNJUS5OQVNEQVE6TVNGVC5JUV9TVE9D</t>
  </si>
  <si>
    <t>S19CQVNFRF9TR0EuOTk0LjAyLzA4LzIwMjYuLi5VU0QuSAEAAABLVQAAAwAAAAAA7fBEbyzw3ghrXbmHLPDeCDtDSVEuTkFTREFROk1TRlQuSVFfU1RPQ0tfQkFTRURfT1RIRVIuOTk1LjAyLzA4LzIwMjYuLi5VU0QuSAEAAABLVQAAAgAAAAQ2MTE4AQgAAAAFAAAAATEBAAAACy0yMDM2ODQzODQzAwAAAAMxNjACAAAABTIyNjc2BAAAAAEwBwAAAAg4LzIvMjAyNggAAAAJNi8zMC8yMDIxCQAAAAEw7fBEbyzw3ghrXbmHLPDeCEFDSVEuTkFTREFROk1TRlQuSVFfUkVTVFJfU1RPQ0tfQ09NUF9QUkVUQVguOTkzLjAyLzA4LzIwMjYuLi5VU0QuSAEAAABLVQAAAwAAAAAA7fBEbyzw3giBhLmHLPDeCDpDSVEuTkFTREFROk1TRlQuSVFfUkVTVFJfU1RPQ0tfQ09NUC45OTQuMDIvMDgvMjAyNi4uLlVTRC5IAQAAAEtVAAADAAAAAADt8ERvLPDeCIGEuYcs8N4IPENJUS5OQVNEQVE6TVNGVC5JUV9TVE9DS19PUFRJT05TX0NPTVAuOTkyLjAyLzA4LzIwMjYuLi5VU0QuSAEAAABLVQAAAwAAAAAA7fBEbyzw3gifq7mHLPDeCD5DSVEuTkFTREFROk1TRlQuSVFfU1RPQ0tfQkFTRURfQ09NUF9UQVguOTkzLjAyLzA4LzIwMjYuLi5VU0QuSAEAAABLVQAAAgAAAAQtODE2AO3wRG8s8N4IgYS5hyzw3ggvQ0lRLk5BU0RBUTpNU0ZULklRX05JX0NGLjk5NS4wMi8wOC8yMDI2Li4uVVNELkgBAAAAS1UAAAIAAAAFNjEyNzEB</t>
  </si>
  <si>
    <t>CAAAAAUAAAABMQEAAAALLTIwMzY4NDM4NDMDAAAAAzE2MAIAAAAEMjE1MAQAAAABMAcAAAAIOC8yLzIwMjYIAAAACTYvMzAvMjAyMQkAAAABMO3wRG8s8N4IgYS5hyzw3gg0Q0lRLk5BU0RBUTpNU0ZULklRX09JTF9JTVBBSVIuOTkyLjAyLzA4LzIwMjYuLi5VU0QuSAEAAABLVQAAAwAAAAAA7fBEbyzw3giBhLmHLPDeCDVDSVEuTkFTREFROk1TRlQuSVFfT1RIRVJfQU1PUlQuOTk0LjAyLzA4LzIwMjYuLi5VU0QuSAEAAABLVQAAAwAAAAAA7fBEbyzw3gifq7mHLPDeCDlDSVEuTkFTREFROk1TRlQuSVFfR0FJTl9JTlZFU1RfQ0YuMTAwMC4wMi8wOC8yMDI2Li4uVVNELkgBAAAAS1UAAAIAAAAGLTExMDQ3AQgAAAAFAAAAATEBAAAACy0xODgwMjI5NjY1AwAAAAMxNjACAAAABDIwOTAEAAAAATAHAAAACDgvMi8yMDI2CAAAAAk2LzMwLzIwMjYJAAAAATDt8ERvLPDeCJ+ruYcs8N4IMkNJUS5OQVNEQVE6TVNGVC5JUV9MT0FOU19DRi45OTMuMDIvMDgvMjAyNi4uLlVTRC5IAQAAAEtVAAADAAAAAADt8ERvLPDeCIGEuYcs8N4IN0NJUS5OQVNEQVE6TVNGVC5JUV9JTkNfRVFVSVRZX0NGLjk5NS4wMi8wOC8yMDI2Li4uVVNELkgBAAAAS1UAAAMAAAAAAO3wRG8s8N4IgYS5hyzw3gg8Q0lRLk5BU0RBUTpNU0ZULklRX1BST1ZfQkFEX0RFQlRTX0NGLjEwMDAuMDIvMDgvMjAyNi4uLlVTRC5IAQAAAEtVAAADAAAA</t>
  </si>
  <si>
    <t>AADt8ERvLPDeCIGEuYcs8N4IOENJUS5OQVNEQVE6TVNGVC5JUV9PVEhFUl9PUEVSX0FDVC45OTQuMDIvMDgvMjAyNi4uLlVTRC5IAQAAAEtVAAACAAAAAzUwNwEIAAAABQAAAAExAQAAAAstMjA4NzQ5NjYyNwMAAAADMTYwAgAAAAQyMDQ3BAAAAAEwBwAAAAg4LzIvMjAyNggAAAAJNi8zMC8yMDIwCQAAAAEw7fBEbyzw3gifq7mHLPDeCDpDSVEuTkFTREFROk1TRlQuSVFfQ0hBTkdFX0lOVkVOVE9SWS45OTkuMDIvMDgvMjAyNi4uLlVTRC5IAQAAAEtVAAACAAAAAzMwOQEIAAAABQAAAAExAQAAAAstMTg4MDIyOTY4NgMAAAADMTYwAgAAAAQyMDk5BAAAAAEwBwAAAAg4LzIvMjAyNggAAAAJNi8zMC8yMDI1CQAAAAEw7fBEbyzw3gifq7mHLPDeCDxDSVEuTkFTREFROk1TRlQuSVFfQ0hBTkdFX1VORUFSTl9SRVYuMTAwMC4wMi8wOC8yMDI2Li4uVVNELkgBAAAAS1UAAAIAAAAEOTM2MQEIAAAABQAAAAExAQAAAAstMTg4MDIyOTY2NQMAAAADMTYwAgAAAAQyMTM5BAAAAAEwBwAAAAg4LzIvMjAyNggAAAAJNi8zMC8yMDI2CQAAAAEw7fBEbyzw3gifq7mHLPDeCDhDSVEuTkFTREFROk1TRlQuSVFfQ0hBTkdFX0RFRl9UQVguOTk1LjAyLzA4LzIwMjYuLi5VU0QuSAEAAABLVQAAAwAAAAAA7fBEbyzw3gifq7mHLPDeCC9DSVEuTkFTREFROk1TRlQuSVFfQ0FQRVguOTk5LjAyLzA4LzIwMjYuLi5VU0QuSAEAAABL</t>
  </si>
  <si>
    <t>VQAAAgAAAAYtNjQ1NTEBCAAAAAUAAAABMQEAAAALLTE4ODAyMjk2ODYDAAAAAzE2MAIAAAAEMjAyMQQAAAABMAcAAAAIOC8yLzIwMjYIAAAACTYvMzAvMjAyNQkAAAABMO3wRG8s8N4In6u5hyzw3ggzQ0lRLk5BU0RBUTpNU0ZULklRX0RJVkVTVF9DRi45OTIuMDIvMDgvMjAyNi4uLlVTRC5IAQAAAEtVAAADAAAAAADt8ERvLPDeCODSuYcs8N4IPENJUS5OQVNEQVE6TVNGVC5JUV9JTlZFU1RfU0VDVVJJVFlfQ0YuOTk2LjAyLzA4LzIwMjYuLi5VU0QuSAEAAABLVQAAAgAAAAUxODQzOAEIAAAABQAAAAExAQAAAAstMTk4NTkzMTIyNAMAAAADMTYwAgAAAAQyMDI3BAAAAAEwBwAAAAg4LzIvMjAyNggAAAAJNi8zMC8yMDIyCQAAAAEw7fBEbyzw3gjg0rmHLPDeCDpDSVEuTkFTREFROk1TRlQuSVFfSU5WRVNUX0xPQU5TX0NGLjEwMDAuMDIvMDgvMjAyNi4uLlVTRC5IAQAAAEtVAAADAAAAAADt8ERvLPDeCJ+ruYcs8N4IOENJUS5OQVNEQVE6TVNGVC5JUV9TVF9ERUJUX0lTU1VFRC45OTMuMDIvMDgvMjAyNi4uLlVTRC5IAQAAAEtVAAADAAAAAADt8ERvLPDeCJ+ruYcs8N4IOENJUS5OQVNEQVE6TVNGVC5JUV9TVF9ERUJUX1JFUEFJRC45OTcuMDIvMDgvMjAyNi4uLlVTRC5IAQAAAEtVAAADAAAAAADt8ERvLPDeCJ+ruYcs8N4IO0NJUS5OQVNEQVE6TVNGVC5JUV9UT1RBTF9ERUJUX1JFUEFJRC45OTIuMDIv</t>
  </si>
  <si>
    <t>MDgvMjAyNi4uLlVTRC5IAQAAAEtVAAACAAAABi0xNzM4NAEIAAAABQAAAAExAQAAAAoyMDQ3MjcxNzQ1AwAAAAMxNjACAAAABDIxNjYEAAAAATAHAAAACDgvMi8yMDI2CAAAAAk2LzMwLzIwMTgJAAAAATDt8ERvLPDeCODSuYcs8N4INUNJUS5OQVNEQVE6TVNGVC5JUV9QUkVGX0lTU1VFRC45OTYuMDIvMDgvMjAyNi4uLlVTRC5IAQAAAEtVAAADAAAAAADt8ERvLPDeCODSuYcs8N4IN0NJUS5OQVNEQVE6TVNGVC5JUV9DT01NT05fRElWX0NGLjk5OC4wMi8wOC8yMDI2Li4uVVNELkgBAAAAS1UAAAIAAAAGLTIxNzcxAQgAAAAFAAAAATEBAAAACy0xODgwMjI5Njk0AwAAAAMxNjACAAAABDIwNzQEAAAAATAHAAAACDgvMi8yMDI2CAAAAAk2LzMwLzIwMjQJAAAAATDt8ERvLPDeCODSuYcs8N4IPENJUS5OQVNEQVE6TVNGVC5JUV9DT01NT05fUFJFRl9ESVZfQ0YuOTkyLjAyLzA4LzIwMjYuLi5VU0QuSAEAAABLVQAAAwAAAAAA7fBEbyzw3gjg0rmHLPDeCEFDSVEuTkFTREFROk1TRlQuSVFfT1RIRVJfRklOQU5DRV9BQ1RfU1VQUEwuOTk3LjAyLzA4LzIwMjYuLi5VU0QuSAEAAABLVQAAAgAAAAUtMTAwNgEIAAAABQAAAAExAQAAAAstMTkzNDI1NDI1MAMAAAADMTYwAgAAAAQyMDUwBAAAAAEwBwAAAAg4LzIvMjAyNggAAAAJNi8zMC8yMDIzCQAAAAEw7fBEbyzw3gjg0rmHLPDeCCxDSVEuTkFTREFROk1TRlQu</t>
  </si>
  <si>
    <t>SVFfRlguOTk5LjAyLzA4LzIwMjYuLi5VU0QuSAEAAABLVQAAAgAAAAI2MwEIAAAABQAAAAExAQAAAAstMTg4MDIyOTY4NgMAAAADMTYwAgAAAAQyMTQ0BAAAAAEwBwAAAAg4LzIvMjAyNggAAAAJNi8zMC8yMDI1CQAAAAEw7fBEbyzw3ggm+rmHLPDeCD1DSVEuTkFTREFROk1TRlQuSVFfREFfU1VQUExfUEFSVElBTF9DRi45OTQuMDIvMDgvMjAyNi4uLlVTRC5IAQAAAEtVAAADAAAAAADt8ERvLPDeCCb6uYcs8N4IR0NJUS5OQVNEQVE6TVNGVC5JUV9ERVBSRUNJQVRJT05fUkVOVEFMX0FTU0VUU19DRi45OTQuMDIvMDgvMjAyNi4uLlVTRC5IAQAAAEtVAAADAAAAAADt8ERvLPDeCODSuYcs8N4IRkNJUS5OQVNEQVE6TVNGVC5JUV9EQV9TVVBQTF9DRl9FWENMX09QRVJfTEVBU0VTLjk5Ny4wMi8wOC8yMDI2Li4uVVNELkgBAAAAS1UAAAIAAAAFMTEwMDABCAAAAAUAAAABMQEAAAALLTE5MzQyNTQyNTADAAAAAzE2MAIAAAAFNDg5ODMEAAAAATAHAAAACDgvMi8yMDI2CAAAAAk2LzMwLzIwMjMJAAAAATDt8ERvLPDeCODSuYcs8N4INkNJUS5OQVNEQVE6TVNGVC5JUV9BTU9SVF9ESUNfQ0YuOTk3LjAyLzA4LzIwMjYuLi5VU0QuSAEAAABLVQAAAwAAAAAA7fBEbyzw3gjg0rmHLPDeCEZDSVEuTkFTREFROk1TRlQuSVFfU0FMRV9QUk9DRUVEU19SRU5UQUxfQVNTRVRTLjEwMDAuMDIvMDgvMjAyNi4uLlVTRC5I</t>
  </si>
  <si>
    <t>AQAAAEtVAAADAAAAAADt8ERvLPDeCCb6uYcs8N4IQUNJUS5OQVNEQVE6TVNGVC5JUV9DQVNIX0lOVEVSRVNUX1JFQ0VJVkVELjEwMDAuMDIvMDgvMjAyNi4uLlVTRC5IAQAAAEtVAAADAAAAAADt8ERvLPDeCEIhuocs8N4IPUNJUS5OQVNEQVE6TVNGVC5JUV9DQVNIX0lOVEVSRVNUX0ZJTkFOLjk5OS4wMi8wOC8yMDI2Li4uVVNELkgBAAAAS1UAAAMAAAAAAO3wRG8s8N4I4NK5hyzw3gg7Q0lRLk5BU0RBUTpNU0ZULklRX0NBU0hfVEFYRVNfSU5WRVNULjk5OC4wMi8wOC8yMDI2Li4uVVNELkgBAAAAS1UAAAMAAAAAAO3wRG8s8N4IJvq5hyzw3gg/Q0lRLk5BU0RBUTpNU0ZULklRX0NIQU5HRV9ERUZfVEFYX1RPVEFMLjEwMDAuMDIvMDgvMjAyNi4uLlVTRC5IAQAAAEtVAAACAAAABTE0MTg5AQgAAAAFAAAAATEBAAAACy0xODgwMjI5NjY1AwAAAAMxNjACAAAABTMwOTI0BAAAAAEwBwAAAAg4LzIvMjAyNggAAAAJNi8zMC8yMDI2CQAAAAEw7fBEbyzw3ggm+rmHLPDeCDVDSVEuTkFTREFROk1TRlQuSVFfUkVTVFJVQ1RVUkUuOTkxLjAyLzA4LzIwMjYuLi5VU0QuSAEAAABLVQAAAgAAAAQtMzA2AQgAAAAFAAAAATEBAAAACjE5NzMzODA5NTEDAAAAAzE2MAIAAAACOTgEAAAAATAHAAAACDgvMi8yMDI2CAAAAAk2LzMwLzIwMTcJAAAAATAQV/BuLPDeCIjLlIcs8N4IMkNJUS5OQVNEQVE6TVNGVC5JUV9PUEVS</t>
  </si>
  <si>
    <t>X0lOQy45OTAuMDIvMDgvMjAyNi4uLlVTRC5IAQAAAEtVAAACAAAABTI3MTg4AQgAAAAFAAAAATEBAAAACjE4OTg0ODk0NzADAAAAAzE2MAIAAAACMjEEAAAAATAHAAAACDgvMi8yMDI2CAAAAAk2LzMwLzIwMTYJAAAAATAQV/BuLPDeCIjLlIcs8N4IN0NJUS5OQVNEQVE6TVNGVC5JUV9QUkVfT1BFTl9DT1NULjk5MC4wMi8wOC8yMDI2Li4uVVNELkgBAAAAS1UAAAMAAAAAABBX8G4s8N4IWgaVhyzw3gg1Q0lRLk5BU0RBUTpNU0ZULklRX0lOU19ESVZfRVhQLjk5MS4wMi8wOC8yMDI2Li4uVVNELkgBAAAAS1UAAAMAAAAAABBX8G4s8N4IWgaVhyzw3gg2Q0lRLk5BU0RBUTpNU0ZULklRX0ZJTl9ESVZfUkVWLjIwMDAuMDIvMDgvMjAyNi4uLlVTRC5IAQAAAEtVAAADAAAAAAAQV/BuLPDeCIjLlIcs8N4ILUNJUS5OQVNEQVE6TVNGVC5JUV9SRVYuOTk1LjAyLzA4LzIwMjYuLi5VU0QuSAEAAABLVQAAAgAAAAYxNjgwODgBCAAAAAUAAAABMQEAAAALLTIwMzY4NDM4NDMDAAAAAzE2MAIAAAADMTEyBAAAAAEwBwAAAAg4LzIvMjAyNggAAAAJNi8zMC8yMDIxCQAAAAEwEFfwbizw3giIy5SHLPDeCDVDSVEuTkFTREFROk1TRlQuSVFfSU5TX0RJVl9SRVYuOTk3LjAyLzA4LzIwMjYuLi5VU0QuSAEAAABLVQAAAwAAAAAAEFfwbizw3giIy5SHLPDeCDVDSVEuTkFTREFROk1TRlQuSVFfSU5UX0lOVl9JTkMuOTk0LjAy</t>
  </si>
  <si>
    <t>LzA4LzIwMjYuLi5VU0QuSAEAAABLVQAAAwAAAAAAEFfwbizw3ghaBpWHLPDeCDNDSVEuTkFTREFROk1TRlQuSVFfVE9UQUxfUkVWLjk5Ni4wMi8wOC8yMDI2Li4uVVNELkgBAAAAS1UAAAIAAAAGMTk4MjcwAQgAAAAFAAAAATEBAAAACy0xOTg1OTMxMjI0AwAAAAMxNjACAAAAAjI4BAAAAAEwBwAAAAg4LzIvMjAyNggAAAAJNi8zMC8yMDIyCQAAAAEwEFfwbizw3ghaBpWHLPDeCDVDSVEuTkFTREFROk1TRlQuSVFfRklOX0RJVl9FWFAuOTk4LjAyLzA4LzIwMjYuLi5VU0QuSAEAAABLVQAAAwAAAAAAEFfwbizw3giIy5SHLPDeCCxDSVEuTkFTREFROk1TRlQuSVFfR1AuOTk1LjAyLzA4LzIwMjYuLi5VU0QuSAEAAABLVQAAAgAAAAYxMTU4NTYBCAAAAAUAAAABMQEAAAALLTIwMzY4NDM4NDMDAAAAAzE2MAIAAAACMTAEAAAAATAHAAAACDgvMi8yMDI2CAAAAAk2LzMwLzIwMjEJAAAAATAQV/BuLPDeCFoGlYcs8N4IN0NJUS5OQVNEQVE6TVNGVC5JUV9FWFBMT1JFX0RSSUxMLjk5Ny4wMi8wOC8yMDI2Li4uVVNELkgBAAAAS1UAAAMAAAAAABBX8G4s8N4IWgaVhyzw3gg3Q0lRLk5BU0RBUTpNU0ZULklRX1BSRV9PUEVOX0NPU1QuOTk0LjAyLzA4LzIwMjYuLi5VU0QuSAEAAABLVQAAAwAAAAAAEFfwbizw3ggoOZWHLPDeCDJDSVEuTkFTREFROk1TRlQuSVFfREFfU1VQUEwuOTk2LjAyLzA4LzIwMjYuLi5VU0Qu</t>
  </si>
  <si>
    <t>SAEAAABLVQAAAwAAAAAAEFfwbizw3ggoOZWHLPDeCDRDSVEuTkFTREFROk1TRlQuSVFfSU1QQUlSX09JTC45OTguMDIvMDgvMjAyNi4uLlVTRC5IAQAAAEtVAAADAAAAAAAQV/BuLPDeCFoGlYcs8N4IMkNJUS5OQVNEQVE6TVNGVC5JUV9PUEVSX0lOQy45OTUuMDIvMDgvMjAyNi4uLlVTRC5IAQAAAEtVAAACAAAABTY5OTE2AQgAAAAFAAAAATEBAAAACy0yMDM2ODQzODQzAwAAAAMxNjACAAAAAjIxBAAAAAEwBwAAAAg4LzIvMjAyNggAAAAJNi8zMC8yMDIxCQAAAAEwEFfwbizw3ghaBpWHLPDeCD1DSVEuTkFTREFROk1TRlQuSVFfSU5URVJFU1RfSU5WRVNUX0lOQy45OTcuMDIvMDgvMjAyNi4uLlVTRC5IAQAAAEtVAAACAAAABDI5OTQBCAAAAAUAAAABMQEAAAALLTE5MzQyNTQyNTADAAAAAzE2MAIAAAACNjUEAAAAATAHAAAACDgvMi8yMDI2CAAAAAk2LzMwLzIwMjMJAAAAATAQV/BuLPDeCFoGlYcs8N4IQkNJUS5OQVNEQVE6TVNGVC5JUV9PVEhFUl9OT05fT1BFUl9FWFBfU1VQUEwuOTkyLjAyLzA4LzIwMjYuLi5VU0QuSAEAAABLVQAAAgAAAAQtMzk2AQgAAAAFAAAAATEBAAAACjIwNDcyNzE3NDUDAAAAAzE2MAIAAAACODUEAAAAATAHAAAACDgvMi8yMDI2CAAAAAk2LzMwLzIwMTgJAAAAATAQV/BuLPDeCCg5lYcs8N4IMkNJUS5OQVNEQVE6TVNGVC5JUV9FQlRfRVhDTC45OTYuMDIvMDgvMjAyNi4u</t>
  </si>
  <si>
    <t>LlVTRC5IAQAAAEtVAAACAAAABTgzMjQyAQgAAAAFAAAAATEBAAAACy0xOTg1OTMxMjI0AwAAAAMxNjACAAAAATQEAAAAATAHAAAACDgvMi8yMDI2CAAAAAk2LzMwLzIwMjIJAAAAATAQV/BuLPDeCCg5lYcs8N4INUNJUS5OQVNEQVE6TVNGVC5JUV9HQUlOX0lOVkVTVC45OTIuMDIvMDgvMjAyNi4uLlVTRC5IAQAAAEtVAAACAAAABDI0NzkBCAAAAAUAAAABMQEAAAAKMjA0NzI3MTc0NQMAAAADMTYwAgAAAAI2MgQAAAABMAcAAAAIOC8yLzIwMjYIAAAACTYvMzAvMjAxOAkAAAABMBBX8G4s8N4IWgaVhyzw3gg1Q0lRLk5BU0RBUTpNU0ZULklRX0dBSU5fQVNTRVRTLjk5OC4wMi8wOC8yMDI2Li4uVVNELkgBAAAAS1UAAAMAAAAAABBX8G4s8N4IKDmVhyzw3gg0Q0lRLk5BU0RBUTpNU0ZULklRX0lOU19TRVRUTEUuOTk4LjAyLzA4LzIwMjYuLi5VU0QuSAEAAABLVQAAAwAAAAAAEFfwbizw3ggoOZWHLPDeCDFDSVEuTkFTREFROk1TRlQuSVFfSU5DX1RBWC45OTQuMDIvMDgvMjAyNi4uLlVTRC5IAQAAAEtVAAACAAAABDg3NTUBCAAAAAUAAAABMQEAAAALLTIwODc0OTY2MjcDAAAAAzE2MAIAAAACNzUEAAAAATAHAAAACDgvMi8yMDI2CAAAAAk2LzMwLzIwMjAJAAAAATAQV/BuLPDeCH5glYcs8N4ILUNJUS5OQVNEQVE6TVNGVC5JUV9ETy4xMDAwLjAyLzA4LzIwMjYuLi5VU0QuSAEAAABLVQAAAwAAAAAAEFfw</t>
  </si>
  <si>
    <t>bizw3gh+YJWHLPDeCD5DSVEuTkFTREFROk1TRlQuSVFfTUlOT1JJVFlfSU5URVJFU1RfSVMuOTkzLjAyLzA4LzIwMjYuLi5VU0QuSAEAAABLVQAAAwAAAAAAEFfwbizw3ggoOZWHLPDeCDdDSVEuTkFTREFROk1TRlQuSVFfTklfQVZBSUxfSU5DTC45OTYuMDIvMDgvMjAyNi4uLlVTRC5IAQAAAEtVAAACAAAABTcyNzM4AQgAAAAFAAAAATEBAAAACy0xOTg1OTMxMjI0AwAAAAMxNjACAAAAAjE2BAAAAAEwBwAAAAg4LzIvMjAyNggAAAAJNi8zMC8yMDIyCQAAAAEwEFfwbizw3ggoOZWHLPDeCDhDSVEuTkFTREFROk1TRlQuSVFfQkFTSUNfRVBTX0VYQ0wuOTk3LjAyLzA4LzIwMjYuLi5VU0QuSAEAAABLVQAAAgAAAAg5LjcxODEwMwEIAAAABQAAAAExAQAAAAstMTkzNDI1NDI1MAMAAAADMTYwAgAAAAQzMDY0BAAAAAEwBwAAAAg4LzIvMjAyNggAAAAJNi8zMC8yMDIzCQAAAAEwEFfwbizw3ggoOZWHLPDeCDhDSVEuTkFTREFROk1TRlQuSVFfRElMVVRfRVBTX05PUk0uOTkyLjAyLzA4LzIwMjYuLi5VU0QuSAEAAABLVQAAAgAAAAgyLjcyNjA1NQEIAAAABQAAAAExAQAAAAoyMDQ3MjcxNzQ1AwAAAAMxNjACAAAABDQzODAEAAAAATAHAAAACDgvMi8yMDI2CAAAAAk2LzMwLzIwMTgJAAAAATAQV/BuLPDeCH5glYcs8N4IOUNJUS5OQVNEQVE6TVNGVC5JUV9UT1RBTF9SRVZfU0hBUkUuOTk5LjAyLzA4LzIwMjYu</t>
  </si>
  <si>
    <t>Li5VU0QuSAEAAABLVQAAAgAAAAkzNy45MDE3ODkBCAAAAAUAAAABMQEAAAALLTE4ODAyMjk2ODYDAAAAAzE2MAIAAAAENDM4MgQAAAABMAcAAAAIOC8yLzIwMjYIAAAACTYvMzAvMjAyNQkAAAABMBBX8G4s8N4IfmCVhyzw3ggwQ0lRLk5BU0RBUTpNU0ZULklRX0VCSVREQS45OTYuMDIvMDgvMjAyNi4uLlVTRC5IAQAAAEtVAAACAAAABTk3OTgzAQgAAAAFAAAAATEBAAAACy0xOTg1OTMxMjI0AwAAAAMxNjACAAAABDQwNTEEAAAAATAHAAAACDgvMi8yMDI2CAAAAAk2LzMwLzIwMjIJAAAAATAQV/BuLPDeCCg5lYcs8N4IP0NJUS5OQVNEQVE6TVNGVC5JUV9FQklUREFfTEVBU0VfQURKVVNURUQuOTkyLjAyLzA4LzIwMjYuLi5VU0QuSAEAAABLVQAAAgAAAAU0NjU0MwEIAAAABQAAAAExAQAAAAoyMDQ3MjcxNzQ1AwAAAAMxNjACAAAABTQ4OTkzBAAAAAEwBwAAAAg4LzIvMjAyNggAAAAJNi8zMC8yMDE4CQAAAAEwEFfwbizw3gh+YJWHLPDeCDVDSVEuTkFTREFROk1TRlQuSVFfRUJJVF9FUV9JTkMuOTkzLjAyLzA4LzIwMjYuLi5VU0QuSAEAAABLVQAAAgAAAAU0Mjk1OQEIAAAABQAAAAExAQAAAAstMjE0MDk4MTQ2OQMAAAADMTYwAgAAAAUyMTY3NQQAAAABMAcAAAAIOC8yLzIwMjYIAAAACTYvMzAvMjAxOQkAAAABMBBX8G4s8N4IfmCVhyzw3gg2Q0lRLk5BU0RBUTpNU0ZULklRX0VCSVRBX0VRX0lOQy45</t>
  </si>
  <si>
    <t>OTYuMDIvMDgvMjAyNi4uLlVTRC5IAQAAAEtVAAACAAAABTg1MzUxAQgAAAAFAAAAATEBAAAACy0xOTg1OTMxMjI0AwAAAAMxNjACAAAABTIxNjc2BAAAAAEwBwAAAAg4LzIvMjAyNggAAAAJNi8zMC8yMDIyCQAAAAEwEFfwbizw3gh+YJWHLPDeCDFDSVEuTkFTREFROk1TRlQuSVFfRUJJVERBUi45OTcuMDIvMDgvMjAyNi4uLlVTRC5IAQAAAEtVAAACAAAABjEwNDg5OAEIAAAABQAAAAExAQAAAAstMTkzNDI1NDI1MAMAAAADMTYwAgAAAAUyMTY3NAQAAAABMAcAAAAIOC8yLzIwMjYIAAAACTYvMzAvMjAyMwkAAAABMBBX8G4s8N4IkJuVhyzw3gg2Q0lRLk5BU0RBUTpNU0ZULklRX0VCSVREQV9DQVBFWC45OTQuMDIvMDgvMjAyNi4uLlVTRC5IAQAAAEtVAAACAAAABTQ5ODE4AQgAAAAFAAAAATEBAAAACy0yMDg3NDk2NjI3AwAAAAMxNjACAAAABTM1Mzc5BAAAAAEwBwAAAAg4LzIvMjAyNggAAAAJNi8zMC8yMDIwCQAAAAEwEFfwbizw3gh+YJWHLPDeCExDSVEuTkFTREFROk1TRlQuSVFfUFJPVl9CQURfREVCVFNfUEFUSUVOVF9TRVJWSUNFX1JFVi45OTguMDIvMDgvMjAyNi4uLlVTRC5IAQAAAEtVAAADAAAAAAAQV/BuLPDeCH5glYcs8N4IQUNJUS5OQVNEQVE6TVNGVC5JUV9FWENJU0VfVEFYRVNfRVhDTF9TQUxFUy45OTUuMDIvMDgvMjAyNi4uLlVTRC5IAQAAAEtVAAADAAAAAAAQV/BuLPDeCH5glYcs</t>
  </si>
  <si>
    <t>8N4IQkNJUS5OQVNEQVE6TVNGVC5JUV9ERUZFUlJFRF9ET01FU1RJQ19UQVhFUy4xMDAwLjAyLzA4LzIwMjYuLi5VU0QuSAEAAABLVQAAAgAAAAUxMzg5MwEIAAAABQAAAAExAQAAAAstMTg4MDIyOTY2NQMAAAADMTYwAgAAAAQzMDU0BAAAAAEwBwAAAAg4LzIvMjAyNggAAAAJNi8zMC8yMDI2CQAAAAEwEFfwbizw3giQm5WHLPDeCDFDSVEuTkFTREFROk1TRlQuSVFfTklfTk9STS45OTYuMDIvMDgvMjAyNi4uLlVTRC5IAQAAAEtVAAACAAAACDUyMDI2LjI1AQgAAAAFAAAAATEBAAAACy0xOTg1OTMxMjI0AwAAAAMxNjACAAAABDQzNzgEAAAAATAHAAAACDgvMi8yMDI2CAAAAAk2LzMwLzIwMjIJAAAAATAQV/BuLPDeCJCblYcs8N4IOkNJUS5OQVNEQVE6TVNGVC5JUV9JTlRfRVhQX0lOQ0xfQ0FQLjk5NS4wMi8wOC8yMDI2Li4uVVNELkgBAAAAS1UAAAIAAAAEMjMzMAEIAAAABQAAAAExAQAAAAstMjAzNjg0Mzg0MwMAAAADMTYwAgAAAAUyMTg2MQQAAAABMAcAAAAIOC8yLzIwMjYIAAAACTYvMzAvMjAyMQkAAAABMBBX8G4s8N4IfmCVhyzw3ghAQ0lRLk5BU0RBUTpNU0ZULklRX0FOTlVfRElTVFJJQlVUSU9OX1VOSVQuOTk2LjAyLzA4LzIwMjYuLi5VU0QuSAEAAABLVQAAAwAAAAAAEFfwbizw3gh+YJWHLPDeCDBDSVEuTkFTREFROk1TRlQuSVFfR0FfRVhQLjk5NC4wMi8wOC8yMDI2Li4uVVNELkgBAAAA</t>
  </si>
  <si>
    <t>S1UAAAIAAAAENTExMQEIAAAABQAAAAExAQAAAAstMjA4NzQ5NjYyNwMAAAADMTYwAgAAAAUyMTU2MgQAAAABMAcAAAAIOC8yLzIwMjYIAAAACTYvMzAvMjAyMAkAAAABMBBX8G4s8N4IfmCVhyzw3gg7Q0lRLk5BU0RBUTpNU0ZULklRX0NPTlRJTkdFTlRfUkVOVEFMLjk5My4wMi8wOC8yMDI2Li4uVVNELkgBAAAAS1UAAAMAAAAAABBX8G4s8N4I/cKVhyzw3ghBQ0lRLk5BU0RBUTpNU0ZULklRX0VYUExPUkVfRFJJTExfRVhQX1RPVEFMLjk5NC4wMi8wOC8yMDI2Li4uVVNELkgBAAAAS1UAAAMAAAAAABBX8G4s8N4I/cKVhyzw3gg8Q0lRLk5BU0RBUTpNU0ZULklRX1JFU1RSVUNUVVJFX1NVUFBMRS45OTYuMDIvMDgvMjAyNi4uLlVTRC5IAQAAAEtVAAADAAAAAAAQV/BuLPDeCJCblYcs8N4IO0NJUS5OQVNEQVE6TVNGVC5JUV9JTlNfU0VUVExFX1NVUFBMRS45OTUuMDIvMDgvMjAyNi4uLlVTRC5IAQAAAEtVAAADAAAAAAAQV/BuLPDeCJCblYcs8N4IOENJUS5OQVNEQVE6TVNGVC5JUV9TVE9DS19CQVNFRF9HQS45OTUuMDIvMDgvMjAyNi4uLlVTRC5IAQAAAEtVAAADAAAAAAAQV/BuLPDeCJCblYcs8N4IPENJUS5OQVNEQVE6TVNGVC5JUV9TVE9DS19PUFRJT05TX0NPTVAuOTk4LjAyLzA4LzIwMjYuLi5VU0QuSAEAAABLVQAAAwAAAAAAEFfwbizw3gj9wpWHLPDeCDNDSVEuTkFTREFROk1TRlQuSVFfTE9B</t>
  </si>
  <si>
    <t>TlNfQ0YuMTAwMC4wMi8wOC8yMDI2Li4uVVNELkgBAAAAS1UAAAMAAAAAABBX8G4s8N4I/cKVhyzw3ghBQ0lRLk5BU0RBUTpNU0ZULklRX09USEVSX0ZJTkFOQ0VfQUNUX1NVUFBMLjk5Ni4wMi8wOC8yMDI2Li4uVVNELkgBAAAAS1UAAAIAAAAELTg2MwEIAAAABQAAAAExAQAAAAstMTk4NTkzMTIyNAMAAAADMTYwAgAAAAQyMDUwBAAAAAEwBwAAAAg4LzIvMjAyNggAAAAJNi8zMC8yMDIyCQAAAAEwEFfwbizw3giQm5WHLPDeCEFDSVEuTkFTREFROk1TRlQuSVFfUlVBX0NBUElUQUxfTEVBU0VfR1JPU1MuOTkxLjAyLzA4LzIwMjYuLi5VU0QuSAEAAABLVQAAAwAAAAAAEFfwbizw3giQm5WHLPDeCDZDSVEuTkFTREFROk1TRlQuSVFfT1RIRVJfRVFVSVRZLjk5MC4wMi8wOC8yMDI2Li4uVVNELkgBAAAAS1UAAAIAAAAEMTUzNwEIAAAABQAAAAExAQAAAAoxODk4NDg5NDcwAwAAAAMxNjACAAAABDEwMjgEAAAAATAHAAAACDgvMi8yMDI2CAAAAAk2LzMwLzIwMTYJAAAAATAQV/BuLPDeCP3ClYcs8N4INkNJUS5OQVNEQVE6TVNGVC5JUV9QUkVGX0NPTlZFUlQuOTkwLjAyLzA4LzIwMjYuLi5VU0QuSAEAAABLVQAAAwAAAAAAEFfwbizw3gj46ZWHLPDeCDdDSVEuTkFTREFROk1TRlQuSVFfVU5FQVJOX1JFVl9MVC45OTEuMDIvMDgvMjAyNi4uLlVTRC5IAQAAAEtVAAACAAAABDI2NDMBCAAAAAUAAAABMQEAAAAK</t>
  </si>
  <si>
    <t>MTk3MzM4MDk1MQMAAAADMTYwAgAAAAQxMjU2BAAAAAEwBwAAAAg4LzIvMjAyNggAAAAJNi8zMC8yMDE3CQAAAAEwEFfwbizw3gj46ZWHLPDeCD5DSVEuTkFTREFROk1TRlQuSVFfSU5DX1RBWF9QQVlfQ1VSUkVOVC4yMDAwLjAyLzA4LzIwMjYuLi5VU0QuSAEAAABLVQAAAgAAAAQyNTM0AQgAAAAFAAAAATEBAAAACy0xODgwMjI5MzIzAwAAAAMxNjACAAAABDEwOTQEAAAAATAHAAAACDgvMi8yMDI2CAAAAAk2LzMwLzIwMjYJAAAAATAQV/BuLPDeCP3ClYcs8N4ILENJUS5OQVNEQVE6TVNGVC5JUV9BRS45OTAuMDIvMDgvMjAyNi4uLlVTRC5IAQAAAEtVAAACAAAABDUyNjQBCAAAAAUAAAABMQEAAAAKMTg5ODQ4OTQ3MAMAAAADMTYwAgAAAAQxMDE2BAAAAAEwBwAAAAg4LzIvMjAyNggAAAAJNi8zMC8yMDE2CQAAAAEwEFfwbizw3gj9wpWHLPDeCC9DSVEuTkFTREFROk1TRlQuSVFfQVJfTFQuOTkxLjAyLzA4LzIwMjYuLi5VU0QuSAEAAABLVQAAAgAAAAQxNzAwAQgAAAAFAAAAATEBAAAACjE5NzMzODA5NTEDAAAAAzE2MAIAAAAEMTA4OAQAAAABMAcAAAAIOC8yLzIwMjYIAAAACTYvMzAvMjAxNwkAAAABMBBX8G4s8N4I/cKVhyzw3ggzQ0lRLk5BU0RBUTpNU0ZULklRX1RPVEFMX0NBLjIwMDAuMDIvMDgvMjAyNi4uLlVTRC5IAQAAAEtVAAACAAAABjIwNzcxMAEIAAAABQAAAAExAQAAAAstMTg4MDIyOTMy</t>
  </si>
  <si>
    <t>MwMAAAADMTYwAgAAAAQxMDA4BAAAAAEwBwAAAAg4LzIvMjAyNggAAAAJNi8zMC8yMDI2CQAAAAEwEFfwbizw3gj46ZWHLPDeCD9DSVEuTkFTREFROk1TRlQuSVFfRklOX0RJVl9MT0FOU19DVVJSRU5ULjk5MC4wMi8wOC8yMDI2Li4uVVNELkgBAAAAS1UAAAMAAAAAABBX8G4s8N4I+OmVhyzw3gg4Q0lRLk5BU0RBUTpNU0ZULklRX0NBU0hfU1RfSU5WRVNULjk5MC4wMi8wOC8yMDI2Li4uVVNELkgBAAAAS1UAAAIAAAAGMTEzMDQxAQgAAAAFAAAAATEBAAAACjE4OTg0ODk0NzADAAAAAzE2MAIAAAAEMTAwMgQAAAABMAcAAAAIOC8yLzIwMjYIAAAACTYvMzAvMjAxNgkAAAABMBBX8G4s8N4I/cKVhyzw3ghFQ0lRLk5BU0RBUTpNU0ZULklRX09QRVJBVElOR19MRUFTRV9MSUFCSUxJVElFUy45OTAuMDIvMDgvMjAyNi4uLlVTRC5IAQAAAEtVAAADAAAAAAAQV/BuLPDeCP3ClYcs8N4IN0NJUS5OQVNEQVE6TVNGVC5JUV9VTkxFVkVSRURfRkNGLjk5MC4wMi8wOC8yMDI2Li4uVVNELkgBAAAAS1UAAAIAAAAHMjExMTQuNQEIAAAABQAAAAExAQAAAAoxODk4NDg5NDcwAwAAAAMxNjACAAAABDQ0MjMEAAAAATAHAAAACDgvMi8yMDI2CAAAAAk2LzMwLzIwMTYJAAAAATAQV/BuLPDeCP3ClYcs8N4INENJUS5OQVNEQVE6TVNGVC5JUV9DQVNIX1RBWEVTLjk5MS4wMi8wOC8yMDI2Li4uVVNELkgBAAAAS1UAAAIAAAAE</t>
  </si>
  <si>
    <t>MjQwMAEIAAAABQAAAAExAQAAAAoxOTczMzgwOTUxAwAAAAMxNjACAAAABDMwNTMEAAAAATAHAAAACDgvMi8yMDI2CAAAAAk2LzMwLzIwMTcJAAAAATA5w0FvLPDeCBUelocs8N4IN0NJUS5OQVNEQVE6TVNGVC5JUV9BTU9SVF9ESUNfQ0YuMjAwMC4wMi8wOC8yMDI2Li4uVVNELkgBAAAAS1UAAAMAAAAAADnDQW8s8N4IFR6Whyzw3gg0Q0lRLk5BU0RBUTpNU0ZULklRX0RFUFJFX1NVUFAuOTkwLjAyLzA4LzIwMjYuLi5VU0QuSAEAAABLVQAAAgAAAAQ0OTAwAQgAAAAFAAAAATEBAAAACjE4OTg0ODk0NzADAAAAAzE2MAIAAAAEMjE0MwQAAAABMAcAAAAIOC8yLzIwMjYIAAAACTYvMzAvMjAxNgkAAAABMDnDQW8s8N4I+OmVhyzw3ghBQ0lRLk5BU0RBUTpNU0ZULklRX09USEVSX0ZJTkFOQ0VfQUNUX1NVUFBMLjk5MS4wMi8wOC8yMDI2Li4uVVNELkgBAAAAS1UAAAIAAAAELTE5MAEIAAAABQAAAAExAQAAAAoxOTczMzgwOTUxAwAAAAMxNjACAAAABDIwNTAEAAAAATAHAAAACDgvMi8yMDI2CAAAAAk2LzMwLzIwMTcJAAAAATA5w0FvLPDeCPjplYcs8N4INENJUS5OQVNEQVE6TVNGVC5JUV9DT01NT05fUkVQLjk5MC4wMi8wOC8yMDI2Li4uVVNELkgBAAAAS1UAAAIAAAAGLTE1OTY5AQgAAAAFAAAAATEBAAAACjE4OTg0ODk0NzADAAAAAzE2MAIAAAAEMjE2NAQAAAABMAcAAAAIOC8yLzIwMjYIAAAACTYvMzAv</t>
  </si>
  <si>
    <t>MjAxNgkAAAABMDnDQW8s8N4I+OmVhyzw3gg4Q0lRLk5BU0RBUTpNU0ZULklRX1NUX0RFQlRfSVNTVUVELjk5MC4wMi8wOC8yMDI2Li4uVVNELkgBAAAAS1UAAAIAAAAENzE5NQEIAAAABQAAAAExAQAAAAoxODk4NDg5NDcwAwAAAAMxNjACAAAABDIwNDMEAAAAATAHAAAACDgvMi8yMDI2CAAAAAk2LzMwLzIwMTYJAAAAATA5w0FvLPDeCBUelocs8N4IM0NJUS5OQVNEQVE6TVNGVC5JUV9ESVZFU1RfQ0YuOTkxLjAyLzA4LzIwMjYuLi5VU0QuSAEAAABLVQAAAwAAAAAAOcNBbyzw3ggVHpaHLPDeCDRDSVEuTkFTREFROk1TRlQuSVFfQ0hBTkdFX0FQLjIwMDAuMDIvMDgvMjAyNi4uLlVTRC5IAQAAAEtVAAACAAAABDUyNjgBCAAAAAUAAAABMQEAAAALLTE4ODAyMjkzMjMDAAAAAzE2MAIAAAAEMjAxNwQAAAABMAcAAAAIOC8yLzIwMjYIAAAACTYvMzAvMjAyNgkAAAABMDnDQW8s8N4I+OmVhyzw3gg7Q0lRLk5BU0RBUTpNU0ZULklRX1BST1ZfQkFEX0RFQlRTX0NGLjk5MC4wMi8wOC8yMDI2Li4uVVNELkgBAAAAS1UAAAMAAAAAADnDQW8s8N4I+OmVhyzw3gg4Q0lRLk5BU0RBUTpNU0ZULklRX0dBSU5fSU5WRVNUX0NGLjk5MS4wMi8wOC8yMDI2Li4uVVNELkgBAAAAS1UAAAIAAAAFLTIwNzMBCAAAAAUAAAABMQEAAAAKMTk3MzM4MDk1MQMAAAADMTYwAgAAAAQyMDkwBAAAAAEwBwAAAAg4LzIvMjAyNggAAAAJ</t>
  </si>
  <si>
    <t>Ni8zMC8yMDE3CQAAAAEwOcNBbyzw3gj46ZWHLPDeCDtDSVEuTkFTREFROk1TRlQuSVFfU1RPQ0tfQkFTRURfQ09NUC4yMDAwLjAyLzA4LzIwMjYuLi5VU0QuSAEAAABLVQAAAgAAAAUxMDMxNgA5w0FvLPDeCCVUlocs8N4IOkNJUS5OQVNEQVE6TVNGVC5JUV9SRVNUUl9TVE9DS19DT01QLjk5MC4wMi8wOC8yMDI2Li4uVVNELkgBAAAAS1UAAAMAAAAAADnDQW8s8N4IJVSWhyzw3gg5Q0lRLk5BU0RBUTpNU0ZULklRX1NUT0NLX0JBU0VEX1NHQS45OTAuMDIvMDgvMjAyNi4uLlVTRC5IAQAAAEtVAAADAAAAAAA5w0FvLPDeCBUelocs8N4IPkNJUS5OQVNEQVE6TVNGVC5JUV9MRUdBTF9TRVRUTEVfU1VQUExFLjIwMDAuMDIvMDgvMjAyNi4uLlVTRC5IAQAAAEtVAAADAAAAAAA5w0FvLPDeCBUelocs8N4IOENJUS5OQVNEQVE6TVNGVC5JUV9NRVJHRVJfU1VQUExFLjIwMDAuMDIvMDgvMjAyNi4uLlVTRC5IAQAAAEtVAAADAAAAAAA5w0FvLPDeCBUelocs8N4IRUNJUS5OQVNEQVE6TVNGVC5JUV9ERVBSRUNJQVRJT05fUkVOVEFMX0FTU0VUUy4yMDAwLjAyLzA4LzIwMjYuLi5VU0QuSAEAAABLVQAAAwAAAAAAOcNBbyzw3gglVJaHLPDeCDtDSVEuTkFTREFROk1TRlQuSVFfTkVUX1JFTlRBTF9FWFBfRk4uOTkxLjAyLzA4LzIwMjYuLi5VU0QuSAEAAABLVQAAAgAAAAQxNDEyAQgAAAAFAAAAATEBAAAACjE5NzMz</t>
  </si>
  <si>
    <t>ODA5NTEDAAAAAzE2MAIAAAAEMzE3MAQAAAABMAcAAAAIOC8yLzIwMjYIAAAACTYvMzAvMjAxNwkAAAABMDnDQW8s8N4Ig3uWhyzw3gg0Q0lRLk5BU0RBUTpNU0ZULklRX0NPTU1PTl9ESVYuOTkxLjAyLzA4LzIwMjYuLi5VU0QuSAEAAABLVQAAAgAAAAUxMjA0MAA5w0FvLPDeCBUelocs8N4IS0NJUS5OQVNEQVE6TVNGVC5JUV9JTlRFUkVTVF9FWFBfTEVBU0VfTElBQklMSVRZX0RFQlQuOTkxLjAyLzA4LzIwMjYuLi5VU0QuSAEAAABLVQAAAgAAAAI2OAEIAAAABQAAAAExAQAAAAoxOTczMzgwOTUxAwAAAAMxNjACAAAABTQ4OTA3BAAAAAEwBwAAAAg4LzIvMjAyNggAAAAJNi8zMC8yMDE3CQAAAAEwOcNBbyzw3ggVHpaHLPDeCDVDSVEuTkFTREFROk1TRlQuSVFfQ1VSUl9UQVhFUy4yMDAwLjAyLzA4LzIwMjYuLi5VU0QuSAEAAABLVQAAAgAAAAUxNzc2MQEIAAAABQAAAAExAQAAAAstMTg4MDIyOTMyMwMAAAADMTYwAgAAAAUzNTM4MwQAAAABMAcAAAAIOC8yLzIwMjYIAAAACTYvMzAvMjAyNgkAAAABMDnDQW8s8N4IJVSWhyzw3gg5Q0lRLk5BU0RBUTpNU0ZULklRX0lOVEVSRVNUX0lOQ09NRS45OTAuMDIvMDgvMjAyNi4uLlVTRC5IAQAAAEtVAAACAAAAAzkwMwEIAAAABQAAAAExAQAAAAoxODk4NDg5NDcwAwAAAAMxNjACAAAAAzIxMAQAAAABMAcAAAAIOC8yLzIwMjYIAAAACTYvMzAvMjAxNgkAAAAB</t>
  </si>
  <si>
    <t>MDnDQW8s8N4Ig3uWhyzw3gg2Q0lRLk5BU0RBUTpNU0ZULklRX0VCSVREQV9DQVBFWC45OTEuMDIvMDgvMjAyNi4uLlVTRC5IAQAAAEtVAAACAAAABTI5MDAyAQgAAAAFAAAAATEBAAAACjE5NzMzODA5NTEDAAAAAzE2MAIAAAAFMzUzNzkEAAAAATAHAAAACDgvMi8yMDI2CAAAAAk2LzMwLzIwMTcJAAAAATA5w0FvLPDeCIN7locs8N4IOENJUS5OQVNEQVE6TVNGVC5JUV9FQklUX0VYQ0xfU0JDLjIwMDAuMDIvMDgvMjAyNi4uLlVTRC5IAQAAAEtVAAACAAAABjE2NzY0MgEIAAAABQAAAAExAQAAAAstMTg4MDIyOTMyMwMAAAADMTYwAgAAAAUyNDEzNAQAAAABMAcAAAAIOC8yLzIwMjYIAAAACTYvMzAvMjAyNgkAAAABMDnDQW8s8N4IJVSWhyzw3gg/Q0lRLk5BU0RBUTpNU0ZULklRX0VCSVREQV9MRUFTRV9BREpVU1RFRC45OTAuMDIvMDgvMjAyNi4uLlVTRC5IAQAAAEtVAAACAAAABTMzMDY2AQgAAAAFAAAAATEBAAAACjE4OTg0ODk0NzADAAAAAzE2MAIAAAAFNDg5OTMEAAAAATAHAAAACDgvMi8yMDI2CAAAAAk2LzMwLzIwMTYJAAAAATA5w0FvLPDeCCVUlocs8N4INENJUS5OQVNEQVE6TVNGVC5JUV9ESVZfU0hBUkUuMjAwMC4wMi8wOC8yMDI2Li4uVVNELkgBAAAAS1UAAAIAAAAEMy42NAEIAAAABQAAAAExAQAAAAstMTg4MDIyOTMyMwMAAAADMTYwAgAAAAQzMDU4BAAAAAEwBwAAAAg4LzIvMjAyNggA</t>
  </si>
  <si>
    <t>AAAJNi8zMC8yMDI2CQAAAAEwM5xBbyzw3gglVJaHLPDeCDhDSVEuTkFTREFROk1TRlQuSVFfTklfQVZBSUxfRVhDTC4yMDAwLjAyLzA4LzIwMjYuLi5VU0QuSAEAAABLVQAAAgAAAAYxMzM3NDkBCAAAAAUAAAABMQEAAAALLTE4ODAyMjkzMjMDAAAAAzE2MAIAAAADMzc5BAAAAAEwBwAAAAg4LzIvMjAyNggAAAAJNi8zMC8yMDI2CQAAAAEwM5xBbyzw3gidopaHLPDeCC1DSVEuTkFTREFROk1TRlQuSVFfRE8uMjAwMC4wMi8wOC8yMDI2Li4uVVNELkgBAAAAS1UAAAMAAAAAADOcQW8s8N4InaKWhyzw3ggvQ0lRLk5BU0RBUTpNU0ZULklRX0lQUkQuMjAwMC4wMi8wOC8yMDI2Li4uVVNELkgBAAAAS1UAAAMAAAAAADOcQW8s8N4Ig3uWhyzw3ggyQ0lRLk5BU0RBUTpNU0ZULklRX0VCVF9FWENMLjk5MS4wMi8wOC8yMDI2Li4uVVNELkgBAAAAS1UAAAIAAAAFMjc4MTgBCAAAAAUAAAABMQEAAAAKMTk3MzM4MDk1MQMAAAADMTYwAgAAAAE0BAAAAAEwBwAAAAg4LzIvMjAyNggAAAAJNi8zMC8yMDE3CQAAAAEwM5xBbyzw3giDe5aHLPDeCDJDSVEuTkFTREFROk1TRlQuSVFfT1BFUl9JTkMuOTkxLjAyLzA4LzIwMjYuLi5VU0QuSAEAAABLVQAAAgAAAAUyOTMzMQEIAAAABQAAAAExAQAAAAoxOTczMzgwOTUxAwAAAAMxNjACAAAAAjIxBAAAAAEwBwAAAAg4LzIvMjAyNggAAAAJNi8zMC8yMDE3CQAAAAEwM5xBbyzw</t>
  </si>
  <si>
    <t>3giDe5aHLPDeCDdDSVEuTkFTREFROk1TRlQuSVFfUFJFX09QRU5fQ09TVC45OTEuMDIvMDgvMjAyNi4uLlVTRC5IAQAAAEtVAAADAAAAAAAznEFvLPDeCJ2ilocs8N4INUNJUS5OQVNEQVE6TVNGVC5JUV9GSU5fRElWX0VYUC45OTAuMDIvMDgvMjAyNi4uLlVTRC5IAQAAAEtVAAADAAAAAAAznEFvLPDeCJ2ilocs8N4INUNJUS5OQVNEQVE6TVNGVC5JUV9JTlNfRElWX1JFVi45OTAuMDIvMDgvMjAyNi4uLlVTRC5IAQAAAEtVAAADAAAAAAAznEFvLPDeCIN7locs8N4ILUNJUS5OQVNEQVE6TVNGVC5JUV9SRVYuOTk2LjAyLzA4LzIwMjYuLi5VU0QuSAEAAABLVQAAAgAAAAYxOTgyNzABCAAAAAUAAAABMQEAAAALLTE5ODU5MzEyMjQDAAAAAzE2MAIAAAADMTEyBAAAAAEwBwAAAAg4LzIvMjAyNggAAAAJNi8zMC8yMDIyCQAAAAEwM5xBbyzw3giDe5aHLPDeCDVDSVEuTkFTREFROk1TRlQuSVFfSU5TX0RJVl9SRVYuOTk4LjAyLzA4LzIwMjYuLi5VU0QuSAEAAABLVQAAAwAAAAAAM5xBbyzw3gidopaHLPDeCDVDSVEuTkFTREFROk1TRlQuSVFfSU5UX0lOVl9JTkMuOTk1LjAyLzA4LzIwMjYuLi5VU0QuSAEAAABLVQAAAwAAAAAAM5xBbyzw3giXyZaHLPDeCDNDSVEuTkFTREFROk1TRlQuSVFfVE9UQUxfUkVWLjk5Ny4wMi8wOC8yMDI2Li4uVVNELkgBAAAAS1UAAAIAAAAGMjExOTE1AQgAAAAFAAAAATEBAAAA</t>
  </si>
  <si>
    <t>Cy0xOTM0MjU0MjUwAwAAAAMxNjACAAAAAjI4BAAAAAEwBwAAAAg4LzIvMjAyNggAAAAJNi8zMC8yMDIzCQAAAAEwM5xBbyzw3giXyZaHLPDeCDVDSVEuTkFTREFROk1TRlQuSVFfSU5TX0RJVl9FWFAuOTk0LjAyLzA4LzIwMjYuLi5VU0QuSAEAAABLVQAAAwAAAAAAM5xBbyzw3gidopaHLPDeCCxDSVEuTkFTREFROk1TRlQuSVFfR1AuOTk2LjAyLzA4LzIwMjYuLi5VU0QuSAEAAABLVQAAAgAAAAYxMzU2MjABCAAAAAUAAAABMQEAAAALLTE5ODU5MzEyMjQDAAAAAzE2MAIAAAACMTAEAAAAATAHAAAACDgvMi8yMDI2CAAAAAk2LzMwLzIwMjIJAAAAATAznEFvLPDeCJ2ilocs8N4IN0NJUS5OQVNEQVE6TVNGVC5JUV9FWFBMT1JFX0RSSUxMLjk5OC4wMi8wOC8yMDI2Li4uVVNELkgBAAAAS1UAAAMAAAAAADOcQW8s8N4InaKWhyzw3gg3Q0lRLk5BU0RBUTpNU0ZULklRX1BSRV9PUEVOX0NPU1QuOTk1LjAyLzA4LzIwMjYuLi5VU0QuSAEAAABLVQAAAwAAAAAAM5xBbyzw3giXyZaHLPDeCDJDSVEuTkFTREFROk1TRlQuSVFfREFfU1VQUEwuOTk3LjAyLzA4LzIwMjYuLi5VU0QuSAEAAABLVQAAAwAAAAAAM5xBbyzw3giXyZaHLPDeCDRDSVEuTkFTREFROk1TRlQuSVFfT1RIRVJfT1BFUi45OTQuMDIvMDgvMjAyNi4uLlVTRC5IAQAAAEtVAAADAAAAAAAznEFvLPDeCJ2ilocs8N4IMkNJUS5OQVNEQVE6TVNGVC5J</t>
  </si>
  <si>
    <t>UV9PUEVSX0lOQy45OTYuMDIvMDgvMjAyNi4uLlVTRC5IAQAAAEtVAAACAAAABTgzMzgzAQgAAAAFAAAAATEBAAAACy0xOTg1OTMxMjI0AwAAAAMxNjACAAAAAjIxBAAAAAEwBwAAAAg4LzIvMjAyNggAAAAJNi8zMC8yMDIyCQAAAAEwM5xBbyzw3giXyZaHLPDeCD1DSVEuTkFTREFROk1TRlQuSVFfSU5URVJFU1RfSU5WRVNUX0lOQy45OTguMDIvMDgvMjAyNi4uLlVTRC5IAQAAAEtVAAACAAAABDMxNTcBCAAAAAUAAAABMQEAAAALLTE4ODAyMjk2OTQDAAAAAzE2MAIAAAACNjUEAAAAATAHAAAACDgvMi8yMDI2CAAAAAk2LzMwLzIwMjQJAAAAATAznEFvLPDeCJfJlocs8N4IN0NJUS5OQVNEQVE6TVNGVC5JUV9DVVJSRU5DWV9HQUlOLjk5NS4wMi8wOC8yMDI2Li4uVVNELkgBAAAAS1UAAAIAAAADMTMzAQgAAAAFAAAAATEBAAAACy0yMDM2ODQzODQzAwAAAAMxNjACAAAAAjM4BAAAAAEwBwAAAAg4LzIvMjAyNggAAAAJNi8zMC8yMDIxCQAAAAEwM5xBbyzw3gio8JaHLPDeCDJDSVEuTkFTREFROk1TRlQuSVFfRUJUX0VYQ0wuOTk3LjAyLzA4LzIwMjYuLi5VU0QuSAEAAABLVQAAAgAAAAU4OTY5NAEIAAAABQAAAAExAQAAAAstMTkzNDI1NDI1MAMAAAADMTYwAgAAAAE0BAAAAAEwBwAAAAg4LzIvMjAyNggAAAAJNi8zMC8yMDIzCQAAAAEwM5xBbyzw3gio8JaHLPDeCDdDSVEuTkFTREFROk1TRlQuSVFfSU1Q</t>
  </si>
  <si>
    <t>QUlSTUVOVF9HVy45OTUuMDIvMDgvMjAyNi4uLlVTRC5IAQAAAEtVAAADAAAAAAAznEFvLPDeCJfJlocs8N4IOUNJUS5OQVNEQVE6TVNGVC5JUV9BU1NFVF9XUklURURPV04uOTk0LjAyLzA4LzIwMjYuLi5VU0QuSAEAAABLVQAAAwAAAAAAM5xBbyzw3giXyZaHLPDeCDZDSVEuTkFTREFROk1TRlQuSVFfTEVHQUxfU0VUVExFLjk5NC4wMi8wOC8yMDI2Li4uVVNELkgBAAAAS1UAAAMAAAAAADOcQW8s8N4Il8mWhyzw3ggxQ0lRLk5BU0RBUTpNU0ZULklRX0lOQ19UQVguOTk1LjAyLzA4LzIwMjYuLi5VU0QuSAEAAABLVQAAAgAAAAQ5ODMxAQgAAAAFAAAAATEBAAAACy0yMDM2ODQzODQzAwAAAAMxNjACAAAAAjc1BAAAAAEwBwAAAAg4LzIvMjAyNggAAAAJNi8zMC8yMDIxCQAAAAEwM5xBbyzw3gio8JaHLPDeCCxDSVEuTkFTREFROk1TRlQuSVFfRE8uOTkzLjAyLzA4LzIwMjYuLi5VU0QuSAEAAABLVQAAAwAAAAAAM5xBbyzw3gio8JaHLPDeCCxDSVEuTkFTREFROk1TRlQuSVFfTkkuOTk5LjAyLzA4LzIwMjYuLi5VU0QuSAEAAABLVQAAAgAAAAYxMDE4MzIBCAAAAAUAAAABMQEAAAALLTE4ODAyMjk2ODYDAAAAAzE2MAIAAAACMTUEAAAAATAHAAAACDgvMi8yMDI2CAAAAAk2LzMwLzIwMjUJAAAAATAznEFvLPDeCJfJlocs8N4IN0NJUS5OQVNEQVE6TVNGVC5JUV9OSV9BVkFJTF9JTkNMLjk5Ny4wMi8wOC8y</t>
  </si>
  <si>
    <t>MDI2Li4uVVNELkgBAAAAS1UAAAIAAAAFNzIzNjEBCAAAAAUAAAABMQEAAAALLTE5MzQyNTQyNTADAAAAAzE2MAIAAAACMTYEAAAAATAHAAAACDgvMi8yMDI2CAAAAAk2LzMwLzIwMjMJAAAAATAznEFvLPDeCKjwlocs8N4IOUNJUS5OQVNEQVE6TVNGVC5JUV9ESUxVVF9FUFNfSU5DTC4xMDAwLjAyLzA4LzIwMjYuLi5VU0QuSAEAAABLVQAAAgAAAAUxNy45NQEIAAAABQAAAAExAQAAAAstMTg4MDIyOTY2NQMAAAADMTYwAgAAAAE4BAAAAAEwBwAAAAg4LzIvMjAyNggAAAAJNi8zMC8yMDI2CQAAAAEwM5xBbyzw3gio8JaHLPDeCDJDSVEuTkFTREFROk1TRlQuSVFfRVBTX05PUk0uOTk1LjAyLzA4LzIwMjYuLi5VU0QuSAEAAABLVQAAAgAAAAg1Ljc4NjIzOQEIAAAABQAAAAExAQAAAAstMjAzNjg0Mzg0MwMAAAADMTYwAgAAAAQ0Mzc5BAAAAAEwBwAAAAg4LzIvMjAyNggAAAAJNi8zMC8yMDIxCQAAAAEwM5xBbyzw3gjRF5eHLPDeCDpDSVEuTkFTREFROk1TRlQuSVFfVE9UQUxfUkVWX1NIQVJFLjEwMDAuMDIvMDgvMjAyNi4uLlVTRC5IAQAAAEtVAAACAAAACTQ0LjY2ODA1NwEIAAAABQAAAAExAQAAAAstMTg4MDIyOTY2NQMAAAADMTYwAgAAAAQ0MzgyBAAAAAEwBwAAAAg4LzIvMjAyNggAAAAJNi8zMC8yMDI2CQAAAAEwM5xBbyzw3gjRF5eHLPDeCDBDSVEuTkFTREFROk1TRlQuSVFfRUJJVERBLjk5Ny4w</t>
  </si>
  <si>
    <t>Mi8wOC8yMDI2Li4uVVNELkgBAAAAS1UAAAIAAAAGMTAyMDIzAQgAAAAFAAAAATEBAAAACy0xOTM0MjU0MjUwAwAAAAMxNjACAAAABDQwNTEEAAAAATAHAAAACDgvMi8yMDI2CAAAAAk2LzMwLzIwMjMJAAAAATAznEFvLPDeCKjwlocs8N4IOUNJUS5OQVNEQVE6TVNGVC5JUV9FQklUREFfRVhDTF9TQkMuOTk1LjAyLzA4LzIwMjYuLi5VU0QuSAEAAABLVQAAAgAAAAU4NjkzNAEIAAAABQAAAAExAQAAAAstMjAzNjg0Mzg0MwMAAAADMTYwAgAAAAUyNDEzNQQAAAABMAcAAAAIOC8yLzIwMjYIAAAACTYvMzAvMjAyMQkAAAABMDOcQW8s8N4IqPCWhyzw3gg1Q0lRLk5BU0RBUTpNU0ZULklRX0VCSVRfRVFfSU5DLjk5NC4wMi8wOC8yMDI2Li4uVVNELkgBAAAAS1UAAAIAAAAFNTI5NTkBCAAAAAUAAAABMQEAAAALLTIwODc0OTY2MjcDAAAAAzE2MAIAAAAFMjE2NzUEAAAAATAHAAAACDgvMi8yMDI2CAAAAAk2LzMwLzIwMjAJAAAAATAznEFvLPDeCKjwlocs8N4IL0NJUS5OQVNEQVE6TVNGVC5JUV9FQklUQS45OTkuMDIvMDgvMjAyNi4uLlVTRC5IAQAAAEtVAAACAAAABjEzNDUyOAEIAAAABQAAAAExAQAAAAstMTg4MDIyOTY4NgMAAAADMTYwAgAAAAYxMDA2ODkEAAAAATAHAAAACDgvMi8yMDI2CAAAAAk2LzMwLzIwMjUJAAAAATAznEFvLPDeCNEXl4cs8N4IMUNJUS5OQVNEQVE6TVNGVC5JUV9FQklUREFSLjk5</t>
  </si>
  <si>
    <t>OC4wMi8wOC8yMDI2Li4uVVNELkgBAAAAS1UAAAIAAAAGMTMyOTg4AQgAAAAFAAAAATEBAAAACy0xODgwMjI5Njk0AwAAAAMxNjACAAAABTIxNjc0BAAAAAEwBwAAAAg4LzIvMjAyNggAAAAJNi8zMC8yMDI0CQAAAAEwM5xBbyzw3gjRF5eHLPDeCDtDSVEuTkFTREFROk1TRlQuSVFfRkVFU19PVEhFUl9JTkNPTUUuOTkyLjAyLzA4LzIwMjYuLi5VU0QuSAEAAABLVQAAAwAAAAAAM5xBbyzw3gio8JaHLPDeCExDSVEuTkFTREFROk1TRlQuSVFfUFJPVl9CQURfREVCVFNfUEFUSUVOVF9TRVJWSUNFX1JFVi45OTkuMDIvMDgvMjAyNi4uLlVTRC5IAQAAAEtVAAADAAAAAAAznEFvLPDeCNEXl4cs8N4IQUNJUS5OQVNEQVE6TVNGVC5JUV9FWENJU0VfVEFYRVNfSU5DTF9TQUxFUy45OTMuMDIvMDgvMjAyNi4uLlVTRC5IAQAAAEtVAAADAAAAAAAznEFvLPDeCNEXl4cs8N4IQUNJUS5OQVNEQVE6TVNGVC5JUV9ERUZFUlJFRF9ET01FU1RJQ19UQVhFUy45OTMuMDIvMDgvMjAyNi4uLlVTRC5IAQAAAEtVAAACAAAABS02NjU3AQgAAAAFAAAAATEBAAAACy0yMTQwOTgxNDY5AwAAAAMxNjACAAAABDMwNTQEAAAAATAHAAAACDgvMi8yMDI2CAAAAAk2LzMwLzIwMTkJAAAAATAznEFvLPDeCNEXl4cs8N4IM0NJUS5OQVNEQVE6TVNGVC5JUV9ESUxVVF9OSS4xMDAwLjAyLzA4LzIwMjYuLi5VU0QuSAEAAABLVQAAAgAAAAkx</t>
  </si>
  <si>
    <t>MzM3ODEuMzUBCAAAAAUAAAABMQEAAAALLTE4ODAyMjk2NjUDAAAAAzE2MAIAAAAEMzUyMgQAAAABMAcAAAAIOC8yLzIwMjYIAAAACTYvMzAvMjAyNgkAAAABMDOcQW8s8N4IKD+Xhyzw3gg6Q0lRLk5BU0RBUTpNU0ZULklRX0lOVF9FWFBfSU5DTF9DQVAuOTk2LjAyLzA4LzIwMjYuLi5VU0QuSAEAAABLVQAAAgAAAAQyMDQ3AQgAAAAFAAAAATEBAAAACy0xOTg1OTMxMjI0AwAAAAMxNjACAAAABTIxODYxBAAAAAEwBwAAAAg4LzIvMjAyNggAAAAJNi8zMC8yMDIyCQAAAAEwM5xBbyzw3gjRF5eHLPDeCEBDSVEuTkFTREFROk1TRlQuSVFfQU5OVV9ESVNUUklCVVRJT05fVU5JVC45OTcuMDIvMDgvMjAyNi4uLlVTRC5IAQAAAEtVAAADAAAAAAAznEFvLPDeCNEXl4cs8N4IOUNJUS5OQVNEQVE6TVNGVC5JUV9TQUxFU19NQVJLRVRJTkcuOTk3LjAyLzA4LzIwMjYuLi5VU0QuSAEAAABLVQAAAgAAAAUyMjc1OQEIAAAABQAAAAExAQAAAAstMTkzNDI1NDI1MAMAAAADMTYwAgAAAAUyMTU2MQQAAAABMAcAAAAIOC8yLzIwMjYIAAAACTYvMzAvMjAyMwkAAAABMDOcQW8s8N4I0ReXhyzw3gg7Q0lRLk5BU0RBUTpNU0ZULklRX0NPTlRJTkdFTlRfUkVOVEFMLjk5NC4wMi8wOC8yMDI2Li4uVVNELkgBAAAAS1UAAAMAAAAAADOcQW8s8N4IKD+Xhyzw3ghEQ0lRLk5BU0RBUTpNU0ZULklRX0RFUFJFQ0lBVElPTl9SRU5U</t>
  </si>
  <si>
    <t>QUxfQVNTRVRTLjk5OC4wMi8wOC8yMDI2Li4uVVNELkgBAAAAS1UAAAMAAAAAADOcQW8s8N4IKD+Xhyzw3gg8Q0lRLk5BU0RBUTpNU0ZULklRX1JFU1RSVUNUVVJFX1NVUFBMRS45OTkuMDIvMDgvMjAyNi4uLlVTRC5IAQAAAEtVAAADAAAAAAAznEFvLPDeCNEXl4cs8N4IO0NJUS5OQVNEQVE6TVNGVC5JUV9JTlNfU0VUVExFX1NVUFBMRS45OTcuMDIvMDgvMjAyNi4uLlVTRC5IAQAAAEtVAAADAAAAAAAznEFvLPDeCNEXl4cs8N4IOUNJUS5OQVNEQVE6TVNGVC5JUV9TVE9DS19CQVNFRF9TR0EuOTkzLjAyLzA4LzIwMjYuLi5VU0QuSAEAAABLVQAAAwAAAAAAM5xBbyzw3gjRF5eHLPDeCEFDSVEuTkFTREFROk1TRlQuSVFfU1RPQ0tfQkFTRURfQ09NUF9QUkVUQVguOTkyLjAyLzA4LzIwMjYuLi5VU0QuSAEAAABLVQAAAgAAAAQzOTQwADOcQW8s8N4IKD+Xhyzw3ggyQ0lRLk5BU0RBUTpNU0ZULklRX0xPQU5TX0NGLjk5OC4wMi8wOC8yMDI2Li4uVVNELkgBAAAAS1UAAAMAAAAAADOcQW8s8N4IKD+Xhyzw3ggsQ0lRLk5BU0RBUTpNU0ZULklRX0ZYLjk5OC4wMi8wOC8yMDI2Li4uVVNELkgBAAAAS1UAAAIAAAAELTIxMAEIAAAABQAAAAExAQAAAAstMTg4MDIyOTY5NAMAAAADMTYwAgAAAAQyMTQ0BAAAAAEwBwAAAAg4LzIvMjAyNggAAAAJNi8zMC8yMDI0CQAAAAEwM5xBbyzw3ggoP5eHLPDeCC5DSVEuTkFT</t>
  </si>
  <si>
    <t>REFROk1TRlQuSVFfRElMVVRfV0VJR0hULjk5MC4wMi8wOC8yMDI2AQAAAEtVAAACAAAABDgwMTMAM5xBbyzw3ghQbeKHLPDeCDNDSVEuTkFTREFROk1TRlQuSVFfSU5UQU5fTkVULjk5MC4wMi8wOC8yMDI2Li4uVVNELkgBAAAAS1UAAAMAAAAAADOcQW8s8N4IKD+Xhyzw3ghCQ0lRLk5BU0RBUTpNU0ZULklRX0FDQ1VNX0FNT1JUX0lOVEFOX0FTU0VUUy45OTEuMDIvMDgvMjAyNi4uLlVTRC5IAQAAAEtVAAACAAAABS02NTYxAQgAAAAFAAAAATEBAAAACjE5NzMzODA5NTEDAAAAAzE2MAIAAAAFMjQzMzEEAAAAATAHAAAACDgvMi8yMDI2CAAAAAk2LzMwLzIwMTcJAAAAATAznEFvLPDeCDtml4cs8N4IPkNJUS5OQVNEQVE6TVNGVC5JUV9TVF9ERUJUX0RFUklWQVRJVkVTLjIwMDAuMDIvMDgvMjAyNi4uLlVTRC5IAQAAAEtVAAADAAAAAAAznEFvLPDeCDtml4cs8N4IRUNJUS5OQVNEQVE6TVNGVC5JUV9SRVNUUklDVEVEX0NBU0hfTk9OX0NVUlJFTlQuOTkxLjAyLzA4LzIwMjYuLi5VU0QuSAEAAABLVQAAAwAAAAAAM5xBbyzw3ggoP5eHLPDeCEpDSVEuTkFTREFROk1TRlQuSVFfRkFJUl9WQUxVRV9DSEFOR0VfSU5DTF9FQVJOSU5HUy4yMDAwLjAyLzA4LzIwMjYuLi5VU0QuSAEAAABLVQAAAwAAAAAAM5xBbyzw3ggoP5eHLPDeCDlDSVEuTkFTREFROk1TRlQuSVFfQVNTRVRTX0xFVkVMXzMuMjAwMC4wMi8w</t>
  </si>
  <si>
    <t>OC8yMDI2Li4uVVNELkgBAAAAS1UAAAIAAAAEMTgzNwAznEFvLPDeCCg/l4cs8N4ISENJUS5OQVNEQVE6TVNGVC5JUV9UT1RBTF9HRU5FUkFMX1BBUlRORVJfSU5URVJFU1QuOTkwLjAyLzA4LzIwMjYuLi5VU0QuSAEAAABLVQAAAwAAAAAAM5xBbyzw3gg7ZpeHLPDeCEVDSVEuTkFTREFROk1TRlQuSVFfRklOX0RJVl9NSU5PUklUWV9JTlRfUkVERUVNLjk5MC4wMi8wOC8yMDI2Li4uVVNELkgBAAAAS1UAAAMAAAAAADOcQW8s8N4IO2aXhyzw3gg0Q0lRLk5BU0RBUTpNU0ZULklRX09USEVSX0lOVi4yMDAwLjAyLzA4LzIwMjYuLi5VU0QuSAEAAABLVQAAAwAAAAAAM5xBbyzw3ggoP5eHLPDeCDdDSVEuTkFTREFROk1TRlQuSVFfRVFVSVRZX01FVEhPRC45OTAuMDIvMDgvMjAyNi4uLlVTRC5IAQAAAEtVAAADAAAAAAAznEFvLPDeCCg/l4cs8N4IQENJUS5OQVNEQVE6TVNGVC5JUV9UT1RBTF9ERUJUX05PTl9DVVJSRU5ULjk5MS4wMi8wOC8yMDI2Li4uVVNELkgBAAAAS1UAAAIAAAAFODM4NzABCAAAAAUAAAABMQEAAAAKMTk3MzM4MDk1MQMAAAADMTYwAgAAAAUyNTIyNAQAAAABMAcAAAAIOC8yLzIwMjYIAAAACTYvMzAvMjAxNwkAAAABMDOcQW8s8N4IKD+Xhyzw3ggzQ0lRLk5BU0RBUTpNU0ZULklRX0JWX1NIQVJFLjIwMDAuMDIvMDgvMjAyNi4uLlVTRC5IAQAAAEtVAAACAAAACTU5LjU2NDY5NgEIAAAA</t>
  </si>
  <si>
    <t>BQAAAAExAQAAAAstMTg4MDIyOTMyMwMAAAADMTYwAgAAAAQ0MDIwBAAAAAEwBwAAAAg4LzIvMjAyNggAAAAJNi8zMC8yMDI2CQAAAAEwM5xBbyzw3gg7ZpeHLPDeCExDSVEuTkFTREFROk1TRlQuSVFfTFRfUE9SVElPTl9PUEVSX0xFQVNFX0xJQUJJTElUSUVTLjIwMDAuMDIvMDgvMjAyNi4uLlVTRC5IAQAAAEtVAAACAAAABTE2NTMyAQgAAAAFAAAAATEBAAAACy0xODgwMjI5MzIzAwAAAAMxNjACAAAABTQ4MzgzBAAAAAEwBwAAAAg4LzIvMjAyNggAAAAJNi8zMC8yMDI2CQAAAAEwM5xBbyzw3gg7ZpeHLPDeCEBDSVEuTkFTREFROk1TRlQuSVFfR1BQRV9FWENMX09QRVJfTEVBU0VTLjIwMDAuMDIvMDgvMjAyNi4uLlVTRC5IAQAAAEtVAAACAAAABjQzMTc2NwEIAAAABQAAAAExAQAAAAstMTg4MDIyOTMyMwMAAAADMTYwAgAAAAU0ODk3NAQAAAABMAcAAAAIOC8yLzIwMjYIAAAACTYvMzAvMjAyNgkAAAABMDOcQW8s8N4IO2aXhyzw3ggxQ0lRLk5BU0RBUTpNU0ZULklRX1JVQV9ORVQuOTkxLjAyLzA4LzIwMjYuLi5VU0QuSAEAAABLVQAAAwAAAAAAM5xBbyzw3gg7ZpeHLPDeCDZDSVEuTkFTREFROk1TRlQuSVFfT1RIRVJfRVFVSVRZLjk5MS4wMi8wOC8yMDI2Li4uVVNELkgBAAAAS1UAAAIAAAADNjI3AQgAAAAFAAAAATEBAAAACjE5NzMzODA5NTEDAAAAAzE2MAIAAAAEMTAyOAQAAAABMAcAAAAIOC8y</t>
  </si>
  <si>
    <t>LzIwMjYIAAAACTYvMzAvMjAxNwkAAAABMDOcQW8s8N4IO2aXhyzw3gg2Q0lRLk5BU0RBUTpNU0ZULklRX1BSRUZfQ09OVkVSVC45OTEuMDIvMDgvMjAyNi4uLlVTRC5IAQAAAEtVAAADAAAAAAAznEFvLPDeCEONl4cs8N4IOUNJUS5OQVNEQVE6TVNGVC5JUV9GSU5fRElWX0xJQUJfTFQuOTkwLjAyLzA4LzIwMjYuLi5VU0QuSAEAAABLVQAAAwAAAAAAM5xBbyzw3ghDjZeHLPDeCDxDSVEuTkFTREFROk1TRlQuSVFfVU5FQVJOX1JFVl9DVVJSRU5ULjk5MC4wMi8wOC8yMDI2Li4uVVNELkgBAAAAS1UAAAIAAAAFMjc0NjgBCAAAAAUAAAABMQEAAAAKMTg5ODQ4OTQ3MAMAAAADMTYwAgAAAAQxMDc0BAAAAAEwBwAAAAg4LzIvMjAyNggAAAAJNi8zMC8yMDE2CQAAAAEwM5xBbyzw3gg7ZpeHLPDeCCxDSVEuTkFTREFROk1TRlQuSVFfQUUuOTkxLjAyLzA4LzIwMjYuLi5VU0QuSAEAAABLVQAAAgAAAAQ1ODE5AQgAAAAFAAAAATEBAAAACjE5NzMzODA5NTEDAAAAAzE2MAIAAAAEMTAxNgQAAAABMAcAAAAIOC8yLzIwMjYIAAAACTYvMzAvMjAxNwkAAAABMDOcQW8s8N4IO2aXhyzw3gg7Q0lRLk5BU0RBUTpNU0ZULklRX0ZJTl9ESVZfTE9BTlNfTFQuMjAwMC4wMi8wOC8yMDI2Li4uVVNELkgBAAAAS1UAAAMAAAAAADOcQW8s8N4IO2aXhyzw3gguQ0lRLk5BU0RBUTpNU0ZULklRX0dQUEUuOTkwLjAyLzA4LzIwMjYu</t>
  </si>
  <si>
    <t>Li5VU0QuSAEAAABLVQAAAgAAAAUzODE1NgEIAAAABQAAAAExAQAAAAoxODk4NDg5NDcwAwAAAAMxNjACAAAABDExNjkEAAAAATAHAAAACDgvMi8yMDI2CAAAAAk2LzMwLzIwMTYJAAAAATAznEFvLPDeCEONl4cs8N4IP0NJUS5OQVNEQVE6TVNGVC5JUV9GSU5fRElWX0xPQU5TX0NVUlJFTlQuOTkxLjAyLzA4LzIwMjYuLi5VU0QuSAEAAABLVQAAAwAAAAAAM5xBbyzw3ghDjZeHLPDeCDRDSVEuTkFTREFROk1TRlQuSVFfU1RfSU5WRVNULjIwMDAuMDIvMDgvMjAyNi4uLlVTRC5IAQAAAEtVAAACAAAABTU1NzE2AQgAAAAFAAAAATEBAAAACy0xODgwMjI5MzIzAwAAAAMxNjACAAAABDEwNjkEAAAAATAHAAAACDgvMi8yMDI2CAAAAAk2LzMwLzIwMjYJAAAAATAznEFvLPDeCDtml4cs8N4IRUNJUS5OQVNEQVE6TVNGVC5JUV9PUEVSQVRJTkdfTEVBU0VfTElBQklMSVRJRVMuOTkxLjAyLzA4LzIwMjYuLi5VU0QuSAEAAABLVQAAAwAAAAAAM5xBbyzw3ghDjZeHLPDeCDdDSVEuTkFTREFROk1TRlQuSVFfVU5MRVZFUkVEX0ZDRi45OTEuMDIvMDgvMjAyNi4uLlVTRC5IAQAAAEtVAAACAAAACTE2MDQ2Ljg3NQEIAAAABQAAAAExAQAAAAoxOTczMzgwOTUxAwAAAAMxNjACAAAABDQ0MjMEAAAAATAHAAAACDgvMi8yMDI2CAAAAAk2LzMwLzIwMTcJAAAAATAznEFvLPDeCEONl4cs8N4IPUNJUS5OQVNEQVE6TVNGVC5J</t>
  </si>
  <si>
    <t>UV9DQVNIX0lOVEVSRVNUX0ZJTkFOLjk5MC4wMi8wOC8yMDI2Li4uVVNELkgBAAAAS1UAAAMAAAAAADOcQW8s8N4IQbSXhyzw3ghCQ0lRLk5BU0RBUTpNU0ZULklRX0FNT1JUX1NPRlRXQVJFX0FTU0VUU19DRi45OTAuMDIvMDgvMjAyNi4uLlVTRC5IAQAAAEtVAAACAAAAAjY5AQgAAAAFAAAAATEBAAAACjE4OTg0ODk0NzADAAAAAzE2MAIAAAAFNDYwMTEEAAAAATAHAAAACDgvMi8yMDI2CAAAAAk2LzMwLzIwMTYJAAAAATAznEFvLPDeCEG0l4cs8N4INENJUS5OQVNEQVE6TVNGVC5JUV9ERVBSRV9TVVBQLjk5MS4wMi8wOC8yMDI2Li4uVVNELkgBAAAAS1UAAAIAAAAENjEwMAEIAAAABQAAAAExAQAAAAoxOTczMzgwOTUxAwAAAAMxNjACAAAABDIxNDMEAAAAATAHAAAACDgvMi8yMDI2CAAAAAk2LzMwLzIwMTcJAAAAATAznEFvLPDeCEONl4cs8N4IOENJUS5OQVNEQVE6TVNGVC5JUV9TUEVDSUFMX0RJVl9DRi45OTEuMDIvMDgvMjAyNi4uLlVTRC5IAQAAAEtVAAADAAAAAAAznEFvLPDeCEONl4cs8N4INENJUS5OQVNEQVE6TVNGVC5JUV9DT01NT05fUkVQLjk5MS4wMi8wOC8yMDI2Li4uVVNELkgBAAAAS1UAAAIAAAAGLTExNzg4AQgAAAAFAAAAATEBAAAACjE5NzMzODA5NTEDAAAAAzE2MAIAAAAEMjE2NAQAAAABMAcAAAAIOC8yLzIwMjYIAAAACTYvMzAvMjAxNwkAAAABMDOcQW8s8N4IQ42Xhyzw3gg4</t>
  </si>
  <si>
    <t>Q0lRLk5BU0RBUTpNU0ZULklRX1NUX0RFQlRfSVNTVUVELjk5MS4wMi8wOC8yMDI2Li4uVVNELkgBAAAAS1UAAAMAAAAAADOcQW8s8N4IQbSXhyzw3gg5Q0lRLk5BU0RBUTpNU0ZULklRX0NBU0hfQUNRVUlSRV9DRi45OTAuMDIvMDgvMjAyNi4uLlVTRC5IAQAAAEtVAAACAAAABS0xMzkzAQgAAAAFAAAAATEBAAAACjE4OTg0ODk0NzADAAAAAzE2MAIAAAAEMjA1NwQAAAABMAcAAAAIOC8yLzIwMjYIAAAACTYvMzAvMjAxNgkAAAABMDOcQW8s8N4IZtuXhyzw3gg7Q0lRLk5BU0RBUTpNU0ZULklRX0NIQU5HRV9VTkVBUk5fUkVWLjk5MC4wMi8wOC8yMDI2Li4uVVNELkgBAAAAS1UAAAIAAAAEMjU2NQEIAAAABQAAAAExAQAAAAoxODk4NDg5NDcwAwAAAAMxNjACAAAABDIxMzkEAAAAATAHAAAACDgvMi8yMDI2CAAAAAk2LzMwLzIwMTYJAAAAATAznEFvLPDeCEONl4cs8N4IO0NJUS5OQVNEQVE6TVNGVC5JUV9QUk9WX0JBRF9ERUJUU19DRi45OTEuMDIvMDgvMjAyNi4uLlVTRC5IAQAAAEtVAAADAAAAAAAznEFvLPDeCEG0l4cs8N4IP0NJUS5OQVNEQVE6TVNGVC5JUV9NSU5PUklUWV9JTlRFUkVTVF9DRi4yMDAwLjAyLzA4LzIwMjYuLi5VU0QuSAEAAABLVQAAAwAAAAAAM5xBbyzw3ghBtJeHLPDeCC9DSVEuTkFTREFROk1TRlQuSVFfTklfQ0YuOTkwLjAyLzA4LzIwMjYuLi5VU0QuSAEAAABLVQAAAgAAAAUy</t>
  </si>
  <si>
    <t>MDUzOQEIAAAABQAAAAExAQAAAAoxODk4NDg5NDcwAwAAAAMxNjACAAAABDIxNTAEAAAAATAHAAAACDgvMi8yMDI2CAAAAAk2LzMwLzIwMTYJAAAAATAznEFvLPDeCGbbl4cs8N4IOkNJUS5OQVNEQVE6TVNGVC5JUV9SRVNUUl9TVE9DS19DT01QLjk5MS4wMi8wOC8yMDI2Li4uVVNELkgBAAAAS1UAAAMAAAAAADOcQW8s8N4IZtuXhyzw3gg5Q0lRLk5BU0RBUTpNU0ZULklRX1NUT0NLX0JBU0VEX1NNLjIwMDAuMDIvMDgvMjAyNi4uLlVTRC5IAQAAAEtVAAADAAAAAAAznEFvLPDeCEG0l4cs8N4IPkNJUS5OQVNEQVE6TVNGVC5JUV9PVEhFUl9VTlVTVUFMX1NVUFBMRS45OTAuMDIvMDgvMjAyNi4uLlVTRC5IAQAAAEtVAAADAAAAAAAznEFvLPDeCEG0l4cs8N4IPkNJUS5OQVNEQVE6TVNGVC5JUV9JTVBBSVJNRU5UX0dXX1NVUFBMRS45OTAuMDIvMDgvMjAyNi4uLlVTRC5IAQAAAEtVAAADAAAAAAAznEFvLPDeCEG0l4cs8N4IOENJUS5OQVNEQVE6TVNGVC5JUV9BSVJDUkFGVF9SRU5ULjIwMDAuMDIvMDgvMjAyNi4uLlVTRC5IAQAAAEtVAAADAAAAAAAznEFvLPDeCHgCmIcs8N4INENJUS5OQVNEQVE6TVNGVC5JUV9SRF9FWFBfRk4uMjAwMC4wMi8wOC8yMDI2Li4uVVNELkgBAAAAS1UAAAIAAAAFMzU1NjIBCAAAAAUAAAABMQEAAAALLTE4ODAyMjkzMjMDAAAAAzE2MAIAAAAEMzE2OAQAAAABMAcAAAAIOC8y</t>
  </si>
  <si>
    <t>LzIwMjYIAAAACTYvMzAvMjAyNgkAAAABMDOcQW8s8N4IeAKYhyzw3ghBQ0lRLk5BU0RBUTpNU0ZULklRX0FOTlVfRElTVFJJQlVUSU9OX1VOSVQuMjAwMC4wMi8wOC8yMDI2Li4uVVNELkgBAAAAS1UAAAMAAAAAADOcQW8s8N4IZtuXhyzw3gg/Q0lRLk5BU0RBUTpNU0ZULklRX0NBUElUQUxJWkVEX0lOVEVSRVNULjIwMDAuMDIvMDgvMjAyNi4uLlVTRC5IAQAAAEtVAAADAAAAAAAznEFvLPDeCGbbl4cs8N4IQUNJUS5OQVNEQVE6TVNGVC5JUV9ERUZFUlJFRF9ET01FU1RJQ19UQVhFUy45OTAuMDIvMDgvMjAyNi4uLlVTRC5IAQAAAEtVAAACAAAABDIwMzABCAAAAAUAAAABMQEAAAAKMTg5ODQ4OTQ3MAMAAAADMTYwAgAAAAQzMDU0BAAAAAEwBwAAAAg4LzIvMjAyNggAAAAJNi8zMC8yMDE2CQAAAAEwM5xBbyzw3ghm25eHLPDeCDlDSVEuTkFTREFROk1TRlQuSVFfSU5URVJFU1RfSU5DT01FLjk5MS4wMi8wOC8yMDI2Li4uVVNELkgBAAAAS1UAAAIAAAAEMTM4NwEIAAAABQAAAAExAQAAAAoxOTczMzgwOTUxAwAAAAMxNjACAAAAAzIxMAQAAAABMAcAAAAIOC8yLzIwMjYIAAAACTYvMzAvMjAxNwkAAAABMDOcQW8s8N4IiCmYhyzw3gg6Q0lRLk5BU0RBUTpNU0ZULklRX0VCSVREQVJfRVhDTF9TQkMuOTkwLjAyLzA4LzIwMjYuLi5VU0QuSAEAAABLVQAAAgAAAAUzNjY3MAEIAAAABQAAAAExAQAAAAoxODk4</t>
  </si>
  <si>
    <t>NDg5NDcwAwAAAAMxNjACAAAABTI0MTM3BAAAAAEwBwAAAAg4LzIvMjAyNggAAAAJNi8zMC8yMDE2CQAAAAEwM5xBbyzw3giIKZiHLPDeCC9DSVEuTkFTREFROk1TRlQuSVFfRUJJVEEuOTkwLjAyLzA4LzIwMjYuLi5VU0QuSAEAAABLVQAAAgAAAAUyODE2NgEIAAAABQAAAAExAQAAAAoxODk4NDg5NDcwAwAAAAMxNjACAAAABjEwMDY4OQQAAAABMAcAAAAIOC8yLzIwMjYIAAAACTYvMzAvMjAxNgkAAAABMDOcQW8s8N4IZtuXhyzw3gg/Q0lRLk5BU0RBUTpNU0ZULklRX0VCSVREQV9MRUFTRV9BREpVU1RFRC45OTEuMDIvMDgvMjAyNi4uLlVTRC5IAQAAAEtVAAACAAAABTM4NTQzAQgAAAAFAAAAATEBAAAACjE5NzMzODA5NTEDAAAAAzE2MAIAAAAFNDg5OTMEAAAAATAHAAAACDgvMi8yMDI2CAAAAAk2LzMwLzIwMTcJAAAAATAznEFvLPDeCHgCmIcs8N4IM0NJUS5OQVNEQVE6TVNGVC5JUV9ESVZfU0hBUkUuOTkwLjAyLzA4LzIwMjYuLi5VU0QuSAEAAABLVQAAAgAAAAQxLjQ0AQgAAAAFAAAAATEBAAAACjE4OTg0ODk0NzADAAAAAzE2MAIAAAAEMzA1OAQAAAABMAcAAAAIOC8yLzIwMjYIAAAACTYvMzAvMjAxNgkAAAABMDOcQW8s8N4IeAKYhyzw3gg4Q0lRLk5BU0RBUTpNU0ZULklRX0JBU0lDX0VQU19JTkNMLjk5MC4wMi8wOC8yMDI2Li4uVVNELkgBAAAAS1UAAAIAAAAIMi41OTE2NzEBCAAAAAUAAAAB</t>
  </si>
  <si>
    <t>MQEAAAAKMTg5ODQ4OTQ3MAMAAAADMTYwAgAAAAE5BAAAAAEwBwAAAAg4LzIvMjAyNggAAAAJNi8zMC8yMDE2CQAAAAEwM5xBbyzw3giIKZiHLPDeCDlDSVEuTkFTREFROk1TRlQuSVFfRVhUUkFfQUNDX0lURU1TLjk5MC4wMi8wOC8yMDI2Li4uVVNELkgBAAAAS1UAAAMAAAAAADOcQW8s8N4IiCmYhyzw3gg6Q0lRLk5BU0RBUTpNU0ZULklRX0FTU0VUX1dSSVRFRE9XTi4yMDAwLjAyLzA4LzIwMjYuLi5VU0QuSAEAAABLVQAAAwAAAAAAM5xBbyzw3gh4ApiHLPDeCENDSVEuTkFTREFROk1TRlQuSVFfT1RIRVJfTk9OX09QRVJfRVhQX1NVUFBMLjIwMDAuMDIvMDgvMjAyNi4uLlVTRC5IAQAAAEtVAAACAAAABC01NTkBCAAAAAUAAAABMQEAAAALLTE4ODAyMjkzMjMDAAAAAzE2MAIAAAACODUEAAAAATAHAAAACDgvMi8yMDI2CAAAAAk2LzMwLzIwMjYJAAAAATAznEFvLPDeCHgCmIcs8N4IO0NJUS5OQVNEQVE6TVNGVC5JUV9UT1RBTF9PVEhFUl9PUEVSLjIwMDAuMDIvMDgvMjAyNi4uLlVTRC5IAQAAAEtVAAACAAAABTcwMjI4AQgAAAAFAAAAATEBAAAACy0xODgwMjI5MzIzAwAAAAMxNjACAAAAAzM4MAQAAAABMAcAAAAIOC8yLzIwMjYIAAAACTYvMzAvMjAyNgkAAAABMDOcQW8s8N4IeAKYhyzw3gg1Q0lRLk5BU0RBUTpNU0ZULklRX1NUT0NLX0JBU0VELjk5MS4wMi8wOC8yMDI2Li4uVVNELkgBAAAAS1UA</t>
  </si>
  <si>
    <t>AAMAAAAAADOcQW8s8N4Il1CYhyzw3gg1Q0lRLk5BU0RBUTpNU0ZULklRX0ZJTl9ESVZfRVhQLjk5MS4wMi8wOC8yMDI2Li4uVVNELkgBAAAAS1UAAAMAAAAAADOcQW8s8N4Il1CYhyzw3gg1Q0lRLk5BU0RBUTpNU0ZULklRX0lOU19ESVZfUkVWLjk5MS4wMi8wOC8yMDI2Li4uVVNELkgBAAAAS1UAAAMAAAAAADOcQW8s8N4IiCmYhyzw3ggtQ0lRLk5BU0RBUTpNU0ZULklRX1JFVi45OTcuMDIvMDgvMjAyNi4uLlVTRC5IAQAAAEtVAAACAAAABjIxMTkxNQEIAAAABQAAAAExAQAAAAstMTkzNDI1NDI1MAMAAAADMTYwAgAAAAMxMTIEAAAAATAHAAAACDgvMi8yMDI2CAAAAAk2LzMwLzIwMjMJAAAAATAznEFvLPDeCIgpmIcs8N4IOUNJUS5OQVNEQVE6TVNGVC5JUV9HQUlOX0FTU0VUU19SRVYuOTk0LjAyLzA4LzIwMjYuLi5VU0QuSAEAAABLVQAAAwAAAAAAM5xBbyzw3giIKZiHLPDeCDVDSVEuTkFTREFROk1TRlQuSVFfSU5UX0lOVl9JTkMuOTk2LjAyLzA4LzIwMjYuLi5VU0QuSAEAAABLVQAAAwAAAAAAM5xBbyzw3giXUJiHLPDeCDNDSVEuTkFTREFROk1TRlQuSVFfVE9UQUxfUkVWLjk5OC4wMi8wOC8yMDI2Li4uVVNELkgBAAAAS1UAAAIAAAAGMjQ1MTIyAQgAAAAFAAAAATEBAAAACy0xODgwMjI5Njk0AwAAAAMxNjACAAAAAjI4BAAAAAEwBwAAAAg4LzIvMjAyNggAAAAJNi8zMC8yMDI0CQAAAAEwM5xB</t>
  </si>
  <si>
    <t>byzw3gikd5iHLPDeCDVDSVEuTkFTREFROk1TRlQuSVFfSU5TX0RJVl9FWFAuOTk1LjAyLzA4LzIwMjYuLi5VU0QuSAEAAABLVQAAAwAAAAAAM5xBbyzw3giIKZiHLPDeCCxDSVEuTkFTREFROk1TRlQuSVFfR1AuOTk3LjAyLzA4LzIwMjYuLi5VU0QuSAEAAABLVQAAAgAAAAYxNDYwNTIBCAAAAAUAAAABMQEAAAALLTE5MzQyNTQyNTADAAAAAzE2MAIAAAACMTAEAAAAATAHAAAACDgvMi8yMDI2CAAAAAk2LzMwLzIwMjMJAAAAATAznEFvLPDeCJdQmIcs8N4IOENJUS5OQVNEQVE6TVNGVC5JUV9QUk9WX0JBRF9ERUJUUy45OTQuMDIvMDgvMjAyNi4uLlVTRC5IAQAAAEtVAAADAAAAAAAznEFvLPDeCJdQmIcs8N4IN0NJUS5OQVNEQVE6TVNGVC5JUV9QUkVfT1BFTl9DT1NULjk5Ni4wMi8wOC8yMDI2Li4uVVNELkgBAAAAS1UAAAMAAAAAADOcQW8s8N4IpHeYhyzw3ggyQ0lRLk5BU0RBUTpNU0ZULklRX0RBX1NVUFBMLjk5OC4wMi8wOC8yMDI2Li4uVVNELkgBAAAAS1UAAAMAAAAAADOcQW8s8N4IpHeYhyzw3gg0Q0lRLk5BU0RBUTpNU0ZULklRX09USEVSX09QRVIuOTk1LjAyLzA4LzIwMjYuLi5VU0QuSAEAAABLVQAAAwAAAAAAM5xBbyzw3giXUJiHLPDeCDJDSVEuTkFTREFROk1TRlQuSVFfT1BFUl9JTkMuOTk3LjAyLzA4LzIwMjYuLi5VU0QuSAEAAABLVQAAAgAAAAU4ODUyMwEIAAAABQAAAAExAQAAAAst</t>
  </si>
  <si>
    <t>MTkzNDI1NDI1MAMAAAADMTYwAgAAAAIyMQQAAAABMAcAAAAIOC8yLzIwMjYIAAAACTYvMzAvMjAyMwkAAAABMDOcQW8s8N4Il1CYhyzw3gg6Q0lRLk5BU0RBUTpNU0ZULklRX05FVF9JTlRFUkVTVF9FWFAuOTk0LjAyLzA4LzIwMjYuLi5VU0QuSAEAAABLVQAAAgAAAAI4OQEIAAAABQAAAAExAQAAAAstMjA4NzQ5NjYyNwMAAAADMTYwAgAAAAMzNjgEAAAAATAHAAAACDgvMi8yMDI2CAAAAAk2LzMwLzIwMjAJAAAAATAznEFvLPDeCJdQmIcs8N4IN0NJUS5OQVNEQVE6TVNGVC5JUV9DVVJSRU5DWV9HQUlOLjk5Ni4wMi8wOC8yMDI2Li4uVVNELkgBAAAAS1UAAAIAAAADMjMyAQgAAAAFAAAAATEBAAAACy0xOTg1OTMxMjI0AwAAAAMxNjACAAAAAjM4BAAAAAEwBwAAAAg4LzIvMjAyNggAAAAJNi8zMC8yMDIyCQAAAAEwM5xBbyzw3gikd5iHLPDeCDJDSVEuTkFTREFROk1TRlQuSVFfRUJUX0VYQ0wuOTk4LjAyLzA4LzIwMjYuLi5VU0QuSAEAAABLVQAAAgAAAAYxMDgwODIBCAAAAAUAAAABMQEAAAALLTE4ODAyMjk2OTQDAAAAAzE2MAIAAAABNAQAAAABMAcAAAAIOC8yLzIwMjYIAAAACTYvMzAvMjAyNAkAAAABMDOcQW8s8N4IpHeYhyzw3gg3Q0lRLk5BU0RBUTpNU0ZULklRX0lNUEFJUk1FTlRfR1cuOTk2LjAyLzA4LzIwMjYuLi5VU0QuSAEAAABLVQAAAwAAAAAAM5xBbyzw3gikd5iHLPDeCDlDSVEuTkFT</t>
  </si>
  <si>
    <t>REFROk1TRlQuSVFfQVNTRVRfV1JJVEVET1dOLjk5NS4wMi8wOC8yMDI2Li4uVVNELkgBAAAAS1UAAAMAAAAAADOcQW8s8N4IpHeYhyzw3gg2Q0lRLk5BU0RBUTpNU0ZULklRX0xFR0FMX1NFVFRMRS45OTUuMDIvMDgvMjAyNi4uLlVTRC5IAQAAAEtVAAADAAAAAAAznEFvLPDeCKR3mIcs8N4IMUNJUS5OQVNEQVE6TVNGVC5JUV9JTkNfVEFYLjk5Ni4wMi8wOC8yMDI2Li4uVVNELkgBAAAAS1UAAAIAAAAFMTA5NzgBCAAAAAUAAAABMQEAAAALLTE5ODU5MzEyMjQDAAAAAzE2MAIAAAACNzUEAAAAATAHAAAACDgvMi8yMDI2CAAAAAk2LzMwLzIwMjIJAAAAATAznEFvLPDeCMyemIcs8N4IOUNJUS5OQVNEQVE6TVNGVC5JUV9FWFRSQV9BQ0NfSVRFTVMuOTk5LjAyLzA4LzIwMjYuLi5VU0QuSAEAAABLVQAAAwAAAAAAM5xBbyzw3gjMnpiHLPDeCCxDSVEuTkFTREFROk1TRlQuSVFfTkkuOTkyLjAyLzA4LzIwMjYuLi5VU0QuSAEAAABLVQAAAgAAAAUxNjU3MQEIAAAABQAAAAExAQAAAAoyMDQ3MjcxNzQ1AwAAAAMxNjACAAAAAjE1BAAAAAEwBwAAAAg4LzIvMjAyNggAAAAJNi8zMC8yMDE4CQAAAAEwM5xBbyzw3gikd5iHLPDeCDdDSVEuTkFTREFROk1TRlQuSVFfTklfQVZBSUxfSU5DTC45OTguMDIvMDgvMjAyNi4uLlVTRC5IAQAAAEtVAAACAAAABTg4MTM2AQgAAAAFAAAAATEBAAAACy0xODgwMjI5Njk0AwAA</t>
  </si>
  <si>
    <t>AAMxNjACAAAAAjE2BAAAAAEwBwAAAAg4LzIvMjAyNggAAAAJNi8zMC8yMDI0CQAAAAEwM5xBbyzw3gikd5iHLPDeCDhDSVEuTkFTREFROk1TRlQuSVFfRElMVVRfRVBTX0lOQ0wuOTkyLjAyLzA4LzIwMjYuLi5VU0QuSAEAAABLVQAAAgAAAAQyLjEzAQgAAAAFAAAAATEBAAAACjIwNDcyNzE3NDUDAAAAAzE2MAIAAAABOAQAAAABMAcAAAAIOC8yLzIwMjYIAAAACTYvMzAvMjAxOAkAAAABMDOcQW8s8N4IpHeYhyzw3gg4Q0lRLk5BU0RBUTpNU0ZULklRX0RJTFVUX0VQU19OT1JNLjk5OS4wMi8wOC8yMDI2Li4uVVNELkgBAAAAS1UAAAIAAAAJMTAuNDAyMDQyAQgAAAAFAAAAATEBAAAACy0xODgwMjI5Njg2AwAAAAMxNjACAAAABDQzODAEAAAAATAHAAAACDgvMi8yMDI2CAAAAAk2LzMwLzIwMjUJAAAAATAznEFvLPDeCMjFmIcs8N4IOUNJUS5OQVNEQVE6TVNGVC5JUV9UT1RBTF9SRVZfU0hBUkUuOTkyLjAyLzA4LzIwMjYuLi5VU0QuSAEAAABLVQAAAgAAAAkxNC4zMzI0NjcBCAAAAAUAAAABMQEAAAAKMjA0NzI3MTc0NQMAAAADMTYwAgAAAAQ0MzgyBAAAAAEwBwAAAAg4LzIvMjAyNggAAAAJNi8zMC8yMDE4CQAAAAEwM5xBbyzw3gjIxZiHLPDeCDFDSVEuTkFTREFROk1TRlQuSVFfRUJJVERBLjEwMDAuMDIvMDgvMjAyNi4uLlVTRC5IAQAAAEtVAAACAAAABjE5NDIzNwEIAAAABQAAAAExAQAAAAstMTg4</t>
  </si>
  <si>
    <t>MDIyOTY2NQMAAAADMTYwAgAAAAQ0MDUxBAAAAAEwBwAAAAg4LzIvMjAyNggAAAAJNi8zMC8yMDI2CQAAAAEwM5xBbyzw3gikd5iHLPDeCD9DSVEuTkFTREFROk1TRlQuSVFfRUJJVERBX0xFQVNFX0FESlVTVEVELjk5OS4wMi8wOC8yMDI2Li4uVVNELkgBAAAAS1UAAAIAAAAGMTYyMDUyAQgAAAAFAAAAATEBAAAACy0xODgwMjI5Njg2AwAAAAMxNjACAAAABTQ4OTkzBAAAAAEwBwAAAAg4LzIvMjAyNggAAAAJNi8zMC8yMDI1CQAAAAEwM5xBbyzw3gjMnpiHLPDeCC5DSVEuTkFTREFROk1TRlQuSVFfRUJJVC45OTcuMDIvMDgvMjAyNi4uLlVTRC5IAQAAAEtVAAACAAAABTg4NTIzAQgAAAAFAAAAATEBAAAACy0xOTM0MjU0MjUwAwAAAAMxNjACAAAAAzQwMAQAAAABMAcAAAAIOC8yLzIwMjYIAAAACTYvMzAvMjAyMwkAAAABMDOcQW8s8N4IzJ6Yhyzw3ggvQ0lRLk5BU0RBUTpNU0ZULklRX0VCSVRBLjk5NC4wMi8wOC8yMDI2Li4uVVNELkgBAAAAS1UAAAIAAAAFNTQ1NTkBCAAAAAUAAAABMQEAAAALLTIwODc0OTY2MjcDAAAAAzE2MAIAAAAGMTAwNjg5BAAAAAEwBwAAAAg4LzIvMjAyNggAAAAJNi8zMC8yMDIwCQAAAAEwM5xBbyzw3gjIxZiHLPDeCDhDSVEuTkFTREFROk1TRlQuSVFfRUJJVERBUl9FUV9JTkMuOTk3LjAyLzA4LzIwMjYuLi5VU0QuSAEAAABLVQAAAgAAAAYxMDc3NzMBCAAAAAUAAAABMQEA</t>
  </si>
  <si>
    <t>AAALLTE5MzQyNTQyNTADAAAAAzE2MAIAAAAFMjQxMjkEAAAAATAHAAAACDgvMi8yMDI2CAAAAAk2LzMwLzIwMjMJAAAAATAznEFvLPDeCMjFmIcs8N4IO0NJUS5OQVNEQVE6TVNGVC5JUV9GRUVTX09USEVSX0lOQ09NRS45OTMuMDIvMDgvMjAyNi4uLlVTRC5IAQAAAEtVAAADAAAAAAAznEFvLPDeCMyemIcs8N4IQ0NJUS5OQVNEQVE6TVNGVC5JUV9FQVJOSU5HX1BBUkVOVF9FWENMX0VYVFJBLjk5OS4wMi8wOC8yMDI2Li4uVVNELkgBAAAAS1UAAAIAAAAGMTAxODMyAQgAAAAFAAAAATEBAAAACy0xODgwMjI5Njg2AwAAAAMxNjACAAAABTQxNTk2BAAAAAEwBwAAAAg4LzIvMjAyNggAAAAJNi8zMC8yMDI1CQAAAAEwM5xBbyzw3gjMnpiHLPDeCEFDSVEuTkFTREFROk1TRlQuSVFfRVhDSVNFX1RBWEVTX0lOQ0xfU0FMRVMuOTk1LjAyLzA4LzIwMjYuLi5VU0QuSAEAAABLVQAAAwAAAAAAM5xBbyzw3gjMnpiHLPDeCEFDSVEuTkFTREFROk1TRlQuSVFfREVGRVJSRURfRE9NRVNUSUNfVEFYRVMuOTk0LjAyLzA4LzIwMjYuLi5VU0QuSAEAAABLVQAAAgAAAAI1MgEIAAAABQAAAAExAQAAAAstMjA4NzQ5NjYyNwMAAAADMTYwAgAAAAQzMDU0BAAAAAEwBwAAAAg4LzIvMjAyNggAAAAJNi8zMC8yMDIwCQAAAAEwM5xBbyzw3gjA7JiHLPDeCDJDSVEuTkFTREFROk1TRlQuSVFfRElMVVRfTkkuOTkzLjAyLzA4LzIw</t>
  </si>
  <si>
    <t>MjYuLi5VU0QuSAEAAABLVQAAAgAAAAgzOTIzMC4xOAEIAAAABQAAAAExAQAAAAstMjE0MDk4MTQ2OQMAAAADMTYwAgAAAAQzNTIyBAAAAAEwBwAAAAg4LzIvMjAyNggAAAAJNi8zMC8yMDE5CQAAAAEwM5xBbyzw3gjA7JiHLPDeCD5DSVEuTkFTREFROk1TRlQuSVFfTk9OQ0FTSF9QRU5TSU9OX0VYUC4xMDAwLjAyLzA4LzIwMjYuLi5VU0QuSAEAAABLVQAAAwAAAAAAM5xBbyzw3gjIxZiHLPDeCEBDSVEuTkFTREFROk1TRlQuSVFfQU5OVV9ESVNUUklCVVRJT05fVU5JVC45OTguMDIvMDgvMjAyNi4uLlVTRC5IAQAAAEtVAAADAAAAAAAznEFvLPDeCMjFmIcs8N4IOUNJUS5OQVNEQVE6TVNGVC5JUV9TQUxFU19NQVJLRVRJTkcuOTk4LjAyLzA4LzIwMjYuLi5VU0QuSAEAAABLVQAAAgAAAAUyNDQ1NgEIAAAABQAAAAExAQAAAAstMTg4MDIyOTY5NAMAAAADMTYwAgAAAAUyMTU2MQQAAAABMAcAAAAIOC8yLzIwMjYIAAAACTYvMzAvMjAyNAkAAAABMDOcQW8s8N4IyMWYhyzw3gg/Q0lRLk5BU0RBUTpNU0ZULklRX05FVF9SRU5UQUxfRVhQX1NVUFBMRS45OTcuMDIvMDgvMjAyNi4uLlVTRC5IAQAAAEtVAAACAAAABDI4NzUBCAAAAAUAAAABMQEAAAALLTE5MzQyNTQyNTADAAAAAzE2MAIAAAAFMjQyNjMEAAAAATAHAAAACDgvMi8yMDI2CAAAAAk2LzMwLzIwMjMJAAAAATAznEFvLPDeCN8TmYcs8N4IQUNJUS5O</t>
  </si>
  <si>
    <t>QVNEQVE6TVNGVC5JUV9FWFBMT1JFX0RSSUxMX0VYUF9UT1RBTC45OTYuMDIvMDgvMjAyNi4uLlVTRC5IAQAAAEtVAAADAAAAAAAznEFvLPDeCN8TmYcs8N4IN0NJUS5OQVNEQVE6TVNGVC5JUV9NRVJHRVJfU1VQUExFLjk5Ni4wMi8wOC8yMDI2Li4uVVNELkgBAAAAS1UAAAMAAAAAADOcQW8s8N4IwOyYhyzw3gg9Q0lRLk5BU0RBUTpNU0ZULklRX0xFR0FMX1NFVFRMRV9TVVBQTEUuOTk3LjAyLzA4LzIwMjYuLi5VU0QuSAEAAABLVQAAAwAAAAAAM5xBbyzw3gjA7JiHLPDeCDpDSVEuTkFTREFROk1TRlQuSVFfU1RPQ0tfQkFTRURfU0dBLjEwMDAuMDIvMDgvMjAyNi4uLlVTRC5IAQAAAEtVAAADAAAAAAAznEFvLPDeCMDsmIcs8N4IQUNJUS5OQVNEQVE6TVNGVC5JUV9TVE9DS19CQVNFRF9DT01QX1BSRVRBWC45OTQuMDIvMDgvMjAyNi4uLlVTRC5IAQAAAEtVAAACAAAABDUyODkAM5xBbyzw3gjfE5mHLPDeCDdDSVEuTkFTREFROk1TRlQuSVFfSU5DX0VRVUlUWV9DRi45OTYuMDIvMDgvMjAyNi4uLlVTRC5IAQAAAEtVAAADAAAAAAAznEFvLPDeCN8TmYcs8N4IPUNJUS5OQVNEQVE6TVNGVC5JUV9EQV9TVVBQTF9QQVJUSUFMX0NGLjk5My4wMi8wOC8yMDI2Li4uVVNELkgBAAAAS1UAAAMAAAAAADOcQW8s8N4IwOyYhyzw3ggzQ0lRLk5BU0RBUTpNU0ZULklRX0lOVEFOX05FVC45OTEuMDIvMDgvMjAyNi4u</t>
  </si>
  <si>
    <t>LlVTRC5IAQAAAEtVAAADAAAAAAAznEFvLPDeCMDsmIcs8N4IP0NJUS5OQVNEQVE6TVNGVC5JUV9ERVJJVkFUSVZFX0FTU0VUU19MVC4yMDAwLjAyLzA4LzIwMjYuLi5VU0QuSAEAAABLVQAAAgAAAAEzAQgAAAAFAAAAATEBAAAACy0xODgwMjI5MzIzAwAAAAMxNjACAAAABDExMTAEAAAAATAHAAAACDgvMi8yMDI2CAAAAAk2LzMwLzIwMjYJAAAAATAznEFvLPDeCMDsmIcs8N4IR0NJUS5OQVNEQVE6TVNGVC5JUV9DVVJSRU5UX1BPUlRfREVCVF9ERVJJVkFUSVZFUy45OTAuMDIvMDgvMjAyNi4uLlVTRC5IAQAAAEtVAAADAAAAAAAznEFvLPDeCNQ6mYcs8N4IQENJUS5OQVNEQVE6TVNGVC5JUV9ERUJUX0VRVUlWX09QRVJfTEVBU0UuMjAwMC4wMi8wOC8yMDI2Li4uVVNELkgBAAAAS1UAAAIAAAAFNTU3NDQBCAAAAAUAAAABMQEAAAALLTE4ODAyMjkzMjMDAAAAAzE2MAIAAAAFMjE2NzEEAAAAATAHAAAACDgvMi8yMDI2CAAAAAk2LzMwLzIwMjYJAAAAATAznEFvLPDeCNQ6mYcs8N4IQUNJUS5OQVNEQVE6TVNGVC5JUV9MSUFCSUxJVElFU19GQUlSX1ZBTFVFLjIwMDAuMDIvMDgvMjAyNi4uLlVTRC5IAQAAAEtVAAACAAAABTM3OTMwADOcQW8s8N4I3xOZhyzw3ghKQ0lRLk5BU0RBUTpNU0ZULklRX0FTU0VUU19ORVRUSU5HX09USEVSX0FESlVTVE1FTlRTLjk5MC4wMi8wOC8yMDI2Li4uVVNELkgBAAAAS1UA</t>
  </si>
  <si>
    <t>AAIAAAAELTQwMQAznEFvLPDeCN8TmYcs8N4ISENJUS5OQVNEQVE6TVNGVC5JUV9UT1RBTF9HRU5FUkFMX1BBUlRORVJfSU5URVJFU1QuOTkxLjAyLzA4LzIwMjYuLi5VU0QuSAEAAABLVQAAAwAAAAAAM5xBbyzw3gjfE5mHLPDeCEBDSVEuTkFTREFROk1TRlQuSVFfTEVBU0VIT0xEX0lNUFJPVkVNRU5ULjIwMDAuMDIvMDgvMjAyNi4uLlVTRC5IAQAAAEtVAAACAAAABTE2MzQ4AQgAAAAFAAAAATEBAAAACy0xODgwMjI5MzIzAwAAAAMxNjACAAAABDMxMDAEAAAAATAHAAAACDgvMi8yMDI2CAAAAAk2LzMwLzIwMjYJAAAAATAznEFvLPDeCNQ6mYcs8N4ILkNJUS5OQVNEQVE6TVNGVC5JUV9MQU5ELjk5MC4wMi8wOC8yMDI2Li4uVVNELkgBAAAAS1UAAAIAAAADODI0AQgAAAAFAAAAATEBAAAACjE4OTg0ODk0NzADAAAAAzE2MAIAAAAEMzA5OAQAAAABMAcAAAAIOC8yLzIwMjYIAAAACTYvMzAvMjAxNgkAAAABMDOcQW8s8N4I1DqZhyzw3gg3Q0lRLk5BU0RBUTpNU0ZULklRX0VRVUlUWV9NRVRIT0QuOTkxLjAyLzA4LzIwMjYuLi5VU0QuSAEAAABLVQAAAwAAAAAAM5xBbyzw3gjUOpmHLPDeCDVDSVEuTkFTREFROk1TRlQuSVFfVE9UQUxfREVCVC4yMDAwLjAyLzA4LzIwMjYuLi5VU0QuSAEAAABLVQAAAgAAAAYxMjg4MTMBCAAAAAUAAAABMQEAAAALLTE4ODAyMjkzMjMDAAAAAzE2MAIAAAAENDE3MwQAAAAB</t>
  </si>
  <si>
    <t>MAcAAAAIOC8yLzIwMjYIAAAACTYvMzAvMjAyNgkAAAABMDOcQW8s8N4I1DqZhyzw3gg7Q0lRLk5BU0RBUTpNU0ZULklRX0JWX1NIQVJFX1JFUE9SVEVELjk5MC4wMi8wOC8yMDI2Li4uVVNELkgBAAAAS1UAAAMAAAAAADOcQW8s8N4I1DqZhyzw3gg7Q0lRLk5BU0RBUTpNU0ZULklRX1RPVEFMX09QRVJfTEVBU0VTLjk5MC4wMi8wOC8yMDI2Li4uVVNELkgBAAAAS1UAAAMAAAAAADOcQW8s8N4IjXWZhyzw3ghCQ0lRLk5BU0RBUTpNU0ZULklRX1JVQV9PUEVSQVRJTkdfTEVBU0VfTkVULjIwMDAuMDIvMDgvMjAyNi4uLlVTRC5IAQAAAEtVAAADAAAAAAAznEFvLPDeCI11mYcs8N4IOENJUS5OQVNEQVE6TVNGVC5JUV9SVUFfQUNDVU1fREVQLjIwMDAuMDIvMDgvMjAyNi4uLlVTRC5IAQAAAEtVAAADAAAAAAAznEFvLPDeCNQ6mYcs8N4IM0NJUS5OQVNEQVE6TVNGVC5JUV9UUkVBU1VSWS4yMDAwLjAyLzA4LzIwMjYuLi5VU0QuSAEAAABLVQAAAwAAAAAAM5xBbyzw3gjUOpmHLPDeCDlDSVEuTkFTREFROk1TRlQuSVFfUFJFRl9OT05fUkVERUVNLjk5MS4wMi8wOC8yMDI2Li4uVVNELkgBAAAAS1UAAAMAAAAAADOcQW8s8N4I1DqZhyzw3gg5Q0lRLk5BU0RBUTpNU0ZULklRX0ZJTl9ESVZfTElBQl9MVC45OTEuMDIvMDgvMjAyNi4uLlVTRC5IAQAAAEtVAAADAAAAAAAznEFvLPDeCMicmYcs8N4IPENJUS5OQVNE</t>
  </si>
  <si>
    <t>QVE6TVNGVC5JUV9VTkVBUk5fUkVWX0NVUlJFTlQuOTkxLjAyLzA4LzIwMjYuLi5VU0QuSAEAAABLVQAAAgAAAAUyNDAxMwEIAAAABQAAAAExAQAAAAoxOTczMzgwOTUxAwAAAAMxNjACAAAABDEwNzQEAAAAATAHAAAACDgvMi8yMDI2CAAAAAk2LzMwLzIwMTcJAAAAATAznEFvLPDeCMicmYcs8N4ILENJUS5OQVNEQVE6TVNGVC5JUV9BUC45OTAuMDIvMDgvMjAyNi4uLlVTRC5IAQAAAEtVAAACAAAABDY4OTgBCAAAAAUAAAABMQEAAAAKMTg5ODQ4OTQ3MAMAAAADMTYwAgAAAAQxMDE4BAAAAAEwBwAAAAg4LzIvMjAyNggAAAAJNi8zMC8yMDE2CQAAAAEwM5xBbyzw3gjUOpmHLPDeCDtDSVEuTkFTREFROk1TRlQuSVFfRklOX0RJVl9BU1NFVFNfTFQuOTkwLjAyLzA4LzIwMjYuLi5VU0QuSAEAAABLVQAAAwAAAAAAM5xBbyzw3giNdZmHLPDeCC5DSVEuTkFTREFROk1TRlQuSVFfR1BQRS45OTEuMDIvMDgvMjAyNi4uLlVTRC5IAQAAAEtVAAACAAAABTU0NDY4AQgAAAAFAAAAATEBAAAACjE5NzMzODA5NTEDAAAAAzE2MAIAAAAEMTE2OQQAAAABMAcAAAAIOC8yLzIwMjYIAAAACTYvMzAvMjAxNwkAAAABMDOcQW8s8N4IjXWZhyzw3gg0Q0lRLk5BU0RBUTpNU0ZULklRX0lOVkVOVE9SWS4yMDAwLjAyLzA4LzIwMjYuLi5VU0QuSAEAAABLVQAAAgAAAAQxMzk3AQgAAAAFAAAAATEBAAAACy0xODgwMjI5MzIzAwAA</t>
  </si>
  <si>
    <t>AAMxNjACAAAABDEwNDMEAAAAATAHAAAACDgvMi8yMDI2CAAAAAk2LzMwLzIwMjYJAAAAATAznEFvLPDeCMicmYcs8N4IOENJUS5OQVNEQVE6TVNGVC5JUV9UUkFESU5HX0FTU0VUUy45OTAuMDIvMDgvMjAyNi4uLlVTRC5IAQAAAEtVAAADAAAAAAAznEFvLPDeCMicmYcs8N4IQ0NJUS5OQVNEQVE6TVNGVC5JUV9PUEVSQVRJTkdfTEVBU0VfUEFZTUVOVFMuMjAwMC4wMi8wOC8yMDI2Li4uVVNELkgBAAAAS1UAAAMAAAAAADOcQW8s8N4IjXWZhyzw3gg1Q0lRLk5BU0RBUTpNU0ZULklRX0xFVkVSRURfRkNGLjk5MS4wMi8wOC8yMDI2Li4uVVNELkgBAAAAS1UAAAIAAAAJMTQ2NTguMTI1AQgAAAAFAAAAATEBAAAACjE5NzMzODA5NTEDAAAAAzE2MAIAAAAENDQyMgQAAAABMAcAAAAIOC8yLzIwMjYIAAAACTYvMzAvMjAxNwkAAAABMDOcQW8s8N4IjXWZhyzw3gg9Q0lRLk5BU0RBUTpNU0ZULklRX0NBU0hfSU5URVJFU1RfRklOQU4uOTkxLjAyLzA4LzIwMjYuLi5VU0QuSAEAAABLVQAAAwAAAAAAM5xBbyzw3giNdZmHLPDeCEJDSVEuTkFTREFROk1TRlQuSVFfQU1PUlRfU09GVFdBUkVfQVNTRVRTX0NGLjk5MS4wMi8wOC8yMDI2Li4uVVNELkgBAAAAS1UAAAMAAAAAADOcQW8s8N4I2sOZhyzw3ghDQ0lRLk5BU0RBUTpNU0ZULklRX0dXX0lOVEFOX0FNT1JUX1BBUlRJQUxfQ0YuOTkwLjAyLzA4LzIwMjYuLi5V</t>
  </si>
  <si>
    <t>U0QuSAEAAABLVQAAAwAAAAAAM5xBbyzw3gjaw5mHLPDeCDxDSVEuTkFTREFROk1TRlQuSVFfVE9UQUxfRElWX1BBSURfQ0YuMjAwMC4wMi8wOC8yMDI2Li4uVVNELkgBAAAAS1UAAAIAAAAGLTI2NDQ1AQgAAAAFAAAAATEBAAAACy0xODgwMjI5MzIzAwAAAAMxNjACAAAABDIwMjIEAAAAATAHAAAACDgvMi8yMDI2CAAAAAk2LzMwLzIwMjYJAAAAATAznEFvLPDeCMicmYcs8N4IOENJUS5OQVNEQVE6TVNGVC5JUV9DT01NT05fSVNTVUVELjIwMDAuMDIvMDgvMjAyNi4uLlVTRC5IAQAAAEtVAAACAAAABDIwMDkBCAAAAAUAAAABMQEAAAALLTE4ODAyMjkzMjMDAAAAAzE2MAIAAAAEMjE2OQQAAAABMAcAAAAIOC8yLzIwMjYIAAAACTYvMzAvMjAyNgkAAAABMDOcQW8s8N4IyJyZhyzw3gg1Q0lRLk5BU0RBUTpNU0ZULklRX0NBU0hfSU5WRVNULjk5MS4wMi8wOC8yMDI2Li4uVVNELkgBAAAAS1UAAAIAAAAGLTQ2NzgxAQgAAAAFAAAAATEBAAAACjE5NzMzODA5NTEDAAAAAzE2MAIAAAAEMjAwNQQAAAABMAcAAAAIOC8yLzIwMjYIAAAACTYvMzAvMjAxNwkAAAABMDOcQW8s8N4IyJyZhyzw3gg5Q0lRLk5BU0RBUTpNU0ZULklRX0NBU0hfQUNRVUlSRV9DRi45OTEuMDIvMDgvMjAyNi4uLlVTRC5IAQAAAEtVAAACAAAABi0yNTk0NAEIAAAABQAAAAExAQAAAAoxOTczMzgwOTUxAwAAAAMxNjACAAAABDIwNTcEAAAA</t>
  </si>
  <si>
    <t>ATAHAAAACDgvMi8yMDI2CAAAAAk2LzMwLzIwMTcJAAAAATAznEFvLPDeCNrDmYcs8N4IO0NJUS5OQVNEQVE6TVNGVC5JUV9DSEFOR0VfVU5FQVJOX1JFVi45OTEuMDIvMDgvMjAyNi4uLlVTRC5IAQAAAEtVAAACAAAABDM4MjABCAAAAAUAAAABMQEAAAAKMTk3MzM4MDk1MQMAAAADMTYwAgAAAAQyMTM5BAAAAAEwBwAAAAg4LzIvMjAyNggAAAAJNi8zMC8yMDE3CQAAAAEwM5xBbyzw3gjaw5mHLPDeCD1DSVEuTkFTREFROk1TRlQuSVFfVEFYX0JFTkVGSVRfT1BUSU9OUy45OTAuMDIvMDgvMjAyNi4uLlVTRC5IAQAAAEtVAAADAAAAAAAznEFvLPDeCMicmYcs8N4IOENJUS5OQVNEQVE6TVNGVC5JUV9HQUlOX0FTU0VUU19DRi45OTAuMDIvMDgvMjAyNi4uLlVTRC5IAQAAAEtVAAADAAAAAAAznEFvLPDeCNrDmYcs8N4IL0NJUS5OQVNEQVE6TVNGVC5JUV9OSV9DRi45OTEuMDIvMDgvMjAyNi4uLlVTRC5IAQAAAEtVAAACAAAABTI1NDg5AQgAAAAFAAAAATEBAAAACjE5NzMzODA5NTEDAAAAAzE2MAIAAAAEMjE1MAQAAAABMAcAAAAIOC8yLzIwMjYIAAAACTYvMzAvMjAxNwkAAAABMDOcQW8s8N4I2sOZhyzw3ghCQ0lRLk5BU0RBUTpNU0ZULklRX1JFU1RSX1NUT0NLX0NPTVBfUFJFVEFYLjIwMDAuMDIvMDgvMjAyNi4uLlVTRC5IAQAAAEtVAAADAAAAAAAznEFvLPDeCCvrmYcs8N4IOENJUS5OQVNEQVE6TVNG</t>
  </si>
  <si>
    <t>VC5JUV9TVE9DS19CQVNFRF9HQS45OTAuMDIvMDgvMjAyNi4uLlVTRC5IAQAAAEtVAAADAAAAAAAznEFvLPDeCCvrmYcs8N4IPkNJUS5OQVNEQVE6TVNGVC5JUV9PVEhFUl9VTlVTVUFMX1NVUFBMRS45OTEuMDIvMDgvMjAyNi4uLlVTRC5IAQAAAEtVAAADAAAAAAAznEFvLPDeCNrDmYcs8N4IPUNJUS5OQVNEQVE6TVNGVC5JUV9SRVNUUlVDVFVSRV9TVVBQTEUuMjAwMC4wMi8wOC8yMDI2Li4uVVNELkgBAAAAS1UAAAMAAAAAADOcQW8s8N4I2sOZhyzw3ghEQ0lRLk5BU0RBUTpNU0ZULklRX0RFUFJFQ0lBVElPTl9SRU5UQUxfQVNTRVRTLjk5MC4wMi8wOC8yMDI2Li4uVVNELkgBAAAAS1UAAAMAAAAAADOcQW8s8N4I2sOZhyzw3gg7Q0lRLk5BU0RBUTpNU0ZULklRX05FVF9SRU5UQUxfRVhQX0ZOLjk5MC4wMi8wOC8yMDI2Li4uVVNELkgBAAAAS1UAAAIAAAADOTM2AQgAAAAFAAAAATEBAAAACjE4OTg0ODk0NzADAAAAAzE2MAIAAAAEMzE3MAQAAAABMAcAAAAIOC8yLzIwMjYIAAAACTYvMzAvMjAxNgkAAAABMDOcQW8s8N4IK+uZhyzw3ghAQ0lRLk5BU0RBUTpNU0ZULklRX0FOTlVfRElTVFJJQlVUSU9OX1VOSVQuOTkxLjAyLzA4LzIwMjYuLi5VU0QuSAEAAABLVQAAAwAAAAAAM5xBbyzw3ggr65mHLPDeCDVDSVEuTkFTREFROk1TRlQuSVFfSU5UX0VYUF9MVEQuOTkwLjAyLzA4LzIwMjYuLi5VU0QuSAEA</t>
  </si>
  <si>
    <t>AABLVQAAAgAAAAIyOAEIAAAABQAAAAExAQAAAAoxODk4NDg5NDcwAwAAAAMxNjACAAAABDMxMDEEAAAAATAHAAAACDgvMi8yMDI2CAAAAAk2LzMwLzIwMTYJAAAAATAznEFvLPDeCNrDmYcs8N4IQUNJUS5OQVNEQVE6TVNGVC5JUV9ERUZFUlJFRF9ET01FU1RJQ19UQVhFUy45OTEuMDIvMDgvMjAyNi4uLlVTRC5IAQAAAEtVAAACAAAABC0yODUBCAAAAAUAAAABMQEAAAAKMTk3MzM4MDk1MQMAAAADMTYwAgAAAAQzMDU0BAAAAAEwBwAAAAg4LzIvMjAyNggAAAAJNi8zMC8yMDE3CQAAAAEwM5xBbyzw3ggr65mHLPDeCERDSVEuTkFTREFROk1TRlQuSVFfRUFSTklOR19QQVJFTlRfRVhDTF9FWFRSQS4yMDAwLjAyLzA4LzIwMjYuLi5VU0QuSAEAAABLVQAAAgAAAAYxMzM3NDkBCAAAAAUAAAABMQEAAAALLTE4ODAyMjkzMjMDAAAAAzE2MAIAAAAFNDE1OTYEAAAAATAHAAAACDgvMi8yMDI2CAAAAAk2LzMwLzIwMjYJAAAAATAznEFvLPDeCCvrmYcs8N4IOkNJUS5OQVNEQVE6TVNGVC5JUV9FQklUREFSX0VYQ0xfU0JDLjk5MS4wMi8wOC8yMDI2Li4uVVNELkgBAAAAS1UAAAIAAAAFNDE4MDkBCAAAAAUAAAABMQEAAAAKMTk3MzM4MDk1MQMAAAADMTYwAgAAAAUyNDEzNwQAAAABMAcAAAAIOC8yLzIwMjYIAAAACTYvMzAvMjAxNwkAAAABMDOcQW8s8N4I+hGahyzw3ggvQ0lRLk5BU0RBUTpNU0ZULklRX0VCSVRB</t>
  </si>
  <si>
    <t>Ljk5MS4wMi8wOC8yMDI2Li4uVVNELkgBAAAAS1UAAAIAAAAFMzEwMzEBCAAAAAUAAAABMQEAAAAKMTk3MzM4MDk1MQMAAAADMTYwAgAAAAYxMDA2ODkEAAAAATAHAAAACDgvMi8yMDI2CAAAAAk2LzMwLzIwMTcJAAAAATAznEFvLPDeCPoRmocs8N4IOUNJUS5OQVNEQVE6TVNGVC5JUV9FQklUREFfRVhDTF9TQkMuOTkwLjAyLzA4LzIwMjYuLi5VU0QuSAEAAABLVQAAAgAAAAUzNTczNAEIAAAABQAAAAExAQAAAAoxODk4NDg5NDcwAwAAAAMxNjACAAAABTI0MTM1BAAAAAEwBwAAAAg4LzIvMjAyNggAAAAJNi8zMC8yMDE2CQAAAAEwM5xBbyzw3ggr65mHLPDeCDNDSVEuTkFTREFROk1TRlQuSVFfRElWX1NIQVJFLjk5MS4wMi8wOC8yMDI2Li4uVVNELkgBAAAAS1UAAAIAAAAEMS41NgEIAAAABQAAAAExAQAAAAoxOTczMzgwOTUxAwAAAAMxNjACAAAABDMwNTgEAAAAATAHAAAACDgvMi8yMDI2CAAAAAk2LzMwLzIwMTcJAAAAATAznEFvLPDeCCvrmYcs8N4IOENJUS5OQVNEQVE6TVNGVC5JUV9CQVNJQ19FUFNfSU5DTC45OTEuMDIvMDgvMjAyNi4uLlVTRC5IAQAAAEtVAAACAAAACDMuMjkwNjAxAQgAAAAFAAAAATEBAAAACjE5NzMzODA5NTEDAAAAAzE2MAIAAAABOQQAAAABMAcAAAAIOC8yLzIwMjYIAAAACTYvMzAvMjAxNwkAAAABMDOcQW8s8N4IK+uZhyzw3gg1Q0lRLk5BU0RBUTpNU0ZULklRX0VBUk5J</t>
  </si>
  <si>
    <t>TkdfQ08uMjAwMC4wMi8wOC8yMDI2Li4uVVNELkgBAAAAS1UAAAIAAAAGMTMzNzQ5AQgAAAAFAAAAATEBAAAACy0xODgwMjI5MzIzAwAAAAMxNjACAAAAATcEAAAAATAHAAAACDgvMi8yMDI2CAAAAAk2LzMwLzIwMjYJAAAAATAznEFvLPDeCAw5mocs8N4ILkNJUS5OQVNEQVE6TVNGVC5JUV9JUFJELjk5MC4wMi8wOC8yMDI2Li4uVVNELkgBAAAAS1UAAAMAAAAAADOcQW8s8N4IDDmahyzw3ggyQ0lRLk5BU0RBUTpNU0ZULklRX0VCVF9FWENMLjk5MC4wMi8wOC8yMDI2Li4uVVNELkgBAAAAS1UAAAIAAAAFMjYxMTIBCAAAAAUAAAABMQEAAAAKMTg5ODQ4OTQ3MAMAAAADMTYwAgAAAAE0BAAAAAEwBwAAAAg4LzIvMjAyNggAAAAJNi8zMC8yMDE2CQAAAAEwM5xBbyzw3ggr65mHLPDeCDVDSVEuTkFTREFROk1TRlQuSVFfT1RIRVJfT1BFUi4yMDAwLjAyLzA4LzIwMjYuLi5VU0QuSAEAAABLVQAAAwAAAAAAM5xBbyzw3gj6EZqHLPDeCDlDSVEuTkFTREFROk1TRlQuSVFfUFJPVl9CQURfREVCVFMuMjAwMC4wMi8wOC8yMDI2Li4uVVNELkgBAAAAS1UAAAMAAAAAADOcQW8s8N4I+hGahyzw3ggvQ0lRLk5BU0RBUTpNU0ZULklRX0NPR1MuMjAwMC4wMi8wOC8yMDI2Li4uVVNELkgBAAAAS1UAAAIAAAAGMTA2Mzc0AQgAAAAFAAAAATEBAAAACy0xODgwMjI5MzIzAwAAAAMxNjACAAAAAjM0BAAAAAEwBwAAAAg4LzIv</t>
  </si>
  <si>
    <t>MjAyNggAAAAJNi8zMC8yMDI2CQAAAAEwM5xBbyzw3ggMOZqHLPDeCDVDSVEuTkFTREFROk1TRlQuSVFfRklOX0RJVl9SRVYuOTkxLjAyLzA4LzIwMjYuLi5VU0QuSAEAAABLVQAAAwAAAAAAM5xBbyzw3ggMOZqHLPDeCC1DSVEuTkFTREFROk1TRlQuSVFfUkVWLjk5Mi4wMi8wOC8yMDI2Li4uVVNELkgBAAAAS1UAAAIAAAAGMTEwMzYwAQgAAAAFAAAAATEBAAAACjIwNDcyNzE3NDUDAAAAAzE2MAIAAAADMTEyBAAAAAEwBwAAAAg4LzIvMjAyNggAAAAJNi8zMC8yMDE4CQAAAAEwM5xBbyzw3gj6EZqHLPDeCDlDSVEuTkFTREFROk1TRlQuSVFfR0FJTl9BU1NFVFNfUkVWLjk5NS4wMi8wOC8yMDI2Li4uVVNELkgBAAAAS1UAAAMAAAAAADOcQW8s8N4I+hGahyzw3gg1Q0lRLk5BU0RBUTpNU0ZULklRX0lOVF9JTlZfSU5DLjk5Ny4wMi8wOC8yMDI2Li4uVVNELkgBAAAAS1UAAAMAAAAAADOcQW8s8N4I+hGahyzw3gguQ0lRLk5BU0RBUTpNU0ZULklRX0NPR1MuOTk0LjAyLzA4LzIwMjYuLi5VU0QuSAEAAABLVQAAAgAAAAU0NjA3OAEIAAAABQAAAAExAQAAAAstMjA4NzQ5NjYyNwMAAAADMTYwAgAAAAIzNAQAAAABMAcAAAAIOC8yLzIwMjYIAAAACTYvMzAvMjAyMAkAAAABMDOcQW8s8N4IDDmahyzw3gg1Q0lRLk5BU0RBUTpNU0ZULklRX0lOU19ESVZfRVhQLjk5Ni4wMi8wOC8yMDI2Li4uVVNELkgBAAAAS1UA</t>
  </si>
  <si>
    <t>AAMAAAAAADOcQW8s8N4I5XOahyzw3ggsQ0lRLk5BU0RBUTpNU0ZULklRX0dQLjk5OC4wMi8wOC8yMDI2Li4uVVNELkgBAAAAS1UAAAIAAAAGMTcxMDA4AQgAAAAFAAAAATEBAAAACy0xODgwMjI5Njk0AwAAAAMxNjACAAAAAjEwBAAAAAEwBwAAAAg4LzIvMjAyNggAAAAJNi8zMC8yMDI0CQAAAAEwM5xBbyzw3ggMOZqHLPDeCDhDSVEuTkFTREFROk1TRlQuSVFfUFJPVl9CQURfREVCVFMuOTk1LjAyLzA4LzIwMjYuLi5VU0QuSAEAAABLVQAAAwAAAAAAM5xBbyzw3ggMOZqHLPDeCDdDSVEuTkFTREFROk1TRlQuSVFfUFJFX09QRU5fQ09TVC45OTcuMDIvMDgvMjAyNi4uLlVTRC5IAQAAAEtVAAADAAAAAAAznEFvLPDeCAw5mocs8N4IOENJUS5OQVNEQVE6TVNGVC5JUV9HV19JTlRBTl9BTU9SVC45OTQuMDIvMDgvMjAyNi4uLlVTRC5IAQAAAEtVAAADAAAAAAAznEFvLPDeCOVzmocs8N4INENJUS5OQVNEQVE6TVNGVC5JUV9PVEhFUl9PUEVSLjk5Ni4wMi8wOC8yMDI2Li4uVVNELkgBAAAAS1UAAAMAAAAAADOcQW8s8N4I5XOahyzw3ggyQ0lRLk5BU0RBUTpNU0ZULklRX09QRVJfSU5DLjk5OC4wMi8wOC8yMDI2Li4uVVNELkgBAAAAS1UAAAIAAAAGMTA5NDMzAQgAAAAFAAAAATEBAAAACy0xODgwMjI5Njk0AwAAAAMxNjACAAAAAjIxBAAAAAEwBwAAAAg4LzIvMjAyNggAAAAJNi8zMC8yMDI0CQAAAAEwM5xB</t>
  </si>
  <si>
    <t>byzw3ggMOZqHLPDeCDpDSVEuTkFTREFROk1TRlQuSVFfTkVUX0lOVEVSRVNUX0VYUC45OTUuMDIvMDgvMjAyNi4uLlVTRC5IAQAAAEtVAAACAAAABC0xOTkBCAAAAAUAAAABMQEAAAALLTIwMzY4NDM4NDMDAAAAAzE2MAIAAAADMzY4BAAAAAEwBwAAAAg4LzIvMjAyNggAAAAJNi8zMC8yMDIxCQAAAAEwM5xBbyzw3ggMOZqHLPDeCDdDSVEuTkFTREFROk1TRlQuSVFfQ1VSUkVOQ1lfR0FJTi45OTcuMDIvMDgvMjAyNi4uLlVTRC5IAQAAAEtVAAACAAAAAzEwOAEIAAAABQAAAAExAQAAAAstMTkzNDI1NDI1MAMAAAADMTYwAgAAAAIzOAQAAAABMAcAAAAIOC8yLzIwMjYIAAAACTYvMzAvMjAyMwkAAAABMDOcQW8s8N4IDDmahyzw3gg1Q0lRLk5BU0RBUTpNU0ZULklRX1JFU1RSVUNUVVJFLjk5NC4wMi8wOC8yMDI2Li4uVVNELkgBAAAAS1UAAAMAAAAAADOcQW8s8N4IWZuahyzw3gg3Q0lRLk5BU0RBUTpNU0ZULklRX0lNUEFJUk1FTlRfR1cuOTk3LjAyLzA4LzIwMjYuLi5VU0QuSAEAAABLVQAAAwAAAAAAM5xBbyzw3ghZm5qHLPDeCDlDSVEuTkFTREFROk1TRlQuSVFfQVNTRVRfV1JJVEVET1dOLjk5Ni4wMi8wOC8yMDI2Li4uVVNELkgBAAAAS1UAAAMAAAAAADOcQW8s8N4I5XOahyzw3gg2Q0lRLk5BU0RBUTpNU0ZULklRX0xFR0FMX1NFVFRMRS45OTYuMDIvMDgvMjAyNi4uLlVTRC5IAQAAAEtVAAADAAAA</t>
  </si>
  <si>
    <t>AAAznEFvLPDeCOVzmocs8N4ILUNJUS5OQVNEQVE6TVNGVC5JUV9FQlQuOTk5LjAyLzA4LzIwMjYuLi5VU0QuSAEAAABLVQAAAgAAAAYxMjM2MjcBCAAAAAUAAAABMQEAAAALLTE4ODAyMjk2ODYDAAAAAzE2MAIAAAADMTM5BAAAAAEwBwAAAAg4LzIvMjAyNggAAAAJNi8zMC8yMDI1CQAAAAEwM5xBbyzw3gjlc5qHLPDeCDpDSVEuTkFTREFROk1TRlQuSVFfRVhUUkFfQUNDX0lURU1TLjEwMDAuMDIvMDgvMjAyNi4uLlVTRC5IAQAAAEtVAAADAAAAAAAznEFvLPDeCFmbmocs8N4ILENJUS5OQVNEQVE6TVNGVC5JUV9OSS45OTMuMDIvMDgvMjAyNi4uLlVTRC5IAQAAAEtVAAACAAAABTM5MjQwAQgAAAAFAAAAATEBAAAACy0yMTQwOTgxNDY5AwAAAAMxNjACAAAAAjE1BAAAAAEwBwAAAAg4LzIvMjAyNggAAAAJNi8zMC8yMDE5CQAAAAEwM5xBbyzw3ghYwpqHLPDeCDdDSVEuTkFTREFROk1TRlQuSVFfTklfQVZBSUxfRVhDTC45OTQuMDIvMDgvMjAyNi4uLlVTRC5IAQAAAEtVAAACAAAABTQ0MjgxAQgAAAAFAAAAATEBAAAACy0yMDg3NDk2NjI3AwAAAAMxNjACAAAAAzM3OQQAAAABMAcAAAAIOC8yLzIwMjYIAAAACTYvMzAvMjAyMAkAAAABMDOcQW8s8N4I5XOahyzw3gg4Q0lRLk5BU0RBUTpNU0ZULklRX0RJTFVUX0VQU19JTkNMLjk5My4wMi8wOC8yMDI2Li4uVVNELkgBAAAAS1UAAAIAAAAENS4wNgEIAAAA</t>
  </si>
  <si>
    <t>BQAAAAExAQAAAAstMjE0MDk4MTQ2OQMAAAADMTYwAgAAAAE4BAAAAAEwBwAAAAg4LzIvMjAyNggAAAAJNi8zMC8yMDE5CQAAAAEwM5xBbyzw3ghZm5qHLPDeCDlDSVEuTkFTREFROk1TRlQuSVFfRElMVVRfRVBTX05PUk0uMTAwMC4wMi8wOC8yMDI2Li4uVVNELkgBAAAAS1UAAAIAAAAGMTMuMzkxAQgAAAAFAAAAATEBAAAACy0xODgwMjI5NjY1AwAAAAMxNjACAAAABDQzODAEAAAAATAHAAAACDgvMi8yMDI2CAAAAAk2LzMwLzIwMjYJAAAAATAznEFvLPDeCFmbmocs8N4IQkNJUS5OQVNEQVE6TVNGVC5JUV9ESVNUUklCVVRBQkxFX0NBU0hfU0hBUkUuOTkyLjAyLzA4LzIwMjYuLi5VU0QuSAEAAABLVQAAAwAAAAAAM5xBbyzw3ghYwpqHLPDeCDdDSVEuTkFTREFROk1TRlQuSVFfRUJJVERBX0VRX0lOQy45OTYuMDIvMDgvMjAyNi4uLlVTRC5IAQAAAEtVAAACAAAABjEwMDQxMgEIAAAABQAAAAExAQAAAAstMTk4NTkzMTIyNAMAAAADMTYwAgAAAAUyMTY3NwQAAAABMAcAAAAIOC8yLzIwMjYIAAAACTYvMzAvMjAyMgkAAAABMDOcQW8s8N4IWMKahyzw3ghAQ0lRLk5BU0RBUTpNU0ZULklRX0VCSVREQV9MRUFTRV9BREpVU1RFRC4xMDAwLjAyLzA4LzIwMjYuLi5VU0QuSAEAAABLVQAAAgAAAAYyMDEyMDUBCAAAAAUAAAABMQEAAAALLTE4ODAyMjk2NjUDAAAAAzE2MAIAAAAFNDg5OTMEAAAAATAHAAAACDgv</t>
  </si>
  <si>
    <t>Mi8yMDI2CAAAAAk2LzMwLzIwMjYJAAAAATAznEFvLPDeCFmbmocs8N4INUNJUS5OQVNEQVE6TVNGVC5JUV9FQklUX0VRX0lOQy45OTYuMDIvMDgvMjAyNi4uLlVTRC5IAQAAAEtVAAACAAAABTgzMzUxAQgAAAAFAAAAATEBAAAACy0xOTg1OTMxMjI0AwAAAAMxNjACAAAABTIxNjc1BAAAAAEwBwAAAAg4LzIvMjAyNggAAAAJNi8zMC8yMDIyCQAAAAEwM5xBbyzw3ghZm5qHLPDeCC9DSVEuTkFTREFROk1TRlQuSVFfRUJJVEEuOTk1LjAyLzA4LzIwMjYuLi5VU0QuSAEAAABLVQAAAgAAAAU3MTUxNgEIAAAABQAAAAExAQAAAAstMjAzNjg0Mzg0MwMAAAADMTYwAgAAAAYxMDA2ODkEAAAAATAHAAAACDgvMi8yMDI2CAAAAAk2LzMwLzIwMjEJAAAAATAznEFvLPDeCFmbmocs8N4IOENJUS5OQVNEQVE6TVNGVC5JUV9FQklUREFSX0VRX0lOQy45OTguMDIvMDgvMjAyNi4uLlVTRC5IAQAAAEtVAAACAAAABjEzNTIyNAEIAAAABQAAAAExAQAAAAstMTg4MDIyOTY5NAMAAAADMTYwAgAAAAUyNDEyOQQAAAABMAcAAAAIOC8yLzIwMjYIAAAACTYvMzAvMjAyNAkAAAABMFl1QW8s8N4ITOmahyzw3gg7Q0lRLk5BU0RBUTpNU0ZULklRX0ZFRVNfT1RIRVJfSU5DT01FLjk5NC4wMi8wOC8yMDI2Li4uVVNELkgBAAAAS1UAAAMAAAAAAFl1QW8s8N4ITOmahyzw3ghDQ0lRLk5BU0RBUTpNU0ZULklRX0VBUk5JTkdfUEFSRU5U</t>
  </si>
  <si>
    <t>X0VYQ0xfRVhUUkEuOTkyLjAyLzA4LzIwMjYuLi5VU0QuSAEAAABLVQAAAgAAAAUxNjU3MQEIAAAABQAAAAExAQAAAAoyMDQ3MjcxNzQ1AwAAAAMxNjACAAAABTQxNTk2BAAAAAEwBwAAAAg4LzIvMjAyNggAAAAJNi8zMC8yMDE4CQAAAAEwWXVBbyzw3ghYwpqHLPDeCEFDSVEuTkFTREFROk1TRlQuSVFfRVhDSVNFX1RBWEVTX0VYQ0xfU0FMRVMuOTk4LjAyLzA4LzIwMjYuLi5VU0QuSAEAAABLVQAAAwAAAAAAWXVBbyzw3ghYwpqHLPDeCEFDSVEuTkFTREFROk1TRlQuSVFfREVGRVJSRURfRE9NRVNUSUNfVEFYRVMuOTk2LjAyLzA4LzIwMjYuLi5VU0QuSAEAAABLVQAAAgAAAAUtNTg3NwEIAAAABQAAAAExAQAAAAstMTk4NTkzMTIyNAMAAAADMTYwAgAAAAQzMDU0BAAAAAEwBwAAAAg4LzIvMjAyNggAAAAJNi8zMC8yMDIyCQAAAAEwWXVBbyzw3ghYwpqHLPDeCDJDSVEuTkFTREFROk1TRlQuSVFfRElMVVRfTkkuOTk1LjAyLzA4LzIwMjYuLi5VU0QuSAEAAABLVQAAAgAAAAc2MTI0NC40AQgAAAAFAAAAATEBAAAACy0yMDM2ODQzODQzAwAAAAMxNjACAAAABDM1MjIEAAAAATAHAAAACDgvMi8yMDI2CAAAAAk2LzMwLzIwMjEJAAAAATBZdUFvLPDeCFgQm4cs8N4IPUNJUS5OQVNEQVE6TVNGVC5JUV9OT05DQVNIX1BFTlNJT05fRVhQLjk5NC4wMi8wOC8yMDI2Li4uVVNELkgBAAAAS1UAAAMAAAAAAFl1QW8s</t>
  </si>
  <si>
    <t>8N4IWBCbhyzw3gg1Q0lRLk5BU0RBUTpNU0ZULklRX0NPTU1PTl9ESVYuMTAwMC4wMi8wOC8yMDI2Li4uVVNELkgBAAAAS1UAAAIAAAAFMjcwMzUAWXVBbyzw3ghYwpqHLPDeCDBDSVEuTkFTREFROk1TRlQuSVFfR0FfRVhQLjk5Ni4wMi8wOC8yMDI2Li4uVVNELkgBAAAAS1UAAAIAAAAENTkwMAEIAAAABQAAAAExAQAAAAstMTk4NTkzMTIyNAMAAAADMTYwAgAAAAUyMTU2MgQAAAABMAcAAAAIOC8yLzIwMjYIAAAACTYvMzAvMjAyMgkAAAABMFl1QW8s8N4ITOmahyzw3gg/Q0lRLk5BU0RBUTpNU0ZULklRX05FVF9SRU5UQUxfRVhQX1NVUFBMRS45OTkuMDIvMDgvMjAyNi4uLlVTRC5IAQAAAEtVAAACAAAABDU1MjQBCAAAAAUAAAABMQEAAAALLTE4ODAyMjk2ODYDAAAAAzE2MAIAAAAFMjQyNjMEAAAAATAHAAAACDgvMi8yMDI2CAAAAAk2LzMwLzIwMjUJAAAAATBZdUFvLPDeCEzpmocs8N4IQUNJUS5OQVNEQVE6TVNGVC5JUV9FWFBMT1JFX0RSSUxMX0VYUF9UT1RBTC45OTcuMDIvMDgvMjAyNi4uLlVTRC5IAQAAAEtVAAADAAAAAABZdUFvLPDeCJs3m4cs8N4IN0NJUS5OQVNEQVE6TVNGVC5JUV9NRVJHRVJfU1VQUExFLjk5Ny4wMi8wOC8yMDI2Li4uVVNELkgBAAAAS1UAAAMAAAAAAFl1QW8s8N4Imzebhyzw3gg+Q0lRLk5BU0RBUTpNU0ZULklRX0xFR0FMX1NFVFRMRV9TVVBQTEUuMTAwMC4wMi8wOC8y</t>
  </si>
  <si>
    <t>MDI2Li4uVVNELkgBAAAAS1UAAAMAAAAAAFl1QW8s8N4ITOmahyzw3gg7Q0lRLk5BU0RBUTpNU0ZULklRX1NUT0NLX0JBU0VEX09USEVSLjk5Ni4wMi8wOC8yMDI2Li4uVVNELkgBAAAAS1UAAAIAAAAENzUwMgEIAAAABQAAAAExAQAAAAstMTk4NTkzMTIyNAMAAAADMTYwAgAAAAUyMjY3NgQAAAABMAcAAAAIOC8yLzIwMjYIAAAACTYvMzAvMjAyMgkAAAABMFl1QW8s8N4ITOmahyzw3gg+Q0lRLk5BU0RBUTpNU0ZULklRX1NUT0NLX0JBU0VEX0NPTVBfVEFYLjk5Mi4wMi8wOC8yMDI2Li4uVVNELkgBAAAAS1UAAAIAAAAELTgyMwBZdUFvLPDeCFgQm4cs8N4IN0NJUS5OQVNEQVE6TVNGVC5JUV9JTkNfRVFVSVRZX0NGLjk5NC4wMi8wOC8yMDI2Li4uVVNELkgBAAAAS1UAAAMAAAAAAFl1QW8s8N4Itl6bhyzw3ghHQ0lRLk5BU0RBUTpNU0ZULklRX0RFUFJFQ0lBVElPTl9SRU5UQUxfQVNTRVRTX0NGLjk5My4wMi8wOC8yMDI2Li4uVVNELkgBAAAAS1UAAAMAAAAAAFl1QW8s8N4Itl6bhyzw3ghAQ0lRLk5BU0RBUTpNU0ZULklRX0FTU0VUX1dSSVRFRE9XTl9TVVBQTEUuOTk2LjAyLzA4LzIwMjYuLi5VU0QuSAEAAABLVQAAAwAAAAAAWXVBbyzw3ghYEJuHLPDeCDpDSVEuTkFTREFROk1TRlQuSVFfR0FJTl9CQVJHQUlOX0FDUS45OTguMDIvMDgvMjAyNi4uLlVTRC5IAQAAAEtVAAADAAAAAABZdUFvLPDeCFgQ</t>
  </si>
  <si>
    <t>m4cs8N4IPENJUS5OQVNEQVE6TVNGVC5JUV9JTlNfU0VUVExFX1NVUFBMRS4xMDAwLjAyLzA4LzIwMjYuLi5VU0QuSAEAAABLVQAAAwAAAAAAWXVBbyzw3gibN5uHLPDeCD5DSVEuTkFTREFROk1TRlQuSVFfVE9UQUxfVU5VU1VBTF9TVVBQTEUuOTk3LjAyLzA4LzIwMjYuLi5VU0QuSAEAAABLVQAAAwAAAAAAWXVBbyzw3gi3hZuHLPDeCD5DSVEuTkFTREFROk1TRlQuSVFfTkVHQVRJVkVfR1dfQU1PUlRfQVQuOTk5LjAyLzA4LzIwMjYuLi5VU0QuSAEAAABLVQAAAwAAAAAAWXVBbyzw3gi3hZuHLPDeCDhDSVEuTkFTREFROk1TRlQuSVFfU1RPQ0tfQkFTRURfU00uOTk2LjAyLzA4LzIwMjYuLi5VU0QuSAEAAABLVQAAAwAAAAAAWXVBbyzw3gibN5uHLPDeCDlDSVEuTkFTREFROk1TRlQuSVFfU1RPQ0tfQkFTRURfU0dBLjk5OC4wMi8wOC8yMDI2Li4uVVNELkgBAAAAS1UAAAMAAAAAAFl1QW8s8N4Imzebhyzw3gg7Q0lRLk5BU0RBUTpNU0ZULklRX1NUT0NLX0JBU0VEX09USEVSLjk5OS4wMi8wOC8yMDI2Li4uVVNELkgBAAAAS1UAAAIAAAAFMTE5NzQBCAAAAAUAAAABMQEAAAALLTE4ODAyMjk2ODYDAAAAAzE2MAIAAAAFMjI2NzYEAAAAATAHAAAACDgvMi8yMDI2CAAAAAk2LzMwLzIwMjUJAAAAATBZdUFvLPDeCLZem4cs8N4IQUNJUS5OQVNEQVE6TVNGVC5JUV9SRVNUUl9TVE9DS19DT01QX1BSRVRBWC45</t>
  </si>
  <si>
    <t>OTcuMDIvMDgvMjAyNi4uLlVTRC5IAQAAAEtVAAADAAAAAABZdUFvLPDeCLeFm4cs8N4IOkNJUS5OQVNEQVE6TVNGVC5JUV9SRVNUUl9TVE9DS19DT01QLjk5OC4wMi8wOC8yMDI2Li4uVVNELkgBAAAAS1UAAAMAAAAAAFl1QW8s8N4I26ybhyzw3gg8Q0lRLk5BU0RBUTpNU0ZULklRX1NUT0NLX09QVElPTlNfQ09NUC45OTYuMDIvMDgvMjAyNi4uLlVTRC5IAQAAAEtVAAADAAAAAABZdUFvLPDeCLZem4cs8N4IPkNJUS5OQVNEQVE6TVNGVC5JUV9TVE9DS19CQVNFRF9DT01QX1RBWC45OTcuMDIvMDgvMjAyNi4uLlVTRC5IAQAAAEtVAAACAAAABS0xNjUxAFl1QW8s8N4Itl6bhyzw3ggvQ0lRLk5BU0RBUTpNU0ZULklRX05JX0NGLjk5OC4wMi8wOC8yMDI2Li4uVVNELkgBAAAAS1UAAAIAAAAFODgxMzYBCAAAAAUAAAABMQEAAAALLTE4ODAyMjk2OTQDAAAAAzE2MAIAAAAEMjE1MAQAAAABMAcAAAAIOC8yLzIwMjYIAAAACTYvMzAvMjAyNAkAAAABMFl1QW8s8N4Itl6bhyzw3ggvQ0lRLk5BU0RBUTpNU0ZULklRX0RBX0NGLjk5NC4wMi8wOC8yMDI2Li4uVVNELkgBAAAAS1UAAAIAAAAFMTIzMDABCAAAAAUAAAABMQEAAAALLTIwODc0OTY2MjcDAAAAAzE2MAIAAAAEMjE2MAQAAAABMAcAAAAIOC8yLzIwMjYIAAAACTYvMzAvMjAyMAkAAAABMFl1QW8s8N4I26ybhyzw3gg+Q0lRLk5BU0RBUTpNU0ZULklRX01J</t>
  </si>
  <si>
    <t>Tk9SSVRZX0lOVEVSRVNUX0NGLjk5NS4wMi8wOC8yMDI2Li4uVVNELkgBAAAAS1UAAAMAAAAAAFl1QW8s8N4I26ybhyzw3gg8Q0lRLk5BU0RBUTpNU0ZULklRX0FTU0VUX1dSSVRFRE9XTl9DRi45OTMuMDIvMDgvMjAyNi4uLlVTRC5IAQAAAEtVAAADAAAAAABZdUFvLPDeCLeFm4cs8N4IOENJUS5OQVNEQVE6TVNGVC5JUV9DUkVESVRfTE9TU19DRi45OTQuMDIvMDgvMjAyNi4uLlVTRC5IAQAAAEtVAAADAAAAAABZdUFvLPDeCLeFm4cs8N4IOENJUS5OQVNEQVE6TVNGVC5JUV9TVE9DS19CQVNFRF9DRi45OTUuMDIvMDgvMjAyNi4uLlVTRC5IAQAAAEtVAAACAAAABDYxMTgBCAAAAAUAAAABMQEAAAALLTIwMzY4NDM4NDMDAAAAAzE2MAIAAAAEMjEyNwQAAAABMAcAAAAIOC8yLzIwMjYIAAAACTYvMzAvMjAyMQkAAAABMFl1QW8s8N4It4Wbhyzw3ggvQ0lRLk5BU0RBUTpNU0ZULklRX0RPX0NGLjk5My4wMi8wOC8yMDI2Li4uVVNELkgBAAAAS1UAAAMAAAAAAFl1QW8s8N4I1tObhyzw3gg/Q0lRLk5BU0RBUTpNU0ZULklRX0NIQU5HRV9UUkFESU5HX0FTU0VUUy45OTQuMDIvMDgvMjAyNi4uLlVTRC5IAQAAAEtVAAADAAAAAABZdUFvLPDeCNbTm4cs8N4IM0NJUS5OQVNEQVE6TVNGVC5JUV9DSEFOR0VfQVAuOTkyLjAyLzA4LzIwMjYuLi5VU0QuSAEAAABLVQAAAgAAAAQxMTQ4AQgAAAAFAAAAATEBAAAACjIw</t>
  </si>
  <si>
    <t>NDcyNzE3NDUDAAAAAzE2MAIAAAAEMjAxNwQAAAABMAcAAAAIOC8yLzIwMjYIAAAACTYvMzAvMjAxOAkAAAABMFl1QW8s8N4I26ybhyzw3gg4Q0lRLk5BU0RBUTpNU0ZULklRX0NIQU5HRV9JTkNfVEFYLjk5My4wMi8wOC8yMDI2Li4uVVNELkgBAAAAS1UAAAIAAAAEMjkyOQEIAAAABQAAAAExAQAAAAstMjE0MDk4MTQ2OQMAAAADMTYwAgAAAAQyMTAxBAAAAAEwBwAAAAg4LzIvMjAyNggAAAAJNi8zMC8yMDE5CQAAAAEwWXVBbyzw3gjbrJuHLPDeCEZDSVEuTkFTREFROk1TRlQuSVFfQ0hBTkdFX09USEVSX05FVF9PUEVSX0FTU0VUUy45OTUuMDIvMDgvMjAyNi4uLlVTRC5IAQAAAEtVAAACAAAABDExNjABCAAAAAUAAAABMQEAAAALLTIwMzY4NDM4NDMDAAAAAzE2MAIAAAAEMjA0NQQAAAABMAcAAAAIOC8yLzIwMjYIAAAACTYvMzAvMjAyMQkAAAABMFl1QW8s8N4I26ybhyzw3gg1Q0lRLk5BU0RBUTpNU0ZULklRX1NBTEVfUFBFX0NGLjk5Mi4wMi8wOC8yMDI2Li4uVVNELkgBAAAAS1UAAAMAAAAAAFl1QW8s8N4I1tObhyzw3ggzQ0lRLk5BU0RBUTpNU0ZULklRX0RJVkVTVF9DRi45OTQuMDIvMDgvMjAyNi4uLlVTRC5IAQAAAEtVAAADAAAAAABZdUFvLPDeCAr7m4cs8N4IPUNJUS5OQVNEQVE6TVNGVC5JUV9JTlZFU1RfU0VDVVJJVFlfQ0YuMTAwMC4wMi8wOC8yMDI2Li4uVVNELkgBAAAAS1UAAAIAAAAF</t>
  </si>
  <si>
    <t>LTE5NDgBCAAAAAUAAAABMQEAAAALLTE4ODAyMjk2NjUDAAAAAzE2MAIAAAAEMjAyNwQAAAABMAcAAAAIOC8yLzIwMjYIAAAACTYvMzAvMjAyNgkAAAABMFl1QW8s8N4I26ybhyzw3ghAQ0lRLk5BU0RBUTpNU0ZULklRX09USEVSX0lOVkVTVF9BQ1RfU1VQUEwuOTkzLjAyLzA4LzIwMjYuLi5VU0QuSAEAAABLVQAAAwAAAAAAWXVBbyzw3gjW05uHLPDeCDhDSVEuTkFTREFROk1TRlQuSVFfU1RfREVCVF9JU1NVRUQuOTk1LjAyLzA4LzIwMjYuLi5VU0QuSAEAAABLVQAAAwAAAAAAWXVBbyzw3gjW05uHLPDeCDlDSVEuTkFTREFROk1TRlQuSVFfU1RfREVCVF9SRVBBSUQuMTAwMC4wMi8wOC8yMDI2Li4uVVNELkgBAAAAS1UAAAMAAAAAAFl1QW8s8N4ICvubhyzw3gg7Q0lRLk5BU0RBUTpNU0ZULklRX1RPVEFMX0RFQlRfUkVQQUlELjk5NC4wMi8wOC8yMDI2Li4uVVNELkgBAAAAS1UAAAIAAAAFLTU1MTgBCAAAAAUAAAABMQEAAAALLTIwODc0OTY2MjcDAAAAAzE2MAIAAAAEMjE2NgQAAAABMAcAAAAIOC8yLzIwMjYIAAAACTYvMzAvMjAyMAkAAAABMFl1QW8s8N4ICvubhyzw3gg1Q0lRLk5BU0RBUTpNU0ZULklRX1BSRUZfSVNTVUVELjk5OS4wMi8wOC8yMDI2Li4uVVNELkgBAAAAS1UAAAMAAAAAAFl1QW8s8N4I1tObhyzw3gg4Q0lRLk5BU0RBUTpNU0ZULklRX0NPTU1PTl9ESVZfQ0YuMTAwMC4wMi8wOC8y</t>
  </si>
  <si>
    <t>MDI2Li4uVVNELkgBAAAAS1UAAAIAAAAGLTI2NDQ1AQgAAAAFAAAAATEBAAAACy0xODgwMjI5NjY1AwAAAAMxNjACAAAABDIwNzQEAAAAATAHAAAACDgvMi8yMDI2CAAAAAk2LzMwLzIwMjYJAAAAATBZdUFvLPDeCNbTm4cs8N4IPENJUS5OQVNEQVE6TVNGVC5JUV9DT01NT05fUFJFRl9ESVZfQ0YuOTk1LjAyLzA4LzIwMjYuLi5VU0QuSAEAAABLVQAAAwAAAAAAWXVBbyzw3gjW05uHLPDeCEFDSVEuTkFTREFROk1TRlQuSVFfT1RIRVJfRklOQU5DRV9BQ1RfU1VQUEwuOTk5LjAyLzA4LzIwMjYuLi5VU0QuSAEAAABLVQAAAgAAAAUtMjI5MQEIAAAABQAAAAExAQAAAAstMTg4MDIyOTY4NgMAAAADMTYwAgAAAAQyMDUwBAAAAAEwBwAAAAg4LzIvMjAyNggAAAAJNi8zMC8yMDI1CQAAAAEwWXVBbyzw3ggdIpyHLPDeCDhDSVEuTkFTREFROk1TRlQuSVFfTUlTQ19BREpVU1RfQ0YuOTkyLjAyLzA4LzIwMjYuLi5VU0QuSAEAAABLVQAAAwAAAAAAWXVBbyzw3ggdIpyHLPDeCD1DSVEuTkFTREFROk1TRlQuSVFfREFfU1VQUExfUEFSVElBTF9DRi45OTkuMDIvMDgvMjAyNi4uLlVTRC5IAQAAAEtVAAADAAAAAABZdUFvLPDeCAr7m4cs8N4IR0NJUS5OQVNEQVE6TVNGVC5JUV9ERVBSRUNJQVRJT05fUkVOVEFMX0FTU0VUU19DRi45OTkuMDIvMDgvMjAyNi4uLlVTRC5IAQAAAEtVAAADAAAAAABZdUFvLPDeCAr7m4cs</t>
  </si>
  <si>
    <t>8N4IQENJUS5OQVNEQVE6TVNGVC5JUV9EQV9DRl9FWENMX09QRVJfTEVBU0VTLjk5OC4wMi8wOC8yMDI2Li4uVVNELkgBAAAAS1UAAAIAAAAFMjAwMDABCAAAAAUAAAABMQEAAAALLTE4ODAyMjk2OTQDAAAAAzE2MAIAAAAFNDg5ODUEAAAAATAHAAAACDgvMi8yMDI2CAAAAAk2LzMwLzIwMjQJAAAAATBZdUFvLPDeCAr7m4cs8N4IQkNJUS5OQVNEQVE6TVNGVC5JUV9BTU9SVF9TT0ZUV0FSRV9BU1NFVFNfQ0YuOTk3LjAyLzA4LzIwMjYuLi5VU0QuSAEAAABLVQAAAwAAAAAAWXVBbyzw3ggLSZyHLPDeCDdDSVEuTkFTREFROk1TRlQuSVFfQ0FTSF9JTlRFUkVTVC45OTMuMDIvMDgvMjAyNi4uLlVTRC5IAQAAAEtVAAACAAAABDI0MDABCAAAAAUAAAABMQEAAAALLTIxNDA5ODE0NjkDAAAAAzE2MAIAAAAEMzAyOAQAAAABMAcAAAAIOC8yLzIwMjYIAAAACTYvMzAvMjAxOQkAAAABMFl1QW8s8N4IC0mchyzw3ghAQ0lRLk5BU0RBUTpNU0ZULklRX0NBU0hfSU5URVJFU1RfUkVDRUlWRUQuOTk2LjAyLzA4LzIwMjYuLi5VU0QuSAEAAABLVQAAAwAAAAAAWXVBbyzw3ggK+5uHLPDeCD1DSVEuTkFTREFROk1TRlQuSVFfQ0FTSF9JTlRFUkVTVF9GSU5BTi45OTUuMDIvMDgvMjAyNi4uLlVTRC5IAQAAAEtVAAADAAAAAABZdUFvLPDeCB0inIcs8N4IO0NJUS5OQVNEQVE6TVNGVC5JUV9DQVNIX1RBWEVTX0lOVkVTVC45</t>
  </si>
  <si>
    <t>OTQuMDIvMDgvMjAyNi4uLlVTRC5IAQAAAEtVAAADAAAAAABZdUFvLPDeCB0inIcs8N4IRENJUS5OQVNEQVE6TVNGVC5JUV9DSEFOR0VfTkVUX1dPUktJTkdfQ0FQSVRBTC45OTMuMDIvMDgvMjAyNi4uLlVTRC5IAQAAAEtVAAACAAAABS0zNDM1AQgAAAAFAAAAATEBAAAACy0yMTQwOTgxNDY5AwAAAAMxNjACAAAABDQ0MjEEAAAAATAHAAAACDgvMi8yMDI2CAAAAAk2LzMwLzIwMTkJAAAAATBZdUFvLPDeCAtJnIcs8N4IMkNJUS5OQVNEQVE6TVNGVC5JUV9DRl9TSEFSRS45OTIuMDIvMDgvMjAyNi4uLlVTRC5IAQAAAEtVAAACAAAACDQuMTg4NTcxAQgAAAAFAAAAATEBAAAACjIwNDcyNzE3NDUDAAAAAzE2MAIAAAAFNDM5MjMEAAAAATAHAAAACDgvMi8yMDI2CAAAAAk2LzMwLzIwMTgJAAAAATBZdUFvLPDeCAtJnIcs8N4INkNJUS5OQVNEQVE6TVNGVC5JUV9ET19JTlZFU1RfQ0YuOTkzLjAyLzA4LzIwMjYuLi5VU0QuSAEAAABLVQAAAwAAAAAAWXVBbyzw3ggdIpyHLPDeCEJDSVEuTkFTREFROk1TRlQuSVFfT1BFUkFUSU5HX0xFQVNFX1BBWU1FTlRTLjk5Ni4wMi8wOC8yMDI2Li4uVVNELkgBAAAAS1UAAAMAAAAAAFl1QW8s8N4IHSKchyzw3ghNQ0lRLk5BU0RBUTpNU0ZULklRX09QRVJBVElOR19MRUFTRV9MSUFCSUxJVElFU19OT05DQVNILjk5OC4wMi8wOC8yMDI2Li4uVVNELkgBAAAAS1UAAAMAAAAA</t>
  </si>
  <si>
    <t>AFl1QW8s8N4IHSKchyzw3gg9Q0lRLk5BU0RBUTpNU0ZULklRX0dBSU5fQkFSR0FJTl9BQ1FfQ0YuOTk4LjAyLzA4LzIwMjYuLi5VU0QuSAEAAABLVQAAAwAAAAAAWXVBbyzw3ghDcJyHLPDeCDlDSVEuTkFTREFROk1TRlQuSVFfVFJBRElOR19BU1NFVFMuMTAwMC4wMi8wOC8yMDI2Li4uVVNELkgBAAAAS1UAAAMAAAAAAFl1QW8s8N4IQ3Cchyzw3gg2Q0lRLk5BU0RBUTpNU0ZULklRX09USEVSX1JFQ0VJVi45OTIuMDIvMDgvMjAyNi4uLlVTRC5IAQAAAEtVAAADAAAAAABZdUFvLPDeCAtJnIcs8N4IM0NJUS5OQVNEQVE6TVNGVC5JUV9JTlZFTlRPUlkuOTkzLjAyLzA4LzIwMjYuLi5VU0QuSAEAAABLVQAAAgAAAAQyMDYzAQgAAAAFAAAAATEBAAAACy0yMTQwOTgxNDY5AwAAAAMxNjACAAAABDEwNDMEAAAAATAHAAAACDgvMi8yMDI2CAAAAAk2LzMwLzIwMTkJAAAAATBZdUFvLPDeCAtJnIcs8N4IQENJUS5OQVNEQVE6TVNGVC5JUV9GSU5fRElWX0FTU0VUU19DVVJSRU5ULjk5NC4wMi8wOC8yMDI2Li4uVVNELkgBAAAAS1UAAAMAAAAAAFl1QW8s8N4IC0mchyzw3ghAQ0lRLk5BU0RBUTpNU0ZULklRX0RFRl9UQVhfQVNTRVRTX0NVUlJFTlQuOTk5LjAyLzA4LzIwMjYuLi5VU0QuSAEAAABLVQAAAwAAAAAAWXVBbyzw3ggll5yHLPDeCDJDSVEuTkFTREFROk1TRlQuSVFfVE9UQUxfQ0EuOTk5LjAyLzA4LzIw</t>
  </si>
  <si>
    <t>MjYuLi5VU0QuSAEAAABLVQAAAgAAAAYxOTExMzEBCAAAAAUAAAABMQEAAAALLTE4ODAyMjk2ODYDAAAAAzE2MAIAAAAEMTAwOAQAAAABMAcAAAAIOC8yLzIwMjYIAAAACTYvMzAvMjAyNQkAAAABMFl1QW8s8N4IJZechyzw3gguQ0lRLk5BU0RBUTpNU0ZULklRX05QUEUuOTkyLjAyLzA4LzIwMjYuLi5VU0QuSAEAAABLVQAAAgAAAAUzNjE0NgEIAAAABQAAAAExAQAAAAoyMDQ3MjcxNzQ1AwAAAAMxNjACAAAABDEwMDQEAAAAATAHAAAACDgvMi8yMDI2CAAAAAk2LzMwLzIwMTgJAAAAATBZdUFvLPDeCENwnIcs8N4INUNJUS5OQVNEQVE6TVNGVC5JUV9PVEhFUl9JTlRBTi45OTIuMDIvMDgvMjAyNi4uLlVTRC5IAQAAAEtVAAACAAAABDgwNTMBCAAAAAUAAAABMQEAAAAKMjA0NzI3MTc0NQMAAAADMTYwAgAAAAQxMDQwBAAAAAEwBwAAAAg4LzIvMjAyNggAAAAJNi8zMC8yMDE4CQAAAAEwWXVBbyzw3ghDcJyHLPDeCDtDSVEuTkFTREFROk1TRlQuSVFfRklOX0RJVl9BU1NFVFNfTFQuOTk1LjAyLzA4LzIwMjYuLi5VU0QuSAEAAABLVQAAAwAAAAAAWXVBbyzw3ghDcJyHLPDeCDtDSVEuTkFTREFROk1TRlQuSVFfREVGX1RBWF9BU1NFVFNfTFQuOTk1LjAyLzA4LzIwMjYuLi5VU0QuSAEAAABLVQAAAgAAAAQ3MTgxAQgAAAAFAAAAATEBAAAACy0yMDM2ODQzODQzAwAAAAMxNjACAAAABDEwMjYEAAAAATAHAAAA</t>
  </si>
  <si>
    <t>CDgvMi8yMDI2CAAAAAk2LzMwLzIwMjEJAAAAATBZdUFvLPDeCG2+nIcs8N4ILENJUS5OQVNEQVE6TVNGVC5JUV9BUC45OTQuMDIvMDgvMjAyNi4uLlVTRC5IAQAAAEtVAAACAAAABTEyNTMwAQgAAAAFAAAAATEBAAAACy0yMDg3NDk2NjI3AwAAAAMxNjACAAAABDEwMTgEAAAAATAHAAAACDgvMi8yMDI2CAAAAAk2LzMwLzIwMjAJAAAAATBZdUFvLPDeCG2+nIcs8N4IMUNJUS5OQVNEQVE6TVNGVC5JUV9TVF9ERUJULjk5Ny4wMi8wOC8yMDI2Li4uVVNELkgBAAAAS1UAAAMAAAAAAFl1QW8s8N4IQ3Cchyzw3gg+Q0lRLk5BU0RBUTpNU0ZULklRX0ZJTl9ESVZfREVCVF9DVVJSRU5ULjk5Ny4wMi8wOC8yMDI2Li4uVVNELkgBAAAAS1UAAAMAAAAAAFl1QW8s8N4IJZechyzw3gg8Q0lRLk5BU0RBUTpNU0ZULklRX1VORUFSTl9SRVZfQ1VSUkVOVC45OTcuMDIvMDgvMjAyNi4uLlVTRC5IAQAAAEtVAAACAAAABTUwOTAxAQgAAAAFAAAAATEBAAAACy0xOTM0MjU0MjUwAwAAAAMxNjACAAAABDEwNzQEAAAAATAHAAAACDgvMi8yMDI2CAAAAAk2LzMwLzIwMjMJAAAAATBZdUFvLPDeCCWXnIcs8N4IMkNJUS5OQVNEQVE6TVNGVC5JUV9UT1RBTF9DTC45OTIuMDIvMDgvMjAyNi4uLlVTRC5IAQAAAEtVAAACAAAABTU4NDg4AQgAAAAFAAAAATEBAAAACjIwNDcyNzE3NDUDAAAAAzE2MAIAAAAEMTAwOQQAAAABMAcAAAAI</t>
  </si>
  <si>
    <t>OC8yLzIwMjYIAAAACTYvMzAvMjAxOAkAAAABMFl1QW8s8N4Ibb6chyzw3gg5Q0lRLk5BU0RBUTpNU0ZULklRX0ZJTl9ESVZfREVCVF9MVC45OTIuMDIvMDgvMjAyNi4uLlVTRC5IAQAAAEtVAAADAAAAAABZdUFvLPDeCHnlnIcs8N4IMUNJUS5OQVNEQVE6TVNGVC5JUV9QRU5TSU9OLjk5OS4wMi8wOC8yMDI2Li4uVVNELkgBAAAAS1UAAAMAAAAAAFl1QW8s8N4IJZechyzw3gg1Q0lRLk5BU0RBUTpNU0ZULklRX1BSRUZfUkVERUVNLjk5OS4wMi8wOC8yMDI2Li4uVVNELkgBAAAAS1UAAAMAAAAAAFl1QW8s8N4IJZechyzw3gg1Q0lRLk5BU0RBUTpNU0ZULklRX1BSRUZfRVFVSVRZLjk5OS4wMi8wOC8yMDI2Li4uVVNELkgBAAAAS1UAAAMAAAAAAFl1QW8s8N4IJZechyzw3ggzQ0lRLk5BU0RBUTpNU0ZULklRX1RSRUFTVVJZLjEwMDAuMDIvMDgvMjAyNi4uLlVTRC5IAQAAAEtVAAADAAAAAABZdUFvLPDeCHnlnIcs8N4INkNJUS5OQVNEQVE6TVNGVC5JUV9UT1RBTF9FUVVJVFkuOTk3LjAyLzA4LzIwMjYuLi5VU0QuSAEAAABLVQAAAgAAAAYyMDYyMjMBCAAAAAUAAAABMQEAAAALLTE5MzQyNTQyNTADAAAAAzE2MAIAAAAEMTI3NQQAAAABMAcAAAAIOC8yLzIwMjYIAAAACTYvMzAvMjAyMwkAAAABMFl1QW8s8N4IeeWchyzw3gg3Q0lRLk5BU0RBUTpNU0ZULklRX1JVQV9BQ0NVTV9ERVAuOTk0LjAyLzA4LzIw</t>
  </si>
  <si>
    <t>MjYuLi5VU0QuSAEAAABLVQAAAwAAAAAAWXVBbyzw3ghtvpyHLPDeCENDSVEuTkFTREFROk1TRlQuSVFfUlVBX09QRVJBVElOR19MRUFTRV9HUk9TUy45OTYuMDIvMDgvMjAyNi4uLlVTRC5IAQAAAEtVAAACAAAABTEzMTQ4AQgAAAAFAAAAATEBAAAACy0xOTg1OTMxMjI0AwAAAAMxNjACAAAABTQ4Mzc3BAAAAAEwBwAAAAg4LzIvMjAyNggAAAAJNi8zMC8yMDIyCQAAAAEwWXVBbyzw3ghtvpyHLPDeCD1DSVEuTkFTREFROk1TRlQuSVFfQURfRVhDTF9PUEVSX0xFQVNFUy45OTYuMDIvMDgvMjAyNi4uLlVTRC5IAQAAAEtVAAACAAAABi01OTY2MAEIAAAABQAAAAExAQAAAAstMTk4NTkzMTIyNAMAAAADMTYwAgAAAAU0ODk3NQQAAAABMAcAAAAIOC8yLzIwMjYIAAAACTYvMzAvMjAyMgkAAAABMFl1QW8s8N4Ibb6chyzw3gg+Q0lRLk5BU0RBUTpNU0ZULklRX1RPVEFMX0ZJTkFOQ0VfTEVBU0VTLjk5NS4wMi8wOC8yMDI2Li4uVVNELkgBAAAAS1UAAAIAAAAFMTI1NDEBCAAAAAUAAAABMQEAAAALLTIwMzY4NDM4NDMDAAAAAzE2MAIAAAAFNDkwMzEEAAAAATAHAAAACDgvMi8yMDI2CAAAAAk2LzMwLzIwMjEJAAAAATBZdUFvLPDeCGQMnYcs8N4INkNJUS5OQVNEQVE6TVNGVC5JUV9UT1RBTF9MRUFTRVMuOTk0LjAyLzA4LzIwMjYuLi5VU0QuSAEAAABLVQAAAgAAAAUxODc4MwEIAAAABQAAAAExAQAAAAstMjA4</t>
  </si>
  <si>
    <t>NzQ5NjYyNwMAAAADMTYwAgAAAAU0ODk3OQQAAAABMAcAAAAIOC8yLzIwMjYIAAAACTYvMzAvMjAyMAkAAAABMFl1QW8s8N4IZAydhyzw3ggyQ0lRLk5BU0RBUTpNU0ZULklRX0JWX1NIQVJFLjk5NS4wMi8wOC8yMDI2Li4uVVNELkgBAAAAS1UAAAIAAAAJMTguODgzODk0AQgAAAAFAAAAATEBAAAACy0yMDM2ODQzODQzAwAAAAMxNjACAAAABDQwMjAEAAAAATAHAAAACDgvMi8yMDI2CAAAAAk2LzMwLzIwMjEJAAAAATBZdUFvLPDeCHnlnIcs8N4INENJUS5OQVNEQVE6TVNGVC5JUV9DQVNIX1NIQVJFLjk5Mi4wMi8wOC8yMDI2Li4uVVNELkgBAAAAS1UAAAIAAAAIMS41NTYwNzYBCAAAAAUAAAABMQEAAAAKMjA0NzI3MTc0NQMAAAADMTYwAgAAAAQ0MzgxBAAAAAEwBwAAAAg4LzIvMjAyNggAAAAJNi8zMC8yMDE4CQAAAAEwWXVBbyzw3gh55ZyHLPDeCEFDSVEuTkFTREFROk1TRlQuSVFfTUlOT1JJVFlfSU5URVJFU1RfVE9UQUwuOTk3LjAyLzA4LzIwMjYuLi5VU0QuSAEAAABLVQAAAwAAAAAAWXVBbyzw3gh55ZyHLPDeCDVDSVEuTkFTREFROk1TRlQuSVFfQVJfVU5CSUxMRUQuOTk1LjAyLzA4LzIwMjYuLi5VU0QuSAEAAABLVQAAAwAAAAAAWXVBbyzw3ghkDJ2HLPDeCDNDSVEuTkFTREFROk1TRlQuSVFfT1RIRVJfSU5WLjk5Ny4wMi8wOC8yMDI2Li4uVVNELkgBAAAAS1UAAAMAAAAAAFl1QW8s8N4IcjOd</t>
  </si>
  <si>
    <t>hyzw3ggtQ0lRLk5BU0RBUTpNU0ZULklRX0NJUC45OTIuMDIvMDgvMjAyNi4uLlVTRC5IAQAAAEtVAAADAAAAAABZdUFvLPDeCHnlnIcs8N4IR0NJUS5OQVNEQVE6TVNGVC5JUV9HRU5FUkFMX1BBUlRORVJfQ09NTU9OX0VRVUlUWS45OTQuMDIvMDgvMjAyNi4uLlVTRC5IAQAAAEtVAAADAAAAAABZdUFvLPDeCGQMnYcs8N4IOENJUS5OQVNEQVE6TVNGVC5JUV9BU1NFVFNfTEVWRUxfMi45OTIuMDIvMDgvMjAyNi4uLlVTRC5IAQAAAEtVAAACAAAABTIyOTU4AFl1QW8s8N4IZAydhyzw3gg/Q0lRLk5BU0RBUTpNU0ZULklRX0ZJTl9ESVZfU1RfREVCVF9UT1RBTC45OTcuMDIvMDgvMjAyNi4uLlVTRC5IAQAAAEtVAAADAAAAAABZdUFvLPDeCHIznYcs8N4IPkNJUS5OQVNEQVE6TVNGVC5JUV9ERVJJVkFUSVZFX0FTU0VUU19MVC45OTUuMDIvMDgvMjAyNi4uLlVTRC5IAQAAAEtVAAACAAAAAjQzAQgAAAAFAAAAATEBAAAACy0yMDM2ODQzODQzAwAAAAMxNjACAAAABDExMTAEAAAAATAHAAAACDgvMi8yMDI2CAAAAAk2LzMwLzIwMjEJAAAAATBZdUFvLPDeCHIznYcs8N4IMUNJUS5OQVNEQVE6TVNGVC5JUV9FQklUREFSLjk5Mi4wMi8wOC8yMDI2Li4uVVNELkgBAAAAS1UAAAIAAAAFNDY1NDMBCAAAAAUAAAABMQEAAAAKMjA0NzI3MTc0NQMAAAADMTYwAgAAAAUyMTY3NAQAAAABMAcAAAAIOC8yLzIwMjYIAAAA</t>
  </si>
  <si>
    <t>CTYvMzAvMjAxOAkAAAABMFl1QW8s8N4IZAydhyzw3ghBQ0lRLk5BU0RBUTpNU0ZULklRX0VCSVREQVJfRVFfSU5DX0VYQ0xfU0JDLjk5My4wMi8wOC8yMDI2Li4uVVNELkgBAAAAS1UAAAIAAAAFNjA5MTgBCAAAAAUAAAABMQEAAAALLTIxNDA5ODE0NjkDAAAAAzE2MAIAAAAFMjQxMzMEAAAAATAHAAAACDgvMi8yMDI2CAAAAAk2LzMwLzIwMTkJAAAAATBZdUFvLPDeCGQMnYcs8N4INkNJUS5OQVNEQVE6TVNGVC5JUV9FQklUREFfQ0FQRVguOTk1LjAyLzA4LzIwMjYuLi5VU0QuSAEAAABLVQAAAgAAAAU2MDE5NAEIAAAABQAAAAExAQAAAAstMjAzNjg0Mzg0MwMAAAADMTYwAgAAAAUzNTM3OQQAAAABMAcAAAAIOC8yLzIwMjYIAAAACTYvMzAvMjAyMQkAAAABMFl1QW8s8N4IZAydhyzw3gg8Q0lRLk5BU0RBUTpNU0ZULklRX0FTX1JFUE9SVEVEX0VCSVREQS45OTguMDIvMDgvMjAyNi4uLlVTRC5IAQAAAEtVAAADAAAAAABZdUFvLPDeCItanYcs8N4IRENJUS5OQVNEQVE6TVNGVC5JUV9FQVJOSU5HX1BBUkVOVF9FWENMX0VYVFJBLjEwMDAuMDIvMDgvMjAyNi4uLlVTRC5IAQAAAEtVAAACAAAABjEzMzc0OQEIAAAABQAAAAExAQAAAAstMTg4MDIyOTY2NQMAAAADMTYwAgAAAAU0MTU5NgQAAAABMAcAAAAIOC8yLzIwMjYIAAAACTYvMzAvMjAyNgkAAAABMFl1QW8s8N4Ii1qdhyzw3gg7Q0lRLk5BU0RBUTpN</t>
  </si>
  <si>
    <t>U0ZULklRX0lOVkVTVE1FTlRfSU5DT01FLjk5Ny4wMi8wOC8yMDI2Li4uVVNELkgBAAAAS1UAAAMAAAAAAFl1QW8s8N4IcjOdhyzw3ghBQ0lRLk5BU0RBUTpNU0ZULklRX0VYQ0lTRV9UQVhFU19JTkNMX1NBTEVTLjk5OS4wMi8wOC8yMDI2Li4uVVNELkgBAAAAS1UAAAMAAAAAAFl1QW8s8N4IcjOdhyzw3gg9Q0lRLk5BU0RBUTpNU0ZULklRX0NVUlJfRk9SRUlHTl9UQVhFUy4xMDAwLjAyLzA4LzIwMjYuLi5VU0QuSAEAAABLVQAAAgAAAAUxMjU4NwEIAAAABQAAAAExAQAAAAstMTg4MDIyOTY2NQMAAAADMTYwAgAAAAQzMDMwBAAAAAEwBwAAAAg4LzIvMjAyNggAAAAJNi8zMC8yMDI2CQAAAAEwWXVBbyzw3ghyM52HLPDeCEBDSVEuTkFTREFROk1TRlQuSVFfREVGRVJSRURfRk9SRUlHTl9UQVhFUy45OTguMDIvMDgvMjAyNi4uLlVTRC5IAQAAAEtVAAACAAAAAzQzMgEIAAAABQAAAAExAQAAAAstMTg4MDIyOTY5NAMAAAADMTYwAgAAAAQzMDU1BAAAAAEwBwAAAAg4LzIvMjAyNggAAAAJNi8zMC8yMDI0CQAAAAEwWXVBbyzw3ghyhZ2HLPDeCENDSVEuTkFTREFROk1TRlQuSVFfTk9OUkVDVVJSSU5HX0lOQ09NRV9UQVhFUy45OTkuMDIvMDgvMjAyNi4uLlVTRC5IAQAAAEtVAAADAAAAAABZdUFvLPDeCHKFnYcs8N4IPkNJUS5OQVNEQVE6TVNGVC5JUV9DQVBJVEFMSVpFRF9JTlRFUkVTVC45OTcuMDIvMDgv</t>
  </si>
  <si>
    <t>MjAyNi4uLlVTRC5IAQAAAEtVAAADAAAAAABZdUFvLPDeCHIznYcs8N4IS0NJUS5OQVNEQVE6TVNGVC5JUV9JTlRFUkVTVF9FWFBfTEVBU0VfTElBQklMSVRZX0RFQlQuOTk4LjAyLzA4LzIwMjYuLi5VU0QuSAEAAABLVQAAAgAAAAM3MzQBCAAAAAUAAAABMQEAAAALLTE4ODAyMjk2OTQDAAAAAzE2MAIAAAAFNDg5MDcEAAAAATAHAAAACDgvMi8yMDI2CAAAAAk2LzMwLzIwMjQJAAAAATBZdUFvLPDeCItanYcs8N4IPUNJUS5OQVNEQVE6TVNGVC5JUV9OT05DQVNIX1BFTlNJT05fRVhQLjk5OS4wMi8wOC8yMDI2Li4uVVNELkgBAAAAS1UAAAMAAAAAAFl1QW8s8N4Ii1qdhyzw3ghJQ0lRLk5BU0RBUTpNU0ZULklRX0RJU1RSSUJVVEFCTEVfQ0FTSF9TVEFOREFSRElaRUQuOTk3LjAyLzA4LzIwMjYuLi5VU0QuSAEAAABLVQAAAwAAAAAAWXVBbyzw3ghyhZ2HLPDeCDRDSVEuTkFTREFROk1TRlQuSVFfQ09NTU9OX0RJVi45OTcuMDIvMDgvMjAyNi4uLlVTRC5IAQAAAEtVAAACAAAABTIwMjI2AFl1QW8s8N4IcoWdhyzw3gg5Q0lRLk5BU0RBUTpNU0ZULklRX1NBTEVTX01BUktFVElORy45OTYuMDIvMDgvMjAyNi4uLlVTRC5IAQAAAEtVAAACAAAABTIxODI1AQgAAAAFAAAAATEBAAAACy0xOTg1OTMxMjI0AwAAAAMxNjACAAAABTIxNTYxBAAAAAEwBwAAAAg4LzIvMjAyNggAAAAJNi8zMC8yMDIyCQAAAAEwWXVB</t>
  </si>
  <si>
    <t>byzw3giLWp2HLPDeCDFDSVEuTkFTREFROk1TRlQuSVFfR0FfRVhQLjEwMDAuMDIvMDgvMjAyNi4uLlVTRC5IAQAAAEtVAAACAAAABDc5NTYBCAAAAAUAAAABMQEAAAALLTE4ODAyMjk2NjUDAAAAAzE2MAIAAAAFMjE1NjIEAAAAATAHAAAACDgvMi8yMDI2CAAAAAk2LzMwLzIwMjYJAAAAATBZdUFvLPDeCItanYcs8N4IOENJUS5OQVNEQVE6TVNGVC5JUV9ORVRfUkVOVEFMX0VYUC45OTMuMDIvMDgvMjAyNi4uLlVTRC5IAQAAAEtVAAADAAAAAABZdUFvLPDeCHKFnYcs8N4IOENJUS5OQVNEQVE6TVNGVC5JUV9NSU5JTVVNX1JFTlRBTC45OTcuMDIvMDgvMjAyNi4uLlVTRC5IAQAAAEtVAAADAAAAAABZdUFvLPDeCI2snYcs8N4IN0NJUS5OQVNEQVE6TVNGVC5JUV9BSVJDUkFGVF9SRU5ULjk5Mi4wMi8wOC8yMDI2Li4uVVNELkgBAAAAS1UAAAMAAAAAAFl1QW8s8N4Ijaydhyzw3gg2Q0lRLk5BU0RBUTpNU0ZULklRX01BSU5UX1JFUEFJUi45OTYuMDIvMDgvMjAyNi4uLlVTRC5IAQAAAEtVAAADAAAAAABZdUFvLPDeCHKFnYcs8N4IP0NJUS5OQVNEQVE6TVNGVC5JUV9JTVBVVF9PUEVSX0xFQVNFX0RFUFIuOTk4LjAyLzA4LzIwMjYuLi5VU0QuSAEAAABLVQAAAgAAAAgyNTk3Ljk5NAEIAAAABQAAAAExAQAAAAstMTg4MDIyOTY5NAMAAAADMTYwAgAAAAUyMTY3MwQAAAABMAcAAAAIOC8yLzIwMjYIAAAACTYv</t>
  </si>
  <si>
    <t>MzAvMjAyNAkAAAABMFl1QW8s8N4IcoWdhyzw3gg8Q0lRLk5BU0RBUTpNU0ZULklRX1JFU1RSVUNUVVJFX1NVUFBMRS45OTIuMDIvMDgvMjAyNi4uLlVTRC5IAQAAAEtVAAADAAAAAABZdUFvLPDeCHKFnYcs8N4IQENJUS5OQVNEQVE6TVNGVC5JUV9BU1NFVF9XUklURURPV05fU1VQUExFLjk5Ny4wMi8wOC8yMDI2Li4uVVNELkgBAAAAS1UAAAMAAAAAAFl1QW8s8N4Ijaydhyzw3gg6Q0lRLk5BU0RBUTpNU0ZULklRX0dBSU5fQkFSR0FJTl9BQ1EuOTk5LjAyLzA4LzIwMjYuLi5VU0QuSAEAAABLVQAAAwAAAAAAWXVBbyzw3giNrJ2HLPDeCD1DSVEuTkFTREFROk1TRlQuSVFfTEVHQUxfU0VUVExFX1NVUFBMRS45OTYuMDIvMDgvMjAyNi4uLlVTRC5IAQAAAEtVAAADAAAAAABZdUFvLPDeCI2snYcs8N4IPkNJUS5OQVNEQVE6TVNGVC5JUV9UT1RBTF9VTlVTVUFMX1NVUFBMRS45OTguMDIvMDgvMjAyNi4uLlVTRC5IAQAAAEtVAAADAAAAAABZdUFvLPDeCI2snYcs8N4IP0NJUS5OQVNEQVE6TVNGVC5JUV9ORUdBVElWRV9HV19BTU9SVF9BVC4xMDAwLjAyLzA4LzIwMjYuLi5VU0QuSAEAAABLVQAAAwAAAAAAWXVBbyzw3giNrJ2HLPDeCDhDSVEuTkFTREFROk1TRlQuSVFfU1RPQ0tfQkFTRURfU00uOTk3LjAyLzA4LzIwMjYuLi5VU0QuSAEAAABLVQAAAwAAAAAAWXVBbyzw3giU552HLPDeCDlDSVEuTkFTREFR</t>
  </si>
  <si>
    <t>Ok1TRlQuSVFfU1RPQ0tfQkFTRURfU0dBLjk5OS4wMi8wOC8yMDI2Li4uVVNELkgBAAAAS1UAAAMAAAAAAFl1QW8s8N4IlOedhyzw3gg4Q0lRLk5BU0RBUTpNU0ZULklRX1NUT0NLX0JBU0VEX0FULjk5Ni4wMi8wOC8yMDI2Li4uVVNELkgBAAAAS1UAAAMAAAAAAFl1QW8s8N4Ijaydhyzw3ghBQ0lRLk5BU0RBUTpNU0ZULklRX1JFU1RSX1NUT0NLX0NPTVBfUFJFVEFYLjk5OC4wMi8wOC8yMDI2Li4uVVNELkgBAAAAS1UAAAMAAAAAAFl1QW8s8N4Ijaydhyzw3gg6Q0lRLk5BU0RBUTpNU0ZULklRX1JFU1RSX1NUT0NLX0NPTVAuOTk5LjAyLzA4LzIwMjYuLi5VU0QuSAEAAABLVQAAAwAAAAAAWXVBbyzw3giNrJ2HLPDeCDxDSVEuTkFTREFROk1TRlQuSVFfU1RPQ0tfT1BUSU9OU19DT01QLjk5Ny4wMi8wOC8yMDI2Li4uVVNELkgBAAAAS1UAAAMAAAAAAFl1QW8s8N4IlOedhyzw3gg+Q0lRLk5BU0RBUTpNU0ZULklRX1NUT0NLX0JBU0VEX0NPTVBfVEFYLjk5OC4wMi8wOC8yMDI2Li4uVVNELkgBAAAAS1UAAAIAAAAFLTE4MjYAWXVBbyzw3ggGD56HLPDeCDVDSVEuTkFTREFROk1TRlQuSVFfREFfU1VQUExfQ0YuOTk2LjAyLzA4LzIwMjYuLi5VU0QuSAEAAABLVQAAAgAAAAUxMjYwMAEIAAAABQAAAAExAQAAAAstMTk4NTkzMTIyNAMAAAADMTYwAgAAAAQyMTcxBAAAAAEwBwAAAAg4LzIvMjAyNggAAAAJNi8z</t>
  </si>
  <si>
    <t>MC8yMDIyCQAAAAEwWXVBbyzw3giNrJ2HLPDeCDRDSVEuTkFTREFROk1TRlQuSVFfT0lMX0lNUEFJUi45OTcuMDIvMDgvMjAyNi4uLlVTRC5IAQAAAEtVAAADAAAAAABZdUFvLPDeCJTnnYcs8N4INUNJUS5OQVNEQVE6TVNGVC5JUV9PVEhFUl9BTU9SVC45OTguMDIvMDgvMjAyNi4uLlVTRC5IAQAAAEtVAAADAAAAAABZdUFvLPDeCJTnnYcs8N4IPENJUS5OQVNEQVE6TVNGVC5JUV9BU1NFVF9XUklURURPV05fQ0YuOTk0LjAyLzA4LzIwMjYuLi5VU0QuSAEAAABLVQAAAwAAAAAAWXVBbyzw3ggGD56HLPDeCDhDSVEuTkFTREFROk1TRlQuSVFfQ1JFRElUX0xPU1NfQ0YuOTk1LjAyLzA4LzIwMjYuLi5VU0QuSAEAAABLVQAAAwAAAAAAWXVBbyzw3ggGD56HLPDeCD1DSVEuTkFTREFROk1TRlQuSVFfVEFYX0JFTkVGSVRfT1BUSU9OUy45OTMuMDIvMDgvMjAyNi4uLlVTRC5IAQAAAEtVAAADAAAAAABZdUFvLPDeCJTnnYcs8N4IL0NJUS5OQVNEQVE6TVNGVC5JUV9ET19DRi45OTQuMDIvMDgvMjAyNi4uLlVTRC5IAQAAAEtVAAADAAAAAABZdUFvLPDeCJTnnYcs8N4IP0NJUS5OQVNEQVE6TVNGVC5JUV9DSEFOR0VfVFJBRElOR19BU1NFVFMuOTk1LjAyLzA4LzIwMjYuLi5VU0QuSAEAAABLVQAAAwAAAAAAWXVBbyzw3giU552HLPDeCDNDSVEuTkFTREFROk1TRlQuSVFfQ0hBTkdFX0FQLjk5My4wMi8wOC8yMDI2</t>
  </si>
  <si>
    <t>Li4uVVNELkgBAAAAS1UAAAIAAAADMjMyAQgAAAAFAAAAATEBAAAACy0yMTQwOTgxNDY5AwAAAAMxNjACAAAABDIwMTcEAAAAATAHAAAACDgvMi8yMDI2CAAAAAk2LzMwLzIwMTkJAAAAATBZdUFvLPDeCB02nocs8N4IOENJUS5OQVNEQVE6TVNGVC5JUV9DSEFOR0VfSU5DX1RBWC45OTQuMDIvMDgvMjAyNi4uLlVTRC5IAQAAAEtVAAACAAAABS0zNjMxAQgAAAAFAAAAATEBAAAACy0yMDg3NDk2NjI3AwAAAAMxNjACAAAABDIxMDEEAAAAATAHAAAACDgvMi8yMDI2CAAAAAk2LzMwLzIwMjAJAAAAATBZdUFvLPDeCB02nocs8N4IM0NJUS5OQVNEQVE6TVNGVC5JUV9DQVNIX09QRVIuOTkyLjAyLzA4LzIwMjYuLi5VU0QuSAEAAABLVQAAAgAAAAU0Mzg4NAEIAAAABQAAAAExAQAAAAoyMDQ3MjcxNzQ1AwAAAAMxNjACAAAABDIwMDYEAAAAATAHAAAACDgvMi8yMDI2CAAAAAk2LzMwLzIwMTgJAAAAATBZdUFvLPDeCAYPnocs8N4INUNJUS5OQVNEQVE6TVNGVC5JUV9TQUxFX1BQRV9DRi45OTMuMDIvMDgvMjAyNi4uLlVTRC5IAQAAAEtVAAADAAAAAABZdUFvLPDeCAYPnocs8N4IM0NJUS5OQVNEQVE6TVNGVC5JUV9ESVZFU1RfQ0YuOTk1LjAyLzA4LzIwMjYuLi5VU0QuSAEAAABLVQAAAwAAAAAAWXVBbyzw3ggGD56HLPDeCDxDSVEuTkFTREFROk1TRlQuSVFfSU5WRVNUX1NFQ1VSSVRZX0NGLjk5Mi4wMi8wOC8y</t>
  </si>
  <si>
    <t>MDI2Li4uVVNELkgBAAAAS1UAAAIAAAAENjU1NwEIAAAABQAAAAExAQAAAAoyMDQ3MjcxNzQ1AwAAAAMxNjACAAAABDIwMjcEAAAAATAHAAAACDgvMi8yMDI2CAAAAAk2LzMwLzIwMTgJAAAAATBZdUFvLPDeCA5dnocs8N4IQENJUS5OQVNEQVE6TVNGVC5JUV9PVEhFUl9JTlZFU1RfQUNUX1NVUFBMLjk5NC4wMi8wOC8yMDI2Li4uVVNELkgBAAAAS1UAAAIAAAAFLTEyNDEBCAAAAAUAAAABMQEAAAALLTIwODc0OTY2MjcDAAAAAzE2MAIAAAAEMjA1MQQAAAABMAcAAAAIOC8yLzIwMjYIAAAACTYvMzAvMjAyMAkAAAABMFl1QW8s8N4IDl2ehyzw3gg5Q0lRLk5BU0RBUTpNU0ZULklRX0xUX0RFQlRfSVNTVUVELjEwMDAuMDIvMDgvMjAyNi4uLlVTRC5IAQAAAEtVAAADAAAAAABZdUFvLPDeCAYPnocs8N4IOENJUS5OQVNEQVE6TVNGVC5JUV9TVF9ERUJUX1JFUEFJRC45OTMuMDIvMDgvMjAyNi4uLlVTRC5IAQAAAEtVAAADAAAAAABZdUFvLPDeCB02nocs8N4IO0NJUS5OQVNEQVE6TVNGVC5JUV9UT1RBTF9ERUJUX1JFUEFJRC45OTUuMDIvMDgvMjAyNi4uLlVTRC5IAQAAAEtVAAACAAAABS0zNzUwAQgAAAAFAAAAATEBAAAACy0yMDM2ODQzODQzAwAAAAMxNjACAAAABDIxNjYEAAAAATAHAAAACDgvMi8yMDI2CAAAAAk2LzMwLzIwMjEJAAAAATBZdUFvLPDeCB02nocs8N4INkNJUS5OQVNEQVE6TVNGVC5JUV9Q</t>
  </si>
  <si>
    <t>UkVGX0lTU1VFRC4xMDAwLjAyLzA4LzIwMjYuLi5VU0QuSAEAAABLVQAAAwAAAAAAWXVBbyzw3ggOXZ6HLPDeCDdDSVEuTkFTREFROk1TRlQuSVFfQ09NTU9OX0RJVl9DRi45OTQuMDIvMDgvMjAyNi4uLlVTRC5IAQAAAEtVAAACAAAABi0xNTEzNwEIAAAABQAAAAExAQAAAAstMjA4NzQ5NjYyNwMAAAADMTYwAgAAAAQyMDc0BAAAAAEwBwAAAAg4LzIvMjAyNggAAAAJNi8zMC8yMDIwCQAAAAEwWXVBbyzw3ggghJ6HLPDeCDtDSVEuTkFTREFROk1TRlQuSVFfVE9UQUxfRElWX1BBSURfQ0YuOTk5LjAyLzA4LzIwMjYuLi5VU0QuSAEAAABLVQAAAgAAAAYtMjQwODIBCAAAAAUAAAABMQEAAAALLTE4ODAyMjk2ODYDAAAAAzE2MAIAAAAEMjAyMgQAAAABMAcAAAAIOC8yLzIwMjYIAAAACTYvMzAvMjAyNQkAAAABMFl1QW8s8N4IHTaehyzw3ghCQ0lRLk5BU0RBUTpNU0ZULklRX09USEVSX0ZJTkFOQ0VfQUNUX1NVUFBMLjEwMDAuMDIvMDgvMjAyNi4uLlVTRC5IAQAAAEtVAAACAAAABS0yODM5AQgAAAAFAAAAATEBAAAACy0xODgwMjI5NjY1AwAAAAMxNjACAAAABDIwNTAEAAAAATAHAAAACDgvMi8yMDI2CAAAAAk2LzMwLzIwMjYJAAAAATBZdUFvLPDeCB02nocs8N4IOENJUS5OQVNEQVE6TVNGVC5JUV9NSVNDX0FESlVTVF9DRi45OTkuMDIvMDgvMjAyNi4uLlVTRC5IAQAAAEtVAAADAAAAAABZdUFvLPDeCB02</t>
  </si>
  <si>
    <t>nocs8N4IPkNJUS5OQVNEQVE6TVNGVC5JUV9EQV9TVVBQTF9QQVJUSUFMX0NGLjEwMDAuMDIvMDgvMjAyNi4uLlVTRC5IAQAAAEtVAAADAAAAAABZdUFvLPDeCCCEnocs8N4ISENJUS5OQVNEQVE6TVNGVC5JUV9ERVBSRUNJQVRJT05fUkVOVEFMX0FTU0VUU19DRi4xMDAwLjAyLzA4LzIwMjYuLi5VU0QuSAEAAABLVQAAAwAAAAAAWXVBbyzw3ggghJ6HLPDeCEBDSVEuTkFTREFROk1TRlQuSVFfREFfQ0ZfRVhDTF9PUEVSX0xFQVNFUy45OTkuMDIvMDgvMjAyNi4uLlVTRC5IAQAAAEtVAAACAAAABTI4MDAwAQgAAAAFAAAAATEBAAAACy0xODgwMjI5Njg2AwAAAAMxNjACAAAABTQ4OTg1BAAAAAEwBwAAAAg4LzIvMjAyNggAAAAJNi8zMC8yMDI1CQAAAAEwWXVBbyzw3ggOXZ6HLPDeCEJDSVEuTkFTREFROk1TRlQuSVFfQU1PUlRfU09GVFdBUkVfQVNTRVRTX0NGLjk5OC4wMi8wOC8yMDI2Li4uVVNELkgBAAAAS1UAAAMAAAAAAFl1QW8s8N4IDl2ehyzw3gg7Q0lRLk5BU0RBUTpNU0ZULklRX0NBU0hfSU5URVJFU1RfTkVULjk5Ny4wMi8wOC8yMDI2Li4uVVNELkgBAAAAS1UAAAMAAAAAAFl1QW8s8N4IDl2ehyzw3gg8Q0lRLk5BU0RBUTpNU0ZULklRX0NBU0hfSU5URVJFU1RfT1BFUi45OTkuMDIvMDgvMjAyNi4uLlVTRC5IAQAAAEtVAAADAAAAAABZdUFvLPDeCDirnocs8N4IPUNJUS5OQVNEQVE6TVNGVC5J</t>
  </si>
  <si>
    <t>UV9DQVNIX0lOVEVSRVNUX0ZJTkFOLjk5Ni4wMi8wOC8yMDI2Li4uVVNELkgBAAAAS1UAAAMAAAAAAFl1QW8s8N4IOKuehyzw3gg7Q0lRLk5BU0RBUTpNU0ZULklRX0NBU0hfVEFYRVNfSU5WRVNULjk5NS4wMi8wOC8yMDI2Li4uVVNELkgBAAAAS1UAAAMAAAAAAFl1QW8s8N4IIISehyzw3ghEQ0lRLk5BU0RBUTpNU0ZULklRX0NIQU5HRV9ORVRfV09SS0lOR19DQVBJVEFMLjk5NC4wMi8wOC8yMDI2Li4uVVNELkgBAAAAS1UAAAIAAAAELTYzMAEIAAAABQAAAAExAQAAAAstMjA4NzQ5NjYyNwMAAAADMTYwAgAAAAQ0NDIxBAAAAAEwBwAAAAg4LzIvMjAyNggAAAAJNi8zMC8yMDIwCQAAAAEwWXVBbyzw3ggghJ6HLPDeCDJDSVEuTkFTREFROk1TRlQuSVFfQ0ZfU0hBUkUuOTk0LjAyLzA4LzIwMjYuLi5VU0QuSAEAAABLVQAAAgAAAAg1Ljk0NDAyMQEIAAAABQAAAAExAQAAAAstMjA4NzQ5NjYyNwMAAAADMTYwAgAAAAU0MzkyMwQAAAABMAcAAAAIOC8yLzIwMjYIAAAACTYvMzAvMjAyMAkAAAABMFl1QW8s8N4IIISehyzw3gg2Q0lRLk5BU0RBUTpNU0ZULklRX0RPX0lOVkVTVF9DRi45OTQuMDIvMDgvMjAyNi4uLlVTRC5IAQAAAEtVAAADAAAAAABZdUFvLPDeCDirnocs8N4IRUNJUS5OQVNEQVE6TVNGVC5JUV9PUEVSQVRJTkdfTEVBU0VfTElBQklMSVRJRVMuOTk0LjAyLzA4LzIwMjYuLi5VU0QuSAEAAABL</t>
  </si>
  <si>
    <t>VQAAAwAAAAAAWXVBbyzw3ghR0p6HLPDeCE1DSVEuTkFTREFROk1TRlQuSVFfT1BFUkFUSU5HX0xFQVNFX0xJQUJJTElUSUVTX05PTkNBU0guOTk5LjAyLzA4LzIwMjYuLi5VU0QuSAEAAABLVQAAAwAAAAAAWXVBbyzw3ggghJ6HLPDeCD1DSVEuTkFTREFROk1TRlQuSVFfR0FJTl9CQVJHQUlOX0FDUV9DRi45OTkuMDIvMDgvMjAyNi4uLlVTRC5IAQAAAEtVAAADAAAAAABZdUFvLPDeCDirnocs8N4IOENJUS5OQVNEQVE6TVNGVC5JUV9UUkFESU5HX0FTU0VUUy45OTMuMDIvMDgvMjAyNi4uLlVTRC5IAQAAAEtVAAADAAAAAABZdUFvLPDeCDirnocs8N4INkNJUS5OQVNEQVE6TVNGVC5JUV9PVEhFUl9SRUNFSVYuOTkzLjAyLzA4LzIwMjYuLi5VU0QuSAEAAABLVQAAAwAAAAAAWXVBbyzw3ghR0p6HLPDeCDNDSVEuTkFTREFROk1TRlQuSVFfSU5WRU5UT1JZLjk5NC4wMi8wOC8yMDI2Li4uVVNELkgBAAAAS1UAAAIAAAAEMTg5NQEIAAAABQAAAAExAQAAAAstMjA4NzQ5NjYyNwMAAAADMTYwAgAAAAQxMDQzBAAAAAEwBwAAAAg4LzIvMjAyNggAAAAJNi8zMC8yMDIwCQAAAAEwWXVBbyzw3ghR0p6HLPDeCD9DSVEuTkFTREFROk1TRlQuSVFfRklOX0RJVl9MT0FOU19DVVJSRU5ULjk5OC4wMi8wOC8yMDI2Li4uVVNELkgBAAAAS1UAAAMAAAAAAFl1QW8s8N4IOKuehyzw3ghBQ0lRLk5BU0RBUTpNU0ZULklRX0RF</t>
  </si>
  <si>
    <t>Rl9UQVhfQVNTRVRTX0NVUlJFTlQuMTAwMC4wMi8wOC8yMDI2Li4uVVNELkgBAAAAS1UAAAMAAAAAAFl1QW8s8N4IOKuehyzw3ggyQ0lRLk5BU0RBUTpNU0ZULklRX1RPVEFMX0NBLjk5Mi4wMi8wOC8yMDI2Li4uVVNELkgBAAAAS1UAAAIAAAAGMTY5NjYyAQgAAAAFAAAAATEBAAAACjIwNDcyNzE3NDUDAAAAAzE2MAIAAAAEMTAwOAQAAAABMAcAAAAIOC8yLzIwMjYIAAAACTYvMzAvMjAxOAkAAAABMFl1QW8s8N4IOKuehyzw3gguQ0lRLk5BU0RBUTpNU0ZULklRX05QUEUuOTkzLjAyLzA4LzIwMjYuLi5VU0QuSAEAAABLVQAAAgAAAAU0Mzg1NgEIAAAABQAAAAExAQAAAAstMjE0MDk4MTQ2OQMAAAADMTYwAgAAAAQxMDA0BAAAAAEwBwAAAAg4LzIvMjAyNggAAAAJNi8zMC8yMDE5CQAAAAEwWXVBbyzw3ghZ+Z6HLPDeCDVDSVEuTkFTREFROk1TRlQuSVFfT1RIRVJfSU5UQU4uOTk5LjAyLzA4LzIwMjYuLi5VU0QuSAEAAABLVQAAAgAAAAUyMjYwNAEIAAAABQAAAAExAQAAAAstMTg4MDIyOTY4NgMAAAADMTYwAgAAAAQxMDQwBAAAAAEwBwAAAAg4LzIvMjAyNggAAAAJNi8zMC8yMDI1CQAAAAEwWXVBbyzw3ghZ+Z6HLPDeCDBDSVEuTkFTREFROk1TRlQuSVFfQVJfTFQuMTAwMC4wMi8wOC8yMDI2Li4uVVNELkgBAAAAS1UAAAIAAAAENTUwMAEIAAAABQAAAAExAQAAAAstMTg4MDIyOTY2NQMAAAADMTYwAgAA</t>
  </si>
  <si>
    <t>AAQxMDg4BAAAAAEwBwAAAAg4LzIvMjAyNggAAAAJNi8zMC8yMDI2CQAAAAEwWXVBbyzw3ghR0p6HLPDeCDhDSVEuTkFTREFROk1TRlQuSVFfREVGX0NIQVJHRVNfTFQuOTkyLjAyLzA4LzIwMjYuLi5VU0QuSAEAAABLVQAAAwAAAAAAWXVBbyzw3ghR0p6HLPDeCDZDSVEuTkFTREFROk1TRlQuSVFfVE9UQUxfQVNTRVRTLjk5Ny4wMi8wOC8yMDI2Li4uVVNELkgBAAAAS1UAAAIAAAAGNDExOTc2AQgAAAAFAAAAATEBAAAACy0xOTM0MjU0MjUwAwAAAAMxNjACAAAABDEwMDcEAAAAATAHAAAACDgvMi8yMDI2CAAAAAk2LzMwLzIwMjMJAAAAATBZdUFvLPDeCFHSnocs8N4IMUNJUS5OQVNEQVE6TVNGVC5JUV9TVF9ERUJULjk5OC4wMi8wOC8yMDI2Li4uVVNELkgBAAAAS1UAAAIAAAAENjY5MwEIAAAABQAAAAExAQAAAAstMTg4MDIyOTY5NAMAAAADMTYwAgAAAAQxMDQ2BAAAAAEwBwAAAAg4LzIvMjAyNggAAAAJNi8zMC8yMDI0CQAAAAEwWXVBbyzw3ghZ+Z6HLPDeCD5DSVEuTkFTREFROk1TRlQuSVFfRklOX0RJVl9ERUJUX0NVUlJFTlQuOTk4LjAyLzA4LzIwMjYuLi5VU0QuSAEAAABLVQAAAwAAAAAAWXVBbyzw3ghxIJ+HLPDeCDxDSVEuTkFTREFROk1TRlQuSVFfVU5FQVJOX1JFVl9DVVJSRU5ULjk5OC4wMi8wOC8yMDI2Li4uVVNELkgBAAAAS1UAAAIAAAAFNTc1ODIBCAAAAAUAAAABMQEAAAALLTE4ODAy</t>
  </si>
  <si>
    <t>Mjk2OTQDAAAAAzE2MAIAAAAEMTA3NAQAAAABMAcAAAAIOC8yLzIwMjYIAAAACTYvMzAvMjAyNAkAAAABMFl1QW8s8N4IUdKehyzw3gg4Q0lRLk5BU0RBUTpNU0ZULklRX09USEVSX0NMX1NVUFBMLjk5NS4wMi8wOC8yMDI2Li4uVVNELkgBAAAAS1UAAAIAAAAEODkxMwEIAAAABQAAAAExAQAAAAstMjAzNjg0Mzg0MwMAAAADMTYwAgAAAAQxMDU3BAAAAAEwBwAAAAg4LzIvMjAyNggAAAAJNi8zMC8yMDIxCQAAAAEwWXVBbyzw3ghZ+Z6HLPDeCDlDSVEuTkFTREFROk1TRlQuSVFfRklOX0RJVl9ERUJUX0xULjk5NC4wMi8wOC8yMDI2Li4uVVNELkgBAAAAS1UAAAMAAAAAAFl1QW8s8N4IWfmehyzw3gg5Q0lRLk5BU0RBUTpNU0ZULklRX0RFRl9UQVhfTElBQl9MVC45OTYuMDIvMDgvMjAyNi4uLlVTRC5IAQAAAEtVAAACAAAAAzIzMAEIAAAABQAAAAExAQAAAAstMTk4NTkzMTIyNAMAAAADMTYwAgAAAAQxMDI3BAAAAAEwBwAAAAg4LzIvMjAyNggAAAAJNi8zMC8yMDIyCQAAAAEwWXVBbyzw3ghxIJ+HLPDeCDVDSVEuTkFTREFROk1TRlQuSVFfUFJFRl9SRURFRU0uOTkzLjAyLzA4LzIwMjYuLi5VU0QuSAEAAABLVQAAAwAAAAAAWXVBbyzw3ghxIJ+HLPDeCDVDSVEuTkFTREFROk1TRlQuSVFfUFJFRl9FUVVJVFkuOTkyLjAyLzA4LzIwMjYuLi5VU0QuSAEAAABLVQAAAwAAAAAAWXVBbyzw3ghZ+Z6HLPDeCDJD</t>
  </si>
  <si>
    <t>SVEuTkFTREFROk1TRlQuSVFfVFJFQVNVUlkuOTkyLjAyLzA4LzIwMjYuLi5VU0QuSAEAAABLVQAAAwAAAAAAWXVBbyzw3ghZ+Z6HLPDeCDZDSVEuTkFTREFROk1TRlQuSVFfVE9UQUxfRVFVSVRZLjk5OC4wMi8wOC8yMDI2Li4uVVNELkgBAAAAS1UAAAIAAAAGMjY4NDc3AQgAAAAFAAAAATEBAAAACy0xODgwMjI5Njk0AwAAAAMxNjACAAAABDEyNzUEAAAAATAHAAAACDgvMi8yMDI2CAAAAAk2LzMwLzIwMjQJAAAAATBZdUFvLPDeCFn5nocs8N4IN0NJUS5OQVNEQVE6TVNGVC5JUV9SVUFfQUNDVU1fREVQLjk5NS4wMi8wOC8yMDI2Li4uVVNELkgBAAAAS1UAAAMAAAAAAFl1QW8s8N4Id0efhyzw3ghDQ0lRLk5BU0RBUTpNU0ZULklRX1JVQV9PUEVSQVRJTkdfTEVBU0VfR1JPU1MuOTk3LjAyLzA4LzIwMjYuLi5VU0QuSAEAAABLVQAAAgAAAAUxNDM0NgEIAAAABQAAAAExAQAAAAstMTkzNDI1NDI1MAMAAAADMTYwAgAAAAU0ODM3NwQAAAABMAcAAAAIOC8yLzIwMjYIAAAACTYvMzAvMjAyMwkAAAABMFl1QW8s8N4Id0efhyzw3gg9Q0lRLk5BU0RBUTpNU0ZULklRX0FEX0VYQ0xfT1BFUl9MRUFTRVMuOTk3LjAyLzA4LzIwMjYuLi5VU0QuSAEAAABLVQAAAgAAAAYtNjgyNTEBCAAAAAUAAAABMQEAAAALLTE5MzQyNTQyNTADAAAAAzE2MAIAAAAFNDg5NzUEAAAAATAHAAAACDgvMi8yMDI2CAAAAAk2LzMwLzIw</t>
  </si>
  <si>
    <t>MjMJAAAAATBZdUFvLPDeCHEgn4cs8N4IPkNJUS5OQVNEQVE6TVNGVC5JUV9UT1RBTF9GSU5BTkNFX0xFQVNFUy45OTguMDIvMDgvMjAyNi4uLlVTRC5IAQAAAEtVAAACAAAABTI3MTQ1AQgAAAAFAAAAATEBAAAACy0xODgwMjI5Njk0AwAAAAMxNjACAAAABTQ5MDMxBAAAAAEwBwAAAAg4LzIvMjAyNggAAAAJNi8zMC8yMDI0CQAAAAEwWXVBbyzw3ghxIJ+HLPDeCFJDSVEuTkFTREFROk1TRlQuSVFfRklOQU5DSU5HX09CTElHX0NVUlJFTlRfRVhDTF9PUEVSX0xFQVNFUy45OTQuMDIvMDgvMjAyNi4uLlVTRC5IAQAAAEtVAAACAAAABDQyODkBCAAAAAUAAAABMQEAAAALLTIwODc0OTY2MjcDAAAAAzE2MAIAAAAFNDg5ODAEAAAAATAHAAAACDgvMi8yMDI2CAAAAAk2LzMwLzIwMjAJAAAAATBZdUFvLPDeCHEgn4cs8N4IO0NJUS5OQVNEQVE6TVNGVC5JUV9CVl9TSEFSRV9SRVBPUlRFRC45OTUuMDIvMDgvMjAyNi4uLlVTRC5IAQAAAEtVAAADAAAAAABZdUFvLPDeCHdHn4cs8N4INENJUS5OQVNEQVE6TVNGVC5JUV9DQVNIX1NIQVJFLjk5NC4wMi8wOC8yMDI2Li4uVVNELkgBAAAAS1UAAAIAAAAIMS43OTMxNTgBCAAAAAUAAAABMQEAAAALLTIwODc0OTY2MjcDAAAAAzE2MAIAAAAENDM4MQQAAAABMAcAAAAIOC8yLzIwMjYIAAAACTYvMzAvMjAyMAkAAAABMFl1QW8s8N4Id0efhyzw3ggzQ0lRLk5BU0RBUTpN</t>
  </si>
  <si>
    <t>U0ZULklRX1RPVEFMX0NBUC45OTUuMDIvMDgvMjAyNi4uLlVTRC5IAQAAAEtVAAACAAAABjIyNDI2NgEIAAAABQAAAAExAQAAAAstMjAzNjg0Mzg0MwMAAAADMTYwAgAAAAQ0MTc1BAAAAAEwBwAAAAg4LzIvMjAyNggAAAAJNi8zMC8yMDIxCQAAAAEwWXVBbyzw3ghxIJ+HLPDeCDdDSVEuTkFTREFROk1TRlQuSVFfRVFVSVRZX01FVEhPRC45OTguMDIvMDgvMjAyNi4uLlVTRC5IAQAAAEtVAAADAAAAAABBTkFvLPDeCHdHn4cs8N4IM0NJUS5OQVNEQVE6TVNGVC5JUV9PVEhFUl9JTlYuOTk4LjAyLzA4LzIwMjYuLi5VU0QuSAEAAABLVQAAAwAAAAAAQU5Bbyzw3gh3R5+HLPDeCD9DSVEuTkFTREFROk1TRlQuSVFfTEVBU0VIT0xEX0lNUFJPVkVNRU5ULjk5OS4wMi8wOC8yMDI2Li4uVVNELkgBAAAAS1UAAAIAAAAFMTIxMTcBCAAAAAUAAAABMQEAAAALLTE4ODAyMjk2ODYDAAAAAzE2MAIAAAAEMzEwMAQAAAABMAcAAAAIOC8yLzIwMjYIAAAACTYvMzAvMjAyNQkAAAABMEFOQW8s8N4IkW6fhyzw3ghFQ0lRLk5BU0RBUTpNU0ZULklRX0dFTkVSQUxfUEFSVE5FUl9QUkVGX0VRVUlUWS45OTUuMDIvMDgvMjAyNi4uLlVTRC5IAQAAAEtVAAADAAAAAABBTkFvLPDeCJFun4cs8N4IOENJUS5OQVNEQVE6TVNGVC5JUV9BU1NFVFNfTEVWRUxfMy45OTUuMDIvMDgvMjAyNi4uLlVTRC5IAQAAAEtVAAACAAAAAzE1NABB</t>
  </si>
  <si>
    <t>TkFvLPDeCHdHn4cs8N4IPENJUS5OQVNEQVE6TVNGVC5JUV9GSU5fRElWX0RFQlRfVE9UQUwuOTk3LjAyLzA4LzIwMjYuLi5VU0QuSAEAAABLVQAAAwAAAAAAQU5Bbyzw3gh3R5+HLPDeCDxDSVEuTkFTREFROk1TRlQuSVFfR1JPU1NfSU5UQU5fQVNTRVRTLjk5Ny4wMi8wOC8yMDI2Li4uVVNELkgBAAAAS1UAAAIAAAAFMjM0OTABCAAAAAUAAAABMQEAAAALLTE5MzQyNTQyNTADAAAAAzE2MAIAAAAFMjQyOTMEAAAAATAHAAAACDgvMi8yMDI2CAAAAAk2LzMwLzIwMjMJAAAAATBBTkFvLPDeCHdHn4cs8N4IPUNJUS5OQVNEQVE6TVNGVC5JUV9UQVhfQkVORUZJVF9PUFRJT05TLjk5NC4wMi8wOC8yMDI2Li4uVVNELkgBAAAAS1UAAAMAAAAAAEFOQW8s8N4IkW6fhyzw3ggvQ0lRLk5BU0RBUTpNU0ZULklRX0RPX0NGLjk5NS4wMi8wOC8yMDI2Li4uVVNELkgBAAAAS1UAAAMAAAAAAEFOQW8s8N4Ii5Wfhyzw3ggzQ0lRLk5BU0RBUTpNU0ZULklRX0NIQU5HRV9BUi45OTMuMDIvMDgvMjAyNi4uLlVTRC5IAQAAAEtVAAACAAAABS0yODEyAQgAAAAFAAAAATEBAAAACy0yMTQwOTgxNDY5AwAAAAMxNjACAAAABDIwMTgEAAAAATAHAAAACDgvMi8yMDI2CAAAAAk2LzMwLzIwMTkJAAAAATBBTkFvLPDeCJFun4cs8N4IM0NJUS5OQVNEQVE6TVNGVC5JUV9DSEFOR0VfQVAuOTk0LjAyLzA4LzIwMjYuLi5VU0QuSAEAAABL</t>
  </si>
  <si>
    <t>VQAAAgAAAAQzMDE4AQgAAAAFAAAAATEBAAAACy0yMDg3NDk2NjI3AwAAAAMxNjACAAAABDIwMTcEAAAAATAHAAAACDgvMi8yMDI2CAAAAAk2LzMwLzIwMjAJAAAAATBBTkFvLPDeCJFun4cs8N4IOENJUS5OQVNEQVE6TVNGVC5JUV9DSEFOR0VfSU5DX1RBWC45OTUuMDIvMDgvMjAyNi4uLlVTRC5IAQAAAEtVAAACAAAABS0yMzA5AQgAAAAFAAAAATEBAAAACy0yMDM2ODQzODQzAwAAAAMxNjACAAAABDIxMDEEAAAAATAHAAAACDgvMi8yMDI2CAAAAAk2LzMwLzIwMjEJAAAAATBBTkFvLPDeCJFun4cs8N4IM0NJUS5OQVNEQVE6TVNGVC5JUV9DQVNIX09QRVIuOTkzLjAyLzA4LzIwMjYuLi5VU0QuSAEAAABLVQAAAgAAAAU1MjE4NQEIAAAABQAAAAExAQAAAAstMjE0MDk4MTQ2OQMAAAADMTYwAgAAAAQyMDA2BAAAAAEwBwAAAAg4LzIvMjAyNggAAAAJNi8zMC8yMDE5CQAAAAEwQU5Bbyzw3giLlZ+HLPDeCDVDSVEuTkFTREFROk1TRlQuSVFfU0FMRV9QUEVfQ0YuOTk0LjAyLzA4LzIwMjYuLi5VU0QuSAEAAABLVQAAAwAAAAAAQU5Bbyzw3giLlZ+HLPDeCD1DSVEuTkFTREFROk1TRlQuSVFfU0FMRV9SRUFMX0VTVEFURV9DRi45OTIuMDIvMDgvMjAyNi4uLlVTRC5IAQAAAEtVAAADAAAAAABBTkFvLPDeCJFun4cs8N4IPENJUS5OQVNEQVE6TVNGVC5JUV9JTlZFU1RfU0VDVVJJVFlfQ0YuOTkzLjAyLzA4LzIw</t>
  </si>
  <si>
    <t>MjYuLi5VU0QuSAEAAABLVQAAAgAAAAM1NDABCAAAAAUAAAABMQEAAAALLTIxNDA5ODE0NjkDAAAAAzE2MAIAAAAEMjAyNwQAAAABMAcAAAAIOC8yLzIwMjYIAAAACTYvMzAvMjAxOQkAAAABMEFOQW8s8N4IkW6fhyzw3ghAQ0lRLk5BU0RBUTpNU0ZULklRX09USEVSX0lOVkVTVF9BQ1RfU1VQUEwuOTk1LjAyLzA4LzIwMjYuLi5VU0QuSAEAAABLVQAAAgAAAAQtOTIyAQgAAAAFAAAAATEBAAAACy0yMDM2ODQzODQzAwAAAAMxNjACAAAABDIwNTEEAAAAATAHAAAACDgvMi8yMDI2CAAAAAk2LzMwLzIwMjEJAAAAATBBTkFvLPDeCJFun4cs8N4IOENJUS5OQVNEQVE6TVNGVC5JUV9MVF9ERUJUX0lTU1VFRC45OTIuMDIvMDgvMjAyNi4uLlVTRC5IAQAAAEtVAAACAAAABDcxODMBCAAAAAUAAAABMQEAAAAKMjA0NzI3MTc0NQMAAAADMTYwAgAAAAQyMDM0BAAAAAEwBwAAAAg4LzIvMjAyNggAAAAJNi8zMC8yMDE4CQAAAAEwQU5Bbyzw3ghdxJ+HLPDeCDhDSVEuTkFTREFROk1TRlQuSVFfU1RfREVCVF9SRVBBSUQuOTk0LjAyLzA4LzIwMjYuLi5VU0QuSAEAAABLVQAAAwAAAAAAQU5Bbyzw3ghdxJ+HLPDeCDhDSVEuTkFTREFROk1TRlQuSVFfQ09NTU9OX0lTU1VFRC4xMDAwLjAyLzA4LzIwMjYuLi5VU0QuSAEAAABLVQAAAgAAAAQyMDA5AQgAAAAFAAAAATEBAAAACy0xODgwMjI5NjY1AwAAAAMxNjACAAAABDIx</t>
  </si>
  <si>
    <t>NjkEAAAAATAHAAAACDgvMi8yMDI2CAAAAAk2LzMwLzIwMjYJAAAAATBBTkFvLPDeCIuVn4cs8N4INUNJUS5OQVNEQVE6TVNGVC5JUV9QUkVGX0lTU1VFRC45OTMuMDIvMDgvMjAyNi4uLlVTRC5IAQAAAEtVAAADAAAAAABBTkFvLPDeCIuVn4cs8N4IN0NJUS5OQVNEQVE6TVNGVC5JUV9DT01NT05fRElWX0NGLjk5NS4wMi8wOC8yMDI2Li4uVVNELkgBAAAAS1UAAAIAAAAGLTE2NTIxAQgAAAAFAAAAATEBAAAACy0yMDM2ODQzODQzAwAAAAMxNjACAAAABDIwNzQEAAAAATAHAAAACDgvMi8yMDI2CAAAAAk2LzMwLzIwMjEJAAAAATBBTkFvLPDeCIuVn4cs8N4IPENJUS5OQVNEQVE6TVNGVC5JUV9UT1RBTF9ESVZfUEFJRF9DRi4xMDAwLjAyLzA4LzIwMjYuLi5VU0QuSAEAAABLVQAAAgAAAAYtMjY0NDUBCAAAAAUAAAABMQEAAAALLTE4ODAyMjk2NjUDAAAAAzE2MAIAAAAEMjAyMgQAAAABMAcAAAAIOC8yLzIwMjYIAAAACTYvMzAvMjAyNgkAAAABMEFOQW8s8N4IXcSfhyzw3ghBQ0lRLk5BU0RBUTpNU0ZULklRX09USEVSX0ZJTkFOQ0VfQUNUX1NVUFBMLjk5NC4wMi8wOC8yMDI2Li4uVVNELkgBAAAAS1UAAAIAAAAFLTM3NTEBCAAAAAUAAAABMQEAAAALLTIwODc0OTY2MjcDAAAAAzE2MAIAAAAEMjA1MAQAAAABMAcAAAAIOC8yLzIwMjYIAAAACTYvMzAvMjAyMAkAAAABMEFOQW8s8N4IXcSfhyzw3gg5Q0lR</t>
  </si>
  <si>
    <t>Lk5BU0RBUTpNU0ZULklRX01JU0NfQURKVVNUX0NGLjEwMDAuMDIvMDgvMjAyNi4uLlVTRC5IAQAAAEtVAAADAAAAAABBTkFvLPDeCF3En4cs8N4IQ0NJUS5OQVNEQVE6TVNGVC5JUV9HV19JTlRBTl9BTU9SVF9QQVJUSUFMX0NGLjk5Ny4wMi8wOC8yMDI2Li4uVVNELkgBAAAAS1UAAAMAAAAAAEFOQW8s8N4IXcSfhyzw3ghHQ0lRLk5BU0RBUTpNU0ZULklRX0RFUFJFQ0lBVElPTl9SRU5UQUxfQVNTRVRTX0NGLjk5Mi4wMi8wOC8yMDI2Li4uVVNELkgBAAAAS1UAAAMAAAAAAEFOQW8s8N4IXcSfhyzw3ghAQ0lRLk5BU0RBUTpNU0ZULklRX0RBX0NGX0VYQ0xfT1BFUl9MRUFTRVMuOTkyLjAyLzA4LzIwMjYuLi5VU0QuSAEAAABLVQAAAgAAAAQ5OTAwAQgAAAAFAAAAATEBAAAACjIwNDcyNzE3NDUDAAAAAzE2MAIAAAAFNDg5ODUEAAAAATAHAAAACDgvMi8yMDI2CAAAAAk2LzMwLzIwMTgJAAAAATBBTkFvLPDeCHv3n4cs8N4IQkNJUS5OQVNEQVE6TVNGVC5JUV9BTU9SVF9TT0ZUV0FSRV9BU1NFVFNfQ0YuOTkyLjAyLzA4LzIwMjYuLi5VU0QuSAEAAABLVQAAAwAAAAAAQU5Bbyzw3gh795+HLPDeCDtDSVEuTkFTREFROk1TRlQuSVFfQ0FTSF9JTlRFUkVTVF9ORVQuOTkyLjAyLzA4LzIwMjYuLi5VU0QuSAEAAABLVQAAAwAAAAAAQU5Bbyzw3ghdxJ+HLPDeCD1DSVEuTkFTREFROk1TRlQuSVFfQ0FTSF9JTlRF</t>
  </si>
  <si>
    <t>UkVTVF9PUEVSLjEwMDAuMDIvMDgvMjAyNi4uLlVTRC5IAQAAAEtVAAADAAAAAABBTkFvLPDeCF3En4cs8N4INUNJUS5OQVNEQVE6TVNGVC5JUV9DQVNIX1RBWEVTLjEwMDAuMDIvMDgvMjAyNi4uLlVTRC5IAQAAAEtVAAACAAAABTIxMTg4AQgAAAAFAAAAATEBAAAACy0xODgwMjI5NjY1AwAAAAMxNjACAAAABDMwNTMEAAAAATAHAAAACDgvMi8yMDI2CAAAAAk2LzMwLzIwMjYJAAAAATBBTkFvLPDeCF3En4cs8N4IO0NJUS5OQVNEQVE6TVNGVC5JUV9DQVNIX1RBWEVTX0lOVkVTVC45OTYuMDIvMDgvMjAyNi4uLlVTRC5IAQAAAEtVAAADAAAAAABBTkFvLPDeCAAtoIcs8N4IRENJUS5OQVNEQVE6TVNGVC5JUV9DSEFOR0VfTkVUX1dPUktJTkdfQ0FQSVRBTC45OTUuMDIvMDgvMjAyNi4uLlVTRC5IAQAAAEtVAAACAAAABS0yNzAwAQgAAAAFAAAAATEBAAAACy0yMDM2ODQzODQzAwAAAAMxNjACAAAABDQ0MjEEAAAAATAHAAAACDgvMi8yMDI2CAAAAAk2LzMwLzIwMjEJAAAAATBBTkFvLPDeCAAtoIcs8N4IMkNJUS5OQVNEQVE6TVNGVC5JUV9DRl9TSEFSRS45OTUuMDIvMDgvMjAyNi4uLlVTRC5IAQAAAEtVAAACAAAACDcuNDM1ODAyAQgAAAAFAAAAATEBAAAACy0yMDM2ODQzODQzAwAAAAMxNjACAAAABTQzOTIzBAAAAAEwBwAAAAg4LzIvMjAyNggAAAAJNi8zMC8yMDIxCQAAAAEwQU5Bbyzw3gh795+HLPDe</t>
  </si>
  <si>
    <t>CDZDSVEuTkFTREFROk1TRlQuSVFfRE9fSU5WRVNUX0NGLjk5NS4wMi8wOC8yMDI2Li4uVVNELkgBAAAAS1UAAAMAAAAAAEFOQW8s8N4Ie/efhyzw3ghCQ0lRLk5BU0RBUTpNU0ZULklRX09QRVJBVElOR19MRUFTRV9QQVlNRU5UUy45OTcuMDIvMDgvMjAyNi4uLlVTRC5IAQAAAEtVAAADAAAAAABBTkFvLPDeCHv3n4cs8N4IS0NJUS5OQVNEQVE6TVNGVC5JUV9MT05HX1RFUk1fREVCVF9SRVBBSURfRVhDTF9MRUFTRVMuOTk3LjAyLzA4LzIwMjYuLi5VU0QuSAEAAABLVQAAAgAAAAUtMjc1MAEIAAAABQAAAAExAQAAAAstMTkzNDI1NDI1MAMAAAADMTYwAgAAAAU0ODk4NAQAAAABMAcAAAAIOC8yLzIwMjYIAAAACTYvMzAvMjAyMwkAAAABMEFOQW8s8N4IUlSghyzw3gg+Q0lRLk5BU0RBUTpNU0ZULklRX0dBSU5fQkFSR0FJTl9BQ1FfQ0YuMTAwMC4wMi8wOC8yMDI2Li4uVVNELkgBAAAAS1UAAAMAAAAAAEFOQW8s8N4IUlSghyzw3gg4Q0lRLk5BU0RBUTpNU0ZULklRX1RSQURJTkdfQVNTRVRTLjk5NS4wMi8wOC8yMDI2Li4uVVNELkgBAAAAS1UAAAMAAAAAAEFOQW8s8N4Ie/efhyzw3gg2Q0lRLk5BU0RBUTpNU0ZULklRX09USEVSX1JFQ0VJVi45OTQuMDIvMDgvMjAyNi4uLlVTRC5IAQAAAEtVAAADAAAAAABBTkFvLPDeCHv3n4cs8N4IM0NJUS5OQVNEQVE6TVNGVC5JUV9JTlZFTlRPUlkuOTk1LjAyLzA4</t>
  </si>
  <si>
    <t>LzIwMjYuLi5VU0QuSAEAAABLVQAAAgAAAAQyNjM2AQgAAAAFAAAAATEBAAAACy0yMDM2ODQzODQzAwAAAAMxNjACAAAABDEwNDMEAAAAATAHAAAACDgvMi8yMDI2CAAAAAk2LzMwLzIwMjEJAAAAATBBTkFvLPDeCAAtoIcs8N4IQENJUS5OQVNEQVE6TVNGVC5JUV9GSU5fRElWX0FTU0VUU19DVVJSRU5ULjk5Ni4wMi8wOC8yMDI2Li4uVVNELkgBAAAAS1UAAAMAAAAAAEFOQW8s8N4IUlSghyzw3gg5Q0lRLk5BU0RBUTpNU0ZULklRX1JFU1RSSUNURURfQ0FTSC45OTYuMDIvMDgvMjAyNi4uLlVTRC5IAQAAAEtVAAADAAAAAABBTkFvLPDeCFJUoIcs8N4ILkNJUS5OQVNEQVE6TVNGVC5JUV9HUFBFLjk5Ni4wMi8wOC8yMDI2Li4uVVNELkgBAAAAS1UAAAIAAAAGMTQ3MjA2AQgAAAAFAAAAATEBAAAACy0xOTg1OTMxMjI0AwAAAAMxNjACAAAABDExNjkEAAAAATAHAAAACDgvMi8yMDI2CAAAAAk2LzMwLzIwMjIJAAAAATBBTkFvLPDeCFJUoIcs8N4IM0NJUS5OQVNEQVE6TVNGVC5JUV9MVF9JTlZFU1QuOTk2LjAyLzA4LzIwMjYuLi5VU0QuSAEAAABLVQAAAgAAAAQ2ODkxAQgAAAAFAAAAATEBAAAACy0xOTg1OTMxMjI0AwAAAAMxNjACAAAABDEwNTQEAAAAATAHAAAACDgvMi8yMDI2CAAAAAk2LzMwLzIwMjIJAAAAATBBTkFvLPDeCFJUoIcs8N4INkNJUS5OQVNEQVE6TVNGVC5JUV9PVEhFUl9JTlRBTi4xMDAw</t>
  </si>
  <si>
    <t>LjAyLzA4LzIwMjYuLi5VU0QuSAEAAABLVQAAAgAAAAUxODYwOQEIAAAABQAAAAExAQAAAAstMTg4MDIyOTY2NQMAAAADMTYwAgAAAAQxMDQwBAAAAAEwBwAAAAg4LzIvMjAyNggAAAAJNi8zMC8yMDI2CQAAAAEwQU5Bbyzw3ghSVKCHLPDeCC9DSVEuTkFTREFROk1TRlQuSVFfQVJfTFQuOTkyLjAyLzA4LzIwMjYuLi5VU0QuSAEAAABLVQAAAgAAAAQxODAwAQgAAAAFAAAAATEBAAAACjIwNDcyNzE3NDUDAAAAAzE2MAIAAAAEMTA4OAQAAAABMAcAAAAIOC8yLzIwMjYIAAAACTYvMzAvMjAxOAkAAAABMEFOQW8s8N4Io3ughyzw3gg4Q0lRLk5BU0RBUTpNU0ZULklRX0RFRl9DSEFSR0VTX0xULjk5NC4wMi8wOC8yMDI2Li4uVVNELkgBAAAAS1UAAAMAAAAAAEFOQW8s8N4Io3ughyzw3gg2Q0lRLk5BU0RBUTpNU0ZULklRX1RPVEFMX0FTU0VUUy45OTguMDIvMDgvMjAyNi4uLlVTRC5IAQAAAEtVAAACAAAABjUxMjE2MwEIAAAABQAAAAExAQAAAAstMTg4MDIyOTY5NAMAAAADMTYwAgAAAAQxMDA3BAAAAAEwBwAAAAg4LzIvMjAyNggAAAAJNi8zMC8yMDI0CQAAAAEwQU5Bbyzw3ghSVKCHLPDeCDFDSVEuTkFTREFROk1TRlQuSVFfU1RfREVCVC45OTkuMDIvMDgvMjAyNi4uLlVTRC5IAQAAAEtVAAADAAAAAABBTkFvLPDeCFJUoIcs8N4IPkNJUS5OQVNEQVE6TVNGVC5JUV9GSU5fRElWX0RFQlRfQ1VSUkVOVC45</t>
  </si>
  <si>
    <t>OTkuMDIvMDgvMjAyNi4uLlVTRC5IAQAAAEtVAAADAAAAAABBTkFvLPDeCFJUoIcs8N4IPENJUS5OQVNEQVE6TVNGVC5JUV9VTkVBUk5fUkVWX0NVUlJFTlQuOTkzLjAyLzA4LzIwMjYuLi5VU0QuSAEAAABLVQAAAgAAAAUzMjY3NgEIAAAABQAAAAExAQAAAAstMjE0MDk4MTQ2OQMAAAADMTYwAgAAAAQxMDc0BAAAAAEwBwAAAAg4LzIvMjAyNggAAAAJNi8zMC8yMDE5CQAAAAEwQU5Bbyzw3giyoqCHLPDeCDJDSVEuTkFTREFROk1TRlQuSVFfVE9UQUxfQ0wuOTk5LjAyLzA4LzIwMjYuLi5VU0QuSAEAAABLVQAAAgAAAAYxNDEyMTgBCAAAAAUAAAABMQEAAAALLTE4ODAyMjk2ODYDAAAAAzE2MAIAAAAEMTAwOQQAAAABMAcAAAAIOC8yLzIwMjYIAAAACTYvMzAvMjAyNQkAAAABMEFOQW8s8N4IsqKghyzw3gg5Q0lRLk5BU0RBUTpNU0ZULklRX0ZJTl9ESVZfREVCVF9MVC45OTUuMDIvMDgvMjAyNi4uLlVTRC5IAQAAAEtVAAADAAAAAABBTkFvLPDeCKN7oIcs8N4IOUNJUS5OQVNEQVE6TVNGVC5JUV9ERUZfVEFYX0xJQUJfTFQuOTk4LjAyLzA4LzIwMjYuLi5VU0QuSAEAAABLVQAAAgAAAAQyNjE4AQgAAAAFAAAAATEBAAAACy0xODgwMjI5Njk0AwAAAAMxNjACAAAABDEwMjcEAAAAATAHAAAACDgvMi8yMDI2CAAAAAk2LzMwLzIwMjQJAAAAATBBTkFvLPDeCKN7oIcs8N4INUNJUS5OQVNEQVE6TVNGVC5JUV9Q</t>
  </si>
  <si>
    <t>UkVGX1JFREVFTS45OTUuMDIvMDgvMjAyNi4uLlVTRC5IAQAAAEtVAAADAAAAAABBTkFvLPDeCKN7oIcs8N4IMENJUS5OQVNEQVE6TVNGVC5JUV9DT01NT04uOTk2LjAyLzA4LzIwMjYuLi5VU0QuSAEAAABLVQAAAgAAAAU4NjkzOQEIAAAABQAAAAExAQAAAAstMTk4NTkzMTIyNAMAAAADMTYwAgAAAAQxMTAzBAAAAAEwBwAAAAg4LzIvMjAyNggAAAAJNi8zMC8yMDIyCQAAAAEwQU5Bbyzw3giyoqCHLPDeCDJDSVEuTkFTREFROk1TRlQuSVFfVFJFQVNVUlkuOTkzLjAyLzA4LzIwMjYuLi5VU0QuSAEAAABLVQAAAwAAAAAAQU5Bbyzw3gi9yaCHLPDeCDZDSVEuTkFTREFROk1TRlQuSVFfVE9UQUxfRVFVSVRZLjk5Mi4wMi8wOC8yMDI2Li4uVVNELkgBAAAAS1UAAAIAAAAFODI3MTgBCAAAAAUAAAABMQEAAAAKMjA0NzI3MTc0NQMAAAADMTYwAgAAAAQxMjc1BAAAAAEwBwAAAAg4LzIvMjAyNggAAAAJNi8zMC8yMDE4CQAAAAEwQU5Bbyzw3gije6CHLPDeCDFDSVEuTkFTREFROk1TRlQuSVFfUlVBX05FVC45OTQuMDIvMDgvMjAyNi4uLlVTRC5IAQAAAEtVAAADAAAAAABBTkFvLPDeCKN7oIcs8N4IQ0NJUS5OQVNEQVE6TVNGVC5JUV9SVUFfT1BFUkFUSU5HX0xFQVNFX0dST1NTLjk5Mi4wMi8wOC8yMDI2Li4uVVNELkgBAAAAS1UAAAIAAAAENjY4NgEIAAAABQAAAAExAQAAAAoyMDQ3MjcxNzQ1AwAAAAMxNjAC</t>
  </si>
  <si>
    <t>AAAABTQ4Mzc3BAAAAAEwBwAAAAg4LzIvMjAyNggAAAAJNi8zMC8yMDE4CQAAAAEwQU5Bbyzw3giyoqCHLPDeCD1DSVEuTkFTREFROk1TRlQuSVFfQURfRVhDTF9PUEVSX0xFQVNFUy45OTguMDIvMDgvMjAyNi4uLlVTRC5IAQAAAEtVAAACAAAABi03NjQyMQEIAAAABQAAAAExAQAAAAstMTg4MDIyOTY5NAMAAAADMTYwAgAAAAU0ODk3NQQAAAABMAcAAAAIOC8yLzIwMjYIAAAACTYvMzAvMjAyNAkAAAABMEFOQW8s8N4Ivcmghyzw3gg+Q0lRLk5BU0RBUTpNU0ZULklRX1RPVEFMX0ZJTkFOQ0VfTEVBU0VTLjk5OS4wMi8wOC8yMDI2Li4uVVNELkgBAAAAS1UAAAIAAAAFNDYxNzIBCAAAAAUAAAABMQEAAAALLTE4ODAyMjk2ODYDAAAAAzE2MAIAAAAFNDkwMzEEAAAAATAHAAAACDgvMi8yMDI2CAAAAAk2LzMwLzIwMjUJAAAAATBBTkFvLPDeCL3JoIcs8N4IUkNJUS5OQVNEQVE6TVNGVC5JUV9GSU5BTkNJTkdfT0JMSUdfQ1VSUkVOVF9FWENMX09QRVJfTEVBU0VTLjk5Ny4wMi8wOC8yMDI2Li4uVVNELkgBAAAAS1UAAAIAAAAENjQ0NAEIAAAABQAAAAExAQAAAAstMTkzNDI1NDI1MAMAAAADMTYwAgAAAAU0ODk4MAQAAAABMAcAAAAIOC8yLzIwMjYIAAAACTYvMzAvMjAyMwkAAAABMEFOQW8s8N4IsqKghyzw3ggzQ0lRLk5BU0RBUTpNU0ZULklRX1RCVl9TSEFSRS45OTUuMDIvMDgvMjAyNi4uLlVTRC5IAQAA</t>
  </si>
  <si>
    <t>AEtVAAACAAAACTExLjIzNTEzNwEIAAAABQAAAAExAQAAAAstMjAzNjg0Mzg0MwMAAAADMTYwAgAAAAQ0MTU2BAAAAAEwBwAAAAg4LzIvMjAyNggAAAAJNi8zMC8yMDIxCQAAAAEwQU5Bbyzw3giyoqCHLPDeCDRDSVEuTkFTREFROk1TRlQuSVFfVE9UQUxfREVCVC45OTQuMDIvMDgvMjAyNi4uLlVTRC5IAQAAAEtVAAACAAAABTgyMTEwAQgAAAAFAAAAATEBAAAACy0yMDg3NDk2NjI3AwAAAAMxNjACAAAABDQxNzMEAAAAATAHAAAACDgvMi8yMDI2CAAAAAk2LzMwLzIwMjAJAAAAATBBTkFvLPDeCLKioIcs8N4IQUNJUS5OQVNEQVE6TVNGVC5JUV9NSU5PUklUWV9JTlRFUkVTVF9UT1RBTC45OTguMDIvMDgvMjAyNi4uLlVTRC5IAQAAAEtVAAADAAAAAABBTkFvLPDeCMPwoIcs8N4IN0NJUS5OQVNEQVE6TVNGVC5JUV9FUVVJVFlfTUVUSE9ELjk5OS4wMi8wOC8yMDI2Li4uVVNELkgBAAAAS1UAAAMAAAAAAEFOQW8s8N4Iw/Cghyzw3gguQ0lRLk5BU0RBUTpNU0ZULklRX0xBTkQuOTk0LjAyLzA4LzIwMjYuLi5VU0QuSAEAAABLVQAAAgAAAAQxODIzAQgAAAAFAAAAATEBAAAACy0yMDg3NDk2NjI3AwAAAAMxNjACAAAABDMwOTgEAAAAATAHAAAACDgvMi8yMDI2CAAAAAk2LzMwLzIwMjAJAAAAATBBTkFvLPDeCL3JoIcs8N4IP0NJUS5OQVNEQVE6TVNGVC5JUV9MRUFTRUhPTERfSU1QUk9WRU1FTlQuOTkyLjAy</t>
  </si>
  <si>
    <t>LzA4LzIwMjYuLi5VU0QuSAEAAABLVQAAAgAAAAQ0NzM1AQgAAAAFAAAAATEBAAAACjIwNDcyNzE3NDUDAAAAAzE2MAIAAAAEMzEwMAQAAAABMAcAAAAIOC8yLzIwMjYIAAAACTYvMzAvMjAxOAkAAAABMEFOQW8s8N4Ivcmghyzw3ghGQ0lRLk5BU0RBUTpNU0ZULklRX0dFTkVSQUxfUEFSVE5FUl9QUkVGX0VRVUlUWS4xMDAwLjAyLzA4LzIwMjYuLi5VU0QuSAEAAABLVQAAAwAAAAAAQU5Bbyzw3gi9yaCHLPDeCDhDSVEuTkFTREFROk1TRlQuSVFfQVNTRVRTX0xFVkVMXzMuOTk2LjAyLzA4LzIwMjYuLi5VU0QuSAEAAABLVQAAAgAAAAMxNzAAQU5Bbyzw3gjD8KCHLPDeCDxDSVEuTkFTREFROk1TRlQuSVFfRklOX0RJVl9ERUJUX1RPVEFMLjk5NC4wMi8wOC8yMDI2Li4uVVNELkgBAAAAS1UAAAMAAAAAAEFOQW8s8N4Iw/Cghyzw3ghCQ0lRLk5BU0RBUTpNU0ZULklRX0FDQ1VNX0FNT1JUX0lOVEFOX0FTU0VUUy45OTYuMDIvMDgvMjAyNi4uLlVTRC5IAQAAAEtVAAACAAAABi0xMjI3OQEIAAAABQAAAAExAQAAAAstMTk4NTkzMTIyNAMAAAADMTYwAgAAAAUyNDMzMQQAAAABMAcAAAAIOC8yLzIwMjYIAAAACTYvMzAvMjAyMgkAAAABMEFOQW8s8N4Ivcmghyzw3gg9Q0lRLk5BU0RBUTpNU0ZULklRX0xFR0FMX1NFVFRMRV9TVVBQTEUuOTk4LjAyLzA4LzIwMjYuLi5VU0QuSAEAAABLVQAAAwAAAAAAQU5Bbyzw</t>
  </si>
  <si>
    <t>3gi9yaCHLPDeCD5DSVEuTkFTREFROk1TRlQuSVFfVE9UQUxfVU5VU1VBTF9TVVBQTEUuOTkyLjAyLzA4LzIwMjYuLi5VU0QuSAEAAABLVQAAAwAAAAAAQU5Bbyzw3gjD8KCHLPDeCDpDSVEuTkFTREFROk1TRlQuSVFfU1RPQ0tfQkFTRURfQ09HUy45OTcuMDIvMDgvMjAyNi4uLlVTRC5IAQAAAEtVAAADAAAAAABBTkFvLPDeCN4XoYcs8N4IOENJUS5OQVNEQVE6TVNGVC5JUV9TVE9DS19CQVNFRF9TTS45OTkuMDIvMDgvMjAyNi4uLlVTRC5IAQAAAEtVAAADAAAAAABBTkFvLPDeCN4XoYcs8N4IQ0NJUS5OQVNEQVE6TVNGVC5JUV9TVE9DS19CQVNFRF9FWFBMT1JFX0RSSUxMLjk5Ni4wMi8wOC8yMDI2Li4uVVNELkgBAAAAS1UAAAMAAAAAAEFOQW8s8N4Iw/Cghyzw3gg4Q0lRLk5BU0RBUTpNU0ZULklRX1NUT0NLX0JBU0VEX0FULjk5OC4wMi8wOC8yMDI2Li4uVVNELkgBAAAAS1UAAAMAAAAAAEFOQW8s8N4Iw/Cghyzw3ghCQ0lRLk5BU0RBUTpNU0ZULklRX1JFU1RSX1NUT0NLX0NPTVBfUFJFVEFYLjEwMDAuMDIvMDgvMjAyNi4uLlVTRC5IAQAAAEtVAAADAAAAAABBTkFvLPDeCMPwoIcs8N4IQ0NJUS5OQVNEQVE6TVNGVC5JUV9TVE9DS19PUFRJT05TX0NPTVBfUFJFVEFYLjk5Ny4wMi8wOC8yMDI2Li4uVVNELkgBAAAAS1UAAAMAAAAAAEFOQW8s8N4I3hehhyzw3gg8Q0lRLk5BU0RBUTpNU0ZULklRX1NU</t>
  </si>
  <si>
    <t>T0NLX09QVElPTlNfQ09NUC45OTkuMDIvMDgvMjAyNi4uLlVTRC5IAQAAAEtVAAADAAAAAABBTkFvLPDeCN4XoYcs8N4IOkNJUS5OQVNEQVE6TVNGVC5JUV9TVE9DS19CQVNFRF9DT01QLjk5Ni4wMi8wOC8yMDI2Li4uVVNELkgBAAAAS1UAAAIAAAAENjIwOQBBTkFvLPDeCMPwoIcs8N4INUNJUS5OQVNEQVE6TVNGVC5JUV9EQV9TVVBQTF9DRi45OTguMDIvMDgvMjAyNi4uLlVTRC5IAQAAAEtVAAACAAAABTE1MjAwAQgAAAAFAAAAATEBAAAACy0xODgwMjI5Njk0AwAAAAMxNjACAAAABDIxNzEEAAAAATAHAAAACDgvMi8yMDI2CAAAAAk2LzMwLzIwMjQJAAAAATBBTkFvLPDeCMPwoIcs8N4INENJUS5OQVNEQVE6TVNGVC5JUV9PSUxfSU1QQUlSLjk5OS4wMi8wOC8yMDI2Li4uVVNELkgBAAAAS1UAAAMAAAAAAEFOQW8s8N4I3hehhyzw3gg+Q0lRLk5BU0RBUTpNU0ZULklRX01JTk9SSVRZX0lOVEVSRVNUX0NGLjk5Ny4wMi8wOC8yMDI2Li4uVVNELkgBAAAAS1UAAAMAAAAAAEFOQW8s8N4I1D6hhyzw3gg4Q0lRLk5BU0RBUTpNU0ZULklRX0dBSU5fSU5WRVNUX0NGLjk5OC4wMi8wOC8yMDI2Li4uVVNELkgBAAAAS1UAAAIAAAAEMTYzNAEIAAAABQAAAAExAQAAAAstMTg4MDIyOTY5NAMAAAADMTYwAgAAAAQyMDkwBAAAAAEwBwAAAAg4LzIvMjAyNggAAAAJNi8zMC8yMDI0CQAAAAEwQU5Bbyzw3gjUPqGHLPDe</t>
  </si>
  <si>
    <t>CDhDSVEuTkFTREFROk1TRlQuSVFfQ1JFRElUX0xPU1NfQ0YuOTk2LjAyLzA4LzIwMjYuLi5VU0QuSAEAAABLVQAAAwAAAAAAQU5Bbyzw3gjeF6GHLPDeCDhDSVEuTkFTREFROk1TRlQuSVFfU1RPQ0tfQkFTRURfQ0YuOTk3LjAyLzA4LzIwMjYuLi5VU0QuSAEAAABLVQAAAgAAAAQ5NjExAQgAAAAFAAAAATEBAAAACy0xOTM0MjU0MjUwAwAAAAMxNjACAAAABDIxMjcEAAAAATAHAAAACDgvMi8yMDI2CAAAAAk2LzMwLzIwMjMJAAAAATBBTkFvLPDeCN4XoYcs8N4IO0NJUS5OQVNEQVE6TVNGVC5JUV9QUk9WX0JBRF9ERUJUU19DRi45OTguMDIvMDgvMjAyNi4uLlVTRC5IAQAAAEtVAAADAAAAAABBTkFvLPDeCN4XoYcs8N4IM0NJUS5OQVNEQVE6TVNGVC5JUV9DSEFOR0VfQVIuOTk0LjAyLzA4LzIwMjYuLi5VU0QuSAEAAABLVQAAAgAAAAUtMjU3NwEIAAAABQAAAAExAQAAAAstMjA4NzQ5NjYyNwMAAAADMTYwAgAAAAQyMDE4BAAAAAEwBwAAAAg4LzIvMjAyNggAAAAJNi8zMC8yMDIwCQAAAAEwQU5Bbyzw3gjUPqGHLPDeCDNDSVEuTkFTREFROk1TRlQuSVFfQ0hBTkdFX0FQLjk5NS4wMi8wOC8yMDI2Li4uVVNELkgBAAAAS1UAAAIAAAAEMjc5OAEIAAAABQAAAAExAQAAAAstMjAzNjg0Mzg0MwMAAAADMTYwAgAAAAQyMDE3BAAAAAEwBwAAAAg4LzIvMjAyNggAAAAJNi8zMC8yMDIxCQAAAAEwQU5Bbyzw3gjU</t>
  </si>
  <si>
    <t>PqGHLPDeCDhDSVEuTkFTREFROk1TRlQuSVFfQ0hBTkdFX0RFRl9UQVguOTkzLjAyLzA4LzIwMjYuLi5VU0QuSAEAAABLVQAAAwAAAAAAQU5Bbyzw3gjeF6GHLPDeCDNDSVEuTkFTREFROk1TRlQuSVFfQ0FTSF9PUEVSLjk5NC4wMi8wOC8yMDI2Li4uVVNELkgBAAAAS1UAAAIAAAAFNjA2NzUBCAAAAAUAAAABMQEAAAALLTIwODc0OTY2MjcDAAAAAzE2MAIAAAAEMjAwNgQAAAABMAcAAAAIOC8yLzIwMjYIAAAACTYvMzAvMjAyMAkAAAABMEFOQW8s8N4I1D6hhyzw3gg1Q0lRLk5BU0RBUTpNU0ZULklRX1NBTEVfUFBFX0NGLjk5NS4wMi8wOC8yMDI2Li4uVVNELkgBAAAAS1UAAAMAAAAAAEFOQW8s8N4I1D6hhyzw3gg9Q0lRLk5BU0RBUTpNU0ZULklRX1NBTEVfUkVBTF9FU1RBVEVfQ0YuOTkzLjAyLzA4LzIwMjYuLi5VU0QuSAEAAABLVQAAAwAAAAAAQU5Bbyzw3gj3ZaGHLPDeCDxDSVEuTkFTREFROk1TRlQuSVFfSU5WRVNUX1NFQ1VSSVRZX0NGLjk5NC4wMi8wOC8yMDI2Li4uVVNELkgBAAAAS1UAAAIAAAAENjk4MAEIAAAABQAAAAExAQAAAAstMjA4NzQ5NjYyNwMAAAADMTYwAgAAAAQyMDI3BAAAAAEwBwAAAAg4LzIvMjAyNggAAAAJNi8zMC8yMDIwCQAAAAEwQU5Bbyzw3gj3ZaGHLPDeCDVDSVEuTkFTREFROk1TRlQuSVFfQ0FTSF9JTlZFU1QuOTkyLjAyLzA4LzIwMjYuLi5VU0QuSAEAAABLVQAAAgAA</t>
  </si>
  <si>
    <t>AAUtNjA2MQEIAAAABQAAAAExAQAAAAoyMDQ3MjcxNzQ1AwAAAAMxNjACAAAABDIwMDUEAAAAATAHAAAACDgvMi8yMDI2CAAAAAk2LzMwLzIwMTgJAAAAATBBTkFvLPDeCNQ+oYcs8N4IOENJUS5OQVNEQVE6TVNGVC5JUV9MVF9ERUJUX0lTU1VFRC45OTMuMDIvMDgvMjAyNi4uLlVTRC5IAQAAAEtVAAADAAAAAABBTkFvLPDeCNQ+oYcs8N4IOENJUS5OQVNEQVE6TVNGVC5JUV9TVF9ERUJUX1JFUEFJRC45OTUuMDIvMDgvMjAyNi4uLlVTRC5IAQAAAEtVAAADAAAAAABBTkFvLPDeCNQ+oYcs8N4IN0NJUS5OQVNEQVE6TVNGVC5JUV9DT01NT05fSVNTVUVELjk5Mi4wMi8wOC8yMDI2Li4uVVNELkgBAAAAS1UAAAIAAAAEMTAwMgEIAAAABQAAAAExAQAAAAoyMDQ3MjcxNzQ1AwAAAAMxNjACAAAABDIxNjkEAAAAATAHAAAACDgvMi8yMDI2CAAAAAk2LzMwLzIwMTgJAAAAATBBTkFvLPDeCAiNoYcs8N4INUNJUS5OQVNEQVE6TVNGVC5JUV9QUkVGX0lTU1VFRC45OTQuMDIvMDgvMjAyNi4uLlVTRC5IAQAAAEtVAAADAAAAAABBTkFvLPDeCAiNoYcs8N4INkNJUS5OQVNEQVE6TVNGVC5JUV9QUkVGX0RJVl9DRi4xMDAwLjAyLzA4LzIwMjYuLi5VU0QuSAEAAABLVQAAAwAAAAAAQU5Bbyzw3gjUPqGHLPDeCDtDSVEuTkFTREFROk1TRlQuSVFfVE9UQUxfRElWX1BBSURfQ0YuOTkzLjAyLzA4LzIwMjYuLi5VU0QuSAEA</t>
  </si>
  <si>
    <t>AABLVQAAAgAAAAYtMTM4MTEBCAAAAAUAAAABMQEAAAALLTIxNDA5ODE0NjkDAAAAAzE2MAIAAAAEMjAyMgQAAAABMAcAAAAIOC8yLzIwMjYIAAAACTYvMzAvMjAxOQkAAAABMEFOQW8s8N4I92Whhyzw3ghBQ0lRLk5BU0RBUTpNU0ZULklRX09USEVSX0ZJTkFOQ0VfQUNUX1NVUFBMLjk5NS4wMi8wOC8yMDI2Li4uVVNELkgBAAAAS1UAAAIAAAAFLTI1MjMBCAAAAAUAAAABMQEAAAALLTIwMzY4NDM4NDMDAAAAAzE2MAIAAAAEMjA1MAQAAAABMAcAAAAIOC8yLzIwMjYIAAAACTYvMzAvMjAyMQkAAAABMEFOQW8s8N4I92Whhyzw3gg4Q0lRLk5BU0RBUTpNU0ZULklRX01JU0NfQURKVVNUX0NGLjk5My4wMi8wOC8yMDI2Li4uVVNELkgBAAAAS1UAAAMAAAAAAEFOQW8s8N4ICI2hhyzw3ghDQ0lRLk5BU0RBUTpNU0ZULklRX0dXX0lOVEFOX0FNT1JUX1BBUlRJQUxfQ0YuOTk4LjAyLzA4LzIwMjYuLi5VU0QuSAEAAABLVQAAAwAAAAAAQU5Bbyzw3ggFtKGHLPDeCDFDSVEuTkFTREFROk1TRlQuSVFfREVQX1JVQS45OTcuMDIvMDgvMjAyNi4uLlVTRC5IAQAAAEtVAAADAAAAAABBTkFvLPDeCPdloYcs8N4IQENJUS5OQVNEQVE6TVNGVC5JUV9EQV9DRl9FWENMX09QRVJfTEVBU0VTLjk5My4wMi8wOC8yMDI2Li4uVVNELkgBAAAAS1UAAAIAAAAFMTE2MDABCAAAAAUAAAABMQEAAAALLTIxNDA5ODE0NjkDAAAAAzE2</t>
  </si>
  <si>
    <t>MAIAAAAFNDg5ODUEAAAAATAHAAAACDgvMi8yMDI2CAAAAAk2LzMwLzIwMTkJAAAAATBBTkFvLPDeCPdloYcs8N4IQkNJUS5OQVNEQVE6TVNGVC5JUV9BTU9SVF9TT0ZUV0FSRV9BU1NFVFNfQ0YuOTkzLjAyLzA4LzIwMjYuLi5VU0QuSAEAAABLVQAAAwAAAAAAQU5Bbyzw3gj3ZaGHLPDeCDdDSVEuTkFTREFROk1TRlQuSVFfQ0FTSF9JTlRFUkVTVC45OTUuMDIvMDgvMjAyNi4uLlVTRC5IAQAAAEtVAAACAAAABDIwMDABCAAAAAUAAAABMQEAAAALLTIwMzY4NDM4NDMDAAAAAzE2MAIAAAAEMzAyOAQAAAABMAcAAAAIOC8yLzIwMjYIAAAACTYvMzAvMjAyMQkAAAABMEFOQW8s8N4IBbShhyzw3gg8Q0lRLk5BU0RBUTpNU0ZULklRX0NBU0hfSU5URVJFU1RfT1BFUi45OTQuMDIvMDgvMjAyNi4uLlVTRC5IAQAAAEtVAAADAAAAAABBTkFvLPDeCAW0oYcs8N4INENJUS5OQVNEQVE6TVNGVC5JUV9DQVNIX1RBWEVTLjk5My4wMi8wOC8yMDI2Li4uVVNELkgBAAAAS1UAAAIAAAAEODQwMAEIAAAABQAAAAExAQAAAAstMjE0MDk4MTQ2OQMAAAADMTYwAgAAAAQzMDUzBAAAAAEwBwAAAAg4LzIvMjAyNggAAAAJNi8zMC8yMDE5CQAAAAEwQU5Bbyzw3ggIjaGHLPDeCDpDSVEuTkFTREFROk1TRlQuSVFfQ0FTSF9UQVhFU19GSU5BTi45OTIuMDIvMDgvMjAyNi4uLlVTRC5IAQAAAEtVAAADAAAAAABBTkFvLPDeCAiNoYcs</t>
  </si>
  <si>
    <t>8N4INUNJUS5OQVNEQVE6TVNGVC5JUV9MRVZFUkVEX0ZDRi45OTMuMDIvMDgvMjAyNi4uLlVTRC5IAQAAAEtVAAACAAAACTMwOTMyLjYyNQEIAAAABQAAAAExAQAAAAstMjE0MDk4MTQ2OQMAAAADMTYwAgAAAAQ0NDIyBAAAAAEwBwAAAAg4LzIvMjAyNggAAAAJNi8zMC8yMDE5CQAAAAEwQU5Bbyzw3ggIjaGHLPDeCDJDSVEuTkFTREFROk1TRlQuSVFfQ0ZfU0hBUkUuOTk2LjAyLzA4LzIwMjYuLi5VU0QuSAEAAABLVQAAAgAAAAg4LjY5MTE2OAEIAAAABQAAAAExAQAAAAstMTk4NTkzMTIyNAMAAAADMTYwAgAAAAU0MzkyMwQAAAABMAcAAAAIOC8yLzIwMjYIAAAACTYvMzAvMjAyMgkAAAABMEFOQW8s8N4IFNuhhyzw3gg1Q0lRLk5BU0RBUTpNU0ZULklRX01BSU5UX0NBUEVYLjk5OC4wMi8wOC8yMDI2Li4uVVNELkgBAAAAS1UAAAMAAAAAAEFOQW8s8N4IFNuhhyzw3ghCQ0lRLk5BU0RBUTpNU0ZULklRX09QRVJBVElOR19MRUFTRV9QQVlNRU5UUy45OTguMDIvMDgvMjAyNi4uLlVTRC5IAQAAAEtVAAADAAAAAABBTkFvLPDeCAW0oYcs8N4IS0NJUS5OQVNEQVE6TVNGVC5JUV9MT05HX1RFUk1fREVCVF9SRVBBSURfRVhDTF9MRUFTRVMuOTk4LjAyLzA4LzIwMjYuLi5VU0QuSAEAAABLVQAAAgAAAAYtMjkwNzABCAAAAAUAAAABMQEAAAALLTE4ODAyMjk2OTQDAAAAAzE2MAIAAAAFNDg5ODQEAAAAATAHAAAA</t>
  </si>
  <si>
    <t>CDgvMi8yMDI2CAAAAAk2LzMwLzIwMjQJAAAAATBBTkFvLPDeCAW0oYcs8N4INUNJUS5OQVNEQVE6TVNGVC5JUV9DQVNIX0VRVUlWLjEwMDAuMDIvMDgvMjAyNi4uLlVTRC5IAQAAAEtVAAACAAAABTIwOTM1AQgAAAAFAAAAATEBAAAACy0xODgwMjI5NjY1AwAAAAMxNjACAAAABDEwOTYEAAAAATAHAAAACDgvMi8yMDI2CAAAAAk2LzMwLzIwMjYJAAAAATBBTkFvLPDeCAW0oYcs8N4IOENJUS5OQVNEQVE6TVNGVC5JUV9DQVNIX1NUX0lOVkVTVC45OTIuMDIvMDgvMjAyNi4uLlVTRC5IAQAAAEtVAAACAAAABjEzMzY2NAEIAAAABQAAAAExAQAAAAoyMDQ3MjcxNzQ1AwAAAAMxNjACAAAABDEwMDIEAAAAATAHAAAACDgvMi8yMDI2CAAAAAk2LzMwLzIwMTgJAAAAATBBTkFvLPDeCC4Coocs8N4INkNJUS5OQVNEQVE6TVNGVC5JUV9PVEhFUl9SRUNFSVYuOTk1LjAyLzA4LzIwMjYuLi5VU0QuSAEAAABLVQAAAwAAAAAAQU5Bbyzw3gguAqKHLPDeCDZDSVEuTkFTREFROk1TRlQuSVFfVE9UQUxfUkVDRUlWLjk5OC4wMi8wOC8yMDI2Li4uVVNELkgBAAAAS1UAAAIAAAAFNjc0MjQBCAAAAAUAAAABMQEAAAALLTE4ODAyMjk2OTQDAAAAAzE2MAIAAAAEMTAwMQQAAAABMAcAAAAIOC8yLzIwMjYIAAAACTYvMzAvMjAyNAkAAAABMEFOQW8s8N4IBbShhyzw3ghAQ0lRLk5BU0RBUTpNU0ZULklRX0ZJTl9ESVZfQVNTRVRT</t>
  </si>
  <si>
    <t>X0NVUlJFTlQuOTk3LjAyLzA4LzIwMjYuLi5VU0QuSAEAAABLVQAAAwAAAAAAQU5Bbyzw3ggU26GHLPDeCDlDSVEuTkFTREFROk1TRlQuSVFfUkVTVFJJQ1RFRF9DQVNILjk5Ny4wMi8wOC8yMDI2Li4uVVNELkgBAAAAS1UAAAMAAAAAAEFOQW8s8N4IFNuhhyzw3gguQ0lRLk5BU0RBUTpNU0ZULklRX0dQUEUuOTk3LjAyLzA4LzIwMjYuLi5VU0QuSAEAAABLVQAAAgAAAAYxNzgyMzgBCAAAAAUAAAABMQEAAAALLTE5MzQyNTQyNTADAAAAAzE2MAIAAAAEMTE2OQQAAAABMAcAAAAIOC8yLzIwMjYIAAAACTYvMzAvMjAyMwkAAAABMEFOQW8s8N4IQymihyzw3gguQ0lRLk5BU0RBUTpNU0ZULklRX05QUEUuOTk5LjAyLzA4LzIwMjYuLi5VU0QuSAEAAABLVQAAAgAAAAYyMjk3ODkBCAAAAAUAAAABMQEAAAALLTE4ODAyMjk2ODYDAAAAAzE2MAIAAAAEMTAwNAQAAAABMAcAAAAIOC8yLzIwMjYIAAAACTYvMzAvMjAyNQkAAAABMEFOQW8s8N4IQymihyzw3gg1Q0lRLk5BU0RBUTpNU0ZULklRX09USEVSX0lOVEFOLjk5My4wMi8wOC8yMDI2Li4uVVNELkgBAAAAS1UAAAIAAAAENzc1MAEIAAAABQAAAAExAQAAAAstMjE0MDk4MTQ2OQMAAAADMTYwAgAAAAQxMDQwBAAAAAEwBwAAAAg4LzIvMjAyNggAAAAJNi8zMC8yMDE5CQAAAAEwQU5Bbyzw3ggU26GHLPDeCC9DSVEuTkFTREFROk1TRlQuSVFfQVJfTFQuOTkzLjAy</t>
  </si>
  <si>
    <t>LzA4LzIwMjYuLi5VU0QuSAEAAABLVQAAAgAAAAQyMjAwAQgAAAAFAAAAATEBAAAACy0yMTQwOTgxNDY5AwAAAAMxNjACAAAABDEwODgEAAAAATAHAAAACDgvMi8yMDI2CAAAAAk2LzMwLzIwMTkJAAAAATBBTkFvLPDeCBTboYcs8N4IO0NJUS5OQVNEQVE6TVNGVC5JUV9ERUZfVEFYX0FTU0VUU19MVC45OTguMDIvMDgvMjAyNi4uLlVTRC5IAQAAAEtVAAACAAAABTIyMjcwAQgAAAAFAAAAATEBAAAACy0xODgwMjI5Njk0AwAAAAMxNjACAAAABDEwMjYEAAAAATAHAAAACDgvMi8yMDI2CAAAAAk2LzMwLzIwMjQJAAAAATBBTkFvLPDeCC4Coocs8N4INkNJUS5OQVNEQVE6TVNGVC5JUV9UT1RBTF9BU1NFVFMuOTk5LjAyLzA4LzIwMjYuLi5VU0QuSAEAAABLVQAAAgAAAAY2MTkwMDMBCAAAAAUAAAABMQEAAAALLTE4ODAyMjk2ODYDAAAAAzE2MAIAAAAEMTAwNwQAAAABMAcAAAAIOC8yLzIwMjYIAAAACTYvMzAvMjAyNQkAAAABMEFOQW8s8N4IQymihyzw3ggyQ0lRLk5BU0RBUTpNU0ZULklRX1NUX0RFQlQuMTAwMC4wMi8wOC8yMDI2Li4uVVNELkgBAAAAS1UAAAMAAAAAAEFOQW8s8N4IQymihyzw3gg+Q0lRLk5BU0RBUTpNU0ZULklRX0ZJTl9ESVZfREVCVF9DVVJSRU5ULjk5Mi4wMi8wOC8yMDI2Li4uVVNELkgBAAAAS1UAAAMAAAAAAEFOQW8s8N4ILgKihyzw3gg+Q0lRLk5BU0RBUTpNU0ZULklRX0RFRl9U</t>
  </si>
  <si>
    <t>QVhfTElBQl9DVVJSRU5ULjk5Ni4wMi8wOC8yMDI2Li4uVVNELkgBAAAAS1UAAAMAAAAAAEFOQW8s8N4ILgKihyzw3ggzQ0lRLk5BU0RBUTpNU0ZULklRX1RPVEFMX0NMLjEwMDAuMDIvMDgvMjAyNi4uLlVTRC5IAQAAAEtVAAACAAAABjE2ODgyNQEIAAAABQAAAAExAQAAAAstMTg4MDIyOTY2NQMAAAADMTYwAgAAAAQxMDA5BAAAAAEwBwAAAAg4LzIvMjAyNggAAAAJNi8zMC8yMDI2CQAAAAEwQU5Bbyzw3gguAqKHLPDeCDlDSVEuTkFTREFROk1TRlQuSVFfRklOX0RJVl9MSUFCX0xULjk5My4wMi8wOC8yMDI2Li4uVVNELkgBAAAAS1UAAAMAAAAAAEFOQW8s8N4Il16ihyzw3gg5Q0lRLk5BU0RBUTpNU0ZULklRX0RFRl9UQVhfTElBQl9MVC45OTIuMDIvMDgvMjAyNi4uLlVTRC5IAQAAAEtVAAACAAAAAzU0MQEIAAAABQAAAAExAQAAAAoyMDQ3MjcxNzQ1AwAAAAMxNjACAAAABDEwMjcEAAAAATAHAAAACDgvMi8yMDI2CAAAAAk2LzMwLzIwMTgJAAAAATBBTkFvLPDeCJdeoocs8N4IOUNJUS5OQVNEQVE6TVNGVC5JUV9QUkVGX05PTl9SRURFRU0uOTkyLjAyLzA4LzIwMjYuLi5VU0QuSAEAAABLVQAAAwAAAAAAQU5Bbyzw3ghDKaKHLPDeCDBDSVEuTkFTREFROk1TRlQuSVFfQ09NTU9OLjk5Ny4wMi8wOC8yMDI2Li4uVVNELkgBAAAAS1UAAAIAAAAFOTM3MTgBCAAAAAUAAAABMQEAAAALLTE5MzQyNTQyNTAD</t>
  </si>
  <si>
    <t>AAAAAzE2MAIAAAAEMTEwMwQAAAABMAcAAAAIOC8yLzIwMjYIAAAACTYvMzAvMjAyMwkAAAABMEFOQW8s8N4IQymihyzw3ggyQ0lRLk5BU0RBUTpNU0ZULklRX1RSRUFTVVJZLjk5NC4wMi8wOC8yMDI2Li4uVVNELkgBAAAAS1UAAAMAAAAAAEFOQW8s8N4IQymihyzw3gg2Q0lRLk5BU0RBUTpNU0ZULklRX1RPVEFMX0VRVUlUWS45OTMuMDIvMDgvMjAyNi4uLlVTRC5IAQAAAEtVAAACAAAABjEwMjMzMAEIAAAABQAAAAExAQAAAAstMjE0MDk4MTQ2OQMAAAADMTYwAgAAAAQxMjc1BAAAAAEwBwAAAAg4LzIvMjAyNggAAAAJNi8zMC8yMDE5CQAAAAEwQU5Bbyzw3giXXqKHLPDeCDdDSVEuTkFTREFROk1TRlQuSVFfUlVBX0FDQ1VNX0RFUC45OTguMDIvMDgvMjAyNi4uLlVTRC5IAQAAAEtVAAADAAAAAABBTkFvLPDeCJdeoocs8N4IQ0NJUS5OQVNEQVE6TVNGVC5JUV9SVUFfT1BFUkFUSU5HX0xFQVNFX0dST1NTLjk5OS4wMi8wOC8yMDI2Li4uVVNELkgBAAAAS1UAAAIAAAAFMjQ4MjMBCAAAAAUAAAABMQEAAAALLTE4ODAyMjk2ODYDAAAAAzE2MAIAAAAFNDgzNzcEAAAAATAHAAAACDgvMi8yMDI2CAAAAAk2LzMwLzIwMjUJAAAAATBBTkFvLPDeCEMpoocs8N4IPUNJUS5OQVNEQVE6TVNGVC5JUV9BRF9FWENMX09QRVJfTEVBU0VTLjk5OS4wMi8wOC8yMDI2Li4uVVNELkgBAAAAS1UAAAIAAAAGLTkzNjUzAQgA</t>
  </si>
  <si>
    <t>AAAFAAAAATEBAAAACy0xODgwMjI5Njg2AwAAAAMxNjACAAAABTQ4OTc1BAAAAAEwBwAAAAg4LzIvMjAyNggAAAAJNi8zMC8yMDI1CQAAAAEwQU5Bbyzw3ghDKaKHLPDeCFBDSVEuTkFTREFROk1TRlQuSVFfQ1VSUkVOVF9QT1JUSU9OX09QRVJfTEVBU0VfTElBQklMSVRJRVMuOTk2LjAyLzA4LzIwMjYuLi5VU0QuSAEAAABLVQAAAgAAAAQyMjI4AQgAAAAFAAAAATEBAAAACy0xOTg1OTMxMjI0AwAAAAMxNjACAAAABTQ4Mzg1BAAAAAEwBwAAAAg4LzIvMjAyNggAAAAJNi8zMC8yMDIyCQAAAAEwQU5Bbyzw3giXXqKHLPDeCFJDSVEuTkFTREFROk1TRlQuSVFfRklOQU5DSU5HX09CTElHX0NVUlJFTlRfRVhDTF9PUEVSX0xFQVNFUy45OTguMDIvMDgvMjAyNi4uLlVTRC5IAQAAAEtVAAACAAAABTExMjkxAQgAAAAFAAAAATEBAAAACy0xODgwMjI5Njk0AwAAAAMxNjACAAAABTQ4OTgwBAAAAAEwBwAAAAg4LzIvMjAyNggAAAAJNi8zMC8yMDI0CQAAAAEwQU5Bbyzw3ghmmaKHLPDeCDtDSVEuTkFTREFROk1TRlQuSVFfQlZfU0hBUkVfUkVQT1JURUQuOTk4LjAyLzA4LzIwMjYuLi5VU0QuSAEAAABLVQAAAwAAAAAAQU5Bbyzw3ghmmaKHLPDeCDRDSVEuTkFTREFROk1TRlQuSVFfQ0FTSF9TSEFSRS45OTguMDIvMDgvMjAyNi4uLlVTRC5IAQAAAEtVAAACAAAABzIuNDYzNjgBCAAAAAUAAAABMQEAAAALLTE4ODAy</t>
  </si>
  <si>
    <t>Mjk2OTQDAAAAAzE2MAIAAAAENDM4MQQAAAABMAcAAAAIOC8yLzIwMjYIAAAACTYvMzAvMjAyNAkAAAABMEFOQW8s8N4Il16ihyzw3ghBQ0lRLk5BU0RBUTpNU0ZULklRX01JTk9SSVRZX0lOVEVSRVNUX1RPVEFMLjk5OS4wMi8wOC8yMDI2Li4uVVNELkgBAAAAS1UAAAMAAAAAAEFOQW8s8N4Il16ihyzw3gg4Q0lRLk5BU0RBUTpNU0ZULklRX0VRVUlUWV9NRVRIT0QuMTAwMC4wMi8wOC8yMDI2Li4uVVNELkgBAAAAS1UAAAMAAAAAAEFOQW8s8N4Il16ihyzw3gguQ0lRLk5BU0RBUTpNU0ZULklRX0xBTkQuOTk4LjAyLzA4LzIwMjYuLi5VU0QuSAEAAABLVQAAAgAAAAQ4MTYzAQgAAAAFAAAAATEBAAAACy0xODgwMjI5Njk0AwAAAAMxNjACAAAABDMwOTgEAAAAATAHAAAACDgvMi8yMDI2CAAAAAk2LzMwLzIwMjQJAAAAATBBTkFvLPDeCGaZoocs8N4IP0NJUS5OQVNEQVE6TVNGVC5JUV9MRUFTRUhPTERfSU1QUk9WRU1FTlQuOTkzLjAyLzA4LzIwMjYuLi5VU0QuSAEAAABLVQAAAgAAAAQ1MzE2AQgAAAAFAAAAATEBAAAACy0yMTQwOTgxNDY5AwAAAAMxNjACAAAABDMxMDAEAAAAATAHAAAACDgvMi8yMDI2CAAAAAk2LzMwLzIwMTkJAAAAATBBTkFvLPDeCGaZoocs8N4IRUNJUS5OQVNEQVE6TVNGVC5JUV9HRU5FUkFMX1BBUlRORVJfUFJFRl9FUVVJVFkuOTkyLjAyLzA4LzIwMjYuLi5VU0QuSAEAAABLVQAA</t>
  </si>
  <si>
    <t>AwAAAAAAQU5Bbyzw3giXXqKHLPDeCDhDSVEuTkFTREFROk1TRlQuSVFfQVNTRVRTX0xFVkVMXzMuOTk3LjAyLzA4LzIwMjYuLi5VU0QuSAEAAABLVQAAAgAAAAMyMTQAQU5Bbyzw3giXXqKHLPDeCDtDSVEuTkFTREFROk1TRlQuSVFfRklOX0RJVl9TVF9JTlZFU1QuOTk0LjAyLzA4LzIwMjYuLi5VU0QuSAEAAABLVQAAAwAAAAAAQU5Bbyzw3giXXqKHLPDeCDJDSVEuTkFTREFROk1TRlQuSVFfR1JPU1NfR1cuOTk5LjAyLzA4LzIwMjYuLi5VU0QuSAEAAABLVQAAAwAAAAAAQU5Bbyzw3gjHwKKHLPDeCDtDSVEuTkFTREFROk1TRlQuSVFfQ09OVElOR0VOVF9SRU5UQUwuOTk1LjAyLzA4LzIwMjYuLi5VU0QuSAEAAABLVQAAAwAAAAAAQU5Bbyzw3gjHwKKHLPDeCDdDSVEuTkFTREFROk1TRlQuSVFfQUlSQ1JBRlRfUkVOVC45OTkuMDIvMDgvMjAyNi4uLlVTRC5IAQAAAEtVAAADAAAAAABBTkFvLPDeCGaZoocs8N4INkNJUS5OQVNEQVE6TVNGVC5JUV9NQUlOVF9SRVBBSVIuOTkyLjAyLzA4LzIwMjYuLi5VU0QuSAEAAABLVQAAAwAAAAAAQU5Bbyzw3ghmmaKHLPDeCEFDSVEuTkFTREFROk1TRlQuSVFfU0FMQVJJRVNfT1RIRVJfQkVORUZJVFMuOTk2LjAyLzA4LzIwMjYuLi5VU0QuSAEAAABLVQAAAwAAAAAAQU5Bbyzw3ghmmaKHLPDeCD1DSVEuTkFTREFROk1TRlQuSVFfUkVTVFJVQ1RVUkVfU1VQUExFLjEw</t>
  </si>
  <si>
    <t>MDAuMDIvMDgvMjAyNi4uLlVTRC5IAQAAAEtVAAADAAAAAABBTkFvLPDeCMfAoocs8N4IQENJUS5OQVNEQVE6TVNGVC5JUV9BU1NFVF9XUklURURPV05fU1VQUExFLjk5My4wMi8wOC8yMDI2Li4uVVNELkgBAAAAS1UAAAMAAAAAAEFOQW8s8N4I0ueihyzw3ghBQ0lRLk5BU0RBUTpNU0ZULklRX0dBSU5fQkFSR0FJTl9BQ1FfU1VQUExFLjk5Ny4wMi8wOC8yMDI2Li4uVVNELkgBAAAAS1UAAAMAAAAAAEFOQW8s8N4IZpmihyzw3gg9Q0lRLk5BU0RBUTpNU0ZULklRX0xFR0FMX1NFVFRMRV9TVVBQTEUuOTkyLjAyLzA4LzIwMjYuLi5VU0QuSAEAAABLVQAAAwAAAAAAQU5Bbyzw3ghmmaKHLPDeCDtDSVEuTkFTREFROk1TRlQuSVFfTkVHQVRJVkVfR1dfQU1PUlQuOTk2LjAyLzA4LzIwMjYuLi5VU0QuSAEAAABLVQAAAwAAAAAAQU5Bbyzw3gjHwKKHLPDeCDpDSVEuTkFTREFROk1TRlQuSVFfU1RPQ0tfQkFTRURfQ09HUy45OTguMDIvMDgvMjAyNi4uLlVTRC5IAQAAAEtVAAADAAAAAABBTkFvLPDeCNLnoocs8N4IOENJUS5OQVNEQVE6TVNGVC5JUV9TVE9DS19CQVNFRF9TTS45OTIuMDIvMDgvMjAyNi4uLlVTRC5IAQAAAEtVAAADAAAAAABBTkFvLPDeCNLnoocs8N4IQ0NJUS5OQVNEQVE6TVNGVC5JUV9TVE9DS19CQVNFRF9FWFBMT1JFX0RSSUxMLjk5Ny4wMi8wOC8yMDI2Li4uVVNELkgBAAAAS1UAAAMAAAAA</t>
  </si>
  <si>
    <t>AEFOQW8s8N4Ix8Cihyzw3gg4Q0lRLk5BU0RBUTpNU0ZULklRX1NUT0NLX0JBU0VEX0FULjk5OS4wMi8wOC8yMDI2Li4uVVNELkgBAAAAS1UAAAMAAAAAAEFOQW8s8N4Ix8Cihyzw3gg+Q0lRLk5BU0RBUTpNU0ZULklRX1JFU1RSX1NUT0NLX0NPTVBfVEFYLjk5Ni4wMi8wOC8yMDI2Li4uVVNELkgBAAAAS1UAAAMAAAAAAEFOQW8s8N4Ix8Cihyzw3ghDQ0lRLk5BU0RBUTpNU0ZULklRX1NUT0NLX09QVElPTlNfQ09NUF9QUkVUQVguOTk4LjAyLzA4LzIwMjYuLi5VU0QuSAEAAABLVQAAAwAAAAAAQU5Bbyzw3gjS56KHLPDeCD1DSVEuTkFTREFROk1TRlQuSVFfU1RPQ0tfT1BUSU9OU19DT01QLjEwMDAuMDIvMDgvMjAyNi4uLlVTRC5IAQAAAEtVAAADAAAAAABBTkFvLPDeCOkOo4cs8N4IOkNJUS5OQVNEQVE6TVNGVC5JUV9TVE9DS19CQVNFRF9DT01QLjk5Ny4wMi8wOC8yMDI2Li4uVVNELkgBAAAAS1UAAAIAAAAENzk2MABBTkFvLPDeCNLnoocs8N4INUNJUS5OQVNEQVE6TVNGVC5JUV9EQV9TVVBQTF9DRi45OTkuMDIvMDgvMjAyNi4uLlVTRC5IAQAAAEtVAAACAAAABTIyMDAwAQgAAAAFAAAAATEBAAAACy0xODgwMjI5Njg2AwAAAAMxNjACAAAABDIxNzEEAAAAATAHAAAACDgvMi8yMDI2CAAAAAk2LzMwLzIwMjUJAAAAATBBTkFvLPDeCNLnoocs8N4IL0NJUS5OQVNEQVE6TVNGVC5JUV9EQV9DRi45OTYu</t>
  </si>
  <si>
    <t>MDIvMDgvMjAyNi4uLlVTRC5IAQAAAEtVAAACAAAABTE0NjAwAQgAAAAFAAAAATEBAAAACy0xOTg1OTMxMjI0AwAAAAMxNjACAAAABDIxNjAEAAAAATAHAAAACDgvMi8yMDI2CAAAAAk2LzMwLzIwMjIJAAAAATBBTkFvLPDeCNLnoocs8N4IPkNJUS5OQVNEQVE6TVNGVC5JUV9NSU5PUklUWV9JTlRFUkVTVF9DRi45OTguMDIvMDgvMjAyNi4uLlVTRC5IAQAAAEtVAAADAAAAAABBTkFvLPDeCOkOo4cs8N4IOENJUS5OQVNEQVE6TVNGVC5JUV9HQUlOX0lOVkVTVF9DRi45OTkuMDIvMDgvMjAyNi4uLlVTRC5IAQAAAEtVAAACAAAABDUzMjkBCAAAAAUAAAABMQEAAAALLTE4ODAyMjk2ODYDAAAAAzE2MAIAAAAEMjA5MAQAAAABMAcAAAAIOC8yLzIwMjYIAAAACTYvMzAvMjAyNQkAAAABMEFOQW8s8N4I6Q6jhyzw3gg4Q0lRLk5BU0RBUTpNU0ZULklRX0NSRURJVF9MT1NTX0NGLjk5Ny4wMi8wOC8yMDI2Li4uVVNELkgBAAAAS1UAAAMAAAAAAEFOQW8s8N4I0ueihyzw3gg4Q0lRLk5BU0RBUTpNU0ZULklRX1NUT0NLX0JBU0VEX0NGLjk5OC4wMi8wOC8yMDI2Li4uVVNELkgBAAAAS1UAAAIAAAAFMTA3MzQBCAAAAAUAAAABMQEAAAALLTE4ODAyMjk2OTQDAAAAAzE2MAIAAAAEMjEyNwQAAAABMAcAAAAIOC8yLzIwMjYIAAAACTYvMzAvMjAyNAkAAAABMEFOQW8s8N4I0ueihyzw3ggvQ0lRLk5BU0RBUTpNU0ZULklR</t>
  </si>
  <si>
    <t>X0RPX0NGLjk5Ni4wMi8wOC8yMDI2Li4uVVNELkgBAAAAS1UAAAMAAAAAAEFOQW8s8N4I0ueihyzw3gg/Q0lRLk5BU0RBUTpNU0ZULklRX0NIQU5HRV9UUkFESU5HX0FTU0VUUy45OTcuMDIvMDgvMjAyNi4uLlVTRC5IAQAAAEtVAAADAAAAAABBTkFvLPDeCOkOo4cs8N4IOkNJUS5OQVNEQVE6TVNGVC5JUV9DSEFOR0VfSU5WRU5UT1JZLjk5OC4wMi8wOC8yMDI2Li4uVVNELkgBAAAAS1UAAAIAAAAEMTI4NAEIAAAABQAAAAExAQAAAAstMTg4MDIyOTY5NAMAAAADMTYwAgAAAAQyMDk5BAAAAAEwBwAAAAg4LzIvMjAyNggAAAAJNi8zMC8yMDI0CQAAAAEwQU5Bbyzw3gjpDqOHLPDeCDhDSVEuTkFTREFROk1TRlQuSVFfQ0hBTkdFX0RFRl9UQVguOTk0LjAyLzA4LzIwMjYuLi5VU0QuSAEAAABLVQAAAwAAAAAAQU5Bbyzw3gjpDqOHLPDeCDNDSVEuTkFTREFROk1TRlQuSVFfQ0FTSF9PUEVSLjk5NS4wMi8wOC8yMDI2Li4uVVNELkgBAAAAS1UAAAIAAAAFNzY3NDABCAAAAAUAAAABMQEAAAALLTIwMzY4NDM4NDMDAAAAAzE2MAIAAAAEMjAwNgQAAAABMAcAAAAIOC8yLzIwMjYIAAAACTYvMzAvMjAyMQkAAAABMEFOQW8s8N4I6Q6jhyzw3gg5Q0lRLk5BU0RBUTpNU0ZULklRX0NBU0hfQUNRVUlSRV9DRi45OTMuMDIvMDgvMjAyNi4uLlVTRC5IAQAAAEtVAAACAAAABS0yMzg4AQgAAAAFAAAAATEBAAAACy0yMTQw</t>
  </si>
  <si>
    <t>OTgxNDY5AwAAAAMxNjACAAAABDIwNTcEAAAAATAHAAAACDgvMi8yMDI2CAAAAAk2LzMwLzIwMTkJAAAAATBBTkFvLPDeCOkOo4cs8N4IPUNJUS5OQVNEQVE6TVNGVC5JUV9TQUxFX1JFQUxfRVNUQVRFX0NGLjk5NC4wMi8wOC8yMDI2Li4uVVNELkgBAAAAS1UAAAMAAAAAAEFOQW8s8N4I6zWjhyzw3gg8Q0lRLk5BU0RBUTpNU0ZULklRX0lOVkVTVF9TRUNVUklUWV9DRi45OTUuMDIvMDgvMjAyNi4uLlVTRC5IAQAAAEtVAAACAAAABDI4NzYBCAAAAAUAAAABMQEAAAALLTIwMzY4NDM4NDMDAAAAAzE2MAIAAAAEMjAyNwQAAAABMAcAAAAIOC8yLzIwMjYIAAAACTYvMzAvMjAyMQkAAAABMEFOQW8s8N4I6zWjhyzw3gg1Q0lRLk5BU0RBUTpNU0ZULklRX0NBU0hfSU5WRVNULjk5My4wMi8wOC8yMDI2Li4uVVNELkgBAAAAS1UAAAIAAAAGLTE1NzczAQgAAAAFAAAAATEBAAAACy0yMTQwOTgxNDY5AwAAAAMxNjACAAAABDIwMDUEAAAAATAHAAAACDgvMi8yMDI2CAAAAAk2LzMwLzIwMTkJAAAAATBBTkFvLPDeCOkOo4cs8N4IOENJUS5OQVNEQVE6TVNGVC5JUV9MVF9ERUJUX0lTU1VFRC45OTQuMDIvMDgvMjAyNi4uLlVTRC5IAQAAAEtVAAADAAAAAABBTkFvLPDeCOkOo4cs8N4IOENJUS5OQVNEQVE6TVNGVC5JUV9MVF9ERUJUX1JFUEFJRC45OTIuMDIvMDgvMjAyNi4uLlVTRC5IAQAAAEtVAAACAAAABi0xMDA2</t>
  </si>
  <si>
    <t>MAEIAAAABQAAAAExAQAAAAoyMDQ3MjcxNzQ1AwAAAAMxNjACAAAABDIwMzYEAAAAATAHAAAACDgvMi8yMDI2CAAAAAk2LzMwLzIwMTgJAAAAATBBTkFvLPDeCOkOo4cs8N4IN0NJUS5OQVNEQVE6TVNGVC5JUV9DT01NT05fSVNTVUVELjk5My4wMi8wOC8yMDI2Li4uVVNELkgBAAAAS1UAAAIAAAAEMTE0MgEIAAAABQAAAAExAQAAAAstMjE0MDk4MTQ2OQMAAAADMTYwAgAAAAQyMTY5BAAAAAEwBwAAAAg4LzIvMjAyNggAAAAJNi8zMC8yMDE5CQAAAAEwQU5Bbyzw3gjrNaOHLPDeCDVDSVEuTkFTREFROk1TRlQuSVFfUFJFRl9JU1NVRUQuOTk1LjAyLzA4LzIwMjYuLi5VU0QuSAEAAABLVQAAAwAAAAAAQU5Bbyzw3gjrNaOHLPDeCDVDSVEuTkFTREFROk1TRlQuSVFfUFJFRl9ESVZfQ0YuOTkyLjAyLzA4LzIwMjYuLi5VU0QuSAEAAABLVQAAAwAAAAAAQU5Bbyzw3gjrNaOHLPDeCDtDSVEuTkFTREFROk1TRlQuSVFfVE9UQUxfRElWX1BBSURfQ0YuOTk0LjAyLzA4LzIwMjYuLi5VU0QuSAEAAABLVQAAAgAAAAYtMTUxMzcBCAAAAAUAAAABMQEAAAALLTIwODc0OTY2MjcDAAAAAzE2MAIAAAAEMjAyMgQAAAABMAcAAAAIOC8yLzIwMjYIAAAACTYvMzAvMjAyMAkAAAABMEFOQW8s8N4I6zWjhyzw3gg1Q0lRLk5BU0RBUTpNU0ZULklRX0NBU0hfRklOQU4uMTAwMC4wMi8wOC8yMDI2Li4uVVNELkgBAAAAS1UAAAIA</t>
  </si>
  <si>
    <t>AAAGLTUyNTQ2AQgAAAAFAAAAATEBAAAACy0xODgwMjI5NjY1AwAAAAMxNjACAAAABDIwMDQEAAAAATAHAAAACDgvMi8yMDI2CAAAAAk2LzMwLzIwMjYJAAAAATBBTkFvLPDeCOs1o4cs8N4IOENJUS5OQVNEQVE6TVNGVC5JUV9NSVNDX0FESlVTVF9DRi45OTQuMDIvMDgvMjAyNi4uLlVTRC5IAQAAAEtVAAADAAAAAABBTkFvLPDeCOs1o4cs8N4IQ0NJUS5OQVNEQVE6TVNGVC5JUV9HV19JTlRBTl9BTU9SVF9QQVJUSUFMX0NGLjk5OS4wMi8wOC8yMDI2Li4uVVNELkgBAAAAS1UAAAMAAAAAANgmQW8s8N4I6zWjhyzw3ggxQ0lRLk5BU0RBUTpNU0ZULklRX0RFUF9SVUEuOTk4LjAyLzA4LzIwMjYuLi5VU0QuSAEAAABLVQAAAwAAAAAA2CZBbyzw3gjrNaOHLPDeCD5DSVEuTkFTREFROk1TRlQuSVFfTkVHQVRJVkVfR1dfQU1PUlRfQ0YuOTk3LjAyLzA4LzIwMjYuLi5VU0QuSAEAAABLVQAAAwAAAAAA2CZBbyzw3gjrNaOHLPDeCEJDSVEuTkFTREFROk1TRlQuSVFfQU1PUlRfU09GVFdBUkVfQVNTRVRTX0NGLjk5OS4wMi8wOC8yMDI2Li4uVVNELkgBAAAAS1UAAAMAAAAAANgmQW8s8N4I6zWjhyzw3gg3Q0lRLk5BU0RBUTpNU0ZULklRX0NBU0hfSU5URVJFU1QuOTk2LjAyLzA4LzIwMjYuLi5VU0QuSAEAAABLVQAAAgAAAAQxOTAwAQgAAAAFAAAAATEBAAAACy0xOTg1OTMxMjI0AwAAAAMxNjACAAAABDMwMjgE</t>
  </si>
  <si>
    <t>AAAAATAHAAAACDgvMi8yMDI2CAAAAAk2LzMwLzIwMjIJAAAAATDYJkFvLPDeCOs1o4cs8N4IPENJUS5OQVNEQVE6TVNGVC5JUV9DQVNIX0lOVEVSRVNUX09QRVIuOTk1LjAyLzA4LzIwMjYuLi5VU0QuSAEAAABLVQAAAwAAAAAA2CZBbyzw3gjKcKOHLPDeCDRDSVEuTkFTREFROk1TRlQuSVFfQ0FTSF9UQVhFUy45OTQuMDIvMDgvMjAyNi4uLlVTRC5IAQAAAEtVAAACAAAABTEyNTAwAQgAAAAFAAAAATEBAAAACy0yMDg3NDk2NjI3AwAAAAMxNjACAAAABDMwNTMEAAAAATAHAAAACDgvMi8yMDI2CAAAAAk2LzMwLzIwMjAJAAAAATDYJkFvLPDeCOs1o4cs8N4IOkNJUS5OQVNEQVE6TVNGVC5JUV9DQVNIX1RBWEVTX0ZJTkFOLjk5My4wMi8wOC8yMDI2Li4uVVNELkgBAAAAS1UAAAMAAAAAANgmQW8s8N4I6zWjhyzw3gg1Q0lRLk5BU0RBUTpNU0ZULklRX0xFVkVSRURfRkNGLjk5NC4wMi8wOC8yMDI2Li4uVVNELkgBAAAAS1UAAAIAAAAFMzQyNTgBCAAAAAUAAAABMQEAAAALLTIwODc0OTY2MjcDAAAAAzE2MAIAAAAENDQyMgQAAAABMAcAAAAIOC8yLzIwMjYIAAAACTYvMzAvMjAyMAkAAAABMNgmQW8s8N4I6zWjhyzw3gg5Q0lRLk5BU0RBUTpNU0ZULklRX05FVF9ERUJUX0lTU1VFRC45OTQuMDIvMDgvMjAyNi4uLlVTRC5IAQAAAEtVAAACAAAABS01NTE4AQgAAAAFAAAAATEBAAAACy0yMDg3NDk2NjI3AwAA</t>
  </si>
  <si>
    <t>AAMxNjACAAAABDIwMDMEAAAAATAHAAAACDgvMi8yMDI2CAAAAAk2LzMwLzIwMjAJAAAAATDYJkFvLPDeCMpwo4cs8N4INUNJUS5OQVNEQVE6TVNGVC5JUV9NQUlOVF9DQVBFWC45OTkuMDIvMDgvMjAyNi4uLlVTRC5IAQAAAEtVAAADAAAAAADYJkFvLPDeCMpwo4cs8N4IQkNJUS5OQVNEQVE6TVNGVC5JUV9PUEVSQVRJTkdfTEVBU0VfUEFZTUVOVFMuOTk5LjAyLzA4LzIwMjYuLi5VU0QuSAEAAABLVQAAAwAAAAAA2CZBbyzw3gjrNaOHLPDeCEtDSVEuTkFTREFROk1TRlQuSVFfTE9OR19URVJNX0RFQlRfUkVQQUlEX0VYQ0xfTEVBU0VTLjk5OS4wMi8wOC8yMDI2Li4uVVNELkgBAAAAS1UAAAIAAAAFLTMyMTYBCAAAAAUAAAABMQEAAAALLTE4ODAyMjk2ODYDAAAAAzE2MAIAAAAFNDg5ODQEAAAAATAHAAAACDgvMi8yMDI2CAAAAAk2LzMwLzIwMjUJAAAAATDYJkFvLPDeCOs1o4cs8N4INENJUS5OQVNEQVE6TVNGVC5JUV9DQVNIX0VRVUlWLjk5My4wMi8wOC8yMDI2Li4uVVNELkgBAAAAS1UAAAIAAAAFMTEzNTYBCAAAAAUAAAABMQEAAAALLTIxNDA5ODE0NjkDAAAAAzE2MAIAAAAEMTA5NgQAAAABMAcAAAAIOC8yLzIwMjYIAAAACTYvMzAvMjAxOQkAAAABMNgmQW8s8N4I6zWjhyzw3gg4Q0lRLk5BU0RBUTpNU0ZULklRX0NBU0hfU1RfSU5WRVNULjk5My4wMi8wOC8yMDI2Li4uVVNELkgBAAAAS1UAAAIA</t>
  </si>
  <si>
    <t>AAAGMTMzODMyAQgAAAAFAAAAATEBAAAACy0yMTQwOTgxNDY5AwAAAAMxNjACAAAABDEwMDIEAAAAATAHAAAACDgvMi8yMDI2CAAAAAk2LzMwLzIwMTkJAAAAATDYJkFvLPDeCMpwo4cs8N4IOENJUS5OQVNEQVE6TVNGVC5JUV9TVF9OT1RFX1JFQ0VJVi45OTMuMDIvMDgvMjAyNi4uLlVTRC5IAQAAAEtVAAADAAAAAADYJkFvLPDeCCKYo4cs8N4IM0NJUS5OQVNEQVE6TVNGVC5JUV9JTlZFTlRPUlkuOTk3LjAyLzA4LzIwMjYuLi5VU0QuSAEAAABLVQAAAgAAAAQyNTAwAQgAAAAFAAAAATEBAAAACy0xOTM0MjU0MjUwAwAAAAMxNjACAAAABDEwNDMEAAAAATAHAAAACDgvMi8yMDI2CAAAAAk2LzMwLzIwMjMJAAAAATDYJkFvLPDeCMpwo4cs8N4IQENJUS5OQVNEQVE6TVNGVC5JUV9GSU5fRElWX0FTU0VUU19DVVJSRU5ULjk5OC4wMi8wOC8yMDI2Li4uVVNELkgBAAAAS1UAAAMAAAAAANgmQW8s8N4IynCjhyzw3gg5Q0lRLk5BU0RBUTpNU0ZULklRX1JFU1RSSUNURURfQ0FTSC45OTguMDIvMDgvMjAyNi4uLlVTRC5IAQAAAEtVAAADAAAAAADYJkFvLPDeCMpwo4cs8N4IM0NJUS5OQVNEQVE6TVNGVC5JUV9UT1RBTF9DQS4xMDAwLjAyLzA4LzIwMjYuLi5VU0QuSAEAAABLVQAAAgAAAAYyMDc3MTABCAAAAAUAAAABMQEAAAALLTE4ODAyMjk2NjUDAAAAAzE2MAIAAAAEMTAwOAQAAAABMAcAAAAIOC8yLzIwMjYI</t>
  </si>
  <si>
    <t>AAAACTYvMzAvMjAyNgkAAAABMNgmQW8s8N4IIpijhyzw3gguQ0lRLk5BU0RBUTpNU0ZULklRX05QUEUuOTk0LjAyLzA4LzIwMjYuLi5VU0QuSAEAAABLVQAAAgAAAAU1MjkwNAEIAAAABQAAAAExAQAAAAstMjA4NzQ5NjYyNwMAAAADMTYwAgAAAAQxMDA0BAAAAAEwBwAAAAg4LzIvMjAyNggAAAAJNi8zMC8yMDIwCQAAAAEw2CZBbyzw3ggimKOHLPDeCDVDSVEuTkFTREFROk1TRlQuSVFfT1RIRVJfSU5UQU4uOTk0LjAyLzA4LzIwMjYuLi5VU0QuSAEAAABLVQAAAgAAAAQ3MDM4AQgAAAAFAAAAATEBAAAACy0yMDg3NDk2NjI3AwAAAAMxNjACAAAABDEwNDAEAAAAATAHAAAACDgvMi8yMDI2CAAAAAk2LzMwLzIwMjAJAAAAATDYJkFvLPDeCMpwo4cs8N4IL0NJUS5OQVNEQVE6TVNGVC5JUV9BUl9MVC45OTQuMDIvMDgvMjAyNi4uLlVTRC5IAQAAAEtVAAACAAAABDI3MDABCAAAAAUAAAABMQEAAAALLTIwODc0OTY2MjcDAAAAAzE2MAIAAAAEMTA4OAQAAAABMAcAAAAIOC8yLzIwMjYIAAAACTYvMzAvMjAyMAkAAAABMNgmQW8s8N4IynCjhyzw3gg4Q0lRLk5BU0RBUTpNU0ZULklRX0RFRl9DSEFSR0VTX0xULjk5Ni4wMi8wOC8yMDI2Li4uVVNELkgBAAAAS1UAAAMAAAAAANgmQW8s8N4IynCjhyzw3ggsQ0lRLk5BU0RBUTpNU0ZULklRX0FQLjk5Ni4wMi8wOC8yMDI2Li4uVVNELkgBAAAAS1UAAAIAAAAFMTkw</t>
  </si>
  <si>
    <t>MDABCAAAAAUAAAABMQEAAAALLTE5ODU5MzEyMjQDAAAAAzE2MAIAAAAEMTAxOAQAAAABMAcAAAAIOC8yLzIwMjYIAAAACTYvMzAvMjAyMgkAAAABMNgmQW8s8N4IIpijhyzw3gg7Q0lRLk5BU0RBUTpNU0ZULklRX0NVUlJFTlRfUE9SVF9ERUJULjk5Ni4wMi8wOC8yMDI2Li4uVVNELkgBAAAAS1UAAAIAAAAEMjc0OQEIAAAABQAAAAExAQAAAAstMTk4NTkzMTIyNAMAAAADMTYwAgAAAAQxMjk3BAAAAAEwBwAAAAg4LzIvMjAyNggAAAAJNi8zMC8yMDIyCQAAAAEw2CZBbyzw3ggimKOHLPDeCD5DSVEuTkFTREFROk1TRlQuSVFfRklOX0RJVl9MSUFCX0NVUlJFTlQuOTk2LjAyLzA4LzIwMjYuLi5VU0QuSAEAAABLVQAAAwAAAAAA2CZBbyzw3ggimKOHLPDeCDxDSVEuTkFTREFROk1TRlQuSVFfVU5FQVJOX1JFVl9DVVJSRU5ULjk5OS4wMi8wOC8yMDI2Li4uVVNELkgBAAAAS1UAAAIAAAAFNjQ1NTUBCAAAAAUAAAABMQEAAAALLTE4ODAyMjk2ODYDAAAAAzE2MAIAAAAEMTA3NAQAAAABMAcAAAAIOC8yLzIwMjYIAAAACTYvMzAvMjAyNQkAAAABMNgmQW8s8N4IIpijhyzw3ggyQ0lRLk5BU0RBUTpNU0ZULklRX1RPVEFMX0NMLjk5My4wMi8wOC8yMDI2Li4uVVNELkgBAAAAS1UAAAIAAAAFNjk0MjABCAAAAAUAAAABMQEAAAALLTIxNDA5ODE0NjkDAAAAAzE2MAIAAAAEMTAwOQQAAAABMAcAAAAIOC8yLzIwMjYI</t>
  </si>
  <si>
    <t>AAAACTYvMzAvMjAxOQkAAAABMNgmQW8s8N4IIpijhyzw3gg5Q0lRLk5BU0RBUTpNU0ZULklRX0ZJTl9ESVZfTElBQl9MVC45OTQuMDIvMDgvMjAyNi4uLlVTRC5IAQAAAEtVAAADAAAAAADYJkFvLPDeCCW/o4cs8N4IOUNJUS5OQVNEQVE6TVNGVC5JUV9ERUZfVEFYX0xJQUJfTFQuOTkzLjAyLzA4LzIwMjYuLi5VU0QuSAEAAABLVQAAAgAAAAMyMzMBCAAAAAUAAAABMQEAAAALLTIxNDA5ODE0NjkDAAAAAzE2MAIAAAAEMTAyNwQAAAABMAcAAAAIOC8yLzIwMjYIAAAACTYvMzAvMjAxOQkAAAABMNgmQW8s8N4IJb+jhyzw3gg5Q0lRLk5BU0RBUTpNU0ZULklRX1BSRUZfTk9OX1JFREVFTS45OTMuMDIvMDgvMjAyNi4uLlVTRC5IAQAAAEtVAAADAAAAAADYJkFvLPDeCCKYo4cs8N4INkNJUS5OQVNEQVE6TVNGVC5JUV9QUkVGX0VRVUlUWS4xMDAwLjAyLzA4LzIwMjYuLi5VU0QuSAEAAABLVQAAAwAAAAAA2CZBbyzw3ggimKOHLPDeCDZDSVEuTkFTREFROk1TRlQuSVFfT1RIRVJfRVFVSVRZLjk5NC4wMi8wOC8yMDI2Li4uVVNELkgBAAAAS1UAAAIAAAAEMzE4NgEIAAAABQAAAAExAQAAAAstMjA4NzQ5NjYyNwMAAAADMTYwAgAAAAQxMDI4BAAAAAEwBwAAAAg4LzIvMjAyNggAAAAJNi8zMC8yMDIwCQAAAAEw2CZBbyzw3ggimKOHLPDeCDtDSVEuTkFTREFROk1TRlQuSVFfVE9UQUxfTElBQl9FUVVJVFkuOTk2</t>
  </si>
  <si>
    <t>LjAyLzA4LzIwMjYuLi5VU0QuSAEAAABLVQAAAgAAAAYzNjQ4NDABCAAAAAUAAAABMQEAAAALLTE5ODU5MzEyMjQDAAAAAzE2MAIAAAAEMTAxMwQAAAABMAcAAAAIOC8yLzIwMjYIAAAACTYvMzAvMjAyMgkAAAABMNgmQW8s8N4IM+ajhyzw3ggxQ0lRLk5BU0RBUTpNU0ZULklRX1JVQV9ORVQuOTk5LjAyLzA4LzIwMjYuLi5VU0QuSAEAAABLVQAAAwAAAAAA2CZBbyzw3ggz5qOHLPDeCERDSVEuTkFTREFROk1TRlQuSVFfUlVBX09QRVJBVElOR19MRUFTRV9HUk9TUy4xMDAwLjAyLzA4LzIwMjYuLi5VU0QuSAEAAABLVQAAAgAAAAUyNDE3NwEIAAAABQAAAAExAQAAAAstMTg4MDIyOTY2NQMAAAADMTYwAgAAAAU0ODM3NwQAAAABMAcAAAAIOC8yLzIwMjYIAAAACTYvMzAvMjAyNgkAAAABMNgmQW8s8N4IJb+jhyzw3gg9Q0lRLk5BU0RBUTpNU0ZULklRX0FEX0VYQ0xfT1BFUl9MRUFTRVMuOTkyLjAyLzA4LzIwMjYuLi5VU0QuSAEAAABLVQAAAgAAAAYtMjkyMjMBCAAAAAUAAAABMQEAAAAKMjA0NzI3MTc0NQMAAAADMTYwAgAAAAU0ODk3NQQAAAABMAcAAAAIOC8yLzIwMjYIAAAACTYvMzAvMjAxOAkAAAABMNgmQW8s8N4IJb+jhyzw3ghQQ0lRLk5BU0RBUTpNU0ZULklRX0NVUlJFTlRfUE9SVElPTl9PUEVSX0xFQVNFX0xJQUJJTElUSUVTLjk5Ny4wMi8wOC8yMDI2Li4uVVNELkgBAAAAS1UAAAIAAAAEMjQw</t>
  </si>
  <si>
    <t>OQEIAAAABQAAAAExAQAAAAstMTkzNDI1NDI1MAMAAAADMTYwAgAAAAU0ODM4NQQAAAABMAcAAAAIOC8yLzIwMjYIAAAACTYvMzAvMjAyMwkAAAABMNgmQW8s8N4IJb+jhyzw3ghSQ0lRLk5BU0RBUTpNU0ZULklRX0ZJTkFOQ0lOR19PQkxJR19DVVJSRU5UX0VYQ0xfT1BFUl9MRUFTRVMuOTk5LjAyLzA4LzIwMjYuLi5VU0QuSAEAAABLVQAAAgAAAAQ2MTcxAQgAAAAFAAAAATEBAAAACy0xODgwMjI5Njg2AwAAAAMxNjACAAAABTQ4OTgwBAAAAAEwBwAAAAg4LzIvMjAyNggAAAAJNi8zMC8yMDI1CQAAAAEw2CZBbyzw3ggz5qOHLPDeCDtDSVEuTkFTREFROk1TRlQuSVFfQlZfU0hBUkVfUkVQT1JURUQuOTk5LjAyLzA4LzIwMjYuLi5VU0QuSAEAAABLVQAAAwAAAAAA2CZBbyzw3ggz5qOHLPDeCDRDSVEuTkFTREFROk1TRlQuSVFfQ0FTSF9TSEFSRS45OTkuMDIvMDgvMjAyNi4uLlVTRC5IAQAAAEtVAAACAAAACDQuMDY4MDY1AQgAAAAFAAAAATEBAAAACy0xODgwMjI5Njg2AwAAAAMxNjACAAAABDQzODEEAAAAATAHAAAACDgvMi8yMDI2CAAAAAk2LzMwLzIwMjUJAAAAATDYJkFvLPDeCCW/o4cs8N4IQkNJUS5OQVNEQVE6TVNGVC5JUV9NSU5PUklUWV9JTlRFUkVTVF9UT1RBTC4xMDAwLjAyLzA4LzIwMjYuLi5VU0QuSAEAAABLVQAAAwAAAAAA2CZBbyzw3gglv6OHLPDeCDVDSVEuTkFTREFROk1TRlQuSVFf</t>
  </si>
  <si>
    <t>QVJfVU5CSUxMRUQuOTkzLjAyLzA4LzIwMjYuLi5VU0QuSAEAAABLVQAAAwAAAAAA2CZBbyzw3gglv6OHLPDeCC5DSVEuTkFTREFROk1TRlQuSVFfTEFORC45OTMuMDIvMDgvMjAyNi4uLlVTRC5IAQAAAEtVAAACAAAABDE1NDABCAAAAAUAAAABMQEAAAALLTIxNDA5ODE0NjkDAAAAAzE2MAIAAAAEMzA5OAQAAAABMAcAAAAIOC8yLzIwMjYIAAAACTYvMzAvMjAxOQkAAAABMNgmQW8s8N4IXA2khyzw3gg/Q0lRLk5BU0RBUTpNU0ZULklRX0xFQVNFSE9MRF9JTVBST1ZFTUVOVC45OTQuMDIvMDgvMjAyNi4uLlVTRC5IAQAAAEtVAAACAAAABDU0ODcBCAAAAAUAAAABMQEAAAALLTIwODc0OTY2MjcDAAAAAzE2MAIAAAAEMzEwMAQAAAABMAcAAAAIOC8yLzIwMjYIAAAACTYvMzAvMjAyMAkAAAABMNgmQW8s8N4IXA2khyzw3ghFQ0lRLk5BU0RBUTpNU0ZULklRX0dFTkVSQUxfUEFSVE5FUl9QUkVGX0VRVUlUWS45OTMuMDIvMDgvMjAyNi4uLlVTRC5IAQAAAEtVAAADAAAAAADYJkFvLPDeCDPmo4cs8N4ISkNJUS5OQVNEQVE6TVNGVC5JUV9BU1NFVFNfTkVUVElOR19PVEhFUl9BREpVU1RNRU5UUy45OTcuMDIvMDgvMjAyNi4uLlVTRC5IAQAAAEtVAAADAAAAAADYJkFvLPDeCDPmo4cs8N4IPENJUS5OQVNEQVE6TVNGVC5JUV9GSU5fRElWX0NBU0hfRVFVSVYuOTk4LjAyLzA4LzIwMjYuLi5VU0QuSAEAAABLVQAA</t>
  </si>
  <si>
    <t>AwAAAAAA2CZBbyzw3ggz5qOHLPDeCDxDSVEuTkFTREFROk1TRlQuSVFfTFRfTUFSS19TRUNVUklUSUVTLjk5NC4wMi8wOC8yMDI2Li4uVVNELkgBAAAAS1UAAAMAAAAAANgmQW8s8N4IXjSkhyzw3gg4Q0lRLk5BU0RBUTpNU0ZULklRX0JBU0lDX0VQU19FWENMLjk5OC4wMi8wOC8yMDI2Li4uVVNELkgBAAAAS1UAAAIAAAAJMTEuODYwNTg0AQgAAAAFAAAAATEBAAAACy0xODgwMjI5Njk0AwAAAAMxNjACAAAABDMwNjQEAAAAATAHAAAACDgvMi8yMDI2CAAAAAk2LzMwLzIwMjQJAAAAATDYJkFvLPDeCF40pIcs8N4IMkNJUS5OQVNEQVE6TVNGVC5JUV9FUFNfTk9STS45OTcuMDIvMDgvMjAyNi4uLlVTRC5IAQAAAEtVAAACAAAACDcuNTI4NzA2AQgAAAAFAAAAATEBAAAACy0xOTM0MjU0MjUwAwAAAAMxNjACAAAABDQzNzkEAAAAATAHAAAACDgvMi8yMDI2CAAAAAk2LzMwLzIwMjMJAAAAATDYJkFvLPDeCDPmo4cs8N4ITkNJUS5OQVNEQVE6TVNGVC5JUV9ESVNUUklCVVRBQkxFX0NBU0hfUEVSX1NIQVJFX0RJTFVURUQuOTk5LjAyLzA4LzIwMjYuLi5VU0QuSAEAAABLVQAAAwAAAAAA2CZBbyzw3ghcDaSHLPDeCEJDSVEuTkFTREFROk1TRlQuSVFfRElTVFJJQlVUQUJMRV9DQVNIX1NIQVJFLjk5NC4wMi8wOC8yMDI2Li4uVVNELkgBAAAAS1UAAAMAAAAAANgmQW8s8N4IXA2khyzw3ggwQ0lRLk5BU0RBUTpN</t>
  </si>
  <si>
    <t>U0ZULklRX0VCSVREQS45OTguMDIvMDgvMjAyNi4uLlVTRC5IAQAAAEtVAAACAAAABjEyOTQzMwEIAAAABQAAAAExAQAAAAstMTg4MDIyOTY5NAMAAAADMTYwAgAAAAQ0MDUxBAAAAAEwBwAAAAg4LzIvMjAyNggAAAAJNi8zMC8yMDI0CQAAAAEw2CZBbyzw3gheNKSHLPDeCEBDSVEuTkFTREFROk1TRlQuSVFfRUJJVERBX0VRX0lOQ19FWENMX1NCQy45OTkuMDIvMDgvMjAyNi4uLlVTRC5IAQAAAEtVAAACAAAABjE2Mzc3NwEIAAAABQAAAAExAQAAAAstMTg4MDIyOTY4NgMAAAADMTYwAgAAAAUyNDEzMQQAAAABMAcAAAAIOC8yLzIwMjYIAAAACTYvMzAvMjAyNQkAAAABMNgmQW8s8N4IXjSkhyzw3ghBQ0lRLk5BU0RBUTpNU0ZULklRX0xFQVNFX0FESlVTVE1FTlRfRUJJVERBLjk5Ny4wMi8wOC8yMDI2Li4uVVNELkgBAAAAS1UAAAIAAAAEMjg3NQDYJkFvLPDeCFwNpIcs8N4ILkNJUS5OQVNEQVE6TVNGVC5JUV9FQklULjk5OC4wMi8wOC8yMDI2Li4uVVNELkgBAAAAS1UAAAIAAAAGMTA5NDMzAQgAAAAFAAAAATEBAAAACy0xODgwMjI5Njk0AwAAAAMxNjACAAAAAzQwMAQAAAABMAcAAAAIOC8yLzIwMjYIAAAACTYvMzAvMjAyNAkAAAABMNgmQW8s8N4IXA2khyzw3gg3Q0lRLk5BU0RBUTpNU0ZULklRX0VCSVRfRVhDTF9TQkMuOTk2LjAyLzA4LzIwMjYuLi5VU0QuSAEAAABLVQAAAgAAAAU5MDg4NQEIAAAA</t>
  </si>
  <si>
    <t>BQAAAAExAQAAAAstMTk4NTkzMTIyNAMAAAADMTYwAgAAAAUyNDEzNAQAAAABMAcAAAAIOC8yLzIwMjYIAAAACTYvMzAvMjAyMgkAAAABMNgmQW8s8N4IXA2khyzw3gg2Q0lRLk5BU0RBUTpNU0ZULklRX0VCSVRBX0VRX0lOQy45OTcuMDIvMDgvMjAyNi4uLlVTRC5IAQAAAEtVAAACAAAABTkxMDIzAQgAAAAFAAAAATEBAAAACy0xOTM0MjU0MjUwAwAAAAMxNjACAAAABTIxNjc2BAAAAAEwBwAAAAg4LzIvMjAyNggAAAAJNi8zMC8yMDIzCQAAAAEw2CZBbyzw3giBW6SHLPDeCDhDSVEuTkFTREFROk1TRlQuSVFfRUJJVEFfRVhDTF9TQkMuOTk4LjAyLzA4LzIwMjYuLi5VU0QuSAEAAABLVQAAAgAAAAYxMjQ5NjcBCAAAAAUAAAABMQEAAAALLTE4ODAyMjk2OTQDAAAAAzE2MAIAAAAFMjQxMzYEAAAAATAHAAAACDgvMi8yMDI2CAAAAAk2LzMwLzIwMjQJAAAAATDYJkFvLPDeCIFbpIcs8N4IOkNJUS5OQVNEQVE6TVNGVC5JUV9FQklUREFSX0VYQ0xfU0JDLjk5NC4wMi8wOC8yMDI2Li4uVVNELkgBAAAAS1UAAAIAAAAFNzI1OTEBCAAAAAUAAAABMQEAAAALLTIwODc0OTY2MjcDAAAAAzE2MAIAAAAFMjQxMzcEAAAAATAHAAAACDgvMi8yMDI2CAAAAAk2LzMwLzIwMjAJAAAAATDYJkFvLPDeCF40pIcs8N4IO0NJUS5OQVNEQVE6TVNGVC5JUV9GRUVTX09USEVSX0lOQ09NRS45OTUuMDIvMDgvMjAyNi4uLlVTRC5I</t>
  </si>
  <si>
    <t>AQAAAEtVAAADAAAAAADYJkFvLPDeCF40pIcs8N4ITENJUS5OQVNEQVE6TVNGVC5JUV9QUk9WX0JBRF9ERUJUU19QQVRJRU5UX1NFUlZJQ0VfUkVWLjk5Ny4wMi8wOC8yMDI2Li4uVVNELkgBAAAAS1UAAAMAAAAAANgmQW8s8N4IXjSkhyzw3ggxQ0lRLk5BU0RBUTpNU0ZULklRX05JX1NGQVMuOTkyLjAyLzA4LzIwMjYuLi5VU0QuSAEAAABLVQAAAwAAAAAA2CZBbyzw3giBW6SHLPDeCDtDSVEuTkFTREFROk1TRlQuSVFfSU5WRVNUTUVOVF9JTkNPTUUuOTkzLjAyLzA4LzIwMjYuLi5VU0QuSAEAAABLVQAAAwAAAAAA2CZBbyzw3giBW6SHLPDeCD1DSVEuTkFTREFROk1TRlQuSVFfQ1VSUl9ET01FU1RJQ19UQVhFUy45OTguMDIvMDgvMjAyNi4uLlVTRC5IAQAAAEtVAAACAAAABTE0NTMxAQgAAAAFAAAAATEBAAAACy0xODgwMjI5Njk0AwAAAAMxNjACAAAABDMwMjcEAAAAATAHAAAACDgvMi8yMDI2CAAAAAk2LzMwLzIwMjQJAAAAATDYJkFvLPDeCF40pIcs8N4INENJUS5OQVNEQVE6TVNGVC5JUV9DVVJSX1RBWEVTLjk5Mi4wMi8wOC8yMDI2Li4uVVNELkgBAAAAS1UAAAIAAAAFMjUwNDYBCAAAAAUAAAABMQEAAAAKMjA0NzI3MTc0NQMAAAADMTYwAgAAAAUzNTM4MwQAAAABMAcAAAAIOC8yLzIwMjYIAAAACTYvMzAvMjAxOAkAAAABMNgmQW8s8N4IXjSkhyzw3gg+Q0lRLk5BU0RBUTpNU0ZULklRX0RFRkVS</t>
  </si>
  <si>
    <t>UkVEX1RBWEVTX1RPVEFMLjk5Ny4wMi8wOC8yMDI2Li4uVVNELkgBAAAAS1UAAAIAAAAFLTYwNTkBCAAAAAUAAAABMQEAAAALLTE5MzQyNTQyNTADAAAAAzE2MAIAAAAFMzUzODUEAAAAATAHAAAACDgvMi8yMDI2CAAAAAk2LzMwLzIwMjMJAAAAATDYJkFvLPDeCIFbpIcs8N4IMUNJUS5OQVNEQVE6TVNGVC5JUV9OSV9OT1JNLjk5OS4wMi8wOC8yMDI2Li4uVVNELkgBAAAAS1UAAAIAAAAINzc2NTEuMjUBCAAAAAUAAAABMQEAAAALLTE4ODAyMjk2ODYDAAAAAzE2MAIAAAAENDM3OAQAAAABMAcAAAAIOC8yLzIwMjYIAAAACTYvMzAvMjAyNQkAAAABMNgmQW8s8N4InoKkhyzw3gg+Q0lRLk5BU0RBUTpNU0ZULklRX0NBUElUQUxJWkVEX0lOVEVSRVNULjk5Mi4wMi8wOC8yMDI2Li4uVVNELkgBAAAAS1UAAAMAAAAAANgmQW8s8N4InoKkhyzw3gg6Q0lRLk5BU0RBUTpNU0ZULklRX0lOVF9FWFBfSU5DTF9DQVAuOTk4LjAyLzA4LzIwMjYuLi5VU0QuSAEAAABLVQAAAgAAAAQyOTgzAQgAAAAFAAAAATEBAAAACy0xODgwMjI5Njk0AwAAAAMxNjACAAAABTIxODYxBAAAAAEwBwAAAAg4LzIvMjAyNggAAAAJNi8zMC8yMDI0CQAAAAEw2CZBbyzw3giBW6SHLPDeCDRDSVEuTkFTREFROk1TRlQuSVFfREFfRUJJVERBLjEwMDAuMDIvMDgvMjAyNi4uLlVTRC5IAQAAAEtVAAACAAAABTM5MDAwAQgAAAAFAAAAATEBAAAA</t>
  </si>
  <si>
    <t>Cy0xODgwMjI5NjY1AwAAAAMxNjACAAAABDIyMDYEAAAAATAHAAAACDgvMi8yMDI2CAAAAAk2LzMwLzIwMjYJAAAAATDYJkFvLPDeCIFbpIcs8N4IQENJUS5OQVNEQVE6TVNGVC5JUV9BTk5VX0RJU1RSSUJVVElPTl9VTklULjk5OS4wMi8wOC8yMDI2Li4uVVNELkgBAAAAS1UAAAMAAAAAANgmQW8s8N4IgVukhyzw3ggtQ0lRLk5BU0RBUTpNU0ZULklRX0RJQy45OTkuMDIvMDgvMjAyNi4uLlVTRC5IAQAAAEtVAAADAAAAAADYJkFvLPDeCJ6CpIcs8N4IM0NJUS5OQVNEQVE6TVNGVC5JUV9NQVJLRVRJTkcuOTk1LjAyLzA4LzIwMjYuLi5VU0QuSAEAAABLVQAAAwAAAAAA2CZBbyzw3giegqSHLPDeCDRDSVEuTkFTREFROk1TRlQuSVFfUkRfRVhQX0ZOLjEwMDAuMDIvMDgvMjAyNi4uLlVTRC5IAQAAAEtVAAACAAAABTM1NTYyAQgAAAAFAAAAATEBAAAACy0xODgwMjI5NjY1AwAAAAMxNjACAAAABDMxNjgEAAAAATAHAAAACDgvMi8yMDI2CAAAAAk2LzMwLzIwMjYJAAAAATDYJkFvLPDeCJ6CpIcs8N4IOENJUS5OQVNEQVE6TVNGVC5JUV9ORVRfUkVOVEFMX0VYUC45OTQuMDIvMDgvMjAyNi4uLlVTRC5IAQAAAEtVAAADAAAAAADYJkFvLPDeCJ6CpIcs8N4IOENJUS5OQVNEQVE6TVNGVC5JUV9NSU5JTVVNX1JFTlRBTC45OTkuMDIvMDgvMjAyNi4uLlVTRC5IAQAAAEtVAAADAAAAAADYJkFvLPDeCJ6CpIcs8N4I</t>
  </si>
  <si>
    <t>OENJUS5OQVNEQVE6TVNGVC5JUV9BSVJDUkFGVF9SRU5ULjEwMDAuMDIvMDgvMjAyNi4uLlVTRC5IAQAAAEtVAAADAAAAAADYJkFvLPDeCImppIcs8N4IQUNJUS5OQVNEQVE6TVNGVC5JUV9FWFBMT1JFX0RSSUxMX0VYUF9UT1RBTC45OTUuMDIvMDgvMjAyNi4uLlVTRC5IAQAAAEtVAAADAAAAAADYJkFvLPDeCImppIcs8N4IP0NJUS5OQVNEQVE6TVNGVC5JUV9JTVBVVF9PUEVSX0xFQVNFX0RFUFIuOTk5LjAyLzA4LzIwMjYuLi5VU0QuSAEAAABLVQAAAgAAAAs0NTAzLjU2MjUyOAEIAAAABQAAAAExAQAAAAstMTg4MDIyOTY4NgMAAAADMTYwAgAAAAUyMTY3MwQAAAABMAcAAAAIOC8yLzIwMjYIAAAACTYvMzAvMjAyNQkAAAABMNgmQW8s8N4InoKkhyzw3gg3Q0lRLk5BU0RBUTpNU0ZULklRX01FUkdFUl9TVVBQTEUuOTkyLjAyLzA4LzIwMjYuLi5VU0QuSAEAAABLVQAAAwAAAAAA2CZBbyzw3giegqSHLPDeCDVDSVEuTkFTREFROk1TRlQuSVFfSVBSRF9TVVBQTEUuOTk2LjAyLzA4LzIwMjYuLi5VU0QuSAEAAABLVQAAAwAAAAAA2CZBbyzw3giegqSHLPDeCDtDSVEuTkFTREFROk1TRlQuSVFfR0FJTl9CQVJHQUlOX0FDUS4xMDAwLjAyLzA4LzIwMjYuLi5VU0QuSAEAAABLVQAAAwAAAAAA2CZBbyzw3giJqaSHLPDeCD1DSVEuTkFTREFROk1TRlQuSVFfTEVHQUxfU0VUVExFX1NVUFBMRS45OTMuMDIvMDgv</t>
  </si>
  <si>
    <t>MjAyNi4uLlVTRC5IAQAAAEtVAAADAAAAAADYJkFvLPDeCImppIcs8N4IO0NJUS5OQVNEQVE6TVNGVC5JUV9ORUdBVElWRV9HV19BTU9SVC45OTcuMDIvMDgvMjAyNi4uLlVTRC5IAQAAAEtVAAADAAAAAADYJkFvLPDeCJ6CpIcs8N4IOkNJUS5OQVNEQVE6TVNGVC5JUV9TVE9DS19CQVNFRF9DT0dTLjk5Mi4wMi8wOC8yMDI2Li4uVVNELkgBAAAAS1UAAAMAAAAAANgmQW8s8N4InoKkhyzw3gg4Q0lRLk5BU0RBUTpNU0ZULklRX1NUT0NLX0JBU0VEX0dBLjk5Ni4wMi8wOC8yMDI2Li4uVVNELkgBAAAAS1UAAAMAAAAAANgmQW8s8N4Iiamkhyzw3ghDQ0lRLk5BU0RBUTpNU0ZULklRX1NUT0NLX0JBU0VEX0VYUExPUkVfRFJJTEwuOTk4LjAyLzA4LzIwMjYuLi5VU0QuSAEAAABLVQAAAwAAAAAA2CZBbyzw3gin0KSHLPDeCDhDSVEuTkFTREFROk1TRlQuSVFfU1RPQ0tfQkFTRURfQVQuOTkyLjAyLzA4LzIwMjYuLi5VU0QuSAEAAABLVQAAAwAAAAAA2CZBbyzw3gin0KSHLPDeCD5DSVEuTkFTREFROk1TRlQuSVFfUkVTVFJfU1RPQ0tfQ09NUF9UQVguOTk3LjAyLzA4LzIwMjYuLi5VU0QuSAEAAABLVQAAAwAAAAAA2CZBbyzw3giJqaSHLPDeCENDSVEuTkFTREFROk1TRlQuSVFfU1RPQ0tfT1BUSU9OU19DT01QX1BSRVRBWC45OTkuMDIvMDgvMjAyNi4uLlVTRC5IAQAAAEtVAAADAAAAAADYJkFvLPDeCImppIcs</t>
  </si>
  <si>
    <t>8N4IQUNJUS5OQVNEQVE6TVNGVC5JUV9TVE9DS19CQVNFRF9DT01QX1BSRVRBWC45OTYuMDIvMDgvMjAyNi4uLlVTRC5IAQAAAEtVAAACAAAABDc1MDIA2CZBbyzw3giJqaSHLPDeCDpDSVEuTkFTREFROk1TRlQuSVFfU1RPQ0tfQkFTRURfQ09NUC45OTguMDIvMDgvMjAyNi4uLlVTRC5IAQAAAEtVAAACAAAABDg5MDgA2CZBbyzw3gin0KSHLPDeCDZDSVEuTkFTREFROk1TRlQuSVFfREFfU1VQUExfQ0YuMTAwMC4wMi8wOC8yMDI2Li4uVVNELkgBAAAAS1UAAAIAAAAFMzQzMDABCAAAAAUAAAABMQEAAAALLTE4ODAyMjk2NjUDAAAAAzE2MAIAAAAEMjE3MQQAAAABMAcAAAAIOC8yLzIwMjYIAAAACTYvMzAvMjAyNgkAAAABMNgmQW8s8N4Ip9Ckhyzw3ggvQ0lRLk5BU0RBUTpNU0ZULklRX0RBX0NGLjk5Ny4wMi8wOC8yMDI2Li4uVVNELkgBAAAAS1UAAAIAAAAFMTM1MDABCAAAAAUAAAABMQEAAAALLTE5MzQyNTQyNTADAAAAAzE2MAIAAAAEMjE2MAQAAAABMAcAAAAIOC8yLzIwMjYIAAAACTYvMzAvMjAyMwkAAAABMNgmQW8s8N4Iiamkhyzw3gg+Q0lRLk5BU0RBUTpNU0ZULklRX01JTk9SSVRZX0lOVEVSRVNUX0NGLjk5OS4wMi8wOC8yMDI2Li4uVVNELkgBAAAAS1UAAAMAAAAAANgmQW8s8N4Iiamkhyzw3gg8Q0lRLk5BU0RBUTpNU0ZULklRX0FTU0VUX1dSSVRFRE9XTl9DRi45OTYuMDIvMDgvMjAyNi4u</t>
  </si>
  <si>
    <t>LlVTRC5IAQAAAEtVAAADAAAAAADYJkFvLPDeCKfQpIcs8N4IOENJUS5OQVNEQVE6TVNGVC5JUV9DUkVESVRfTE9TU19DRi45OTguMDIvMDgvMjAyNi4uLlVTRC5IAQAAAEtVAAADAAAAAADYJkFvLPDeCJr3pIcs8N4IOENJUS5OQVNEQVE6TVNGVC5JUV9TVE9DS19CQVNFRF9DRi45OTkuMDIvMDgvMjAyNi4uLlVTRC5IAQAAAEtVAAACAAAABTExOTc0AQgAAAAFAAAAATEBAAAACy0xODgwMjI5Njg2AwAAAAMxNjACAAAABDIxMjcEAAAAATAHAAAACDgvMi8yMDI2CAAAAAk2LzMwLzIwMjUJAAAAATDYJkFvLPDeCJr3pIcs8N4IL0NJUS5OQVNEQVE6TVNGVC5JUV9ET19DRi45OTcuMDIvMDgvMjAyNi4uLlVTRC5IAQAAAEtVAAADAAAAAADYJkFvLPDeCKfQpIcs8N4IP0NJUS5OQVNEQVE6TVNGVC5JUV9DSEFOR0VfVFJBRElOR19BU1NFVFMuOTk4LjAyLzA4LzIwMjYuLi5VU0QuSAEAAABLVQAAAwAAAAAA2CZBbyzw3gin0KSHLPDeCDNDSVEuTkFTREFROk1TRlQuSVFfQ0hBTkdFX0FQLjk5Ni4wMi8wOC8yMDI2Li4uVVNELkgBAAAAS1UAAAIAAAAEMjk0MwEIAAAABQAAAAExAQAAAAstMTk4NTkzMTIyNAMAAAADMTYwAgAAAAQyMDE3BAAAAAEwBwAAAAg4LzIvMjAyNggAAAAJNi8zMC8yMDIyCQAAAAEw2CZBbyzw3gin0KSHLPDeCDhDSVEuTkFTREFROk1TRlQuSVFfQ0hBTkdFX0lOQ19UQVguOTk3LjAyLzA4</t>
  </si>
  <si>
    <t>LzIwMjYuLi5VU0QuSAEAAABLVQAAAgAAAAQtMzU4AQgAAAAFAAAAATEBAAAACy0xOTM0MjU0MjUwAwAAAAMxNjACAAAABDIxMDEEAAAAATAHAAAACDgvMi8yMDI2CAAAAAk2LzMwLzIwMjMJAAAAATDYJkFvLPDeCJr3pIcs8N4IRkNJUS5OQVNEQVE6TVNGVC5JUV9DSEFOR0VfT1RIRVJfTkVUX09QRVJfQVNTRVRTLjk5OC4wMi8wOC8yMDI2Li4uVVNELkgBAAAAS1UAAAIAAAAFLTI4NDkBCAAAAAUAAAABMQEAAAALLTE4ODAyMjk2OTQDAAAAAzE2MAIAAAAEMjA0NQQAAAABMAcAAAAIOC8yLzIwMjYIAAAACTYvMzAvMjAyNAkAAAABMNgmQW8s8N4Imvekhyzw3gg5Q0lRLk5BU0RBUTpNU0ZULklRX0NBU0hfQUNRVUlSRV9DRi45OTQuMDIvMDgvMjAyNi4uLlVTRC5IAQAAAEtVAAACAAAABS0yNTIxAQgAAAAFAAAAATEBAAAACy0yMDg3NDk2NjI3AwAAAAMxNjACAAAABDIwNTcEAAAAATAHAAAACDgvMi8yMDI2CAAAAAk2LzMwLzIwMjAJAAAAATDYJkFvLPDeCKfQpIcs8N4IPUNJUS5OQVNEQVE6TVNGVC5JUV9TQUxFX1JFQUxfRVNUQVRFX0NGLjk5NS4wMi8wOC8yMDI2Li4uVVNELkgBAAAAS1UAAAMAAAAAANgmQW8s8N4Ip9Ckhyzw3gg5Q0lRLk5BU0RBUTpNU0ZULklRX0lOVkVTVF9MT0FOU19DRi45OTMuMDIvMDgvMjAyNi4uLlVTRC5IAQAAAEtVAAADAAAAAADYJkFvLPDeCJr3pIcs8N4INUNJUS5OQVNE</t>
  </si>
  <si>
    <t>QVE6TVNGVC5JUV9DQVNIX0lOVkVTVC45OTQuMDIvMDgvMjAyNi4uLlVTRC5IAQAAAEtVAAACAAAABi0xMjIyMwEIAAAABQAAAAExAQAAAAstMjA4NzQ5NjYyNwMAAAADMTYwAgAAAAQyMDA1BAAAAAEwBwAAAAg4LzIvMjAyNggAAAAJNi8zMC8yMDIwCQAAAAEw2CZBbyzw3gia96SHLPDeCDhDSVEuTkFTREFROk1TRlQuSVFfTFRfREVCVF9JU1NVRUQuOTk1LjAyLzA4LzIwMjYuLi5VU0QuSAEAAABLVQAAAwAAAAAA2CZBbyzw3gi7HqWHLPDeCDhDSVEuTkFTREFROk1TRlQuSVFfTFRfREVCVF9SRVBBSUQuOTkzLjAyLzA4LzIwMjYuLi5VU0QuSAEAAABLVQAAAgAAAAUtNDAwMAEIAAAABQAAAAExAQAAAAstMjE0MDk4MTQ2OQMAAAADMTYwAgAAAAQyMDM2BAAAAAEwBwAAAAg4LzIvMjAyNggAAAAJNi8zMC8yMDE5CQAAAAEw2CZBbyzw3gia96SHLPDeCDdDSVEuTkFTREFROk1TRlQuSVFfQ09NTU9OX0lTU1VFRC45OTQuMDIvMDgvMjAyNi4uLlVTRC5IAQAAAEtVAAACAAAABDEzNDMBCAAAAAUAAAABMQEAAAALLTIwODc0OTY2MjcDAAAAAzE2MAIAAAAEMjE2OQQAAAABMAcAAAAIOC8yLzIwMjYIAAAACTYvMzAvMjAyMAkAAAABMNgmQW8s8N4Imvekhyzw3ggyQ0lRLk5BU0RBUTpNU0ZULklRX1BSRUZfUkVQLjk5Mi4wMi8wOC8yMDI2Li4uVVNELkgBAAAAS1UAAAMAAAAAANgmQW8s8N4Imvekhyzw3gg1Q0lR</t>
  </si>
  <si>
    <t>Lk5BU0RBUTpNU0ZULklRX1BSRUZfRElWX0NGLjk5My4wMi8wOC8yMDI2Li4uVVNELkgBAAAAS1UAAAMAAAAAANgmQW8s8N4Iux6lhyzw3gg7Q0lRLk5BU0RBUTpNU0ZULklRX1RPVEFMX0RJVl9QQUlEX0NGLjk5NS4wMi8wOC8yMDI2Li4uVVNELkgBAAAAS1UAAAIAAAAGLTE2NTIxAQgAAAAFAAAAATEBAAAACy0yMDM2ODQzODQzAwAAAAMxNjACAAAABDIwMjIEAAAAATAHAAAACDgvMi8yMDI2CAAAAAk2LzMwLzIwMjEJAAAAATDYJkFvLPDeCLsepYcs8N4INENJUS5OQVNEQVE6TVNGVC5JUV9DQVNIX0ZJTkFOLjk5Mi4wMi8wOC8yMDI2Li4uVVNELkgBAAAAS1UAAAIAAAAGLTMzNTkwAQgAAAAFAAAAATEBAAAACjIwNDcyNzE3NDUDAAAAAzE2MAIAAAAEMjAwNAQAAAABMAcAAAAIOC8yLzIwMjYIAAAACTYvMzAvMjAxOAkAAAABMNgmQW8s8N4Imvekhyzw3gg4Q0lRLk5BU0RBUTpNU0ZULklRX01JU0NfQURKVVNUX0NGLjk5NS4wMi8wOC8yMDI2Li4uVVNELkgBAAAAS1UAAAMAAAAAANgmQW8s8N4Imvekhyzw3ghDQ0lRLk5BU0RBUTpNU0ZULklRX0dXX0lOVEFOX0FNT1JUX1BBUlRJQUxfQ0YuOTkyLjAyLzA4LzIwMjYuLi5VU0QuSAEAAABLVQAAAwAAAAAA2CZBbyzw3gia96SHLPDeCDFDSVEuTkFTREFROk1TRlQuSVFfREVQX1JVQS45OTIuMDIvMDgvMjAyNi4uLlVTRC5IAQAAAEtVAAADAAAAAADYJkFv</t>
  </si>
  <si>
    <t>LPDeCLsepYcs8N4IQUNJUS5OQVNEQVE6TVNGVC5JUV9EQV9DRl9FWENMX09QRVJfTEVBU0VTLjEwMDAuMDIvMDgvMjAyNi4uLlVTRC5IAQAAAEtVAAACAAAABTM5MDAwAQgAAAAFAAAAATEBAAAACy0xODgwMjI5NjY1AwAAAAMxNjACAAAABTQ4OTg1BAAAAAEwBwAAAAg4LzIvMjAyNggAAAAJNi8zMC8yMDI2CQAAAAEw2CZBbyzw3gi7HqWHLPDeCENDSVEuTkFTREFROk1TRlQuSVFfQU1PUlRfU09GVFdBUkVfQVNTRVRTX0NGLjEwMDAuMDIvMDgvMjAyNi4uLlVTRC5IAQAAAEtVAAADAAAAAADYJkFvLPDeCLsepYcs8N4IPENJUS5OQVNEQVE6TVNGVC5JUV9DQVNIX0lOVEVSRVNUX05FVC4xMDAwLjAyLzA4LzIwMjYuLi5VU0QuSAEAAABLVQAAAwAAAAAA2CZBbyzw3gi7HqWHLPDeCDxDSVEuTkFTREFROk1TRlQuSVFfQ0FTSF9JTlRFUkVTVF9PUEVSLjk5Ni4wMi8wOC8yMDI2Li4uVVNELkgBAAAAS1UAAAMAAAAAANgmQW8s8N4Iux6lhyzw3gg0Q0lRLk5BU0RBUTpNU0ZULklRX0NBU0hfVEFYRVMuOTk1LjAyLzA4LzIwMjYuLi5VU0QuSAEAAABLVQAAAgAAAAUxMzQwMAEIAAAABQAAAAExAQAAAAstMjAzNjg0Mzg0MwMAAAADMTYwAgAAAAQzMDUzBAAAAAEwBwAAAAg4LzIvMjAyNggAAAAJNi8zMC8yMDIxCQAAAAEw2CZBbyzw3gjERaWHLPDeCDpDSVEuTkFTREFROk1TRlQuSVFfQ0FTSF9UQVhFU19GSU5B</t>
  </si>
  <si>
    <t>Ti45OTUuMDIvMDgvMjAyNi4uLlVTRC5IAQAAAEtVAAADAAAAAADYJkFvLPDeCMRFpYcs8N4INUNJUS5OQVNEQVE6TVNGVC5JUV9MRVZFUkVEX0ZDRi45OTUuMDIvMDgvMjAyNi4uLlVTRC5IAQAAAEtVAAACAAAACDQxMzM3LjI1AQgAAAAFAAAAATEBAAAACy0yMDM2ODQzODQzAwAAAAMxNjACAAAABDQ0MjIEAAAAATAHAAAACDgvMi8yMDI2CAAAAAk2LzMwLzIwMjEJAAAAATDYJkFvLPDeCLsepYcs8N4IMkNJUS5OQVNEQVE6TVNGVC5JUV9DRl9TSEFSRS45OTcuMDIvMDgvMjAyNi4uLlVTRC5IAQAAAEtVAAACAAAABzcuOTg3NTEBCAAAAAUAAAABMQEAAAALLTE5MzQyNTQyNTADAAAAAzE2MAIAAAAFNDM5MjMEAAAAATAHAAAACDgvMi8yMDI2CAAAAAk2LzMwLzIwMjMJAAAAATDYJkFvLPDeCLsepYcs8N4INkNJUS5OQVNEQVE6TVNGVC5JUV9ET19JTlZFU1RfQ0YuOTk3LjAyLzA4LzIwMjYuLi5VU0QuSAEAAABLVQAAAwAAAAAA2CZBbyzw3gi7HqWHLPDeCENDSVEuTkFTREFROk1TRlQuSVFfT1BFUkFUSU5HX0xFQVNFX1BBWU1FTlRTLjEwMDAuMDIvMDgvMjAyNi4uLlVTRC5IAQAAAEtVAAADAAAAAADYJkFvLPDeCMRFpYcs8N4ITENJUS5OQVNEQVE6TVNGVC5JUV9MT05HX1RFUk1fREVCVF9SRVBBSURfRVhDTF9MRUFTRVMuMTAwMC4wMi8wOC8yMDI2Li4uVVNELkgBAAAAS1UAAAIAAAAFLTMwMDABCAAA</t>
  </si>
  <si>
    <t>AAUAAAABMQEAAAALLTE4ODAyMjk2NjUDAAAAAzE2MAIAAAAFNDg5ODQEAAAAATAHAAAACDgvMi8yMDI2CAAAAAk2LzMwLzIwMjYJAAAAATDYJkFvLPDeCMRFpYcs8N4INENJUS5OQVNEQVE6TVNGVC5JUV9DQVNIX0VRVUlWLjk5NC4wMi8wOC8yMDI2Li4uVVNELkgBAAAAS1UAAAIAAAAFMTM1NzYBCAAAAAUAAAABMQEAAAALLTIwODc0OTY2MjcDAAAAAzE2MAIAAAAEMTA5NgQAAAABMAcAAAAIOC8yLzIwMjYIAAAACTYvMzAvMjAyMAkAAAABMNgmQW8s8N4Iux6lhyzw3gg4Q0lRLk5BU0RBUTpNU0ZULklRX0NBU0hfU1RfSU5WRVNULjk5NC4wMi8wOC8yMDI2Li4uVVNELkgBAAAAS1UAAAIAAAAGMTM2NDkyAQgAAAAFAAAAATEBAAAACy0yMDg3NDk2NjI3AwAAAAMxNjACAAAABDEwMDIEAAAAATAHAAAACDgvMi8yMDI2CAAAAAk2LzMwLzIwMjAJAAAAATDYJkFvLPDeCLsepYcs8N4IOENJUS5OQVNEQVE6TVNGVC5JUV9TVF9OT1RFX1JFQ0VJVi45OTQuMDIvMDgvMjAyNi4uLlVTRC5IAQAAAEtVAAADAAAAAADYJkFvLPDeCMRFpYcs8N4IM0NJUS5OQVNEQVE6TVNGVC5JUV9JTlZFTlRPUlkuOTk5LjAyLzA4LzIwMjYuLi5VU0QuSAEAAABLVQAAAgAAAAM5MzgBCAAAAAUAAAABMQEAAAALLTE4ODAyMjk2ODYDAAAAAzE2MAIAAAAEMTA0MwQAAAABMAcAAAAIOC8yLzIwMjYIAAAACTYvMzAvMjAyNQkAAAABMNgm</t>
  </si>
  <si>
    <t>QW8s8N4IxEWlhyzw3ghAQ0lRLk5BU0RBUTpNU0ZULklRX0ZJTl9ESVZfQVNTRVRTX0NVUlJFTlQuOTk5LjAyLzA4LzIwMjYuLi5VU0QuSAEAAABLVQAAAwAAAAAA2CZBbyzw3gjXbKWHLPDeCDlDSVEuTkFTREFROk1TRlQuSVFfUkVTVFJJQ1RFRF9DQVNILjk5Mi4wMi8wOC8yMDI2Li4uVVNELkgBAAAAS1UAAAMAAAAAANgmQW8s8N4IxEWlhyzw3gguQ0lRLk5BU0RBUTpNU0ZULklRX0dQUEUuOTkyLjAyLzA4LzIwMjYuLi5VU0QuSAEAAABLVQAAAgAAAAU2NTM2OQEIAAAABQAAAAExAQAAAAoyMDQ3MjcxNzQ1AwAAAAMxNjACAAAABDExNjkEAAAAATAHAAAACDgvMi8yMDI2CAAAAAk2LzMwLzIwMTgJAAAAATDYJkFvLPDeCMRFpYcs8N4ILkNJUS5OQVNEQVE6TVNGVC5JUV9OUFBFLjk5NS4wMi8wOC8yMDI2Li4uVVNELkgBAAAAS1UAAAIAAAAFNzA4MDMBCAAAAAUAAAABMQEAAAALLTIwMzY4NDM4NDMDAAAAAzE2MAIAAAAEMTAwNAQAAAABMAcAAAAIOC8yLzIwMjYIAAAACTYvMzAvMjAyMQkAAAABMNgmQW8s8N4IxEWlhyzw3gg1Q0lRLk5BU0RBUTpNU0ZULklRX09USEVSX0lOVEFOLjk5NS4wMi8wOC8yMDI2Li4uVVNELkgBAAAAS1UAAAIAAAAENzgwMAEIAAAABQAAAAExAQAAAAstMjAzNjg0Mzg0MwMAAAADMTYwAgAAAAQxMDQwBAAAAAEwBwAAAAg4LzIvMjAyNggAAAAJNi8zMC8yMDIxCQAAAAEw2CZB</t>
  </si>
  <si>
    <t>byzw3gjXbKWHLPDeCDlDSVEuTkFTREFROk1TRlQuSVFfTE9BTlNfUkVDRUlWX0xULjk5My4wMi8wOC8yMDI2Li4uVVNELkgBAAAAS1UAAAMAAAAAANgmQW8s8N4I12ylhyzw3gg4Q0lRLk5BU0RBUTpNU0ZULklRX0RFRl9DSEFSR0VTX0xULjk5Ny4wMi8wOC8yMDI2Li4uVVNELkgBAAAAS1UAAAMAAAAAANgmQW8s8N4IxEWlhyzw3ggsQ0lRLk5BU0RBUTpNU0ZULklRX0FQLjk5Ny4wMi8wOC8yMDI2Li4uVVNELkgBAAAAS1UAAAIAAAAFMTgwOTUBCAAAAAUAAAABMQEAAAALLTE5MzQyNTQyNTADAAAAAzE2MAIAAAAEMTAxOAQAAAABMAcAAAAIOC8yLzIwMjYIAAAACTYvMzAvMjAyMwkAAAABMNgmQW8s8N4IxEWlhyzw3gg7Q0lRLk5BU0RBUTpNU0ZULklRX0NVUlJFTlRfUE9SVF9ERUJULjk5Ny4wMi8wOC8yMDI2Li4uVVNELkgBAAAAS1UAAAIAAAAENTI0NwEIAAAABQAAAAExAQAAAAstMTkzNDI1NDI1MAMAAAADMTYwAgAAAAQxMjk3BAAAAAEwBwAAAAg4LzIvMjAyNggAAAAJNi8zMC8yMDIzCQAAAAEw2CZBbyzw3gjERaWHLPDeCD9DSVEuTkFTREFROk1TRlQuSVFfRklOX0RJVl9ERUJUX0NVUlJFTlQuMTAwMC4wMi8wOC8yMDI2Li4uVVNELkgBAAAAS1UAAAMAAAAAANgmQW8s8N4I12ylhyzw3gg9Q0lRLk5BU0RBUTpNU0ZULklRX1VORUFSTl9SRVZfQ1VSUkVOVC4xMDAwLjAyLzA4LzIwMjYuLi5VU0Qu</t>
  </si>
  <si>
    <t>SAEAAABLVQAAAgAAAAU3Mjk2NQEIAAAABQAAAAExAQAAAAstMTg4MDIyOTY2NQMAAAADMTYwAgAAAAQxMDc0BAAAAAEwBwAAAAg4LzIvMjAyNggAAAAJNi8zMC8yMDI2CQAAAAEw2CZBbyzw3gjXbKWHLPDeCDJDSVEuTkFTREFROk1TRlQuSVFfVE9UQUxfQ0wuOTk1LjAyLzA4LzIwMjYuLi5VU0QuSAEAAABLVQAAAgAAAAU4ODY1NwEIAAAABQAAAAExAQAAAAstMjAzNjg0Mzg0MwMAAAADMTYwAgAAAAQxMDA5BAAAAAEwBwAAAAg4LzIvMjAyNggAAAAJNi8zMC8yMDIxCQAAAAEw2CZBbyzw3gjXbKWHLPDeCDlDSVEuTkFTREFROk1TRlQuSVFfRklOX0RJVl9ERUJUX0xULjk5Ny4wMi8wOC8yMDI2Li4uVVNELkgBAAAAS1UAAAMAAAAAANgmQW8s8N4I12ylhyzw3gg3Q0lRLk5BU0RBUTpNU0ZULklRX09USEVSX0xJQUJfTFQuOTk2LjAyLzA4LzIwMjYuLi5VU0QuSAEAAABLVQAAAgAAAAUyNzc1MwEIAAAABQAAAAExAQAAAAstMTk4NTkzMTIyNAMAAAADMTYwAgAAAAQxMDYyBAAAAAEwBwAAAAg4LzIvMjAyNggAAAAJNi8zMC8yMDIyCQAAAAEw2CZBbyzw3gjXbKWHLPDeCDlDSVEuTkFTREFROk1TRlQuSVFfUFJFRl9OT05fUkVERUVNLjk5NC4wMi8wOC8yMDI2Li4uVVNELkgBAAAAS1UAAAMAAAAAANgmQW8s8N4I+JOlhyzw3ggwQ0lRLk5BU0RBUTpNU0ZULklRX0NPTU1PTi45OTIuMDIvMDgvMjAyNi4uLlVT</t>
  </si>
  <si>
    <t>RC5IAQAAAEtVAAACAAAABTcxMjIzAQgAAAAFAAAAATEBAAAACjIwNDcyNzE3NDUDAAAAAzE2MAIAAAAEMTEwMwQAAAABMAcAAAAIOC8yLzIwMjYIAAAACTYvMzAvMjAxOAkAAAABMNgmQW8s8N4I+JOlhyzw3ggyQ0lRLk5BU0RBUTpNU0ZULklRX1RSRUFTVVJZLjk5OC4wMi8wOC8yMDI2Li4uVVNELkgBAAAAS1UAAAMAAAAAANgmQW8s8N4I12ylhyzw3gg3Q0lRLk5BU0RBUTpNU0ZULklRX1RPVEFMX0VRVUlUWS4xMDAwLjAyLzA4LzIwMjYuLi5VU0QuSAEAAABLVQAAAgAAAAY0NDIzODcBCAAAAAUAAAABMQEAAAALLTE4ODAyMjk2NjUDAAAAAzE2MAIAAAAEMTI3NQQAAAABMAcAAAAIOC8yLzIwMjYIAAAACTYvMzAvMjAyNgkAAAABMNgmQW8s8N4I12ylhyzw3ggyQ0lRLk5BU0RBUTpNU0ZULklRX1JVQV9ORVQuMTAwMC4wMi8wOC8yMDI2Li4uVVNELkgBAAAAS1UAAAMAAAAAANgmQW8s8N4I12ylhyzw3ghDQ0lRLk5BU0RBUTpNU0ZULklRX1JVQV9PUEVSQVRJTkdfTEVBU0VfR1JPU1MuOTkzLjAyLzA4LzIwMjYuLi5VU0QuSAEAAABLVQAAAgAAAAQ3Mzc5AQgAAAAFAAAAATEBAAAACy0yMTQwOTgxNDY5AwAAAAMxNjACAAAABTQ4Mzc3BAAAAAEwBwAAAAg4LzIvMjAyNggAAAAJNi8zMC8yMDE5CQAAAAEw2CZBbyzw3gj4k6WHLPDeCD9DSVEuTkFTREFROk1TRlQuSVFfTlBQRV9FWENMX09QRVJfTEVBU0VT</t>
  </si>
  <si>
    <t>Ljk5Ni4wMi8wOC8yMDI2Li4uVVNELkgBAAAAS1UAAAIAAAAFNzQzOTgBCAAAAAUAAAABMQEAAAALLTE5ODU5MzEyMjQDAAAAAzE2MAIAAAAFNDg5NzYEAAAAATAHAAAACDgvMi8yMDI2CAAAAAk2LzMwLzIwMjIJAAAAATDYJkFvLPDeCPiTpYcs8N4IUENJUS5OQVNEQVE6TVNGVC5JUV9DVVJSRU5UX1BPUlRJT05fT1BFUl9MRUFTRV9MSUFCSUxJVElFUy45OTguMDIvMDgvMjAyNi4uLlVTRC5IAQAAAEtVAAACAAAABDM1ODABCAAAAAUAAAABMQEAAAALLTE4ODAyMjk2OTQDAAAAAzE2MAIAAAAFNDgzODUEAAAAATAHAAAACDgvMi8yMDI2CAAAAAk2LzMwLzIwMjQJAAAAATDYJkFvLPDeCNdspYcs8N4IVkNJUS5OQVNEQVE6TVNGVC5JUV9GSU5BTkNJTkdfT0JMSUdfTk9OX0NVUlJFTlRfRVhDTF9PUEVSX0xFQVNFUy45OTYuMDIvMDgvMjAyNi4uLlVTRC5IAQAAAEtVAAACAAAABTYwODc0AQgAAAAFAAAAATEBAAAACy0xOTg1OTMxMjI0AwAAAAMxNjACAAAABTQ4OTgxBAAAAAEwBwAAAAg4LzIvMjAyNggAAAAJNi8zMC8yMDIyCQAAAAEw2CZBbyzw3gjXbKWHLPDeCDxDSVEuTkFTREFROk1TRlQuSVFfQlZfU0hBUkVfUkVQT1JURUQuMTAwMC4wMi8wOC8yMDI2Li4uVVNELkgBAAAAS1UAAAMAAAAAANgmQW8s8N4I+JOlhyzw3gg1Q0lRLk5BU0RBUTpNU0ZULklRX0NBU0hfU0hBUkUuMTAwMC4wMi8wOC8yMDI2</t>
  </si>
  <si>
    <t>Li4uVVNELkgBAAAAS1UAAAIAAAAIMi44MTg3NjkBCAAAAAUAAAABMQEAAAALLTE4ODAyMjk2NjUDAAAAAzE2MAIAAAAENDM4MQQAAAABMAcAAAAIOC8yLzIwMjYIAAAACTYvMzAvMjAyNgkAAAABMNgmQW8s8N4I5rqlhyzw3ggzQ0lRLk5BU0RBUTpNU0ZULklRX1RPVEFMX0NBUC45OTguMDIvMDgvMjAyNi4uLlVTRC5IAQAAAEtVAAACAAAABjM2NjMyOQEIAAAABQAAAAExAQAAAAstMTg4MDIyOTY5NAMAAAADMTYwAgAAAAQ0MTc1BAAAAAEwBwAAAAg4LzIvMjAyNggAAAAJNi8zMC8yMDI0CQAAAAEw2CZBbyzw3gjmuqWHLPDeCC9DSVEuTkFTREFROk1TRlQuSVFfTElGT1IuOTk0LjAyLzA4LzIwMjYuLi5VU0QuSAEAAABLVQAAAwAAAAAA2CZBbyzw3gj4k6WHLPDeCDNDSVEuTkFTREFROk1TRlQuSVFfQlVJTERJTkdTLjk5Mi4wMi8wOC8yMDI2Li4uVVNELkgBAAAAS1UAAAIAAAAFMjA2MDQBCAAAAAUAAAABMQEAAAAKMjA0NzI3MTc0NQMAAAADMTYwAgAAAAQzMDIzBAAAAAEwBwAAAAg4LzIvMjAyNggAAAAJNi8zMC8yMDE4CQAAAAEw2CZBbyzw3gj4k6WHLPDeCD9DSVEuTkFTREFROk1TRlQuSVFfTEVBU0VIT0xEX0lNUFJPVkVNRU5ULjk5OC4wMi8wOC8yMDI2Li4uVVNELkgBAAAAS1UAAAIAAAAEOTU5NAEIAAAABQAAAAExAQAAAAstMTg4MDIyOTY5NAMAAAADMTYwAgAAAAQzMTAwBAAAAAEwBwAAAAg4</t>
  </si>
  <si>
    <t>LzIvMjAyNggAAAAJNi8zMC8yMDI0CQAAAAEw2CZBbyzw3gj4k6WHLPDeCEtDSVEuTkFTREFROk1TRlQuSVFfR0VORVJBTF9QQVJUTkVSX01JTk9SSVRZX0lOVEVSRVNULjk5NC4wMi8wOC8yMDI2Li4uVVNELkgBAAAAS1UAAAMAAAAAANgmQW8s8N4I5rqlhyzw3ghKQ0lRLk5BU0RBUTpNU0ZULklRX0FTU0VUU19ORVRUSU5HX09USEVSX0FESlVTVE1FTlRTLjk5My4wMi8wOC8yMDI2Li4uVVNELkgBAAAAS1UAAAMAAAAAANgmQW8s8N4I5rqlhyzw3gg8Q0lRLk5BU0RBUTpNU0ZULklRX0RFQlRfRVFVSVZfTkVUX1BCTy45OTkuMDIvMDgvMjAyNi4uLlVTRC5IAQAAAEtVAAADAAAAAADYJkFvLPDeCPiTpYcs8N4IPENJUS5OQVNEQVE6TVNGVC5JUV9MVF9NQVJLX1NFQ1VSSVRJRVMuOTkyLjAyLzA4LzIwMjYuLi5VU0QuSAEAAABLVQAAAwAAAAAA2CZBbyzw3gjmuqWHLPDeCEJDSVEuTkFTREFROk1TRlQuSVFfRElTVFJJQlVUQUJMRV9DQVNIX1NIQVJFLjk5NS4wMi8wOC8yMDI2Li4uVVNELkgBAAAAS1UAAAMAAAAAANgmQW8s8N4I5rqlhyzw3ggwQ0lRLk5BU0RBUTpNU0ZULklRX0VCSVREQS45OTkuMDIvMDgvMjAyNi4uLlVTRC5IAQAAAEtVAAACAAAABjE1NjUyOAEIAAAABQAAAAExAQAAAAstMTg4MDIyOTY4NgMAAAADMTYwAgAAAAQ0MDUxBAAAAAEwBwAAAAg4LzIvMjAyNggAAAAJNi8zMC8yMDI1CQAA</t>
  </si>
  <si>
    <t>AAEw2CZBbyzw3ggI4qWHLPDeCDlDSVEuTkFTREFROk1TRlQuSVFfRUJJVERBX0VYQ0xfU0JDLjk5Ni4wMi8wOC8yMDI2Li4uVVNELkgBAAAAS1UAAAIAAAAGMTA1NDg1AQgAAAAFAAAAATEBAAAACy0xOTg1OTMxMjI0AwAAAAMxNjACAAAABTI0MTM1BAAAAAEwBwAAAAg4LzIvMjAyNggAAAAJNi8zMC8yMDIyCQAAAAEw2CZBbyzw3ggI4qWHLPDeCEFDSVEuTkFTREFROk1TRlQuSVFfTEVBU0VfQURKVVNUTUVOVF9FQklUREEuOTk4LjAyLzA4LzIwMjYuLi5VU0QuSAEAAABLVQAAAgAAAAQzNTU1ANgmQW8s8N4I5rqlhyzw3gguQ0lRLk5BU0RBUTpNU0ZULklRX0VCSVQuOTk5LjAyLzA4LzIwMjYuLi5VU0QuSAEAAABLVQAAAgAAAAYxMjg1MjgBCAAAAAUAAAABMQEAAAALLTE4ODAyMjk2ODYDAAAAAzE2MAIAAAADNDAwBAAAAAEwBwAAAAg4LzIvMjAyNggAAAAJNi8zMC8yMDI1CQAAAAEw2CZBbyzw3gjmuqWHLPDeCDdDSVEuTkFTREFROk1TRlQuSVFfRUJJVF9FWENMX1NCQy45OTcuMDIvMDgvMjAyNi4uLlVTRC5IAQAAAEtVAAACAAAABTk4MTM0AQgAAAAFAAAAATEBAAAACy0xOTM0MjU0MjUwAwAAAAMxNjACAAAABTI0MTM0BAAAAAEwBwAAAAg4LzIvMjAyNggAAAAJNi8zMC8yMDIzCQAAAAEw2CZBbyzw3gjmuqWHLPDeCDZDSVEuTkFTREFROk1TRlQuSVFfRUJJVEFfRVFfSU5DLjk5OC4wMi8wOC8yMDI2</t>
  </si>
  <si>
    <t>Li4uVVNELkgBAAAAS1UAAAIAAAAGMTEyOTE0AQgAAAAFAAAAATEBAAAACy0xODgwMjI5Njk0AwAAAAMxNjACAAAABTIxNjc2BAAAAAEwBwAAAAg4LzIvMjAyNggAAAAJNi8zMC8yMDI0CQAAAAEw2CZBbyzw3ggI4qWHLPDeCDFDSVEuTkFTREFROk1TRlQuSVFfRUJJVERBUi45OTYuMDIvMDgvMjAyNi4uLlVTRC5IAQAAAEtVAAACAAAABjEwMDQ0NAEIAAAABQAAAAExAQAAAAstMTk4NTkzMTIyNAMAAAADMTYwAgAAAAUyMTY3NAQAAAABMAcAAAAIOC8yLzIwMjYIAAAACTYvMzAvMjAyMgkAAAABMNgmQW8s8N4ICOKlhyzw3ghBQ0lRLk5BU0RBUTpNU0ZULklRX0VCSVREQVJfRVFfSU5DX0VYQ0xfU0JDLjk5Ny4wMi8wOC8yMDI2Li4uVVNELkgBAAAAS1UAAAIAAAAGMTE0NTA5AQgAAAAFAAAAATEBAAAACy0xOTM0MjU0MjUwAwAAAAMxNjACAAAABTI0MTMzBAAAAAEwBwAAAAg4LzIvMjAyNggAAAAJNi8zMC8yMDIzCQAAAAEw2CZBbyzw3gjmuqWHLPDeCDZDSVEuTkFTREFROk1TRlQuSVFfRUJJVERBX0NBUEVYLjk5OC4wMi8wOC8yMDI2Li4uVVNELkgBAAAAS1UAAAIAAAAFODQ5NTYBCAAAAAUAAAABMQEAAAALLTE4ODAyMjk2OTQDAAAAAzE2MAIAAAAFMzUzNzkEAAAAATAHAAAACDgvMi8yMDI2CAAAAAk2LzMwLzIwMjQJAAAAATDYJkFvLPDeCOa6pYcs8N4IPUNJUS5OQVNEQVE6TVNGVC5JUV9BU19SRVBP</t>
  </si>
  <si>
    <t>UlRFRF9FQklUREEuMTAwMC4wMi8wOC8yMDI2Li4uVVNELkgBAAAAS1UAAAMAAAAAANgmQW8s8N4I5rqlhyzw3ggxQ0lRLk5BU0RBUTpNU0ZULklRX05JX1NGQVMuOTkzLjAyLzA4LzIwMjYuLi5VU0QuSAEAAABLVQAAAwAAAAAA2CZBbyzw3ggcCaaHLPDeCEFDSVEuTkFTREFROk1TRlQuSVFfRVhDSVNFX1RBWEVTX0VYQ0xfU0FMRVMuOTk3LjAyLzA4LzIwMjYuLi5VU0QuSAEAAABLVQAAAwAAAAAA2CZBbyzw3ggcCaaHLPDeCD1DSVEuTkFTREFROk1TRlQuSVFfQ1VSUl9ET01FU1RJQ19UQVhFUy45OTIuMDIvMDgvMjAyNi4uLlVTRC5IAQAAAEtVAAACAAAABTIwNjk4AQgAAAAFAAAAATEBAAAACjIwNDcyNzE3NDUDAAAAAzE2MAIAAAAEMzAyNwQAAAABMAcAAAAIOC8yLzIwMjYIAAAACTYvMzAvMjAxOAkAAAABMNgmQW8s8N4ICOKlhyzw3gg0Q0lRLk5BU0RBUTpNU0ZULklRX0NVUlJfVEFYRVMuOTkzLjAyLzA4LzIwMjYuLi5VU0QuSAEAAABLVQAAAgAAAAUxMDkxMQEIAAAABQAAAAExAQAAAAstMjE0MDk4MTQ2OQMAAAADMTYwAgAAAAUzNTM4MwQAAAABMAcAAAAIOC8yLzIwMjYIAAAACTYvMzAvMjAxOQkAAAABMNgmQW8s8N4ICOKlhyzw3gg+Q0lRLk5BU0RBUTpNU0ZULklRX0RFRkVSUkVEX1RBWEVTX1RPVEFMLjk5OC4wMi8wOC8yMDI2Li4uVVNELkgBAAAAS1UAAAIAAAAFLTQ3MzgBCAAAAAUAAAAB</t>
  </si>
  <si>
    <t>MQEAAAALLTE4ODAyMjk2OTQDAAAAAzE2MAIAAAAFMzUzODUEAAAAATAHAAAACDgvMi8yMDI2CAAAAAk2LzMwLzIwMjQJAAAAATDYJkFvLPDeCAjipYcs8N4IMUNJUS5OQVNEQVE6TVNGVC5JUV9OSV9OT1JNLjk5Mi4wMi8wOC8yMDI2Li4uVVNELkgBAAAAS1UAAAIAAAAJMjEyNDYuODc1AQgAAAAFAAAAATEBAAAACjIwNDcyNzE3NDUDAAAAAzE2MAIAAAAENDM3OAQAAAABMAcAAAAIOC8yLzIwMjYIAAAACTYvMzAvMjAxOAkAAAABMNgmQW8s8N4IHAmmhyzw3gg1Q0lRLk5BU0RBUTpNU0ZULklRX0lOVF9FWFBfTFRELjk5Ny4wMi8wOC8yMDI2Li4uVVNELkgBAAAAS1UAAAIAAAADNTAxAQgAAAAFAAAAATEBAAAACy0xOTM0MjU0MjUwAwAAAAMxNjACAAAABDMxMDEEAAAAATAHAAAACDgvMi8yMDI2CAAAAAk2LzMwLzIwMjMJAAAAATDYJkFvLPDeCBwJpocs8N4IOkNJUS5OQVNEQVE6TVNGVC5JUV9JTlRfRVhQX0lOQ0xfQ0FQLjk5OS4wMi8wOC8yMDI2Li4uVVNELkgBAAAAS1UAAAIAAAAEMjQyNQEIAAAABQAAAAExAQAAAAstMTg4MDIyOTY4NgMAAAADMTYwAgAAAAUyMTg2MQQAAAABMAcAAAAIOC8yLzIwMjYIAAAACTYvMzAvMjAyNQkAAAABMNgmQW8s8N4ICOKlhyzw3ggzQ0lRLk5BU0RBUTpNU0ZULklRX0RBX0VCSVREQS45OTIuMDIvMDgvMjAyNi4uLlVTRC5IAQAAAEtVAAACAAAABDk5MDABCAAAAAUA</t>
  </si>
  <si>
    <t>AAABMQEAAAAKMjA0NzI3MTc0NQMAAAADMTYwAgAAAAQyMjA2BAAAAAEwBwAAAAg4LzIvMjAyNggAAAAJNi8zMC8yMDE4CQAAAAEw2CZBbyzw3ggI4qWHLPDeCEFDSVEuTkFTREFROk1TRlQuSVFfQU5OVV9ESVNUUklCVVRJT05fVU5JVC4xMDAwLjAyLzA4LzIwMjYuLi5VU0QuSAEAAABLVQAAAwAAAAAA2CZBbyzw3ggcCaaHLPDeCC5DSVEuTkFTREFROk1TRlQuSVFfRElDLjEwMDAuMDIvMDgvMjAyNi4uLlVTRC5IAQAAAEtVAAADAAAAAADYJkFvLPDeCBwJpocs8N4IOkNJUS5OQVNEQVE6TVNGVC5JUV9TQUxFU19NQVJLRVRJTkcuMTAwMC4wMi8wOC8yMDI2Li4uVVNELkgBAAAAS1UAAAIAAAAFMjY3MTABCAAAAAUAAAABMQEAAAALLTE4ODAyMjk2NjUDAAAAAzE2MAIAAAAFMjE1NjEEAAAAATAHAAAACDgvMi8yMDI2CAAAAAk2LzMwLzIwMjYJAAAAATDYJkFvLPDeCFUwpocs8N4IM0NJUS5OQVNEQVE6TVNGVC5JUV9SRF9FWFBfRk4uOTkzLjAyLzA4LzIwMjYuLi5VU0QuSAEAAABLVQAAAgAAAAUxNjg3NgEIAAAABQAAAAExAQAAAAstMjE0MDk4MTQ2OQMAAAADMTYwAgAAAAQzMTY4BAAAAAEwBwAAAAg4LzIvMjAyNggAAAAJNi8zMC8yMDE5CQAAAAEw2CZBbyzw3ggcCaaHLPDeCDhDSVEuTkFTREFROk1TRlQuSVFfTkVUX1JFTlRBTF9FWFAuOTk1LjAyLzA4LzIwMjYuLi5VU0QuSAEAAABLVQAAAwAAAAAA</t>
  </si>
  <si>
    <t>2CZBbyzw3ggcCaaHLPDeCDlDSVEuTkFTREFROk1TRlQuSVFfTUlOSU1VTV9SRU5UQUwuMTAwMC4wMi8wOC8yMDI2Li4uVVNELkgBAAAAS1UAAAMAAAAAANgmQW8s8N4IHAmmhyzw3gg3Q0lRLk5BU0RBUTpNU0ZULklRX0FJUkNSQUZUX1JFTlQuOTk0LjAyLzA4LzIwMjYuLi5VU0QuSAEAAABLVQAAAwAAAAAA2CZBbyzw3ghVMKaHLPDeCDZDSVEuTkFTREFROk1TRlQuSVFfTUFJTlRfUkVQQUlSLjk5OS4wMi8wOC8yMDI2Li4uVVNELkgBAAAAS1UAAAMAAAAAANgmQW8s8N4IVTCmhyzw3ghAQ0lRLk5BU0RBUTpNU0ZULklRX0lNUFVUX09QRVJfTEVBU0VfREVQUi4xMDAwLjAyLzA4LzIwMjYuLi5VU0QuSAEAAABLVQAAAgAAAAs1NTQyLjczNzQwOAEIAAAABQAAAAExAQAAAAstMTg4MDIyOTY2NQMAAAADMTYwAgAAAAUyMTY3MwQAAAABMAcAAAAIOC8yLzIwMjYIAAAACTYvMzAvMjAyNgkAAAABMNgmQW8s8N4IHAmmhyzw3gg8Q0lRLk5BU0RBUTpNU0ZULklRX1JFU1RSVUNUVVJFX1NVUFBMRS45OTUuMDIvMDgvMjAyNi4uLlVTRC5IAQAAAEtVAAADAAAAAADYJkFvLPDeCBwJpocs8N4IQENJUS5OQVNEQVE6TVNGVC5JUV9BU1NFVF9XUklURURPV05fU1VQUExFLjk5OS4wMi8wOC8yMDI2Li4uVVNELkgBAAAAS1UAAAMAAAAAAB8TQW8s8N4IHAmmhyzw3ghBQ0lRLk5BU0RBUTpNU0ZULklRX0dBSU5fQkFSR0FJ</t>
  </si>
  <si>
    <t>Tl9BQ1FfU1VQUExFLjk5Mi4wMi8wOC8yMDI2Li4uVVNELkgBAAAAS1UAAAMAAAAAAB8TQW8s8N4IS1emhyzw3gg+Q0lRLk5BU0RBUTpNU0ZULklRX09USEVSX1VOVVNVQUxfU1VQUExFLjk5Ni4wMi8wOC8yMDI2Li4uVVNELkgBAAAAS1UAAAMAAAAAAB8TQW8s8N4IS1emhyzw3gg/Q0lRLk5BU0RBUTpNU0ZULklRX1RPVEFMX1VOVVNVQUxfU1VQUExFLjEwMDAuMDIvMDgvMjAyNi4uLlVTRC5IAQAAAEtVAAADAAAAAAAfE0FvLPDeCFUwpocs8N4IOkNJUS5OQVNEQVE6TVNGVC5JUV9TVE9DS19CQVNFRF9DT0dTLjk5My4wMi8wOC8yMDI2Li4uVVNELkgBAAAAS1UAAAMAAAAAAB8TQW8s8N4IVTCmhyzw3gg4Q0lRLk5BU0RBUTpNU0ZULklRX1NUT0NLX0JBU0VEX0dBLjk5Ny4wMi8wOC8yMDI2Li4uVVNELkgBAAAAS1UAAAMAAAAAAB8TQW8s8N4IVTCmhyzw3ghDQ0lRLk5BU0RBUTpNU0ZULklRX1NUT0NLX0JBU0VEX0VYUExPUkVfRFJJTEwuOTkyLjAyLzA4LzIwMjYuLi5VU0QuSAEAAABLVQAAAwAAAAAAHxNBbyzw3ghUfqaHLPDeCDtDSVEuTkFTREFROk1TRlQuSVFfU1RPQ0tfQkFTRURfVE9UQUwuOTk2LjAyLzA4LzIwMjYuLi5VU0QuSAEAAABLVQAAAgAAAAQ3NTAyAQgAAAAFAAAAATEBAAAACy0xOTg1OTMxMjI0AwAAAAMxNjACAAAABTI0MDM0BAAAAAEwBwAAAAg4LzIvMjAyNggAAAAJNi8zMC8yMDIy</t>
  </si>
  <si>
    <t>CQAAAAEwHxNBbyzw3ghUfqaHLPDeCD5DSVEuTkFTREFROk1TRlQuSVFfUkVTVFJfU1RPQ0tfQ09NUF9UQVguOTk4LjAyLzA4LzIwMjYuLi5VU0QuSAEAAABLVQAAAwAAAAAAHxNBbyzw3ghVMKaHLPDeCENDSVEuTkFTREFROk1TRlQuSVFfU1RPQ0tfT1BUSU9OU19DT01QX1BSRVRBWC45OTIuMDIvMDgvMjAyNi4uLlVTRC5IAQAAAEtVAAADAAAAAAAfE0FvLPDeCEtXpocs8N4IQUNJUS5OQVNEQVE6TVNGVC5JUV9TVE9DS19CQVNFRF9DT01QX1BSRVRBWC45OTcuMDIvMDgvMjAyNi4uLlVTRC5IAQAAAEtVAAACAAAABDk2MTEAHxNBbyzw3ghLV6aHLPDeCDpDSVEuTkFTREFROk1TRlQuSVFfU1RPQ0tfQkFTRURfQ09NUC45OTkuMDIvMDgvMjAyNi4uLlVTRC5IAQAAAEtVAAACAAAABDk5NDcAHxNBbyzw3ghUfqaHLPDeCDtDSVEuTkFTREFROk1TRlQuSVFfR1dfSU5UQU5fQU1PUlRfQ0YuOTk2LjAyLzA4LzIwMjYuLi5VU0QuSAEAAABLVQAAAgAAAAQyMDAwAQgAAAAFAAAAATEBAAAACy0xOTg1OTMxMjI0AwAAAAMxNjACAAAABDIxODIEAAAAATAHAAAACDgvMi8yMDI2CAAAAAk2LzMwLzIwMjIJAAAAATAfE0FvLPDeCFR+pocs8N4IL0NJUS5OQVNEQVE6TVNGVC5JUV9EQV9DRi45OTguMDIvMDgvMjAyNi4uLlVTRC5IAQAAAEtVAAACAAAABTIwMDAwAQgAAAAFAAAAATEBAAAACy0xODgwMjI5Njk0AwAAAAMx</t>
  </si>
  <si>
    <t>NjACAAAABDIxNjAEAAAAATAHAAAACDgvMi8yMDI2CAAAAAk2LzMwLzIwMjQJAAAAATAfE0FvLPDeCEtXpocs8N4IP0NJUS5OQVNEQVE6TVNGVC5JUV9NSU5PUklUWV9JTlRFUkVTVF9DRi4xMDAwLjAyLzA4LzIwMjYuLi5VU0QuSAEAAABLVQAAAwAAAAAAHxNBbyzw3ghLV6aHLPDeCDxDSVEuTkFTREFROk1TRlQuSVFfQVNTRVRfV1JJVEVET1dOX0NGLjk5Ny4wMi8wOC8yMDI2Li4uVVNELkgBAAAAS1UAAAMAAAAAAB8TQW8s8N4IS1emhyzw3gg4Q0lRLk5BU0RBUTpNU0ZULklRX0NSRURJVF9MT1NTX0NGLjk5OS4wMi8wOC8yMDI2Li4uVVNELkgBAAAAS1UAAAMAAAAAAB8TQW8s8N4InqWmhyzw3gg9Q0lRLk5BU0RBUTpNU0ZULklRX1RBWF9CRU5FRklUX09QVElPTlMuOTk2LjAyLzA4LzIwMjYuLi5VU0QuSAEAAABLVQAAAwAAAAAAHxNBbyzw3giepaaHLPDeCC9DSVEuTkFTREFROk1TRlQuSVFfRE9fQ0YuOTk4LjAyLzA4LzIwMjYuLi5VU0QuSAEAAABLVQAAAwAAAAAAHxNBbyzw3ghUfqaHLPDeCD9DSVEuTkFTREFROk1TRlQuSVFfQ0hBTkdFX1RSQURJTkdfQVNTRVRTLjk5OS4wMi8wOC8yMDI2Li4uVVNELkgBAAAAS1UAAAMAAAAAAB8TQW8s8N4IVH6mhyzw3ggzQ0lRLk5BU0RBUTpNU0ZULklRX0NIQU5HRV9BUC45OTcuMDIvMDgvMjAyNi4uLlVTRC5IAQAAAEtVAAACAAAABS0yNzIxAQgAAAAFAAAA</t>
  </si>
  <si>
    <t>ATEBAAAACy0xOTM0MjU0MjUwAwAAAAMxNjACAAAABDIwMTcEAAAAATAHAAAACDgvMi8yMDI2CAAAAAk2LzMwLzIwMjMJAAAAATAfE0FvLPDeCFR+pocs8N4IOENJUS5OQVNEQVE6TVNGVC5JUV9DSEFOR0VfSU5DX1RBWC45OTguMDIvMDgvMjAyNi4uLlVTRC5IAQAAAEtVAAACAAAABDE2ODcBCAAAAAUAAAABMQEAAAALLTE4ODAyMjk2OTQDAAAAAzE2MAIAAAAEMjEwMQQAAAABMAcAAAAIOC8yLzIwMjYIAAAACTYvMzAvMjAyNAkAAAABMB8TQW8s8N4In8ymhyzw3ggzQ0lRLk5BU0RBUTpNU0ZULklRX0NBU0hfT1BFUi45OTYuMDIvMDgvMjAyNi4uLlVTRC5IAQAAAEtVAAACAAAABTg5MDM1AQgAAAAFAAAAATEBAAAACy0xOTg1OTMxMjI0AwAAAAMxNjACAAAABDIwMDYEAAAAATAHAAAACDgvMi8yMDI2CAAAAAk2LzMwLzIwMjIJAAAAATAfE0FvLPDeCJ/Mpocs8N4INUNJUS5OQVNEQVE6TVNGVC5JUV9TQUxFX1BQRV9DRi45OTcuMDIvMDgvMjAyNi4uLlVTRC5IAQAAAEtVAAADAAAAAAAfE0FvLPDeCJ6lpocs8N4IM0NJUS5OQVNEQVE6TVNGVC5JUV9ESVZFU1RfQ0YuOTk4LjAyLzA4LzIwMjYuLi5VU0QuSAEAAABLVQAAAwAAAAAAHxNBbyzw3giepaaHLPDeCDlDSVEuTkFTREFROk1TRlQuSVFfSU5WRVNUX0xPQU5TX0NGLjk5NC4wMi8wOC8yMDI2Li4uVVNELkgBAAAAS1UAAAMAAAAAAB8TQW8s8N4InqWm</t>
  </si>
  <si>
    <t>hyzw3gg1Q0lRLk5BU0RBUTpNU0ZULklRX0NBU0hfSU5WRVNULjk5NS4wMi8wOC8yMDI2Li4uVVNELkgBAAAAS1UAAAIAAAAGLTI3NTc3AQgAAAAFAAAAATEBAAAACy0yMDM2ODQzODQzAwAAAAMxNjACAAAABDIwMDUEAAAAATAHAAAACDgvMi8yMDI2CAAAAAk2LzMwLzIwMjEJAAAAATAfE0FvLPDeCJ/Mpocs8N4IO0NJUS5OQVNEQVE6TVNGVC5JUV9UT1RBTF9ERUJUX0lTU1VFRC45OTMuMDIvMDgvMjAyNi4uLlVTRC5IAQAAAEtVAAADAAAAAAAfE0FvLPDeCLzzpocs8N4IOENJUS5OQVNEQVE6TVNGVC5JUV9MVF9ERUJUX1JFUEFJRC45OTQuMDIvMDgvMjAyNi4uLlVTRC5IAQAAAEtVAAACAAAABS01NTE4AQgAAAAFAAAAATEBAAAACy0yMDg3NDk2NjI3AwAAAAMxNjACAAAABDIwMzYEAAAAATAHAAAACDgvMi8yMDI2CAAAAAk2LzMwLzIwMjAJAAAAATAfE0FvLPDeCJ6lpocs8N4IN0NJUS5OQVNEQVE6TVNGVC5JUV9DT01NT05fSVNTVUVELjk5NS4wMi8wOC8yMDI2Li4uVVNELkgBAAAAS1UAAAIAAAAEMTY5MwEIAAAABQAAAAExAQAAAAstMjAzNjg0Mzg0MwMAAAADMTYwAgAAAAQyMTY5BAAAAAEwBwAAAAg4LzIvMjAyNggAAAAJNi8zMC8yMDIxCQAAAAEwHxNBbyzw3giepaaHLPDeCDJDSVEuTkFTREFROk1TRlQuSVFfUFJFRl9SRVAuOTkzLjAyLzA4LzIwMjYuLi5VU0QuSAEAAABLVQAAAwAAAAAAHxNB</t>
  </si>
  <si>
    <t>byzw3gifzKaHLPDeCDVDSVEuTkFTREFROk1TRlQuSVFfUFJFRl9ESVZfQ0YuOTk0LjAyLzA4LzIwMjYuLi5VU0QuSAEAAABLVQAAAwAAAAAAHxNBbyzw3gi886aHLPDeCDhDSVEuTkFTREFROk1TRlQuSVFfU1BFQ0lBTF9ESVZfQ0YuOTkyLjAyLzA4LzIwMjYuLi5VU0QuSAEAAABLVQAAAwAAAAAAHxNBbyzw3gi886aHLPDeCDRDSVEuTkFTREFROk1TRlQuSVFfQ0FTSF9GSU5BTi45OTMuMDIvMDgvMjAyNi4uLlVTRC5IAQAAAEtVAAACAAAABi0zNjg4NwEIAAAABQAAAAExAQAAAAstMjE0MDk4MTQ2OQMAAAADMTYwAgAAAAQyMDA0BAAAAAEwBwAAAAg4LzIvMjAyNggAAAAJNi8zMC8yMDE5CQAAAAEwHxNBbyzw3gifzKaHLPDeCDRDSVEuTkFTREFROk1TRlQuSVFfTkVUX0NIQU5HRS45OTIuMDIvMDgvMjAyNi4uLlVTRC5IAQAAAEtVAAACAAAABDQyODMBCAAAAAUAAAABMQEAAAAKMjA0NzI3MTc0NQMAAAADMTYwAgAAAAQyMDkzBAAAAAEwBwAAAAg4LzIvMjAyNggAAAAJNi8zMC8yMDE4CQAAAAEwHxNBbyzw3gifzKaHLPDeCENDSVEuTkFTREFROk1TRlQuSVFfR1dfSU5UQU5fQU1PUlRfUEFSVElBTF9DRi45OTMuMDIvMDgvMjAyNi4uLlVTRC5IAQAAAEtVAAADAAAAAAAfE0FvLPDeCJ/Mpocs8N4IMUNJUS5OQVNEQVE6TVNGVC5JUV9ERVBfUlVBLjk5My4wMi8wOC8yMDI2Li4uVVNELkgBAAAAS1UAAAMA</t>
  </si>
  <si>
    <t>AAAAAB8TQW8s8N4Izhqnhyzw3ghAQ0lRLk5BU0RBUTpNU0ZULklRX0RBX0NGX0VYQ0xfT1BFUl9MRUFTRVMuOTk1LjAyLzA4LzIwMjYuLi5VU0QuSAEAAABLVQAAAgAAAAUxMDkwMAEIAAAABQAAAAExAQAAAAstMjAzNjg0Mzg0MwMAAAADMTYwAgAAAAU0ODk4NQQAAAABMAcAAAAIOC8yLzIwMjYIAAAACTYvMzAvMjAyMQkAAAABMB8TQW8s8N4Izhqnhyzw3ghCQ0lRLk5BU0RBUTpNU0ZULklRX0FNT1JUX1NPRlRXQVJFX0FTU0VUU19DRi45OTQuMDIvMDgvMjAyNi4uLlVTRC5IAQAAAEtVAAADAAAAAAAfE0FvLPDeCLzzpocs8N4IO0NJUS5OQVNEQVE6TVNGVC5JUV9DQVNIX0lOVEVSRVNUX05FVC45OTMuMDIvMDgvMjAyNi4uLlVTRC5IAQAAAEtVAAADAAAAAAAfE0FvLPDeCLzzpocs8N4IPkNJUS5OQVNEQVE6TVNGVC5JUV9DQVNIX0lOVEVSRVNUX0lOVkVTVC45OTIuMDIvMDgvMjAyNi4uLlVTRC5IAQAAAEtVAAADAAAAAAAfE0FvLPDeCLzzpocs8N4INENJUS5OQVNEQVE6TVNGVC5JUV9DQVNIX1RBWEVTLjk5Ni4wMi8wOC8yMDI2Li4uVVNELkgBAAAAS1UAAAIAAAAFMTYwMDABCAAAAAUAAAABMQEAAAALLTE5ODU5MzEyMjQDAAAAAzE2MAIAAAAEMzA1MwQAAAABMAcAAAAIOC8yLzIwMjYIAAAACTYvMzAvMjAyMgkAAAABMB8TQW8s8N4IhS6nhyzw3gg6Q0lRLk5BU0RBUTpNU0ZULklRX0NBU0hfVEFY</t>
  </si>
  <si>
    <t>RVNfRklOQU4uOTk2LjAyLzA4LzIwMjYuLi5VU0QuSAEAAABLVQAAAwAAAAAAHxNBbyzw3giFLqeHLPDeCERDSVEuTkFTREFROk1TRlQuSVFfQ0hBTkdFX05FVF9XT1JLSU5HX0NBUElUQUwuOTk4LjAyLzA4LzIwMjYuLi5VU0QuSAEAAABLVQAAAgAAAAUtMzkxNwEIAAAABQAAAAExAQAAAAstMTg4MDIyOTY5NAMAAAADMTYwAgAAAAQ0NDIxBAAAAAEwBwAAAAg4LzIvMjAyNggAAAAJNi8zMC8yMDI0CQAAAAEwHxNBbyzw3gi886aHLPDeCDJDSVEuTkFTREFROk1TRlQuSVFfQ0ZfU0hBUkUuOTk4LjAyLzA4LzIwMjYuLi5VU0QuSAEAAABLVQAAAgAAAAg5Ljk2NzgzNwEIAAAABQAAAAExAQAAAAstMTg4MDIyOTY5NAMAAAADMTYwAgAAAAU0MzkyMwQAAAABMAcAAAAIOC8yLzIwMjYIAAAACTYvMzAvMjAyNAkAAAABMB8TQW8s8N4IvPOmhyzw3gg2Q0lRLk5BU0RBUTpNU0ZULklRX0RPX0lOVkVTVF9DRi45OTguMDIvMDgvMjAyNi4uLlVTRC5IAQAAAEtVAAADAAAAAAAfE0FvLPDeCLzzpocs8N4IRUNJUS5OQVNEQVE6TVNGVC5JUV9PUEVSQVRJTkdfTEVBU0VfTElBQklMSVRJRVMuOTk3LjAyLzA4LzIwMjYuLi5VU0QuSAEAAABLVQAAAwAAAAAAHxNBbyzw3giFLqeHLPDeCEdDSVEuTkFTREFROk1TRlQuSVFfVE9UQUxfREVCVF9SRVBBSURfRVhDTF9MRUFTRVMuOTk3LjAyLzA4LzIwMjYuLi5VU0QuSAEAAABL</t>
  </si>
  <si>
    <t>VQAAAgAAAAUtMjc1MAEIAAAABQAAAAExAQAAAAstMTkzNDI1NDI1MAMAAAADMTYwAgAAAAU0ODk4NgQAAAABMAcAAAAIOC8yLzIwMjYIAAAACTYvMzAvMjAyMwkAAAABMB8TQW8s8N4I1VWnhyzw3gg0Q0lRLk5BU0RBUTpNU0ZULklRX0NBU0hfRVFVSVYuOTk1LjAyLzA4LzIwMjYuLi5VU0QuSAEAAABLVQAAAgAAAAUxNDIyNAEIAAAABQAAAAExAQAAAAstMjAzNjg0Mzg0MwMAAAADMTYwAgAAAAQxMDk2BAAAAAEwBwAAAAg4LzIvMjAyNggAAAAJNi8zMC8yMDIxCQAAAAEwHxNBbyzw3gjOGqeHLPDeCDhDSVEuTkFTREFROk1TRlQuSVFfQ0FTSF9TVF9JTlZFU1QuOTk1LjAyLzA4LzIwMjYuLi5VU0QuSAEAAABLVQAAAgAAAAYxMzAyNTYBCAAAAAUAAAABMQEAAAALLTIwMzY4NDM4NDMDAAAAAzE2MAIAAAAEMTAwMgQAAAABMAcAAAAIOC8yLzIwMjYIAAAACTYvMzAvMjAyMQkAAAABMB8TQW8s8N4Izhqnhyzw3gg2Q0lRLk5BU0RBUTpNU0ZULklRX09USEVSX1JFQ0VJVi45OTcuMDIvMDgvMjAyNi4uLlVTRC5IAQAAAEtVAAACAAAABDkyMDABCAAAAAUAAAABMQEAAAALLTE5MzQyNTQyNTADAAAAAzE2MAIAAAAEMTIwNgQAAAABMAcAAAAIOC8yLzIwMjYIAAAACTYvMzAvMjAyMwkAAAABMB8TQW8s8N4IhS6nhyzw3gg0Q0lRLk5BU0RBUTpNU0ZULklRX0lOVkVOVE9SWS4xMDAwLjAyLzA4LzIwMjYuLi5VU0Qu</t>
  </si>
  <si>
    <t>SAEAAABLVQAAAgAAAAQxMzk3AQgAAAAFAAAAATEBAAAACy0xODgwMjI5NjY1AwAAAAMxNjACAAAABDEwNDMEAAAAATAHAAAACDgvMi8yMDI2CAAAAAk2LzMwLzIwMjYJAAAAATAfE0FvLPDeCNVVp4cs8N4IQENJUS5OQVNEQVE6TVNGVC5JUV9GSU5fRElWX0FTU0VUU19DVVJSRU5ULjk5Mi4wMi8wOC8yMDI2Li4uVVNELkgBAAAAS1UAAAMAAAAAAB8TQW8s8N4I1VWnhyzw3gg5Q0lRLk5BU0RBUTpNU0ZULklRX1JFU1RSSUNURURfQ0FTSC45OTMuMDIvMDgvMjAyNi4uLlVTRC5IAQAAAEtVAAADAAAAAAAfE0FvLPDeCIUup4cs8N4IMkNJUS5OQVNEQVE6TVNGVC5JUV9UT1RBTF9DQS45OTUuMDIvMDgvMjAyNi4uLlVTRC5IAQAAAEtVAAACAAAABjE4NDQwNgEIAAAABQAAAAExAQAAAAstMjAzNjg0Mzg0MwMAAAADMTYwAgAAAAQxMDA4BAAAAAEwBwAAAAg4LzIvMjAyNggAAAAJNi8zMC8yMDIxCQAAAAEwHxNBbyzw3giFLqeHLPDeCDRDSVEuTkFTREFROk1TRlQuSVFfTFRfSU5WRVNULjEwMDAuMDIvMDgvMjAyNi4uLlVTRC5IAQAAAEtVAAACAAAABTM2MzQ4AQgAAAAFAAAAATEBAAAACy0xODgwMjI5NjY1AwAAAAMxNjACAAAABDEwNTQEAAAAATAHAAAACDgvMi8yMDI2CAAAAAk2LzMwLzIwMjYJAAAAATAfE0FvLPDeCIUup4cs8N4IOkNJUS5OQVNEQVE6TVNGVC5JUV9GSU5fRElWX0xPQU5TX0xULjk5Mi4w</t>
  </si>
  <si>
    <t>Mi8wOC8yMDI2Li4uVVNELkgBAAAAS1UAAAMAAAAAAB8TQW8s8N4I33ynhyzw3ggvQ0lRLk5BU0RBUTpNU0ZULklRX0FSX0xULjk5Ny4wMi8wOC8yMDI2Li4uVVNELkgBAAAAS1UAAAIAAAAENDUwMAEIAAAABQAAAAExAQAAAAstMTkzNDI1NDI1MAMAAAADMTYwAgAAAAQxMDg4BAAAAAEwBwAAAAg4LzIvMjAyNggAAAAJNi8zMC8yMDIzCQAAAAEwHxNBbyzw3gjffKeHLPDeCDhDSVEuTkFTREFROk1TRlQuSVFfREVGX0NIQVJHRVNfTFQuOTk4LjAyLzA4LzIwMjYuLi5VU0QuSAEAAABLVQAAAwAAAAAAHxNBbyzw3gjVVaeHLPDeCCxDSVEuTkFTREFROk1TRlQuSVFfQVAuOTk4LjAyLzA4LzIwMjYuLi5VU0QuSAEAAABLVQAAAgAAAAUyMTk5NgEIAAAABQAAAAExAQAAAAstMTg4MDIyOTY5NAMAAAADMTYwAgAAAAQxMDE4BAAAAAEwBwAAAAg4LzIvMjAyNggAAAAJNi8zMC8yMDI0CQAAAAEwHxNBbyzw3gjVVaeHLPDeCDtDSVEuTkFTREFROk1TRlQuSVFfQ1VSUkVOVF9QT1JUX0RFQlQuOTk4LjAyLzA4LzIwMjYuLi5VU0QuSAEAAABLVQAAAgAAAAQyMjQ5AQgAAAAFAAAAATEBAAAACy0xODgwMjI5Njk0AwAAAAMxNjACAAAABDEyOTcEAAAAATAHAAAACDgvMi8yMDI2CAAAAAk2LzMwLzIwMjQJAAAAATAfE0FvLPDeCNVVp4cs8N4IPkNJUS5OQVNEQVE6TVNGVC5JUV9GSU5fRElWX0xJQUJfQ1VSUkVOVC45OTIu</t>
  </si>
  <si>
    <t>MDIvMDgvMjAyNi4uLlVTRC5IAQAAAEtVAAADAAAAAAAfE0FvLPDeCPejp4cs8N4IPENJUS5OQVNEQVE6TVNGVC5JUV9VTkVBUk5fUkVWX0NVUlJFTlQuOTk0LjAyLzA4LzIwMjYuLi5VU0QuSAEAAABLVQAAAgAAAAUzNjAwMAEIAAAABQAAAAExAQAAAAstMjA4NzQ5NjYyNwMAAAADMTYwAgAAAAQxMDc0BAAAAAEwBwAAAAg4LzIvMjAyNggAAAAJNi8zMC8yMDIwCQAAAAEwHxNBbyzw3gj3o6eHLPDeCDFDSVEuTkFTREFROk1TRlQuSVFfTFRfREVCVC45OTMuMDIvMDgvMjAyNi4uLlVTRC5IAQAAAEtVAAACAAAABTY2NjYyAQgAAAAFAAAAATEBAAAACy0yMTQwOTgxNDY5AwAAAAMxNjACAAAABDEwNDkEAAAAATAHAAAACDgvMi8yMDI2CAAAAAk2LzMwLzIwMTkJAAAAATAfE0FvLPDeCN98p4cs8N4IOUNJUS5OQVNEQVE6TVNGVC5JUV9GSU5fRElWX0RFQlRfTFQuOTk5LjAyLzA4LzIwMjYuLi5VU0QuSAEAAABLVQAAAwAAAAAAHxNBbyzw3gjffKeHLPDeCDlDSVEuTkFTREFROk1TRlQuSVFfREVGX1RBWF9MSUFCX0xULjk5OS4wMi8wOC8yMDI2Li4uVVNELkgBAAAAS1UAAAIAAAAEMjgzNQEIAAAABQAAAAExAQAAAAstMTg4MDIyOTY4NgMAAAADMTYwAgAAAAQxMDI3BAAAAAEwBwAAAAg4LzIvMjAyNggAAAAJNi8zMC8yMDI1CQAAAAEwHxNBbyzw3gjffKeHLPDeCDlDSVEuTkFTREFROk1TRlQuSVFfUFJFRl9O</t>
  </si>
  <si>
    <t>T05fUkVERUVNLjk5Ni4wMi8wOC8yMDI2Li4uVVNELkgBAAAAS1UAAAMAAAAAAB8TQW8s8N4I96Onhyzw3gg1Q0lRLk5BU0RBUTpNU0ZULklRX1BSRUZfRVFVSVRZLjk5NS4wMi8wOC8yMDI2Li4uVVNELkgBAAAAS1UAAAMAAAAAAB8TQW8s8N4IDMunhyzw3gg2Q0lRLk5BU0RBUTpNU0ZULklRX09USEVSX0VRVUlUWS45OTguMDIvMDgvMjAyNi4uLlVTRC5IAQAAAEtVAAACAAAABS01NTkwAQgAAAAFAAAAATEBAAAACy0xODgwMjI5Njk0AwAAAAMxNjACAAAABDEwMjgEAAAAATAHAAAACDgvMi8yMDI2CAAAAAk2LzMwLzIwMjQJAAAAATAfE0FvLPDeCN98p4cs8N4INkNJUS5OQVNEQVE6TVNGVC5JUV9UT1RBTF9FUVVJVFkuOTk1LjAyLzA4LzIwMjYuLi5VU0QuSAEAAABLVQAAAgAAAAYxNDE5ODgBCAAAAAUAAAABMQEAAAALLTIwMzY4NDM4NDMDAAAAAzE2MAIAAAAEMTI3NQQAAAABMAcAAAAIOC8yLzIwMjYIAAAACTYvMzAvMjAyMQkAAAABMB8TQW8s8N4I33ynhyzw3gg/Q0lRLk5BU0RBUTpNU0ZULklRX05FR0FUSVZFX0dXX0FNT1JUX0FULjIwMDAuMDIvMDgvMjAyNi4uLlVTRC5IAQAAAEtVAAADAAAAAAA2LdhuLPDeCLQ2hIcs8N4IQUNJUS5OQVNEQVE6TVNGVC5JUV9HQUlOX0JBUkdBSU5fQUNRX1NVUFBMRS45OTAuMDIvMDgvMjAyNi4uLlVTRC5IAQAAAEtVAAADAAAAAAA2LdhuLPDeCLQ2hIcs8N4I</t>
  </si>
  <si>
    <t>QUNJUS5OQVNEQVE6TVNGVC5JUV9TQUxBUklFU19PVEhFUl9CRU5FRklUUy45OTEuMDIvMDgvMjAyNi4uLlVTRC5IAQAAAEtVAAADAAAAAAA2LdhuLPDeCD1LhIcs8N4IPENJUS5OQVNEQVE6TVNGVC5JUV9DT05USU5HRU5UX1JFTlRBTC4yMDAwLjAyLzA4LzIwMjYuLi5VU0QuSAEAAABLVQAAAwAAAAAANi3Ybizw3ghXdISHLPDeCDlDSVEuTkFTREFROk1TRlQuSVFfU0FMRVNfTUFSS0VUSU5HLjk5MC4wMi8wOC8yMDI2Li4uVVNELkgBAAAAS1UAAAIAAAAFMTQ2MzUBCAAAAAUAAAABMQEAAAAKMTg5ODQ4OTQ3MAMAAAADMTYwAgAAAAUyMTU2MQQAAAABMAcAAAAIOC8yLzIwMjYIAAAACTYvMzAvMjAxNgkAAAABMDYt2G4s8N4IV3SEhyzw3gg8Q0lRLk5BU0RBUTpNU0ZULklRX0RJU1RSSUJVVEFCTEVfQ0FTSC45OTEuMDIvMDgvMjAyNi4uLlVTRC5IAQAAAEtVAAADAAAAAAA2LdhuLPDeCD1LhIcs8N4IMUNJUS5OQVNEQVE6TVNGVC5JUV9OSV9OT1JNLjk5MC4wMi8wOC8yMDI2Li4uVVNELkgBAAAAS1UAAAIAAAAFMTYzMjABCAAAAAUAAAABMQEAAAAKMTg5ODQ4OTQ3MAMAAAADMTYwAgAAAAQ0Mzc4BAAAAAEwBwAAAAg4LzIvMjAyNggAAAAJNi8zMC8yMDE2CQAAAAEwNi3Ybizw3gg9S4SHLPDeCD1DSVEuTkFTREFROk1TRlQuSVFfQ1VSUl9ET01FU1RJQ19UQVhFUy45OTAuMDIvMDgvMjAyNi4uLlVTRC5I</t>
  </si>
  <si>
    <t>AQAAAEtVAAACAAAAAzY4MQEIAAAABQAAAAExAQAAAAoxODk4NDg5NDcwAwAAAAMxNjACAAAABDMwMjcEAAAAATAHAAAACDgvMi8yMDI2CAAAAAk2LzMwLzIwMTYJAAAAATA2LdhuLPDeCMxfhIcs8N4ITENJUS5OQVNEQVE6TVNGVC5JUV9QUk9WX0JBRF9ERUJUU19QQVRJRU5UX1NFUlZJQ0VfUkVWLjk5MS4wMi8wOC8yMDI2Li4uVVNELkgBAAAAS1UAAAMAAAAAADYt2G4s8N4IoYiEhyzw3ggxQ0lRLk5BU0RBUTpNU0ZULklRX0VCSVREQVIuOTkxLjAyLzA4LzIwMjYuLi5VU0QuSAEAAABLVQAAAgAAAAUzODU0MwEIAAAABQAAAAExAQAAAAoxOTczMzgwOTUxAwAAAAMxNjACAAAABTIxNjc0BAAAAAEwBwAAAAg4LzIvMjAyNggAAAAJNi8zMC8yMDE3CQAAAAEwNi3Ybizw3gihiISHLPDeCDVDSVEuTkFTREFROk1TRlQuSVFfRUJJVF9FUV9JTkMuOTkxLjAyLzA4LzIwMjYuLi5VU0QuSAEAAABLVQAAAgAAAAUyOTMzMQEIAAAABQAAAAExAQAAAAoxOTczMzgwOTUxAwAAAAMxNjACAAAABTIxNjc1BAAAAAEwBwAAAAg4LzIvMjAyNggAAAAJNi8zMC8yMDE3CQAAAAEwNi3Ybizw3gjMX4SHLPDeCDdDSVEuTkFTREFROk1TRlQuSVFfRUJJVERBX0VRX0lOQy45OTEuMDIvMDgvMjAyNi4uLlVTRC5IAQAAAEtVAAACAAAABTM4NTQzAQgAAAAFAAAAATEBAAAACjE5NzMzODA5NTEDAAAAAzE2MAIAAAAFMjE2NzcEAAAA</t>
  </si>
  <si>
    <t>ATAHAAAACDgvMi8yMDI2CAAAAAk2LzMwLzIwMTcJAAAAATA2LdhuLPDeCFd0hIcs8N4IMkNJUS5OQVNEQVE6TVNGVC5JUV9FUFNfTk9STS45OTAuMDIvMDgvMjAyNi4uLlVTRC5IAQAAAEtVAAACAAAACDIuMDU5MzA1AQgAAAAFAAAAATEBAAAACjE4OTg0ODk0NzADAAAAAzE2MAIAAAAENDM3OQQAAAABMAcAAAAIOC8yLzIwMjYIAAAACTYvMzAvMjAxNgkAAAABMDYt2G4s8N4IV3SEhyzw3gg4Q0lRLk5BU0RBUTpNU0ZULklRX1BSRUZfRElWX09USEVSLjk5MC4wMi8wOC8yMDI2Li4uVVNELkgBAAAAS1UAAAMAAAAAADYt2G4s8N4IEp2Ehyzw3ggxQ0lRLk5BU0RBUTpNU0ZULklRX0lOQ19UQVguOTkxLjAyLzA4LzIwMjYuLi5VU0QuSAEAAABLVQAAAgAAAAQ0NDEyAQgAAAAFAAAAATEBAAAACjE5NzMzODA5NTEDAAAAAzE2MAIAAAACNzUEAAAAATAHAAAACDgvMi8yMDI2CAAAAAk2LzMwLzIwMTcJAAAAATA2LdhuLPDeCBKdhIcs8N4IOENJUS5OQVNEQVE6TVNGVC5JUV9JTVBBSVJNRU5UX0dXLjIwMDAuMDIvMDgvMjAyNi4uLlVTRC5IAQAAAEtVAAADAAAAAAA2LdhuLPDeCKGIhIcs8N4INENJUS5OQVNEQVE6TVNGVC5JUV9JTkNfRVFVSVRZLjk5MC4wMi8wOC8yMDI2Li4uVVNELkgBAAAAS1UAAAMAAAAAADYt2G4s8N4IoYiEhyzw3gg0Q0lRLk5BU0RBUTpNU0ZULklRX0lNUEFJUl9PSUwuOTkwLjAyLzA4</t>
  </si>
  <si>
    <t>LzIwMjYuLi5VU0QuSAEAAABLVQAAAwAAAAAANi3Ybizw3gihiISHLPDeCC1DSVEuTkFTREFROk1TRlQuSVFfR1AuMjAwMC4wMi8wOC8yMDI2Li4uVVNELkgBAAAAS1UAAAIAAAAGMjI1NDY1AQgAAAAFAAAAATEBAAAACy0xODgwMjI5MzIzAwAAAAMxNjACAAAAAjEwBAAAAAEwBwAAAAg4LzIvMjAyNggAAAAJNi8zMC8yMDI2CQAAAAEwNi3Ybizw3ggJsoSHLPDeCDZDSVEuTkFTREFROk1TRlQuSVFfSU5UX0lOVl9JTkMuMjAwMC4wMi8wOC8yMDI2Li4uVVNELkgBAAAAS1UAAAMAAAAAADYt2G4s8N4ICbKEhyzw3gg1Q0lRLk5BU0RBUTpNU0ZULklRX0ZJTl9ESVZfUkVWLjk5Mi4wMi8wOC8yMDI2Li4uVVNELkgBAAAAS1UAAAMAAAAAADYt2G4s8N4IoYiEhyzw3gg5Q0lRLk5BU0RBUTpNU0ZULklRX0dBSU5fQVNTRVRTX1JFVi45OTMuMDIvMDgvMjAyNi4uLlVTRC5IAQAAAEtVAAADAAAAAAA2LdhuLPDeCKGIhIcs8N4IOkNJUS5OQVNEQVE6TVNGVC5JUV9PVEhFUl9SRVZfU1VQUEwuMTAwMC4wMi8wOC8yMDI2Li4uVVNELkgBAAAAS1UAAAMAAAAAADYt2G4s8N4IEp2Ehyzw3gguQ0lRLk5BU0RBUTpNU0ZULklRX0NPR1MuOTkyLjAyLzA4LzIwMjYuLi5VU0QuSAEAAABLVQAAAgAAAAUzODM1MwEIAAAABQAAAAExAQAAAAoyMDQ3MjcxNzQ1AwAAAAMxNjACAAAAAjM0BAAAAAEwBwAAAAg4LzIvMjAyNggAAAAJ</t>
  </si>
  <si>
    <t>Ni8zMC8yMDE4CQAAAAEwNi3Ybizw3giVxoSHLPDeCDlDSVEuTkFTREFROk1TRlQuSVFfRklOX0RJVl9JTlRfRVhQLjk5OS4wMi8wOC8yMDI2Li4uVVNELkgBAAAAS1UAAAMAAAAAADYt2G4s8N4IlcaEhyzw3gg0Q0lRLk5BU0RBUTpNU0ZULklRX1NHQV9TVVBQTC4xMDAwLjAyLzA4LzIwMjYuLi5VU0QuSAEAAABLVQAAAgAAAAUzNDY2NgEIAAAABQAAAAExAQAAAAstMTg4MDIyOTY2NQMAAAADMTYwAgAAAAMxMDIEAAAAATAHAAAACDgvMi8yMDI2CAAAAAk2LzMwLzIwMjYJAAAAATA2LdhuLPDeCBKdhIcs8N4IOENJUS5OQVNEQVE6TVNGVC5JUV9QUk9WX0JBRF9ERUJUUy45OTMuMDIvMDgvMjAyNi4uLlVTRC5IAQAAAEtVAAADAAAAAAA2LdhuLPDeCBKdhIcs8N4IMENJUS5OQVNEQVE6TVNGVC5JUV9SRF9FWFAuOTk5LjAyLzA4LzIwMjYuLi5VU0QuSAEAAABLVQAAAgAAAAUzMjQ4OAEIAAAABQAAAAExAQAAAAstMTg4MDIyOTY4NgMAAAADMTYwAgAAAAMxMDAEAAAAATAHAAAACDgvMi8yMDI2CAAAAAk2LzMwLzIwMjUJAAAAATA2LdhuLPDeCBKdhIcs8N4IOUNJUS5OQVNEQVE6TVNGVC5JUV9HV19JTlRBTl9BTU9SVC4xMDAwLjAyLzA4LzIwMjYuLi5VU0QuSAEAAABLVQAAAwAAAAAANi3Ybizw3giVxoSHLPDeCDpDSVEuTkFTREFROk1TRlQuSVFfVE9UQUxfT1RIRVJfT1BFUi45OTguMDIvMDgvMjAyNi4u</t>
  </si>
  <si>
    <t>LlVTRC5IAQAAAEtVAAACAAAABTYxNTc1AQgAAAAFAAAAATEBAAAACy0xODgwMjI5Njk0AwAAAAMxNjACAAAAAzM4MAQAAAABMAcAAAAIOC8yLzIwMjYIAAAACTYvMzAvMjAyNAkAAAABMDYt2G4s8N4IlcaEhyzw3gg2Q0lRLk5BU0RBUTpNU0ZULklRX0lOVEVSRVNUX0VYUC45OTkuMDIvMDgvMjAyNi4uLlVTRC5IAQAAAEtVAAACAAAABS0yNDI1AQgAAAAFAAAAATEBAAAACy0xODgwMjI5Njg2AwAAAAMxNjACAAAAAjgyBAAAAAEwBwAAAAg4LzIvMjAyNggAAAAJNi8zMC8yMDI1CQAAAAEwNi3Ybizw3ggJsoSHLPDeCDtDSVEuTkFTREFROk1TRlQuSVFfTkVUX0lOVEVSRVNUX0VYUC4xMDAwLjAyLzA4LzIwMjYuLi5VU0QuSAEAAABLVQAAAgAAAAMyMjABCAAAAAUAAAABMQEAAAALLTE4ODAyMjk2NjUDAAAAAzE2MAIAAAADMzY4BAAAAAEwBwAAAAg4LzIvMjAyNggAAAAJNi8zMC8yMDI2CQAAAAEwNi3Ybizw3ggJsoSHLPDeCEJDSVEuTkFTREFROk1TRlQuSVFfT1RIRVJfTk9OX09QRVJfRVhQX1NVUFBMLjk5OC4wMi8wOC8yMDI2Li4uVVNELkgBAAAAS1UAAAIAAAAELTMyOQEIAAAABQAAAAExAQAAAAstMTg4MDIyOTY5NAMAAAADMTYwAgAAAAI4NQQAAAABMAcAAAAIOC8yLzIwMjYIAAAACTYvMzAvMjAyNAkAAAABMDYt2G4s8N4ICbKEhyzw3gg1Q0lRLk5BU0RBUTpNU0ZULklRX1JFU1RSVUNUVVJFLjk5</t>
  </si>
  <si>
    <t>OS4wMi8wOC8yMDI2Li4uVVNELkgBAAAAS1UAAAMAAAAAADYt2G4s8N4IuNqEhyzw3gg1Q0lRLk5BU0RBUTpNU0ZULklRX0dBSU5fSU5WRVNULjk5OC4wMi8wOC8yMDI2Li4uVVNELkgBAAAAS1UAAAIAAAAELTI5NQEIAAAABQAAAAExAQAAAAstMTg4MDIyOTY5NAMAAAADMTYwAgAAAAI2MgQAAAABMAcAAAAIOC8yLzIwMjYIAAAACTYvMzAvMjAyNAkAAAABMDYt2G4s8N4IuNqEhyzw3gguQ0lRLk5BU0RBUTpNU0ZULklRX0lQUkQuOTk5LjAyLzA4LzIwMjYuLi5VU0QuSAEAAABLVQAAAwAAAAAANi3Ybizw3giVxoSHLPDeCD1DSVEuTkFTREFROk1TRlQuSVFfT1RIRVJfVU5VU1VBTF9TVVBQTC45OTIuMDIvMDgvMjAyNi4uLlVTRC5IAQAAAEtVAAADAAAAAAA2LdhuLPDeCJXGhIcs8N4INENJUS5OQVNEQVE6TVNGVC5JUV9FQVJOSU5HX0NPLjk5NC4wMi8wOC8yMDI2Li4uVVNELkgBAAAAS1UAAAIAAAAFNDQyODEBCAAAAAUAAAABMQEAAAALLTIwODc0OTY2MjcDAAAAAzE2MAIAAAABNwQAAAABMAcAAAAIOC8yLzIwMjYIAAAACTYvMzAvMjAyMAkAAAABMDYt2G4s8N4IlcaEhyzw3gg0Q0lRLk5BU0RBUTpNU0ZULklRX05JX0NPTVBBTlkuOTk1LjAyLzA4LzIwMjYuLi5VU0QuSAEAAABLVQAAAgAAAAU2MTI3MQEIAAAABQAAAAExAQAAAAstMjAzNjg0Mzg0MwMAAAADMTYwAgAAAAU0MTU3MQQAAAABMAcAAAAI</t>
  </si>
  <si>
    <t>OC8yLzIwMjYIAAAACTYvMzAvMjAyMQkAAAABMDYt2G4s8N4Ihe6Ehyzw3gg4Q0lRLk5BU0RBUTpNU0ZULklRX1BSRUZfRElWX09USEVSLjk5Ni4wMi8wOC8yMDI2Li4uVVNELkgBAAAAS1UAAAMAAAAAADYt2G4s8N4Ihe6Ehyzw3gg4Q0lRLk5BU0RBUTpNU0ZULklRX0JBU0lDX0VQU19JTkNMLjk5OC4wMi8wOC8yMDI2Li4uVVNELkgBAAAAS1UAAAIAAAAJMTEuODYwNTg0AQgAAAAFAAAAATEBAAAACy0xODgwMjI5Njk0AwAAAAMxNjACAAAAATkEAAAAATAHAAAACDgvMi8yMDI2CAAAAAk2LzMwLzIwMjQJAAAAATA2LdhuLPDeCLjahIcs8N4IOENJUS5OQVNEQVE6TVNGVC5JUV9ESUxVVF9FUFNfRVhDTC45OTcuMDIvMDgvMjAyNi4uLlVTRC5IAQAAAEtVAAACAAAABDkuNjgBCAAAAAUAAAABMQEAAAALLTE5MzQyNTQyNTADAAAAAzE2MAIAAAADMTQyBAAAAAEwBwAAAAg4LzIvMjAyNggAAAAJNi8zMC8yMDIzCQAAAAEwNi3Ybizw3gi42oSHLPDeCE5DSVEuTkFTREFROk1TRlQuSVFfRElTVFJJQlVUQUJMRV9DQVNIX1BFUl9TSEFSRV9ESUxVVEVELjk5Ny4wMi8wOC8yMDI2Li4uVVNELkgBAAAAS1UAAAMAAAAAADYt2G4s8N4IuNqEhyzw3gg7Q0lRLk5BU0RBUTpNU0ZULklRX1NQRUNJQUxfRElWX1NIQVJFLjk5Ni4wMi8wOC8yMDI2Li4uVVNELkgBAAAAS1UAAAMAAAAAADYt2G4s8N4I5gKFhyzw3ghBQ0lR</t>
  </si>
  <si>
    <t>Lk5BU0RBUTpNU0ZULklRX0VCSVREQV9FUV9JTkNfRVhDTF9TQkMuMTAwMC4wMi8wOC8yMDI2Li4uVVNELkgBAAAAS1UAAAIAAAAGMjExMzY0AQgAAAAFAAAAATEBAAAACy0xODgwMjI5NjY1AwAAAAMxNjACAAAABTI0MTMxBAAAAAEwBwAAAAg4LzIvMjAyNggAAAAJNi8zMC8yMDI2CQAAAAEwNi3Ybizw3gjmAoWHLPDeCEFDSVEuTkFTREFROk1TRlQuSVFfTEVBU0VfQURKVVNUTUVOVF9FQklUREEuOTk5LjAyLzA4LzIwMjYuLi5VU0QuSAEAAABLVQAAAgAAAAQ1NTI0ADYt2G4s8N4IuNqEhyzw3gg+Q0lRLk5BU0RBUTpNU0ZULklRX0VCSVRfRVFfSU5DX0VYQ0xfU0JDLjk5My4wMi8wOC8yMDI2Li4uVVNELkgBAAAAS1UAAAIAAAAFNDc2MTEBCAAAAAUAAAABMQEAAAALLTIxNDA5ODE0NjkDAAAAAzE2MAIAAAAFMjQxMzAEAAAAATAHAAAACDgvMi8yMDI2CAAAAAk2LzMwLzIwMTkJAAAAATA2LdhuLPDeCIXuhIcs8N4IP0NJUS5OQVNEQVE6TVNGVC5JUV9FQklUQV9FUV9JTkNfRVhDTF9TQkMuOTkyLjAyLzA4LzIwMjYuLi5VU0QuSAEAAABLVQAAAgAAAAU0MTE5OAEIAAAABQAAAAExAQAAAAoyMDQ3MjcxNzQ1AwAAAAMxNjACAAAABTI0MTMyBAAAAAEwBwAAAAg4LzIvMjAyNggAAAAJNi8zMC8yMDE4CQAAAAEwNi3Ybizw3giF7oSHLPDeCEFDSVEuTkFTREFROk1TRlQuSVFfRUJJVERBUl9FUV9JTkNfRVhD</t>
  </si>
  <si>
    <t>TF9TQkMuOTk1LjAyLzA4LzIwMjYuLi5VU0QuSAEAAABLVQAAAgAAAAU4OTA2MQEIAAAABQAAAAExAQAAAAstMjAzNjg0Mzg0MwMAAAADMTYwAgAAAAUyNDEzMwQAAAABMAcAAAAIOC8yLzIwMjYIAAAACTYvMzAvMjAyMQkAAAABMDYt2G4s8N4ILheFhyzw3gg/Q0lRLk5BU0RBUTpNU0ZULklRX1RPVEFMX1JFVl9BU19SRVBPUlRFRC45OTguMDIvMDgvMjAyNi4uLlVTRC5IAQAAAEtVAAACAAAABjI0NTEyMgEIAAAABQAAAAExAQAAAAstMTg4MDIyOTY5NAMAAAADMTYwAgAAAAMzMzkEAAAAATAHAAAACDgvMi8yMDI2CAAAAAk2LzMwLzIwMjQJAAAAATA2LdhuLPDeCC4XhYcs8N4IOUNJUS5OQVNEQVE6TVNGVC5JUV9JTlRFUkVTVF9JTkNPTUUuOTk1LjAyLzA4LzIwMjYuLi5VU0QuSAEAAABLVQAAAgAAAAQyMTMxAQgAAAAFAAAAATEBAAAACy0yMDM2ODQzODQzAwAAAAMxNjACAAAAAzIxMAQAAAABMAcAAAAIOC8yLzIwMjYIAAAACTYvMzAvMjAyMQkAAAABMDYt2G4s8N4Ihe6Ehyzw3gg9Q0lRLk5BU0RBUTpNU0ZULklRX0NVUlJfRE9NRVNUSUNfVEFYRVMuOTk2LjAyLzA4LzIwMjYuLi5VU0QuSAEAAABLVQAAAgAAAAUxMDAwOAEIAAAABQAAAAExAQAAAAstMTk4NTkzMTIyNAMAAAADMTYwAgAAAAQzMDI3BAAAAAEwBwAAAAg4LzIvMjAyNggAAAAJNi8zMC8yMDIyCQAAAAEwNi3Ybizw3gjmAoWHLPDeCD5D</t>
  </si>
  <si>
    <t>SVEuTkFTREFROk1TRlQuSVFfREVGRVJSRURfVEFYRVNfVE9UQUwuOTk0LjAyLzA4LzIwMjYuLi5VU0QuSAEAAABLVQAAAgAAAAIxMQEIAAAABQAAAAExAQAAAAstMjA4NzQ5NjYyNwMAAAADMTYwAgAAAAUzNTM4NQQAAAABMAcAAAAIOC8yLzIwMjYIAAAACTYvMzAvMjAyMAkAAAABMDYt2G4s8N4I5gKFhyzw3gg2Q0lRLk5BU0RBUTpNU0ZULklRX0lOVF9FWFBfTFRELjEwMDAuMDIvMDgvMjAyNi4uLlVTRC5IAQAAAEtVAAACAAAABDI1NDcBCAAAAAUAAAABMQEAAAALLTE4ODAyMjk2NjUDAAAAAzE2MAIAAAAEMzEwMQQAAAABMAcAAAAIOC8yLzIwMjYIAAAACTYvMzAvMjAyNgkAAAABMDYt2G4s8N4ILheFhyzw3gg8Q0lRLk5BU0RBUTpNU0ZULklRX0RJU1RSSUJVVEFCTEVfQ0FTSC45OTkuMDIvMDgvMjAyNi4uLlVTRC5IAQAAAEtVAAADAAAAAAA2LdhuLPDeCC4XhYcs8N4ILUNJUS5OQVNEQVE6TVNGVC5JUV9ESUMuOTk2LjAyLzA4LzIwMjYuLi5VU0QuSAEAAABLVQAAAwAAAAAANi3Ybizw3gjmAoWHLPDeCDtDSVEuTkFTREFROk1TRlQuSVFfTkVUX1JFTlRBTF9FWFBfRk4uOTk1LjAyLzA4LzIwMjYuLi5VU0QuSAEAAABLVQAAAgAAAAQyMTI3AQgAAAAFAAAAATEBAAAACy0yMDM2ODQzODQzAwAAAAMxNjACAAAABDMxNzAEAAAAATAHAAAACDgvMi8yMDI2CAAAAAk2LzMwLzIwMjEJAAAAATA2LdhuLPDe</t>
  </si>
  <si>
    <t>COYChYcs8N4INkNJUS5OQVNEQVE6TVNGVC5JUV9PVEhFUl9SRU5UQUwuOTk1LjAyLzA4LzIwMjYuLi5VU0QuSAEAAABLVQAAAwAAAAAANi3Ybizw3gguF4WHLPDeCEJDSVEuTkFTREFROk1TRlQuSVFfSU1QVVRfT1BFUl9MRUFTRV9JTlRfRVhQLjk5Ni4wMi8wOC8yMDI2Li4uVVNELkgBAAAAS1UAAAIAAAAKNTAxLjYzMDU1MgEIAAAABQAAAAExAQAAAAstMTk4NTkzMTIyNAMAAAADMTYwAgAAAAUyMTY3MgQAAAABMAcAAAAIOC8yLzIwMjYIAAAACTYvMzAvMjAyMgkAAAABMDYt2G4s8N4IZT6Fhyzw3ghAQ0lRLk5BU0RBUTpNU0ZULklRX0FTU0VUX1dSSVRFRE9XTl9TVVBQTEUuOTkyLjAyLzA4LzIwMjYuLi5VU0QuSAEAAABLVQAAAwAAAAAANi3Ybizw3ghlPoWHLPDeCD5DSVEuTkFTREFROk1TRlQuSVFfTkVHQVRJVkVfR1dfQU1PUlRfQVQuOTkyLjAyLzA4LzIwMjYuLi5VU0QuSAEAAABLVQAAAwAAAAAANi3Ybizw3gguF4WHLPDeCEFDSVEuTkFTREFROk1TRlQuSVFfUkVTVFJfU1RPQ0tfQ09NUF9QUkVUQVguOTkyLjAyLzA4LzIwMjYuLi5VU0QuSAEAAABLVQAAAwAAAAAANi3Ybizw3gguF4WHLPDeCDVDSVEuTkFTREFROk1TRlQuSVFfT0lMX0lNUEFJUi4xMDAwLjAyLzA4LzIwMjYuLi5VU0QuSAEAAABLVQAAAwAAAAAANi3Ybizw3gguF4WHLPDeCEZDSVEuTkFTREFROk1TRlQuSVFfQ0hBTkdFX09U</t>
  </si>
  <si>
    <t>SEVSX05FVF9PUEVSX0FTU0VUUy45OTIuMDIvMDgvMjAyNi4uLlVTRC5IAQAAAEtVAAACAAAABC00NTkBCAAAAAUAAAABMQEAAAAKMjA0NzI3MTc0NQMAAAADMTYwAgAAAAQyMDQ1BAAAAAEwBwAAAAg4LzIvMjAyNggAAAAJNi8zMC8yMDE4CQAAAAEwNi3Ybizw3ghlPoWHLPDeCDhDSVEuTkFTREFROk1TRlQuSVFfTFRfREVCVF9SRVBBSUQuOTkwLjAyLzA4LzIwMjYuLi5VU0QuSAEAAABLVQAAAgAAAAUtMjc5NgEIAAAABQAAAAExAQAAAAoxODk4NDg5NDcwAwAAAAMxNjACAAAABDIwMzYEAAAAATAHAAAACDgvMi8yMDI2CAAAAAk2LzMwLzIwMTYJAAAAATA2LdhuLPDeCGU+hYcs8N4IOENJUS5OQVNEQVE6TVNGVC5JUV9TQUxFX0lOVEFOX0NGLjIwMDAuMDIvMDgvMjAyNi4uLlVTRC5IAQAAAEtVAAADAAAAAAA2LdhuLPDeCC4XhYcs8N4IR0NJUS5OQVNEQVE6TVNGVC5JUV9DSEFOR0VfT1RIRVJfTkVUX09QRVJfQVNTRVRTLjIwMDAuMDIvMDgvMjAyNi4uLlVTRC5IAQAAAEtVAAACAAAABS00NDUxAQgAAAAFAAAAATEBAAAACy0xODgwMjI5MzIzAwAAAAMxNjACAAAABDIwNDUEAAAAATAHAAAACDgvMi8yMDI2CAAAAAk2LzMwLzIwMjYJAAAAATA2LdhuLPDeCC4XhYcs8N4IQENJUS5OQVNEQVE6TVNGVC5JUV9DSEFOR0VfVFJBRElOR19BU1NFVFMuMjAwMC4wMi8wOC8yMDI2Li4uVVNELkgBAAAAS1UAAAMA</t>
  </si>
  <si>
    <t>AAAAADYt2G4s8N4ILheFhyzw3gg4Q0lRLk5BU0RBUTpNU0ZULklRX0NSRURJVF9MT1NTX0NGLjk5MS4wMi8wOC8yMDI2Li4uVVNELkgBAAAAS1UAAAMAAAAAADYt2G4s8N4Ie2WFhyzw3ggvQ0lRLk5BU0RBUTpNU0ZULklRX0RBX0NGLjk5MS4wMi8wOC8yMDI2Li4uVVNELkgBAAAAS1UAAAIAAAAENzgwMAEIAAAABQAAAAExAQAAAAoxOTczMzgwOTUxAwAAAAMxNjACAAAABDIxNjAEAAAAATAHAAAACDgvMi8yMDI2CAAAAAk2LzMwLzIwMTcJAAAAATA2LdhuLPDeCHtlhYcs8N4IQUNJUS5OQVNEQVE6TVNGVC5JUV9TVE9DS19CQVNFRF9DT01QX1BSRVRBWC45OTEuMDIvMDgvMjAyNi4uLlVTRC5IAQAAAEtVAAACAAAABDMyNjYANi3Ybizw3ghlPoWHLPDeCDhDSVEuTkFTREFROk1TRlQuSVFfU1RPQ0tfQkFTRURfQVQuOTkwLjAyLzA4LzIwMjYuLi5VU0QuSAEAAABLVQAAAwAAAAAANi3Ybizw3ghlPoWHLPDeCDpDSVEuTkFTREFROk1TRlQuSVFfU1RPQ0tfQkFTRURfQ09HUy45OTAuMDIvMDgvMjAyNi4uLlVTRC5IAQAAAEtVAAADAAAAAAA2LdhuLPDeCGU+hYcs8N4IQUNJUS5OQVNEQVE6TVNGVC5JUV9HQUlOX0JBUkdBSU5fQUNRX1NVUFBMRS45OTEuMDIvMDgvMjAyNi4uLlVTRC5IAQAAAEtVAAADAAAAAAA2LdhuLPDeCJmMhYcs8N4IQ0NJUS5OQVNEQVE6TVNGVC5JUV9JTVBVVF9PUEVSX0xFQVNFX0lO</t>
  </si>
  <si>
    <t>VF9FWFAuMjAwMC4wMi8wOC8yMDI2Li4uVVNELkgBAAAAS1UAAAIAAAALMTQyNS4yNjI1OTIBCAAAAAUAAAABMQEAAAALLTE4ODAyMjkzMjMDAAAAAzE2MAIAAAAFMjE2NzIEAAAAATAHAAAACDgvMi8yMDI2CAAAAAk2LzMwLzIwMjYJAAAAATA2LdhuLPDeCJmMhYcs8N4IOENJUS5OQVNEQVE6TVNGVC5JUV9NSU5JTVVNX1JFTlRBTC45OTAuMDIvMDgvMjAyNi4uLlVTRC5IAQAAAEtVAAADAAAAAAA2LdhuLPDeCGU+hYcs8N4IOUNJUS5OQVNEQVE6TVNGVC5JUV9TQUxFU19NQVJLRVRJTkcuOTkxLjAyLzA4LzIwMjYuLi5VU0QuSAEAAABLVQAAAgAAAAUxNTQ2MQEIAAAABQAAAAExAQAAAAoxOTczMzgwOTUxAwAAAAMxNjACAAAABTIxNTYxBAAAAAEwBwAAAAg4LzIvMjAyNggAAAAJNi8zMC8yMDE3CQAAAAEwNi3Ybizw3gh7ZYWHLPDeCDNDSVEuTkFTREFROk1TRlQuSVFfREFfRUJJVERBLjk5MS4wMi8wOC8yMDI2Li4uVVNELkgBAAAAS1UAAAIAAAAENzgwMAEIAAAABQAAAAExAQAAAAoxOTczMzgwOTUxAwAAAAMxNjACAAAABDIyMDYEAAAAATAHAAAACDgvMi8yMDI2CAAAAAk2LzMwLzIwMTcJAAAAATA2LdhuLPDeCHtlhYcs8N4IMUNJUS5OQVNEQVE6TVNGVC5JUV9OSV9OT1JNLjk5MS4wMi8wOC8yMDI2Li4uVVNELkgBAAAAS1UAAAIAAAAIMTczODYuMjUBCAAAAAUAAAABMQEAAAAKMTk3MzM4MDk1MQMA</t>
  </si>
  <si>
    <t>AAADMTYwAgAAAAQ0Mzc4BAAAAAEwBwAAAAg4LzIvMjAyNggAAAAJNi8zMC8yMDE3CQAAAAEwNi3Ybizw3giooYWHLPDeCD1DSVEuTkFTREFROk1TRlQuSVFfQ1VSUl9ET01FU1RJQ19UQVhFUy45OTEuMDIvMDgvMjAyNi4uLlVTRC5IAQAAAEtVAAACAAAABDI3NjkBCAAAAAUAAAABMQEAAAAKMTk3MzM4MDk1MQMAAAADMTYwAgAAAAQzMDI3BAAAAAEwBwAAAAg4LzIvMjAyNggAAAAJNi8zMC8yMDE3CQAAAAEwNi3Ybizw3giooYWHLPDeCDxDSVEuTkFTREFROk1TRlQuSVFfQVNfUkVQT1JURURfRUJJVERBLjk5MC4wMi8wOC8yMDI2Li4uVVNELkgBAAAAS1UAAAMAAAAAADYt2G4s8N4Ie2WFhyzw3gg5Q0lRLk5BU0RBUTpNU0ZULklRX0VCSVRBX0VYQ0xfU0JDLjIwMDAuMDIvMDgvMjAyNi4uLlVTRC5IAQAAAEtVAAACAAAABjE3MjM0MgEIAAAABQAAAAExAQAAAAstMTg4MDIyOTMyMwMAAAADMTYwAgAAAAUyNDEzNgQAAAABMAcAAAAIOC8yLzIwMjYIAAAACTYvMzAvMjAyNgkAAAABMDYt2G4s8N4Ie2WFhyzw3ggvQ0lRLk5BU0RBUTpNU0ZULklRX0VCSVQuMjAwMC4wMi8wOC8yMDI2Li4uVVNELkgBAAAAS1UAAAIAAAAGMTU1MjM3AQgAAAAFAAAAATEBAAAACy0xODgwMjI5MzIzAwAAAAMxNjACAAAAAzQwMAQAAAABMAcAAAAIOC8yLzIwMjYIAAAACTYvMzAvMjAyNgkAAAABMDYt2G4s8N4ImYyFhyzw3ggw</t>
  </si>
  <si>
    <t>Q0lRLk5BU0RBUTpNU0ZULklRX0VCSVREQS45OTEuMDIvMDgvMjAyNi4uLlVTRC5IAQAAAEtVAAACAAAABTM3MTMxAQgAAAAFAAAAATEBAAAACjE5NzMzODA5NTEDAAAAAzE2MAIAAAAENDA1MQQAAAABMAcAAAAIOC8yLzIwMjYIAAAACTYvMzAvMjAxNwkAAAABMDYt2G4s8N4IfraFhyzw3ggyQ0lRLk5BU0RBUTpNU0ZULklRX0VQU19OT1JNLjk5MS4wMi8wOC8yMDI2Li4uVVNELkgBAAAAS1UAAAIAAAAIMi4yNDQ1NDUBCAAAAAUAAAABMQEAAAAKMTk3MzM4MDk1MQMAAAADMTYwAgAAAAQ0Mzc5BAAAAAEwBwAAAAg4LzIvMjAyNggAAAAJNi8zMC8yMDE3CQAAAAEwNi3Ybizw3gh+toWHLPDeCDhDSVEuTkFTREFROk1TRlQuSVFfUFJFRl9ESVZfT1RIRVIuOTkxLjAyLzA4LzIwMjYuLi5VU0QuSAEAAABLVQAAAwAAAAAANi3Ybizw3giZjIWHLPDeCD5DSVEuTkFTREFROk1TRlQuSVFfT1RIRVJfVU5VU1VBTF9TVVBQTC4yMDAwLjAyLzA4LzIwMjYuLi5VU0QuSAEAAABLVQAAAwAAAAAANi3Ybizw3giooYWHLPDeCDVDSVEuTkFTREFROk1TRlQuSVFfR0FJTl9JTlZFU1QuOTkwLjAyLzA4LzIwMjYuLi5VU0QuSAEAAABLVQAAAgAAAAM2MzcBCAAAAAUAAAABMQEAAAAKMTg5ODQ4OTQ3MAMAAAADMTYwAgAAAAI2MgQAAAABMAcAAAAIOC8yLzIwMjYIAAAACTYvMzAvMjAxNgkAAAABMDYt2G4s8N4IqKGFhyzw3gg0</t>
  </si>
  <si>
    <t>Q0lRLk5BU0RBUTpNU0ZULklRX0lOQ19FUVVJVFkuOTkxLjAyLzA4LzIwMjYuLi5VU0QuSAEAAABLVQAAAwAAAAAANi3Ybizw3ggNy4WHLPDeCDNDSVEuTkFTREFROk1TRlQuSVFfREFfU1VQUEwuMjAwMC4wMi8wOC8yMDI2Li4uVVNELkgBAAAAS1UAAAMAAAAAADYt2G4s8N4IDcuFhyzw3ggzQ0lRLk5BU0RBUTpNU0ZULklRX1NHQV9TVVBQTC45OTAuMDIvMDgvMjAyNi4uLlVTRC5IAQAAAEtVAAACAAAABTE5MTk4AQgAAAAFAAAAATEBAAAACjE4OTg0ODk0NzADAAAAAzE2MAIAAAADMTAyBAAAAAEwBwAAAAg4LzIvMjAyNggAAAAJNi8zMC8yMDE2CQAAAAEwNi3Ybizw3giooYWHLPDeCDlDSVEuTkFTREFROk1TRlQuSVFfT1RIRVJfUkVWX1NVUFBMLjk5MC4wMi8wOC8yMDI2Li4uVVNELkgBAAAAS1UAAAMAAAAAADYt2G4s8N4IfraFhyzw3gg1Q0lRLk5BU0RBUTpNU0ZULklRX0ZJTl9ESVZfUkVWLjk5My4wMi8wOC8yMDI2Li4uVVNELkgBAAAAS1UAAAMAAAAAADYt2G4s8N4IfraFhyzw3gg5Q0lRLk5BU0RBUTpNU0ZULklRX0dBSU5fSU5WRVNUX1JFVi45OTkuMDIvMDgvMjAyNi4uLlVTRC5IAQAAAEtVAAADAAAAAAA2LdhuLPDeCGHfhYcs8N4IOUNJUS5OQVNEQVE6TVNGVC5JUV9PVEhFUl9SRVZfU1VQUEwuOTkyLjAyLzA4LzIwMjYuLi5VU0QuSAEAAABLVQAAAwAAAAAANi3Ybizw3ghh34WHLPDeCC5D</t>
  </si>
  <si>
    <t>SVEuTkFTREFROk1TRlQuSVFfQ09HUy45OTMuMDIvMDgvMjAyNi4uLlVTRC5IAQAAAEtVAAACAAAABTQyOTEwAQgAAAAFAAAAATEBAAAACy0yMTQwOTgxNDY5AwAAAAMxNjACAAAAAjM0BAAAAAEwBwAAAAg4LzIvMjAyNggAAAAJNi8zMC8yMDE5CQAAAAEwjvPwbizw3gh+toWHLPDeCDpDSVEuTkFTREFROk1TRlQuSVFfRklOX0RJVl9JTlRfRVhQLjEwMDAuMDIvMDgvMjAyNi4uLlVTRC5IAQAAAEtVAAADAAAAAACO8/BuLPDeCA3LhYcs8N4IM0NJUS5OQVNEQVE6TVNGVC5JUV9TR0FfU1VQUEwuOTkyLjAyLzA4LzIwMjYuLi5VU0QuSAEAAABLVQAAAgAAAAUyMjIyMwEIAAAABQAAAAExAQAAAAoyMDQ3MjcxNzQ1AwAAAAMxNjACAAAAAzEwMgQAAAABMAcAAAAIOC8yLzIwMjYIAAAACTYvMzAvMjAxOAkAAAABMI7z8G4s8N4IDcuFhyzw3gg1Q0lRLk5BU0RBUTpNU0ZULklRX1NUT0NLX0JBU0VELjk5OS4wMi8wOC8yMDI2Li4uVVNELkgBAAAAS1UAAAMAAAAAAI7z8G4s8N4I0fOFhyzw3ggxQ0lRLk5BU0RBUTpNU0ZULklRX1JEX0VYUC4xMDAwLjAyLzA4LzIwMjYuLi5VU0QuSAEAAABLVQAAAgAAAAUzNTU2MgEIAAAABQAAAAExAQAAAAstMTg4MDIyOTY2NQMAAAADMTYwAgAAAAMxMDAEAAAAATAHAAAACDgvMi8yMDI2CAAAAAk2LzMwLzIwMjYJAAAAATCO8/BuLPDeCMEHhocs8N4IOENJUS5OQVNEQVE6TVNG</t>
  </si>
  <si>
    <t>VC5JUV9HV19JTlRBTl9BTU9SVC45OTMuMDIvMDgvMjAyNi4uLlVTRC5IAQAAAEtVAAADAAAAAACO8/BuLPDeCA3LhYcs8N4IOkNJUS5OQVNEQVE6TVNGVC5JUV9UT1RBTF9PVEhFUl9PUEVSLjk5OS4wMi8wOC8yMDI2Li4uVVNELkgBAAAAS1UAAAIAAAAFNjUzNjUBCAAAAAUAAAABMQEAAAALLTE4ODAyMjk2ODYDAAAAAzE2MAIAAAADMzgwBAAAAAEwBwAAAAg4LzIvMjAyNggAAAAJNi8zMC8yMDI1CQAAAAEwjvPwbizw3ghh34WHLPDeCDdDSVEuTkFTREFROk1TRlQuSVFfSU5URVJFU1RfRVhQLjEwMDAuMDIvMDgvMjAyNi4uLlVTRC5IAQAAAEtVAAACAAAABS0zMDgxAQgAAAAFAAAAATEBAAAACy0xODgwMjI5NjY1AwAAAAMxNjACAAAAAjgyBAAAAAEwBwAAAAg4LzIvMjAyNggAAAAJNi8zMC8yMDI2CQAAAAEwjvPwbizw3ghh34WHLPDeCDRDSVEuTkFTREFROk1TRlQuSVFfSU5DX0VRVUlUWS45OTguMDIvMDgvMjAyNi4uLlVTRC5IAQAAAEtVAAACAAAABS0xMzE5AQgAAAAFAAAAATEBAAAACy0xODgwMjI5Njk0AwAAAAMxNjACAAAAAjQ3BAAAAAEwBwAAAAg4LzIvMjAyNggAAAAJNi8zMC8yMDI0CQAAAAEwjvPwbizw3gjBB4aHLPDeCEJDSVEuTkFTREFROk1TRlQuSVFfT1RIRVJfTk9OX09QRVJfRVhQX1NVUFBMLjk5OS4wMi8wOC8yMDI2Li4uVVNELkgBAAAAS1UAAAIAAAADOTg0AQgAAAAFAAAAATEB</t>
  </si>
  <si>
    <t>AAAACy0xODgwMjI5Njg2AwAAAAMxNjACAAAAAjg1BAAAAAEwBwAAAAg4LzIvMjAyNggAAAAJNi8zMC8yMDI1CQAAAAEwjvPwbizw3gjQG4aHLPDeCDZDSVEuTkFTREFROk1TRlQuSVFfUkVTVFJVQ1RVUkUuMTAwMC4wMi8wOC8yMDI2Li4uVVNELkgBAAAAS1UAAAMAAAAAAI7z8G4s8N4I0fOFhyzw3gg1Q0lRLk5BU0RBUTpNU0ZULklRX0dBSU5fSU5WRVNULjk5OS4wMi8wOC8yMDI2Li4uVVNELkgBAAAAS1UAAAIAAAAELTYxNQEIAAAABQAAAAExAQAAAAstMTg4MDIyOTY4NgMAAAADMTYwAgAAAAI2MgQAAAABMAcAAAAIOC8yLzIwMjYIAAAACTYvMzAvMjAyNQkAAAABMI7z8G4s8N4I0fOFhyzw3ggvQ0lRLk5BU0RBUTpNU0ZULklRX0lQUkQuMTAwMC4wMi8wOC8yMDI2Li4uVVNELkgBAAAAS1UAAAMAAAAAAI7z8G4s8N4I0fOFhyzw3gg9Q0lRLk5BU0RBUTpNU0ZULklRX09USEVSX1VOVVNVQUxfU1VQUEwuOTkzLjAyLzA4LzIwMjYuLi5VU0QuSAEAAABLVQAAAwAAAAAAjvPwbizw3gjQG4aHLPDeCDRDSVEuTkFTREFROk1TRlQuSVFfRUFSTklOR19DTy45OTUuMDIvMDgvMjAyNi4uLlVTRC5IAQAAAEtVAAACAAAABTYxMjcxAQgAAAAFAAAAATEBAAAACy0yMDM2ODQzODQzAwAAAAMxNjACAAAAATcEAAAAATAHAAAACDgvMi8yMDI2CAAAAAk2LzMwLzIwMjEJAAAAATCO8/BuLPDeCEswhocs8N4INENJUS5O</t>
  </si>
  <si>
    <t>QVNEQVE6TVNGVC5JUV9OSV9DT01QQU5ZLjk5Ni4wMi8wOC8yMDI2Li4uVVNELkgBAAAAS1UAAAIAAAAFNzI3MzgBCAAAAAUAAAABMQEAAAALLTE5ODU5MzEyMjQDAAAAAzE2MAIAAAAFNDE1NzEEAAAAATAHAAAACDgvMi8yMDI2CAAAAAk2LzMwLzIwMjIJAAAAATCO8/BuLPDeCMEHhocs8N4IOENJUS5OQVNEQVE6TVNGVC5JUV9QUkVGX0RJVl9PVEhFUi45OTcuMDIvMDgvMjAyNi4uLlVTRC5IAQAAAEtVAAADAAAAAACO8/BuLPDeCMEHhocs8N4IOENJUS5OQVNEQVE6TVNGVC5JUV9CQVNJQ19FUFNfSU5DTC45OTkuMDIvMDgvMjAyNi4uLlVTRC5IAQAAAEtVAAACAAAACTEzLjY5OTk4NgEIAAAABQAAAAExAQAAAAstMTg4MDIyOTY4NgMAAAADMTYwAgAAAAE5BAAAAAEwBwAAAAg4LzIvMjAyNggAAAAJNi8zMC8yMDI1CQAAAAEwjvPwbizw3gjBB4aHLPDeCDhDSVEuTkFTREFROk1TRlQuSVFfRElMVVRfRVBTX0VYQ0wuOTk4LjAyLzA4LzIwMjYuLi5VU0QuSAEAAABLVQAAAgAAAAQxMS44AQgAAAAFAAAAATEBAAAACy0xODgwMjI5Njk0AwAAAAMxNjACAAAAAzE0MgQAAAABMAcAAAAIOC8yLzIwMjYIAAAACTYvMzAvMjAyNAkAAAABMI7z8G4s8N4ISzCGhyzw3ghOQ0lRLk5BU0RBUTpNU0ZULklRX0RJU1RSSUJVVEFCTEVfQ0FTSF9QRVJfU0hBUkVfRElMVVRFRC45OTguMDIvMDgvMjAyNi4uLlVTRC5IAQAA</t>
  </si>
  <si>
    <t>AEtVAAADAAAAAACO8/BuLPDeCItEhocs8N4IQkNJUS5OQVNEQVE6TVNGVC5JUV9ESVNUUklCVVRBQkxFX0NBU0hfU0hBUkUuOTk5LjAyLzA4LzIwMjYuLi5VU0QuSAEAAABLVQAAAwAAAAAAjvPwbizw3gjQG4aHLPDeCEBDSVEuTkFTREFROk1TRlQuSVFfRUJJVERBX0VRX0lOQ19FWENMX1NCQy45OTIuMDIvMDgvMjAyNi4uLlVTRC5IAQAAAEtVAAACAAAABTQ4ODk4AQgAAAAFAAAAATEBAAAACjIwNDcyNzE3NDUDAAAAAzE2MAIAAAAFMjQxMzEEAAAAATAHAAAACDgvMi8yMDI2CAAAAAk2LzMwLzIwMTgJAAAAATCO8/BuLPDeCNAbhocs8N4IQkNJUS5OQVNEQVE6TVNGVC5JUV9MRUFTRV9BREpVU1RNRU5UX0VCSVREQS4xMDAwLjAyLzA4LzIwMjYuLi5VU0QuSAEAAABLVQAAAgAAAAQ2OTY4AI7z8G4s8N4I0BuGhyzw3gg3Q0lRLk5BU0RBUTpNU0ZULklRX0VCSVRfRVhDTF9TQkMuOTkyLjAyLzA4LzIwMjYuLi5VU0QuSAEAAABLVQAAAgAAAAUzODk5OAEIAAAABQAAAAExAQAAAAoyMDQ3MjcxNzQ1AwAAAAMxNjACAAAABTI0MTM0BAAAAAEwBwAAAAg4LzIvMjAyNggAAAAJNi8zMC8yMDE4CQAAAAEwjvPwbizw3giLRIaHLPDeCDhDSVEuTkFTREFROk1TRlQuSVFfRUJJVEFfRVhDTF9TQkMuOTk2LjAyLzA4LzIwMjYuLi5VU0QuSAEAAABLVQAAAgAAAAU5Mjg4NQEIAAAABQAAAAExAQAAAAstMTk4NTkzMTIy</t>
  </si>
  <si>
    <t>NAMAAAADMTYwAgAAAAUyNDEzNgQAAAABMAcAAAAIOC8yLzIwMjYIAAAACTYvMzAvMjAyMgkAAAABMI7z8G4s8N4I4ViGhyzw3gg6Q0lRLk5BU0RBUTpNU0ZULklRX0VCSVREQVJfRVhDTF9TQkMuOTkzLjAyLzA4LzIwMjYuLi5VU0QuSAEAAABLVQAAAgAAAAU2MDkxOAEIAAAABQAAAAExAQAAAAstMjE0MDk4MTQ2OQMAAAADMTYwAgAAAAUyNDEzNwQAAAABMAcAAAAIOC8yLzIwMjYIAAAACTYvMzAvMjAxOQkAAAABMI7z8G4s8N4ISzCGhyzw3gg8Q0lRLk5BU0RBUTpNU0ZULklRX0FTX1JFUE9SVEVEX0VCSVREQS45OTcuMDIvMDgvMjAyNi4uLlVTRC5IAQAAAEtVAAADAAAAAACO8/BuLPDeCEswhocs8N4IO0NJUS5OQVNEQVE6TVNGVC5JUV9JTlZFU1RNRU5UX0lOQ09NRS45OTQuMDIvMDgvMjAyNi4uLlVTRC5IAQAAAEtVAAADAAAAAACO8/BuLPDeCEswhocs8N4IPENJUS5OQVNEQVE6TVNGVC5JUV9DVVJSX0ZPUkVJR05fVEFYRVMuOTkyLjAyLzA4LzIwMjYuLi5VU0QuSAEAAABLVQAAAgAAAAQ0MzQ4AQgAAAAFAAAAATEBAAAACjIwNDcyNzE3NDUDAAAAAzE2MAIAAAAEMzAzMAQAAAABMAcAAAAIOC8yLzIwMjYIAAAACTYvMzAvMjAxOAkAAAABMI7z8G4s8N4I0GyGhyzw3gg+Q0lRLk5BU0RBUTpNU0ZULklRX0RFRkVSUkVEX1RBWEVTX1RPVEFMLjk5NS4wMi8wOC8yMDI2Li4uVVNELkgBAAAAS1UAAAIA</t>
  </si>
  <si>
    <t>AAAELTE1MAEIAAAABQAAAAExAQAAAAstMjAzNjg0Mzg0MwMAAAADMTYwAgAAAAUzNTM4NQQAAAABMAcAAAAIOC8yLzIwMjYIAAAACTYvMzAvMjAyMQkAAAABMI7z8G4s8N4I0GyGhyzw3gg1Q0lRLk5BU0RBUTpNU0ZULklRX0lOVF9FWFBfTFRELjk5NC4wMi8wOC8yMDI2Li4uVVNELkgBAAAAS1UAAAIAAAADMzM2AQgAAAAFAAAAATEBAAAACy0yMDg3NDk2NjI3AwAAAAMxNjACAAAABDMxMDEEAAAAATAHAAAACDgvMi8yMDI2CAAAAAk2LzMwLzIwMjAJAAAAATCO8/BuLPDeCItEhocs8N4IPUNJUS5OQVNEQVE6TVNGVC5JUV9ESVNUUklCVVRBQkxFX0NBU0guMTAwMC4wMi8wOC8yMDI2Li4uVVNELkgBAAAAS1UAAAMAAAAAAI7z8G4s8N4Ii0SGhyzw3gg1Q0lRLk5BU0RBUTpNU0ZULklRX0FEVkVSVElTSU5HLjk5Ni4wMi8wOC8yMDI2Li4uVVNELkgBAAAAS1UAAAIAAAAEMTUwMAEIAAAABQAAAAExAQAAAAstMTk4NTkzMTIyNAMAAAADMTYwAgAAAAQzMDEzBAAAAAEwBwAAAAg4LzIvMjAyNggAAAAJNi8zMC8yMDIyCQAAAAEwjvPwbizw3giLRIaHLPDeCDNDSVEuTkFTREFROk1TRlQuSVFfUkRfRVhQX0ZOLjk5OC4wMi8wOC8yMDI2Li4uVVNELkgBAAAAS1UAAAIAAAAFMjk1MTABCAAAAAUAAAABMQEAAAALLTE4ODAyMjk2OTQDAAAAAzE2MAIAAAAEMzE2OAQAAAABMAcAAAAIOC8yLzIwMjYIAAAACTYvMzAv</t>
  </si>
  <si>
    <t>MjAyNAkAAAABMI7z8G4s8N4IAoGGhyzw3gg4Q0lRLk5BU0RBUTpNU0ZULklRX01JTklNVU1fUkVOVEFMLjk5OC4wMi8wOC8yMDI2Li4uVVNELkgBAAAAS1UAAAMAAAAAAI7z8G4s8N4IAoGGhyzw3ghCQ0lRLk5BU0RBUTpNU0ZULklRX0lNUFVUX09QRVJfTEVBU0VfSU5UX0VYUC45OTguMDIvMDgvMjAyNi4uLlVTRC5IAQAAAEtVAAACAAAABzk1Ny4wMDYBCAAAAAUAAAABMQEAAAALLTE4ODAyMjk2OTQDAAAAAzE2MAIAAAAFMjE2NzIEAAAAATAHAAAACDgvMi8yMDI2CAAAAAk2LzMwLzIwMjQJAAAAATCO8/BuLPDeCOFYhocs8N4IQENJUS5OQVNEQVE6TVNGVC5JUV9BU1NFVF9XUklURURPV05fU1VQUExFLjk5NC4wMi8wOC8yMDI2Li4uVVNELkgBAAAAS1UAAAMAAAAAAI7z8G4s8N4I4ViGhyzw3gg+Q0lRLk5BU0RBUTpNU0ZULklRX05FR0FUSVZFX0dXX0FNT1JUX0FULjk5NC4wMi8wOC8yMDI2Li4uVVNELkgBAAAAS1UAAAMAAAAAAI7z8G4s8N4I0GyGhyzw3ghBQ0lRLk5BU0RBUTpNU0ZULklRX1JFU1RSX1NUT0NLX0NPTVBfUFJFVEFYLjk5OS4wMi8wOC8yMDI2Li4uVVNELkgBAAAAS1UAAAMAAAAAAI7z8G4s8N4IAoGGhyzw3gg0Q0lRLk5BU0RBUTpNU0ZULklRX09JTF9JTVBBSVIuOTk4LjAyLzA4LzIwMjYuLi5VU0QuSAEAAABLVQAAAwAAAAAAjvPwbizw3ggCgYaHLPDeCDVDSVEuTkFTREFROk1T</t>
  </si>
  <si>
    <t>RlQuSVFfU0FMRV9QUEVfQ0YuOTk2LjAyLzA4LzIwMjYuLi5VU0QuSAEAAABLVQAAAwAAAAAAjvPwbizw3ggCgYaHLPDeCCtDSVEuTkFTREFROk1TRlQuSVFfRUJJVF9JTlQuMjAwMC4wMi8wOC8yMDI2AQAAAEtVAAACAAAACTUwLjM4NTI2NAEIAAAABQAAAAExAQAAAAstMTg4MDIyOTMyMwMAAAADMTYwAgAAAAQ0MTg5BAAAAAEwBwAAAAg4LzIvMjAyNggAAAAJNi8zMC8yMDI2CQAAAAEwjvPwbizw3ght9uKHLPDeCDNDSVEuTkFTREFROk1TRlQuSVFfREFZU19QQVlBQkxFX09VVC4yMDAwLjAyLzA4LzIwMjYBAAAAS1UAAAIAAAAKMTE5LjgxODE4NQEIAAAABQAAAAExAQAAAAstMTg4MDIyOTMyMwMAAAADMTYwAgAAAAQ0MTgzBAAAAAEwBwAAAAg4LzIvMjAyNggAAAAJNi8zMC8yMDI2CQAAAAEwjvPwbizw3ght9uKHLPDeCCpDSVEuTkFTREFROk1TRlQuSVFfQVJfVFVSTlMuOTkxLjAyLzA4LzIwMjYBAAAAS1UAAAIAAAAINC43NDQ1NzEBCAAAAAUAAAABMQEAAAAKMTk3MzM4MDk1MQMAAAADMTYwAgAAAAQ0MDAxBAAAAAEwBwAAAAg4LzIvMjAyNggAAAAJNi8zMC8yMDE3CQAAAAEwjvPwbizw3ggdz+KHLPDeCC5DSVEuTkFTREFROk1TRlQuSVFfR1JPU1NfTUFSR0lOLjk5MS4wMi8wOC8yMDI2AQAAAEtVAAACAAAABzY0LjUyMjQBCAAAAAUAAAABMQEAAAAKMTk3MzM4MDk1MQMAAAADMTYwAgAAAAQ0MDc0</t>
  </si>
  <si>
    <t>BAAAAAEwBwAAAAg4LzIvMjAyNggAAAAJNi8zMC8yMDE3CQAAAAEwjvPwbizw3ggdz+KHLPDeCDBDSVEuTkFTREFROk1TRlQuSVFfUkVTVEFURU1FTlRfQlMuOTkxLjAyLzA4LzIwMjYBAAAAS1UAAAMAAAACUlMAjvPwbizw3ght9uKHLPDeCDFDSVEuTkFTREFROk1TRlQuSVFfVE9UQUxfRU1QTE9ZRUVTLjk5MC4wMi8wOC8yMDI2AQAAAEtVAAACAAAABjExNDAwMACO8/BuLPDeCG324ocs8N4ILkNJUS5OQVNEQVE6TVNGVC5JUV9DQUxDX1RZUEVfQ0YuOTkwLjAyLzA4LzIwMjYBAAAAS1UAAAMAAAADUkVQAI7z8G4s8N4IHc/ihyzw3ggyQ0lRLk5BU0RBUTpNU0ZULklRX0VGRkVDVF9UQVhfUkFURS4yMDAwLjAyLzA4LzIwMjYBAAAAS1UAAAIAAAAHMTkuMzk2MgEIAAAABQAAAAExAQAAAAstMTg4MDIyOTMyMwMAAAADMTYwAgAAAAQ0Mzc2BAAAAAEwBwAAAAg4LzIvMjAyNggAAAAJNi8zMC8yMDI2CQAAAAEwjvPwbizw3ggdz+KHLPDeCC9DSVEuTkFTREFROk1TRlQuSVFfRklMSU5HREFURV9JUy45OTEuMDIvMDgvMjAyNgEAAABLVQAABQAAAAowMS8wOC8yMDE5AI7z8G4s8N4IHc/ihyzw3gg6Q0lRLk5BU0RBUTpNU0ZULklRX0lOVEVSQ09NUEFOWV9DTC4yMDAwLjAyLzA4LzIwMjYuLi5VU0QuSAEAAABLVQAAAwAAAAAAjvPwbizw3ggCgYaHLPDeCDxDSVEuTkFTREFROk1TRlQuSVFfTFRfTUFSS19TRUNV</t>
  </si>
  <si>
    <t>UklUSUVTLjk5MS4wMi8wOC8yMDI2Li4uVVNELkgBAAAAS1UAAAMAAAAAAI7z8G4s8N4IAoGGhyzw3ghDQ0lRLk5BU0RBUTpNU0ZULklRX0RFUklWQVRJVkVfVFJBRElOR19BU1NFVFMuOTkxLjAyLzA4LzIwMjYuLi5VU0QuSAEAAABLVQAAAwAAAAAAjvPwbizw3ggCgYaHLPDeCEBDSVEuTkFTREFROk1TRlQuSVFfQ09OVElOR0VOVF9MSUFCSUxJVElFUy45OTEuMDIvMDgvMjAyNi4uLlVTRC5IAQAAAEtVAAADAAAAAACO8/BuLPDeCD2ohocs8N4IPUNJUS5OQVNEQVE6TVNGVC5JUV9GSU5fRElWX0RFQlRfVE9UQUwuMjAwMC4wMi8wOC8yMDI2Li4uVVNELkgBAAAAS1UAAAMAAAAAAI7z8G4s8N4IPaiGhyzw3gg9Q0lRLk5BU0RBUTpNU0ZULklRX0xJQUJJTElUSUVTX0xFVkVMXzMuOTkxLjAyLzA4LzIwMjYuLi5VU0QuSAEAAABLVQAAAgAAAAIzOQCO8/BuLPDeCAKBhocs8N4IOENJUS5OQVNEQVE6TVNGVC5JUV9BU1NFVFNfTEVWRUxfMS45OTEuMDIvMDgvMjAyNi4uLlVTRC5IAQAAAEtVAAACAAAABjExMzEyMQCO8/BuLPDeCAKBhocs8N4IRUNJUS5OQVNEQVE6TVNGVC5JUV9ERUZfVEFYX1ZBTFVBVElPTl9BTExPV0FOQ0UuOTkwLjAyLzA4LzIwMjYuLi5VU0QuSAEAAABLVQAAAgAAAAQ0NzI5AQgAAAAFAAAAATEBAAAACjE4OTg0ODk0NzADAAAAAzE2MAIAAAAFNDYwNDUEAAAAATAHAAAACDgvMi8yMDI2</t>
  </si>
  <si>
    <t>CAAAAAk2LzMwLzIwMTYJAAAAATCO8/BuLPDeCD2ohocs8N4IQENJUS5OQVNEQVE6TVNGVC5JUV9OQVRVUkFMX1JFU09VUkNFU19DT1NULjk5MC4wMi8wOC8yMDI2Li4uVVNELkgBAAAAS1UAAAMAAAAAAI7z8G4s8N4IPaiGhyzw3ggxQ0lRLk5BU0RBUTpNU0ZULklRX1dJUF9JTlYuOTkxLjAyLzA4LzIwMjYuLi5VU0QuSAEAAABLVQAAAgAAAAMxNDUBCAAAAAUAAAABMQEAAAAKMTk3MzM4MDk1MQMAAAADMTYwAgAAAAQzMjE5BAAAAAEwBwAAAAg4LzIvMjAyNggAAAAJNi8zMC8yMDE3CQAAAAEwjvPwbizw3gg9qIaHLPDeCDNDSVEuTkFTREFROk1TRlQuSVFfVE9UQUxfQ0FQLjk5MS4wMi8wOC8yMDI2Li4uVVNELkgBAAAAS1UAAAIAAAAGMTgzMjM4AQgAAAAFAAAAATEBAAAACjE5NzMzODA5NTEDAAAAAzE2MAIAAAAENDE3NQQAAAABMAcAAAAIOC8yLzIwMjYIAAAACTYvMzAvMjAxNwkAAAABMI7z8G4s8N4IPaiGhyzw3ggyQ0lRLk5BU0RBUTpNU0ZULklRX0dXX0lOVEFOLjk5MS4wMi8wOC8yMDI2Li4uVVNELkgBAAAAS1UAAAIAAAAFNDUyMjgBCAAAAAUAAAABMQEAAAAKMTk3MzM4MDk1MQMAAAADMTYwAgAAAAUzNTM4MQQAAAABMAcAAAAIOC8yLzIwMjYIAAAACTYvMzAvMjAxNwkAAAABMI7z8G4s8N4IPaiGhyzw3ghFQ0lRLk5BU0RBUTpNU0ZULklRX1RPVEFMX0RFQlRfRVhDTF9PUEVSX0xFQVNFUy45</t>
  </si>
  <si>
    <t>OTEuMDIvMDgvMjAyNi4uLlVTRC5IAQAAAEtVAAACAAAABTg4NzMyAQgAAAAFAAAAATEBAAAACjE5NzMzODA5NTEDAAAAAzE2MAIAAAAFNDg5ODIEAAAAATAHAAAACDgvMi8yMDI2CAAAAAk2LzMwLzIwMTcJAAAAATCO8/BuLPDeCD2ohocs8N4IQUNJUS5OQVNEQVE6TVNGVC5JUV9GSU5BTkNFX0xFQVNFU19DVVJSRU5ULjIwMDAuMDIvMDgvMjAyNi4uLlVTRC5IAQAAAEtVAAACAAAABDQyOTABCAAAAAUAAAABMQEAAAALLTE4ODAyMjkzMjMDAAAAAzE2MAIAAAAFNDg5OTAEAAAAATAHAAAACDgvMi8yMDI2CAAAAAk2LzMwLzIwMjYJAAAAATCO8/BuLPDeCEjPhocs8N4IQ0NJUS5OQVNEQVE6TVNGVC5JUV9SVUFfT1BFUkFUSU5HX0xFQVNFX0dST1NTLjk5MC4wMi8wOC8yMDI2Li4uVVNELkgBAAAAS1UAAAMAAAAAAI7z8G4s8N4ISM+Ghyzw3gg7Q0lRLk5BU0RBUTpNU0ZULklRX1RPVEFMX0xJQUJfRVFVSVRZLjk5MS4wMi8wOC8yMDI2Li4uVVNELkgBAAAAS1UAAAIAAAAGMjUwMzEyAQgAAAAFAAAAATEBAAAACjE5NzMzODA5NTEDAAAAAzE2MAIAAAAEMTAxMwQAAAABMAcAAAAIOC8yLzIwMjYIAAAACTYvMzAvMjAxNwkAAAABMI7z8G4s8N4IPaiGhyzw3gg2Q0lRLk5BU0RBUTpNU0ZULklRX1BSRUZfRVFVSVRZLjIwMDAuMDIvMDgvMjAyNi4uLlVTRC5IAQAAAEtVAAADAAAAAACO8/BuLPDeCD2ohocs8N4I</t>
  </si>
  <si>
    <t>N0NJUS5OQVNEQVE6TVNGVC5JUV9PVEhFUl9MSUFCX0xULjk5MC4wMi8wOC8yMDI2Li4uVVNELkgBAAAAS1UAAAIAAAAFMTI4NzkBCAAAAAUAAAABMQEAAAAKMTg5ODQ4OTQ3MAMAAAADMTYwAgAAAAQxMDYyBAAAAAEwBwAAAAg4LzIvMjAyNggAAAAJNi8zMC8yMDE2CQAAAAEwjvPwbizw3gg9qIaHLPDeCDFDSVEuTkFTREFROk1TRlQuSVFfTFRfREVCVC45OTAuMDIvMDgvMjAyNi4uLlVTRC5IAQAAAEtVAAACAAAABTQwNTU3AQgAAAAFAAAAATEBAAAACjE4OTg0ODk0NzADAAAAAzE2MAIAAAAEMTA0OQQAAAABMAcAAAAIOC8yLzIwMjYIAAAACTYvMzAvMjAxNgkAAAABMI7z8G4s8N4ISM+Ghyzw3gg8Q0lRLk5BU0RBUTpNU0ZULklRX0NVUlJFTlRfUE9SVF9ERUJULjIwMDAuMDIvMDgvMjAyNi4uLlVTRC5IAQAAAEtVAAACAAAABDkyMjcBCAAAAAUAAAABMQEAAAALLTE4ODAyMjkzMjMDAAAAAzE2MAIAAAAEMTI5NwQAAAABMAcAAAAIOC8yLzIwMjYIAAAACTYvMzAvMjAyNgkAAAABMI7z8G4s8N4ISM+Ghyzw3gg8Q0lRLk5BU0RBUTpNU0ZULklRX0RFRl9UQVhfQVNTRVRTX0xULjIwMDAuMDIvMDgvMjAyNi4uLlVTRC5IAQAAAEtVAAACAAAABTE1MTE0AQgAAAAFAAAAATEBAAAACy0xODgwMjI5MzIzAwAAAAMxNjACAAAABDEwMjYEAAAAATAHAAAACDgvMi8yMDI2CAAAAAk2LzMwLzIwMjYJAAAAATCO8/Bu</t>
  </si>
  <si>
    <t>LPDeCEjPhocs8N4INENJUS5OQVNEQVE6TVNGVC5JUV9MVF9JTlZFU1QuMjAwMC4wMi8wOC8yMDI2Li4uVVNELkgBAAAAS1UAAAIAAAAFMzYzNDgBCAAAAAUAAAABMQEAAAALLTE4ODAyMjkzMjMDAAAAAzE2MAIAAAAEMTA1NAQAAAABMAcAAAAIOC8yLzIwMjYIAAAACTYvMzAvMjAyNgkAAAABMI7z8G4s8N4ISM+Ghyzw3ghAQ0lRLk5BU0RBUTpNU0ZULklRX0RFRl9UQVhfQVNTRVRTX0NVUlJFTlQuOTkxLjAyLzA4LzIwMjYuLi5VU0QuSAEAAABLVQAAAwAAAAAAjvPwbizw3ghIz4aHLPDeCDhDSVEuTkFTREFROk1TRlQuSVFfU1RfTk9URV9SRUNFSVYuOTkxLjAyLzA4LzIwMjYuLi5VU0QuSAEAAABLVQAAAwAAAAAAjvPwbizw3ghW9oaHLPDeCD1DSVEuTkFTREFROk1TRlQuSVFfR0FJTl9CQVJHQUlOX0FDUV9DRi45OTEuMDIvMDgvMjAyNi4uLlVTRC5IAQAAAEtVAAADAAAAAACO8/BuLPDeCFb2hocs8N4IOkNJUS5OQVNEQVE6TVNGVC5JUV9ORVRfREVCVF9JU1NVRUQuMjAwMC4wMi8wOC8yMDI2Li4uVVNELkgBAAAAS1UAAAIAAAAFLTMwMDABCAAAAAUAAAABMQEAAAALLTE4ODAyMjkzMjMDAAAAAzE2MAIAAAAEMjAwMwQAAAABMAcAAAAIOC8yLzIwMjYIAAAACTYvMzAvMjAyNgkAAAABMI7z8G4s8N4ISM+Ghyzw3gg6Q0lRLk5BU0RBUTpNU0ZULklRX0NBU0hfVEFYRVNfRklOQU4uOTkwLjAyLzA4LzIw</t>
  </si>
  <si>
    <t>MjYuLi5VU0QuSAEAAABLVQAAAwAAAAAAjvPwbizw3ghIz4aHLPDeCEBDSVEuTkFTREFROk1TRlQuSVFfQ0FTSF9JTlRFUkVTVF9SRUNFSVZFRC45OTAuMDIvMDgvMjAyNi4uLlVTRC5IAQAAAEtVAAADAAAAAABDzPBuLPDeCEjPhocs8N4IMkNJUS5OQVNEQVE6TVNGVC5JUV9ERVBfUlVBLjIwMDAuMDIvMDgvMjAyNi4uLlVTRC5IAQAAAEtVAAADAAAAAABDzPBuLPDeCFb2hocs8N4IOENJUS5OQVNEQVE6TVNGVC5JUV9NSVNDX0FESlVTVF9DRi45OTAuMDIvMDgvMjAyNi4uLlVTRC5IAQAAAEtVAAADAAAAAABDzPBuLPDeCFb2hocs8N4INUNJUS5OQVNEQVE6TVNGVC5JUV9QUkVGX0RJVl9DRi45OTEuMDIvMDgvMjAyNi4uLlVTRC5IAQAAAEtVAAADAAAAAABDzPBuLPDeCFb2hocs8N4IPENJUS5OQVNEQVE6TVNGVC5JUV9UT1RBTF9ERUJUX0lTU1VFRC4yMDAwLjAyLzA4LzIwMjYuLi5VU0QuSAEAAABLVQAAAwAAAAAAQ8zwbizw3ghW9oaHLPDeCDxDSVEuTkFTREFROk1TRlQuSVFfSU5WRVNUX1NFQ1VSSVRZX0NGLjk5MC4wMi8wOC8yMDI2Li4uVVNELkgBAAAAS1UAAAIAAAAGLTE0NDE3AQgAAAAFAAAAATEBAAAACjE4OTg0ODk0NzADAAAAAzE2MAIAAAAEMjAyNwQAAAABMAcAAAAIOC8yLzIwMjYIAAAACTYvMzAvMjAxNgkAAAABMEPM8G4s8N4IVvaGhyzw3ggzQ0lRLk5BU0RBUTpNU0ZULklRX0NBU0hf</t>
  </si>
  <si>
    <t>T1BFUi45OTAuMDIvMDgvMjAyNi4uLlVTRC5IAQAAAEtVAAACAAAABTMzMzI1AQgAAAAFAAAAATEBAAAACjE4OTg0ODk0NzADAAAAAzE2MAIAAAAEMjAwNgQAAAABMAcAAAAIOC8yLzIwMjYIAAAACTYvMzAvMjAxNgkAAAABMEPM8G4s8N4IlR2Hhyzw3gg5Q0lRLk5BU0RBUTpNU0ZULklRX09USEVSX09QRVJfQUNULjIwMDAuMDIvMDgvMjAyNi4uLlVTRC5IAQAAAEtVAAACAAAABTEzNzIzAQgAAAAFAAAAATEBAAAACy0xODgwMjI5MzIzAwAAAAMxNjACAAAABDIwNDcEAAAAATAHAAAACDgvMi8yMDI2CAAAAAk2LzMwLzIwMjYJAAAAATBDzPBuLPDeCJUdh4cs8N4IM0NJUS5OQVNEQVE6TVNGVC5JUV9MT0FOU19DRi4yMDAwLjAyLzA4LzIwMjYuLi5VU0QuSAEAAABLVQAAAwAAAAAAQ8zwbizw3ghW9oaHLPDeCDVDSVEuTkFTREFROk1TRlQuSVFfT0lMX0lNUEFJUi4yMDAwLjAyLzA4LzIwMjYuLi5VU0QuSAEAAABLVQAAAwAAAAAAQ8zwbizw3ghW9oaHLPDeCDxDSVEuTkFTREFROk1TRlQuSVFfU1RPQ0tfT1BUSU9OU19DT01QLjk5MS4wMi8wOC8yMDI2Li4uVVNELkgBAAAAS1UAAAMAAAAAAEPM8G4s8N4IVvaGhyzw3gg4Q0lRLk5BU0RBUTpNU0ZULklRX1NUT0NLX0JBU0VEX0FULjk5MS4wMi8wOC8yMDI2Li4uVVNELkgBAAAAS1UAAAMAAAAAAEPM8G4s8N4IlR2Hhyzw3gg6Q0lRLk5BU0RBUTpNU0ZULklR</t>
  </si>
  <si>
    <t>X1NUT0NLX0JBU0VEX0NPR1MuOTkxLjAyLzA4LzIwMjYuLi5VU0QuSAEAAABLVQAAAwAAAAAAQ8zwbizw3giVHYeHLPDeCDpDSVEuTkFTREFROk1TRlQuSVFfR0FJTl9CQVJHQUlOX0FDUS45OTAuMDIvMDgvMjAyNi4uLlVTRC5IAQAAAEtVAAADAAAAAABDzPBuLPDeCFb2hocs8N4IP0NJUS5OQVNEQVE6TVNGVC5JUV9JTVBVVF9PUEVSX0xFQVNFX0RFUFIuOTkwLjAyLzA4LzIwMjYuLi5VU0QuSAEAAABLVQAAAgAAAAk3MTkuMzM0NzIBCAAAAAUAAAABMQEAAAAKMTg5ODQ4OTQ3MAMAAAADMTYwAgAAAAUyMTY3MwQAAAABMAcAAAAIOC8yLzIwMjYIAAAACTYvMzAvMjAxNgkAAAABMEPM8G4s8N4IlR2Hhyzw3gg4Q0lRLk5BU0RBUTpNU0ZULklRX01JTklNVU1fUkVOVEFMLjk5MS4wMi8wOC8yMDI2Li4uVVNELkgBAAAAS1UAAAMAAAAAAEPM8G4s8N4IlR2Hhyzw3gg2Q0lRLk5BU0RBUTpNU0ZULklRX0FEVkVSVElTSU5HLjIwMDAuMDIvMDgvMjAyNi4uLlVTRC5IAQAAAEtVAAACAAAABDI3MDABCAAAAAUAAAABMQEAAAALLTE4ODAyMjkzMjMDAAAAAzE2MAIAAAAEMzAxMwQAAAABMAcAAAAIOC8yLzIwMjYIAAAACTYvMzAvMjAyNgkAAAABMEPM8G4s8N4IdkSHhyzw3gg+Q0lRLk5BU0RBUTpNU0ZULklRX05PTkNBU0hfUEVOU0lPTl9FWFAuMjAwMC4wMi8wOC8yMDI2Li4uVVNELkgBAAAAS1UAAAMAAAAAAEPM</t>
  </si>
  <si>
    <t>8G4s8N4IdkSHhyzw3ghEQ0lRLk5BU0RBUTpNU0ZULklRX05PTlJFQ1VSUklOR19JTkNPTUVfVEFYRVMuMjAwMC4wMi8wOC8yMDI2Li4uVVNELkgBAAAAS1UAAAMAAAAAAEPM8G4s8N4IlR2Hhyzw3ghBQ0lRLk5BU0RBUTpNU0ZULklRX0VYQ0lTRV9UQVhFU19JTkNMX1NBTEVTLjk5MS4wMi8wOC8yMDI2Li4uVVNELkgBAAAAS1UAAAMAAAAAAEPM8G4s8N4IlR2Hhyzw3gg8Q0lRLk5BU0RBUTpNU0ZULklRX0FTX1JFUE9SVEVEX0VCSVREQS45OTEuMDIvMDgvMjAyNi4uLlVTRC5IAQAAAEtVAAADAAAAAABDzPBuLPDeCJUdh4cs8N4IMUNJUS5OQVNEQVE6TVNGVC5JUV9FQklUREFSLjk5MC4wMi8wOC8yMDI2Li4uVVNELkgBAAAAS1UAAAIAAAAFMzQwMDIBCAAAAAUAAAABMQEAAAAKMTg5ODQ4OTQ3MAMAAAADMTYwAgAAAAUyMTY3NAQAAAABMAcAAAAIOC8yLzIwMjYIAAAACTYvMzAvMjAxNgkAAAABMEPM8G4s8N4IdkSHhyzw3ghMQ0lRLk5BU0RBUTpNU0ZULklRX0VCSVREQV9FUV9JTkNfRVhDTF9PUEVSX0xFQVNFX0FESi4yMDAwLjAyLzA4LzIwMjYuLi5VU0QuSAEAAABLVQAAAgAAAAYxOTg5NTkBCAAAAAUAAAABMQEAAAALLTE4ODAyMjkzMjMDAAAAAzE2MAIAAAAFNDg5ODcEAAAAATAHAAAACDgvMi8yMDI2CAAAAAk2LzMwLzIwMjYJAAAAATBDzPBuLPDeCHZEh4cs8N4IMENJUS5OQVNEQVE6TVNGVC5J</t>
  </si>
  <si>
    <t>UV9FQklUREEuOTkwLjAyLzA4LzIwMjYuLi5VU0QuSAEAAABLVQAAAgAAAAUzMzA2NgEIAAAABQAAAAExAQAAAAoxODk4NDg5NDcwAwAAAAMxNjACAAAABDQwNTEEAAAAATAHAAAACDgvMi8yMDI2CAAAAAk2LzMwLzIwMTYJAAAAATBDzPBuLPDeCJUdh4cs8N4IOUNJUS5OQVNEQVE6TVNGVC5JUV9ESUxVVF9FUFNfRVhDTC4yMDAwLjAyLzA4LzIwMjYuLi5VU0QuSAEAAABLVQAAAgAAAAUxNy45NQEIAAAABQAAAAExAQAAAAstMTg4MDIyOTMyMwMAAAADMTYwAgAAAAMxNDIEAAAAATAHAAAACDgvMi8yMDI2CAAAAAk2LzMwLzIwMjYJAAAAATBDzPBuLPDeCJUdh4cs8N4ILENJUS5OQVNEQVE6TVNGVC5JUV9OSS45OTAuMDIvMDgvMjAyNi4uLlVTRC5IAQAAAEtVAAACAAAABTIwNTM5AQgAAAAFAAAAATEBAAAACjE4OTg0ODk0NzADAAAAAzE2MAIAAAACMTUEAAAAATAHAAAACDgvMi8yMDI2CAAAAAk2LzMwLzIwMTYJAAAAATBDzPBuLPDeCHZEh4cs8N4ILUNJUS5OQVNEQVE6TVNGVC5JUV9FQlQuOTkwLjAyLzA4LzIwMjYuLi5VU0QuSAEAAABLVQAAAgAAAAUyNTYzOQEIAAAABQAAAAExAQAAAAoxODk4NDg5NDcwAwAAAAMxNjACAAAAAzEzOQQAAAABMAcAAAAIOC8yLzIwMjYIAAAACTYvMzAvMjAxNgkAAAABMEPM8G4s8N4Ih2uHhyzw3gg1Q0lRLk5BU0RBUTpNU0ZULklRX0dBSU5fSU5WRVNULjk5MS4wMi8w</t>
  </si>
  <si>
    <t>OC8yMDI2Li4uVVNELkgBAAAAS1UAAAIAAAAEMjM4OQEIAAAABQAAAAExAQAAAAoxOTczMzgwOTUxAwAAAAMxNjACAAAAAjYyBAAAAAEwBwAAAAg4LzIvMjAyNggAAAAJNi8zMC8yMDE3CQAAAAEwQ8zwbizw3giHa4eHLPDeCD5DSVEuTkFTREFROk1TRlQuSVFfSU5URVJFU1RfSU5WRVNUX0lOQy4yMDAwLjAyLzA4LzIwMjYuLi5VU0QuSAEAAABLVQAAAgAAAAQzMzAxAQgAAAAFAAAAATEBAAAACy0xODgwMjI5MzIzAwAAAAMxNjACAAAAAjY1BAAAAAEwBwAAAAg4LzIvMjAyNggAAAAJNi8zMC8yMDI2CQAAAAEwQ8zwbizw3gh2RIeHLPDeCDhDSVEuTkFTREFROk1TRlQuSVFfR1dfSU5UQU5fQU1PUlQuOTkwLjAyLzA4LzIwMjYuLi5VU0QuSAEAAABLVQAAAwAAAAAAQ8zwbizw3gh2RIeHLPDeCDNDSVEuTkFTREFROk1TRlQuSVFfU0dBX1NVUFBMLjk5MS4wMi8wOC8yMDI2Li4uVVNELkgBAAAAS1UAAAIAAAAFMTk5NDIBCAAAAAUAAAABMQEAAAAKMTk3MzM4MDk1MQMAAAADMTYwAgAAAAMxMDIEAAAAATAHAAAACDgvMi8yMDI2CAAAAAk2LzMwLzIwMTcJAAAAATBDzPBuLPDeCHZEh4cs8N4IOkNJUS5OQVNEQVE6TVNGVC5JUV9HQUlOX0lOVkVTVF9SRVYuMjAwMC4wMi8wOC8yMDI2Li4uVVNELkgBAAAAS1UAAAMAAAAAAEPM8G4s8N4Ih2uHhyzw3gg1Q0lRLk5BU0RBUTpNU0ZULklRX0ZJTl9ESVZfUkVWLjk5</t>
  </si>
  <si>
    <t>NC4wMi8wOC8yMDI2Li4uVVNELkgBAAAAS1UAAAMAAAAAAEPM8G4s8N4Ih2uHhyzw3gg5Q0lRLk5BU0RBUTpNU0ZULklRX0dBSU5fSU5WRVNUX1JFVi45OTIuMDIvMDgvMjAyNi4uLlVTRC5IAQAAAEtVAAADAAAAAABDzPBuLPDeCHZEh4cs8N4IOUNJUS5OQVNEQVE6TVNGVC5JUV9PVEhFUl9SRVZfU1VQUEwuOTkzLjAyLzA4LzIwMjYuLi5VU0QuSAEAAABLVQAAAwAAAAAAQ8zwbizw3gh2RIeHLPDeCDVDSVEuTkFTREFROk1TRlQuSVFfRklOX0RJVl9FWFAuOTk5LjAyLzA4LzIwMjYuLi5VU0QuSAEAAABLVQAAAwAAAAAAQ8zwbizw3gh2RIeHLPDeCDlDSVEuTkFTREFROk1TRlQuSVFfRklOX0RJVl9JTlRfRVhQLjk5Mi4wMi8wOC8yMDI2Li4uVVNELkgBAAAAS1UAAAMAAAAAAEPM8G4s8N4Ih2uHhyzw3ggzQ0lRLk5BU0RBUTpNU0ZULklRX1NHQV9TVVBQTC45OTMuMDIvMDgvMjAyNi4uLlVTRC5IAQAAAEtVAAACAAAABTIzMDk4AQgAAAAFAAAAATEBAAAACy0yMTQwOTgxNDY5AwAAAAMxNjACAAAAAzEwMgQAAAABMAcAAAAIOC8yLzIwMjYIAAAACTYvMzAvMjAxOQkAAAABMEPM8G4s8N4IlpKHhyzw3gg2Q0lRLk5BU0RBUTpNU0ZULklRX1NUT0NLX0JBU0VELjEwMDAuMDIvMDgvMjAyNi4uLlVTRC5IAQAAAEtVAAADAAAAAABDzPBuLPDeCIdrh4cs8N4IMENJUS5OQVNEQVE6TVNGVC5JUV9SRF9FWFAuOTky</t>
  </si>
  <si>
    <t>LjAyLzA4LzIwMjYuLi5VU0QuSAEAAABLVQAAAgAAAAUxNDcyNgEIAAAABQAAAAExAQAAAAoyMDQ3MjcxNzQ1AwAAAAMxNjACAAAAAzEwMAQAAAABMAcAAAAIOC8yLzIwMjYIAAAACTYvMzAvMjAxOAkAAAABMEPM8G4s8N4Ih2uHhyzw3gg0Q0lRLk5BU0RBUTpNU0ZULklRX0lNUEFJUl9PSUwuOTk5LjAyLzA4LzIwMjYuLi5VU0QuSAEAAABLVQAAAwAAAAAAQ8zwbizw3giHa4eHLPDeCDtDSVEuTkFTREFROk1TRlQuSVFfVE9UQUxfT1RIRVJfT1BFUi4xMDAwLjAyLzA4LzIwMjYuLi5VU0QuSAEAAABLVQAAAgAAAAU3MDIyOAEIAAAABQAAAAExAQAAAAstMTg4MDIyOTY2NQMAAAADMTYwAgAAAAMzODAEAAAAATAHAAAACDgvMi8yMDI2CAAAAAk2LzMwLzIwMjYJAAAAATBDzPBuLPDeCJaSh4cs8N4INkNJUS5OQVNEQVE6TVNGVC5JUV9JTlRFUkVTVF9FWFAuOTkzLjAyLzA4LzIwMjYuLi5VU0QuSAEAAABLVQAAAgAAAAUtMjY4NgEIAAAABQAAAAExAQAAAAstMjE0MDk4MTQ2OQMAAAADMTYwAgAAAAI4MgQAAAABMAcAAAAIOC8yLzIwMjYIAAAACTYvMzAvMjAxOQkAAAABMEPM8G4s8N4IlpKHhyzw3gg0Q0lRLk5BU0RBUTpNU0ZULklRX0lOQ19FUVVJVFkuOTk5LjAyLzA4LzIwMjYuLi5VU0QuSAEAAABLVQAAAgAAAAUtNDcyNQEIAAAABQAAAAExAQAAAAstMTg4MDIyOTY4NgMAAAADMTYwAgAAAAI0NwQAAAAB</t>
  </si>
  <si>
    <t>MAcAAAAIOC8yLzIwMjYIAAAACTYvMzAvMjAyNQkAAAABMEPM8G4s8N4Ih2uHhyzw3ghDQ0lRLk5BU0RBUTpNU0ZULklRX09USEVSX05PTl9PUEVSX0VYUF9TVVBQTC4xMDAwLjAyLzA4LzIwMjYuLi5VU0QuSAEAAABLVQAAAgAAAAQtNTU5AQgAAAAFAAAAATEBAAAACy0xODgwMjI5NjY1AwAAAAMxNjACAAAAAjg1BAAAAAEwBwAAAAg4LzIvMjAyNggAAAAJNi8zMC8yMDI2CQAAAAEwQ8zwbizw3giHa4eHLPDeCDBDSVEuTkFTREFROk1TRlQuSVFfTUVSR0VSLjk5OC4wMi8wOC8yMDI2Li4uVVNELkgBAAAAS1UAAAMAAAAAAEPM8G4s8N4Ih2uHhyzw3gg1Q0lRLk5BU0RBUTpNU0ZULklRX0dBSU5fSU5WRVNULjk5My4wMi8wOC8yMDI2Li4uVVNELkgBAAAAS1UAAAIAAAADNjQ4AQgAAAAFAAAAATEBAAAACy0yMTQwOTgxNDY5AwAAAAMxNjACAAAAAjYyBAAAAAEwBwAAAAg4LzIvMjAyNggAAAAJNi8zMC8yMDE5CQAAAAEwQ8zwbizw3giWkoeHLPDeCC5DSVEuTkFTREFROk1TRlQuSVFfSVBSRC45OTIuMDIvMDgvMjAyNi4uLlVTRC5IAQAAAEtVAAADAAAAAABDzPBuLPDeCMS5h4cs8N4IPUNJUS5OQVNEQVE6TVNGVC5JUV9PVEhFUl9VTlVTVUFMX1NVUFBMLjk5NC4wMi8wOC8yMDI2Li4uVVNELkgBAAAAS1UAAAMAAAAAAEPM8G4s8N4IlpKHhyzw3gg0Q0lRLk5BU0RBUTpNU0ZULklRX0VBUk5JTkdfQ08uOTk2</t>
  </si>
  <si>
    <t>LjAyLzA4LzIwMjYuLi5VU0QuSAEAAABLVQAAAgAAAAU3MjczOAEIAAAABQAAAAExAQAAAAstMTk4NTkzMTIyNAMAAAADMTYwAgAAAAE3BAAAAAEwBwAAAAg4LzIvMjAyNggAAAAJNi8zMC8yMDIyCQAAAAEwQ8zwbizw3giWkoeHLPDeCDRDSVEuTkFTREFROk1TRlQuSVFfTklfQ09NUEFOWS45OTcuMDIvMDgvMjAyNi4uLlVTRC5IAQAAAEtVAAACAAAABTcyMzYxAQgAAAAFAAAAATEBAAAACy0xOTM0MjU0MjUwAwAAAAMxNjACAAAABTQxNTcxBAAAAAEwBwAAAAg4LzIvMjAyNggAAAAJNi8zMC8yMDIzCQAAAAEwQ8zwbizw3giWkoeHLPDeCC1DSVEuTkFTREFROk1TRlQuSVFfTkkuMTAwMC4wMi8wOC8yMDI2Li4uVVNELkgBAAAAS1UAAAIAAAAGMTMzNzQ5AQgAAAAFAAAAATEBAAAACy0xODgwMjI5NjY1AwAAAAMxNjACAAAAAjE1BAAAAAEwBwAAAAg4LzIvMjAyNggAAAAJNi8zMC8yMDI2CQAAAAEwQ8zwbizw3gjEuYeHLPDeCDlDSVEuTkFTREFROk1TRlQuSVFfQkFTSUNfRVBTX0lOQ0wuMTAwMC4wMi8wOC8yMDI2Li4uVVNELkgBAAAAS1UAAAIAAAAJMTguMDAzNjM0AQgAAAAFAAAAATEBAAAACy0xODgwMjI5NjY1AwAAAAMxNjACAAAAATkEAAAAATAHAAAACDgvMi8yMDI2CAAAAAk2LzMwLzIwMjYJAAAAATBDzPBuLPDeCMS5h4cs8N4IMkNJUS5OQVNEQVE6TVNGVC5JUV9FUFNfTk9STS45OTQuMDIvMDgv</t>
  </si>
  <si>
    <t>MjAyNi4uLlVTRC5IAQAAAEtVAAACAAAACDQuMzUzMTUzAQgAAAAFAAAAATEBAAAACy0yMDg3NDk2NjI3AwAAAAMxNjACAAAABDQzNzkEAAAAATAHAAAACDgvMi8yMDI2CAAAAAk2LzMwLzIwMjAJAAAAATBDzPBuLPDeCJaSh4cs8N4IT0NJUS5OQVNEQVE6TVNGVC5JUV9ESVNUUklCVVRBQkxFX0NBU0hfUEVSX1NIQVJFX0RJTFVURUQuMTAwMC4wMi8wOC8yMDI2Li4uVVNELkgBAAAAS1UAAAMAAAAAAEPM8G4s8N4IlpKHhyzw3ghDQ0lRLk5BU0RBUTpNU0ZULklRX0RJU1RSSUJVVEFCTEVfQ0FTSF9TSEFSRS4xMDAwLjAyLzA4LzIwMjYuLi5VU0QuSAEAAABLVQAAAwAAAAAAQ8zwbizw3giWkoeHLPDeCEBDSVEuTkFTREFROk1TRlQuSVFfRUJJVERBX0VRX0lOQ19FWENMX1NCQy45OTUuMDIvMDgvMjAyNi4uLlVTRC5IAQAAAEtVAAACAAAABTg2OTM0AQgAAAAFAAAAATEBAAAACy0yMDM2ODQzODQzAwAAAAMxNjACAAAABTI0MTMxBAAAAAEwBwAAAAg4LzIvMjAyNggAAAAJNi8zMC8yMDIxCQAAAAEwQ8zwbizw3giL6IeHLPDeCEtDSVEuTkFTREFROk1TRlQuSVFfRUJJVERBX0VRX0lOQ19FWENMX09QRVJfTEVBU0VfQURKLjk5Mi4wMi8wOC8yMDI2Li4uVVNELkgBAAAAS1UAAAIAAAAFNDQ5NTgBCAAAAAUAAAABMQEAAAAKMjA0NzI3MTc0NQMAAAADMTYwAgAAAAU0ODk4NwQAAAABMAcAAAAIOC8yLzIwMjYI</t>
  </si>
  <si>
    <t>AAAACTYvMzAvMjAxOAkAAAABMEPM8G4s8N4Ii+iHhyzw3gg3Q0lRLk5BU0RBUTpNU0ZULklRX0VCSVRfRVhDTF9TQkMuOTkzLjAyLzA4LzIwMjYuLi5VU0QuSAEAAABLVQAAAgAAAAU0NzYxMQEIAAAABQAAAAExAQAAAAstMjE0MDk4MTQ2OQMAAAADMTYwAgAAAAUyNDEzNAQAAAABMAcAAAAIOC8yLzIwMjYIAAAACTYvMzAvMjAxOQkAAAABMEPM8G4s8N4IxLmHhyzw3gg4Q0lRLk5BU0RBUTpNU0ZULklRX0VCSVRBX0VYQ0xfU0JDLjk5Ny4wMi8wOC8yMDI2Li4uVVNELkgBAAAAS1UAAAIAAAAGMTAwNjM0AQgAAAAFAAAAATEBAAAACy0xOTM0MjU0MjUwAwAAAAMxNjACAAAABTI0MTM2BAAAAAEwBwAAAAg4LzIvMjAyNggAAAAJNi8zMC8yMDIzCQAAAAEwQ8zwbizw3gjEuYeHLPDeCEFDSVEuTkFTREFROk1TRlQuSVFfRUJJVERBUl9FUV9JTkNfRVhDTF9TQkMuOTk4LjAyLzA4LzIwMjYuLi5VU0QuSAEAAABLVQAAAgAAAAYxNDI0MDMBCAAAAAUAAAABMQEAAAALLTE4ODAyMjk2OTQDAAAAAzE2MAIAAAAFMjQxMzMEAAAAATAHAAAACDgvMi8yMDI2CAAAAAk2LzMwLzIwMjQJAAAAATBDzPBuLPDeCMS5h4cs8N4IPENJUS5OQVNEQVE6TVNGVC5JUV9BU19SRVBPUlRFRF9FQklUREEuOTk5LjAyLzA4LzIwMjYuLi5VU0QuSAEAAABLVQAAAwAAAAAAQ8zwbizw3giL6IeHLPDeCDlDSVEuTkFTREFROk1TRlQuSVFf</t>
  </si>
  <si>
    <t>SU5URVJFU1RfSU5DT01FLjk5Ny4wMi8wOC8yMDI2Li4uVVNELkgBAAAAS1UAAAIAAAAEMjk5NAEIAAAABQAAAAExAQAAAAstMTkzNDI1NDI1MAMAAAADMTYwAgAAAAMyMTAEAAAAATAHAAAACDgvMi8yMDI2CAAAAAk2LzMwLzIwMjMJAAAAATBDzPBuLPDeCIvoh4cs8N4IPENJUS5OQVNEQVE6TVNGVC5JUV9DVVJSX0ZPUkVJR05fVEFYRVMuOTk0LjAyLzA4LzIwMjYuLi5VU0QuSAEAAABLVQAAAgAAAAQ0NDQ0AQgAAAAFAAAAATEBAAAACy0yMDg3NDk2NjI3AwAAAAMxNjACAAAABDMwMzAEAAAAATAHAAAACDgvMi8yMDI2CAAAAAk2LzMwLzIwMjAJAAAAATBDzPBuLPDeCIvoh4cs8N4IPkNJUS5OQVNEQVE6TVNGVC5JUV9ERUZFUlJFRF9UQVhFU19UT1RBTC45OTYuMDIvMDgvMjAyNi4uLlVTRC5IAQAAAEtVAAACAAAABS01NzAyAQgAAAAFAAAAATEBAAAACy0xOTg1OTMxMjI0AwAAAAMxNjACAAAABTM1Mzg1BAAAAAEwBwAAAAg4LzIvMjAyNggAAAAJNi8zMC8yMDIyCQAAAAEwQ8zwbizw3giL6IeHLPDeCDVDSVEuTkFTREFROk1TRlQuSVFfSU5UX0VYUF9MVEQuOTk1LjAyLzA4LzIwMjYuLi5VU0QuSAEAAABLVQAAAgAAAAMzODYBCAAAAAUAAAABMQEAAAALLTIwMzY4NDM4NDMDAAAAAzE2MAIAAAAEMzEwMQQAAAABMAcAAAAIOC8yLzIwMjYIAAAACTYvMzAvMjAyMQkAAAABMEPM8G4s8N4Ii+iHhyzw3gg8</t>
  </si>
  <si>
    <t>Q0lRLk5BU0RBUTpNU0ZULklRX0RJU1RSSUJVVEFCTEVfQ0FTSC45OTQuMDIvMDgvMjAyNi4uLlVTRC5IAQAAAEtVAAADAAAAAABDzPBuLPDeCMMPiIcs8N4INUNJUS5OQVNEQVE6TVNGVC5JUV9BRFZFUlRJU0lORy45OTcuMDIvMDgvMjAyNi4uLlVTRC5IAQAAAEtVAAACAAAAAzkwNAEIAAAABQAAAAExAQAAAAstMTkzNDI1NDI1MAMAAAADMTYwAgAAAAQzMDEzBAAAAAEwBwAAAAg4LzIvMjAyNggAAAAJNi8zMC8yMDIzCQAAAAEwQ8zwbizw3gjDD4iHLPDeCDtDSVEuTkFTREFROk1TRlQuSVFfTkVUX1JFTlRBTF9FWFBfRk4uOTk2LjAyLzA4LzIwMjYuLi5VU0QuSAEAAABLVQAAAgAAAAQyNDYxAQgAAAAFAAAAATEBAAAACy0xOTg1OTMxMjI0AwAAAAMxNjACAAAABDMxNzAEAAAAATAHAAAACDgvMi8yMDI2CAAAAAk2LzMwLzIwMjIJAAAAATBDzPBuLPDeCIvoh4cs8N4INkNJUS5OQVNEQVE6TVNGVC5JUV9PVEhFUl9SRU5UQUwuOTk3LjAyLzA4LzIwMjYuLi5VU0QuSAEAAABLVQAAAwAAAAAAQ8zwbizw3giL6IeHLPDeCEJDSVEuTkFTREFROk1TRlQuSVFfSU1QVVRfT1BFUl9MRUFTRV9JTlRfRVhQLjk5OS4wMi8wOC8yMDI2Li4uVVNELkgBAAAAS1UAAAIAAAALMTAyMC40Mzc0NzIBCAAAAAUAAAABMQEAAAALLTE4ODAyMjk2ODYDAAAAAzE2MAIAAAAFMjE2NzIEAAAAATAHAAAACDgvMi8yMDI2CAAAAAk2</t>
  </si>
  <si>
    <t>LzMwLzIwMjUJAAAAATBDzPBuLPDeCIvoh4cs8N4INUNJUS5OQVNEQVE6TVNGVC5JUV9JUFJEX1NVUFBMRS45OTQuMDIvMDgvMjAyNi4uLlVTRC5IAQAAAEtVAAADAAAAAABDzPBuLPDeCMMPiIcs8N4IPkNJUS5OQVNEQVE6TVNGVC5JUV9ORUdBVElWRV9HV19BTU9SVF9BVC45OTYuMDIvMDgvMjAyNi4uLlVTRC5IAQAAAEtVAAADAAAAAABDzPBuLPDeCMMPiIcs8N4IPkNJUS5OQVNEQVE6TVNGVC5JUV9SRVNUUl9TVE9DS19DT01QX1RBWC45OTMuMDIvMDgvMjAyNi4uLlVTRC5IAQAAAEtVAAADAAAAAABDzPBuLPDeCMMPiIcs8N4IL0NJUS5OQVNEQVE6TVNGVC5JUV9EQV9DRi45OTIuMDIvMDgvMjAyNi4uLlVTRC5IAQAAAEtVAAACAAAABDk5MDABCAAAAAUAAAABMQEAAAAKMjA0NzI3MTc0NQMAAAADMTYwAgAAAAQyMTYwBAAAAAEwBwAAAAg4LzIvMjAyNggAAAAJNi8zMC8yMDE4CQAAAAEwQ8zwbizw3gjDD4iHLPDeCDpDSVEuTkFTREFROk1TRlQuSVFfQ0FTSF9BQ1FVSVJFX0NGLjEwMDAuMDIvMDgvMjAyNi4uLlVTRC5IAQAAAEtVAAACAAAABS0xNzQzAQgAAAAFAAAAATEBAAAACy0xODgwMjI5NjY1AwAAAAMxNjACAAAABDIwNTcEAAAAATAHAAAACDgvMi8yMDI2CAAAAAk2LzMwLzIwMjYJAAAAATBDzPBuLPDeCMMPiIcs8N4ILkNJUS5OQVNEQVE6TVNGVC5JUV9FQklULjk5MC4wMi8wOC8yMDI2Li4u</t>
  </si>
  <si>
    <t>VVNELkgBAAAAS1UAAAIAAAAFMjcxODgBCAAAAAUAAAABMQEAAAAKMTg5ODQ4OTQ3MAMAAAADMTYwAgAAAAM0MDAEAAAAATAHAAAACDgvMi8yMDI2CAAAAAk2LzMwLzIwMTYJAAAAATBDzPBuLPDeCPY2iIcs8N4IPENJUS5OQVNEQVE6TVNGVC5JUV9TUEVDSUFMX0RJVl9TSEFSRS4yMDAwLjAyLzA4LzIwMjYuLi5VU0QuSAEAAABLVQAAAwAAAAAAQ8zwbizw3gj2NoiHLPDeCDlDSVEuTkFTREFROk1TRlQuSVFfRElMVVRfRVBTX0lOQ0wuMjAwMC4wMi8wOC8yMDI2Li4uVVNELkgBAAAAS1UAAAIAAAAFMTcuOTUBCAAAAAUAAAABMQEAAAALLTE4ODAyMjkzMjMDAAAAAzE2MAIAAAABOAQAAAABMAcAAAAIOC8yLzIwMjYIAAAACTYvMzAvMjAyNgkAAAABMEPM8G4s8N4Iww+Ihyzw3ggsQ0lRLk5BU0RBUTpNU0ZULklRX05JLjk5MS4wMi8wOC8yMDI2Li4uVVNELkgBAAAAS1UAAAIAAAAFMjU0ODkBCAAAAAUAAAABMQEAAAAKMTk3MzM4MDk1MQMAAAADMTYwAgAAAAIxNQQAAAABMAcAAAAIOC8yLzIwMjYIAAAACTYvMzAvMjAxNwkAAAABMEPM8G4s8N4Iww+Ihyzw3ggtQ0lRLk5BU0RBUTpNU0ZULklRX0VCVC45OTEuMDIvMDgvMjAyNi4uLlVTRC5IAQAAAEtVAAACAAAABTI5OTAxAQgAAAAFAAAAATEBAAAACjE5NzMzODA5NTEDAAAAAzE2MAIAAAADMTM5BAAAAAEwBwAAAAg4LzIvMjAyNggAAAAJNi8zMC8yMDE3</t>
  </si>
  <si>
    <t>CQAAAAEwQ8zwbizw3gjDD4iHLPDeCDdDSVEuTkFTREFROk1TRlQuSVFfSU1QQUlSTUVOVF9HVy45OTAuMDIvMDgvMjAyNi4uLlVTRC5IAQAAAEtVAAADAAAAAABDzPBuLPDeCPY2iIcs8N4IOkNJUS5OQVNEQVE6TVNGVC5JUV9ORVRfSU5URVJFU1RfRVhQLjk5MC4wMi8wOC8yMDI2Li4uVVNELkgBAAAAS1UAAAIAAAAELTM0MAEIAAAABQAAAAExAQAAAAoxODk4NDg5NDcwAwAAAAMxNjACAAAAAzM2OAQAAAABMAcAAAAIOC8yLzIwMjYIAAAACTYvMzAvMjAxNgkAAAABMEPM8G4s8N4I9jaIhyzw3gg4Q0lRLk5BU0RBUTpNU0ZULklRX0dXX0lOVEFOX0FNT1JULjk5MS4wMi8wOC8yMDI2Li4uVVNELkgBAAAAS1UAAAMAAAAAAEPM8G4s8N4Iww+Ihyzw3gg6Q0lRLk5BU0RBUTpNU0ZULklRX0ZJTl9ESVZfSU5UX0VYUC4yMDAwLjAyLzA4LzIwMjYuLi5VU0QuSAEAAABLVQAAAwAAAAAAQ8zwbizw3gj2NoiHLPDeCDVDSVEuTkFTREFROk1TRlQuSVFfSU5UX0lOVl9JTkMuOTkwLjAyLzA4LzIwMjYuLi5VU0QuSAEAAABLVQAAAwAAAAAAQ8zwbizw3gj2NoiHLPDeCDVDSVEuTkFTREFROk1TRlQuSVFfSU5TX0RJVl9SRVYuOTkyLjAyLzA4LzIwMjYuLi5VU0QuSAEAAABLVQAAAwAAAAAAQ8zwbizw3gjkXYiHLPDeCDlDSVEuTkFTREFROk1TRlQuSVFfR0FJTl9JTlZFU1RfUkVWLjk5My4wMi8wOC8yMDI2Li4uVVNE</t>
  </si>
  <si>
    <t>LkgBAAAAS1UAAAMAAAAAAEPM8G4s8N4I5F2Ihyzw3gg5Q0lRLk5BU0RBUTpNU0ZULklRX09USEVSX1JFVl9TVVBQTC45OTQuMDIvMDgvMjAyNi4uLlVTRC5IAQAAAEtVAAADAAAAAABDzPBuLPDeCPY2iIcs8N4INUNJUS5OQVNEQVE6TVNGVC5JUV9GSU5fRElWX0VYUC45OTIuMDIvMDgvMjAyNi4uLlVTRC5IAQAAAEtVAAADAAAAAABDzPBuLPDeCPY2iIcs8N4IOUNJUS5OQVNEQVE6TVNGVC5JUV9GSU5fRElWX0lOVF9FWFAuOTkzLjAyLzA4LzIwMjYuLi5VU0QuSAEAAABLVQAAAwAAAAAAQ8zwbizw3gj2NoiHLPDeCDdDSVEuTkFTREFROk1TRlQuSVFfRVhQTE9SRV9EUklMTC45OTkuMDIvMDgvMjAyNi4uLlVTRC5IAQAAAEtVAAADAAAAAABDzPBuLPDeCORdiIcs8N4INUNJUS5OQVNEQVE6TVNGVC5JUV9TVE9DS19CQVNFRC45OTIuMDIvMDgvMjAyNi4uLlVTRC5IAQAAAEtVAAADAAAAAABDzPBuLPDeCORdiIcs8N4IMENJUS5OQVNEQVE6TVNGVC5JUV9SRF9FWFAuOTkzLjAyLzA4LzIwMjYuLi5VU0QuSAEAAABLVQAAAgAAAAUxNjg3NgEIAAAABQAAAAExAQAAAAstMjE0MDk4MTQ2OQMAAAADMTYwAgAAAAMxMDAEAAAAATAHAAAACDgvMi8yMDI2CAAAAAk2LzMwLzIwMTkJAAAAATBDzPBuLPDeCPY2iIcs8N4INUNJUS5OQVNEQVE6TVNGVC5JUV9JTVBBSVJfT0lMLjEwMDAuMDIvMDgvMjAyNi4uLlVTRC5I</t>
  </si>
  <si>
    <t>AQAAAEtVAAADAAAAAABDzPBuLPDeCORdiIcs8N4IOkNJUS5OQVNEQVE6TVNGVC5JUV9UT1RBTF9PVEhFUl9PUEVSLjk5Mi4wMi8wOC8yMDI2Li4uVVNELkgBAAAAS1UAAAIAAAAFMzY5NDkBCAAAAAUAAAABMQEAAAAKMjA0NzI3MTc0NQMAAAADMTYwAgAAAAMzODAEAAAAATAHAAAACDgvMi8yMDI2CAAAAAk2LzMwLzIwMTgJAAAAATBDzPBuLPDeCORdiIcs8N4IPUNJUS5OQVNEQVE6TVNGVC5JUV9JTlRFUkVTVF9JTlZFU1RfSU5DLjk5OS4wMi8wOC8yMDI2Li4uVVNELkgBAAAAS1UAAAIAAAAEMjY0NwEIAAAABQAAAAExAQAAAAstMTg4MDIyOTY4NgMAAAADMTYwAgAAAAI2NQQAAAABMAcAAAAIOC8yLzIwMjYIAAAACTYvMzAvMjAyNQkAAAABMEPM8G4s8N4I5F2Ihyzw3gg1Q0lRLk5BU0RBUTpNU0ZULklRX0lOQ19FUVVJVFkuMTAwMC4wMi8wOC8yMDI2Li4uVVNELkgBAAAAS1UAAAIAAAAENDcyMgEIAAAABQAAAAExAQAAAAstMTg4MDIyOTY2NQMAAAADMTYwAgAAAAI0NwQAAAABMAcAAAAIOC8yLzIwMjYIAAAACTYvMzAvMjAyNgkAAAABMEPM8G4s8N4I5F2Ihyzw3ghCQ0lRLk5BU0RBUTpNU0ZULklRX09USEVSX05PTl9PUEVSX0VYUF9TVVBQTC45OTMuMDIvMDgvMjAyNi4uLlVTRC5IAQAAAEtVAAACAAAAAjE2AQgAAAAFAAAAATEBAAAACy0yMTQwOTgxNDY5AwAAAAMxNjACAAAAAjg1BAAAAAEwBwAA</t>
  </si>
  <si>
    <t>AAg4LzIvMjAyNggAAAAJNi8zMC8yMDE5CQAAAAEwQ8zwbizw3gjkXYiHLPDeCDFDSVEuTkFTREFROk1TRlQuSVFfTUVSR0VSLjEwMDAuMDIvMDgvMjAyNi4uLlVTRC5IAQAAAEtVAAADAAAAAABDzPBuLPDeCORdiIcs8N4INUNJUS5OQVNEQVE6TVNGVC5JUV9HQUlOX0FTU0VUUy45OTkuMDIvMDgvMjAyNi4uLlVTRC5IAQAAAEtVAAADAAAAAABDzPBuLPDeCORdiIcs8N4ILkNJUS5OQVNEQVE6TVNGVC5JUV9JUFJELjk5My4wMi8wOC8yMDI2Li4uVVNELkgBAAAAS1UAAAMAAAAAAEPM8G4s8N4I9oSIhyzw3ggtQ0lRLk5BU0RBUTpNU0ZULklRX0VCVC45OTIuMDIvMDgvMjAyNi4uLlVTRC5IAQAAAEtVAAACAAAABTM2NDc0AQgAAAAFAAAAATEBAAAACjIwNDcyNzE3NDUDAAAAAzE2MAIAAAADMTM5BAAAAAEwBwAAAAg4LzIvMjAyNggAAAAJNi8zMC8yMDE4CQAAAAEwQ8zwbizw3gj2hIiHLPDeCDRDSVEuTkFTREFROk1TRlQuSVFfRUFSTklOR19DTy45OTcuMDIvMDgvMjAyNi4uLlVTRC5IAQAAAEtVAAACAAAABTcyMzYxAQgAAAAFAAAAATEBAAAACy0xOTM0MjU0MjUwAwAAAAMxNjACAAAAATcEAAAAATAHAAAACDgvMi8yMDI2CAAAAAk2LzMwLzIwMjMJAAAAATBDzPBuLPDeCORdiIcs8N4INENJUS5OQVNEQVE6TVNGVC5JUV9OSV9DT01QQU5ZLjk5OC4wMi8wOC8yMDI2Li4uVVNELkgBAAAAS1UAAAIAAAAF</t>
  </si>
  <si>
    <t>ODgxMzYBCAAAAAUAAAABMQEAAAALLTE4ODAyMjk2OTQDAAAAAzE2MAIAAAAFNDE1NzEEAAAAATAHAAAACDgvMi8yMDI2CAAAAAk2LzMwLzIwMjQJAAAAATBDzPBuLPDeCORdiIcs8N4IOENJUS5OQVNEQVE6TVNGVC5JUV9QUkVGX0RJVl9PVEhFUi45OTkuMDIvMDgvMjAyNi4uLlVTRC5IAQAAAEtVAAADAAAAAABDzPBuLPDeCORdiIcs8N4IOENJUS5OQVNEQVE6TVNGVC5JUV9CQVNJQ19FUFNfSU5DTC45OTIuMDIvMDgvMjAyNi4uLlVTRC5IAQAAAEtVAAACAAAACDIuMTUyMDc3AQgAAAAFAAAAATEBAAAACjIwNDcyNzE3NDUDAAAAAzE2MAIAAAABOQQAAAABMAcAAAAIOC8yLzIwMjYIAAAACTYvMzAvMjAxOAkAAAABMEPM8G4s8N4I9oSIhyzw3gg4Q0lRLk5BU0RBUTpNU0ZULklRX0RJTFVUX0VQU19FWENMLjk5OS4wMi8wOC8yMDI2Li4uVVNELkgBAAAAS1UAAAIAAAAFMTMuNjQBCAAAAAUAAAABMQEAAAALLTE4ODAyMjk2ODYDAAAAAzE2MAIAAAADMTQyBAAAAAEwBwAAAAg4LzIvMjAyNggAAAAJNi8zMC8yMDI1CQAAAAEwQ8zwbizw3gj2hIiHLPDeCDNDSVEuTkFTREFROk1TRlQuSVFfRElWX1NIQVJFLjk5OC4wMi8wOC8yMDI2Li4uVVNELkgBAAAAS1UAAAIAAAABMwEIAAAABQAAAAExAQAAAAstMTg4MDIyOTY5NAMAAAADMTYwAgAAAAQzMDU4BAAAAAEwBwAAAAg4LzIvMjAyNggAAAAJNi8zMC8yMDI0</t>
  </si>
  <si>
    <t>CQAAAAEwQ8zwbizw3gj2hIiHLPDeCDtDSVEuTkFTREFROk1TRlQuSVFfU1BFQ0lBTF9ESVZfU0hBUkUuOTk4LjAyLzA4LzIwMjYuLi5VU0QuSAEAAABLVQAAAwAAAAAAQ8zwbizw3gj2hIiHLPDeCDlDSVEuTkFTREFROk1TRlQuSVFfRUJJVERBX0VYQ0xfU0JDLjk5My4wMi8wOC8yMDI2Li4uVVNELkgBAAAAS1UAAAIAAAAFNTkyMTEBCAAAAAUAAAABMQEAAAALLTIxNDA5ODE0NjkDAAAAAzE2MAIAAAAFMjQxMzUEAAAAATAHAAAACDgvMi8yMDI2CAAAAAk2LzMwLzIwMTkJAAAAATBDzPBuLPDeCPaEiIcs8N4IS0NJUS5OQVNEQVE6TVNGVC5JUV9FQklUREFfRVFfSU5DX0VYQ0xfT1BFUl9MRUFTRV9BREouOTkzLjAyLzA4LzIwMjYuLi5VU0QuSAEAAABLVQAAAgAAAAU1NDU1OQEIAAAABQAAAAExAQAAAAstMjE0MDk4MTQ2OQMAAAADMTYwAgAAAAU0ODk4NwQAAAABMAcAAAAIOC8yLzIwMjYIAAAACTYvMzAvMjAxOQkAAAABMEPM8G4s8N4IG6yIhyzw3gg3Q0lRLk5BU0RBUTpNU0ZULklRX0VCSVRfRVhDTF9TQkMuOTk0LjAyLzA4LzIwMjYuLi5VU0QuSAEAAABLVQAAAgAAAAU1ODI0OAEIAAAABQAAAAExAQAAAAstMjA4NzQ5NjYyNwMAAAADMTYwAgAAAAUyNDEzNAQAAAABMAcAAAAIOC8yLzIwMjYIAAAACTYvMzAvMjAyMAkAAAABMEPM8G4s8N4IG6yIhyzw3ghAQ0lRLk5BU0RBUTpNU0ZULklRX0VCSVRB</t>
  </si>
  <si>
    <t>X0VRX0lOQ19FWENMX1NCQy4xMDAwLjAyLzA4LzIwMjYuLi5VU0QuSAEAAABLVQAAAgAAAAYxNzcwNjQBCAAAAAUAAAABMQEAAAALLTE4ODAyMjk2NjUDAAAAAzE2MAIAAAAFMjQxMzIEAAAAATAHAAAACDgvMi8yMDI2CAAAAAk2LzMwLzIwMjYJAAAAATBDzPBuLPDeCPaEiIcs8N4IQUNJUS5OQVNEQVE6TVNGVC5JUV9FQklUREFSX0VRX0lOQ19FWENMX1NCQy45OTkuMDIvMDgvMjAyNi4uLlVTRC5IAQAAAEtVAAACAAAABjE2OTMwMQEIAAAABQAAAAExAQAAAAstMTg4MDIyOTY4NgMAAAADMTYwAgAAAAUyNDEzMwQAAAABMAcAAAAIOC8yLzIwMjYIAAAACTYvMzAvMjAyNQkAAAABMEPM8G4s8N4I9oSIhyzw3gg8Q0lRLk5BU0RBUTpNU0ZULklRX0FTX1JFUE9SVEVEX0VCSVREQS45OTIuMDIvMDgvMjAyNi4uLlVTRC5IAQAAAEtVAAADAAAAAABDzPBuLPDeCPaEiIcs8N4IOkNJUS5OQVNEQVE6TVNGVC5JUV9JTlRFUkVTVF9JTkNPTUUuMTAwMC4wMi8wOC8yMDI2Li4uVVNELkgBAAAAS1UAAAIAAAAEMzMwMQEIAAAABQAAAAExAQAAAAstMTg4MDIyOTY2NQMAAAADMTYwAgAAAAMyMTAEAAAAATAHAAAACDgvMi8yMDI2CAAAAAk2LzMwLzIwMjYJAAAAATBDzPBuLPDeCBusiIcs8N4IPENJUS5OQVNEQVE6TVNGVC5JUV9DVVJSX0ZPUkVJR05fVEFYRVMuOTk2LjAyLzA4LzIwMjYuLi5VU0QuSAEAAABLVQAAAgAA</t>
  </si>
  <si>
    <t>AAQ2NjcyAQgAAAAFAAAAATEBAAAACy0xOTg1OTMxMjI0AwAAAAMxNjACAAAABDMwMzAEAAAAATAHAAAACDgvMi8yMDI2CAAAAAk2LzMwLzIwMjIJAAAAATBDzPBuLPDeCCDTiIcs8N4IQ0NJUS5OQVNEQVE6TVNGVC5JUV9OT05SRUNVUlJJTkdfSU5DT01FX1RBWEVTLjk5My4wMi8wOC8yMDI2Li4uVVNELkgBAAAAS1UAAAIAAAADMTU3AQgAAAAFAAAAATEBAAAACy0yMTQwOTgxNDY5AwAAAAMxNjACAAAABTQ4ODM5BAAAAAEwBwAAAAg4LzIvMjAyNggAAAAJNi8zMC8yMDE5CQAAAAEwQ8zwbizw3ggbrIiHLPDeCEtDSVEuTkFTREFROk1TRlQuSVFfSU5URVJFU1RfRVhQX0xFQVNFX0xJQUJJTElUWV9ERUJULjk5Mi4wMi8wOC8yMDI2Li4uVVNELkgBAAAAS1UAAAMAAAAAAEPM8G4s8N4IG6yIhyzw3gg8Q0lRLk5BU0RBUTpNU0ZULklRX0RJU1RSSUJVVEFCTEVfQ0FTSC45OTYuMDIvMDgvMjAyNi4uLlVTRC5IAQAAAEtVAAADAAAAAABDzPBuLPDeCBusiIcs8N4INUNJUS5OQVNEQVE6TVNGVC5JUV9BRFZFUlRJU0lORy45OTkuMDIvMDgvMjAyNi4uLlVTRC5IAQAAAEtVAAACAAAABDIxMDABCAAAAAUAAAABMQEAAAALLTE4ODAyMjk2ODYDAAAAAzE2MAIAAAAEMzAxMwQAAAABMAcAAAAIOC8yLzIwMjYIAAAACTYvMzAvMjAyNQkAAAABMEPM8G4s8N4IINOIhyzw3gg7Q0lRLk5BU0RBUTpNU0ZULklRX05FVF9S</t>
  </si>
  <si>
    <t>RU5UQUxfRVhQX0ZOLjk5OC4wMi8wOC8yMDI2Li4uVVNELkgBAAAAS1UAAAIAAAAEMzU1NQEIAAAABQAAAAExAQAAAAstMTg4MDIyOTY5NAMAAAADMTYwAgAAAAQzMTcwBAAAAAEwBwAAAAg4LzIvMjAyNggAAAAJNi8zMC8yMDI0CQAAAAEwQ8zwbizw3ggg04iHLPDeCDZDSVEuTkFTREFROk1TRlQuSVFfT1RIRVJfUkVOVEFMLjk5OS4wMi8wOC8yMDI2Li4uVVNELkgBAAAAS1UAAAMAAAAAAEPM8G4s8N4IG6yIhyzw3gg/Q0lRLk5BU0RBUTpNU0ZULklRX0lNUFVUX09QRVJfTEVBU0VfREVQUi45OTcuMDIvMDgvMjAyNi4uLlVTRC5IAQAAAEtVAAACAAAACDIyOTMuNjA2AQgAAAAFAAAAATEBAAAACy0xOTM0MjU0MjUwAwAAAAMxNjACAAAABTIxNjczBAAAAAEwBwAAAAg4LzIvMjAyNggAAAAJNi8zMC8yMDIzCQAAAAEwQ8zwbizw3ggbrIiHLPDeCDVDSVEuTkFTREFROk1TRlQuSVFfSVBSRF9TVVBQTEUuOTk1LjAyLzA4LzIwMjYuLi5VU0QuSAEAAABLVQAAAwAAAAAAQ8zwbizw3ggbrIiHLPDeCDpDSVEuTkFTREFROk1TRlQuSVFfU1RPQ0tfQkFTRURfQ09HUy45OTYuMDIvMDgvMjAyNi4uLlVTRC5IAQAAAEtVAAADAAAAAABDzPBuLPDeCGEBiYcs8N4IPkNJUS5OQVNEQVE6TVNGVC5JUV9SRVNUUl9TVE9DS19DT01QX1RBWC45OTUuMDIvMDgvMjAyNi4uLlVTRC5IAQAAAEtVAAADAAAAAABDzPBuLPDeCGEB</t>
  </si>
  <si>
    <t>iYcs8N4IL0NJUS5OQVNEQVE6TVNGVC5JUV9EQV9DRi45OTUuMDIvMDgvMjAyNi4uLlVTRC5IAQAAAEtVAAACAAAABTEwOTAwAQgAAAAFAAAAATEBAAAACy0yMDM2ODQzODQzAwAAAAMxNjACAAAABDIxNjAEAAAAATAHAAAACDgvMi8yMDI2CAAAAAk2LzMwLzIwMjEJAAAAATBDzPBuLPDeCCDTiIcs8N4IN0NJUS5OQVNEQVE6TVNGVC5JUV9TQUxFX0lOVEFOX0NGLjk5My4wMi8wOC8yMDI2Li4uVVNELkgBAAAAS1UAAAMAAAAAAEPM8G4s8N4IINOIhyzw3gg5Q0lRLk5BU0RBUTpNU0ZULklRX0lOVEVSQ09NUEFOWV9DTC45OTAuMDIvMDgvMjAyNi4uLlVTRC5IAQAAAEtVAAADAAAAAABDzPBuLPDeCCDTiIcs8N4IPENJUS5OQVNEQVE6TVNGVC5JUV9MVF9NQVJLX1NFQ1VSSVRJRVMuOTkwLjAyLzA4LzIwMjYuLi5VU0QuSAEAAABLVQAAAwAAAAAAQ8zwbizw3ghhAYmHLPDeCEJDSVEuTkFTREFROk1TRlQuSVFfREVSSVZBVElWRV9MSUFCX0NVUlJFTlQuMjAwMC4wMi8wOC8yMDI2Li4uVVNELkgBAAAAS1UAAAIAAAADMzc5AQgAAAAFAAAAATEBAAAACy0xODgwMjI5MzIzAwAAAAMxNjACAAAABTQwNDE3BAAAAAEwBwAAAAg4LzIvMjAyNggAAAAJNi8zMC8yMDI2CQAAAAEwQ8zwbizw3ghhAYmHLPDeCD5DSVEuTkFTREFROk1TRlQuSVFfVE9UQUxfREVCVF9FWENMX0ZJTi4yMDAwLjAyLzA4LzIwMjYuLi5VU0Qu</t>
  </si>
  <si>
    <t>SAEAAABLVQAAAgAAAAYxMjg4MTMBCAAAAAUAAAABMQEAAAALLTE4ODAyMjkzMjMDAAAAAzE2MAIAAAAFMjE4NjAEAAAAATAHAAAACDgvMi8yMDI2CAAAAAk2LzMwLzIwMjYJAAAAATBDzPBuLPDeCCDTiIcs8N4IPENJUS5OQVNEQVE6TVNGVC5JUV9GSU5fRElWX0NBU0hfRVFVSVYuOTkxLjAyLzA4LzIwMjYuLi5VU0QuSAEAAABLVQAAAwAAAAAAQ8zwbizw3ghhAYmHLPDeCD5DSVEuTkFTREFROk1TRlQuSVFfTElBQklMSVRJRVNfTEVWRUxfMS4yMDAwLjAyLzA4LzIwMjYuLi5VU0QuSAEAAABLVQAAAwAAAAAAQ8zwbizw3ghhAYmHLPDeCFFDSVEuTkFTREFROk1TRlQuSVFfTElRVUlEQVRJT05fVkFMVUVfUFJFRkVSUkVEX05PTl9SRURFRU0uMjAwMC4wMi8wOC8yMDI2Li4uVVNELkgBAAAAS1UAAAMAAAAAAEPM8G4s8N4ImiiJhyzw3ghEQ0lRLk5BU0RBUTpNU0ZULklRX0ZJTl9ESVZfTUlOT1JJVFlfSU5URVJFU1QuMjAwMC4wMi8wOC8yMDI2Li4uVVNELkgBAAAAS1UAAAMAAAAAAEPM8G4s8N4ImiiJhyzw3ggyQ0lRLk5BU0RBUTpNU0ZULklRX1NPRlRXQVJFLjk5MS4wMi8wOC8yMDI2Li4uVVNELkgBAAAAS1UAAAMAAAAAAEPM8G4s8N4IYQGJhyzw3ggxQ0lRLk5BU0RBUTpNU0ZULklRX1JBV19JTlYuOTkxLjAyLzA4LzIwMjYuLi5VU0QuSAEAAABLVQAAAgAAAAM3OTcBCAAAAAUAAAABMQEAAAAKMTk3</t>
  </si>
  <si>
    <t>MzM4MDk1MQMAAAADMTYwAgAAAAQzMTcxBAAAAAEwBwAAAAg4LzIvMjAyNggAAAAJNi8zMC8yMDE3CQAAAAEwQ8zwbizw3ghhAYmHLPDeCDNDSVEuTkFTREFROk1TRlQuSVFfVE9UQUxfQ0FQLjk5MC4wMi8wOC8yMDI2Li4uVVNELkgBAAAAS1UAAAIAAAAGMTI2NTM4AQgAAAAFAAAAATEBAAAACjE4OTg0ODk0NzADAAAAAzE2MAIAAAAENDE3NQQAAAABMAcAAAAIOC8yLzIwMjYIAAAACTYvMzAvMjAxNgkAAAABMEPM8G4s8N4IYQGJhyzw3gg9Q0lRLk5BU0RBUTpNU0ZULklRX1RCVl9TSEFSRV9SRVBPUlRFRC4yMDAwLjAyLzA4LzIwMjYuLi5VU0QuSAEAAABLVQAAAwAAAAAAQ8zwbizw3giaKImHLPDeCFZDSVEuTkFTREFROk1TRlQuSVFfRklOQU5DSU5HX09CTElHX05PTl9DVVJSRU5UX0VYQ0xfT1BFUl9MRUFTRVMuOTkxLjAyLzA4LzIwMjYuLi5VU0QuSAEAAABLVQAAAgAAAAU3ODQ5OAEIAAAABQAAAAExAQAAAAoxOTczMzgwOTUxAwAAAAMxNjACAAAABTQ4OTgxBAAAAAEwBwAAAAg4LzIvMjAyNggAAAAJNi8zMC8yMDE3CQAAAAEwQ8zwbizw3giaKImHLPDeCEJDSVEuTkFTREFROk1TRlQuSVFfRklOQU5DRV9MRUFTRVNfTE9OR19URVJNLjk5MS4wMi8wOC8yMDI2Li4uVVNELkgBAAAAS1UAAAIAAAAEMjQyNQEIAAAABQAAAAExAQAAAAoxOTczMzgwOTUxAwAAAAMxNjACAAAABTQ4OTkxBAAAAAEwBwAA</t>
  </si>
  <si>
    <t>AAg4LzIvMjAyNggAAAAJNi8zMC8yMDE3CQAAAAEwQ8zwbizw3ghhAYmHLPDeCD9DSVEuTkFTREFROk1TRlQuSVFfUlVBX0NBUElUQUxfTEVBU0VfTkVULjk5MC4wMi8wOC8yMDI2Li4uVVNELkgBAAAAS1UAAAMAAAAAAEPM8G4s8N4IYQGJhyzw3gg2Q0lRLk5BU0RBUTpNU0ZULklRX1RPVEFMX0VRVUlUWS45OTAuMDIvMDgvMjAyNi4uLlVTRC5IAQAAAEtVAAACAAAABTcxOTk3AQgAAAAFAAAAATEBAAAACjE4OTg0ODk0NzADAAAAAzE2MAIAAAAEMTI3NQQAAAABMAcAAAAIOC8yLzIwMjYIAAAACTYvMzAvMjAxNgkAAAABMEPM8G4s8N4ImiiJhyzw3ggwQ0lRLk5BU0RBUTpNU0ZULklRX0NPTU1PTi45OTEuMDIvMDgvMjAyNi4uLlVTRC5IAQAAAEtVAAACAAAABTY5MzE1AQgAAAAFAAAAATEBAAAACjE5NzMzODA5NTEDAAAAAzE2MAIAAAAEMTEwMwQAAAABMAcAAAAIOC8yLzIwMjYIAAAACTYvMzAvMjAxNwkAAAABMEPM8G4s8N4Ipk+Jhyzw3ggyQ0lRLk5BU0RBUTpNU0ZULklRX1BFTlNJT04uMjAwMC4wMi8wOC8yMDI2Li4uVVNELkgBAAAAS1UAAAMAAAAAAEPM8G4s8N4Ipk+Jhyzw3ggyQ0lRLk5BU0RBUTpNU0ZULklRX1RPVEFMX0NMLjk5MC4wMi8wOC8yMDI2Li4uVVNELkgBAAAAS1UAAAIAAAAFNTkzNTcBCAAAAAUAAAABMQEAAAAKMTg5ODQ4OTQ3MAMAAAADMTYwAgAAAAQxMDA5BAAAAAEwBwAAAAg4</t>
  </si>
  <si>
    <t>LzIvMjAyNggAAAAJNi8zMC8yMDE2CQAAAAEwQ8zwbizw3giaKImHLPDeCD1DSVEuTkFTREFROk1TRlQuSVFfQ1VSUkVOVF9QT1JUX0xFQVNFUy45OTEuMDIvMDgvMjAyNi4uLlVTRC5IAQAAAEtVAAACAAAABDE1MzYBCAAAAAUAAAABMQEAAAAKMTk3MzM4MDk1MQMAAAADMTYwAgAAAAQxMDkwBAAAAAEwBwAAAAg4LzIvMjAyNggAAAAJNi8zMC8yMDE3CQAAAAEwQ8zwbizw3giaKImHLPDeCDpDSVEuTkFTREFROk1TRlQuSVFfTE9BTlNfUkVDRUlWX0xULjIwMDAuMDIvMDgvMjAyNi4uLlVTRC5IAQAAAEtVAAADAAAAAABDzPBuLPDeCJooiYcs8N4IM0NJUS5OQVNEQVE6TVNGVC5JUV9MVF9JTlZFU1QuOTkwLjAyLzA4LzIwMjYuLi5VU0QuSAEAAABLVQAAAgAAAAUxMDQzOAEIAAAABQAAAAExAQAAAAoxODk4NDg5NDcwAwAAAAMxNjACAAAABDEwNTQEAAAAATAHAAAACDgvMi8yMDI2CAAAAAk2LzMwLzIwMTYJAAAAATBDzPBuLPDeCKZPiYcs8N4IQENJUS5OQVNEQVE6TVNGVC5JUV9ERUZfVEFYX0FTU0VUU19DVVJSRU5ULjk5MC4wMi8wOC8yMDI2Li4uVVNELkgBAAAAS1UAAAMAAAAAAEPM8G4s8N4Ipk+Jhyzw3ggtQ0lRLk5BU0RBUTpNU0ZULklRX0FSLjIwMDAuMDIvMDgvMjAyNi4uLlVTRC5IAQAAAEtVAAACAAAABTgwODc2AQgAAAAFAAAAATEBAAAACy0xODgwMjI5MzIzAwAAAAMxNjACAAAABDEwMjEE</t>
  </si>
  <si>
    <t>AAAAATAHAAAACDgvMi8yMDI2CAAAAAk2LzMwLzIwMjYJAAAAATBDzPBuLPDeCJooiYcs8N4IR0NJUS5OQVNEQVE6TVNGVC5JUV9UT1RBTF9ERUJUX1JFUEFJRF9FWENMX0xFQVNFUy45OTAuMDIvMDgvMjAyNi4uLlVTRC5IAQAAAEtVAAACAAAABS0yNzk2AQgAAAAFAAAAATEBAAAACjE4OTg0ODk0NzADAAAAAzE2MAIAAAAFNDg5ODYEAAAAATAHAAAACDgvMi8yMDI2CAAAAAk2LzMwLzIwMTYJAAAAATBDzPBuLPDeCJooiYcs8N4INUNJUS5OQVNEQVE6TVNGVC5JUV9NQUlOVF9DQVBFWC45OTEuMDIvMDgvMjAyNi4uLlVTRC5IAQAAAEtVAAADAAAAAABDzPBuLPDeCKZPiYcs8N4IOkNJUS5OQVNEQVE6TVNGVC5JUV9DQVNIX1RBWEVTX09QRVIuMjAwMC4wMi8wOC8yMDI2Li4uVVNELkgBAAAAS1UAAAMAAAAAAEPM8G4s8N4I9XaJhyzw3gg7Q0lRLk5BU0RBUTpNU0ZULklRX0NBU0hfSU5URVJFU1RfTkVULjk5MC4wMi8wOC8yMDI2Li4uVVNELkgBAAAAS1UAAAMAAAAAAEPM8G4s8N4I9XaJhyzw3ghGQ0lRLk5BU0RBUTpNU0ZULklRX0RBX1NVUFBMX0NGX0VYQ0xfT1BFUl9MRUFTRVMuOTkxLjAyLzA4LzIwMjYuLi5VU0QuSAEAAABLVQAAAgAAAAQ2MTAwAQgAAAAFAAAAATEBAAAACjE5NzMzODA5NTEDAAAAAzE2MAIAAAAFNDg5ODMEAAAAATAHAAAACDgvMi8yMDI2CAAAAAk2LzMwLzIwMTcJAAAAATBDzPBu</t>
  </si>
  <si>
    <t>LPDeCKZPiYcs8N4ILENJUS5OQVNEQVE6TVNGVC5JUV9GWC45OTAuMDIvMDgvMjAyNi4uLlVTRC5IAQAAAEtVAAACAAAAAy02NwEIAAAABQAAAAExAQAAAAoxODk4NDg5NDcwAwAAAAMxNjACAAAABDIxNDQEAAAAATAHAAAACDgvMi8yMDI2CAAAAAk2LzMwLzIwMTYJAAAAATBDzPBuLPDeCKZPiYcs8N4IN0NJUS5OQVNEQVE6TVNGVC5JUV9DT01NT05fRElWX0NGLjk5MC4wMi8wOC8yMDI2Li4uVVNELkgBAAAAS1UAAAIAAAAGLTExMDA2AQgAAAAFAAAAATEBAAAACjE4OTg0ODk0NzADAAAAAzE2MAIAAAAEMjA3NAQAAAABMAcAAAAIOC8yLzIwMjYIAAAACTYvMzAvMjAxNgkAAAABMEPM8G4s8N4Ipk+Jhyzw3gg4Q0lRLk5BU0RBUTpNU0ZULklRX1NUX0RFQlRfUkVQQUlELjk5MS4wMi8wOC8yMDI2Li4uVVNELkgBAAAAS1UAAAIAAAAFLTQ5NjMBCAAAAAUAAAABMQEAAAAKMTk3MzM4MDk1MQMAAAADMTYwAgAAAAQyMDQ0BAAAAAEwBwAAAAg4LzIvMjAyNggAAAAJNi8zMC8yMDE3CQAAAAEwQ8zwbizw3gj1domHLPDeCD5DSVEuTkFTREFROk1TRlQuSVFfU0FMRV9SRUFMX0VTVEFURV9DRi4yMDAwLjAyLzA4LzIwMjYuLi5VU0QuSAEAAABLVQAAAwAAAAAAQ8zwbizw3gj1domHLPDeCEZDSVEuTkFTREFROk1TRlQuSVFfQ0hBTkdFX09USEVSX05FVF9PUEVSX0FTU0VUUy45OTAuMDIvMDgvMjAyNi4uLlVTRC5I</t>
  </si>
  <si>
    <t>AQAAAEtVAAACAAAABS0yOTA3AQgAAAAFAAAAATEBAAAACjE4OTg0ODk0NzADAAAAAzE2MAIAAAAEMjA0NQQAAAABMAcAAAAIOC8yLzIwMjYIAAAACTYvMzAvMjAxNgkAAAABMEPM8G4s8N4I9XaJhyzw3gg/Q0lRLk5BU0RBUTpNU0ZULklRX0NIQU5HRV9UUkFESU5HX0FTU0VUUy45OTEuMDIvMDgvMjAyNi4uLlVTRC5IAQAAAEtVAAADAAAAAABDzPBuLPDeCPV2iYcs8N4IPUNJUS5OQVNEQVE6TVNGVC5JUV9BU1NFVF9XUklURURPV05fQ0YuMjAwMC4wMi8wOC8yMDI2Li4uVVNELkgBAAAAS1UAAAMAAAAAAEPM8G4s8N4I9XaJhyzw3gg0Q0lRLk5BU0RBUTpNU0ZULklRX09JTF9JTVBBSVIuOTkwLjAyLzA4LzIwMjYuLi5VU0QuSAEAAABLVQAAAwAAAAAAQ8zwbizw3gjgnYmHLPDeCDxDSVEuTkFTREFROk1TRlQuSVFfU1RPQ0tfT1BUSU9OU19DT01QLjk5MC4wMi8wOC8yMDI2Li4uVVNELkgBAAAAS1UAAAMAAAAAAEPM8G4s8N4I4J2Jhyzw3ghEQ0lRLk5BU0RBUTpNU0ZULklRX1NUT0NLX0JBU0VEX0VYUExPUkVfRFJJTEwuMjAwMC4wMi8wOC8yMDI2Li4uVVNELkgBAAAAS1UAAAMAAAAAAEPM8G4s8N4I9XaJhyzw3gg8Q0lRLk5BU0RBUTpNU0ZULklRX05FR0FUSVZFX0dXX0FNT1JULjIwMDAuMDIvMDgvMjAyNi4uLlVTRC5IAQAAAEtVAAADAAAAAABDzPBuLPDeCPV2iYcs8N4INkNJUS5OQVNEQVE6TVNG</t>
  </si>
  <si>
    <t>VC5JUV9JUFJEX1NVUFBMRS4yMDAwLjAyLzA4LzIwMjYuLi5VU0QuSAEAAABLVQAAAwAAAAAAQ8zwbizw3gj1domHLPDeCEJDSVEuTkFTREFROk1TRlQuSVFfSU1QVVRfT1BFUl9MRUFTRV9JTlRfRVhQLjk5MS4wMi8wOC8yMDI2Li4uVVNELkgBAAAAS1UAAAIAAAAKMzM0LjUwODQ0OAEIAAAABQAAAAExAQAAAAoxOTczMzgwOTUxAwAAAAMxNjACAAAABTIxNjcyBAAAAAEwBwAAAAg4LzIvMjAyNggAAAAJNi8zMC8yMDE3CQAAAAEwQ8zwbizw3gjgnYmHLPDeCDtDSVEuTkFTREFROk1TRlQuSVFfQ09OVElOR0VOVF9SRU5UQUwuOTkxLjAyLzA4LzIwMjYuLi5VU0QuSAEAAABLVQAAAwAAAAAAQ8zwbizw3gjaxImHLPDeCDNDSVEuTkFTREFROk1TRlQuSVFfTUFSS0VUSU5HLjk5MS4wMi8wOC8yMDI2Li4uVVNELkgBAAAAS1UAAAMAAAAAAEPM8G4s8N4I4J2Jhyzw3gg7Q0lRLk5BU0RBUTpNU0ZULklRX0lOVF9FWFBfSU5DTF9DQVAuMjAwMC4wMi8wOC8yMDI2Li4uVVNELkgBAAAAS1UAAAIAAAAEMzA4MQEIAAAABQAAAAExAQAAAAstMTg4MDIyOTMyMwMAAAADMTYwAgAAAAUyMTg2MQQAAAABMAcAAAAIOC8yLzIwMjYIAAAACTYvMzAvMjAyNgkAAAABMEPM8G4s8N4I4J2Jhyzw3ghDQ0lRLk5BU0RBUTpNU0ZULklRX05PTlJFQ1VSUklOR19JTkNPTUVfVEFYRVMuOTkwLjAyLzA4LzIwMjYuLi5VU0QuSAEAAABL</t>
  </si>
  <si>
    <t>VQAAAwAAAAAAQ8zwbizw3gjgnYmHLPDeCEFDSVEuTkFTREFROk1TRlQuSVFfRVhDSVNFX1RBWEVTX0lOQ0xfU0FMRVMuOTkwLjAyLzA4LzIwMjYuLi5VU0QuSAEAAABLVQAAAwAAAAAAQ8zwbizw3gjaxImHLPDeCD9DSVEuTkFTREFROk1TRlQuSVFfVE9UQUxfUkVWX0FTX1JFUE9SVEVELjk5MC4wMi8wOC8yMDI2Li4uVVNELkgBAAAAS1UAAAIAAAAFOTExNTQBCAAAAAUAAAABMQEAAAAKMTg5ODQ4OTQ3MAMAAAADMTYwAgAAAAMzMzkEAAAAATAHAAAACDgvMi8yMDI2CAAAAAk2LzMwLzIwMTYJAAAAATBDzPBuLPDeCNrEiYcs8N4IOENJUS5OQVNEQVE6TVNGVC5JUV9FQklUQV9FWENMX1NCQy45OTAuMDIvMDgvMjAyNi4uLlVTRC5IAQAAAEtVAAACAAAABTMwODM0AQgAAAAFAAAAATEBAAAACjE4OTg0ODk0NzADAAAAAzE2MAIAAAAFMjQxMzYEAAAAATAHAAAACDgvMi8yMDI2CAAAAAk2LzMwLzIwMTYJAAAAATBDzPBuLPDeCOCdiYcs8N4ILkNJUS5OQVNEQVE6TVNGVC5JUV9FQklULjk5MS4wMi8wOC8yMDI2Li4uVVNELkgBAAAAS1UAAAIAAAAFMjkzMzEBCAAAAAUAAAABMQEAAAAKMTk3MzM4MDk1MQMAAAADMTYwAgAAAAM0MDAEAAAAATAHAAAACDgvMi8yMDI2CAAAAAk2LzMwLzIwMTcJAAAAATBDzPBuLPDeCOCdiYcs8N4IQ0NJUS5OQVNEQVE6TVNGVC5JUV9ESVNUUklCVVRBQkxFX0NBU0hfU0hBUkUu</t>
  </si>
  <si>
    <t>MjAwMC4wMi8wOC8yMDI2Li4uVVNELkgBAAAAS1UAAAMAAAAAAEPM8G4s8N4I4J2Jhyzw3gg4Q0lRLk5BU0RBUTpNU0ZULklRX0RJTFVUX0VQU19FWENMLjk5MC4wMi8wOC8yMDI2Li4uVVNELkgBAAAAS1UAAAIAAAAEMi41NgEIAAAABQAAAAExAQAAAAoxODk4NDg5NDcwAwAAAAMxNjACAAAAAzE0MgQAAAABMAcAAAAIOC8yLzIwMjYIAAAACTYvMzAvMjAxNgkAAAABMEPM8G4s8N4IA+yJhyzw3gg/Q0lRLk5BU0RBUTpNU0ZULklRX01JTk9SSVRZX0lOVEVSRVNUX0lTLjIwMDAuMDIvMDgvMjAyNi4uLlVTRC5IAQAAAEtVAAADAAAAAABDzPBuLPDeCAPsiYcs8N4IPUNJUS5OQVNEQVE6TVNGVC5JUV9PVEhFUl9VTlVTVUFMX1NVUFBMLjk5MS4wMi8wOC8yMDI2Li4uVVNELkgBAAAAS1UAAAMAAAAAAEPM8G4s8N4I2sSJhyzw3gg3Q0lRLk5BU0RBUTpNU0ZULklRX0lNUEFJUk1FTlRfR1cuOTkxLjAyLzA4LzIwMjYuLi5VU0QuSAEAAABLVQAAAwAAAAAAQ8zwbizw3gjaxImHLPDeCDpDSVEuTkFTREFROk1TRlQuSVFfTkVUX0lOVEVSRVNUX0VYUC45OTEuMDIvMDgvMjAyNi4uLlVTRC5IAQAAAEtVAAACAAAABC04MzUBCAAAAAUAAAABMQEAAAAKMTk3MzM4MDk1MQMAAAADMTYwAgAAAAMzNjgEAAAAATAHAAAACDgvMi8yMDI2CAAAAAk2LzMwLzIwMTcJAAAAATBDzPBuLPDeCNrEiYcs8N4IMkNJUS5OQVNEQVE6</t>
  </si>
  <si>
    <t>TVNGVC5JUV9EQV9TVVBQTC45OTAuMDIvMDgvMjAyNi4uLlVTRC5IAQAAAEtVAAADAAAAAABDzPBuLPDeCAPsiYcs8N4ILENJUS5OQVNEQVE6TVNGVC5JUV9HUC45OTAuMDIvMDgvMjAyNi4uLlVTRC5IAQAAAEtVAAACAAAABTU4Mzc0AQgAAAAFAAAAATEBAAAACjE4OTg0ODk0NzADAAAAAzE2MAIAAAACMTAEAAAAATAHAAAACDgvMi8yMDI2CAAAAAk2LzMwLzIwMTYJAAAAATBDzPBuLPDeCAPsiYcs8N4INUNJUS5OQVNEQVE6TVNGVC5JUV9JTlRfSU5WX0lOQy45OTEuMDIvMDgvMjAyNi4uLlVTRC5IAQAAAEtVAAADAAAAAABDzPBuLPDeCNrEiYcs8N4INUNJUS5OQVNEQVE6TVNGVC5JUV9JTlNfRElWX1JFVi45OTMuMDIvMDgvMjAyNi4uLlVTRC5IAQAAAEtVAAADAAAAAABDzPBuLPDeCNrEiYcs8N4IOUNJUS5OQVNEQVE6TVNGVC5JUV9HQUlOX0lOVkVTVF9SRVYuOTk0LjAyLzA4LzIwMjYuLi5VU0QuSAEAAABLVQAAAwAAAAAAQ8zwbizw3gjaxImHLPDeCDNDSVEuTkFTREFROk1TRlQuSVFfVE9UQUxfUkVWLjk5Mi4wMi8wOC8yMDI2Li4uVVNELkgBAAAAS1UAAAIAAAAGMTEwMzYwAQgAAAAFAAAAATEBAAAACjIwNDcyNzE3NDUDAAAAAzE2MAIAAAACMjgEAAAAATAHAAAACDgvMi8yMDI2CAAAAAk2LzMwLzIwMTgJAAAAATBDzPBuLPDeCMgmiocs8N4INUNJUS5OQVNEQVE6TVNGVC5JUV9GSU5fRElWX0VY</t>
  </si>
  <si>
    <t>UC45OTMuMDIvMDgvMjAyNi4uLlVTRC5IAQAAAEtVAAADAAAAAABDzPBuLPDeCMgmiocs8N4IOUNJUS5OQVNEQVE6TVNGVC5JUV9GSU5fRElWX0lOVF9FWFAuOTk0LjAyLzA4LzIwMjYuLi5VU0QuSAEAAABLVQAAAwAAAAAAQ8zwbizw3ggD7ImHLPDeCDdDSVEuTkFTREFROk1TRlQuSVFfRVhQTE9SRV9EUklMTC45OTIuMDIvMDgvMjAyNi4uLlVTRC5IAQAAAEtVAAADAAAAAABDzPBuLPDeCAPsiYcs8N4INUNJUS5OQVNEQVE6TVNGVC5JUV9TVE9DS19CQVNFRC45OTMuMDIvMDgvMjAyNi4uLlVTRC5IAQAAAEtVAAADAAAAAABDzPBuLPDeCAPsiYcs8N4IMkNJUS5OQVNEQVE6TVNGVC5JUV9EQV9TVVBQTC45OTkuMDIvMDgvMjAyNi4uLlVTRC5IAQAAAEtVAAADAAAAAABDzPBuLPDeCA5Oiocs8N4INENJUS5OQVNEQVE6TVNGVC5JUV9JTVBBSVJfT0lMLjk5Mi4wMi8wOC8yMDI2Li4uVVNELkgBAAAAS1UAAAMAAAAAAEPM8G4s8N4IDk6Khyzw3gg6Q0lRLk5BU0RBUTpNU0ZULklRX1RPVEFMX09USEVSX09QRVIuOTkzLjAyLzA4LzIwMjYuLi5VU0QuSAEAAABLVQAAAgAAAAUzOTk3NAEIAAAABQAAAAExAQAAAAstMjE0MDk4MTQ2OQMAAAADMTYwAgAAAAMzODAEAAAAATAHAAAACDgvMi8yMDI2CAAAAAk2LzMwLzIwMTkJAAAAATBDzPBuLPDeCAPsiYcs8N4IPkNJUS5OQVNEQVE6TVNGVC5JUV9JTlRFUkVTVF9J</t>
  </si>
  <si>
    <t>TlZFU1RfSU5DLjEwMDAuMDIvMDgvMjAyNi4uLlVTRC5IAQAAAEtVAAACAAAABDMzMDEBCAAAAAUAAAABMQEAAAALLTE4ODAyMjk2NjUDAAAAAzE2MAIAAAACNjUEAAAAATAHAAAACDgvMi8yMDI2CAAAAAk2LzMwLzIwMjYJAAAAATBDzPBuLPDeCAPsiYcs8N4INENJUS5OQVNEQVE6TVNGVC5JUV9JTkNfRVFVSVRZLjk5Mi4wMi8wOC8yMDI2Li4uVVNELkgBAAAAS1UAAAMAAAAAAEPM8G4s8N4IyCaKhyzw3ggyQ0lRLk5BU0RBUTpNU0ZULklRX0VCVF9FWENMLjk5OS4wMi8wOC8yMDI2Li4uVVNELkgBAAAAS1UAAAIAAAAGMTI0MjQyAQgAAAAFAAAAATEBAAAACy0xODgwMjI5Njg2AwAAAAMxNjACAAAAATQEAAAAATAHAAAACDgvMi8yMDI2CAAAAAk2LzMwLzIwMjUJAAAAATBDzPBuLPDeCA5Oiocs8N4IMENJUS5OQVNEQVE6TVNGVC5JUV9NRVJHRVIuOTkyLjAyLzA4LzIwMjYuLi5VU0QuSAEAAABLVQAAAwAAAAAAQ8zwbizw3ggOToqHLPDeCDZDSVEuTkFTREFROk1TRlQuSVFfR0FJTl9BU1NFVFMuMTAwMC4wMi8wOC8yMDI2Li4uVVNELkgBAAAAS1UAAAMAAAAAAEPM8G4s8N4IyCaKhyzw3gg0Q0lRLk5BU0RBUTpNU0ZULklRX0lOU19TRVRUTEUuOTk5LjAyLzA4LzIwMjYuLi5VU0QuSAEAAABLVQAAAwAAAAAAQ8zwbizw3gjIJoqHLPDeCC1DSVEuTkFTREFROk1TRlQuSVFfRUJULjk5My4wMi8wOC8yMDI2</t>
  </si>
  <si>
    <t>Li4uVVNELkgBAAAAS1UAAAIAAAAFNDM2ODgBCAAAAAUAAAABMQEAAAALLTIxNDA5ODE0NjkDAAAAAzE2MAIAAAADMTM5BAAAAAEwBwAAAAg4LzIvMjAyNggAAAAJNi8zMC8yMDE5CQAAAAEwQ8zwbizw3ggOToqHLPDeCDRDSVEuTkFTREFROk1TRlQuSVFfRUFSTklOR19DTy45OTguMDIvMDgvMjAyNi4uLlVTRC5IAQAAAEtVAAACAAAABTg4MTM2AQgAAAAFAAAAATEBAAAACy0xODgwMjI5Njk0AwAAAAMxNjACAAAAATcEAAAAATAHAAAACDgvMi8yMDI2CAAAAAk2LzMwLzIwMjQJAAAAATBDzPBuLPDeCCh1iocs8N4IPkNJUS5OQVNEQVE6TVNGVC5JUV9NSU5PUklUWV9JTlRFUkVTVF9JUy45OTQuMDIvMDgvMjAyNi4uLlVTRC5IAQAAAEtVAAADAAAAAABDzPBuLPDeCCh1iocs8N4IOUNJUS5OQVNEQVE6TVNGVC5JUV9QUkVGX0RJVl9PVEhFUi4xMDAwLjAyLzA4LzIwMjYuLi5VU0QuSAEAAABLVQAAAwAAAAAAQ8zwbizw3ggOToqHLPDeCDhDSVEuTkFTREFROk1TRlQuSVFfQkFTSUNfRVBTX0lOQ0wuOTkzLjAyLzA4LzIwMjYuLi5VU0QuSAEAAABLVQAAAgAAAAg1LjExNDAzNgEIAAAABQAAAAExAQAAAAstMjE0MDk4MTQ2OQMAAAADMTYwAgAAAAE5BAAAAAEwBwAAAAg4LzIvMjAyNggAAAAJNi8zMC8yMDE5CQAAAAEwQ8zwbizw3ggOToqHLPDeCDlDSVEuTkFTREFROk1TRlQuSVFfRElMVVRfRVBTX0VYQ0wu</t>
  </si>
  <si>
    <t>MTAwMC4wMi8wOC8yMDI2Li4uVVNELkgBAAAAS1UAAAIAAAAFMTcuOTUBCAAAAAUAAAABMQEAAAALLTE4ODAyMjk2NjUDAAAAAzE2MAIAAAADMTQyBAAAAAEwBwAAAAg4LzIvMjAyNggAAAAJNi8zMC8yMDI2CQAAAAEwQ8zwbizw3ggOToqHLPDeCDNDSVEuTkFTREFROk1TRlQuSVFfRElWX1NIQVJFLjk5OS4wMi8wOC8yMDI2Li4uVVNELkgBAAAAS1UAAAIAAAAEMy4zMgEIAAAABQAAAAExAQAAAAstMTg4MDIyOTY4NgMAAAADMTYwAgAAAAQzMDU4BAAAAAEwBwAAAAg4LzIvMjAyNggAAAAJNi8zMC8yMDI1CQAAAAEwQ8zwbizw3ggodYqHLPDeCDtDSVEuTkFTREFROk1TRlQuSVFfU1BFQ0lBTF9ESVZfU0hBUkUuOTk5LjAyLzA4LzIwMjYuLi5VU0QuSAEAAABLVQAAAwAAAAAAQ8zwbizw3ggodYqHLPDeCDlDSVEuTkFTREFROk1TRlQuSVFfRUJJVERBX0VYQ0xfU0JDLjk5NC4wMi8wOC8yMDI2Li4uVVNELkgBAAAAS1UAAAIAAAAFNzA1NDgBCAAAAAUAAAABMQEAAAALLTIwODc0OTY2MjcDAAAAAzE2MAIAAAAFMjQxMzUEAAAAATAHAAAACDgvMi8yMDI2CAAAAAk2LzMwLzIwMjAJAAAAATBDzPBuLPDeCCh1iocs8N4ILkNJUS5OQVNEQVE6TVNGVC5JUV9FQklULjk5Ni4wMi8wOC8yMDI2Li4uVVNELkgBAAAAS1UAAAIAAAAFODMzODMBCAAAAAUAAAABMQEAAAALLTE5ODU5MzEyMjQDAAAAAzE2MAIAAAADNDAw</t>
  </si>
  <si>
    <t>BAAAAAEwBwAAAAg4LzIvMjAyNggAAAAJNi8zMC8yMDIyCQAAAAEwQ8zwbizw3ggodYqHLPDeCDdDSVEuTkFTREFROk1TRlQuSVFfRUJJVF9FWENMX1NCQy45OTUuMDIvMDgvMjAyNi4uLlVTRC5IAQAAAEtVAAACAAAABTc2MDM0AQgAAAAFAAAAATEBAAAACy0yMDM2ODQzODQzAwAAAAMxNjACAAAABTI0MTM0BAAAAAEwBwAAAAg4LzIvMjAyNggAAAAJNi8zMC8yMDIxCQAAAAEwQ8zwbizw3ggodYqHLPDeCDhDSVEuTkFTREFROk1TRlQuSVFfRUJJVEFfRVhDTF9TQkMuOTkyLjAyLzA4LzIwMjYuLi5VU0QuSAEAAABLVQAAAgAAAAU0MTE5OAEIAAAABQAAAAExAQAAAAoyMDQ3MjcxNzQ1AwAAAAMxNjACAAAABTI0MTM2BAAAAAEwBwAAAAg4LzIvMjAyNggAAAAJNi8zMC8yMDE4CQAAAAEwQ8zwbizw3ghJnIqHLPDeCDpDSVEuTkFTREFROk1TRlQuSVFfRUJJVERBUl9FWENMX1NCQy45OTkuMDIvMDgvMjAyNi4uLlVTRC5IAQAAAEtVAAACAAAABjE3NDAyNgEIAAAABQAAAAExAQAAAAstMTg4MDIyOTY4NgMAAAADMTYwAgAAAAUyNDEzNwQAAAABMAcAAAAIOC8yLzIwMjYIAAAACTYvMzAvMjAyNQkAAAABMEPM8G4s8N4ISZyKhyzw3gg8Q0lRLk5BU0RBUTpNU0ZULklRX0FTX1JFUE9SVEVEX0VCSVREQS45OTMuMDIvMDgvMjAyNi4uLlVTRC5IAQAAAEtVAAADAAAAAABDzPBuLPDeCCh1iocs8N4IO0NJUS5OQVNE</t>
  </si>
  <si>
    <t>QVE6TVNGVC5JUV9JTlZFU1RNRU5UX0lOQ09NRS45OTguMDIvMDgvMjAyNi4uLlVTRC5IAQAAAEtVAAADAAAAAABDzPBuLPDeCCh1iocs8N4INENJUS5OQVNEQVE6TVNGVC5JUV9DVVJSX1RBWEVTLjk5NC4wMi8wOC8yMDI2Li4uVVNELkgBAAAAS1UAAAIAAAAEODc0NAEIAAAABQAAAAExAQAAAAstMjA4NzQ5NjYyNwMAAAADMTYwAgAAAAUzNTM4MwQAAAABMAcAAAAIOC8yLzIwMjYIAAAACTYvMzAvMjAyMAkAAAABMEPM8G4s8N4IKHWKhyzw3ghDQ0lRLk5BU0RBUTpNU0ZULklRX05PTlJFQ1VSUklOR19JTkNPTUVfVEFYRVMuOTk1LjAyLzA4LzIwMjYuLi5VU0QuSAEAAABLVQAAAwAAAAAAQ8zwbizw3ghMw4qHLPDeCEtDSVEuTkFTREFROk1TRlQuSVFfSU5URVJFU1RfRVhQX0xFQVNFX0xJQUJJTElUWV9ERUJULjk5NC4wMi8wOC8yMDI2Li4uVVNELkgBAAAAS1UAAAIAAAADMzM2AQgAAAAFAAAAATEBAAAACy0yMDg3NDk2NjI3AwAAAAMxNjACAAAABTQ4OTA3BAAAAAEwBwAAAAg4LzIvMjAyNggAAAAJNi8zMC8yMDIwCQAAAAEwQ8zwbizw3ghMw4qHLPDeCElDSVEuTkFTREFROk1TRlQuSVFfRElTVFJJQlVUQUJMRV9DQVNIX1NUQU5EQVJESVpFRC45OTMuMDIvMDgvMjAyNi4uLlVTRC5IAQAAAEtVAAADAAAAAABDzPBuLPDeCCh1iocs8N4IM0NJUS5OQVNEQVE6TVNGVC5JUV9NQVJLRVRJTkcuOTk2LjAy</t>
  </si>
  <si>
    <t>LzA4LzIwMjYuLi5VU0QuSAEAAABLVQAAAwAAAAAAQ8zwbizw3ghJnIqHLPDeCDxDSVEuTkFTREFROk1TRlQuSVFfTkVUX1JFTlRBTF9FWFBfRk4uMTAwMC4wMi8wOC8yMDI2Li4uVVNELkgBAAAAS1UAAAIAAAAENjk2OAEIAAAABQAAAAExAQAAAAstMTg4MDIyOTY2NQMAAAADMTYwAgAAAAQzMTcwBAAAAAEwBwAAAAg4LzIvMjAyNggAAAAJNi8zMC8yMDI2CQAAAAEwQ8zwbizw3ghJnIqHLPDeCDdDSVEuTkFTREFROk1TRlQuSVFfT1RIRVJfUkVOVEFMLjEwMDAuMDIvMDgvMjAyNi4uLlVTRC5IAQAAAEtVAAADAAAAAABDzPBuLPDeCEPqiocs8N4IP0NJUS5OQVNEQVE6TVNGVC5JUV9JTVBVVF9PUEVSX0xFQVNFX0RFUFIuOTkyLjAyLzA4LzIwMjYuLi5VU0QuSAEAAABLVQAAAgAAAAoxMjA2LjMzNzE2AQgAAAAFAAAAATEBAAAACjIwNDcyNzE3NDUDAAAAAzE2MAIAAAAFMjE2NzMEAAAAATAHAAAACDgvMi8yMDI2CAAAAAk2LzMwLzIwMTgJAAAAATBDzPBuLPDeCEPqiocs8N4IOkNJUS5OQVNEQVE6TVNGVC5JUV9HQUlOX0JBUkdBSU5fQUNRLjk5NC4wMi8wOC8yMDI2Li4uVVNELkgBAAAAS1UAAAMAAAAAAEPM8G4s8N4ISZyKhyzw3gg6Q0lRLk5BU0RBUTpNU0ZULklRX1NUT0NLX0JBU0VEX0NPR1MuOTk5LjAyLzA4LzIwMjYuLi5VU0QuSAEAAABLVQAAAwAAAAAAQ8zwbizw3ghJnIqHLPDeCDtDSVEuTkFT</t>
  </si>
  <si>
    <t>REFROk1TRlQuSVFfUkVTVFJfU1RPQ0tfQ09NUC4xMDAwLjAyLzA4LzIwMjYuLi5VU0QuSAEAAABLVQAAAwAAAAAAQ8zwbizw3ghMw4qHLPDeCDVDSVEuTkFTREFROk1TRlQuSVFfT1RIRVJfQU1PUlQuOTkzLjAyLzA4LzIwMjYuLi5VU0QuSAEAAABLVQAAAwAAAAAAQ8zwbizw3ghD6oqHLPDeCEBDSVEuTkFTREFROk1TRlQuSVFfT1RIRVJfSU5WRVNUX0FDVF9TVVBQTC45OTcuMDIvMDgvMjAyNi4uLlVTRC5IAQAAAEtVAAACAAAABS0zMTE2AQgAAAAFAAAAATEBAAAACy0xOTM0MjU0MjUwAwAAAAMxNjACAAAABDIwNTEEAAAAATAHAAAACDgvMi8yMDI2CAAAAAk2LzMwLzIwMjMJAAAAATBDzPBuLPDeCEPqiocs8N4INkNJUS5OQVNEQVE6TVNGVC5JUV9UT1RBTF9FUVVJVFkuOTkxLjAyLzA4LzIwMjYuLi5VU0QuSAEAAABLVQAAAgAAAAU4NzcxMQEIAAAABQAAAAExAQAAAAoxOTczMzgwOTUxAwAAAAMxNjACAAAABDEyNzUEAAAAATAHAAAACDgvMi8yMDI2CAAAAAk2LzMwLzIwMTcJAAAAATBDzPBuLPDeCEzDiocs8N4INUNJUS5OQVNEQVE6TVNGVC5JUV9QUkVGX0VRVUlUWS45OTAuMDIvMDgvMjAyNi4uLlVTRC5IAQAAAEtVAAADAAAAAABDzPBuLPDeCEzDiocs8N4IOUNJUS5OQVNEQVE6TVNGVC5JUV9ERUZfVEFYX0xJQUJfTFQuOTkwLjAyLzA4LzIwMjYuLi5VU0QuSAEAAABLVQAAAgAAAAQxNDc2AQgA</t>
  </si>
  <si>
    <t>AAAFAAAAATEBAAAACjE4OTg0ODk0NzADAAAAAzE2MAIAAAAEMTAyNwQAAAABMAcAAAAIOC8yLzIwMjYIAAAACTYvMzAvMjAxNgkAAAABMC+l8G4s8N4ITMOKhyzw3ggyQ0lRLk5BU0RBUTpNU0ZULklRX1RPVEFMX0NMLjk5MS4wMi8wOC8yMDI2Li4uVVNELkgBAAAAS1UAAAIAAAAFNTU3NDUBCAAAAAUAAAABMQEAAAAKMTk3MzM4MDk1MQMAAAADMTYwAgAAAAQxMDA5BAAAAAEwBwAAAAg4LzIvMjAyNggAAAAJNi8zMC8yMDE3CQAAAAEwL6Xwbizw3ghREYuHLPDeCDJDSVEuTkFTREFROk1TRlQuSVFfU1RfREVCVC4yMDAwLjAyLzA4LzIwMjYuLi5VU0QuSAEAAABLVQAAAwAAAAAAL6Xwbizw3ghREYuHLPDeCDtDSVEuTkFTREFROk1TRlQuSVFfREVGX1RBWF9BU1NFVFNfTFQuOTkwLjAyLzA4LzIwMjYuLi5VU0QuSAEAAABLVQAAAgAAAAMyMTkBCAAAAAUAAAABMQEAAAAKMTg5ODQ4OTQ3MAMAAAADMTYwAgAAAAQxMDI2BAAAAAEwBwAAAAg4LzIvMjAyNggAAAAJNi8zMC8yMDE2CQAAAAEwL6Xwbizw3ghD6oqHLPDeCDNDSVEuTkFTREFROk1TRlQuSVFfTFRfSU5WRVNULjk5MS4wMi8wOC8yMDI2Li4uVVNELkgBAAAAS1UAAAIAAAAENjAyMwEIAAAABQAAAAExAQAAAAoxOTczMzgwOTUxAwAAAAMxNjACAAAABDEwNTQEAAAAATAHAAAACDgvMi8yMDI2CAAAAAk2LzMwLzIwMTcJAAAAATAvpfBuLPDeCEPqiocs</t>
  </si>
  <si>
    <t>8N4IQUNJUS5OQVNEQVE6TVNGVC5JUV9GSU5fRElWX0FTU0VUU19DVVJSRU5ULjIwMDAuMDIvMDgvMjAyNi4uLlVTRC5IAQAAAEtVAAADAAAAAAAvpfBuLPDeCEPqiocs8N4INkNJUS5OQVNEQVE6TVNGVC5JUV9PVEhFUl9SRUNFSVYuOTkwLjAyLzA4LzIwMjYuLi5VU0QuSAEAAABLVQAAAwAAAAAAL6Xwbizw3ghlOIuHLPDeCEdDSVEuTkFTREFROk1TRlQuSVFfVE9UQUxfREVCVF9SRVBBSURfRVhDTF9MRUFTRVMuOTkxLjAyLzA4LzIwMjYuLi5VU0QuSAEAAABLVQAAAgAAAAYtMTI4ODUBCAAAAAUAAAABMQEAAAAKMTk3MzM4MDk1MQMAAAADMTYwAgAAAAU0ODk4NgQAAAABMAcAAAAIOC8yLzIwMjYIAAAACTYvMzAvMjAxNwkAAAABMC+l8G4s8N4IZTiLhyzw3gg5Q0lRLk5BU0RBUTpNU0ZULklRX05FVF9ERUJUX0lTU1VFRC45OTAuMDIvMDgvMjAyNi4uLlVTRC5IAQAAAEtVAAACAAAABTE4MjgzAQgAAAAFAAAAATEBAAAACjE4OTg0ODk0NzADAAAAAzE2MAIAAAAEMjAwMwQAAAABMAcAAAAIOC8yLzIwMjYIAAAACTYvMzAvMjAxNgkAAAABMC+l8G4s8N4IURGLhyzw3gg7Q0lRLk5BU0RBUTpNU0ZULklRX0NBU0hfVEFYRVNfSU5WRVNULjk5MC4wMi8wOC8yMDI2Li4uVVNELkgBAAAAS1UAAAMAAAAAAC+l8G4s8N4IURGLhyzw3gg7Q0lRLk5BU0RBUTpNU0ZULklRX0NBU0hfSU5URVJFU1RfTkVULjk5MS4w</t>
  </si>
  <si>
    <t>Mi8wOC8yMDI2Li4uVVNELkgBAAAAS1UAAAMAAAAAAC+l8G4s8N4IURGLhyzw3ghIQ0lRLk5BU0RBUTpNU0ZULklRX0RFUFJFQ0lBVElPTl9SRU5UQUxfQVNTRVRTX0NGLjIwMDAuMDIvMDgvMjAyNi4uLlVTRC5IAQAAAEtVAAADAAAAAAAvpfBuLPDeCHBfi4cs8N4ILENJUS5OQVNEQVE6TVNGVC5JUV9GWC45OTEuMDIvMDgvMjAyNi4uLlVTRC5IAQAAAEtVAAACAAAAAjE5AQgAAAAFAAAAATEBAAAACjE5NzMzODA5NTEDAAAAAzE2MAIAAAAEMjE0NAQAAAABMAcAAAAIOC8yLzIwMjYIAAAACTYvMzAvMjAxNwkAAAABMC+l8G4s8N4IcF+Lhyzw3gg3Q0lRLk5BU0RBUTpNU0ZULklRX0NPTU1PTl9ESVZfQ0YuOTkxLjAyLzA4LzIwMjYuLi5VU0QuSAEAAABLVQAAAgAAAAYtMTE4NDUBCAAAAAUAAAABMQEAAAAKMTk3MzM4MDk1MQMAAAADMTYwAgAAAAQyMDc0BAAAAAEwBwAAAAg4LzIvMjAyNggAAAAJNi8zMC8yMDE3CQAAAAEwL6Xwbizw3ghREYuHLPDeCDtDSVEuTkFTREFROk1TRlQuSVFfVE9UQUxfREVCVF9JU1NVRUQuOTkwLjAyLzA4LzIwMjYuLi5VU0QuSAEAAABLVQAAAgAAAAUyMTA3OQEIAAAABQAAAAExAQAAAAoxODk4NDg5NDcwAwAAAAMxNjACAAAABDIxNjEEAAAAATAHAAAACDgvMi8yMDI2CAAAAAk2LzMwLzIwMTYJAAAAATAvpfBuLPDeCGU4i4cs8N4IN0NJUS5OQVNEQVE6TVNGVC5JUV9TQUxF</t>
  </si>
  <si>
    <t>X0lOVEFOX0NGLjk5MC4wMi8wOC8yMDI2Li4uVVNELkgBAAAAS1UAAAMAAAAAAC+l8G4s8N4IZTiLhyzw3ghGQ0lRLk5BU0RBUTpNU0ZULklRX0NIQU5HRV9PVEhFUl9ORVRfT1BFUl9BU1NFVFMuOTkxLjAyLzA4LzIwMjYuLi5VU0QuSAEAAABLVQAAAgAAAAMzNDkBCAAAAAUAAAABMQEAAAAKMTk3MzM4MDk1MQMAAAADMTYwAgAAAAQyMDQ1BAAAAAEwBwAAAAg4LzIvMjAyNggAAAAJNi8zMC8yMDE3CQAAAAEwL6Xwbizw3ghwX4uHLPDeCDBDSVEuTkFTREFROk1TRlQuSVFfRE9fQ0YuMjAwMC4wMi8wOC8yMDI2Li4uVVNELkgBAAAAS1UAAAMAAAAAAC+l8G4s8N4IcF+Lhyzw3ggyQ0lRLk5BU0RBUTpNU0ZULklRX0xPQU5TX0NGLjk5MC4wMi8wOC8yMDI2Li4uVVNELkgBAAAAS1UAAAMAAAAAAC+l8G4s8N4IZTiLhyzw3gg0Q0lRLk5BU0RBUTpNU0ZULklRX09JTF9JTVBBSVIuOTkxLjAyLzA4LzIwMjYuLi5VU0QuSAEAAABLVQAAAwAAAAAAL6Xwbizw3ghlOIuHLPDeCERDSVEuTkFTREFROk1TRlQuSVFfU1RPQ0tfT1BUSU9OU19DT01QX1BSRVRBWC4yMDAwLjAyLzA4LzIwMjYuLi5VU0QuSAEAAABLVQAAAwAAAAAAL6Xwbizw3ghlOIuHLPDeCDtDSVEuTkFTREFROk1TRlQuSVFfU1RPQ0tfQkFTRURfT1RIRVIuOTkwLjAyLzA4LzIwMjYuLi5VU0QuSAEAAABLVQAAAgAAAAQyNjY4AQgAAAAFAAAAATEBAAAA</t>
  </si>
  <si>
    <t>CjE4OTg0ODk0NzADAAAAAzE2MAIAAAAFMjI2NzYEAAAAATAHAAAACDgvMi8yMDI2CAAAAAk2LzMwLzIwMTYJAAAAATAvpfBuLPDeCHBfi4cs8N4IPkNJUS5OQVNEQVE6TVNGVC5JUV9ORUdBVElWRV9HV19BTU9SVF9BVC45OTAuMDIvMDgvMjAyNi4uLlVTRC5IAQAAAEtVAAADAAAAAAAvpfBuLPDeCKGGi4cs8N4IQUNJUS5OQVNEQVE6TVNGVC5JUV9BU1NFVF9XUklURURPV05fU1VQUExFLjIwMDAuMDIvMDgvMjAyNi4uLlVTRC5IAQAAAEtVAAADAAAAAAAvpfBuLPDeCHBfi4cs8N4IN0NJUS5OQVNEQVE6TVNGVC5JUV9NQUlOVF9SRVBBSVIuMjAwMC4wMi8wOC8yMDI2Li4uVVNELkgBAAAAS1UAAAMAAAAAAC+l8G4s8N4IcF+Lhyzw3ghAQ0lRLk5BU0RBUTpNU0ZULklRX05FVF9SRU5UQUxfRVhQX1NVUFBMRS4yMDAwLjAyLzA4LzIwMjYuLi5VU0QuSAEAAABLVQAAAgAAAAQ2OTY4AQgAAAAFAAAAATEBAAAACy0xODgwMjI5MzIzAwAAAAMxNjACAAAABTI0MjYzBAAAAAEwBwAAAAg4LzIvMjAyNggAAAAJNi8zMC8yMDI2CQAAAAEwL6Xwbizw3ghwX4uHLPDeCDVDSVEuTkFTREFROk1TRlQuSVFfQURWRVJUSVNJTkcuOTkxLjAyLzA4LzIwMjYuLi5VU0QuSAEAAABLVQAAAgAAAAQxNTAwAQgAAAAFAAAAATEBAAAACjE5NzMzODA5NTEDAAAAAzE2MAIAAAAEMzAxMwQAAAABMAcAAAAIOC8yLzIwMjYIAAAACTYv</t>
  </si>
  <si>
    <t>MzAvMjAxNwkAAAABMC+l8G4s8N4IoYaLhyzw3gg9Q0lRLk5BU0RBUTpNU0ZULklRX05PTkNBU0hfUEVOU0lPTl9FWFAuOTkwLjAyLzA4LzIwMjYuLi5VU0QuSAEAAABLVQAAAwAAAAAAL6Xwbizw3gihhouHLPDeCENDSVEuTkFTREFROk1TRlQuSVFfTk9OUkVDVVJSSU5HX0lOQ09NRV9UQVhFUy45OTEuMDIvMDgvMjAyNi4uLlVTRC5IAQAAAEtVAAADAAAAAAAvpfBuLPDeCHBfi4cs8N4IPENJUS5OQVNEQVE6TVNGVC5JUV9JTlZFU1RNRU5UX0lOQ09NRS4yMDAwLjAyLzA4LzIwMjYuLi5VU0QuSAEAAABLVQAAAwAAAAAAL6Xwbizw3ghwX4uHLPDeCD9DSVEuTkFTREFROk1TRlQuSVFfVE9UQUxfUkVWX0FTX1JFUE9SVEVELjk5MS4wMi8wOC8yMDI2Li4uVVNELkgBAAAAS1UAAAIAAAAFOTY1NzEBCAAAAAUAAAABMQEAAAAKMTk3MzM4MDk1MQMAAAADMTYwAgAAAAMzMzkEAAAAATAHAAAACDgvMi8yMDI2CAAAAAk2LzMwLzIwMTcJAAAAATAvpfBuLPDeCHBfi4cs8N4IOENJUS5OQVNEQVE6TVNGVC5JUV9FQklUQV9FWENMX1NCQy45OTEuMDIvMDgvMjAyNi4uLlVTRC5IAQAAAEtVAAACAAAABTM0Mjk3AQgAAAAFAAAAATEBAAAACjE5NzMzODA5NTEDAAAAAzE2MAIAAAAFMjQxMzYEAAAAATAHAAAACDgvMi8yMDI2CAAAAAk2LzMwLzIwMTcJAAAAATAvpfBuLPDeCKGGi4cs8N4IQkNJUS5OQVNEQVE6TVNGVC5J</t>
  </si>
  <si>
    <t>UV9MRUFTRV9BREpVU1RNRU5UX0VCSVREQS4yMDAwLjAyLzA4LzIwMjYuLi5VU0QuSAEAAABLVQAAAgAAAAQ2OTY4AC+l8G4s8N4IoYaLhyzw3gg7Q0lRLk5BU0RBUTpNU0ZULklRX1NQRUNJQUxfRElWX1NIQVJFLjk5MC4wMi8wOC8yMDI2Li4uVVNELkgBAAAAS1UAAAMAAAAAAC+l8G4s8N4IoYaLhyzw3gg4Q0lRLk5BU0RBUTpNU0ZULklRX0RJTFVUX0VQU19FWENMLjk5MS4wMi8wOC8yMDI2Li4uVVNELkgBAAAAS1UAAAIAAAAEMy4yNQEIAAAABQAAAAExAQAAAAoxOTczMzgwOTUxAwAAAAMxNjACAAAAAzE0MgQAAAABMAcAAAAIOC8yLzIwMjYIAAAACTYvMzAvMjAxNwkAAAABMC+l8G4s8N4IoYaLhyzw3gg1Q0lRLk5BU0RBUTpNU0ZULklRX05JX0NPTVBBTlkuMjAwMC4wMi8wOC8yMDI2Li4uVVNELkgBAAAAS1UAAAIAAAAGMTMzNzQ5AQgAAAAFAAAAATEBAAAACy0xODgwMjI5MzIzAwAAAAMxNjACAAAABTQxNTcxBAAAAAEwBwAAAAg4LzIvMjAyNggAAAAJNi8zMC8yMDI2CQAAAAEwL6Xwbizw3gihhouHLPDeCDdDSVEuTkFTREFROk1TRlQuSVFfTEVHQUxfU0VUVExFLjIwMDAuMDIvMDgvMjAyNi4uLlVTRC5IAQAAAEtVAAADAAAAAAAvpfBuLPDeCNyti4cs8N4IMUNJUS5OQVNEQVE6TVNGVC5JUV9NRVJHRVIuMjAwMC4wMi8wOC8yMDI2Li4uVVNELkgBAAAAS1UAAAMAAAAAAC+l8G4s8N4I3K2Lhyzw</t>
  </si>
  <si>
    <t>3gg9Q0lRLk5BU0RBUTpNU0ZULklRX0lOVEVSRVNUX0lOVkVTVF9JTkMuOTkxLjAyLzA4LzIwMjYuLi5VU0QuSAEAAABLVQAAAgAAAAQxMzg3AQgAAAAFAAAAATEBAAAACjE5NzMzODA5NTEDAAAAAzE2MAIAAAACNjUEAAAAATAHAAAACDgvMi8yMDI2CAAAAAk2LzMwLzIwMTcJAAAAATAvpfBuLPDeCKGGi4cs8N4IMkNJUS5OQVNEQVE6TVNGVC5JUV9EQV9TVVBQTC45OTEuMDIvMDgvMjAyNi4uLlVTRC5IAQAAAEtVAAADAAAAAAAvpfBuLPDeCKGGi4cs8N4ILENJUS5OQVNEQVE6TVNGVC5JUV9HUC45OTEuMDIvMDgvMjAyNi4uLlVTRC5IAQAAAEtVAAACAAAABTYyMzEwAQgAAAAFAAAAATEBAAAACjE5NzMzODA5NTEDAAAAAzE2MAIAAAACMTAEAAAAATAHAAAACDgvMi8yMDI2CAAAAAk2LzMwLzIwMTcJAAAAATAvpfBuLPDeCKGGi4cs8N4IOUNJUS5OQVNEQVE6TVNGVC5JUV9HQUlOX0lOVkVTVF9SRVYuOTkwLjAyLzA4LzIwMjYuLi5VU0QuSAEAAABLVQAAAwAAAAAAL6Xwbizw3gjcrYuHLPDeCDVDSVEuTkFTREFROk1TRlQuSVFfRklOX0RJVl9SRVYuOTk2LjAyLzA4LzIwMjYuLi5VU0QuSAEAAABLVQAAAwAAAAAAL6Xwbizw3gjt1IuHLPDeCDlDSVEuTkFTREFROk1TRlQuSVFfR0FJTl9BU1NFVFNfUkVWLjk5Ny4wMi8wOC8yMDI2Li4uVVNELkgBAAAAS1UAAAMAAAAAAC+l8G4s8N4I3K2Lhyzw3ggzQ0lR</t>
  </si>
  <si>
    <t>Lk5BU0RBUTpNU0ZULklRX1RPVEFMX1JFVi45OTMuMDIvMDgvMjAyNi4uLlVTRC5IAQAAAEtVAAACAAAABjEyNTg0MwEIAAAABQAAAAExAQAAAAstMjE0MDk4MTQ2OQMAAAADMTYwAgAAAAIyOAQAAAABMAcAAAAIOC8yLzIwMjYIAAAACTYvMzAvMjAxOQkAAAABMC+l8G4s8N4I3K2Lhyzw3gg1Q0lRLk5BU0RBUTpNU0ZULklRX0ZJTl9ESVZfRVhQLjk5NC4wMi8wOC8yMDI2Li4uVVNELkgBAAAAS1UAAAMAAAAAAC+l8G4s8N4I3K2Lhyzw3ggsQ0lRLk5BU0RBUTpNU0ZULklRX0dQLjk5Mi4wMi8wOC8yMDI2Li4uVVNELkgBAAAAS1UAAAIAAAAFNzIwMDcBCAAAAAUAAAABMQEAAAAKMjA0NzI3MTc0NQMAAAADMTYwAgAAAAIxMAQAAAABMAcAAAAIOC8yLzIwMjYIAAAACTYvMzAvMjAxOAkAAAABMC+l8G4s8N4I7dSLhyzw3gg3Q0lRLk5BU0RBUTpNU0ZULklRX0VYUExPUkVfRFJJTEwuOTkzLjAyLzA4LzIwMjYuLi5VU0QuSAEAAABLVQAAAwAAAAAAL6Xwbizw3gjt1IuHLPDeCDVDSVEuTkFTREFROk1TRlQuSVFfU1RPQ0tfQkFTRUQuOTk0LjAyLzA4LzIwMjYuLi5VU0QuSAEAAABLVQAAAwAAAAAAL6Xwbizw3gjcrYuHLPDeCDJDSVEuTkFTREFROk1TRlQuSVFfREFfU1VQUEwuOTkyLjAyLzA4LzIwMjYuLi5VU0QuSAEAAABLVQAAAwAAAAAAL6Xwbizw3gjcrYuHLPDeCDRDSVEuTkFTREFROk1TRlQuSVFfSU1Q</t>
  </si>
  <si>
    <t>QUlSX09JTC45OTMuMDIvMDgvMjAyNi4uLlVTRC5IAQAAAEtVAAADAAAAAAAvpfBuLPDeCNyti4cs8N4IMkNJUS5OQVNEQVE6TVNGVC5JUV9PUEVSX0lOQy45OTkuMDIvMDgvMjAyNi4uLlVTRC5IAQAAAEtVAAACAAAABjEyODUyOAEIAAAABQAAAAExAQAAAAstMTg4MDIyOTY4NgMAAAADMTYwAgAAAAIyMQQAAAABMAcAAAAIOC8yLzIwMjYIAAAACTYvMzAvMjAyNQkAAAABMC+l8G4s8N4ICfyLhyzw3gg9Q0lRLk5BU0RBUTpNU0ZULklRX0lOVEVSRVNUX0lOVkVTVF9JTkMuOTkyLjAyLzA4LzIwMjYuLi5VU0QuSAEAAABLVQAAAgAAAAQyMjE0AQgAAAAFAAAAATEBAAAACjIwNDcyNzE3NDUDAAAAAzE2MAIAAAACNjUEAAAAATAHAAAACDgvMi8yMDI2CAAAAAk2LzMwLzIwMTgJAAAAATAvpfBuLPDeCAn8i4cs8N4INENJUS5OQVNEQVE6TVNGVC5JUV9JTkNfRVFVSVRZLjk5My4wMi8wOC8yMDI2Li4uVVNELkgBAAAAS1UAAAMAAAAAAC+l8G4s8N4I7dSLhyzw3ggzQ0lRLk5BU0RBUTpNU0ZULklRX0VCVF9FWENMLjEwMDAuMDIvMDgvMjAyNi4uLlVTRC5IAQAAAEtVAAACAAAABjE1OTY4NQEIAAAABQAAAAExAQAAAAstMTg4MDIyOTY2NQMAAAADMTYwAgAAAAE0BAAAAAEwBwAAAAg4LzIvMjAyNggAAAAJNi8zMC8yMDI2CQAAAAEwL6Xwbizw3gjt1IuHLPDeCDBDSVEuTkFTREFROk1TRlQuSVFfTUVSR0VSLjk5</t>
  </si>
  <si>
    <t>My4wMi8wOC8yMDI2Li4uVVNELkgBAAAAS1UAAAMAAAAAAC+l8G4s8N4I7dSLhyzw3gg1Q0lRLk5BU0RBUTpNU0ZULklRX0dBSU5fQVNTRVRTLjk5Mi4wMi8wOC8yMDI2Li4uVVNELkgBAAAAS1UAAAMAAAAAAC+l8G4s8N4ICfyLhyzw3gg0Q0lRLk5BU0RBUTpNU0ZULklRX0lOU19TRVRUTEUuOTkyLjAyLzA4LzIwMjYuLi5VU0QuSAEAAABLVQAAAwAAAAAAL6Xwbizw3ggJ/IuHLPDeCD1DSVEuTkFTREFROk1TRlQuSVFfT1RIRVJfVU5VU1VBTF9TVVBQTC45OTguMDIvMDgvMjAyNi4uLlVTRC5IAQAAAEtVAAADAAAAAAAvpfBuLPDeCO3Ui4cs8N4ILENJUS5OQVNEQVE6TVNGVC5JUV9ETy45OTQuMDIvMDgvMjAyNi4uLlVTRC5IAQAAAEtVAAADAAAAAAAvpfBuLPDeCO3Ui4cs8N4IPkNJUS5OQVNEQVE6TVNGVC5JUV9NSU5PUklUWV9JTlRFUkVTVF9JUy45OTUuMDIvMDgvMjAyNi4uLlVTRC5IAQAAAEtVAAADAAAAAAAvpfBuLPDeCAn8i4cs8N4IOENJUS5OQVNEQVE6TVNGVC5JUV9QUkVGX0RJVl9PVEhFUi45OTMuMDIvMDgvMjAyNi4uLlVTRC5IAQAAAEtVAAADAAAAAAAvpfBuLPDeCCAjjIcs8N4IOENJUS5OQVNEQVE6TVNGVC5JUV9CQVNJQ19FUFNfRVhDTC45OTkuMDIvMDgvMjAyNi4uLlVTRC5IAQAAAEtVAAACAAAACTEzLjY5OTk4NgEIAAAABQAAAAExAQAAAAstMTg4MDIyOTY4NgMAAAADMTYwAgAA</t>
  </si>
  <si>
    <t>AAQzMDY0BAAAAAEwBwAAAAg4LzIvMjAyNggAAAAJNi8zMC8yMDI1CQAAAAEwL6Xwbizw3gggI4yHLPDeCDhDSVEuTkFTREFROk1TRlQuSVFfRElMVVRfRVBTX0VYQ0wuOTk0LjAyLzA4LzIwMjYuLi5VU0QuSAEAAABLVQAAAgAAAAQ1Ljc2AQgAAAAFAAAAATEBAAAACy0yMDg3NDk2NjI3AwAAAAMxNjACAAAAAzE0MgQAAAABMAcAAAAIOC8yLzIwMjYIAAAACTYvMzAvMjAyMAkAAAABMC+l8G4s8N4ICfyLhyzw3ggzQ0lRLk5BU0RBUTpNU0ZULklRX0RJVl9TSEFSRS45OTIuMDIvMDgvMjAyNi4uLlVTRC5IAQAAAEtVAAACAAAABDEuNjgBCAAAAAUAAAABMQEAAAAKMjA0NzI3MTc0NQMAAAADMTYwAgAAAAQzMDU4BAAAAAEwBwAAAAg4LzIvMjAyNggAAAAJNi8zMC8yMDE4CQAAAAEwL6Xwbizw3ggJ/IuHLPDeCDxDSVEuTkFTREFROk1TRlQuSVFfU1BFQ0lBTF9ESVZfU0hBUkUuMTAwMC4wMi8wOC8yMDI2Li4uVVNELkgBAAAAS1UAAAMAAAAAAC+l8G4s8N4ICfyLhyzw3ghAQ0lRLk5BU0RBUTpNU0ZULklRX0VCSVREQV9FUV9JTkNfRVhDTF9TQkMuOTk3LjAyLzA4LzIwMjYuLi5VU0QuSAEAAABLVQAAAgAAAAYxMTE2MzQBCAAAAAUAAAABMQEAAAALLTE5MzQyNTQyNTADAAAAAzE2MAIAAAAFMjQxMzEEAAAAATAHAAAACDgvMi8yMDI2CAAAAAk2LzMwLzIwMjMJAAAAATAvpfBuLPDeCCAjjIcs8N4IS0NJUS5O</t>
  </si>
  <si>
    <t>QVNEQVE6TVNGVC5JUV9FQklUREFfRVFfSU5DX0VYQ0xfT1BFUl9MRUFTRV9BREouOTk5LjAyLzA4LzIwMjYuLi5VU0QuSAEAAABLVQAAAgAAAAYxNTE4MDMBCAAAAAUAAAABMQEAAAALLTE4ODAyMjk2ODYDAAAAAzE2MAIAAAAFNDg5ODcEAAAAATAHAAAACDgvMi8yMDI2CAAAAAk2LzMwLzIwMjUJAAAAATAvpfBuLPDeCCAjjIcs8N4IPkNJUS5OQVNEQVE6TVNGVC5JUV9FQklUX0VRX0lOQ19FWENMX1NCQy45OTguMDIvMDgvMjAyNi4uLlVTRC5IAQAAAEtVAAACAAAABjExODg0OAEIAAAABQAAAAExAQAAAAstMTg4MDIyOTY5NAMAAAADMTYwAgAAAAUyNDEzMAQAAAABMAcAAAAIOC8yLzIwMjYIAAAACTYvMzAvMjAyNAkAAAABMC+l8G4s8N4ICfyLhyzw3gg4Q0lRLk5BU0RBUTpNU0ZULklRX0VCSVRBX0VYQ0xfU0JDLjk5OS4wMi8wOC8yMDI2Li4uVVNELkgBAAAAS1UAAAIAAAAGMTQ2NTAyAQgAAAAFAAAAATEBAAAACy0xODgwMjI5Njg2AwAAAAMxNjACAAAABTI0MTM2BAAAAAEwBwAAAAg4LzIvMjAyNggAAAAJNi8zMC8yMDI1CQAAAAEwL6Xwbizw3gggI4yHLPDeCDpDSVEuTkFTREFROk1TRlQuSVFfRUJJVERBUl9FWENMX1NCQy45OTIuMDIvMDgvMjAyNi4uLlVTRC5IAQAAAEtVAAACAAAABTUwNDgzAQgAAAAFAAAAATEBAAAACjIwNDcyNzE3NDUDAAAAAzE2MAIAAAAFMjQxMzcEAAAAATAHAAAACDgv</t>
  </si>
  <si>
    <t>Mi8yMDI2CAAAAAk2LzMwLzIwMTgJAAAAATAvpfBuLPDeCCAjjIcs8N4ITENJUS5OQVNEQVE6TVNGVC5JUV9QUk9WX0JBRF9ERUJUU19QQVRJRU5UX1NFUlZJQ0VfUkVWLjk5Mi4wMi8wOC8yMDI2Li4uVVNELkgBAAAAS1UAAAMAAAAAAC+l8G4s8N4IHEqMhyzw3gg7Q0lRLk5BU0RBUTpNU0ZULklRX0lOVkVTVE1FTlRfSU5DT01FLjk5OS4wMi8wOC8yMDI2Li4uVVNELkgBAAAAS1UAAAMAAAAAAC+l8G4s8N4IHEqMhyzw3gg8Q0lRLk5BU0RBUTpNU0ZULklRX0NVUlJfRk9SRUlHTl9UQVhFUy45OTkuMDIvMDgvMjAyNi4uLlVTRC5IAQAAAEtVAAACAAAABTExNDIzAQgAAAAFAAAAATEBAAAACy0xODgwMjI5Njg2AwAAAAMxNjACAAAABDMwMzAEAAAAATAHAAAACDgvMi8yMDI2CAAAAAk2LzMwLzIwMjUJAAAAATAvpfBuLPDeCCAjjIcs8N4IQ0NJUS5OQVNEQVE6TVNGVC5JUV9OT05SRUNVUlJJTkdfSU5DT01FX1RBWEVTLjk5Ni4wMi8wOC8yMDI2Li4uVVNELkgBAAAAS1UAAAMAAAAAAC+l8G4s8N4IICOMhyzw3ghLQ0lRLk5BU0RBUTpNU0ZULklRX0lOVEVSRVNUX0VYUF9MRUFTRV9MSUFCSUxJVFlfREVCVC45OTUuMDIvMDgvMjAyNi4uLlVTRC5IAQAAAEtVAAACAAAAAzM4NgEIAAAABQAAAAExAQAAAAstMjAzNjg0Mzg0MwMAAAADMTYwAgAAAAU0ODkwNwQAAAABMAcAAAAIOC8yLzIwMjYIAAAACTYvMzAv</t>
  </si>
  <si>
    <t>MjAyMQkAAAABMC+l8G4s8N4IICOMhyzw3ghJQ0lRLk5BU0RBUTpNU0ZULklRX0RJU1RSSUJVVEFCTEVfQ0FTSF9TVEFOREFSRElaRUQuOTk0LjAyLzA4LzIwMjYuLi5VU0QuSAEAAABLVQAAAwAAAAAAL6Xwbizw3ggcSoyHLPDeCDNDSVEuTkFTREFROk1TRlQuSVFfTUFSS0VUSU5HLjk5Ny4wMi8wOC8yMDI2Li4uVVNELkgBAAAAS1UAAAMAAAAAAC+l8G4s8N4IHEqMhyzw3gg4Q0lRLk5BU0RBUTpNU0ZULklRX05FVF9SRU5UQUxfRVhQLjk5Ni4wMi8wOC8yMDI2Li4uVVNELkgBAAAAS1UAAAMAAAAAAC+l8G4s8N4IICOMhyzw3gg3Q0lRLk5BU0RBUTpNU0ZULklRX0FJUkNSQUZUX1JFTlQuOTk4LjAyLzA4LzIwMjYuLi5VU0QuSAEAAABLVQAAAwAAAAAAL6Xwbizw3gggI4yHLPDeCD9DSVEuTkFTREFROk1TRlQuSVFfSU1QVVRfT1BFUl9MRUFTRV9ERVBSLjk5My4wMi8wOC8yMDI2Li4uVVNELkgBAAAAS1UAAAIAAAAKMTI4NS4zMDI3MgEIAAAABQAAAAExAQAAAAstMjE0MDk4MTQ2OQMAAAADMTYwAgAAAAUyMTY3MwQAAAABMAcAAAAIOC8yLzIwMjYIAAAACTYvMzAvMjAxOQkAAAABMC+l8G4s8N4IHEqMhyzw3gg1Q0lRLk5BU0RBUTpNU0ZULklRX0lQUkRfU1VQUExFLjk5OS4wMi8wOC8yMDI2Li4uVVNELkgBAAAAS1UAAAMAAAAAAC+l8G4s8N4IMHGMhyzw3gg4Q0lRLk5BU0RBUTpNU0ZULklRX1NUT0NL</t>
  </si>
  <si>
    <t>X0JBU0VEX1JELjk5Mi4wMi8wOC8yMDI2Li4uVVNELkgBAAAAS1UAAAMAAAAAAC+l8G4s8N4IMHGMhyzw3gg6Q0lRLk5BU0RBUTpNU0ZULklRX1JFU1RSX1NUT0NLX0NPTVAuOTkzLjAyLzA4LzIwMjYuLi5VU0QuSAEAAABLVQAAAwAAAAAAL6Xwbizw3ggcSoyHLPDeCD5DSVEuTkFTREFROk1TRlQuSVFfTUlOT1JJVFlfSU5URVJFU1RfQ0YuOTk2LjAyLzA4LzIwMjYuLi5VU0QuSAEAAABLVQAAAwAAAAAAL6Xwbizw3ggcSoyHLPDeCDhDSVEuTkFTREFROk1TRlQuSVFfU1RfREVCVF9JU1NVRUQuOTkyLjAyLzA4LzIwMjYuLi5VU0QuSAEAAABLVQAAAwAAAAAAL6Xwbizw3ggcSoyHLPDeCEZDSVEuTkFTREFROk1TRlQuSVFfUlVBX0NBUElUQUxfTEVBU0VfQUNDVU1fREVQLjIwMDAuMDIvMDgvMjAyNi4uLlVTRC5IAQAAAEtVAAADAAAAAAAvpfBuLPDeCDBxjIcs8N4IO0NJUS5OQVNEQVE6TVNGVC5JUV9NSU5PUklUWV9JTlRFUkVTVC45OTEuMDIvMDgvMjAyNi4uLlVTRC5IAQAAAEtVAAADAAAAAAAvpfBuLPDeCDBxjIcs8N4INUNJUS5OQVNEQVE6TVNGVC5JUV9QUkVGX0VRVUlUWS45OTEuMDIvMDgvMjAyNi4uLlVTRC5IAQAAAEtVAAADAAAAAAAvpfBuLPDeCBxKjIcs8N4IOUNJUS5OQVNEQVE6TVNGVC5JUV9ERUZfVEFYX0xJQUJfTFQuOTkxLjAyLzA4LzIwMjYuLi5VU0QuSAEAAABLVQAAAgAAAAQ1NzM0</t>
  </si>
  <si>
    <t>AQgAAAAFAAAAATEBAAAACjE5NzMzODA5NTEDAAAAAzE2MAIAAAAEMTAyNwQAAAABMAcAAAAIOC8yLzIwMjYIAAAACTYvMzAvMjAxNwkAAAABMC+l8G4s8N4IHEqMhyzw3gg4Q0lRLk5BU0RBUTpNU0ZULklRX09USEVSX0NMX1NVUFBMLjk5MC4wMi8wOC8yMDI2Li4uVVNELkgBAAAAS1UAAAIAAAAENTkyNAEIAAAABQAAAAExAQAAAAoxODk4NDg5NDcwAwAAAAMxNjACAAAABDEwNTcEAAAAATAHAAAACDgvMi8yMDI2CAAAAAk2LzMwLzIwMTYJAAAAATAvpfBuLPDeCBxKjIcs8N4IO0NJUS5OQVNEQVE6TVNGVC5JUV9DVVJSRU5UX1BPUlRfREVCVC45OTAuMDIvMDgvMjAyNi4uLlVTRC5IAQAAAEtVAAADAAAAAAAvpfBuLPDeCEOYjIcs8N4IO0NJUS5OQVNEQVE6TVNGVC5JUV9ERUZfVEFYX0FTU0VUU19MVC45OTEuMDIvMDgvMjAyNi4uLlVTRC5IAQAAAEtVAAACAAAAAzI0OAEIAAAABQAAAAExAQAAAAoxOTczMzgwOTUxAwAAAAMxNjACAAAABDEwMjYEAAAAATAHAAAACDgvMi8yMDI2CAAAAAk2LzMwLzIwMTcJAAAAATAvpfBuLPDeCEOYjIcs8N4ILUNJUS5OQVNEQVE6TVNGVC5JUV9BRC4yMDAwLjAyLzA4LzIwMjYuLi5VU0QuSAEAAABLVQAAAgAAAActMTE4NjkxAQgAAAAFAAAAATEBAAAACy0xODgwMjI5MzIzAwAAAAMxNjACAAAABDEwNzUEAAAAATAHAAAACDgvMi8yMDI2CAAAAAk2LzMwLzIwMjYJAAAA</t>
  </si>
  <si>
    <t>ATAvpfBuLPDeCDBxjIcs8N4IOENJUS5OQVNEQVE6TVNGVC5JUV9MT0FOU19GT1JfU0FMRS45OTAuMDIvMDgvMjAyNi4uLlVTRC5IAQAAAEtVAAADAAAAAAAvpfBuLPDeCDBxjIcs8N4INkNJUS5OQVNEQVE6TVNGVC5JUV9PVEhFUl9SRUNFSVYuOTkxLjAyLzA4LzIwMjYuLi5VU0QuSAEAAABLVQAAAwAAAAAAL6Xwbizw3ggwcYyHLPDeCEtDSVEuTkFTREFROk1TRlQuSVFfTE9OR19URVJNX0RFQlRfUkVQQUlEX0VYQ0xfTEVBU0VTLjk5MS4wMi8wOC8yMDI2Li4uVVNELkgBAAAAS1UAAAIAAAAFLTc5MjIBCAAAAAUAAAABMQEAAAAKMTk3MzM4MDk1MQMAAAADMTYwAgAAAAU0ODk4NAQAAAABMAcAAAAIOC8yLzIwMjYIAAAACTYvMzAvMjAxNwkAAAABMC+l8G4s8N4IQ5iMhyzw3gg5Q0lRLk5BU0RBUTpNU0ZULklRX05FVF9ERUJUX0lTU1VFRC45OTEuMDIvMDgvMjAyNi4uLlVTRC5IAQAAAEtVAAACAAAABTMxNDU5AQgAAAAFAAAAATEBAAAACjE5NzMzODA5NTEDAAAAAzE2MAIAAAAEMjAwMwQAAAABMAcAAAAIOC8yLzIwMjYIAAAACTYvMzAvMjAxNwkAAAABMC+l8G4s8N4IQ5iMhyzw3gg7Q0lRLk5BU0RBUTpNU0ZULklRX0NBU0hfVEFYRVNfSU5WRVNULjk5MS4wMi8wOC8yMDI2Li4uVVNELkgBAAAAS1UAAAMAAAAAAC+l8G4s8N4IMHGMhyzw3gg3Q0lRLk5BU0RBUTpNU0ZULklRX0NBU0hfSU5URVJFU1Qu</t>
  </si>
  <si>
    <t>OTkwLjAyLzA4LzIwMjYuLi5VU0QuSAEAAABLVQAAAgAAAAQxMTAwAQgAAAAFAAAAATEBAAAACjE4OTg0ODk0NzADAAAAAzE2MAIAAAAEMzAyOAQAAAABMAcAAAAIOC8yLzIwMjYIAAAACTYvMzAvMjAxNgkAAAABMC+l8G4s8N4IQ5iMhyzw3ggxQ0lRLk5BU0RBUTpNU0ZULklRX0RFUF9SVUEuOTkwLjAyLzA4LzIwMjYuLi5VU0QuSAEAAABLVQAAAwAAAAAAL6Xwbizw3ghDmIyHLPDeCDVDSVEuTkFTREFROk1TRlQuSVFfQ0FTSF9GSU5BTi4yMDAwLjAyLzA4LzIwMjYuLi5VU0QuSAEAAABLVQAAAgAAAAYtNTI1NDYBCAAAAAUAAAABMQEAAAALLTE4ODAyMjkzMjMDAAAAAzE2MAIAAAAEMjAwNAQAAAABMAcAAAAIOC8yLzIwMjYIAAAACTYvMzAvMjAyNgkAAAABMC+l8G4s8N4ISr+Mhyzw3ggyQ0lRLk5BU0RBUTpNU0ZULklRX1BSRUZfUkVQLjk5MS4wMi8wOC8yMDI2Li4uVVNELkgBAAAAS1UAAAMAAAAAAC+l8G4s8N4ISr+Mhyzw3gg7Q0lRLk5BU0RBUTpNU0ZULklRX1RPVEFMX0RFQlRfSVNTVUVELjk5MS4wMi8wOC8yMDI2Li4uVVNELkgBAAAAS1UAAAIAAAAFNDQzNDQBCAAAAAUAAAABMQEAAAAKMTk3MzM4MDk1MQMAAAADMTYwAgAAAAQyMTYxBAAAAAEwBwAAAAg4LzIvMjAyNggAAAAJNi8zMC8yMDE3CQAAAAEwL6Xwbizw3ghDmIyHLPDeCDdDSVEuTkFTREFROk1TRlQuSVFfU0FMRV9JTlRBTl9DRi45</t>
  </si>
  <si>
    <t>OTEuMDIvMDgvMjAyNi4uLlVTRC5IAQAAAEtVAAADAAAAAAAvpfBuLPDeCEOYjIcs8N4IOENJUS5OQVNEQVE6TVNGVC5JUV9DSEFOR0VfREVGX1RBWC45OTAuMDIvMDgvMjAyNi4uLlVTRC5IAQAAAEtVAAADAAAAAAAvpfBuLPDeCEOYjIcs8N4IOENJUS5OQVNEQVE6TVNGVC5JUV9PVEhFUl9PUEVSX0FDVC45OTAuMDIvMDgvMjAyNi4uLlVTRC5IAQAAAEtVAAACAAAABDMxNTQBCAAAAAUAAAABMQEAAAAKMTg5ODQ4OTQ3MAMAAAADMTYwAgAAAAQyMDQ3BAAAAAEwBwAAAAg4LzIvMjAyNggAAAAJNi8zMC8yMDE2CQAAAAEwL6Xwbizw3ghKv4yHLPDeCDJDSVEuTkFTREFROk1TRlQuSVFfTE9BTlNfQ0YuOTkxLjAyLzA4LzIwMjYuLi5VU0QuSAEAAABLVQAAAwAAAAAAL6Xwbizw3ghKv4yHLPDeCDZDSVEuTkFTREFROk1TRlQuSVFfREFfU1VQUExfQ0YuMjAwMC4wMi8wOC8yMDI2Li4uVVNELkgBAAAAS1UAAAIAAAAFMzQzMDABCAAAAAUAAAABMQEAAAALLTE4ODAyMjkzMjMDAAAAAzE2MAIAAAAEMjE3MQQAAAABMAcAAAAIOC8yLzIwMjYIAAAACTYvMzAvMjAyNgkAAAABMC+l8G4s8N4IQ5iMhyzw3ghAQ0lRLk5BU0RBUTpNU0ZULklRX1NUT0NLX09QVElPTlNfQ09NUF9UQVguOTkwLjAyLzA4LzIwMjYuLi5VU0QuSAEAAABLVQAAAwAAAAAAL6Xwbizw3ghDmIyHLPDeCDtDSVEuTkFTREFROk1TRlQuSVFfU1RP</t>
  </si>
  <si>
    <t>Q0tfQkFTRURfT1RIRVIuOTkxLjAyLzA4LzIwMjYuLi5VU0QuSAEAAABLVQAAAgAAAAQzMjY2AQgAAAAFAAAAATEBAAAACjE5NzMzODA5NTEDAAAAAzE2MAIAAAAFMjI2NzYEAAAAATAHAAAACDgvMi8yMDI2CAAAAAk2LzMwLzIwMTcJAAAAATAvpfBuLPDeCEq/jIcs8N4IP0NJUS5OQVNEQVE6TVNGVC5JUV9UT1RBTF9VTlVTVUFMX1NVUFBMRS4yMDAwLjAyLzA4LzIwMjYuLi5VU0QuSAEAAABLVQAAAwAAAAAAL6Xwbizw3ghg5oyHLPDeCDVDSVEuTkFTREFROk1TRlQuSVFfSVBSRF9TVVBQTEUuOTkwLjAyLzA4LzIwMjYuLi5VU0QuSAEAAABLVQAAAwAAAAAAL6Xwbizw3ghg5oyHLPDeCEJDSVEuTkFTREFROk1TRlQuSVFfSU1QVVRfT1BFUl9MRUFTRV9JTlRfRVhQLjk5MC4wMi8wOC8yMDI2Li4uVVNELkgBAAAAS1UAAAIAAAAJMjE2LjY2NTI4AQgAAAAFAAAAATEBAAAACjE4OTg0ODk0NzADAAAAAzE2MAIAAAAFMjE2NzIEAAAAATAHAAAACDgvMi8yMDI2CAAAAAk2LzMwLzIwMTYJAAAAATAvpfBuLPDeCEq/jIcs8N4IOUNJUS5OQVNEQVE6TVNGVC5JUV9ORVRfUkVOVEFMX0VYUC4yMDAwLjAyLzA4LzIwMjYuLi5VU0QuSAEAAABLVQAAAwAAAAAAL6Xwbizw3ghKv4yHLPDeCDVDSVEuTkFTREFROk1TRlQuSVFfQURWRVJUSVNJTkcuOTkwLjAyLzA4LzIwMjYuLi5VU0QuSAEAAABLVQAAAgAAAAQxNjAwAQgA</t>
  </si>
  <si>
    <t>AAAFAAAAATEBAAAACjE4OTg0ODk0NzADAAAAAzE2MAIAAAAEMzAxMwQAAAABMAcAAAAIOC8yLzIwMjYIAAAACTYvMzAvMjAxNgkAAAABMC+l8G4s8N4ISr+Mhyzw3gg9Q0lRLk5BU0RBUTpNU0ZULklRX05PTkNBU0hfUEVOU0lPTl9FWFAuOTkxLjAyLzA4LzIwMjYuLi5VU0QuSAEAAABLVQAAAwAAAAAAL6Xwbizw3ghg5oyHLPDeCEFDSVEuTkFTREFROk1TRlQuSVFfREVGRVJSRURfRk9SRUlHTl9UQVhFUy4yMDAwLjAyLzA4LzIwMjYuLi5VU0QuSAEAAABLVQAAAgAAAAM1MzEBCAAAAAUAAAABMQEAAAALLTE4ODAyMjkzMjMDAAAAAzE2MAIAAAAEMzA1NQQAAAABMAcAAAAIOC8yLzIwMjYIAAAACTYvMzAvMjAyNgkAAAABMC+l8G4s8N4IYOaMhyzw3ghBQ0lRLk5BU0RBUTpNU0ZULklRX0VYQ0lTRV9UQVhFU19FWENMX1NBTEVTLjk5MC4wMi8wOC8yMDI2Li4uVVNELkgBAAAAS1UAAAMAAAAAAC+l8G4s8N4ISr+Mhyzw3gg8Q0lRLk5BU0RBUTpNU0ZULklRX0ZFRVNfT1RIRVJfSU5DT01FLjIwMDAuMDIvMDgvMjAyNi4uLlVTRC5IAQAAAEtVAAADAAAAAAAvpfBuLPDeCEq/jIcs8N4IP0NJUS5OQVNEQVE6TVNGVC5JUV9FQklUQV9FUV9JTkNfRVhDTF9TQkMuOTkwLjAyLzA4LzIwMjYuLi5VU0QuSAEAAABLVQAAAgAAAAUzMDgzNAEIAAAABQAAAAExAQAAAAoxODk4NDg5NDcwAwAAAAMxNjACAAAABTI0MTMy</t>
  </si>
  <si>
    <t>BAAAAAEwBwAAAAg4LzIvMjAyNggAAAAJNi8zMC8yMDE2CQAAAAEwL6Xwbizw3ghKv4yHLPDeCEtDSVEuTkFTREFROk1TRlQuSVFfRUJJVERBX0VRX0lOQ19FWENMX09QRVJfTEVBU0VfQURKLjk5MC4wMi8wOC8yMDI2Li4uVVNELkgBAAAAS1UAAAIAAAAFMzMwNjYBCAAAAAUAAAABMQEAAAAKMTg5ODQ4OTQ3MAMAAAADMTYwAgAAAAU0ODk4NwQAAAABMAcAAAAIOC8yLzIwMjYIAAAACTYvMzAvMjAxNgkAAAABMC+l8G4s8N4IYOaMhyzw3gg7Q0lRLk5BU0RBUTpNU0ZULklRX1NQRUNJQUxfRElWX1NIQVJFLjk5MS4wMi8wOC8yMDI2Li4uVVNELkgBAAAAS1UAAAMAAAAAAC+l8G4s8N4IdA2Nhyzw3gg4Q0lRLk5BU0RBUTpNU0ZULklRX0RJTFVUX0VQU19JTkNMLjk5MS4wMi8wOC8yMDI2Li4uVVNELkgBAAAAS1UAAAIAAAAEMy4yNQEIAAAABQAAAAExAQAAAAoxOTczMzgwOTUxAwAAAAMxNjACAAAAATgEAAAAATAHAAAACDgvMi8yMDI2CAAAAAk2LzMwLzIwMTcJAAAAATAvpfBuLPDeCGDmjIcs8N4IPkNJUS5OQVNEQVE6TVNGVC5JUV9NSU5PUklUWV9JTlRFUkVTVF9JUy45OTAuMDIvMDgvMjAyNi4uLlVTRC5IAQAAAEtVAAADAAAAAAAvpfBuLPDeCGDmjIcs8N4IPUNJUS5OQVNEQVE6TVNGVC5JUV9PVEhFUl9VTlVTVUFMX1NVUFBMLjk5MC4wMi8wOC8yMDI2Li4uVVNELkgBAAAAS1UAAAMAAAAAAC+l8G4s</t>
  </si>
  <si>
    <t>8N4IYOaMhyzw3gg2Q0lRLk5BU0RBUTpNU0ZULklRX1JFU1RSVUNUVVJFLjIwMDAuMDIvMDgvMjAyNi4uLlVTRC5IAQAAAEtVAAADAAAAAAAvpfBuLPDeCHQNjYcs8N4IN0NJUS5OQVNEQVE6TVNGVC5JUV9JTlRFUkVTVF9FWFAuMjAwMC4wMi8wOC8yMDI2Li4uVVNELkgBAAAAS1UAAAIAAAAFLTMwODEBCAAAAAUAAAABMQEAAAALLTE4ODAyMjkzMjMDAAAAAzE2MAIAAAACODIEAAAAATAHAAAACDgvMi8yMDI2CAAAAAk2LzMwLzIwMjYJAAAAATAvpfBuLPDeCHQNjYcs8N4IMUNJUS5OQVNEQVE6TVNGVC5JUV9SRF9FWFAuMjAwMC4wMi8wOC8yMDI2Li4uVVNELkgBAAAAS1UAAAIAAAAFMzU1NjIBCAAAAAUAAAABMQEAAAALLTE4ODAyMjkzMjMDAAAAAzE2MAIAAAADMTAwBAAAAAEwBwAAAAg4LzIvMjAyNggAAAAJNi8zMC8yMDI2CQAAAAEwL6Xwbizw3ghg5oyHLPDeCDlDSVEuTkFTREFROk1TRlQuSVFfRklOX0RJVl9JTlRfRVhQLjk5MS4wMi8wOC8yMDI2Li4uVVNELkgBAAAAS1UAAAMAAAAAAC+l8G4s8N4IYOaMhyzw3gg5Q0lRLk5BU0RBUTpNU0ZULklRX0dBSU5fSU5WRVNUX1JFVi45OTEuMDIvMDgvMjAyNi4uLlVTRC5IAQAAAEtVAAADAAAAAAAvpfBuLPDeCGDmjIcs8N4INUNJUS5OQVNEQVE6TVNGVC5JUV9GSU5fRElWX1JFVi45OTcuMDIvMDgvMjAyNi4uLlVTRC5IAQAAAEtVAAADAAAAAAAvpfBu</t>
  </si>
  <si>
    <t>LPDeCII0jYcs8N4INUNJUS5OQVNEQVE6TVNGVC5JUV9JTlRfSU5WX0lOQy45OTIuMDIvMDgvMjAyNi4uLlVTRC5IAQAAAEtVAAADAAAAAAAvpfBuLPDeCII0jYcs8N4IOUNJUS5OQVNEQVE6TVNGVC5JUV9PVEhFUl9SRVZfU1VQUEwuOTk2LjAyLzA4LzIwMjYuLi5VU0QuSAEAAABLVQAAAwAAAAAAL6Xwbizw3gh0DY2HLPDeCC5DSVEuTkFTREFROk1TRlQuSVFfQ09HUy45OTcuMDIvMDgvMjAyNi4uLlVTRC5IAQAAAEtVAAACAAAABTY1ODYzAQgAAAAFAAAAATEBAAAACy0xOTM0MjU0MjUwAwAAAAMxNjACAAAAAjM0BAAAAAEwBwAAAAg4LzIvMjAyNggAAAAJNi8zMC8yMDIzCQAAAAEwL6Xwbizw3gh0DY2HLPDeCCxDSVEuTkFTREFROk1TRlQuSVFfR1AuOTkzLjAyLzA4LzIwMjYuLi5VU0QuSAEAAABLVQAAAgAAAAU4MjkzMwEIAAAABQAAAAExAQAAAAstMjE0MDk4MTQ2OQMAAAADMTYwAgAAAAIxMAQAAAABMAcAAAAIOC8yLzIwMjYIAAAACTYvMzAvMjAxOQkAAAABMC+l8G4s8N4IdA2Nhyzw3gg3Q0lRLk5BU0RBUTpNU0ZULklRX0VYUExPUkVfRFJJTEwuOTk0LjAyLzA4LzIwMjYuLi5VU0QuSAEAAABLVQAAAwAAAAAAL6Xwbizw3giCNI2HLPDeCDdDSVEuTkFTREFROk1TRlQuSVFfUFJFX09QRU5fQ09TVC45OTIuMDIvMDgvMjAyNi4uLlVTRC5IAQAAAEtVAAADAAAAAAAvpfBuLPDeCII0jYcs8N4IMkNJ</t>
  </si>
  <si>
    <t>US5OQVNEQVE6TVNGVC5JUV9EQV9TVVBQTC45OTMuMDIvMDgvMjAyNi4uLlVTRC5IAQAAAEtVAAADAAAAAAAvpfBuLPDeCHQNjYcs8N4INENJUS5OQVNEQVE6TVNGVC5JUV9JTVBBSVJfT0lMLjk5NC4wMi8wOC8yMDI2Li4uVVNELkgBAAAAS1UAAAMAAAAAAC+l8G4s8N4IgjSNhyzw3ggyQ0lRLk5BU0RBUTpNU0ZULklRX09QRVJfSU5DLjk5Mi4wMi8wOC8yMDI2Li4uVVNELkgBAAAAS1UAAAIAAAAFMzUwNTgBCAAAAAUAAAABMQEAAAAKMjA0NzI3MTc0NQMAAAADMTYwAgAAAAIyMQQAAAABMAcAAAAIOC8yLzIwMjYIAAAACTYvMzAvMjAxOAkAAAABMC+l8G4s8N4IgjSNhyzw3gg9Q0lRLk5BU0RBUTpNU0ZULklRX0lOVEVSRVNUX0lOVkVTVF9JTkMuOTkzLjAyLzA4LzIwMjYuLi5VU0QuSAEAAABLVQAAAgAAAAQyNzYyAQgAAAAFAAAAATEBAAAACy0yMTQwOTgxNDY5AwAAAAMxNjACAAAAAjY1BAAAAAEwBwAAAAg4LzIvMjAyNggAAAAJNi8zMC8yMDE5CQAAAAEwL6Xwbizw3gjNW42HLPDeCDdDSVEuTkFTREFROk1TRlQuSVFfQ1VSUkVOQ1lfR0FJTi45OTkuMDIvMDgvMjAyNi4uLlVTRC5IAQAAAEtVAAACAAAABC03NjcBCAAAAAUAAAABMQEAAAALLTE4ODAyMjk2ODYDAAAAAzE2MAIAAAACMzgEAAAAATAHAAAACDgvMi8yMDI2CAAAAAk2LzMwLzIwMjUJAAAAATAvpfBuLPDeCM1bjYcs8N4IMkNJUS5OQVNE</t>
  </si>
  <si>
    <t>QVE6TVNGVC5JUV9FQlRfRVhDTC45OTIuMDIvMDgvMjAyNi4uLlVTRC5IAQAAAEtVAAACAAAABTMzOTk1AQgAAAAFAAAAATEBAAAACjIwNDcyNzE3NDUDAAAAAzE2MAIAAAABNAQAAAABMAcAAAAIOC8yLzIwMjYIAAAACTYvMzAvMjAxOAkAAAABMC+l8G4s8N4IgjSNhyzw3gg3Q0lRLk5BU0RBUTpNU0ZULklRX0lNUEFJUk1FTlRfR1cuOTk5LjAyLzA4LzIwMjYuLi5VU0QuSAEAAABLVQAAAwAAAAAAL6Xwbizw3giCNI2HLPDeCDVDSVEuTkFTREFROk1TRlQuSVFfR0FJTl9BU1NFVFMuOTkzLjAyLzA4LzIwMjYuLi5VU0QuSAEAAABLVQAAAwAAAAAAL6Xwbizw3giCNI2HLPDeCDRDSVEuTkFTREFROk1TRlQuSVFfSU5TX1NFVFRMRS45OTMuMDIvMDgvMjAyNi4uLlVTRC5IAQAAAEtVAAADAAAAAAAvpfBuLPDeCM1bjYcs8N4ILUNJUS5OQVNEQVE6TVNGVC5JUV9FQlQuOTk0LjAyLzA4LzIwMjYuLi5VU0QuSAEAAABLVQAAAgAAAAU1MzAzNgEIAAAABQAAAAExAQAAAAstMjA4NzQ5NjYyNwMAAAADMTYwAgAAAAMxMzkEAAAAATAHAAAACDgvMi8yMDI2CAAAAAk2LzMwLzIwMjAJAAAAATAvpfBuLPDeCKuCjYcs8N4ILENJUS5OQVNEQVE6TVNGVC5JUV9ETy45OTUuMDIvMDgvMjAyNi4uLlVTRC5IAQAAAEtVAAADAAAAAAAvpfBuLPDeCM1bjYcs8N4IPkNJUS5OQVNEQVE6TVNGVC5JUV9NSU5PUklUWV9JTlRFUkVT</t>
  </si>
  <si>
    <t>VF9JUy45OTYuMDIvMDgvMjAyNi4uLlVTRC5IAQAAAEtVAAADAAAAAAAvpfBuLPDeCM1bjYcs8N4IN0NJUS5OQVNEQVE6TVNGVC5JUV9OSV9BVkFJTF9JTkNMLjk5OS4wMi8wOC8yMDI2Li4uVVNELkgBAAAAS1UAAAIAAAAGMTAxODMyAQgAAAAFAAAAATEBAAAACy0xODgwMjI5Njg2AwAAAAMxNjACAAAAAjE2BAAAAAEwBwAAAAg4LzIvMjAyNggAAAAJNi8zMC8yMDI1CQAAAAEwL6Xwbizw3gjNW42HLPDeCDhDSVEuTkFTREFROk1TRlQuSVFfQkFTSUNfRVBTX0VYQ0wuOTkyLjAyLzA4LzIwMjYuLi5VU0QuSAEAAABLVQAAAgAAAAgyLjE1MjA3NwEIAAAABQAAAAExAQAAAAoyMDQ3MjcxNzQ1AwAAAAMxNjACAAAABDMwNjQEAAAAATAHAAAACDgvMi8yMDI2CAAAAAk2LzMwLzIwMTgJAAAAATAvpfBuLPDeCKuCjYcs8N4IMkNJUS5OQVNEQVE6TVNGVC5JUV9FUFNfTk9STS45OTYuMDIvMDgvMjAyNi4uLlVTRC5IAQAAAEtVAAACAAAACDYuOTQwNTM0AQgAAAAFAAAAATEBAAAACy0xOTg1OTMxMjI0AwAAAAMxNjACAAAABDQzNzkEAAAAATAHAAAACDgvMi8yMDI2CAAAAAk2LzMwLzIwMjIJAAAAATAvpfBuLPDeCKuCjYcs8N4IOUNJUS5OQVNEQVE6TVNGVC5JUV9UT1RBTF9SRVZfU0hBUkUuOTk1LjAyLzA4LzIwMjYuLi5VU0QuSAEAAABLVQAAAgAAAAkyMi4yNzIxNjEBCAAAAAUAAAABMQEAAAALLTIwMzY4NDM4</t>
  </si>
  <si>
    <t>NDMDAAAAAzE2MAIAAAAENDM4MgQAAAABMAcAAAAIOC8yLzIwMjYIAAAACTYvMzAvMjAyMQkAAAABMC+l8G4s8N4IzVuNhyzw3gg7Q0lRLk5BU0RBUTpNU0ZULklRX1NQRUNJQUxfRElWX1NIQVJFLjk5Mi4wMi8wOC8yMDI2Li4uVVNELkgBAAAAS1UAAAMAAAAAAC+l8G4s8N4IzVuNhyzw3ghAQ0lRLk5BU0RBUTpNU0ZULklRX0VCSVREQV9FUV9JTkNfRVhDTF9TQkMuOTk4LjAyLzA4LzIwMjYuLi5VU0QuSAEAAABLVQAAAgAAAAYxMzg4NDgBCAAAAAUAAAABMQEAAAALLTE4ODAyMjk2OTQDAAAAAzE2MAIAAAAFMjQxMzEEAAAAATAHAAAACDgvMi8yMDI2CAAAAAk2LzMwLzIwMjQJAAAAATAvpfBuLPDeCM1bjYcs8N4ITENJUS5OQVNEQVE6TVNGVC5JUV9FQklUREFfRVFfSU5DX0VYQ0xfT1BFUl9MRUFTRV9BREouMTAwMC4wMi8wOC8yMDI2Li4uVVNELkgBAAAAS1UAAAIAAAAGMTk4OTU5AQgAAAAFAAAAATEBAAAACy0xODgwMjI5NjY1AwAAAAMxNjACAAAABTQ4OTg3BAAAAAEwBwAAAAg4LzIvMjAyNggAAAAJNi8zMC8yMDI2CQAAAAEwL6Xwbizw3gj0qY2HLPDeCDdDSVEuTkFTREFROk1TRlQuSVFfRUJJVF9FWENMX1NCQy45OTguMDIvMDgvMjAyNi4uLlVTRC5IAQAAAEtVAAACAAAABjEyMDE2NwEIAAAABQAAAAExAQAAAAstMTg4MDIyOTY5NAMAAAADMTYwAgAAAAUyNDEzNAQAAAABMAcAAAAIOC8yLzIw</t>
  </si>
  <si>
    <t>MjYIAAAACTYvMzAvMjAyNAkAAAABMC+l8G4s8N4I9KmNhyzw3gg5Q0lRLk5BU0RBUTpNU0ZULklRX0VCSVRBX0VYQ0xfU0JDLjEwMDAuMDIvMDgvMjAyNi4uLlVTRC5IAQAAAEtVAAACAAAABjE3MjM0MgEIAAAABQAAAAExAQAAAAstMTg4MDIyOTY2NQMAAAADMTYwAgAAAAUyNDEzNgQAAAABMAcAAAAIOC8yLzIwMjYIAAAACTYvMzAvMjAyNgkAAAABMC+l8G4s8N4Iq4KNhyzw3gg2Q0lRLk5BU0RBUTpNU0ZULklRX0VCSVREQV9DQVBFWC45OTYuMDIvMDgvMjAyNi4uLlVTRC5IAQAAAEtVAAACAAAABTc0MDk3AQgAAAAFAAAAATEBAAAACy0xOTg1OTMxMjI0AwAAAAMxNjACAAAABTM1Mzc5BAAAAAEwBwAAAAg4LzIvMjAyNggAAAAJNi8zMC8yMDIyCQAAAAEwL6Xwbizw3girgo2HLPDeCDxDSVEuTkFTREFROk1TRlQuSVFfQVNfUkVQT1JURURfRUJJVERBLjk5NS4wMi8wOC8yMDI2Li4uVVNELkgBAAAAS1UAAAMAAAAAAC+l8G4s8N4Iq4KNhyzw3gg7Q0lRLk5BU0RBUTpNU0ZULklRX0lOVkVTVE1FTlRfSU5DT01FLjk5Mi4wMi8wOC8yMDI2Li4uVVNELkgBAAAAS1UAAAMAAAAAAC+l8G4s8N4I9KmNhyzw3gg0Q0lRLk5BU0RBUTpNU0ZULklRX0NVUlJfVEFYRVMuOTk3LjAyLzA4LzIwMjYuLi5VU0QuSAEAAABLVQAAAgAAAAUyMzAwOQEIAAAABQAAAAExAQAAAAstMTkzNDI1NDI1MAMAAAADMTYwAgAAAAUz</t>
  </si>
  <si>
    <t>NTM4MwQAAAABMAcAAAAIOC8yLzIwMjYIAAAACTYvMzAvMjAyMwkAAAABMC+l8G4s8N4I9KmNhyzw3ghDQ0lRLk5BU0RBUTpNU0ZULklRX05PTlJFQ1VSUklOR19JTkNPTUVfVEFYRVMuOTk4LjAyLzA4LzIwMjYuLi5VU0QuSAEAAABLVQAAAwAAAAAAL6Xwbizw3gj0qY2HLPDeCEtDSVEuTkFTREFROk1TRlQuSVFfSU5URVJFU1RfRVhQX0xFQVNFX0xJQUJJTElUWV9ERUJULjk5Ny4wMi8wOC8yMDI2Li4uVVNELkgBAAAAS1UAAAIAAAADNTAxAQgAAAAFAAAAATEBAAAACy0xOTM0MjU0MjUwAwAAAAMxNjACAAAABTQ4OTA3BAAAAAEwBwAAAAg4LzIvMjAyNggAAAAJNi8zMC8yMDIzCQAAAAEwL6Xwbizw3gj0qY2HLPDeCEBDSVEuTkFTREFROk1TRlQuSVFfQU5OVV9ESVNUUklCVVRJT05fVU5JVC45OTUuMDIvMDgvMjAyNi4uLlVTRC5IAQAAAEtVAAADAAAAAAAvpfBuLPDeCPSpjYcs8N4IM0NJUS5OQVNEQVE6TVNGVC5JUV9NQVJLRVRJTkcuOTkzLjAyLzA4LzIwMjYuLi5VU0QuSAEAAABLVQAAAwAAAAAAL6Xwbizw3gj0qY2HLPDeCDhDSVEuTkFTREFROk1TRlQuSVFfTkVUX1JFTlRBTF9FWFAuOTkyLjAyLzA4LzIwMjYuLi5VU0QuSAEAAABLVQAAAwAAAAAAL6Xwbizw3gi15I2HLPDeCDdDSVEuTkFTREFROk1TRlQuSVFfQUlSQ1JBRlRfUkVOVC45OTMuMDIvMDgvMjAyNi4uLlVTRC5IAQAAAEtVAAADAAAA</t>
  </si>
  <si>
    <t>AAAvpfBuLPDeCPSpjYcs8N4IP0NJUS5OQVNEQVE6TVNGVC5JUV9JTVBVVF9PUEVSX0xFQVNFX0RFUFIuOTk1LjAyLzA4LzIwMjYuLi5VU0QuSAEAAABLVQAAAgAAAAsxNjQ0LjY0NzQ0OAEIAAAABQAAAAExAQAAAAstMjAzNjg0Mzg0MwMAAAADMTYwAgAAAAUyMTY3MwQAAAABMAcAAAAIOC8yLzIwMjYIAAAACTYvMzAvMjAyMQkAAAABMC+l8G4s8N4I9KmNhyzw3gg6Q0lRLk5BU0RBUTpNU0ZULklRX0dBSU5fQkFSR0FJTl9BQ1EuOTkyLjAyLzA4LzIwMjYuLi5VU0QuSAEAAABLVQAAAwAAAAAAL6Xwbizw3gj0qY2HLPDeCDhDSVEuTkFTREFROk1TRlQuSVFfU1RPQ0tfQkFTRURfUkQuOTkzLjAyLzA4LzIwMjYuLi5VU0QuSAEAAABLVQAAAwAAAAAAL6Xwbizw3gi15I2HLPDeCENDSVEuTkFTREFROk1TRlQuSVFfU1RPQ0tfT1BUSU9OU19DT01QX1BSRVRBWC45OTYuMDIvMDgvMjAyNi4uLlVTRC5IAQAAAEtVAAADAAAAAAAvpfBuLPDeCLXkjYcs8N4IOENJUS5OQVNEQVE6TVNGVC5JUV9HQUlOX0FTU0VUU19DRi45OTcuMDIvMDgvMjAyNi4uLlVTRC5IAQAAAEtVAAADAAAAAAAvpfBuLPDeCPSpjYcs8N4IOENJUS5OQVNEQVE6TVNGVC5JUV9TVF9ERUJUX1JFUEFJRC45OTYuMDIvMDgvMjAyNi4uLlVTRC5IAQAAAEtVAAADAAAAAAAvpfBuLPDeCPSpjYcs8N4IM0NJUS5OQVNEQVE6TVNGVC5JUV9FQklUXzVZ</t>
  </si>
  <si>
    <t>Ul9BTk5fQ0FHUi45OTEuMDIvMDgvMjAyNgEAAABLVQAAAgAAAAYwLjk2NDkBCAAAAAUAAAABMQEAAAAKMTk3MzM4MDk1MQMAAAADMTYwAgAAAAQ0MjM2BAAAAAEwBwAAAAg4LzIvMjAyNggAAAAJNi8zMC8yMDE3CQAAAAEwL6Xwbizw3ggdz+KHLPDeCDlDSVEuTkFTREFROk1TRlQuSVFfVE9UQUxfUkVWXzNZUl9BTk5fQ0FHUi4yMDAwLjAyLzA4LzIwMjYBAAAAS1UAAAIAAAAGMTYuMTI0AQgAAAAFAAAAATEBAAAACy0xODgwMjI5MzIzAwAAAAMxNjACAAAABDQyMjAEAAAAATAHAAAACDgvMi8yMDI2CAAAAAk2LzMwLzIwMjYJAAAAATAvpfBuLPDeCF2U4ocs8N4IOkNJUS5OQVNEQVE6TVNGVC5JUV9UT1RBTF9SRVZfMVlSX0FOTl9HUk9XVEguOTkwLjAyLzA4LzIwMjYBAAAAS1UAAAIAAAAHLTIuNTkyNQEIAAAABQAAAAExAQAAAAoxODk4NDg5NDcwAwAAAAMxNjACAAAABDQxOTQEAAAAATAHAAAACDgvMi8yMDI2CAAAAAk2LzMwLzIwMTYJAAAAATAvpfBuLPDeCF2U4ocs8N4IMUNJUS5OQVNEQVE6TVNGVC5JUV9ORVRfREVCVF9FQklUREEuOTkxLjAyLzA4LzIwMjYBAAAAS1UAAAMAAAACTk0BCAAAAAUAAAABMQEAAAAKMTk3MzM4MDk1MQMAAAADMTYwAgAAAAQ0MTkzBAAAAAEwBwAAAAg4LzIvMjAyNggAAAAJNi8zMC8yMDE3CQAAAAEwL6Xwbizw3ggdz+KHLPDeCDlDSVEuTkFTREFROk1TRlQuSVFfVE9U</t>
  </si>
  <si>
    <t>QUxfTElBQl9UT1RBTF9BU1NFVFMuOTkwLjAyLzA4LzIwMjYBAAAAS1UAAAIAAAAGNjIuNzg2AQgAAAAFAAAAATEBAAAACjE4OTg0ODk0NzADAAAAAzE2MAIAAAAENDE4OAQAAAABMAcAAAAIOC8yLzIwMjYIAAAACTYvMzAvMjAxNgkAAAABMC+l8G4s8N4IXZTihyzw3gg0Q0lRLk5BU0RBUTpNU0ZULklRX0RBWVNfSU5WRU5UT1JZX09VVC45OTAuMDIvMDgvMjAyNgEAAABLVQAAAgAAAAkyOC43NjcyMzQBCAAAAAUAAAABMQEAAAAKMTg5ODQ4OTQ3MAMAAAADMTYwAgAAAAQ0MDM1BAAAAAEwBwAAAAg4LzIvMjAyNggAAAAJNi8zMC8yMDE2CQAAAAEwL6Xwbizw3ghdlOKHLPDeCDNDSVEuTkFTREFROk1TRlQuSVFfRklYRURfQVNTRVRfVFVSTlMuOTkxLjAyLzA4LzIwMjYBAAAAS1UAAAIAAAAIMy45NzA0MzgBCAAAAAUAAAABMQEAAAAKMTk3MzM4MDk1MQMAAAADMTYwAgAAAAQ0MDY2BAAAAAEwBwAAAAg4LzIvMjAyNggAAAAJNi8zMC8yMDE3CQAAAAEwL6Xwbizw3ghdlOKHLPDeCDFDSVEuTkFTREFROk1TRlQuSVFfUkVUVVJOX0NBUElUQUwuMjAwMC4wMi8wOC8yMDI2AQAAAEtVAAACAAAABzE4Ljg5NjkBCAAAAAUAAAABMQEAAAALLTE4ODAyMjkzMjMDAAAAAzE2MAIAAAAENDM2MwQAAAABMAcAAAAIOC8yLzIwMjYIAAAACTYvMzAvMjAyNgkAAAABMC+l8G4s8N4IXZTihyzw3ggxQ0lRLk5BU0RBUTpNU0ZU</t>
  </si>
  <si>
    <t>LklRX0NPU1RfQk9SUk9XSU5HLjIwMDAuMDIvMDgvMjAyNgEAAABLVQAAAgAAAAYyLjU1NjgBCAAAAAUAAAABMQEAAAALLTE4ODAyMjkzMjMDAAAAAzE2MAIAAAAFMjE2ODEEAAAAATAHAAAACDgvMi8yMDI2CAAAAAk2LzMwLzIwMjYJAAAAATAvpfBuLPDeCF2U4ocs8N4IK0NJUS5OQVNEQVE6TVNGVC5JUV9GVUxMX1RJTUUuOTkwLjAyLzA4LzIwMjYBAAAAS1UAAAIAAAAGMTE0MDAwAC+l8G4s8N4IXZTihyzw3ggxQ0lRLk5BU0RBUTpNU0ZULklRX0ZJTElOR19DVVJSRU5DWS45OTEuMDIvMDgvMjAyNgEAAABLVQAAAwAAAANVU0QAL6Xwbizw3gjO3OWHLPDeCDxDSVEuTkFTREFROk1TRlQuSVFfRElTVFJJQlVUQUJMRV9DQVNIX1BBWU9VVC4yMDAwLjAyLzA4LzIwMjYBAAAAS1UAAAMAAAAAAC+l8G4s8N4IXZTihyzw3ghCQ0lRLk5BU0RBUTpNU0ZULklRX0RJU1RSSUJVVEFCTEVfQ0FTSF9TSEFSRVNfQkFTSUMuMjAwMC4wMi8wOC8yMDI2AQAAAEtVAAADAAAAAAAvpfBuLPDeCPdl5ocs8N4IPUNJUS5OQVNEQVE6TVNGVC5JUV9JTlRFUkNPTVBBTllfTk9OX0NBLjk5MC4wMi8wOC8yMDI2Li4uVVNELkgBAAAAS1UAAAMAAAAAAC+l8G4s8N4IteSNhyzw3gg4Q0lRLk5BU0RBUTpNU0ZULklRX0FDQ1VNX0FNT1JUX0dXLjk5MS4wMi8wOC8yMDI2Li4uVVNELkgBAAAAS1UAAAMAAAAAAC+l8G4s8N4IteSNhyzw</t>
  </si>
  <si>
    <t>3gg+Q0lRLk5BU0RBUTpNU0ZULklRX0xUX0RFQlRfREVSSVZBVElWRVMuMjAwMC4wMi8wOC8yMDI2Li4uVVNELkgBAAAAS1UAAAMAAAAAAC+l8G4s8N4IteSNhyzw3gg9Q0lRLk5BU0RBUTpNU0ZULklRX1RPVEFMX0RFQlRfRVhDTF9GSU4uOTkwLjAyLzA4LzIwMjYuLi5VU0QuSAEAAABLVQAAAgAAAAU1NDU0MQEIAAAABQAAAAExAQAAAAoxODk4NDg5NDcwAwAAAAMxNjACAAAABTIxODYwBAAAAAEwBwAAAAg4LzIvMjAyNggAAAAJNi8zMC8yMDE2CQAAAAEwL6Xwbizw3ggyDI6HLPDeCDxDSVEuTkFTREFROk1TRlQuSVFfRklOX0RJVl9ERUJUX1RPVEFMLjk5MS4wMi8wOC8yMDI2Li4uVVNELkgBAAAAS1UAAAMAAAAAAC+l8G4s8N4IMgyOhyzw3gg8Q0lRLk5BU0RBUTpNU0ZULklRX0FTU0VUU19GQUlSX1ZBTFVFLjIwMDAuMDIvMDgvMjAyNi4uLlVTRC5IAQAAAEtVAAACAAAABTc3NTQ5AC+l8G4s8N4IteSNhyzw3ghQQ0lRLk5BU0RBUTpNU0ZULklRX0xJUVVJREFUSU9OX1ZBTFVFX1BSRUZFUlJFRF9OT05fUkVERUVNLjk5MC4wMi8wOC8yMDI2Li4uVVNELkgBAAAAS1UAAAMAAAAAAC+l8G4s8N4IteSNhyzw3ghDQ0lRLk5BU0RBUTpNU0ZULklRX0ZJTl9ESVZfTUlOT1JJVFlfSU5URVJFU1QuOTkxLjAyLzA4LzIwMjYuLi5VU0QuSAEAAABLVQAAAwAAAAAAL6Xwbizw3gi15I2HLPDeCDRDSVEuTkFTREFR</t>
  </si>
  <si>
    <t>Ok1TRlQuSVFfQlVJTERJTkdTLjIwMDAuMDIvMDgvMjAyNi4uLlVTRC5IAQAAAEtVAAACAAAABjE4Mjc0OQEIAAAABQAAAAExAQAAAAstMTg4MDIyOTMyMwMAAAADMTYwAgAAAAQzMDIzBAAAAAEwBwAAAAg4LzIvMjAyNggAAAAJNi8zMC8yMDI2CQAAAAEwL6Xwbizw3ggyDI6HLPDeCC9DSVEuTkFTREFROk1TRlQuSVFfTElGT1IuOTkxLjAyLzA4LzIwMjYuLi5VU0QuSAEAAABLVQAAAwAAAAAAL6Xwbizw3ggyDI6HLPDeCEFDSVEuTkFTREFROk1TRlQuSVFfTUlOT1JJVFlfSU5URVJFU1RfVE9UQUwuOTkxLjAyLzA4LzIwMjYuLi5VU0QuSAEAAABLVQAAAwAAAAAAL6Xwbizw3ggyDI6HLPDeCDRDSVEuTkFTREFROk1TRlQuSVFfVEJWX1NIQVJFLjIwMDAuMDIvMDgvMjAyNi4uLlVTRC5IAQAAAEtVAAACAAAACTQwLjk0ODgzNQEIAAAABQAAAAExAQAAAAstMTg4MDIyOTMyMwMAAAADMTYwAgAAAAQ0MTU2BAAAAAEwBwAAAAg4LzIvMjAyNggAAAAJNi8zMC8yMDI2CQAAAAEwL6Xwbizw3ggyDI6HLPDeCFJDSVEuTkFTREFROk1TRlQuSVFfRklOQU5DSU5HX09CTElHX0NVUlJFTlRfRVhDTF9PUEVSX0xFQVNFUy45OTAuMDIvMDgvMjAyNi4uLlVTRC5IAQAAAEtVAAACAAAABTEzMjIzAQgAAAAFAAAAATEBAAAACjE4OTg0ODk0NzADAAAAAzE2MAIAAAAFNDg5ODAEAAAAATAHAAAACDgvMi8yMDI2CAAAAAk2LzMw</t>
  </si>
  <si>
    <t>LzIwMTYJAAAAATAvpfBuLPDeCDIMjocs8N4IQENJUS5OQVNEQVE6TVNGVC5JUV9GSU5BTkNFX0xFQVNFU19DVVJSRU5ULjk5MC4wMi8wOC8yMDI2Li4uVVNELkgBAAAAS1UAAAIAAAACMjUBCAAAAAUAAAABMQEAAAAKMTg5ODQ4OTQ3MAMAAAADMTYwAgAAAAU0ODk5MAQAAAABMAcAAAAIOC8yLzIwMjYIAAAACTYvMzAvMjAxNgkAAAABMC+l8G4s8N4IsDiOhyzw3ghCQ0lRLk5BU0RBUTpNU0ZULklRX1JVQV9DQVBJVEFMX0xFQVNFX0dST1NTLjIwMDAuMDIvMDgvMjAyNi4uLlVTRC5IAQAAAEtVAAADAAAAAAAvpfBuLPDeCLA4jocs8N4IPkNJUS5OQVNEQVE6TVNGVC5JUV9UT1RBTF9DT01NT05fRVFVSVRZLjIwMDAuMDIvMDgvMjAyNi4uLlVTRC5IAQAAAEtVAAACAAAABjQ0MjM4NwEIAAAABQAAAAExAQAAAAstMTg4MDIyOTMyMwMAAAADMTYwAgAAAAQxMDA2BAAAAAEwBwAAAAg4LzIvMjAyNggAAAAJNi8zMC8yMDI2CQAAAAEwL6Xwbizw3ggyDI6HLPDeCDVDSVEuTkFTREFROk1TRlQuSVFfUFJFRl9PVEhFUi4yMDAwLjAyLzA4LzIwMjYuLi5VU0QuSAEAAABLVQAAAwAAAAAAL6Xwbizw3ggyDI6HLPDeCDFDSVEuTkFTREFROk1TRlQuSVFfUEVOU0lPTi45OTEuMDIvMDgvMjAyNi4uLlVTRC5IAQAAAEtVAAADAAAAAAAvpfBuLPDeCDIMjocs8N4IOENJUS5OQVNEQVE6TVNGVC5JUV9PVEhFUl9DTF9TVVBQ</t>
  </si>
  <si>
    <t>TC45OTEuMDIvMDgvMjAyNi4uLlVTRC5IAQAAAEtVAAACAAAABDYxNDgBCAAAAAUAAAABMQEAAAAKMTk3MzM4MDk1MQMAAAADMTYwAgAAAAQxMDU3BAAAAAEwBwAAAAg4LzIvMjAyNggAAAAJNi8zMC8yMDE3CQAAAAEwL6Xwbizw3gjJX46HLPDeCDtDSVEuTkFTREFROk1TRlQuSVFfQ1VSUkVOVF9QT1JUX0RFQlQuOTkxLjAyLzA4LzIwMjYuLi5VU0QuSAEAAABLVQAAAgAAAAQxMDQ5AQgAAAAFAAAAATEBAAAACjE5NzMzODA5NTEDAAAAAzE2MAIAAAAEMTI5NwQAAAABMAcAAAAIOC8yLzIwMjYIAAAACTYvMzAvMjAxNwkAAAABMC+l8G4s8N4IyV+Ohyzw3gg5Q0lRLk5BU0RBUTpNU0ZULklRX0xPQU5TX1JFQ0VJVl9MVC45OTAuMDIvMDgvMjAyNi4uLlVTRC5IAQAAAEtVAAADAAAAAAAvpfBuLPDeCDIMjocs8N4ILkNJUS5OQVNEQVE6TVNGVC5JUV9OUFBFLjk5MC4wMi8wOC8yMDI2Li4uVVNELkgBAAAAS1UAAAIAAAAFMTgzNTYBCAAAAAUAAAABMQEAAAAKMTg5ODQ4OTQ3MAMAAAADMTYwAgAAAAQxMDA0BAAAAAEwBwAAAAg4LzIvMjAyNggAAAAJNi8zMC8yMDE2CQAAAAEwL6Xwbizw3giwOI6HLPDeCDhDSVEuTkFTREFROk1TRlQuSVFfTE9BTlNfRk9SX1NBTEUuOTkxLjAyLzA4LzIwMjYuLi5VU0QuSAEAAABLVQAAAwAAAAAAL6Xwbizw3giwOI6HLPDeCDlDSVEuTkFTREFROk1TRlQuSVFfQ0FTSF9TVF9J</t>
  </si>
  <si>
    <t>TlZFU1QuMjAwMC4wMi8wOC8yMDI2Li4uVVNELkgBAAAAS1UAAAIAAAAFNzY2NTEBCAAAAAUAAAABMQEAAAALLTE4ODAyMjkzMjMDAAAAAzE2MAIAAAAEMTAwMgQAAAABMAcAAAAIOC8yLzIwMjYIAAAACTYvMzAvMjAyNgkAAAABMC+l8G4s8N4IyV+Ohyzw3ghOQ0lRLk5BU0RBUTpNU0ZULklRX09QRVJBVElOR19MRUFTRV9MSUFCSUxJVElFU19OT05DQVNILjIwMDAuMDIvMDgvMjAyNi4uLlVTRC5IAQAAAEtVAAADAAAAAAAvpfBuLPDeCMlfjocs8N4IM0NJUS5OQVNEQVE6TVNGVC5JUV9DRl9TSEFSRS4yMDAwLjAyLzA4LzIwMjYuLi5VU0QuSAEAAABLVQAAAgAAAAc5LjAxNjk2AQgAAAAFAAAAATEBAAAACy0xODgwMjI5MzIzAwAAAAMxNjACAAAABTQzOTIzBAAAAAEwBwAAAAg4LzIvMjAyNggAAAAJNi8zMC8yMDI2CQAAAAEwL6Xwbizw3giwOI6HLPDeCDlDSVEuTkFTREFROk1TRlQuSVFfQ0FTSF9UQVhFU19PUEVSLjk5MS4wMi8wOC8yMDI2Li4uVVNELkgBAAAAS1UAAAMAAAAAAC+l8G4s8N4IsDiOhyzw3gg3Q0lRLk5BU0RBUTpNU0ZULklRX0NBU0hfSU5URVJFU1QuOTkxLjAyLzA4LzIwMjYuLi5VU0QuSAEAAABLVQAAAgAAAAQxNjAwAQgAAAAFAAAAATEBAAAACjE5NzMzODA5NTEDAAAAAzE2MAIAAAAEMzAyOAQAAAABMAcAAAAIOC8yLzIwMjYIAAAACTYvMzAvMjAxNwkAAAABMC+l8G4s8N4IyV+O</t>
  </si>
  <si>
    <t>hyzw3ggxQ0lRLk5BU0RBUTpNU0ZULklRX0RFUF9SVUEuOTkxLjAyLzA4LzIwMjYuLi5VU0QuSAEAAABLVQAAAwAAAAAAL6Xwbizw3giamo6HLPDeCEJDSVEuTkFTREFROk1TRlQuSVFfT1RIRVJfRklOQU5DRV9BQ1RfU1VQUEwuMjAwMC4wMi8wOC8yMDI2Li4uVVNELkgBAAAAS1UAAAIAAAAFLTI4MzkBCAAAAAUAAAABMQEAAAALLTE4ODAyMjkzMjMDAAAAAzE2MAIAAAAEMjA1MAQAAAABMAcAAAAIOC8yLzIwMjYIAAAACTYvMzAvMjAyNgkAAAABMC+l8G4s8N4ImpqOhyzw3gg2Q0lRLk5BU0RBUTpNU0ZULklRX1BSRUZfSVNTVUVELjIwMDAuMDIvMDgvMjAyNi4uLlVTRC5IAQAAAEtVAAADAAAAAAAvpfBuLPDeCMlfjocs8N4IOUNJUS5OQVNEQVE6TVNGVC5JUV9MVF9ERUJUX0lTU1VFRC4yMDAwLjAyLzA4LzIwMjYuLi5VU0QuSAEAAABLVQAAAwAAAAAAL6Xwbizw3gjJX46HLPDeCD1DSVEuTkFTREFROk1TRlQuSVFfU0FMRV9SRUFMX0VTVEFURV9DRi45OTEuMDIvMDgvMjAyNi4uLlVTRC5IAQAAAEtVAAADAAAAAAAvpfBuLPDeCMlfjocs8N4IOENJUS5OQVNEQVE6TVNGVC5JUV9DSEFOR0VfREVGX1RBWC45OTEuMDIvMDgvMjAyNi4uLlVTRC5IAQAAAEtVAAADAAAAAAAvpfBuLPDeCJqajocs8N4IOENJUS5OQVNEQVE6TVNGVC5JUV9PVEhFUl9PUEVSX0FDVC45OTEuMDIvMDgvMjAyNi4uLlVTRC5IAQAA</t>
  </si>
  <si>
    <t>AEtVAAACAAAAAzE0OQEIAAAABQAAAAExAQAAAAoxOTczMzgwOTUxAwAAAAMxNjACAAAABDIwNDcEAAAAATAHAAAACDgvMi8yMDI2CAAAAAk2LzMwLzIwMTcJAAAAATAvpfBuLPDeCJqajocs8N4IPENJUS5OQVNEQVE6TVNGVC5JUV9BU1NFVF9XUklURURPV05fQ0YuOTkwLjAyLzA4LzIwMjYuLi5VU0QuSAEAAABLVQAAAgAAAAM2MzABCAAAAAUAAAABMQEAAAAKMTg5ODQ4OTQ3MAMAAAADMTYwAgAAAAQyMDE5BAAAAAEwBwAAAAg4LzIvMjAyNggAAAAJNi8zMC8yMDE2CQAAAAEwL6Xwbizw3gjJX46HLPDeCDtDSVEuTkFTREFROk1TRlQuSVFfR1dfSU5UQU5fQU1PUlRfQ0YuOTkwLjAyLzA4LzIwMjYuLi5VU0QuSAEAAABLVQAAAgAAAAM5NzgBCAAAAAUAAAABMQEAAAAKMTg5ODQ4OTQ3MAMAAAADMTYwAgAAAAQyMTgyBAAAAAEwBwAAAAg4LzIvMjAyNggAAAAJNi8zMC8yMDE2CQAAAAEwL6Xwbizw3gjJX46HLPDeCEBDSVEuTkFTREFROk1TRlQuSVFfU1RPQ0tfT1BUSU9OU19DT01QX1RBWC45OTEuMDIvMDgvMjAyNi4uLlVTRC5IAQAAAEtVAAADAAAAAAAvpfBuLPDeCJqajocs8N4IOkNJUS5OQVNEQVE6TVNGVC5JUV9TVE9DS19CQVNFRF9TR0EuMjAwMC4wMi8wOC8yMDI2Li4uVVNELkgBAAAAS1UAAAMAAAAAAC+l8G4s8N4I28GOhyzw3gg7Q0lRLk5BU0RBUTpNU0ZULklRX05FR0FUSVZFX0dXX0FNT1JU</t>
  </si>
  <si>
    <t>Ljk5MC4wMi8wOC8yMDI2Li4uVVNELkgBAAAAS1UAAAMAAAAAAC+l8G4s8N4I28GOhyzw3gg1Q0lRLk5BU0RBUTpNU0ZULklRX0lQUkRfU1VQUExFLjk5MS4wMi8wOC8yMDI2Li4uVVNELkgBAAAAS1UAAAMAAAAAAC+l8G4s8N4ImpqOhyzw3ghCQ0lRLk5BU0RBUTpNU0ZULklRX0VYUExPUkVfRFJJTExfRVhQX1RPVEFMLjIwMDAuMDIvMDgvMjAyNi4uLlVTRC5IAQAAAEtVAAADAAAAAAAvpfBuLPDeCJqajocs8N4IP0NJUS5OQVNEQVE6TVNGVC5JUV9ORVRfUkVOVEFMX0VYUF9TVVBQTEUuOTkwLjAyLzA4LzIwMjYuLi5VU0QuSAEAAABLVQAAAgAAAAM5MzYBCAAAAAUAAAABMQEAAAAKMTg5ODQ4OTQ3MAMAAAADMTYwAgAAAAUyNDI2MwQAAAABMAcAAAAIOC8yLzIwMjYIAAAACTYvMzAvMjAxNgkAAAABMC+l8G4s8N4ImpqOhyzw3gguQ0lRLk5BU0RBUTpNU0ZULklRX0RJQy4yMDAwLjAyLzA4LzIwMjYuLi5VU0QuSAEAAABLVQAAAwAAAAAAL6Xwbizw3gjB3o6HLPDeCDpDSVEuTkFTREFROk1TRlQuSVFfSU5UX0VYUF9JTkNMX0NBUC45OTAuMDIvMDgvMjAyNi4uLlVTRC5IAQAAAEtVAAACAAAABDEzMDEBCAAAAAUAAAABMQEAAAAKMTg5ODQ4OTQ3MAMAAAADMTYwAgAAAAUyMTg2MQQAAAABMAcAAAAIOC8yLzIwMjYIAAAACTYvMzAvMjAxNgkAAAABMC+l8G4s8N4Iwd6Ohyzw3gg+Q0lRLk5BU0RBUTpNU0ZU</t>
  </si>
  <si>
    <t>LklRX0RFRkVSUkVEX1RBWEVTX1RPVEFMLjk5MC4wMi8wOC8yMDI2Li4uVVNELkgBAAAAS1UAAAIAAAAEMjQ3OQEIAAAABQAAAAExAQAAAAoxODk4NDg5NDcwAwAAAAMxNjACAAAABTM1Mzg1BAAAAAEwBwAAAAg4LzIvMjAyNggAAAAJNi8zMC8yMDE2CQAAAAEwL6Xwbizw3giamo6HLPDeCEFDSVEuTkFTREFROk1TRlQuSVFfRVhDSVNFX1RBWEVTX0VYQ0xfU0FMRVMuOTkxLjAyLzA4LzIwMjYuLi5VU0QuSAEAAABLVQAAAwAAAAAAL6Xwbizw3giamo6HLPDeCDtDSVEuTkFTREFROk1TRlQuSVFfRkVFU19PVEhFUl9JTkNPTUUuOTkxLjAyLzA4LzIwMjYuLi5VU0QuSAEAAABLVQAAAwAAAAAAL6Xwbizw3giamo6HLPDeCD9DSVEuTkFTREFROk1TRlQuSVFfRUJJVEFfRVFfSU5DX0VYQ0xfU0JDLjk5MS4wMi8wOC8yMDI2Li4uVVNELkgBAAAAS1UAAAIAAAAFMzQyOTcBCAAAAAUAAAABMQEAAAAKMTk3MzM4MDk1MQMAAAADMTYwAgAAAAUyNDEzMgQAAAABMAcAAAAIOC8yLzIwMjYIAAAACTYvMzAvMjAxNwkAAAABMC+l8G4s8N4Iwd6Ohyzw3ghLQ0lRLk5BU0RBUTpNU0ZULklRX0VCSVREQV9FUV9JTkNfRVhDTF9PUEVSX0xFQVNFX0FESi45OTEuMDIvMDgvMjAyNi4uLlVTRC5IAQAAAEtVAAACAAAABTM3MTMxAQgAAAAFAAAAATEBAAAACjE5NzMzODA5NTEDAAAAAzE2MAIAAAAFNDg5ODcEAAAAATAHAAAACDgv</t>
  </si>
  <si>
    <t>Mi8yMDI2CAAAAAk2LzMwLzIwMTcJAAAAATAbfvBuLPDeCMHejocs8N4IOkNJUS5OQVNEQVE6TVNGVC5JUV9UT1RBTF9SRVZfU0hBUkUuMjAwMC4wMi8wOC8yMDI2Li4uVVNELkgBAAAAS1UAAAIAAAAJNDQuNjY4MDU3AQgAAAAFAAAAATEBAAAACy0xODgwMjI5MzIzAwAAAAMxNjACAAAABDQzODIEAAAAATAHAAAACDgvMi8yMDI2CAAAAAk2LzMwLzIwMjYJAAAAATAbfvBuLPDeCNvBjocs8N4IOENJUS5OQVNEQVE6TVNGVC5JUV9ESUxVVF9FUFNfSU5DTC45OTAuMDIvMDgvMjAyNi4uLlVTRC5IAQAAAEtVAAACAAAABDIuNTYBCAAAAAUAAAABMQEAAAAKMTg5ODQ4OTQ3MAMAAAADMTYwAgAAAAE4BAAAAAEwBwAAAAg4LzIvMjAyNggAAAAJNi8zMC8yMDE2CQAAAAEwG37wbizw3gjbwY6HLPDeCD5DSVEuTkFTREFROk1TRlQuSVFfTUlOT1JJVFlfSU5URVJFU1RfSVMuOTkxLjAyLzA4LzIwMjYuLi5VU0QuSAEAAABLVQAAAwAAAAAAG37wbizw3gjbwY6HLPDeCDVDSVEuTkFTREFROk1TRlQuSVFfSU5TX1NFVFRMRS4yMDAwLjAyLzA4LzIwMjYuLi5VU0QuSAEAAABLVQAAAwAAAAAAG37wbizw3gjB3o6HLPDeCDBDSVEuTkFTREFROk1TRlQuSVFfTUVSR0VSLjk5MC4wMi8wOC8yMDI2Li4uVVNELkgBAAAAS1UAAAMAAAAAABt+8G4s8N4Iwd6Ohyzw3gg9Q0lRLk5BU0RBUTpNU0ZULklRX0lOVEVSRVNUX0lOVkVT</t>
  </si>
  <si>
    <t>VF9JTkMuOTkwLjAyLzA4LzIwMjYuLi5VU0QuSAEAAABLVQAAAgAAAAM5MDMBCAAAAAUAAAABMQEAAAAKMTg5ODQ4OTQ3MAMAAAADMTYwAgAAAAI2NQQAAAABMAcAAAAIOC8yLzIwMjYIAAAACTYvMzAvMjAxNgkAAAABMBt+8G4s8N4Iwd6Ohyzw3gg4Q0lRLk5BU0RBUTpNU0ZULklRX1BSRV9PUEVOX0NPU1QuMjAwMC4wMi8wOC8yMDI2Li4uVVNELkgBAAAAS1UAAAMAAAAAABt+8G4s8N4Iwd6Ohyzw3gg2Q0lRLk5BU0RBUTpNU0ZULklRX0lOU19ESVZfRVhQLjIwMDAuMDIvMDgvMjAyNi4uLlVTRC5IAQAAAEtVAAADAAAAAAAbfvBuLPDeCMHejocs8N4IOkNJUS5OQVNEQVE6TVNGVC5JUV9HQUlOX0FTU0VUU19SRVYuMjAwMC4wMi8wOC8yMDI2Li4uVVNELkgBAAAAS1UAAAMAAAAAABt+8G4s8N4IFgaPhyzw3gg1Q0lRLk5BU0RBUTpNU0ZULklRX0ZJTl9ESVZfUkVWLjk5OC4wMi8wOC8yMDI2Li4uVVNELkgBAAAAS1UAAAMAAAAAABt+8G4s8N4IFgaPhyzw3gg5Q0lRLk5BU0RBUTpNU0ZULklRX0dBSU5fSU5WRVNUX1JFVi45OTUuMDIvMDgvMjAyNi4uLlVTRC5IAQAAAEtVAAADAAAAAAAbfvBuLPDeCMHejocs8N4IOUNJUS5OQVNEQVE6TVNGVC5JUV9PVEhFUl9SRVZfU1VQUEwuOTk3LjAyLzA4LzIwMjYuLi5VU0QuSAEAAABLVQAAAwAAAAAAG37wbizw3gjB3o6HLPDeCDVDSVEuTkFTREFROk1TRlQuSVFf</t>
  </si>
  <si>
    <t>SU5TX0RJVl9FWFAuOTkyLjAyLzA4LzIwMjYuLi5VU0QuSAEAAABLVQAAAwAAAAAAG37wbizw3gjB3o6HLPDeCDlDSVEuTkFTREFROk1TRlQuSVFfRklOX0RJVl9JTlRfRVhQLjk5Ni4wMi8wOC8yMDI2Li4uVVNELkgBAAAAS1UAAAMAAAAAABt+8G4s8N4IFgaPhyzw3ggzQ0lRLk5BU0RBUTpNU0ZULklRX1NHQV9TVVBQTC45OTcuMDIvMDgvMjAyNi4uLlVTRC5IAQAAAEtVAAACAAAABTMwMzM0AQgAAAAFAAAAATEBAAAACy0xOTM0MjU0MjUwAwAAAAMxNjACAAAAAzEwMgQAAAABMAcAAAAIOC8yLzIwMjYIAAAACTYvMzAvMjAyMwkAAAABMBt+8G4s8N4IFgaPhyzw3gg3Q0lRLk5BU0RBUTpNU0ZULklRX1BSRV9PUEVOX0NPU1QuOTkzLjAyLzA4LzIwMjYuLi5VU0QuSAEAAABLVQAAAwAAAAAAG37wbizw3ggWBo+HLPDeCDJDSVEuTkFTREFROk1TRlQuSVFfREFfU1VQUEwuOTk0LjAyLzA4LzIwMjYuLi5VU0QuSAEAAABLVQAAAwAAAAAAG37wbizw3ggWBo+HLPDeCDRDSVEuTkFTREFROk1TRlQuSVFfT1RIRVJfT1BFUi45OTIuMDIvMDgvMjAyNi4uLlVTRC5IAQAAAEtVAAADAAAAAAAbfvBuLPDeCBYGj4cs8N4IMkNJUS5OQVNEQVE6TVNGVC5JUV9PUEVSX0lOQy45OTMuMDIvMDgvMjAyNi4uLlVTRC5IAQAAAEtVAAACAAAABTQyOTU5AQgAAAAFAAAAATEBAAAACy0yMTQwOTgxNDY5AwAAAAMxNjACAAAAAjIx</t>
  </si>
  <si>
    <t>BAAAAAEwBwAAAAg4LzIvMjAyNggAAAAJNi8zMC8yMDE5CQAAAAEwG37wbizw3gghLY+HLPDeCD1DSVEuTkFTREFROk1TRlQuSVFfSU5URVJFU1RfSU5WRVNUX0lOQy45OTQuMDIvMDgvMjAyNi4uLlVTRC5IAQAAAEtVAAACAAAABDI2ODABCAAAAAUAAAABMQEAAAALLTIwODc0OTY2MjcDAAAAAzE2MAIAAAACNjUEAAAAATAHAAAACDgvMi8yMDI2CAAAAAk2LzMwLzIwMjAJAAAAATAbfvBuLPDeCCEtj4cs8N4IN0NJUS5OQVNEQVE6TVNGVC5JUV9DVVJSRU5DWV9HQUlOLjk5Mi4wMi8wOC8yMDI2Li4uVVNELkgBAAAAS1UAAAIAAAAELTE0OAEIAAAABQAAAAExAQAAAAoyMDQ3MjcxNzQ1AwAAAAMxNjACAAAAAjM4BAAAAAEwBwAAAAg4LzIvMjAyNggAAAAJNi8zMC8yMDE4CQAAAAEwG37wbizw3ggWBo+HLPDeCDJDSVEuTkFTREFROk1TRlQuSVFfRUJUX0VYQ0wuOTkzLjAyLzA4LzIwMjYuLi5VU0QuSAEAAABLVQAAAgAAAAU0MzA0MAEIAAAABQAAAAExAQAAAAstMjE0MDk4MTQ2OQMAAAADMTYwAgAAAAE0BAAAAAEwBwAAAAg4LzIvMjAyNggAAAAJNi8zMC8yMDE5CQAAAAEwG37wbizw3ggWBo+HLPDeCDdDSVEuTkFTREFROk1TRlQuSVFfSU1QQUlSTUVOVF9HVy45OTIuMDIvMDgvMjAyNi4uLlVTRC5IAQAAAEtVAAADAAAAAAAbfvBuLPDeCBYGj4cs8N4INUNJUS5OQVNEQVE6TVNGVC5JUV9HQUlOX0FTU0VU</t>
  </si>
  <si>
    <t>Uy45OTQuMDIvMDgvMjAyNi4uLlVTRC5IAQAAAEtVAAADAAAAAAAbfvBuLPDeCCEtj4cs8N4INENJUS5OQVNEQVE6TVNGVC5JUV9JTlNfU0VUVExFLjk5NC4wMi8wOC8yMDI2Li4uVVNELkgBAAAAS1UAAAMAAAAAABt+8G4s8N4IIS2Phyzw3ggtQ0lRLk5BU0RBUTpNU0ZULklRX0VCVC45OTUuMDIvMDgvMjAyNi4uLlVTRC5IAQAAAEtVAAACAAAABTcxMTAyAQgAAAAFAAAAATEBAAAACy0yMDM2ODQzODQzAwAAAAMxNjACAAAAAzEzOQQAAAABMAcAAAAIOC8yLzIwMjYIAAAACTYvMzAvMjAyMQkAAAABMBt+8G4s8N4IFgaPhyzw3ggsQ0lRLk5BU0RBUTpNU0ZULklRX0RPLjk5Ni4wMi8wOC8yMDI2Li4uVVNELkgBAAAAS1UAAAMAAAAAABt+8G4s8N4IIS2Phyzw3gg+Q0lRLk5BU0RBUTpNU0ZULklRX01JTk9SSVRZX0lOVEVSRVNUX0lTLjk5OC4wMi8wOC8yMDI2Li4uVVNELkgBAAAAS1UAAAMAAAAAABt+8G4s8N4IIS2Phyzw3gg4Q0lRLk5BU0RBUTpNU0ZULklRX05JX0FWQUlMX0lOQ0wuMTAwMC4wMi8wOC8yMDI2Li4uVVNELkgBAAAAS1UAAAIAAAAGMTMzNzQ5AQgAAAAFAAAAATEBAAAACy0xODgwMjI5NjY1AwAAAAMxNjACAAAAAjE2BAAAAAEwBwAAAAg4LzIvMjAyNggAAAAJNi8zMC8yMDI2CQAAAAEwG37wbizw3gghLY+HLPDeCDhDSVEuTkFTREFROk1TRlQuSVFfQkFTSUNfRVBTX0lOQ0wuOTk3LjAy</t>
  </si>
  <si>
    <t>LzA4LzIwMjYuLi5VU0QuSAEAAABLVQAAAgAAAAg5LjcxODEwMwEIAAAABQAAAAExAQAAAAstMTkzNDI1NDI1MAMAAAADMTYwAgAAAAE5BAAAAAEwBwAAAAg4LzIvMjAyNggAAAAJNi8zMC8yMDIzCQAAAAEwG37wbizw3ggyVI+HLPDeCDJDSVEuTkFTREFROk1TRlQuSVFfRVBTX05PUk0uOTk4LjAyLzA4LzIwMjYuLi5VU0QuSAEAAABLVQAAAgAAAAg5LjA5MDQ2NQEIAAAABQAAAAExAQAAAAstMTg4MDIyOTY5NAMAAAADMTYwAgAAAAQ0Mzc5BAAAAAEwBwAAAAg4LzIvMjAyNggAAAAJNi8zMC8yMDI0CQAAAAEwG37wbizw3gghLY+HLPDeCDRDSVEuTkFTREFROk1TRlQuSVFfRElWX1NIQVJFLjEwMDAuMDIvMDgvMjAyNi4uLlVTRC5IAQAAAEtVAAACAAAABDMuNjQBCAAAAAUAAAABMQEAAAALLTE4ODAyMjk2NjUDAAAAAzE2MAIAAAAEMzA1OAQAAAABMAcAAAAIOC8yLzIwMjYIAAAACTYvMzAvMjAyNgkAAAABMBt+8G4s8N4IIS2Phyzw3gg7Q0lRLk5BU0RBUTpNU0ZULklRX1NQRUNJQUxfRElWX1NIQVJFLjk5My4wMi8wOC8yMDI2Li4uVVNELkgBAAAAS1UAAAMAAAAAABt+8G4s8N4IIS2Phyzw3gg5Q0lRLk5BU0RBUTpNU0ZULklRX0VCSVREQV9FWENMX1NCQy45OTcuMDIvMDgvMjAyNi4uLlVTRC5IAQAAAEtVAAACAAAABjExMTYzNAEIAAAABQAAAAExAQAAAAstMTkzNDI1NDI1MAMAAAADMTYwAgAAAAUy</t>
  </si>
  <si>
    <t>NDEzNQQAAAABMAcAAAAIOC8yLzIwMjYIAAAACTYvMzAvMjAyMwkAAAABMBt+8G4s8N4IMlSPhyzw3ghLQ0lRLk5BU0RBUTpNU0ZULklRX0VCSVREQV9FUV9JTkNfRVhDTF9PUEVSX0xFQVNFX0FESi45OTUuMDIvMDgvMjAyNi4uLlVTRC5IAQAAAEtVAAACAAAABTgwODE2AQgAAAAFAAAAATEBAAAACy0yMDM2ODQzODQzAwAAAAMxNjACAAAABTQ4OTg3BAAAAAEwBwAAAAg4LzIvMjAyNggAAAAJNi8zMC8yMDIxCQAAAAEwG37wbizw3ggyVI+HLPDeCDdDSVEuTkFTREFROk1TRlQuSVFfRUJJVF9FWENMX1NCQy45OTkuMDIvMDgvMjAyNi4uLlVTRC5IAQAAAEtVAAACAAAABjE0MDUwMgEIAAAABQAAAAExAQAAAAstMTg4MDIyOTY4NgMAAAADMTYwAgAAAAUyNDEzNAQAAAABMAcAAAAIOC8yLzIwMjYIAAAACTYvMzAvMjAyNQkAAAABMBt+8G4s8N4IIS2Phyzw3gg4Q0lRLk5BU0RBUTpNU0ZULklRX0VCSVRBX0VYQ0xfU0JDLjk5NS4wMi8wOC8yMDI2Li4uVVNELkgBAAAAS1UAAAIAAAAFNzc2MzQBCAAAAAUAAAABMQEAAAALLTIwMzY4NDM4NDMDAAAAAzE2MAIAAAAFMjQxMzYEAAAAATAHAAAACDgvMi8yMDI2CAAAAAk2LzMwLzIwMjEJAAAAATAbfvBuLPDeCCEtj4cs8N4INkNJUS5OQVNEQVE6TVNGVC5JUV9FQklUREFfQ0FQRVguOTk3LjAyLzA4LzIwMjYuLi5VU0QuSAEAAABLVQAAAgAAAAU3MzkxNgEIAAAA</t>
  </si>
  <si>
    <t>BQAAAAExAQAAAAstMTkzNDI1NDI1MAMAAAADMTYwAgAAAAUzNTM3OQQAAAABMAcAAAAIOC8yLzIwMjYIAAAACTYvMzAvMjAyMwkAAAABMBt+8G4s8N4IIS2Phyzw3ghMQ0lRLk5BU0RBUTpNU0ZULklRX1BST1ZfQkFEX0RFQlRTX1BBVElFTlRfU0VSVklDRV9SRVYuOTk0LjAyLzA4LzIwMjYuLi5VU0QuSAEAAABLVQAAAwAAAAAAG37wbizw3ggyVI+HLPDeCDxDSVEuTkFTREFROk1TRlQuSVFfSU5WRVNUTUVOVF9JTkNPTUUuMTAwMC4wMi8wOC8yMDI2Li4uVVNELkgBAAAAS1UAAAMAAAAAABt+8G4s8N4IMlSPhyzw3gg0Q0lRLk5BU0RBUTpNU0ZULklRX0NVUlJfVEFYRVMuOTk4LjAyLzA4LzIwMjYuLi5VU0QuSAEAAABLVQAAAgAAAAUyNDM4OQEIAAAABQAAAAExAQAAAAstMTg4MDIyOTY5NAMAAAADMTYwAgAAAAUzNTM4MwQAAAABMAcAAAAIOC8yLzIwMjYIAAAACTYvMzAvMjAyNAkAAAABMBt+8G4s8N4IMlSPhyzw3ghEQ0lRLk5BU0RBUTpNU0ZULklRX05PTlJFQ1VSUklOR19JTkNPTUVfVEFYRVMuMTAwMC4wMi8wOC8yMDI2Li4uVVNELkgBAAAAS1UAAAMAAAAAABt+8G4s8N4IMlSPhyzw3ghLQ0lRLk5BU0RBUTpNU0ZULklRX0lOVEVSRVNUX0VYUF9MRUFTRV9MSUFCSUxJVFlfREVCVC45OTkuMDIvMDgvMjAyNi4uLlVTRC5IAQAAAEtVAAACAAAABDE0MTcBCAAAAAUAAAABMQEAAAALLTE4ODAyMjk2</t>
  </si>
  <si>
    <t>ODYDAAAAAzE2MAIAAAAFNDg5MDcEAAAAATAHAAAACDgvMi8yMDI2CAAAAAk2LzMwLzIwMjUJAAAAATAbfvBuLPDeCDJUj4cs8N4ISUNJUS5OQVNEQVE6TVNGVC5JUV9ESVNUUklCVVRBQkxFX0NBU0hfU1RBTkRBUkRJWkVELjk5OC4wMi8wOC8yMDI2Li4uVVNELkgBAAAAS1UAAAMAAAAAABt+8G4s8N4IUHuPhyzw3ggzQ0lRLk5BU0RBUTpNU0ZULklRX01BUktFVElORy45OTkuMDIvMDgvMjAyNi4uLlVTRC5IAQAAAEtVAAADAAAAAAAbfvBuLPDeCFB7j4cs8N4IP0NJUS5OQVNEQVE6TVNGVC5JUV9ORVRfUkVOVEFMX0VYUF9TVVBQTEUuOTk2LjAyLzA4LzIwMjYuLi5VU0QuSAEAAABLVQAAAgAAAAQyNDYxAQgAAAAFAAAAATEBAAAACy0xOTg1OTMxMjI0AwAAAAMxNjACAAAABTI0MjYzBAAAAAEwBwAAAAg4LzIvMjAyNggAAAAJNi8zMC8yMDIyCQAAAAEwG37wbizw3ggyVI+HLPDeCERDSVEuTkFTREFROk1TRlQuSVFfREVQUkVDSUFUSU9OX1JFTlRBTF9BU1NFVFMuOTk2LjAyLzA4LzIwMjYuLi5VU0QuSAEAAABLVQAAAwAAAAAAG37wbizw3ggyVI+HLPDeCEFDSVEuTkFTREFROk1TRlQuSVFfU0FMQVJJRVNfT1RIRVJfQkVORUZJVFMuOTk1LjAyLzA4LzIwMjYuLi5VU0QuSAEAAABLVQAAAwAAAAAAG37wbizw3ggyVI+HLPDeCEFDSVEuTkFTREFROk1TRlQuSVFfR0FJTl9CQVJHQUlOX0FDUV9TVVBQTEUu</t>
  </si>
  <si>
    <t>OTk2LjAyLzA4LzIwMjYuLi5VU0QuSAEAAABLVQAAAwAAAAAAG37wbizw3ghXoo+HLPDeCDhDSVEuTkFTREFROk1TRlQuSVFfU1RPQ0tfQkFTRURfUkQuOTk1LjAyLzA4LzIwMjYuLi5VU0QuSAEAAABLVQAAAwAAAAAAG37wbizw3ghXoo+HLPDeCEBDSVEuTkFTREFROk1TRlQuSVFfU1RPQ0tfT1BUSU9OU19DT01QX1RBWC45OTcuMDIvMDgvMjAyNi4uLlVTRC5IAQAAAEtVAAADAAAAAAAbfvBuLPDeCFB7j4cs8N4IOENJUS5OQVNEQVE6TVNGVC5JUV9HQUlOX0FTU0VUU19DRi45OTkuMDIvMDgvMjAyNi4uLlVTRC5IAQAAAEtVAAADAAAAAAAbfvBuLPDeCFB7j4cs8N4IO0NJUS5OQVNEQVE6TVNGVC5JUV9UT1RBTF9ERUJUX1JFUEFJRC45OTguMDIvMDgvMjAyNi4uLlVTRC5IAQAAAEtVAAACAAAABi0yOTA3MAEIAAAABQAAAAExAQAAAAstMTg4MDIyOTY5NAMAAAADMTYwAgAAAAQyMTY2BAAAAAEwBwAAAAg4LzIvMjAyNggAAAAJNi8zMC8yMDI0CQAAAAEwG37wbizw3ghQe4+HLPDeCD1DSVEuTkFTREFROk1TRlQuSVFfSU5URVJDT01QQU5ZX05PTl9DQS45OTEuMDIvMDgvMjAyNi4uLlVTRC5IAQAAAEtVAAADAAAAAAAbfvBuLPDeCGbJj4cs8N4IMkNJUS5OQVNEQVE6TVNGVC5JUV9HUk9TU19HVy45OTAuMDIvMDgvMjAyNi4uLlVTRC5IAQAAAEtVAAADAAAAAAAbfvBuLPDeCGbJj4cs8N4IQUNJUS5OQVNE</t>
  </si>
  <si>
    <t>QVE6TVNGVC5JUV9ERVJJVkFUSVZFX0xJQUJfQ1VSUkVOVC45OTAuMDIvMDgvMjAyNi4uLlVTRC5IAQAAAEtVAAACAAAAAzIzMgEIAAAABQAAAAExAQAAAAoxODk4NDg5NDcwAwAAAAMxNjACAAAABTQwNDE3BAAAAAEwBwAAAAg4LzIvMjAyNggAAAAJNi8zMC8yMDE2CQAAAAEwG37wbizw3ghXoo+HLPDeCD1DSVEuTkFTREFROk1TRlQuSVFfVE9UQUxfREVCVF9FWENMX0ZJTi45OTEuMDIvMDgvMjAyNi4uLlVTRC5IAQAAAEtVAAACAAAABTk1NTI3AQgAAAAFAAAAATEBAAAACjE5NzMzODA5NTEDAAAAAzE2MAIAAAAFMjE4NjAEAAAAATAHAAAACDgvMi8yMDI2CAAAAAk2LzMwLzIwMTcJAAAAATAbfvBuLPDeCFeij4cs8N4IP0NJUS5OQVNEQVE6TVNGVC5JUV9GSU5fRElWX1NUX0RFQlRfVE9UQUwuOTkxLjAyLzA4LzIwMjYuLi5VU0QuSAEAAABLVQAAAwAAAAAAG37wbizw3ghXoo+HLPDeCD1DSVEuTkFTREFROk1TRlQuSVFfTElBQklMSVRJRVNfTEVWRUxfMS45OTAuMDIvMDgvMjAyNi4uLlVTRC5IAQAAAEtVAAACAAAAAjE3ABt+8G4s8N4IZsmPhyzw3ghQQ0lRLk5BU0RBUTpNU0ZULklRX0xJUVVJREFUSU9OX1ZBTFVFX1BSRUZFUlJFRF9OT05fUkVERUVNLjk5MS4wMi8wOC8yMDI2Li4uVVNELkgBAAAAS1UAAAMAAAAAABt+8G4s8N4IfvCPhyzw3ghGQ0lRLk5BU0RBUTpNU0ZULklRX0ZJTl9ESVZfTUlO</t>
  </si>
  <si>
    <t>T1JJVFlfSU5UX1JFREVFTS4yMDAwLjAyLzA4LzIwMjYuLi5VU0QuSAEAAABLVQAAAwAAAAAAG37wbizw3ghXoo+HLPDeCDNDSVEuTkFTREFROk1TRlQuSVFfTUFDSElORVJZLjk5MC4wMi8wOC8yMDI2Li4uVVNELkgBAAAAS1UAAAIAAAAFMjEyODABCAAAAAUAAAABMQEAAAAKMTg5ODQ4OTQ3MAMAAAADMTYwAgAAAAQzMTE0BAAAAAEwBwAAAAg4LzIvMjAyNggAAAAJNi8zMC8yMDE2CQAAAAEwG37wbizw3ghXoo+HLPDeCDZDSVEuTkFTREFROk1TRlQuSVFfQVJfVU5CSUxMRUQuMjAwMC4wMi8wOC8yMDI2Li4uVVNELkgBAAAAS1UAAAMAAAAAABt+8G4s8N4IZsmPhyzw3ggyQ0lRLk5BU0RBUTpNU0ZULklRX05FVF9ERUJULjk5MC4wMi8wOC8yMDI2Li4uVVNELkgBAAAAS1UAAAIAAAAGLTU4NTAwAQgAAAAFAAAAATEBAAAACjE4OTg0ODk0NzADAAAAAzE2MAIAAAAENDM2NAQAAAABMAcAAAAIOC8yLzIwMjYIAAAACTYvMzAvMjAxNgkAAAABMBt+8G4s8N4IfvCPhyzw3gg8Q0lRLk5BU0RBUTpNU0ZULklRX1RCVl9TSEFSRV9SRVBPUlRFRC45OTAuMDIvMDgvMjAyNi4uLlVTRC5IAQAAAEtVAAADAAAAAAAbfvBuLPDeCH7wj4cs8N4IUkNJUS5OQVNEQVE6TVNGVC5JUV9GSU5BTkNJTkdfT0JMSUdfQ1VSUkVOVF9FWENMX09QRVJfTEVBU0VTLjk5MS4wMi8wOC8yMDI2Li4uVVNELkgBAAAAS1UAAAIAAAAFMTAy</t>
  </si>
  <si>
    <t>MzQBCAAAAAUAAAABMQEAAAAKMTk3MzM4MDk1MQMAAAADMTYwAgAAAAU0ODk4MAQAAAABMAcAAAAIOC8yLzIwMjYIAAAACTYvMzAvMjAxNwkAAAABMBt+8G4s8N4IZsmPhyzw3gg+Q0lRLk5BU0RBUTpNU0ZULklRX0FEX0VYQ0xfT1BFUl9MRUFTRVMuMjAwMC4wMi8wOC8yMDI2Li4uVVNELkgBAAAAS1UAAAIAAAAHLTExODY5MQEIAAAABQAAAAExAQAAAAstMTg4MDIyOTMyMwMAAAADMTYwAgAAAAU0ODk3NQQAAAABMAcAAAAIOC8yLzIwMjYIAAAACTYvMzAvMjAyNgkAAAABMBt+8G4s8N4IZsmPhyzw3ghFQ0lRLk5BU0RBUTpNU0ZULklRX1JVQV9DQVBJVEFMX0xFQVNFX0FDQ1VNX0RFUC45OTAuMDIvMDgvMjAyNi4uLlVTRC5IAQAAAEtVAAADAAAAAAAbfvBuLPDeCGbJj4cs8N4IO0NJUS5OQVNEQVE6TVNGVC5JUV9NSU5PUklUWV9JTlRFUkVTVC45OTAuMDIvMDgvMjAyNi4uLlVTRC5IAQAAAEtVAAADAAAAAAAbfvBuLPDeCIkXkIcs8N4IN0NJUS5OQVNEQVE6TVNGVC5JUV9QUkVGX0NPTlZFUlQuMjAwMC4wMi8wOC8yMDI2Li4uVVNELkgBAAAAS1UAAAMAAAAAABt+8G4s8N4IiReQhyzw3gg4Q0lRLk5BU0RBUTpNU0ZULklRX1VORUFSTl9SRVZfTFQuMjAwMC4wMi8wOC8yMDI2Li4uVVNELkgBAAAAS1UAAAIAAAAEMjc0NwEIAAAABQAAAAExAQAAAAstMTg4MDIyOTMyMwMAAAADMTYwAgAAAAQxMjU2BAAA</t>
  </si>
  <si>
    <t>AAEwBwAAAAg4LzIvMjAyNggAAAAJNi8zMC8yMDI2CQAAAAEwG37wbizw3gh+8I+HLPDeCD9DSVEuTkFTREFROk1TRlQuSVFfREVGX1RBWF9MSUFCX0NVUlJFTlQuMjAwMC4wMi8wOC8yMDI2Li4uVVNELkgBAAAAS1UAAAMAAAAAABt+8G4s8N4IfvCPhyzw3ggxQ0lRLk5BU0RBUTpNU0ZULklRX1NUX0RFQlQuOTkxLjAyLzA4LzIwMjYuLi5VU0QuSAEAAABLVQAAAgAAAAQ5MDcyAQgAAAAFAAAAATEBAAAACjE5NzMzODA5NTEDAAAAAzE2MAIAAAAEMTA0NgQAAAABMAcAAAAIOC8yLzIwMjYIAAAACTYvMzAvMjAxNwkAAAABMBt+8G4s8N4IfvCPhyzw3gg5Q0lRLk5BU0RBUTpNU0ZULklRX0xPQU5TX1JFQ0VJVl9MVC45OTEuMDIvMDgvMjAyNi4uLlVTRC5IAQAAAEtVAAADAAAAAAAbfvBuLPDeCIkXkIcs8N4ILkNJUS5OQVNEQVE6TVNGVC5JUV9OUFBFLjk5MS4wMi8wOC8yMDI2Li4uVVNELkgBAAAAS1UAAAIAAAAFMzAyODkBCAAAAAUAAAABMQEAAAAKMTk3MzM4MDk1MQMAAAADMTYwAgAAAAQxMDA0BAAAAAEwBwAAAAg4LzIvMjAyNggAAAAJNi8zMC8yMDE3CQAAAAEwG37wbizw3giVPpCHLPDeCEBDSVEuTkFTREFROk1TRlQuSVFfRklOX0RJVl9BU1NFVFNfQ1VSUkVOVC45OTAuMDIvMDgvMjAyNi4uLlVTRC5IAQAAAEtVAAADAAAAAAAbfvBuLPDeCH7wj4cs8N4ILENJUS5OQVNEQVE6TVNGVC5JUV9BUi45</t>
  </si>
  <si>
    <t>OTAuMDIvMDgvMjAyNi4uLlVTRC5IAQAAAEtVAAACAAAABTE4Mjc3AQgAAAAFAAAAATEBAAAACjE4OTg0ODk0NzADAAAAAzE2MAIAAAAEMTAyMQQAAAABMAcAAAAIOC8yLzIwMjYIAAAACTYvMzAvMjAxNgkAAAABMBt+8G4s8N4IfvCPhyzw3ghLQ0lRLk5BU0RBUTpNU0ZULklRX0xPTkdfVEVSTV9ERUJUX1JFUEFJRF9FWENMX0xFQVNFUy45OTAuMDIvMDgvMjAyNi4uLlVTRC5IAQAAAEtVAAACAAAABS0yNzk2AQgAAAAFAAAAATEBAAAACjE4OTg0ODk0NzADAAAAAzE2MAIAAAAFNDg5ODQEAAAAATAHAAAACDgvMi8yMDI2CAAAAAk2LzMwLzIwMTYJAAAAATAbfvBuLPDeCIkXkIcs8N4IOENJUS5OQVNEQVE6TVNGVC5JUV9VTkxFVkVSRURfRkNGLjIwMDAuMDIvMDgvMjAyNi4uLlVTRC5IAQAAAEtVAAACAAAACTE4Mjg5LjEyNQEIAAAABQAAAAExAQAAAAstMTg4MDIyOTMyMwMAAAADMTYwAgAAAAQ0NDIzBAAAAAEwBwAAAAg4LzIvMjAyNggAAAAJNi8zMC8yMDI2CQAAAAEwG37wbizw3giVPpCHLPDeCDVDSVEuTkFTREFROk1TRlQuSVFfQ0FTSF9UQVhFUy4yMDAwLjAyLzA4LzIwMjYuLi5VU0QuSAEAAABLVQAAAgAAAAUyMTE4OAEIAAAABQAAAAExAQAAAAstMTg4MDIyOTMyMwMAAAADMTYwAgAAAAQzMDUzBAAAAAEwBwAAAAg4LzIvMjAyNggAAAAJNi8zMC8yMDI2CQAAAAEwG37wbizw3giVPpCHLPDeCEZD</t>
  </si>
  <si>
    <t>SVEuTkFTREFROk1TRlQuSVFfU0FMRV9QUk9DRUVEU19SRU5UQUxfQVNTRVRTLjIwMDAuMDIvMDgvMjAyNi4uLlVTRC5IAQAAAEtVAAADAAAAAAAbfvBuLPDeCIkXkIcs8N4IR0NJUS5OQVNEQVE6TVNGVC5JUV9ERVBSRUNJQVRJT05fUkVOVEFMX0FTU0VUU19DRi45OTEuMDIvMDgvMjAyNi4uLlVTRC5IAQAAAEtVAAADAAAAAAAbfvBuLPDeCIkXkIcs8N4INENJUS5OQVNEQVE6TVNGVC5JUV9DQVNIX0ZJTkFOLjk5MC4wMi8wOC8yMDI2Li4uVVNELkgBAAAAS1UAAAIAAAAFLTgzOTMBCAAAAAUAAAABMQEAAAAKMTg5ODQ4OTQ3MAMAAAADMTYwAgAAAAQyMDA0BAAAAAEwBwAAAAg4LzIvMjAyNggAAAAJNi8zMC8yMDE2CQAAAAEwG37wbizw3giJF5CHLPDeCDJDSVEuTkFTREFROk1TRlQuSVFfUFJFRl9SRVAuOTkwLjAyLzA4LzIwMjYuLi5VU0QuSAEAAABLVQAAAwAAAAAAG37wbizw3gjEZZCHLPDeCDlDSVEuTkFTREFROk1TRlQuSVFfU1RfREVCVF9JU1NVRUQuMjAwMC4wMi8wOC8yMDI2Li4uVVNELkgBAAAAS1UAAAMAAAAAABt+8G4s8N4IxGWQhyzw3gg0Q0lRLk5BU0RBUTpNU0ZULklRX0RJVkVTVF9DRi4yMDAwLjAyLzA4LzIwMjYuLi5VU0QuSAEAAABLVQAAAwAAAAAAG37wbizw3giVPpCHLPDeCDlDSVEuTkFTREFROk1TRlQuSVFfQ0hBTkdFX0lOQ19UQVguMjAwMC4wMi8wOC8yMDI2Li4uVVNELkgB</t>
  </si>
  <si>
    <t>AAAAS1UAAAIAAAAFLTE4NzUBCAAAAAUAAAABMQEAAAALLTE4ODAyMjkzMjMDAAAAAzE2MAIAAAAEMjEwMQQAAAABMAcAAAAIOC8yLzIwMjYIAAAACTYvMzAvMjAyNgkAAAABMBt+8G4s8N4IlT6Qhyzw3ggvQ0lRLk5BU0RBUTpNU0ZULklRX0RPX0NGLjk5MS4wMi8wOC8yMDI2Li4uVVNELkgBAAAAS1UAAAMAAAAAABt+8G4s8N4IlT6Qhyzw3gg8Q0lRLk5BU0RBUTpNU0ZULklRX0FTU0VUX1dSSVRFRE9XTl9DRi45OTEuMDIvMDgvMjAyNi4uLlVTRC5IAQAAAEtVAAADAAAAAAAbfvBuLPDeCMRlkIcs8N4IO0NJUS5OQVNEQVE6TVNGVC5JUV9HV19JTlRBTl9BTU9SVF9DRi45OTEuMDIvMDgvMjAyNi4uLlVTRC5IAQAAAEtVAAACAAAABDE3MDABCAAAAAUAAAABMQEAAAAKMTk3MzM4MDk1MQMAAAADMTYwAgAAAAQyMTgyBAAAAAEwBwAAAAg4LzIvMjAyNggAAAAJNi8zMC8yMDE3CQAAAAEwG37wbizw3gjEZZCHLPDeCENDSVEuTkFTREFROk1TRlQuSVFfU1RPQ0tfT1BUSU9OU19DT01QX1BSRVRBWC45OTAuMDIvMDgvMjAyNi4uLlVTRC5IAQAAAEtVAAADAAAAAAAbfvBuLPDeCJU+kIcs8N4IQ0NJUS5OQVNEQVE6TVNGVC5JUV9TVE9DS19CQVNFRF9FWFBMT1JFX0RSSUxMLjk5MC4wMi8wOC8yMDI2Li4uVVNELkgBAAAAS1UAAAMAAAAAABt+8G4s8N4IlT6Qhyzw3gg7Q0lRLk5BU0RBUTpNU0ZULklRX05FR0FU</t>
  </si>
  <si>
    <t>SVZFX0dXX0FNT1JULjk5MS4wMi8wOC8yMDI2Li4uVVNELkgBAAAAS1UAAAMAAAAAABt+8G4s8N4IlT6Qhyzw3gg/Q0lRLk5BU0RBUTpNU0ZULklRX0lNUEFJUk1FTlRfR1dfU1VQUExFLjIwMDAuMDIvMDgvMjAyNi4uLlVTRC5IAQAAAEtVAAADAAAAAAAbfvBuLPDeCMRlkIcs8N4INkNJUS5OQVNEQVE6TVNGVC5JUV9NQUlOVF9SRVBBSVIuOTkwLjAyLzA4LzIwMjYuLi5VU0QuSAEAAABLVQAAAwAAAAAAG37wbizw3ggOjZCHLPDeCD9DSVEuTkFTREFROk1TRlQuSVFfTkVUX1JFTlRBTF9FWFBfU1VQUExFLjk5MS4wMi8wOC8yMDI2Li4uVVNELkgBAAAAS1UAAAIAAAAEMTQxMgEIAAAABQAAAAExAQAAAAoxOTczMzgwOTUxAwAAAAMxNjACAAAABTI0MjYzBAAAAAEwBwAAAAg4LzIvMjAyNggAAAAJNi8zMC8yMDE3CQAAAAEwG37wbizw3gjEZZCHLPDeCC1DSVEuTkFTREFROk1TRlQuSVFfRElDLjk5MS4wMi8wOC8yMDI2Li4uVVNELkgBAAAAS1UAAAMAAAAAABt+8G4s8N4IxGWQhyzw3gg6Q0lRLk5BU0RBUTpNU0ZULklRX0lOVF9FWFBfSU5DTF9DQVAuOTkxLjAyLzA4LzIwMjYuLi5VU0QuSAEAAABLVQAAAgAAAAQyMjIyAQgAAAAFAAAAATEBAAAACjE5NzMzODA5NTEDAAAAAzE2MAIAAAAFMjE4NjEEAAAAATAHAAAACDgvMi8yMDI2CAAAAAk2LzMwLzIwMTcJAAAAATAbfvBuLPDeCMRlkIcs8N4IPkNJUS5O</t>
  </si>
  <si>
    <t>QVNEQVE6TVNGVC5JUV9ERUZFUlJFRF9UQVhFU19UT1RBTC45OTEuMDIvMDgvMjAyNi4uLlVTRC5IAQAAAEtVAAACAAAABC04MjkBCAAAAAUAAAABMQEAAAAKMTk3MzM4MDk1MQMAAAADMTYwAgAAAAUzNTM4NQQAAAABMAcAAAAIOC8yLzIwMjYIAAAACTYvMzAvMjAxNwkAAAABMBt+8G4s8N4IDo2Qhyzw3gg7Q0lRLk5BU0RBUTpNU0ZULklRX0lOVkVTVE1FTlRfSU5DT01FLjk5MC4wMi8wOC8yMDI2Li4uVVNELkgBAAAAS1UAAAMAAAAAABt+8G4s8N4IDo2Qhyzw3gg3Q0lRLk5BU0RBUTpNU0ZULklRX0VCSVREQV9DQVBFWC4yMDAwLjAyLzA4LzIwMjYuLi5VU0QuSAEAAABLVQAAAgAAAAU3ODI4OQEIAAAABQAAAAExAQAAAAstMTg4MDIyOTMyMwMAAAADMTYwAgAAAAUzNTM3OQQAAAABMAcAAAAIOC8yLzIwMjYIAAAACTYvMzAvMjAyNgkAAAABMBt+8G4s8N4IxGWQhyzw3gg3Q0lRLk5BU0RBUTpNU0ZULklRX0VCSVRBX0VRX0lOQy4yMDAwLjAyLzA4LzIwMjYuLi5VU0QuSAEAAABLVQAAAgAAAAYxNjQ2NTkBCAAAAAUAAAABMQEAAAALLTE4ODAyMjkzMjMDAAAAAzE2MAIAAAAFMjE2NzYEAAAAATAHAAAACDgvMi8yMDI2CAAAAAk2LzMwLzIwMjYJAAAAATAbfvBuLPDeCMRlkIcs8N4IQUNJUS5OQVNEQVE6TVNGVC5JUV9MRUFTRV9BREpVU1RNRU5UX0VCSVREQS45OTEuMDIvMDgvMjAyNi4uLlVTRC5IAQAA</t>
  </si>
  <si>
    <t>AEtVAAACAAAABDE0MTIAG37wbizw3gjEZZCHLPDeCEJDSVEuTkFTREFROk1TRlQuSVFfRElTVFJJQlVUQUJMRV9DQVNIX1NIQVJFLjk5MC4wMi8wOC8yMDI2Li4uVVNELkgBAAAAS1UAAAMAAAAAABt+8G4s8N4IDo2Qhyzw3gg5Q0lRLk5BU0RBUTpNU0ZULklRX0JBU0lDX0VQU19FWENMLjIwMDAuMDIvMDgvMjAyNi4uLlVTRC5IAQAAAEtVAAACAAAACTE4LjAwMzYzNAEIAAAABQAAAAExAQAAAAstMTg4MDIyOTMyMwMAAAADMTYwAgAAAAQzMDY0BAAAAAEwBwAAAAg4LzIvMjAyNggAAAAJNi8zMC8yMDI2CQAAAAEwG37wbizw3ggitJCHLPDeCDpDSVEuTkFTREFROk1TRlQuSVFfRVhUUkFfQUNDX0lURU1TLjIwMDAuMDIvMDgvMjAyNi4uLlVTRC5IAQAAAEtVAAADAAAAAAAbfvBuLPDeCA6NkIcs8N4INkNJUS5OQVNEQVE6TVNGVC5JUV9MRUdBTF9TRVRUTEUuOTkwLjAyLzA4LzIwMjYuLi5VU0QuSAEAAABLVQAAAwAAAAAAG37wbizw3ggOjZCHLPDeCDBDSVEuTkFTREFROk1TRlQuSVFfTUVSR0VSLjk5MS4wMi8wOC8yMDI2Li4uVVNELkgBAAAAS1UAAAMAAAAAABt+8G4s8N4IDo2Qhyzw3ggzQ0lRLk5BU0RBUTpNU0ZULklRX09QRVJfSU5DLjIwMDAuMDIvMDgvMjAyNi4uLlVTRC5IAQAAAEtVAAACAAAABjE1NTIzNwEIAAAABQAAAAExAQAAAAstMTg4MDIyOTMyMwMAAAADMTYwAgAAAAIyMQQAAAABMAcA</t>
  </si>
  <si>
    <t>AAAIOC8yLzIwMjYIAAAACTYvMzAvMjAyNgkAAAABMBt+8G4s8N4IIrSQhyzw3ggwQ0lRLk5BU0RBUTpNU0ZULklRX1JEX0VYUC45OTAuMDIvMDgvMjAyNi4uLlVTRC5IAQAAAEtVAAACAAAABTExOTg4AQgAAAAFAAAAATEBAAAACjE4OTg0ODk0NzADAAAAAzE2MAIAAAADMTAwBAAAAAEwBwAAAAg4LzIvMjAyNggAAAAJNi8zMC8yMDE2CQAAAAEwG37wbizw3ggitJCHLPDeCDlDSVEuTkFTREFROk1TRlQuSVFfRklOX0RJVl9JTlRfRVhQLjk5MC4wMi8wOC8yMDI2Li4uVVNELkgBAAAAS1UAAAMAAAAAABt+8G4s8N4IDo2Qhyzw3gg2Q0lRLk5BU0RBUTpNU0ZULklRX0lOU19ESVZfUkVWLjIwMDAuMDIvMDgvMjAyNi4uLlVTRC5IAQAAAEtVAAADAAAAAAAbfvBuLPDeCA6NkIcs8N4INUNJUS5OQVNEQVE6TVNGVC5JUV9JTlNfRElWX1JFVi45OTQuMDIvMDgvMjAyNi4uLlVTRC5IAQAAAEtVAAADAAAAAAAbfvBuLPDeCA6NkIcs8N4IOUNJUS5OQVNEQVE6TVNGVC5JUV9HQUlOX0lOVkVTVF9SRVYuOTk2LjAyLzA4LzIwMjYuLi5VU0QuSAEAAABLVQAAAwAAAAAAG37wbizw3ggitJCHLPDeCDlDSVEuTkFTREFROk1TRlQuSVFfT1RIRVJfUkVWX1NVUFBMLjk5OC4wMi8wOC8yMDI2Li4uVVNELkgBAAAAS1UAAAMAAAAAABt+8G4s8N4IOtuQhyzw3gg1Q0lRLk5BU0RBUTpNU0ZULklRX0ZJTl9ESVZfRVhQLjk5NS4w</t>
  </si>
  <si>
    <t>Mi8wOC8yMDI2Li4uVVNELkgBAAAAS1UAAAMAAAAAABt+8G4s8N4IIrSQhyzw3gg5Q0lRLk5BU0RBUTpNU0ZULklRX0ZJTl9ESVZfSU5UX0VYUC45OTcuMDIvMDgvMjAyNi4uLlVTRC5IAQAAAEtVAAADAAAAAAAbfvBuLPDeCCK0kIcs8N4IOENJUS5OQVNEQVE6TVNGVC5JUV9QUk9WX0JBRF9ERUJUUy45OTIuMDIvMDgvMjAyNi4uLlVTRC5IAQAAAEtVAAADAAAAAAAbfvBuLPDeCCK0kIcs8N4INUNJUS5OQVNEQVE6TVNGVC5JUV9TVE9DS19CQVNFRC45OTYuMDIvMDgvMjAyNi4uLlVTRC5IAQAAAEtVAAADAAAAAAAbfvBuLPDeCDrbkIcs8N4IMENJUS5OQVNEQVE6TVNGVC5JUV9SRF9FWFAuOTk3LjAyLzA4LzIwMjYuLi5VU0QuSAEAAABLVQAAAgAAAAUyNzE5NQEIAAAABQAAAAExAQAAAAstMTkzNDI1NDI1MAMAAAADMTYwAgAAAAMxMDAEAAAAATAHAAAACDgvMi8yMDI2CAAAAAk2LzMwLzIwMjMJAAAAATAbfvBuLPDeCDrbkIcs8N4INENJUS5OQVNEQVE6TVNGVC5JUV9PVEhFUl9PUEVSLjk5My4wMi8wOC8yMDI2Li4uVVNELkgBAAAAS1UAAAMAAAAAABt+8G4s8N4IIrSQhyzw3ggyQ0lRLk5BU0RBUTpNU0ZULklRX09QRVJfSU5DLjk5NC4wMi8wOC8yMDI2Li4uVVNELkgBAAAAS1UAAAIAAAAFNTI5NTkBCAAAAAUAAAABMQEAAAALLTIwODc0OTY2MjcDAAAAAzE2MAIAAAACMjEEAAAAATAHAAAACDgvMi8y</t>
  </si>
  <si>
    <t>MDI2CAAAAAk2LzMwLzIwMjAJAAAAATAbfvBuLPDeCCK0kIcs8N4IOkNJUS5OQVNEQVE6TVNGVC5JUV9ORVRfSU5URVJFU1RfRVhQLjk5Mi4wMi8wOC8yMDI2Li4uVVNELkgBAAAAS1UAAAIAAAAELTUxOQEIAAAABQAAAAExAQAAAAoyMDQ3MjcxNzQ1AwAAAAMxNjACAAAAAzM2OAQAAAABMAcAAAAIOC8yLzIwMjYIAAAACTYvMzAvMjAxOAkAAAABMBt+8G4s8N4IIrSQhyzw3gg3Q0lRLk5BU0RBUTpNU0ZULklRX0NVUlJFTkNZX0dBSU4uOTkzLjAyLzA4LzIwMjYuLi5VU0QuSAEAAABLVQAAAgAAAAMtMTEBCAAAAAUAAAABMQEAAAALLTIxNDA5ODE0NjkDAAAAAzE2MAIAAAACMzgEAAAAATAHAAAACDgvMi8yMDI2CAAAAAk2LzMwLzIwMTkJAAAAATAbfvBuLPDeCDrbkIcs8N4IMkNJUS5OQVNEQVE6TVNGVC5JUV9FQlRfRVhDTC45OTQuMDIvMDgvMjAyNi4uLlVTRC5IAQAAAEtVAAACAAAABTUzMDA0AQgAAAAFAAAAATEBAAAACy0yMDg3NDk2NjI3AwAAAAMxNjACAAAAATQEAAAAATAHAAAACDgvMi8yMDI2CAAAAAk2LzMwLzIwMjAJAAAAATAbfvBuLPDeCDrbkIcs8N4IN0NJUS5OQVNEQVE6TVNGVC5JUV9JTVBBSVJNRU5UX0dXLjk5My4wMi8wOC8yMDI2Li4uVVNELkgBAAAAS1UAAAMAAAAAABt+8G4s8N4IOtuQhyzw3gg5Q0lRLk5BU0RBUTpNU0ZULklRX0FTU0VUX1dSSVRFRE9XTi45OTIuMDIvMDgvMjAy</t>
  </si>
  <si>
    <t>Ni4uLlVTRC5IAQAAAEtVAAADAAAAAAAbfvBuLPDeCDrbkIcs8N4ILkNJUS5OQVNEQVE6TVNGVC5JUV9JUFJELjk5Ny4wMi8wOC8yMDI2Li4uVVNELkgBAAAAS1UAAAMAAAAAABt+8G4s8N4IOtuQhyzw3ggtQ0lRLk5BU0RBUTpNU0ZULklRX0VCVC45OTYuMDIvMDgvMjAyNi4uLlVTRC5IAQAAAEtVAAACAAAABTgzNzE2AQgAAAAFAAAAATEBAAAACy0xOTg1OTMxMjI0AwAAAAMxNjACAAAAAzEzOQQAAAABMAcAAAAIOC8yLzIwMjYIAAAACTYvMzAvMjAyMgkAAAABMBt+8G4s8N4IRwKRhyzw3ggsQ0lRLk5BU0RBUTpNU0ZULklRX0RPLjk5Ny4wMi8wOC8yMDI2Li4uVVNELkgBAAAAS1UAAAMAAAAAABt+8G4s8N4IRwKRhyzw3gg+Q0lRLk5BU0RBUTpNU0ZULklRX01JTk9SSVRZX0lOVEVSRVNUX0lTLjk5OS4wMi8wOC8yMDI2Li4uVVNELkgBAAAAS1UAAAMAAAAAABt+8G4s8N4IOtuQhyzw3gg3Q0lRLk5BU0RBUTpNU0ZULklRX05JX0FWQUlMX0lOQ0wuOTkyLjAyLzA4LzIwMjYuLi5VU0QuSAEAAABLVQAAAgAAAAUxNjU3MQEIAAAABQAAAAExAQAAAAoyMDQ3MjcxNzQ1AwAAAAMxNjACAAAAAjE2BAAAAAEwBwAAAAg4LzIvMjAyNggAAAAJNi8zMC8yMDE4CQAAAAEwG37wbizw3gg625CHLPDeCDlDSVEuTkFTREFROk1TRlQuSVFfQkFTSUNfRVBTX0VYQ0wuMTAwMC4wMi8wOC8yMDI2Li4uVVNELkgBAAAAS1UA</t>
  </si>
  <si>
    <t>AAIAAAAJMTguMDAzNjM0AQgAAAAFAAAAATEBAAAACy0xODgwMjI5NjY1AwAAAAMxNjACAAAABDMwNjQEAAAAATAHAAAACDgvMi8yMDI2CAAAAAk2LzMwLzIwMjYJAAAAATAbfvBuLPDeCDrbkIcs8N4IMkNJUS5OQVNEQVE6TVNGVC5JUV9FUFNfTk9STS45OTkuMDIvMDgvMjAyNi4uLlVTRC5IAQAAAEtVAAACAAAACTEwLjQ0NjgyNAEIAAAABQAAAAExAQAAAAstMTg4MDIyOTY4NgMAAAADMTYwAgAAAAQ0Mzc5BAAAAAEwBwAAAAg4LzIvMjAyNggAAAAJNi8zMC8yMDI1CQAAAAEwG37wbizw3ghgKZGHLPDeCDNDSVEuTkFTREFROk1TRlQuSVFfRElWX1NIQVJFLjk5NS4wMi8wOC8yMDI2Li4uVVNELkgBAAAAS1UAAAIAAAAEMi4yNAEIAAAABQAAAAExAQAAAAstMjAzNjg0Mzg0MwMAAAADMTYwAgAAAAQzMDU4BAAAAAEwBwAAAAg4LzIvMjAyNggAAAAJNi8zMC8yMDIxCQAAAAEwG37wbizw3ghgKZGHLPDeCDBDSVEuTkFTREFROk1TRlQuSVFfRUJJVERBLjk5NC4wMi8wOC8yMDI2Li4uVVNELkgBAAAAS1UAAAIAAAAFNjUyNTkBCAAAAAUAAAABMQEAAAALLTIwODc0OTY2MjcDAAAAAzE2MAIAAAAENDA1MQQAAAABMAcAAAAIOC8yLzIwMjYIAAAACTYvMzAvMjAyMAkAAAABMBt+8G4s8N4IRwKRhyzw3gg5Q0lRLk5BU0RBUTpNU0ZULklRX0VCSVREQV9FWENMX1NCQy45OTguMDIvMDgvMjAyNi4uLlVTRC5IAQAA</t>
  </si>
  <si>
    <t>AEtVAAACAAAABjE0MDE2NwEIAAAABQAAAAExAQAAAAstMTg4MDIyOTY5NAMAAAADMTYwAgAAAAUyNDEzNQQAAAABMAcAAAAIOC8yLzIwMjYIAAAACTYvMzAvMjAyNAkAAAABMBt+8G4s8N4IRwKRhyzw3ggvQ0lRLk5BU0RBUTpNU0ZULklRX0VCSVQuMTAwMC4wMi8wOC8yMDI2Li4uVVNELkgBAAAAS1UAAAIAAAAGMTU1MjM3AQgAAAAFAAAAATEBAAAACy0xODgwMjI5NjY1AwAAAAMxNjACAAAAAzQwMAQAAAABMAcAAAAIOC8yLzIwMjYIAAAACTYvMzAvMjAyNgkAAAABMBt+8G4s8N4IRwKRhyzw3ggvQ0lRLk5BU0RBUTpNU0ZULklRX0VCSVRBLjk5OC4wMi8wOC8yMDI2Li4uVVNELkgBAAAAS1UAAAIAAAAGMTE0MjMzAQgAAAAFAAAAATEBAAAACy0xODgwMjI5Njk0AwAAAAMxNjACAAAABjEwMDY4OQQAAAABMAcAAAAIOC8yLzIwMjYIAAAACTYvMzAvMjAyNAkAAAABMBt+8G4s8N4IYCmRhyzw3ggxQ0lRLk5BU0RBUTpNU0ZULklRX0VCSVREQVIuOTkzLjAyLzA4LzIwMjYuLi5VU0QuSAEAAABLVQAAAgAAAAU1NjI2NgEIAAAABQAAAAExAQAAAAstMjE0MDk4MTQ2OQMAAAADMTYwAgAAAAUyMTY3NAQAAAABMAcAAAAIOC8yLzIwMjYIAAAACTYvMzAvMjAxOQkAAAABMBt+8G4s8N4IYCmRhyzw3gg7Q0lRLk5BU0RBUTpNU0ZULklRX0VCSVREQVJfRVhDTF9TQkMuMTAwMC4wMi8wOC8yMDI2Li4uVVNELkgBAAAA</t>
  </si>
  <si>
    <t>S1UAAAIAAAAGMjEzNjEwAQgAAAAFAAAAATEBAAAACy0xODgwMjI5NjY1AwAAAAMxNjACAAAABTI0MTM3BAAAAAEwBwAAAAg4LzIvMjAyNggAAAAJNi8zMC8yMDI2CQAAAAEwG37wbizw3ghHApGHLPDeCExDSVEuTkFTREFROk1TRlQuSVFfUFJPVl9CQURfREVCVFNfUEFUSUVOVF9TRVJWSUNFX1JFVi45OTUuMDIvMDgvMjAyNi4uLlVTRC5IAQAAAEtVAAADAAAAAAAbfvBuLPDeCEcCkYcs8N4IQUNJUS5OQVNEQVE6TVNGVC5JUV9FWENJU0VfVEFYRVNfRVhDTF9TQUxFUy45OTIuMDIvMDgvMjAyNi4uLlVTRC5IAQAAAEtVAAADAAAAAAAbfvBuLPDeCGApkYcs8N4INENJUS5OQVNEQVE6TVNGVC5JUV9DVVJSX1RBWEVTLjk5OS4wMi8wOC8yMDI2Li4uVVNELkgBAAAAS1UAAAIAAAAFMjg4NTEBCAAAAAUAAAABMQEAAAALLTE4ODAyMjk2ODYDAAAAAzE2MAIAAAAFMzUzODMEAAAAATAHAAAACDgvMi8yMDI2CAAAAAk2LzMwLzIwMjUJAAAAATAbfvBuLPDeCLdQkYcs8N4IMUNJUS5OQVNEQVE6TVNGVC5JUV9OSV9OT1JNLjk5Ny4wMi8wOC8yMDI2Li4uVVNELkgBAAAAS1UAAAIAAAAINTYwNTguNzUBCAAAAAUAAAABMQEAAAALLTE5MzQyNTQyNTADAAAAAzE2MAIAAAAENDM3OAQAAAABMAcAAAAIOC8yLzIwMjYIAAAACTYvMzAvMjAyMwkAAAABMBt+8G4s8N4It1CRhyzw3ghMQ0lRLk5BU0RBUTpNU0ZULklRX0lO</t>
  </si>
  <si>
    <t>VEVSRVNUX0VYUF9MRUFTRV9MSUFCSUxJVFlfREVCVC4xMDAwLjAyLzA4LzIwMjYuLi5VU0QuSAEAAABLVQAAAgAAAAQyNTQ3AQgAAAAFAAAAATEBAAAACy0xODgwMjI5NjY1AwAAAAMxNjACAAAABTQ4OTA3BAAAAAEwBwAAAAg4LzIvMjAyNggAAAAJNi8zMC8yMDI2CQAAAAEwG37wbizw3ghgKZGHLPDeCElDSVEuTkFTREFROk1TRlQuSVFfRElTVFJJQlVUQUJMRV9DQVNIX1NUQU5EQVJESVpFRC45OTkuMDIvMDgvMjAyNi4uLlVTRC5IAQAAAEtVAAADAAAAAAAbfvBuLPDeCGApkYcs8N4INENJUS5OQVNEQVE6TVNGVC5JUV9NQVJLRVRJTkcuMTAwMC4wMi8wOC8yMDI2Li4uVVNELkgBAAAAS1UAAAMAAAAAABt+8G4s8N4IYCmRhyzw3gg4Q0lRLk5BU0RBUTpNU0ZULklRX05FVF9SRU5UQUxfRVhQLjk5OS4wMi8wOC8yMDI2Li4uVVNELkgBAAAAS1UAAAMAAAAAABt+8G4s8N4ItHeRhyzw3ghFQ0lRLk5BU0RBUTpNU0ZULklRX0RFUFJFQ0lBVElPTl9SRU5UQUxfQVNTRVRTLjEwMDAuMDIvMDgvMjAyNi4uLlVTRC5IAQAAAEtVAAADAAAAAAAbfvBuLPDeCLR3kYcs8N4IPENJUS5OQVNEQVE6TVNGVC5JUV9SRVNUUlVDVFVSRV9TVVBQTEUuOTkzLjAyLzA4LzIwMjYuLi5VU0QuSAEAAABLVQAAAwAAAAAAG37wbizw3gi3UJGHLPDeCEFDSVEuTkFTREFROk1TRlQuSVFfR0FJTl9CQVJHQUlOX0FDUV9TVVBQTEUu</t>
  </si>
  <si>
    <t>OTk5LjAyLzA4LzIwMjYuLi5VU0QuSAEAAABLVQAAAwAAAAAAG37wbizw3gi3UJGHLPDeCDhDSVEuTkFTREFROk1TRlQuSVFfU1RPQ0tfQkFTRURfU00uOTk4LjAyLzA4LzIwMjYuLi5VU0QuSAEAAABLVQAAAwAAAAAAG37wbizw3gi3UJGHLPDeCEFDSVEuTkFTREFROk1TRlQuSVFfU1RPQ0tfT1BUSU9OU19DT01QX1RBWC4xMDAwLjAyLzA4LzIwMjYuLi5VU0QuSAEAAABLVQAAAwAAAAAAG37wbizw3gi0d5GHLPDeCDhDSVEuTkFTREFROk1TRlQuSVFfR0FJTl9BU1NFVFNfQ0YuOTk1LjAyLzA4LzIwMjYuLi5VU0QuSAEAAABLVQAAAwAAAAAAG37wbizw3gi0d5GHLPDeCDRDSVEuTkFTREFROk1TRlQuSVFfQ09NTU9OX1JFUC45OTIuMDIvMDgvMjAyNi4uLlVTRC5IAQAAAEtVAAACAAAABi0xMDcyMQEIAAAABQAAAAExAQAAAAoyMDQ3MjcxNzQ1AwAAAAMxNjACAAAABDIxNjQEAAAAATAHAAAACDgvMi8yMDI2CAAAAAk2LzMwLzIwMTgJAAAAATAbfvBuLPDeCLdQkYcs8N4IOUNJUS5OQVNEQVE6TVNGVC5JUV9DQVNIX1RBWEVTX09QRVIuOTkwLjAyLzA4LzIwMjYuLi5VU0QuSAEAAABLVQAAAwAAAAAAG37wbizw3gi3UJGHLPDeCENDSVEuTkFTREFROk1TRlQuSVFfQU1PUlRfU09GVFdBUkVfQVNTRVRTX0NGLjIwMDAuMDIvMDgvMjAyNi4uLlVTRC5IAQAAAEtVAAADAAAAAAAbfvBuLPDeCLdQkYcs8N4INUNJ</t>
  </si>
  <si>
    <t>US5OQVNEQVE6TVNGVC5JUV9ERVBSRV9TVVBQLjIwMDAuMDIvMDgvMjAyNi4uLlVTRC5IAQAAAEtVAAACAAAABTM0MzAwAQgAAAAFAAAAATEBAAAACy0xODgwMjI5MzIzAwAAAAMxNjACAAAABDIxNDMEAAAAATAHAAAACDgvMi8yMDI2CAAAAAk2LzMwLzIwMjYJAAAAATAbfvBuLPDeCISekYcs8N4INENJUS5OQVNEQVE6TVNGVC5JUV9DQVNIX0ZJTkFOLjk5MS4wMi8wOC8yMDI2Li4uVVNELkgBAAAAS1UAAAIAAAAEODQwOAEIAAAABQAAAAExAQAAAAoxOTczMzgwOTUxAwAAAAMxNjACAAAABDIwMDQEAAAAATAHAAAACDgvMi8yMDI2CAAAAAk2LzMwLzIwMTcJAAAAATAbfvBuLPDeCISekYcs8N4INUNJUS5OQVNEQVE6TVNGVC5JUV9DT01NT05fUkVQLjIwMDAuMDIvMDgvMjAyNi4uLlVTRC5IAQAAAEtVAAACAAAABi0yMjI3MQEIAAAABQAAAAExAQAAAAstMTg4MDIyOTMyMwMAAAADMTYwAgAAAAQyMTY0BAAAAAEwBwAAAAg4LzIvMjAyNggAAAAJNi8zMC8yMDI2CQAAAAEwG37wbizw3gi0d5GHLPDeCDhDSVEuTkFTREFROk1TRlQuSVFfTFRfREVCVF9JU1NVRUQuOTkwLjAyLzA4LzIwMjYuLi5VU0QuSAEAAABLVQAAAgAAAAUxMzg4NAEIAAAABQAAAAExAQAAAAoxODk4NDg5NDcwAwAAAAMxNjACAAAABDIwMzQEAAAAATAHAAAACDgvMi8yMDI2CAAAAAk2LzMwLzIwMTYJAAAAATAbfvBuLPDeCLR3kYcs8N4I</t>
  </si>
  <si>
    <t>PUNJUS5OQVNEQVE6TVNGVC5JUV9TQUxFX1JFQUxfRVNUQVRFX0NGLjk5MC4wMi8wOC8yMDI2Li4uVVNELkgBAAAAS1UAAAMAAAAAABt+8G4s8N4ItHeRhyzw3gg8Q0lRLk5BU0RBUTpNU0ZULklRX0NIQU5HRV9VTkVBUk5fUkVWLjIwMDAuMDIvMDgvMjAyNi4uLlVTRC5IAQAAAEtVAAACAAAABDkzNjEBCAAAAAUAAAABMQEAAAALLTE4ODAyMjkzMjMDAAAAAzE2MAIAAAAEMjEzOQQAAAABMAcAAAAIOC8yLzIwMjYIAAAACTYvMzAvMjAyNgkAAAABMBt+8G4s8N4IhJ6Rhyzw3gg8Q0lRLk5BU0RBUTpNU0ZULklRX1BST1ZfQkFEX0RFQlRTX0NGLjIwMDAuMDIvMDgvMjAyNi4uLlVTRC5IAQAAAEtVAAADAAAAAAAbfvBuLPDeCKLFkYcs8N4IOUNJUS5OQVNEQVE6TVNGVC5JUV9HQUlOX0lOVkVTVF9DRi4yMDAwLjAyLzA4LzIwMjYuLi5VU0QuSAEAAABLVQAAAgAAAAYtMTEwNDcBCAAAAAUAAAABMQEAAAALLTE4ODAyMjkzMjMDAAAAAzE2MAIAAAAEMjA5MAQAAAABMAcAAAAIOC8yLzIwMjYIAAAACTYvMzAvMjAyNgkAAAABMBt+8G4s8N4ItHeRhyzw3gg1Q0lRLk5BU0RBUTpNU0ZULklRX0RBX1NVUFBMX0NGLjk5MS4wMi8wOC8yMDI2Li4uVVNELkgBAAAAS1UAAAIAAAAENjEwMAEIAAAABQAAAAExAQAAAAoxOTczMzgwOTUxAwAAAAMxNjACAAAABDIxNzEEAAAAATAHAAAACDgvMi8yMDI2CAAAAAk2LzMwLzIw</t>
  </si>
  <si>
    <t>MTcJAAAAATAbfvBuLPDeCISekYcs8N4IQ0NJUS5OQVNEQVE6TVNGVC5JUV9TVE9DS19PUFRJT05TX0NPTVBfUFJFVEFYLjk5MS4wMi8wOC8yMDI2Li4uVVNELkgBAAAAS1UAAAMAAAAAABt+8G4s8N4IhJ6Rhyzw3ghDQ0lRLk5BU0RBUTpNU0ZULklRX1NUT0NLX0JBU0VEX0VYUExPUkVfRFJJTEwuOTkxLjAyLzA4LzIwMjYuLi5VU0QuSAEAAABLVQAAAwAAAAAAG37wbizw3giixZGHLPDeCD5DSVEuTkFTREFROk1TRlQuSVFfVE9UQUxfVU5VU1VBTF9TVVBQTEUuOTkwLjAyLzA4LzIwMjYuLi5VU0QuSAEAAABLVQAAAwAAAAAAG37wbizw3giixZGHLPDeCEBDSVEuTkFTREFROk1TRlQuSVFfQVNTRVRfV1JJVEVET1dOX1NVUFBMRS45OTAuMDIvMDgvMjAyNi4uLlVTRC5IAQAAAEtVAAADAAAAAAAbfvBuLPDeCISekYcs8N4INkNJUS5OQVNEQVE6TVNGVC5JUV9NQUlOVF9SRVBBSVIuOTkxLjAyLzA4LzIwMjYuLi5VU0QuSAEAAABLVQAAAwAAAAAAG37wbizw3giEnpGHLPDeCDxDSVEuTkFTREFROk1TRlQuSVFfTkVUX1JFTlRBTF9FWFBfRk4uMjAwMC4wMi8wOC8yMDI2Li4uVVNELkgBAAAAS1UAAAIAAAAENjk2OAEIAAAABQAAAAExAQAAAAstMTg4MDIyOTMyMwMAAAADMTYwAgAAAAQzMTcwBAAAAAEwBwAAAAg4LzIvMjAyNggAAAAJNi8zMC8yMDI2CQAAAAEwG37wbizw3giEnpGHLPDeCC1DSVEuTkFTREFR</t>
  </si>
  <si>
    <t>Ok1TRlQuSVFfRElDLjk5MC4wMi8wOC8yMDI2Li4uVVNELkgBAAAAS1UAAAMAAAAAABt+8G4s8N4IosWRhyzw3ghMQ0lRLk5BU0RBUTpNU0ZULklRX0lOVEVSRVNUX0VYUF9MRUFTRV9MSUFCSUxJVFlfREVCVC4yMDAwLjAyLzA4LzIwMjYuLi5VU0QuSAEAAABLVQAAAgAAAAQyNTQ3AQgAAAAFAAAAATEBAAAACy0xODgwMjI5MzIzAwAAAAMxNjACAAAABTQ4OTA3BAAAAAEwBwAAAAg4LzIvMjAyNggAAAAJNi8zMC8yMDI2CQAAAAEwG37wbizw3giixZGHLPDeCEBDSVEuTkFTREFROk1TRlQuSVFfREVGRVJSRURfRk9SRUlHTl9UQVhFUy45OTEuMDIvMDgvMjAyNi4uLlVTRC5IAQAAAEtVAAACAAAABC01NDQBCAAAAAUAAAABMQEAAAAKMTk3MzM4MDk1MQMAAAADMTYwAgAAAAQzMDU1BAAAAAEwBwAAAAg4LzIvMjAyNggAAAAJNi8zMC8yMDE3CQAAAAEwG37wbizw3giixZGHLPDeCDtDSVEuTkFTREFROk1TRlQuSVFfSU5WRVNUTUVOVF9JTkNPTUUuOTkxLjAyLzA4LzIwMjYuLi5VU0QuSAEAAABLVQAAAwAAAAAAG37wbizw3giixZGHLPDeCDtDSVEuTkFTREFROk1TRlQuSVFfRkVFU19PVEhFUl9JTkNPTUUuOTkwLjAyLzA4LzIwMjYuLi5VU0QuSAEAAABLVQAAAwAAAAAAG37wbizw3giixZGHLPDeCDBDSVEuTkFTREFROk1TRlQuSVFfRUJJVEEuMjAwMC4wMi8wOC8yMDI2Li4uVVNELkgBAAAAS1UAAAIAAAAG</t>
  </si>
  <si>
    <t>MTU5OTM3AQgAAAAFAAAAATEBAAAACy0xODgwMjI5MzIzAwAAAAMxNjACAAAABjEwMDY4OQQAAAABMAcAAAAIOC8yLzIwMjYIAAAACTYvMzAvMjAyNgkAAAABMBt+8G4s8N4IlOyRhyzw3ghAQ0lRLk5BU0RBUTpNU0ZULklRX0VCSVREQV9MRUFTRV9BREpVU1RFRC4yMDAwLjAyLzA4LzIwMjYuLi5VU0QuSAEAAABLVQAAAgAAAAYyMDEyMDUBCAAAAAUAAAABMQEAAAALLTE4ODAyMjkzMjMDAAAAAzE2MAIAAAAFNDg5OTMEAAAAATAHAAAACDgvMi8yMDI2CAAAAAk2LzMwLzIwMjYJAAAAATAbfvBuLPDeCJTskYcs8N4IQkNJUS5OQVNEQVE6TVNGVC5JUV9ESVNUUklCVVRBQkxFX0NBU0hfU0hBUkUuOTkxLjAyLzA4LzIwMjYuLi5VU0QuSAEAAABLVQAAAwAAAAAAG37wbizw3giixZGHLPDeCDhDSVEuTkFTREFROk1TRlQuSVFfQkFTSUNfRVBTX0VYQ0wuOTkwLjAyLzA4LzIwMjYuLi5VU0QuSAEAAABLVQAAAgAAAAgyLjU5MTY3MQEIAAAABQAAAAExAQAAAAoxODk4NDg5NDcwAwAAAAMxNjACAAAABDMwNjQEAAAAATAHAAAACDgvMi8yMDI2CAAAAAk2LzMwLzIwMTYJAAAAATAbfvBuLPDeCKLFkYcs8N4INENJUS5OQVNEQVE6TVNGVC5JUV9OSV9DT01QQU5ZLjk5MC4wMi8wOC8yMDI2Li4uVVNELkgBAAAAS1UAAAIAAAAFMjA1MzkBCAAAAAUAAAABMQEAAAAKMTg5ODQ4OTQ3MAMAAAADMTYwAgAAAAU0MTU3MQQA</t>
  </si>
  <si>
    <t>AAABMAcAAAAIOC8yLzIwMjYIAAAACTYvMzAvMjAxNgkAAAABMBt+8G4s8N4IosWRhyzw3gg2Q0lRLk5BU0RBUTpNU0ZULklRX0xFR0FMX1NFVFRMRS45OTEuMDIvMDgvMjAyNi4uLlVTRC5IAQAAAEtVAAADAAAAAAAbfvBuLPDeCK0Tkocs8N4IM0NJUS5OQVNEQVE6TVNGVC5JUV9FQlRfRVhDTC4yMDAwLjAyLzA4LzIwMjYuLi5VU0QuSAEAAABLVQAAAgAAAAYxNTk2ODUBCAAAAAUAAAABMQEAAAALLTE4ODAyMjkzMjMDAAAAAzE2MAIAAAABNAQAAAABMAcAAAAIOC8yLzIwMjYIAAAACTYvMzAvMjAyNgkAAAABMBt+8G4s8N4IrROShyzw3gg2Q0lRLk5BU0RBUTpNU0ZULklRX0lOVEVSRVNUX0VYUC45OTAuMDIvMDgvMjAyNi4uLlVTRC5IAQAAAEtVAAACAAAABS0xMjQzAQgAAAAFAAAAATEBAAAACjE4OTg0ODk0NzADAAAAAzE2MAIAAAACODIEAAAAATAHAAAACDgvMi8yMDI2CAAAAAk2LzMwLzIwMTYJAAAAATAbfvBuLPDeCJTskYcs8N4IMENJUS5OQVNEQVE6TVNGVC5JUV9SRF9FWFAuOTkxLjAyLzA4LzIwMjYuLi5VU0QuSAEAAABLVQAAAgAAAAUxMzAzNwEIAAAABQAAAAExAQAAAAoxOTczMzgwOTUxAwAAAAMxNjACAAAAAzEwMAQAAAABMAcAAAAIOC8yLzIwMjYIAAAACTYvMzAvMjAxNwkAAAABMBt+8G4s8N4IlOyRhyzw3gg2Q0lRLk5BU0RBUTpNU0ZULklRX0ZJTl9ESVZfRVhQLjIwMDAuMDIvMDgv</t>
  </si>
  <si>
    <t>MjAyNi4uLlVTRC5IAQAAAEtVAAADAAAAAAAbfvBuLPDeCJTskYcs8N4IOUNJUS5OQVNEQVE6TVNGVC5JUV9HQUlOX0FTU0VUU19SRVYuOTkwLjAyLzA4LzIwMjYuLi5VU0QuSAEAAABLVQAAAwAAAAAAG37wbizw3gitE5KHLPDeCDVDSVEuTkFTREFROk1TRlQuSVFfSU5TX0RJVl9SRVYuOTk1LjAyLzA4LzIwMjYuLi5VU0QuSAEAAABLVQAAAwAAAAAAG37wbizw3gitE5KHLPDeCDlDSVEuTkFTREFROk1TRlQuSVFfR0FJTl9JTlZFU1RfUkVWLjk5Ny4wMi8wOC8yMDI2Li4uVVNELkgBAAAAS1UAAAMAAAAAABt+8G4s8N4IlOyRhyzw3ggzQ0lRLk5BU0RBUTpNU0ZULklRX1RPVEFMX1JFVi45OTQuMDIvMDgvMjAyNi4uLlVTRC5IAQAAAEtVAAACAAAABjE0MzAxNQEIAAAABQAAAAExAQAAAAstMjA4NzQ5NjYyNwMAAAADMTYwAgAAAAIyOAQAAAABMAcAAAAIOC8yLzIwMjYIAAAACTYvMzAvMjAyMAkAAAABMBt+8G4s8N4IlOyRhyzw3gg1Q0lRLk5BU0RBUTpNU0ZULklRX0ZJTl9ESVZfRVhQLjk5Ni4wMi8wOC8yMDI2Li4uVVNELkgBAAAAS1UAAAMAAAAAABt+8G4s8N4IrROShyzw3gg5Q0lRLk5BU0RBUTpNU0ZULklRX0ZJTl9ESVZfSU5UX0VYUC45OTguMDIvMDgvMjAyNi4uLlVTRC5IAQAAAEtVAAADAAAAAAAbfvBuLPDeCNg6kocs8N4IN0NJUS5OQVNEQVE6TVNGVC5JUV9FWFBMT1JFX0RSSUxMLjk5NS4w</t>
  </si>
  <si>
    <t>Mi8wOC8yMDI2Li4uVVNELkgBAAAAS1UAAAMAAAAAABt+8G4s8N4I2DqShyzw3gg1Q0lRLk5BU0RBUTpNU0ZULklRX1NUT0NLX0JBU0VELjk5Ny4wMi8wOC8yMDI2Li4uVVNELkgBAAAAS1UAAAMAAAAAABt+8G4s8N4IrROShyzw3gg4Q0lRLk5BU0RBUTpNU0ZULklRX0dXX0lOVEFOX0FNT1JULjk5Mi4wMi8wOC8yMDI2Li4uVVNELkgBAAAAS1UAAAMAAAAAABt+8G4s8N4IrROShyzw3gg0Q0lRLk5BU0RBUTpNU0ZULklRX0lNUEFJUl9PSUwuOTk2LjAyLzA4LzIwMjYuLi5VU0QuSAEAAABLVQAAAwAAAAAAG37wbizw3gitE5KHLPDeCDpDSVEuTkFTREFROk1TRlQuSVFfVE9UQUxfT1RIRVJfT1BFUi45OTcuMDIvMDgvMjAyNi4uLlVTRC5IAQAAAEtVAAACAAAABTU3NTI5AQgAAAAFAAAAATEBAAAACy0xOTM0MjU0MjUwAwAAAAMxNjACAAAAAzM4MAQAAAABMAcAAAAIOC8yLzIwMjYIAAAACTYvMzAvMjAyMwkAAAABMBt+8G4s8N4I2DqShyzw3gg6Q0lRLk5BU0RBUTpNU0ZULklRX05FVF9JTlRFUkVTVF9FWFAuOTkzLjAyLzA4LzIwMjYuLi5VU0QuSAEAAABLVQAAAgAAAAI3NgEIAAAABQAAAAExAQAAAAstMjE0MDk4MTQ2OQMAAAADMTYwAgAAAAMzNjgEAAAAATAHAAAACDgvMi8yMDI2CAAAAAk2LzMwLzIwMTkJAAAAATAbfvBuLPDeCOthkocs8N4IN0NJUS5OQVNEQVE6TVNGVC5JUV9DVVJSRU5DWV9HQUlO</t>
  </si>
  <si>
    <t>Ljk5NC4wMi8wOC8yMDI2Li4uVVNELkgBAAAAS1UAAAIAAAAELTE3MQEIAAAABQAAAAExAQAAAAstMjA4NzQ5NjYyNwMAAAADMTYwAgAAAAIzOAQAAAABMAcAAAAIOC8yLzIwMjYIAAAACTYvMzAvMjAyMAkAAAABMBt+8G4s8N4IrROShyzw3gg1Q0lRLk5BU0RBUTpNU0ZULklRX1JFU1RSVUNUVVJFLjk5Mi4wMi8wOC8yMDI2Li4uVVNELkgBAAAAS1UAAAMAAAAAABt+8G4s8N4IrROShyzw3gg3Q0lRLk5BU0RBUTpNU0ZULklRX0lNUEFJUk1FTlRfR1cuOTk0LjAyLzA4LzIwMjYuLi5VU0QuSAEAAABLVQAAAwAAAAAAG37wbizw3gjYOpKHLPDeCDlDSVEuTkFTREFROk1TRlQuSVFfQVNTRVRfV1JJVEVET1dOLjk5My4wMi8wOC8yMDI2Li4uVVNELkgBAAAAS1UAAAMAAAAAABt+8G4s8N4I62GShyzw3gg0Q0lRLk5BU0RBUTpNU0ZULklRX0lOU19TRVRUTEUuOTk2LjAyLzA4LzIwMjYuLi5VU0QuSAEAAABLVQAAAwAAAAAAG37wbizw3gj8iJKHLPDeCC1DSVEuTkFTREFROk1TRlQuSVFfRUJULjk5Ny4wMi8wOC8yMDI2Li4uVVNELkgBAAAAS1UAAAIAAAAFODkzMTEBCAAAAAUAAAABMQEAAAALLTE5MzQyNTQyNTADAAAAAzE2MAIAAAADMTM5BAAAAAEwBwAAAAg4LzIvMjAyNggAAAAJNi8zMC8yMDIzCQAAAAEwG37wbizw3gjYOpKHLPDeCDVDSVEuTkFTREFROk1TRlQuSVFfRUFSTklOR19DTy4xMDAwLjAyLzA4</t>
  </si>
  <si>
    <t>LzIwMjYuLi5VU0QuSAEAAABLVQAAAgAAAAYxMzM3NDkBCAAAAAUAAAABMQEAAAALLTE4ODAyMjk2NjUDAAAAAzE2MAIAAAABNwQAAAABMAcAAAAIOC8yLzIwMjYIAAAACTYvMzAvMjAyNgkAAAABMBt+8G4s8N4I2DqShyzw3gg/Q0lRLk5BU0RBUTpNU0ZULklRX01JTk9SSVRZX0lOVEVSRVNUX0lTLjEwMDAuMDIvMDgvMjAyNi4uLlVTRC5IAQAAAEtVAAADAAAAAAAbfvBuLPDeCNg6kocs8N4IN0NJUS5OQVNEQVE6TVNGVC5JUV9OSV9BVkFJTF9JTkNMLjk5My4wMi8wOC8yMDI2Li4uVVNELkgBAAAAS1UAAAIAAAAFMzkyNDABCAAAAAUAAAABMQEAAAALLTIxNDA5ODE0NjkDAAAAAzE2MAIAAAACMTYEAAAAATAHAAAACDgvMi8yMDI2CAAAAAk2LzMwLzIwMTkJAAAAATAbfvBuLPDeCPyIkocs8N4IOENJUS5OQVNEQVE6TVNGVC5JUV9CQVNJQ19FUFNfRVhDTC45OTUuMDIvMDgvMjAyNi4uLlVTRC5IAQAAAEtVAAACAAAABzguMTE4NTkBCAAAAAUAAAABMQEAAAALLTIwMzY4NDM4NDMDAAAAAzE2MAIAAAAEMzA2NAQAAAABMAcAAAAIOC8yLzIwMjYIAAAACTYvMzAvMjAyMQkAAAABMBt+8G4s8N4I/IiShyzw3ggyQ0lRLk5BU0RBUTpNU0ZULklRX0VQU19OT1JNLjk5Mi4wMi8wOC8yMDI2Li4uVVNELkgBAAAAS1UAAAIAAAAIMi43NTkzMzQBCAAAAAUAAAABMQEAAAAKMjA0NzI3MTc0NQMAAAADMTYwAgAAAAQ0</t>
  </si>
  <si>
    <t>Mzc5BAAAAAEwBwAAAAg4LzIvMjAyNggAAAAJNi8zMC8yMDE4CQAAAAEwG37wbizw3gjrYZKHLPDeCDNDSVEuTkFTREFROk1TRlQuSVFfRElWX1NIQVJFLjk5Ni4wMi8wOC8yMDI2Li4uVVNELkgBAAAAS1UAAAIAAAAEMi40OAEIAAAABQAAAAExAQAAAAstMTk4NTkzMTIyNAMAAAADMTYwAgAAAAQzMDU4BAAAAAEwBwAAAAg4LzIvMjAyNggAAAAJNi8zMC8yMDIyCQAAAAEwG37wbizw3gjrYZKHLPDeCDBDSVEuTkFTREFROk1TRlQuSVFfRUJJVERBLjk5NS4wMi8wOC8yMDI2Li4uVVNELkgBAAAAS1UAAAIAAAAFODA4MTYBCAAAAAUAAAABMQEAAAALLTIwMzY4NDM4NDMDAAAAAzE2MAIAAAAENDA1MQQAAAABMAcAAAAIOC8yLzIwMjYIAAAACTYvMzAvMjAyMQkAAAABMBt+8G4s8N4I62GShyzw3gg/Q0lRLk5BU0RBUTpNU0ZULklRX0VCSVREQV9MRUFTRV9BREpVU1RFRC45OTcuMDIvMDgvMjAyNi4uLlVTRC5IAQAAAEtVAAACAAAABjEwNDg5OAEIAAAABQAAAAExAQAAAAstMTkzNDI1NDI1MAMAAAADMTYwAgAAAAU0ODk5MwQAAAABMAcAAAAIOC8yLzIwMjYIAAAACTYvMzAvMjAyMwkAAAABMBt+8G4s8N4I/IiShyzw3gguQ0lRLk5BU0RBUTpNU0ZULklRX0VCSVQuOTk0LjAyLzA4LzIwMjYuLi5VU0QuSAEAAABLVQAAAgAAAAU1Mjk1OQEIAAAABQAAAAExAQAAAAstMjA4NzQ5NjYyNwMAAAADMTYwAgAAAAM0</t>
  </si>
  <si>
    <t>MDAEAAAAATAHAAAACDgvMi8yMDI2CAAAAAk2LzMwLzIwMjAJAAAAATAbfvBuLPDeCAWwkocs8N4IL0NJUS5OQVNEQVE6TVNGVC5JUV9FQklUQS45OTIuMDIvMDgvMjAyNi4uLlVTRC5IAQAAAEtVAAACAAAABTM3MjU4AQgAAAAFAAAAATEBAAAACjIwNDcyNzE3NDUDAAAAAzE2MAIAAAAGMTAwNjg5BAAAAAEwBwAAAAg4LzIvMjAyNggAAAAJNi8zMC8yMDE4CQAAAAEwG37wbizw3gj8iJKHLPDeCDFDSVEuTkFTREFROk1TRlQuSVFfRUJJVERBUi45OTQuMDIvMDgvMjAyNi4uLlVTRC5IAQAAAEtVAAACAAAABTY3MzAyAQgAAAAFAAAAATEBAAAACy0yMDg3NDk2NjI3AwAAAAMxNjACAAAABTIxNjc0BAAAAAEwBwAAAAg4LzIvMjAyNggAAAAJNi8zMC8yMDIwCQAAAAEwG37wbizw3gj8iJKHLPDeCDpDSVEuTkFTREFROk1TRlQuSVFfRUJJVERBUl9FWENMX1NCQy45OTUuMDIvMDgvMjAyNi4uLlVTRC5IAQAAAEtVAAACAAAABTg5MDYxAQgAAAAFAAAAATEBAAAACy0yMDM2ODQzODQzAwAAAAMxNjACAAAABTI0MTM3BAAAAAEwBwAAAAg4LzIvMjAyNggAAAAJNi8zMC8yMDIxCQAAAAEwG37wbizw3gj8iJKHLPDeCExDSVEuTkFTREFROk1TRlQuSVFfUFJPVl9CQURfREVCVFNfUEFUSUVOVF9TRVJWSUNFX1JFVi45OTYuMDIvMDgvMjAyNi4uLlVTRC5IAQAAAEtVAAADAAAAAAAbfvBuLPDeCAWwkocs8N4IQUNJUS5O</t>
  </si>
  <si>
    <t>QVNEQVE6TVNGVC5JUV9FWENJU0VfVEFYRVNfRVhDTF9TQUxFUy45OTMuMDIvMDgvMjAyNi4uLlVTRC5IAQAAAEtVAAADAAAAAAAbfvBuLPDeCAWwkocs8N4IQUNJUS5OQVNEQVE6TVNGVC5JUV9ERUZFUlJFRF9ET01FU1RJQ19UQVhFUy45OTcuMDIvMDgvMjAyNi4uLlVTRC5IAQAAAEtVAAACAAAABS02NjIzAQgAAAAFAAAAATEBAAAACy0xOTM0MjU0MjUwAwAAAAMxNjACAAAABDMwNTQEAAAAATAHAAAACDgvMi8yMDI2CAAAAAk2LzMwLzIwMjMJAAAAATAbfvBuLPDeCPyIkocs8N4IMUNJUS5OQVNEQVE6TVNGVC5JUV9OSV9OT1JNLjk5OC4wMi8wOC8yMDI2Li4uVVNELkgBAAAAS1UAAAIAAAAINjc1NTEuMjUBCAAAAAUAAAABMQEAAAALLTE4ODAyMjk2OTQDAAAAAzE2MAIAAAAENDM3OAQAAAABMAcAAAAIOC8yLzIwMjYIAAAACTYvMzAvMjAyNAkAAAABMBt+8G4s8N4I/IiShyzw3gg6Q0lRLk5BU0RBUTpNU0ZULklRX0lOVF9FWFBfSU5DTF9DQVAuOTk3LjAyLzA4LzIwMjYuLi5VU0QuSAEAAABLVQAAAgAAAAQxOTk1AQgAAAAFAAAAATEBAAAACy0xOTM0MjU0MjUwAwAAAAMxNjACAAAABTIxODYxBAAAAAEwBwAAAAg4LzIvMjAyNggAAAAJNi8zMC8yMDIzCQAAAAEwG37wbizw3gj8iJKHLPDeCEpDSVEuTkFTREFROk1TRlQuSVFfRElTVFJJQlVUQUJMRV9DQVNIX1NUQU5EQVJESVpFRC4xMDAwLjAyLzA4</t>
  </si>
  <si>
    <t>LzIwMjYuLi5VU0QuSAEAAABLVQAAAwAAAAAAG37wbizw3ggFsJKHLPDeCDNDSVEuTkFTREFROk1TRlQuSVFfTUFSS0VUSU5HLjk5NC4wMi8wOC8yMDI2Li4uVVNELkgBAAAAS1UAAAMAAAAAABt+8G4s8N4IBbCShyzw3gg5Q0lRLk5BU0RBUTpNU0ZULklRX05FVF9SRU5UQUxfRVhQLjEwMDAuMDIvMDgvMjAyNi4uLlVTRC5IAQAAAEtVAAADAAAAAAAbfvBuLPDeCAWwkocs8N4IRENJUS5OQVNEQVE6TVNGVC5JUV9ERVBSRUNJQVRJT05fUkVOVEFMX0FTU0VUUy45OTUuMDIvMDgvMjAyNi4uLlVTRC5IAQAAAEtVAAADAAAAAAAbfvBuLPDeCAWwkocs8N4IQUNJUS5OQVNEQVE6TVNGVC5JUV9TQUxBUklFU19PVEhFUl9CRU5FRklUUy45OTcuMDIvMDgvMjAyNi4uLlVTRC5IAQAAAEtVAAADAAAAAAAbfvBuLPDeCAWwkocs8N4IO0NJUS5OQVNEQVE6TVNGVC5JUV9JTlNfU0VUVExFX1NVUFBMRS45OTIuMDIvMDgvMjAyNi4uLlVTRC5IAQAAAEtVAAADAAAAAAAbfvBuLPDeCKLZkocs8N4IOENJUS5OQVNEQVE6TVNGVC5JUV9TVE9DS19CQVNFRF9HQS45OTIuMDIvMDgvMjAyNi4uLlVTRC5IAQAAAEtVAAADAAAAAAAbfvBuLPDeCKLZkocs8N4IQENJUS5OQVNEQVE6TVNGVC5JUV9TVE9DS19PUFRJT05TX0NPTVBfVEFYLjk5My4wMi8wOC8yMDI2Li4uVVNELkgBAAAAS1UAAAMAAAAAABt+8G4s8N4IBbCShyzw3gg4</t>
  </si>
  <si>
    <t>Q0lRLk5BU0RBUTpNU0ZULklRX0dBSU5fSU5WRVNUX0NGLjk5Ny4wMi8wOC8yMDI2Li4uVVNELkgBAAAAS1UAAAIAAAADMTk2AQgAAAAFAAAAATEBAAAACy0xOTM0MjU0MjUwAwAAAAMxNjACAAAABDIwOTAEAAAAATAHAAAACDgvMi8yMDI2CAAAAAk2LzMwLzIwMjMJAAAAATAbfvBuLPDeCAWwkocs8N4IN0NJUS5OQVNEQVE6TVNGVC5JUV9DT01NT05fRElWX0NGLjk5Ny4wMi8wOC8yMDI2Li4uVVNELkgBAAAAS1UAAAIAAAAGLTE5ODAwAQgAAAAFAAAAATEBAAAACy0xOTM0MjU0MjUwAwAAAAMxNjACAAAABDIwNzQEAAAAATAHAAAACDgvMi8yMDI2CAAAAAk2LzMwLzIwMjMJAAAAATAQV/BuLPDeCAWwkocs8N4IR0NJUS5OQVNEQVE6TVNGVC5JUV9ERVBSRUNJQVRJT05fUkVOVEFMX0FTU0VUU19DRi45OTAuMDIvMDgvMjAyNi4uLlVTRC5IAQAAAEtVAAADAAAAAAAQV/BuLPDeCKLZkocs8N4IOUNJUS5OQVNEQVE6TVNGVC5JUV9TUEVDSUFMX0RJVl9DRi4yMDAwLjAyLzA4LzIwMjYuLi5VU0QuSAEAAABLVQAAAwAAAAAAEFfwbizw3gii2ZKHLPDeCDVDSVEuTkFTREFROk1TRlQuSVFfUFJFRl9JU1NVRUQuOTkwLjAyLzA4LzIwMjYuLi5VU0QuSAEAAABLVQAAAwAAAAAAEFfwbizw3ggFsJKHLPDeCDhDSVEuTkFTREFROk1TRlQuSVFfTFRfREVCVF9JU1NVRUQuOTkxLjAyLzA4LzIwMjYuLi5VU0QuSAEAAABL</t>
  </si>
  <si>
    <t>VQAAAgAAAAU0NDM0NAEIAAAABQAAAAExAQAAAAoxOTczMzgwOTUxAwAAAAMxNjACAAAABDIwMzQEAAAAATAHAAAACDgvMi8yMDI2CAAAAAk2LzMwLzIwMTcJAAAAATAQV/BuLPDeCKLZkocs8N4IOkNJUS5OQVNEQVE6TVNGVC5JUV9DQVNIX0FDUVVJUkVfQ0YuMjAwMC4wMi8wOC8yMDI2Li4uVVNELkgBAAAAS1UAAAIAAAAFLTE3NDMBCAAAAAUAAAABMQEAAAALLTE4ODAyMjkzMjMDAAAAAzE2MAIAAAAEMjA1NwQAAAABMAcAAAAIOC8yLzIwMjYIAAAACTYvMzAvMjAyNgkAAAABMBBX8G4s8N4IotmShyzw3gg4Q0lRLk5BU0RBUTpNU0ZULklRX0NIQU5HRV9JTkNfVEFYLjk5MC4wMi8wOC8yMDI2Li4uVVNELkgBAAAAS1UAAAIAAAAELTI5OAEIAAAABQAAAAExAQAAAAoxODk4NDg5NDcwAwAAAAMxNjACAAAABDIxMDEEAAAAATAHAAAACDgvMi8yMDI2CAAAAAk2LzMwLzIwMTYJAAAAATAQV/BuLPDeCJAAk4cs8N4IL0NJUS5OQVNEQVE6TVNGVC5JUV9ET19DRi45OTAuMDIvMDgvMjAyNi4uLlVTRC5IAQAAAEtVAAADAAAAAAAQV/BuLPDeCJAAk4cs8N4IOUNJUS5OQVNEQVE6TVNGVC5JUV9HQUlOX0FTU0VUU19DRi4yMDAwLjAyLzA4LzIwMjYuLi5VU0QuSAEAAABLVQAAAwAAAAAAEFfwbizw3gii2ZKHLPDeCDBDSVEuTkFTREFROk1TRlQuSVFfTklfQ0YuMjAwMC4wMi8wOC8yMDI2Li4uVVNELkgBAAAAS1UA</t>
  </si>
  <si>
    <t>AAIAAAAGMTMzNzQ5AQgAAAAFAAAAATEBAAAACy0xODgwMjI5MzIzAwAAAAMxNjACAAAABDIxNTAEAAAAATAHAAAACDgvMi8yMDI2CAAAAAk2LzMwLzIwMjYJAAAAATAQV/BuLPDeCKLZkocs8N4IO0NJUS5OQVNEQVE6TVNGVC5JUV9SRVNUUl9TVE9DS19DT01QLjIwMDAuMDIvMDgvMjAyNi4uLlVTRC5IAQAAAEtVAAADAAAAAAAQV/BuLPDeCKLZkocs8N4IOUNJUS5OQVNEQVE6TVNGVC5JUV9TVE9DS19CQVNFRF9TR0EuOTkxLjAyLzA4LzIwMjYuLi5VU0QuSAEAAABLVQAAAwAAAAAAEFfwbizw3giQAJOHLPDeCD5DSVEuTkFTREFROk1TRlQuSVFfVE9UQUxfVU5VU1VBTF9TVVBQTEUuOTkxLjAyLzA4LzIwMjYuLi5VU0QuSAEAAABLVQAAAwAAAAAAEFfwbizw3giQAJOHLPDeCEBDSVEuTkFTREFROk1TRlQuSVFfQVNTRVRfV1JJVEVET1dOX1NVUFBMRS45OTEuMDIvMDgvMjAyNi4uLlVTRC5IAQAAAEtVAAADAAAAAAAQV/BuLPDeCKLZkocs8N4IQUNJUS5OQVNEQVE6TVNGVC5JUV9FWFBMT1JFX0RSSUxMX0VYUF9UT1RBTC45OTAuMDIvMDgvMjAyNi4uLlVTRC5IAQAAAEtVAAADAAAAAAAQV/BuLPDeCJAAk4cs8N4IOENJUS5OQVNEQVE6TVNGVC5JUV9ORVRfUkVOVEFMX0VYUC45OTAuMDIvMDgvMjAyNi4uLlVTRC5IAQAAAEtVAAADAAAAAAAQV/BuLPDeCJAAk4cs8N4INUNJUS5OQVNEQVE6TVNGVC5JUV9D</t>
  </si>
  <si>
    <t>T01NT05fRElWLjIwMDAuMDIvMDgvMjAyNi4uLlVTRC5IAQAAAEtVAAACAAAABTI3MDM1ABBX8G4s8N4IpieThyzw3gg2Q0lRLk5BU0RBUTpNU0ZULklRX0lOVF9FWFBfTFRELjIwMDAuMDIvMDgvMjAyNi4uLlVTRC5IAQAAAEtVAAACAAAABDI1NDcBCAAAAAUAAAABMQEAAAALLTE4ODAyMjkzMjMDAAAAAzE2MAIAAAAEMzEwMQQAAAABMAcAAAAIOC8yLzIwMjYIAAAACTYvMzAvMjAyNgkAAAABMBBX8G4s8N4IpieThyzw3ghCQ0lRLk5BU0RBUTpNU0ZULklRX0RFRkVSUkVEX0RPTUVTVElDX1RBWEVTLjIwMDAuMDIvMDgvMjAyNi4uLlVTRC5IAQAAAEtVAAACAAAABTEzODkzAQgAAAAFAAAAATEBAAAACy0xODgwMjI5MzIzAwAAAAMxNjACAAAABDMwNTQEAAAAATAHAAAACDgvMi8yMDI2CAAAAAk2LzMwLzIwMjYJAAAAATAQV/BuLPDeCJAAk4cs8N4IOkNJUS5OQVNEQVE6TVNGVC5JUV9JTlRFUkVTVF9JTkNPTUUuMjAwMC4wMi8wOC8yMDI2Li4uVVNELkgBAAAAS1UAAAIAAAAEMzMwMQEIAAAABQAAAAExAQAAAAstMTg4MDIyOTMyMwMAAAADMTYwAgAAAAMyMTAEAAAAATAHAAAACDgvMi8yMDI2CAAAAAk2LzMwLzIwMjYJAAAAATAQV/BuLPDeCJAAk4cs8N4IO0NJUS5OQVNEQVE6TVNGVC5JUV9FQklUREFSX0VYQ0xfU0JDLjIwMDAuMDIvMDgvMjAyNi4uLlVTRC5IAQAAAEtVAAACAAAABjIxMzYxMAEIAAAA</t>
  </si>
  <si>
    <t>BQAAAAExAQAAAAstMTg4MDIyOTMyMwMAAAADMTYwAgAAAAUyNDEzNwQAAAABMAcAAAAIOC8yLzIwMjYIAAAACTYvMzAvMjAyNgkAAAABMBBX8G4s8N4IkACThyzw3gg2Q0lRLk5BU0RBUTpNU0ZULklRX0VCSVRBX0VRX0lOQy45OTAuMDIvMDgvMjAyNi4uLlVTRC5IAQAAAEtVAAACAAAABTI4MTY2AQgAAAAFAAAAATEBAAAACjE4OTg0ODk0NzADAAAAAzE2MAIAAAAFMjE2NzYEAAAAATAHAAAACDgvMi8yMDI2CAAAAAk2LzMwLzIwMTYJAAAAATAQV/BuLPDeCKYnk4cs8N4IQUNJUS5OQVNEQVE6TVNGVC5JUV9MRUFTRV9BREpVU1RNRU5UX0VCSVREQS45OTAuMDIvMDgvMjAyNi4uLlVTRC5IAQAAAEtVAAADAAAAAAAQV/BuLPDeCKYnk4cs8N4IOUNJUS5OQVNEQVE6TVNGVC5JUV9UT1RBTF9SRVZfU0hBUkUuOTkxLjAyLzA4LzIwMjYuLi5VU0QuSAEAAABLVQAAAgAAAAkxMi40NjcyMDgBCAAAAAUAAAABMQEAAAAKMTk3MzM4MDk1MQMAAAADMTYwAgAAAAQ0MzgyBAAAAAEwBwAAAAg4LzIvMjAyNggAAAAJNi8zMC8yMDE3CQAAAAEwEFfwbizw3giQAJOHLPDeCDhDSVEuTkFTREFROk1TRlQuSVFfQkFTSUNfRVBTX0VYQ0wuOTkxLjAyLzA4LzIwMjYuLi5VU0QuSAEAAABLVQAAAgAAAAgzLjI5MDYwMQEIAAAABQAAAAExAQAAAAoxOTczMzgwOTUxAwAAAAMxNjACAAAABDMwNjQEAAAAATAHAAAACDgvMi8yMDI2</t>
  </si>
  <si>
    <t>CAAAAAk2LzMwLzIwMTcJAAAAATAQV/BuLPDeCKYnk4cs8N4INENJUS5OQVNEQVE6TVNGVC5JUV9OSV9DT01QQU5ZLjk5MS4wMi8wOC8yMDI2Li4uVVNELkgBAAAAS1UAAAIAAAAFMjU0ODkBCAAAAAUAAAABMQEAAAAKMTk3MzM4MDk1MQMAAAADMTYwAgAAAAU0MTU3MQQAAAABMAcAAAAIOC8yLzIwMjYIAAAACTYvMzAvMjAxNwkAAAABMBBX8G4s8N4IpieThyzw3gg0Q0lRLk5BU0RBUTpNU0ZULklRX0lOU19TRVRUTEUuOTkwLjAyLzA4LzIwMjYuLi5VU0QuSAEAAABLVQAAAwAAAAAAEFfwbizw3gizTpOHLPDeCDVDSVEuTkFTREFROk1TRlQuSVFfUkVTVFJVQ1RVUkUuOTkwLjAyLzA4LzIwMjYuLi5VU0QuSAEAAABLVQAAAgAAAAQtNDgwAQgAAAAFAAAAATEBAAAACjE4OTg0ODk0NzADAAAAAzE2MAIAAAACOTgEAAAAATAHAAAACDgvMi8yMDI2CAAAAAk2LzMwLzIwMTYJAAAAATAQV/BuLPDeCLNOk4cs8N4INkNJUS5OQVNEQVE6TVNGVC5JUV9JTlRFUkVTVF9FWFAuOTkxLjAyLzA4LzIwMjYuLi5VU0QuSAEAAABLVQAAAgAAAAUtMjIyMgEIAAAABQAAAAExAQAAAAoxOTczMzgwOTUxAwAAAAMxNjACAAAAAjgyBAAAAAEwBwAAAAg4LzIvMjAyNggAAAAJNi8zMC8yMDE3CQAAAAEwEFfwbizw3gimJ5OHLPDeCDZDSVEuTkFTREFROk1TRlQuSVFfU1RPQ0tfQkFTRUQuMjAwMC4wMi8wOC8yMDI2Li4uVVNELkgB</t>
  </si>
  <si>
    <t>AAAAS1UAAAMAAAAAABBX8G4s8N4IpieThyzw3gg1Q0lRLk5BU0RBUTpNU0ZULklRX0lOU19ESVZfRVhQLjk5MC4wMi8wOC8yMDI2Li4uVVNELkgBAAAAS1UAAAMAAAAAABBX8G4s8N4IpieThyzw3gg5Q0lRLk5BU0RBUTpNU0ZULklRX0dBSU5fQVNTRVRTX1JFVi45OTEuMDIvMDgvMjAyNi4uLlVTRC5IAQAAAEtVAAADAAAAAAAQV/BuLPDeCLNOk4cs8N4ILUNJUS5OQVNEQVE6TVNGVC5JUV9SRVYuOTk0LjAyLzA4LzIwMjYuLi5VU0QuSAEAAABLVQAAAgAAAAYxNDMwMTUBCAAAAAUAAAABMQEAAAALLTIwODc0OTY2MjcDAAAAAzE2MAIAAAADMTEyBAAAAAEwBwAAAAg4LzIvMjAyNggAAAAJNi8zMC8yMDIwCQAAAAEwEFfwbizw3gizTpOHLPDeCDVDSVEuTkFTREFROk1TRlQuSVFfSU5TX0RJVl9SRVYuOTk2LjAyLzA4LzIwMjYuLi5VU0QuSAEAAABLVQAAAwAAAAAAEFfwbizw3gimJ5OHLPDeCDlDSVEuTkFTREFROk1TRlQuSVFfR0FJTl9JTlZFU1RfUkVWLjk5OC4wMi8wOC8yMDI2Li4uVVNELkgBAAAAS1UAAAMAAAAAABBX8G4s8N4IpieThyzw3ggzQ0lRLk5BU0RBUTpNU0ZULklRX1RPVEFMX1JFVi45OTUuMDIvMDgvMjAyNi4uLlVTRC5IAQAAAEtVAAACAAAABjE2ODA4OAEIAAAABQAAAAExAQAAAAstMjAzNjg0Mzg0MwMAAAADMTYwAgAAAAIyOAQAAAABMAcAAAAIOC8yLzIwMjYIAAAACTYvMzAvMjAy</t>
  </si>
  <si>
    <t>MQkAAAABMBBX8G4s8N4Is06Thyzw3gg1Q0lRLk5BU0RBUTpNU0ZULklRX0ZJTl9ESVZfRVhQLjk5Ny4wMi8wOC8yMDI2Li4uVVNELkgBAAAAS1UAAAMAAAAAABBX8G4s8N4IEXmThyzw3ggsQ0lRLk5BU0RBUTpNU0ZULklRX0dQLjk5NC4wMi8wOC8yMDI2Li4uVVNELkgBAAAAS1UAAAIAAAAFOTY5MzcBCAAAAAUAAAABMQEAAAALLTIwODc0OTY2MjcDAAAAAzE2MAIAAAACMTAEAAAAATAHAAAACDgvMi8yMDI2CAAAAAk2LzMwLzIwMjAJAAAAATAQV/BuLPDeCBF5k4cs8N4IN0NJUS5OQVNEQVE6TVNGVC5JUV9FWFBMT1JFX0RSSUxMLjk5Ni4wMi8wOC8yMDI2Li4uVVNELkgBAAAAS1UAAAMAAAAAABBX8G4s8N4Is06Thyzw3gg1Q0lRLk5BU0RBUTpNU0ZULklRX1NUT0NLX0JBU0VELjk5OC4wMi8wOC8yMDI2Li4uVVNELkgBAAAAS1UAAAMAAAAAABBX8G4s8N4Is06Thyzw3ggyQ0lRLk5BU0RBUTpNU0ZULklRX0RBX1NVUFBMLjk5NS4wMi8wOC8yMDI2Li4uVVNELkgBAAAAS1UAAAMAAAAAABBX8G4s8N4Is06Thyzw3gg0Q0lRLk5BU0RBUTpNU0ZULklRX0lNUEFJUl9PSUwuOTk3LjAyLzA4LzIwMjYuLi5VU0QuSAEAAABLVQAAAwAAAAAAEFfwbizw3ggReZOHLPDeCDZDSVEuTkFTREFROk1TRlQuSVFfSU5URVJFU1RfRVhQLjk5Mi4wMi8wOC8yMDI2Li4uVVNELkgBAAAAS1UAAAIAAAAFLTI3MzMBCAAAAAUA</t>
  </si>
  <si>
    <t>AAABMQEAAAAKMjA0NzI3MTc0NQMAAAADMTYwAgAAAAI4MgQAAAABMAcAAAAIOC8yLzIwMjYIAAAACTYvMzAvMjAxOAkAAAABMBBX8G4s8N4I9Z+Thyzw3gg9Q0lRLk5BU0RBUTpNU0ZULklRX0lOVEVSRVNUX0lOVkVTVF9JTkMuOTk2LjAyLzA4LzIwMjYuLi5VU0QuSAEAAABLVQAAAgAAAAQyMDk0AQgAAAAFAAAAATEBAAAACy0xOTg1OTMxMjI0AwAAAAMxNjACAAAAAjY1BAAAAAEwBwAAAAg4LzIvMjAyNggAAAAJNi8zMC8yMDIyCQAAAAEwEFfwbizw3gizTpOHLPDeCDRDSVEuTkFTREFROk1TRlQuSVFfSU5DX0VRVUlUWS45OTcuMDIvMDgvMjAyNi4uLlVTRC5IAQAAAEtVAAADAAAAAAAQV/BuLPDeCLNOk4cs8N4INUNJUS5OQVNEQVE6TVNGVC5JUV9SRVNUUlVDVFVSRS45OTMuMDIvMDgvMjAyNi4uLlVTRC5IAQAAAEtVAAADAAAAAAAQV/BuLPDeCLNOk4cs8N4IMENJUS5OQVNEQVE6TVNGVC5JUV9NRVJHRVIuOTk3LjAyLzA4LzIwMjYuLi5VU0QuSAEAAABLVQAAAwAAAAAAEFfwbizw3gj1n5OHLPDeCDVDSVEuTkFTREFROk1TRlQuSVFfR0FJTl9BU1NFVFMuOTk2LjAyLzA4LzIwMjYuLi5VU0QuSAEAAABLVQAAAwAAAAAAEFfwbizw3gj1n5OHLPDeCDRDSVEuTkFTREFROk1TRlQuSVFfSU5TX1NFVFRMRS45OTcuMDIvMDgvMjAyNi4uLlVTRC5IAQAAAEtVAAADAAAAAAAQV/BuLPDeCBF5k4cs8N4ILUNJ</t>
  </si>
  <si>
    <t>US5OQVNEQVE6TVNGVC5JUV9FQlQuOTk4LjAyLzA4LzIwMjYuLi5VU0QuSAEAAABLVQAAAgAAAAYxMDc3ODcBCAAAAAUAAAABMQEAAAALLTE4ODAyMjk2OTQDAAAAAzE2MAIAAAADMTM5BAAAAAEwBwAAAAg4LzIvMjAyNggAAAAJNi8zMC8yMDI0CQAAAAEwEFfwbizw3ggReZOHLPDeCDlDSVEuTkFTREFROk1TRlQuSVFfRVhUUkFfQUNDX0lURU1TLjk5NS4wMi8wOC8yMDI2Li4uVVNELkgBAAAAS1UAAAMAAAAAABBX8G4s8N4IEXmThyzw3gg+Q0lRLk5BU0RBUTpNU0ZULklRX01JTk9SSVRZX0lOVEVSRVNUX0lTLjk5Mi4wMi8wOC8yMDI2Li4uVVNELkgBAAAAS1UAAAMAAAAAABBX8G4s8N4IFceThyzw3gg3Q0lRLk5BU0RBUTpNU0ZULklRX05JX0FWQUlMX0lOQ0wuOTk0LjAyLzA4LzIwMjYuLi5VU0QuSAEAAABLVQAAAgAAAAU0NDI4MQEIAAAABQAAAAExAQAAAAstMjA4NzQ5NjYyNwMAAAADMTYwAgAAAAIxNgQAAAABMAcAAAAIOC8yLzIwMjYIAAAACTYvMzAvMjAyMAkAAAABMBBX8G4s8N4IFceThyzw3gg4Q0lRLk5BU0RBUTpNU0ZULklRX0JBU0lDX0VQU19FWENMLjk5Ni4wMi8wOC8yMDI2Li4uVVNELkgBAAAAS1UAAAIAAAAIOS43MDM1NzUBCAAAAAUAAAABMQEAAAALLTE5ODU5MzEyMjQDAAAAAzE2MAIAAAAEMzA2NAQAAAABMAcAAAAIOC8yLzIwMjYIAAAACTYvMzAvMjAyMgkAAAABMBBX8G4s8N4I</t>
  </si>
  <si>
    <t>9Z+Thyzw3gg4Q0lRLk5BU0RBUTpNU0ZULklRX0RJTFVUX0VQU19OT1JNLjk5Ni4wMi8wOC8yMDI2Li4uVVNELkgBAAAAS1UAAAIAAAAINi45MDAwMzMBCAAAAAUAAAABMQEAAAALLTE5ODU5MzEyMjQDAAAAAzE2MAIAAAAENDM4MAQAAAABMAcAAAAIOC8yLzIwMjYIAAAACTYvMzAvMjAyMgkAAAABMBBX8G4s8N4I9Z+Thyzw3ggzQ0lRLk5BU0RBUTpNU0ZULklRX0RJVl9TSEFSRS45OTcuMDIvMDgvMjAyNi4uLlVTRC5IAQAAAEtVAAACAAAABDIuNzIBCAAAAAUAAAABMQEAAAALLTE5MzQyNTQyNTADAAAAAzE2MAIAAAAEMzA1OAQAAAABMAcAAAAIOC8yLzIwMjYIAAAACTYvMzAvMjAyMwkAAAABMBBX8G4s8N4I9Z+Thyzw3gg7Q0lRLk5BU0RBUTpNU0ZULklRX1NQRUNJQUxfRElWX1NIQVJFLjk5Ny4wMi8wOC8yMDI2Li4uVVNELkgBAAAAS1UAAAMAAAAAABBX8G4s8N4IFceThyzw3gg6Q0lRLk5BU0RBUTpNU0ZULklRX0VCSVREQV9FWENMX1NCQy4xMDAwLjAyLzA4LzIwMjYuLi5VU0QuSAEAAABLVQAAAgAAAAYyMDY2NDIBCAAAAAUAAAABMQEAAAALLTE4ODAyMjk2NjUDAAAAAzE2MAIAAAAFMjQxMzUEAAAAATAHAAAACDgvMi8yMDI2CAAAAAk2LzMwLzIwMjYJAAAAATAQV/BuLPDeCCf8k4cs8N4ILkNJUS5OQVNEQVE6TVNGVC5JUV9FQklULjk5NS4wMi8wOC8yMDI2Li4uVVNELkgBAAAAS1UAAAIAAAAF</t>
  </si>
  <si>
    <t>Njk5MTYBCAAAAAUAAAABMQEAAAALLTIwMzY4NDM4NDMDAAAAAzE2MAIAAAADNDAwBAAAAAEwBwAAAAg4LzIvMjAyNggAAAAJNi8zMC8yMDIxCQAAAAEwEFfwbizw3ggVx5OHLPDeCC9DSVEuTkFTREFROk1TRlQuSVFfRUJJVEEuOTkzLjAyLzA4LzIwMjYuLi5VU0QuSAEAAABLVQAAAgAAAAU0NDg1OQEIAAAABQAAAAExAQAAAAstMjE0MDk4MTQ2OQMAAAADMTYwAgAAAAYxMDA2ODkEAAAAATAHAAAACDgvMi8yMDI2CAAAAAk2LzMwLzIwMTkJAAAAATAQV/BuLPDeCBXHk4cs8N4IMUNJUS5OQVNEQVE6TVNGVC5JUV9FQklUREFSLjk5NS4wMi8wOC8yMDI2Li4uVVNELkgBAAAAS1UAAAIAAAAFODI5NDMBCAAAAAUAAAABMQEAAAALLTIwMzY4NDM4NDMDAAAAAzE2MAIAAAAFMjE2NzQEAAAAATAHAAAACDgvMi8yMDI2CAAAAAk2LzMwLzIwMjEJAAAAATAQV/BuLPDeCBXHk4cs8N4INkNJUS5OQVNEQVE6TVNGVC5JUV9FQklUREFfQ0FQRVguOTk5LjAyLzA4LzIwMjYuLi5VU0QuSAEAAABLVQAAAgAAAAU5MTk3NwEIAAAABQAAAAExAQAAAAstMTg4MDIyOTY4NgMAAAADMTYwAgAAAAUzNTM3OQQAAAABMAcAAAAIOC8yLzIwMjYIAAAACTYvMzAvMjAyNQkAAAABMBBX8G4s8N4IJ/yThyzw3ghDQ0lRLk5BU0RBUTpNU0ZULklRX0VBUk5JTkdfUEFSRU5UX0VYQ0xfRVhUUkEuOTk0LjAyLzA4LzIwMjYuLi5VU0QuSAEA</t>
  </si>
  <si>
    <t>AABLVQAAAgAAAAU0NDI4MQEIAAAABQAAAAExAQAAAAstMjA4NzQ5NjYyNwMAAAADMTYwAgAAAAU0MTU5NgQAAAABMAcAAAAIOC8yLzIwMjYIAAAACTYvMzAvMjAyMAkAAAABMBBX8G4s8N4IJ/yThyzw3ghBQ0lRLk5BU0RBUTpNU0ZULklRX0VYQ0lTRV9UQVhFU19FWENMX1NBTEVTLjk5NC4wMi8wOC8yMDI2Li4uVVNELkgBAAAAS1UAAAMAAAAAABBX8G4s8N4IFceThyzw3gg1Q0lRLk5BU0RBUTpNU0ZULklRX0NVUlJfVEFYRVMuMTAwMC4wMi8wOC8yMDI2Li4uVVNELkgBAAAAS1UAAAIAAAAFMTc3NjEBCAAAAAUAAAABMQEAAAALLTE4ODAyMjk2NjUDAAAAAzE2MAIAAAAFMzUzODMEAAAAATAHAAAACDgvMi8yMDI2CAAAAAk2LzMwLzIwMjYJAAAAATAQV/BuLPDeCBXHk4cs8N4IMkNJUS5OQVNEQVE6TVNGVC5JUV9ESUxVVF9OSS45OTcuMDIvMDgvMjAyNi4uLlVTRC5IAQAAAEtVAAACAAAACDcyMzI4Ljk2AQgAAAAFAAAAATEBAAAACy0xOTM0MjU0MjUwAwAAAAMxNjACAAAABDM1MjIEAAAAATAHAAAACDgvMi8yMDI2CAAAAAk2LzMwLzIwMjMJAAAAATAQV/BuLPDeCBXHk4cs8N4IOkNJUS5OQVNEQVE6TVNGVC5JUV9JTlRfRVhQX0lOQ0xfQ0FQLjk5My4wMi8wOC8yMDI2Li4uVVNELkgBAAAAS1UAAAIAAAAEMjY4NgEIAAAABQAAAAExAQAAAAstMjE0MDk4MTQ2OQMAAAADMTYwAgAAAAUyMTg2MQQAAAAB</t>
  </si>
  <si>
    <t>MAcAAAAIOC8yLzIwMjYIAAAACTYvMzAvMjAxOQkAAAABMBBX8G4s8N4IJ/yThyzw3ghAQ0lRLk5BU0RBUTpNU0ZULklRX0FOTlVfRElTVFJJQlVUSU9OX1VOSVQuOTkzLjAyLzA4LzIwMjYuLi5VU0QuSAEAAABLVQAAAwAAAAAAEFfwbizw3ggn/JOHLPDeCDlDSVEuTkFTREFROk1TRlQuSVFfU0FMRVNfTUFSS0VUSU5HLjk5My4wMi8wOC8yMDI2Li4uVVNELkgBAAAAS1UAAAIAAAAFMTgyMTMBCAAAAAUAAAABMQEAAAALLTIxNDA5ODE0NjkDAAAAAzE2MAIAAAAFMjE1NjEEAAAAATAHAAAACDgvMi8yMDI2CAAAAAk2LzMwLzIwMTkJAAAAATAQV/BuLPDeCCf8k4cs8N4IP0NJUS5OQVNEQVE6TVNGVC5JUV9ORVRfUkVOVEFMX0VYUF9TVVBQTEUuOTkyLjAyLzA4LzIwMjYuLi5VU0QuSAEAAABLVQAAAgAAAAQxNTg1AQgAAAAFAAAAATEBAAAACjIwNDcyNzE3NDUDAAAAAzE2MAIAAAAFMjQyNjMEAAAAATAHAAAACDgvMi8yMDI2CAAAAAk2LzMwLzIwMTgJAAAAATAQV/BuLPDeCCf8k4cs8N4IQUNJUS5OQVNEQVE6TVNGVC5JUV9FWFBMT1JFX0RSSUxMX0VYUF9UT1RBTC45OTMuMDIvMDgvMjAyNi4uLlVTRC5IAQAAAEtVAAADAAAAAAAQV/BuLPDeCCf8k4cs8N4IQUNJUS5OQVNEQVE6TVNGVC5JUV9TQUxBUklFU19PVEhFUl9CRU5FRklUUy45OTkuMDIvMDgvMjAyNi4uLlVTRC5IAQAAAEtVAAADAAAAAAAQV/Bu</t>
  </si>
  <si>
    <t>LPDeCM0ulIcs8N4IO0NJUS5OQVNEQVE6TVNGVC5JUV9JTlNfU0VUVExFX1NVUFBMRS45OTMuMDIvMDgvMjAyNi4uLlVTRC5IAQAAAEtVAAADAAAAAAAQV/BuLPDeCM0ulIcs8N4IOENJUS5OQVNEQVE6TVNGVC5JUV9TVE9DS19CQVNFRF9HQS45OTQuMDIvMDgvMjAyNi4uLlVTRC5IAQAAAEtVAAADAAAAAAAQV/BuLPDeCCf8k4cs8N4IQENJUS5OQVNEQVE6TVNGVC5JUV9TVE9DS19PUFRJT05TX0NPTVBfVEFYLjk5NS4wMi8wOC8yMDI2Li4uVVNELkgBAAAAS1UAAAMAAAAAABBX8G4s8N4IJ/yThyzw3gg8Q0lRLk5BU0RBUTpNU0ZULklRX0FTU0VUX1dSSVRFRE9XTl9DRi45OTkuMDIvMDgvMjAyNi4uLlVTRC5IAQAAAEtVAAADAAAAAAAQV/BuLPDeCCf8k4cs8N4IPENJUS5OQVNEQVE6TVNGVC5JUV9DT01NT05fUFJFRl9ESVZfQ0YuOTk5LjAyLzA4LzIwMjYuLi5VU0QuSAEAAABLVQAAAwAAAAAAEFfwbizw3gggVpSHLPDeCEVDSVEuTkFTREFROk1TRlQuSVFfRklOX0RJVl9NSU5PUklUWV9JTlRfUkVERUVNLjk5MS4wMi8wOC8yMDI2Li4uVVNELkgBAAAAS1UAAAMAAAAAABBX8G4s8N4IIFaUhyzw3ggzQ0lRLk5BU0RBUTpNU0ZULklRX0JVSUxESU5HUy45OTEuMDIvMDgvMjAyNi4uLlVTRC5IAQAAAEtVAAACAAAABTE2Mjg0AQgAAAAFAAAAATEBAAAACjE5NzMzODA5NTEDAAAAAzE2MAIAAAAEMzAyMwQA</t>
  </si>
  <si>
    <t>AAABMAcAAAAIOC8yLzIwMjYIAAAACTYvMzAvMjAxNwkAAAABMBBX8G4s8N4IzS6Uhyzw3gg1Q0lRLk5BU0RBUTpNU0ZULklRX0FSX1VOQklMTEVELjk5MC4wMi8wOC8yMDI2Li4uVVNELkgBAAAAS1UAAAMAAAAAABBX8G4s8N4IzS6Uhyzw3gg9Q0lRLk5BU0RBUTpNU0ZULklRX1RPVEFMX0RFQlRfQ1VSUkVOVC4yMDAwLjAyLzA4LzIwMjYuLi5VU0QuSAEAAABLVQAAAgAAAAUxODkxMAEIAAAABQAAAAExAQAAAAstMTg4MDIyOTMyMwMAAAADMTYwAgAAAAUyNTIyMwQAAAABMAcAAAAIOC8yLzIwMjYIAAAACTYvMzAvMjAyNgkAAAABMBBX8G4s8N4IzS6Uhyzw3gg8Q0lRLk5BU0RBUTpNU0ZULklRX0JWX1NIQVJFX1JFUE9SVEVELjIwMDAuMDIvMDgvMjAyNi4uLlVTRC5IAQAAAEtVAAADAAAAAAAQV/BuLPDeCCBWlIcs8N4INkNJUS5OQVNEQVE6TVNGVC5JUV9UT1RBTF9MRUFTRVMuOTkxLjAyLzA4LzIwMjYuLi5VU0QuSAEAAABLVQAAAgAAAAQ5MzMzAQgAAAAFAAAAATEBAAAACjE5NzMzODA5NTEDAAAAAzE2MAIAAAAFNDg5NzkEAAAAATAHAAAACDgvMi8yMDI2CAAAAAk2LzMwLzIwMTcJAAAAATAQV/BuLPDeCCBWlIcs8N4IPUNJUS5OQVNEQVE6TVNGVC5JUV9BRF9FWENMX09QRVJfTEVBU0VTLjk5MC4wMi8wOC8yMDI2Li4uVVNELkgBAAAAS1UAAAIAAAAGLTE5ODAwAQgAAAAFAAAAATEBAAAACjE4OTg0</t>
  </si>
  <si>
    <t>ODk0NzADAAAAAzE2MAIAAAAFNDg5NzUEAAAAATAHAAAACDgvMi8yMDI2CAAAAAk2LzMwLzIwMTYJAAAAATAQV/BuLPDeCCBWlIcs8N4IQUNJUS5OQVNEQVE6TVNGVC5JUV9SVUFfQ0FQSVRBTF9MRUFTRV9HUk9TUy45OTAuMDIvMDgvMjAyNi4uLlVTRC5IAQAAAEtVAAADAAAAAAAQV/BuLPDeCCBWlIcs8N4IPUNJUS5OQVNEQVE6TVNGVC5JUV9UT1RBTF9DT01NT05fRVFVSVRZLjk5MS4wMi8wOC8yMDI2Li4uVVNELkgBAAAAS1UAAAIAAAAFODc3MTEBCAAAAAUAAAABMQEAAAAKMTk3MzM4MDk1MQMAAAADMTYwAgAAAAQxMDA2BAAAAAEwBwAAAAg4LzIvMjAyNggAAAAJNi8zMC8yMDE3CQAAAAEwEFfwbizw3gggVpSHLPDeCDpDSVEuTkFTREFROk1TRlQuSVFfUFJFRl9OT05fUkVERUVNLjIwMDAuMDIvMDgvMjAyNi4uLlVTRC5IAQAAAEtVAAADAAAAAAAQV/BuLPDeCCt9lIcs8N4IN0NJUS5OQVNEQVE6TVNGVC5JUV9VTkVBUk5fUkVWX0xULjk5MC4wMi8wOC8yMDI2Li4uVVNELkgBAAAAS1UAAAIAAAAENjQ0MQEIAAAABQAAAAExAQAAAAoxODk4NDg5NDcwAwAAAAMxNjACAAAABDEyNTYEAAAAATAHAAAACDgvMi8yMDI2CAAAAAk2LzMwLzIwMTYJAAAAATAQV/BuLPDeCCt9lIcs8N4IPkNJUS5OQVNEQVE6TVNGVC5JUV9ERUZfVEFYX0xJQUJfQ1VSUkVOVC45OTEuMDIvMDgvMjAyNi4uLlVTRC5IAQAAAEtV</t>
  </si>
  <si>
    <t>AAADAAAAAAAQV/BuLPDeCCBWlIcs8N4ILUNJUS5OQVNEQVE6TVNGVC5JUV9BUC4yMDAwLjAyLzA4LzIwMjYuLi5VU0QuSAEAAABLVQAAAgAAAAU0MjQxNgEIAAAABQAAAAExAQAAAAstMTg4MDIyOTMyMwMAAAADMTYwAgAAAAQxMDE4BAAAAAEwBwAAAAg4LzIvMjAyNggAAAAJNi8zMC8yMDI2CQAAAAEwEFfwbizw3gggVpSHLPDeCC9DSVEuTkFTREFROk1TRlQuSVFfQVJfTFQuOTkwLjAyLzA4LzIwMjYuLi5VU0QuSAEAAABLVQAAAwAAAAAAEFfwbizw3gggVpSHLPDeCCxDSVEuTkFTREFROk1TRlQuSVFfQUQuOTkwLjAyLzA4LzIwMjYuLi5VU0QuSAEAAABLVQAAAgAAAAYtMTk4MDABCAAAAAUAAAABMQEAAAAKMTg5ODQ4OTQ3MAMAAAADMTYwAgAAAAQxMDc1BAAAAAEwBwAAAAg4LzIvMjAyNggAAAAJNi8zMC8yMDE2CQAAAAEwEFfwbizw3ggrfZSHLPDeCDZDSVEuTkFTREFROk1TRlQuSVFfUFJFUEFJRF9FWFAuMjAwMC4wMi8wOC8yMDI2Li4uVVNELkgBAAAAS1UAAAMAAAAAABBX8G4s8N4IK32Uhyzw3gg5Q0lRLk5BU0RBUTpNU0ZULklRX1RSQURJTkdfQVNTRVRTLjIwMDAuMDIvMDgvMjAyNi4uLlVTRC5IAQAAAEtVAAADAAAAAAAQV/BuLPDeCCBWlIcs8N4ITUNJUS5OQVNEQVE6TVNGVC5JUV9PUEVSQVRJTkdfTEVBU0VfTElBQklMSVRJRVNfTk9OQ0FTSC45OTEuMDIvMDgvMjAyNi4uLlVTRC5IAQAA</t>
  </si>
  <si>
    <t>AEtVAAADAAAAAAAQV/BuLPDeCCBWlIcs8N4INkNJUS5OQVNEQVE6TVNGVC5JUV9MRVZFUkVEX0ZDRi4yMDAwLjAyLzA4LzIwMjYuLi5VU0QuSAEAAABLVQAAAgAAAAcxNjM2My41AQgAAAAFAAAAATEBAAAACy0xODgwMjI5MzIzAwAAAAMxNjACAAAABDQ0MjIEAAAAATAHAAAACDgvMi8yMDI2CAAAAAk2LzMwLzIwMjYJAAAAATAQV/BuLPDeCCt9lIcs8N4INENJUS5OQVNEQVE6TVNGVC5JUV9DQVNIX1RBWEVTLjk5MC4wMi8wOC8yMDI2Li4uVVNELkgBAAAAS1UAAAIAAAAEMzkwMAEIAAAABQAAAAExAQAAAAoxODk4NDg5NDcwAwAAAAMxNjACAAAABDMwNTMEAAAAATAHAAAACDgvMi8yMDI2CAAAAAk2LzMwLzIwMTYJAAAAATAQV/BuLPDeCCt9lIcs8N4IRUNJUS5OQVNEQVE6TVNGVC5JUV9TQUxFX1BST0NFRURTX1JFTlRBTF9BU1NFVFMuOTkxLjAyLzA4LzIwMjYuLi5VU0QuSAEAAABLVQAAAwAAAAAAEFfwbizw3gg5pJSHLPDeCERDSVEuTkFTREFROk1TRlQuSVFfR1dfSU5UQU5fQU1PUlRfUEFSVElBTF9DRi4yMDAwLjAyLzA4LzIwMjYuLi5VU0QuSAEAAABLVQAAAwAAAAAAEFfwbizw3ggrfZSHLPDeCEFDSVEuTkFTREFROk1TRlQuSVFfT1RIRVJfRklOQU5DRV9BQ1RfU1VQUEwuOTkwLjAyLzA4LzIwMjYuLi5VU0QuSAEAAABLVQAAAgAAAAQtMzY5AQgAAAAFAAAAATEBAAAACjE4OTg0ODk0NzADAAAA</t>
  </si>
  <si>
    <t>AzE2MAIAAAAEMjA1MAQAAAABMAcAAAAIOC8yLzIwMjYIAAAACTYvMzAvMjAxNgkAAAABMBBX8G4s8N4IK32Uhyzw3gg1Q0lRLk5BU0RBUTpNU0ZULklRX1BSRUZfSVNTVUVELjk5MS4wMi8wOC8yMDI2Li4uVVNELkgBAAAAS1UAAAMAAAAAABBX8G4s8N4IK32Uhyzw3gg2Q0lRLk5BU0RBUTpNU0ZULklRX0NBU0hfSU5WRVNULjIwMDAuMDIvMDgvMjAyNi4uLlVTRC5IAQAAAEtVAAACAAAABy0xMzk1MDABCAAAAAUAAAABMQEAAAALLTE4ODAyMjkzMjMDAAAAAzE2MAIAAAAEMjAwNQQAAAABMAcAAAAIOC8yLzIwMjYIAAAACTYvMzAvMjAyNgkAAAABMBBX8G4s8N4IOaSUhyzw3ggzQ0lRLk5BU0RBUTpNU0ZULklRX0RJVkVTVF9DRi45OTAuMDIvMDgvMjAyNi4uLlVTRC5IAQAAAEtVAAADAAAAAAAQV/BuLPDeCDmklIcs8N4IOENJUS5OQVNEQVE6TVNGVC5JUV9DSEFOR0VfSU5DX1RBWC45OTEuMDIvMDgvMjAyNi4uLlVTRC5IAQAAAEtVAAACAAAABDE3OTIBCAAAAAUAAAABMQEAAAAKMTk3MzM4MDk1MQMAAAADMTYwAgAAAAQyMTAxBAAAAAEwBwAAAAg4LzIvMjAyNggAAAAJNi8zMC8yMDE3CQAAAAEwEFfwbizw3ggrfZSHLPDeCD5DSVEuTkFTREFROk1TRlQuSVFfVEFYX0JFTkVGSVRfT1BUSU9OUy4yMDAwLjAyLzA4LzIwMjYuLi5VU0QuSAEAAABLVQAAAwAAAAAAEFfwbizw3ggrfZSHLPDeCDhDSVEuTkFT</t>
  </si>
  <si>
    <t>REFROk1TRlQuSVFfR0FJTl9JTlZFU1RfQ0YuOTkwLjAyLzA4LzIwMjYuLi5VU0QuSAEAAABLVQAAAgAAAAQtMjIzAQgAAAAFAAAAATEBAAAACjE4OTg0ODk0NzADAAAAAzE2MAIAAAAEMjA5MAQAAAABMAcAAAAIOC8yLzIwMjYIAAAACTYvMzAvMjAxNgkAAAABMBBX8G4s8N4IK32Uhyzw3gg1Q0lRLk5BU0RBUTpNU0ZULklRX0RBX1NVUFBMX0NGLjk5MC4wMi8wOC8yMDI2Li4uVVNELkgBAAAAS1UAAAIAAAAENDkwMAEIAAAABQAAAAExAQAAAAoxODk4NDg5NDcwAwAAAAMxNjACAAAABDIxNzEEAAAAATAHAAAACDgvMi8yMDI2CAAAAAk2LzMwLzIwMTYJAAAAATAQV/BuLPDeCDmklIcs8N4IP0NJUS5OQVNEQVE6TVNGVC5JUV9SRVNUUl9TVE9DS19DT01QX1RBWC4yMDAwLjAyLzA4LzIwMjYuLi5VU0QuSAEAAABLVQAAAwAAAAAAEFfwbizw3gg5pJSHLPDeCDlDSVEuTkFTREFROk1TRlQuSVFfU1RPQ0tfQkFTRURfR0EuMjAwMC4wMi8wOC8yMDI2Li4uVVNELkgBAAAAS1UAAAMAAAAAABBX8G4s8N4IOaSUhyzw3gg/Q0lRLk5BU0RBUTpNU0ZULklRX09USEVSX1VOVVNVQUxfU1VQUExFLjIwMDAuMDIvMDgvMjAyNi4uLlVTRC5IAQAAAEtVAAADAAAAAAAQV/BuLPDeCDmklIcs8N4IPkNJUS5OQVNEQVE6TVNGVC5JUV9JTVBBSVJNRU5UX0dXX1NVUFBMRS45OTEuMDIvMDgvMjAyNi4uLlVTRC5IAQAAAEtVAAAD</t>
  </si>
  <si>
    <t>AAAAAAAQV/BuLPDeCDmklIcs8N4IQUNJUS5OQVNEQVE6TVNGVC5JUV9FWFBMT1JFX0RSSUxMX0VYUF9UT1RBTC45OTEuMDIvMDgvMjAyNi4uLlVTRC5IAQAAAEtVAAADAAAAAAAQV/BuLPDeCIjLlIcs8N4IOENJUS5OQVNEQVE6TVNGVC5JUV9ORVRfUkVOVEFMX0VYUC45OTEuMDIvMDgvMjAyNi4uLlVTRC5IAQAAAEtVAAADAAAAAAAQV/BuLPDeCIjLlIcs8N4INENJUS5OQVNEQVE6TVNGVC5JUV9DT01NT05fRElWLjk5MC4wMi8wOC8yMDI2Li4uVVNELkgBAAAAS1UAAAIAAAAFMTEzMjkAEFfwbizw3gg5pJSHLPDeCEtDSVEuTkFTREFROk1TRlQuSVFfSU5URVJFU1RfRVhQX0xFQVNFX0xJQUJJTElUWV9ERUJULjk5MC4wMi8wOC8yMDI2Li4uVVNELkgBAAAAS1UAAAIAAAACMjgBCAAAAAUAAAABMQEAAAAKMTg5ODQ4OTQ3MAMAAAADMTYwAgAAAAU0ODkwNwQAAAABMAcAAAAIOC8yLzIwMjYIAAAACTYvMzAvMjAxNgkAAAABMBBX8G4s8N4IOaSUhyzw3ghAQ0lRLk5BU0RBUTpNU0ZULklRX0RFRkVSUkVEX0ZPUkVJR05fVEFYRVMuOTkwLjAyLzA4LzIwMjYuLi5VU0QuSAEAAABLVQAAAgAAAAM0NDkBCAAAAAUAAAABMQEAAAAKMTg5ODQ4OTQ3MAMAAAADMTYwAgAAAAQzMDU1BAAAAAEwBwAAAAg4LzIvMjAyNggAAAAJNi8zMC8yMDE2CQAAAAEwEFfwbizw3gg5pJSHLPDeCDJDSVEuTkFTREFROk1TRlQuSVFf</t>
  </si>
  <si>
    <t>TklfU0ZBUy4yMDAwLjAyLzA4LzIwMjYuLi5VU0QuSAEAAABLVQAAAwAAAAAAEFfwbizw3giIy5SHLPDeCDZDSVEuTkFTREFROk1TRlQuSVFfRUJJVERBX0NBUEVYLjk5MC4wMi8wOC8yMDI2Li4uVVNELkgBAAAAS1UAAAIAAAAFMjQ3MjMBCAAAAAUAAAABMQEAAAAKMTg5ODQ4OTQ3MAMAAAADMTYwAgAAAAUzNTM3OQQAAAABMAcAAAAIOC8yLzIwMjYIAAAACTYvMzAvMjAxNgkAAAABMBBX8G4s8N4IiMuUhyzw3gg2Q0lRLk5BU0RBUTpNU0ZULklRX0VCSVRBX0VRX0lOQy45OTEuMDIvMDgvMjAyNi4uLlVTRC5IAQAAAEtVAAACAAAABTMxMDMxAQgAAAAFAAAAATEBAAAACjE5NzMzODA5NTEDAAAAAzE2MAIAAAAFMjE2NzYEAAAAATAHAAAACDgvMi8yMDI2CAAAAAk2LzMwLzIwMTcJAAAAATAQV/BuLPDeCDmklIcs8N4IOkNJUS5OQVNEQVE6TVNGVC5JUV9FQklUREFfRVhDTF9TQkMuMjAwMC4wMi8wOC8yMDI2Li4uVVNELkgBAAAAS1UAAAIAAAAGMjA2NjQyAQgAAAAFAAAAATEBAAAACy0xODgwMjI5MzIzAwAAAAMxNjACAAAABTI0MTM1BAAAAAEwBwAAAAg4LzIvMjAyNggAAAAJNi8zMC8yMDI2CQAAAAEwEFfwbizw3giIy5SHLPDeCDlDSVEuTkFTREFROk1TRlQuSVFfVE9UQUxfUkVWX1NIQVJFLjk5MC4wMi8wOC8yMDI2Li4uVVNELkgBAAAAS1UAAAIAAAAJMTEuNTAyMDgyAQgAAAAFAAAAATEBAAAACjE4</t>
  </si>
  <si>
    <t>OTg0ODk0NzADAAAAAzE2MAIAAAAENDM4MgQAAAABMAcAAAAIOC8yLzIwMjYIAAAACTYvMzAvMjAxNgkAAAABMBBX8G4s8N4IiMuUhyzw3gg5Q0lRLk5BU0RBUTpNU0ZULklRX0JBU0lDX0VQU19JTkNMLjIwMDAuMDIvMDgvMjAyNi4uLlVTRC5IAQAAAEtVAAACAAAACTE4LjAwMzYzNAEIAAAABQAAAAExAQAAAAstMTg4MDIyOTMyMwMAAAADMTYwAgAAAAE5BAAAAAEwBwAAAAg4LzIvMjAyNggAAAAJNi8zMC8yMDI2CQAAAAEwEFfwbizw3giIy5SHLPDeCDlDSVEuTkFTREFROk1TRlQuSVFfRVhUUkFfQUNDX0lURU1TLjk5MS4wMi8wOC8yMDI2Li4uVVNELkgBAAAAS1UAAAMAAAAAABBX8G4s8N4IiMuUhyzw3gg0Q0lRLk5BU0RBUTpNU0ZULklRX0lOU19TRVRUTEUuOTkxLjAyLzA4LzIwMjYuLi5VU0QuSAEAAABLVQAAAwAAAAAAEFfwbizw3giIy5SHLPDeCDJDSVEuTkFTREFROk1TRlQuSVFfTklfM1lSX0FOTl9DQUdSLjIwMDAuMDIvMDgvMjAyNgEAAABLVQAAAgAAAAcyMi43MjM4AQgAAAAFAAAAATEBAAAACy0xODgwMjI5MzIzAwAAAAMxNjACAAAABDQyMjUEAAAAATAHAAAACDgvMi8yMDI2CAAAAAk2LzMwLzIwMjYJAAAAATB3xdpuLPDeCNaO5Ycs8N4IOENJUS5OQVNEQVE6TVNGVC5JUV9FQklUREFfMVlSX0FOTl9HUk9XVEguMjAwMC4wMi8wOC8yMDI2AQAAAEtVAAACAAAABzI0LjA5MDgBCAAAAAUA</t>
  </si>
  <si>
    <t>AAABMQEAAAALLTE4ODAyMjkzMjMDAAAAAzE2MAIAAAAENDE5NgQAAAABMAcAAAAIOC8yLzIwMjYIAAAACTYvMzAvMjAyNgkAAAABMHfF2m4s8N4I1o7lhyzw3ghKQ0lRLk5BU0RBUTpNU0ZULklRX1RPVEFMX0RFQlRfRUJJVERBX0VYQ0xfT1BFUl9MRUFTRVNfQ0FQRVguOTkxLjAyLzA4LzIwMjYBAAAAS1UAAAIAAAAIMy4yOTM4MDcBCAAAAAUAAAABMQEAAAAKMTk3MzM4MDk1MQMAAAADMTYwAgAAAAU0OTE4MwQAAAABMAcAAAAIOC8yLzIwMjYIAAAACTYvMzAvMjAxNwkAAAABMHfF2m4s8N4IsGflhyzw3gg9Q0lRLk5BU0RBUTpNU0ZULklRX0VCSVREQV9FWENMX09QRVJfTEVBU0VTX0lOVC45OTAuMDIvMDgvMjAyNgEAAABLVQAAAgAAAAkyNi42MDE3NjkBCAAAAAUAAAABMQEAAAAKMTg5ODQ4OTQ3MAMAAAADMTYwAgAAAAU0OTE3MwQAAAABMAcAAAAIOC8yLzIwMjYIAAAACTYvMzAvMjAxNgkAAAABMHfF2m4s8N4I1o7lhyzw3ggxQ0lRLk5BU0RBUTpNU0ZULklRX0NBU0hfQ09OVkVSU0lPTi45OTEuMDIvMDgvMjAyNgEAAABLVQAAAgAAAAkyNC4yNzM1OTUBCAAAAAUAAAABMQEAAAAKMTk3MzM4MDk1MQMAAAADMTYwAgAAAAQ0MTg0BAAAAAEwBwAAAAg4LzIvMjAyNggAAAAJNi8zMC8yMDE3CQAAAAEwd8Xabizw3gjWjuWHLPDeCCpDSVEuTkFTREFROk1TRlQuSVFfQVJfVFVSTlMuOTkwLjAyLzA4LzIw</t>
  </si>
  <si>
    <t>MjYBAAAAS1UAAAIAAAAHNS4wMzgyMgEIAAAABQAAAAExAQAAAAoxODk4NDg5NDcwAwAAAAMxNjACAAAABDQwMDEEAAAAATAHAAAACDgvMi8yMDI2CAAAAAk2LzMwLzIwMTYJAAAAATB3xdpuLPDeCNaO5Ycs8N4INkNJUS5OQVNEQVE6TVNGVC5JUV9SRVRVUk5fQ09NTU9OX0VRVUlUWS45OTEuMDIvMDgvMjAyNgEAAABLVQAAAgAAAAczMS45MTk1AQgAAAAFAAAAATEBAAAACjE5NzMzODA5NTEDAAAAAzE2MAIAAAAFMzMzMjAEAAAAATAHAAAACDgvMi8yMDI2CAAAAAk2LzMwLzIwMTcJAAAAATB3xdpuLPDeCLBn5Ycs8N4IMENJUS5OQVNEQVE6TVNGVC5JUV9DT1NUX0JPUlJPV0lORy45OTEuMDIvMDgvMjAyNgEAAABLVQAAAgAAAAYyLjk2MTMBCAAAAAUAAAABMQEAAAAKMTk3MzM4MDk1MQMAAAADMTYwAgAAAAUyMTY4MQQAAAABMAcAAAAIOC8yLzIwMjYIAAAACTYvMzAvMjAxNwkAAAABMHfF2m4s8N4IsGflhyzw3ggsQ0lRLk5BU0RBUTpNU0ZULklRX0lOVl9NRVRIT0QuOTkxLjAyLzA4LzIwMjYBAAAAS1UAAAMAAAAIQXZnIENvc3QAd8Xabizw3gjWjuWHLPDeCClDSVEuTkFTREFROk1TRlQuSVFfR0FBUF9JUy45OTAuMDIvMDgvMjAyNgEAAABLVQAAAwAAAAdVUyBHQUFQAHfF2m4s8N4I1o7lhyzw3ghBQ0lRLk5BU0RBUTpNU0ZULklRX0RJU1RSSUJVVEFCTEVfQ0FTSF9TSEFSRVNfQkFTSUMuOTkxLjAy</t>
  </si>
  <si>
    <t>LzA4LzIwMjYBAAAAS1UAAAMAAAAAAIrs2m4s8N4IGrTmhyzw3ggtQ0lRLk5BU0RBUTpNU0ZULklRX1BFUklPRERBVEUuMjAwMC4wMi8wOC8yMDI2AQAAAEtVAAAFAAAACjMwLzA2LzIwMjYAd8Xabizw3giwZ+WHLPDeCDJDSVEuTkFTREFROk1TRlQuSVFfRVBTXzNZUl9BTk5fQ0FHUi45OTAuMDIvMDgvMjAyNgEAAABLVQAAAgAAAActMC4yNTkxAQgAAAAFAAAAATEBAAAACjE4OTg0ODk0NzADAAAAAzE2MAIAAAAENDIyNgQAAAABMAcAAAAIOC8yLzIwMjYIAAAACTYvMzAvMjAxNgkAAAABMHfF2m4s8N4ImkDlhyzw3gg1Q0lRLk5BU0RBUTpNU0ZULklRX0VCSVRfMVlSX0FOTl9HUk9XVEguOTkwLjAyLzA4LzIwMjYBAAAAS1UAAAIAAAAHLTMuNDkyOQEIAAAABQAAAAExAQAAAAoxODk4NDg5NDcwAwAAAAMxNjACAAAABDQxOTcEAAAAATAHAAAACDgvMi8yMDI2CAAAAAk2LzMwLzIwMTYJAAAAATB3xdpuLPDeCJpA5Ycs8N4IOUNJUS5OQVNEQVE6TVNGVC5JUV9UT1RBTF9ERUJUX0VCSVREQV9DQVBFWC45OTAuMDIvMDgvMjAyNgEAAABLVQAAAgAAAAgyLjIwNjA4MwEIAAAABQAAAAExAQAAAAoxODk4NDg5NDcwAwAAAAMxNjACAAAABTIzMzEzBAAAAAEwBwAAAAg4LzIvMjAyNggAAAAJNi8zMC8yMDE2CQAAAAEwd8Xabizw3giwZ+WHLPDeCD1DSVEuTkFTREFROk1TRlQuSVFfRUJJVERBX0VYQ0xfT1BFUl9M</t>
  </si>
  <si>
    <t>RUFTRVNfSU5ULjk5MS4wMi8wOC8yMDI2AQAAAEtVAAACAAAACTE2LjcxMDYyMQEIAAAABQAAAAExAQAAAAoxOTczMzgwOTUxAwAAAAMxNjACAAAABTQ5MTczBAAAAAEwBwAAAAg4LzIvMjAyNggAAAAJNi8zMC8yMDE3CQAAAAEwd8Xabizw3giwZ+WHLPDeCDVDSVEuTkFTREFROk1TRlQuSVFfREFZU19JTlZFTlRPUllfT1VULjIwMDAuMDIvMDgvMjAyNgEAAABLVQAAAgAAAAg0LjAwNTg3NQEIAAAABQAAAAExAQAAAAstMTg4MDIyOTMyMwMAAAADMTYwAgAAAAQ0MDM1BAAAAAEwBwAAAAg4LzIvMjAyNggAAAAJNi8zMC8yMDI2CQAAAAEwd8Xabizw3giwZ+WHLPDeCC5DSVEuTkFTREFROk1TRlQuSVFfQVNTRVRfVFVSTlMuMjAwMC4wMi8wOC8yMDI2AQAAAEtVAAACAAAACDAuNDgxODQxAQgAAAAFAAAAATEBAAAACy0xODgwMjI5MzIzAwAAAAMxNjACAAAABDQxNzcEAAAAATAHAAAACDgvMi8yMDI2CAAAAAk2LzMwLzIwMjYJAAAAATB3xdpuLPDeCJpA5Ycs8N4IL0NJUS5OQVNEQVE6TVNGVC5JUV9SRVRVUk5fRVFVSVRZLjk5MC4wMi8wOC8yMDI2AQAAAEtVAAACAAAABzI3LjAxMDcBCAAAAAUAAAABMQEAAAAKMTg5ODQ4OTQ3MAMAAAADMTYwAgAAAAQ0MTI4BAAAAAEwBwAAAAg4LzIvMjAyNggAAAAJNi8zMC8yMDE2CQAAAAEwd8Xabizw3giaQOWHLPDeCDRDSVEuTkFTREFROk1TRlQuSVFfTlVNQkVSX0FE</t>
  </si>
  <si>
    <t>UkhPTERFUlMuMjAwMC4wMi8wOC8yMDI2AQAAAEtVAAADAAAAAAB3xdpuLPDeCJpA5Ycs8N4IPENJUS5OQVNEQVE6TVNGVC5JUV9UT1RBTF9PVVRTVEFORElOR19CU19EQVRFLjIwMDAuMDIvMDgvMjAyNgEAAABLVQAAAgAAAAQ3NDI3AQQAAAAFAAAAATUBAAAACy0xODgwMjI5MzIzAgAAAAUyNDE1MgYAAAABMHfF2m4s8N4ImkDlhyzw3ggpQ0lRLk5BU0RBUTpNU0ZULklRX0dBQVBfSVMuOTkxLjAyLzA4LzIwMjYBAAAAS1UAAAMAAAAHVVMgR0FBUAB3xdpuLPDeCJpA5Ycs8N4ILUNJUS5OQVNEQVE6TVNGVC5JUV9TQU1FX1NUT1JFLjIwMDAuMDIvMDgvMjAyNgEAAABLVQAAAwAAAAAAd8Xabizw3giaQOWHLPDeCCxDSVEuTkFTREFROk1TRlQuSVFfUEVSSU9EREFURS45OTAuMDIvMDgvMjAyNgEAAABLVQAABQAAAAozMC8wNi8yMDE2AHfF2m4s8N4ImkDlhyzw3gg0Q0lRLk5BU0RBUTpNU0ZULklRX0VCSVRfM1lSX0FOTl9DQUdSLjIwMDAuMDIvMDgvMjAyNgEAAABLVQAAAgAAAAcyMC41OTA1AQgAAAAFAAAAATEBAAAACy0xODgwMjI5MzIzAwAAAAMxNjACAAAABDQyMjMEAAAAATAHAAAACDgvMi8yMDI2CAAAAAk2LzMwLzIwMjYJAAAAATB3xdpuLPDeCIgZ5Ycs8N4INUNJUS5OQVNEQVE6TVNGVC5JUV9FQklUXzFZUl9BTk5fR1JPV1RILjk5MS4wMi8wOC8yMDI2AQAAAEtVAAACAAAABjcuODgyMQEIAAAA</t>
  </si>
  <si>
    <t>BQAAAAExAQAAAAoxOTczMzgwOTUxAwAAAAMxNjACAAAABDQxOTcEAAAAATAHAAAACDgvMi8yMDI2CAAAAAk2LzMwLzIwMTcJAAAAATB3xdpuLPDeCJpA5Ycs8N4IOUNJUS5OQVNEQVE6TVNGVC5JUV9UT1RBTF9ERUJUX0VCSVREQV9DQVBFWC45OTEuMDIvMDgvMjAyNgEAAABLVQAAAgAAAAgzLjE0MDg4OQEIAAAABQAAAAExAQAAAAoxOTczMzgwOTUxAwAAAAMxNjACAAAABTIzMzEzBAAAAAEwBwAAAAg4LzIvMjAyNggAAAAJNi8zMC8yMDE3CQAAAAEwd8Xabizw3giIGeWHLPDeCCxDSVEuTkFTREFROk1TRlQuSVFfRUJJVERBX0lOVC45OTEuMDIvMDgvMjAyNgEAAABLVQAAAgAAAAkxNy4zNDYwODQBCAAAAAUAAAABMQEAAAAKMTk3MzM4MDk1MQMAAAADMTYwAgAAAAQ0MTkwBAAAAAEwBwAAAAg4LzIvMjAyNggAAAAJNi8zMC8yMDE3CQAAAAEwd8Xabizw3giIGeWHLPDeCDJDSVEuTkFTREFROk1TRlQuSVFfREFZU19QQVlBQkxFX09VVC45OTAuMDIvMDgvMjAyNgEAAABLVQAAAgAAAAk3Ni44MzAzNTQBCAAAAAUAAAABMQEAAAAKMTg5ODQ4OTQ3MAMAAAADMTYwAgAAAAQ0MTgzBAAAAAEwBwAAAAg4LzIvMjAyNggAAAAJNi8zMC8yMDE2CQAAAAEwd8Xabizw3gho8uSHLPDeCDNDSVEuTkFTREFROk1TRlQuSVFfRklYRURfQVNTRVRfVFVSTlMuOTkwLjAyLzA4LzIwMjYBAAAAS1UAAAIAAAAINS41MDk5NTgB</t>
  </si>
  <si>
    <t>CAAAAAUAAAABMQEAAAAKMTg5ODQ4OTQ3MAMAAAADMTYwAgAAAAQ0MDY2BAAAAAEwBwAAAAg4LzIvMjAyNggAAAAJNi8zMC8yMDE2CQAAAAEwd8Xabizw3gho8uSHLPDeCC9DSVEuTkFTREFROk1TRlQuSVFfUkVUVVJOX0VRVUlUWS45OTEuMDIvMDgvMjAyNgEAAABLVQAAAgAAAAczMS45MTk1AQgAAAAFAAAAATEBAAAACjE5NzMzODA5NTEDAAAAAzE2MAIAAAAENDEyOAQAAAABMAcAAAAIOC8yLzIwMjYIAAAACTYvMzAvMjAxNwkAAAABMHfF2m4s8N4IiBnlhyzw3ggzQ0lRLk5BU0RBUTpNU0ZULklRX05VTUJFUl9BRFJIT0xERVJTLjk5MC4wMi8wOC8yMDI2AQAAAEtVAAADAAAAAAB3xdpuLPDeCIgZ5Ycs8N4IQENJUS5OQVNEQVE6TVNGVC5JUV9UT1RBTF9PVVRTVEFORElOR19GSUxJTkdfREFURS4yMDAwLjAyLzA4LzIwMjYBAAAAS1UAAAIAAAALNzQyNS41NDU0OTEBBAAAAAUAAAABNQEAAAALLTE4ODAyMjkzMjMCAAAABTI0MTUzBgAAAAEwd8Xabizw3giIGeWHLPDeCC5DSVEuTkFTREFROk1TRlQuSVFfQ0FMQ19UWVBFX0lTLjk5MC4wMi8wOC8yMDI2AQAAAEtVAAADAAAAA1JFUAB3xdpuLPDeCGjy5Ics8N4ILENJUS5OQVNEQVE6TVNGVC5JUV9TQU1FX1NUT1JFLjk5MC4wMi8wOC8yMDI2AQAAAEtVAAADAAAAAAB3xdpuLPDeCGjy5Ics8N4IM0NJUS5OQVNEQVE6TVNGVC5JUV9FUFNfNVlSX0FOTl9D</t>
  </si>
  <si>
    <t>QUdSLjIwMDAuMDIvMDgvMjAyNgEAAABLVQAAAgAAAAcxNy4zOTYxAQgAAAAFAAAAATEBAAAACy0xODgwMjI5MzIzAwAAAAMxNjACAAAABDQyMzkEAAAAATAHAAAACDgvMi8yMDI2CAAAAAk2LzMwLzIwMjYJAAAAATB3xdpuLPDeCGjy5Ics8N4IMUNJUS5OQVNEQVE6TVNGVC5JUV9OSV8zWVJfQU5OX0NBR1IuOTkwLjAyLzA4LzIwMjYBAAAAS1UAAAIAAAAHLTIuMDYwOAEIAAAABQAAAAExAQAAAAoxODk4NDg5NDcwAwAAAAMxNjACAAAABDQyMjUEAAAAATAHAAAACDgvMi8yMDI2CAAAAAk2LzMwLzIwMTYJAAAAATB3xdpuLPDeCGjy5Ics8N4INENJUS5OQVNEQVE6TVNGVC5JUV9HUF8xWVJfQU5OX0dST1dUSC4yMDAwLjAyLzA4LzIwMjYBAAAAS1UAAAIAAAAHMTYuMjgzMgEIAAAABQAAAAExAQAAAAstMTg4MDIyOTMyMwMAAAADMTYwAgAAAAQ0MTk1BAAAAAEwBwAAAAg4LzIvMjAyNggAAAAJNi8zMC8yMDI2CQAAAAEwd8Xabizw3gho8uSHLPDeCENDSVEuTkFTREFROk1TRlQuSVFfTkVUX0RFQlRfRUJJVERBX0VYQ0xfT1BFUl9MRUFTRVMuMjAwMC4wMi8wOC8yMDI2AQAAAEtVAAACAAAACDAuMjY4NTQ4AQgAAAAFAAAAATEBAAAACy0xODgwMjI5MzIzAwAAAAMxNjACAAAABTQ5MTc1BAAAAAEwBwAAAAg4LzIvMjAyNggAAAAJNi8zMC8yMDI2CQAAAAEwd8Xabizw3ghpy+SHLPDeCCxDSVEuTkFTREFROk1T</t>
  </si>
  <si>
    <t>RlQuSVFfRUJJVERBX0lOVC45OTAuMDIvMDgvMjAyNgEAAABLVQAAAgAAAAkyNi42MDE3NjkBCAAAAAUAAAABMQEAAAAKMTg5ODQ4OTQ3MAMAAAADMTYwAgAAAAQ0MTkwBAAAAAEwBwAAAAg4LzIvMjAyNggAAAAJNi8zMC8yMDE2CQAAAAEwd8Xabizw3ghpy+SHLPDeCDJDSVEuTkFTREFROk1TRlQuSVFfREFZU19QQVlBQkxFX09VVC45OTEuMDIvMDgvMjAyNgEAAABLVQAAAgAAAAk3Ni4yNjQxOTUBCAAAAAUAAAABMQEAAAAKMTk3MzM4MDk1MQMAAAADMTYwAgAAAAQ0MTgzBAAAAAEwBwAAAAg4LzIvMjAyNggAAAAJNi8zMC8yMDE3CQAAAAEwd8Xabizw3gho8uSHLPDeCC1DSVEuTkFTREFROk1TRlQuSVFfQVNTRVRfVFVSTlMuOTkwLjAyLzA4LzIwMjYBAAAAS1UAAAIAAAAIMC40OTU0ODIBCAAAAAUAAAABMQEAAAAKMTg5ODQ4OTQ3MAMAAAADMTYwAgAAAAQ0MTc3BAAAAAEwBwAAAAg4LzIvMjAyNggAAAAJNi8zMC8yMDE2CQAAAAEwd8Xabizw3ghpy+SHLPDeCDBDSVEuTkFTREFROk1TRlQuSVFfUkVUVVJOX0NBUElUQUwuOTkxLjAyLzA4LzIwMjYBAAAAS1UAAAIAAAAHMTEuODM1NQEIAAAABQAAAAExAQAAAAoxOTczMzgwOTUxAwAAAAMxNjACAAAABDQzNjMEAAAAATAHAAAACDgvMi8yMDI2CAAAAAk2LzMwLzIwMTcJAAAAATB3xdpuLPDeCGnL5Ics8N4IM0NJUS5OQVNEQVE6TVNGVC5JUV9OVU1CRVJf</t>
  </si>
  <si>
    <t>QURSSE9MREVSUy45OTEuMDIvMDgvMjAyNgEAAABLVQAAAwAAAAAAd8Xabizw3ghpy+SHLPDeCDtDSVEuTkFTREFROk1TRlQuSVFfVE9UQUxfT1VUU1RBTkRJTkdfQlNfREFURS45OTAuMDIvMDgvMjAyNgEAAABLVQAAAgAAAAQ3ODA4AQQAAAAFAAAAATUBAAAACjE4OTg0ODk0NzACAAAABTI0MTUyBgAAAAEwd8Xabizw3ghpy+SHLPDeCC5DSVEuTkFTREFROk1TRlQuSVFfQ0FMQ19UWVBFX0lTLjk5MS4wMi8wOC8yMDI2AQAAAEtVAAADAAAAA1JFUAB3xdpuLPDeCGnL5Ics8N4ILENJUS5OQVNEQVE6TVNGVC5JUV9TQU1FX1NUT1JFLjk5MS4wMi8wOC8yMDI2AQAAAEtVAAADAAAAAAB3xdpuLPDeCGnL5Ics8N4IMkNJUS5OQVNEQVE6TVNGVC5JUV9OSV81WVJfQU5OX0NBR1IuMjAwMC4wMi8wOC8yMDI2AQAAAEtVAAACAAAABjE2Ljg5OAEIAAAABQAAAAExAQAAAAstMTg4MDIyOTMyMwMAAAADMTYwAgAAAAQ0MjM4BAAAAAEwBwAAAAg4LzIvMjAyNggAAAAJNi8zMC8yMDI2CQAAAAEwcsnYbizw3ghpy+SHLPDeCDFDSVEuTkFTREFROk1TRlQuSVFfTklfM1lSX0FOTl9DQUdSLjk5MS4wMi8wOC8yMDI2AQAAAEtVAAACAAAABjQuOTExNwEIAAAABQAAAAExAQAAAAoxOTczMzgwOTUxAwAAAAMxNjACAAAABDQyMjUEAAAAATAHAAAACDgvMi8yMDI2CAAAAAk2LzMwLzIwMTcJAAAAATByydhuLPDeCEuk5Ics8N4I</t>
  </si>
  <si>
    <t>N0NJUS5OQVNEQVE6TVNGVC5JUV9FQklUREFfMVlSX0FOTl9HUk9XVEguOTkwLjAyLzA4LzIwMjYBAAAAS1UAAAIAAAAHLTEuNTA3MwEIAAAABQAAAAExAQAAAAoxODk4NDg5NDcwAwAAAAMxNjACAAAABDQxOTYEAAAAATAHAAAACDgvMi8yMDI2CAAAAAk2LzMwLzIwMTYJAAAAATByydhuLPDeCEuk5Ics8N4IMkNJUS5OQVNEQVE6TVNGVC5JUV9ORVRfREVCVF9FQklUREEuMjAwMC4wMi8wOC8yMDI2AQAAAEtVAAACAAAACDAuMjU5MjQ4AQgAAAAFAAAAATEBAAAACy0xODgwMjI5MzIzAwAAAAMxNjACAAAABDQxOTMEAAAAATAHAAAACDgvMi8yMDI2CAAAAAk2LzMwLzIwMjYJAAAAATByydhuLPDeCEuk5Ics8N4IOkNJUS5OQVNEQVE6TVNGVC5JUV9UT1RBTF9MSUFCX1RPVEFMX0FTU0VUUy4yMDAwLjAyLzA4LzIwMjYBAAAAS1UAAAIAAAAHNDEuNjY2NQEIAAAABQAAAAExAQAAAAstMTg4MDIyOTMyMwMAAAADMTYwAgAAAAQ0MTg4BAAAAAEwBwAAAAg4LzIvMjAyNggAAAAJNi8zMC8yMDI2CQAAAAEwcsnYbizw3ghLpOSHLPDeCDFDSVEuTkFTREFROk1TRlQuSVFfREFZU19TQUxFU19PVVQuMjAwMC4wMi8wOC8yMDI2AQAAAEtVAAACAAAACTgyLjkyMzk4NQEIAAAABQAAAAExAQAAAAstMTg4MDIyOTMyMwMAAAADMTYwAgAAAAQ0MDQyBAAAAAEwBwAAAAg4LzIvMjAyNggAAAAJNi8zMC8yMDI2CQAAAAEwcsnY</t>
  </si>
  <si>
    <t>bizw3ghLpOSHLPDeCC1DSVEuTkFTREFROk1TRlQuSVFfQVNTRVRfVFVSTlMuOTkxLjAyLzA4LzIwMjYBAAAAS1UAAAIAAAAHMC40MzUyMgEIAAAABQAAAAExAQAAAAoxOTczMzgwOTUxAwAAAAMxNjACAAAABDQxNzcEAAAAATAHAAAACDgvMi8yMDI2CAAAAAk2LzMwLzIwMTcJAAAAATByydhuLPDeCEuk5Ics8N4IMENJUS5OQVNEQVE6TVNGVC5JUV9SRVRVUk5fQVNTRVRTLjIwMDAuMDIvMDgvMjAyNgEAAABLVQAAAgAAAAYxNC4wODgBCAAAAAUAAAABMQEAAAALLTE4ODAyMjkzMjMDAAAAAzE2MAIAAAAENDE3OAQAAAABMAcAAAAIOC8yLzIwMjYIAAAACTYvMzAvMjAyNgkAAAABMHLJ2G4s8N4IS6Tkhyzw3gg1Q0lRLk5BU0RBUTpNU0ZULklRX0FWR19URU1QX0VNUExPWUVFUy4yMDAwLjAyLzA4LzIwMjYBAAAAS1UAAAMAAAAAAHLJ2G4s8N4IS6Tkhyzw3gg7Q0lRLk5BU0RBUTpNU0ZULklRX1RPVEFMX09VVFNUQU5ESU5HX0JTX0RBVEUuOTkxLjAyLzA4LzIwMjYBAAAAS1UAAAIAAAAENzcwOAEEAAAABQAAAAE1AQAAAAoxOTczMzgwOTUxAgAAAAUyNDE1MgYAAAABMHLJ2G4s8N4IS6Tkhyzw3ggxQ0lRLk5BU0RBUTpNU0ZULklRX1JFU1RBVEVNRU5UX0lTLjIwMDAuMDIvMDgvMjAyNgEAAABLVQAAAwAAAAFPAHLJ2G4s8N4IS6Tkhyzw3ggyQ0lRLk5BU0RBUTpNU0ZULklRX1BFUklPRExFTkdUSF9JUy4y</t>
  </si>
  <si>
    <t>MDAwLjAyLzA4LzIwMjYBAAAAS1UAAAEAAAACMTIAcsnYbizw3ghLpOSHLPDeCDJDSVEuTkFTREFROk1TRlQuSVFfRVBTXzVZUl9BTk5fQ0FHUi45OTAuMDIvMDgvMjAyNgEAAABLVQAAAgAAAActMC45ODU4AQgAAAAFAAAAATEBAAAACjE4OTg0ODk0NzADAAAAAzE2MAIAAAAENDIzOQQAAAABMAcAAAAIOC8yLzIwMjYIAAAACTYvMzAvMjAxNgkAAAABMHLJ2G4s8N4ISH3khyzw3ggzQ0lRLk5BU0RBUTpNU0ZULklRX0VCSVRfM1lSX0FOTl9DQUdSLjk5MC4wMi8wOC8yMDI2AQAAAEtVAAACAAAABi0wLjM3NgEIAAAABQAAAAExAQAAAAoxODk4NDg5NDcwAwAAAAMxNjACAAAABDQyMjMEAAAAATAHAAAACDgvMi8yMDI2CAAAAAk2LzMwLzIwMTYJAAAAATByydhuLPDeCEh95Ics8N4IN0NJUS5OQVNEQVE6TVNGVC5JUV9FQklUREFfMVlSX0FOTl9HUk9XVEguOTkxLjAyLzA4LzIwMjYBAAAAS1UAAAIAAAAHMTIuMjkzNQEIAAAABQAAAAExAQAAAAoxOTczMzgwOTUxAwAAAAMxNjACAAAABDQxOTYEAAAAATAHAAAACDgvMi8yMDI2CAAAAAk2LzMwLzIwMTcJAAAAATByydhuLPDeCEh95Ics8N4IQkNJUS5OQVNEQVE6TVNGVC5JUV9ORVRfREVCVF9FQklUREFfRVhDTF9PUEVSX0xFQVNFUy45OTAuMDIvMDgvMjAyNgEAAABLVQAAAwAAAAJOTQEIAAAABQAAAAExAQAAAAoxODk4NDg5NDcwAwAAAAMxNjACAAAABTQ5</t>
  </si>
  <si>
    <t>MTc1BAAAAAEwBwAAAAg4LzIvMjAyNggAAAAJNi8zMC8yMDE2CQAAAAEwcsnYbizw3ghIfeSHLPDeCCpDSVEuTkFTREFROk1TRlQuSVFfRUJJVF9JTlQuOTkwLjAyLzA4LzIwMjYBAAAAS1UAAAIAAAAJMjEuODcyODg4AQgAAAAFAAAAATEBAAAACjE4OTg0ODk0NzADAAAAAzE2MAIAAAAENDE4OQQAAAABMAcAAAAIOC8yLzIwMjYIAAAACTYvMzAvMjAxNgkAAAABMHLJ2G4s8N4ISH3khyzw3gg0Q0lRLk5BU0RBUTpNU0ZULklRX0RBWVNfSU5WRU5UT1JZX09VVC45OTEuMDIvMDgvMjAyNgEAAABLVQAAAgAAAAkyMy42MDc4MzUBCAAAAAUAAAABMQEAAAAKMTk3MzM4MDk1MQMAAAADMTYwAgAAAAQ0MDM1BAAAAAEwBwAAAAg4LzIvMjAyNggAAAAJNi8zMC8yMDE3CQAAAAEwcsnYbizw3ghIfeSHLPDeCDBDSVEuTkFTREFROk1TRlQuSVFfQ0FQRVhfUENUX1JFVi4yMDAwLjAyLzA4LzIwMjYBAAAAS1UAAAIAAAAGMzQuOTQxAQgAAAAFAAAAATEBAAAACy0xODgwMjI5MzIzAwAAAAMxNjACAAAABTM1MzgwBAAAAAEwBwAAAAg4LzIvMjAyNggAAAAJNi8zMC8yMDI2CQAAAAEwcsnYbizw3ghIfeSHLPDeCDBDSVEuTkFTREFROk1TRlQuSVFfUkVUVVJOX0NBUElUQUwuOTkwLjAyLzA4LzIwMjYBAAAAS1UAAAIAAAAGMTQuMDQzAQgAAAAFAAAAATEBAAAACjE4OTg0ODk0NzADAAAAAzE2MAIAAAAENDM2MwQAAAABMAcA</t>
  </si>
  <si>
    <t>AAAIOC8yLzIwMjYIAAAACTYvMzAvMjAxNgkAAAABMHLJ2G4s8N4ISH3khyzw3ggwQ0lRLk5BU0RBUTpNU0ZULklRX0FWR19FTVBMT1lFRVMuMjAwMC4wMi8wOC8yMDI2AQAAAEtVAAADAAAAAAByydhuLPDeCEh95Ics8N4IP0NJUS5OQVNEQVE6TVNGVC5JUV9UT1RBTF9PVVRTVEFORElOR19GSUxJTkdfREFURS45OTAuMDIvMDgvMjAyNgEAAABLVQAAAgAAAAs3NzkyLjUxNTU3MwEEAAAABQAAAAE1AQAAAAoxODk4NDg5NDcwAgAAAAUyNDE1MwYAAAABMHLJ2G4s8N4ISH3khyzw3ggyQ0lRLk5BU0RBUTpNU0ZULklRX0ZJTElOR19DVVJSRU5DWS4yMDAwLjAyLzA4LzIwMjYBAAAAS1UAAAMAAAADVVNEAIrs2m4s8N4IBY3mhyzw3ggwQ0lRLk5BU0RBUTpNU0ZULklRX0ZJTElOR0RBVEVfSVMuMjAwMC4wMi8wOC8yMDI2AQAAAEtVAAAFAAAACjI5LzA3LzIwMjYAcsnYbizw3ghIfeSHLPDeCCpDSVEuTkFTREFROk1TRlQuSVFfRUJJVF9JTlQuOTkxLjAyLzA4LzIwMjYBAAAAS1UAAAIAAAAIMTMuMjAwMjcBCAAAAAUAAAABMQEAAAAKMTk3MzM4MDk1MQMAAAADMTYwAgAAAAQ0MTg5BAAAAAEwBwAAAAg4LzIvMjAyNggAAAAJNi8zMC8yMDE3CQAAAAEwcsnYbizw3ggwVuSHLPDeCDBDSVEuTkFTREFROk1TRlQuSVFfREFZU19TQUxFU19PVVQuOTkxLjAyLzA4LzIwMjYBAAAAS1UAAAIAAAAJNzYuOTI5OTU1AQgA</t>
  </si>
  <si>
    <t>AAAFAAAAATEBAAAACjE5NzMzODA5NTEDAAAAAzE2MAIAAAAENDA0MgQAAAABMAcAAAAIOC8yLzIwMjYIAAAACTYvMzAvMjAxNwkAAAABMHLJ2G4s8N4IMFbkhyzw3ggsQ0lRLk5BU0RBUTpNU0ZULklRX05JX01BUkdJTi4yMDAwLjAyLzA4LzIwMjYBAAAAS1UAAAIAAAAHNDAuMzA1MwEIAAAABQAAAAExAQAAAAstMTg4MDIyOTMyMwMAAAADMTYwAgAAAAQ0MDk0BAAAAAEwBwAAAAg4LzIvMjAyNggAAAAJNi8zMC8yMDI2CQAAAAEwcsnYbizw3ghIfeSHLPDeCC1DSVEuTkFTREFROk1TRlQuSVFfUEVSSU9EREFURS4xOTk5LjAyLzA4LzIwMjYBAAAAS1UAAAUAAAAKMzEvMDMvMjAyNgByydhuLPDeCDBW5Ics8N4INENJUS5OQVNEQVE6TVNGVC5JUV9BVkdfVEVNUF9FTVBMT1lFRVMuOTkwLjAyLzA4LzIwMjYBAAAAS1UAAAMAAAAAAHLJ2G4s8N4IMFbkhyzw3gg/Q0lRLk5BU0RBUTpNU0ZULklRX1RPVEFMX09VVFNUQU5ESU5HX0ZJTElOR19EQVRFLjk5MS4wMi8wOC8yMDI2AQAAAEtVAAACAAAACzc3MDIuMjQzOTc5AQQAAAAFAAAAATUBAAAACjE5NzMzODA5NTECAAAABTI0MTUzBgAAAAEwcsnYbizw3ggwVuSHLPDeCDBDSVEuTkFTREFROk1TRlQuSVFfUkVTVEFURU1FTlRfSVMuOTkwLjAyLzA4LzIwMjYBAAAAS1UAAAMAAAACUlMAcsnYbizw3ggwVuSHLPDeCDFDSVEuTkFTREFROk1TRlQuSVFfUEVSSU9E</t>
  </si>
  <si>
    <t>TEVOR1RIX0lTLjk5MC4wMi8wOC8yMDI2AQAAAEtVAAABAAAAAjEyAHLJ2G4s8N4IMFbkhyzw3ggxQ0lRLk5BU0RBUTpNU0ZULklRX05JXzVZUl9BTk5fQ0FHUi45OTEuMDIvMDgvMjAyNgEAAABLVQAAAgAAAAY4LjQ2NTkBCAAAAAUAAAABMQEAAAAKMTk3MzM4MDk1MQMAAAADMTYwAgAAAAQ0MjM4BAAAAAEwBwAAAAg4LzIvMjAyNggAAAAJNi8zMC8yMDE3CQAAAAEwcsnYbizw3ggnL+SHLPDeCDZDSVEuTkFTREFROk1TRlQuSVFfRUJJVERBXzNZUl9BTk5fQ0FHUi4yMDAwLjAyLzA4LzIwMjYBAAAAS1UAAAIAAAAHMjMuOTM5OQEIAAAABQAAAAExAQAAAAstMTg4MDIyOTMyMwMAAAADMTYwAgAAAAQ0MjIyBAAAAAEwBwAAAAg4LzIvMjAyNggAAAAJNi8zMC8yMDI2CQAAAAEwcsnYbizw3ggwVuSHLPDeCDtDSVEuTkFTREFROk1TRlQuSVFfVE9UQUxfUkVWXzFZUl9BTk5fR1JPV1RILjIwMDAuMDIvMDgvMjAyNgEAAABLVQAAAgAAAAcxNy43ODg2AQgAAAAFAAAAATEBAAAACy0xODgwMjI5MzIzAwAAAAMxNjACAAAABDQxOTQEAAAAATAHAAAACDgvMi8yMDI2CAAAAAk2LzMwLzIwMjYJAAAAATByydhuLPDeCDBW5Ics8N4IRUNJUS5OQVNEQVE6TVNGVC5JUV9UT1RBTF9ERUJUX0VCSVREQV9FWENMX09QRVJfTEVBU0VTLjIwMDAuMDIvMDgvMjAyNgEAAABLVQAAAgAAAAgwLjY2MzE3NAEIAAAABQAAAAExAQAA</t>
  </si>
  <si>
    <t>AAstMTg4MDIyOTMyMwMAAAADMTYwAgAAAAU0ODk5NAQAAAABMAcAAAAIOC8yLzIwMjYIAAAACTYvMzAvMjAyNgkAAAABMHLJ2G4s8N4IMFbkhyzw3gg5Q0lRLk5BU0RBUTpNU0ZULklRX1RPVEFMX0xJQUJfVE9UQUxfQVNTRVRTLjk5MS4wMi8wOC8yMDI2AQAAAEtVAAACAAAABzY0Ljk1OTMBCAAAAAUAAAABMQEAAAAKMTk3MzM4MDk1MQMAAAADMTYwAgAAAAQ0MTg4BAAAAAEwBwAAAAg4LzIvMjAyNggAAAAJNi8zMC8yMDE3CQAAAAEwcsnYbizw3ggnL+SHLPDeCDNDSVEuTkFTREFROk1TRlQuSVFfQ0ZPX0NVUlJFTlRfTElBQi4yMDAwLjAyLzA4LzIwMjYBAAAAS1UAAAIAAAAIMS4wODM1NzcBCAAAAAUAAAABMQEAAAALLTE4ODAyMjkzMjMDAAAAAzE2MAIAAAAENDE4NQQAAAABMAcAAAAIOC8yLzIwMjYIAAAACTYvMzAvMjAyNgkAAAABMHLJ2G4s8N4IJy/khyzw3ggvQ0lRLk5BU0RBUTpNU0ZULklRX0NBUEVYX1BDVF9SRVYuOTkwLjAyLzA4LzIwMjYBAAAAS1UAAAIAAAAGOS4xNTI2AQgAAAAFAAAAATEBAAAACjE4OTg0ODk0NzADAAAAAzE2MAIAAAAFMzUzODAEAAAAATAHAAAACDgvMi8yMDI2CAAAAAk2LzMwLzIwMTYJAAAAATByydhuLPDeCDBW5Ics8N4IL0NJUS5OQVNEQVE6TVNGVC5JUV9SRVRVUk5fQVNTRVRTLjk5MC4wMi8wOC8yMDI2AQAAAEtVAAACAAAABjkuMjM2NQEIAAAABQAAAAExAQAA</t>
  </si>
  <si>
    <t>AAoxODk4NDg5NDcwAwAAAAMxNjACAAAABDQxNzgEAAAAATAHAAAACDgvMi8yMDI2CAAAAAk2LzMwLzIwMTYJAAAAATByydhuLPDeCDBW5Ics8N4INENJUS5OQVNEQVE6TVNGVC5JUV9BVkdfVEVNUF9FTVBMT1lFRVMuOTkxLjAyLzA4LzIwMjYBAAAAS1UAAAMAAAAAAHLJ2G4s8N4IMFbkhyzw3ggqQ0lRLk5BU0RBUTpNU0ZULklRX0dBQVBfQ0YuMjAwMC4wMi8wOC8yMDI2AQAAAEtVAAADAAAAB1VTIEdBQVAAcsnYbizw3ggnL+SHLPDeCDBDSVEuTkFTREFROk1TRlQuSVFfUkVTVEFURU1FTlRfSVMuOTkxLjAyLzA4LzIwMjYBAAAAS1UAAAMAAAACUlMAcsnYbizw3ggnL+SHLPDeCDFDSVEuTkFTREFROk1TRlQuSVFfUEVSSU9ETEVOR1RIX0lTLjk5MS4wMi8wOC8yMDI2AQAAAEtVAAABAAAAAjEyAHLJ2G4s8N4IJy/khyzw3ggzQ0lRLk5BU0RBUTpNU0ZULklRX0dQXzFZUl9BTk5fR1JPV1RILjk5MS4wMi8wOC8yMDI2AQAAAEtVAAACAAAABjYuNzQyNwEIAAAABQAAAAExAQAAAAoxOTczMzgwOTUxAwAAAAMxNjACAAAABDQxOTUEAAAAATAHAAAACDgvMi8yMDI2CAAAAAk2LzMwLzIwMTcJAAAAATByydhuLPDeCCcv5Ics8N4INENJUS5OQVNEQVE6TVNGVC5JUV9FQklUXzVZUl9BTk5fQ0FHUi4yMDAwLjAyLzA4LzIwMjYBAAAAS1UAAAIAAAAHMTcuMjk2MQEIAAAABQAAAAExAQAAAAstMTg4MDIyOTMyMwMA</t>
  </si>
  <si>
    <t>AAADMTYwAgAAAAQ0MjM2BAAAAAEwBwAAAAg4LzIvMjAyNggAAAAJNi8zMC8yMDI2CQAAAAEwcsnYbizw3ggnL+SHLPDeCDJDSVEuTkFTREFROk1TRlQuSVFfR1BfM1lSX0FOTl9DQUdSLjIwMDAuMDIvMDgvMjAyNgEAAABLVQAAAgAAAAcxNS41NzMyAQgAAAAFAAAAATEBAAAACy0xODgwMjI5MzIzAwAAAAMxNjACAAAABDQyMjEEAAAAATAHAAAACDgvMi8yMDI2CAAAAAk2LzMwLzIwMjYJAAAAATByydhuLPDeCCcv5Ics8N4IM0NJUS5OQVNEQVE6TVNGVC5JUV9HUF8xWVJfQU5OX0dST1dUSC45OTAuMDIvMDgvMjAyNgEAAABLVQAAAgAAAAYtMy41ODEBCAAAAAUAAAABMQEAAAAKMTg5ODQ4OTQ3MAMAAAADMTYwAgAAAAQ0MTk1BAAAAAEwBwAAAAg4LzIvMjAyNggAAAAJNi8zMC8yMDE2CQAAAAEwcsnYbizw3ggnL+SHLPDeCDFDSVEuTkFTREFROk1TRlQuSVFfTkVUX0RFQlRfRUJJVERBLjk5MC4wMi8wOC8yMDI2AQAAAEtVAAADAAAAAk5NAQgAAAAFAAAAATEBAAAACjE4OTg0ODk0NzADAAAAAzE2MAIAAAAENDE5MwQAAAABMAcAAAAIOC8yLzIwMjYIAAAACTYvMzAvMjAxNgkAAAABMHLJ2G4s8N4IHQjkhyzw3ggyQ0lRLk5BU0RBUTpNU0ZULklRX0xUX0RFQlRfQ0FQSVRBTC4yMDAwLjAyLzA4LzIwMjYBAAAAS1UAAAIAAAAHMTkuMjQwNwEIAAAABQAAAAExAQAAAAstMTg4MDIyOTMyMwMAAAADMTYwAgAA</t>
  </si>
  <si>
    <t>AAQ0MTg3BAAAAAEwBwAAAAg4LzIvMjAyNggAAAAJNi8zMC8yMDI2CQAAAAEwcsnYbizw3ggdCOSHLPDeCDBDSVEuTkFTREFROk1TRlQuSVFfREFZU19TQUxFU19PVVQuOTkwLjAyLzA4LzIwMjYBAAAAS1UAAAIAAAAJNzIuNjQ0NDEyAQgAAAAFAAAAATEBAAAACjE4OTg0ODk0NzADAAAAAzE2MAIAAAAENDA0MgQAAAABMAcAAAAIOC8yLzIwMjYIAAAACTYvMzAvMjAxNgkAAAABMHLJ2G4s8N4IJy/khyzw3ggvQ0lRLk5BU0RBUTpNU0ZULklRX0NBUEVYX1BDVF9SRVYuOTkxLjAyLzA4LzIwMjYBAAAAS1UAAAIAAAAGOC40MTc2AQgAAAAFAAAAATEBAAAACjE5NzMzODA5NTEDAAAAAzE2MAIAAAAFMzUzODAEAAAAATAHAAAACDgvMi8yMDI2CAAAAAk2LzMwLzIwMTcJAAAAATByydhuLPDeCCcv5Ics8N4IL0NJUS5OQVNEQVE6TVNGVC5JUV9SRVRVUk5fQVNTRVRTLjk5MS4wMi8wOC8yMDI2AQAAAEtVAAACAAAABjguMjYxNgEIAAAABQAAAAExAQAAAAoxOTczMzgwOTUxAwAAAAMxNjACAAAABDQxNzgEAAAAATAHAAAACDgvMi8yMDI2CAAAAAk2LzMwLzIwMTcJAAAAATByydhuLPDeCCcv5Ics8N4IQkNJUS5OQVNEQVE6TVNGVC5JUV9FTVBMT1lFRVNfVU5ERVJfVU5JT05fQ09OVFJBQ1RTLjIwMDAuMDIvMDgvMjAyNgEAAABLVQAAAwAAAAAAcsnYbizw3ggdCOSHLPDeCC9DSVEuTkFTREFROk1TRlQuSVFfQ0FM</t>
  </si>
  <si>
    <t>Q19UWVBFX0NGLjIwMDAuMDIvMDgvMjAyNgEAAABLVQAAAwAAAANSRVAAcsnYbizw3ggdCOSHLPDeCDFDSVEuTkFTREFROk1TRlQuSVFfRklMSU5HX0NVUlJFTkNZLjk5MC4wMi8wOC8yMDI2AQAAAEtVAAADAAAAA1VTRACK7NpuLPDeCBq05ocs8N4IL0NJUS5OQVNEQVE6TVNGVC5JUV9GSUxJTkdEQVRFX0lTLjk5MC4wMi8wOC8yMDI2AQAAAEtVAAAFAAAACjAzLzA4LzIwMTgAcsnYbizw3ggnL+SHLPDeCDJDSVEuTkFTREFROk1TRlQuSVFfRVBTXzVZUl9BTk5fQ0FHUi45OTEuMDIvMDgvMjAyNgEAAABLVQAAAgAAAAcxMC4xOTcyAQgAAAAFAAAAATEBAAAACjE5NzMzODA5NTEDAAAAAzE2MAIAAAAENDIzOQQAAAABMAcAAAAIOC8yLzIwMjYIAAAACTYvMzAvMjAxNwkAAAABMGai2G4s8N4IHQjkhyzw3ggxQ0lRLk5BU0RBUTpNU0ZULklRX05JXzVZUl9BTk5fQ0FHUi45OTAuMDIvMDgvMjAyNgEAAABLVQAAAgAAAAYtMi4zNjUBCAAAAAUAAAABMQEAAAAKMTg5ODQ4OTQ3MAMAAAADMTYwAgAAAAQ0MjM4BAAAAAEwBwAAAAg4LzIvMjAyNggAAAAJNi8zMC8yMDE2CQAAAAEwZqLYbizw3ggdCOSHLPDeCDVDSVEuTkFTREFROk1TRlQuSVFfRUJJVERBXzNZUl9BTk5fQ0FHUi45OTAuMDIvMDgvMjAyNgEAAABLVQAAAgAAAAYyLjM1NDcBCAAAAAUAAAABMQEAAAAKMTg5ODQ4OTQ3MAMAAAADMTYwAgAAAAQ0MjIy</t>
  </si>
  <si>
    <t>BAAAAAEwBwAAAAg4LzIvMjAyNggAAAAJNi8zMC8yMDE2CQAAAAEwZqLYbizw3ggdCOSHLPDeCCpDSVEuTkFTREFROk1TRlQuSVFfWl9TQ09SRS4yMDAwLjAyLzA4LzIwMjYBAAAAS1UAAAIAAAAIOC4yNjM1MDMBCAAAAAUAAAABMQEAAAALLTE4ODAyMjkzMjMDAAAAAzE2MAIAAAAGMTAwMTIzBAAAAAEwBwAAAAg4LzIvMjAyNggAAAAJNi8zMC8yMDI2CQAAAAEwZqLYbizw3ggdCOSHLPDeCERDSVEuTkFTREFROk1TRlQuSVFfVE9UQUxfREVCVF9FQklUREFfRVhDTF9PUEVSX0xFQVNFUy45OTEuMDIvMDgvMjAyNgEAAABLVQAAAgAAAAgyLjU3MjcwMgEIAAAABQAAAAExAQAAAAoxOTczMzgwOTUxAwAAAAMxNjACAAAABTQ4OTk0BAAAAAEwBwAAAAg4LzIvMjAyNggAAAAJNi8zMC8yMDE3CQAAAAEwZqLYbizw3ggH4eOHLPDeCDFDSVEuTkFTREFROk1TRlQuSVFfTFRfREVCVF9FUVVJVFkuMjAwMC4wMi8wOC8yMDI2AQAAAEtVAAACAAAABzI0Ljg0MzEBCAAAAAUAAAABMQEAAAALLTE4ODAyMjkzMjMDAAAAAzE2MAIAAAAENDA4NQQAAAABMAcAAAAIOC8yLzIwMjYIAAAACTYvMzAvMjAyNgkAAAABMGai2G4s8N4IHQjkhyzw3gguQ0lRLk5BU0RBUTpNU0ZULklRX1FVSUNLX1JBVElPLjIwMDAuMDIvMDgvMjAyNgEAAABLVQAAAgAAAAgxLjA5Nzc0NgEIAAAABQAAAAExAQAAAAstMTg4MDIyOTMyMwMAAAADMTYw</t>
  </si>
  <si>
    <t>AgAAAAQ0MTIxBAAAAAEwBwAAAAg4LzIvMjAyNggAAAAJNi8zMC8yMDI2CQAAAAEwZqLYbizw3ggdCOSHLPDeCC5DSVEuTkFTREFROk1TRlQuSVFfRUJJVF9NQVJHSU4uMjAwMC4wMi8wOC8yMDI2AQAAAEtVAAACAAAABzQ2Ljc4MDgBCAAAAAUAAAABMQEAAAALLTE4ODAyMjkzMjMDAAAAAzE2MAIAAAAENDA1MwQAAAABMAcAAAAIOC8yLzIwMjYIAAAACTYvMzAvMjAyNgkAAAABMGai2G4s8N4IHQjkhyzw3ggsQ0lRLk5BU0RBUTpNU0ZULklRX1BFUklPRERBVEUuOTg5LjAyLzA4LzIwMjYBAAAAS1UAAAUAAAAKMzAvMDYvMjAxNQBmothuLPDeCAfh44cs8N4IL0NJUS5OQVNEQVE6TVNGVC5JUV9BVkdfRU1QTE9ZRUVTLjk5MC4wMi8wOC8yMDI2AQAAAEtVAAADAAAAAABmothuLPDeCAfh44cs8N4IKUNJUS5OQVNEQVE6TVNGVC5JUV9HQUFQX0NGLjk5MC4wMi8wOC8yMDI2AQAAAEtVAAADAAAAB1VTIEdBQVAAZqLYbizw3ggdCOSHLPDeCDNDSVEuTkFTREFROk1TRlQuSVFfRFJfUkFUSU9fUFJJTUFSWS4yMDAwLjAyLzA4LzIwMjYBAAAAS1UAAAIAAAAHMC4wNDE2NwBmothuLPDeCB0I5Ics8N4INkNJUS5OQVNEQVE6TVNGVC5JUV9FQklUREFfNVlSX0FOTl9DQUdSLjIwMDAuMDIvMDgvMjAyNgEAAABLVQAAAgAAAAUxOS4xNwEIAAAABQAAAAExAQAAAAstMTg4MDIyOTMyMwMAAAADMTYwAgAAAAQ0MjM1BAAA</t>
  </si>
  <si>
    <t>AAEwBwAAAAg4LzIvMjAyNggAAAAJNi8zMC8yMDI2CQAAAAEwZqLYbizw3ggH4eOHLPDeCDVDSVEuTkFTREFROk1TRlQuSVFfRUJJVERBXzNZUl9BTk5fQ0FHUi45OTEuMDIvMDgvMjAyNgEAAABLVQAAAgAAAAY0LjkzOTEBCAAAAAUAAAABMQEAAAAKMTk3MzM4MDk1MQMAAAADMTYwAgAAAAQ0MjIyBAAAAAEwBwAAAAg4LzIvMjAyNggAAAAJNi8zMC8yMDE3CQAAAAEwZqLYbizw3ggH4eOHLPDeCDpDSVEuTkFTREFROk1TRlQuSVFfVE9UQUxfUkVWXzFZUl9BTk5fR1JPV1RILjk5MS4wMi8wOC8yMDI2AQAAAEtVAAACAAAABjUuOTQyNgEIAAAABQAAAAExAQAAAAoxOTczMzgwOTUxAwAAAAMxNjACAAAABDQxOTQEAAAAATAHAAAACDgvMi8yMDI2CAAAAAk2LzMwLzIwMTcJAAAAATBmothuLPDeCMO544cs8N4INENJUS5OQVNEQVE6TVNGVC5JUV9UT1RBTF9ERUJUX0VCSVREQS4yMDAwLjAyLzA4LzIwMjYBAAAAS1UAAAIAAAAIMC42NDAyMDcBCAAAAAUAAAABMQEAAAALLTE4ODAyMjkzMjMDAAAAAzE2MAIAAAAENDE5MgQAAAABMAcAAAAIOC8yLzIwMjYIAAAACTYvMzAvMjAyNgkAAAABMGai2G4s8N4Iw7njhyzw3ggxQ0lRLk5BU0RBUTpNU0ZULklRX0xUX0RFQlRfQ0FQSVRBTC45OTAuMDIvMDgvMjAyNgEAAABLVQAAAgAAAAczMi42NTI2AQgAAAAFAAAAATEBAAAACjE4OTg0ODk0NzADAAAAAzE2MAIAAAAE</t>
  </si>
  <si>
    <t>NDE4NwQAAAABMAcAAAAIOC8yLzIwMjYIAAAACTYvMzAvMjAxNgkAAAABMGai2G4s8N4IB+Hjhyzw3ggyQ0lRLk5BU0RBUTpNU0ZULklRX0NGT19DVVJSRU5UX0xJQUIuOTkwLjAyLzA4LzIwMjYBAAAAS1UAAAIAAAAIMC41NjE0MzMBCAAAAAUAAAABMQEAAAAKMTg5ODQ4OTQ3MAMAAAADMTYwAgAAAAQ0MTg1BAAAAAEwBwAAAAg4LzIvMjAyNggAAAAJNi8zMC8yMDE2CQAAAAEwZqLYbizw3ggH4eOHLPDeCCtDSVEuTkFTREFROk1TRlQuSVFfTklfTUFSR0lOLjk5MC4wMi8wOC8yMDI2AQAAAEtVAAACAAAABzIyLjUzMjEBCAAAAAUAAAABMQEAAAAKMTg5ODQ4OTQ3MAMAAAADMTYwAgAAAAQ0MDk0BAAAAAEwBwAAAAg4LzIvMjAyNggAAAAJNi8zMC8yMDE2CQAAAAEwZqLYbizw3ggH4eOHLPDeCCpDSVEuTkFTREFROk1TRlQuSVFfR0FBUF9CUy4yMDAwLjAyLzA4LzIwMjYBAAAAS1UAAAMAAAAHVVMgR0FBUABmothuLPDeCMO544cs8N4IL0NJUS5OQVNEQVE6TVNGVC5JUV9BVkdfRU1QTE9ZRUVTLjk5MS4wMi8wOC8yMDI2AQAAAEtVAAADAAAAAABmothuLPDeCMO544cs8N4IKUNJUS5OQVNEQVE6TVNGVC5JUV9HQUFQX0NGLjk5MS4wMi8wOC8yMDI2AQAAAEtVAAADAAAAB1VTIEdBQVAAZqLYbizw3ggH4eOHLPDeCC9DSVEuTkFTREFROk1TRlQuSVFfUEFZT1VUX1JBVElPLjIwMDAuMDIvMDgvMjAyNgEAAABL</t>
  </si>
  <si>
    <t>VQAAAgAAAAcxOS43NzIxAQgAAAAFAAAAATEBAAAACy0xODgwMjI5MzIzAwAAAAMxNjACAAAABDQzNzcEAAAAATAHAAAACDgvMi8yMDI2CAAAAAk2LzMwLzIwMjYJAAAAATBmothuLPDeCAfh44cs8N4IMkNJUS5OQVNEQVE6TVNGVC5JUV9EUl9SQVRJT19QUklNQVJZLjk5MC4wMi8wOC8yMDI2AQAAAEtVAAACAAAABzAuMDQxNjcAZqLYbizw3gjDueOHLPDeCDNDSVEuTkFTREFROk1TRlQuSVFfRUJJVF81WVJfQU5OX0NBR1IuOTkwLjAyLzA4LzIwMjYBAAAAS1UAAAIAAAAGMC4wMTk5AQgAAAAFAAAAATEBAAAACjE4OTg0ODk0NzADAAAAAzE2MAIAAAAENDIzNgQAAAABMAcAAAAIOC8yLzIwMjYIAAAACTYvMzAvMjAxNgkAAAABMGai2G4s8N4Iw7njhyzw3ggxQ0lRLk5BU0RBUTpNU0ZULklRX0dQXzNZUl9BTk5fQ0FHUi45OTAuMDIvMDgvMjAyNgEAAABLVQAAAgAAAAYwLjUyNTEBCAAAAAUAAAABMQEAAAAKMTg5ODQ4OTQ3MAMAAAADMTYwAgAAAAQ0MjIxBAAAAAEwBwAAAAg4LzIvMjAyNggAAAAJNi8zMC8yMDE2CQAAAAEwZqLYbizw3gjDueOHLPDeCClDSVEuTkFTREFROk1TRlQuSVFfWl9TQ09SRS45OTAuMDIvMDgvMjAyNgEAAABLVQAAAgAAAAgzLjQzMTEwOQEIAAAABQAAAAExAQAAAAoxODk4NDg5NDcwAwAAAAMxNjACAAAABjEwMDEyMwQAAAABMAcAAAAIOC8yLzIwMjYIAAAACTYvMzAvMjAxNgkA</t>
  </si>
  <si>
    <t>AAABMGai2G4s8N4IsZLjhyzw3ghEQ0lRLk5BU0RBUTpNU0ZULklRX1RPVEFMX0RFQlRfRUJJVERBX0VYQ0xfT1BFUl9MRUFTRVMuOTkwLjAyLzA4LzIwMjYBAAAAS1UAAAIAAAAIMS42NDk0NTgBCAAAAAUAAAABMQEAAAAKMTg5ODQ4OTQ3MAMAAAADMTYwAgAAAAU0ODk5NAQAAAABMAcAAAAIOC8yLzIwMjYIAAAACTYvMzAvMjAxNgkAAAABMGai2G4s8N4IsZLjhyzw3ggxQ0lRLk5BU0RBUTpNU0ZULklRX0xUX0RFQlRfQ0FQSVRBTC45OTEuMDIvMDgvMjAyNgEAAABLVQAAAgAAAAY0NS43NzEBCAAAAAUAAAABMQEAAAAKMTk3MzM4MDk1MQMAAAADMTYwAgAAAAQ0MTg3BAAAAAEwBwAAAAg4LzIvMjAyNggAAAAJNi8zMC8yMDE3CQAAAAEwZqLYbizw3gjDueOHLPDeCDJDSVEuTkFTREFROk1TRlQuSVFfQ0ZPX0NVUlJFTlRfTElBQi45OTEuMDIvMDgvMjAyNgEAAABLVQAAAgAAAAgwLjcwODcwOQEIAAAABQAAAAExAQAAAAoxOTczMzgwOTUxAwAAAAMxNjACAAAABDQxODUEAAAAATAHAAAACDgvMi8yMDI2CAAAAAk2LzMwLzIwMTcJAAAAATBmothuLPDeCMO544cs8N4IK0NJUS5OQVNEQVE6TVNGVC5JUV9OSV9NQVJHSU4uOTkxLjAyLzA4LzIwMjYBAAAAS1UAAAIAAAAGMjYuMzk0AQgAAAAFAAAAATEBAAAACjE5NzMzODA5NTEDAAAAAzE2MAIAAAAENDA5NAQAAAABMAcAAAAIOC8yLzIwMjYIAAAACTYvMzAv</t>
  </si>
  <si>
    <t>MjAxNwkAAAABMGai2G4s8N4Iw7njhyzw3ggvQ0lRLk5BU0RBUTpNU0ZULklRX0NBTENfVFlQRV9CUy4yMDAwLjAyLzA4LzIwMjYBAAAAS1UAAAMAAAADUkVQAGai2G4s8N4IsZLjhyzw3ghBQ0lRLk5BU0RBUTpNU0ZULklRX0VNUExPWUVFU19VTkRFUl9VTklPTl9DT05UUkFDVFMuOTkxLjAyLzA4LzIwMjYBAAAAS1UAAAMAAAAAAGai2G4s8N4IsZLjhyzw3gguQ0lRLk5BU0RBUTpNU0ZULklRX0NBTENfVFlQRV9DRi45OTEuMDIvMDgvMjAyNgEAAABLVQAAAwAAAANSRVAAZqLYbizw3gjDueOHLPDeCC5DSVEuTkFTREFROk1TRlQuSVFfUEFZT1VUX1JBVElPLjk5MC4wMi8wOC8yMDI2AQAAAEtVAAACAAAABzUzLjU4NTgBCAAAAAUAAAABMQEAAAAKMTg5ODQ4OTQ3MAMAAAADMTYwAgAAAAQ0Mzc3BAAAAAEwBwAAAAg4LzIvMjAyNggAAAAJNi8zMC8yMDE2CQAAAAEwZqLYbizw3gixkuOHLPDeCDJDSVEuTkFTREFROk1TRlQuSVFfRFJfUkFUSU9fUFJJTUFSWS45OTEuMDIvMDgvMjAyNgEAAABLVQAAAgAAAAcwLjA0MTY3AGai2G4s8N4IsZLjhyzw3gg1Q0lRLk5BU0RBUTpNU0ZULklRX0VCSVREQV81WVJfQU5OX0NBR1IuOTkwLjAyLzA4LzIwMjYBAAAAS1UAAAIAAAAGMi4xNzE4AQgAAAAFAAAAATEBAAAACjE4OTg0ODk0NzADAAAAAzE2MAIAAAAENDIzNQQAAAABMAcAAAAIOC8yLzIwMjYIAAAACTYvMzAv</t>
  </si>
  <si>
    <t>MjAxNgkAAAABMGai2G4s8N4IsZLjhyzw3ggxQ0lRLk5BU0RBUTpNU0ZULklRX0dQXzNZUl9BTk5fQ0FHUi45OTEuMDIvMDgvMjAyNgEAAABLVQAAAgAAAAYxLjQwNTQBCAAAAAUAAAABMQEAAAAKMTk3MzM4MDk1MQMAAAADMTYwAgAAAAQ0MjIxBAAAAAEwBwAAAAg4LzIvMjAyNggAAAAJNi8zMC8yMDE3CQAAAAEwZqLYbizw3gixkuOHLPDeCClDSVEuTkFTREFROk1TRlQuSVFfWl9TQ09SRS45OTEuMDIvMDgvMjAyNgEAAABLVQAAAgAAAAgzLjE2ODMzNAEIAAAABQAAAAExAQAAAAoxOTczMzgwOTUxAwAAAAMxNjACAAAABjEwMDEyMwQAAAABMAcAAAAIOC8yLzIwMjYIAAAACTYvMzAvMjAxNwkAAAABMGai2G4s8N4Ij2vjhyzw3ghEQ0lRLk5BU0RBUTpNU0ZULklRX0VCSVREQV9FWENMX09QRVJfTEVBU0VTX0NBUEVYX0lOVC4yMDAwLjAyLzA4LzIwMjYBAAAAS1UAAAIAAAAJMjUuNDEwMjU2AQgAAAAFAAAAATEBAAAACy0xODgwMjI5MzIzAwAAAAMxNjACAAAABTQ5MTc0BAAAAAEwBwAAAAg4LzIvMjAyNggAAAAJNi8zMC8yMDI2CQAAAAEwZqLYbizw3giPa+OHLPDeCDVDSVEuTkFTREFROk1TRlQuSVFfVE9UQUxfREVCVF9DQVBJVEFMLjIwMDAuMDIvMDgvMjAyNgEAAABLVQAAAgAAAAcyMi41NTEyAQgAAAAFAAAAATEBAAAACy0xODgwMjI5MzIzAwAAAAMxNjACAAAABDQxODYEAAAAATAHAAAACDgvMi8y</t>
  </si>
  <si>
    <t>MDI2CAAAAAk2LzMwLzIwMjYJAAAAATBmothuLPDeCLGS44cs8N4ILUNJUS5OQVNEQVE6TVNGVC5JUV9RVUlDS19SQVRJTy45OTAuMDIvMDgvMjAyNgEAAABLVQAAAgAAAAgyLjIxMjM0MgEIAAAABQAAAAExAQAAAAoxODk4NDg5NDcwAwAAAAMxNjACAAAABDQxMjEEAAAAATAHAAAACDgvMi8yMDI2CAAAAAk2LzMwLzIwMTYJAAAAATBmothuLPDeCLGS44cs8N4ILUNJUS5OQVNEQVE6TVNGVC5JUV9FQklUX01BUkdJTi45OTEuMDIvMDgvMjAyNgEAAABLVQAAAgAAAAczMC4zNzI0AQgAAAAFAAAAATEBAAAACjE5NzMzODA5NTEDAAAAAzE2MAIAAAAENDA1MwQAAAABMAcAAAAIOC8yLzIwMjYIAAAACTYvMzAvMjAxNwkAAAABMGai2G4s8N4IsZLjhyzw3ggpQ0lRLk5BU0RBUTpNU0ZULklRX0dBQVBfQlMuOTkwLjAyLzA4LzIwMjYBAAAAS1UAAAMAAAAHVVMgR0FBUABmothuLPDeCI9r44cs8N4IMkNJUS5OQVNEQVE6TVNGVC5JUV9UT1RBTF9FTVBMT1lFRVMuMjAwMC4wMi8wOC8yMDI2AQAAAEtVAAACAAAABjIyMzAwMABmothuLPDeCI9r44cs8N4IMUNJUS5OQVNEQVE6TVNGVC5JUV9SRVNUQVRFTUVOVF9DRi4yMDAwLjAyLzA4LzIwMjYBAAAAS1UAAAMAAAABTwBmothuLPDeCLGS44cs8N4ILkNJUS5OQVNEQVE6TVNGVC5JUV9QQVlPVVRfUkFUSU8uOTkxLjAyLzA4LzIwMjYBAAAAS1UAAAIAAAAGNDYuNDcx</t>
  </si>
  <si>
    <t>AQgAAAAFAAAAATEBAAAACjE5NzMzODA5NTEDAAAAAzE2MAIAAAAENDM3NwQAAAABMAcAAAAIOC8yLzIwMjYIAAAACTYvMzAvMjAxNwkAAAABMGai2G4s8N4Ij2vjhyzw3ghEQ0lRLk5BU0RBUTpNU0ZULklRX0RJU1RSSUJVVEFCTEVfQ0FTSF9TSEFSRVNfRElMVVRFRC4yMDAwLjAyLzA4LzIwMjYBAAAAS1UAAAMAAAAAAIrs2m4s8N4IBY3mhyzw3gg1Q0lRLk5BU0RBUTpNU0ZULklRX0VCSVREQV81WVJfQU5OX0NBR1IuOTkxLjAyLzA4LzIwMjYBAAAAS1UAAAIAAAAGMy44Njc2AQgAAAAFAAAAATEBAAAACjE5NzMzODA5NTEDAAAAAzE2MAIAAAAENDIzNQQAAAABMAcAAAAIOC8yLzIwMjYIAAAACTYvMzAvMjAxNwkAAAABMGai2G4s8N4Ij2vjhyzw3gg4Q0lRLk5BU0RBUTpNU0ZULklRX1RPVEFMX1JFVl8zWVJfQU5OX0NBR1IuOTkxLjAyLzA4LzIwMjYBAAAAS1UAAAIAAAAGMy42MDY2AQgAAAAFAAAAATEBAAAACjE5NzMzODA5NTEDAAAAAzE2MAIAAAAENDIyMAQAAAABMAcAAAAIOC8yLzIwMjYIAAAACTYvMzAvMjAxNwkAAAABMGai2G4s8N4Ij2vjhyzw3ghJQ0lRLk5BU0RBUTpNU0ZULklRX05FVF9ERUJUX0VCSVREQV9FWENMX09QRVJfTEVBU0VTX0NBUEVYLjIwMDAuMDIvMDgvMjAyNgEAAABLVQAAAgAAAAgwLjY2NjI3NAEIAAAABQAAAAExAQAAAAstMTg4MDIyOTMyMwMAAAADMTYwAgAAAAU0OTE4</t>
  </si>
  <si>
    <t>MgQAAAABMAcAAAAIOC8yLzIwMjYIAAAACTYvMzAvMjAyNgkAAAABMGai2G4s8N4Ig0Tjhyzw3ggzQ0lRLk5BU0RBUTpNU0ZULklRX1RPVEFMX0RFQlRfRUJJVERBLjk5MC4wMi8wOC8yMDI2AQAAAEtVAAACAAAACDEuNjQ5NDU4AQgAAAAFAAAAATEBAAAACjE4OTg0ODk0NzADAAAAAzE2MAIAAAAENDE5MgQAAAABMAcAAAAIOC8yLzIwMjYIAAAACTYvMzAvMjAxNgkAAAABMGai2G4s8N4IfR3jhyzw3ggwQ0lRLk5BU0RBUTpNU0ZULklRX0xUX0RFQlRfRVFVSVRZLjk5MC4wMi8wOC8yMDI2AQAAAEtVAAACAAAABzU3LjM4ODUBCAAAAAUAAAABMQEAAAAKMTg5ODQ4OTQ3MAMAAAADMTYwAgAAAAQ0MDg1BAAAAAEwBwAAAAg4LzIvMjAyNggAAAAJNi8zMC8yMDE2CQAAAAEwZqLYbizw3giDROOHLPDeCC1DSVEuTkFTREFROk1TRlQuSVFfUVVJQ0tfUkFUSU8uOTkxLjAyLzA4LzIwMjYBAAAAS1UAAAIAAAAIMi43ODY0NzQBCAAAAAUAAAABMQEAAAAKMTk3MzM4MDk1MQMAAAADMTYwAgAAAAQ0MTIxBAAAAAEwBwAAAAg4LzIvMjAyNggAAAAJNi8zMC8yMDE3CQAAAAEwZqLYbizw3giDROOHLPDeCDBDSVEuTkFTREFROk1TRlQuSVFfRUJJVERBX01BUkdJTi4yMDAwLjAyLzA4LzIwMjYBAAAAS1UAAAIAAAAHNTguNTMzNQEIAAAABQAAAAExAQAAAAstMTg4MDIyOTMyMwMAAAADMTYwAgAAAAQ0MDQ3BAAAAAEwBwAA</t>
  </si>
  <si>
    <t>AAg4LzIvMjAyNggAAAAJNi8zMC8yMDI2CQAAAAEwZqLYbizw3giDROOHLPDeCClDSVEuTkFTREFROk1TRlQuSVFfR0FBUF9CUy45OTEuMDIvMDgvMjAyNgEAAABLVQAAAwAAAAdVUyBHQUFQAGai2G4s8N4IfR3jhyzw3ghBQ0lRLk5BU0RBUTpNU0ZULklRX0VNUExPWUVFU19VTkRFUl9VTklPTl9DT05UUkFDVFMuOTkwLjAyLzA4LzIwMjYBAAAAS1UAAAMAAAAAAGai2G4s8N4IfR3jhyzw3ggxQ0lRLk5BU0RBUTpNU0ZULklRX0VGRkVDVF9UQVhfUkFURS45OTAuMDIvMDgvMjAyNgEAAABLVQAAAgAAAAcxOS44OTE1AQgAAAAFAAAAATEBAAAACjE4OTg0ODk0NzADAAAAAzE2MAIAAAAENDM3NgQAAAABMAcAAAAIOC8yLzIwMjYIAAAACTYvMzAvMjAxNgkAAAABMGai2G4s8N4Ig0Tjhyzw3ghDQ0lRLk5BU0RBUTpNU0ZULklRX0RJU1RSSUJVVEFCTEVfQ0FTSF9TSEFSRVNfRElMVVRFRC45OTAuMDIvMDgvMjAyNgEAAABLVQAAAwAAAAAAiuzabizw3giXF+aHLPDeCDJDSVEuTkFTREFROk1TRlQuSVFfR1BfNVlSX0FOTl9DQUdSLjIwMDAuMDIvMDgvMjAyNgEAAABLVQAAAgAAAAcxNC4yNDM3AQgAAAAFAAAAATEBAAAACy0xODgwMjI5MzIzAwAAAAMxNjACAAAABDQyMzQEAAAAATAHAAAACDgvMi8yMDI2CAAAAAk2LzMwLzIwMjYJAAAAATBmothuLPDeCH0d44cs8N4INUNJUS5OQVNEQVE6TVNGVC5JUV9FUFNf</t>
  </si>
  <si>
    <t>MVlSX0FOTl9HUk9XVEguMjAwMC4wMi8wOC8yMDI2AQAAAEtVAAACAAAABzMxLjU5ODIBCAAAAAUAAAABMQEAAAALLTE4ODAyMjkzMjMDAAAAAzE2MAIAAAAENDIwMAQAAAABMAcAAAAIOC8yLzIwMjYIAAAACTYvMzAvMjAyNgkAAAABMGai2G4s8N4IfR3jhyzw3gg4Q0lRLk5BU0RBUTpNU0ZULklRX05FVF9ERUJUX0VCSVREQV9DQVBFWC4yMDAwLjAyLzA4LzIwMjYBAAAAS1UAAAIAAAAHMC42MTE4MgEIAAAABQAAAAExAQAAAAstMTg4MDIyOTMyMwMAAAADMTYwAgAAAAUyMzMxNAQAAAABMAcAAAAIOC8yLzIwMjYIAAAACTYvMzAvMjAyNgkAAAABMGai2G4s8N4Ibfbihyzw3ggzQ0lRLk5BU0RBUTpNU0ZULklRX1RPVEFMX0RFQlRfRUJJVERBLjk5MS4wMi8wOC8yMDI2AQAAAEtVAAACAAAACDIuNDc4NDUyAQgAAAAFAAAAATEBAAAACjE5NzMzODA5NTEDAAAAAzE2MAIAAAAENDE5MgQAAAABMAcAAAAIOC8yLzIwMjYIAAAACTYvMzAvMjAxNwkAAAABMGai2G4s8N4Ibfbihyzw3ggwQ0lRLk5BU0RBUTpNU0ZULklRX0xUX0RFQlRfRVFVSVRZLjk5MS4wMi8wOC8yMDI2AQAAAEtVAAACAAAABzk1LjYyMDgBCAAAAAUAAAABMQEAAAAKMTk3MzM4MDk1MQMAAAADMTYwAgAAAAQ0MDg1BAAAAAEwBwAAAAg4LzIvMjAyNggAAAAJNi8zMC8yMDE3CQAAAAEwZqLYbizw3gh9HeOHLPDeCDBDSVEuTkFTREFROk1TRlQu</t>
  </si>
  <si>
    <t>SVFfQ1VSUkVOVF9SQVRJTy4yMDAwLjAyLzA4LzIwMjYBAAAAS1UAAAIAAAAIMS4yMzAzMjcBCAAAAAUAAAABMQEAAAALLTE4ODAyMjkzMjMDAAAAAzE2MAIAAAAENDAzMAQAAAABMAcAAAAIOC8yLzIwMjYIAAAACTYvMzAvMjAyNgkAAAABMGai2G4s8N4IfR3jhyzw3ggtQ0lRLk5BU0RBUTpNU0ZULklRX0VCSVRfTUFSR0lOLjk5MC4wMi8wOC8yMDI2AQAAAEtVAAACAAAABzI5LjgyNjQBCAAAAAUAAAABMQEAAAAKMTg5ODQ4OTQ3MAMAAAADMTYwAgAAAAQ0MDUzBAAAAAEwBwAAAAg4LzIvMjAyNggAAAAJNi8zMC8yMDE2CQAAAAEwZqLYbizw3gh9HeOHLPDeCDFDSVEuTkFTREFROk1TRlQuSVFfUkVTVEFURU1FTlRfQlMuMjAwMC4wMi8wOC8yMDI2AQAAAEtVAAADAAAAAU8AZqLYbizw3ght9uKHLPDeCCxDSVEuTkFTREFROk1TRlQuSVFfUEFSVF9USU1FLjIwMDAuMDIvMDgvMjAyNgEAAABLVQAAAwAAAAAAZqLYbizw3ght9uKHLPDeCDBDSVEuTkFTREFROk1TRlQuSVFfUkVTVEFURU1FTlRfQ0YuOTkwLjAyLzA4LzIwMjYBAAAAS1UAAAMAAAACUlMAZqLYbizw3gh9HeOHLPDeCDFDSVEuTkFTREFROk1TRlQuSVFfRUZGRUNUX1RBWF9SQVRFLjk5MS4wMi8wOC8yMDI2AQAAAEtVAAACAAAABzE0Ljc1NTMBCAAAAAUAAAABMQEAAAAKMTk3MzM4MDk1MQMAAAADMTYwAgAAAAQ0Mzc2BAAAAAEwBwAAAAg4LzIv</t>
  </si>
  <si>
    <t>MjAyNggAAAAJNi8zMC8yMDE3CQAAAAEwZqLYbizw3gh9HeOHLPDeCENDSVEuTkFTREFROk1TRlQuSVFfRElTVFJJQlVUQUJMRV9DQVNIX1NIQVJFU19ESUxVVEVELjk5MS4wMi8wOC8yMDI2AQAAAEtVAAADAAAAAACK7NpuLPDeCM7c5Ycs8N4IQUNJUS5OQVNEQVE6TVNGVC5JUV9EQV9DRl9FWENMX09QRVJfTEVBU0VTLjIwMDAuMDIvMDgvMjAyNi4uLlVTRC5IAQAAAEtVAAACAAAABTM5MDAwAQgAAAAFAAAAATEBAAAACy0xODgwMjI5MzIzAwAAAAMxNjACAAAABTQ4OTg1BAAAAAEwBwAAAAg4LzIvMjAyNggAAAAJNi8zMC8yMDI2CQAAAAEwUXvYbizw3ggqb3+HLPDeCD1DSVEuTkFTREFROk1TRlQuSVFfREFfU1VQUExfUEFSVElBTF9DRi45OTEuMDIvMDgvMjAyNi4uLlVTRC5IAQAAAEtVAAADAAAAAABRe9huLPDeCCpvf4cs8N4INUNJUS5OQVNEQVE6TVNGVC5JUV9TQUxFX1BQRV9DRi45OTEuMDIvMDgvMjAyNi4uLlVTRC5IAQAAAEtVAAADAAAAAABRe9huLPDeCKGEf4cs8N4INENJUS5OQVNEQVE6TVNGVC5JUV9DSEFOR0VfQVIuMjAwMC4wMi8wOC8yMDI2Li4uVVNELkgBAAAAS1UAAAIAAAAGLTEyNzM3AQgAAAAFAAAAATEBAAAACy0xODgwMjI5MzIzAwAAAAMxNjACAAAABDIwMTgEAAAAATAHAAAACDgvMi8yMDI2CAAAAAk2LzMwLzIwMjYJAAAAATBRe9huLPDeCKGEf4cs8N4IQkNJUS5OQVNEQVE6</t>
  </si>
  <si>
    <t>TVNGVC5JUV9TVE9DS19CQVNFRF9DT01QX1BSRVRBWC4yMDAwLjAyLzA4LzIwMjYuLi5VU0QuSAEAAABLVQAAAgAAAAUxMjQwNQBRe9huLPDeCCpvf4cs8N4IPENJUS5OQVNEQVE6TVNGVC5JUV9TVE9DS19CQVNFRF9UT1RBTC4yMDAwLjAyLzA4LzIwMjYuLi5VU0QuSAEAAABLVQAAAgAAAAUxMjQwNQEIAAAABQAAAAExAQAAAAstMTg4MDIyOTMyMwMAAAADMTYwAgAAAAUyNDAzNAQAAAABMAcAAAAIOC8yLzIwMjYIAAAACTYvMzAvMjAyNgkAAAABMFF72G4s8N4I5ph/hyzw3gg5Q0lRLk5BU0RBUTpNU0ZULklRX1NUT0NLX0JBU0VEX1JELjIwMDAuMDIvMDgvMjAyNi4uLlVTRC5IAQAAAEtVAAADAAAAAABRe9huLPDeCOaYf4cs8N4IO0NJUS5OQVNEQVE6TVNGVC5JUV9JTlNfU0VUVExFX1NVUFBMRS45OTEuMDIvMDgvMjAyNi4uLlVTRC5IAQAAAEtVAAADAAAAAABRe9huLPDeCCpvf4cs8N4IPENJUS5OQVNEQVE6TVNGVC5JUV9SRVNUUlVDVFVSRV9TVVBQTEUuOTkxLjAyLzA4LzIwMjYuLi5VU0QuSAEAAABLVQAAAwAAAAAAUXvYbizw3ggqb3+HLPDeCDdDSVEuTkFTREFROk1TRlQuSVFfQUlSQ1JBRlRfUkVOVC45OTEuMDIvMDgvMjAyNi4uLlVTRC5IAQAAAEtVAAADAAAAAABRe9huLPDeCKGEf4cs8N4IMENJUS5OQVNEQVE6TVNGVC5JUV9HQV9FWFAuOTkwLjAyLzA4LzIwMjYuLi5VU0QuSAEAAABLVQAA</t>
  </si>
  <si>
    <t>AgAAAAQ0NTYzAQgAAAAFAAAAATEBAAAACjE4OTg0ODk0NzADAAAAAzE2MAIAAAAFMjE1NjIEAAAAATAHAAAACDgvMi8yMDI2CAAAAAk2LzMwLzIwMTYJAAAAATBRe9huLPDeCGmtf4cs8N4ISUNJUS5OQVNEQVE6TVNGVC5JUV9ESVNUUklCVVRBQkxFX0NBU0hfU1RBTkRBUkRJWkVELjk5MC4wMi8wOC8yMDI2Li4uVVNELkgBAAAAS1UAAAMAAAAAAFF72G4s8N4IGcJ/hyzw3gg+Q0lRLk5BU0RBUTpNU0ZULklRX0NBUElUQUxJWkVEX0lOVEVSRVNULjk5MC4wMi8wOC8yMDI2Li4uVVNELkgBAAAAS1UAAAIAAAACNTgBCAAAAAUAAAABMQEAAAAKMTg5ODQ4OTQ3MAMAAAADMTYwAgAAAAQzMDMyBAAAAAEwBwAAAAg4LzIvMjAyNggAAAAJNi8zMC8yMDE2CQAAAAEwUXvYbizw3gihhH+HLPDeCD5DSVEuTkFTREFROk1TRlQuSVFfQ1VSUl9ET01FU1RJQ19UQVhFUy4yMDAwLjAyLzA4LzIwMjYuLi5VU0QuSAEAAABLVQAAAgAAAAQ1MTc0AQgAAAAFAAAAATEBAAAACy0xODgwMjI5MzIzAwAAAAMxNjACAAAABDMwMjcEAAAAATAHAAAACDgvMi8yMDI2CAAAAAk2LzMwLzIwMjYJAAAAATBRe9huLPDeCOaYf4cs8N4ITUNJUS5OQVNEQVE6TVNGVC5JUV9QUk9WX0JBRF9ERUJUU19QQVRJRU5UX1NFUlZJQ0VfUkVWLjIwMDAuMDIvMDgvMjAyNi4uLlVTRC5IAQAAAEtVAAADAAAAAABRe9huLPDeCOaYf4cs8N4IQUNJUS5O</t>
  </si>
  <si>
    <t>QVNEQVE6TVNGVC5JUV9FQklUREFSX0VRX0lOQ19FWENMX1NCQy45OTEuMDIvMDgvMjAyNi4uLlVTRC5IAQAAAEtVAAACAAAABTQxODA5AQgAAAAFAAAAATEBAAAACjE5NzMzODA5NTEDAAAAAzE2MAIAAAAFMjQxMzMEAAAAATAHAAAACDgvMi8yMDI2CAAAAAk2LzMwLzIwMTcJAAAAATBRe9huLPDeCLPWf4cs8N4INkNJUS5OQVNEQVE6TVNGVC5JUV9FQklUX0VRX0lOQy4yMDAwLjAyLzA4LzIwMjYuLi5VU0QuSAEAAABLVQAAAgAAAAYxNTk5NTkBCAAAAAUAAAABMQEAAAALLTE4ODAyMjkzMjMDAAAAAzE2MAIAAAAFMjE2NzUEAAAAATAHAAAACDgvMi8yMDI2CAAAAAk2LzMwLzIwMjYJAAAAATBRe9huLPDeCLPWf4cs8N4IQENJUS5OQVNEQVE6TVNGVC5JUV9FQklUREFfRVFfSU5DX0VYQ0xfU0JDLjk5MC4wMi8wOC8yMDI2Li4uVVNELkgBAAAAS1UAAAIAAAAFMzU3MzQBCAAAAAUAAAABMQEAAAAKMTg5ODQ4OTQ3MAMAAAADMTYwAgAAAAUyNDEzMQQAAAABMAcAAAAIOC8yLzIwMjYIAAAACTYvMzAvMjAxNgkAAAABMFF72G4s8N4I5ph/hyzw3ghOQ0lRLk5BU0RBUTpNU0ZULklRX0RJU1RSSUJVVEFCTEVfQ0FTSF9QRVJfU0hBUkVfRElMVVRFRC45OTAuMDIvMDgvMjAyNi4uLlVTRC5IAQAAAEtVAAADAAAAAABRe9huLPDeCGmtf4cs8N4IN0NJUS5OQVNEQVE6TVNGVC5JUV9OSV9BVkFJTF9JTkNMLjk5MS4w</t>
  </si>
  <si>
    <t>Mi8wOC8yMDI2Li4uVVNELkgBAAAAS1UAAAIAAAAFMjU0ODkBCAAAAAUAAAABMQEAAAAKMTk3MzM4MDk1MQMAAAADMTYwAgAAAAIxNgQAAAABMAcAAAAIOC8yLzIwMjYIAAAACTYvMzAvMjAxNwkAAAABMFF72G4s8N4Iaa1/hyzw3gg0Q0lRLk5BU0RBUTpNU0ZULklRX0VBUk5JTkdfQ08uOTkxLjAyLzA4LzIwMjYuLi5VU0QuSAEAAABLVQAAAgAAAAUyNTQ4OQEIAAAABQAAAAExAQAAAAoxOTczMzgwOTUxAwAAAAMxNjACAAAAATcEAAAAATAHAAAACDgvMi8yMDI2CAAAAAk2LzMwLzIwMTcJAAAAATBRe9huLPDeCPbqf4cs8N4IOUNJUS5OQVNEQVE6TVNGVC5JUV9BU1NFVF9XUklURURPV04uOTkxLjAyLzA4LzIwMjYuLi5VU0QuSAEAAABLVQAAAwAAAAAAUXvYbizw3gj26n+HLPDeCDdDSVEuTkFTREFROk1TRlQuSVFfQ1VSUkVOQ1lfR0FJTi45OTAuMDIvMDgvMjAyNi4uLlVTRC5IAQAAAEtVAAACAAAABC00OTcBCAAAAAUAAAABMQEAAAAKMTg5ODQ4OTQ3MAMAAAADMTYwAgAAAAIzOAQAAAABMAcAAAAIOC8yLzIwMjYIAAAACTYvMzAvMjAxNgkAAAABMFF72G4s8N4IGcJ/hyzw3gg0Q0lRLk5BU0RBUTpNU0ZULklRX09USEVSX09QRVIuOTkwLjAyLzA4LzIwMjYuLi5VU0QuSAEAAABLVQAAAwAAAAAAUXvYbizw3ggZwn+HLPDeCDhDSVEuTkFTREFROk1TRlQuSVFfUFJPVl9CQURfREVCVFMuOTkxLjAyLzA4</t>
  </si>
  <si>
    <t>LzIwMjYuLi5VU0QuSAEAAABLVQAAAwAAAAAAUXvYbizw3ggZwn+HLPDeCDpDSVEuTkFTREFROk1TRlQuSVFfT1RIRVJfUkVWX1NVUFBMLjIwMDAuMDIvMDgvMjAyNi4uLlVTRC5IAQAAAEtVAAADAAAAAABRe9huLPDeCBz/f4cs8N4ILUNJUS5OQVNEQVE6TVNGVC5JUV9SRVYuOTkxLjAyLzA4LzIwMjYuLi5VU0QuSAEAAABLVQAAAgAAAAU5NjU3MQEIAAAABQAAAAExAQAAAAoxOTczMzgwOTUxAwAAAAMxNjACAAAAAzExMgQAAAABMAcAAAAIOC8yLzIwMjYIAAAACTYvMzAvMjAxNwkAAAABMFF72G4s8N4IHP9/hyzw3gguQ0lRLk5BU0RBUTpNU0ZULklRX1JFVi4xMDAwLjAyLzA4LzIwMjYuLi5VU0QuSAEAAABLVQAAAgAAAAYzMzE4MzkBCAAAAAUAAAABMQEAAAALLTE4ODAyMjk2NjUDAAAAAzE2MAIAAAADMTEyBAAAAAEwBwAAAAg4LzIvMjAyNggAAAAJNi8zMC8yMDI2CQAAAAEwUXvYbizw3giz1n+HLPDeCDlDSVEuTkFTREFROk1TRlQuSVFfR0FJTl9BU1NFVFNfUkVWLjk5OC4wMi8wOC8yMDI2Li4uVVNELkgBAAAAS1UAAAMAAAAAAFF72G4s8N4Is9Z/hyzw3gg1Q0lRLk5BU0RBUTpNU0ZULklRX0lOVF9JTlZfSU5DLjk5OS4wMi8wOC8yMDI2Li4uVVNELkgBAAAAS1UAAAMAAAAAAE5U2G4s8N4Is9Z/hyzw3gg0Q0lRLk5BU0RBUTpNU0ZULklRX1RPVEFMX1JFVi4xMDAwLjAyLzA4LzIwMjYuLi5VU0Qu</t>
  </si>
  <si>
    <t>SAEAAABLVQAAAgAAAAYzMzE4MzkBCAAAAAUAAAABMQEAAAALLTE4ODAyMjk2NjUDAAAAAzE2MAIAAAACMjgEAAAAATAHAAAACDgvMi8yMDI2CAAAAAk2LzMwLzIwMjYJAAAAATBOVNhuLPDeCBz/f4cs8N4INUNJUS5OQVNEQVE6TVNGVC5JUV9JTlNfRElWX0VYUC45OTguMDIvMDgvMjAyNi4uLlVTRC5IAQAAAEtVAAADAAAAAABOVNhuLPDeCP8TgIcs8N4ILENJUS5OQVNEQVE6TVNGVC5JUV9HUC45OTkuMDIvMDgvMjAyNi4uLlVTRC5IAQAAAEtVAAACAAAABjE5Mzg5MwEIAAAABQAAAAExAQAAAAstMTg4MDIyOTY4NgMAAAADMTYwAgAAAAIxMAQAAAABMAcAAAAIOC8yLzIwMjYIAAAACTYvMzAvMjAyNQkAAAABME5U2G4s8N4I9up/hyzw3gg1Q0lRLk5BU0RBUTpNU0ZULklRX1NUT0NLX0JBU0VELjk5NS4wMi8wOC8yMDI2Li4uVVNELkgBAAAAS1UAAAMAAAAAAE5U2G4s8N4I9up/hyzw3ggwQ0lRLk5BU0RBUTpNU0ZULklRX1JEX0VYUC45OTYuMDIvMDgvMjAyNi4uLlVTRC5IAQAAAEtVAAACAAAABTI0NTEyAQgAAAAFAAAAATEBAAAACy0xOTg1OTMxMjI0AwAAAAMxNjACAAAAAzEwMAQAAAABMAcAAAAIOC8yLzIwMjYIAAAACTYvMzAvMjAyMgkAAAABME5U2G4s8N4I9up/hyzw3ggzQ0lRLk5BU0RBUTpNU0ZULklRX0RBX1NVUFBMLjEwMDAuMDIvMDgvMjAyNi4uLlVTRC5IAQAAAEtVAAADAAAAAABOVNhu</t>
  </si>
  <si>
    <t>LPDeCP8TgIcs8N4IOkNJUS5OQVNEQVE6TVNGVC5JUV9UT1RBTF9PVEhFUl9PUEVSLjk5NS4wMi8wOC8yMDI2Li4uVVNELkgBAAAAS1UAAAIAAAAFNDU5NDABCAAAAAUAAAABMQEAAAALLTIwMzY4NDM4NDMDAAAAAzE2MAIAAAADMzgwBAAAAAEwBwAAAAg4LzIvMjAyNggAAAAJNi8zMC8yMDIxCQAAAAEwTlTYbizw3ghQKICHLPDeCDZDSVEuTkFTREFROk1TRlQuSVFfSU5URVJFU1RfRVhQLjk5Ny4wMi8wOC8yMDI2Li4uVVNELkgBAAAAS1UAAAIAAAAFLTE5OTUBCAAAAAUAAAABMQEAAAALLTE5MzQyNTQyNTADAAAAAzE2MAIAAAACODIEAAAAATAHAAAACDgvMi8yMDI2CAAAAAk2LzMwLzIwMjMJAAAAATBOVNhuLPDeCBz/f4cs8N4INENJUS5OQVNEQVE6TVNGVC5JUV9JTkNfRVFVSVRZLjk5NC4wMi8wOC8yMDI2Li4uVVNELkgBAAAAS1UAAAMAAAAAAE5U2G4s8N4IHP9/hyzw3ghCQ0lRLk5BU0RBUTpNU0ZULklRX09USEVSX05PTl9PUEVSX0VYUF9TVVBQTC45OTYuMDIvMDgvMjAyNi4uLlVTRC5IAQAAAEtVAAACAAAABC0zODgBCAAAAAUAAAABMQEAAAALLTE5ODU5MzEyMjQDAAAAAzE2MAIAAAACODUEAAAAATAHAAAACDgvMi8yMDI2CAAAAAk2LzMwLzIwMjIJAAAAATBOVNhuLPDeCBz/f4cs8N4INUNJUS5OQVNEQVE6TVNGVC5JUV9SRVNUUlVDVFVSRS45OTguMDIvMDgvMjAyNi4uLlVTRC5IAQAAAEtV</t>
  </si>
  <si>
    <t>AAADAAAAAABOVNhuLPDeCFAogIcs8N4INUNJUS5OQVNEQVE6TVNGVC5JUV9HQUlOX0lOVkVTVC45OTYuMDIvMDgvMjAyNi4uLlVTRC5IAQAAAEtVAAACAAAAAzQ3NAEIAAAABQAAAAExAQAAAAstMTk4NTkzMTIyNAMAAAADMTYwAgAAAAI2MgQAAAABMAcAAAAIOC8yLzIwMjYIAAAACTYvMzAvMjAyMgkAAAABME5U2G4s8N4IUCiAhyzw3gguQ0lRLk5BU0RBUTpNU0ZULklRX0lQUkQuOTk1LjAyLzA4LzIwMjYuLi5VU0QuSAEAAABLVQAAAwAAAAAATlTYbizw3gj/E4CHLPDeCDZDSVEuTkFTREFROk1TRlQuSVFfTEVHQUxfU0VUVExFLjk5OC4wMi8wOC8yMDI2Li4uVVNELkgBAAAAS1UAAAMAAAAAAE5U2G4s8N4I/xOAhyzw3ggxQ0lRLk5BU0RBUTpNU0ZULklRX0lOQ19UQVguOTkzLjAyLzA4LzIwMjYuLi5VU0QuSAEAAABLVQAAAgAAAAQ0NDQ4AQgAAAAFAAAAATEBAAAACy0yMTQwOTgxNDY5AwAAAAMxNjACAAAAAjc1BAAAAAEwBwAAAAg4LzIvMjAyNggAAAAJNi8zMC8yMDE5CQAAAAEwTlTYbizw3gj/E4CHLPDeCDRDSVEuTkFTREFROk1TRlQuSVFfTklfQ09NUEFOWS45OTIuMDIvMDgvMjAyNi4uLlVTRC5IAQAAAEtVAAACAAAABTE2NTcxAQgAAAAFAAAAATEBAAAACjIwNDcyNzE3NDUDAAAAAzE2MAIAAAAFNDE1NzEEAAAAATAHAAAACDgvMi8yMDI2CAAAAAk2LzMwLzIwMTgJAAAAATBOVNhuLPDeCCg9</t>
  </si>
  <si>
    <t>gIcs8N4ILENJUS5OQVNEQVE6TVNGVC5JUV9OSS45OTcuMDIvMDgvMjAyNi4uLlVTRC5IAQAAAEtVAAACAAAABTcyMzYxAQgAAAAFAAAAATEBAAAACy0xOTM0MjU0MjUwAwAAAAMxNjACAAAAAjE1BAAAAAEwBwAAAAg4LzIvMjAyNggAAAAJNi8zMC8yMDIzCQAAAAEwTlTYbizw3ggoPYCHLPDeCDdDSVEuTkFTREFROk1TRlQuSVFfTklfQVZBSUxfRVhDTC45OTguMDIvMDgvMjAyNi4uLlVTRC5IAQAAAEtVAAACAAAABTg4MTM2AQgAAAAFAAAAATEBAAAACy0xODgwMjI5Njk0AwAAAAMxNjACAAAAAzM3OQQAAAABMAcAAAAIOC8yLzIwMjYIAAAACTYvMzAvMjAyNAkAAAABME5U2G4s8N4IUCiAhyzw3gg4Q0lRLk5BU0RBUTpNU0ZULklRX0RJTFVUX0VQU19JTkNMLjk5OC4wMi8wOC8yMDI2Li4uVVNELkgBAAAAS1UAAAIAAAAEMTEuOAEIAAAABQAAAAExAQAAAAstMTg4MDIyOTY5NAMAAAADMTYwAgAAAAE4BAAAAAEwBwAAAAg4LzIvMjAyNggAAAAJNi8zMC8yMDI0CQAAAAEwTlTYbizw3ghQKICHLPDeCE5DSVEuTkFTREFROk1TRlQuSVFfRElTVFJJQlVUQUJMRV9DQVNIX1BFUl9TSEFSRV9ESUxVVEVELjk5Mi4wMi8wOC8yMDI2Li4uVVNELkgBAAAAS1UAAAMAAAAAAE5U2G4s8N4IUCiAhyzw3gg5Q0lRLk5BU0RBUTpNU0ZULklRX1RPVEFMX1JFVl9TSEFSRS45OTguMDIvMDgvMjAyNi4uLlVTRC5IAQAAAEtV</t>
  </si>
  <si>
    <t>AAACAAAACTMyLjk4NjQwOAEIAAAABQAAAAExAQAAAAstMTg4MDIyOTY5NAMAAAADMTYwAgAAAAQ0MzgyBAAAAAEwBwAAAAg4LzIvMjAyNggAAAAJNi8zMC8yMDI0CQAAAAEwTlTYbizw3gjsZYCHLPDeCDdDSVEuTkFTREFROk1TRlQuSVFfRUJJVERBX0VRX0lOQy45OTkuMDIvMDgvMjAyNi4uLlVTRC5IAQAAAEtVAAACAAAABjE1NzMyNwEIAAAABQAAAAExAQAAAAstMTg4MDIyOTY4NgMAAAADMTYwAgAAAAUyMTY3NwQAAAABMAcAAAAIOC8yLzIwMjYIAAAACTYvMzAvMjAyNQkAAAABME5U2G4s8N4I7GWAhyzw3ghBQ0lRLk5BU0RBUTpNU0ZULklRX0xFQVNFX0FESlVTVE1FTlRfRUJJVERBLjk5NC4wMi8wOC8yMDI2Li4uVVNELkgBAAAAS1UAAAIAAAAEMjA0MwBOVNhuLPDeCFAogIcs8N4INkNJUS5OQVNEQVE6TVNGVC5JUV9FQklUX0VRX0lOQy4xMDAwLjAyLzA4LzIwMjYuLi5VU0QuSAEAAABLVQAAAgAAAAYxNTk5NTkBCAAAAAUAAAABMQEAAAALLTE4ODAyMjk2NjUDAAAAAzE2MAIAAAAFMjE2NzUEAAAAATAHAAAACDgvMi8yMDI2CAAAAAk2LzMwLzIwMjYJAAAAATBOVNhuLPDeCCg9gIcs8N4IP0NJUS5OQVNEQVE6TVNGVC5JUV9FQklUQV9FUV9JTkNfRVhDTF9TQkMuOTkzLjAyLzA4LzIwMjYuLi5VU0QuSAEAAABLVQAAAgAAAAU0OTUxMQEIAAAABQAAAAExAQAAAAstMjE0MDk4MTQ2OQMAAAADMTYw</t>
  </si>
  <si>
    <t>AgAAAAUyNDEzMgQAAAABMAcAAAAIOC8yLzIwMjYIAAAACTYvMzAvMjAxOQkAAAABME5U2G4s8N4IKD2Ahyzw3gg5Q0lRLk5BU0RBUTpNU0ZULklRX0VCSVREQVJfRVFfSU5DLjEwMDAuMDIvMDgvMjAyNi4uLlVTRC5IAQAAAEtVAAACAAAABjIxMjg5NQEIAAAABQAAAAExAQAAAAstMTg4MDIyOTY2NQMAAAADMTYwAgAAAAUyNDEyOQQAAAABMAcAAAAIOC8yLzIwMjYIAAAACTYvMzAvMjAyNgkAAAABME5U2G4s8N4IhnyAhyzw3gg/Q0lRLk5BU0RBUTpNU0ZULklRX1RPVEFMX1JFVl9BU19SRVBPUlRFRC45OTMuMDIvMDgvMjAyNi4uLlVTRC5IAQAAAEtVAAACAAAABjEyNTg0MwEIAAAABQAAAAExAQAAAAstMjE0MDk4MTQ2OQMAAAADMTYwAgAAAAMzMzkEAAAAATAHAAAACDgvMi8yMDI2CAAAAAk2LzMwLzIwMTkJAAAAATBOVNhuLPDeCIZ8gIcs8N4IMUNJUS5OQVNEQVE6TVNGVC5JUV9OSV9TRkFTLjk5OS4wMi8wOC8yMDI2Li4uVVNELkgBAAAAS1UAAAMAAAAAAE5U2G4s8N4ISlGAhyzw3gg9Q0lRLk5BU0RBUTpNU0ZULklRX0NVUlJfRE9NRVNUSUNfVEFYRVMuOTk3LjAyLzA4LzIwMjYuLi5VU0QuSAEAAABLVQAAAgAAAAUxNjMzMQEIAAAABQAAAAExAQAAAAstMTkzNDI1NDI1MAMAAAADMTYwAgAAAAQzMDI3BAAAAAEwBwAAAAg4LzIvMjAyNggAAAAJNi8zMC8yMDIzCQAAAAEwTlTYbizw3ghKUYCHLPDe</t>
  </si>
  <si>
    <t>CEBDSVEuTkFTREFROk1TRlQuSVFfREVGRVJSRURfRk9SRUlHTl9UQVhFUy45OTkuMDIvMDgvMjAyNi4uLlVTRC5IAQAAAEtVAAACAAAAAzI4MQEIAAAABQAAAAExAQAAAAstMTg4MDIyOTY4NgMAAAADMTYwAgAAAAQzMDU1BAAAAAEwBwAAAAg4LzIvMjAyNggAAAAJNi8zMC8yMDI1CQAAAAEwTlTYbizw3ghKUYCHLPDeCD5DSVEuTkFTREFROk1TRlQuSVFfQ0FQSVRBTElaRURfSU5URVJFU1QuOTk4LjAyLzA4LzIwMjYuLi5VU0QuSAEAAABLVQAAAwAAAAAATlTYbizw3gj3kICHLPDeCDNDSVEuTkFTREFROk1TRlQuSVFfREFfRUJJVERBLjk5Ny4wMi8wOC8yMDI2Li4uVVNELkgBAAAAS1UAAAIAAAAFMTM1MDABCAAAAAUAAAABMQEAAAALLTE5MzQyNTQyNTADAAAAAzE2MAIAAAAEMjIwNgQAAAABMAcAAAAIOC8yLzIwMjYIAAAACTYvMzAvMjAyMwkAAAABME5U2G4s8N4I95CAhyzw3gg0Q0lRLk5BU0RBUTpNU0ZULklRX0NPTU1PTl9ESVYuOTk4LjAyLzA4LzIwMjYuLi5VU0QuSAEAAABLVQAAAgAAAAUyMjI5MwBOVNhuLPDeCOxlgIcs8N4IM0NJUS5OQVNEQVE6TVNGVC5JUV9SRF9FWFBfRk4uOTkyLjAyLzA4LzIwMjYuLi5VU0QuSAEAAABLVQAAAgAAAAUxNDcyNgEIAAAABQAAAAExAQAAAAoyMDQ3MjcxNzQ1AwAAAAMxNjACAAAABDMxNjgEAAAAATAHAAAACDgvMi8yMDI2CAAAAAk2LzMwLzIwMTgJAAAA</t>
  </si>
  <si>
    <t>ATBOVNhuLPDeCOxlgIcs8N4IPENJUS5OQVNEQVE6TVNGVC5JUV9DT05USU5HRU5UX1JFTlRBTC4xMDAwLjAyLzA4LzIwMjYuLi5VU0QuSAEAAABLVQAAAwAAAAAATlTYbizw3gjsZYCHLPDeCDZDSVEuTkFTREFROk1TRlQuSVFfTUFJTlRfUkVQQUlSLjk5My4wMi8wOC8yMDI2Li4uVVNELkgBAAAAS1UAAAMAAAAAAE5U2G4s8N4I95CAhyzw3gg3Q0lRLk5BU0RBUTpNU0ZULklRX01FUkdFUl9TVVBQTEUuOTk4LjAyLzA4LzIwMjYuLi5VU0QuSAEAAABLVQAAAwAAAAAATlTYbizw3gg/pYCHLPDeCD5DSVEuTkFTREFROk1TRlQuSVFfT1RIRVJfVU5VU1VBTF9TVVBQTEUuOTk4LjAyLzA4LzIwMjYuLi5VU0QuSAEAAABLVQAAAwAAAAAATlTYbizw3giGfICHLPDeCDhDSVEuTkFTREFROk1TRlQuSVFfU1RPQ0tfQkFTRURfQVQuOTk3LjAyLzA4LzIwMjYuLi5VU0QuSAEAAABLVQAAAwAAAAAATlTYbizw3giGfICHLPDeCC9DSVEuTkFTREFROk1TRlQuSVFfTklfQ0YuOTk0LjAyLzA4LzIwMjYuLi5VU0QuSAEAAABLVQAAAgAAAAU0NDI4MQEIAAAABQAAAAExAQAAAAstMjA4NzQ5NjYyNwMAAAADMTYwAgAAAAQyMTUwBAAAAAEwBwAAAAg4LzIvMjAyNggAAAAJNi8zMC8yMDIwCQAAAAEwTlTYbizw3giGfICHLPDeCDlDSVEuTkFTREFROk1TRlQuSVFfT1RIRVJfT1BFUl9BQ1QuMTAwMC4wMi8wOC8yMDI2Li4uVVNE</t>
  </si>
  <si>
    <t>LkgBAAAAS1UAAAIAAAAFMTM3MjMBCAAAAAUAAAABMQEAAAALLTE4ODAyMjk2NjUDAAAAAzE2MAIAAAAEMjA0NwQAAAABMAcAAAAIOC8yLzIwMjYIAAAACTYvMzAvMjAyNgkAAAABME5U2G4s8N4IP6WAhyzw3gg5Q0lRLk5BU0RBUTpNU0ZULklRX0dBSU5fQVNTRVRTX1JFVi45OTkuMDIvMDgvMjAyNi4uLlVTRC5IAQAAAEtVAAADAAAAAABOVNhuLPDeCArBgIcs8N4INkNJUS5OQVNEQVE6TVNGVC5JUV9JTlRfSU5WX0lOQy4xMDAwLjAyLzA4LzIwMjYuLi5VU0QuSAEAAABLVQAAAwAAAAAATlTYbizw3gj3kICHLPDeCC5DSVEuTkFTREFROk1TRlQuSVFfQ09HUy45OTguMDIvMDgvMjAyNi4uLlVTRC5IAQAAAEtVAAACAAAABTc0MTE0AQgAAAAFAAAAATEBAAAACy0xODgwMjI5Njk0AwAAAAMxNjACAAAAAjM0BAAAAAEwBwAAAAg4LzIvMjAyNggAAAAJNi8zMC8yMDI0CQAAAAEwTlTYbizw3gj3kICHLPDeCDVDSVEuTkFTREFROk1TRlQuSVFfSU5TX0RJVl9FWFAuOTk5LjAyLzA4LzIwMjYuLi5VU0QuSAEAAABLVQAAAwAAAAAATlTYbizw3gj3kICHLPDeCC1DSVEuTkFTREFROk1TRlQuSVFfR1AuMTAwMC4wMi8wOC8yMDI2Li4uVVNELkgBAAAAS1UAAAIAAAAGMjI1NDY1AQgAAAAFAAAAATEBAAAACy0xODgwMjI5NjY1AwAAAAMxNjACAAAAAjEwBAAAAAEwBwAAAAg4LzIvMjAyNggAAAAJNi8zMC8yMDI2CQAA</t>
  </si>
  <si>
    <t>AAEwTlTYbizw3gg31YCHLPDeCDhDSVEuTkFTREFROk1TRlQuSVFfUFJPVl9CQURfREVCVFMuOTk4LjAyLzA4LzIwMjYuLi5VU0QuSAEAAABLVQAAAwAAAAAATlTYbizw3gg31YCHLPDeCDdDSVEuTkFTREFROk1TRlQuSVFfUFJFX09QRU5fQ09TVC45OTkuMDIvMDgvMjAyNi4uLlVTRC5IAQAAAEtVAAADAAAAAABOVNhuLPDeCD+lgIcs8N4INENJUS5OQVNEQVE6TVNGVC5JUV9JTVBBSVJfT0lMLjk5NS4wMi8wOC8yMDI2Li4uVVNELkgBAAAAS1UAAAMAAAAAAE5U2G4s8N4IP6WAhyzw3gg6Q0lRLk5BU0RBUTpNU0ZULklRX1RPVEFMX09USEVSX09QRVIuOTk2LjAyLzA4LzIwMjYuLi5VU0QuSAEAAABLVQAAAgAAAAU1MjIzNwEIAAAABQAAAAExAQAAAAstMTk4NTkzMTIyNAMAAAADMTYwAgAAAAMzODAEAAAAATAHAAAACDgvMi8yMDI2CAAAAAk2LzMwLzIwMjIJAAAAATBOVNhuLPDeCD+lgIcs8N4IM0NJUS5OQVNEQVE6TVNGVC5JUV9PUEVSX0lOQy4xMDAwLjAyLzA4LzIwMjYuLi5VU0QuSAEAAABLVQAAAgAAAAYxNTUyMzcBCAAAAAUAAAABMQEAAAALLTE4ODAyMjk2NjUDAAAAAzE2MAIAAAACMjEEAAAAATAHAAAACDgvMi8yMDI2CAAAAAk2LzMwLzIwMjYJAAAAATBOVNhuLPDeCCfpgIcs8N4INENJUS5OQVNEQVE6TVNGVC5JUV9JTkNfRVFVSVRZLjk5NS4wMi8wOC8yMDI2Li4uVVNELkgBAAAAS1UAAAMA</t>
  </si>
  <si>
    <t>AAAAAE5U2G4s8N4IJ+mAhyzw3ghCQ0lRLk5BU0RBUTpNU0ZULklRX09USEVSX05PTl9PUEVSX0VYUF9TVVBQTC45OTcuMDIvMDgvMjAyNi4uLlVTRC5IAQAAAEtVAAACAAAAAjY0AQgAAAAFAAAAATEBAAAACy0xOTM0MjU0MjUwAwAAAAMxNjACAAAAAjg1BAAAAAEwBwAAAAg4LzIvMjAyNggAAAAJNi8zMC8yMDIzCQAAAAEwTlTYbizw3ggKwYCHLPDeCDBDSVEuTkFTREFROk1TRlQuSVFfTUVSR0VSLjk5NC4wMi8wOC8yMDI2Li4uVVNELkgBAAAAS1UAAAMAAAAAAE5U2G4s8N4ICsGAhyzw3gg1Q0lRLk5BU0RBUTpNU0ZULklRX0dBSU5fSU5WRVNULjk5Ny4wMi8wOC8yMDI2Li4uVVNELkgBAAAAS1UAAAIAAAAELTM4MwEIAAAABQAAAAExAQAAAAstMTkzNDI1NDI1MAMAAAADMTYwAgAAAAI2MgQAAAABMAcAAAAIOC8yLzIwMjYIAAAACTYvMzAvMjAyMwkAAAABME5U2G4s8N4ICsGAhyzw3gguQ0lRLk5BU0RBUTpNU0ZULklRX0lQUkQuOTk2LjAyLzA4LzIwMjYuLi5VU0QuSAEAAABLVQAAAwAAAAAATlTYbizw3gha/oCHLPDeCDZDSVEuTkFTREFROk1TRlQuSVFfTEVHQUxfU0VUVExFLjk5My4wMi8wOC8yMDI2Li4uVVNELkgBAAAAS1UAAAMAAAAAAE5U2G4s8N4IWv6Ahyzw3gg0Q0lRLk5BU0RBUTpNU0ZULklRX0VBUk5JTkdfQ08uOTk5LjAyLzA4LzIwMjYuLi5VU0QuSAEAAABLVQAAAgAAAAYxMDE4MzIB</t>
  </si>
  <si>
    <t>CAAAAAUAAAABMQEAAAALLTE4ODAyMjk2ODYDAAAAAzE2MAIAAAABNwQAAAABMAcAAAAIOC8yLzIwMjYIAAAACTYvMzAvMjAyNQkAAAABME5U2G4s8N4IN9WAhyzw3gg5Q0lRLk5BU0RBUTpNU0ZULklRX0VYVFJBX0FDQ19JVEVNUy45OTcuMDIvMDgvMjAyNi4uLlVTRC5IAQAAAEtVAAADAAAAAABOVNhuLPDeCCfpgIcs8N4ILENJUS5OQVNEQVE6TVNGVC5JUV9OSS45OTguMDIvMDgvMjAyNi4uLlVTRC5IAQAAAEtVAAACAAAABTg4MTM2AQgAAAAFAAAAATEBAAAACy0xODgwMjI5Njk0AwAAAAMxNjACAAAAAjE1BAAAAAEwBwAAAAg4LzIvMjAyNggAAAAJNi8zMC8yMDI0CQAAAAEwTlTYbizw3ggn6YCHLPDeCDhDSVEuTkFTREFROk1TRlQuSVFfQkFTSUNfRVBTX0lOQ0wuOTk0LjAyLzA4LzIwMjYuLi5VU0QuSAEAAABLVQAAAgAAAAg1LjgxODc5MQEIAAAABQAAAAExAQAAAAstMjA4NzQ5NjYyNwMAAAADMTYwAgAAAAE5BAAAAAEwBwAAAAg4LzIvMjAyNggAAAAJNi8zMC8yMDIwCQAAAAEwTlTYbizw3ggbE4GHLPDeCDhDSVEuTkFTREFROk1TRlQuSVFfRElMVVRfRVBTX0lOQ0wuOTk5LjAyLzA4LzIwMjYuLi5VU0QuSAEAAABLVQAAAgAAAAUxMy42NAEIAAAABQAAAAExAQAAAAstMTg4MDIyOTY4NgMAAAADMTYwAgAAAAE4BAAAAAEwBwAAAAg4LzIvMjAyNggAAAAJNi8zMC8yMDI1CQAAAAEwTlTYbizw3ggb</t>
  </si>
  <si>
    <t>E4GHLPDeCE5DSVEuTkFTREFROk1TRlQuSVFfRElTVFJJQlVUQUJMRV9DQVNIX1BFUl9TSEFSRV9ESUxVVEVELjk5NS4wMi8wOC8yMDI2Li4uVVNELkgBAAAAS1UAAAMAAAAAAE5U2G4s8N4IJ+mAhyzw3ghCQ0lRLk5BU0RBUTpNU0ZULklRX0RJU1RSSUJVVEFCTEVfQ0FTSF9TSEFSRS45OTYuMDIvMDgvMjAyNi4uLlVTRC5IAQAAAEtVAAADAAAAAABOVNhuLPDeCFr+gIcs8N4IOENJUS5OQVNEQVE6TVNGVC5JUV9FQklUREFfRVFfSU5DLjEwMDAuMDIvMDgvMjAyNi4uLlVTRC5IAQAAAEtVAAACAAAABjIwNTkyNwEIAAAABQAAAAExAQAAAAstMTg4MDIyOTY2NQMAAAADMTYwAgAAAAUyMTY3NwQAAAABMAcAAAAIOC8yLzIwMjYIAAAACTYvMzAvMjAyNgkAAAABME5U2G4s8N4IWv6Ahyzw3ghBQ0lRLk5BU0RBUTpNU0ZULklRX0xFQVNFX0FESlVTVE1FTlRfRUJJVERBLjk5NS4wMi8wOC8yMDI2Li4uVVNELkgBAAAAS1UAAAIAAAAEMjEyNwBOVNhuLPDeCF8ngYcs8N4IPkNJUS5OQVNEQVE6TVNGVC5JUV9FQklUX0VRX0lOQ19FWENMX1NCQy45OTIuMDIvMDgvMjAyNi4uLlVTRC5IAQAAAEtVAAACAAAABTM4OTk4AQgAAAAFAAAAATEBAAAACjIwNDcyNzE3NDUDAAAAAzE2MAIAAAAFMjQxMzAEAAAAATAHAAAACDgvMi8yMDI2CAAAAAk2LzMwLzIwMTgJAAAAATBOVNhuLPDeCF8ngYcs8N4IP0NJUS5OQVNEQVE6</t>
  </si>
  <si>
    <t>TVNGVC5JUV9FQklUQV9FUV9JTkNfRVhDTF9TQkMuOTk0LjAyLzA4LzIwMjYuLi5VU0QuSAEAAABLVQAAAgAAAAU1OTg0OAEIAAAABQAAAAExAQAAAAstMjA4NzQ5NjYyNwMAAAADMTYwAgAAAAUyNDEzMgQAAAABMAcAAAAIOC8yLzIwMjYIAAAACTYvMzAvMjAyMAkAAAABME5U2G4s8N4IGxOBhyzw3gg4Q0lRLk5BU0RBUTpNU0ZULklRX0VCSVREQVJfRVFfSU5DLjk5NC4wMi8wOC8yMDI2Li4uVVNELkgBAAAAS1UAAAIAAAAFNjkzNDUBCAAAAAUAAAABMQEAAAALLTIwODc0OTY2MjcDAAAAAzE2MAIAAAAFMjQxMjkEAAAAATAHAAAACDgvMi8yMDI2CAAAAAk2LzMwLzIwMjAJAAAAATBOVNhuLPDeCBsTgYcs8N4IP0NJUS5OQVNEQVE6TVNGVC5JUV9UT1RBTF9SRVZfQVNfUkVQT1JURUQuOTk0LjAyLzA4LzIwMjYuLi5VU0QuSAEAAABLVQAAAgAAAAYxNDMwMTUBCAAAAAUAAAABMQEAAAALLTIwODc0OTY2MjcDAAAAAzE2MAIAAAADMzM5BAAAAAEwBwAAAAg4LzIvMjAyNggAAAAJNi8zMC8yMDIwCQAAAAEwTlTYbizw3ggbE4GHLPDeCDFDSVEuTkFTREFROk1TRlQuSVFfTklfU0ZBUy45OTYuMDIvMDgvMjAyNi4uLlVTRC5IAQAAAEtVAAADAAAAAABOVNhuLPDeCMU7gYcs8N4IPUNJUS5OQVNEQVE6TVNGVC5JUV9DVVJSX0RPTUVTVElDX1RBWEVTLjk5My4wMi8wOC8yMDI2Li4uVVNELkgBAAAAS1UAAAIAAAAE</t>
  </si>
  <si>
    <t>NTM4MAEIAAAABQAAAAExAQAAAAstMjE0MDk4MTQ2OQMAAAADMTYwAgAAAAQzMDI3BAAAAAEwBwAAAAg4LzIvMjAyNggAAAAJNi8zMC8yMDE5CQAAAAEwTlTYbizw3gjFO4GHLPDeCEFDSVEuTkFTREFROk1TRlQuSVFfREVGRVJSRURfRk9SRUlHTl9UQVhFUy4xMDAwLjAyLzA4LzIwMjYuLi5VU0QuSAEAAABLVQAAAgAAAAM1MzEBCAAAAAUAAAABMQEAAAALLTE4ODAyMjk2NjUDAAAAAzE2MAIAAAAEMzA1NQQAAAABMAcAAAAIOC8yLzIwMjYIAAAACTYvMzAvMjAyNgkAAAABME5U2G4s8N4IGxOBhyzw3gg+Q0lRLk5BU0RBUTpNU0ZULklRX0NBUElUQUxJWkVEX0lOVEVSRVNULjk5OS4wMi8wOC8yMDI2Li4uVVNELkgBAAAAS1UAAAMAAAAAAE5U2G4s8N4IXyeBhyzw3ggzQ0lRLk5BU0RBUTpNU0ZULklRX0RBX0VCSVREQS45OTguMDIvMDgvMjAyNi4uLlVTRC5IAQAAAEtVAAACAAAABTIwMDAwAQgAAAAFAAAAATEBAAAACy0xODgwMjI5Njk0AwAAAAMxNjACAAAABDIyMDYEAAAAATAHAAAACDgvMi8yMDI2CAAAAAk2LzMwLzIwMjQJAAAAATBOVNhuLPDeCF8ngYcs8N4ILUNJUS5OQVNEQVE6TVNGVC5JUV9ESUMuOTk3LjAyLzA4LzIwMjYuLi5VU0QuSAEAAABLVQAAAwAAAAAATlTYbizw3ggqUIGHLPDeCDBDSVEuTkFTREFROk1TRlQuSVFfR0FfRVhQLjk5NS4wMi8wOC8yMDI2Li4uVVNELkgBAAAAS1UAAAIA</t>
  </si>
  <si>
    <t>AAAENTEwNwEIAAAABQAAAAExAQAAAAstMjAzNjg0Mzg0MwMAAAADMTYwAgAAAAUyMTU2MgQAAAABMAcAAAAIOC8yLzIwMjYIAAAACTYvMzAvMjAyMQkAAAABME5U2G4s8N4IKlCBhyzw3gg4Q0lRLk5BU0RBUTpNU0ZULklRX01JTklNVU1fUkVOVEFMLjk5Mi4wMi8wOC8yMDI2Li4uVVNELkgBAAAAS1UAAAMAAAAAAE5U2G4s8N4IXyeBhyzw3ghCQ0lRLk5BU0RBUTpNU0ZULklRX0lNUFVUX09QRVJfTEVBU0VfSU5UX0VYUC45OTMuMDIvMDgvMjAyNi4uLlVTRC5IAQAAAEtVAAACAAAACTQyMS42OTcyOAEIAAAABQAAAAExAQAAAAstMjE0MDk4MTQ2OQMAAAADMTYwAgAAAAUyMTY3MgQAAAABMAcAAAAIOC8yLzIwMjYIAAAACTYvMzAvMjAxOQkAAAABME5U2G4s8N4IXyeBhyzw3gg+Q0lRLk5BU0RBUTpNU0ZULklRX0lNUEFJUk1FTlRfR1dfU1VQUExFLjk5Ny4wMi8wOC8yMDI2Li4uVVNELkgBAAAAS1UAAAMAAAAAAE5U2G4s8N4IxTuBhyzw3gg+Q0lRLk5BU0RBUTpNU0ZULklRX1RPVEFMX1VOVVNVQUxfU1VQUExFLjk5OS4wMi8wOC8yMDI2Li4uVVNELkgBAAAAS1UAAAMAAAAAAE5U2G4s8N4IYWSBhyzw3gg5Q0lRLk5BU0RBUTpNU0ZULklRX1NUT0NLX0JBU0VEX0FULjEwMDAuMDIvMDgvMjAyNi4uLlVTRC5IAQAAAEtVAAADAAAAAABOVNhuLPDeCGFkgYcs8N4INUNJUS5OQVNEQVE6TVNGVC5JUV9EQV9T</t>
  </si>
  <si>
    <t>VVBQTF9DRi45OTcuMDIvMDgvMjAyNi4uLlVTRC5IAQAAAEtVAAACAAAABTExMDAwAQgAAAAFAAAAATEBAAAACy0xOTM0MjU0MjUwAwAAAAMxNjACAAAABDIxNzEEAAAAATAHAAAACDgvMi8yMDI2CAAAAAk2LzMwLzIwMjMJAAAAATBOVNhuLPDeCMU7gYcs8N4IM0NJUS5OQVNEQVE6TVNGVC5JUV9DSEFOR0VfQVIuOTk3LjAyLzA4LzIwMjYuLi5VU0QuSAEAAABLVQAAAgAAAAUtNDA4NwEIAAAABQAAAAExAQAAAAstMTkzNDI1NDI1MAMAAAADMTYwAgAAAAQyMDE4BAAAAAEwBwAAAAg4LzIvMjAyNggAAAAJNi8zMC8yMDIzCQAAAAEwTlTYbizw3gjFO4GHLPDeCERDSVEuTkFTREFROk1TRlQuSVFfREVSSVZBVElWRV9UUkFESU5HX0FTU0VUUy4yMDAwLjAyLzA4LzIwMjYuLi5VU0QuSAEAAABLVQAAAwAAAAAATlTYbizw3gjFO4GHLPDeCD5DSVEuTkFTREFROk1TRlQuSVFfV0FSUkFOVFlfTElBQklMSVRJRVMuOTkwLjAyLzA4LzIwMjYuLi5VU0QuSAEAAABLVQAAAwAAAAAATlTYbizw3giMeIGHLPDeCDxDSVEuTkFTREFROk1TRlQuSVFfREVCVF9FUVVJVl9ORVRfUEJPLjk5MS4wMi8wOC8yMDI2Li4uVVNELkgBAAAAS1UAAAMAAAAAAE5U2G4s8N4IjHiBhyzw3gg+Q0lRLk5BU0RBUTpNU0ZULklRX0xJQUJJTElUSUVTX0xFVkVMXzMuMjAwMC4wMi8wOC8yMDI2Li4uVVNELkgBAAAAS1UAAAMAAAAAAE5U2G4s</t>
  </si>
  <si>
    <t>8N4IKlCBhyzw3gg4Q0lRLk5BU0RBUTpNU0ZULklRX0FTU0VUU19MRVZFTF8yLjk5MC4wMi8wOC8yMDI2Li4uVVNELkgBAAAAS1UAAAIAAAAFMjQ5NjMATlTYbizw3ggqUIGHLPDeCEVDSVEuTkFTREFROk1TRlQuSVFfR0VORVJBTF9QQVJUTkVSX1BSRUZfRVFVSVRZLjk5MC4wMi8wOC8yMDI2Li4uVVNELkgBAAAAS1UAAAMAAAAAAE5U2G4s8N4IYWSBhyzw3ghBQ0lRLk5BU0RBUTpNU0ZULklRX05BVFVSQUxfUkVTT1VSQ0VTX0NPU1QuMjAwMC4wMi8wOC8yMDI2Li4uVVNELkgBAAAAS1UAAAMAAAAAAE5U2G4s8N4IjHiBhyzw3ggyQ0lRLk5BU0RBUTpNU0ZULklRX1dJUF9JTlYuMjAwMC4wMi8wOC8yMDI2Li4uVVNELkgBAAAAS1UAAAMAAAAAAE5U2G4s8N4IjHiBhyzw3gg5Q0lRLk5BU0RBUTpNU0ZULklRX05FVF9XT1JLSU5HX0NBUC45OTEuMDIvMDgvMjAyNi4uLlVTRC5IAQAAAEtVAAACAAAABi0xNDI5MwEIAAAABQAAAAExAQAAAAoxOTczMzgwOTUxAwAAAAMxNjACAAAABDEzMTEEAAAAATAHAAAACDgvMi8yMDI2CAAAAAk2LzMwLzIwMTcJAAAAATBOVNhuLPDeCGFkgYcs8N4IM0NJUS5OQVNEQVE6TVNGVC5JUV9HV19JTlRBTi4yMDAwLjAyLzA4LzIwMjYuLi5VU0QuSAEAAABLVQAAAgAAAAYxMzgyNjABCAAAAAUAAAABMQEAAAALLTE4ODAyMjkzMjMDAAAAAzE2MAIAAAAFMzUzODEEAAAAATAHAAAA</t>
  </si>
  <si>
    <t>CDgvMi8yMDI2CAAAAAk2LzMwLzIwMjYJAAAAATBOVNhuLPDeCGFkgYcs8N4IRkNJUS5OQVNEQVE6TVNGVC5JUV9UT1RBTF9ERUJUX0VYQ0xfT1BFUl9MRUFTRVMuMjAwMC4wMi8wOC8yMDI2Li4uVVNELkgBAAAAS1UAAAIAAAAGMTA2ODg4AQgAAAAFAAAAATEBAAAACy0xODgwMjI5MzIzAwAAAAMxNjACAAAABTQ4OTgyBAAAAAEwBwAAAAg4LzIvMjAyNggAAAAJNi8zMC8yMDI2CQAAAAEwTlTYbizw3ghhZIGHLPDeCD9DSVEuTkFTREFROk1TRlQuSVFfVE9UQUxfRklOQU5DRV9MRUFTRVMuMjAwMC4wMi8wOC8yMDI2Li4uVVNELkgBAAAAS1UAAAIAAAAFNjY1OTQBCAAAAAUAAAABMQEAAAALLTE4ODAyMjkzMjMDAAAAAzE2MAIAAAAFNDkwMzEEAAAAATAHAAAACDgvMi8yMDI2CAAAAAk2LzMwLzIwMjYJAAAAATBOVNhuLPDeCACNgYcs8N4IR0NJUS5OQVNEQVE6TVNGVC5JUV9SVUFfT1BFUkFUSU5HX0xFQVNFX0FDQ1VNX0RFUC45OTEuMDIvMDgvMjAyNi4uLlVTRC5IAQAAAEtVAAADAAAAAABOVNhuLPDeCACNgYcs8N4IM0NJUS5OQVNEQVE6TVNGVC5JUV9SVUFfR1JPU1MuOTkxLjAyLzA4LzIwMjYuLi5VU0QuSAEAAABLVQAAAwAAAAAATlTYbizw3giMeIGHLPDeCCxDSVEuTkFTREFROk1TRlQuSVFfUkUuOTkxLjAyLzA4LzIwMjYuLi5VU0QuSAEAAABLVQAAAgAAAAUxNzc2OQEIAAAABQAAAAExAQAAAAox</t>
  </si>
  <si>
    <t>OTczMzgwOTUxAwAAAAMxNjACAAAABDEyMjIEAAAAATAHAAAACDgvMi8yMDI2CAAAAAk2LzMwLzIwMTcJAAAAATBOVNhuLPDeCIx4gYcs8N4INENJUS5OQVNEQVE6TVNGVC5JUV9UT1RBTF9MSUFCLjk5MC4wMi8wOC8yMDI2Li4uVVNELkgBAAAAS1UAAAIAAAAGMTIxNDcxAQgAAAAFAAAAATEBAAAACjE4OTg0ODk0NzADAAAAAzE2MAIAAAAEMTI3NgQAAAABMAcAAAAIOC8yLzIwMjYIAAAACTYvMzAvMjAxNgkAAAABME5U2G4s8N4IjHiBhyzw3gg6Q0lRLk5BU0RBUTpNU0ZULklRX0xPTkdfVEVSTV9MRUFTRVMuOTkwLjAyLzA4LzIwMjYuLi5VU0QuSAEAAABLVQAAAgAAAAM3NjEBCAAAAAUAAAABMQEAAAAKMTg5ODQ4OTQ3MAMAAAADMTYwAgAAAAQxMTgzBAAAAAEwBwAAAAg4LzIvMjAyNggAAAAJNi8zMC8yMDE2CQAAAAEwTlTYbizw3ghooYGHLPDeCD5DSVEuTkFTREFROk1TRlQuSVFfRklOX0RJVl9MSUFCX0NVUlJFTlQuOTkxLjAyLzA4LzIwMjYuLi5VU0QuSAEAAABLVQAAAwAAAAAATlTYbizw3ghooYGHLPDeCDlDSVEuTkFTREFROk1TRlQuSVFfREVGX0NIQVJHRVNfTFQuMjAwMC4wMi8wOC8yMDI2Li4uVVNELkgBAAAAS1UAAAMAAAAAAE5U2G4s8N4IAI2Bhyzw3gg1Q0lRLk5BU0RBUTpNU0ZULklRX09USEVSX0lOVEFOLjk5MC4wMi8wOC8yMDI2Li4uVVNELkgBAAAAS1UAAAIAAAAEMzczMwEIAAAA</t>
  </si>
  <si>
    <t>BQAAAAExAQAAAAoxODk4NDg5NDcwAwAAAAMxNjACAAAABDEwNDAEAAAAATAHAAAACDgvMi8yMDI2CAAAAAk2LzMwLzIwMTYJAAAAATBOVNhuLPDeCACNgYcs8N4IOENJUS5OQVNEQVE6TVNGVC5JUV9PVEhFUl9DQV9TVVBQTC45OTEuMDIvMDgvMjAyNi4uLlVTRC5IAQAAAEtVAAACAAAABDUxODMBCAAAAAUAAAABMQEAAAAKMTk3MzM4MDk1MQMAAAADMTYwAgAAAAQxMDU1BAAAAAEwBwAAAAg4LzIvMjAyNggAAAAJNi8zMC8yMDE3CQAAAAEwTlTYbizw3ggAjYGHLPDeCDlDSVEuTkFTREFROk1TRlQuSVFfU1RfTk9URV9SRUNFSVYuMjAwMC4wMi8wOC8yMDI2Li4uVVNELkgBAAAAS1UAAAMAAAAAAE5U2G4s8N4IpLWBhyzw3gg0Q0lRLk5BU0RBUTpNU0ZULklRX0NBU0hfRVFVSVYuOTkxLjAyLzA4LzIwMjYuLi5VU0QuSAEAAABLVQAAAgAAAAQ3NjYzAQgAAAAFAAAAATEBAAAACjE5NzMzODA5NTEDAAAAAzE2MAIAAAAEMTA5NgQAAAABMAcAAAAIOC8yLzIwMjYIAAAACTYvMzAvMjAxNwkAAAABME5U2G4s8N4IpLWBhyzw3gg3Q0lRLk5BU0RBUTpNU0ZULklRX0RPX0ZJTkFOQ0VfQ0YuOTkxLjAyLzA4LzIwMjYuLi5VU0QuSAEAAABLVQAAAwAAAAAATlTYbizw3ggAjYGHLPDeCD5DSVEuTkFTREFROk1TRlQuSVFfQ0hBTkdFX0RFRl9UQVhfVE9UQUwuOTkwLjAyLzA4LzIwMjYuLi5VU0QuSAEAAABLVQAAAgAA</t>
  </si>
  <si>
    <t>AAQyNDc5AQgAAAAFAAAAATEBAAAACjE4OTg0ODk0NzADAAAAAzE2MAIAAAAFMzA5MjQEAAAAATAHAAAACDgvMi8yMDI2CAAAAAk2LzMwLzIwMTYJAAAAATBOVNhuLPDeCGihgYcs8N4IPENJUS5OQVNEQVE6TVNGVC5JUV9DQVNIX0lOVEVSRVNUX09QRVIuOTkwLjAyLzA4LzIwMjYuLi5VU0QuSAEAAABLVQAAAwAAAAAATlTYbizw3ghooYGHLPDeCD5DSVEuTkFTREFROk1TRlQuSVFfTkVHQVRJVkVfR1dfQU1PUlRfQ0YuOTkxLjAyLzA4LzIwMjYuLi5VU0QuSAEAAABLVQAAAwAAAAAATlTYbizw3ghDyoGHLPDeCDRDSVEuTkFTREFROk1TRlQuSVFfTkVUX0NIQU5HRS45OTEuMDIvMDgvMjAyNi4uLlVTRC5IAQAAAEtVAAACAAAABDExNTMBCAAAAAUAAAABMQEAAAAKMTk3MzM4MDk1MQMAAAADMTYwAgAAAAQyMDkzBAAAAAEwBwAAAAg4LzIvMjAyNggAAAAJNi8zMC8yMDE3CQAAAAEwTlTYbizw3ghDyoGHLPDeCDxDSVEuTkFTREFROk1TRlQuSVFfQ09NTU9OX1BSRUZfRElWX0NGLjk5MS4wMi8wOC8yMDI2Li4uVVNELkgBAAAAS1UAAAMAAAAAAE5U2G4s8N4IaKGBhyzw3gg7Q0lRLk5BU0RBUTpNU0ZULklRX1RPVEFMX0RFQlRfUkVQQUlELjk5MS4wMi8wOC8yMDI2Li4uVVNELkgBAAAAS1UAAAIAAAAGLTEyODg1AQgAAAAFAAAAATEBAAAACjE5NzMzODA5NTEDAAAAAzE2MAIAAAAEMjE2NgQAAAABMAcAAAAI</t>
  </si>
  <si>
    <t>OC8yLzIwMjYIAAAACTYvMzAvMjAxNwkAAAABME5U2G4s8N4IpLWBhyzw3gg5Q0lRLk5BU0RBUTpNU0ZULklRX0lOVkVTVF9MT0FOU19DRi45OTAuMDIvMDgvMjAyNi4uLlVTRC5IAQAAAEtVAAADAAAAAABOVNhuLPDeCKS1gYcs8N4IL0NJUS5OQVNEQVE6TVNGVC5JUV9DQVBFWC45OTAuMDIvMDgvMjAyNi4uLlVTRC5IAQAAAEtVAAACAAAABS04MzQzAQgAAAAFAAAAATEBAAAACjE4OTg0ODk0NzADAAAAAzE2MAIAAAAEMjAyMQQAAAABMAcAAAAIOC8yLzIwMjYIAAAACTYvMzAvMjAxNgkAAAABME5U2G4s8N4Itt6Bhyzw3gg6Q0lRLk5BU0RBUTpNU0ZULklRX0NIQU5HRV9JTlZFTlRPUlkuOTkxLjAyLzA4LzIwMjYuLi5VU0QuSAEAAABLVQAAAgAAAAI1MAEIAAAABQAAAAExAQAAAAoxOTczMzgwOTUxAwAAAAMxNjACAAAABDIwOTkEAAAAATAHAAAACDgvMi8yMDI2CAAAAAk2LzMwLzIwMTcJAAAAATBOVNhuLPDeCLbegYcs8N4IOUNJUS5OQVNEQVE6TVNGVC5JUV9DUkVESVRfTE9TU19DRi4yMDAwLjAyLzA4LzIwMjYuLi5VU0QuSAEAAABLVQAAAwAAAAAATlTYbizw3giktYGHLPDeCDVDSVEuTkFTREFROk1TRlQuSVFfT1RIRVJfQU1PUlQuOTkwLjAyLzA4LzIwMjYuLi5VU0QuSAEAAABLVQAAAgAAAAI2OQEIAAAABQAAAAExAQAAAAoxODk4NDg5NDcwAwAAAAMxNjACAAAABDIwMTQEAAAAATAHAAAACDgv</t>
  </si>
  <si>
    <t>Mi8yMDI2CAAAAAk2LzMwLzIwMTYJAAAAATBOVNhuLPDeCKS1gYcs8N4IPkNJUS5OQVNEQVE6TVNGVC5JUV9TVE9DS19CQVNFRF9DT01QX1RBWC45OTEuMDIvMDgvMjAyNi4uLlVTRC5IAQAAAEtVAAACAAAABS0xMDY2AE5U2G4s8N4IQ8qBhyzw3gg5Q0lRLk5BU0RBUTpNU0ZULklRX1NUT0NLX0JBU0VEX0FULjIwMDAuMDIvMDgvMjAyNi4uLlVTRC5IAQAAAEtVAAADAAAAAABOVNhuLPDeCOrygYcs8N4IOENJUS5OQVNEQVE6TVNGVC5JUV9TVE9DS19CQVNFRF9SRC45OTAuMDIvMDgvMjAyNi4uLlVTRC5IAQAAAEtVAAADAAAAAABOVNhuLPDeCOrygYcs8N4IO0NJUS5OQVNEQVE6TVNGVC5JUV9JTlNfU0VUVExFX1NVUFBMRS45OTAuMDIvMDgvMjAyNi4uLlVTRC5IAQAAAEtVAAADAAAAAABOVNhuLPDeCEPKgYcs8N4IQENJUS5OQVNEQVE6TVNGVC5JUV9JTVBVVF9PUEVSX0xFQVNFX0RFUFIuMjAwMC4wMi8wOC8yMDI2Li4uVVNELkgBAAAAS1UAAAIAAAALNTU0Mi43Mzc0MDgBCAAAAAUAAAABMQEAAAALLTE4ODAyMjkzMjMDAAAAAzE2MAIAAAAFMjE2NzMEAAAAATAHAAAACDgvMi8yMDI2CAAAAAk2LzMwLzIwMjYJAAAAATBOVNhuLPDeCLbegYcs8N4IOUNJUS5OQVNEQVE6TVNGVC5JUV9NSU5JTVVNX1JFTlRBTC4yMDAwLjAyLzA4LzIwMjYuLi5VU0QuSAEAAABLVQAAAwAAAAAATlTYbizw3gi23oGHLPDe</t>
  </si>
  <si>
    <t>CDpDSVEuTkFTREFROk1TRlQuSVFfU0FMRVNfTUFSS0VUSU5HLjIwMDAuMDIvMDgvMjAyNi4uLlVTRC5IAQAAAEtVAAACAAAABTI2NzEwAQgAAAAFAAAAATEBAAAACy0xODgwMjI5MzIzAwAAAAMxNjACAAAABTIxNTYxBAAAAAEwBwAAAAg4LzIvMjAyNggAAAAJNi8zMC8yMDI2CQAAAAEwTlTYbizw3ggtCIKHLPDeCDRDSVEuTkFTREFROk1TRlQuSVFfREFfRUJJVERBLjIwMDAuMDIvMDgvMjAyNi4uLlVTRC5IAQAAAEtVAAACAAAABTM5MDAwAQgAAAAFAAAAATEBAAAACy0xODgwMjI5MzIzAwAAAAMxNjACAAAABDIyMDYEAAAAATAHAAAACDgvMi8yMDI2CAAAAAk2LzMwLzIwMjYJAAAAATBOVNhuLPDeCC0Igocs8N4IMkNJUS5OQVNEQVE6TVNGVC5JUV9ESUxVVF9OSS45OTAuMDIvMDgvMjAyNi4uLlVTRC5IAQAAAEtVAAACAAAACDIwNTEzLjI4AQgAAAAFAAAAATEBAAAACjE4OTg0ODk0NzADAAAAAzE2MAIAAAAEMzUyMgQAAAABMAcAAAAIOC8yLzIwMjYIAAAACTYvMzAvMjAxNgkAAAABME5U2G4s8N4I6vKBhyzw3gg8Q0lRLk5BU0RBUTpNU0ZULklRX0NVUlJfRk9SRUlHTl9UQVhFUy45OTEuMDIvMDgvMjAyNi4uLlVTRC5IAQAAAEtVAAACAAAABDI0NzIBCAAAAAUAAAABMQEAAAAKMTk3MzM4MDk1MQMAAAADMTYwAgAAAAQzMDMwBAAAAAEwBwAAAAg4LzIvMjAyNggAAAAJNi8zMC8yMDE3CQAAAAEwTlTY</t>
  </si>
  <si>
    <t>bizw3gjq8oGHLPDeCD1DSVEuTkFTREFROk1TRlQuSVFfQVNfUkVQT1JURURfRUJJVERBLjIwMDAuMDIvMDgvMjAyNi4uLlVTRC5IAQAAAEtVAAADAAAAAABOVNhuLPDeCOrygYcs8N4IOENJUS5OQVNEQVE6TVNGVC5JUV9FQklUREFSX0VRX0lOQy45OTAuMDIvMDgvMjAyNi4uLlVTRC5IAQAAAEtVAAACAAAABTM0MDAyAQgAAAAFAAAAATEBAAAACjE4OTg0ODk0NzADAAAAAzE2MAIAAAAFMjQxMjkEAAAAATAHAAAACDgvMi8yMDI2CAAAAAk2LzMwLzIwMTYJAAAAATBOVNhuLPDeCI0cgocs8N4IPkNJUS5OQVNEQVE6TVNGVC5JUV9FQklUX0VRX0lOQ19FWENMX1NCQy45OTEuMDIvMDgvMjAyNi4uLlVTRC5IAQAAAEtVAAACAAAABTMyNTk3AQgAAAAFAAAAATEBAAAACjE5NzMzODA5NTEDAAAAAzE2MAIAAAAFMjQxMzAEAAAAATAHAAAACDgvMi8yMDI2CAAAAAk2LzMwLzIwMTcJAAAAATBOVNhuLPDeCI0cgocs8N4IMUNJUS5OQVNEQVE6TVNGVC5JUV9FQklUREEuMjAwMC4wMi8wOC8yMDI2Li4uVVNELkgBAAAAS1UAAAIAAAAGMTk0MjM3AQgAAAAFAAAAATEBAAAACy0xODgwMjI5MzIzAwAAAAMxNjACAAAABDQwNTEEAAAAATAHAAAACDgvMi8yMDI2CAAAAAk2LzMwLzIwMjYJAAAAATBOVNhuLPDeCC0Igocs8N4IOENJUS5OQVNEQVE6TVNGVC5JUV9ESUxVVF9FUFNfTk9STS45OTAuMDIvMDgvMjAyNi4uLlVT</t>
  </si>
  <si>
    <t>RC5IAQAAAEtVAAACAAAABzIuMDM2NjkBCAAAAAUAAAABMQEAAAAKMTg5ODQ4OTQ3MAMAAAADMTYwAgAAAAQ0MzgwBAAAAAEwBwAAAAg4LzIvMjAyNggAAAAJNi8zMC8yMDE2CQAAAAEwTlTYbizw3ggtCIKHLPDeCDdDSVEuTkFTREFROk1TRlQuSVFfTklfQVZBSUxfSU5DTC45OTAuMDIvMDgvMjAyNi4uLlVTRC5IAQAAAEtVAAACAAAABTIwNTM5AQgAAAAFAAAAATEBAAAACjE4OTg0ODk0NzADAAAAAzE2MAIAAAACMTYEAAAAATAHAAAACDgvMi8yMDI2CAAAAAk2LzMwLzIwMTYJAAAAATBOVNhuLPDeCC0Igocs8N4ILkNJUS5OQVNEQVE6TVNGVC5JUV9FQlQuMjAwMC4wMi8wOC8yMDI2Li4uVVNELkgBAAAAS1UAAAIAAAAGMTY1OTM0AQgAAAAFAAAAATEBAAAACy0xODgwMjI5MzIzAwAAAAMxNjACAAAAAzEzOQQAAAABMAcAAAAIOC8yLzIwMjYIAAAACTYvMzAvMjAyNgkAAAABME5U2G4s8N4IuDCChyzw3gg2Q0lRLk5BU0RBUTpNU0ZULklRX0dBSU5fSU5WRVNULjIwMDAuMDIvMDgvMjAyNi4uLlVTRC5IAQAAAEtVAAACAAAABDYyNDkBCAAAAAUAAAABMQEAAAALLTE4ODAyMjkzMjMDAAAAAzE2MAIAAAACNjIEAAAAATAHAAAACDgvMi8yMDI2CAAAAAk2LzMwLzIwMjYJAAAAATBOVNhuLPDeCLgwgocs8N4INUNJUS5OQVNEQVE6TVNGVC5JUV9JTkNfRVFVSVRZLjIwMDAuMDIvMDgvMjAyNi4uLlVTRC5IAQAA</t>
  </si>
  <si>
    <t>AEtVAAACAAAABDQ3MjIBCAAAAAUAAAABMQEAAAALLTE4ODAyMjkzMjMDAAAAAzE2MAIAAAACNDcEAAAAATAHAAAACDgvMi8yMDI2CAAAAAk2LzMwLzIwMjYJAAAAATBOVNhuLPDeCI0cgocs8N4INENJUS5OQVNEQVE6TVNGVC5JUV9JTVBBSVJfT0lMLjk5MS4wMi8wOC8yMDI2Li4uVVNELkgBAAAAS1UAAAMAAAAAAE5U2G4s8N4IjRyChyzw3gg3Q0lRLk5BU0RBUTpNU0ZULklRX0VYUExPUkVfRFJJTEwuOTkxLjAyLzA4LzIwMjYuLi5VU0QuSAEAAABLVQAAAwAAAAAATlTYbizw3giNHIKHLPDeCDNDSVEuTkFTREFROk1TRlQuSVFfVE9UQUxfUkVWLjk5MS4wMi8wOC8yMDI2Li4uVVNELkgBAAAAS1UAAAIAAAAFOTY1NzEBCAAAAAUAAAABMQEAAAAKMTk3MzM4MDk1MQMAAAADMTYwAgAAAAIyOAQAAAABMAcAAAAIOC8yLzIwMjYIAAAACTYvMzAvMjAxNwkAAAABME5U2G4s8N4IUEWChyzw3gg1Q0lRLk5BU0RBUTpNU0ZULklRX0ZJTl9ESVZfUkVWLjk5OS4wMi8wOC8yMDI2Li4uVVNELkgBAAAAS1UAAAMAAAAAAE5U2G4s8N4IUEWChyzw3gg6Q0lRLk5BU0RBUTpNU0ZULklRX0dBSU5fQVNTRVRTX1JFVi4xMDAwLjAyLzA4LzIwMjYuLi5VU0QuSAEAAABLVQAAAwAAAAAATlTYbizw3giNHIKHLPDeCDVDSVEuTkFTREFROk1TRlQuSVFfSU5UX0lOVl9JTkMuOTkzLjAyLzA4LzIwMjYuLi5VU0QuSAEAAABLVQAA</t>
  </si>
  <si>
    <t>AwAAAAAATlTYbizw3gi4MIKHLPDeCC5DSVEuTkFTREFROk1TRlQuSVFfQ09HUy45OTkuMDIvMDgvMjAyNi4uLlVTRC5IAQAAAEtVAAACAAAABTg3ODMxAQgAAAAFAAAAATEBAAAACy0xODgwMjI5Njg2AwAAAAMxNjACAAAAAjM0BAAAAAEwBwAAAAg4LzIvMjAyNggAAAAJNi8zMC8yMDI1CQAAAAEwTlTYbizw3gi4MIKHLPDeCDZDSVEuTkFTREFROk1TRlQuSVFfSU5TX0RJVl9FWFAuMTAwMC4wMi8wOC8yMDI2Li4uVVNELkgBAAAAS1UAAAMAAAAAAE5U2G4s8N4IIXOChyzw3ggzQ0lRLk5BU0RBUTpNU0ZULklRX1NHQV9TVVBQTC45OTguMDIvMDgvMjAyNi4uLlVTRC5IAQAAAEtVAAACAAAABTMyMDY1AQgAAAAFAAAAATEBAAAACy0xODgwMjI5Njk0AwAAAAMxNjACAAAAAzEwMgQAAAABMAcAAAAIOC8yLzIwMjYIAAAACTYvMzAvMjAyNAkAAAABME5U2G4s8N4IIXOChyzw3gg4Q0lRLk5BU0RBUTpNU0ZULklRX1BST1ZfQkFEX0RFQlRTLjk5OS4wMi8wOC8yMDI2Li4uVVNELkgBAAAAS1UAAAMAAAAAAE5U2G4s8N4IUEWChyzw3gg4Q0lRLk5BU0RBUTpNU0ZULklRX1BSRV9PUEVOX0NPU1QuMTAwMC4wMi8wOC8yMDI2Li4uVVNELkgBAAAAS1UAAAMAAAAAAE5U2G4s8N4IUEWChyzw3gg4Q0lRLk5BU0RBUTpNU0ZULklRX0dXX0lOVEFOX0FNT1JULjk5OC4wMi8wOC8yMDI2Li4uVVNELkgBAAAAS1UAAAMAAAAA</t>
  </si>
  <si>
    <t>AE5U2G4s8N4IUEWChyzw3gg0Q0lRLk5BU0RBUTpNU0ZULklRX09USEVSX09QRVIuOTk5LjAyLzA4LzIwMjYuLi5VU0QuSAEAAABLVQAAAwAAAAAATlTYbizw3gghc4KHLPDeCD1DSVEuTkFTREFROk1TRlQuSVFfSU5URVJFU1RfSU5WRVNUX0lOQy45OTUuMDIvMDgvMjAyNi4uLlVTRC5IAQAAAEtVAAACAAAABDIxMzEBCAAAAAUAAAABMQEAAAALLTIwMzY4NDM4NDMDAAAAAzE2MAIAAAACNjUEAAAAATAHAAAACDgvMi8yMDI2CAAAAAk2LzMwLzIwMjEJAAAAATBOVNhuLPDeCGiagocs8N4INENJUS5OQVNEQVE6TVNGVC5JUV9JTkNfRVFVSVRZLjk5Ni4wMi8wOC8yMDI2Li4uVVNELkgBAAAAS1UAAAIAAAADLTMyAQgAAAAFAAAAATEBAAAACy0xOTg1OTMxMjI0AwAAAAMxNjACAAAAAjQ3BAAAAAEwBwAAAAg4LzIvMjAyNggAAAAJNi8zMC8yMDIyCQAAAAEwTlTYbizw3ghQRYKHLPDeCDhDSVEuTkFTREFROk1TRlQuSVFfQ1VSUkVOQ1lfR0FJTi4xMDAwLjAyLzA4LzIwMjYuLi5VU0QuSAEAAABLVQAAAgAAAAI2NQEIAAAABQAAAAExAQAAAAstMTg4MDIyOTY2NQMAAAADMTYwAgAAAAIzOAQAAAABMAcAAAAIOC8yLzIwMjYIAAAACTYvMzAvMjAyNgkAAAABME5U2G4s8N4IUEWChyzw3ggwQ0lRLk5BU0RBUTpNU0ZULklRX01FUkdFUi45OTUuMDIvMDgvMjAyNi4uLlVTRC5IAQAAAEtVAAADAAAAAABOVNhuLPDe</t>
  </si>
  <si>
    <t>CFBFgocs8N4IOENJUS5OQVNEQVE6TVNGVC5JUV9JTVBBSVJNRU5UX0dXLjEwMDAuMDIvMDgvMjAyNi4uLlVTRC5IAQAAAEtVAAADAAAAAABOVNhuLPDeCGiagocs8N4IOUNJUS5OQVNEQVE6TVNGVC5JUV9BU1NFVF9XUklURURPV04uOTk5LjAyLzA4LzIwMjYuLi5VU0QuSAEAAABLVQAAAwAAAAAATlTYbizw3ghomoKHLPDeCD1DSVEuTkFTREFROk1TRlQuSVFfT1RIRVJfVU5VU1VBTF9TVVBQTC45OTkuMDIvMDgvMjAyNi4uLlVTRC5IAQAAAEtVAAADAAAAAABOVNhuLPDeCCFzgocs8N4INENJUS5OQVNEQVE6TVNGVC5JUV9FQVJOSU5HX0NPLjk5Mi4wMi8wOC8yMDI2Li4uVVNELkgBAAAAS1UAAAIAAAAFMTY1NzEBCAAAAAUAAAABMQEAAAAKMjA0NzI3MTc0NQMAAAADMTYwAgAAAAE3BAAAAAEwBwAAAAg4LzIvMjAyNggAAAAJNi8zMC8yMDE4CQAAAAEwTlTYbizw3gghc4KHLPDeCDlDSVEuTkFTREFROk1TRlQuSVFfRVhUUkFfQUNDX0lURU1TLjk5OC4wMi8wOC8yMDI2Li4uVVNELkgBAAAAS1UAAAMAAAAAAE5U2G4s8N4IIXOChyzw3gg4Q0lRLk5BU0RBUTpNU0ZULklRX1BSRUZfRElWX09USEVSLjk5NC4wMi8wOC8yMDI2Li4uVVNELkgBAAAAS1UAAAMAAAAAAE5U2G4s8N4IaJqChyzw3gg4Q0lRLk5BU0RBUTpNU0ZULklRX0JBU0lDX0VQU19JTkNMLjk5NS4wMi8wOC8yMDI2Li4uVVNELkgBAAAAS1UA</t>
  </si>
  <si>
    <t>AAIAAAAHOC4xMTg1OQEIAAAABQAAAAExAQAAAAstMjAzNjg0Mzg0MwMAAAADMTYwAgAAAAE5BAAAAAEwBwAAAAg4LzIvMjAyNggAAAAJNi8zMC8yMDIxCQAAAAEwTlTYbizw3ghomoKHLPDeCDhDSVEuTkFTREFROk1TRlQuSVFfRElMVVRfRVBTX0VYQ0wuOTk1LjAyLzA4LzIwMjYuLi5VU0QuSAEAAABLVQAAAgAAAAQ4LjA1AQgAAAAFAAAAATEBAAAACy0yMDM2ODQzODQzAwAAAAMxNjACAAAAAzE0MgQAAAABMAcAAAAIOC8yLzIwMjYIAAAACTYvMzAvMjAyMQkAAAABME5U2G4s8N4IaJqChyzw3gg4Q0lRLk5BU0RBUTpNU0ZULklRX0RJTFVUX0VQU19OT1JNLjk5OC4wMi8wOC8yMDI2Li4uVVNELkgBAAAAS1UAAAIAAAAIOS4wNDQyMTYBCAAAAAUAAAABMQEAAAALLTE4ODAyMjk2OTQDAAAAAzE2MAIAAAAENDM4MAQAAAABMAcAAAAIOC8yLzIwMjYIAAAACTYvMzAvMjAyNAkAAAABME5U2G4s8N4IaJqChyzw3ghCQ0lRLk5BU0RBUTpNU0ZULklRX0RJU1RSSUJVVEFCTEVfQ0FTSF9TSEFSRS45OTcuMDIvMDgvMjAyNi4uLlVTRC5IAQAAAEtVAAADAAAAAABOVNhuLPDeCGiagocs8N4IN0NJUS5OQVNEQVE6TVNGVC5JUV9FQklUREFfRVFfSU5DLjk5NC4wMi8wOC8yMDI2Li4uVVNELkgBAAAAS1UAAAIAAAAFNjczMDIBCAAAAAUAAAABMQEAAAALLTIwODc0OTY2MjcDAAAAAzE2MAIAAAAFMjE2NzcEAAAAATAH</t>
  </si>
  <si>
    <t>AAAACDgvMi8yMDI2CAAAAAk2LzMwLzIwMjAJAAAAATBOVNhuLPDeCGiagocs8N4IP0NJUS5OQVNEQVE6TVNGVC5JUV9FQklUREFfTEVBU0VfQURKVVNURUQuOTk4LjAyLzA4LzIwMjYuLi5VU0QuSAEAAABLVQAAAgAAAAYxMzI5ODgBCAAAAAUAAAABMQEAAAALLTE4ODAyMjk2OTQDAAAAAzE2MAIAAAAFNDg5OTMEAAAAATAHAAAACDgvMi8yMDI2CAAAAAk2LzMwLzIwMjQJAAAAATBOVNhuLPDeCGiagocs8N4INUNJUS5OQVNEQVE6TVNGVC5JUV9FQklUX0VRX0lOQy45OTUuMDIvMDgvMjAyNi4uLlVTRC5IAQAAAEtVAAACAAAABTY5OTE2AQgAAAAFAAAAATEBAAAACy0yMDM2ODQzODQzAwAAAAMxNjACAAAABTIxNjc1BAAAAAEwBwAAAAg4LzIvMjAyNggAAAAJNi8zMC8yMDIxCQAAAAEwTlTYbizw3ghomoKHLPDeCDZDSVEuTkFTREFROk1TRlQuSVFfRUJJVEFfRVFfSU5DLjk5OS4wMi8wOC8yMDI2Li4uVVNELkgBAAAAS1UAAAIAAAAGMTI5ODAzAQgAAAAFAAAAATEBAAAACy0xODgwMjI5Njg2AwAAAAMxNjACAAAABTIxNjc2BAAAAAEwBwAAAAg4LzIvMjAyNggAAAAJNi8zMC8yMDI1CQAAAAEwTlTYbizw3ghomoKHLPDeCEFDSVEuTkFTREFROk1TRlQuSVFfRUJJVERBUl9FUV9JTkNfRVhDTF9TQkMuOTkyLjAyLzA4LzIwMjYuLi5VU0QuSAEAAABLVQAAAgAAAAU1MDQ4MwEIAAAABQAAAAExAQAAAAoyMDQ3</t>
  </si>
  <si>
    <t>MjcxNzQ1AwAAAAMxNjACAAAABTI0MTMzBAAAAAEwBwAAAAg4LzIvMjAyNggAAAAJNi8zMC8yMDE4CQAAAAEwTlTYbizw3ghomoKHLPDeCD9DSVEuTkFTREFROk1TRlQuSVFfVE9UQUxfUkVWX0FTX1JFUE9SVEVELjk5Ni4wMi8wOC8yMDI2Li4uVVNELkgBAAAAS1UAAAIAAAAGMTk4MjcwAQgAAAAFAAAAATEBAAAACy0xOTg1OTMxMjI0AwAAAAMxNjACAAAAAzMzOQQAAAABMAcAAAAIOC8yLzIwMjYIAAAACTYvMzAvMjAyMgkAAAABME5U2G4s8N4I6+SChyzw3gg5Q0lRLk5BU0RBUTpNU0ZULklRX0lOVEVSRVNUX0lOQ09NRS45OTIuMDIvMDgvMjAyNi4uLlVTRC5IAQAAAEtVAAACAAAABDIyMTQBCAAAAAUAAAABMQEAAAAKMjA0NzI3MTc0NQMAAAADMTYwAgAAAAMyMTAEAAAAATAHAAAACDgvMi8yMDI2CAAAAAk2LzMwLzIwMTgJAAAAATBOVNhuLPDeCOvkgocs8N4IQUNJUS5OQVNEQVE6TVNGVC5JUV9FWENJU0VfVEFYRVNfSU5DTF9TQUxFUy45OTYuMDIvMDgvMjAyNi4uLlVTRC5IAQAAAEtVAAADAAAAAABOVNhuLPDeCGiagocs8N4IQENJUS5OQVNEQVE6TVNGVC5JUV9ERUZFUlJFRF9GT1JFSUdOX1RBWEVTLjk5Mi4wMi8wOC8yMDI2Li4uVVNELkgBAAAAS1UAAAIAAAAELTM5MwEIAAAABQAAAAExAQAAAAoyMDQ3MjcxNzQ1AwAAAAMxNjACAAAABDMwNTUEAAAAATAHAAAACDgvMi8yMDI2CAAAAAk2LzMw</t>
  </si>
  <si>
    <t>LzIwMTgJAAAAATBOVNhuLPDeCGiagocs8N4IP0NJUS5OQVNEQVE6TVNGVC5JUV9DQVBJVEFMSVpFRF9JTlRFUkVTVC4xMDAwLjAyLzA4LzIwMjYuLi5VU0QuSAEAAABLVQAAAwAAAAAATlTYbizw3ghomoKHLPDeCDNDSVEuTkFTREFROk1TRlQuSVFfREFfRUJJVERBLjk5OS4wMi8wOC8yMDI2Li4uVVNELkgBAAAAS1UAAAIAAAAFMjgwMDABCAAAAAUAAAABMQEAAAALLTE4ODAyMjk2ODYDAAAAAzE2MAIAAAAEMjIwNgQAAAABMAcAAAAIOC8yLzIwMjYIAAAACTYvMzAvMjAyNQkAAAABME5U2G4s8N4I2RWDhyzw3ggtQ0lRLk5BU0RBUTpNU0ZULklRX0RJQy45OTguMDIvMDgvMjAyNi4uLlVTRC5IAQAAAEtVAAADAAAAAABOVNhuLPDeCNkVg4cs8N4IM0NJUS5OQVNEQVE6TVNGVC5JUV9SRF9FWFBfRk4uOTk5LjAyLzA4LzIwMjYuLi5VU0QuSAEAAABLVQAAAgAAAAUzMjQ4OAEIAAAABQAAAAExAQAAAAstMTg4MDIyOTY4NgMAAAADMTYwAgAAAAQzMTY4BAAAAAEwBwAAAAg4LzIvMjAyNggAAAAJNi8zMC8yMDI1CQAAAAEwTlTYbizw3gjr5IKHLPDeCDhDSVEuTkFTREFROk1TRlQuSVFfTUlOSU1VTV9SRU5UQUwuOTk0LjAyLzA4LzIwMjYuLi5VU0QuSAEAAABLVQAAAwAAAAAATlTYbizw3gjr5IKHLPDeCEJDSVEuTkFTREFROk1TRlQuSVFfSU1QVVRfT1BFUl9MRUFTRV9JTlRfRVhQLjk5NC4wMi8wOC8yMDI2</t>
  </si>
  <si>
    <t>Li4uVVNELkgBAAAAS1UAAAIAAAAKNTAyLjQzMDkwNAEIAAAABQAAAAExAQAAAAstMjA4NzQ5NjYyNwMAAAADMTYwAgAAAAUyMTY3MgQAAAABMAcAAAAIOC8yLzIwMjYIAAAACTYvMzAvMjAyMAkAAAABME5U2G4s8N4I6+SChyzw3gg+Q0lRLk5BU0RBUTpNU0ZULklRX0lNUEFJUk1FTlRfR1dfU1VQUExFLjk5OC4wMi8wOC8yMDI2Li4uVVNELkgBAAAAS1UAAAMAAAAAAE5U2G4s8N4IQyqDhyzw3gg+Q0lRLk5BU0RBUTpNU0ZULklRX1RPVEFMX1VOVVNVQUxfU1VQUExFLjk5NS4wMi8wOC8yMDI2Li4uVVNELkgBAAAAS1UAAAMAAAAAAE5U2G4s8N4IQyqDhyzw3gg7Q0lRLk5BU0RBUTpNU0ZULklRX1NUT0NLX0JBU0VEX1RPVEFMLjk5My4wMi8wOC8yMDI2Li4uVVNELkgBAAAAS1UAAAIAAAAENDY1MgEIAAAABQAAAAExAQAAAAstMjE0MDk4MTQ2OQMAAAADMTYwAgAAAAUyNDAzNAQAAAABMAcAAAAIOC8yLzIwMjYIAAAACTYvMzAvMjAxOQkAAAABME5U2G4s8N4IifmChyzw3gg7Q0lRLk5BU0RBUTpNU0ZULklRX0dXX0lOVEFOX0FNT1JUX0NGLjk5OC4wMi8wOC8yMDI2Li4uVVNELkgBAAAAS1UAAAIAAAAENDgwMAEIAAAABQAAAAExAQAAAAstMTg4MDIyOTY5NAMAAAADMTYwAgAAAAQyMTgyBAAAAAEwBwAAAAg4LzIvMjAyNggAAAAJNi8zMC8yMDI0CQAAAAEwTlTYbizw3giJ+YKHLPDeCDNDSVEuTkFTREFR</t>
  </si>
  <si>
    <t>Ok1TRlQuSVFfQ0hBTkdFX0FSLjk5NS4wMi8wOC8yMDI2Li4uVVNELkgBAAAAS1UAAAIAAAAFLTY0ODEBCAAAAAUAAAABMQEAAAALLTIwMzY4NDM4NDMDAAAAAzE2MAIAAAAEMjAxOAQAAAABMAcAAAAIOC8yLzIwMjYIAAAACTYvMzAvMjAyMQkAAAABME5U2G4s8N4IifmChyzw3gg2Q0lRLk5BU0RBUTpNU0ZULklRX0ZJTl9ESVZfUkVWLjEwMDAuMDIvMDgvMjAyNi4uLlVTRC5IAQAAAEtVAAADAAAAAABOVNhuLPDeCC8/g4cs8N4IOUNJUS5OQVNEQVE6TVNGVC5JUV9HQUlOX0FTU0VUU19SRVYuOTkyLjAyLzA4LzIwMjYuLi5VU0QuSAEAAABLVQAAAwAAAAAATlTYbizw3gjNU4OHLPDeCDlDSVEuTkFTREFROk1TRlQuSVFfT1RIRVJfUkVWX1NVUFBMLjk5OS4wMi8wOC8yMDI2Li4uVVNELkgBAAAAS1UAAAMAAAAAAE5U2G4s8N4I2RWDhyzw3ggvQ0lRLk5BU0RBUTpNU0ZULklRX0NPR1MuMTAwMC4wMi8wOC8yMDI2Li4uVVNELkgBAAAAS1UAAAIAAAAGMTA2Mzc0AQgAAAAFAAAAATEBAAAACy0xODgwMjI5NjY1AwAAAAMxNjACAAAAAjM0BAAAAAEwBwAAAAg4LzIvMjAyNggAAAAJNi8zMC8yMDI2CQAAAAEwTlTYbizw3ghDKoOHLPDeCDVDSVEuTkFTREFROk1TRlQuSVFfSU5TX0RJVl9FWFAuOTkzLjAyLzA4LzIwMjYuLi5VU0QuSAEAAABLVQAAAwAAAAAATlTYbizw3ghDKoOHLPDeCDNDSVEuTkFTREFROk1T</t>
  </si>
  <si>
    <t>RlQuSVFfU0dBX1NVUFBMLjk5OS4wMi8wOC8yMDI2Li4uVVNELkgBAAAAS1UAAAIAAAAFMzI4NzcBCAAAAAUAAAABMQEAAAALLTE4ODAyMjk2ODYDAAAAAzE2MAIAAAADMTAyBAAAAAEwBwAAAAg4LzIvMjAyNggAAAAJNi8zMC8yMDI1CQAAAAEwTlTYbizw3gjNU4OHLPDeCDlDSVEuTkFTREFROk1TRlQuSVFfUFJPVl9CQURfREVCVFMuMTAwMC4wMi8wOC8yMDI2Li4uVVNELkgBAAAAS1UAAAMAAAAAAE5U2G4s8N4IbGiDhyzw3ggwQ0lRLk5BU0RBUTpNU0ZULklRX1JEX0VYUC45OTguMDIvMDgvMjAyNi4uLlVTRC5IAQAAAEtVAAACAAAABTI5NTEwAQgAAAAFAAAAATEBAAAACy0xODgwMjI5Njk0AwAAAAMxNjACAAAAAzEwMAQAAAABMAcAAAAIOC8yLzIwMjYIAAAACTYvMzAvMjAyNAkAAAABME5U2G4s8N4ILz+Dhyzw3gg4Q0lRLk5BU0RBUTpNU0ZULklRX0dXX0lOVEFOX0FNT1JULjk5OS4wMi8wOC8yMDI2Li4uVVNELkgBAAAAS1UAAAMAAAAAAE5U2G4s8N4ILz+Dhyzw3gg1Q0lRLk5BU0RBUTpNU0ZULklRX09USEVSX09QRVIuMTAwMC4wMi8wOC8yMDI2Li4uVVNELkgBAAAAS1UAAAMAAAAAAE5U2G4s8N4ILz+Dhyzw3gg2Q0lRLk5BU0RBUTpNU0ZULklRX0lOVEVSRVNUX0VYUC45OTguMDIvMDgvMjAyNi4uLlVTRC5IAQAAAEtVAAACAAAABS0yOTgzAQgAAAAFAAAAATEBAAAACy0xODgwMjI5Njk0AwAA</t>
  </si>
  <si>
    <t>AAMxNjACAAAAAjgyBAAAAAEwBwAAAAg4LzIvMjAyNggAAAAJNi8zMC8yMDI0CQAAAAEwTlTYbizw3ggsfYOHLPDeCDpDSVEuTkFTREFROk1TRlQuSVFfTkVUX0lOVEVSRVNUX0VYUC45OTkuMDIvMDgvMjAyNi4uLlVTRC5IAQAAAEtVAAACAAAAAzIyMgEIAAAABQAAAAExAQAAAAstMTg4MDIyOTY4NgMAAAADMTYwAgAAAAMzNjgEAAAAATAHAAAACDgvMi8yMDI2CAAAAAk2LzMwLzIwMjUJAAAAATBOVNhuLPDeCCx9g4cs8N4IMkNJUS5OQVNEQVE6TVNGVC5JUV9FQlRfRVhDTC45OTUuMDIvMDgvMjAyNi4uLlVTRC5IAQAAAEtVAAACAAAABTY5ODcwAQgAAAAFAAAAATEBAAAACy0yMDM2ODQzODQzAwAAAAMxNjACAAAAATQEAAAAATAHAAAACDgvMi8yMDI2CAAAAAk2LzMwLzIwMjEJAAAAATBOVNhuLPDeCM1Tg4cs8N4IMENJUS5OQVNEQVE6TVNGVC5JUV9NRVJHRVIuOTk2LjAyLzA4LzIwMjYuLi5VU0QuSAEAAABLVQAAAwAAAAAATlTYbizw3gjNU4OHLPDeCDVDSVEuTkFTREFROk1TRlQuSVFfR0FJTl9BU1NFVFMuOTk1LjAyLzA4LzIwMjYuLi5VU0QuSAEAAABLVQAAAwAAAAAATlTYbizw3gjNU4OHLPDeCDpDSVEuTkFTREFROk1TRlQuSVFfQVNTRVRfV1JJVEVET1dOLjEwMDAuMDIvMDgvMjAyNi4uLlVTRC5IAQAAAEtVAAADAAAAAABOVNhuLPDeCCx9g4cs8N4IPkNJUS5OQVNEQVE6TVNGVC5JUV9PVEhF</t>
  </si>
  <si>
    <t>Ul9VTlVTVUFMX1NVUFBMLjEwMDAuMDIvMDgvMjAyNi4uLlVTRC5IAQAAAEtVAAADAAAAAABOVNhuLPDeCCx9g4cs8N4INENJUS5OQVNEQVE6TVNGVC5JUV9FQVJOSU5HX0NPLjk5My4wMi8wOC8yMDI2Li4uVVNELkgBAAAAS1UAAAIAAAAFMzkyNDABCAAAAAUAAAABMQEAAAALLTIxNDA5ODE0NjkDAAAAAzE2MAIAAAABNwQAAAABMAcAAAAIOC8yLzIwMjYIAAAACTYvMzAvMjAxOQkAAAABME5U2G4s8N4IbGiDhyzw3gg0Q0lRLk5BU0RBUTpNU0ZULklRX05JX0NPTVBBTlkuOTk0LjAyLzA4LzIwMjYuLi5VU0QuSAEAAABLVQAAAgAAAAU0NDI4MQEIAAAABQAAAAExAQAAAAstMjA4NzQ5NjYyNwMAAAADMTYwAgAAAAU0MTU3MQQAAAABMAcAAAAIOC8yLzIwMjYIAAAACTYvMzAvMjAyMAkAAAABME5U2G4s8N4IbGiDhyzw3gg4Q0lRLk5BU0RBUTpNU0ZULklRX1BSRUZfRElWX09USEVSLjk5NS4wMi8wOC8yMDI2Li4uVVNELkgBAAAAS1UAAAMAAAAAAE5U2G4s8N4IbGiDhyzw3gg4Q0lRLk5BU0RBUTpNU0ZULklRX05JX0FWQUlMX0VYQ0wuMTAwMC4wMi8wOC8yMDI2Li4uVVNELkgBAAAAS1UAAAIAAAAGMTMzNzQ5AQgAAAAFAAAAATEBAAAACy0xODgwMjI5NjY1AwAAAAMxNjACAAAAAzM3OQQAAAABMAcAAAAIOC8yLzIwMjYIAAAACTYvMzAvMjAyNgkAAAABME5U2G4s8N4IvJODhyzw3gg4Q0lRLk5BU0RBUTpN</t>
  </si>
  <si>
    <t>U0ZULklRX0RJTFVUX0VQU19FWENMLjk5Ni4wMi8wOC8yMDI2Li4uVVNELkgBAAAAS1UAAAIAAAAEOS42NQEIAAAABQAAAAExAQAAAAstMTk4NTkzMTIyNAMAAAADMTYwAgAAAAMxNDIEAAAAATAHAAAACDgvMi8yMDI2CAAAAAk2LzMwLzIwMjIJAAAAATBOVNhuLPDeCLyTg4cs8N4ITkNJUS5OQVNEQVE6TVNGVC5JUV9ESVNUUklCVVRBQkxFX0NBU0hfUEVSX1NIQVJFX0RJTFVURUQuOTk2LjAyLzA4LzIwMjYuLi5VU0QuSAEAAABLVQAAAwAAAAAATlTYbizw3ggsfYOHLPDeCEJDSVEuTkFTREFROk1TRlQuSVFfRElTVFJJQlVUQUJMRV9DQVNIX1NIQVJFLjk5OC4wMi8wOC8yMDI2Li4uVVNELkgBAAAAS1UAAAMAAAAAAE5U2G4s8N4ILH2Dhyzw3gg3Q0lRLk5BU0RBUTpNU0ZULklRX0VCSVREQV9FUV9JTkMuOTk1LjAyLzA4LzIwMjYuLi5VU0QuSAEAAABLVQAAAgAAAAU4Mjk0MwEIAAAABQAAAAExAQAAAAstMjAzNjg0Mzg0MwMAAAADMTYwAgAAAAUyMTY3NwQAAAABMAcAAAAIOC8yLzIwMjYIAAAACTYvMzAvMjAyMQkAAAABME5U2G4s8N4ILH2Dhyzw3ghBQ0lRLk5BU0RBUTpNU0ZULklRX0xFQVNFX0FESlVTVE1FTlRfRUJJVERBLjk5Ni4wMi8wOC8yMDI2Li4uVVNELkgBAAAAS1UAAAIAAAAEMjQ2MQBOVNhuLPDeCP+ng4cs8N4IP0NJUS5OQVNEQVE6TVNGVC5JUV9FQklUX0VRX0lOQ19FWENMX1NCQy4x</t>
  </si>
  <si>
    <t>MDAwLjAyLzA4LzIwMjYuLi5VU0QuSAEAAABLVQAAAgAAAAYxNzIzNjQBCAAAAAUAAAABMQEAAAALLTE4ODAyMjk2NjUDAAAAAzE2MAIAAAAFMjQxMzAEAAAAATAHAAAACDgvMi8yMDI2CAAAAAk2LzMwLzIwMjYJAAAAATBOVNhuLPDeCP+ng4cs8N4IP0NJUS5OQVNEQVE6TVNGVC5JUV9FQklUQV9FUV9JTkNfRVhDTF9TQkMuOTk2LjAyLzA4LzIwMjYuLi5VU0QuSAEAAABLVQAAAgAAAAU5Mjg1MwEIAAAABQAAAAExAQAAAAstMTk4NTkzMTIyNAMAAAADMTYwAgAAAAUyNDEzMgQAAAABMAcAAAAIOC8yLzIwMjYIAAAACTYvMzAvMjAyMgkAAAABME5U2G4s8N4IvJODhyzw3ghBQ0lRLk5BU0RBUTpNU0ZULklRX0VCSVREQVJfRVFfSU5DX0VYQ0xfU0JDLjk5NC4wMi8wOC8yMDI2Li4uVVNELkgBAAAAS1UAAAIAAAAFNzI1OTEBCAAAAAUAAAABMQEAAAALLTIwODc0OTY2MjcDAAAAAzE2MAIAAAAFMjQxMzMEAAAAATAHAAAACDgvMi8yMDI2CAAAAAk2LzMwLzIwMjAJAAAAATBOVNhuLPDeCLyTg4cs8N4IP0NJUS5OQVNEQVE6TVNGVC5JUV9UT1RBTF9SRVZfQVNfUkVQT1JURUQuOTk3LjAyLzA4LzIwMjYuLi5VU0QuSAEAAABLVQAAAgAAAAYyMTE5MTUBCAAAAAUAAAABMQEAAAALLTE5MzQyNTQyNTADAAAAAzE2MAIAAAADMzM5BAAAAAEwBwAAAAg4LzIvMjAyNggAAAAJNi8zMC8yMDIzCQAAAAEwTlTYbizw3gi8</t>
  </si>
  <si>
    <t>k4OHLPDeCDlDSVEuTkFTREFROk1TRlQuSVFfSU5URVJFU1RfSU5DT01FLjk5My4wMi8wOC8yMDI2Li4uVVNELkgBAAAAS1UAAAIAAAAEMjc2MgEIAAAABQAAAAExAQAAAAstMjE0MDk4MTQ2OQMAAAADMTYwAgAAAAMyMTAEAAAAATAHAAAACDgvMi8yMDI2CAAAAAk2LzMwLzIwMTkJAAAAATBOVNhuLPDeCGTQg4cs8N4IPUNJUS5OQVNEQVE6TVNGVC5JUV9DVVJSX0RPTUVTVElDX1RBWEVTLjk5NS4wMi8wOC8yMDI2Li4uVVNELkgBAAAAS1UAAAIAAAAENDUxNAEIAAAABQAAAAExAQAAAAstMjAzNjg0Mzg0MwMAAAADMTYwAgAAAAQzMDI3BAAAAAEwBwAAAAg4LzIvMjAyNggAAAAJNi8zMC8yMDIxCQAAAAEwTlTYbizw3ghk0IOHLPDeCD5DSVEuTkFTREFROk1TRlQuSVFfREVGRVJSRURfVEFYRVNfVE9UQUwuOTkzLjAyLzA4LzIwMjYuLi5VU0QuSAEAAABLVQAAAgAAAAUtNjQ2MwEIAAAABQAAAAExAQAAAAstMjE0MDk4MTQ2OQMAAAADMTYwAgAAAAUzNTM4NQQAAAABMAcAAAAIOC8yLzIwMjYIAAAACTYvMzAvMjAxOQkAAAABME5U2G4s8N4I/6eDhyzw3gg1Q0lRLk5BU0RBUTpNU0ZULklRX0lOVF9FWFBfTFRELjk5Mi4wMi8wOC8yMDI2Li4uVVNELkgBAAAAS1UAAAIAAAADMTc1AQgAAAAFAAAAATEBAAAACjIwNDcyNzE3NDUDAAAAAzE2MAIAAAAEMzEwMQQAAAABMAcAAAAIOC8yLzIwMjYIAAAACTYvMzAv</t>
  </si>
  <si>
    <t>MjAxOAkAAAABME5U2G4s8N4I/6eDhyzw3gg8Q0lRLk5BU0RBUTpNU0ZULklRX0RJU1RSSUJVVEFCTEVfQ0FTSC45OTguMDIvMDgvMjAyNi4uLlVTRC5IAQAAAEtVAAADAAAAAABOVNhuLPDeCP+ng4cs8N4INUNJUS5OQVNEQVE6TVNGVC5JUV9BRFZFUlRJU0lORy45OTIuMDIvMDgvMjAyNi4uLlVTRC5IAQAAAEtVAAACAAAABDE2MDABCAAAAAUAAAABMQEAAAAKMjA0NzI3MTc0NQMAAAADMTYwAgAAAAQzMDEzBAAAAAEwBwAAAAg4LzIvMjAyNggAAAAJNi8zMC8yMDE4CQAAAAEwTlTYbizw3ghy5IOHLPDeCDNDSVEuTkFTREFROk1TRlQuSVFfUkRfRVhQX0ZOLjk5NS4wMi8wOC8yMDI2Li4uVVNELkgBAAAAS1UAAAIAAAAFMjA3MTYBCAAAAAUAAAABMQEAAAALLTIwMzY4NDM4NDMDAAAAAzE2MAIAAAAEMzE2OAQAAAABMAcAAAAIOC8yLzIwMjYIAAAACTYvMzAvMjAyMQkAAAABME5U2G4s8N4IcuSDhyzw3gg2Q0lRLk5BU0RBUTpNU0ZULklRX09USEVSX1JFTlRBTC45OTQuMDIvMDgvMjAyNi4uLlVTRC5IAQAAAEtVAAADAAAAAABOVNhuLPDeCAC8g4cs8N4IQkNJUS5OQVNEQVE6TVNGVC5JUV9JTVBVVF9PUEVSX0xFQVNFX0lOVF9FWFAuOTk1LjAyLzA4LzIwMjYuLi5VU0QuSAEAAABLVQAAAgAAAAo0ODIuMzUyNTUyAQgAAAAFAAAAATEBAAAACy0yMDM2ODQzODQzAwAAAAMxNjACAAAABTIxNjcyBAAAAAEw</t>
  </si>
  <si>
    <t>BwAAAAg4LzIvMjAyNggAAAAJNi8zMC8yMDIxCQAAAAEwTlTYbizw3ggAvIOHLPDeCEBDSVEuTkFTREFROk1TRlQuSVFfQVNTRVRfV1JJVEVET1dOX1NVUFBMRS45OTguMDIvMDgvMjAyNi4uLlVTRC5IAQAAAEtVAAADAAAAAAA2LdhuLPDeCAC8g4cs8N4IO0NJUS5OQVNEQVE6TVNGVC5JUV9ORUdBVElWRV9HV19BTU9SVC45OTUuMDIvMDgvMjAyNi4uLlVTRC5IAQAAAEtVAAADAAAAAAA2LdhuLPDeCEb4g4cs8N4IO0NJUS5OQVNEQVE6TVNGVC5JUV9TVE9DS19CQVNFRF9UT1RBTC45OTQuMDIvMDgvMjAyNi4uLlVTRC5IAQAAAEtVAAACAAAABDUyODkBCAAAAAUAAAABMQEAAAALLTIwODc0OTY2MjcDAAAAAzE2MAIAAAAFMjQwMzQEAAAAATAHAAAACDgvMi8yMDI2CAAAAAk2LzMwLzIwMjAJAAAAATA2LdhuLPDeCEb4g4cs8N4IPENJUS5OQVNEQVE6TVNGVC5JUV9HV19JTlRBTl9BTU9SVF9DRi4xMDAwLjAyLzA4LzIwMjYuLi5VU0QuSAEAAABLVQAAAgAAAAQ0NzAwAQgAAAAFAAAAATEBAAAACy0xODgwMjI5NjY1AwAAAAMxNjACAAAABDIxODIEAAAAATAHAAAACDgvMi8yMDI2CAAAAAk2LzMwLzIwMjYJAAAAATA2LdhuLPDeCGTQg4cs8N4IO0NJUS5OQVNEQVE6TVNGVC5JUV9DSEFOR0VfVU5FQVJOX1JFVi45OTkuMDIvMDgvMjAyNi4uLlVTRC5IAQAAAEtVAAACAAAABDU0MzgBCAAAAAUAAAABMQEAAAAL</t>
  </si>
  <si>
    <t>LTE4ODAyMjk2ODYDAAAAAzE2MAIAAAAEMjEzOQQAAAABMAcAAAAIOC8yLzIwMjYIAAAACTYvMzAvMjAyNQkAAAABMDYt2G4s8N4IZNCDhyzw3ggsQ0lRLk5BU0RBUTpNU0ZULklRX0dXLjk5MC4wMi8wOC8yMDI2Li4uVVNELkgBAAAAS1UAAAIAAAAFMTc4NzIBCAAAAAUAAAABMQEAAAAKMTg5ODQ4OTQ3MAMAAAADMTYwAgAAAAQxMTcxBAAAAAEwBwAAAAg4LzIvMjAyNggAAAAJNi8zMC8yMDE2CQAAAAEwNi3Ybizw3ghk0IOHLPDeCDlDSVEuTkFTREFROk1TRlQuSVFfUkVTVFJJQ1RFRF9DQVNILjk5MC4wMi8wOC8yMDI2Li4uVVNELkgBAAAAS1UAAAMAAAAAADYt2G4s8N4IxgyEhyzw3gg2Q0lRLk5BU0RBUTpNU0ZULklRX1RPVEFMX1JFQ0VJVi45OTEuMDIvMDgvMjAyNi4uLlVTRC5IAQAAAEtVAAACAAAABTIyNDMxAQgAAAAFAAAAATEBAAAACjE5NzMzODA5NTEDAAAAAzE2MAIAAAAEMTAwMQQAAAABMAcAAAAIOC8yLzIwMjYIAAAACTYvMzAvMjAxNwkAAAABMDYt2G4s8N4IxgyEhyzw3ghIQ0lRLk5BU0RBUTpNU0ZULklRX1RPVEFMX0RFQlRfUkVQQUlEX0VYQ0xfTEVBU0VTLjIwMDAuMDIvMDgvMjAyNi4uLlVTRC5IAQAAAEtVAAACAAAABS0zMDAwAQgAAAAFAAAAATEBAAAACy0xODgwMjI5MzIzAwAAAAMxNjACAAAABTQ4OTg2BAAAAAEwBwAAAAg4LzIvMjAyNggAAAAJNi8zMC8yMDI2CQAAAAEwNi3Y</t>
  </si>
  <si>
    <t>bizw3ghy5IOHLPDeCDZDSVEuTkFTREFROk1TRlQuSVFfTUFJTlRfQ0FQRVguMjAwMC4wMi8wOC8yMDI2Li4uVVNELkgBAAAAS1UAAAMAAAAAADYt2G4s8N4IcuSDhyzw3gg7Q0lRLk5BU0RBUTpNU0ZULklRX0NBU0hfVEFYRVNfRklOQU4uMjAwMC4wMi8wOC8yMDI2Li4uVVNELkgBAAAAS1UAAAMAAAAAADYt2G4s8N4IRviDhyzw3ghAQ0lRLk5BU0RBUTpNU0ZULklRX0NBU0hfSU5URVJFU1RfUkVDRUlWRUQuOTkxLjAyLzA4LzIwMjYuLi5VU0QuSAEAAABLVQAAAwAAAAAANi3Ybizw3ggLIoSHLPDeCEBDSVEuTkFTREFROk1TRlQuSVFfREFfQ0ZfRVhDTF9PUEVSX0xFQVNFUy45OTEuMDIvMDgvMjAyNi4uLlVTRC5IAQAAAEtVAAACAAAABDc4MDABCAAAAAUAAAABMQEAAAAKMTk3MzM4MDk1MQMAAAADMTYwAgAAAAU0ODk4NQQAAAABMAcAAAAIOC8yLzIwMjYIAAAACTYvMzAvMjAxNwkAAAABMDYt2G4s8N4ItDaEhyzw3gg0Q0lRLk5BU0RBUTpNU0ZULklRX05FVF9DSEFOR0UuOTkwLjAyLzA4LzIwMjYuLi5VU0QuSAEAAABLVQAAAgAAAAM5MTUBCAAAAAUAAAABMQEAAAAKMTg5ODQ4OTQ3MAMAAAADMTYwAgAAAAQyMDkzBAAAAAEwBwAAAAg4LzIvMjAyNggAAAAJNi8zMC8yMDE2CQAAAAEwNi3Ybizw3ghG+IOHLPDeCDhDSVEuTkFTREFROk1TRlQuSVFfQ09NTU9OX0RJVl9DRi4yMDAwLjAyLzA4LzIwMjYu</t>
  </si>
  <si>
    <t>Li5VU0QuSAEAAABLVQAAAgAAAAYtMjY0NDUBCAAAAAUAAAABMQEAAAALLTE4ODAyMjkzMjMDAAAAAzE2MAIAAAAEMjA3NAQAAAABMAcAAAAIOC8yLzIwMjYIAAAACTYvMzAvMjAyNgkAAAABMDYt2G4s8N4IxgyEhyzw3gg5Q0lRLk5BU0RBUTpNU0ZULklRX1NUX0RFQlRfUkVQQUlELjIwMDAuMDIvMDgvMjAyNi4uLlVTRC5IAQAAAEtVAAADAAAAAAA2LdhuLPDeCMYMhIcs8N4IPUNJUS5OQVNEQVE6TVNGVC5JUV9JTlZFU1RfU0VDVVJJVFlfQ0YuMjAwMC4wMi8wOC8yMDI2Li4uVVNELkgBAAAAS1UAAAIAAAAFLTE5NDgBCAAAAAUAAAABMQEAAAALLTE4ODAyMjkzMjMDAAAAAzE2MAIAAAAEMjAyNwQAAAABMAcAAAAIOC8yLzIwMjYIAAAACTYvMzAvMjAyNgkAAAABMDYt2G4s8N4IPUuEhyzw3ggzQ0lRLk5BU0RBUTpNU0ZULklRX0NBU0hfT1BFUi45OTEuMDIvMDgvMjAyNi4uLlVTRC5IAQAAAEtVAAACAAAABTM5NTA3AQgAAAAFAAAAATEBAAAACjE5NzMzODA5NTEDAAAAAzE2MAIAAAAEMjAwNgQAAAABMAcAAAAIOC8yLzIwMjYIAAAACTYvMzAvMjAxNwkAAAABMDYt2G4s8N4IPUuEhyzw3ggzQ0lRLk5BU0RBUTpNU0ZULklRX0NIQU5HRV9BUi45OTEuMDIvMDgvMjAyNi4uLlVTRC5IAQAAAEtVAAACAAAABS0xMjE2AQgAAAAFAAAAATEBAAAACjE5NzMzODA5NTEDAAAAAzE2MAIAAAAEMjAxOAQAAAABMAcA</t>
  </si>
  <si>
    <t>AAAIOC8yLzIwMjYIAAAACTYvMzAvMjAxNwkAAAABMDYt2G4s8N4ICyKEhyzw3gg3Q0lRLk5BU0RBUTpNU0ZULklRX0lOQ19FUVVJVFlfQ0YuOTkxLjAyLzA4LzIwMjYuLi5VU0QuSAEAAABLVQAAAwAAAAAANi3Ybizw3ggLIoSHLPDeCC9DSVEuTkFTREFROk1TRlQuSVFfREFfQ0YuOTkwLjAyLzA4LzIwMjYuLi5VU0QuSAEAAABLVQAAAgAAAAQ1ODc4AQgAAAAFAAAAATEBAAAACjE4OTg0ODk0NzADAAAAAzE2MAIAAAAEMjE2MAQAAAABMAcAAAAIOC8yLzIwMjYIAAAACTYvMzAvMjAxNgkAAAABMDYt2G4s8N4ICyKEhyzw3ghBQ0lRLk5BU0RBUTpNU0ZULklRX1NUT0NLX0JBU0VEX0NPTVBfUFJFVEFYLjk5MC4wMi8wOC8yMDI2Li4uVVNELkgBAAAAS1UAAAIAAAAEMjY2OAA2LdhuLPDeCMxfhIcs8N4IO0NJUS5OQVNEQVE6TVNGVC5JUV9TVE9DS19CQVNFRF9UT1RBTC45OTEuMDIvMDgvMjAyNi4uLlVTRC5IAQAAAEtVAAACAAAABDMyNjYBCAAAAAUAAAABMQEAAAAKMTk3MzM4MDk1MQMAAAADMTYwAgAAAAUyNDAzNAQAAAABMAcAAAAIOC8yLzIwMjYIAAAACTYvMzAvMjAxNwkAAAABMDYt2G4s8N4IzF+Ehyzw3gg5Q0lRLk5BU0RBUTpNU0ZULklRX1RPVEFMX1JFVl81WVJfQU5OX0NBR1IuMjAwMC4wMi8wOC8yMDI2AQAAAEtVAAACAAAABzE0LjU3MTkBCAAAAAUAAAABMQEAAAALLTE4ODAyMjkzMjMDAAAA</t>
  </si>
  <si>
    <t>AzE2MAIAAAAENDIzMwQAAAABMAcAAAAIOC8yLzIwMjYIAAAACTYvMzAvMjAyNgkAAAABMIrs2m4s8N4INgLnhyzw3gg4Q0lRLk5BU0RBUTpNU0ZULklRX1RPVEFMX1JFVl8zWVJfQU5OX0NBR1IuOTkwLjAyLzA4LzIwMjYBAAAAS1UAAAIAAAADNS40AQgAAAAFAAAAATEBAAAACjE4OTg0ODk0NzADAAAAAzE2MAIAAAAENDIyMAQAAAABMAcAAAAIOC8yLzIwMjYIAAAACTYvMzAvMjAxNgkAAAABMIrs2m4s8N4INgLnhyzw3ghIQ0lRLk5BU0RBUTpNU0ZULklRX05FVF9ERUJUX0VCSVREQV9FWENMX09QRVJfTEVBU0VTX0NBUEVYLjk5MC4wMi8wOC8yMDI2AQAAAEtVAAADAAAAAk5NAQgAAAAFAAAAATEBAAAACjE4OTg0ODk0NzADAAAAAzE2MAIAAAAFNDkxODIEAAAAATAHAAAACDgvMi8yMDI2CAAAAAk2LzMwLzIwMTYJAAAAATCK7NpuLPDeCEkp54cs8N4IQ0NJUS5OQVNEQVE6TVNGVC5JUV9FQklUREFfRVhDTF9PUEVSX0xFQVNFU19DQVBFWF9JTlQuOTkwLjAyLzA4LzIwMjYBAAAAS1UAAAIAAAAJMTkuODg5NzgyAQgAAAAFAAAAATEBAAAACjE4OTg0ODk0NzADAAAAAzE2MAIAAAAFNDkxNzQEAAAAATAHAAAACDgvMi8yMDI2CAAAAAk2LzMwLzIwMTYJAAAAATCK7NpuLPDeCDYC54cs8N4INENJUS5OQVNEQVE6TVNGVC5JUV9UT1RBTF9ERUJUX0NBUElUQUwuOTkxLjAyLzA4LzIwMjYBAAAAS1UAAAIAAAAH</t>
  </si>
  <si>
    <t>NTIuMTMyNwEIAAAABQAAAAExAQAAAAoxOTczMzgwOTUxAwAAAAMxNjACAAAABDQxODYEAAAAATAHAAAACDgvMi8yMDI2CAAAAAk2LzMwLzIwMTcJAAAAATCK7NpuLPDeCDYC54cs8N4IMkNJUS5OQVNEQVE6TVNGVC5JUV9JTlZFTlRPUllfVFVSTlMuMjAwMC4wMi8wOC8yMDI2AQAAAEtVAAACAAAACTkxLjExMjYzMwEIAAAABQAAAAExAQAAAAstMTg4MDIyOTMyMwMAAAADMTYwAgAAAAQ0MDgyBAAAAAEwBwAAAAg4LzIvMjAyNggAAAAJNi8zMC8yMDI2CQAAAAEwiuzabizw3ghJKeeHLPDeCC9DSVEuTkFTREFROk1TRlQuSVFfR1JPU1NfTUFSR0lOLjIwMDAuMDIvMDgvMjAyNgEAAABLVQAAAgAAAAY2Ny45NDQBCAAAAAUAAAABMQEAAAALLTE4ODAyMjkzMjMDAAAAAzE2MAIAAAAENDA3NAQAAAABMAcAAAAIOC8yLzIwMjYIAAAACTYvMzAvMjAyNgkAAAABMIrs2m4s8N4INgLnhyzw3gguQ0lRLk5BU0RBUTpNU0ZULklRX0NBTENfVFlQRV9CUy45OTAuMDIvMDgvMjAyNgEAAABLVQAAAwAAAANSVVAAiuzabizw3gg2AueHLPDeCDBDSVEuTkFTREFROk1TRlQuSVFfUkVTVEFURU1FTlRfQ0YuOTkxLjAyLzA4LzIwMjYBAAAAS1UAAAMAAAACUlMAiuzabizw3gg2AueHLPDeCDtDSVEuTkFTREFROk1TRlQuSVFfRElTVFJJQlVUQUJMRV9DQVNIX1BBWU9VVC45OTAuMDIvMDgvMjAyNgEAAABLVQAAAwAAAAAAiuza</t>
  </si>
  <si>
    <t>bizw3ggs2+aHLPDeCEFDSVEuTkFTREFROk1TRlQuSVFfRElTVFJJQlVUQUJMRV9DQVNIX1NIQVJFU19CQVNJQy45OTAuMDIvMDgvMjAyNgEAAABLVQAAAwAAAAAAiuzabizw3gg2AueHLPDeCDFDSVEuTkFTREFROk1TRlQuSVFfVE9UQUxfRU1QTE9ZRUVTLjk5MS4wMi8wOC8yMDI2AQAAAEtVAAACAAAABjEyNDAwMACK7NpuLPDeCBq05ocs8N4IMUNJUS5OQVNEQVE6TVNGVC5JUV9HUF81WVJfQU5OX0NBR1IuOTkwLjAyLzA4LzIwMjYBAAAAS1UAAAIAAAAGMS40MzI4AQgAAAAFAAAAATEBAAAACjE4OTg0ODk0NzADAAAAAzE2MAIAAAAENDIzNAQAAAABMAcAAAAIOC8yLzIwMjYIAAAACTYvMzAvMjAxNgkAAAABMIrs2m4s8N4ILNvmhyzw3gg0Q0lRLk5BU0RBUTpNU0ZULklRX05JXzFZUl9BTk5fR1JPV1RILjIwMDAuMDIvMDgvMjAyNgEAAABLVQAAAgAAAAczMS4zNDI3AQgAAAAFAAAAATEBAAAACy0xODgwMjI5MzIzAwAAAAMxNjACAAAABDQxOTkEAAAAATAHAAAACDgvMi8yMDI2CAAAAAk2LzMwLzIwMjYJAAAAATCK7NpuLPDeCCzb5ocs8N4ISENJUS5OQVNEQVE6TVNGVC5JUV9ORVRfREVCVF9FQklUREFfRVhDTF9PUEVSX0xFQVNFU19DQVBFWC45OTEuMDIvMDgvMjAyNgEAAABLVQAAAwAAAAJOTQEIAAAABQAAAAExAQAAAAoxOTczMzgwOTUxAwAAAAMxNjACAAAABTQ5MTgyBAAAAAEwBwAAAAg4LzIv</t>
  </si>
  <si>
    <t>MjAyNggAAAAJNi8zMC8yMDE3CQAAAAEwiuzabizw3ggs2+aHLPDeCENDSVEuTkFTREFROk1TRlQuSVFfRUJJVERBX0VYQ0xfT1BFUl9MRUFTRVNfQ0FQRVhfSU5ULjk5MS4wMi8wOC8yMDI2AQAAAEtVAAACAAAACTEzLjA1MjIwNQEIAAAABQAAAAExAQAAAAoxOTczMzgwOTUxAwAAAAMxNjACAAAABTQ5MTc0BAAAAAEwBwAAAAg4LzIvMjAyNggAAAAJNi8zMC8yMDE3CQAAAAEwiuzabizw3ggatOaHLPDeCDRDSVEuTkFTREFROk1TRlQuSVFfVE9UQUxfREVCVF9FUVVJVFkuMjAwMC4wMi8wOC8yMDI2AQAAAEtVAAACAAAABzI5LjExNzcBCAAAAAUAAAABMQEAAAALLTE4ODAyMjkzMjMDAAAAAzE2MAIAAAAENDAzNAQAAAABMAcAAAAIOC8yLzIwMjYIAAAACTYvMzAvMjAyNgkAAAABMIrs2m4s8N4IGrTmhyzw3ggvQ0lRLk5BU0RBUTpNU0ZULklRX0NVUlJFTlRfUkFUSU8uOTkwLjAyLzA4LzIwMjYBAAAAS1UAAAIAAAAIMi4zNTI4ODEBCAAAAAUAAAABMQEAAAAKMTg5ODQ4OTQ3MAMAAAADMTYwAgAAAAQ0MDMwBAAAAAEwBwAAAAg4LzIvMjAyNggAAAAJNi8zMC8yMDE2CQAAAAEwiuzabizw3ggs2+aHLPDeCC9DSVEuTkFTREFROk1TRlQuSVFfRUJJVERBX01BUkdJTi45OTAuMDIvMDgvMjAyNgEAAABLVQAAAgAAAAczNi4yNzQ4AQgAAAAFAAAAATEBAAAACjE4OTg0ODk0NzADAAAAAzE2MAIAAAAENDA0NwQA</t>
  </si>
  <si>
    <t>AAABMAcAAAAIOC8yLzIwMjYIAAAACTYvMzAvMjAxNgkAAAABMIrs2m4s8N4ILNvmhyzw3gguQ0lRLk5BU0RBUTpNU0ZULklRX0NBTENfVFlQRV9CUy45OTEuMDIvMDgvMjAyNgEAAABLVQAAAwAAAANSVVAAiuzabizw3ggatOaHLPDeCCtDSVEuTkFTREFROk1TRlQuSVFfUEFSVF9USU1FLjk5MC4wMi8wOC8yMDI2AQAAAEtVAAADAAAAAACK7NpuLPDeCBq05ocs8N4IO0NJUS5OQVNEQVE6TVNGVC5JUV9ESVNUUklCVVRBQkxFX0NBU0hfUEFZT1VULjk5MS4wMi8wOC8yMDI2AQAAAEtVAAADAAAAAACK7NpuLPDeCBq05ocs8N4IMUNJUS5OQVNEQVE6TVNGVC5JUV9HUF81WVJfQU5OX0NBR1IuOTkxLjAyLzA4LzIwMjYBAAAAS1UAAAIAAAAGMi4wODgxAQgAAAAFAAAAATEBAAAACjE5NzMzODA5NTEDAAAAAzE2MAIAAAAENDIzNAQAAAABMAcAAAAIOC8yLzIwMjYIAAAACTYvMzAvMjAxNwkAAAABMIrs2m4s8N4IGrTmhyzw3gg0Q0lRLk5BU0RBUTpNU0ZULklRX0VQU18xWVJfQU5OX0dST1dUSC45OTAuMDIvMDgvMjAyNgEAAABLVQAAAgAAAAc3Mi45NzI5AQgAAAAFAAAAATEBAAAACjE4OTg0ODk0NzADAAAAAzE2MAIAAAAENDIwMAQAAAABMAcAAAAIOC8yLzIwMjYIAAAACTYvMzAvMjAxNgkAAAABMIrs2m4s8N4IBY3mhyzw3gg3Q0lRLk5BU0RBUTpNU0ZULklRX05FVF9ERUJUX0VCSVREQV9DQVBFWC45OTEu</t>
  </si>
  <si>
    <t>MDIvMDgvMjAyNgEAAABLVQAAAwAAAAJOTQEIAAAABQAAAAExAQAAAAoxOTczMzgwOTUxAwAAAAMxNjACAAAABTIzMzE0BAAAAAEwBwAAAAg4LzIvMjAyNggAAAAJNi8zMC8yMDE3CQAAAAEwiuzabizw3ggFjeaHLPDeCDNDSVEuTkFTREFROk1TRlQuSVFfRUJJVERBX0NBUEVYX0lOVC4yMDAwLjAyLzA4LzIwMjYBAAAAS1UAAAIAAAAJMjcuNjcxODU5AQgAAAAFAAAAATEBAAAACy0xODgwMjI5MzIzAwAAAAMxNjACAAAABDQxOTEEAAAAATAHAAAACDgvMi8yMDI2CAAAAAk2LzMwLzIwMjYJAAAAATCK7NpuLPDeCAWN5ocs8N4INENJUS5OQVNEQVE6TVNGVC5JUV9UT1RBTF9ERUJUX0NBUElUQUwuOTkwLjAyLzA4LzIwMjYBAAAAS1UAAAIAAAAHNDMuMTAyNAEIAAAABQAAAAExAQAAAAoxODk4NDg5NDcwAwAAAAMxNjACAAAABDQxODYEAAAAATAHAAAACDgvMi8yMDI2CAAAAAk2LzMwLzIwMTYJAAAAATCK7NpuLPDeCAWN5ocs8N4IL0NJUS5OQVNEQVE6TVNGVC5JUV9DVVJSRU5UX1JBVElPLjk5MS4wMi8wOC8yMDI2AQAAAEtVAAACAAAACDIuOTE4NTc1AQgAAAAFAAAAATEBAAAACjE5NzMzODA5NTEDAAAAAzE2MAIAAAAENDAzMAQAAAABMAcAAAAIOC8yLzIwMjYIAAAACTYvMzAvMjAxNwkAAAABMIrs2m4s8N4IBY3mhyzw3ggvQ0lRLk5BU0RBUTpNU0ZULklRX0VCSVREQV9NQVJHSU4uOTkxLjAyLzA4LzIw</t>
  </si>
  <si>
    <t>MjYBAAAAS1UAAAIAAAAHMzguNDQ5NAEIAAAABQAAAAExAQAAAAoxOTczMzgwOTUxAwAAAAMxNjACAAAABDQwNDcEAAAAATAHAAAACDgvMi8yMDI2CAAAAAk2LzMwLzIwMTcJAAAAATCK7NpuLPDeCAWN5ocs8N4IK0NJUS5OQVNEQVE6TVNGVC5JUV9QQVJUX1RJTUUuOTkxLjAyLzA4LzIwMjYBAAAAS1UAAAMAAAAAAIrs2m4s8N4IBY3mhyzw3ggyQ0lRLk5BU0RBUTpNU0ZULklRX1BFUklPRExFTkdUSF9DRi4yMDAwLjAyLzA4LzIwMjYBAAAAS1UAAAEAAAACMTIAiuzabizw3ggFjeaHLPDeCC9DSVEuTkFTREFROk1TRlQuSVFfRElMVVRfV0VJR0hULjIwMDAuMDIvMDgvMjAyNgEAAABLVQAAAgAAAAQ3NDUzAIrs2m4s8N4IBY3mhyzw3ggzQ0lRLk5BU0RBUTpNU0ZULklRX0VQU18zWVJfQU5OX0NBR1IuMjAwMC4wMi8wOC8yMDI2AQAAAEtVAAACAAAABjIyLjg1NgEIAAAABQAAAAExAQAAAAstMTg4MDIyOTMyMwMAAAADMTYwAgAAAAQ0MjI2BAAAAAEwBwAAAAg4LzIvMjAyNggAAAAJNi8zMC8yMDI2CQAAAAEwiuzabizw3gj3ZeaHLPDeCDRDSVEuTkFTREFROk1TRlQuSVFfRVBTXzFZUl9BTk5fR1JPV1RILjk5MS4wMi8wOC8yMDI2AQAAAEtVAAACAAAABzI2Ljk1MzEBCAAAAAUAAAABMQEAAAAKMTk3MzM4MDk1MQMAAAADMTYwAgAAAAQ0MjAwBAAAAAEwBwAAAAg4LzIvMjAyNggAAAAJNi8zMC8yMDE3CQAA</t>
  </si>
  <si>
    <t>AAEwiuzabizw3gj3ZeaHLPDeCEtDSVEuTkFTREFROk1TRlQuSVFfVE9UQUxfREVCVF9FQklUREFfRVhDTF9PUEVSX0xFQVNFU19DQVBFWC4yMDAwLjAyLzA4LzIwMjYBAAAAS1UAAAIAAAAIMS42NDUzNTIBCAAAAAUAAAABMQEAAAALLTE4ODAyMjkzMjMDAAAAAzE2MAIAAAAFNDkxODMEAAAAATAHAAAACDgvMi8yMDI2CAAAAAk2LzMwLzIwMjYJAAAAATCK7NpuLPDeCPdl5ocs8N4IPkNJUS5OQVNEQVE6TVNGVC5JUV9FQklUREFfRVhDTF9PUEVSX0xFQVNFU19JTlQuMjAwMC4wMi8wOC8yMDI2AQAAAEtVAAACAAAACTYzLjA0MzQ5MgEIAAAABQAAAAExAQAAAAstMTg4MDIyOTMyMwMAAAADMTYwAgAAAAU0OTE3MwQAAAABMAcAAAAIOC8yLzIwMjYIAAAACTYvMzAvMjAyNgkAAAABMIrs2m4s8N4I92Xmhyzw3ggyQ0lRLk5BU0RBUTpNU0ZULklRX0NBU0hfQ09OVkVSU0lPTi4yMDAwLjAyLzA4LzIwMjYBAAAAS1UAAAIAAAAKLTMyLjg4ODMyNQEIAAAABQAAAAExAQAAAAstMTg4MDIyOTMyMwMAAAADMTYwAgAAAAQ0MTg0BAAAAAEwBwAAAAg4LzIvMjAyNggAAAAJNi8zMC8yMDI2CQAAAAEwiuzabizw3gj3ZeaHLPDeCCtDSVEuTkFTREFROk1TRlQuSVFfQVJfVFVSTlMuMjAwMC4wMi8wOC8yMDI2AQAAAEtVAAACAAAACDQuNDAxNjAyAQgAAAAFAAAAATEBAAAACy0xODgwMjI5MzIzAwAAAAMxNjACAAAABDQw</t>
  </si>
  <si>
    <t>MDEEAAAAATAHAAAACDgvMi8yMDI2CAAAAAk2LzMwLzIwMjYJAAAAATCK7NpuLPDeCPdl5ocs8N4ILkNJUS5OQVNEQVE6TVNGVC5JUV9HUk9TU19NQVJHSU4uOTkwLjAyLzA4LzIwMjYBAAAAS1UAAAIAAAAHNjQuMDM4OAEIAAAABQAAAAExAQAAAAoxODk4NDg5NDcwAwAAAAMxNjACAAAABDQwNzQEAAAAATAHAAAACDgvMi8yMDI2CAAAAAk2LzMwLzIwMTYJAAAAATCK7NpuLPDeCPdl5ocs8N4IMENJUS5OQVNEQVE6TVNGVC5JUV9SRVNUQVRFTUVOVF9CUy45OTAuMDIvMDgvMjAyNgEAAABLVQAAAwAAAAJSUwCK7NpuLPDeCN4+5ocs8N4ILENJUS5OQVNEQVE6TVNGVC5JUV9GVUxMX1RJTUUuMjAwMC4wMi8wOC8yMDI2AQAAAEtVAAACAAAABjIyMzAwMACK7NpuLPDeCN4+5ocs8N4IMUNJUS5OQVNEQVE6TVNGVC5JUV9QRVJJT0RMRU5HVEhfQ0YuOTkwLjAyLzA4LzIwMjYBAAAAS1UAAAEAAAACMTIAiuzabizw3gj3ZeaHLPDeCC5DSVEuTkFTREFROk1TRlQuSVFfRElMVVRfV0VJR0hULjk5MS4wMi8wOC8yMDI2AQAAAEtVAAACAAAABDc4MzIAiuzabizw3gj3ZeaHLPDeCDhDSVEuTkFTREFROk1TRlQuSVFfVE9UQUxfUkVWXzVZUl9BTk5fQ0FHUi45OTAuMDIvMDgvMjAyNgEAAABLVQAAAgAAAAY1LjQ0MDIBCAAAAAUAAAABMQEAAAAKMTg5ODQ4OTQ3MAMAAAADMTYwAgAAAAQ0MjMzBAAAAAEwBwAAAAg4LzIv</t>
  </si>
  <si>
    <t>MjAyNggAAAAJNi8zMC8yMDE2CQAAAAEwiuzabizw3gjePuaHLPDeCDNDSVEuTkFTREFROk1TRlQuSVFfTklfMVlSX0FOTl9HUk9XVEguOTkwLjAyLzA4LzIwMjYBAAAAS1UAAAIAAAAHNjguNDQ5MQEIAAAABQAAAAExAQAAAAoxODk4NDg5NDcwAwAAAAMxNjACAAAABDQxOTkEAAAAATAHAAAACDgvMi8yMDI2CAAAAAk2LzMwLzIwMTYJAAAAATCK7NpuLPDeCJcX5ocs8N4IN0NJUS5OQVNEQVE6TVNGVC5JUV9ORVRfREVCVF9FQklUREFfQ0FQRVguOTkwLjAyLzA4LzIwMjYBAAAAS1UAAAMAAAACTk0BCAAAAAUAAAABMQEAAAAKMTg5ODQ4OTQ3MAMAAAADMTYwAgAAAAUyMzMxNAQAAAABMAcAAAAIOC8yLzIwMjYIAAAACTYvMzAvMjAxNgkAAAABMIrs2m4s8N4Ilxfmhyzw3ggyQ0lRLk5BU0RBUTpNU0ZULklRX0VCSVREQV9DQVBFWF9JTlQuOTkwLjAyLzA4LzIwMjYBAAAAS1UAAAIAAAAJMTkuODg5NzgyAQgAAAAFAAAAATEBAAAACjE4OTg0ODk0NzADAAAAAzE2MAIAAAAENDE5MQQAAAABMAcAAAAIOC8yLzIwMjYIAAAACTYvMzAvMjAxNgkAAAABMIrs2m4s8N4I3j7mhyzw3ggzQ0lRLk5BU0RBUTpNU0ZULklRX1RPVEFMX0RFQlRfRVFVSVRZLjk5MC4wMi8wOC8yMDI2AQAAAEtVAAACAAAABzc1Ljc1NDUBCAAAAAUAAAABMQEAAAAKMTg5ODQ4OTQ3MAMAAAADMTYwAgAAAAQ0MDM0BAAAAAEwBwAAAAg4LzIv</t>
  </si>
  <si>
    <t>MjAyNggAAAAJNi8zMC8yMDE2CQAAAAEwiuzabizw3gjePuaHLPDeCDFDSVEuTkFTREFROk1TRlQuSVFfSU5WRU5UT1JZX1RVUk5TLjk5MC4wMi8wOC8yMDI2AQAAAEtVAAACAAAACTEyLjcyMjY4NQEIAAAABQAAAAExAQAAAAoxODk4NDg5NDcwAwAAAAMxNjACAAAABDQwODIEAAAAATAHAAAACDgvMi8yMDI2CAAAAAk2LzMwLzIwMTYJAAAAATCK7NpuLPDeCN4+5ocs8N4IN0NJUS5OQVNEQVE6TVNGVC5JUV9SRVRVUk5fQ09NTU9OX0VRVUlUWS4yMDAwLjAyLzA4LzIwMjYBAAAAS1UAAAIAAAAHMzQuMDM4NgEIAAAABQAAAAExAQAAAAstMTg4MDIyOTMyMwMAAAADMTYwAgAAAAUzMzMyMAQAAAABMAcAAAAIOC8yLzIwMjYIAAAACTYvMzAvMjAyNgkAAAABMIrs2m4s8N4Ilxfmhyzw3ggrQ0lRLk5BU0RBUTpNU0ZULklRX0ZVTExfVElNRS45OTEuMDIvMDgvMjAyNgEAAABLVQAAAgAAAAYxMjQwMDAAiuzabizw3gjePuaHLPDeCDFDSVEuTkFTREFROk1TRlQuSVFfUEVSSU9ETEVOR1RIX0NGLjk5MS4wMi8wOC8yMDI2AQAAAEtVAAABAAAAAjEyAIrs2m4s8N4I3j7mhyzw3ggvQ0lRLk5BU0RBUTpNU0ZULklRX0JBU0lDX1dFSUdIVC4yMDAwLjAyLzA4LzIwMjYBAAAAS1UAAAIAAAAENzQyOQCK7NpuLPDeCJcX5ocs8N4IQkNJUS5OQVNEQVE6TVNGVC5JUV9ORVRfREVCVF9FQklUREFfRVhDTF9PUEVSX0xFQVNF</t>
  </si>
  <si>
    <t>Uy45OTEuMDIvMDgvMjAyNgEAAABLVQAAAwAAAAJOTQEIAAAABQAAAAExAQAAAAoxOTczMzgwOTUxAwAAAAMxNjACAAAABTQ5MTc1BAAAAAEwBwAAAAg4LzIvMjAyNggAAAAJNi8zMC8yMDE3CQAAAAEwiuzabizw3gjO3OWHLPDeCDhDSVEuTkFTREFROk1TRlQuSVFfVE9UQUxfUkVWXzVZUl9BTk5fQ0FHUi45OTEuMDIvMDgvMjAyNgEAAABLVQAAAgAAAAY1LjU0NzcBCAAAAAUAAAABMQEAAAAKMTk3MzM4MDk1MQMAAAADMTYwAgAAAAQ0MjMzBAAAAAEwBwAAAAg4LzIvMjAyNggAAAAJNi8zMC8yMDE3CQAAAAEwiuzabizw3gjO3OWHLPDeCDNDSVEuTkFTREFROk1TRlQuSVFfTklfMVlSX0FOTl9HUk9XVEguOTkxLjAyLzA4LzIwMjYBAAAAS1UAAAIAAAAHMjQuMTAwNAEIAAAABQAAAAExAQAAAAoxOTczMzgwOTUxAwAAAAMxNjACAAAABDQxOTkEAAAAATAHAAAACDgvMi8yMDI2CAAAAAk2LzMwLzIwMTcJAAAAATCK7NpuLPDeCJcX5ocs8N4IOkNJUS5OQVNEQVE6TVNGVC5JUV9UT1RBTF9ERUJUX0VCSVREQV9DQVBFWC4yMDAwLjAyLzA4LzIwMjYBAAAAS1UAAAIAAAAIMS41MTA4NzgBCAAAAAUAAAABMQEAAAALLTE4ODAyMjkzMjMDAAAAAzE2MAIAAAAFMjMzMTMEAAAAATAHAAAACDgvMi8yMDI2CAAAAAk2LzMwLzIwMjYJAAAAATCK7NpuLPDeCJcX5ocs8N4IMkNJUS5OQVNEQVE6TVNGVC5JUV9FQklUREFf</t>
  </si>
  <si>
    <t>Q0FQRVhfSU5ULjk5MS4wMi8wOC8yMDI2AQAAAEtVAAACAAAACTEzLjY4NzY2OAEIAAAABQAAAAExAQAAAAoxOTczMzgwOTUxAwAAAAMxNjACAAAABDQxOTEEAAAAATAHAAAACDgvMi8yMDI2CAAAAAk2LzMwLzIwMTcJAAAAATCK7NpuLPDeCJcX5ocs8N4IM0NJUS5OQVNEQVE6TVNGVC5JUV9UT1RBTF9ERUJUX0VRVUlUWS45OTEuMDIvMDgvMjAyNgEAAABLVQAAAgAAAAcxMDguOTExAQgAAAAFAAAAATEBAAAACjE5NzMzODA5NTEDAAAAAzE2MAIAAAAENDAzNAQAAAABMAcAAAAIOC8yLzIwMjYIAAAACTYvMzAvMjAxNwkAAAABMIrs2m4s8N4Iztzlhyzw3ggxQ0lRLk5BU0RBUTpNU0ZULklRX0lOVkVOVE9SWV9UVVJOUy45OTEuMDIvMDgvMjAyNgEAAABLVQAAAgAAAAgxNS40NjA3NAEIAAAABQAAAAExAQAAAAoxOTczMzgwOTUxAwAAAAMxNjACAAAABDQwODIEAAAAATAHAAAACDgvMi8yMDI2CAAAAAk2LzMwLzIwMTcJAAAAATCK7NpuLPDeCM7c5Ycs8N4IMENJUS5OQVNEQVE6TVNGVC5JUV9SRVRVUk5fRVFVSVRZLjIwMDAuMDIvMDgvMjAyNgEAAABLVQAAAgAAAAczNC4wMzg2AQgAAAAFAAAAATEBAAAACy0xODgwMjI5MzIzAwAAAAMxNjACAAAABDQxMjgEAAAAATAHAAAACDgvMi8yMDI2CAAAAAk2LzMwLzIwMjYJAAAAATCK7NpuLPDeCJcX5ocs8N4ILUNJUS5OQVNEQVE6TVNGVC5JUV9JTlZfTUVUSE9E</t>
  </si>
  <si>
    <t>LjIwMDAuMDIvMDgvMjAyNgEAAABLVQAAAwAAAAJOQQCK7NpuLPDeCM7c5Ycs8N4IKkNJUS5OQVNEQVE6TVNGVC5JUV9HQUFQX0lTLjIwMDAuMDIvMDgvMjAyNgEAAABLVQAAAwAAAAdVUyBHQUFQAIrs2m4s8N4Iztzlhyzw3gguQ0lRLk5BU0RBUTpNU0ZULklRX0JBU0lDX1dFSUdIVC45OTAuMDIvMDgvMjAyNgEAAABLVQAAAgAAAAQ3OTI1AIrs2m4s8N4Iztzlhyzw3ggzQ0lRLk5BU0RBUTpNU0ZULklRX0VCSVRfM1lSX0FOTl9DQUdSLjk5MS4wMi8wOC8yMDI2AQAAAEtVAAACAAAABjEuNjk4MwEIAAAABQAAAAExAQAAAAoxOTczMzgwOTUxAwAAAAMxNjACAAAABDQyMjMEAAAAATAHAAAACDgvMi8yMDI2CAAAAAk2LzMwLzIwMTcJAAAAATCK7NpuLPDeCNW15Ycs8N4IMkNJUS5OQVNEQVE6TVNGVC5JUV9FUFNfM1lSX0FOTl9DQUdSLjk5MS4wMi8wOC8yMDI2AQAAAEtVAAACAAAABjcuMzEwNgEIAAAABQAAAAExAQAAAAoxOTczMzgwOTUxAwAAAAMxNjACAAAABDQyMjYEAAAAATAHAAAACDgvMi8yMDI2CAAAAAk2LzMwLzIwMTcJAAAAATCK7NpuLPDeCNW15Ycs8N4INkNJUS5OQVNEQVE6TVNGVC5JUV9FQklUXzFZUl9BTk5fR1JPV1RILjIwMDAuMDIvMDgvMjAyNgEAAABLVQAAAgAAAAcyMC43ODA2AQgAAAAFAAAAATEBAAAACy0xODgwMjI5MzIzAwAAAAMxNjACAAAABDQxOTcEAAAAATAHAAAACDgvMi8y</t>
  </si>
  <si>
    <t>MDI2CAAAAAk2LzMwLzIwMjYJAAAAATCK7NpuLPDeCNW15Ycs8N4ISkNJUS5OQVNEQVE6TVNGVC5JUV9UT1RBTF9ERUJUX0VCSVREQV9FWENMX09QRVJfTEVBU0VTX0NBUEVYLjk5MC4wMi8wOC8yMDI2AQAAAEtVAAACAAAACDIuMjA2MDgzAQgAAAAFAAAAATEBAAAACjE4OTg0ODk0NzADAAAAAzE2MAIAAAAFNDkxODMEAAAAATAHAAAACDgvMi8yMDI2CAAAAAk2LzMwLzIwMTYJAAAAATCK7NpuLPDeCNW15Ycs8N4ILUNJUS5OQVNEQVE6TVNGVC5JUV9FQklUREFfSU5ULjIwMDAuMDIvMDgvMjAyNgEAAABLVQAAAgAAAAk2NS4zMDUwOTUBCAAAAAUAAAABMQEAAAALLTE4ODAyMjkzMjMDAAAAAzE2MAIAAAAENDE5MAQAAAABMAcAAAAIOC8yLzIwMjYIAAAACTYvMzAvMjAyNgkAAAABMIrs2m4s8N4I1bXlhyzw3ggxQ0lRLk5BU0RBUTpNU0ZULklRX0NBU0hfQ09OVkVSU0lPTi45OTAuMDIvMDgvMjAyNgEAAABLVQAAAgAAAAkyNC41ODEyOTIBCAAAAAUAAAABMQEAAAAKMTg5ODQ4OTQ3MAMAAAADMTYwAgAAAAQ0MTg0BAAAAAEwBwAAAAg4LzIvMjAyNggAAAAJNi8zMC8yMDE2CQAAAAEwiuzabizw3gjVteWHLPDeCDRDSVEuTkFTREFROk1TRlQuSVFfRklYRURfQVNTRVRfVFVSTlMuMjAwMC4wMi8wOC8yMDI2AQAAAEtVAAACAAAACDEuMTcwNDIxAQgAAAAFAAAAATEBAAAACy0xODgwMjI5MzIzAwAAAAMxNjAC</t>
  </si>
  <si>
    <t>AAAABDQwNjYEAAAAATAHAAAACDgvMi8yMDI2CAAAAAk2LzMwLzIwMjYJAAAAATCK7NpuLPDeCNW15Ycs8N4INkNJUS5OQVNEQVE6TVNGVC5JUV9SRVRVUk5fQ09NTU9OX0VRVUlUWS45OTAuMDIvMDgvMjAyNgEAAABLVQAAAgAAAAcyNy4wMTA3AQgAAAAFAAAAATEBAAAACjE4OTg0ODk0NzADAAAAAzE2MAIAAAAFMzMzMjAEAAAAATAHAAAACDgvMi8yMDI2CAAAAAk2LzMwLzIwMTYJAAAAATCK7NpuLPDeCNW15Ycs8N4IMENJUS5OQVNEQVE6TVNGVC5JUV9DT1NUX0JPUlJPV0lORy45OTAuMDIvMDgvMjAyNgEAAABLVQAAAgAAAAYyLjg5MzUBCAAAAAUAAAABMQEAAAAKMTg5ODQ4OTQ3MAMAAAADMTYwAgAAAAUyMTY4MQQAAAABMAcAAAAIOC8yLzIwMjYIAAAACTYvMzAvMjAxNgkAAAABMIrs2m4s8N4I1bXlhyzw3ggsQ0lRLk5BU0RBUTpNU0ZULklRX0lOVl9NRVRIT0QuOTkwLjAyLzA4LzIwMjYBAAAAS1UAAAMAAAAIQXZnIENvc3QAiuzabizw3gjVteWHLPDeCC9DSVEuTkFTREFROk1TRlQuSVFfQ0FMQ19UWVBFX0lTLjIwMDAuMDIvMDgvMjAyNgEAAABLVQAAAwAAAANSRVAAiuzabizw3gjVteWHLPDeCC5DSVEuTkFTREFROk1TRlQuSVFfQkFTSUNfV0VJR0hULjk5MS4wMi8wOC8yMDI2AQAAAEtVAAACAAAABDc3NDYAiuzabizw3gjVteWHLPDeCDlDSVFBVkcuTkFTREFROk1TRlQuSVFfVEVWX0VCSVQu</t>
  </si>
  <si>
    <t>MjAwMC4zMS8wMy8yMDI2LjMwLzA2LzIwMjYBAAAAS1UAAAIAAAAQMTkuODAzNDgwMzU1Mjc2MQAFV2d4LPDeCE1t6Ics8N4INENJUUFWRy5OQVNEQVE6TVNGVC5JUV9QQlYuMjAwMC4zMS8wMy8yMDI2LjMwLzA2LzIwMjYBAAAAS1UAAAIAAAAQNy4zODA1NTY1NDU3MDI3NgAFV2d4LPDeCE1t6Ics8N4IO0NJUUFWRy5OQVNEQVE6TVNGVC5JUV9URVZfRUJJVERBLjIwMDAuMzAvMDYvMjAxNS4zMC8wNi8yMDE2AQAAAEtVAAACAAAAEDEwLjgxNTg3MzE0MDkxMDYABVdneCzw3gjCT+iHLPDeCDhDSVFBVkcuTkFTREFROk1TRlQuSVFfUEVfRVhDTC4yMDAwLjMwLzA2LzIwMTUuMzAvMDYvMjAxNgEAAABLVQAAAgAAABAzNC42MjI2OTY0MjcyMDI4AAVXZ3gs8N4Iwk/ohyzw3gg5Q0lRQVZHLk5BU0RBUTpNU0ZULklRX1RFVl9FQklULjIwMDAuMzAvMDYvMjAxNS4zMC8wNi8yMDE2AQAAAEtVAAACAAAAEDEzLjExMjQwMDY4MDQ2ODUABVdneCzw3gjCT+iHLPDeCDVDSVFBVkcuTkFTREFROk1TRlQuSVFfUFRCVi4yMDAwLjMxLzAzLzIwMjYuMzAvMDYvMjAyNgEAAABLVQAAAgAAABAxMS4yMzI2MDg5Mjk0ODU4AAVXZ3gs8N4ITW3ohyzw3gg7Q0lRQVZHLk5BU0RBUTpNU0ZULklRX1RFVl9FQklUREEuMjAwMC4zMS8wMy8yMDI2LjMwLzA2LzIwMjYBAAAAS1UAAAIAAAAQMTUuNjEzMTk5NjE3NjU3NAAFV2d4LPDe</t>
  </si>
  <si>
    <t>CMJP6Ics8N4IOENJUUFWRy5OQVNEQVE6TVNGVC5JUV9QRV9FWENMLjIwMDAuMzAvMDYvMjAxNi4zMC8wNi8yMDE3AQAAAEtVAAACAAAAEDI5Ljg5MTE4MTYzMjk5NDEABVdneCzw3gjiKOiHLPDeCD5DSVFBVkcuTkFTREFROk1TRlQuSVFfVEVWX1RPVEFMX1JFVi4yMDAwLjMwLzA2LzIwMTYuMzAvMDYvMjAxNwEAAABLVQAAAgAAABA1LjA1NTI3MjE0MjUzMTQxAAVXZ3gs8N4I4ijohyzw3gg7Q0lRQVZHLk5BU0RBUTpNU0ZULklRX1RFVl9FQklUREEuMjAwMC4zMC8wNi8yMDE2LjMwLzA2LzIwMTcBAAAAS1UAAAIAAAAQMTUuNjgyNjg0MjE3NjE0NAAFV2d4LPDeCOIo6Ics8N4IOUNJUUFWRy5OQVNEQVE6TVNGVC5JUV9URVZfRUJJVC4yMDAwLjMwLzA2LzIwMTYuMzAvMDYvMjAxNwEAAABLVQAAAgAAABAyMC41OTA5MDE5NDM1MjMzAAVXZ3gs8N4I4ijohyzw3gg0Q0lRQVZHLk5BU0RBUTpNU0ZULklRX1BCVi4yMDAwLjMwLzA2LzIwMTUuMzAvMDYvMjAxNgEAAABLVQAAAgAAABA1LjE1NTkxMDQ4MTMxODI2AAVXZ3gs8N4I4ijohyzw3gg4Q0lRQVZHLk5BU0RBUTpNU0ZULklRX1BFX0VYQ0wuMjAwMC4zMS8wMy8yMDI2LjMwLzA2LzIwMjYBAAAAS1UAAAIAAAAQMjQuNDQ3NDM0Njg4NjkxMgAFV2d4LPDeCE1t6Ics8N4INENJUUFWRy5OQVNEQVE6TVNGVC5JUV9QQlYuMjAwMC4zMC8wNi8yMDE2LjMwLzA2</t>
  </si>
  <si>
    <t>LzIwMTcBAAAAS1UAAAIAAAAQNi44NzA0NjczMDgzNzE1MgAFV2d4LPDeCOIo6Ics8N4INUNJUUFWRy5OQVNEQVE6TVNGVC5JUV9QVEJWLjIwMDAuMzAvMDYvMjAxNS4zMC8wNi8yMDE2AQAAAEtVAAACAAAAEDcuMjI2MTg1OTM5NjkzMjQABVdneCzw3gjCT+iHLPDeCD5DSVFBVkcuTkFTREFROk1TRlQuSVFfVEVWX1RPVEFMX1JFVi4yMDAwLjMwLzA2LzIwMTUuMzAvMDYvMjAxNgEAAABLVQAAAgAAABAzLjc4NzM3MTA4OTE2OTI4AAVXZ3gs8N4Iwk/ohyzw3gg+Q0lRQVZHLk5BU0RBUTpNU0ZULklRX1RFVl9UT1RBTF9SRVYuMjAwMC4zMS8wMy8yMDI2LjMwLzA2LzIwMjYBAAAAS1UAAAIAAAAQOS42ODk4MTgzNTQ1MTcwMwAFV2d4LPDeCMJP6Ics8N4INUNJUUFWRy5OQVNEQVE6TVNGVC5JUV9QVEJWLjIwMDAuMzAvMDYvMjAxNi4zMC8wNi8yMDE3AQAAAEtVAAACAAAAEDE0LjU4OTk0MjAzNTY2MTIABVdneCzw3gjiKOiHLPDeCD5DSVFBVkcuTkFTREFROk1TRlQuSVFfVEVWX1RPVEFMX1JFVi4yMDAwLjMwLzA2LzIwMTcuMzAvMDYvMjAxOAEAAABLVQAAAgAAABA2LjYyMzg4MTI3ODc5NDYzAA9+Z3gs8N4IXgHohyzw3gg7Q0lRQVZHLk5BU0RBUTpNU0ZULklRX1RFVl9FQklUREEuMjAwMC4zMC8wNi8yMDE3LjMwLzA2LzIwMTgBAAAAS1UAAAIAAAAQMTguNTUzNjU5MDc4MDk2MwAPfmd4LPDeCOIo6Ics</t>
  </si>
  <si>
    <t>8N4IOUNJUUFWRy5OQVNEQVE6TVNGVC5JUV9URVZfRUJJVC4yMDAwLjMwLzA2LzIwMTcuMzAvMDYvMjAxOAEAAABLVQAAAgAAABAyNS45ODI2NTA3Njc3NDI2AA9+Z3gs8N4I4ijohyzw3gg4Q0lRQVZHLk5BU0RBUTpNU0ZULklRX1BFX0VYQ0wuMjAwMC4zMC8wNi8yMDE3LjMwLzA2LzIwMTgBAAAAS1UAAAIAAAAQNDYuNzA2ODA1OTU3NTM0MgAPfmd4LPDeCF4B6Ics8N4INENJUUFWRy5OQVNEQVE6TVNGVC5JUV9QQlYuMjAwMC4zMC8wNi8yMDE3LjMwLzA2LzIwMTgBAAAAS1UAAAIAAAAQOC4zNTM5NDEwNzI2Nzk3MQAPfmd4LPDeCF4B6Ics8N4INUNJUUFWRy5OQVNEQVE6TVNGVC5JUV9QVEJWLjIwMDAuMzAvMDYvMjAxNy4zMC8wNi8yMDE4AQAAAEtVAAACAAAAEDE5LjYwNjYzNTg5OTI5NjQAD35neCzw3gheAeiHLPDeCDhDSVFBVkcuTkFTREFROk1TRlQuSVFfUEVfRVhDTC4yMDAwLjMwLzA2LzIwMTguMzAvMDYvMjAxOQEAAABLVQAAAgAAABA0MC4xNzQzOTM0NzIzNjA2AA9+Z3gs8N4IXgHohyzw3gg1Q0lRQVZHLk5BU0RBUTpNU0ZULklRX1BUQlYuMjAwMC4zMC8wNi8yMDE4LjMwLzA2LzIwMTkBAAAAS1UAAAIAAAAQMjAuODg1ODU0MjEzMjczNAAPfmd4LPDeCF4B6Ics8N4IOUNJUUFWRy5OQVNEQVE6TVNGVC5JUV9URVZfRUJJVC4yMDAwLjMwLzA2LzIwMTguMzAvMDYvMjAxOQEAAABLVQAAAgAA</t>
  </si>
  <si>
    <t>AA8yMi4yMDAxMTU5MTM2MDkAD35neCzw3gheAeiHLPDeCDtDSVFBVkcuTkFTREFROk1TRlQuSVFfVEVWX0VCSVREQS4yMDAwLjMwLzA2LzIwMTguMzAvMDYvMjAxOQEAAABLVQAAAgAAABAxNi43Njc1NDA0NDY5MjA0AA9+Z3gs8N4IXgHohyzw3gg+Q0lRQVZHLk5BU0RBUTpNU0ZULklRX1RFVl9UT1RBTF9SRVYuMjAwMC4zMC8wNi8yMDE4LjMwLzA2LzIwMTkBAAAAS1UAAAIAAAAQNy4xMzk3OTU3MTUzNzI4NwAPfmd4LPDeCLfX54cs8N4INENJUUFWRy5OQVNEQVE6TVNGVC5JUV9QQlYuMjAwMC4zMC8wNi8yMDE4LjMwLzA2LzIwMTkBAAAAS1UAAAIAAAAQOS44NjYzNDk5OTk5MzYzOQAPfmd4LPDeCLfX54cs8N4INENJUUFWRy5OQVNEQVE6TVNGVC5JUV9QQlYuMjAwMC4zMC8wNi8yMDE5LjMwLzA2LzIwMjABAAAAS1UAAAIAAAAQMTEuMTg3MzMzOTY4MjE1NAAPfmd4LPDeCLfX54cs8N4IOUNJUUFWRy5OQVNEQVE6TVNGVC5JUV9URVZfRUJJVC4yMDAwLjMwLzA2LzIwMTkuMzAvMDYvMjAyMAEAAABLVQAAAgAAABAyNC41NTQ0MzQyNDU4OTIxAA9+Z3gs8N4It9fnhyzw3gg1Q0lRQVZHLk5BU0RBUTpNU0ZULklRX1BUQlYuMjAwMC4zMC8wNi8yMDE5LjMwLzA2LzIwMjABAAAAS1UAAAIAAAAQMjAuODU2Nzc0MDg1MjA5MwAPfmd4LPDeCLfX54cs8N4IO0NJUUFWRy5OQVNEQVE6TVNGVC5JUV9URVZfRUJJ</t>
  </si>
  <si>
    <t>VERBLjIwMDAuMzAvMDYvMjAxOS4zMC8wNi8yMDIwAQAAAEtVAAACAAAADzE5LjAyMjgxMTk4MjAxNgAPfmd4LPDeCLfX54cs8N4IPkNJUUFWRy5OQVNEQVE6TVNGVC5JUV9URVZfVE9UQUxfUkVWLjIwMDAuMzAvMDYvMjAxOS4zMC8wNi8yMDIwAQAAAEtVAAACAAAAEDguNzU0MTI0NzI3NTkzNjcAD35neCzw3gi31+eHLPDeCDhDSVFBVkcuTkFTREFROk1TRlQuSVFfUEVfRVhDTC4yMDAwLjMwLzA2LzIwMTkuMzAvMDYvMjAyMAEAAABLVQAAAgAAABAyOC45MzgyODA2NzkzMTAzAA9+Z3gs8N4It9fnhyzw3gg5Q0lRQVZHLk5BU0RBUTpNU0ZULklRX1RFVl9FQklULjIwMDAuMzAvMDYvMjAyMC4zMC8wNi8yMDIxAQAAAEtVAAACAAAAEDI4Ljk5MDUyODY4OTMzNzYAD35neCzw3gi31+eHLPDeCDhDSVFBVkcuTkFTREFROk1TRlQuSVFfUEVfRVhDTC4yMDAwLjMwLzA2LzIwMjAuMzAvMDYvMjAyMQEAAABLVQAAAgAAABAzNS41ODM1OTQwMDc2NDE0AA9+Z3gs8N4It9fnhyzw3gg0Q0lRQVZHLk5BU0RBUTpNU0ZULklRX1BCVi4yMDAwLjMwLzA2LzIwMjAuMzAvMDYvMjAyMQEAAABLVQAAAgAAABAxMy43MTg3Njc5ODg4OTkzAA9+Z3gs8N4Iwp7nhyzw3gg7Q0lRQVZHLk5BU0RBUTpNU0ZULklRX1RFVl9FQklUREEuMjAwMC4zMC8wNi8yMDIwLjMwLzA2LzIwMjEBAAAAS1UAAAIAAAAPMjMuMzE0MzM4MDQwMzQ1</t>
  </si>
  <si>
    <t>AA9+Z3gs8N4Iwp7nhyzw3gg+Q0lRQVZHLk5BU0RBUTpNU0ZULklRX1RFVl9UT1RBTF9SRVYuMjAwMC4zMC8wNi8yMDIwLjMwLzA2LzIwMjEBAAAAS1UAAAIAAAAQMTEuMTQ3MTU5MTM4MjM1NgAPfmd4LPDeCMKe54cs8N4INUNJUUFWRy5OQVNEQVE6TVNGVC5JUV9QVEJWLjIwMDAuMzAvMDYvMjAyMC4zMC8wNi8yMDIxAQAAAEtVAAACAAAAEDIzLjQzOTQ5NDA5MzIwMzIAD35neCzw3gjCnueHLPDeCDtDSVFBVkcuTkFTREFROk1TRlQuSVFfVEVWX0VCSVREQS4yMDAwLjMwLzA2LzIwMjEuMzAvMDYvMjAyMgEAAABLVQAAAgAAABAyNC43MDI4NzI1OTEwNDk5AA9+Z3gs8N4Iwp7nhyzw3gg5Q0lRQVZHLk5BU0RBUTpNU0ZULklRX1RFVl9FQklULjIwMDAuMzAvMDYvMjAyMS4zMC8wNi8yMDIyAQAAAEtVAAACAAAADzI5LjMyNDk5NDA3ODgxNwAPfmd4LPDeCMKe54cs8N4IPkNJUUFWRy5OQVNEQVE6TVNGVC5JUV9URVZfVE9UQUxfUkVWLjIwMDAuMzAvMDYvMjAyMS4zMC8wNi8yMDIyAQAAAEtVAAACAAAADzEyLjMxMzgzNDA2OTMwOQAPfmd4LPDeCMKe54cs8N4INENJUUFWRy5OQVNEQVE6TVNGVC5JUV9QQlYuMjAwMC4zMC8wNi8yMDIxLjMwLzA2LzIwMjIBAAAAS1UAAAIAAAAQMTQuNzEyNjM2MzY3MjI3OAAPfmd4LPDeCMKe54cs8N4IOENJUUFWRy5OQVNEQVE6TVNGVC5JUV9QRV9FWENMLjIwMDAuMzAv</t>
  </si>
  <si>
    <t>MDYvMjAyMS4zMC8wNi8yMDIyAQAAAEtVAAACAAAADzMzLjg3MjAzNTg4NjQ5MQAPfmd4LPDeCMKe54cs8N4INUNJUUFWRy5OQVNEQVE6TVNGVC5JUV9QVEJWLjIwMDAuMzAvMDYvMjAyMS4zMC8wNi8yMDIyAQAAAEtVAAACAAAAEDI0Ljc2OTM1MTg0MTc0MzcAD35neCzw3gjCnueHLPDeCDhDSVFBVkcuTkFTREFROk1TRlQuSVFfUEVfRVhDTC4yMDAwLjMwLzA2LzIwMjIuMzAvMDYvMjAyMwEAAABLVQAAAgAAABAyOC43OTkwMTE4MTM4OTUzAA9+Z3gs8N4Icnfnhyzw3gg5Q0lRQVZHLk5BU0RBUTpNU0ZULklRX1RFVl9FQklULjIwMDAuMzAvMDYvMjAyMi4zMC8wNi8yMDIzAQAAAEtVAAACAAAAEDIzLjQwNzEwOTM3MDkwOTgAD35neCzw3gjCnueHLPDeCDRDSVFBVkcuTkFTREFROk1TRlQuSVFfUEJWLjIwMDAuMzAvMDYvMjAyMi4zMC8wNi8yMDIzAQAAAEtVAAACAAAAEDExLjI0NTc3MzQ3OTA5MjcAD35neCzw3ghyd+eHLPDeCDVDSVFBVkcuTkFTREFROk1TRlQuSVFfUFRCVi4yMDAwLjMwLzA2LzIwMjIuMzAvMDYvMjAyMwEAAABLVQAAAgAAABAyMC4yNDAwOTY1OTU5MDU5AA9+Z3gs8N4Icnfnhyzw3gg7Q0lRQVZHLk5BU0RBUTpNU0ZULklRX1RFVl9FQklUREEuMjAwMC4zMC8wNi8yMDIyLjMwLzA2LzIwMjMBAAAAS1UAAAIAAAAQMTkuNTA1NTgwMjEyMzIwNQAPfmd4LPDeCHJ354cs8N4IPkNJUUFW</t>
  </si>
  <si>
    <t>Ry5OQVNEQVE6TVNGVC5JUV9URVZfVE9UQUxfUkVWLjIwMDAuMzAvMDYvMjAyMi4zMC8wNi8yMDIzAQAAAEtVAAACAAAAEDkuNzM1Njg5ODU1MDQxMTYAD35neCzw3ghyd+eHLPDeCDRDSVFBVkcuTkFTREFROk1TRlQuSVFfUEJWLjIwMDAuMzAvMDYvMjAyMy4zMC8wNi8yMDI0AQAAAEtVAAACAAAAEDEyLjQ1MDgzODMyNzc2NDMAD35neCzw3ghyd+eHLPDeCDlDSVFBVkcuTkFTREFROk1TRlQuSVFfVEVWX0VCSVQuMjAwMC4zMC8wNi8yMDIzLjMwLzA2LzIwMjQBAAAAS1UAAAIAAAAQMjguOTQyMTY2MTg4MDk4NwAPfmd4LPDeCFVQ54cs8N4INUNJUUFWRy5OQVNEQVE6TVNGVC5JUV9QVEJWLjIwMDAuMzAvMDYvMjAyMy4zMC8wNi8yMDI0AQAAAEtVAAACAAAAEDI0LjgzNjY0NjI4NjEzODkAD35neCzw3ghVUOeHLPDeCDtDSVFBVkcuTkFTREFROk1TRlQuSVFfVEVWX0VCSVREQS4yMDAwLjMwLzA2LzIwMjMuMzAvMDYvMjAyNAEAAABLVQAAAgAAABAyNC4yNDMwODUwMjU5MjU5AA9+Z3gs8N4IVVDnhyzw3gg4Q0lRQVZHLk5BU0RBUTpNU0ZULklRX1BFX0VYQ0wuMjAwMC4zMC8wNi8yMDIzLjMwLzA2LzIwMjQBAAAAS1UAAAIAAAAQMzUuOTkxOTg5NTk0NjE1OAAPfmd4LPDeCFVQ54cs8N4IPkNJUUFWRy5OQVNEQVE6TVNGVC5JUV9URVZfVE9UQUxfUkVWLjIwMDAuMzAvMDYvMjAyMy4zMC8wNi8yMDI0AQAA</t>
  </si>
  <si>
    <t>AEtVAAACAAAAEDEyLjYxNDI0NTAwNTA0NzQAD35neCzw3ghVUOeHLPDeCDtDSVFBVkcuTkFTREFROk1TRlQuSVFfVEVWX0VCSVREQS4yMDAwLjMwLzA2LzIwMjQuMzAvMDYvMjAyNQEAAABLVQAAAgAAABAyMi44NDIyNTUyNzE0MDE3AA9+Z3gs8N4IVVDnhyzw3gg0Q0lRQVZHLk5BU0RBUTpNU0ZULklRX1BCVi4yMDAwLjMwLzA2LzIwMjQuMzAvMDYvMjAyNQEAAABLVQAAAgAAABAxMC45NDU2NTQwMjIzNDE3AA9+Z3gs8N4IVVDnhyzw3gg+Q0lRQVZHLk5BU0RBUTpNU0ZULklRX1RFVl9UT1RBTF9SRVYuMjAwMC4zMC8wNi8yMDI0LjMwLzA2LzIwMjUBAAAAS1UAAAIAAAAPMTIuNDc0OTY3OTU0Nzc2AA9+Z3gs8N4IVVDnhyzw3gg4Q0lRQVZHLk5BU0RBUTpNU0ZULklRX1BFX0VYQ0wuMjAwMC4zMC8wNi8yMDI0LjMwLzA2LzIwMjUBAAAAS1UAAAIAAAAQMzQuNzg4ODMzODYyMDgyMQAPfmd4LPDeCEkp54cs8N4IOUNJUUFWRy5OQVNEQVE6TVNGVC5JUV9URVZfRUJJVC4yMDAwLjMwLzA2LzIwMjQuMzAvMDYvMjAyNQEAAABLVQAAAgAAABAyOC4zMzQ0NzUyMjk2OTE5AA9+Z3gs8N4IVVDnhyzw3gg1Q0lRQVZHLk5BU0RBUTpNU0ZULklRX1BUQlYuMjAwMC4zMC8wNi8yMDI0LjMwLzA2LzIwMjUBAAAAS1UAAAIAAAAQMjIuNDY2Mzc5NTE1MzE1NQAPfmd4LPDeCFVQ54cs8N4IO0NJUUFWRy5OQVNEQVE6TVNG</t>
  </si>
  <si>
    <t>VC5JUV9URVZfRUJJVERBLjIwMDAuMzAvMDYvMjAyNS4zMC8wNi8yMDI2AQAAAEtVAAACAAAAEDE5Ljk1OTYxNTcwOTMwNjQAD35neCzw3ghJKeeHLPDeCDVDSVFBVkcuTkFTREFROk1TRlQuSVFfUFRCVi4yMDAwLjMwLzA2LzIwMjUuMzAvMDYvMjAyNgEAAABLVQAAAgAAABAxNS4zMzY2OTMxOTk0ODE0AA9+Z3gs8N4ISSnnhyzw3gg4Q0lRQVZHLk5BU0RBUTpNU0ZULklRX1BFX0VYQ0wuMjAwMC4zMC8wNi8yMDI1LjMwLzA2LzIwMjYBAAAAS1UAAAIAAAAQMzEuNTgwMDU1NTMxMDY4MQAPfmd4LPDeCEkp54cs8N4IPkNJUUFWRy5OQVNEQVE6TVNGVC5JUV9URVZfVE9UQUxfUkVWLjIwMDAuMzAvMDYvMjAyNS4zMC8wNi8yMDI2AQAAAEtVAAACAAAAEDExLjcyMDc3MDUxNjg0NDYAD35neCzw3ghJKeeHLPDeCDlDSVFBVkcuTkFTREFROk1TRlQuSVFfVEVWX0VCSVQuMjAwMC4zMC8wNi8yMDI1LjMwLzA2LzIwMjYBAAAAS1UAAAIAAAAQMjUuMzA1NTY5NDA4MzcyOQAPfmd4LPDeCEkp54cs8N4INENJUUFWRy5OQVNEQVE6TVNGVC5JUV9QQlYuMjAwMC4zMC8wNi8yMDI1LjMwLzA2LzIwMjYBAAAAS1UAAAIAAAAQOS4zNTA1Mzg4NTc4ODU0MwAPfmd4LPDeCEkp54cs8N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</si>
</sst>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&quot;$&quot;#,##0.00_);\(&quot;$&quot;#,##0.00\)"/>
    <numFmt numFmtId="165" formatCode="0.0%"/>
    <numFmt numFmtId="166" formatCode="0.0\x"/>
    <numFmt numFmtId="167" formatCode="_(#,##0_);_(\(#,##0\);_(&quot; - &quot;??_);_(@_)"/>
    <numFmt numFmtId="168" formatCode="_(#,##0.0_);_(\(#,##0.0\);_(&quot; - &quot;??_);_(@_)"/>
    <numFmt numFmtId="169" formatCode="&quot;$&quot;#,##0.0_);\(&quot;$&quot;#,##0.0\)"/>
    <numFmt numFmtId="170" formatCode="#,##0.0_);\(#,##0.0\)"/>
    <numFmt numFmtId="171" formatCode="#,##0.000;\(#,##0.000\)"/>
    <numFmt numFmtId="172" formatCode="#,##0.0;\(#,##0.0\)"/>
    <numFmt numFmtId="173" formatCode="0.0;\(0.0\)"/>
    <numFmt numFmtId="174" formatCode="_(* #,##0.0_);_(* \(#,##0.0\);_(* &quot; - &quot;_);_(@_)"/>
  </numFmts>
  <fonts count="12" x14ac:knownFonts="1">
    <font>
      <sz val="10"/>
      <name val="Arial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17"/>
      <name val="Arial"/>
      <family val="2"/>
    </font>
    <font>
      <b/>
      <sz val="10"/>
      <color indexed="17"/>
      <name val="Arial"/>
      <family val="2"/>
    </font>
    <font>
      <b/>
      <sz val="10"/>
      <color indexed="8"/>
      <name val="Arial"/>
      <family val="2"/>
    </font>
    <font>
      <sz val="10"/>
      <color indexed="17"/>
      <name val="Arial"/>
      <family val="2"/>
    </font>
    <font>
      <sz val="10"/>
      <name val="Times New Roman"/>
      <family val="1"/>
    </font>
    <font>
      <sz val="10"/>
      <color rgb="FFFF0000"/>
      <name val="Arial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indexed="9"/>
      </top>
      <bottom/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9" fontId="2" fillId="0" borderId="0" applyFont="0" applyFill="0" applyBorder="0" applyAlignment="0" applyProtection="0"/>
    <xf numFmtId="0" fontId="4" fillId="0" borderId="0" applyNumberFormat="0" applyFill="0" applyBorder="0" applyProtection="0">
      <alignment horizontal="left"/>
    </xf>
    <xf numFmtId="171" fontId="3" fillId="0" borderId="0" applyFill="0" applyBorder="0" applyProtection="0">
      <alignment horizontal="right" vertical="top"/>
    </xf>
    <xf numFmtId="14" fontId="3" fillId="0" borderId="0" applyFill="0" applyBorder="0" applyProtection="0">
      <alignment horizontal="left" vertical="top"/>
    </xf>
    <xf numFmtId="172" fontId="3" fillId="0" borderId="0" applyFill="0" applyBorder="0" applyProtection="0">
      <alignment horizontal="left" vertical="top" wrapText="1"/>
    </xf>
    <xf numFmtId="0" fontId="1" fillId="0" borderId="0"/>
    <xf numFmtId="0" fontId="10" fillId="0" borderId="0"/>
  </cellStyleXfs>
  <cellXfs count="70">
    <xf numFmtId="0" fontId="0" fillId="0" borderId="0" xfId="0"/>
    <xf numFmtId="0" fontId="5" fillId="0" borderId="0" xfId="0" applyFont="1"/>
    <xf numFmtId="0" fontId="4" fillId="0" borderId="0" xfId="0" applyFont="1" applyAlignment="1">
      <alignment horizontal="left"/>
    </xf>
    <xf numFmtId="0" fontId="4" fillId="0" borderId="0" xfId="0" applyFont="1"/>
    <xf numFmtId="170" fontId="6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left" indent="1"/>
    </xf>
    <xf numFmtId="170" fontId="7" fillId="0" borderId="3" xfId="0" applyNumberFormat="1" applyFont="1" applyBorder="1" applyAlignment="1">
      <alignment horizontal="right"/>
    </xf>
    <xf numFmtId="170" fontId="7" fillId="0" borderId="0" xfId="0" applyNumberFormat="1" applyFont="1" applyAlignment="1">
      <alignment horizontal="right"/>
    </xf>
    <xf numFmtId="170" fontId="6" fillId="0" borderId="1" xfId="0" applyNumberFormat="1" applyFont="1" applyBorder="1" applyAlignment="1">
      <alignment horizontal="right"/>
    </xf>
    <xf numFmtId="170" fontId="7" fillId="0" borderId="4" xfId="0" applyNumberFormat="1" applyFont="1" applyBorder="1" applyAlignment="1">
      <alignment horizontal="right"/>
    </xf>
    <xf numFmtId="170" fontId="7" fillId="0" borderId="5" xfId="0" applyNumberFormat="1" applyFont="1" applyBorder="1" applyAlignment="1">
      <alignment horizontal="right"/>
    </xf>
    <xf numFmtId="39" fontId="6" fillId="0" borderId="0" xfId="0" applyNumberFormat="1" applyFont="1" applyAlignment="1">
      <alignment horizontal="right"/>
    </xf>
    <xf numFmtId="168" fontId="6" fillId="0" borderId="0" xfId="0" applyNumberFormat="1" applyFont="1" applyAlignment="1">
      <alignment horizontal="right"/>
    </xf>
    <xf numFmtId="14" fontId="6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174" fontId="6" fillId="0" borderId="0" xfId="0" applyNumberFormat="1" applyFont="1" applyAlignment="1">
      <alignment horizontal="right"/>
    </xf>
    <xf numFmtId="168" fontId="4" fillId="0" borderId="0" xfId="0" applyNumberFormat="1" applyFont="1"/>
    <xf numFmtId="169" fontId="4" fillId="0" borderId="0" xfId="0" applyNumberFormat="1" applyFont="1"/>
    <xf numFmtId="37" fontId="6" fillId="0" borderId="0" xfId="0" applyNumberFormat="1" applyFont="1" applyAlignment="1">
      <alignment horizontal="right"/>
    </xf>
    <xf numFmtId="0" fontId="5" fillId="0" borderId="0" xfId="0" applyFont="1" applyAlignment="1">
      <alignment horizontal="left"/>
    </xf>
    <xf numFmtId="166" fontId="6" fillId="0" borderId="0" xfId="0" applyNumberFormat="1" applyFont="1" applyAlignment="1">
      <alignment horizontal="right"/>
    </xf>
    <xf numFmtId="2" fontId="6" fillId="0" borderId="0" xfId="0" applyNumberFormat="1" applyFont="1" applyAlignment="1">
      <alignment horizontal="right"/>
    </xf>
    <xf numFmtId="170" fontId="5" fillId="0" borderId="0" xfId="0" applyNumberFormat="1" applyFont="1" applyAlignment="1">
      <alignment horizontal="right"/>
    </xf>
    <xf numFmtId="14" fontId="7" fillId="0" borderId="1" xfId="0" applyNumberFormat="1" applyFont="1" applyBorder="1" applyAlignment="1">
      <alignment horizontal="right"/>
    </xf>
    <xf numFmtId="14" fontId="4" fillId="0" borderId="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right"/>
    </xf>
    <xf numFmtId="165" fontId="4" fillId="0" borderId="3" xfId="0" applyNumberFormat="1" applyFont="1" applyBorder="1" applyAlignment="1">
      <alignment horizontal="right"/>
    </xf>
    <xf numFmtId="165" fontId="5" fillId="0" borderId="1" xfId="0" applyNumberFormat="1" applyFont="1" applyBorder="1" applyAlignment="1">
      <alignment horizontal="right"/>
    </xf>
    <xf numFmtId="165" fontId="4" fillId="0" borderId="0" xfId="0" applyNumberFormat="1" applyFont="1" applyAlignment="1">
      <alignment horizontal="right"/>
    </xf>
    <xf numFmtId="165" fontId="4" fillId="0" borderId="4" xfId="0" applyNumberFormat="1" applyFont="1" applyBorder="1" applyAlignment="1">
      <alignment horizontal="right"/>
    </xf>
    <xf numFmtId="165" fontId="4" fillId="0" borderId="5" xfId="0" applyNumberFormat="1" applyFont="1" applyBorder="1" applyAlignment="1">
      <alignment horizontal="right"/>
    </xf>
    <xf numFmtId="10" fontId="4" fillId="0" borderId="1" xfId="0" applyNumberFormat="1" applyFont="1" applyBorder="1" applyAlignment="1">
      <alignment horizontal="centerContinuous"/>
    </xf>
    <xf numFmtId="0" fontId="4" fillId="0" borderId="1" xfId="0" applyFont="1" applyBorder="1" applyAlignment="1">
      <alignment horizontal="center"/>
    </xf>
    <xf numFmtId="14" fontId="8" fillId="0" borderId="1" xfId="0" applyNumberFormat="1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10" fontId="4" fillId="0" borderId="1" xfId="0" applyNumberFormat="1" applyFont="1" applyBorder="1" applyAlignment="1">
      <alignment horizontal="center"/>
    </xf>
    <xf numFmtId="0" fontId="6" fillId="0" borderId="0" xfId="0" applyFont="1" applyAlignment="1">
      <alignment horizontal="left"/>
    </xf>
    <xf numFmtId="165" fontId="5" fillId="0" borderId="0" xfId="1" applyNumberFormat="1" applyFont="1" applyAlignment="1">
      <alignment horizontal="right"/>
    </xf>
    <xf numFmtId="166" fontId="5" fillId="0" borderId="0" xfId="0" applyNumberFormat="1" applyFont="1" applyAlignment="1">
      <alignment horizontal="right"/>
    </xf>
    <xf numFmtId="173" fontId="5" fillId="0" borderId="0" xfId="0" applyNumberFormat="1" applyFont="1" applyAlignment="1">
      <alignment horizontal="right"/>
    </xf>
    <xf numFmtId="0" fontId="4" fillId="0" borderId="1" xfId="0" applyFont="1" applyBorder="1" applyAlignment="1">
      <alignment horizontal="left"/>
    </xf>
    <xf numFmtId="170" fontId="9" fillId="0" borderId="0" xfId="0" applyNumberFormat="1" applyFont="1" applyAlignment="1">
      <alignment horizontal="right"/>
    </xf>
    <xf numFmtId="0" fontId="2" fillId="0" borderId="0" xfId="0" applyFont="1"/>
    <xf numFmtId="0" fontId="2" fillId="0" borderId="0" xfId="0" applyFont="1" applyAlignment="1">
      <alignment horizontal="left"/>
    </xf>
    <xf numFmtId="0" fontId="2" fillId="0" borderId="2" xfId="0" applyFont="1" applyBorder="1"/>
    <xf numFmtId="49" fontId="2" fillId="0" borderId="0" xfId="0" applyNumberFormat="1" applyFont="1" applyAlignment="1">
      <alignment horizontal="center"/>
    </xf>
    <xf numFmtId="169" fontId="2" fillId="0" borderId="0" xfId="0" applyNumberFormat="1" applyFont="1"/>
    <xf numFmtId="39" fontId="2" fillId="0" borderId="0" xfId="0" applyNumberFormat="1" applyFont="1"/>
    <xf numFmtId="164" fontId="2" fillId="0" borderId="0" xfId="0" applyNumberFormat="1" applyFont="1"/>
    <xf numFmtId="170" fontId="2" fillId="0" borderId="0" xfId="0" applyNumberFormat="1" applyFont="1" applyAlignment="1">
      <alignment horizontal="right"/>
    </xf>
    <xf numFmtId="170" fontId="2" fillId="0" borderId="0" xfId="0" applyNumberFormat="1" applyFont="1"/>
    <xf numFmtId="0" fontId="2" fillId="0" borderId="0" xfId="0" applyFont="1" applyAlignment="1">
      <alignment horizontal="right"/>
    </xf>
    <xf numFmtId="174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right"/>
    </xf>
    <xf numFmtId="37" fontId="2" fillId="0" borderId="0" xfId="0" applyNumberFormat="1" applyFont="1" applyAlignment="1">
      <alignment horizontal="right"/>
    </xf>
    <xf numFmtId="168" fontId="2" fillId="0" borderId="0" xfId="0" applyNumberFormat="1" applyFont="1" applyAlignment="1">
      <alignment horizontal="left"/>
    </xf>
    <xf numFmtId="167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8" fontId="4" fillId="0" borderId="0" xfId="0" applyNumberFormat="1" applyFont="1" applyAlignment="1">
      <alignment horizontal="right"/>
    </xf>
    <xf numFmtId="0" fontId="11" fillId="0" borderId="0" xfId="0" applyFont="1"/>
    <xf numFmtId="1" fontId="4" fillId="0" borderId="5" xfId="0" applyNumberFormat="1" applyFont="1" applyBorder="1" applyAlignment="1">
      <alignment horizontal="left"/>
    </xf>
    <xf numFmtId="0" fontId="7" fillId="0" borderId="5" xfId="0" applyFont="1" applyBorder="1" applyAlignment="1">
      <alignment horizontal="left"/>
    </xf>
    <xf numFmtId="14" fontId="7" fillId="0" borderId="5" xfId="0" applyNumberFormat="1" applyFont="1" applyBorder="1" applyAlignment="1">
      <alignment horizontal="right"/>
    </xf>
    <xf numFmtId="39" fontId="7" fillId="0" borderId="5" xfId="0" applyNumberFormat="1" applyFont="1" applyBorder="1" applyAlignment="1">
      <alignment horizontal="right"/>
    </xf>
    <xf numFmtId="165" fontId="4" fillId="0" borderId="5" xfId="1" applyNumberFormat="1" applyFont="1" applyBorder="1" applyAlignment="1">
      <alignment horizontal="right"/>
    </xf>
    <xf numFmtId="170" fontId="4" fillId="0" borderId="5" xfId="0" applyNumberFormat="1" applyFont="1" applyBorder="1" applyAlignment="1">
      <alignment horizontal="right"/>
    </xf>
    <xf numFmtId="166" fontId="7" fillId="0" borderId="5" xfId="0" applyNumberFormat="1" applyFont="1" applyBorder="1" applyAlignment="1">
      <alignment horizontal="right"/>
    </xf>
    <xf numFmtId="166" fontId="4" fillId="0" borderId="5" xfId="0" applyNumberFormat="1" applyFont="1" applyBorder="1" applyAlignment="1">
      <alignment horizontal="right"/>
    </xf>
    <xf numFmtId="173" fontId="4" fillId="0" borderId="5" xfId="0" applyNumberFormat="1" applyFont="1" applyBorder="1" applyAlignment="1">
      <alignment horizontal="right"/>
    </xf>
    <xf numFmtId="14" fontId="0" fillId="0" borderId="0" xfId="0" applyNumberFormat="1"/>
  </cellXfs>
  <cellStyles count="8">
    <cellStyle name="Normal" xfId="0" builtinId="0"/>
    <cellStyle name="Normal 2" xfId="7" xr:uid="{00000000-0005-0000-0000-000001000000}"/>
    <cellStyle name="Normal 4" xfId="6" xr:uid="{00000000-0005-0000-0000-000002000000}"/>
    <cellStyle name="Per cent" xfId="1" builtinId="5"/>
    <cellStyle name="Style 21" xfId="2" xr:uid="{00000000-0005-0000-0000-000006000000}"/>
    <cellStyle name="Style 22" xfId="3" xr:uid="{00000000-0005-0000-0000-000007000000}"/>
    <cellStyle name="Style 23" xfId="4" xr:uid="{00000000-0005-0000-0000-000008000000}"/>
    <cellStyle name="Style 24" xfId="5" xr:uid="{00000000-0005-0000-0000-000009000000}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FFE26D"/>
      <rgbColor rgb="000000FF"/>
      <rgbColor rgb="00009EA6"/>
      <rgbColor rgb="00DFB793"/>
      <rgbColor rgb="001E3086"/>
      <rgbColor rgb="00800000"/>
      <rgbColor rgb="00008000"/>
      <rgbColor rgb="00000080"/>
      <rgbColor rgb="00808000"/>
      <rgbColor rgb="00800080"/>
      <rgbColor rgb="00008080"/>
      <rgbColor rgb="00FFE26D"/>
      <rgbColor rgb="005A5A5A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31837"/>
      <rgbColor rgb="0000B1B0"/>
      <rgbColor rgb="00919195"/>
      <rgbColor rgb="00B5E1E1"/>
      <rgbColor rgb="00006C67"/>
      <rgbColor rgb="00643CE6"/>
      <rgbColor rgb="00000000"/>
      <rgbColor rgb="007D2364"/>
      <rgbColor rgb="00E1E1E1"/>
      <rgbColor rgb="000059C2"/>
      <rgbColor rgb="00A5BF88"/>
      <rgbColor rgb="00DCDCFF"/>
      <rgbColor rgb="00E41F1F"/>
      <rgbColor rgb="00FF0000"/>
      <rgbColor rgb="0073868B"/>
      <rgbColor rgb="00969696"/>
      <rgbColor rgb="003366FF"/>
      <rgbColor rgb="0033CCCC"/>
      <rgbColor rgb="0099CC00"/>
      <rgbColor rgb="00008C03"/>
      <rgbColor rgb="00FF9900"/>
      <rgbColor rgb="00FF6600"/>
      <rgbColor rgb="00666699"/>
      <rgbColor rgb="00DFDFDF"/>
      <rgbColor rgb="00003366"/>
      <rgbColor rgb="00339966"/>
      <rgbColor rgb="00003300"/>
      <rgbColor rgb="00333300"/>
      <rgbColor rgb="00993300"/>
      <rgbColor rgb="003264AF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styles" Target="styles.xml"/><Relationship Id="rId1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20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10" Type="http://schemas.openxmlformats.org/officeDocument/2006/relationships/externalLink" Target="externalLinks/externalLink4.xml"/><Relationship Id="rId19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Roaming/Microsoft/Excel/Portfolio%20Snapshot%20(version%201).xlsb" TargetMode="External"/><Relationship Id="rId2" Type="http://schemas.openxmlformats.org/officeDocument/2006/relationships/externalLinkPath" Target="file:///C:\Users\patri\AppData\Roaming\Microsoft\Excel\Portfolio%20Snapshot%20(version%201).xlsb" TargetMode="External"/><Relationship Id="rId1" Type="http://schemas.openxmlformats.org/officeDocument/2006/relationships/externalLinkPath" Target="/Users/patri/AppData/Roaming/Microsoft/Excel/Portfolio%20Snapshot%20(version%201).xlsb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yjanam/Desktop/20.02%20Release%20-%20Copy/Key%20Stats/Key%20Stats%20-%20Standard%2020.2.xlsm" TargetMode="External"/><Relationship Id="rId1" Type="http://schemas.openxmlformats.org/officeDocument/2006/relationships/externalLinkPath" Target="/Users/yjanam/Desktop/20.02%20Release%20-%20Copy/Key%20Stats/Key%20Stats%20-%20Standard%2020.2.xlsm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Users/crego/AppData/Local/Capital%20IQ/Office%20Plug-in/Templates/+Multi-Language/Financial%20Snapshot%20Tearsheet.xls" TargetMode="External"/><Relationship Id="rId1" Type="http://schemas.openxmlformats.org/officeDocument/2006/relationships/externalLinkPath" Target="/Users/crego/AppData/Local/Capital%20IQ/Office%20Plug-in/Templates/+Multi-Language/Financial%20Snapshot%20Tearsheet.xls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Users/patri/AppData/Local/Capital%20IQ/Office%20Plug-in/Templates/Portfolio%20and%20Index/CIQ%20Alpha%20Models.xls" TargetMode="External"/><Relationship Id="rId2" Type="http://schemas.openxmlformats.org/officeDocument/2006/relationships/externalLinkPath" Target="file:///C:\Users\patri\AppData\Local\Capital%20IQ\Office%20Plug-in\Templates\Portfolio%20and%20Index\CIQ%20Alpha%20Models.xls" TargetMode="External"/><Relationship Id="rId1" Type="http://schemas.openxmlformats.org/officeDocument/2006/relationships/externalLinkPath" Target="/Users/patri/AppData/Local/Capital%20IQ/Office%20Plug-in/Templates/Portfolio%20and%20Index/CIQ%20Alpha%20Model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Overview"/>
      <sheetName val="Summary"/>
      <sheetName val="Portfolio"/>
      <sheetName val="Benchmark"/>
      <sheetName val="PortContrib"/>
      <sheetName val="BenchContrib"/>
      <sheetName val="Chart Data"/>
      <sheetName val="Data"/>
    </sheetNames>
    <sheetDataSet>
      <sheetData sheetId="0"/>
      <sheetData sheetId="1"/>
      <sheetData sheetId="2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3">
        <row r="7">
          <cell r="AI7" t="str">
            <v>(User access restricted)</v>
          </cell>
          <cell r="AJ7" t="str">
            <v>(User access restricted)</v>
          </cell>
          <cell r="AL7" t="str">
            <v>(User access restricted)</v>
          </cell>
          <cell r="AM7" t="str">
            <v>(User access restricted)</v>
          </cell>
          <cell r="AO7" t="str">
            <v>(User access restricted)</v>
          </cell>
          <cell r="AP7" t="str">
            <v>(User access restricted)</v>
          </cell>
          <cell r="AR7" t="str">
            <v>(User access restricted)</v>
          </cell>
          <cell r="AS7" t="str">
            <v>(User access restricted)</v>
          </cell>
          <cell r="AU7" t="str">
            <v>(User access restricted)</v>
          </cell>
          <cell r="AV7" t="str">
            <v>(User access restricted)</v>
          </cell>
          <cell r="AX7" t="str">
            <v>(User access restricted)</v>
          </cell>
          <cell r="AY7" t="str">
            <v>(User access restricted)</v>
          </cell>
          <cell r="BA7" t="str">
            <v>(User access restricted)</v>
          </cell>
          <cell r="BB7" t="str">
            <v>(User access restricted)</v>
          </cell>
          <cell r="BD7" t="str">
            <v>(User access restricted)</v>
          </cell>
          <cell r="BE7" t="str">
            <v>(User access restricted)</v>
          </cell>
          <cell r="BG7" t="str">
            <v>(User access restricted)</v>
          </cell>
          <cell r="BH7" t="str">
            <v>(User access restricted)</v>
          </cell>
          <cell r="BJ7" t="str">
            <v>(User access restricted)</v>
          </cell>
          <cell r="BK7" t="str">
            <v>(User access restricted)</v>
          </cell>
          <cell r="BM7" t="str">
            <v>(User access restricted)</v>
          </cell>
          <cell r="BN7" t="str">
            <v>(User access restricted)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Key Stats"/>
      <sheetName val="Income Statement"/>
      <sheetName val="Balance Sheet"/>
      <sheetName val="Cash Flow"/>
      <sheetName val="Multiples"/>
      <sheetName val="Capitalization"/>
      <sheetName val="Capital Structure Summary"/>
      <sheetName val="Capital Structure Details"/>
      <sheetName val="Ratios"/>
      <sheetName val="Supplemental"/>
      <sheetName val="Pension-OPEB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">
          <cell r="U6" t="str">
            <v>IQDCS921164068</v>
          </cell>
        </row>
        <row r="7">
          <cell r="U7" t="str">
            <v>IQDCS922008726</v>
          </cell>
        </row>
        <row r="8">
          <cell r="U8" t="str">
            <v>IQDCS921164065</v>
          </cell>
        </row>
        <row r="9">
          <cell r="U9" t="str">
            <v>IQDCS923200891</v>
          </cell>
        </row>
        <row r="10">
          <cell r="U10" t="str">
            <v>IQDCS922584855</v>
          </cell>
        </row>
        <row r="11">
          <cell r="U11" t="str">
            <v>IQDCS920779925</v>
          </cell>
        </row>
        <row r="12">
          <cell r="U12" t="str">
            <v>IQDCS922920408</v>
          </cell>
        </row>
        <row r="13">
          <cell r="U13" t="str">
            <v>IQDCS920779921</v>
          </cell>
        </row>
        <row r="14">
          <cell r="U14" t="str">
            <v>IQDCS920779609</v>
          </cell>
        </row>
        <row r="15">
          <cell r="U15" t="str">
            <v>IQDCS920779615</v>
          </cell>
        </row>
        <row r="16">
          <cell r="U16" t="str">
            <v>IQDCS920779926</v>
          </cell>
        </row>
        <row r="17">
          <cell r="U17" t="str">
            <v>IQDCS922921278</v>
          </cell>
        </row>
        <row r="18">
          <cell r="U18" t="str">
            <v>IQDCS920779614</v>
          </cell>
        </row>
        <row r="19">
          <cell r="U19" t="str">
            <v>IQDCS920779928</v>
          </cell>
        </row>
        <row r="20">
          <cell r="U20" t="str">
            <v>IQDCS922921284</v>
          </cell>
        </row>
        <row r="21">
          <cell r="U21" t="str">
            <v>IQDCS921345359</v>
          </cell>
        </row>
        <row r="22">
          <cell r="U22" t="str">
            <v>IQDCS922920407</v>
          </cell>
        </row>
        <row r="23">
          <cell r="U23" t="str">
            <v>IQDCS920779608</v>
          </cell>
        </row>
        <row r="24">
          <cell r="U24" t="str">
            <v>IQDCS922921285</v>
          </cell>
        </row>
        <row r="25">
          <cell r="U25" t="str">
            <v>IQDCS920779922</v>
          </cell>
        </row>
        <row r="26">
          <cell r="U26" t="str">
            <v>IQDCS922921279</v>
          </cell>
        </row>
        <row r="27">
          <cell r="U27" t="str">
            <v>IQDCS920779620</v>
          </cell>
        </row>
        <row r="28">
          <cell r="U28" t="str">
            <v>IQDCS919289665</v>
          </cell>
        </row>
        <row r="29">
          <cell r="U29" t="str">
            <v>IQDCS920779612</v>
          </cell>
        </row>
        <row r="30">
          <cell r="U30" t="str">
            <v>IQDCS922921287</v>
          </cell>
        </row>
        <row r="35">
          <cell r="U35" t="str">
            <v>IQDCS921164068</v>
          </cell>
        </row>
        <row r="36">
          <cell r="U36" t="str">
            <v>IQDCS922008726</v>
          </cell>
        </row>
        <row r="37">
          <cell r="U37" t="str">
            <v>IQDCS921164065</v>
          </cell>
        </row>
        <row r="38">
          <cell r="U38" t="str">
            <v>IQDCS922031102</v>
          </cell>
        </row>
        <row r="39">
          <cell r="U39" t="str">
            <v>IQDCS922373212</v>
          </cell>
        </row>
        <row r="40">
          <cell r="U40" t="str">
            <v>IQDCS921164072</v>
          </cell>
        </row>
        <row r="41">
          <cell r="U41" t="str">
            <v>IQDCS920779925</v>
          </cell>
        </row>
        <row r="42">
          <cell r="U42" t="str">
            <v>IQDCS920779921</v>
          </cell>
        </row>
        <row r="43">
          <cell r="U43" t="str">
            <v>IQDCS920779609</v>
          </cell>
        </row>
        <row r="44">
          <cell r="U44" t="str">
            <v>IQDCS920779615</v>
          </cell>
        </row>
        <row r="45">
          <cell r="U45" t="str">
            <v>IQDCS920779926</v>
          </cell>
        </row>
        <row r="46">
          <cell r="U46" t="str">
            <v>IQDCS920779614</v>
          </cell>
        </row>
        <row r="47">
          <cell r="U47" t="str">
            <v>IQDCS920779928</v>
          </cell>
        </row>
        <row r="48">
          <cell r="U48" t="str">
            <v>IQDCS920780032</v>
          </cell>
        </row>
        <row r="49">
          <cell r="U49" t="str">
            <v>IQDCS921345359</v>
          </cell>
        </row>
        <row r="50">
          <cell r="U50" t="str">
            <v>IQDCS920779608</v>
          </cell>
        </row>
        <row r="51">
          <cell r="U51" t="str">
            <v>IQDCS920779922</v>
          </cell>
        </row>
        <row r="52">
          <cell r="U52" t="str">
            <v>IQDCS920779620</v>
          </cell>
        </row>
        <row r="53">
          <cell r="U53" t="str">
            <v>IQDCS919289665</v>
          </cell>
        </row>
        <row r="54">
          <cell r="U54" t="str">
            <v>IQDCS920779612</v>
          </cell>
        </row>
        <row r="55">
          <cell r="U55" t="str">
            <v>IQDCS919289795</v>
          </cell>
        </row>
        <row r="56">
          <cell r="U56" t="str">
            <v>IQDCS920779918</v>
          </cell>
        </row>
        <row r="57">
          <cell r="U57" t="str">
            <v>IQDCS920779617</v>
          </cell>
        </row>
        <row r="58">
          <cell r="U58" t="str">
            <v>IQDCS920779919</v>
          </cell>
        </row>
        <row r="59">
          <cell r="U59" t="str">
            <v>IQDCS921164084</v>
          </cell>
        </row>
        <row r="64">
          <cell r="U64" t="str">
            <v>IQDCS921164068</v>
          </cell>
        </row>
        <row r="65">
          <cell r="U65" t="str">
            <v>IQDCS921164072</v>
          </cell>
        </row>
        <row r="66">
          <cell r="U66" t="str">
            <v>IQDCS920779925</v>
          </cell>
        </row>
        <row r="67">
          <cell r="U67" t="str">
            <v>IQDCS920779921</v>
          </cell>
        </row>
        <row r="68">
          <cell r="U68" t="str">
            <v>IQDCS920779609</v>
          </cell>
        </row>
        <row r="69">
          <cell r="U69" t="str">
            <v>IQDCS920779615</v>
          </cell>
        </row>
        <row r="70">
          <cell r="U70" t="str">
            <v>IQDCS920779926</v>
          </cell>
        </row>
        <row r="71">
          <cell r="U71" t="str">
            <v>IQDCS920779614</v>
          </cell>
        </row>
        <row r="72">
          <cell r="U72" t="str">
            <v>IQDCS920779928</v>
          </cell>
        </row>
        <row r="73">
          <cell r="U73" t="str">
            <v>IQDCS920780032</v>
          </cell>
        </row>
        <row r="74">
          <cell r="U74" t="str">
            <v>IQDCS920779608</v>
          </cell>
        </row>
        <row r="75">
          <cell r="U75" t="str">
            <v>IQDCS920779922</v>
          </cell>
        </row>
        <row r="76">
          <cell r="U76" t="str">
            <v>IQDCS920779620</v>
          </cell>
        </row>
        <row r="77">
          <cell r="U77" t="str">
            <v>IQDCS919289665</v>
          </cell>
        </row>
        <row r="78">
          <cell r="U78" t="str">
            <v>IQDCS920779612</v>
          </cell>
        </row>
        <row r="79">
          <cell r="U79" t="str">
            <v>IQDCS919289795</v>
          </cell>
        </row>
        <row r="80">
          <cell r="U80" t="str">
            <v>IQDCS920779918</v>
          </cell>
        </row>
        <row r="81">
          <cell r="U81" t="str">
            <v>IQDCS920779617</v>
          </cell>
        </row>
        <row r="82">
          <cell r="U82" t="str">
            <v>IQDCS920779919</v>
          </cell>
        </row>
        <row r="83">
          <cell r="U83" t="str">
            <v>IQDCS919771151</v>
          </cell>
        </row>
        <row r="84">
          <cell r="U84" t="str">
            <v>IQDCS921164084</v>
          </cell>
        </row>
        <row r="85">
          <cell r="U85" t="str">
            <v>IQDCS921164085</v>
          </cell>
        </row>
        <row r="86">
          <cell r="U86" t="str">
            <v>IQDCS921164070</v>
          </cell>
        </row>
        <row r="87">
          <cell r="U87" t="str">
            <v>IQDCS921164071</v>
          </cell>
        </row>
        <row r="88">
          <cell r="U88" t="str">
            <v>IQDCS916957982</v>
          </cell>
        </row>
      </sheetData>
      <sheetData sheetId="8"/>
      <sheetData sheetId="9"/>
      <sheetData sheetId="10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napshot"/>
      <sheetName val="Data"/>
      <sheetName val="Lanugage Index"/>
    </sheetNames>
    <sheetDataSet>
      <sheetData sheetId="0" refreshError="1"/>
      <sheetData sheetId="1">
        <row r="9">
          <cell r="A9">
            <v>43558</v>
          </cell>
          <cell r="B9">
            <v>143.63</v>
          </cell>
          <cell r="C9">
            <v>2.6816499999999999</v>
          </cell>
        </row>
        <row r="10">
          <cell r="A10">
            <v>43559</v>
          </cell>
          <cell r="B10">
            <v>142.78</v>
          </cell>
          <cell r="C10">
            <v>2.7714599999999998</v>
          </cell>
        </row>
        <row r="11">
          <cell r="A11">
            <v>43560</v>
          </cell>
          <cell r="B11">
            <v>143.28</v>
          </cell>
          <cell r="C11">
            <v>2.7319900000000001</v>
          </cell>
        </row>
        <row r="12">
          <cell r="A12">
            <v>43563</v>
          </cell>
          <cell r="B12">
            <v>143.38999999999999</v>
          </cell>
          <cell r="C12">
            <v>2.1182300000000001</v>
          </cell>
        </row>
        <row r="13">
          <cell r="A13">
            <v>43564</v>
          </cell>
          <cell r="B13">
            <v>142.11000000000001</v>
          </cell>
          <cell r="C13">
            <v>3.0384600000000002</v>
          </cell>
        </row>
        <row r="14">
          <cell r="A14">
            <v>43565</v>
          </cell>
          <cell r="B14">
            <v>143.02000000000001</v>
          </cell>
          <cell r="C14">
            <v>2.6783100000000002</v>
          </cell>
        </row>
        <row r="15">
          <cell r="A15">
            <v>43566</v>
          </cell>
          <cell r="B15">
            <v>143.78</v>
          </cell>
          <cell r="C15">
            <v>2.9419900000000001</v>
          </cell>
        </row>
        <row r="16">
          <cell r="A16">
            <v>43567</v>
          </cell>
          <cell r="B16">
            <v>144.35</v>
          </cell>
          <cell r="C16">
            <v>2.8988999999999998</v>
          </cell>
        </row>
        <row r="17">
          <cell r="A17">
            <v>43570</v>
          </cell>
          <cell r="B17">
            <v>143.9</v>
          </cell>
          <cell r="C17">
            <v>3.6031599999999999</v>
          </cell>
        </row>
        <row r="18">
          <cell r="A18">
            <v>43571</v>
          </cell>
          <cell r="B18">
            <v>145.13999999999999</v>
          </cell>
          <cell r="C18">
            <v>6.3016699999999997</v>
          </cell>
        </row>
        <row r="19">
          <cell r="A19">
            <v>43572</v>
          </cell>
          <cell r="B19">
            <v>139.11000000000001</v>
          </cell>
          <cell r="C19">
            <v>12.525690000000001</v>
          </cell>
        </row>
        <row r="20">
          <cell r="A20">
            <v>43573</v>
          </cell>
          <cell r="B20">
            <v>140.33000000000001</v>
          </cell>
          <cell r="C20">
            <v>4.9600200000000001</v>
          </cell>
        </row>
        <row r="21">
          <cell r="A21">
            <v>43577</v>
          </cell>
          <cell r="B21">
            <v>138.88999999999999</v>
          </cell>
          <cell r="C21">
            <v>4.4943299999999997</v>
          </cell>
        </row>
        <row r="22">
          <cell r="A22">
            <v>43578</v>
          </cell>
          <cell r="B22">
            <v>140.44</v>
          </cell>
          <cell r="C22">
            <v>4.4622400000000004</v>
          </cell>
        </row>
        <row r="23">
          <cell r="A23">
            <v>43579</v>
          </cell>
          <cell r="B23">
            <v>139.94999999999999</v>
          </cell>
          <cell r="C23">
            <v>2.7748699999999999</v>
          </cell>
        </row>
        <row r="24">
          <cell r="A24">
            <v>43580</v>
          </cell>
          <cell r="B24">
            <v>138.63</v>
          </cell>
          <cell r="C24">
            <v>2.91011</v>
          </cell>
        </row>
        <row r="25">
          <cell r="A25">
            <v>43581</v>
          </cell>
          <cell r="B25">
            <v>139.44</v>
          </cell>
          <cell r="C25">
            <v>2.3198300000000001</v>
          </cell>
        </row>
        <row r="26">
          <cell r="A26">
            <v>43584</v>
          </cell>
          <cell r="B26">
            <v>139.05000000000001</v>
          </cell>
          <cell r="C26">
            <v>2.9583300000000001</v>
          </cell>
        </row>
        <row r="27">
          <cell r="A27">
            <v>43585</v>
          </cell>
          <cell r="B27">
            <v>140.27000000000001</v>
          </cell>
          <cell r="C27">
            <v>4.6388299999999996</v>
          </cell>
        </row>
        <row r="28">
          <cell r="A28">
            <v>43586</v>
          </cell>
          <cell r="B28">
            <v>140.56</v>
          </cell>
          <cell r="C28">
            <v>3.0536799999999999</v>
          </cell>
        </row>
        <row r="29">
          <cell r="A29">
            <v>43587</v>
          </cell>
          <cell r="B29">
            <v>139.59</v>
          </cell>
          <cell r="C29">
            <v>3.54135</v>
          </cell>
        </row>
        <row r="30">
          <cell r="A30">
            <v>43588</v>
          </cell>
          <cell r="B30">
            <v>140.25</v>
          </cell>
          <cell r="C30">
            <v>2.5800299999999998</v>
          </cell>
        </row>
        <row r="31">
          <cell r="A31">
            <v>43591</v>
          </cell>
          <cell r="B31">
            <v>140.38</v>
          </cell>
          <cell r="C31">
            <v>2.79366</v>
          </cell>
        </row>
        <row r="32">
          <cell r="A32">
            <v>43592</v>
          </cell>
          <cell r="B32">
            <v>137.63999999999999</v>
          </cell>
          <cell r="C32">
            <v>4.7267700000000001</v>
          </cell>
        </row>
        <row r="33">
          <cell r="A33">
            <v>43593</v>
          </cell>
          <cell r="B33">
            <v>138</v>
          </cell>
          <cell r="C33">
            <v>3.8189099999999998</v>
          </cell>
        </row>
        <row r="34">
          <cell r="A34">
            <v>43594</v>
          </cell>
          <cell r="B34">
            <v>135.34</v>
          </cell>
          <cell r="C34">
            <v>4.1929400000000001</v>
          </cell>
        </row>
        <row r="35">
          <cell r="A35">
            <v>43595</v>
          </cell>
          <cell r="B35">
            <v>135.32</v>
          </cell>
          <cell r="C35">
            <v>3.9776899999999999</v>
          </cell>
        </row>
        <row r="36">
          <cell r="A36">
            <v>43598</v>
          </cell>
          <cell r="B36">
            <v>131.41999999999999</v>
          </cell>
          <cell r="C36">
            <v>4.9580200000000003</v>
          </cell>
        </row>
        <row r="37">
          <cell r="A37">
            <v>43599</v>
          </cell>
          <cell r="B37">
            <v>133.31</v>
          </cell>
          <cell r="C37">
            <v>3.28037</v>
          </cell>
        </row>
        <row r="38">
          <cell r="A38">
            <v>43600</v>
          </cell>
          <cell r="B38">
            <v>134.4</v>
          </cell>
          <cell r="C38">
            <v>2.5510100000000002</v>
          </cell>
        </row>
        <row r="39">
          <cell r="A39">
            <v>43601</v>
          </cell>
          <cell r="B39">
            <v>135.88</v>
          </cell>
          <cell r="C39">
            <v>3.0174699999999999</v>
          </cell>
        </row>
        <row r="40">
          <cell r="A40">
            <v>43602</v>
          </cell>
          <cell r="B40">
            <v>134.32</v>
          </cell>
          <cell r="C40">
            <v>2.6191399999999998</v>
          </cell>
        </row>
        <row r="41">
          <cell r="A41">
            <v>43605</v>
          </cell>
          <cell r="B41">
            <v>135.12</v>
          </cell>
          <cell r="C41">
            <v>3.2646500000000001</v>
          </cell>
        </row>
        <row r="42">
          <cell r="A42">
            <v>43606</v>
          </cell>
          <cell r="B42">
            <v>136.44999999999999</v>
          </cell>
          <cell r="C42">
            <v>2.5034999999999998</v>
          </cell>
        </row>
        <row r="43">
          <cell r="A43">
            <v>43607</v>
          </cell>
          <cell r="B43">
            <v>136.35</v>
          </cell>
          <cell r="C43">
            <v>1.84982</v>
          </cell>
        </row>
        <row r="44">
          <cell r="A44">
            <v>43608</v>
          </cell>
          <cell r="B44">
            <v>132.38999999999999</v>
          </cell>
          <cell r="C44">
            <v>5.3434400000000002</v>
          </cell>
        </row>
        <row r="45">
          <cell r="A45">
            <v>43609</v>
          </cell>
          <cell r="B45">
            <v>132.28</v>
          </cell>
          <cell r="C45">
            <v>2.59612</v>
          </cell>
        </row>
        <row r="46">
          <cell r="A46">
            <v>43613</v>
          </cell>
          <cell r="B46">
            <v>130.46</v>
          </cell>
          <cell r="C46">
            <v>4.9091199999999997</v>
          </cell>
        </row>
        <row r="47">
          <cell r="A47">
            <v>43614</v>
          </cell>
          <cell r="B47">
            <v>129.69</v>
          </cell>
          <cell r="C47">
            <v>3.6789800000000001</v>
          </cell>
        </row>
        <row r="48">
          <cell r="A48">
            <v>43615</v>
          </cell>
          <cell r="B48">
            <v>129.57</v>
          </cell>
          <cell r="C48">
            <v>2.7418800000000001</v>
          </cell>
        </row>
        <row r="49">
          <cell r="A49">
            <v>43616</v>
          </cell>
          <cell r="B49">
            <v>126.99</v>
          </cell>
          <cell r="C49">
            <v>3.5393400000000002</v>
          </cell>
        </row>
        <row r="50">
          <cell r="A50">
            <v>43619</v>
          </cell>
          <cell r="B50">
            <v>128.27000000000001</v>
          </cell>
          <cell r="C50">
            <v>4.26708</v>
          </cell>
        </row>
        <row r="51">
          <cell r="A51">
            <v>43620</v>
          </cell>
          <cell r="B51">
            <v>132.69</v>
          </cell>
          <cell r="C51">
            <v>3.9135399999999998</v>
          </cell>
        </row>
        <row r="52">
          <cell r="A52">
            <v>43621</v>
          </cell>
          <cell r="B52">
            <v>131.49</v>
          </cell>
          <cell r="C52">
            <v>3.1615799999999998</v>
          </cell>
        </row>
        <row r="53">
          <cell r="A53">
            <v>43622</v>
          </cell>
          <cell r="B53">
            <v>132.22</v>
          </cell>
          <cell r="C53">
            <v>2.2982499999999999</v>
          </cell>
        </row>
        <row r="54">
          <cell r="A54">
            <v>43623</v>
          </cell>
          <cell r="B54">
            <v>133.31</v>
          </cell>
          <cell r="C54">
            <v>2.5533999999999999</v>
          </cell>
        </row>
        <row r="55">
          <cell r="A55">
            <v>43626</v>
          </cell>
          <cell r="B55">
            <v>134.74</v>
          </cell>
          <cell r="C55">
            <v>2.91133</v>
          </cell>
        </row>
        <row r="56">
          <cell r="A56">
            <v>43627</v>
          </cell>
          <cell r="B56">
            <v>135.94999999999999</v>
          </cell>
          <cell r="C56">
            <v>3.4073500000000001</v>
          </cell>
        </row>
        <row r="57">
          <cell r="A57">
            <v>43628</v>
          </cell>
          <cell r="B57">
            <v>134.87</v>
          </cell>
          <cell r="C57">
            <v>2.25474</v>
          </cell>
        </row>
        <row r="58">
          <cell r="A58">
            <v>43629</v>
          </cell>
          <cell r="B58">
            <v>135.76</v>
          </cell>
          <cell r="C58">
            <v>2.9554200000000002</v>
          </cell>
        </row>
        <row r="59">
          <cell r="A59">
            <v>43630</v>
          </cell>
          <cell r="B59">
            <v>135.15</v>
          </cell>
          <cell r="C59">
            <v>2.1933699999999998</v>
          </cell>
        </row>
        <row r="60">
          <cell r="A60">
            <v>43633</v>
          </cell>
          <cell r="B60">
            <v>134.94999999999999</v>
          </cell>
          <cell r="C60">
            <v>2.1941299999999999</v>
          </cell>
        </row>
        <row r="61">
          <cell r="A61">
            <v>43634</v>
          </cell>
          <cell r="B61">
            <v>136.38</v>
          </cell>
          <cell r="C61">
            <v>2.9146999999999998</v>
          </cell>
        </row>
        <row r="62">
          <cell r="A62">
            <v>43635</v>
          </cell>
          <cell r="B62">
            <v>137.08000000000001</v>
          </cell>
          <cell r="C62">
            <v>2.38252</v>
          </cell>
        </row>
        <row r="63">
          <cell r="A63">
            <v>43636</v>
          </cell>
          <cell r="B63">
            <v>138.85</v>
          </cell>
          <cell r="C63">
            <v>3.0710199999999999</v>
          </cell>
        </row>
        <row r="64">
          <cell r="A64">
            <v>43637</v>
          </cell>
          <cell r="B64">
            <v>139.19999999999999</v>
          </cell>
          <cell r="C64">
            <v>5.2887599999999999</v>
          </cell>
        </row>
        <row r="65">
          <cell r="A65">
            <v>43640</v>
          </cell>
          <cell r="B65">
            <v>139.35</v>
          </cell>
          <cell r="C65">
            <v>2.18614</v>
          </cell>
        </row>
        <row r="66">
          <cell r="A66">
            <v>43641</v>
          </cell>
          <cell r="B66">
            <v>138.36000000000001</v>
          </cell>
          <cell r="C66">
            <v>2.80125</v>
          </cell>
        </row>
        <row r="67">
          <cell r="A67">
            <v>43642</v>
          </cell>
          <cell r="B67">
            <v>138.52000000000001</v>
          </cell>
          <cell r="C67">
            <v>2.28457</v>
          </cell>
        </row>
        <row r="68">
          <cell r="A68">
            <v>43643</v>
          </cell>
          <cell r="B68">
            <v>138.52000000000001</v>
          </cell>
          <cell r="C68">
            <v>2.1498200000000001</v>
          </cell>
        </row>
        <row r="69">
          <cell r="A69">
            <v>43644</v>
          </cell>
          <cell r="B69">
            <v>137.9</v>
          </cell>
          <cell r="C69">
            <v>6.1540400000000002</v>
          </cell>
        </row>
        <row r="70">
          <cell r="A70">
            <v>43647</v>
          </cell>
          <cell r="B70">
            <v>139.88</v>
          </cell>
          <cell r="C70">
            <v>3.3871799999999999</v>
          </cell>
        </row>
        <row r="71">
          <cell r="A71">
            <v>43648</v>
          </cell>
          <cell r="B71">
            <v>140.22</v>
          </cell>
          <cell r="C71">
            <v>2.4100899999999998</v>
          </cell>
        </row>
        <row r="72">
          <cell r="A72">
            <v>43649</v>
          </cell>
          <cell r="B72">
            <v>141.54</v>
          </cell>
          <cell r="C72">
            <v>1.9303600000000001</v>
          </cell>
        </row>
        <row r="73">
          <cell r="A73">
            <v>43651</v>
          </cell>
          <cell r="B73">
            <v>141.38</v>
          </cell>
          <cell r="C73">
            <v>2.1350899999999999</v>
          </cell>
        </row>
        <row r="74">
          <cell r="A74">
            <v>43654</v>
          </cell>
          <cell r="B74">
            <v>140.57</v>
          </cell>
          <cell r="C74">
            <v>2.3954900000000001</v>
          </cell>
        </row>
        <row r="75">
          <cell r="A75">
            <v>43655</v>
          </cell>
          <cell r="B75">
            <v>139.33000000000001</v>
          </cell>
          <cell r="C75">
            <v>3.3652299999999999</v>
          </cell>
        </row>
        <row r="76">
          <cell r="A76">
            <v>43656</v>
          </cell>
          <cell r="B76">
            <v>140.47</v>
          </cell>
          <cell r="C76">
            <v>2.5139300000000002</v>
          </cell>
        </row>
        <row r="77">
          <cell r="A77">
            <v>43657</v>
          </cell>
          <cell r="B77">
            <v>141.24</v>
          </cell>
          <cell r="C77">
            <v>2.1333299999999999</v>
          </cell>
        </row>
        <row r="78">
          <cell r="A78">
            <v>43658</v>
          </cell>
          <cell r="B78">
            <v>142.74</v>
          </cell>
          <cell r="C78">
            <v>2.7862800000000001</v>
          </cell>
        </row>
        <row r="79">
          <cell r="A79">
            <v>43661</v>
          </cell>
          <cell r="B79">
            <v>143.32</v>
          </cell>
          <cell r="C79">
            <v>2.3683100000000001</v>
          </cell>
        </row>
        <row r="80">
          <cell r="A80">
            <v>43662</v>
          </cell>
          <cell r="B80">
            <v>143.53</v>
          </cell>
          <cell r="C80">
            <v>3.4746899999999998</v>
          </cell>
        </row>
        <row r="81">
          <cell r="A81">
            <v>43663</v>
          </cell>
          <cell r="B81">
            <v>143.07</v>
          </cell>
          <cell r="C81">
            <v>6.0642699999999996</v>
          </cell>
        </row>
        <row r="82">
          <cell r="A82">
            <v>43664</v>
          </cell>
          <cell r="B82">
            <v>149.63</v>
          </cell>
          <cell r="C82">
            <v>12.69539</v>
          </cell>
        </row>
        <row r="83">
          <cell r="A83">
            <v>43665</v>
          </cell>
          <cell r="B83">
            <v>149.68</v>
          </cell>
          <cell r="C83">
            <v>7.29068</v>
          </cell>
        </row>
        <row r="84">
          <cell r="A84">
            <v>43668</v>
          </cell>
          <cell r="B84">
            <v>149.74</v>
          </cell>
          <cell r="C84">
            <v>4.0932399999999998</v>
          </cell>
        </row>
        <row r="85">
          <cell r="A85">
            <v>43669</v>
          </cell>
          <cell r="B85">
            <v>150.38</v>
          </cell>
          <cell r="C85">
            <v>3.7422</v>
          </cell>
        </row>
        <row r="86">
          <cell r="A86">
            <v>43670</v>
          </cell>
          <cell r="B86">
            <v>150.03</v>
          </cell>
          <cell r="C86">
            <v>2.9524400000000002</v>
          </cell>
        </row>
        <row r="87">
          <cell r="A87">
            <v>43671</v>
          </cell>
          <cell r="B87">
            <v>150.38999999999999</v>
          </cell>
          <cell r="C87">
            <v>3.1021100000000001</v>
          </cell>
        </row>
        <row r="88">
          <cell r="A88">
            <v>43672</v>
          </cell>
          <cell r="B88">
            <v>151.36000000000001</v>
          </cell>
          <cell r="C88">
            <v>2.90449</v>
          </cell>
        </row>
        <row r="89">
          <cell r="A89">
            <v>43675</v>
          </cell>
          <cell r="B89">
            <v>150.88</v>
          </cell>
          <cell r="C89">
            <v>2.0755300000000001</v>
          </cell>
        </row>
        <row r="90">
          <cell r="A90">
            <v>43676</v>
          </cell>
          <cell r="B90">
            <v>149.77000000000001</v>
          </cell>
          <cell r="C90">
            <v>2.63273</v>
          </cell>
        </row>
        <row r="91">
          <cell r="A91">
            <v>43677</v>
          </cell>
          <cell r="B91">
            <v>148.24</v>
          </cell>
          <cell r="C91">
            <v>3.7229100000000002</v>
          </cell>
        </row>
        <row r="92">
          <cell r="A92">
            <v>43678</v>
          </cell>
          <cell r="B92">
            <v>150.32</v>
          </cell>
          <cell r="C92">
            <v>6.3440099999999999</v>
          </cell>
        </row>
        <row r="93">
          <cell r="A93">
            <v>43679</v>
          </cell>
          <cell r="B93">
            <v>147.25</v>
          </cell>
          <cell r="C93">
            <v>8.1017200000000003</v>
          </cell>
        </row>
        <row r="94">
          <cell r="A94">
            <v>43682</v>
          </cell>
          <cell r="B94">
            <v>140.76</v>
          </cell>
          <cell r="C94">
            <v>7.1148699999999998</v>
          </cell>
        </row>
        <row r="95">
          <cell r="A95">
            <v>43683</v>
          </cell>
          <cell r="B95">
            <v>140.72999999999999</v>
          </cell>
          <cell r="C95">
            <v>5.0706499999999997</v>
          </cell>
        </row>
        <row r="96">
          <cell r="A96">
            <v>43684</v>
          </cell>
          <cell r="B96">
            <v>139.11000000000001</v>
          </cell>
          <cell r="C96">
            <v>5.9318799999999996</v>
          </cell>
        </row>
        <row r="97">
          <cell r="A97">
            <v>43685</v>
          </cell>
          <cell r="B97">
            <v>140.1</v>
          </cell>
          <cell r="C97">
            <v>5.2614400000000003</v>
          </cell>
        </row>
        <row r="98">
          <cell r="A98">
            <v>43686</v>
          </cell>
          <cell r="B98">
            <v>136.13</v>
          </cell>
          <cell r="C98">
            <v>5.2445899999999996</v>
          </cell>
        </row>
        <row r="99">
          <cell r="A99">
            <v>43689</v>
          </cell>
          <cell r="B99">
            <v>134.12</v>
          </cell>
          <cell r="C99">
            <v>4.1936400000000003</v>
          </cell>
        </row>
        <row r="100">
          <cell r="A100">
            <v>43690</v>
          </cell>
          <cell r="B100">
            <v>135.79</v>
          </cell>
          <cell r="C100">
            <v>4.5511699999999999</v>
          </cell>
        </row>
        <row r="101">
          <cell r="A101">
            <v>43691</v>
          </cell>
          <cell r="B101">
            <v>131.25</v>
          </cell>
          <cell r="C101">
            <v>5.11416</v>
          </cell>
        </row>
        <row r="102">
          <cell r="A102">
            <v>43692</v>
          </cell>
          <cell r="B102">
            <v>131.91999999999999</v>
          </cell>
          <cell r="C102">
            <v>3.73895</v>
          </cell>
        </row>
        <row r="103">
          <cell r="A103">
            <v>43693</v>
          </cell>
          <cell r="B103">
            <v>133.76</v>
          </cell>
          <cell r="C103">
            <v>3.0119899999999999</v>
          </cell>
        </row>
        <row r="104">
          <cell r="A104">
            <v>43696</v>
          </cell>
          <cell r="B104">
            <v>135.04</v>
          </cell>
          <cell r="C104">
            <v>3.1654399999999998</v>
          </cell>
        </row>
        <row r="105">
          <cell r="A105">
            <v>43697</v>
          </cell>
          <cell r="B105">
            <v>133</v>
          </cell>
          <cell r="C105">
            <v>3.0189300000000001</v>
          </cell>
        </row>
        <row r="106">
          <cell r="A106">
            <v>43698</v>
          </cell>
          <cell r="B106">
            <v>134.25</v>
          </cell>
          <cell r="C106">
            <v>2.8067700000000002</v>
          </cell>
        </row>
        <row r="107">
          <cell r="A107">
            <v>43699</v>
          </cell>
          <cell r="B107">
            <v>134.32</v>
          </cell>
          <cell r="C107">
            <v>2.6950099999999999</v>
          </cell>
        </row>
        <row r="108">
          <cell r="A108">
            <v>43700</v>
          </cell>
          <cell r="B108">
            <v>129.57</v>
          </cell>
          <cell r="C108">
            <v>4.8187600000000002</v>
          </cell>
        </row>
        <row r="109">
          <cell r="A109">
            <v>43703</v>
          </cell>
          <cell r="B109">
            <v>129.99</v>
          </cell>
          <cell r="C109">
            <v>2.83684</v>
          </cell>
        </row>
        <row r="110">
          <cell r="A110">
            <v>43704</v>
          </cell>
          <cell r="B110">
            <v>131.16999999999999</v>
          </cell>
          <cell r="C110">
            <v>4.7283900000000001</v>
          </cell>
        </row>
        <row r="111">
          <cell r="A111">
            <v>43705</v>
          </cell>
          <cell r="B111">
            <v>132.76</v>
          </cell>
          <cell r="C111">
            <v>2.7203599999999999</v>
          </cell>
        </row>
        <row r="112">
          <cell r="A112">
            <v>43706</v>
          </cell>
          <cell r="B112">
            <v>134.88</v>
          </cell>
          <cell r="C112">
            <v>2.9728400000000001</v>
          </cell>
        </row>
        <row r="113">
          <cell r="A113">
            <v>43707</v>
          </cell>
          <cell r="B113">
            <v>135.53</v>
          </cell>
          <cell r="C113">
            <v>2.9605899999999998</v>
          </cell>
        </row>
        <row r="114">
          <cell r="A114">
            <v>43711</v>
          </cell>
          <cell r="B114">
            <v>134.1</v>
          </cell>
          <cell r="C114">
            <v>2.8282400000000001</v>
          </cell>
        </row>
        <row r="115">
          <cell r="A115">
            <v>43712</v>
          </cell>
          <cell r="B115">
            <v>136.32</v>
          </cell>
          <cell r="C115">
            <v>2.2620800000000001</v>
          </cell>
        </row>
        <row r="116">
          <cell r="A116">
            <v>43713</v>
          </cell>
          <cell r="B116">
            <v>140.97</v>
          </cell>
          <cell r="C116">
            <v>5.0129099999999998</v>
          </cell>
        </row>
        <row r="117">
          <cell r="A117">
            <v>43714</v>
          </cell>
          <cell r="B117">
            <v>140.57</v>
          </cell>
          <cell r="C117">
            <v>2.5771999999999999</v>
          </cell>
        </row>
        <row r="118">
          <cell r="A118">
            <v>43717</v>
          </cell>
          <cell r="B118">
            <v>142.6</v>
          </cell>
          <cell r="C118">
            <v>4.2269399999999999</v>
          </cell>
        </row>
        <row r="119">
          <cell r="A119">
            <v>43718</v>
          </cell>
          <cell r="B119">
            <v>145.05000000000001</v>
          </cell>
          <cell r="C119">
            <v>4.9797399999999996</v>
          </cell>
        </row>
        <row r="120">
          <cell r="A120">
            <v>43719</v>
          </cell>
          <cell r="B120">
            <v>143.6</v>
          </cell>
          <cell r="C120">
            <v>3.8697300000000001</v>
          </cell>
        </row>
        <row r="121">
          <cell r="A121">
            <v>43720</v>
          </cell>
          <cell r="B121">
            <v>143.62</v>
          </cell>
          <cell r="C121">
            <v>2.50543</v>
          </cell>
        </row>
        <row r="122">
          <cell r="A122">
            <v>43721</v>
          </cell>
          <cell r="B122">
            <v>143.66999999999999</v>
          </cell>
          <cell r="C122">
            <v>2.20661</v>
          </cell>
        </row>
        <row r="123">
          <cell r="A123">
            <v>43724</v>
          </cell>
          <cell r="B123">
            <v>142.47999999999999</v>
          </cell>
          <cell r="C123">
            <v>1.9285000000000001</v>
          </cell>
        </row>
        <row r="124">
          <cell r="A124">
            <v>43725</v>
          </cell>
          <cell r="B124">
            <v>142.19999999999999</v>
          </cell>
          <cell r="C124">
            <v>2.94049</v>
          </cell>
        </row>
        <row r="125">
          <cell r="A125">
            <v>43726</v>
          </cell>
          <cell r="B125">
            <v>142.22</v>
          </cell>
          <cell r="C125">
            <v>1.99516</v>
          </cell>
        </row>
        <row r="126">
          <cell r="A126">
            <v>43727</v>
          </cell>
          <cell r="B126">
            <v>142.97</v>
          </cell>
          <cell r="C126">
            <v>3.1820900000000001</v>
          </cell>
        </row>
        <row r="127">
          <cell r="A127">
            <v>43728</v>
          </cell>
          <cell r="B127">
            <v>141.88</v>
          </cell>
          <cell r="C127">
            <v>5.2178800000000001</v>
          </cell>
        </row>
        <row r="128">
          <cell r="A128">
            <v>43731</v>
          </cell>
          <cell r="B128">
            <v>142.07</v>
          </cell>
          <cell r="C128">
            <v>1.85006</v>
          </cell>
        </row>
        <row r="129">
          <cell r="A129">
            <v>43732</v>
          </cell>
          <cell r="B129">
            <v>141.68</v>
          </cell>
          <cell r="C129">
            <v>3.3111700000000002</v>
          </cell>
        </row>
        <row r="130">
          <cell r="A130">
            <v>43733</v>
          </cell>
          <cell r="B130">
            <v>143.16</v>
          </cell>
          <cell r="C130">
            <v>2.5462099999999999</v>
          </cell>
        </row>
        <row r="131">
          <cell r="A131">
            <v>43734</v>
          </cell>
          <cell r="B131">
            <v>143.55000000000001</v>
          </cell>
          <cell r="C131">
            <v>2.31454</v>
          </cell>
        </row>
        <row r="132">
          <cell r="A132">
            <v>43735</v>
          </cell>
          <cell r="B132">
            <v>143.24</v>
          </cell>
          <cell r="C132">
            <v>2.3570799999999998</v>
          </cell>
        </row>
        <row r="133">
          <cell r="A133">
            <v>43738</v>
          </cell>
          <cell r="B133">
            <v>145.41999999999999</v>
          </cell>
          <cell r="C133">
            <v>4.0044300000000002</v>
          </cell>
        </row>
        <row r="134">
          <cell r="A134">
            <v>43739</v>
          </cell>
          <cell r="B134">
            <v>143.66</v>
          </cell>
          <cell r="C134">
            <v>2.9737100000000001</v>
          </cell>
        </row>
        <row r="135">
          <cell r="A135">
            <v>43740</v>
          </cell>
          <cell r="B135">
            <v>141.69</v>
          </cell>
          <cell r="C135">
            <v>3.34728</v>
          </cell>
        </row>
        <row r="136">
          <cell r="A136">
            <v>43741</v>
          </cell>
          <cell r="B136">
            <v>142.02000000000001</v>
          </cell>
          <cell r="C136">
            <v>3.1617199999999999</v>
          </cell>
        </row>
        <row r="137">
          <cell r="A137">
            <v>43742</v>
          </cell>
          <cell r="B137">
            <v>142.99</v>
          </cell>
          <cell r="C137">
            <v>2.4494799999999999</v>
          </cell>
        </row>
        <row r="138">
          <cell r="A138">
            <v>43745</v>
          </cell>
          <cell r="B138">
            <v>141.28</v>
          </cell>
          <cell r="C138">
            <v>2.4887999999999999</v>
          </cell>
        </row>
        <row r="139">
          <cell r="A139">
            <v>43746</v>
          </cell>
          <cell r="B139">
            <v>138.38</v>
          </cell>
          <cell r="C139">
            <v>3.3440799999999999</v>
          </cell>
        </row>
        <row r="140">
          <cell r="A140">
            <v>43747</v>
          </cell>
          <cell r="B140">
            <v>139.66999999999999</v>
          </cell>
          <cell r="C140">
            <v>2.63347</v>
          </cell>
        </row>
        <row r="141">
          <cell r="A141">
            <v>43748</v>
          </cell>
          <cell r="B141">
            <v>141.13</v>
          </cell>
          <cell r="C141">
            <v>2.64669</v>
          </cell>
        </row>
        <row r="142">
          <cell r="A142">
            <v>43749</v>
          </cell>
          <cell r="B142">
            <v>142.76</v>
          </cell>
          <cell r="C142">
            <v>3.0186700000000002</v>
          </cell>
        </row>
        <row r="143">
          <cell r="A143">
            <v>43752</v>
          </cell>
          <cell r="B143">
            <v>142.04</v>
          </cell>
          <cell r="C143">
            <v>2.3256100000000002</v>
          </cell>
        </row>
        <row r="144">
          <cell r="A144">
            <v>43753</v>
          </cell>
          <cell r="B144">
            <v>143</v>
          </cell>
          <cell r="C144">
            <v>3.0470000000000002</v>
          </cell>
        </row>
        <row r="145">
          <cell r="A145">
            <v>43754</v>
          </cell>
          <cell r="B145">
            <v>142.11000000000001</v>
          </cell>
          <cell r="C145">
            <v>5.9157099999999998</v>
          </cell>
        </row>
        <row r="146">
          <cell r="A146">
            <v>43755</v>
          </cell>
          <cell r="B146">
            <v>134.26</v>
          </cell>
          <cell r="C146">
            <v>15.83081</v>
          </cell>
        </row>
        <row r="147">
          <cell r="A147">
            <v>43756</v>
          </cell>
          <cell r="B147">
            <v>134.09</v>
          </cell>
          <cell r="C147">
            <v>7.1783799999999998</v>
          </cell>
        </row>
        <row r="148">
          <cell r="A148">
            <v>43759</v>
          </cell>
          <cell r="B148">
            <v>132.58000000000001</v>
          </cell>
          <cell r="C148">
            <v>6.3729800000000001</v>
          </cell>
        </row>
        <row r="149">
          <cell r="A149">
            <v>43760</v>
          </cell>
          <cell r="B149">
            <v>133.96</v>
          </cell>
          <cell r="C149">
            <v>4.1958000000000002</v>
          </cell>
        </row>
        <row r="150">
          <cell r="A150">
            <v>43761</v>
          </cell>
          <cell r="B150">
            <v>134.38</v>
          </cell>
          <cell r="C150">
            <v>3.6273499999999999</v>
          </cell>
        </row>
        <row r="151">
          <cell r="A151">
            <v>43762</v>
          </cell>
          <cell r="B151">
            <v>134.07</v>
          </cell>
          <cell r="C151">
            <v>2.61931</v>
          </cell>
        </row>
        <row r="152">
          <cell r="A152">
            <v>43763</v>
          </cell>
          <cell r="B152">
            <v>135.44</v>
          </cell>
          <cell r="C152">
            <v>2.5790600000000001</v>
          </cell>
        </row>
        <row r="153">
          <cell r="A153">
            <v>43766</v>
          </cell>
          <cell r="B153">
            <v>135.97</v>
          </cell>
          <cell r="C153">
            <v>3.2261299999999999</v>
          </cell>
        </row>
        <row r="154">
          <cell r="A154">
            <v>43767</v>
          </cell>
          <cell r="B154">
            <v>133.82</v>
          </cell>
          <cell r="C154">
            <v>4.1607200000000004</v>
          </cell>
        </row>
        <row r="155">
          <cell r="A155">
            <v>43768</v>
          </cell>
          <cell r="B155">
            <v>135.25</v>
          </cell>
          <cell r="C155">
            <v>2.25299</v>
          </cell>
        </row>
        <row r="156">
          <cell r="A156">
            <v>43769</v>
          </cell>
          <cell r="B156">
            <v>133.72999999999999</v>
          </cell>
          <cell r="C156">
            <v>3.4121199999999998</v>
          </cell>
        </row>
        <row r="157">
          <cell r="A157">
            <v>43770</v>
          </cell>
          <cell r="B157">
            <v>135.53</v>
          </cell>
          <cell r="C157">
            <v>3.0897899999999998</v>
          </cell>
        </row>
        <row r="158">
          <cell r="A158">
            <v>43773</v>
          </cell>
          <cell r="B158">
            <v>137.66999999999999</v>
          </cell>
          <cell r="C158">
            <v>3.3353899999999999</v>
          </cell>
        </row>
        <row r="159">
          <cell r="A159">
            <v>43774</v>
          </cell>
          <cell r="B159">
            <v>137.88999999999999</v>
          </cell>
          <cell r="C159">
            <v>3.0149599999999999</v>
          </cell>
        </row>
        <row r="160">
          <cell r="A160">
            <v>43775</v>
          </cell>
          <cell r="B160">
            <v>138.78</v>
          </cell>
          <cell r="C160">
            <v>4.47729</v>
          </cell>
        </row>
        <row r="161">
          <cell r="A161">
            <v>43776</v>
          </cell>
          <cell r="B161">
            <v>137.69</v>
          </cell>
          <cell r="C161">
            <v>4.0739099999999997</v>
          </cell>
        </row>
        <row r="162">
          <cell r="A162">
            <v>43777</v>
          </cell>
          <cell r="B162">
            <v>137.61000000000001</v>
          </cell>
          <cell r="C162">
            <v>2.2786</v>
          </cell>
        </row>
        <row r="163">
          <cell r="A163">
            <v>43780</v>
          </cell>
          <cell r="B163">
            <v>135.47</v>
          </cell>
          <cell r="C163">
            <v>2.5687600000000002</v>
          </cell>
        </row>
        <row r="164">
          <cell r="A164">
            <v>43781</v>
          </cell>
          <cell r="B164">
            <v>135.59</v>
          </cell>
          <cell r="C164">
            <v>3.0465399999999998</v>
          </cell>
        </row>
        <row r="165">
          <cell r="A165">
            <v>43782</v>
          </cell>
          <cell r="B165">
            <v>134.47999999999999</v>
          </cell>
          <cell r="C165">
            <v>3.0609199999999999</v>
          </cell>
        </row>
        <row r="166">
          <cell r="A166">
            <v>43783</v>
          </cell>
          <cell r="B166">
            <v>134</v>
          </cell>
          <cell r="C166">
            <v>4.2314699999999998</v>
          </cell>
        </row>
        <row r="167">
          <cell r="A167">
            <v>43784</v>
          </cell>
          <cell r="B167">
            <v>134.4</v>
          </cell>
          <cell r="C167">
            <v>3.2626599999999999</v>
          </cell>
        </row>
        <row r="168">
          <cell r="A168">
            <v>43787</v>
          </cell>
          <cell r="B168">
            <v>134.31</v>
          </cell>
          <cell r="C168">
            <v>3.2108699999999999</v>
          </cell>
        </row>
        <row r="169">
          <cell r="A169">
            <v>43788</v>
          </cell>
          <cell r="B169">
            <v>134.52000000000001</v>
          </cell>
          <cell r="C169">
            <v>2.9950700000000001</v>
          </cell>
        </row>
        <row r="170">
          <cell r="A170">
            <v>43789</v>
          </cell>
          <cell r="B170">
            <v>133.19999999999999</v>
          </cell>
          <cell r="C170">
            <v>4.1401500000000002</v>
          </cell>
        </row>
        <row r="171">
          <cell r="A171">
            <v>43790</v>
          </cell>
          <cell r="B171">
            <v>133.84</v>
          </cell>
          <cell r="C171">
            <v>3.3453400000000002</v>
          </cell>
        </row>
        <row r="172">
          <cell r="A172">
            <v>43791</v>
          </cell>
          <cell r="B172">
            <v>134.34</v>
          </cell>
          <cell r="C172">
            <v>3.2978000000000001</v>
          </cell>
        </row>
        <row r="173">
          <cell r="A173">
            <v>43794</v>
          </cell>
          <cell r="B173">
            <v>135.97</v>
          </cell>
          <cell r="C173">
            <v>2.5901700000000001</v>
          </cell>
        </row>
        <row r="174">
          <cell r="A174">
            <v>43795</v>
          </cell>
          <cell r="B174">
            <v>135.09</v>
          </cell>
          <cell r="C174">
            <v>3.7933400000000002</v>
          </cell>
        </row>
        <row r="175">
          <cell r="A175">
            <v>43796</v>
          </cell>
          <cell r="B175">
            <v>133.77000000000001</v>
          </cell>
          <cell r="C175">
            <v>3.2828300000000001</v>
          </cell>
        </row>
        <row r="176">
          <cell r="A176">
            <v>43798</v>
          </cell>
          <cell r="B176">
            <v>134.44999999999999</v>
          </cell>
          <cell r="C176">
            <v>1.8252600000000001</v>
          </cell>
        </row>
        <row r="177">
          <cell r="A177">
            <v>43801</v>
          </cell>
          <cell r="B177">
            <v>132.91</v>
          </cell>
          <cell r="C177">
            <v>3.0678299999999998</v>
          </cell>
        </row>
        <row r="178">
          <cell r="A178">
            <v>43802</v>
          </cell>
          <cell r="B178">
            <v>132.12</v>
          </cell>
          <cell r="C178">
            <v>3.7110699999999999</v>
          </cell>
        </row>
        <row r="179">
          <cell r="A179">
            <v>43803</v>
          </cell>
          <cell r="B179">
            <v>131.99</v>
          </cell>
          <cell r="C179">
            <v>3.53077</v>
          </cell>
        </row>
        <row r="180">
          <cell r="A180">
            <v>43804</v>
          </cell>
          <cell r="B180">
            <v>131.91</v>
          </cell>
          <cell r="C180">
            <v>3.5985800000000001</v>
          </cell>
        </row>
        <row r="181">
          <cell r="A181">
            <v>43805</v>
          </cell>
          <cell r="B181">
            <v>133.22</v>
          </cell>
          <cell r="C181">
            <v>3.4379900000000001</v>
          </cell>
        </row>
        <row r="182">
          <cell r="A182">
            <v>43808</v>
          </cell>
          <cell r="B182">
            <v>133.91999999999999</v>
          </cell>
          <cell r="C182">
            <v>2.9788000000000001</v>
          </cell>
        </row>
        <row r="183">
          <cell r="A183">
            <v>43809</v>
          </cell>
          <cell r="B183">
            <v>133.91</v>
          </cell>
          <cell r="C183">
            <v>3.4803899999999999</v>
          </cell>
        </row>
        <row r="184">
          <cell r="A184">
            <v>43810</v>
          </cell>
          <cell r="B184">
            <v>133.76</v>
          </cell>
          <cell r="C184">
            <v>3.9533100000000001</v>
          </cell>
        </row>
        <row r="185">
          <cell r="A185">
            <v>43811</v>
          </cell>
          <cell r="B185">
            <v>135.32</v>
          </cell>
          <cell r="C185">
            <v>4.8241899999999998</v>
          </cell>
        </row>
        <row r="186">
          <cell r="A186">
            <v>43812</v>
          </cell>
          <cell r="B186">
            <v>134.21</v>
          </cell>
          <cell r="C186">
            <v>2.5349699999999999</v>
          </cell>
        </row>
        <row r="187">
          <cell r="A187">
            <v>43815</v>
          </cell>
          <cell r="B187">
            <v>134.13</v>
          </cell>
          <cell r="C187">
            <v>3.0493299999999999</v>
          </cell>
        </row>
        <row r="188">
          <cell r="A188">
            <v>43816</v>
          </cell>
          <cell r="B188">
            <v>134.22</v>
          </cell>
          <cell r="C188">
            <v>2.9075500000000001</v>
          </cell>
        </row>
        <row r="189">
          <cell r="A189">
            <v>43817</v>
          </cell>
          <cell r="B189">
            <v>134.41</v>
          </cell>
          <cell r="C189">
            <v>3.1023499999999999</v>
          </cell>
        </row>
        <row r="190">
          <cell r="A190">
            <v>43818</v>
          </cell>
          <cell r="B190">
            <v>134.56</v>
          </cell>
          <cell r="C190">
            <v>3.8667199999999999</v>
          </cell>
        </row>
        <row r="191">
          <cell r="A191">
            <v>43819</v>
          </cell>
          <cell r="B191">
            <v>135.59</v>
          </cell>
          <cell r="C191">
            <v>7.1120700000000001</v>
          </cell>
        </row>
        <row r="192">
          <cell r="A192">
            <v>43822</v>
          </cell>
          <cell r="B192">
            <v>135.55000000000001</v>
          </cell>
          <cell r="C192">
            <v>2.8031700000000002</v>
          </cell>
        </row>
        <row r="193">
          <cell r="A193">
            <v>43823</v>
          </cell>
          <cell r="B193">
            <v>134.97999999999999</v>
          </cell>
          <cell r="C193">
            <v>1.2020900000000001</v>
          </cell>
        </row>
        <row r="194">
          <cell r="A194">
            <v>43825</v>
          </cell>
          <cell r="B194">
            <v>134.91</v>
          </cell>
          <cell r="C194">
            <v>2.1307100000000001</v>
          </cell>
        </row>
        <row r="195">
          <cell r="A195">
            <v>43826</v>
          </cell>
          <cell r="B195">
            <v>135.27000000000001</v>
          </cell>
          <cell r="C195">
            <v>2.75271</v>
          </cell>
        </row>
        <row r="196">
          <cell r="A196">
            <v>43829</v>
          </cell>
          <cell r="B196">
            <v>132.81</v>
          </cell>
          <cell r="C196">
            <v>4.1189400000000003</v>
          </cell>
        </row>
        <row r="197">
          <cell r="A197">
            <v>43830</v>
          </cell>
          <cell r="B197">
            <v>134.04</v>
          </cell>
          <cell r="C197">
            <v>3.7780100000000001</v>
          </cell>
        </row>
        <row r="198">
          <cell r="A198">
            <v>43832</v>
          </cell>
          <cell r="B198">
            <v>135.41999999999999</v>
          </cell>
          <cell r="C198">
            <v>3.1488299999999998</v>
          </cell>
        </row>
        <row r="199">
          <cell r="A199">
            <v>43833</v>
          </cell>
          <cell r="B199">
            <v>134.34</v>
          </cell>
          <cell r="C199">
            <v>2.3736799999999998</v>
          </cell>
        </row>
        <row r="200">
          <cell r="A200">
            <v>43836</v>
          </cell>
          <cell r="B200">
            <v>134.1</v>
          </cell>
          <cell r="C200">
            <v>2.42631</v>
          </cell>
        </row>
        <row r="201">
          <cell r="A201">
            <v>43837</v>
          </cell>
          <cell r="B201">
            <v>134.19</v>
          </cell>
          <cell r="C201">
            <v>3.27597</v>
          </cell>
        </row>
        <row r="202">
          <cell r="A202">
            <v>43838</v>
          </cell>
          <cell r="B202">
            <v>135.31</v>
          </cell>
          <cell r="C202">
            <v>4.3461400000000001</v>
          </cell>
        </row>
        <row r="203">
          <cell r="A203">
            <v>43839</v>
          </cell>
          <cell r="B203">
            <v>136.74</v>
          </cell>
          <cell r="C203">
            <v>3.7328299999999999</v>
          </cell>
        </row>
        <row r="204">
          <cell r="A204">
            <v>43840</v>
          </cell>
          <cell r="B204">
            <v>136.69</v>
          </cell>
          <cell r="C204">
            <v>3.2556400000000001</v>
          </cell>
        </row>
        <row r="205">
          <cell r="A205">
            <v>43843</v>
          </cell>
          <cell r="B205">
            <v>136.6</v>
          </cell>
          <cell r="C205">
            <v>3.5315699999999999</v>
          </cell>
        </row>
        <row r="206">
          <cell r="A206">
            <v>43844</v>
          </cell>
          <cell r="B206">
            <v>135.82</v>
          </cell>
          <cell r="C206">
            <v>3.6834600000000002</v>
          </cell>
        </row>
        <row r="207">
          <cell r="A207">
            <v>43845</v>
          </cell>
          <cell r="B207">
            <v>136.62</v>
          </cell>
          <cell r="C207">
            <v>4.0459500000000004</v>
          </cell>
        </row>
        <row r="208">
          <cell r="A208">
            <v>43846</v>
          </cell>
          <cell r="B208">
            <v>137.97999999999999</v>
          </cell>
          <cell r="C208">
            <v>4.3209099999999996</v>
          </cell>
        </row>
        <row r="209">
          <cell r="A209">
            <v>43847</v>
          </cell>
          <cell r="B209">
            <v>138.31</v>
          </cell>
          <cell r="C209">
            <v>5.6233399999999998</v>
          </cell>
        </row>
        <row r="210">
          <cell r="A210">
            <v>43851</v>
          </cell>
          <cell r="B210">
            <v>139.16999999999999</v>
          </cell>
          <cell r="C210">
            <v>7.2440800000000003</v>
          </cell>
        </row>
        <row r="211">
          <cell r="A211">
            <v>43852</v>
          </cell>
          <cell r="B211">
            <v>143.88999999999999</v>
          </cell>
          <cell r="C211">
            <v>16.47043</v>
          </cell>
        </row>
        <row r="212">
          <cell r="A212">
            <v>43853</v>
          </cell>
          <cell r="B212">
            <v>142.87</v>
          </cell>
          <cell r="C212">
            <v>5.6577900000000003</v>
          </cell>
        </row>
        <row r="213">
          <cell r="A213">
            <v>43854</v>
          </cell>
          <cell r="B213">
            <v>140.56</v>
          </cell>
          <cell r="C213">
            <v>5.58019</v>
          </cell>
        </row>
        <row r="214">
          <cell r="A214">
            <v>43857</v>
          </cell>
          <cell r="B214">
            <v>138.62</v>
          </cell>
          <cell r="C214">
            <v>4.1665599999999996</v>
          </cell>
        </row>
        <row r="215">
          <cell r="A215">
            <v>43858</v>
          </cell>
          <cell r="B215">
            <v>139.55000000000001</v>
          </cell>
          <cell r="C215">
            <v>3.4515600000000002</v>
          </cell>
        </row>
        <row r="216">
          <cell r="A216">
            <v>43859</v>
          </cell>
          <cell r="B216">
            <v>137.69</v>
          </cell>
          <cell r="C216">
            <v>3.05471</v>
          </cell>
        </row>
        <row r="217">
          <cell r="A217">
            <v>43860</v>
          </cell>
          <cell r="B217">
            <v>136.77000000000001</v>
          </cell>
          <cell r="C217">
            <v>5.0579099999999997</v>
          </cell>
        </row>
        <row r="218">
          <cell r="A218">
            <v>43861</v>
          </cell>
          <cell r="B218">
            <v>143.72999999999999</v>
          </cell>
          <cell r="C218">
            <v>18.99456</v>
          </cell>
        </row>
        <row r="219">
          <cell r="A219">
            <v>43864</v>
          </cell>
          <cell r="B219">
            <v>146.27000000000001</v>
          </cell>
          <cell r="C219">
            <v>8.8874999999999993</v>
          </cell>
        </row>
        <row r="220">
          <cell r="A220">
            <v>43865</v>
          </cell>
          <cell r="B220">
            <v>149.11000000000001</v>
          </cell>
          <cell r="C220">
            <v>5.6209699999999998</v>
          </cell>
        </row>
        <row r="221">
          <cell r="A221">
            <v>43866</v>
          </cell>
          <cell r="B221">
            <v>156.33000000000001</v>
          </cell>
          <cell r="C221">
            <v>14.38682</v>
          </cell>
        </row>
        <row r="222">
          <cell r="A222">
            <v>43867</v>
          </cell>
          <cell r="B222">
            <v>156.76</v>
          </cell>
          <cell r="C222">
            <v>8.4005500000000008</v>
          </cell>
        </row>
        <row r="223">
          <cell r="A223">
            <v>43868</v>
          </cell>
          <cell r="B223">
            <v>153.41</v>
          </cell>
          <cell r="C223">
            <v>6.4234299999999998</v>
          </cell>
        </row>
        <row r="224">
          <cell r="A224">
            <v>43871</v>
          </cell>
          <cell r="B224">
            <v>154.43</v>
          </cell>
          <cell r="C224">
            <v>5.2398100000000003</v>
          </cell>
        </row>
        <row r="225">
          <cell r="A225">
            <v>43872</v>
          </cell>
          <cell r="B225">
            <v>153.47999999999999</v>
          </cell>
          <cell r="C225">
            <v>3.8351099999999998</v>
          </cell>
        </row>
        <row r="226">
          <cell r="A226">
            <v>43873</v>
          </cell>
          <cell r="B226">
            <v>155.31</v>
          </cell>
          <cell r="C226">
            <v>4.4380100000000002</v>
          </cell>
        </row>
        <row r="227">
          <cell r="A227">
            <v>43874</v>
          </cell>
          <cell r="B227">
            <v>154.31</v>
          </cell>
          <cell r="C227">
            <v>3.8207</v>
          </cell>
        </row>
        <row r="228">
          <cell r="A228">
            <v>43875</v>
          </cell>
          <cell r="B228">
            <v>150.69999999999999</v>
          </cell>
          <cell r="C228">
            <v>6.09924</v>
          </cell>
        </row>
        <row r="229">
          <cell r="A229">
            <v>43879</v>
          </cell>
          <cell r="B229">
            <v>151.1</v>
          </cell>
          <cell r="C229">
            <v>3.3435100000000002</v>
          </cell>
        </row>
        <row r="230">
          <cell r="A230">
            <v>43880</v>
          </cell>
          <cell r="B230">
            <v>150.86000000000001</v>
          </cell>
          <cell r="C230">
            <v>2.7332800000000002</v>
          </cell>
        </row>
        <row r="231">
          <cell r="A231">
            <v>43881</v>
          </cell>
          <cell r="B231">
            <v>151.22</v>
          </cell>
          <cell r="C231">
            <v>2.8807100000000001</v>
          </cell>
        </row>
        <row r="232">
          <cell r="A232">
            <v>43882</v>
          </cell>
          <cell r="B232">
            <v>149.84</v>
          </cell>
          <cell r="C232">
            <v>3.5372599999999998</v>
          </cell>
        </row>
        <row r="233">
          <cell r="A233">
            <v>43885</v>
          </cell>
          <cell r="B233">
            <v>146.43</v>
          </cell>
          <cell r="C233">
            <v>5.4524100000000004</v>
          </cell>
        </row>
        <row r="234">
          <cell r="A234">
            <v>43886</v>
          </cell>
          <cell r="B234">
            <v>141.71</v>
          </cell>
          <cell r="C234">
            <v>6.2115499999999999</v>
          </cell>
        </row>
        <row r="235">
          <cell r="A235">
            <v>43887</v>
          </cell>
          <cell r="B235">
            <v>139.75</v>
          </cell>
          <cell r="C235">
            <v>5.4095399999999998</v>
          </cell>
        </row>
        <row r="236">
          <cell r="A236">
            <v>43888</v>
          </cell>
          <cell r="B236">
            <v>133.11000000000001</v>
          </cell>
          <cell r="C236">
            <v>8.4211299999999998</v>
          </cell>
        </row>
        <row r="237">
          <cell r="A237">
            <v>43889</v>
          </cell>
          <cell r="B237">
            <v>130.15</v>
          </cell>
          <cell r="C237">
            <v>13.012230000000001</v>
          </cell>
        </row>
        <row r="238">
          <cell r="A238">
            <v>43892</v>
          </cell>
          <cell r="B238">
            <v>134.30000000000001</v>
          </cell>
          <cell r="C238">
            <v>8.5314200000000007</v>
          </cell>
        </row>
        <row r="239">
          <cell r="A239">
            <v>43893</v>
          </cell>
          <cell r="B239">
            <v>128.9</v>
          </cell>
          <cell r="C239">
            <v>7.8960699999999999</v>
          </cell>
        </row>
        <row r="240">
          <cell r="A240">
            <v>43894</v>
          </cell>
          <cell r="B240">
            <v>134.22</v>
          </cell>
          <cell r="C240">
            <v>4.9963699999999998</v>
          </cell>
        </row>
        <row r="241">
          <cell r="A241">
            <v>43895</v>
          </cell>
          <cell r="B241">
            <v>129.55000000000001</v>
          </cell>
          <cell r="C241">
            <v>5.4462299999999999</v>
          </cell>
        </row>
        <row r="242">
          <cell r="A242">
            <v>43896</v>
          </cell>
          <cell r="B242">
            <v>127.73</v>
          </cell>
          <cell r="C242">
            <v>8.1932600000000004</v>
          </cell>
        </row>
        <row r="243">
          <cell r="A243">
            <v>43899</v>
          </cell>
          <cell r="B243">
            <v>117.81</v>
          </cell>
          <cell r="C243">
            <v>10.757490000000001</v>
          </cell>
        </row>
        <row r="244">
          <cell r="A244">
            <v>43900</v>
          </cell>
          <cell r="B244">
            <v>124.77</v>
          </cell>
          <cell r="C244">
            <v>11.410690000000001</v>
          </cell>
        </row>
        <row r="245">
          <cell r="A245">
            <v>43901</v>
          </cell>
          <cell r="B245">
            <v>117.97</v>
          </cell>
          <cell r="C245">
            <v>8.4510400000000008</v>
          </cell>
        </row>
        <row r="246">
          <cell r="A246">
            <v>43902</v>
          </cell>
          <cell r="B246">
            <v>102.81</v>
          </cell>
          <cell r="C246">
            <v>12.51266</v>
          </cell>
        </row>
        <row r="247">
          <cell r="A247">
            <v>43903</v>
          </cell>
          <cell r="B247">
            <v>107.95</v>
          </cell>
          <cell r="C247">
            <v>12.50211</v>
          </cell>
        </row>
        <row r="248">
          <cell r="A248">
            <v>43906</v>
          </cell>
          <cell r="B248">
            <v>99.08</v>
          </cell>
          <cell r="C248">
            <v>10.567959999999999</v>
          </cell>
        </row>
        <row r="249">
          <cell r="A249">
            <v>43907</v>
          </cell>
          <cell r="B249">
            <v>106.65</v>
          </cell>
          <cell r="C249">
            <v>9.2583400000000005</v>
          </cell>
        </row>
        <row r="250">
          <cell r="A250">
            <v>43908</v>
          </cell>
          <cell r="B250">
            <v>103.55</v>
          </cell>
          <cell r="C250">
            <v>8.7724600000000006</v>
          </cell>
        </row>
        <row r="251">
          <cell r="A251">
            <v>43909</v>
          </cell>
          <cell r="B251">
            <v>100.34</v>
          </cell>
          <cell r="C251">
            <v>8.3965200000000006</v>
          </cell>
        </row>
        <row r="252">
          <cell r="A252">
            <v>43910</v>
          </cell>
          <cell r="B252">
            <v>95.39</v>
          </cell>
          <cell r="C252">
            <v>10.54646</v>
          </cell>
        </row>
        <row r="253">
          <cell r="A253">
            <v>43913</v>
          </cell>
          <cell r="B253">
            <v>94.77</v>
          </cell>
          <cell r="C253">
            <v>9.7293900000000004</v>
          </cell>
        </row>
        <row r="254">
          <cell r="A254">
            <v>43914</v>
          </cell>
          <cell r="B254">
            <v>105.48</v>
          </cell>
          <cell r="C254">
            <v>7.9739399999999998</v>
          </cell>
        </row>
        <row r="255">
          <cell r="A255">
            <v>43915</v>
          </cell>
          <cell r="B255">
            <v>105.85</v>
          </cell>
          <cell r="C255">
            <v>8.6540499999999998</v>
          </cell>
        </row>
        <row r="256">
          <cell r="A256">
            <v>43916</v>
          </cell>
          <cell r="B256">
            <v>112.89</v>
          </cell>
          <cell r="C256">
            <v>7.1580500000000002</v>
          </cell>
        </row>
        <row r="257">
          <cell r="A257">
            <v>43917</v>
          </cell>
          <cell r="B257">
            <v>108.03</v>
          </cell>
          <cell r="C257">
            <v>6.4230400000000003</v>
          </cell>
        </row>
        <row r="258">
          <cell r="A258">
            <v>43920</v>
          </cell>
          <cell r="B258">
            <v>112.93</v>
          </cell>
          <cell r="C258">
            <v>5.56454</v>
          </cell>
        </row>
        <row r="259">
          <cell r="A259">
            <v>43921</v>
          </cell>
          <cell r="B259">
            <v>110.93</v>
          </cell>
          <cell r="C259">
            <v>6.3466800000000001</v>
          </cell>
        </row>
        <row r="260">
          <cell r="A260">
            <v>43922</v>
          </cell>
          <cell r="B260">
            <v>105.14</v>
          </cell>
          <cell r="C260">
            <v>6.1129499999999997</v>
          </cell>
        </row>
        <row r="261">
          <cell r="A261">
            <v>43923</v>
          </cell>
          <cell r="B261">
            <v>110</v>
          </cell>
          <cell r="C261">
            <v>6.3286699999999998</v>
          </cell>
        </row>
      </sheetData>
      <sheetData sheetId="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Home"/>
      <sheetName val="Value Model"/>
      <sheetName val="Growth Model"/>
      <sheetName val="Quality Model"/>
      <sheetName val="Momentum Model"/>
      <sheetName val="Factors"/>
    </sheetNames>
    <sheetDataSet>
      <sheetData sheetId="0"/>
      <sheetData sheetId="1">
        <row r="10">
          <cell r="A10" t="str">
            <v>(User access restricted)</v>
          </cell>
        </row>
      </sheetData>
      <sheetData sheetId="2">
        <row r="10">
          <cell r="A10" t="str">
            <v>(User access restricted)</v>
          </cell>
        </row>
      </sheetData>
      <sheetData sheetId="3">
        <row r="10">
          <cell r="A10" t="str">
            <v>(User access restricted)</v>
          </cell>
        </row>
      </sheetData>
      <sheetData sheetId="4">
        <row r="10">
          <cell r="A10" t="str">
            <v>(User access restricted)</v>
          </cell>
        </row>
      </sheetData>
      <sheetData sheetId="5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connectionId="1" xr16:uid="{7F52D9D7-B53F-4669-843D-D99C91072628}" autoFormatId="16" applyNumberFormats="0" applyBorderFormats="0" applyFontFormats="0" applyPatternFormats="0" applyAlignmentFormats="0" applyWidthHeightFormats="0">
  <queryTableRefresh nextId="4">
    <queryTableFields count="2">
      <queryTableField id="2" name="Name" tableColumnId="2"/>
      <queryTableField id="1" name="Value" tableColumnId="1"/>
    </queryTableFields>
  </queryTableRefresh>
  <extLst>
    <ext xmlns:x15="http://schemas.microsoft.com/office/spreadsheetml/2010/11/main" uri="{883FBD77-0823-4a55-B5E3-86C4891E6966}">
      <x15:queryTable sourceDataName="Query - financials_input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05A11AE-CA0F-4FEE-A7A6-6739C5883E91}" name="financials_input" displayName="financials_input" ref="A1:B6" tableType="queryTable" totalsRowShown="0">
  <autoFilter ref="A1:B6" xr:uid="{F05A11AE-CA0F-4FEE-A7A6-6739C5883E91}"/>
  <tableColumns count="2">
    <tableColumn id="2" xr3:uid="{54D31CCF-3CD9-4810-854F-1ED992163180}" uniqueName="2" name="Name" queryTableFieldId="2"/>
    <tableColumn id="1" xr3:uid="{9FD20C48-6091-498E-9A37-F7E8CBC468B5}" uniqueName="1" name="Value" queryTableFieldId="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&amp;P Updated">
      <a:dk1>
        <a:srgbClr val="000000"/>
      </a:dk1>
      <a:lt1>
        <a:srgbClr val="FFFFFF"/>
      </a:lt1>
      <a:dk2>
        <a:srgbClr val="5A5A5A"/>
      </a:dk2>
      <a:lt2>
        <a:srgbClr val="DFDFDF"/>
      </a:lt2>
      <a:accent1>
        <a:srgbClr val="E31837"/>
      </a:accent1>
      <a:accent2>
        <a:srgbClr val="00B1B0"/>
      </a:accent2>
      <a:accent3>
        <a:srgbClr val="919195"/>
      </a:accent3>
      <a:accent4>
        <a:srgbClr val="B5E1E1"/>
      </a:accent4>
      <a:accent5>
        <a:srgbClr val="006C67"/>
      </a:accent5>
      <a:accent6>
        <a:srgbClr val="5A3CE6"/>
      </a:accent6>
      <a:hlink>
        <a:srgbClr val="0000FF"/>
      </a:hlink>
      <a:folHlink>
        <a:srgbClr val="800080"/>
      </a:folHlink>
    </a:clrScheme>
    <a:fontScheme name="S&amp;P Capital IQ Fonts">
      <a:majorFont>
        <a:latin typeface="Arial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73FB2D-E8CD-4063-9892-A2F3F3C66C85}">
  <dimension ref="A1:B6"/>
  <sheetViews>
    <sheetView workbookViewId="0">
      <selection activeCell="H7" sqref="H7"/>
    </sheetView>
  </sheetViews>
  <sheetFormatPr defaultRowHeight="12.75" x14ac:dyDescent="0.2"/>
  <cols>
    <col min="1" max="1" width="10.7109375" bestFit="1" customWidth="1"/>
    <col min="2" max="2" width="14.5703125" bestFit="1" customWidth="1"/>
  </cols>
  <sheetData>
    <row r="1" spans="1:2" x14ac:dyDescent="0.2">
      <c r="A1" t="s">
        <v>257</v>
      </c>
      <c r="B1" t="s">
        <v>274</v>
      </c>
    </row>
    <row r="2" spans="1:2" x14ac:dyDescent="0.2">
      <c r="A2" t="s">
        <v>513</v>
      </c>
      <c r="B2" t="s">
        <v>845</v>
      </c>
    </row>
    <row r="3" spans="1:2" x14ac:dyDescent="0.2">
      <c r="A3" t="s">
        <v>577</v>
      </c>
      <c r="B3" t="s">
        <v>578</v>
      </c>
    </row>
    <row r="4" spans="1:2" x14ac:dyDescent="0.2">
      <c r="A4" t="s">
        <v>579</v>
      </c>
      <c r="B4" t="s">
        <v>846</v>
      </c>
    </row>
    <row r="5" spans="1:2" x14ac:dyDescent="0.2">
      <c r="A5" t="s">
        <v>580</v>
      </c>
      <c r="B5" t="s">
        <v>847</v>
      </c>
    </row>
    <row r="6" spans="1:2" x14ac:dyDescent="0.2">
      <c r="A6" t="s">
        <v>581</v>
      </c>
      <c r="B6" t="s">
        <v>387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E892C4-8904-4FD6-9FED-D6B02BEAEA80}">
  <dimension ref="A1:O8"/>
  <sheetViews>
    <sheetView workbookViewId="0">
      <selection activeCell="I32" sqref="I32"/>
    </sheetView>
  </sheetViews>
  <sheetFormatPr defaultRowHeight="12.75" x14ac:dyDescent="0.2"/>
  <cols>
    <col min="1" max="1" width="10.7109375" bestFit="1" customWidth="1"/>
    <col min="2" max="2" width="10" customWidth="1"/>
  </cols>
  <sheetData>
    <row r="1" spans="1:15" x14ac:dyDescent="0.2">
      <c r="A1" t="str">
        <f>Input_Raw!A1</f>
        <v>Name</v>
      </c>
      <c r="B1" t="str">
        <f>Input_Raw!B1</f>
        <v>Value</v>
      </c>
    </row>
    <row r="2" spans="1:15" x14ac:dyDescent="0.2">
      <c r="A2" t="str">
        <f>Input_Raw!A2</f>
        <v>ticker</v>
      </c>
      <c r="B2" t="str">
        <f>Input_Raw!B2</f>
        <v>NASDAQ:MSFT</v>
      </c>
      <c r="D2">
        <v>990</v>
      </c>
      <c r="E2">
        <f>D2+1</f>
        <v>991</v>
      </c>
      <c r="F2">
        <f>E2+1</f>
        <v>992</v>
      </c>
      <c r="G2">
        <f t="shared" ref="G2:N2" si="0">F2+1</f>
        <v>993</v>
      </c>
      <c r="H2">
        <f t="shared" si="0"/>
        <v>994</v>
      </c>
      <c r="I2">
        <f t="shared" si="0"/>
        <v>995</v>
      </c>
      <c r="J2">
        <f t="shared" si="0"/>
        <v>996</v>
      </c>
      <c r="K2">
        <f t="shared" si="0"/>
        <v>997</v>
      </c>
      <c r="L2">
        <f t="shared" si="0"/>
        <v>998</v>
      </c>
      <c r="M2">
        <f t="shared" si="0"/>
        <v>999</v>
      </c>
      <c r="N2">
        <f t="shared" si="0"/>
        <v>1000</v>
      </c>
      <c r="O2">
        <v>2000</v>
      </c>
    </row>
    <row r="3" spans="1:15" x14ac:dyDescent="0.2">
      <c r="A3" t="str">
        <f>Input_Raw!A3</f>
        <v>date_year</v>
      </c>
      <c r="B3" t="str">
        <f>Input_Raw!B3</f>
        <v>2026</v>
      </c>
    </row>
    <row r="4" spans="1:15" x14ac:dyDescent="0.2">
      <c r="A4" t="str">
        <f>Input_Raw!A4</f>
        <v>date_month</v>
      </c>
      <c r="B4" t="str">
        <f>Input_Raw!B4</f>
        <v>8</v>
      </c>
    </row>
    <row r="5" spans="1:15" x14ac:dyDescent="0.2">
      <c r="A5" t="str">
        <f>Input_Raw!A5</f>
        <v>date_day</v>
      </c>
      <c r="B5" t="str">
        <f>Input_Raw!B5</f>
        <v>2</v>
      </c>
    </row>
    <row r="6" spans="1:15" x14ac:dyDescent="0.2">
      <c r="A6" s="42" t="s">
        <v>582</v>
      </c>
      <c r="B6" s="69">
        <f>DATE(B3,B4,B5)</f>
        <v>46236</v>
      </c>
    </row>
    <row r="7" spans="1:15" x14ac:dyDescent="0.2">
      <c r="A7" t="str">
        <f>Input_Raw!A6</f>
        <v>currency</v>
      </c>
      <c r="B7" t="str">
        <f>Input_Raw!B6</f>
        <v>USD</v>
      </c>
    </row>
    <row r="8" spans="1:15" x14ac:dyDescent="0.2">
      <c r="A8" s="42" t="s">
        <v>583</v>
      </c>
      <c r="B8" s="42" t="s">
        <v>576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24DCC-BC0C-4DF6-8B86-E4CA1CA45E97}">
  <dimension ref="A1:IV6"/>
  <sheetViews>
    <sheetView workbookViewId="0"/>
  </sheetViews>
  <sheetFormatPr defaultRowHeight="12.75" x14ac:dyDescent="0.2"/>
  <sheetData>
    <row r="1" spans="1:256" x14ac:dyDescent="0.2">
      <c r="A1">
        <v>1102</v>
      </c>
      <c r="B1" t="s">
        <v>848</v>
      </c>
      <c r="C1" t="s">
        <v>849</v>
      </c>
      <c r="D1" t="s">
        <v>850</v>
      </c>
      <c r="E1" t="s">
        <v>851</v>
      </c>
      <c r="F1" t="s">
        <v>852</v>
      </c>
      <c r="G1" t="s">
        <v>853</v>
      </c>
      <c r="H1" t="s">
        <v>854</v>
      </c>
      <c r="I1" t="s">
        <v>855</v>
      </c>
      <c r="J1" t="s">
        <v>856</v>
      </c>
      <c r="K1" t="s">
        <v>857</v>
      </c>
      <c r="L1" t="s">
        <v>858</v>
      </c>
      <c r="M1" t="s">
        <v>859</v>
      </c>
      <c r="N1" t="s">
        <v>860</v>
      </c>
      <c r="O1" t="s">
        <v>861</v>
      </c>
      <c r="P1" t="s">
        <v>862</v>
      </c>
      <c r="Q1" t="s">
        <v>863</v>
      </c>
      <c r="R1" t="s">
        <v>864</v>
      </c>
      <c r="S1" t="s">
        <v>865</v>
      </c>
      <c r="T1" t="s">
        <v>866</v>
      </c>
      <c r="U1" t="s">
        <v>867</v>
      </c>
      <c r="V1" t="s">
        <v>868</v>
      </c>
      <c r="W1" t="s">
        <v>869</v>
      </c>
      <c r="X1" t="s">
        <v>870</v>
      </c>
      <c r="Y1" t="s">
        <v>871</v>
      </c>
      <c r="Z1" t="s">
        <v>872</v>
      </c>
      <c r="AA1" t="s">
        <v>873</v>
      </c>
      <c r="AB1" t="s">
        <v>874</v>
      </c>
      <c r="AC1" t="s">
        <v>875</v>
      </c>
      <c r="AD1" t="s">
        <v>876</v>
      </c>
      <c r="AE1" t="s">
        <v>877</v>
      </c>
      <c r="AF1" t="s">
        <v>878</v>
      </c>
      <c r="AG1" t="s">
        <v>879</v>
      </c>
      <c r="AH1" t="s">
        <v>880</v>
      </c>
      <c r="AI1" t="s">
        <v>881</v>
      </c>
      <c r="AJ1" t="s">
        <v>882</v>
      </c>
      <c r="AK1" t="s">
        <v>883</v>
      </c>
      <c r="AL1" t="s">
        <v>884</v>
      </c>
      <c r="AM1" t="s">
        <v>885</v>
      </c>
      <c r="AN1" t="s">
        <v>886</v>
      </c>
      <c r="AO1" t="s">
        <v>887</v>
      </c>
      <c r="AP1" t="s">
        <v>888</v>
      </c>
      <c r="AQ1" t="s">
        <v>889</v>
      </c>
      <c r="AR1" t="s">
        <v>890</v>
      </c>
      <c r="AS1" t="s">
        <v>891</v>
      </c>
      <c r="AT1" t="s">
        <v>892</v>
      </c>
      <c r="AU1" t="s">
        <v>893</v>
      </c>
      <c r="AV1" t="s">
        <v>894</v>
      </c>
      <c r="AW1" t="s">
        <v>895</v>
      </c>
      <c r="AX1" t="s">
        <v>896</v>
      </c>
      <c r="AY1" t="s">
        <v>897</v>
      </c>
      <c r="AZ1" t="s">
        <v>898</v>
      </c>
      <c r="BA1" t="s">
        <v>899</v>
      </c>
      <c r="BB1" t="s">
        <v>900</v>
      </c>
      <c r="BC1" t="s">
        <v>901</v>
      </c>
      <c r="BD1" t="s">
        <v>902</v>
      </c>
      <c r="BE1" t="s">
        <v>903</v>
      </c>
      <c r="BF1" t="s">
        <v>904</v>
      </c>
      <c r="BG1" t="s">
        <v>905</v>
      </c>
      <c r="BH1" t="s">
        <v>906</v>
      </c>
      <c r="BI1" t="s">
        <v>907</v>
      </c>
      <c r="BJ1" t="s">
        <v>908</v>
      </c>
      <c r="BK1" t="s">
        <v>909</v>
      </c>
      <c r="BL1" t="s">
        <v>910</v>
      </c>
      <c r="BM1" t="s">
        <v>911</v>
      </c>
      <c r="BN1" t="s">
        <v>912</v>
      </c>
      <c r="BO1" t="s">
        <v>913</v>
      </c>
      <c r="BP1" t="s">
        <v>914</v>
      </c>
      <c r="BQ1" t="s">
        <v>915</v>
      </c>
      <c r="BR1" t="s">
        <v>916</v>
      </c>
      <c r="BS1" t="s">
        <v>917</v>
      </c>
      <c r="BT1" t="s">
        <v>918</v>
      </c>
      <c r="BU1" t="s">
        <v>919</v>
      </c>
      <c r="BV1" t="s">
        <v>920</v>
      </c>
      <c r="BW1" t="s">
        <v>921</v>
      </c>
      <c r="BX1" t="s">
        <v>922</v>
      </c>
      <c r="BY1" t="s">
        <v>923</v>
      </c>
      <c r="BZ1" t="s">
        <v>924</v>
      </c>
      <c r="CA1" t="s">
        <v>925</v>
      </c>
      <c r="CB1" t="s">
        <v>926</v>
      </c>
      <c r="CC1" t="s">
        <v>927</v>
      </c>
      <c r="CD1" t="s">
        <v>928</v>
      </c>
      <c r="CE1" t="s">
        <v>929</v>
      </c>
      <c r="CF1" t="s">
        <v>930</v>
      </c>
      <c r="CG1" t="s">
        <v>931</v>
      </c>
      <c r="CH1" t="s">
        <v>932</v>
      </c>
      <c r="CI1" t="s">
        <v>933</v>
      </c>
      <c r="CJ1" t="s">
        <v>934</v>
      </c>
      <c r="CK1" t="s">
        <v>935</v>
      </c>
      <c r="CL1" t="s">
        <v>936</v>
      </c>
      <c r="CM1" t="s">
        <v>937</v>
      </c>
      <c r="CN1" t="s">
        <v>938</v>
      </c>
      <c r="CO1" t="s">
        <v>939</v>
      </c>
      <c r="CP1" t="s">
        <v>940</v>
      </c>
      <c r="CQ1" t="s">
        <v>941</v>
      </c>
      <c r="CR1" t="s">
        <v>942</v>
      </c>
      <c r="CS1" t="s">
        <v>943</v>
      </c>
      <c r="CT1" t="s">
        <v>944</v>
      </c>
      <c r="CU1" t="s">
        <v>945</v>
      </c>
      <c r="CV1" t="s">
        <v>946</v>
      </c>
      <c r="CW1" t="s">
        <v>947</v>
      </c>
      <c r="CX1" t="s">
        <v>948</v>
      </c>
      <c r="CY1" t="s">
        <v>949</v>
      </c>
      <c r="CZ1" t="s">
        <v>950</v>
      </c>
      <c r="DA1" t="s">
        <v>951</v>
      </c>
      <c r="DB1" t="s">
        <v>952</v>
      </c>
      <c r="DC1" t="s">
        <v>953</v>
      </c>
      <c r="DD1" t="s">
        <v>954</v>
      </c>
      <c r="DE1" t="s">
        <v>955</v>
      </c>
      <c r="DF1" t="s">
        <v>956</v>
      </c>
      <c r="DG1" t="s">
        <v>957</v>
      </c>
      <c r="DH1" t="s">
        <v>958</v>
      </c>
      <c r="DI1" t="s">
        <v>959</v>
      </c>
      <c r="DJ1" t="s">
        <v>960</v>
      </c>
      <c r="DK1" t="s">
        <v>961</v>
      </c>
      <c r="DL1" t="s">
        <v>962</v>
      </c>
      <c r="DM1" t="s">
        <v>963</v>
      </c>
      <c r="DN1" t="s">
        <v>964</v>
      </c>
      <c r="DO1" t="s">
        <v>965</v>
      </c>
      <c r="DP1" t="s">
        <v>966</v>
      </c>
      <c r="DQ1" t="s">
        <v>967</v>
      </c>
      <c r="DR1" t="s">
        <v>968</v>
      </c>
      <c r="DS1" t="s">
        <v>969</v>
      </c>
      <c r="DT1" t="s">
        <v>970</v>
      </c>
      <c r="DU1" t="s">
        <v>971</v>
      </c>
      <c r="DV1" t="s">
        <v>972</v>
      </c>
      <c r="DW1" t="s">
        <v>973</v>
      </c>
      <c r="DX1" t="s">
        <v>974</v>
      </c>
      <c r="DY1" t="s">
        <v>975</v>
      </c>
      <c r="DZ1" t="s">
        <v>976</v>
      </c>
      <c r="EA1" t="s">
        <v>977</v>
      </c>
      <c r="EB1" t="s">
        <v>978</v>
      </c>
      <c r="EC1" t="s">
        <v>979</v>
      </c>
      <c r="ED1" t="s">
        <v>980</v>
      </c>
      <c r="EE1" t="s">
        <v>981</v>
      </c>
      <c r="EF1" t="s">
        <v>982</v>
      </c>
      <c r="EG1" t="s">
        <v>983</v>
      </c>
      <c r="EH1" t="s">
        <v>984</v>
      </c>
      <c r="EI1" t="s">
        <v>985</v>
      </c>
      <c r="EJ1" t="s">
        <v>986</v>
      </c>
      <c r="EK1" t="s">
        <v>987</v>
      </c>
      <c r="EL1" t="s">
        <v>988</v>
      </c>
      <c r="EM1" t="s">
        <v>989</v>
      </c>
      <c r="EN1" t="s">
        <v>990</v>
      </c>
      <c r="EO1" t="s">
        <v>991</v>
      </c>
      <c r="EP1" t="s">
        <v>992</v>
      </c>
      <c r="EQ1" t="s">
        <v>993</v>
      </c>
      <c r="ER1" t="s">
        <v>994</v>
      </c>
      <c r="ES1" t="s">
        <v>995</v>
      </c>
      <c r="ET1" t="s">
        <v>996</v>
      </c>
      <c r="EU1" t="s">
        <v>997</v>
      </c>
      <c r="EV1" t="s">
        <v>998</v>
      </c>
      <c r="EW1" t="s">
        <v>999</v>
      </c>
      <c r="EX1" t="s">
        <v>1000</v>
      </c>
      <c r="EY1" t="s">
        <v>1001</v>
      </c>
      <c r="EZ1" t="s">
        <v>1002</v>
      </c>
      <c r="FA1" t="s">
        <v>1003</v>
      </c>
      <c r="FB1" t="s">
        <v>1004</v>
      </c>
      <c r="FC1" t="s">
        <v>1005</v>
      </c>
      <c r="FD1" t="s">
        <v>1006</v>
      </c>
      <c r="FE1" t="s">
        <v>1007</v>
      </c>
      <c r="FF1" t="s">
        <v>1008</v>
      </c>
      <c r="FG1" t="s">
        <v>1009</v>
      </c>
      <c r="FH1" t="s">
        <v>1010</v>
      </c>
      <c r="FI1" t="s">
        <v>1011</v>
      </c>
      <c r="FJ1" t="s">
        <v>1012</v>
      </c>
      <c r="FK1" t="s">
        <v>1013</v>
      </c>
      <c r="FL1" t="s">
        <v>1014</v>
      </c>
      <c r="FM1" t="s">
        <v>1015</v>
      </c>
      <c r="FN1" t="s">
        <v>1016</v>
      </c>
      <c r="FO1" t="s">
        <v>1017</v>
      </c>
      <c r="FP1" t="s">
        <v>1018</v>
      </c>
      <c r="FQ1" t="s">
        <v>1019</v>
      </c>
      <c r="FR1" t="s">
        <v>1020</v>
      </c>
      <c r="FS1" t="s">
        <v>1021</v>
      </c>
      <c r="FT1" t="s">
        <v>1022</v>
      </c>
      <c r="FU1" t="s">
        <v>1023</v>
      </c>
      <c r="FV1" t="s">
        <v>1024</v>
      </c>
      <c r="FW1" t="s">
        <v>1025</v>
      </c>
      <c r="FX1" t="s">
        <v>1026</v>
      </c>
      <c r="FY1" t="s">
        <v>1027</v>
      </c>
      <c r="FZ1" t="s">
        <v>1028</v>
      </c>
      <c r="GA1" t="s">
        <v>1029</v>
      </c>
      <c r="GB1" t="s">
        <v>1030</v>
      </c>
      <c r="GC1" t="s">
        <v>1031</v>
      </c>
      <c r="GD1" t="s">
        <v>1032</v>
      </c>
      <c r="GE1" t="s">
        <v>1033</v>
      </c>
      <c r="GF1" t="s">
        <v>1034</v>
      </c>
      <c r="GG1" t="s">
        <v>1035</v>
      </c>
      <c r="GH1" t="s">
        <v>1036</v>
      </c>
      <c r="GI1" t="s">
        <v>1037</v>
      </c>
      <c r="GJ1" t="s">
        <v>1038</v>
      </c>
      <c r="GK1" t="s">
        <v>1039</v>
      </c>
      <c r="GL1" t="s">
        <v>1040</v>
      </c>
      <c r="GM1" t="s">
        <v>1041</v>
      </c>
      <c r="GN1" t="s">
        <v>1042</v>
      </c>
      <c r="GO1" t="s">
        <v>1043</v>
      </c>
      <c r="GP1" t="s">
        <v>1044</v>
      </c>
      <c r="GQ1" t="s">
        <v>1045</v>
      </c>
      <c r="GR1" t="s">
        <v>1046</v>
      </c>
      <c r="GS1" t="s">
        <v>1047</v>
      </c>
      <c r="GT1" t="s">
        <v>1048</v>
      </c>
      <c r="GU1" t="s">
        <v>1049</v>
      </c>
      <c r="GV1" t="s">
        <v>1050</v>
      </c>
      <c r="GW1" t="s">
        <v>1051</v>
      </c>
      <c r="GX1" t="s">
        <v>1052</v>
      </c>
      <c r="GY1" t="s">
        <v>1053</v>
      </c>
      <c r="GZ1" t="s">
        <v>1054</v>
      </c>
      <c r="HA1" t="s">
        <v>1055</v>
      </c>
      <c r="HB1" t="s">
        <v>1056</v>
      </c>
      <c r="HC1" t="s">
        <v>1057</v>
      </c>
      <c r="HD1" t="s">
        <v>1058</v>
      </c>
      <c r="HE1" t="s">
        <v>1059</v>
      </c>
      <c r="HF1" t="s">
        <v>1060</v>
      </c>
      <c r="HG1" t="s">
        <v>1061</v>
      </c>
      <c r="HH1" t="s">
        <v>1062</v>
      </c>
      <c r="HI1" t="s">
        <v>1063</v>
      </c>
      <c r="HJ1" t="s">
        <v>1064</v>
      </c>
      <c r="HK1" t="s">
        <v>1065</v>
      </c>
      <c r="HL1" t="s">
        <v>1066</v>
      </c>
      <c r="HM1" t="s">
        <v>1067</v>
      </c>
      <c r="HN1" t="s">
        <v>1068</v>
      </c>
      <c r="HO1" t="s">
        <v>1069</v>
      </c>
      <c r="HP1" t="s">
        <v>1070</v>
      </c>
      <c r="HQ1" t="s">
        <v>1071</v>
      </c>
      <c r="HR1" t="s">
        <v>1072</v>
      </c>
      <c r="HS1" t="s">
        <v>1073</v>
      </c>
      <c r="HT1" t="s">
        <v>1074</v>
      </c>
      <c r="HU1" t="s">
        <v>1075</v>
      </c>
      <c r="HV1" t="s">
        <v>1076</v>
      </c>
      <c r="HW1" t="s">
        <v>1077</v>
      </c>
      <c r="HX1" t="s">
        <v>1078</v>
      </c>
      <c r="HY1" t="s">
        <v>1079</v>
      </c>
      <c r="HZ1" t="s">
        <v>1080</v>
      </c>
      <c r="IA1" t="s">
        <v>1081</v>
      </c>
      <c r="IB1" t="s">
        <v>1082</v>
      </c>
      <c r="IC1" t="s">
        <v>1083</v>
      </c>
      <c r="ID1" t="s">
        <v>1084</v>
      </c>
      <c r="IE1" t="s">
        <v>1085</v>
      </c>
      <c r="IF1" t="s">
        <v>1086</v>
      </c>
      <c r="IG1" t="s">
        <v>1087</v>
      </c>
      <c r="IH1" t="s">
        <v>1088</v>
      </c>
      <c r="II1" t="s">
        <v>1089</v>
      </c>
      <c r="IJ1" t="s">
        <v>1090</v>
      </c>
      <c r="IK1" t="s">
        <v>1091</v>
      </c>
      <c r="IL1" t="s">
        <v>1092</v>
      </c>
      <c r="IM1" t="s">
        <v>1093</v>
      </c>
      <c r="IN1" t="s">
        <v>1094</v>
      </c>
      <c r="IO1" t="s">
        <v>1095</v>
      </c>
      <c r="IP1" t="s">
        <v>1096</v>
      </c>
      <c r="IQ1" t="s">
        <v>1097</v>
      </c>
      <c r="IR1" t="s">
        <v>1098</v>
      </c>
      <c r="IS1" t="s">
        <v>1099</v>
      </c>
      <c r="IT1" t="s">
        <v>1100</v>
      </c>
      <c r="IU1" t="s">
        <v>1101</v>
      </c>
      <c r="IV1" t="s">
        <v>1102</v>
      </c>
    </row>
    <row r="2" spans="1:256" x14ac:dyDescent="0.2">
      <c r="A2" t="s">
        <v>1103</v>
      </c>
      <c r="B2" t="s">
        <v>1104</v>
      </c>
      <c r="C2" t="s">
        <v>1105</v>
      </c>
      <c r="D2" t="s">
        <v>1106</v>
      </c>
      <c r="E2" t="s">
        <v>1107</v>
      </c>
      <c r="F2" t="s">
        <v>1108</v>
      </c>
      <c r="G2" t="s">
        <v>1109</v>
      </c>
      <c r="H2" t="s">
        <v>1110</v>
      </c>
      <c r="I2" t="s">
        <v>1111</v>
      </c>
      <c r="J2" t="s">
        <v>1112</v>
      </c>
      <c r="K2" t="s">
        <v>1113</v>
      </c>
      <c r="L2" t="s">
        <v>1114</v>
      </c>
      <c r="M2" t="s">
        <v>1115</v>
      </c>
      <c r="N2" t="s">
        <v>1116</v>
      </c>
      <c r="O2" t="s">
        <v>1117</v>
      </c>
      <c r="P2" t="s">
        <v>1118</v>
      </c>
      <c r="Q2" t="s">
        <v>1119</v>
      </c>
      <c r="R2" t="s">
        <v>1120</v>
      </c>
      <c r="S2" t="s">
        <v>1121</v>
      </c>
      <c r="T2" t="s">
        <v>1122</v>
      </c>
      <c r="U2" t="s">
        <v>1123</v>
      </c>
      <c r="V2" t="s">
        <v>1124</v>
      </c>
      <c r="W2" t="s">
        <v>1125</v>
      </c>
      <c r="X2" t="s">
        <v>1126</v>
      </c>
      <c r="Y2" t="s">
        <v>1127</v>
      </c>
      <c r="Z2" t="s">
        <v>1128</v>
      </c>
      <c r="AA2" t="s">
        <v>1129</v>
      </c>
      <c r="AB2" t="s">
        <v>1130</v>
      </c>
      <c r="AC2" t="s">
        <v>1131</v>
      </c>
      <c r="AD2" t="s">
        <v>1132</v>
      </c>
      <c r="AE2" t="s">
        <v>1133</v>
      </c>
      <c r="AF2" t="s">
        <v>1134</v>
      </c>
      <c r="AG2" t="s">
        <v>1135</v>
      </c>
      <c r="AH2" t="s">
        <v>1136</v>
      </c>
      <c r="AI2" t="s">
        <v>1137</v>
      </c>
      <c r="AJ2" t="s">
        <v>1138</v>
      </c>
      <c r="AK2" t="s">
        <v>1139</v>
      </c>
      <c r="AL2" t="s">
        <v>1140</v>
      </c>
      <c r="AM2" t="s">
        <v>1141</v>
      </c>
      <c r="AN2" t="s">
        <v>1142</v>
      </c>
      <c r="AO2" t="s">
        <v>1143</v>
      </c>
      <c r="AP2" t="s">
        <v>1144</v>
      </c>
      <c r="AQ2" t="s">
        <v>1145</v>
      </c>
      <c r="AR2" t="s">
        <v>1146</v>
      </c>
      <c r="AS2" t="s">
        <v>1147</v>
      </c>
      <c r="AT2" t="s">
        <v>1148</v>
      </c>
      <c r="AU2" t="s">
        <v>1149</v>
      </c>
      <c r="AV2" t="s">
        <v>1150</v>
      </c>
      <c r="AW2" t="s">
        <v>1151</v>
      </c>
      <c r="AX2" t="s">
        <v>1152</v>
      </c>
      <c r="AY2" t="s">
        <v>1153</v>
      </c>
      <c r="AZ2" t="s">
        <v>1154</v>
      </c>
      <c r="BA2" t="s">
        <v>1155</v>
      </c>
      <c r="BB2" t="s">
        <v>1156</v>
      </c>
      <c r="BC2" t="s">
        <v>1157</v>
      </c>
      <c r="BD2" t="s">
        <v>1158</v>
      </c>
      <c r="BE2" t="s">
        <v>1159</v>
      </c>
      <c r="BF2" t="s">
        <v>1160</v>
      </c>
      <c r="BG2" t="s">
        <v>1161</v>
      </c>
      <c r="BH2" t="s">
        <v>1162</v>
      </c>
      <c r="BI2" t="s">
        <v>1163</v>
      </c>
      <c r="BJ2" t="s">
        <v>1164</v>
      </c>
      <c r="BK2" t="s">
        <v>1165</v>
      </c>
      <c r="BL2" t="s">
        <v>1166</v>
      </c>
      <c r="BM2" t="s">
        <v>1167</v>
      </c>
      <c r="BN2" t="s">
        <v>1168</v>
      </c>
      <c r="BO2" t="s">
        <v>1169</v>
      </c>
      <c r="BP2" t="s">
        <v>1170</v>
      </c>
      <c r="BQ2" t="s">
        <v>1171</v>
      </c>
      <c r="BR2" t="s">
        <v>1172</v>
      </c>
      <c r="BS2" t="s">
        <v>1173</v>
      </c>
      <c r="BT2" t="s">
        <v>1174</v>
      </c>
      <c r="BU2" t="s">
        <v>1175</v>
      </c>
      <c r="BV2" t="s">
        <v>1176</v>
      </c>
      <c r="BW2" t="s">
        <v>1177</v>
      </c>
      <c r="BX2" t="s">
        <v>1178</v>
      </c>
      <c r="BY2" t="s">
        <v>1179</v>
      </c>
      <c r="BZ2" t="s">
        <v>1180</v>
      </c>
      <c r="CA2" t="s">
        <v>1181</v>
      </c>
      <c r="CB2" t="s">
        <v>1182</v>
      </c>
      <c r="CC2" t="s">
        <v>1183</v>
      </c>
      <c r="CD2" t="s">
        <v>1184</v>
      </c>
      <c r="CE2" t="s">
        <v>1185</v>
      </c>
      <c r="CF2" t="s">
        <v>1186</v>
      </c>
      <c r="CG2" t="s">
        <v>1187</v>
      </c>
      <c r="CH2" t="s">
        <v>1188</v>
      </c>
      <c r="CI2" t="s">
        <v>1189</v>
      </c>
      <c r="CJ2" t="s">
        <v>1190</v>
      </c>
      <c r="CK2" t="s">
        <v>1191</v>
      </c>
      <c r="CL2" t="s">
        <v>1192</v>
      </c>
      <c r="CM2" t="s">
        <v>1193</v>
      </c>
      <c r="CN2" t="s">
        <v>1194</v>
      </c>
      <c r="CO2" t="s">
        <v>1195</v>
      </c>
      <c r="CP2" t="s">
        <v>1196</v>
      </c>
      <c r="CQ2" t="s">
        <v>1197</v>
      </c>
      <c r="CR2" t="s">
        <v>1198</v>
      </c>
      <c r="CS2" t="s">
        <v>1199</v>
      </c>
      <c r="CT2" t="s">
        <v>1200</v>
      </c>
      <c r="CU2" t="s">
        <v>1201</v>
      </c>
      <c r="CV2" t="s">
        <v>1202</v>
      </c>
      <c r="CW2" t="s">
        <v>1203</v>
      </c>
      <c r="CX2" t="s">
        <v>1204</v>
      </c>
      <c r="CY2" t="s">
        <v>1205</v>
      </c>
      <c r="CZ2" t="s">
        <v>1206</v>
      </c>
      <c r="DA2" t="s">
        <v>1207</v>
      </c>
      <c r="DB2" t="s">
        <v>1208</v>
      </c>
      <c r="DC2" t="s">
        <v>1209</v>
      </c>
      <c r="DD2" t="s">
        <v>1210</v>
      </c>
      <c r="DE2" t="s">
        <v>1211</v>
      </c>
      <c r="DF2" t="s">
        <v>1212</v>
      </c>
      <c r="DG2" t="s">
        <v>1213</v>
      </c>
      <c r="DH2" t="s">
        <v>1214</v>
      </c>
      <c r="DI2" t="s">
        <v>1215</v>
      </c>
      <c r="DJ2" t="s">
        <v>1216</v>
      </c>
      <c r="DK2" t="s">
        <v>1217</v>
      </c>
      <c r="DL2" t="s">
        <v>1218</v>
      </c>
      <c r="DM2" t="s">
        <v>1219</v>
      </c>
      <c r="DN2" t="s">
        <v>1220</v>
      </c>
      <c r="DO2" t="s">
        <v>1221</v>
      </c>
      <c r="DP2" t="s">
        <v>1222</v>
      </c>
      <c r="DQ2" t="s">
        <v>1223</v>
      </c>
      <c r="DR2" t="s">
        <v>1224</v>
      </c>
      <c r="DS2" t="s">
        <v>1225</v>
      </c>
      <c r="DT2" t="s">
        <v>1226</v>
      </c>
      <c r="DU2" t="s">
        <v>1227</v>
      </c>
      <c r="DV2" t="s">
        <v>1228</v>
      </c>
      <c r="DW2" t="s">
        <v>1229</v>
      </c>
      <c r="DX2" t="s">
        <v>1230</v>
      </c>
      <c r="DY2" t="s">
        <v>1231</v>
      </c>
      <c r="DZ2" t="s">
        <v>1232</v>
      </c>
      <c r="EA2" t="s">
        <v>1233</v>
      </c>
      <c r="EB2" t="s">
        <v>1234</v>
      </c>
      <c r="EC2" t="s">
        <v>1235</v>
      </c>
      <c r="ED2" t="s">
        <v>1236</v>
      </c>
      <c r="EE2" t="s">
        <v>1237</v>
      </c>
      <c r="EF2" t="s">
        <v>1238</v>
      </c>
      <c r="EG2" t="s">
        <v>1239</v>
      </c>
      <c r="EH2" t="s">
        <v>1240</v>
      </c>
      <c r="EI2" t="s">
        <v>1241</v>
      </c>
      <c r="EJ2" t="s">
        <v>1242</v>
      </c>
      <c r="EK2" t="s">
        <v>1243</v>
      </c>
      <c r="EL2" t="s">
        <v>1244</v>
      </c>
      <c r="EM2" t="s">
        <v>1245</v>
      </c>
      <c r="EN2" t="s">
        <v>1246</v>
      </c>
      <c r="EO2" t="s">
        <v>1247</v>
      </c>
      <c r="EP2" t="s">
        <v>1248</v>
      </c>
      <c r="EQ2" t="s">
        <v>1249</v>
      </c>
      <c r="ER2" t="s">
        <v>1250</v>
      </c>
      <c r="ES2" t="s">
        <v>1251</v>
      </c>
      <c r="ET2" t="s">
        <v>1252</v>
      </c>
      <c r="EU2" t="s">
        <v>1253</v>
      </c>
      <c r="EV2" t="s">
        <v>1254</v>
      </c>
      <c r="EW2" t="s">
        <v>1255</v>
      </c>
      <c r="EX2" t="s">
        <v>1256</v>
      </c>
      <c r="EY2" t="s">
        <v>1257</v>
      </c>
      <c r="EZ2" t="s">
        <v>1258</v>
      </c>
      <c r="FA2" t="s">
        <v>1259</v>
      </c>
      <c r="FB2" t="s">
        <v>1260</v>
      </c>
      <c r="FC2" t="s">
        <v>1261</v>
      </c>
      <c r="FD2" t="s">
        <v>1262</v>
      </c>
      <c r="FE2" t="s">
        <v>1263</v>
      </c>
      <c r="FF2" t="s">
        <v>1264</v>
      </c>
      <c r="FG2" t="s">
        <v>1265</v>
      </c>
      <c r="FH2" t="s">
        <v>1266</v>
      </c>
      <c r="FI2" t="s">
        <v>1267</v>
      </c>
      <c r="FJ2" t="s">
        <v>1268</v>
      </c>
      <c r="FK2" t="s">
        <v>1269</v>
      </c>
      <c r="FL2" t="s">
        <v>1270</v>
      </c>
      <c r="FM2" t="s">
        <v>1271</v>
      </c>
      <c r="FN2" t="s">
        <v>1272</v>
      </c>
      <c r="FO2" t="s">
        <v>1273</v>
      </c>
      <c r="FP2" t="s">
        <v>1274</v>
      </c>
      <c r="FQ2" t="s">
        <v>1275</v>
      </c>
      <c r="FR2" t="s">
        <v>1276</v>
      </c>
      <c r="FS2" t="s">
        <v>1277</v>
      </c>
      <c r="FT2" t="s">
        <v>1278</v>
      </c>
      <c r="FU2" t="s">
        <v>1279</v>
      </c>
      <c r="FV2" t="s">
        <v>1280</v>
      </c>
      <c r="FW2" t="s">
        <v>1281</v>
      </c>
      <c r="FX2" t="s">
        <v>1282</v>
      </c>
      <c r="FY2" t="s">
        <v>1283</v>
      </c>
      <c r="FZ2" t="s">
        <v>1284</v>
      </c>
      <c r="GA2" t="s">
        <v>1285</v>
      </c>
      <c r="GB2" t="s">
        <v>1286</v>
      </c>
      <c r="GC2" t="s">
        <v>1287</v>
      </c>
      <c r="GD2" t="s">
        <v>1288</v>
      </c>
      <c r="GE2" t="s">
        <v>1289</v>
      </c>
      <c r="GF2" t="s">
        <v>1290</v>
      </c>
      <c r="GG2" t="s">
        <v>1291</v>
      </c>
      <c r="GH2" t="s">
        <v>1292</v>
      </c>
      <c r="GI2" t="s">
        <v>1293</v>
      </c>
      <c r="GJ2" t="s">
        <v>1294</v>
      </c>
      <c r="GK2" t="s">
        <v>1295</v>
      </c>
      <c r="GL2" t="s">
        <v>1296</v>
      </c>
      <c r="GM2" t="s">
        <v>1297</v>
      </c>
      <c r="GN2" t="s">
        <v>1298</v>
      </c>
      <c r="GO2" t="s">
        <v>1299</v>
      </c>
      <c r="GP2" t="s">
        <v>1300</v>
      </c>
      <c r="GQ2" t="s">
        <v>1301</v>
      </c>
      <c r="GR2" t="s">
        <v>1302</v>
      </c>
      <c r="GS2" t="s">
        <v>1303</v>
      </c>
      <c r="GT2" t="s">
        <v>1304</v>
      </c>
      <c r="GU2" t="s">
        <v>1305</v>
      </c>
      <c r="GV2" t="s">
        <v>1306</v>
      </c>
      <c r="GW2" t="s">
        <v>1307</v>
      </c>
      <c r="GX2" t="s">
        <v>1308</v>
      </c>
      <c r="GY2" t="s">
        <v>1309</v>
      </c>
      <c r="GZ2" t="s">
        <v>1310</v>
      </c>
      <c r="HA2" t="s">
        <v>1311</v>
      </c>
      <c r="HB2" t="s">
        <v>1312</v>
      </c>
      <c r="HC2" t="s">
        <v>1313</v>
      </c>
      <c r="HD2" t="s">
        <v>1314</v>
      </c>
      <c r="HE2" t="s">
        <v>1315</v>
      </c>
      <c r="HF2" t="s">
        <v>1316</v>
      </c>
      <c r="HG2" t="s">
        <v>1317</v>
      </c>
      <c r="HH2" t="s">
        <v>1318</v>
      </c>
      <c r="HI2" t="s">
        <v>1319</v>
      </c>
      <c r="HJ2" t="s">
        <v>1320</v>
      </c>
      <c r="HK2" t="s">
        <v>1321</v>
      </c>
      <c r="HL2" t="s">
        <v>1322</v>
      </c>
      <c r="HM2" t="s">
        <v>1323</v>
      </c>
      <c r="HN2" t="s">
        <v>1324</v>
      </c>
      <c r="HO2" t="s">
        <v>1325</v>
      </c>
      <c r="HP2" t="s">
        <v>1326</v>
      </c>
      <c r="HQ2" t="s">
        <v>1327</v>
      </c>
      <c r="HR2" t="s">
        <v>1328</v>
      </c>
      <c r="HS2" t="s">
        <v>1329</v>
      </c>
      <c r="HT2" t="s">
        <v>1330</v>
      </c>
      <c r="HU2" t="s">
        <v>1331</v>
      </c>
      <c r="HV2" t="s">
        <v>1332</v>
      </c>
      <c r="HW2" t="s">
        <v>1333</v>
      </c>
      <c r="HX2" t="s">
        <v>1334</v>
      </c>
      <c r="HY2" t="s">
        <v>1335</v>
      </c>
      <c r="HZ2" t="s">
        <v>1336</v>
      </c>
      <c r="IA2" t="s">
        <v>1337</v>
      </c>
      <c r="IB2" t="s">
        <v>1338</v>
      </c>
      <c r="IC2" t="s">
        <v>1339</v>
      </c>
      <c r="ID2" t="s">
        <v>1340</v>
      </c>
      <c r="IE2" t="s">
        <v>1341</v>
      </c>
      <c r="IF2" t="s">
        <v>1342</v>
      </c>
      <c r="IG2" t="s">
        <v>1343</v>
      </c>
      <c r="IH2" t="s">
        <v>1344</v>
      </c>
      <c r="II2" t="s">
        <v>1345</v>
      </c>
      <c r="IJ2" t="s">
        <v>1346</v>
      </c>
      <c r="IK2" t="s">
        <v>1347</v>
      </c>
      <c r="IL2" t="s">
        <v>1348</v>
      </c>
      <c r="IM2" t="s">
        <v>1349</v>
      </c>
      <c r="IN2" t="s">
        <v>1350</v>
      </c>
      <c r="IO2" t="s">
        <v>1351</v>
      </c>
      <c r="IP2" t="s">
        <v>1352</v>
      </c>
      <c r="IQ2" t="s">
        <v>1353</v>
      </c>
      <c r="IR2" t="s">
        <v>1354</v>
      </c>
      <c r="IS2" t="s">
        <v>1355</v>
      </c>
      <c r="IT2" t="s">
        <v>1356</v>
      </c>
      <c r="IU2" t="s">
        <v>1357</v>
      </c>
      <c r="IV2" t="s">
        <v>1358</v>
      </c>
    </row>
    <row r="3" spans="1:256" x14ac:dyDescent="0.2">
      <c r="A3" t="s">
        <v>1359</v>
      </c>
      <c r="B3" t="s">
        <v>1360</v>
      </c>
      <c r="C3" t="s">
        <v>1361</v>
      </c>
      <c r="D3" t="s">
        <v>1362</v>
      </c>
      <c r="E3" t="s">
        <v>1363</v>
      </c>
      <c r="F3" t="s">
        <v>1364</v>
      </c>
      <c r="G3" t="s">
        <v>1365</v>
      </c>
      <c r="H3" t="s">
        <v>1366</v>
      </c>
      <c r="I3" t="s">
        <v>1367</v>
      </c>
      <c r="J3" t="s">
        <v>1368</v>
      </c>
      <c r="K3" t="s">
        <v>1369</v>
      </c>
      <c r="L3" t="s">
        <v>1370</v>
      </c>
      <c r="M3" t="s">
        <v>1371</v>
      </c>
      <c r="N3" t="s">
        <v>1372</v>
      </c>
      <c r="O3" t="s">
        <v>1373</v>
      </c>
      <c r="P3" t="s">
        <v>1374</v>
      </c>
      <c r="Q3" t="s">
        <v>1375</v>
      </c>
      <c r="R3" t="s">
        <v>1376</v>
      </c>
      <c r="S3" t="s">
        <v>1377</v>
      </c>
      <c r="T3" t="s">
        <v>1378</v>
      </c>
      <c r="U3" t="s">
        <v>1379</v>
      </c>
      <c r="V3" t="s">
        <v>1380</v>
      </c>
      <c r="W3" t="s">
        <v>1381</v>
      </c>
      <c r="X3" t="s">
        <v>1382</v>
      </c>
      <c r="Y3" t="s">
        <v>1383</v>
      </c>
      <c r="Z3" t="s">
        <v>1384</v>
      </c>
      <c r="AA3" t="s">
        <v>1385</v>
      </c>
      <c r="AB3" t="s">
        <v>1386</v>
      </c>
      <c r="AC3" t="s">
        <v>1387</v>
      </c>
      <c r="AD3" t="s">
        <v>1388</v>
      </c>
      <c r="AE3" t="s">
        <v>1389</v>
      </c>
      <c r="AF3" t="s">
        <v>1390</v>
      </c>
      <c r="AG3" t="s">
        <v>1391</v>
      </c>
      <c r="AH3" t="s">
        <v>1392</v>
      </c>
      <c r="AI3" t="s">
        <v>1393</v>
      </c>
      <c r="AJ3" t="s">
        <v>1394</v>
      </c>
      <c r="AK3" t="s">
        <v>1395</v>
      </c>
      <c r="AL3" t="s">
        <v>1396</v>
      </c>
      <c r="AM3" t="s">
        <v>1397</v>
      </c>
      <c r="AN3" t="s">
        <v>1398</v>
      </c>
      <c r="AO3" t="s">
        <v>1399</v>
      </c>
      <c r="AP3" t="s">
        <v>1400</v>
      </c>
      <c r="AQ3" t="s">
        <v>1401</v>
      </c>
      <c r="AR3" t="s">
        <v>1402</v>
      </c>
      <c r="AS3" t="s">
        <v>1403</v>
      </c>
      <c r="AT3" t="s">
        <v>1404</v>
      </c>
      <c r="AU3" t="s">
        <v>1405</v>
      </c>
      <c r="AV3" t="s">
        <v>1406</v>
      </c>
      <c r="AW3" t="s">
        <v>1407</v>
      </c>
      <c r="AX3" t="s">
        <v>1408</v>
      </c>
      <c r="AY3" t="s">
        <v>1409</v>
      </c>
      <c r="AZ3" t="s">
        <v>1410</v>
      </c>
      <c r="BA3" t="s">
        <v>1411</v>
      </c>
      <c r="BB3" t="s">
        <v>1412</v>
      </c>
      <c r="BC3" t="s">
        <v>1413</v>
      </c>
      <c r="BD3" t="s">
        <v>1414</v>
      </c>
      <c r="BE3" t="s">
        <v>1415</v>
      </c>
      <c r="BF3" t="s">
        <v>1416</v>
      </c>
      <c r="BG3" t="s">
        <v>1417</v>
      </c>
      <c r="BH3" t="s">
        <v>1418</v>
      </c>
      <c r="BI3" t="s">
        <v>1419</v>
      </c>
      <c r="BJ3" t="s">
        <v>1420</v>
      </c>
      <c r="BK3" t="s">
        <v>1421</v>
      </c>
      <c r="BL3" t="s">
        <v>1422</v>
      </c>
      <c r="BM3" t="s">
        <v>1423</v>
      </c>
      <c r="BN3" t="s">
        <v>1424</v>
      </c>
      <c r="BO3" t="s">
        <v>1425</v>
      </c>
      <c r="BP3" t="s">
        <v>1426</v>
      </c>
      <c r="BQ3" t="s">
        <v>1427</v>
      </c>
      <c r="BR3" t="s">
        <v>1428</v>
      </c>
      <c r="BS3" t="s">
        <v>1429</v>
      </c>
      <c r="BT3" t="s">
        <v>1430</v>
      </c>
      <c r="BU3" t="s">
        <v>1431</v>
      </c>
      <c r="BV3" t="s">
        <v>1432</v>
      </c>
      <c r="BW3" t="s">
        <v>1433</v>
      </c>
      <c r="BX3" t="s">
        <v>1434</v>
      </c>
      <c r="BY3" t="s">
        <v>1435</v>
      </c>
      <c r="BZ3" t="s">
        <v>1436</v>
      </c>
      <c r="CA3" t="s">
        <v>1437</v>
      </c>
      <c r="CB3" t="s">
        <v>1438</v>
      </c>
      <c r="CC3" t="s">
        <v>1439</v>
      </c>
      <c r="CD3" t="s">
        <v>1440</v>
      </c>
      <c r="CE3" t="s">
        <v>1441</v>
      </c>
      <c r="CF3" t="s">
        <v>1442</v>
      </c>
      <c r="CG3" t="s">
        <v>1443</v>
      </c>
      <c r="CH3" t="s">
        <v>1444</v>
      </c>
      <c r="CI3" t="s">
        <v>1445</v>
      </c>
      <c r="CJ3" t="s">
        <v>1446</v>
      </c>
      <c r="CK3" t="s">
        <v>1447</v>
      </c>
      <c r="CL3" t="s">
        <v>1448</v>
      </c>
      <c r="CM3" t="s">
        <v>1449</v>
      </c>
      <c r="CN3" t="s">
        <v>1450</v>
      </c>
      <c r="CO3" t="s">
        <v>1451</v>
      </c>
      <c r="CP3" t="s">
        <v>1452</v>
      </c>
      <c r="CQ3" t="s">
        <v>1453</v>
      </c>
      <c r="CR3" t="s">
        <v>1454</v>
      </c>
      <c r="CS3" t="s">
        <v>1455</v>
      </c>
      <c r="CT3" t="s">
        <v>1456</v>
      </c>
      <c r="CU3" t="s">
        <v>1457</v>
      </c>
      <c r="CV3" t="s">
        <v>1458</v>
      </c>
      <c r="CW3" t="s">
        <v>1459</v>
      </c>
      <c r="CX3" t="s">
        <v>1460</v>
      </c>
      <c r="CY3" t="s">
        <v>1461</v>
      </c>
      <c r="CZ3" t="s">
        <v>1462</v>
      </c>
      <c r="DA3" t="s">
        <v>1463</v>
      </c>
      <c r="DB3" t="s">
        <v>1464</v>
      </c>
      <c r="DC3" t="s">
        <v>1465</v>
      </c>
      <c r="DD3" t="s">
        <v>1466</v>
      </c>
      <c r="DE3" t="s">
        <v>1467</v>
      </c>
      <c r="DF3" t="s">
        <v>1468</v>
      </c>
      <c r="DG3" t="s">
        <v>1469</v>
      </c>
      <c r="DH3" t="s">
        <v>1470</v>
      </c>
      <c r="DI3" t="s">
        <v>1471</v>
      </c>
      <c r="DJ3" t="s">
        <v>1472</v>
      </c>
      <c r="DK3" t="s">
        <v>1473</v>
      </c>
      <c r="DL3" t="s">
        <v>1474</v>
      </c>
      <c r="DM3" t="s">
        <v>1475</v>
      </c>
      <c r="DN3" t="s">
        <v>1476</v>
      </c>
      <c r="DO3" t="s">
        <v>1477</v>
      </c>
      <c r="DP3" t="s">
        <v>1478</v>
      </c>
      <c r="DQ3" t="s">
        <v>1479</v>
      </c>
      <c r="DR3" t="s">
        <v>1480</v>
      </c>
      <c r="DS3" t="s">
        <v>1481</v>
      </c>
      <c r="DT3" t="s">
        <v>1482</v>
      </c>
      <c r="DU3" t="s">
        <v>1483</v>
      </c>
      <c r="DV3" t="s">
        <v>1484</v>
      </c>
      <c r="DW3" t="s">
        <v>1485</v>
      </c>
      <c r="DX3" t="s">
        <v>1486</v>
      </c>
      <c r="DY3" t="s">
        <v>1487</v>
      </c>
      <c r="DZ3" t="s">
        <v>1488</v>
      </c>
      <c r="EA3" t="s">
        <v>1489</v>
      </c>
      <c r="EB3" t="s">
        <v>1490</v>
      </c>
      <c r="EC3" t="s">
        <v>1491</v>
      </c>
      <c r="ED3" t="s">
        <v>1492</v>
      </c>
      <c r="EE3" t="s">
        <v>1493</v>
      </c>
      <c r="EF3" t="s">
        <v>1494</v>
      </c>
      <c r="EG3" t="s">
        <v>1495</v>
      </c>
      <c r="EH3" t="s">
        <v>1496</v>
      </c>
      <c r="EI3" t="s">
        <v>1497</v>
      </c>
      <c r="EJ3" t="s">
        <v>1498</v>
      </c>
      <c r="EK3" t="s">
        <v>1499</v>
      </c>
      <c r="EL3" t="s">
        <v>1500</v>
      </c>
      <c r="EM3" t="s">
        <v>1501</v>
      </c>
      <c r="EN3" t="s">
        <v>1502</v>
      </c>
      <c r="EO3" t="s">
        <v>1503</v>
      </c>
      <c r="EP3" t="s">
        <v>1504</v>
      </c>
      <c r="EQ3" t="s">
        <v>1505</v>
      </c>
      <c r="ER3" t="s">
        <v>1506</v>
      </c>
      <c r="ES3" t="s">
        <v>1507</v>
      </c>
      <c r="ET3" t="s">
        <v>1508</v>
      </c>
      <c r="EU3" t="s">
        <v>1509</v>
      </c>
      <c r="EV3" t="s">
        <v>1510</v>
      </c>
      <c r="EW3" t="s">
        <v>1511</v>
      </c>
      <c r="EX3" t="s">
        <v>1512</v>
      </c>
      <c r="EY3" t="s">
        <v>1513</v>
      </c>
      <c r="EZ3" t="s">
        <v>1514</v>
      </c>
      <c r="FA3" t="s">
        <v>1515</v>
      </c>
      <c r="FB3" t="s">
        <v>1516</v>
      </c>
      <c r="FC3" t="s">
        <v>1517</v>
      </c>
      <c r="FD3" t="s">
        <v>1518</v>
      </c>
      <c r="FE3" t="s">
        <v>1519</v>
      </c>
      <c r="FF3" t="s">
        <v>1520</v>
      </c>
      <c r="FG3" t="s">
        <v>1521</v>
      </c>
      <c r="FH3" t="s">
        <v>1522</v>
      </c>
      <c r="FI3" t="s">
        <v>1523</v>
      </c>
      <c r="FJ3" t="s">
        <v>1524</v>
      </c>
      <c r="FK3" t="s">
        <v>1525</v>
      </c>
      <c r="FL3" t="s">
        <v>1526</v>
      </c>
      <c r="FM3" t="s">
        <v>1527</v>
      </c>
      <c r="FN3" t="s">
        <v>1528</v>
      </c>
      <c r="FO3" t="s">
        <v>1529</v>
      </c>
      <c r="FP3" t="s">
        <v>1530</v>
      </c>
      <c r="FQ3" t="s">
        <v>1531</v>
      </c>
      <c r="FR3" t="s">
        <v>1532</v>
      </c>
      <c r="FS3" t="s">
        <v>1533</v>
      </c>
      <c r="FT3" t="s">
        <v>1534</v>
      </c>
      <c r="FU3" t="s">
        <v>1535</v>
      </c>
      <c r="FV3" t="s">
        <v>1536</v>
      </c>
      <c r="FW3" t="s">
        <v>1537</v>
      </c>
      <c r="FX3" t="s">
        <v>1538</v>
      </c>
      <c r="FY3" t="s">
        <v>1539</v>
      </c>
      <c r="FZ3" t="s">
        <v>1540</v>
      </c>
      <c r="GA3" t="s">
        <v>1541</v>
      </c>
      <c r="GB3" t="s">
        <v>1542</v>
      </c>
      <c r="GC3" t="s">
        <v>1543</v>
      </c>
      <c r="GD3" t="s">
        <v>1544</v>
      </c>
      <c r="GE3" t="s">
        <v>1545</v>
      </c>
      <c r="GF3" t="s">
        <v>1546</v>
      </c>
      <c r="GG3" t="s">
        <v>1547</v>
      </c>
      <c r="GH3" t="s">
        <v>1548</v>
      </c>
      <c r="GI3" t="s">
        <v>1549</v>
      </c>
      <c r="GJ3" t="s">
        <v>1550</v>
      </c>
      <c r="GK3" t="s">
        <v>1551</v>
      </c>
      <c r="GL3" t="s">
        <v>1552</v>
      </c>
      <c r="GM3" t="s">
        <v>1553</v>
      </c>
      <c r="GN3" t="s">
        <v>1554</v>
      </c>
      <c r="GO3" t="s">
        <v>1555</v>
      </c>
      <c r="GP3" t="s">
        <v>1556</v>
      </c>
      <c r="GQ3" t="s">
        <v>1557</v>
      </c>
      <c r="GR3" t="s">
        <v>1558</v>
      </c>
      <c r="GS3" t="s">
        <v>1559</v>
      </c>
      <c r="GT3" t="s">
        <v>1560</v>
      </c>
      <c r="GU3" t="s">
        <v>1561</v>
      </c>
      <c r="GV3" t="s">
        <v>1562</v>
      </c>
      <c r="GW3" t="s">
        <v>1563</v>
      </c>
      <c r="GX3" t="s">
        <v>1564</v>
      </c>
      <c r="GY3" t="s">
        <v>1565</v>
      </c>
      <c r="GZ3" t="s">
        <v>1566</v>
      </c>
      <c r="HA3" t="s">
        <v>1567</v>
      </c>
      <c r="HB3" t="s">
        <v>1568</v>
      </c>
      <c r="HC3" t="s">
        <v>1569</v>
      </c>
      <c r="HD3" t="s">
        <v>1570</v>
      </c>
      <c r="HE3" t="s">
        <v>1571</v>
      </c>
      <c r="HF3" t="s">
        <v>1572</v>
      </c>
      <c r="HG3" t="s">
        <v>1573</v>
      </c>
      <c r="HH3" t="s">
        <v>1574</v>
      </c>
      <c r="HI3" t="s">
        <v>1575</v>
      </c>
      <c r="HJ3" t="s">
        <v>1576</v>
      </c>
      <c r="HK3" t="s">
        <v>1577</v>
      </c>
      <c r="HL3" t="s">
        <v>1578</v>
      </c>
      <c r="HM3" t="s">
        <v>1579</v>
      </c>
      <c r="HN3" t="s">
        <v>1580</v>
      </c>
      <c r="HO3" t="s">
        <v>1581</v>
      </c>
      <c r="HP3" t="s">
        <v>1582</v>
      </c>
      <c r="HQ3" t="s">
        <v>1583</v>
      </c>
      <c r="HR3" t="s">
        <v>1584</v>
      </c>
      <c r="HS3" t="s">
        <v>1585</v>
      </c>
      <c r="HT3" t="s">
        <v>1586</v>
      </c>
      <c r="HU3" t="s">
        <v>1587</v>
      </c>
      <c r="HV3" t="s">
        <v>1588</v>
      </c>
      <c r="HW3" t="s">
        <v>1589</v>
      </c>
      <c r="HX3" t="s">
        <v>1590</v>
      </c>
      <c r="HY3" t="s">
        <v>1591</v>
      </c>
      <c r="HZ3" t="s">
        <v>1592</v>
      </c>
      <c r="IA3" t="s">
        <v>1593</v>
      </c>
      <c r="IB3" t="s">
        <v>1594</v>
      </c>
      <c r="IC3" t="s">
        <v>1595</v>
      </c>
      <c r="ID3" t="s">
        <v>1596</v>
      </c>
      <c r="IE3" t="s">
        <v>1597</v>
      </c>
      <c r="IF3" t="s">
        <v>1598</v>
      </c>
      <c r="IG3" t="s">
        <v>1599</v>
      </c>
      <c r="IH3" t="s">
        <v>1600</v>
      </c>
      <c r="II3" t="s">
        <v>1601</v>
      </c>
      <c r="IJ3" t="s">
        <v>1602</v>
      </c>
      <c r="IK3" t="s">
        <v>1603</v>
      </c>
      <c r="IL3" t="s">
        <v>1604</v>
      </c>
      <c r="IM3" t="s">
        <v>1605</v>
      </c>
      <c r="IN3" t="s">
        <v>1606</v>
      </c>
      <c r="IO3" t="s">
        <v>1607</v>
      </c>
      <c r="IP3" t="s">
        <v>1608</v>
      </c>
      <c r="IQ3" t="s">
        <v>1609</v>
      </c>
      <c r="IR3" t="s">
        <v>1610</v>
      </c>
      <c r="IS3" t="s">
        <v>1611</v>
      </c>
      <c r="IT3" t="s">
        <v>1612</v>
      </c>
      <c r="IU3" t="s">
        <v>1613</v>
      </c>
      <c r="IV3" t="s">
        <v>1614</v>
      </c>
    </row>
    <row r="4" spans="1:256" x14ac:dyDescent="0.2">
      <c r="A4" t="s">
        <v>1615</v>
      </c>
      <c r="B4" t="s">
        <v>1616</v>
      </c>
      <c r="C4" t="s">
        <v>1617</v>
      </c>
      <c r="D4" t="s">
        <v>1618</v>
      </c>
      <c r="E4" t="s">
        <v>1619</v>
      </c>
      <c r="F4" t="s">
        <v>1620</v>
      </c>
      <c r="G4" t="s">
        <v>1621</v>
      </c>
      <c r="H4" t="s">
        <v>1622</v>
      </c>
      <c r="I4" t="s">
        <v>1623</v>
      </c>
      <c r="J4" t="s">
        <v>1624</v>
      </c>
      <c r="K4" t="s">
        <v>1625</v>
      </c>
      <c r="L4" t="s">
        <v>1626</v>
      </c>
      <c r="M4" t="s">
        <v>1627</v>
      </c>
      <c r="N4" t="s">
        <v>1628</v>
      </c>
      <c r="O4" t="s">
        <v>1629</v>
      </c>
      <c r="P4" t="s">
        <v>1630</v>
      </c>
      <c r="Q4" t="s">
        <v>1631</v>
      </c>
      <c r="R4" t="s">
        <v>1632</v>
      </c>
      <c r="S4" t="s">
        <v>1633</v>
      </c>
      <c r="T4" t="s">
        <v>1634</v>
      </c>
      <c r="U4" t="s">
        <v>1635</v>
      </c>
      <c r="V4" t="s">
        <v>1636</v>
      </c>
      <c r="W4" t="s">
        <v>1637</v>
      </c>
      <c r="X4" t="s">
        <v>1638</v>
      </c>
      <c r="Y4" t="s">
        <v>1639</v>
      </c>
      <c r="Z4" t="s">
        <v>1640</v>
      </c>
      <c r="AA4" t="s">
        <v>1641</v>
      </c>
      <c r="AB4" t="s">
        <v>1642</v>
      </c>
      <c r="AC4" t="s">
        <v>1643</v>
      </c>
      <c r="AD4" t="s">
        <v>1644</v>
      </c>
      <c r="AE4" t="s">
        <v>1645</v>
      </c>
      <c r="AF4" t="s">
        <v>1646</v>
      </c>
      <c r="AG4" t="s">
        <v>1647</v>
      </c>
      <c r="AH4" t="s">
        <v>1648</v>
      </c>
      <c r="AI4" t="s">
        <v>1649</v>
      </c>
      <c r="AJ4" t="s">
        <v>1650</v>
      </c>
      <c r="AK4" t="s">
        <v>1651</v>
      </c>
      <c r="AL4" t="s">
        <v>1652</v>
      </c>
      <c r="AM4" t="s">
        <v>1653</v>
      </c>
      <c r="AN4" t="s">
        <v>1654</v>
      </c>
      <c r="AO4" t="s">
        <v>1655</v>
      </c>
      <c r="AP4" t="s">
        <v>1656</v>
      </c>
      <c r="AQ4" t="s">
        <v>1657</v>
      </c>
      <c r="AR4" t="s">
        <v>1658</v>
      </c>
      <c r="AS4" t="s">
        <v>1659</v>
      </c>
      <c r="AT4" t="s">
        <v>1660</v>
      </c>
      <c r="AU4" t="s">
        <v>1661</v>
      </c>
      <c r="AV4" t="s">
        <v>1662</v>
      </c>
      <c r="AW4" t="s">
        <v>1663</v>
      </c>
      <c r="AX4" t="s">
        <v>1664</v>
      </c>
      <c r="AY4" t="s">
        <v>1665</v>
      </c>
      <c r="AZ4" t="s">
        <v>1666</v>
      </c>
      <c r="BA4" t="s">
        <v>1667</v>
      </c>
      <c r="BB4" t="s">
        <v>1668</v>
      </c>
      <c r="BC4" t="s">
        <v>1669</v>
      </c>
      <c r="BD4" t="s">
        <v>1670</v>
      </c>
      <c r="BE4" t="s">
        <v>1671</v>
      </c>
      <c r="BF4" t="s">
        <v>1672</v>
      </c>
      <c r="BG4" t="s">
        <v>1673</v>
      </c>
      <c r="BH4" t="s">
        <v>1674</v>
      </c>
      <c r="BI4" t="s">
        <v>1675</v>
      </c>
      <c r="BJ4" t="s">
        <v>1676</v>
      </c>
      <c r="BK4" t="s">
        <v>1677</v>
      </c>
      <c r="BL4" t="s">
        <v>1678</v>
      </c>
      <c r="BM4" t="s">
        <v>1679</v>
      </c>
      <c r="BN4" t="s">
        <v>1680</v>
      </c>
      <c r="BO4" t="s">
        <v>1681</v>
      </c>
      <c r="BP4" t="s">
        <v>1682</v>
      </c>
      <c r="BQ4" t="s">
        <v>1683</v>
      </c>
      <c r="BR4" t="s">
        <v>1684</v>
      </c>
      <c r="BS4" t="s">
        <v>1685</v>
      </c>
      <c r="BT4" t="s">
        <v>1686</v>
      </c>
      <c r="BU4" t="s">
        <v>1687</v>
      </c>
      <c r="BV4" t="s">
        <v>1688</v>
      </c>
      <c r="BW4" t="s">
        <v>1689</v>
      </c>
      <c r="BX4" t="s">
        <v>1690</v>
      </c>
      <c r="BY4" t="s">
        <v>1691</v>
      </c>
      <c r="BZ4" t="s">
        <v>1692</v>
      </c>
      <c r="CA4" t="s">
        <v>1693</v>
      </c>
      <c r="CB4" t="s">
        <v>1694</v>
      </c>
      <c r="CC4" t="s">
        <v>1695</v>
      </c>
      <c r="CD4" t="s">
        <v>1696</v>
      </c>
      <c r="CE4" t="s">
        <v>1697</v>
      </c>
      <c r="CF4" t="s">
        <v>1698</v>
      </c>
      <c r="CG4" t="s">
        <v>1699</v>
      </c>
      <c r="CH4" t="s">
        <v>1700</v>
      </c>
      <c r="CI4" t="s">
        <v>1701</v>
      </c>
      <c r="CJ4" t="s">
        <v>1702</v>
      </c>
      <c r="CK4" t="s">
        <v>1703</v>
      </c>
      <c r="CL4" t="s">
        <v>1704</v>
      </c>
      <c r="CM4" t="s">
        <v>1705</v>
      </c>
      <c r="CN4" t="s">
        <v>1706</v>
      </c>
      <c r="CO4" t="s">
        <v>1707</v>
      </c>
      <c r="CP4" t="s">
        <v>1708</v>
      </c>
      <c r="CQ4" t="s">
        <v>1709</v>
      </c>
      <c r="CR4" t="s">
        <v>1710</v>
      </c>
      <c r="CS4" t="s">
        <v>1711</v>
      </c>
      <c r="CT4" t="s">
        <v>1712</v>
      </c>
      <c r="CU4" t="s">
        <v>1713</v>
      </c>
      <c r="CV4" t="s">
        <v>1714</v>
      </c>
      <c r="CW4" t="s">
        <v>1715</v>
      </c>
      <c r="CX4" t="s">
        <v>1716</v>
      </c>
      <c r="CY4" t="s">
        <v>1717</v>
      </c>
      <c r="CZ4" t="s">
        <v>1718</v>
      </c>
      <c r="DA4" t="s">
        <v>1719</v>
      </c>
      <c r="DB4" t="s">
        <v>1720</v>
      </c>
      <c r="DC4" t="s">
        <v>1721</v>
      </c>
      <c r="DD4" t="s">
        <v>1722</v>
      </c>
      <c r="DE4" t="s">
        <v>1723</v>
      </c>
      <c r="DF4" t="s">
        <v>1724</v>
      </c>
      <c r="DG4" t="s">
        <v>1725</v>
      </c>
      <c r="DH4" t="s">
        <v>1726</v>
      </c>
      <c r="DI4" t="s">
        <v>1727</v>
      </c>
      <c r="DJ4" t="s">
        <v>1728</v>
      </c>
      <c r="DK4" t="s">
        <v>1729</v>
      </c>
      <c r="DL4" t="s">
        <v>1730</v>
      </c>
      <c r="DM4" t="s">
        <v>1731</v>
      </c>
      <c r="DN4" t="s">
        <v>1732</v>
      </c>
      <c r="DO4" t="s">
        <v>1733</v>
      </c>
      <c r="DP4" t="s">
        <v>1734</v>
      </c>
      <c r="DQ4" t="s">
        <v>1735</v>
      </c>
      <c r="DR4" t="s">
        <v>1736</v>
      </c>
      <c r="DS4" t="s">
        <v>1737</v>
      </c>
      <c r="DT4" t="s">
        <v>1738</v>
      </c>
      <c r="DU4" t="s">
        <v>1739</v>
      </c>
      <c r="DV4" t="s">
        <v>1740</v>
      </c>
      <c r="DW4" t="s">
        <v>1741</v>
      </c>
      <c r="DX4" t="s">
        <v>1742</v>
      </c>
      <c r="DY4" t="s">
        <v>1743</v>
      </c>
      <c r="DZ4" t="s">
        <v>1744</v>
      </c>
      <c r="EA4" t="s">
        <v>1745</v>
      </c>
      <c r="EB4" t="s">
        <v>1746</v>
      </c>
      <c r="EC4" t="s">
        <v>1747</v>
      </c>
      <c r="ED4" t="s">
        <v>1748</v>
      </c>
      <c r="EE4" t="s">
        <v>1749</v>
      </c>
      <c r="EF4" t="s">
        <v>1750</v>
      </c>
      <c r="EG4" t="s">
        <v>1751</v>
      </c>
      <c r="EH4" t="s">
        <v>1752</v>
      </c>
      <c r="EI4" t="s">
        <v>1753</v>
      </c>
      <c r="EJ4" t="s">
        <v>1754</v>
      </c>
      <c r="EK4" t="s">
        <v>1755</v>
      </c>
      <c r="EL4" t="s">
        <v>1756</v>
      </c>
      <c r="EM4" t="s">
        <v>1757</v>
      </c>
      <c r="EN4" t="s">
        <v>1758</v>
      </c>
      <c r="EO4" t="s">
        <v>1759</v>
      </c>
      <c r="EP4" t="s">
        <v>1760</v>
      </c>
      <c r="EQ4" t="s">
        <v>1761</v>
      </c>
      <c r="ER4" t="s">
        <v>1762</v>
      </c>
      <c r="ES4" t="s">
        <v>1763</v>
      </c>
      <c r="ET4" t="s">
        <v>1764</v>
      </c>
      <c r="EU4" t="s">
        <v>1765</v>
      </c>
      <c r="EV4" t="s">
        <v>1766</v>
      </c>
      <c r="EW4" t="s">
        <v>1767</v>
      </c>
      <c r="EX4" t="s">
        <v>1768</v>
      </c>
      <c r="EY4" t="s">
        <v>1769</v>
      </c>
      <c r="EZ4" t="s">
        <v>1770</v>
      </c>
      <c r="FA4" t="s">
        <v>1771</v>
      </c>
      <c r="FB4" t="s">
        <v>1772</v>
      </c>
      <c r="FC4" t="s">
        <v>1773</v>
      </c>
      <c r="FD4" t="s">
        <v>1774</v>
      </c>
      <c r="FE4" t="s">
        <v>1775</v>
      </c>
      <c r="FF4" t="s">
        <v>1776</v>
      </c>
      <c r="FG4" t="s">
        <v>1777</v>
      </c>
      <c r="FH4" t="s">
        <v>1778</v>
      </c>
      <c r="FI4" t="s">
        <v>1779</v>
      </c>
      <c r="FJ4" t="s">
        <v>1780</v>
      </c>
      <c r="FK4" t="s">
        <v>1781</v>
      </c>
      <c r="FL4" t="s">
        <v>1782</v>
      </c>
      <c r="FM4" t="s">
        <v>1783</v>
      </c>
      <c r="FN4" t="s">
        <v>1784</v>
      </c>
      <c r="FO4" t="s">
        <v>1785</v>
      </c>
      <c r="FP4" t="s">
        <v>1786</v>
      </c>
      <c r="FQ4" t="s">
        <v>1787</v>
      </c>
      <c r="FR4" t="s">
        <v>1788</v>
      </c>
      <c r="FS4" t="s">
        <v>1789</v>
      </c>
      <c r="FT4" t="s">
        <v>1790</v>
      </c>
      <c r="FU4" t="s">
        <v>1791</v>
      </c>
      <c r="FV4" t="s">
        <v>1792</v>
      </c>
      <c r="FW4" t="s">
        <v>1793</v>
      </c>
      <c r="FX4" t="s">
        <v>1794</v>
      </c>
      <c r="FY4" t="s">
        <v>1795</v>
      </c>
      <c r="FZ4" t="s">
        <v>1796</v>
      </c>
      <c r="GA4" t="s">
        <v>1797</v>
      </c>
      <c r="GB4" t="s">
        <v>1798</v>
      </c>
      <c r="GC4" t="s">
        <v>1799</v>
      </c>
      <c r="GD4" t="s">
        <v>1800</v>
      </c>
      <c r="GE4" t="s">
        <v>1801</v>
      </c>
      <c r="GF4" t="s">
        <v>1802</v>
      </c>
      <c r="GG4" t="s">
        <v>1803</v>
      </c>
      <c r="GH4" t="s">
        <v>1804</v>
      </c>
      <c r="GI4" t="s">
        <v>1805</v>
      </c>
      <c r="GJ4" t="s">
        <v>1806</v>
      </c>
      <c r="GK4" t="s">
        <v>1807</v>
      </c>
      <c r="GL4" t="s">
        <v>1808</v>
      </c>
      <c r="GM4" t="s">
        <v>1809</v>
      </c>
      <c r="GN4" t="s">
        <v>1810</v>
      </c>
      <c r="GO4" t="s">
        <v>1811</v>
      </c>
      <c r="GP4" t="s">
        <v>1812</v>
      </c>
      <c r="GQ4" t="s">
        <v>1813</v>
      </c>
      <c r="GR4" t="s">
        <v>1814</v>
      </c>
      <c r="GS4" t="s">
        <v>1815</v>
      </c>
      <c r="GT4" t="s">
        <v>1816</v>
      </c>
      <c r="GU4" t="s">
        <v>1817</v>
      </c>
      <c r="GV4" t="s">
        <v>1818</v>
      </c>
      <c r="GW4" t="s">
        <v>1819</v>
      </c>
      <c r="GX4" t="s">
        <v>1820</v>
      </c>
      <c r="GY4" t="s">
        <v>1821</v>
      </c>
      <c r="GZ4" t="s">
        <v>1822</v>
      </c>
      <c r="HA4" t="s">
        <v>1823</v>
      </c>
      <c r="HB4" t="s">
        <v>1824</v>
      </c>
      <c r="HC4" t="s">
        <v>1825</v>
      </c>
      <c r="HD4" t="s">
        <v>1826</v>
      </c>
      <c r="HE4" t="s">
        <v>1827</v>
      </c>
      <c r="HF4" t="s">
        <v>1828</v>
      </c>
      <c r="HG4" t="s">
        <v>1829</v>
      </c>
      <c r="HH4" t="s">
        <v>1830</v>
      </c>
      <c r="HI4" t="s">
        <v>1831</v>
      </c>
      <c r="HJ4" t="s">
        <v>1832</v>
      </c>
      <c r="HK4" t="s">
        <v>1833</v>
      </c>
      <c r="HL4" t="s">
        <v>1834</v>
      </c>
      <c r="HM4" t="s">
        <v>1835</v>
      </c>
      <c r="HN4" t="s">
        <v>1836</v>
      </c>
      <c r="HO4" t="s">
        <v>1837</v>
      </c>
      <c r="HP4" t="s">
        <v>1838</v>
      </c>
      <c r="HQ4" t="s">
        <v>1839</v>
      </c>
      <c r="HR4" t="s">
        <v>1840</v>
      </c>
      <c r="HS4" t="s">
        <v>1841</v>
      </c>
      <c r="HT4" t="s">
        <v>1842</v>
      </c>
      <c r="HU4" t="s">
        <v>1843</v>
      </c>
      <c r="HV4" t="s">
        <v>1844</v>
      </c>
      <c r="HW4" t="s">
        <v>1845</v>
      </c>
      <c r="HX4" t="s">
        <v>1846</v>
      </c>
      <c r="HY4" t="s">
        <v>1847</v>
      </c>
      <c r="HZ4" t="s">
        <v>1848</v>
      </c>
      <c r="IA4" t="s">
        <v>1849</v>
      </c>
      <c r="IB4" t="s">
        <v>1850</v>
      </c>
      <c r="IC4" t="s">
        <v>1851</v>
      </c>
      <c r="ID4" t="s">
        <v>1852</v>
      </c>
      <c r="IE4" t="s">
        <v>1853</v>
      </c>
      <c r="IF4" t="s">
        <v>1854</v>
      </c>
      <c r="IG4" t="s">
        <v>1855</v>
      </c>
      <c r="IH4" t="s">
        <v>1856</v>
      </c>
      <c r="II4" t="s">
        <v>1857</v>
      </c>
      <c r="IJ4" t="s">
        <v>1858</v>
      </c>
      <c r="IK4" t="s">
        <v>1859</v>
      </c>
      <c r="IL4" t="s">
        <v>1860</v>
      </c>
      <c r="IM4" t="s">
        <v>1861</v>
      </c>
      <c r="IN4" t="s">
        <v>1862</v>
      </c>
      <c r="IO4" t="s">
        <v>1863</v>
      </c>
      <c r="IP4" t="s">
        <v>1864</v>
      </c>
      <c r="IQ4" t="s">
        <v>1865</v>
      </c>
      <c r="IR4" t="s">
        <v>1866</v>
      </c>
      <c r="IS4" t="s">
        <v>1867</v>
      </c>
      <c r="IT4" t="s">
        <v>1868</v>
      </c>
      <c r="IU4" t="s">
        <v>1869</v>
      </c>
      <c r="IV4" t="s">
        <v>1870</v>
      </c>
    </row>
    <row r="5" spans="1:256" x14ac:dyDescent="0.2">
      <c r="A5" t="s">
        <v>1871</v>
      </c>
      <c r="B5" t="s">
        <v>1872</v>
      </c>
      <c r="C5" t="s">
        <v>1873</v>
      </c>
      <c r="D5" t="s">
        <v>1874</v>
      </c>
      <c r="E5" t="s">
        <v>1875</v>
      </c>
      <c r="F5" t="s">
        <v>1876</v>
      </c>
      <c r="G5" t="s">
        <v>1877</v>
      </c>
      <c r="H5" t="s">
        <v>1878</v>
      </c>
      <c r="I5" t="s">
        <v>1879</v>
      </c>
      <c r="J5" t="s">
        <v>1880</v>
      </c>
      <c r="K5" t="s">
        <v>1881</v>
      </c>
      <c r="L5" t="s">
        <v>1882</v>
      </c>
      <c r="M5" t="s">
        <v>1883</v>
      </c>
      <c r="N5" t="s">
        <v>1884</v>
      </c>
      <c r="O5" t="s">
        <v>1885</v>
      </c>
      <c r="P5" t="s">
        <v>1886</v>
      </c>
      <c r="Q5" t="s">
        <v>1887</v>
      </c>
      <c r="R5" t="s">
        <v>1888</v>
      </c>
      <c r="S5" t="s">
        <v>1889</v>
      </c>
      <c r="T5" t="s">
        <v>1890</v>
      </c>
      <c r="U5" t="s">
        <v>1891</v>
      </c>
      <c r="V5" t="s">
        <v>1892</v>
      </c>
      <c r="W5" t="s">
        <v>1893</v>
      </c>
      <c r="X5" t="s">
        <v>1894</v>
      </c>
      <c r="Y5" t="s">
        <v>1895</v>
      </c>
      <c r="Z5" t="s">
        <v>1896</v>
      </c>
      <c r="AA5" t="s">
        <v>1897</v>
      </c>
      <c r="AB5" t="s">
        <v>1898</v>
      </c>
      <c r="AC5" t="s">
        <v>1899</v>
      </c>
      <c r="AD5" t="s">
        <v>1900</v>
      </c>
      <c r="AE5" t="s">
        <v>1901</v>
      </c>
      <c r="AF5" t="s">
        <v>1902</v>
      </c>
      <c r="AG5" t="s">
        <v>1903</v>
      </c>
      <c r="AH5" t="s">
        <v>1904</v>
      </c>
      <c r="AI5" t="s">
        <v>1905</v>
      </c>
      <c r="AJ5" t="s">
        <v>1906</v>
      </c>
      <c r="AK5" t="s">
        <v>1907</v>
      </c>
      <c r="AL5" t="s">
        <v>1908</v>
      </c>
      <c r="AM5" t="s">
        <v>1909</v>
      </c>
      <c r="AN5" t="s">
        <v>1910</v>
      </c>
      <c r="AO5" t="s">
        <v>1911</v>
      </c>
      <c r="AP5" t="s">
        <v>1912</v>
      </c>
      <c r="AQ5" t="s">
        <v>1913</v>
      </c>
      <c r="AR5" t="s">
        <v>1914</v>
      </c>
      <c r="AS5" t="s">
        <v>1915</v>
      </c>
      <c r="AT5" t="s">
        <v>1916</v>
      </c>
      <c r="AU5" t="s">
        <v>1917</v>
      </c>
      <c r="AV5" t="s">
        <v>1918</v>
      </c>
      <c r="AW5" t="s">
        <v>1919</v>
      </c>
      <c r="AX5" t="s">
        <v>1920</v>
      </c>
      <c r="AY5" t="s">
        <v>1921</v>
      </c>
      <c r="AZ5" t="s">
        <v>1922</v>
      </c>
      <c r="BA5" t="s">
        <v>1923</v>
      </c>
      <c r="BB5" t="s">
        <v>1924</v>
      </c>
      <c r="BC5" t="s">
        <v>1925</v>
      </c>
      <c r="BD5" t="s">
        <v>1926</v>
      </c>
      <c r="BE5" t="s">
        <v>1927</v>
      </c>
      <c r="BF5" t="s">
        <v>1928</v>
      </c>
      <c r="BG5" t="s">
        <v>1929</v>
      </c>
      <c r="BH5" t="s">
        <v>1930</v>
      </c>
      <c r="BI5" t="s">
        <v>1931</v>
      </c>
      <c r="BJ5" t="s">
        <v>1932</v>
      </c>
      <c r="BK5" t="s">
        <v>1933</v>
      </c>
      <c r="BL5" t="s">
        <v>1934</v>
      </c>
      <c r="BM5" t="s">
        <v>1935</v>
      </c>
      <c r="BN5" t="s">
        <v>1936</v>
      </c>
      <c r="BO5" t="s">
        <v>1937</v>
      </c>
      <c r="BP5" t="s">
        <v>1938</v>
      </c>
      <c r="BQ5" t="s">
        <v>1939</v>
      </c>
      <c r="BR5" t="s">
        <v>1940</v>
      </c>
      <c r="BS5" t="s">
        <v>1941</v>
      </c>
      <c r="BT5" t="s">
        <v>1942</v>
      </c>
      <c r="BU5" t="s">
        <v>1943</v>
      </c>
      <c r="BV5" t="s">
        <v>1944</v>
      </c>
      <c r="BW5" t="s">
        <v>1945</v>
      </c>
      <c r="BX5" t="s">
        <v>1946</v>
      </c>
      <c r="BY5" t="s">
        <v>1947</v>
      </c>
      <c r="BZ5" t="s">
        <v>1948</v>
      </c>
    </row>
    <row r="6" spans="1:256" x14ac:dyDescent="0.2">
      <c r="A6" t="s">
        <v>605</v>
      </c>
      <c r="B6" t="s">
        <v>606</v>
      </c>
      <c r="C6" t="s">
        <v>607</v>
      </c>
      <c r="D6" t="s">
        <v>608</v>
      </c>
      <c r="E6" t="s">
        <v>609</v>
      </c>
      <c r="F6" t="s">
        <v>610</v>
      </c>
      <c r="G6" t="s">
        <v>611</v>
      </c>
      <c r="H6" t="s">
        <v>612</v>
      </c>
      <c r="I6" t="s">
        <v>613</v>
      </c>
      <c r="J6" t="s">
        <v>614</v>
      </c>
      <c r="K6" t="s">
        <v>615</v>
      </c>
      <c r="L6" t="s">
        <v>616</v>
      </c>
      <c r="M6" t="s">
        <v>617</v>
      </c>
      <c r="N6" t="s">
        <v>618</v>
      </c>
      <c r="O6" t="s">
        <v>619</v>
      </c>
      <c r="P6" t="s">
        <v>620</v>
      </c>
      <c r="Q6" t="s">
        <v>621</v>
      </c>
      <c r="R6" t="s">
        <v>622</v>
      </c>
      <c r="S6" t="s">
        <v>623</v>
      </c>
      <c r="T6" t="s">
        <v>624</v>
      </c>
      <c r="U6" t="s">
        <v>625</v>
      </c>
      <c r="V6" t="s">
        <v>626</v>
      </c>
      <c r="W6" t="s">
        <v>627</v>
      </c>
      <c r="X6" t="s">
        <v>628</v>
      </c>
      <c r="Y6" t="s">
        <v>629</v>
      </c>
      <c r="Z6" t="s">
        <v>630</v>
      </c>
      <c r="AA6" t="s">
        <v>631</v>
      </c>
      <c r="AB6" t="s">
        <v>632</v>
      </c>
      <c r="AC6" t="s">
        <v>633</v>
      </c>
      <c r="AD6" t="s">
        <v>634</v>
      </c>
      <c r="AE6" t="s">
        <v>635</v>
      </c>
      <c r="AF6" t="s">
        <v>636</v>
      </c>
      <c r="AG6" t="s">
        <v>637</v>
      </c>
      <c r="AH6" t="s">
        <v>638</v>
      </c>
      <c r="AI6" t="s">
        <v>639</v>
      </c>
      <c r="AJ6" t="s">
        <v>640</v>
      </c>
      <c r="AK6" t="s">
        <v>641</v>
      </c>
      <c r="AL6" t="s">
        <v>642</v>
      </c>
      <c r="AM6" t="s">
        <v>643</v>
      </c>
      <c r="AN6" t="s">
        <v>644</v>
      </c>
      <c r="AO6" t="s">
        <v>645</v>
      </c>
      <c r="AP6" t="s">
        <v>646</v>
      </c>
      <c r="AQ6" t="s">
        <v>647</v>
      </c>
      <c r="AR6" t="s">
        <v>648</v>
      </c>
      <c r="AS6" t="s">
        <v>649</v>
      </c>
      <c r="AT6" t="s">
        <v>650</v>
      </c>
      <c r="AU6" t="s">
        <v>651</v>
      </c>
      <c r="AV6" t="s">
        <v>652</v>
      </c>
      <c r="AW6" t="s">
        <v>653</v>
      </c>
      <c r="AX6" t="s">
        <v>654</v>
      </c>
      <c r="AY6" t="s">
        <v>655</v>
      </c>
      <c r="AZ6" t="s">
        <v>656</v>
      </c>
      <c r="BA6" t="s">
        <v>657</v>
      </c>
      <c r="BB6" t="s">
        <v>658</v>
      </c>
      <c r="BC6" t="s">
        <v>659</v>
      </c>
      <c r="BD6" t="s">
        <v>660</v>
      </c>
      <c r="BE6" t="s">
        <v>661</v>
      </c>
      <c r="BF6" t="s">
        <v>662</v>
      </c>
      <c r="BG6" t="s">
        <v>663</v>
      </c>
      <c r="BH6" t="s">
        <v>664</v>
      </c>
      <c r="BI6" t="s">
        <v>665</v>
      </c>
      <c r="BJ6" t="s">
        <v>666</v>
      </c>
      <c r="BK6" t="s">
        <v>667</v>
      </c>
      <c r="BL6" t="s">
        <v>668</v>
      </c>
      <c r="BM6" t="s">
        <v>669</v>
      </c>
      <c r="BN6" t="s">
        <v>670</v>
      </c>
      <c r="BO6" t="s">
        <v>671</v>
      </c>
      <c r="BP6" t="s">
        <v>672</v>
      </c>
      <c r="BQ6" t="s">
        <v>673</v>
      </c>
      <c r="BR6" t="s">
        <v>674</v>
      </c>
      <c r="BS6" t="s">
        <v>675</v>
      </c>
      <c r="BT6" t="s">
        <v>676</v>
      </c>
      <c r="BU6" t="s">
        <v>677</v>
      </c>
      <c r="BV6" t="s">
        <v>678</v>
      </c>
      <c r="BW6" t="s">
        <v>679</v>
      </c>
      <c r="BX6" t="s">
        <v>680</v>
      </c>
      <c r="BY6" t="s">
        <v>681</v>
      </c>
      <c r="BZ6" t="s">
        <v>682</v>
      </c>
      <c r="CA6" t="s">
        <v>683</v>
      </c>
      <c r="CB6" t="s">
        <v>684</v>
      </c>
      <c r="CC6" t="s">
        <v>685</v>
      </c>
      <c r="CD6" t="s">
        <v>686</v>
      </c>
      <c r="CE6" t="s">
        <v>687</v>
      </c>
      <c r="CF6" t="s">
        <v>688</v>
      </c>
      <c r="CG6" t="s">
        <v>689</v>
      </c>
      <c r="CH6" t="s">
        <v>690</v>
      </c>
      <c r="CI6" t="s">
        <v>691</v>
      </c>
      <c r="CJ6" t="s">
        <v>692</v>
      </c>
      <c r="CK6" t="s">
        <v>693</v>
      </c>
      <c r="CL6" t="s">
        <v>694</v>
      </c>
      <c r="CM6" t="s">
        <v>695</v>
      </c>
      <c r="CN6" t="s">
        <v>696</v>
      </c>
      <c r="CO6" t="s">
        <v>697</v>
      </c>
      <c r="CP6" t="s">
        <v>698</v>
      </c>
      <c r="CQ6" t="s">
        <v>699</v>
      </c>
      <c r="CR6" t="s">
        <v>700</v>
      </c>
      <c r="CS6" t="s">
        <v>701</v>
      </c>
      <c r="CT6" t="s">
        <v>702</v>
      </c>
      <c r="CU6" t="s">
        <v>703</v>
      </c>
      <c r="CV6" t="s">
        <v>704</v>
      </c>
      <c r="CW6" t="s">
        <v>705</v>
      </c>
      <c r="CX6" t="s">
        <v>706</v>
      </c>
      <c r="CY6" t="s">
        <v>707</v>
      </c>
      <c r="CZ6" t="s">
        <v>708</v>
      </c>
      <c r="DA6" t="s">
        <v>709</v>
      </c>
      <c r="DB6" t="s">
        <v>710</v>
      </c>
      <c r="DC6" t="s">
        <v>711</v>
      </c>
      <c r="DD6" t="s">
        <v>712</v>
      </c>
      <c r="DE6" t="s">
        <v>713</v>
      </c>
      <c r="DF6" t="s">
        <v>714</v>
      </c>
      <c r="DG6" t="s">
        <v>715</v>
      </c>
      <c r="DH6" t="s">
        <v>716</v>
      </c>
      <c r="DI6" t="s">
        <v>717</v>
      </c>
      <c r="DJ6" t="s">
        <v>718</v>
      </c>
      <c r="DK6" t="s">
        <v>719</v>
      </c>
      <c r="DL6" t="s">
        <v>720</v>
      </c>
      <c r="DM6" t="s">
        <v>721</v>
      </c>
      <c r="DN6" t="s">
        <v>722</v>
      </c>
      <c r="DO6" t="s">
        <v>723</v>
      </c>
      <c r="DP6" t="s">
        <v>724</v>
      </c>
      <c r="DQ6" t="s">
        <v>725</v>
      </c>
      <c r="DR6" t="s">
        <v>726</v>
      </c>
      <c r="DS6" t="s">
        <v>727</v>
      </c>
      <c r="DT6" t="s">
        <v>728</v>
      </c>
      <c r="DU6" t="s">
        <v>729</v>
      </c>
      <c r="DV6" t="s">
        <v>730</v>
      </c>
      <c r="DW6" t="s">
        <v>731</v>
      </c>
      <c r="DX6" t="s">
        <v>732</v>
      </c>
      <c r="DY6" t="s">
        <v>733</v>
      </c>
      <c r="DZ6" t="s">
        <v>734</v>
      </c>
      <c r="EA6" t="s">
        <v>735</v>
      </c>
      <c r="EB6" t="s">
        <v>736</v>
      </c>
      <c r="EC6" t="s">
        <v>737</v>
      </c>
      <c r="ED6" t="s">
        <v>738</v>
      </c>
      <c r="EE6" t="s">
        <v>739</v>
      </c>
      <c r="EF6" t="s">
        <v>740</v>
      </c>
      <c r="EG6" t="s">
        <v>741</v>
      </c>
      <c r="EH6" t="s">
        <v>742</v>
      </c>
      <c r="EI6" t="s">
        <v>743</v>
      </c>
      <c r="EJ6" t="s">
        <v>744</v>
      </c>
      <c r="EK6" t="s">
        <v>745</v>
      </c>
      <c r="EL6" t="s">
        <v>746</v>
      </c>
      <c r="EM6" t="s">
        <v>747</v>
      </c>
      <c r="EN6" t="s">
        <v>748</v>
      </c>
      <c r="EO6" t="s">
        <v>749</v>
      </c>
      <c r="EP6" t="s">
        <v>750</v>
      </c>
      <c r="EQ6" t="s">
        <v>751</v>
      </c>
      <c r="ER6" t="s">
        <v>752</v>
      </c>
      <c r="ES6" t="s">
        <v>753</v>
      </c>
      <c r="ET6" t="s">
        <v>754</v>
      </c>
      <c r="EU6" t="s">
        <v>755</v>
      </c>
      <c r="EV6" t="s">
        <v>756</v>
      </c>
      <c r="EW6" t="s">
        <v>757</v>
      </c>
      <c r="EX6" t="s">
        <v>758</v>
      </c>
      <c r="EY6" t="s">
        <v>759</v>
      </c>
      <c r="EZ6" t="s">
        <v>760</v>
      </c>
      <c r="FA6" t="s">
        <v>761</v>
      </c>
      <c r="FB6" t="s">
        <v>762</v>
      </c>
      <c r="FC6" t="s">
        <v>763</v>
      </c>
      <c r="FD6" t="s">
        <v>764</v>
      </c>
      <c r="FE6" t="s">
        <v>765</v>
      </c>
      <c r="FF6" t="s">
        <v>766</v>
      </c>
      <c r="FG6" t="s">
        <v>767</v>
      </c>
      <c r="FH6" t="s">
        <v>768</v>
      </c>
      <c r="FI6" t="s">
        <v>769</v>
      </c>
      <c r="FJ6" t="s">
        <v>770</v>
      </c>
      <c r="FK6" t="s">
        <v>771</v>
      </c>
      <c r="FL6" t="s">
        <v>772</v>
      </c>
      <c r="FM6" t="s">
        <v>773</v>
      </c>
      <c r="FN6" t="s">
        <v>774</v>
      </c>
      <c r="FO6" t="s">
        <v>775</v>
      </c>
      <c r="FP6" t="s">
        <v>776</v>
      </c>
      <c r="FQ6" t="s">
        <v>777</v>
      </c>
      <c r="FR6" t="s">
        <v>778</v>
      </c>
      <c r="FS6" t="s">
        <v>779</v>
      </c>
      <c r="FT6" t="s">
        <v>780</v>
      </c>
      <c r="FU6" t="s">
        <v>781</v>
      </c>
      <c r="FV6" t="s">
        <v>782</v>
      </c>
      <c r="FW6" t="s">
        <v>783</v>
      </c>
      <c r="FX6" t="s">
        <v>784</v>
      </c>
      <c r="FY6" t="s">
        <v>785</v>
      </c>
      <c r="FZ6" t="s">
        <v>786</v>
      </c>
      <c r="GA6" t="s">
        <v>787</v>
      </c>
      <c r="GB6" t="s">
        <v>788</v>
      </c>
      <c r="GC6" t="s">
        <v>789</v>
      </c>
      <c r="GD6" t="s">
        <v>790</v>
      </c>
      <c r="GE6" t="s">
        <v>791</v>
      </c>
      <c r="GF6" t="s">
        <v>792</v>
      </c>
      <c r="GG6" t="s">
        <v>793</v>
      </c>
      <c r="GH6" t="s">
        <v>794</v>
      </c>
      <c r="GI6" t="s">
        <v>795</v>
      </c>
      <c r="GJ6" t="s">
        <v>796</v>
      </c>
      <c r="GK6" t="s">
        <v>797</v>
      </c>
      <c r="GL6" t="s">
        <v>798</v>
      </c>
      <c r="GM6" t="s">
        <v>799</v>
      </c>
      <c r="GN6" t="s">
        <v>800</v>
      </c>
      <c r="GO6" t="s">
        <v>801</v>
      </c>
      <c r="GP6" t="s">
        <v>802</v>
      </c>
      <c r="GQ6" t="s">
        <v>803</v>
      </c>
      <c r="GR6" t="s">
        <v>804</v>
      </c>
      <c r="GS6" t="s">
        <v>805</v>
      </c>
      <c r="GT6" t="s">
        <v>806</v>
      </c>
      <c r="GU6" t="s">
        <v>807</v>
      </c>
      <c r="GV6" t="s">
        <v>808</v>
      </c>
      <c r="GW6" t="s">
        <v>809</v>
      </c>
      <c r="GX6" t="s">
        <v>810</v>
      </c>
      <c r="GY6" t="s">
        <v>811</v>
      </c>
      <c r="GZ6" t="s">
        <v>812</v>
      </c>
      <c r="HA6" t="s">
        <v>813</v>
      </c>
      <c r="HB6" t="s">
        <v>814</v>
      </c>
      <c r="HC6" t="s">
        <v>815</v>
      </c>
      <c r="HD6" t="s">
        <v>816</v>
      </c>
      <c r="HE6" t="s">
        <v>817</v>
      </c>
      <c r="HF6" t="s">
        <v>818</v>
      </c>
      <c r="HG6" t="s">
        <v>819</v>
      </c>
      <c r="HH6" t="s">
        <v>820</v>
      </c>
      <c r="HI6" t="s">
        <v>821</v>
      </c>
      <c r="HJ6" t="s">
        <v>822</v>
      </c>
      <c r="HK6" t="s">
        <v>823</v>
      </c>
      <c r="HL6" t="s">
        <v>824</v>
      </c>
      <c r="HM6" t="s">
        <v>825</v>
      </c>
      <c r="HN6" t="s">
        <v>826</v>
      </c>
      <c r="HO6" t="s">
        <v>827</v>
      </c>
      <c r="HP6" t="s">
        <v>828</v>
      </c>
      <c r="HQ6" t="s">
        <v>829</v>
      </c>
      <c r="HR6" t="s">
        <v>830</v>
      </c>
      <c r="HS6" t="s">
        <v>831</v>
      </c>
      <c r="HT6" t="s">
        <v>832</v>
      </c>
      <c r="HU6" t="s">
        <v>833</v>
      </c>
      <c r="HV6" t="s">
        <v>834</v>
      </c>
      <c r="HW6" t="s">
        <v>835</v>
      </c>
      <c r="HX6" t="s">
        <v>836</v>
      </c>
      <c r="HY6" t="s">
        <v>837</v>
      </c>
      <c r="HZ6" t="s">
        <v>838</v>
      </c>
      <c r="IA6" t="s">
        <v>839</v>
      </c>
      <c r="IB6" t="s">
        <v>840</v>
      </c>
      <c r="IC6" t="s">
        <v>841</v>
      </c>
      <c r="ID6" t="s">
        <v>842</v>
      </c>
      <c r="IE6" t="s">
        <v>843</v>
      </c>
      <c r="IF6" t="s">
        <v>844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/>
    <pageSetUpPr fitToPage="1"/>
  </sheetPr>
  <dimension ref="A1:BN537"/>
  <sheetViews>
    <sheetView showGridLines="0" tabSelected="1" zoomScale="85" zoomScaleNormal="85" zoomScaleSheetLayoutView="100" workbookViewId="0">
      <pane xSplit="1" ySplit="1" topLeftCell="B2" activePane="bottomRight" state="frozen"/>
      <selection activeCell="F51" sqref="F51"/>
      <selection pane="topRight" activeCell="F51" sqref="F51"/>
      <selection pane="bottomLeft" activeCell="F51" sqref="F51"/>
      <selection pane="bottomRight" activeCell="AC42" sqref="AC42"/>
    </sheetView>
  </sheetViews>
  <sheetFormatPr defaultColWidth="9.140625" defaultRowHeight="12.75" x14ac:dyDescent="0.2"/>
  <cols>
    <col min="1" max="1" width="34.5703125" bestFit="1" customWidth="1"/>
    <col min="2" max="13" width="13.28515625" customWidth="1"/>
    <col min="14" max="14" width="5.85546875" style="59" customWidth="1"/>
    <col min="15" max="18" width="9.140625" style="42"/>
    <col min="19" max="19" width="9.140625" style="42" customWidth="1"/>
    <col min="20" max="21" width="9.140625" style="59" customWidth="1"/>
    <col min="22" max="66" width="9.140625" style="59"/>
    <col min="67" max="16384" width="9.140625" style="42"/>
  </cols>
  <sheetData>
    <row r="1" spans="1:66" ht="12.75" customHeight="1" thickBot="1" x14ac:dyDescent="0.25">
      <c r="A1" s="3" t="s">
        <v>604</v>
      </c>
      <c r="B1" s="32" t="str">
        <f t="shared" ref="B1:L1" si="0">"FY"&amp;RIGHT(YEAR(B2),2)</f>
        <v>FY16</v>
      </c>
      <c r="C1" s="32" t="str">
        <f t="shared" si="0"/>
        <v>FY17</v>
      </c>
      <c r="D1" s="32" t="str">
        <f t="shared" si="0"/>
        <v>FY18</v>
      </c>
      <c r="E1" s="32" t="str">
        <f t="shared" si="0"/>
        <v>FY19</v>
      </c>
      <c r="F1" s="32" t="str">
        <f t="shared" si="0"/>
        <v>FY20</v>
      </c>
      <c r="G1" s="32" t="str">
        <f t="shared" si="0"/>
        <v>FY21</v>
      </c>
      <c r="H1" s="32" t="str">
        <f t="shared" si="0"/>
        <v>FY22</v>
      </c>
      <c r="I1" s="32" t="str">
        <f t="shared" si="0"/>
        <v>FY23</v>
      </c>
      <c r="J1" s="32" t="str">
        <f t="shared" si="0"/>
        <v>FY24</v>
      </c>
      <c r="K1" s="32" t="str">
        <f t="shared" si="0"/>
        <v>FY25</v>
      </c>
      <c r="L1" s="32" t="str">
        <f t="shared" si="0"/>
        <v>FY26</v>
      </c>
      <c r="M1" s="32" t="s">
        <v>266</v>
      </c>
      <c r="N1" s="42"/>
      <c r="S1" s="3"/>
      <c r="T1" s="2"/>
      <c r="U1" s="3"/>
      <c r="V1" s="42"/>
      <c r="W1" s="42"/>
      <c r="X1" s="42"/>
      <c r="Y1" s="42"/>
      <c r="Z1" s="42"/>
      <c r="AA1" s="42"/>
      <c r="AB1" s="42"/>
      <c r="AC1" s="42"/>
      <c r="AD1" s="42"/>
      <c r="AE1" s="42"/>
      <c r="AF1" s="42"/>
      <c r="AG1" s="42"/>
      <c r="AH1" s="42"/>
      <c r="AI1" s="42"/>
      <c r="AJ1" s="42"/>
      <c r="AK1" s="42"/>
      <c r="AL1" s="42"/>
      <c r="AM1" s="42"/>
      <c r="AN1" s="42"/>
      <c r="AO1" s="42"/>
      <c r="AP1" s="42"/>
      <c r="AQ1" s="42"/>
      <c r="AR1" s="42"/>
      <c r="AS1" s="42"/>
      <c r="AT1" s="42"/>
      <c r="AU1" s="42"/>
      <c r="AV1" s="42"/>
      <c r="AW1" s="42"/>
      <c r="AX1" s="42"/>
      <c r="AY1" s="42"/>
      <c r="AZ1" s="42"/>
      <c r="BA1" s="42"/>
      <c r="BB1" s="42"/>
      <c r="BC1" s="42"/>
      <c r="BD1" s="42"/>
      <c r="BE1" s="42"/>
      <c r="BF1" s="42"/>
      <c r="BG1" s="42"/>
      <c r="BH1" s="42"/>
      <c r="BI1" s="42"/>
      <c r="BJ1" s="42"/>
      <c r="BK1" s="42"/>
      <c r="BL1" s="42"/>
      <c r="BM1" s="42"/>
      <c r="BN1" s="42"/>
    </row>
    <row r="2" spans="1:66" ht="12.75" customHeight="1" thickTop="1" x14ac:dyDescent="0.2">
      <c r="A2" s="3" t="s">
        <v>408</v>
      </c>
      <c r="B2" s="23">
        <f>_xll.ciqfunctions.udf.CIQ(InputTicker, "IQ_PERIODDATE",Input!D$2,Date)</f>
        <v>42551</v>
      </c>
      <c r="C2" s="23">
        <f>_xll.ciqfunctions.udf.CIQ(InputTicker, "IQ_PERIODDATE",Input!E$2,Date)</f>
        <v>42916</v>
      </c>
      <c r="D2" s="23">
        <f>_xll.ciqfunctions.udf.CIQ(InputTicker, "IQ_PERIODDATE",Input!F$2,Date)</f>
        <v>43281</v>
      </c>
      <c r="E2" s="23">
        <f>_xll.ciqfunctions.udf.CIQ(InputTicker, "IQ_PERIODDATE",Input!G$2,Date)</f>
        <v>43646</v>
      </c>
      <c r="F2" s="23">
        <f>_xll.ciqfunctions.udf.CIQ(InputTicker, "IQ_PERIODDATE",Input!H$2,Date)</f>
        <v>44012</v>
      </c>
      <c r="G2" s="23">
        <f>_xll.ciqfunctions.udf.CIQ(InputTicker, "IQ_PERIODDATE",Input!I$2,Date)</f>
        <v>44377</v>
      </c>
      <c r="H2" s="23">
        <f>_xll.ciqfunctions.udf.CIQ(InputTicker, "IQ_PERIODDATE",Input!J$2,Date)</f>
        <v>44742</v>
      </c>
      <c r="I2" s="23">
        <f>_xll.ciqfunctions.udf.CIQ(InputTicker, "IQ_PERIODDATE",Input!K$2,Date)</f>
        <v>45107</v>
      </c>
      <c r="J2" s="23">
        <f>_xll.ciqfunctions.udf.CIQ(InputTicker, "IQ_PERIODDATE",Input!L$2,Date)</f>
        <v>45473</v>
      </c>
      <c r="K2" s="23">
        <f>_xll.ciqfunctions.udf.CIQ(InputTicker, "IQ_PERIODDATE",Input!M$2,Date)</f>
        <v>45838</v>
      </c>
      <c r="L2" s="23">
        <f>_xll.ciqfunctions.udf.CIQ(InputTicker, "IQ_PERIODDATE",Input!N$2,Date)</f>
        <v>46203</v>
      </c>
      <c r="M2" s="23">
        <f>_xll.ciqfunctions.udf.CIQ(InputTicker, "IQ_PERIODDATE",Input!O$2,Date)</f>
        <v>46203</v>
      </c>
      <c r="N2" s="42"/>
      <c r="S2" s="44"/>
      <c r="T2" s="42"/>
      <c r="U2" s="42"/>
      <c r="V2" s="42"/>
      <c r="W2" s="42"/>
      <c r="X2" s="42"/>
      <c r="Y2" s="42"/>
      <c r="Z2" s="42"/>
      <c r="AA2" s="42"/>
      <c r="AB2" s="42"/>
      <c r="AC2" s="42"/>
      <c r="AD2" s="42"/>
      <c r="AE2" s="42"/>
      <c r="AF2" s="42"/>
      <c r="AG2" s="42"/>
      <c r="AH2" s="42"/>
      <c r="AI2" s="42"/>
      <c r="AJ2" s="42"/>
      <c r="AK2" s="42"/>
      <c r="AL2" s="42"/>
      <c r="AM2" s="42"/>
      <c r="AN2" s="42"/>
      <c r="AO2" s="42"/>
      <c r="AP2" s="42"/>
      <c r="AQ2" s="42"/>
      <c r="AR2" s="42"/>
      <c r="AS2" s="42"/>
      <c r="AT2" s="42"/>
      <c r="AU2" s="42"/>
      <c r="AV2" s="42"/>
      <c r="AW2" s="42"/>
      <c r="AX2" s="42"/>
      <c r="AY2" s="42"/>
      <c r="AZ2" s="42"/>
      <c r="BA2" s="42"/>
      <c r="BB2" s="42"/>
      <c r="BC2" s="42"/>
      <c r="BD2" s="42"/>
      <c r="BE2" s="42"/>
      <c r="BF2" s="42"/>
      <c r="BG2" s="42"/>
      <c r="BH2" s="42"/>
      <c r="BI2" s="42"/>
      <c r="BJ2" s="42"/>
      <c r="BK2" s="42"/>
      <c r="BL2" s="42"/>
      <c r="BM2" s="42"/>
      <c r="BN2" s="42"/>
    </row>
    <row r="3" spans="1:66" ht="12.75" customHeight="1" x14ac:dyDescent="0.2">
      <c r="A3" s="1" t="s">
        <v>57</v>
      </c>
      <c r="B3" s="4">
        <f>_xll.ciqfunctions.udf.CIQ(InputTicker, "IQ_REV",Input!D$2,Date,,,Ccy,Conv)</f>
        <v>91154</v>
      </c>
      <c r="C3" s="4">
        <f>_xll.ciqfunctions.udf.CIQ(InputTicker, "IQ_REV",Input!E$2,Date,,,Ccy,Conv)</f>
        <v>96571</v>
      </c>
      <c r="D3" s="41">
        <f>_xll.ciqfunctions.udf.CIQ(InputTicker, "IQ_REV",Input!F$2,Date,,,Ccy,Conv)</f>
        <v>110360</v>
      </c>
      <c r="E3" s="4">
        <f>_xll.ciqfunctions.udf.CIQ(InputTicker, "IQ_REV",Input!G$2,Date,,,Ccy,Conv)</f>
        <v>125843</v>
      </c>
      <c r="F3" s="4">
        <f>_xll.ciqfunctions.udf.CIQ(InputTicker, "IQ_REV",Input!H$2,Date,,,Ccy,Conv)</f>
        <v>143015</v>
      </c>
      <c r="G3" s="4">
        <f>_xll.ciqfunctions.udf.CIQ(InputTicker, "IQ_REV",Input!I$2,Date,,,Ccy,Conv)</f>
        <v>168088</v>
      </c>
      <c r="H3" s="4">
        <f>_xll.ciqfunctions.udf.CIQ(InputTicker, "IQ_REV",Input!J$2,Date,,,Ccy,Conv)</f>
        <v>198270</v>
      </c>
      <c r="I3" s="4">
        <f>_xll.ciqfunctions.udf.CIQ(InputTicker, "IQ_REV",Input!K$2,Date,,,Ccy,Conv)</f>
        <v>211915</v>
      </c>
      <c r="J3" s="4">
        <f>_xll.ciqfunctions.udf.CIQ(InputTicker, "IQ_REV",Input!L$2,Date,,,Ccy,Conv)</f>
        <v>245122</v>
      </c>
      <c r="K3" s="4">
        <f>_xll.ciqfunctions.udf.CIQ(InputTicker, "IQ_REV",Input!M$2,Date,,,Ccy,Conv)</f>
        <v>281724</v>
      </c>
      <c r="L3" s="4">
        <f>_xll.ciqfunctions.udf.CIQ(InputTicker, "IQ_REV",Input!N$2,Date,,,Ccy,Conv)</f>
        <v>331839</v>
      </c>
      <c r="M3" s="4">
        <f>_xll.ciqfunctions.udf.CIQ(InputTicker, "IQ_REV",Input!O$2,Date,,,Ccy,Conv)</f>
        <v>331839</v>
      </c>
      <c r="N3" s="42"/>
      <c r="T3" s="42"/>
      <c r="U3" s="42"/>
      <c r="V3" s="42"/>
      <c r="W3" s="42"/>
      <c r="X3" s="42"/>
      <c r="Y3" s="42"/>
      <c r="Z3" s="42"/>
      <c r="AA3" s="42"/>
      <c r="AB3" s="42"/>
      <c r="AC3" s="42"/>
      <c r="AD3" s="42"/>
      <c r="AE3" s="42"/>
      <c r="AF3" s="42"/>
      <c r="AG3" s="42"/>
      <c r="AH3" s="42"/>
      <c r="AI3" s="42"/>
      <c r="AJ3" s="42"/>
      <c r="AK3" s="42"/>
      <c r="AL3" s="42"/>
      <c r="AM3" s="42"/>
      <c r="AN3" s="42"/>
      <c r="AO3" s="42"/>
      <c r="AP3" s="42"/>
      <c r="AQ3" s="42"/>
      <c r="AR3" s="42"/>
      <c r="AS3" s="42"/>
      <c r="AT3" s="42"/>
      <c r="AU3" s="42"/>
      <c r="AV3" s="42"/>
      <c r="AW3" s="42"/>
      <c r="AX3" s="42"/>
      <c r="AY3" s="42"/>
      <c r="AZ3" s="42"/>
      <c r="BA3" s="42"/>
      <c r="BB3" s="42"/>
      <c r="BC3" s="42"/>
      <c r="BD3" s="42"/>
      <c r="BE3" s="42"/>
      <c r="BF3" s="42"/>
      <c r="BG3" s="42"/>
      <c r="BH3" s="42"/>
      <c r="BI3" s="42"/>
      <c r="BJ3" s="42"/>
      <c r="BK3" s="42"/>
      <c r="BL3" s="42"/>
      <c r="BM3" s="42"/>
      <c r="BN3" s="42"/>
    </row>
    <row r="4" spans="1:66" ht="12.75" customHeight="1" x14ac:dyDescent="0.2">
      <c r="A4" s="1" t="s">
        <v>157</v>
      </c>
      <c r="B4" s="4">
        <f>_xll.ciqfunctions.udf.CIQ(InputTicker,"IQ_FIN_DIV_REV",Input!D$2,Date,,,Ccy,Conv)</f>
        <v>0</v>
      </c>
      <c r="C4" s="4">
        <f>_xll.ciqfunctions.udf.CIQ(InputTicker,"IQ_FIN_DIV_REV",Input!E$2,Date,,,Ccy,Conv)</f>
        <v>0</v>
      </c>
      <c r="D4" s="4">
        <f>_xll.ciqfunctions.udf.CIQ(InputTicker,"IQ_FIN_DIV_REV",Input!F$2,Date,,,Ccy,Conv)</f>
        <v>0</v>
      </c>
      <c r="E4" s="4">
        <f>_xll.ciqfunctions.udf.CIQ(InputTicker,"IQ_FIN_DIV_REV",Input!G$2,Date,,,Ccy,Conv)</f>
        <v>0</v>
      </c>
      <c r="F4" s="4">
        <f>_xll.ciqfunctions.udf.CIQ(InputTicker,"IQ_FIN_DIV_REV",Input!H$2,Date,,,Ccy,Conv)</f>
        <v>0</v>
      </c>
      <c r="G4" s="4">
        <f>_xll.ciqfunctions.udf.CIQ(InputTicker,"IQ_FIN_DIV_REV",Input!I$2,Date,,,Ccy,Conv)</f>
        <v>0</v>
      </c>
      <c r="H4" s="4">
        <f>_xll.ciqfunctions.udf.CIQ(InputTicker,"IQ_FIN_DIV_REV",Input!J$2,Date,,,Ccy,Conv)</f>
        <v>0</v>
      </c>
      <c r="I4" s="4">
        <f>_xll.ciqfunctions.udf.CIQ(InputTicker,"IQ_FIN_DIV_REV",Input!K$2,Date,,,Ccy,Conv)</f>
        <v>0</v>
      </c>
      <c r="J4" s="4">
        <f>_xll.ciqfunctions.udf.CIQ(InputTicker,"IQ_FIN_DIV_REV",Input!L$2,Date,,,Ccy,Conv)</f>
        <v>0</v>
      </c>
      <c r="K4" s="4">
        <f>_xll.ciqfunctions.udf.CIQ(InputTicker,"IQ_FIN_DIV_REV",Input!M$2,Date,,,Ccy,Conv)</f>
        <v>0</v>
      </c>
      <c r="L4" s="4">
        <f>_xll.ciqfunctions.udf.CIQ(InputTicker,"IQ_FIN_DIV_REV",Input!N$2,Date,,,Ccy,Conv)</f>
        <v>0</v>
      </c>
      <c r="M4" s="4">
        <f>_xll.ciqfunctions.udf.CIQ(InputTicker,"IQ_FIN_DIV_REV",Input!O$2,Date,,,Ccy,Conv)</f>
        <v>0</v>
      </c>
      <c r="N4" s="42"/>
      <c r="T4" s="42"/>
      <c r="U4" s="42"/>
      <c r="V4" s="42"/>
      <c r="W4" s="42"/>
      <c r="X4" s="42"/>
      <c r="Y4" s="42"/>
      <c r="Z4" s="42"/>
      <c r="AA4" s="42"/>
      <c r="AB4" s="42"/>
      <c r="AC4" s="42"/>
      <c r="AD4" s="42"/>
      <c r="AE4" s="42"/>
      <c r="AF4" s="42"/>
      <c r="AG4" s="42"/>
      <c r="AH4" s="42"/>
      <c r="AI4" s="42"/>
      <c r="AJ4" s="42"/>
      <c r="AK4" s="42"/>
      <c r="AL4" s="42"/>
      <c r="AM4" s="42"/>
      <c r="AN4" s="42"/>
      <c r="AO4" s="42"/>
      <c r="AP4" s="42"/>
      <c r="AQ4" s="42"/>
      <c r="AR4" s="42"/>
      <c r="AS4" s="42"/>
      <c r="AT4" s="42"/>
      <c r="AU4" s="42"/>
      <c r="AV4" s="42"/>
      <c r="AW4" s="42"/>
      <c r="AX4" s="42"/>
      <c r="AY4" s="42"/>
      <c r="AZ4" s="42"/>
      <c r="BA4" s="42"/>
      <c r="BB4" s="42"/>
      <c r="BC4" s="42"/>
      <c r="BD4" s="42"/>
      <c r="BE4" s="42"/>
      <c r="BF4" s="42"/>
      <c r="BG4" s="42"/>
      <c r="BH4" s="42"/>
      <c r="BI4" s="42"/>
      <c r="BJ4" s="42"/>
      <c r="BK4" s="42"/>
      <c r="BL4" s="42"/>
      <c r="BM4" s="42"/>
      <c r="BN4" s="42"/>
    </row>
    <row r="5" spans="1:66" ht="12.75" customHeight="1" x14ac:dyDescent="0.2">
      <c r="A5" s="1" t="s">
        <v>158</v>
      </c>
      <c r="B5" s="4">
        <f>_xll.ciqfunctions.udf.CIQ(InputTicker, "IQ_INS_DIV_REV",Input!D$2,Date,,,Ccy,Conv)</f>
        <v>0</v>
      </c>
      <c r="C5" s="4">
        <f>_xll.ciqfunctions.udf.CIQ(InputTicker, "IQ_INS_DIV_REV",Input!E$2,Date,,,Ccy,Conv)</f>
        <v>0</v>
      </c>
      <c r="D5" s="4">
        <f>_xll.ciqfunctions.udf.CIQ(InputTicker, "IQ_INS_DIV_REV",Input!F$2,Date,,,Ccy,Conv)</f>
        <v>0</v>
      </c>
      <c r="E5" s="4">
        <f>_xll.ciqfunctions.udf.CIQ(InputTicker, "IQ_INS_DIV_REV",Input!G$2,Date,,,Ccy,Conv)</f>
        <v>0</v>
      </c>
      <c r="F5" s="4">
        <f>_xll.ciqfunctions.udf.CIQ(InputTicker, "IQ_INS_DIV_REV",Input!H$2,Date,,,Ccy,Conv)</f>
        <v>0</v>
      </c>
      <c r="G5" s="4">
        <f>_xll.ciqfunctions.udf.CIQ(InputTicker, "IQ_INS_DIV_REV",Input!I$2,Date,,,Ccy,Conv)</f>
        <v>0</v>
      </c>
      <c r="H5" s="4">
        <f>_xll.ciqfunctions.udf.CIQ(InputTicker, "IQ_INS_DIV_REV",Input!J$2,Date,,,Ccy,Conv)</f>
        <v>0</v>
      </c>
      <c r="I5" s="4">
        <f>_xll.ciqfunctions.udf.CIQ(InputTicker, "IQ_INS_DIV_REV",Input!K$2,Date,,,Ccy,Conv)</f>
        <v>0</v>
      </c>
      <c r="J5" s="4">
        <f>_xll.ciqfunctions.udf.CIQ(InputTicker, "IQ_INS_DIV_REV",Input!L$2,Date,,,Ccy,Conv)</f>
        <v>0</v>
      </c>
      <c r="K5" s="4">
        <f>_xll.ciqfunctions.udf.CIQ(InputTicker, "IQ_INS_DIV_REV",Input!M$2,Date,,,Ccy,Conv)</f>
        <v>0</v>
      </c>
      <c r="L5" s="4">
        <f>_xll.ciqfunctions.udf.CIQ(InputTicker, "IQ_INS_DIV_REV",Input!N$2,Date,,,Ccy,Conv)</f>
        <v>0</v>
      </c>
      <c r="M5" s="4">
        <f>_xll.ciqfunctions.udf.CIQ(InputTicker, "IQ_INS_DIV_REV",Input!O$2,Date,,,Ccy,Conv)</f>
        <v>0</v>
      </c>
      <c r="N5" s="42"/>
      <c r="P5" s="45"/>
      <c r="T5" s="42"/>
      <c r="U5" s="42"/>
      <c r="V5" s="42"/>
      <c r="W5" s="42"/>
      <c r="X5" s="42"/>
      <c r="Y5" s="42"/>
      <c r="Z5" s="42"/>
      <c r="AA5" s="42"/>
      <c r="AB5" s="42"/>
      <c r="AC5" s="42"/>
      <c r="AD5" s="42"/>
      <c r="AE5" s="42"/>
      <c r="AF5" s="42"/>
      <c r="AG5" s="42"/>
      <c r="AH5" s="42"/>
      <c r="AI5" s="42"/>
      <c r="AJ5" s="42"/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2"/>
      <c r="AV5" s="42"/>
      <c r="AW5" s="42"/>
      <c r="AX5" s="42"/>
      <c r="AY5" s="42"/>
      <c r="AZ5" s="42"/>
      <c r="BA5" s="42"/>
      <c r="BB5" s="42"/>
      <c r="BC5" s="42"/>
      <c r="BD5" s="42"/>
      <c r="BE5" s="42"/>
      <c r="BF5" s="42"/>
      <c r="BG5" s="42"/>
      <c r="BH5" s="42"/>
      <c r="BI5" s="42"/>
      <c r="BJ5" s="42"/>
      <c r="BK5" s="42"/>
      <c r="BL5" s="42"/>
      <c r="BM5" s="42"/>
      <c r="BN5" s="42"/>
    </row>
    <row r="6" spans="1:66" ht="12.75" customHeight="1" x14ac:dyDescent="0.2">
      <c r="A6" s="1" t="s">
        <v>276</v>
      </c>
      <c r="B6" s="4">
        <f>_xll.ciqfunctions.udf.CIQ(InputTicker, "IQ_GAIN_ASSETS_REV",Input!D$2,Date,,,Ccy,Conv)</f>
        <v>0</v>
      </c>
      <c r="C6" s="4">
        <f>_xll.ciqfunctions.udf.CIQ(InputTicker, "IQ_GAIN_ASSETS_REV",Input!E$2,Date,,,Ccy,Conv)</f>
        <v>0</v>
      </c>
      <c r="D6" s="4">
        <f>_xll.ciqfunctions.udf.CIQ(InputTicker, "IQ_GAIN_ASSETS_REV",Input!F$2,Date,,,Ccy,Conv)</f>
        <v>0</v>
      </c>
      <c r="E6" s="4">
        <f>_xll.ciqfunctions.udf.CIQ(InputTicker, "IQ_GAIN_ASSETS_REV",Input!G$2,Date,,,Ccy,Conv)</f>
        <v>0</v>
      </c>
      <c r="F6" s="4">
        <f>_xll.ciqfunctions.udf.CIQ(InputTicker, "IQ_GAIN_ASSETS_REV",Input!H$2,Date,,,Ccy,Conv)</f>
        <v>0</v>
      </c>
      <c r="G6" s="4">
        <f>_xll.ciqfunctions.udf.CIQ(InputTicker, "IQ_GAIN_ASSETS_REV",Input!I$2,Date,,,Ccy,Conv)</f>
        <v>0</v>
      </c>
      <c r="H6" s="4">
        <f>_xll.ciqfunctions.udf.CIQ(InputTicker, "IQ_GAIN_ASSETS_REV",Input!J$2,Date,,,Ccy,Conv)</f>
        <v>0</v>
      </c>
      <c r="I6" s="4">
        <f>_xll.ciqfunctions.udf.CIQ(InputTicker, "IQ_GAIN_ASSETS_REV",Input!K$2,Date,,,Ccy,Conv)</f>
        <v>0</v>
      </c>
      <c r="J6" s="4">
        <f>_xll.ciqfunctions.udf.CIQ(InputTicker, "IQ_GAIN_ASSETS_REV",Input!L$2,Date,,,Ccy,Conv)</f>
        <v>0</v>
      </c>
      <c r="K6" s="4">
        <f>_xll.ciqfunctions.udf.CIQ(InputTicker, "IQ_GAIN_ASSETS_REV",Input!M$2,Date,,,Ccy,Conv)</f>
        <v>0</v>
      </c>
      <c r="L6" s="4">
        <f>_xll.ciqfunctions.udf.CIQ(InputTicker, "IQ_GAIN_ASSETS_REV",Input!N$2,Date,,,Ccy,Conv)</f>
        <v>0</v>
      </c>
      <c r="M6" s="4">
        <f>_xll.ciqfunctions.udf.CIQ(InputTicker, "IQ_GAIN_ASSETS_REV",Input!O$2,Date,,,Ccy,Conv)</f>
        <v>0</v>
      </c>
      <c r="N6" s="42"/>
      <c r="P6" s="45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2"/>
      <c r="BD6" s="42"/>
      <c r="BE6" s="42"/>
      <c r="BF6" s="42"/>
      <c r="BG6" s="42"/>
      <c r="BH6" s="42"/>
      <c r="BI6" s="42"/>
      <c r="BJ6" s="42"/>
      <c r="BK6" s="42"/>
      <c r="BL6" s="42"/>
      <c r="BM6" s="42"/>
      <c r="BN6" s="42"/>
    </row>
    <row r="7" spans="1:66" ht="12.75" customHeight="1" x14ac:dyDescent="0.2">
      <c r="A7" s="1" t="s">
        <v>277</v>
      </c>
      <c r="B7" s="4">
        <f>_xll.ciqfunctions.udf.CIQ(InputTicker, "IQ_GAIN_INVEST_REV",Input!D$2,Date,,,Ccy,Conv)</f>
        <v>0</v>
      </c>
      <c r="C7" s="4">
        <f>_xll.ciqfunctions.udf.CIQ(InputTicker, "IQ_GAIN_INVEST_REV",Input!E$2,Date,,,Ccy,Conv)</f>
        <v>0</v>
      </c>
      <c r="D7" s="4">
        <f>_xll.ciqfunctions.udf.CIQ(InputTicker, "IQ_GAIN_INVEST_REV",Input!F$2,Date,,,Ccy,Conv)</f>
        <v>0</v>
      </c>
      <c r="E7" s="4">
        <f>_xll.ciqfunctions.udf.CIQ(InputTicker, "IQ_GAIN_INVEST_REV",Input!G$2,Date,,,Ccy,Conv)</f>
        <v>0</v>
      </c>
      <c r="F7" s="4">
        <f>_xll.ciqfunctions.udf.CIQ(InputTicker, "IQ_GAIN_INVEST_REV",Input!H$2,Date,,,Ccy,Conv)</f>
        <v>0</v>
      </c>
      <c r="G7" s="4">
        <f>_xll.ciqfunctions.udf.CIQ(InputTicker, "IQ_GAIN_INVEST_REV",Input!I$2,Date,,,Ccy,Conv)</f>
        <v>0</v>
      </c>
      <c r="H7" s="4">
        <f>_xll.ciqfunctions.udf.CIQ(InputTicker, "IQ_GAIN_INVEST_REV",Input!J$2,Date,,,Ccy,Conv)</f>
        <v>0</v>
      </c>
      <c r="I7" s="4">
        <f>_xll.ciqfunctions.udf.CIQ(InputTicker, "IQ_GAIN_INVEST_REV",Input!K$2,Date,,,Ccy,Conv)</f>
        <v>0</v>
      </c>
      <c r="J7" s="4">
        <f>_xll.ciqfunctions.udf.CIQ(InputTicker, "IQ_GAIN_INVEST_REV",Input!L$2,Date,,,Ccy,Conv)</f>
        <v>0</v>
      </c>
      <c r="K7" s="4">
        <f>_xll.ciqfunctions.udf.CIQ(InputTicker, "IQ_GAIN_INVEST_REV",Input!M$2,Date,,,Ccy,Conv)</f>
        <v>0</v>
      </c>
      <c r="L7" s="4">
        <f>_xll.ciqfunctions.udf.CIQ(InputTicker, "IQ_GAIN_INVEST_REV",Input!N$2,Date,,,Ccy,Conv)</f>
        <v>0</v>
      </c>
      <c r="M7" s="4">
        <f>_xll.ciqfunctions.udf.CIQ(InputTicker, "IQ_GAIN_INVEST_REV",Input!O$2,Date,,,Ccy,Conv)</f>
        <v>0</v>
      </c>
      <c r="N7" s="42"/>
      <c r="P7" s="45"/>
      <c r="T7" s="42"/>
      <c r="U7" s="42"/>
      <c r="V7" s="42"/>
      <c r="W7" s="42"/>
      <c r="X7" s="42"/>
      <c r="Y7" s="42"/>
      <c r="Z7" s="42"/>
      <c r="AA7" s="42"/>
      <c r="AB7" s="42"/>
      <c r="AC7" s="42"/>
      <c r="AD7" s="42"/>
      <c r="AE7" s="42"/>
      <c r="AF7" s="42"/>
      <c r="AG7" s="42" t="s">
        <v>603</v>
      </c>
      <c r="AH7" s="42" t="s">
        <v>603</v>
      </c>
      <c r="AI7" s="42"/>
      <c r="AJ7" s="42" t="s">
        <v>603</v>
      </c>
      <c r="AK7" s="42" t="s">
        <v>603</v>
      </c>
      <c r="AL7" s="42"/>
      <c r="AM7" s="42" t="s">
        <v>603</v>
      </c>
      <c r="AN7" s="42" t="s">
        <v>603</v>
      </c>
      <c r="AO7" s="42"/>
      <c r="AP7" s="42" t="s">
        <v>603</v>
      </c>
      <c r="AQ7" s="42" t="s">
        <v>603</v>
      </c>
      <c r="AR7" s="42"/>
      <c r="AS7" s="42" t="s">
        <v>603</v>
      </c>
      <c r="AT7" s="42" t="s">
        <v>603</v>
      </c>
      <c r="AU7" s="42"/>
      <c r="AV7" s="42" t="s">
        <v>603</v>
      </c>
      <c r="AW7" s="42" t="s">
        <v>603</v>
      </c>
      <c r="AX7" s="42"/>
      <c r="AY7" s="42" t="s">
        <v>603</v>
      </c>
      <c r="AZ7" s="42" t="s">
        <v>603</v>
      </c>
      <c r="BA7" s="42"/>
      <c r="BB7" s="42" t="s">
        <v>603</v>
      </c>
      <c r="BC7" s="42" t="s">
        <v>603</v>
      </c>
      <c r="BD7" s="42"/>
      <c r="BE7" s="42" t="s">
        <v>603</v>
      </c>
      <c r="BF7" s="42" t="s">
        <v>603</v>
      </c>
      <c r="BG7" s="42"/>
      <c r="BH7" s="42" t="s">
        <v>603</v>
      </c>
      <c r="BI7" s="42" t="s">
        <v>603</v>
      </c>
      <c r="BJ7" s="42"/>
      <c r="BK7" s="42" t="s">
        <v>603</v>
      </c>
      <c r="BL7" s="42" t="s">
        <v>603</v>
      </c>
      <c r="BM7" s="42"/>
      <c r="BN7" s="42"/>
    </row>
    <row r="8" spans="1:66" ht="12.75" customHeight="1" x14ac:dyDescent="0.2">
      <c r="A8" s="1" t="s">
        <v>159</v>
      </c>
      <c r="B8" s="4">
        <f>_xll.ciqfunctions.udf.CIQ(InputTicker, "IQ_INT_INV_INC",Input!D$2,Date,,,Ccy,Conv)</f>
        <v>0</v>
      </c>
      <c r="C8" s="4">
        <f>_xll.ciqfunctions.udf.CIQ(InputTicker, "IQ_INT_INV_INC",Input!E$2,Date,,,Ccy,Conv)</f>
        <v>0</v>
      </c>
      <c r="D8" s="4">
        <f>_xll.ciqfunctions.udf.CIQ(InputTicker, "IQ_INT_INV_INC",Input!F$2,Date,,,Ccy,Conv)</f>
        <v>0</v>
      </c>
      <c r="E8" s="4">
        <f>_xll.ciqfunctions.udf.CIQ(InputTicker, "IQ_INT_INV_INC",Input!G$2,Date,,,Ccy,Conv)</f>
        <v>0</v>
      </c>
      <c r="F8" s="4">
        <f>_xll.ciqfunctions.udf.CIQ(InputTicker, "IQ_INT_INV_INC",Input!H$2,Date,,,Ccy,Conv)</f>
        <v>0</v>
      </c>
      <c r="G8" s="4">
        <f>_xll.ciqfunctions.udf.CIQ(InputTicker, "IQ_INT_INV_INC",Input!I$2,Date,,,Ccy,Conv)</f>
        <v>0</v>
      </c>
      <c r="H8" s="4">
        <f>_xll.ciqfunctions.udf.CIQ(InputTicker, "IQ_INT_INV_INC",Input!J$2,Date,,,Ccy,Conv)</f>
        <v>0</v>
      </c>
      <c r="I8" s="4">
        <f>_xll.ciqfunctions.udf.CIQ(InputTicker, "IQ_INT_INV_INC",Input!K$2,Date,,,Ccy,Conv)</f>
        <v>0</v>
      </c>
      <c r="J8" s="4">
        <f>_xll.ciqfunctions.udf.CIQ(InputTicker, "IQ_INT_INV_INC",Input!L$2,Date,,,Ccy,Conv)</f>
        <v>0</v>
      </c>
      <c r="K8" s="4">
        <f>_xll.ciqfunctions.udf.CIQ(InputTicker, "IQ_INT_INV_INC",Input!M$2,Date,,,Ccy,Conv)</f>
        <v>0</v>
      </c>
      <c r="L8" s="4">
        <f>_xll.ciqfunctions.udf.CIQ(InputTicker, "IQ_INT_INV_INC",Input!N$2,Date,,,Ccy,Conv)</f>
        <v>0</v>
      </c>
      <c r="M8" s="4">
        <f>_xll.ciqfunctions.udf.CIQ(InputTicker, "IQ_INT_INV_INC",Input!O$2,Date,,,Ccy,Conv)</f>
        <v>0</v>
      </c>
      <c r="N8" s="42"/>
      <c r="P8" s="45"/>
      <c r="T8" s="42"/>
      <c r="U8" s="42"/>
      <c r="V8" s="42"/>
      <c r="W8" s="42"/>
      <c r="X8" s="42"/>
      <c r="Y8" s="42"/>
      <c r="Z8" s="42"/>
      <c r="AA8" s="42"/>
      <c r="AB8" s="42"/>
      <c r="AC8" s="42"/>
      <c r="AD8" s="42"/>
      <c r="AE8" s="42"/>
      <c r="AF8" s="42"/>
      <c r="AG8" s="42"/>
      <c r="AH8" s="42"/>
      <c r="AI8" s="42"/>
      <c r="AJ8" s="42"/>
      <c r="AK8" s="42"/>
      <c r="AL8" s="42"/>
      <c r="AM8" s="42"/>
      <c r="AN8" s="42"/>
      <c r="AO8" s="42"/>
      <c r="AP8" s="42"/>
      <c r="AQ8" s="42"/>
      <c r="AR8" s="42"/>
      <c r="AS8" s="42"/>
      <c r="AT8" s="42"/>
      <c r="AU8" s="42"/>
      <c r="AV8" s="42"/>
      <c r="AW8" s="42"/>
      <c r="AX8" s="42"/>
      <c r="AY8" s="42"/>
      <c r="AZ8" s="42"/>
      <c r="BA8" s="42"/>
      <c r="BB8" s="42"/>
      <c r="BC8" s="42"/>
      <c r="BD8" s="42"/>
      <c r="BE8" s="42"/>
      <c r="BF8" s="42"/>
      <c r="BG8" s="42"/>
      <c r="BH8" s="42"/>
      <c r="BI8" s="42"/>
      <c r="BJ8" s="42"/>
      <c r="BK8" s="42"/>
      <c r="BL8" s="42"/>
      <c r="BM8" s="42"/>
      <c r="BN8" s="42"/>
    </row>
    <row r="9" spans="1:66" ht="12.75" customHeight="1" x14ac:dyDescent="0.2">
      <c r="A9" s="1" t="s">
        <v>123</v>
      </c>
      <c r="B9" s="4">
        <f>_xll.ciqfunctions.udf.CIQ(InputTicker, "IQ_OTHER_REV_SUPPL",Input!D$2,Date,,,Ccy,Conv)</f>
        <v>0</v>
      </c>
      <c r="C9" s="4">
        <f>_xll.ciqfunctions.udf.CIQ(InputTicker, "IQ_OTHER_REV_SUPPL",Input!E$2,Date,,,Ccy,Conv)</f>
        <v>0</v>
      </c>
      <c r="D9" s="4">
        <f>_xll.ciqfunctions.udf.CIQ(InputTicker, "IQ_OTHER_REV_SUPPL",Input!F$2,Date,,,Ccy,Conv)</f>
        <v>0</v>
      </c>
      <c r="E9" s="4">
        <f>_xll.ciqfunctions.udf.CIQ(InputTicker, "IQ_OTHER_REV_SUPPL",Input!G$2,Date,,,Ccy,Conv)</f>
        <v>0</v>
      </c>
      <c r="F9" s="4">
        <f>_xll.ciqfunctions.udf.CIQ(InputTicker, "IQ_OTHER_REV_SUPPL",Input!H$2,Date,,,Ccy,Conv)</f>
        <v>0</v>
      </c>
      <c r="G9" s="4">
        <f>_xll.ciqfunctions.udf.CIQ(InputTicker, "IQ_OTHER_REV_SUPPL",Input!I$2,Date,,,Ccy,Conv)</f>
        <v>0</v>
      </c>
      <c r="H9" s="4">
        <f>_xll.ciqfunctions.udf.CIQ(InputTicker, "IQ_OTHER_REV_SUPPL",Input!J$2,Date,,,Ccy,Conv)</f>
        <v>0</v>
      </c>
      <c r="I9" s="4">
        <f>_xll.ciqfunctions.udf.CIQ(InputTicker, "IQ_OTHER_REV_SUPPL",Input!K$2,Date,,,Ccy,Conv)</f>
        <v>0</v>
      </c>
      <c r="J9" s="4">
        <f>_xll.ciqfunctions.udf.CIQ(InputTicker, "IQ_OTHER_REV_SUPPL",Input!L$2,Date,,,Ccy,Conv)</f>
        <v>0</v>
      </c>
      <c r="K9" s="4">
        <f>_xll.ciqfunctions.udf.CIQ(InputTicker, "IQ_OTHER_REV_SUPPL",Input!M$2,Date,,,Ccy,Conv)</f>
        <v>0</v>
      </c>
      <c r="L9" s="4">
        <f>_xll.ciqfunctions.udf.CIQ(InputTicker, "IQ_OTHER_REV_SUPPL",Input!N$2,Date,,,Ccy,Conv)</f>
        <v>0</v>
      </c>
      <c r="M9" s="4">
        <f>_xll.ciqfunctions.udf.CIQ(InputTicker, "IQ_OTHER_REV_SUPPL",Input!O$2,Date,,,Ccy,Conv)</f>
        <v>0</v>
      </c>
      <c r="N9" s="42"/>
      <c r="P9" s="45"/>
      <c r="T9" s="42"/>
      <c r="U9" s="42"/>
      <c r="V9" s="42"/>
      <c r="W9" s="42"/>
      <c r="X9" s="42"/>
      <c r="Y9" s="42"/>
      <c r="Z9" s="42"/>
      <c r="AA9" s="42"/>
      <c r="AB9" s="42"/>
      <c r="AC9" s="42"/>
      <c r="AD9" s="42"/>
      <c r="AE9" s="42"/>
      <c r="AF9" s="42"/>
      <c r="AG9" s="42"/>
      <c r="AH9" s="42"/>
      <c r="AI9" s="42"/>
      <c r="AJ9" s="42"/>
      <c r="AK9" s="42"/>
      <c r="AL9" s="42"/>
      <c r="AM9" s="42"/>
      <c r="AN9" s="42"/>
      <c r="AO9" s="42"/>
      <c r="AP9" s="42"/>
      <c r="AQ9" s="42"/>
      <c r="AR9" s="42"/>
      <c r="AS9" s="42"/>
      <c r="AT9" s="42"/>
      <c r="AU9" s="42"/>
      <c r="AV9" s="42"/>
      <c r="AW9" s="42"/>
      <c r="AX9" s="42"/>
      <c r="AY9" s="42"/>
      <c r="AZ9" s="42"/>
      <c r="BA9" s="42"/>
      <c r="BB9" s="42"/>
      <c r="BC9" s="42"/>
      <c r="BD9" s="42"/>
      <c r="BE9" s="42"/>
      <c r="BF9" s="42"/>
      <c r="BG9" s="42"/>
      <c r="BH9" s="42"/>
      <c r="BI9" s="42"/>
      <c r="BJ9" s="42"/>
      <c r="BK9" s="42"/>
      <c r="BL9" s="42"/>
      <c r="BM9" s="42"/>
      <c r="BN9" s="42"/>
    </row>
    <row r="10" spans="1:66" ht="12.75" customHeight="1" x14ac:dyDescent="0.2">
      <c r="A10" s="5" t="s">
        <v>58</v>
      </c>
      <c r="B10" s="6">
        <f>_xll.ciqfunctions.udf.CIQ(InputTicker, "IQ_TOTAL_REV",Input!D$2,Date,,,Ccy,Conv)</f>
        <v>91154</v>
      </c>
      <c r="C10" s="6">
        <f>_xll.ciqfunctions.udf.CIQ(InputTicker, "IQ_TOTAL_REV",Input!E$2,Date,,,Ccy,Conv)</f>
        <v>96571</v>
      </c>
      <c r="D10" s="6">
        <f>_xll.ciqfunctions.udf.CIQ(InputTicker, "IQ_TOTAL_REV",Input!F$2,Date,,,Ccy,Conv)</f>
        <v>110360</v>
      </c>
      <c r="E10" s="6">
        <f>_xll.ciqfunctions.udf.CIQ(InputTicker, "IQ_TOTAL_REV",Input!G$2,Date,,,Ccy,Conv)</f>
        <v>125843</v>
      </c>
      <c r="F10" s="6">
        <f>_xll.ciqfunctions.udf.CIQ(InputTicker, "IQ_TOTAL_REV",Input!H$2,Date,,,Ccy,Conv)</f>
        <v>143015</v>
      </c>
      <c r="G10" s="6">
        <f>_xll.ciqfunctions.udf.CIQ(InputTicker, "IQ_TOTAL_REV",Input!I$2,Date,,,Ccy,Conv)</f>
        <v>168088</v>
      </c>
      <c r="H10" s="6">
        <f>_xll.ciqfunctions.udf.CIQ(InputTicker, "IQ_TOTAL_REV",Input!J$2,Date,,,Ccy,Conv)</f>
        <v>198270</v>
      </c>
      <c r="I10" s="6">
        <f>_xll.ciqfunctions.udf.CIQ(InputTicker, "IQ_TOTAL_REV",Input!K$2,Date,,,Ccy,Conv)</f>
        <v>211915</v>
      </c>
      <c r="J10" s="6">
        <f>_xll.ciqfunctions.udf.CIQ(InputTicker, "IQ_TOTAL_REV",Input!L$2,Date,,,Ccy,Conv)</f>
        <v>245122</v>
      </c>
      <c r="K10" s="6">
        <f>_xll.ciqfunctions.udf.CIQ(InputTicker, "IQ_TOTAL_REV",Input!M$2,Date,,,Ccy,Conv)</f>
        <v>281724</v>
      </c>
      <c r="L10" s="6">
        <f>_xll.ciqfunctions.udf.CIQ(InputTicker, "IQ_TOTAL_REV",Input!N$2,Date,,,Ccy,Conv)</f>
        <v>331839</v>
      </c>
      <c r="M10" s="6">
        <f>_xll.ciqfunctions.udf.CIQ(InputTicker, "IQ_TOTAL_REV",Input!O$2,Date,,,Ccy,Conv)</f>
        <v>331839</v>
      </c>
      <c r="N10" s="46"/>
      <c r="P10" s="45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2"/>
      <c r="AG10" s="42"/>
      <c r="AH10" s="42"/>
      <c r="AI10" s="42"/>
      <c r="AJ10" s="42"/>
      <c r="AK10" s="42"/>
      <c r="AL10" s="42"/>
      <c r="AM10" s="42"/>
      <c r="AN10" s="42"/>
      <c r="AO10" s="42"/>
      <c r="AP10" s="42"/>
      <c r="AQ10" s="42"/>
      <c r="AR10" s="42"/>
      <c r="AS10" s="42"/>
      <c r="AT10" s="42"/>
      <c r="AU10" s="42"/>
      <c r="AV10" s="42"/>
      <c r="AW10" s="42"/>
      <c r="AX10" s="42"/>
      <c r="AY10" s="42"/>
      <c r="AZ10" s="42"/>
      <c r="BA10" s="42"/>
      <c r="BB10" s="42"/>
      <c r="BC10" s="42"/>
      <c r="BD10" s="42"/>
      <c r="BE10" s="42"/>
      <c r="BF10" s="42"/>
      <c r="BG10" s="42"/>
      <c r="BH10" s="42"/>
      <c r="BI10" s="42"/>
      <c r="BJ10" s="42"/>
      <c r="BK10" s="42"/>
      <c r="BL10" s="42"/>
      <c r="BM10" s="42"/>
      <c r="BN10" s="42"/>
    </row>
    <row r="11" spans="1:66" ht="12.75" customHeight="1" x14ac:dyDescent="0.2">
      <c r="A11" s="1" t="s">
        <v>124</v>
      </c>
      <c r="B11" s="4">
        <f>_xll.ciqfunctions.udf.CIQ(InputTicker, "IQ_COGS",Input!D$2,Date,,,Ccy,Conv)</f>
        <v>32780</v>
      </c>
      <c r="C11" s="4">
        <f>_xll.ciqfunctions.udf.CIQ(InputTicker, "IQ_COGS",Input!E$2,Date,,,Ccy,Conv)</f>
        <v>34261</v>
      </c>
      <c r="D11" s="4">
        <f>_xll.ciqfunctions.udf.CIQ(InputTicker, "IQ_COGS",Input!F$2,Date,,,Ccy,Conv)</f>
        <v>38353</v>
      </c>
      <c r="E11" s="4">
        <f>_xll.ciqfunctions.udf.CIQ(InputTicker, "IQ_COGS",Input!G$2,Date,,,Ccy,Conv)</f>
        <v>42910</v>
      </c>
      <c r="F11" s="4">
        <f>_xll.ciqfunctions.udf.CIQ(InputTicker, "IQ_COGS",Input!H$2,Date,,,Ccy,Conv)</f>
        <v>46078</v>
      </c>
      <c r="G11" s="4">
        <f>_xll.ciqfunctions.udf.CIQ(InputTicker, "IQ_COGS",Input!I$2,Date,,,Ccy,Conv)</f>
        <v>52232</v>
      </c>
      <c r="H11" s="4">
        <f>_xll.ciqfunctions.udf.CIQ(InputTicker, "IQ_COGS",Input!J$2,Date,,,Ccy,Conv)</f>
        <v>62650</v>
      </c>
      <c r="I11" s="4">
        <f>_xll.ciqfunctions.udf.CIQ(InputTicker, "IQ_COGS",Input!K$2,Date,,,Ccy,Conv)</f>
        <v>65863</v>
      </c>
      <c r="J11" s="4">
        <f>_xll.ciqfunctions.udf.CIQ(InputTicker, "IQ_COGS",Input!L$2,Date,,,Ccy,Conv)</f>
        <v>74114</v>
      </c>
      <c r="K11" s="4">
        <f>_xll.ciqfunctions.udf.CIQ(InputTicker, "IQ_COGS",Input!M$2,Date,,,Ccy,Conv)</f>
        <v>87831</v>
      </c>
      <c r="L11" s="4">
        <f>_xll.ciqfunctions.udf.CIQ(InputTicker, "IQ_COGS",Input!N$2,Date,,,Ccy,Conv)</f>
        <v>106374</v>
      </c>
      <c r="M11" s="4">
        <f>_xll.ciqfunctions.udf.CIQ(InputTicker, "IQ_COGS",Input!O$2,Date,,,Ccy,Conv)</f>
        <v>106374</v>
      </c>
      <c r="N11" s="46"/>
      <c r="P11" s="45"/>
      <c r="Q11" s="46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2"/>
      <c r="AG11" s="42"/>
      <c r="AH11" s="42"/>
      <c r="AI11" s="42"/>
      <c r="AJ11" s="42"/>
      <c r="AK11" s="42"/>
      <c r="AL11" s="42"/>
      <c r="AM11" s="42"/>
      <c r="AN11" s="42"/>
      <c r="AO11" s="42"/>
      <c r="AP11" s="42"/>
      <c r="AQ11" s="42"/>
      <c r="AR11" s="42"/>
      <c r="AS11" s="42"/>
      <c r="AT11" s="42"/>
      <c r="AU11" s="42"/>
      <c r="AV11" s="42"/>
      <c r="AW11" s="42"/>
      <c r="AX11" s="42"/>
      <c r="AY11" s="42"/>
      <c r="AZ11" s="42"/>
      <c r="BA11" s="42"/>
      <c r="BB11" s="42"/>
      <c r="BC11" s="42"/>
      <c r="BD11" s="42"/>
      <c r="BE11" s="42"/>
      <c r="BF11" s="42"/>
      <c r="BG11" s="42"/>
      <c r="BH11" s="42"/>
      <c r="BI11" s="42"/>
      <c r="BJ11" s="42"/>
      <c r="BK11" s="42"/>
      <c r="BL11" s="42"/>
      <c r="BM11" s="42"/>
      <c r="BN11" s="42"/>
    </row>
    <row r="12" spans="1:66" ht="12.75" customHeight="1" x14ac:dyDescent="0.2">
      <c r="A12" s="1" t="s">
        <v>160</v>
      </c>
      <c r="B12" s="4">
        <f>_xll.ciqfunctions.udf.CIQ(InputTicker, "IQ_FIN_DIV_EXP",Input!D$2,Date,,,Ccy,Conv)</f>
        <v>0</v>
      </c>
      <c r="C12" s="4">
        <f>_xll.ciqfunctions.udf.CIQ(InputTicker, "IQ_FIN_DIV_EXP",Input!E$2,Date,,,Ccy,Conv)</f>
        <v>0</v>
      </c>
      <c r="D12" s="4">
        <f>_xll.ciqfunctions.udf.CIQ(InputTicker, "IQ_FIN_DIV_EXP",Input!F$2,Date,,,Ccy,Conv)</f>
        <v>0</v>
      </c>
      <c r="E12" s="4">
        <f>_xll.ciqfunctions.udf.CIQ(InputTicker, "IQ_FIN_DIV_EXP",Input!G$2,Date,,,Ccy,Conv)</f>
        <v>0</v>
      </c>
      <c r="F12" s="4">
        <f>_xll.ciqfunctions.udf.CIQ(InputTicker, "IQ_FIN_DIV_EXP",Input!H$2,Date,,,Ccy,Conv)</f>
        <v>0</v>
      </c>
      <c r="G12" s="4">
        <f>_xll.ciqfunctions.udf.CIQ(InputTicker, "IQ_FIN_DIV_EXP",Input!I$2,Date,,,Ccy,Conv)</f>
        <v>0</v>
      </c>
      <c r="H12" s="4">
        <f>_xll.ciqfunctions.udf.CIQ(InputTicker, "IQ_FIN_DIV_EXP",Input!J$2,Date,,,Ccy,Conv)</f>
        <v>0</v>
      </c>
      <c r="I12" s="4">
        <f>_xll.ciqfunctions.udf.CIQ(InputTicker, "IQ_FIN_DIV_EXP",Input!K$2,Date,,,Ccy,Conv)</f>
        <v>0</v>
      </c>
      <c r="J12" s="4">
        <f>_xll.ciqfunctions.udf.CIQ(InputTicker, "IQ_FIN_DIV_EXP",Input!L$2,Date,,,Ccy,Conv)</f>
        <v>0</v>
      </c>
      <c r="K12" s="4">
        <f>_xll.ciqfunctions.udf.CIQ(InputTicker, "IQ_FIN_DIV_EXP",Input!M$2,Date,,,Ccy,Conv)</f>
        <v>0</v>
      </c>
      <c r="L12" s="4">
        <f>_xll.ciqfunctions.udf.CIQ(InputTicker, "IQ_FIN_DIV_EXP",Input!N$2,Date,,,Ccy,Conv)</f>
        <v>0</v>
      </c>
      <c r="M12" s="4">
        <f>_xll.ciqfunctions.udf.CIQ(InputTicker, "IQ_FIN_DIV_EXP",Input!O$2,Date,,,Ccy,Conv)</f>
        <v>0</v>
      </c>
      <c r="N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2"/>
      <c r="AG12" s="42"/>
      <c r="AH12" s="42"/>
      <c r="AI12" s="42"/>
      <c r="AJ12" s="42"/>
      <c r="AK12" s="42"/>
      <c r="AL12" s="42"/>
      <c r="AM12" s="42"/>
      <c r="AN12" s="42"/>
      <c r="AO12" s="42"/>
      <c r="AP12" s="42"/>
      <c r="AQ12" s="42"/>
      <c r="AR12" s="42"/>
      <c r="AS12" s="42"/>
      <c r="AT12" s="42"/>
      <c r="AU12" s="42"/>
      <c r="AV12" s="42"/>
      <c r="AW12" s="42"/>
      <c r="AX12" s="42"/>
      <c r="AY12" s="42"/>
      <c r="AZ12" s="42"/>
      <c r="BA12" s="42"/>
      <c r="BB12" s="42"/>
      <c r="BC12" s="42"/>
      <c r="BD12" s="42"/>
      <c r="BE12" s="42"/>
      <c r="BF12" s="42"/>
      <c r="BG12" s="42"/>
      <c r="BH12" s="42"/>
      <c r="BI12" s="42"/>
      <c r="BJ12" s="42"/>
      <c r="BK12" s="42"/>
      <c r="BL12" s="42"/>
      <c r="BM12" s="42"/>
      <c r="BN12" s="42"/>
    </row>
    <row r="13" spans="1:66" ht="12.75" customHeight="1" x14ac:dyDescent="0.2">
      <c r="A13" s="1" t="s">
        <v>161</v>
      </c>
      <c r="B13" s="4">
        <f>_xll.ciqfunctions.udf.CIQ(InputTicker, "IQ_INS_DIV_EXP",Input!D$2,Date,,,Ccy,Conv)</f>
        <v>0</v>
      </c>
      <c r="C13" s="4">
        <f>_xll.ciqfunctions.udf.CIQ(InputTicker, "IQ_INS_DIV_EXP",Input!E$2,Date,,,Ccy,Conv)</f>
        <v>0</v>
      </c>
      <c r="D13" s="4">
        <f>_xll.ciqfunctions.udf.CIQ(InputTicker, "IQ_INS_DIV_EXP",Input!F$2,Date,,,Ccy,Conv)</f>
        <v>0</v>
      </c>
      <c r="E13" s="4">
        <f>_xll.ciqfunctions.udf.CIQ(InputTicker, "IQ_INS_DIV_EXP",Input!G$2,Date,,,Ccy,Conv)</f>
        <v>0</v>
      </c>
      <c r="F13" s="4">
        <f>_xll.ciqfunctions.udf.CIQ(InputTicker, "IQ_INS_DIV_EXP",Input!H$2,Date,,,Ccy,Conv)</f>
        <v>0</v>
      </c>
      <c r="G13" s="4">
        <f>_xll.ciqfunctions.udf.CIQ(InputTicker, "IQ_INS_DIV_EXP",Input!I$2,Date,,,Ccy,Conv)</f>
        <v>0</v>
      </c>
      <c r="H13" s="4">
        <f>_xll.ciqfunctions.udf.CIQ(InputTicker, "IQ_INS_DIV_EXP",Input!J$2,Date,,,Ccy,Conv)</f>
        <v>0</v>
      </c>
      <c r="I13" s="4">
        <f>_xll.ciqfunctions.udf.CIQ(InputTicker, "IQ_INS_DIV_EXP",Input!K$2,Date,,,Ccy,Conv)</f>
        <v>0</v>
      </c>
      <c r="J13" s="4">
        <f>_xll.ciqfunctions.udf.CIQ(InputTicker, "IQ_INS_DIV_EXP",Input!L$2,Date,,,Ccy,Conv)</f>
        <v>0</v>
      </c>
      <c r="K13" s="4">
        <f>_xll.ciqfunctions.udf.CIQ(InputTicker, "IQ_INS_DIV_EXP",Input!M$2,Date,,,Ccy,Conv)</f>
        <v>0</v>
      </c>
      <c r="L13" s="4">
        <f>_xll.ciqfunctions.udf.CIQ(InputTicker, "IQ_INS_DIV_EXP",Input!N$2,Date,,,Ccy,Conv)</f>
        <v>0</v>
      </c>
      <c r="M13" s="4">
        <f>_xll.ciqfunctions.udf.CIQ(InputTicker, "IQ_INS_DIV_EXP",Input!O$2,Date,,,Ccy,Conv)</f>
        <v>0</v>
      </c>
      <c r="N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2"/>
      <c r="AG13" s="42"/>
      <c r="AH13" s="42"/>
      <c r="AI13" s="42"/>
      <c r="AJ13" s="42"/>
      <c r="AK13" s="42"/>
      <c r="AL13" s="42"/>
      <c r="AM13" s="42"/>
      <c r="AN13" s="42"/>
      <c r="AO13" s="42"/>
      <c r="AP13" s="42"/>
      <c r="AQ13" s="42"/>
      <c r="AR13" s="42"/>
      <c r="AS13" s="42"/>
      <c r="AT13" s="42"/>
      <c r="AU13" s="42"/>
      <c r="AV13" s="42"/>
      <c r="AW13" s="42"/>
      <c r="AX13" s="42"/>
      <c r="AY13" s="42"/>
      <c r="AZ13" s="42"/>
      <c r="BA13" s="42"/>
      <c r="BB13" s="42"/>
      <c r="BC13" s="42"/>
      <c r="BD13" s="42"/>
      <c r="BE13" s="42"/>
      <c r="BF13" s="42"/>
      <c r="BG13" s="42"/>
      <c r="BH13" s="42"/>
      <c r="BI13" s="42"/>
      <c r="BJ13" s="42"/>
      <c r="BK13" s="42"/>
      <c r="BL13" s="42"/>
      <c r="BM13" s="42"/>
      <c r="BN13" s="42"/>
    </row>
    <row r="14" spans="1:66" ht="12.75" customHeight="1" x14ac:dyDescent="0.2">
      <c r="A14" s="1" t="s">
        <v>162</v>
      </c>
      <c r="B14" s="4">
        <f>_xll.ciqfunctions.udf.CIQ(InputTicker, "IQ_FIN_DIV_INT_EXP",Input!D$2,Date,,,Ccy,Conv)</f>
        <v>0</v>
      </c>
      <c r="C14" s="4">
        <f>_xll.ciqfunctions.udf.CIQ(InputTicker, "IQ_FIN_DIV_INT_EXP",Input!E$2,Date,,,Ccy,Conv)</f>
        <v>0</v>
      </c>
      <c r="D14" s="4">
        <f>_xll.ciqfunctions.udf.CIQ(InputTicker, "IQ_FIN_DIV_INT_EXP",Input!F$2,Date,,,Ccy,Conv)</f>
        <v>0</v>
      </c>
      <c r="E14" s="4">
        <f>_xll.ciqfunctions.udf.CIQ(InputTicker, "IQ_FIN_DIV_INT_EXP",Input!G$2,Date,,,Ccy,Conv)</f>
        <v>0</v>
      </c>
      <c r="F14" s="4">
        <f>_xll.ciqfunctions.udf.CIQ(InputTicker, "IQ_FIN_DIV_INT_EXP",Input!H$2,Date,,,Ccy,Conv)</f>
        <v>0</v>
      </c>
      <c r="G14" s="4">
        <f>_xll.ciqfunctions.udf.CIQ(InputTicker, "IQ_FIN_DIV_INT_EXP",Input!I$2,Date,,,Ccy,Conv)</f>
        <v>0</v>
      </c>
      <c r="H14" s="4">
        <f>_xll.ciqfunctions.udf.CIQ(InputTicker, "IQ_FIN_DIV_INT_EXP",Input!J$2,Date,,,Ccy,Conv)</f>
        <v>0</v>
      </c>
      <c r="I14" s="4">
        <f>_xll.ciqfunctions.udf.CIQ(InputTicker, "IQ_FIN_DIV_INT_EXP",Input!K$2,Date,,,Ccy,Conv)</f>
        <v>0</v>
      </c>
      <c r="J14" s="4">
        <f>_xll.ciqfunctions.udf.CIQ(InputTicker, "IQ_FIN_DIV_INT_EXP",Input!L$2,Date,,,Ccy,Conv)</f>
        <v>0</v>
      </c>
      <c r="K14" s="4">
        <f>_xll.ciqfunctions.udf.CIQ(InputTicker, "IQ_FIN_DIV_INT_EXP",Input!M$2,Date,,,Ccy,Conv)</f>
        <v>0</v>
      </c>
      <c r="L14" s="4">
        <f>_xll.ciqfunctions.udf.CIQ(InputTicker, "IQ_FIN_DIV_INT_EXP",Input!N$2,Date,,,Ccy,Conv)</f>
        <v>0</v>
      </c>
      <c r="M14" s="4">
        <f>_xll.ciqfunctions.udf.CIQ(InputTicker, "IQ_FIN_DIV_INT_EXP",Input!O$2,Date,,,Ccy,Conv)</f>
        <v>0</v>
      </c>
      <c r="N14" s="4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2"/>
      <c r="AN14" s="42"/>
      <c r="AO14" s="42"/>
      <c r="AP14" s="42"/>
      <c r="AQ14" s="42"/>
      <c r="AR14" s="42"/>
      <c r="AS14" s="42"/>
      <c r="AT14" s="42"/>
      <c r="AU14" s="42"/>
      <c r="AV14" s="42"/>
      <c r="AW14" s="42"/>
      <c r="AX14" s="42"/>
      <c r="AY14" s="42"/>
      <c r="AZ14" s="42"/>
      <c r="BA14" s="42"/>
      <c r="BB14" s="42"/>
      <c r="BC14" s="42"/>
      <c r="BD14" s="42"/>
      <c r="BE14" s="42"/>
      <c r="BF14" s="42"/>
      <c r="BG14" s="42"/>
      <c r="BH14" s="42"/>
      <c r="BI14" s="42"/>
      <c r="BJ14" s="42"/>
      <c r="BK14" s="42"/>
      <c r="BL14" s="42"/>
      <c r="BM14" s="42"/>
      <c r="BN14" s="42"/>
    </row>
    <row r="15" spans="1:66" ht="12.75" customHeight="1" x14ac:dyDescent="0.2">
      <c r="A15" s="5" t="s">
        <v>53</v>
      </c>
      <c r="B15" s="6">
        <f>_xll.ciqfunctions.udf.CIQ(InputTicker, "IQ_GP",Input!D$2,Date,,,Ccy,Conv)</f>
        <v>58374</v>
      </c>
      <c r="C15" s="6">
        <f>_xll.ciqfunctions.udf.CIQ(InputTicker, "IQ_GP",Input!E$2,Date,,,Ccy,Conv)</f>
        <v>62310</v>
      </c>
      <c r="D15" s="6">
        <f>_xll.ciqfunctions.udf.CIQ(InputTicker, "IQ_GP",Input!F$2,Date,,,Ccy,Conv)</f>
        <v>72007</v>
      </c>
      <c r="E15" s="6">
        <f>_xll.ciqfunctions.udf.CIQ(InputTicker, "IQ_GP",Input!G$2,Date,,,Ccy,Conv)</f>
        <v>82933</v>
      </c>
      <c r="F15" s="6">
        <f>_xll.ciqfunctions.udf.CIQ(InputTicker, "IQ_GP",Input!H$2,Date,,,Ccy,Conv)</f>
        <v>96937</v>
      </c>
      <c r="G15" s="6">
        <f>_xll.ciqfunctions.udf.CIQ(InputTicker, "IQ_GP",Input!I$2,Date,,,Ccy,Conv)</f>
        <v>115856</v>
      </c>
      <c r="H15" s="6">
        <f>_xll.ciqfunctions.udf.CIQ(InputTicker, "IQ_GP",Input!J$2,Date,,,Ccy,Conv)</f>
        <v>135620</v>
      </c>
      <c r="I15" s="6">
        <f>_xll.ciqfunctions.udf.CIQ(InputTicker, "IQ_GP",Input!K$2,Date,,,Ccy,Conv)</f>
        <v>146052</v>
      </c>
      <c r="J15" s="6">
        <f>_xll.ciqfunctions.udf.CIQ(InputTicker, "IQ_GP",Input!L$2,Date,,,Ccy,Conv)</f>
        <v>171008</v>
      </c>
      <c r="K15" s="6">
        <f>_xll.ciqfunctions.udf.CIQ(InputTicker, "IQ_GP",Input!M$2,Date,,,Ccy,Conv)</f>
        <v>193893</v>
      </c>
      <c r="L15" s="6">
        <f>_xll.ciqfunctions.udf.CIQ(InputTicker, "IQ_GP",Input!N$2,Date,,,Ccy,Conv)</f>
        <v>225465</v>
      </c>
      <c r="M15" s="6">
        <f>_xll.ciqfunctions.udf.CIQ(InputTicker, "IQ_GP",Input!O$2,Date,,,Ccy,Conv)</f>
        <v>225465</v>
      </c>
      <c r="N15" s="46"/>
      <c r="P15" s="46"/>
      <c r="Q15" s="46"/>
      <c r="R15" s="46"/>
      <c r="T15" s="42"/>
      <c r="U15" s="42"/>
      <c r="V15" s="46"/>
      <c r="W15" s="42"/>
      <c r="X15" s="42"/>
      <c r="Y15" s="42"/>
      <c r="Z15" s="42"/>
      <c r="AA15" s="42"/>
      <c r="AB15" s="42"/>
      <c r="AC15" s="42"/>
      <c r="AD15" s="42"/>
      <c r="AE15" s="42"/>
      <c r="AF15" s="42"/>
      <c r="AG15" s="42"/>
      <c r="AH15" s="42"/>
      <c r="AI15" s="42"/>
      <c r="AJ15" s="42"/>
      <c r="AK15" s="42"/>
      <c r="AL15" s="42"/>
      <c r="AM15" s="42"/>
      <c r="AN15" s="42"/>
      <c r="AO15" s="42"/>
      <c r="AP15" s="42"/>
      <c r="AQ15" s="42"/>
      <c r="AR15" s="42"/>
      <c r="AS15" s="42"/>
      <c r="AT15" s="42"/>
      <c r="AU15" s="42"/>
      <c r="AV15" s="42"/>
      <c r="AW15" s="42"/>
      <c r="AX15" s="42"/>
      <c r="AY15" s="42"/>
      <c r="AZ15" s="42"/>
      <c r="BA15" s="42"/>
      <c r="BB15" s="42"/>
      <c r="BC15" s="42"/>
      <c r="BD15" s="42"/>
      <c r="BE15" s="42"/>
      <c r="BF15" s="42"/>
      <c r="BG15" s="42"/>
      <c r="BH15" s="42"/>
      <c r="BI15" s="42"/>
      <c r="BJ15" s="42"/>
      <c r="BK15" s="42"/>
      <c r="BL15" s="42"/>
      <c r="BM15" s="42"/>
      <c r="BN15" s="42"/>
    </row>
    <row r="16" spans="1:66" ht="12.75" customHeight="1" x14ac:dyDescent="0.2">
      <c r="A16" s="1" t="s">
        <v>125</v>
      </c>
      <c r="B16" s="4">
        <f>_xll.ciqfunctions.udf.CIQ(InputTicker, "IQ_SGA_SUPPL",Input!D$2,Date,,,Ccy,Conv)</f>
        <v>19198</v>
      </c>
      <c r="C16" s="4">
        <f>_xll.ciqfunctions.udf.CIQ(InputTicker, "IQ_SGA_SUPPL",Input!E$2,Date,,,Ccy,Conv)</f>
        <v>19942</v>
      </c>
      <c r="D16" s="4">
        <f>_xll.ciqfunctions.udf.CIQ(InputTicker, "IQ_SGA_SUPPL",Input!F$2,Date,,,Ccy,Conv)</f>
        <v>22223</v>
      </c>
      <c r="E16" s="4">
        <f>_xll.ciqfunctions.udf.CIQ(InputTicker, "IQ_SGA_SUPPL",Input!G$2,Date,,,Ccy,Conv)</f>
        <v>23098</v>
      </c>
      <c r="F16" s="4">
        <f>_xll.ciqfunctions.udf.CIQ(InputTicker, "IQ_SGA_SUPPL",Input!H$2,Date,,,Ccy,Conv)</f>
        <v>24709</v>
      </c>
      <c r="G16" s="4">
        <f>_xll.ciqfunctions.udf.CIQ(InputTicker, "IQ_SGA_SUPPL",Input!I$2,Date,,,Ccy,Conv)</f>
        <v>25224</v>
      </c>
      <c r="H16" s="4">
        <f>_xll.ciqfunctions.udf.CIQ(InputTicker, "IQ_SGA_SUPPL",Input!J$2,Date,,,Ccy,Conv)</f>
        <v>27725</v>
      </c>
      <c r="I16" s="4">
        <f>_xll.ciqfunctions.udf.CIQ(InputTicker, "IQ_SGA_SUPPL",Input!K$2,Date,,,Ccy,Conv)</f>
        <v>30334</v>
      </c>
      <c r="J16" s="4">
        <f>_xll.ciqfunctions.udf.CIQ(InputTicker, "IQ_SGA_SUPPL",Input!L$2,Date,,,Ccy,Conv)</f>
        <v>32065</v>
      </c>
      <c r="K16" s="4">
        <f>_xll.ciqfunctions.udf.CIQ(InputTicker, "IQ_SGA_SUPPL",Input!M$2,Date,,,Ccy,Conv)</f>
        <v>32877</v>
      </c>
      <c r="L16" s="4">
        <f>_xll.ciqfunctions.udf.CIQ(InputTicker, "IQ_SGA_SUPPL",Input!N$2,Date,,,Ccy,Conv)</f>
        <v>34666</v>
      </c>
      <c r="M16" s="4">
        <f>_xll.ciqfunctions.udf.CIQ(InputTicker, "IQ_SGA_SUPPL",Input!O$2,Date,,,Ccy,Conv)</f>
        <v>34666</v>
      </c>
      <c r="N16" s="46"/>
      <c r="P16" s="46"/>
      <c r="Q16" s="46"/>
      <c r="R16" s="46"/>
      <c r="T16" s="42"/>
      <c r="U16" s="42"/>
      <c r="V16" s="46"/>
      <c r="W16" s="42"/>
      <c r="X16" s="42"/>
      <c r="Y16" s="42"/>
      <c r="Z16" s="42"/>
      <c r="AA16" s="42"/>
      <c r="AB16" s="42"/>
      <c r="AC16" s="42"/>
      <c r="AD16" s="42"/>
      <c r="AE16" s="42"/>
      <c r="AF16" s="42"/>
      <c r="AG16" s="42"/>
      <c r="AH16" s="42"/>
      <c r="AI16" s="42"/>
      <c r="AJ16" s="42"/>
      <c r="AK16" s="42"/>
      <c r="AL16" s="42"/>
      <c r="AM16" s="42"/>
      <c r="AN16" s="42"/>
      <c r="AO16" s="42"/>
      <c r="AP16" s="42"/>
      <c r="AQ16" s="42"/>
      <c r="AR16" s="42"/>
      <c r="AS16" s="42"/>
      <c r="AT16" s="42"/>
      <c r="AU16" s="42"/>
      <c r="AV16" s="42"/>
      <c r="AW16" s="42"/>
      <c r="AX16" s="42"/>
      <c r="AY16" s="42"/>
      <c r="AZ16" s="42"/>
      <c r="BA16" s="42"/>
      <c r="BB16" s="42"/>
      <c r="BC16" s="42"/>
      <c r="BD16" s="42"/>
      <c r="BE16" s="42"/>
      <c r="BF16" s="42"/>
      <c r="BG16" s="42"/>
      <c r="BH16" s="42"/>
      <c r="BI16" s="42"/>
      <c r="BJ16" s="42"/>
      <c r="BK16" s="42"/>
      <c r="BL16" s="42"/>
      <c r="BM16" s="42"/>
      <c r="BN16" s="42"/>
    </row>
    <row r="17" spans="1:66" ht="12.75" customHeight="1" x14ac:dyDescent="0.2">
      <c r="A17" s="1" t="s">
        <v>209</v>
      </c>
      <c r="B17" s="4">
        <f>_xll.ciqfunctions.udf.CIQ(InputTicker, "IQ_EXPLORE_DRILL",Input!D$2,Date,,,Ccy,Conv)</f>
        <v>0</v>
      </c>
      <c r="C17" s="4">
        <f>_xll.ciqfunctions.udf.CIQ(InputTicker, "IQ_EXPLORE_DRILL",Input!E$2,Date,,,Ccy,Conv)</f>
        <v>0</v>
      </c>
      <c r="D17" s="4">
        <f>_xll.ciqfunctions.udf.CIQ(InputTicker, "IQ_EXPLORE_DRILL",Input!F$2,Date,,,Ccy,Conv)</f>
        <v>0</v>
      </c>
      <c r="E17" s="4">
        <f>_xll.ciqfunctions.udf.CIQ(InputTicker, "IQ_EXPLORE_DRILL",Input!G$2,Date,,,Ccy,Conv)</f>
        <v>0</v>
      </c>
      <c r="F17" s="4">
        <f>_xll.ciqfunctions.udf.CIQ(InputTicker, "IQ_EXPLORE_DRILL",Input!H$2,Date,,,Ccy,Conv)</f>
        <v>0</v>
      </c>
      <c r="G17" s="4">
        <f>_xll.ciqfunctions.udf.CIQ(InputTicker, "IQ_EXPLORE_DRILL",Input!I$2,Date,,,Ccy,Conv)</f>
        <v>0</v>
      </c>
      <c r="H17" s="4">
        <f>_xll.ciqfunctions.udf.CIQ(InputTicker, "IQ_EXPLORE_DRILL",Input!J$2,Date,,,Ccy,Conv)</f>
        <v>0</v>
      </c>
      <c r="I17" s="4">
        <f>_xll.ciqfunctions.udf.CIQ(InputTicker, "IQ_EXPLORE_DRILL",Input!K$2,Date,,,Ccy,Conv)</f>
        <v>0</v>
      </c>
      <c r="J17" s="4">
        <f>_xll.ciqfunctions.udf.CIQ(InputTicker, "IQ_EXPLORE_DRILL",Input!L$2,Date,,,Ccy,Conv)</f>
        <v>0</v>
      </c>
      <c r="K17" s="4">
        <f>_xll.ciqfunctions.udf.CIQ(InputTicker, "IQ_EXPLORE_DRILL",Input!M$2,Date,,,Ccy,Conv)</f>
        <v>0</v>
      </c>
      <c r="L17" s="4">
        <f>_xll.ciqfunctions.udf.CIQ(InputTicker, "IQ_EXPLORE_DRILL",Input!N$2,Date,,,Ccy,Conv)</f>
        <v>0</v>
      </c>
      <c r="M17" s="4">
        <f>_xll.ciqfunctions.udf.CIQ(InputTicker, "IQ_EXPLORE_DRILL",Input!O$2,Date,,,Ccy,Conv)</f>
        <v>0</v>
      </c>
      <c r="N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2"/>
      <c r="AG17" s="42"/>
      <c r="AH17" s="42"/>
      <c r="AI17" s="42"/>
      <c r="AJ17" s="42"/>
      <c r="AK17" s="42"/>
      <c r="AL17" s="42"/>
      <c r="AM17" s="42"/>
      <c r="AN17" s="42"/>
      <c r="AO17" s="42"/>
      <c r="AP17" s="42"/>
      <c r="AQ17" s="42"/>
      <c r="AR17" s="42"/>
      <c r="AS17" s="42"/>
      <c r="AT17" s="42"/>
      <c r="AU17" s="42"/>
      <c r="AV17" s="42"/>
      <c r="AW17" s="42"/>
      <c r="AX17" s="42"/>
      <c r="AY17" s="42"/>
      <c r="AZ17" s="42"/>
      <c r="BA17" s="42"/>
      <c r="BB17" s="42"/>
      <c r="BC17" s="42"/>
      <c r="BD17" s="42"/>
      <c r="BE17" s="42"/>
      <c r="BF17" s="42"/>
      <c r="BG17" s="42"/>
      <c r="BH17" s="42"/>
      <c r="BI17" s="42"/>
      <c r="BJ17" s="42"/>
      <c r="BK17" s="42"/>
      <c r="BL17" s="42"/>
      <c r="BM17" s="42"/>
      <c r="BN17" s="42"/>
    </row>
    <row r="18" spans="1:66" ht="12.75" customHeight="1" x14ac:dyDescent="0.2">
      <c r="A18" s="1" t="s">
        <v>210</v>
      </c>
      <c r="B18" s="4">
        <f>_xll.ciqfunctions.udf.CIQ(InputTicker, "IQ_PROV_BAD_DEBTS",Input!D$2,Date,,,Ccy,Conv)</f>
        <v>0</v>
      </c>
      <c r="C18" s="4">
        <f>_xll.ciqfunctions.udf.CIQ(InputTicker, "IQ_PROV_BAD_DEBTS",Input!E$2,Date,,,Ccy,Conv)</f>
        <v>0</v>
      </c>
      <c r="D18" s="4">
        <f>_xll.ciqfunctions.udf.CIQ(InputTicker, "IQ_PROV_BAD_DEBTS",Input!F$2,Date,,,Ccy,Conv)</f>
        <v>0</v>
      </c>
      <c r="E18" s="4">
        <f>_xll.ciqfunctions.udf.CIQ(InputTicker, "IQ_PROV_BAD_DEBTS",Input!G$2,Date,,,Ccy,Conv)</f>
        <v>0</v>
      </c>
      <c r="F18" s="4">
        <f>_xll.ciqfunctions.udf.CIQ(InputTicker, "IQ_PROV_BAD_DEBTS",Input!H$2,Date,,,Ccy,Conv)</f>
        <v>0</v>
      </c>
      <c r="G18" s="4">
        <f>_xll.ciqfunctions.udf.CIQ(InputTicker, "IQ_PROV_BAD_DEBTS",Input!I$2,Date,,,Ccy,Conv)</f>
        <v>0</v>
      </c>
      <c r="H18" s="4">
        <f>_xll.ciqfunctions.udf.CIQ(InputTicker, "IQ_PROV_BAD_DEBTS",Input!J$2,Date,,,Ccy,Conv)</f>
        <v>0</v>
      </c>
      <c r="I18" s="4">
        <f>_xll.ciqfunctions.udf.CIQ(InputTicker, "IQ_PROV_BAD_DEBTS",Input!K$2,Date,,,Ccy,Conv)</f>
        <v>0</v>
      </c>
      <c r="J18" s="4">
        <f>_xll.ciqfunctions.udf.CIQ(InputTicker, "IQ_PROV_BAD_DEBTS",Input!L$2,Date,,,Ccy,Conv)</f>
        <v>0</v>
      </c>
      <c r="K18" s="4">
        <f>_xll.ciqfunctions.udf.CIQ(InputTicker, "IQ_PROV_BAD_DEBTS",Input!M$2,Date,,,Ccy,Conv)</f>
        <v>0</v>
      </c>
      <c r="L18" s="4">
        <f>_xll.ciqfunctions.udf.CIQ(InputTicker, "IQ_PROV_BAD_DEBTS",Input!N$2,Date,,,Ccy,Conv)</f>
        <v>0</v>
      </c>
      <c r="M18" s="4">
        <f>_xll.ciqfunctions.udf.CIQ(InputTicker, "IQ_PROV_BAD_DEBTS",Input!O$2,Date,,,Ccy,Conv)</f>
        <v>0</v>
      </c>
      <c r="N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2"/>
      <c r="AG18" s="42"/>
      <c r="AH18" s="42"/>
      <c r="AI18" s="42"/>
      <c r="AJ18" s="42"/>
      <c r="AK18" s="42"/>
      <c r="AL18" s="42"/>
      <c r="AM18" s="42"/>
      <c r="AN18" s="42"/>
      <c r="AO18" s="42"/>
      <c r="AP18" s="42"/>
      <c r="AQ18" s="42"/>
      <c r="AR18" s="42"/>
      <c r="AS18" s="42"/>
      <c r="AT18" s="42"/>
      <c r="AU18" s="42"/>
      <c r="AV18" s="42"/>
      <c r="AW18" s="42"/>
      <c r="AX18" s="42"/>
      <c r="AY18" s="42"/>
      <c r="AZ18" s="42"/>
      <c r="BA18" s="42"/>
      <c r="BB18" s="42"/>
      <c r="BC18" s="42"/>
      <c r="BD18" s="42"/>
      <c r="BE18" s="42"/>
      <c r="BF18" s="42"/>
      <c r="BG18" s="42"/>
      <c r="BH18" s="42"/>
      <c r="BI18" s="42"/>
      <c r="BJ18" s="42"/>
      <c r="BK18" s="42"/>
      <c r="BL18" s="42"/>
      <c r="BM18" s="42"/>
      <c r="BN18" s="42"/>
    </row>
    <row r="19" spans="1:66" ht="12.75" customHeight="1" x14ac:dyDescent="0.2">
      <c r="A19" s="1" t="s">
        <v>203</v>
      </c>
      <c r="B19" s="4">
        <f>_xll.ciqfunctions.udf.CIQ(InputTicker, "IQ_STOCK_BASED",Input!D$2,Date,,,Ccy,Conv)</f>
        <v>0</v>
      </c>
      <c r="C19" s="4">
        <f>_xll.ciqfunctions.udf.CIQ(InputTicker, "IQ_STOCK_BASED",Input!E$2,Date,,,Ccy,Conv)</f>
        <v>0</v>
      </c>
      <c r="D19" s="4">
        <f>_xll.ciqfunctions.udf.CIQ(InputTicker, "IQ_STOCK_BASED",Input!F$2,Date,,,Ccy,Conv)</f>
        <v>0</v>
      </c>
      <c r="E19" s="4">
        <f>_xll.ciqfunctions.udf.CIQ(InputTicker, "IQ_STOCK_BASED",Input!G$2,Date,,,Ccy,Conv)</f>
        <v>0</v>
      </c>
      <c r="F19" s="4">
        <f>_xll.ciqfunctions.udf.CIQ(InputTicker, "IQ_STOCK_BASED",Input!H$2,Date,,,Ccy,Conv)</f>
        <v>0</v>
      </c>
      <c r="G19" s="4">
        <f>_xll.ciqfunctions.udf.CIQ(InputTicker, "IQ_STOCK_BASED",Input!I$2,Date,,,Ccy,Conv)</f>
        <v>0</v>
      </c>
      <c r="H19" s="4">
        <f>_xll.ciqfunctions.udf.CIQ(InputTicker, "IQ_STOCK_BASED",Input!J$2,Date,,,Ccy,Conv)</f>
        <v>0</v>
      </c>
      <c r="I19" s="4">
        <f>_xll.ciqfunctions.udf.CIQ(InputTicker, "IQ_STOCK_BASED",Input!K$2,Date,,,Ccy,Conv)</f>
        <v>0</v>
      </c>
      <c r="J19" s="4">
        <f>_xll.ciqfunctions.udf.CIQ(InputTicker, "IQ_STOCK_BASED",Input!L$2,Date,,,Ccy,Conv)</f>
        <v>0</v>
      </c>
      <c r="K19" s="4">
        <f>_xll.ciqfunctions.udf.CIQ(InputTicker, "IQ_STOCK_BASED",Input!M$2,Date,,,Ccy,Conv)</f>
        <v>0</v>
      </c>
      <c r="L19" s="4">
        <f>_xll.ciqfunctions.udf.CIQ(InputTicker, "IQ_STOCK_BASED",Input!N$2,Date,,,Ccy,Conv)</f>
        <v>0</v>
      </c>
      <c r="M19" s="4">
        <f>_xll.ciqfunctions.udf.CIQ(InputTicker, "IQ_STOCK_BASED",Input!O$2,Date,,,Ccy,Conv)</f>
        <v>0</v>
      </c>
      <c r="N19" s="42"/>
      <c r="T19" s="42"/>
      <c r="U19" s="42"/>
      <c r="V19" s="42"/>
      <c r="W19" s="42"/>
      <c r="X19" s="42"/>
      <c r="Y19" s="42"/>
      <c r="Z19" s="42"/>
      <c r="AA19" s="42"/>
      <c r="AB19" s="42"/>
      <c r="AC19" s="42"/>
      <c r="AD19" s="42"/>
      <c r="AE19" s="42"/>
      <c r="AF19" s="42"/>
      <c r="AG19" s="42"/>
      <c r="AH19" s="42"/>
      <c r="AI19" s="42"/>
      <c r="AJ19" s="42"/>
      <c r="AK19" s="42"/>
      <c r="AL19" s="42"/>
      <c r="AM19" s="42"/>
      <c r="AN19" s="42"/>
      <c r="AO19" s="42"/>
      <c r="AP19" s="42"/>
      <c r="AQ19" s="42"/>
      <c r="AR19" s="42"/>
      <c r="AS19" s="42"/>
      <c r="AT19" s="42"/>
      <c r="AU19" s="42"/>
      <c r="AV19" s="42"/>
      <c r="AW19" s="42"/>
      <c r="AX19" s="42"/>
      <c r="AY19" s="42"/>
      <c r="AZ19" s="42"/>
      <c r="BA19" s="42"/>
      <c r="BB19" s="42"/>
      <c r="BC19" s="42"/>
      <c r="BD19" s="42"/>
      <c r="BE19" s="42"/>
      <c r="BF19" s="42"/>
      <c r="BG19" s="42"/>
      <c r="BH19" s="42"/>
      <c r="BI19" s="42"/>
      <c r="BJ19" s="42"/>
      <c r="BK19" s="42"/>
      <c r="BL19" s="42"/>
      <c r="BM19" s="42"/>
      <c r="BN19" s="42"/>
    </row>
    <row r="20" spans="1:66" ht="12.75" customHeight="1" x14ac:dyDescent="0.2">
      <c r="A20" s="1" t="s">
        <v>211</v>
      </c>
      <c r="B20" s="4">
        <f>_xll.ciqfunctions.udf.CIQ(InputTicker, "IQ_PRE_OPEN_COST",Input!D$2,Date,,,Ccy,Conv)</f>
        <v>0</v>
      </c>
      <c r="C20" s="4">
        <f>_xll.ciqfunctions.udf.CIQ(InputTicker, "IQ_PRE_OPEN_COST",Input!E$2,Date,,,Ccy,Conv)</f>
        <v>0</v>
      </c>
      <c r="D20" s="4">
        <f>_xll.ciqfunctions.udf.CIQ(InputTicker, "IQ_PRE_OPEN_COST",Input!F$2,Date,,,Ccy,Conv)</f>
        <v>0</v>
      </c>
      <c r="E20" s="4">
        <f>_xll.ciqfunctions.udf.CIQ(InputTicker, "IQ_PRE_OPEN_COST",Input!G$2,Date,,,Ccy,Conv)</f>
        <v>0</v>
      </c>
      <c r="F20" s="4">
        <f>_xll.ciqfunctions.udf.CIQ(InputTicker, "IQ_PRE_OPEN_COST",Input!H$2,Date,,,Ccy,Conv)</f>
        <v>0</v>
      </c>
      <c r="G20" s="4">
        <f>_xll.ciqfunctions.udf.CIQ(InputTicker, "IQ_PRE_OPEN_COST",Input!I$2,Date,,,Ccy,Conv)</f>
        <v>0</v>
      </c>
      <c r="H20" s="4">
        <f>_xll.ciqfunctions.udf.CIQ(InputTicker, "IQ_PRE_OPEN_COST",Input!J$2,Date,,,Ccy,Conv)</f>
        <v>0</v>
      </c>
      <c r="I20" s="4">
        <f>_xll.ciqfunctions.udf.CIQ(InputTicker, "IQ_PRE_OPEN_COST",Input!K$2,Date,,,Ccy,Conv)</f>
        <v>0</v>
      </c>
      <c r="J20" s="4">
        <f>_xll.ciqfunctions.udf.CIQ(InputTicker, "IQ_PRE_OPEN_COST",Input!L$2,Date,,,Ccy,Conv)</f>
        <v>0</v>
      </c>
      <c r="K20" s="4">
        <f>_xll.ciqfunctions.udf.CIQ(InputTicker, "IQ_PRE_OPEN_COST",Input!M$2,Date,,,Ccy,Conv)</f>
        <v>0</v>
      </c>
      <c r="L20" s="4">
        <f>_xll.ciqfunctions.udf.CIQ(InputTicker, "IQ_PRE_OPEN_COST",Input!N$2,Date,,,Ccy,Conv)</f>
        <v>0</v>
      </c>
      <c r="M20" s="4">
        <f>_xll.ciqfunctions.udf.CIQ(InputTicker, "IQ_PRE_OPEN_COST",Input!O$2,Date,,,Ccy,Conv)</f>
        <v>0</v>
      </c>
      <c r="N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2"/>
      <c r="AG20" s="42"/>
      <c r="AH20" s="42"/>
      <c r="AI20" s="42"/>
      <c r="AJ20" s="42"/>
      <c r="AK20" s="42"/>
      <c r="AL20" s="42"/>
      <c r="AM20" s="42"/>
      <c r="AN20" s="42"/>
      <c r="AO20" s="42"/>
      <c r="AP20" s="42"/>
      <c r="AQ20" s="42"/>
      <c r="AR20" s="42"/>
      <c r="AS20" s="42"/>
      <c r="AT20" s="42"/>
      <c r="AU20" s="42"/>
      <c r="AV20" s="42"/>
      <c r="AW20" s="42"/>
      <c r="AX20" s="42"/>
      <c r="AY20" s="42"/>
      <c r="AZ20" s="42"/>
      <c r="BA20" s="42"/>
      <c r="BB20" s="42"/>
      <c r="BC20" s="42"/>
      <c r="BD20" s="42"/>
      <c r="BE20" s="42"/>
      <c r="BF20" s="42"/>
      <c r="BG20" s="42"/>
      <c r="BH20" s="42"/>
      <c r="BI20" s="42"/>
      <c r="BJ20" s="42"/>
      <c r="BK20" s="42"/>
      <c r="BL20" s="42"/>
      <c r="BM20" s="42"/>
      <c r="BN20" s="42"/>
    </row>
    <row r="21" spans="1:66" ht="12.75" customHeight="1" x14ac:dyDescent="0.2">
      <c r="A21" s="1" t="s">
        <v>59</v>
      </c>
      <c r="B21" s="4">
        <f>_xll.ciqfunctions.udf.CIQ(InputTicker, "IQ_RD_EXP",Input!D$2,Date,,,Ccy,Conv)</f>
        <v>11988</v>
      </c>
      <c r="C21" s="4">
        <f>_xll.ciqfunctions.udf.CIQ(InputTicker, "IQ_RD_EXP",Input!E$2,Date,,,Ccy,Conv)</f>
        <v>13037</v>
      </c>
      <c r="D21" s="4">
        <f>_xll.ciqfunctions.udf.CIQ(InputTicker, "IQ_RD_EXP",Input!F$2,Date,,,Ccy,Conv)</f>
        <v>14726</v>
      </c>
      <c r="E21" s="4">
        <f>_xll.ciqfunctions.udf.CIQ(InputTicker, "IQ_RD_EXP",Input!G$2,Date,,,Ccy,Conv)</f>
        <v>16876</v>
      </c>
      <c r="F21" s="4">
        <f>_xll.ciqfunctions.udf.CIQ(InputTicker, "IQ_RD_EXP",Input!H$2,Date,,,Ccy,Conv)</f>
        <v>19269</v>
      </c>
      <c r="G21" s="4">
        <f>_xll.ciqfunctions.udf.CIQ(InputTicker, "IQ_RD_EXP",Input!I$2,Date,,,Ccy,Conv)</f>
        <v>20716</v>
      </c>
      <c r="H21" s="4">
        <f>_xll.ciqfunctions.udf.CIQ(InputTicker, "IQ_RD_EXP",Input!J$2,Date,,,Ccy,Conv)</f>
        <v>24512</v>
      </c>
      <c r="I21" s="4">
        <f>_xll.ciqfunctions.udf.CIQ(InputTicker, "IQ_RD_EXP",Input!K$2,Date,,,Ccy,Conv)</f>
        <v>27195</v>
      </c>
      <c r="J21" s="4">
        <f>_xll.ciqfunctions.udf.CIQ(InputTicker, "IQ_RD_EXP",Input!L$2,Date,,,Ccy,Conv)</f>
        <v>29510</v>
      </c>
      <c r="K21" s="4">
        <f>_xll.ciqfunctions.udf.CIQ(InputTicker, "IQ_RD_EXP",Input!M$2,Date,,,Ccy,Conv)</f>
        <v>32488</v>
      </c>
      <c r="L21" s="4">
        <f>_xll.ciqfunctions.udf.CIQ(InputTicker, "IQ_RD_EXP",Input!N$2,Date,,,Ccy,Conv)</f>
        <v>35562</v>
      </c>
      <c r="M21" s="4">
        <f>_xll.ciqfunctions.udf.CIQ(InputTicker, "IQ_RD_EXP",Input!O$2,Date,,,Ccy,Conv)</f>
        <v>35562</v>
      </c>
      <c r="N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2"/>
      <c r="AG21" s="42"/>
      <c r="AH21" s="42"/>
      <c r="AI21" s="42"/>
      <c r="AJ21" s="42"/>
      <c r="AK21" s="42"/>
      <c r="AL21" s="42"/>
      <c r="AM21" s="42"/>
      <c r="AN21" s="42"/>
      <c r="AO21" s="42"/>
      <c r="AP21" s="42"/>
      <c r="AQ21" s="42"/>
      <c r="AR21" s="42"/>
      <c r="AS21" s="42"/>
      <c r="AT21" s="42"/>
      <c r="AU21" s="42"/>
      <c r="AV21" s="42"/>
      <c r="AW21" s="42"/>
      <c r="AX21" s="42"/>
      <c r="AY21" s="42"/>
      <c r="AZ21" s="42"/>
      <c r="BA21" s="42"/>
      <c r="BB21" s="42"/>
      <c r="BC21" s="42"/>
      <c r="BD21" s="42"/>
      <c r="BE21" s="42"/>
      <c r="BF21" s="42"/>
      <c r="BG21" s="42"/>
      <c r="BH21" s="42"/>
      <c r="BI21" s="42"/>
      <c r="BJ21" s="42"/>
      <c r="BK21" s="42"/>
      <c r="BL21" s="42"/>
      <c r="BM21" s="42"/>
      <c r="BN21" s="42"/>
    </row>
    <row r="22" spans="1:66" ht="12.75" customHeight="1" x14ac:dyDescent="0.2">
      <c r="A22" s="1" t="s">
        <v>126</v>
      </c>
      <c r="B22" s="4">
        <f>_xll.ciqfunctions.udf.CIQ(InputTicker, "IQ_DA_SUPPL",Input!D$2,Date,,,Ccy,Conv)</f>
        <v>0</v>
      </c>
      <c r="C22" s="4">
        <f>_xll.ciqfunctions.udf.CIQ(InputTicker, "IQ_DA_SUPPL",Input!E$2,Date,,,Ccy,Conv)</f>
        <v>0</v>
      </c>
      <c r="D22" s="4">
        <f>_xll.ciqfunctions.udf.CIQ(InputTicker, "IQ_DA_SUPPL",Input!F$2,Date,,,Ccy,Conv)</f>
        <v>0</v>
      </c>
      <c r="E22" s="4">
        <f>_xll.ciqfunctions.udf.CIQ(InputTicker, "IQ_DA_SUPPL",Input!G$2,Date,,,Ccy,Conv)</f>
        <v>0</v>
      </c>
      <c r="F22" s="4">
        <f>_xll.ciqfunctions.udf.CIQ(InputTicker, "IQ_DA_SUPPL",Input!H$2,Date,,,Ccy,Conv)</f>
        <v>0</v>
      </c>
      <c r="G22" s="4">
        <f>_xll.ciqfunctions.udf.CIQ(InputTicker, "IQ_DA_SUPPL",Input!I$2,Date,,,Ccy,Conv)</f>
        <v>0</v>
      </c>
      <c r="H22" s="4">
        <f>_xll.ciqfunctions.udf.CIQ(InputTicker, "IQ_DA_SUPPL",Input!J$2,Date,,,Ccy,Conv)</f>
        <v>0</v>
      </c>
      <c r="I22" s="4">
        <f>_xll.ciqfunctions.udf.CIQ(InputTicker, "IQ_DA_SUPPL",Input!K$2,Date,,,Ccy,Conv)</f>
        <v>0</v>
      </c>
      <c r="J22" s="4">
        <f>_xll.ciqfunctions.udf.CIQ(InputTicker, "IQ_DA_SUPPL",Input!L$2,Date,,,Ccy,Conv)</f>
        <v>0</v>
      </c>
      <c r="K22" s="4">
        <f>_xll.ciqfunctions.udf.CIQ(InputTicker, "IQ_DA_SUPPL",Input!M$2,Date,,,Ccy,Conv)</f>
        <v>0</v>
      </c>
      <c r="L22" s="4">
        <f>_xll.ciqfunctions.udf.CIQ(InputTicker, "IQ_DA_SUPPL",Input!N$2,Date,,,Ccy,Conv)</f>
        <v>0</v>
      </c>
      <c r="M22" s="4">
        <f>_xll.ciqfunctions.udf.CIQ(InputTicker, "IQ_DA_SUPPL",Input!O$2,Date,,,Ccy,Conv)</f>
        <v>0</v>
      </c>
      <c r="N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2"/>
      <c r="AG22" s="42"/>
      <c r="AH22" s="42"/>
      <c r="AI22" s="42"/>
      <c r="AJ22" s="42"/>
      <c r="AK22" s="42"/>
      <c r="AL22" s="42"/>
      <c r="AM22" s="42"/>
      <c r="AN22" s="42"/>
      <c r="AO22" s="42"/>
      <c r="AP22" s="42"/>
      <c r="AQ22" s="42"/>
      <c r="AR22" s="42"/>
      <c r="AS22" s="42"/>
      <c r="AT22" s="42"/>
      <c r="AU22" s="42"/>
      <c r="AV22" s="42"/>
      <c r="AW22" s="42"/>
      <c r="AX22" s="42"/>
      <c r="AY22" s="42"/>
      <c r="AZ22" s="42"/>
      <c r="BA22" s="42"/>
      <c r="BB22" s="42"/>
      <c r="BC22" s="42"/>
      <c r="BD22" s="42"/>
      <c r="BE22" s="42"/>
      <c r="BF22" s="42"/>
      <c r="BG22" s="42"/>
      <c r="BH22" s="42"/>
      <c r="BI22" s="42"/>
      <c r="BJ22" s="42"/>
      <c r="BK22" s="42"/>
      <c r="BL22" s="42"/>
      <c r="BM22" s="42"/>
      <c r="BN22" s="42"/>
    </row>
    <row r="23" spans="1:66" ht="12.75" customHeight="1" x14ac:dyDescent="0.2">
      <c r="A23" s="1" t="s">
        <v>141</v>
      </c>
      <c r="B23" s="4">
        <f>_xll.ciqfunctions.udf.CIQ(InputTicker, "IQ_GW_INTAN_AMORT",Input!D$2,Date,,,Ccy,Conv)</f>
        <v>0</v>
      </c>
      <c r="C23" s="4">
        <f>_xll.ciqfunctions.udf.CIQ(InputTicker, "IQ_GW_INTAN_AMORT",Input!E$2,Date,,,Ccy,Conv)</f>
        <v>0</v>
      </c>
      <c r="D23" s="4">
        <f>_xll.ciqfunctions.udf.CIQ(InputTicker, "IQ_GW_INTAN_AMORT",Input!F$2,Date,,,Ccy,Conv)</f>
        <v>0</v>
      </c>
      <c r="E23" s="4">
        <f>_xll.ciqfunctions.udf.CIQ(InputTicker, "IQ_GW_INTAN_AMORT",Input!G$2,Date,,,Ccy,Conv)</f>
        <v>0</v>
      </c>
      <c r="F23" s="4">
        <f>_xll.ciqfunctions.udf.CIQ(InputTicker, "IQ_GW_INTAN_AMORT",Input!H$2,Date,,,Ccy,Conv)</f>
        <v>0</v>
      </c>
      <c r="G23" s="4">
        <f>_xll.ciqfunctions.udf.CIQ(InputTicker, "IQ_GW_INTAN_AMORT",Input!I$2,Date,,,Ccy,Conv)</f>
        <v>0</v>
      </c>
      <c r="H23" s="4">
        <f>_xll.ciqfunctions.udf.CIQ(InputTicker, "IQ_GW_INTAN_AMORT",Input!J$2,Date,,,Ccy,Conv)</f>
        <v>0</v>
      </c>
      <c r="I23" s="4">
        <f>_xll.ciqfunctions.udf.CIQ(InputTicker, "IQ_GW_INTAN_AMORT",Input!K$2,Date,,,Ccy,Conv)</f>
        <v>0</v>
      </c>
      <c r="J23" s="4">
        <f>_xll.ciqfunctions.udf.CIQ(InputTicker, "IQ_GW_INTAN_AMORT",Input!L$2,Date,,,Ccy,Conv)</f>
        <v>0</v>
      </c>
      <c r="K23" s="4">
        <f>_xll.ciqfunctions.udf.CIQ(InputTicker, "IQ_GW_INTAN_AMORT",Input!M$2,Date,,,Ccy,Conv)</f>
        <v>0</v>
      </c>
      <c r="L23" s="4">
        <f>_xll.ciqfunctions.udf.CIQ(InputTicker, "IQ_GW_INTAN_AMORT",Input!N$2,Date,,,Ccy,Conv)</f>
        <v>0</v>
      </c>
      <c r="M23" s="4">
        <f>_xll.ciqfunctions.udf.CIQ(InputTicker, "IQ_GW_INTAN_AMORT",Input!O$2,Date,,,Ccy,Conv)</f>
        <v>0</v>
      </c>
      <c r="N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2"/>
      <c r="AG23" s="42"/>
      <c r="AH23" s="42"/>
      <c r="AI23" s="42"/>
      <c r="AJ23" s="42"/>
      <c r="AK23" s="42"/>
      <c r="AL23" s="42"/>
      <c r="AM23" s="42"/>
      <c r="AN23" s="42"/>
      <c r="AO23" s="42"/>
      <c r="AP23" s="42"/>
      <c r="AQ23" s="42"/>
      <c r="AR23" s="42"/>
      <c r="AS23" s="42"/>
      <c r="AT23" s="42"/>
      <c r="AU23" s="42"/>
      <c r="AV23" s="42"/>
      <c r="AW23" s="42"/>
      <c r="AX23" s="42"/>
      <c r="AY23" s="42"/>
      <c r="AZ23" s="42"/>
      <c r="BA23" s="42"/>
      <c r="BB23" s="42"/>
      <c r="BC23" s="42"/>
      <c r="BD23" s="42"/>
      <c r="BE23" s="42"/>
      <c r="BF23" s="42"/>
      <c r="BG23" s="42"/>
      <c r="BH23" s="42"/>
      <c r="BI23" s="42"/>
      <c r="BJ23" s="42"/>
      <c r="BK23" s="42"/>
      <c r="BL23" s="42"/>
      <c r="BM23" s="42"/>
      <c r="BN23" s="42"/>
    </row>
    <row r="24" spans="1:66" ht="12.75" customHeight="1" x14ac:dyDescent="0.2">
      <c r="A24" s="1" t="s">
        <v>197</v>
      </c>
      <c r="B24" s="4">
        <f>_xll.ciqfunctions.udf.CIQ(InputTicker, "IQ_IMPAIR_OIL",Input!D$2,Date,,,Ccy,Conv)</f>
        <v>0</v>
      </c>
      <c r="C24" s="4">
        <f>_xll.ciqfunctions.udf.CIQ(InputTicker, "IQ_IMPAIR_OIL",Input!E$2,Date,,,Ccy,Conv)</f>
        <v>0</v>
      </c>
      <c r="D24" s="4">
        <f>_xll.ciqfunctions.udf.CIQ(InputTicker, "IQ_IMPAIR_OIL",Input!F$2,Date,,,Ccy,Conv)</f>
        <v>0</v>
      </c>
      <c r="E24" s="4">
        <f>_xll.ciqfunctions.udf.CIQ(InputTicker, "IQ_IMPAIR_OIL",Input!G$2,Date,,,Ccy,Conv)</f>
        <v>0</v>
      </c>
      <c r="F24" s="4">
        <f>_xll.ciqfunctions.udf.CIQ(InputTicker, "IQ_IMPAIR_OIL",Input!H$2,Date,,,Ccy,Conv)</f>
        <v>0</v>
      </c>
      <c r="G24" s="4">
        <f>_xll.ciqfunctions.udf.CIQ(InputTicker, "IQ_IMPAIR_OIL",Input!I$2,Date,,,Ccy,Conv)</f>
        <v>0</v>
      </c>
      <c r="H24" s="4">
        <f>_xll.ciqfunctions.udf.CIQ(InputTicker, "IQ_IMPAIR_OIL",Input!J$2,Date,,,Ccy,Conv)</f>
        <v>0</v>
      </c>
      <c r="I24" s="4">
        <f>_xll.ciqfunctions.udf.CIQ(InputTicker, "IQ_IMPAIR_OIL",Input!K$2,Date,,,Ccy,Conv)</f>
        <v>0</v>
      </c>
      <c r="J24" s="4">
        <f>_xll.ciqfunctions.udf.CIQ(InputTicker, "IQ_IMPAIR_OIL",Input!L$2,Date,,,Ccy,Conv)</f>
        <v>0</v>
      </c>
      <c r="K24" s="4">
        <f>_xll.ciqfunctions.udf.CIQ(InputTicker, "IQ_IMPAIR_OIL",Input!M$2,Date,,,Ccy,Conv)</f>
        <v>0</v>
      </c>
      <c r="L24" s="4">
        <f>_xll.ciqfunctions.udf.CIQ(InputTicker, "IQ_IMPAIR_OIL",Input!N$2,Date,,,Ccy,Conv)</f>
        <v>0</v>
      </c>
      <c r="M24" s="4">
        <f>_xll.ciqfunctions.udf.CIQ(InputTicker, "IQ_IMPAIR_OIL",Input!O$2,Date,,,Ccy,Conv)</f>
        <v>0</v>
      </c>
      <c r="N24" s="42"/>
      <c r="T24" s="42"/>
      <c r="U24" s="42"/>
      <c r="V24" s="42"/>
      <c r="W24" s="42"/>
      <c r="X24" s="42"/>
      <c r="Y24" s="42"/>
      <c r="Z24" s="42"/>
      <c r="AA24" s="42"/>
      <c r="AB24" s="42"/>
      <c r="AC24" s="42"/>
      <c r="AD24" s="42"/>
      <c r="AE24" s="42"/>
      <c r="AF24" s="42"/>
      <c r="AG24" s="42"/>
      <c r="AH24" s="42"/>
      <c r="AI24" s="42"/>
      <c r="AJ24" s="42"/>
      <c r="AK24" s="42"/>
      <c r="AL24" s="42"/>
      <c r="AM24" s="42"/>
      <c r="AN24" s="42"/>
      <c r="AO24" s="42"/>
      <c r="AP24" s="42"/>
      <c r="AQ24" s="42"/>
      <c r="AR24" s="42"/>
      <c r="AS24" s="42"/>
      <c r="AT24" s="42"/>
      <c r="AU24" s="42"/>
      <c r="AV24" s="42"/>
      <c r="AW24" s="42"/>
      <c r="AX24" s="42"/>
      <c r="AY24" s="42"/>
      <c r="AZ24" s="42"/>
      <c r="BA24" s="42"/>
      <c r="BB24" s="42"/>
      <c r="BC24" s="42"/>
      <c r="BD24" s="42"/>
      <c r="BE24" s="42"/>
      <c r="BF24" s="42"/>
      <c r="BG24" s="42"/>
      <c r="BH24" s="42"/>
      <c r="BI24" s="42"/>
      <c r="BJ24" s="42"/>
      <c r="BK24" s="42"/>
      <c r="BL24" s="42"/>
      <c r="BM24" s="42"/>
      <c r="BN24" s="42"/>
    </row>
    <row r="25" spans="1:66" ht="12.75" customHeight="1" x14ac:dyDescent="0.2">
      <c r="A25" s="1" t="s">
        <v>61</v>
      </c>
      <c r="B25" s="8">
        <f>_xll.ciqfunctions.udf.CIQ(InputTicker, "IQ_OTHER_OPER",Input!D$2,Date,,,Ccy,Conv)</f>
        <v>0</v>
      </c>
      <c r="C25" s="8">
        <f>_xll.ciqfunctions.udf.CIQ(InputTicker, "IQ_OTHER_OPER",Input!E$2,Date,,,Ccy,Conv)</f>
        <v>0</v>
      </c>
      <c r="D25" s="8">
        <f>_xll.ciqfunctions.udf.CIQ(InputTicker, "IQ_OTHER_OPER",Input!F$2,Date,,,Ccy,Conv)</f>
        <v>0</v>
      </c>
      <c r="E25" s="8">
        <f>_xll.ciqfunctions.udf.CIQ(InputTicker, "IQ_OTHER_OPER",Input!G$2,Date,,,Ccy,Conv)</f>
        <v>0</v>
      </c>
      <c r="F25" s="8">
        <f>_xll.ciqfunctions.udf.CIQ(InputTicker, "IQ_OTHER_OPER",Input!H$2,Date,,,Ccy,Conv)</f>
        <v>0</v>
      </c>
      <c r="G25" s="8">
        <f>_xll.ciqfunctions.udf.CIQ(InputTicker, "IQ_OTHER_OPER",Input!I$2,Date,,,Ccy,Conv)</f>
        <v>0</v>
      </c>
      <c r="H25" s="8">
        <f>_xll.ciqfunctions.udf.CIQ(InputTicker, "IQ_OTHER_OPER",Input!J$2,Date,,,Ccy,Conv)</f>
        <v>0</v>
      </c>
      <c r="I25" s="8">
        <f>_xll.ciqfunctions.udf.CIQ(InputTicker, "IQ_OTHER_OPER",Input!K$2,Date,,,Ccy,Conv)</f>
        <v>0</v>
      </c>
      <c r="J25" s="8">
        <f>_xll.ciqfunctions.udf.CIQ(InputTicker, "IQ_OTHER_OPER",Input!L$2,Date,,,Ccy,Conv)</f>
        <v>0</v>
      </c>
      <c r="K25" s="8">
        <f>_xll.ciqfunctions.udf.CIQ(InputTicker, "IQ_OTHER_OPER",Input!M$2,Date,,,Ccy,Conv)</f>
        <v>0</v>
      </c>
      <c r="L25" s="8">
        <f>_xll.ciqfunctions.udf.CIQ(InputTicker, "IQ_OTHER_OPER",Input!N$2,Date,,,Ccy,Conv)</f>
        <v>0</v>
      </c>
      <c r="M25" s="8">
        <f>_xll.ciqfunctions.udf.CIQ(InputTicker, "IQ_OTHER_OPER",Input!O$2,Date,,,Ccy,Conv)</f>
        <v>0</v>
      </c>
      <c r="N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2"/>
      <c r="AG25" s="42"/>
      <c r="AH25" s="42"/>
      <c r="AI25" s="42"/>
      <c r="AJ25" s="42"/>
      <c r="AK25" s="42"/>
      <c r="AL25" s="42"/>
      <c r="AM25" s="42"/>
      <c r="AN25" s="42"/>
      <c r="AO25" s="42"/>
      <c r="AP25" s="42"/>
      <c r="AQ25" s="42"/>
      <c r="AR25" s="42"/>
      <c r="AS25" s="42"/>
      <c r="AT25" s="42"/>
      <c r="AU25" s="42"/>
      <c r="AV25" s="42"/>
      <c r="AW25" s="42"/>
      <c r="AX25" s="42"/>
      <c r="AY25" s="42"/>
      <c r="AZ25" s="42"/>
      <c r="BA25" s="42"/>
      <c r="BB25" s="42"/>
      <c r="BC25" s="42"/>
      <c r="BD25" s="42"/>
      <c r="BE25" s="42"/>
      <c r="BF25" s="42"/>
      <c r="BG25" s="42"/>
      <c r="BH25" s="42"/>
      <c r="BI25" s="42"/>
      <c r="BJ25" s="42"/>
      <c r="BK25" s="42"/>
      <c r="BL25" s="42"/>
      <c r="BM25" s="42"/>
      <c r="BN25" s="42"/>
    </row>
    <row r="26" spans="1:66" ht="12.75" customHeight="1" x14ac:dyDescent="0.2">
      <c r="A26" s="5" t="s">
        <v>62</v>
      </c>
      <c r="B26" s="7">
        <f>_xll.ciqfunctions.udf.CIQ(InputTicker, "IQ_TOTAL_OTHER_OPER",Input!D$2,Date,,,Ccy,Conv)</f>
        <v>31186</v>
      </c>
      <c r="C26" s="7">
        <f>_xll.ciqfunctions.udf.CIQ(InputTicker, "IQ_TOTAL_OTHER_OPER",Input!E$2,Date,,,Ccy,Conv)</f>
        <v>32979</v>
      </c>
      <c r="D26" s="7">
        <f>_xll.ciqfunctions.udf.CIQ(InputTicker, "IQ_TOTAL_OTHER_OPER",Input!F$2,Date,,,Ccy,Conv)</f>
        <v>36949</v>
      </c>
      <c r="E26" s="7">
        <f>_xll.ciqfunctions.udf.CIQ(InputTicker, "IQ_TOTAL_OTHER_OPER",Input!G$2,Date,,,Ccy,Conv)</f>
        <v>39974</v>
      </c>
      <c r="F26" s="7">
        <f>_xll.ciqfunctions.udf.CIQ(InputTicker, "IQ_TOTAL_OTHER_OPER",Input!H$2,Date,,,Ccy,Conv)</f>
        <v>43978</v>
      </c>
      <c r="G26" s="7">
        <f>_xll.ciqfunctions.udf.CIQ(InputTicker, "IQ_TOTAL_OTHER_OPER",Input!I$2,Date,,,Ccy,Conv)</f>
        <v>45940</v>
      </c>
      <c r="H26" s="7">
        <f>_xll.ciqfunctions.udf.CIQ(InputTicker, "IQ_TOTAL_OTHER_OPER",Input!J$2,Date,,,Ccy,Conv)</f>
        <v>52237</v>
      </c>
      <c r="I26" s="7">
        <f>_xll.ciqfunctions.udf.CIQ(InputTicker, "IQ_TOTAL_OTHER_OPER",Input!K$2,Date,,,Ccy,Conv)</f>
        <v>57529</v>
      </c>
      <c r="J26" s="7">
        <f>_xll.ciqfunctions.udf.CIQ(InputTicker, "IQ_TOTAL_OTHER_OPER",Input!L$2,Date,,,Ccy,Conv)</f>
        <v>61575</v>
      </c>
      <c r="K26" s="7">
        <f>_xll.ciqfunctions.udf.CIQ(InputTicker, "IQ_TOTAL_OTHER_OPER",Input!M$2,Date,,,Ccy,Conv)</f>
        <v>65365</v>
      </c>
      <c r="L26" s="7">
        <f>_xll.ciqfunctions.udf.CIQ(InputTicker, "IQ_TOTAL_OTHER_OPER",Input!N$2,Date,,,Ccy,Conv)</f>
        <v>70228</v>
      </c>
      <c r="M26" s="7">
        <f>_xll.ciqfunctions.udf.CIQ(InputTicker, "IQ_TOTAL_OTHER_OPER",Input!O$2,Date,,,Ccy,Conv)</f>
        <v>70228</v>
      </c>
      <c r="N26" s="46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2"/>
      <c r="AG26" s="42"/>
      <c r="AH26" s="42"/>
      <c r="AI26" s="42"/>
      <c r="AJ26" s="42"/>
      <c r="AK26" s="42"/>
      <c r="AL26" s="42"/>
      <c r="AM26" s="42"/>
      <c r="AN26" s="42"/>
      <c r="AO26" s="42"/>
      <c r="AP26" s="42"/>
      <c r="AQ26" s="42"/>
      <c r="AR26" s="42"/>
      <c r="AS26" s="42"/>
      <c r="AT26" s="42"/>
      <c r="AU26" s="42"/>
      <c r="AV26" s="42"/>
      <c r="AW26" s="42"/>
      <c r="AX26" s="42"/>
      <c r="AY26" s="42"/>
      <c r="AZ26" s="42"/>
      <c r="BA26" s="42"/>
      <c r="BB26" s="42"/>
      <c r="BC26" s="42"/>
      <c r="BD26" s="42"/>
      <c r="BE26" s="42"/>
      <c r="BF26" s="42"/>
      <c r="BG26" s="42"/>
      <c r="BH26" s="42"/>
      <c r="BI26" s="42"/>
      <c r="BJ26" s="42"/>
      <c r="BK26" s="42"/>
      <c r="BL26" s="42"/>
      <c r="BM26" s="42"/>
      <c r="BN26" s="42"/>
    </row>
    <row r="27" spans="1:66" ht="12.75" customHeight="1" thickBot="1" x14ac:dyDescent="0.25">
      <c r="A27" s="5" t="s">
        <v>63</v>
      </c>
      <c r="B27" s="9">
        <f>_xll.ciqfunctions.udf.CIQ(InputTicker, "IQ_OPER_INC",Input!D$2,Date,,,Ccy,Conv)</f>
        <v>27188</v>
      </c>
      <c r="C27" s="9">
        <f>_xll.ciqfunctions.udf.CIQ(InputTicker, "IQ_OPER_INC",Input!E$2,Date,,,Ccy,Conv)</f>
        <v>29331</v>
      </c>
      <c r="D27" s="9">
        <f>_xll.ciqfunctions.udf.CIQ(InputTicker, "IQ_OPER_INC",Input!F$2,Date,,,Ccy,Conv)</f>
        <v>35058</v>
      </c>
      <c r="E27" s="9">
        <f>_xll.ciqfunctions.udf.CIQ(InputTicker, "IQ_OPER_INC",Input!G$2,Date,,,Ccy,Conv)</f>
        <v>42959</v>
      </c>
      <c r="F27" s="9">
        <f>_xll.ciqfunctions.udf.CIQ(InputTicker, "IQ_OPER_INC",Input!H$2,Date,,,Ccy,Conv)</f>
        <v>52959</v>
      </c>
      <c r="G27" s="9">
        <f>_xll.ciqfunctions.udf.CIQ(InputTicker, "IQ_OPER_INC",Input!I$2,Date,,,Ccy,Conv)</f>
        <v>69916</v>
      </c>
      <c r="H27" s="9">
        <f>_xll.ciqfunctions.udf.CIQ(InputTicker, "IQ_OPER_INC",Input!J$2,Date,,,Ccy,Conv)</f>
        <v>83383</v>
      </c>
      <c r="I27" s="9">
        <f>_xll.ciqfunctions.udf.CIQ(InputTicker, "IQ_OPER_INC",Input!K$2,Date,,,Ccy,Conv)</f>
        <v>88523</v>
      </c>
      <c r="J27" s="9">
        <f>_xll.ciqfunctions.udf.CIQ(InputTicker, "IQ_OPER_INC",Input!L$2,Date,,,Ccy,Conv)</f>
        <v>109433</v>
      </c>
      <c r="K27" s="9">
        <f>_xll.ciqfunctions.udf.CIQ(InputTicker, "IQ_OPER_INC",Input!M$2,Date,,,Ccy,Conv)</f>
        <v>128528</v>
      </c>
      <c r="L27" s="9">
        <f>_xll.ciqfunctions.udf.CIQ(InputTicker, "IQ_OPER_INC",Input!N$2,Date,,,Ccy,Conv)</f>
        <v>155237</v>
      </c>
      <c r="M27" s="9">
        <f>_xll.ciqfunctions.udf.CIQ(InputTicker, "IQ_OPER_INC",Input!O$2,Date,,,Ccy,Conv)</f>
        <v>155237</v>
      </c>
      <c r="N27" s="46"/>
      <c r="P27" s="46"/>
      <c r="Q27" s="46"/>
      <c r="R27" s="46"/>
      <c r="T27" s="42"/>
      <c r="U27" s="42"/>
      <c r="V27" s="46"/>
      <c r="W27" s="42"/>
      <c r="X27" s="42"/>
      <c r="Y27" s="42"/>
      <c r="Z27" s="42"/>
      <c r="AA27" s="42"/>
      <c r="AB27" s="42"/>
      <c r="AC27" s="42"/>
      <c r="AD27" s="42"/>
      <c r="AE27" s="42"/>
      <c r="AF27" s="42"/>
      <c r="AG27" s="42"/>
      <c r="AH27" s="42"/>
      <c r="AI27" s="42"/>
      <c r="AJ27" s="42"/>
      <c r="AK27" s="42"/>
      <c r="AL27" s="42"/>
      <c r="AM27" s="42"/>
      <c r="AN27" s="42"/>
      <c r="AO27" s="42"/>
      <c r="AP27" s="42"/>
      <c r="AQ27" s="42"/>
      <c r="AR27" s="42"/>
      <c r="AS27" s="42"/>
      <c r="AT27" s="42"/>
      <c r="AU27" s="42"/>
      <c r="AV27" s="42"/>
      <c r="AW27" s="42"/>
      <c r="AX27" s="42"/>
      <c r="AY27" s="42"/>
      <c r="AZ27" s="42"/>
      <c r="BA27" s="42"/>
      <c r="BB27" s="42"/>
      <c r="BC27" s="42"/>
      <c r="BD27" s="42"/>
      <c r="BE27" s="42"/>
      <c r="BF27" s="42"/>
      <c r="BG27" s="42"/>
      <c r="BH27" s="42"/>
      <c r="BI27" s="42"/>
      <c r="BJ27" s="42"/>
      <c r="BK27" s="42"/>
      <c r="BL27" s="42"/>
      <c r="BM27" s="42"/>
      <c r="BN27" s="42"/>
    </row>
    <row r="28" spans="1:66" ht="12.75" customHeight="1" thickTop="1" x14ac:dyDescent="0.2">
      <c r="A28" s="1" t="s">
        <v>52</v>
      </c>
      <c r="B28" s="4">
        <f>_xll.ciqfunctions.udf.CIQ(InputTicker, "IQ_INTEREST_EXP",Input!D$2,Date,,,Ccy,Conv)</f>
        <v>-1243</v>
      </c>
      <c r="C28" s="4">
        <f>_xll.ciqfunctions.udf.CIQ(InputTicker, "IQ_INTEREST_EXP",Input!E$2,Date,,,Ccy,Conv)</f>
        <v>-2222</v>
      </c>
      <c r="D28" s="4">
        <f>_xll.ciqfunctions.udf.CIQ(InputTicker, "IQ_INTEREST_EXP",Input!F$2,Date,,,Ccy,Conv)</f>
        <v>-2733</v>
      </c>
      <c r="E28" s="4">
        <f>_xll.ciqfunctions.udf.CIQ(InputTicker, "IQ_INTEREST_EXP",Input!G$2,Date,,,Ccy,Conv)</f>
        <v>-2686</v>
      </c>
      <c r="F28" s="4">
        <f>_xll.ciqfunctions.udf.CIQ(InputTicker, "IQ_INTEREST_EXP",Input!H$2,Date,,,Ccy,Conv)</f>
        <v>-2591</v>
      </c>
      <c r="G28" s="4">
        <f>_xll.ciqfunctions.udf.CIQ(InputTicker, "IQ_INTEREST_EXP",Input!I$2,Date,,,Ccy,Conv)</f>
        <v>-2330</v>
      </c>
      <c r="H28" s="4">
        <f>_xll.ciqfunctions.udf.CIQ(InputTicker, "IQ_INTEREST_EXP",Input!J$2,Date,,,Ccy,Conv)</f>
        <v>-2047</v>
      </c>
      <c r="I28" s="4">
        <f>_xll.ciqfunctions.udf.CIQ(InputTicker, "IQ_INTEREST_EXP",Input!K$2,Date,,,Ccy,Conv)</f>
        <v>-1995</v>
      </c>
      <c r="J28" s="4">
        <f>_xll.ciqfunctions.udf.CIQ(InputTicker, "IQ_INTEREST_EXP",Input!L$2,Date,,,Ccy,Conv)</f>
        <v>-2983</v>
      </c>
      <c r="K28" s="4">
        <f>_xll.ciqfunctions.udf.CIQ(InputTicker, "IQ_INTEREST_EXP",Input!M$2,Date,,,Ccy,Conv)</f>
        <v>-2425</v>
      </c>
      <c r="L28" s="4">
        <f>_xll.ciqfunctions.udf.CIQ(InputTicker, "IQ_INTEREST_EXP",Input!N$2,Date,,,Ccy,Conv)</f>
        <v>-3081</v>
      </c>
      <c r="M28" s="4">
        <f>_xll.ciqfunctions.udf.CIQ(InputTicker, "IQ_INTEREST_EXP",Input!O$2,Date,,,Ccy,Conv)</f>
        <v>-3081</v>
      </c>
      <c r="N28" s="46"/>
      <c r="P28" s="46"/>
      <c r="Q28" s="46"/>
      <c r="R28" s="46"/>
      <c r="T28" s="42"/>
      <c r="U28" s="42"/>
      <c r="V28" s="46"/>
      <c r="W28" s="42"/>
      <c r="X28" s="42"/>
      <c r="Y28" s="42"/>
      <c r="Z28" s="42"/>
      <c r="AA28" s="42"/>
      <c r="AB28" s="42"/>
      <c r="AC28" s="42"/>
      <c r="AD28" s="42"/>
      <c r="AE28" s="42"/>
      <c r="AF28" s="42"/>
      <c r="AG28" s="42"/>
      <c r="AH28" s="42"/>
      <c r="AI28" s="42"/>
      <c r="AJ28" s="42"/>
      <c r="AK28" s="42"/>
      <c r="AL28" s="42"/>
      <c r="AM28" s="42"/>
      <c r="AN28" s="42"/>
      <c r="AO28" s="42"/>
      <c r="AP28" s="42"/>
      <c r="AQ28" s="42"/>
      <c r="AR28" s="42"/>
      <c r="AS28" s="42"/>
      <c r="AT28" s="42"/>
      <c r="AU28" s="42"/>
      <c r="AV28" s="42"/>
      <c r="AW28" s="42"/>
      <c r="AX28" s="42"/>
      <c r="AY28" s="42"/>
      <c r="AZ28" s="42"/>
      <c r="BA28" s="42"/>
      <c r="BB28" s="42"/>
      <c r="BC28" s="42"/>
      <c r="BD28" s="42"/>
      <c r="BE28" s="42"/>
      <c r="BF28" s="42"/>
      <c r="BG28" s="42"/>
      <c r="BH28" s="42"/>
      <c r="BI28" s="42"/>
      <c r="BJ28" s="42"/>
      <c r="BK28" s="42"/>
      <c r="BL28" s="42"/>
      <c r="BM28" s="42"/>
      <c r="BN28" s="42"/>
    </row>
    <row r="29" spans="1:66" ht="12.75" customHeight="1" x14ac:dyDescent="0.2">
      <c r="A29" s="1" t="s">
        <v>64</v>
      </c>
      <c r="B29" s="4">
        <f>_xll.ciqfunctions.udf.CIQ(InputTicker, "IQ_INTEREST_INVEST_INC",Input!D$2,Date,,,Ccy,Conv)</f>
        <v>903</v>
      </c>
      <c r="C29" s="4">
        <f>_xll.ciqfunctions.udf.CIQ(InputTicker, "IQ_INTEREST_INVEST_INC",Input!E$2,Date,,,Ccy,Conv)</f>
        <v>1387</v>
      </c>
      <c r="D29" s="4">
        <f>_xll.ciqfunctions.udf.CIQ(InputTicker, "IQ_INTEREST_INVEST_INC",Input!F$2,Date,,,Ccy,Conv)</f>
        <v>2214</v>
      </c>
      <c r="E29" s="4">
        <f>_xll.ciqfunctions.udf.CIQ(InputTicker, "IQ_INTEREST_INVEST_INC",Input!G$2,Date,,,Ccy,Conv)</f>
        <v>2762</v>
      </c>
      <c r="F29" s="4">
        <f>_xll.ciqfunctions.udf.CIQ(InputTicker, "IQ_INTEREST_INVEST_INC",Input!H$2,Date,,,Ccy,Conv)</f>
        <v>2680</v>
      </c>
      <c r="G29" s="4">
        <f>_xll.ciqfunctions.udf.CIQ(InputTicker, "IQ_INTEREST_INVEST_INC",Input!I$2,Date,,,Ccy,Conv)</f>
        <v>2131</v>
      </c>
      <c r="H29" s="4">
        <f>_xll.ciqfunctions.udf.CIQ(InputTicker, "IQ_INTEREST_INVEST_INC",Input!J$2,Date,,,Ccy,Conv)</f>
        <v>2094</v>
      </c>
      <c r="I29" s="4">
        <f>_xll.ciqfunctions.udf.CIQ(InputTicker, "IQ_INTEREST_INVEST_INC",Input!K$2,Date,,,Ccy,Conv)</f>
        <v>2994</v>
      </c>
      <c r="J29" s="4">
        <f>_xll.ciqfunctions.udf.CIQ(InputTicker, "IQ_INTEREST_INVEST_INC",Input!L$2,Date,,,Ccy,Conv)</f>
        <v>3157</v>
      </c>
      <c r="K29" s="4">
        <f>_xll.ciqfunctions.udf.CIQ(InputTicker, "IQ_INTEREST_INVEST_INC",Input!M$2,Date,,,Ccy,Conv)</f>
        <v>2647</v>
      </c>
      <c r="L29" s="4">
        <f>_xll.ciqfunctions.udf.CIQ(InputTicker, "IQ_INTEREST_INVEST_INC",Input!N$2,Date,,,Ccy,Conv)</f>
        <v>3301</v>
      </c>
      <c r="M29" s="4">
        <f>_xll.ciqfunctions.udf.CIQ(InputTicker, "IQ_INTEREST_INVEST_INC",Input!O$2,Date,,,Ccy,Conv)</f>
        <v>3301</v>
      </c>
      <c r="N29" s="42"/>
      <c r="T29" s="42"/>
      <c r="U29" s="42"/>
      <c r="V29" s="42"/>
      <c r="W29" s="42"/>
      <c r="X29" s="42"/>
      <c r="Y29" s="42"/>
      <c r="Z29" s="42"/>
      <c r="AA29" s="42"/>
      <c r="AB29" s="42"/>
      <c r="AC29" s="42"/>
      <c r="AD29" s="42"/>
      <c r="AE29" s="42"/>
      <c r="AF29" s="42"/>
      <c r="AG29" s="42"/>
      <c r="AH29" s="42"/>
      <c r="AI29" s="42"/>
      <c r="AJ29" s="42"/>
      <c r="AK29" s="42"/>
      <c r="AL29" s="42"/>
      <c r="AM29" s="42"/>
      <c r="AN29" s="42"/>
      <c r="AO29" s="42"/>
      <c r="AP29" s="42"/>
      <c r="AQ29" s="42"/>
      <c r="AR29" s="42"/>
      <c r="AS29" s="42"/>
      <c r="AT29" s="42"/>
      <c r="AU29" s="42"/>
      <c r="AV29" s="42"/>
      <c r="AW29" s="42"/>
      <c r="AX29" s="42"/>
      <c r="AY29" s="42"/>
      <c r="AZ29" s="42"/>
      <c r="BA29" s="42"/>
      <c r="BB29" s="42"/>
      <c r="BC29" s="42"/>
      <c r="BD29" s="42"/>
      <c r="BE29" s="42"/>
      <c r="BF29" s="42"/>
      <c r="BG29" s="42"/>
      <c r="BH29" s="42"/>
      <c r="BI29" s="42"/>
      <c r="BJ29" s="42"/>
      <c r="BK29" s="42"/>
      <c r="BL29" s="42"/>
      <c r="BM29" s="42"/>
      <c r="BN29" s="42"/>
    </row>
    <row r="30" spans="1:66" ht="12.75" customHeight="1" x14ac:dyDescent="0.2">
      <c r="A30" s="5" t="s">
        <v>65</v>
      </c>
      <c r="B30" s="6">
        <f>_xll.ciqfunctions.udf.CIQ(InputTicker, "IQ_NET_INTEREST_EXP",Input!D$2,Date,,,Ccy,Conv)</f>
        <v>-340</v>
      </c>
      <c r="C30" s="6">
        <f>_xll.ciqfunctions.udf.CIQ(InputTicker, "IQ_NET_INTEREST_EXP",Input!E$2,Date,,,Ccy,Conv)</f>
        <v>-835</v>
      </c>
      <c r="D30" s="6">
        <f>_xll.ciqfunctions.udf.CIQ(InputTicker, "IQ_NET_INTEREST_EXP",Input!F$2,Date,,,Ccy,Conv)</f>
        <v>-519</v>
      </c>
      <c r="E30" s="6">
        <f>_xll.ciqfunctions.udf.CIQ(InputTicker, "IQ_NET_INTEREST_EXP",Input!G$2,Date,,,Ccy,Conv)</f>
        <v>76</v>
      </c>
      <c r="F30" s="6">
        <f>_xll.ciqfunctions.udf.CIQ(InputTicker, "IQ_NET_INTEREST_EXP",Input!H$2,Date,,,Ccy,Conv)</f>
        <v>89</v>
      </c>
      <c r="G30" s="6">
        <f>_xll.ciqfunctions.udf.CIQ(InputTicker, "IQ_NET_INTEREST_EXP",Input!I$2,Date,,,Ccy,Conv)</f>
        <v>-199</v>
      </c>
      <c r="H30" s="6">
        <f>_xll.ciqfunctions.udf.CIQ(InputTicker, "IQ_NET_INTEREST_EXP",Input!J$2,Date,,,Ccy,Conv)</f>
        <v>47</v>
      </c>
      <c r="I30" s="6">
        <f>_xll.ciqfunctions.udf.CIQ(InputTicker, "IQ_NET_INTEREST_EXP",Input!K$2,Date,,,Ccy,Conv)</f>
        <v>999</v>
      </c>
      <c r="J30" s="6">
        <f>_xll.ciqfunctions.udf.CIQ(InputTicker, "IQ_NET_INTEREST_EXP",Input!L$2,Date,,,Ccy,Conv)</f>
        <v>174</v>
      </c>
      <c r="K30" s="6">
        <f>_xll.ciqfunctions.udf.CIQ(InputTicker, "IQ_NET_INTEREST_EXP",Input!M$2,Date,,,Ccy,Conv)</f>
        <v>222</v>
      </c>
      <c r="L30" s="6">
        <f>_xll.ciqfunctions.udf.CIQ(InputTicker, "IQ_NET_INTEREST_EXP",Input!N$2,Date,,,Ccy,Conv)</f>
        <v>220</v>
      </c>
      <c r="M30" s="6">
        <f>_xll.ciqfunctions.udf.CIQ(InputTicker, "IQ_NET_INTEREST_EXP",Input!O$2,Date,,,Ccy,Conv)</f>
        <v>220</v>
      </c>
      <c r="N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2"/>
      <c r="AG30" s="42"/>
      <c r="AH30" s="42"/>
      <c r="AI30" s="42"/>
      <c r="AJ30" s="42"/>
      <c r="AK30" s="42"/>
      <c r="AL30" s="42"/>
      <c r="AM30" s="42"/>
      <c r="AN30" s="42"/>
      <c r="AO30" s="42"/>
      <c r="AP30" s="42"/>
      <c r="AQ30" s="42"/>
      <c r="AR30" s="42"/>
      <c r="AS30" s="42"/>
      <c r="AT30" s="42"/>
      <c r="AU30" s="42"/>
      <c r="AV30" s="42"/>
      <c r="AW30" s="42"/>
      <c r="AX30" s="42"/>
      <c r="AY30" s="42"/>
      <c r="AZ30" s="42"/>
      <c r="BA30" s="42"/>
      <c r="BB30" s="42"/>
      <c r="BC30" s="42"/>
      <c r="BD30" s="42"/>
      <c r="BE30" s="42"/>
      <c r="BF30" s="42"/>
      <c r="BG30" s="42"/>
      <c r="BH30" s="42"/>
      <c r="BI30" s="42"/>
      <c r="BJ30" s="42"/>
      <c r="BK30" s="42"/>
      <c r="BL30" s="42"/>
      <c r="BM30" s="42"/>
      <c r="BN30" s="42"/>
    </row>
    <row r="31" spans="1:66" ht="12.75" customHeight="1" x14ac:dyDescent="0.2">
      <c r="A31" s="1" t="s">
        <v>163</v>
      </c>
      <c r="B31" s="4">
        <f>_xll.ciqfunctions.udf.CIQ(InputTicker, "IQ_INC_EQUITY",Input!D$2,Date,,,Ccy,Conv)</f>
        <v>0</v>
      </c>
      <c r="C31" s="4">
        <f>_xll.ciqfunctions.udf.CIQ(InputTicker, "IQ_INC_EQUITY",Input!E$2,Date,,,Ccy,Conv)</f>
        <v>0</v>
      </c>
      <c r="D31" s="4">
        <f>_xll.ciqfunctions.udf.CIQ(InputTicker, "IQ_INC_EQUITY",Input!F$2,Date,,,Ccy,Conv)</f>
        <v>0</v>
      </c>
      <c r="E31" s="4">
        <f>_xll.ciqfunctions.udf.CIQ(InputTicker, "IQ_INC_EQUITY",Input!G$2,Date,,,Ccy,Conv)</f>
        <v>0</v>
      </c>
      <c r="F31" s="4">
        <f>_xll.ciqfunctions.udf.CIQ(InputTicker, "IQ_INC_EQUITY",Input!H$2,Date,,,Ccy,Conv)</f>
        <v>0</v>
      </c>
      <c r="G31" s="4">
        <f>_xll.ciqfunctions.udf.CIQ(InputTicker, "IQ_INC_EQUITY",Input!I$2,Date,,,Ccy,Conv)</f>
        <v>0</v>
      </c>
      <c r="H31" s="4">
        <f>_xll.ciqfunctions.udf.CIQ(InputTicker, "IQ_INC_EQUITY",Input!J$2,Date,,,Ccy,Conv)</f>
        <v>-32</v>
      </c>
      <c r="I31" s="4">
        <f>_xll.ciqfunctions.udf.CIQ(InputTicker, "IQ_INC_EQUITY",Input!K$2,Date,,,Ccy,Conv)</f>
        <v>0</v>
      </c>
      <c r="J31" s="4">
        <f>_xll.ciqfunctions.udf.CIQ(InputTicker, "IQ_INC_EQUITY",Input!L$2,Date,,,Ccy,Conv)</f>
        <v>-1319</v>
      </c>
      <c r="K31" s="4">
        <f>_xll.ciqfunctions.udf.CIQ(InputTicker, "IQ_INC_EQUITY",Input!M$2,Date,,,Ccy,Conv)</f>
        <v>-4725</v>
      </c>
      <c r="L31" s="4">
        <f>_xll.ciqfunctions.udf.CIQ(InputTicker, "IQ_INC_EQUITY",Input!N$2,Date,,,Ccy,Conv)</f>
        <v>4722</v>
      </c>
      <c r="M31" s="4">
        <f>_xll.ciqfunctions.udf.CIQ(InputTicker, "IQ_INC_EQUITY",Input!O$2,Date,,,Ccy,Conv)</f>
        <v>4722</v>
      </c>
      <c r="N31" s="46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2"/>
      <c r="AG31" s="42"/>
      <c r="AH31" s="42"/>
      <c r="AI31" s="42"/>
      <c r="AJ31" s="42"/>
      <c r="AK31" s="42"/>
      <c r="AL31" s="42"/>
      <c r="AM31" s="42"/>
      <c r="AN31" s="42"/>
      <c r="AO31" s="42"/>
      <c r="AP31" s="42"/>
      <c r="AQ31" s="42"/>
      <c r="AR31" s="42"/>
      <c r="AS31" s="42"/>
      <c r="AT31" s="42"/>
      <c r="AU31" s="42"/>
      <c r="AV31" s="42"/>
      <c r="AW31" s="42"/>
      <c r="AX31" s="42"/>
      <c r="AY31" s="42"/>
      <c r="AZ31" s="42"/>
      <c r="BA31" s="42"/>
      <c r="BB31" s="42"/>
      <c r="BC31" s="42"/>
      <c r="BD31" s="42"/>
      <c r="BE31" s="42"/>
      <c r="BF31" s="42"/>
      <c r="BG31" s="42"/>
      <c r="BH31" s="42"/>
      <c r="BI31" s="42"/>
      <c r="BJ31" s="42"/>
      <c r="BK31" s="42"/>
      <c r="BL31" s="42"/>
      <c r="BM31" s="42"/>
      <c r="BN31" s="42"/>
    </row>
    <row r="32" spans="1:66" ht="12.75" customHeight="1" x14ac:dyDescent="0.2">
      <c r="A32" s="1" t="s">
        <v>164</v>
      </c>
      <c r="B32" s="4">
        <f>_xll.ciqfunctions.udf.CIQ(InputTicker, "IQ_CURRENCY_GAIN",Input!D$2,Date,,,Ccy,Conv)</f>
        <v>-497</v>
      </c>
      <c r="C32" s="4">
        <f>_xll.ciqfunctions.udf.CIQ(InputTicker, "IQ_CURRENCY_GAIN",Input!E$2,Date,,,Ccy,Conv)</f>
        <v>-562</v>
      </c>
      <c r="D32" s="4">
        <f>_xll.ciqfunctions.udf.CIQ(InputTicker, "IQ_CURRENCY_GAIN",Input!F$2,Date,,,Ccy,Conv)</f>
        <v>-148</v>
      </c>
      <c r="E32" s="4">
        <f>_xll.ciqfunctions.udf.CIQ(InputTicker, "IQ_CURRENCY_GAIN",Input!G$2,Date,,,Ccy,Conv)</f>
        <v>-11</v>
      </c>
      <c r="F32" s="4">
        <f>_xll.ciqfunctions.udf.CIQ(InputTicker, "IQ_CURRENCY_GAIN",Input!H$2,Date,,,Ccy,Conv)</f>
        <v>-171</v>
      </c>
      <c r="G32" s="4">
        <f>_xll.ciqfunctions.udf.CIQ(InputTicker, "IQ_CURRENCY_GAIN",Input!I$2,Date,,,Ccy,Conv)</f>
        <v>133</v>
      </c>
      <c r="H32" s="4">
        <f>_xll.ciqfunctions.udf.CIQ(InputTicker, "IQ_CURRENCY_GAIN",Input!J$2,Date,,,Ccy,Conv)</f>
        <v>232</v>
      </c>
      <c r="I32" s="4">
        <f>_xll.ciqfunctions.udf.CIQ(InputTicker, "IQ_CURRENCY_GAIN",Input!K$2,Date,,,Ccy,Conv)</f>
        <v>108</v>
      </c>
      <c r="J32" s="4">
        <f>_xll.ciqfunctions.udf.CIQ(InputTicker, "IQ_CURRENCY_GAIN",Input!L$2,Date,,,Ccy,Conv)</f>
        <v>123</v>
      </c>
      <c r="K32" s="4">
        <f>_xll.ciqfunctions.udf.CIQ(InputTicker, "IQ_CURRENCY_GAIN",Input!M$2,Date,,,Ccy,Conv)</f>
        <v>-767</v>
      </c>
      <c r="L32" s="4">
        <f>_xll.ciqfunctions.udf.CIQ(InputTicker, "IQ_CURRENCY_GAIN",Input!N$2,Date,,,Ccy,Conv)</f>
        <v>65</v>
      </c>
      <c r="M32" s="4">
        <f>_xll.ciqfunctions.udf.CIQ(InputTicker, "IQ_CURRENCY_GAIN",Input!O$2,Date,,,Ccy,Conv)</f>
        <v>65</v>
      </c>
      <c r="N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2"/>
      <c r="AG32" s="42"/>
      <c r="AH32" s="42"/>
      <c r="AI32" s="42"/>
      <c r="AJ32" s="42"/>
      <c r="AK32" s="42"/>
      <c r="AL32" s="42"/>
      <c r="AM32" s="42"/>
      <c r="AN32" s="42"/>
      <c r="AO32" s="42"/>
      <c r="AP32" s="42"/>
      <c r="AQ32" s="42"/>
      <c r="AR32" s="42"/>
      <c r="AS32" s="42"/>
      <c r="AT32" s="42"/>
      <c r="AU32" s="42"/>
      <c r="AV32" s="42"/>
      <c r="AW32" s="42"/>
      <c r="AX32" s="42"/>
      <c r="AY32" s="42"/>
      <c r="AZ32" s="42"/>
      <c r="BA32" s="42"/>
      <c r="BB32" s="42"/>
      <c r="BC32" s="42"/>
      <c r="BD32" s="42"/>
      <c r="BE32" s="42"/>
      <c r="BF32" s="42"/>
      <c r="BG32" s="42"/>
      <c r="BH32" s="42"/>
      <c r="BI32" s="42"/>
      <c r="BJ32" s="42"/>
      <c r="BK32" s="42"/>
      <c r="BL32" s="42"/>
      <c r="BM32" s="42"/>
      <c r="BN32" s="42"/>
    </row>
    <row r="33" spans="1:66" ht="12.75" customHeight="1" x14ac:dyDescent="0.2">
      <c r="A33" s="1" t="s">
        <v>127</v>
      </c>
      <c r="B33" s="4">
        <f>_xll.ciqfunctions.udf.CIQ(InputTicker, "IQ_OTHER_NON_OPER_EXP_SUPPL",Input!D$2,Date,,,Ccy,Conv)</f>
        <v>-239</v>
      </c>
      <c r="C33" s="4">
        <f>_xll.ciqfunctions.udf.CIQ(InputTicker, "IQ_OTHER_NON_OPER_EXP_SUPPL",Input!E$2,Date,,,Ccy,Conv)</f>
        <v>-116</v>
      </c>
      <c r="D33" s="4">
        <f>_xll.ciqfunctions.udf.CIQ(InputTicker, "IQ_OTHER_NON_OPER_EXP_SUPPL",Input!F$2,Date,,,Ccy,Conv)</f>
        <v>-396</v>
      </c>
      <c r="E33" s="4">
        <f>_xll.ciqfunctions.udf.CIQ(InputTicker, "IQ_OTHER_NON_OPER_EXP_SUPPL",Input!G$2,Date,,,Ccy,Conv)</f>
        <v>16</v>
      </c>
      <c r="F33" s="4">
        <f>_xll.ciqfunctions.udf.CIQ(InputTicker, "IQ_OTHER_NON_OPER_EXP_SUPPL",Input!H$2,Date,,,Ccy,Conv)</f>
        <v>127</v>
      </c>
      <c r="G33" s="4">
        <f>_xll.ciqfunctions.udf.CIQ(InputTicker, "IQ_OTHER_NON_OPER_EXP_SUPPL",Input!I$2,Date,,,Ccy,Conv)</f>
        <v>20</v>
      </c>
      <c r="H33" s="4">
        <f>_xll.ciqfunctions.udf.CIQ(InputTicker, "IQ_OTHER_NON_OPER_EXP_SUPPL",Input!J$2,Date,,,Ccy,Conv)</f>
        <v>-388</v>
      </c>
      <c r="I33" s="4">
        <f>_xll.ciqfunctions.udf.CIQ(InputTicker, "IQ_OTHER_NON_OPER_EXP_SUPPL",Input!K$2,Date,,,Ccy,Conv)</f>
        <v>64</v>
      </c>
      <c r="J33" s="4">
        <f>_xll.ciqfunctions.udf.CIQ(InputTicker, "IQ_OTHER_NON_OPER_EXP_SUPPL",Input!L$2,Date,,,Ccy,Conv)</f>
        <v>-329</v>
      </c>
      <c r="K33" s="4">
        <f>_xll.ciqfunctions.udf.CIQ(InputTicker, "IQ_OTHER_NON_OPER_EXP_SUPPL",Input!M$2,Date,,,Ccy,Conv)</f>
        <v>984</v>
      </c>
      <c r="L33" s="4">
        <f>_xll.ciqfunctions.udf.CIQ(InputTicker, "IQ_OTHER_NON_OPER_EXP_SUPPL",Input!N$2,Date,,,Ccy,Conv)</f>
        <v>-559</v>
      </c>
      <c r="M33" s="4">
        <f>_xll.ciqfunctions.udf.CIQ(InputTicker, "IQ_OTHER_NON_OPER_EXP_SUPPL",Input!O$2,Date,,,Ccy,Conv)</f>
        <v>-559</v>
      </c>
      <c r="N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2"/>
      <c r="AG33" s="42"/>
      <c r="AH33" s="42"/>
      <c r="AI33" s="42"/>
      <c r="AJ33" s="42"/>
      <c r="AK33" s="42"/>
      <c r="AL33" s="42"/>
      <c r="AM33" s="42"/>
      <c r="AN33" s="42"/>
      <c r="AO33" s="42"/>
      <c r="AP33" s="42"/>
      <c r="AQ33" s="42"/>
      <c r="AR33" s="42"/>
      <c r="AS33" s="42"/>
      <c r="AT33" s="42"/>
      <c r="AU33" s="42"/>
      <c r="AV33" s="42"/>
      <c r="AW33" s="42"/>
      <c r="AX33" s="42"/>
      <c r="AY33" s="42"/>
      <c r="AZ33" s="42"/>
      <c r="BA33" s="42"/>
      <c r="BB33" s="42"/>
      <c r="BC33" s="42"/>
      <c r="BD33" s="42"/>
      <c r="BE33" s="42"/>
      <c r="BF33" s="42"/>
      <c r="BG33" s="42"/>
      <c r="BH33" s="42"/>
      <c r="BI33" s="42"/>
      <c r="BJ33" s="42"/>
      <c r="BK33" s="42"/>
      <c r="BL33" s="42"/>
      <c r="BM33" s="42"/>
      <c r="BN33" s="42"/>
    </row>
    <row r="34" spans="1:66" ht="12.75" customHeight="1" x14ac:dyDescent="0.2">
      <c r="A34" s="5" t="s">
        <v>66</v>
      </c>
      <c r="B34" s="6">
        <f>_xll.ciqfunctions.udf.CIQ(InputTicker, "IQ_EBT_EXCL",Input!D$2,Date,,,Ccy,Conv)</f>
        <v>26112</v>
      </c>
      <c r="C34" s="6">
        <f>_xll.ciqfunctions.udf.CIQ(InputTicker, "IQ_EBT_EXCL",Input!E$2,Date,,,Ccy,Conv)</f>
        <v>27818</v>
      </c>
      <c r="D34" s="6">
        <f>_xll.ciqfunctions.udf.CIQ(InputTicker, "IQ_EBT_EXCL",Input!F$2,Date,,,Ccy,Conv)</f>
        <v>33995</v>
      </c>
      <c r="E34" s="6">
        <f>_xll.ciqfunctions.udf.CIQ(InputTicker, "IQ_EBT_EXCL",Input!G$2,Date,,,Ccy,Conv)</f>
        <v>43040</v>
      </c>
      <c r="F34" s="6">
        <f>_xll.ciqfunctions.udf.CIQ(InputTicker, "IQ_EBT_EXCL",Input!H$2,Date,,,Ccy,Conv)</f>
        <v>53004</v>
      </c>
      <c r="G34" s="6">
        <f>_xll.ciqfunctions.udf.CIQ(InputTicker, "IQ_EBT_EXCL",Input!I$2,Date,,,Ccy,Conv)</f>
        <v>69870</v>
      </c>
      <c r="H34" s="6">
        <f>_xll.ciqfunctions.udf.CIQ(InputTicker, "IQ_EBT_EXCL",Input!J$2,Date,,,Ccy,Conv)</f>
        <v>83242</v>
      </c>
      <c r="I34" s="6">
        <f>_xll.ciqfunctions.udf.CIQ(InputTicker, "IQ_EBT_EXCL",Input!K$2,Date,,,Ccy,Conv)</f>
        <v>89694</v>
      </c>
      <c r="J34" s="6">
        <f>_xll.ciqfunctions.udf.CIQ(InputTicker, "IQ_EBT_EXCL",Input!L$2,Date,,,Ccy,Conv)</f>
        <v>108082</v>
      </c>
      <c r="K34" s="6">
        <f>_xll.ciqfunctions.udf.CIQ(InputTicker, "IQ_EBT_EXCL",Input!M$2,Date,,,Ccy,Conv)</f>
        <v>124242</v>
      </c>
      <c r="L34" s="6">
        <f>_xll.ciqfunctions.udf.CIQ(InputTicker, "IQ_EBT_EXCL",Input!N$2,Date,,,Ccy,Conv)</f>
        <v>159685</v>
      </c>
      <c r="M34" s="6">
        <f>_xll.ciqfunctions.udf.CIQ(InputTicker, "IQ_EBT_EXCL",Input!O$2,Date,,,Ccy,Conv)</f>
        <v>159685</v>
      </c>
      <c r="N34" s="46"/>
      <c r="P34" s="46"/>
      <c r="Q34" s="46"/>
      <c r="R34" s="46"/>
      <c r="T34" s="42"/>
      <c r="U34" s="42"/>
      <c r="V34" s="46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42"/>
      <c r="AI34" s="42"/>
      <c r="AJ34" s="42"/>
      <c r="AK34" s="42"/>
      <c r="AL34" s="42"/>
      <c r="AM34" s="42"/>
      <c r="AN34" s="42"/>
      <c r="AO34" s="42"/>
      <c r="AP34" s="42"/>
      <c r="AQ34" s="42"/>
      <c r="AR34" s="42"/>
      <c r="AS34" s="42"/>
      <c r="AT34" s="42"/>
      <c r="AU34" s="42"/>
      <c r="AV34" s="42"/>
      <c r="AW34" s="42"/>
      <c r="AX34" s="42"/>
      <c r="AY34" s="42"/>
      <c r="AZ34" s="42"/>
      <c r="BA34" s="42"/>
      <c r="BB34" s="42"/>
      <c r="BC34" s="42"/>
      <c r="BD34" s="42"/>
      <c r="BE34" s="42"/>
      <c r="BF34" s="42"/>
      <c r="BG34" s="42"/>
      <c r="BH34" s="42"/>
      <c r="BI34" s="42"/>
      <c r="BJ34" s="42"/>
      <c r="BK34" s="42"/>
      <c r="BL34" s="42"/>
      <c r="BM34" s="42"/>
      <c r="BN34" s="42"/>
    </row>
    <row r="35" spans="1:66" ht="12.75" customHeight="1" x14ac:dyDescent="0.2">
      <c r="A35" s="1" t="s">
        <v>165</v>
      </c>
      <c r="B35" s="4">
        <f>_xll.ciqfunctions.udf.CIQ(InputTicker, "IQ_RESTRUCTURE",Input!D$2,Date,,,Ccy,Conv)</f>
        <v>-480</v>
      </c>
      <c r="C35" s="4">
        <f>_xll.ciqfunctions.udf.CIQ(InputTicker, "IQ_RESTRUCTURE",Input!E$2,Date,,,Ccy,Conv)</f>
        <v>-306</v>
      </c>
      <c r="D35" s="4">
        <f>_xll.ciqfunctions.udf.CIQ(InputTicker, "IQ_RESTRUCTURE",Input!F$2,Date,,,Ccy,Conv)</f>
        <v>0</v>
      </c>
      <c r="E35" s="4">
        <f>_xll.ciqfunctions.udf.CIQ(InputTicker, "IQ_RESTRUCTURE",Input!G$2,Date,,,Ccy,Conv)</f>
        <v>0</v>
      </c>
      <c r="F35" s="4">
        <f>_xll.ciqfunctions.udf.CIQ(InputTicker, "IQ_RESTRUCTURE",Input!H$2,Date,,,Ccy,Conv)</f>
        <v>0</v>
      </c>
      <c r="G35" s="4">
        <f>_xll.ciqfunctions.udf.CIQ(InputTicker, "IQ_RESTRUCTURE",Input!I$2,Date,,,Ccy,Conv)</f>
        <v>0</v>
      </c>
      <c r="H35" s="4">
        <f>_xll.ciqfunctions.udf.CIQ(InputTicker, "IQ_RESTRUCTURE",Input!J$2,Date,,,Ccy,Conv)</f>
        <v>0</v>
      </c>
      <c r="I35" s="4">
        <f>_xll.ciqfunctions.udf.CIQ(InputTicker, "IQ_RESTRUCTURE",Input!K$2,Date,,,Ccy,Conv)</f>
        <v>0</v>
      </c>
      <c r="J35" s="4">
        <f>_xll.ciqfunctions.udf.CIQ(InputTicker, "IQ_RESTRUCTURE",Input!L$2,Date,,,Ccy,Conv)</f>
        <v>0</v>
      </c>
      <c r="K35" s="4">
        <f>_xll.ciqfunctions.udf.CIQ(InputTicker, "IQ_RESTRUCTURE",Input!M$2,Date,,,Ccy,Conv)</f>
        <v>0</v>
      </c>
      <c r="L35" s="4">
        <f>_xll.ciqfunctions.udf.CIQ(InputTicker, "IQ_RESTRUCTURE",Input!N$2,Date,,,Ccy,Conv)</f>
        <v>0</v>
      </c>
      <c r="M35" s="4">
        <f>_xll.ciqfunctions.udf.CIQ(InputTicker, "IQ_RESTRUCTURE",Input!O$2,Date,,,Ccy,Conv)</f>
        <v>0</v>
      </c>
      <c r="N35" s="46"/>
      <c r="P35" s="46"/>
      <c r="Q35" s="46"/>
      <c r="R35" s="46"/>
      <c r="T35" s="42"/>
      <c r="U35" s="42"/>
      <c r="V35" s="46"/>
      <c r="W35" s="42"/>
      <c r="X35" s="42"/>
      <c r="Y35" s="42"/>
      <c r="Z35" s="42"/>
      <c r="AA35" s="42"/>
      <c r="AB35" s="42"/>
      <c r="AC35" s="42"/>
      <c r="AD35" s="42"/>
      <c r="AE35" s="42"/>
      <c r="AF35" s="42"/>
      <c r="AG35" s="42"/>
      <c r="AH35" s="42"/>
      <c r="AI35" s="42"/>
      <c r="AJ35" s="42"/>
      <c r="AK35" s="42"/>
      <c r="AL35" s="42"/>
      <c r="AM35" s="42"/>
      <c r="AN35" s="42"/>
      <c r="AO35" s="42"/>
      <c r="AP35" s="42"/>
      <c r="AQ35" s="42"/>
      <c r="AR35" s="42"/>
      <c r="AS35" s="42"/>
      <c r="AT35" s="42"/>
      <c r="AU35" s="42"/>
      <c r="AV35" s="42"/>
      <c r="AW35" s="42"/>
      <c r="AX35" s="42"/>
      <c r="AY35" s="42"/>
      <c r="AZ35" s="42"/>
      <c r="BA35" s="42"/>
      <c r="BB35" s="42"/>
      <c r="BC35" s="42"/>
      <c r="BD35" s="42"/>
      <c r="BE35" s="42"/>
      <c r="BF35" s="42"/>
      <c r="BG35" s="42"/>
      <c r="BH35" s="42"/>
      <c r="BI35" s="42"/>
      <c r="BJ35" s="42"/>
      <c r="BK35" s="42"/>
      <c r="BL35" s="42"/>
      <c r="BM35" s="42"/>
      <c r="BN35" s="42"/>
    </row>
    <row r="36" spans="1:66" ht="12.75" customHeight="1" x14ac:dyDescent="0.2">
      <c r="A36" s="1" t="s">
        <v>128</v>
      </c>
      <c r="B36" s="4">
        <f>_xll.ciqfunctions.udf.CIQ(InputTicker, "IQ_MERGER",Input!D$2,Date,,,Ccy,Conv)</f>
        <v>0</v>
      </c>
      <c r="C36" s="4">
        <f>_xll.ciqfunctions.udf.CIQ(InputTicker, "IQ_MERGER",Input!E$2,Date,,,Ccy,Conv)</f>
        <v>0</v>
      </c>
      <c r="D36" s="4">
        <f>_xll.ciqfunctions.udf.CIQ(InputTicker, "IQ_MERGER",Input!F$2,Date,,,Ccy,Conv)</f>
        <v>0</v>
      </c>
      <c r="E36" s="4">
        <f>_xll.ciqfunctions.udf.CIQ(InputTicker, "IQ_MERGER",Input!G$2,Date,,,Ccy,Conv)</f>
        <v>0</v>
      </c>
      <c r="F36" s="4">
        <f>_xll.ciqfunctions.udf.CIQ(InputTicker, "IQ_MERGER",Input!H$2,Date,,,Ccy,Conv)</f>
        <v>0</v>
      </c>
      <c r="G36" s="4">
        <f>_xll.ciqfunctions.udf.CIQ(InputTicker, "IQ_MERGER",Input!I$2,Date,,,Ccy,Conv)</f>
        <v>0</v>
      </c>
      <c r="H36" s="4">
        <f>_xll.ciqfunctions.udf.CIQ(InputTicker, "IQ_MERGER",Input!J$2,Date,,,Ccy,Conv)</f>
        <v>0</v>
      </c>
      <c r="I36" s="4">
        <f>_xll.ciqfunctions.udf.CIQ(InputTicker, "IQ_MERGER",Input!K$2,Date,,,Ccy,Conv)</f>
        <v>0</v>
      </c>
      <c r="J36" s="4">
        <f>_xll.ciqfunctions.udf.CIQ(InputTicker, "IQ_MERGER",Input!L$2,Date,,,Ccy,Conv)</f>
        <v>0</v>
      </c>
      <c r="K36" s="4">
        <f>_xll.ciqfunctions.udf.CIQ(InputTicker, "IQ_MERGER",Input!M$2,Date,,,Ccy,Conv)</f>
        <v>0</v>
      </c>
      <c r="L36" s="4">
        <f>_xll.ciqfunctions.udf.CIQ(InputTicker, "IQ_MERGER",Input!N$2,Date,,,Ccy,Conv)</f>
        <v>0</v>
      </c>
      <c r="M36" s="4">
        <f>_xll.ciqfunctions.udf.CIQ(InputTicker, "IQ_MERGER",Input!O$2,Date,,,Ccy,Conv)</f>
        <v>0</v>
      </c>
      <c r="N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42"/>
      <c r="AI36" s="42"/>
      <c r="AJ36" s="42"/>
      <c r="AK36" s="42"/>
      <c r="AL36" s="42"/>
      <c r="AM36" s="42"/>
      <c r="AN36" s="42"/>
      <c r="AO36" s="42"/>
      <c r="AP36" s="42"/>
      <c r="AQ36" s="42"/>
      <c r="AR36" s="42"/>
      <c r="AS36" s="42"/>
      <c r="AT36" s="42"/>
      <c r="AU36" s="42"/>
      <c r="AV36" s="42"/>
      <c r="AW36" s="42"/>
      <c r="AX36" s="42"/>
      <c r="AY36" s="42"/>
      <c r="AZ36" s="42"/>
      <c r="BA36" s="42"/>
      <c r="BB36" s="42"/>
      <c r="BC36" s="42"/>
      <c r="BD36" s="42"/>
      <c r="BE36" s="42"/>
      <c r="BF36" s="42"/>
      <c r="BG36" s="42"/>
      <c r="BH36" s="42"/>
      <c r="BI36" s="42"/>
      <c r="BJ36" s="42"/>
      <c r="BK36" s="42"/>
      <c r="BL36" s="42"/>
      <c r="BM36" s="42"/>
      <c r="BN36" s="42"/>
    </row>
    <row r="37" spans="1:66" ht="12.75" customHeight="1" x14ac:dyDescent="0.2">
      <c r="A37" s="1" t="s">
        <v>67</v>
      </c>
      <c r="B37" s="4">
        <f>_xll.ciqfunctions.udf.CIQ(InputTicker, "IQ_IMPAIRMENT_GW",Input!D$2,Date,,,Ccy,Conv)</f>
        <v>0</v>
      </c>
      <c r="C37" s="4">
        <f>_xll.ciqfunctions.udf.CIQ(InputTicker, "IQ_IMPAIRMENT_GW",Input!E$2,Date,,,Ccy,Conv)</f>
        <v>0</v>
      </c>
      <c r="D37" s="4">
        <f>_xll.ciqfunctions.udf.CIQ(InputTicker, "IQ_IMPAIRMENT_GW",Input!F$2,Date,,,Ccy,Conv)</f>
        <v>0</v>
      </c>
      <c r="E37" s="4">
        <f>_xll.ciqfunctions.udf.CIQ(InputTicker, "IQ_IMPAIRMENT_GW",Input!G$2,Date,,,Ccy,Conv)</f>
        <v>0</v>
      </c>
      <c r="F37" s="4">
        <f>_xll.ciqfunctions.udf.CIQ(InputTicker, "IQ_IMPAIRMENT_GW",Input!H$2,Date,,,Ccy,Conv)</f>
        <v>0</v>
      </c>
      <c r="G37" s="4">
        <f>_xll.ciqfunctions.udf.CIQ(InputTicker, "IQ_IMPAIRMENT_GW",Input!I$2,Date,,,Ccy,Conv)</f>
        <v>0</v>
      </c>
      <c r="H37" s="4">
        <f>_xll.ciqfunctions.udf.CIQ(InputTicker, "IQ_IMPAIRMENT_GW",Input!J$2,Date,,,Ccy,Conv)</f>
        <v>0</v>
      </c>
      <c r="I37" s="4">
        <f>_xll.ciqfunctions.udf.CIQ(InputTicker, "IQ_IMPAIRMENT_GW",Input!K$2,Date,,,Ccy,Conv)</f>
        <v>0</v>
      </c>
      <c r="J37" s="4">
        <f>_xll.ciqfunctions.udf.CIQ(InputTicker, "IQ_IMPAIRMENT_GW",Input!L$2,Date,,,Ccy,Conv)</f>
        <v>0</v>
      </c>
      <c r="K37" s="4">
        <f>_xll.ciqfunctions.udf.CIQ(InputTicker, "IQ_IMPAIRMENT_GW",Input!M$2,Date,,,Ccy,Conv)</f>
        <v>0</v>
      </c>
      <c r="L37" s="4">
        <f>_xll.ciqfunctions.udf.CIQ(InputTicker, "IQ_IMPAIRMENT_GW",Input!N$2,Date,,,Ccy,Conv)</f>
        <v>0</v>
      </c>
      <c r="M37" s="4">
        <f>_xll.ciqfunctions.udf.CIQ(InputTicker, "IQ_IMPAIRMENT_GW",Input!O$2,Date,,,Ccy,Conv)</f>
        <v>0</v>
      </c>
      <c r="N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2"/>
      <c r="AG37" s="42"/>
      <c r="AH37" s="42"/>
      <c r="AI37" s="42"/>
      <c r="AJ37" s="42"/>
      <c r="AK37" s="42"/>
      <c r="AL37" s="42"/>
      <c r="AM37" s="42"/>
      <c r="AN37" s="42"/>
      <c r="AO37" s="42"/>
      <c r="AP37" s="42"/>
      <c r="AQ37" s="42"/>
      <c r="AR37" s="42"/>
      <c r="AS37" s="42"/>
      <c r="AT37" s="42"/>
      <c r="AU37" s="42"/>
      <c r="AV37" s="42"/>
      <c r="AW37" s="42"/>
      <c r="AX37" s="42"/>
      <c r="AY37" s="42"/>
      <c r="AZ37" s="42"/>
      <c r="BA37" s="42"/>
      <c r="BB37" s="42"/>
      <c r="BC37" s="42"/>
      <c r="BD37" s="42"/>
      <c r="BE37" s="42"/>
      <c r="BF37" s="42"/>
      <c r="BG37" s="42"/>
      <c r="BH37" s="42"/>
      <c r="BI37" s="42"/>
      <c r="BJ37" s="42"/>
      <c r="BK37" s="42"/>
      <c r="BL37" s="42"/>
      <c r="BM37" s="42"/>
      <c r="BN37" s="42"/>
    </row>
    <row r="38" spans="1:66" ht="12.75" customHeight="1" x14ac:dyDescent="0.2">
      <c r="A38" s="1" t="s">
        <v>68</v>
      </c>
      <c r="B38" s="4">
        <f>_xll.ciqfunctions.udf.CIQ(InputTicker, "IQ_GAIN_INVEST",Input!D$2,Date,,,Ccy,Conv)</f>
        <v>637</v>
      </c>
      <c r="C38" s="4">
        <f>_xll.ciqfunctions.udf.CIQ(InputTicker, "IQ_GAIN_INVEST",Input!E$2,Date,,,Ccy,Conv)</f>
        <v>2389</v>
      </c>
      <c r="D38" s="4">
        <f>_xll.ciqfunctions.udf.CIQ(InputTicker, "IQ_GAIN_INVEST",Input!F$2,Date,,,Ccy,Conv)</f>
        <v>2479</v>
      </c>
      <c r="E38" s="4">
        <f>_xll.ciqfunctions.udf.CIQ(InputTicker, "IQ_GAIN_INVEST",Input!G$2,Date,,,Ccy,Conv)</f>
        <v>648</v>
      </c>
      <c r="F38" s="4">
        <f>_xll.ciqfunctions.udf.CIQ(InputTicker, "IQ_GAIN_INVEST",Input!H$2,Date,,,Ccy,Conv)</f>
        <v>32</v>
      </c>
      <c r="G38" s="4">
        <f>_xll.ciqfunctions.udf.CIQ(InputTicker, "IQ_GAIN_INVEST",Input!I$2,Date,,,Ccy,Conv)</f>
        <v>1232</v>
      </c>
      <c r="H38" s="4">
        <f>_xll.ciqfunctions.udf.CIQ(InputTicker, "IQ_GAIN_INVEST",Input!J$2,Date,,,Ccy,Conv)</f>
        <v>474</v>
      </c>
      <c r="I38" s="4">
        <f>_xll.ciqfunctions.udf.CIQ(InputTicker, "IQ_GAIN_INVEST",Input!K$2,Date,,,Ccy,Conv)</f>
        <v>-383</v>
      </c>
      <c r="J38" s="4">
        <f>_xll.ciqfunctions.udf.CIQ(InputTicker, "IQ_GAIN_INVEST",Input!L$2,Date,,,Ccy,Conv)</f>
        <v>-295</v>
      </c>
      <c r="K38" s="4">
        <f>_xll.ciqfunctions.udf.CIQ(InputTicker, "IQ_GAIN_INVEST",Input!M$2,Date,,,Ccy,Conv)</f>
        <v>-615</v>
      </c>
      <c r="L38" s="4">
        <f>_xll.ciqfunctions.udf.CIQ(InputTicker, "IQ_GAIN_INVEST",Input!N$2,Date,,,Ccy,Conv)</f>
        <v>6249</v>
      </c>
      <c r="M38" s="4">
        <f>_xll.ciqfunctions.udf.CIQ(InputTicker, "IQ_GAIN_INVEST",Input!O$2,Date,,,Ccy,Conv)</f>
        <v>6249</v>
      </c>
      <c r="N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42"/>
      <c r="AI38" s="42"/>
      <c r="AJ38" s="42"/>
      <c r="AK38" s="42"/>
      <c r="AL38" s="42"/>
      <c r="AM38" s="42"/>
      <c r="AN38" s="42"/>
      <c r="AO38" s="42"/>
      <c r="AP38" s="42"/>
      <c r="AQ38" s="42"/>
      <c r="AR38" s="42"/>
      <c r="AS38" s="42"/>
      <c r="AT38" s="42"/>
      <c r="AU38" s="42"/>
      <c r="AV38" s="42"/>
      <c r="AW38" s="42"/>
      <c r="AX38" s="42"/>
      <c r="AY38" s="42"/>
      <c r="AZ38" s="42"/>
      <c r="BA38" s="42"/>
      <c r="BB38" s="42"/>
      <c r="BC38" s="42"/>
      <c r="BD38" s="42"/>
      <c r="BE38" s="42"/>
      <c r="BF38" s="42"/>
      <c r="BG38" s="42"/>
      <c r="BH38" s="42"/>
      <c r="BI38" s="42"/>
      <c r="BJ38" s="42"/>
      <c r="BK38" s="42"/>
      <c r="BL38" s="42"/>
      <c r="BM38" s="42"/>
      <c r="BN38" s="42"/>
    </row>
    <row r="39" spans="1:66" ht="12.75" customHeight="1" x14ac:dyDescent="0.2">
      <c r="A39" s="1" t="s">
        <v>69</v>
      </c>
      <c r="B39" s="4">
        <f>_xll.ciqfunctions.udf.CIQ(InputTicker, "IQ_GAIN_ASSETS",Input!D$2,Date,,,Ccy,Conv)</f>
        <v>0</v>
      </c>
      <c r="C39" s="4">
        <f>_xll.ciqfunctions.udf.CIQ(InputTicker, "IQ_GAIN_ASSETS",Input!E$2,Date,,,Ccy,Conv)</f>
        <v>0</v>
      </c>
      <c r="D39" s="4">
        <f>_xll.ciqfunctions.udf.CIQ(InputTicker, "IQ_GAIN_ASSETS",Input!F$2,Date,,,Ccy,Conv)</f>
        <v>0</v>
      </c>
      <c r="E39" s="4">
        <f>_xll.ciqfunctions.udf.CIQ(InputTicker, "IQ_GAIN_ASSETS",Input!G$2,Date,,,Ccy,Conv)</f>
        <v>0</v>
      </c>
      <c r="F39" s="4">
        <f>_xll.ciqfunctions.udf.CIQ(InputTicker, "IQ_GAIN_ASSETS",Input!H$2,Date,,,Ccy,Conv)</f>
        <v>0</v>
      </c>
      <c r="G39" s="4">
        <f>_xll.ciqfunctions.udf.CIQ(InputTicker, "IQ_GAIN_ASSETS",Input!I$2,Date,,,Ccy,Conv)</f>
        <v>0</v>
      </c>
      <c r="H39" s="4">
        <f>_xll.ciqfunctions.udf.CIQ(InputTicker, "IQ_GAIN_ASSETS",Input!J$2,Date,,,Ccy,Conv)</f>
        <v>0</v>
      </c>
      <c r="I39" s="4">
        <f>_xll.ciqfunctions.udf.CIQ(InputTicker, "IQ_GAIN_ASSETS",Input!K$2,Date,,,Ccy,Conv)</f>
        <v>0</v>
      </c>
      <c r="J39" s="4">
        <f>_xll.ciqfunctions.udf.CIQ(InputTicker, "IQ_GAIN_ASSETS",Input!L$2,Date,,,Ccy,Conv)</f>
        <v>0</v>
      </c>
      <c r="K39" s="4">
        <f>_xll.ciqfunctions.udf.CIQ(InputTicker, "IQ_GAIN_ASSETS",Input!M$2,Date,,,Ccy,Conv)</f>
        <v>0</v>
      </c>
      <c r="L39" s="4">
        <f>_xll.ciqfunctions.udf.CIQ(InputTicker, "IQ_GAIN_ASSETS",Input!N$2,Date,,,Ccy,Conv)</f>
        <v>0</v>
      </c>
      <c r="M39" s="4">
        <f>_xll.ciqfunctions.udf.CIQ(InputTicker, "IQ_GAIN_ASSETS",Input!O$2,Date,,,Ccy,Conv)</f>
        <v>0</v>
      </c>
      <c r="N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2"/>
      <c r="AG39" s="42"/>
      <c r="AH39" s="42"/>
      <c r="AI39" s="42"/>
      <c r="AJ39" s="42"/>
      <c r="AK39" s="42"/>
      <c r="AL39" s="42"/>
      <c r="AM39" s="42"/>
      <c r="AN39" s="42"/>
      <c r="AO39" s="42"/>
      <c r="AP39" s="42"/>
      <c r="AQ39" s="42"/>
      <c r="AR39" s="42"/>
      <c r="AS39" s="42"/>
      <c r="AT39" s="42"/>
      <c r="AU39" s="42"/>
      <c r="AV39" s="42"/>
      <c r="AW39" s="42"/>
      <c r="AX39" s="42"/>
      <c r="AY39" s="42"/>
      <c r="AZ39" s="42"/>
      <c r="BA39" s="42"/>
      <c r="BB39" s="42"/>
      <c r="BC39" s="42"/>
      <c r="BD39" s="42"/>
      <c r="BE39" s="42"/>
      <c r="BF39" s="42"/>
      <c r="BG39" s="42"/>
      <c r="BH39" s="42"/>
      <c r="BI39" s="42"/>
      <c r="BJ39" s="42"/>
      <c r="BK39" s="42"/>
      <c r="BL39" s="42"/>
      <c r="BM39" s="42"/>
      <c r="BN39" s="42"/>
    </row>
    <row r="40" spans="1:66" ht="12.75" customHeight="1" x14ac:dyDescent="0.2">
      <c r="A40" s="1" t="s">
        <v>166</v>
      </c>
      <c r="B40" s="4">
        <f>_xll.ciqfunctions.udf.CIQ(InputTicker, "IQ_ASSET_WRITEDOWN",Input!D$2,Date,,,Ccy,Conv)</f>
        <v>-630</v>
      </c>
      <c r="C40" s="4">
        <f>_xll.ciqfunctions.udf.CIQ(InputTicker, "IQ_ASSET_WRITEDOWN",Input!E$2,Date,,,Ccy,Conv)</f>
        <v>0</v>
      </c>
      <c r="D40" s="4">
        <f>_xll.ciqfunctions.udf.CIQ(InputTicker, "IQ_ASSET_WRITEDOWN",Input!F$2,Date,,,Ccy,Conv)</f>
        <v>0</v>
      </c>
      <c r="E40" s="4">
        <f>_xll.ciqfunctions.udf.CIQ(InputTicker, "IQ_ASSET_WRITEDOWN",Input!G$2,Date,,,Ccy,Conv)</f>
        <v>0</v>
      </c>
      <c r="F40" s="4">
        <f>_xll.ciqfunctions.udf.CIQ(InputTicker, "IQ_ASSET_WRITEDOWN",Input!H$2,Date,,,Ccy,Conv)</f>
        <v>0</v>
      </c>
      <c r="G40" s="4">
        <f>_xll.ciqfunctions.udf.CIQ(InputTicker, "IQ_ASSET_WRITEDOWN",Input!I$2,Date,,,Ccy,Conv)</f>
        <v>0</v>
      </c>
      <c r="H40" s="4">
        <f>_xll.ciqfunctions.udf.CIQ(InputTicker, "IQ_ASSET_WRITEDOWN",Input!J$2,Date,,,Ccy,Conv)</f>
        <v>0</v>
      </c>
      <c r="I40" s="4">
        <f>_xll.ciqfunctions.udf.CIQ(InputTicker, "IQ_ASSET_WRITEDOWN",Input!K$2,Date,,,Ccy,Conv)</f>
        <v>0</v>
      </c>
      <c r="J40" s="4">
        <f>_xll.ciqfunctions.udf.CIQ(InputTicker, "IQ_ASSET_WRITEDOWN",Input!L$2,Date,,,Ccy,Conv)</f>
        <v>0</v>
      </c>
      <c r="K40" s="4">
        <f>_xll.ciqfunctions.udf.CIQ(InputTicker, "IQ_ASSET_WRITEDOWN",Input!M$2,Date,,,Ccy,Conv)</f>
        <v>0</v>
      </c>
      <c r="L40" s="4">
        <f>_xll.ciqfunctions.udf.CIQ(InputTicker, "IQ_ASSET_WRITEDOWN",Input!N$2,Date,,,Ccy,Conv)</f>
        <v>0</v>
      </c>
      <c r="M40" s="4">
        <f>_xll.ciqfunctions.udf.CIQ(InputTicker, "IQ_ASSET_WRITEDOWN",Input!O$2,Date,,,Ccy,Conv)</f>
        <v>0</v>
      </c>
      <c r="N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42"/>
      <c r="AI40" s="42"/>
      <c r="AJ40" s="42"/>
      <c r="AK40" s="42"/>
      <c r="AL40" s="42"/>
      <c r="AM40" s="42"/>
      <c r="AN40" s="42"/>
      <c r="AO40" s="42"/>
      <c r="AP40" s="42"/>
      <c r="AQ40" s="42"/>
      <c r="AR40" s="42"/>
      <c r="AS40" s="42"/>
      <c r="AT40" s="42"/>
      <c r="AU40" s="42"/>
      <c r="AV40" s="42"/>
      <c r="AW40" s="42"/>
      <c r="AX40" s="42"/>
      <c r="AY40" s="42"/>
      <c r="AZ40" s="42"/>
      <c r="BA40" s="42"/>
      <c r="BB40" s="42"/>
      <c r="BC40" s="42"/>
      <c r="BD40" s="42"/>
      <c r="BE40" s="42"/>
      <c r="BF40" s="42"/>
      <c r="BG40" s="42"/>
      <c r="BH40" s="42"/>
      <c r="BI40" s="42"/>
      <c r="BJ40" s="42"/>
      <c r="BK40" s="42"/>
      <c r="BL40" s="42"/>
      <c r="BM40" s="42"/>
      <c r="BN40" s="42"/>
    </row>
    <row r="41" spans="1:66" ht="12.75" customHeight="1" x14ac:dyDescent="0.2">
      <c r="A41" s="1" t="s">
        <v>278</v>
      </c>
      <c r="B41" s="4">
        <f>_xll.ciqfunctions.udf.CIQ(InputTicker, "IQ_IPRD",Input!D$2,Date,,,Ccy,Conv)</f>
        <v>0</v>
      </c>
      <c r="C41" s="4">
        <f>_xll.ciqfunctions.udf.CIQ(InputTicker, "IQ_IPRD",Input!E$2,Date,,,Ccy,Conv)</f>
        <v>0</v>
      </c>
      <c r="D41" s="4">
        <f>_xll.ciqfunctions.udf.CIQ(InputTicker, "IQ_IPRD",Input!F$2,Date,,,Ccy,Conv)</f>
        <v>0</v>
      </c>
      <c r="E41" s="4">
        <f>_xll.ciqfunctions.udf.CIQ(InputTicker, "IQ_IPRD",Input!G$2,Date,,,Ccy,Conv)</f>
        <v>0</v>
      </c>
      <c r="F41" s="4">
        <f>_xll.ciqfunctions.udf.CIQ(InputTicker, "IQ_IPRD",Input!H$2,Date,,,Ccy,Conv)</f>
        <v>0</v>
      </c>
      <c r="G41" s="4">
        <f>_xll.ciqfunctions.udf.CIQ(InputTicker, "IQ_IPRD",Input!I$2,Date,,,Ccy,Conv)</f>
        <v>0</v>
      </c>
      <c r="H41" s="4">
        <f>_xll.ciqfunctions.udf.CIQ(InputTicker, "IQ_IPRD",Input!J$2,Date,,,Ccy,Conv)</f>
        <v>0</v>
      </c>
      <c r="I41" s="4">
        <f>_xll.ciqfunctions.udf.CIQ(InputTicker, "IQ_IPRD",Input!K$2,Date,,,Ccy,Conv)</f>
        <v>0</v>
      </c>
      <c r="J41" s="4">
        <f>_xll.ciqfunctions.udf.CIQ(InputTicker, "IQ_IPRD",Input!L$2,Date,,,Ccy,Conv)</f>
        <v>0</v>
      </c>
      <c r="K41" s="4">
        <f>_xll.ciqfunctions.udf.CIQ(InputTicker, "IQ_IPRD",Input!M$2,Date,,,Ccy,Conv)</f>
        <v>0</v>
      </c>
      <c r="L41" s="4">
        <f>_xll.ciqfunctions.udf.CIQ(InputTicker, "IQ_IPRD",Input!N$2,Date,,,Ccy,Conv)</f>
        <v>0</v>
      </c>
      <c r="M41" s="4">
        <f>_xll.ciqfunctions.udf.CIQ(InputTicker, "IQ_IPRD",Input!O$2,Date,,,Ccy,Conv)</f>
        <v>0</v>
      </c>
      <c r="N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2"/>
      <c r="AG41" s="42"/>
      <c r="AH41" s="42"/>
      <c r="AI41" s="42"/>
      <c r="AJ41" s="42"/>
      <c r="AK41" s="42"/>
      <c r="AL41" s="42"/>
      <c r="AM41" s="42"/>
      <c r="AN41" s="42"/>
      <c r="AO41" s="42"/>
      <c r="AP41" s="42"/>
      <c r="AQ41" s="42"/>
      <c r="AR41" s="42"/>
      <c r="AS41" s="42"/>
      <c r="AT41" s="42"/>
      <c r="AU41" s="42"/>
      <c r="AV41" s="42"/>
      <c r="AW41" s="42"/>
      <c r="AX41" s="42"/>
      <c r="AY41" s="42"/>
      <c r="AZ41" s="42"/>
      <c r="BA41" s="42"/>
      <c r="BB41" s="42"/>
      <c r="BC41" s="42"/>
      <c r="BD41" s="42"/>
      <c r="BE41" s="42"/>
      <c r="BF41" s="42"/>
      <c r="BG41" s="42"/>
      <c r="BH41" s="42"/>
      <c r="BI41" s="42"/>
      <c r="BJ41" s="42"/>
      <c r="BK41" s="42"/>
      <c r="BL41" s="42"/>
      <c r="BM41" s="42"/>
      <c r="BN41" s="42"/>
    </row>
    <row r="42" spans="1:66" ht="12.75" customHeight="1" x14ac:dyDescent="0.2">
      <c r="A42" s="1" t="s">
        <v>167</v>
      </c>
      <c r="B42" s="4">
        <f>_xll.ciqfunctions.udf.CIQ(InputTicker, "IQ_INS_SETTLE",Input!D$2,Date,,,Ccy,Conv)</f>
        <v>0</v>
      </c>
      <c r="C42" s="4">
        <f>_xll.ciqfunctions.udf.CIQ(InputTicker, "IQ_INS_SETTLE",Input!E$2,Date,,,Ccy,Conv)</f>
        <v>0</v>
      </c>
      <c r="D42" s="4">
        <f>_xll.ciqfunctions.udf.CIQ(InputTicker, "IQ_INS_SETTLE",Input!F$2,Date,,,Ccy,Conv)</f>
        <v>0</v>
      </c>
      <c r="E42" s="4">
        <f>_xll.ciqfunctions.udf.CIQ(InputTicker, "IQ_INS_SETTLE",Input!G$2,Date,,,Ccy,Conv)</f>
        <v>0</v>
      </c>
      <c r="F42" s="4">
        <f>_xll.ciqfunctions.udf.CIQ(InputTicker, "IQ_INS_SETTLE",Input!H$2,Date,,,Ccy,Conv)</f>
        <v>0</v>
      </c>
      <c r="G42" s="4">
        <f>_xll.ciqfunctions.udf.CIQ(InputTicker, "IQ_INS_SETTLE",Input!I$2,Date,,,Ccy,Conv)</f>
        <v>0</v>
      </c>
      <c r="H42" s="4">
        <f>_xll.ciqfunctions.udf.CIQ(InputTicker, "IQ_INS_SETTLE",Input!J$2,Date,,,Ccy,Conv)</f>
        <v>0</v>
      </c>
      <c r="I42" s="4">
        <f>_xll.ciqfunctions.udf.CIQ(InputTicker, "IQ_INS_SETTLE",Input!K$2,Date,,,Ccy,Conv)</f>
        <v>0</v>
      </c>
      <c r="J42" s="4">
        <f>_xll.ciqfunctions.udf.CIQ(InputTicker, "IQ_INS_SETTLE",Input!L$2,Date,,,Ccy,Conv)</f>
        <v>0</v>
      </c>
      <c r="K42" s="4">
        <f>_xll.ciqfunctions.udf.CIQ(InputTicker, "IQ_INS_SETTLE",Input!M$2,Date,,,Ccy,Conv)</f>
        <v>0</v>
      </c>
      <c r="L42" s="4">
        <f>_xll.ciqfunctions.udf.CIQ(InputTicker, "IQ_INS_SETTLE",Input!N$2,Date,,,Ccy,Conv)</f>
        <v>0</v>
      </c>
      <c r="M42" s="4">
        <f>_xll.ciqfunctions.udf.CIQ(InputTicker, "IQ_INS_SETTLE",Input!O$2,Date,,,Ccy,Conv)</f>
        <v>0</v>
      </c>
      <c r="N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42"/>
      <c r="AI42" s="42"/>
      <c r="AJ42" s="42"/>
      <c r="AK42" s="42"/>
      <c r="AL42" s="42"/>
      <c r="AM42" s="42"/>
      <c r="AN42" s="42"/>
      <c r="AO42" s="42"/>
      <c r="AP42" s="42"/>
      <c r="AQ42" s="42"/>
      <c r="AR42" s="42"/>
      <c r="AS42" s="42"/>
      <c r="AT42" s="42"/>
      <c r="AU42" s="42"/>
      <c r="AV42" s="42"/>
      <c r="AW42" s="42"/>
      <c r="AX42" s="42"/>
      <c r="AY42" s="42"/>
      <c r="AZ42" s="42"/>
      <c r="BA42" s="42"/>
      <c r="BB42" s="42"/>
      <c r="BC42" s="42"/>
      <c r="BD42" s="42"/>
      <c r="BE42" s="42"/>
      <c r="BF42" s="42"/>
      <c r="BG42" s="42"/>
      <c r="BH42" s="42"/>
      <c r="BI42" s="42"/>
      <c r="BJ42" s="42"/>
      <c r="BK42" s="42"/>
      <c r="BL42" s="42"/>
      <c r="BM42" s="42"/>
      <c r="BN42" s="42"/>
    </row>
    <row r="43" spans="1:66" ht="12.75" customHeight="1" x14ac:dyDescent="0.2">
      <c r="A43" s="1" t="s">
        <v>168</v>
      </c>
      <c r="B43" s="4">
        <f>_xll.ciqfunctions.udf.CIQ(InputTicker, "IQ_LEGAL_SETTLE",Input!D$2,Date,,,Ccy,Conv)</f>
        <v>0</v>
      </c>
      <c r="C43" s="4">
        <f>_xll.ciqfunctions.udf.CIQ(InputTicker, "IQ_LEGAL_SETTLE",Input!E$2,Date,,,Ccy,Conv)</f>
        <v>0</v>
      </c>
      <c r="D43" s="4">
        <f>_xll.ciqfunctions.udf.CIQ(InputTicker, "IQ_LEGAL_SETTLE",Input!F$2,Date,,,Ccy,Conv)</f>
        <v>0</v>
      </c>
      <c r="E43" s="4">
        <f>_xll.ciqfunctions.udf.CIQ(InputTicker, "IQ_LEGAL_SETTLE",Input!G$2,Date,,,Ccy,Conv)</f>
        <v>0</v>
      </c>
      <c r="F43" s="4">
        <f>_xll.ciqfunctions.udf.CIQ(InputTicker, "IQ_LEGAL_SETTLE",Input!H$2,Date,,,Ccy,Conv)</f>
        <v>0</v>
      </c>
      <c r="G43" s="4">
        <f>_xll.ciqfunctions.udf.CIQ(InputTicker, "IQ_LEGAL_SETTLE",Input!I$2,Date,,,Ccy,Conv)</f>
        <v>0</v>
      </c>
      <c r="H43" s="4">
        <f>_xll.ciqfunctions.udf.CIQ(InputTicker, "IQ_LEGAL_SETTLE",Input!J$2,Date,,,Ccy,Conv)</f>
        <v>0</v>
      </c>
      <c r="I43" s="4">
        <f>_xll.ciqfunctions.udf.CIQ(InputTicker, "IQ_LEGAL_SETTLE",Input!K$2,Date,,,Ccy,Conv)</f>
        <v>0</v>
      </c>
      <c r="J43" s="4">
        <f>_xll.ciqfunctions.udf.CIQ(InputTicker, "IQ_LEGAL_SETTLE",Input!L$2,Date,,,Ccy,Conv)</f>
        <v>0</v>
      </c>
      <c r="K43" s="4">
        <f>_xll.ciqfunctions.udf.CIQ(InputTicker, "IQ_LEGAL_SETTLE",Input!M$2,Date,,,Ccy,Conv)</f>
        <v>0</v>
      </c>
      <c r="L43" s="4">
        <f>_xll.ciqfunctions.udf.CIQ(InputTicker, "IQ_LEGAL_SETTLE",Input!N$2,Date,,,Ccy,Conv)</f>
        <v>0</v>
      </c>
      <c r="M43" s="4">
        <f>_xll.ciqfunctions.udf.CIQ(InputTicker, "IQ_LEGAL_SETTLE",Input!O$2,Date,,,Ccy,Conv)</f>
        <v>0</v>
      </c>
      <c r="N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2"/>
      <c r="AG43" s="42"/>
      <c r="AH43" s="42"/>
      <c r="AI43" s="42"/>
      <c r="AJ43" s="42"/>
      <c r="AK43" s="42"/>
      <c r="AL43" s="42"/>
      <c r="AM43" s="42"/>
      <c r="AN43" s="42"/>
      <c r="AO43" s="42"/>
      <c r="AP43" s="42"/>
      <c r="AQ43" s="42"/>
      <c r="AR43" s="42"/>
      <c r="AS43" s="42"/>
      <c r="AT43" s="42"/>
      <c r="AU43" s="42"/>
      <c r="AV43" s="42"/>
      <c r="AW43" s="42"/>
      <c r="AX43" s="42"/>
      <c r="AY43" s="42"/>
      <c r="AZ43" s="42"/>
      <c r="BA43" s="42"/>
      <c r="BB43" s="42"/>
      <c r="BC43" s="42"/>
      <c r="BD43" s="42"/>
      <c r="BE43" s="42"/>
      <c r="BF43" s="42"/>
      <c r="BG43" s="42"/>
      <c r="BH43" s="42"/>
      <c r="BI43" s="42"/>
      <c r="BJ43" s="42"/>
      <c r="BK43" s="42"/>
      <c r="BL43" s="42"/>
      <c r="BM43" s="42"/>
      <c r="BN43" s="42"/>
    </row>
    <row r="44" spans="1:66" ht="12.75" customHeight="1" x14ac:dyDescent="0.2">
      <c r="A44" s="1" t="s">
        <v>129</v>
      </c>
      <c r="B44" s="8">
        <f>_xll.ciqfunctions.udf.CIQ(InputTicker, "IQ_OTHER_UNUSUAL_SUPPL",Input!D$2,Date,,,Ccy,Conv)</f>
        <v>0</v>
      </c>
      <c r="C44" s="8">
        <f>_xll.ciqfunctions.udf.CIQ(InputTicker, "IQ_OTHER_UNUSUAL_SUPPL",Input!E$2,Date,,,Ccy,Conv)</f>
        <v>0</v>
      </c>
      <c r="D44" s="8">
        <f>_xll.ciqfunctions.udf.CIQ(InputTicker, "IQ_OTHER_UNUSUAL_SUPPL",Input!F$2,Date,,,Ccy,Conv)</f>
        <v>0</v>
      </c>
      <c r="E44" s="8">
        <f>_xll.ciqfunctions.udf.CIQ(InputTicker, "IQ_OTHER_UNUSUAL_SUPPL",Input!G$2,Date,,,Ccy,Conv)</f>
        <v>0</v>
      </c>
      <c r="F44" s="8">
        <f>_xll.ciqfunctions.udf.CIQ(InputTicker, "IQ_OTHER_UNUSUAL_SUPPL",Input!H$2,Date,,,Ccy,Conv)</f>
        <v>0</v>
      </c>
      <c r="G44" s="8">
        <f>_xll.ciqfunctions.udf.CIQ(InputTicker, "IQ_OTHER_UNUSUAL_SUPPL",Input!I$2,Date,,,Ccy,Conv)</f>
        <v>0</v>
      </c>
      <c r="H44" s="8">
        <f>_xll.ciqfunctions.udf.CIQ(InputTicker, "IQ_OTHER_UNUSUAL_SUPPL",Input!J$2,Date,,,Ccy,Conv)</f>
        <v>0</v>
      </c>
      <c r="I44" s="8">
        <f>_xll.ciqfunctions.udf.CIQ(InputTicker, "IQ_OTHER_UNUSUAL_SUPPL",Input!K$2,Date,,,Ccy,Conv)</f>
        <v>0</v>
      </c>
      <c r="J44" s="8">
        <f>_xll.ciqfunctions.udf.CIQ(InputTicker, "IQ_OTHER_UNUSUAL_SUPPL",Input!L$2,Date,,,Ccy,Conv)</f>
        <v>0</v>
      </c>
      <c r="K44" s="8">
        <f>_xll.ciqfunctions.udf.CIQ(InputTicker, "IQ_OTHER_UNUSUAL_SUPPL",Input!M$2,Date,,,Ccy,Conv)</f>
        <v>0</v>
      </c>
      <c r="L44" s="8">
        <f>_xll.ciqfunctions.udf.CIQ(InputTicker, "IQ_OTHER_UNUSUAL_SUPPL",Input!N$2,Date,,,Ccy,Conv)</f>
        <v>0</v>
      </c>
      <c r="M44" s="8">
        <f>_xll.ciqfunctions.udf.CIQ(InputTicker, "IQ_OTHER_UNUSUAL_SUPPL",Input!O$2,Date,,,Ccy,Conv)</f>
        <v>0</v>
      </c>
      <c r="N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42"/>
      <c r="AR44" s="42"/>
      <c r="AS44" s="42"/>
      <c r="AT44" s="42"/>
      <c r="AU44" s="42"/>
      <c r="AV44" s="42"/>
      <c r="AW44" s="42"/>
      <c r="AX44" s="42"/>
      <c r="AY44" s="42"/>
      <c r="AZ44" s="42"/>
      <c r="BA44" s="42"/>
      <c r="BB44" s="42"/>
      <c r="BC44" s="42"/>
      <c r="BD44" s="42"/>
      <c r="BE44" s="42"/>
      <c r="BF44" s="42"/>
      <c r="BG44" s="42"/>
      <c r="BH44" s="42"/>
      <c r="BI44" s="42"/>
      <c r="BJ44" s="42"/>
      <c r="BK44" s="42"/>
      <c r="BL44" s="42"/>
      <c r="BM44" s="42"/>
      <c r="BN44" s="42"/>
    </row>
    <row r="45" spans="1:66" ht="12.75" customHeight="1" x14ac:dyDescent="0.2">
      <c r="A45" s="5" t="s">
        <v>70</v>
      </c>
      <c r="B45" s="6">
        <f>_xll.ciqfunctions.udf.CIQ(InputTicker, "IQ_EBT",Input!D$2,Date,,,Ccy,Conv)</f>
        <v>25639</v>
      </c>
      <c r="C45" s="6">
        <f>_xll.ciqfunctions.udf.CIQ(InputTicker, "IQ_EBT",Input!E$2,Date,,,Ccy,Conv)</f>
        <v>29901</v>
      </c>
      <c r="D45" s="6">
        <f>_xll.ciqfunctions.udf.CIQ(InputTicker, "IQ_EBT",Input!F$2,Date,,,Ccy,Conv)</f>
        <v>36474</v>
      </c>
      <c r="E45" s="6">
        <f>_xll.ciqfunctions.udf.CIQ(InputTicker, "IQ_EBT",Input!G$2,Date,,,Ccy,Conv)</f>
        <v>43688</v>
      </c>
      <c r="F45" s="6">
        <f>_xll.ciqfunctions.udf.CIQ(InputTicker, "IQ_EBT",Input!H$2,Date,,,Ccy,Conv)</f>
        <v>53036</v>
      </c>
      <c r="G45" s="6">
        <f>_xll.ciqfunctions.udf.CIQ(InputTicker, "IQ_EBT",Input!I$2,Date,,,Ccy,Conv)</f>
        <v>71102</v>
      </c>
      <c r="H45" s="6">
        <f>_xll.ciqfunctions.udf.CIQ(InputTicker, "IQ_EBT",Input!J$2,Date,,,Ccy,Conv)</f>
        <v>83716</v>
      </c>
      <c r="I45" s="6">
        <f>_xll.ciqfunctions.udf.CIQ(InputTicker, "IQ_EBT",Input!K$2,Date,,,Ccy,Conv)</f>
        <v>89311</v>
      </c>
      <c r="J45" s="6">
        <f>_xll.ciqfunctions.udf.CIQ(InputTicker, "IQ_EBT",Input!L$2,Date,,,Ccy,Conv)</f>
        <v>107787</v>
      </c>
      <c r="K45" s="6">
        <f>_xll.ciqfunctions.udf.CIQ(InputTicker, "IQ_EBT",Input!M$2,Date,,,Ccy,Conv)</f>
        <v>123627</v>
      </c>
      <c r="L45" s="6">
        <f>_xll.ciqfunctions.udf.CIQ(InputTicker, "IQ_EBT",Input!N$2,Date,,,Ccy,Conv)</f>
        <v>165934</v>
      </c>
      <c r="M45" s="6">
        <f>_xll.ciqfunctions.udf.CIQ(InputTicker, "IQ_EBT",Input!O$2,Date,,,Ccy,Conv)</f>
        <v>165934</v>
      </c>
      <c r="N45" s="46"/>
      <c r="P45" s="46"/>
      <c r="Q45" s="46"/>
      <c r="R45" s="46"/>
      <c r="T45" s="42"/>
      <c r="U45" s="42"/>
      <c r="V45" s="46"/>
      <c r="W45" s="42"/>
      <c r="X45" s="42"/>
      <c r="Y45" s="42"/>
      <c r="Z45" s="42"/>
      <c r="AA45" s="42"/>
      <c r="AB45" s="42"/>
      <c r="AC45" s="42"/>
      <c r="AD45" s="42"/>
      <c r="AE45" s="42"/>
      <c r="AF45" s="42"/>
      <c r="AG45" s="42"/>
      <c r="AH45" s="42"/>
      <c r="AI45" s="42"/>
      <c r="AJ45" s="42"/>
      <c r="AK45" s="42"/>
      <c r="AL45" s="42"/>
      <c r="AM45" s="42"/>
      <c r="AN45" s="42"/>
      <c r="AO45" s="42"/>
      <c r="AP45" s="42"/>
      <c r="AQ45" s="42"/>
      <c r="AR45" s="42"/>
      <c r="AS45" s="42"/>
      <c r="AT45" s="42"/>
      <c r="AU45" s="42"/>
      <c r="AV45" s="42"/>
      <c r="AW45" s="42"/>
      <c r="AX45" s="42"/>
      <c r="AY45" s="42"/>
      <c r="AZ45" s="42"/>
      <c r="BA45" s="42"/>
      <c r="BB45" s="42"/>
      <c r="BC45" s="42"/>
      <c r="BD45" s="42"/>
      <c r="BE45" s="42"/>
      <c r="BF45" s="42"/>
      <c r="BG45" s="42"/>
      <c r="BH45" s="42"/>
      <c r="BI45" s="42"/>
      <c r="BJ45" s="42"/>
      <c r="BK45" s="42"/>
      <c r="BL45" s="42"/>
      <c r="BM45" s="42"/>
      <c r="BN45" s="42"/>
    </row>
    <row r="46" spans="1:66" ht="12.75" customHeight="1" x14ac:dyDescent="0.2">
      <c r="A46" s="1" t="s">
        <v>71</v>
      </c>
      <c r="B46" s="4">
        <f>_xll.ciqfunctions.udf.CIQ(InputTicker, "IQ_INC_TAX",Input!D$2,Date,,,Ccy,Conv)</f>
        <v>5100</v>
      </c>
      <c r="C46" s="4">
        <f>_xll.ciqfunctions.udf.CIQ(InputTicker, "IQ_INC_TAX",Input!E$2,Date,,,Ccy,Conv)</f>
        <v>4412</v>
      </c>
      <c r="D46" s="4">
        <f>_xll.ciqfunctions.udf.CIQ(InputTicker, "IQ_INC_TAX",Input!F$2,Date,,,Ccy,Conv)</f>
        <v>19903</v>
      </c>
      <c r="E46" s="4">
        <f>_xll.ciqfunctions.udf.CIQ(InputTicker, "IQ_INC_TAX",Input!G$2,Date,,,Ccy,Conv)</f>
        <v>4448</v>
      </c>
      <c r="F46" s="4">
        <f>_xll.ciqfunctions.udf.CIQ(InputTicker, "IQ_INC_TAX",Input!H$2,Date,,,Ccy,Conv)</f>
        <v>8755</v>
      </c>
      <c r="G46" s="4">
        <f>_xll.ciqfunctions.udf.CIQ(InputTicker, "IQ_INC_TAX",Input!I$2,Date,,,Ccy,Conv)</f>
        <v>9831</v>
      </c>
      <c r="H46" s="4">
        <f>_xll.ciqfunctions.udf.CIQ(InputTicker, "IQ_INC_TAX",Input!J$2,Date,,,Ccy,Conv)</f>
        <v>10978</v>
      </c>
      <c r="I46" s="4">
        <f>_xll.ciqfunctions.udf.CIQ(InputTicker, "IQ_INC_TAX",Input!K$2,Date,,,Ccy,Conv)</f>
        <v>16950</v>
      </c>
      <c r="J46" s="4">
        <f>_xll.ciqfunctions.udf.CIQ(InputTicker, "IQ_INC_TAX",Input!L$2,Date,,,Ccy,Conv)</f>
        <v>19651</v>
      </c>
      <c r="K46" s="4">
        <f>_xll.ciqfunctions.udf.CIQ(InputTicker, "IQ_INC_TAX",Input!M$2,Date,,,Ccy,Conv)</f>
        <v>21795</v>
      </c>
      <c r="L46" s="4">
        <f>_xll.ciqfunctions.udf.CIQ(InputTicker, "IQ_INC_TAX",Input!N$2,Date,,,Ccy,Conv)</f>
        <v>32185</v>
      </c>
      <c r="M46" s="4">
        <f>_xll.ciqfunctions.udf.CIQ(InputTicker, "IQ_INC_TAX",Input!O$2,Date,,,Ccy,Conv)</f>
        <v>32185</v>
      </c>
      <c r="N46" s="46"/>
      <c r="P46" s="46"/>
      <c r="Q46" s="46"/>
      <c r="R46" s="46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42"/>
      <c r="AR46" s="42"/>
      <c r="AS46" s="42"/>
      <c r="AT46" s="42"/>
      <c r="AU46" s="42"/>
      <c r="AV46" s="42"/>
      <c r="AW46" s="42"/>
      <c r="AX46" s="42"/>
      <c r="AY46" s="42"/>
      <c r="AZ46" s="42"/>
      <c r="BA46" s="42"/>
      <c r="BB46" s="42"/>
      <c r="BC46" s="42"/>
      <c r="BD46" s="42"/>
      <c r="BE46" s="42"/>
      <c r="BF46" s="42"/>
      <c r="BG46" s="42"/>
      <c r="BH46" s="42"/>
      <c r="BI46" s="42"/>
      <c r="BJ46" s="42"/>
      <c r="BK46" s="42"/>
      <c r="BL46" s="42"/>
      <c r="BM46" s="42"/>
      <c r="BN46" s="42"/>
    </row>
    <row r="47" spans="1:66" ht="12.75" customHeight="1" x14ac:dyDescent="0.2">
      <c r="A47" s="5" t="s">
        <v>72</v>
      </c>
      <c r="B47" s="6">
        <f>_xll.ciqfunctions.udf.CIQ(InputTicker, "IQ_EARNING_CO",Input!D$2,Date,,,Ccy,Conv)</f>
        <v>20539</v>
      </c>
      <c r="C47" s="6">
        <f>_xll.ciqfunctions.udf.CIQ(InputTicker, "IQ_EARNING_CO",Input!E$2,Date,,,Ccy,Conv)</f>
        <v>25489</v>
      </c>
      <c r="D47" s="6">
        <f>_xll.ciqfunctions.udf.CIQ(InputTicker, "IQ_EARNING_CO",Input!F$2,Date,,,Ccy,Conv)</f>
        <v>16571</v>
      </c>
      <c r="E47" s="6">
        <f>_xll.ciqfunctions.udf.CIQ(InputTicker, "IQ_EARNING_CO",Input!G$2,Date,,,Ccy,Conv)</f>
        <v>39240</v>
      </c>
      <c r="F47" s="6">
        <f>_xll.ciqfunctions.udf.CIQ(InputTicker, "IQ_EARNING_CO",Input!H$2,Date,,,Ccy,Conv)</f>
        <v>44281</v>
      </c>
      <c r="G47" s="6">
        <f>_xll.ciqfunctions.udf.CIQ(InputTicker, "IQ_EARNING_CO",Input!I$2,Date,,,Ccy,Conv)</f>
        <v>61271</v>
      </c>
      <c r="H47" s="6">
        <f>_xll.ciqfunctions.udf.CIQ(InputTicker, "IQ_EARNING_CO",Input!J$2,Date,,,Ccy,Conv)</f>
        <v>72738</v>
      </c>
      <c r="I47" s="6">
        <f>_xll.ciqfunctions.udf.CIQ(InputTicker, "IQ_EARNING_CO",Input!K$2,Date,,,Ccy,Conv)</f>
        <v>72361</v>
      </c>
      <c r="J47" s="6">
        <f>_xll.ciqfunctions.udf.CIQ(InputTicker, "IQ_EARNING_CO",Input!L$2,Date,,,Ccy,Conv)</f>
        <v>88136</v>
      </c>
      <c r="K47" s="6">
        <f>_xll.ciqfunctions.udf.CIQ(InputTicker, "IQ_EARNING_CO",Input!M$2,Date,,,Ccy,Conv)</f>
        <v>101832</v>
      </c>
      <c r="L47" s="6">
        <f>_xll.ciqfunctions.udf.CIQ(InputTicker, "IQ_EARNING_CO",Input!N$2,Date,,,Ccy,Conv)</f>
        <v>133749</v>
      </c>
      <c r="M47" s="6">
        <f>_xll.ciqfunctions.udf.CIQ(InputTicker, "IQ_EARNING_CO",Input!O$2,Date,,,Ccy,Conv)</f>
        <v>133749</v>
      </c>
      <c r="N47" s="46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2"/>
      <c r="AG47" s="42"/>
      <c r="AH47" s="42"/>
      <c r="AI47" s="42"/>
      <c r="AJ47" s="42"/>
      <c r="AK47" s="42"/>
      <c r="AL47" s="42"/>
      <c r="AM47" s="42"/>
      <c r="AN47" s="42"/>
      <c r="AO47" s="42"/>
      <c r="AP47" s="42"/>
      <c r="AQ47" s="42"/>
      <c r="AR47" s="42"/>
      <c r="AS47" s="42"/>
      <c r="AT47" s="42"/>
      <c r="AU47" s="42"/>
      <c r="AV47" s="42"/>
      <c r="AW47" s="42"/>
      <c r="AX47" s="42"/>
      <c r="AY47" s="42"/>
      <c r="AZ47" s="42"/>
      <c r="BA47" s="42"/>
      <c r="BB47" s="42"/>
      <c r="BC47" s="42"/>
      <c r="BD47" s="42"/>
      <c r="BE47" s="42"/>
      <c r="BF47" s="42"/>
      <c r="BG47" s="42"/>
      <c r="BH47" s="42"/>
      <c r="BI47" s="42"/>
      <c r="BJ47" s="42"/>
      <c r="BK47" s="42"/>
      <c r="BL47" s="42"/>
      <c r="BM47" s="42"/>
      <c r="BN47" s="42"/>
    </row>
    <row r="48" spans="1:66" ht="12.75" customHeight="1" x14ac:dyDescent="0.2">
      <c r="A48" s="1" t="s">
        <v>73</v>
      </c>
      <c r="B48" s="4">
        <f>_xll.ciqfunctions.udf.CIQ(InputTicker, "IQ_DO",Input!D$2,Date,,,Ccy,Conv)</f>
        <v>0</v>
      </c>
      <c r="C48" s="4">
        <f>_xll.ciqfunctions.udf.CIQ(InputTicker, "IQ_DO",Input!E$2,Date,,,Ccy,Conv)</f>
        <v>0</v>
      </c>
      <c r="D48" s="4">
        <f>_xll.ciqfunctions.udf.CIQ(InputTicker, "IQ_DO",Input!F$2,Date,,,Ccy,Conv)</f>
        <v>0</v>
      </c>
      <c r="E48" s="4">
        <f>_xll.ciqfunctions.udf.CIQ(InputTicker, "IQ_DO",Input!G$2,Date,,,Ccy,Conv)</f>
        <v>0</v>
      </c>
      <c r="F48" s="4">
        <f>_xll.ciqfunctions.udf.CIQ(InputTicker, "IQ_DO",Input!H$2,Date,,,Ccy,Conv)</f>
        <v>0</v>
      </c>
      <c r="G48" s="4">
        <f>_xll.ciqfunctions.udf.CIQ(InputTicker, "IQ_DO",Input!I$2,Date,,,Ccy,Conv)</f>
        <v>0</v>
      </c>
      <c r="H48" s="4">
        <f>_xll.ciqfunctions.udf.CIQ(InputTicker, "IQ_DO",Input!J$2,Date,,,Ccy,Conv)</f>
        <v>0</v>
      </c>
      <c r="I48" s="4">
        <f>_xll.ciqfunctions.udf.CIQ(InputTicker, "IQ_DO",Input!K$2,Date,,,Ccy,Conv)</f>
        <v>0</v>
      </c>
      <c r="J48" s="4">
        <f>_xll.ciqfunctions.udf.CIQ(InputTicker, "IQ_DO",Input!L$2,Date,,,Ccy,Conv)</f>
        <v>0</v>
      </c>
      <c r="K48" s="4">
        <f>_xll.ciqfunctions.udf.CIQ(InputTicker, "IQ_DO",Input!M$2,Date,,,Ccy,Conv)</f>
        <v>0</v>
      </c>
      <c r="L48" s="4">
        <f>_xll.ciqfunctions.udf.CIQ(InputTicker, "IQ_DO",Input!N$2,Date,,,Ccy,Conv)</f>
        <v>0</v>
      </c>
      <c r="M48" s="4">
        <f>_xll.ciqfunctions.udf.CIQ(InputTicker, "IQ_DO",Input!O$2,Date,,,Ccy,Conv)</f>
        <v>0</v>
      </c>
      <c r="N48" s="46"/>
      <c r="P48" s="46"/>
      <c r="Q48" s="46"/>
      <c r="R48" s="46"/>
      <c r="T48" s="42"/>
      <c r="U48" s="42"/>
      <c r="V48" s="46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42"/>
      <c r="AR48" s="42"/>
      <c r="AS48" s="42"/>
      <c r="AT48" s="42"/>
      <c r="AU48" s="42"/>
      <c r="AV48" s="42"/>
      <c r="AW48" s="42"/>
      <c r="AX48" s="42"/>
      <c r="AY48" s="42"/>
      <c r="AZ48" s="42"/>
      <c r="BA48" s="42"/>
      <c r="BB48" s="42"/>
      <c r="BC48" s="42"/>
      <c r="BD48" s="42"/>
      <c r="BE48" s="42"/>
      <c r="BF48" s="42"/>
      <c r="BG48" s="42"/>
      <c r="BH48" s="42"/>
      <c r="BI48" s="42"/>
      <c r="BJ48" s="42"/>
      <c r="BK48" s="42"/>
      <c r="BL48" s="42"/>
      <c r="BM48" s="42"/>
      <c r="BN48" s="42"/>
    </row>
    <row r="49" spans="1:66" ht="12.75" customHeight="1" x14ac:dyDescent="0.2">
      <c r="A49" s="1" t="s">
        <v>74</v>
      </c>
      <c r="B49" s="4">
        <f>_xll.ciqfunctions.udf.CIQ(InputTicker, "IQ_EXTRA_ACC_ITEMS",Input!D$2,Date,,,Ccy,Conv)</f>
        <v>0</v>
      </c>
      <c r="C49" s="4">
        <f>_xll.ciqfunctions.udf.CIQ(InputTicker, "IQ_EXTRA_ACC_ITEMS",Input!E$2,Date,,,Ccy,Conv)</f>
        <v>0</v>
      </c>
      <c r="D49" s="4">
        <f>_xll.ciqfunctions.udf.CIQ(InputTicker, "IQ_EXTRA_ACC_ITEMS",Input!F$2,Date,,,Ccy,Conv)</f>
        <v>0</v>
      </c>
      <c r="E49" s="4">
        <f>_xll.ciqfunctions.udf.CIQ(InputTicker, "IQ_EXTRA_ACC_ITEMS",Input!G$2,Date,,,Ccy,Conv)</f>
        <v>0</v>
      </c>
      <c r="F49" s="4">
        <f>_xll.ciqfunctions.udf.CIQ(InputTicker, "IQ_EXTRA_ACC_ITEMS",Input!H$2,Date,,,Ccy,Conv)</f>
        <v>0</v>
      </c>
      <c r="G49" s="4">
        <f>_xll.ciqfunctions.udf.CIQ(InputTicker, "IQ_EXTRA_ACC_ITEMS",Input!I$2,Date,,,Ccy,Conv)</f>
        <v>0</v>
      </c>
      <c r="H49" s="4">
        <f>_xll.ciqfunctions.udf.CIQ(InputTicker, "IQ_EXTRA_ACC_ITEMS",Input!J$2,Date,,,Ccy,Conv)</f>
        <v>0</v>
      </c>
      <c r="I49" s="4">
        <f>_xll.ciqfunctions.udf.CIQ(InputTicker, "IQ_EXTRA_ACC_ITEMS",Input!K$2,Date,,,Ccy,Conv)</f>
        <v>0</v>
      </c>
      <c r="J49" s="4">
        <f>_xll.ciqfunctions.udf.CIQ(InputTicker, "IQ_EXTRA_ACC_ITEMS",Input!L$2,Date,,,Ccy,Conv)</f>
        <v>0</v>
      </c>
      <c r="K49" s="4">
        <f>_xll.ciqfunctions.udf.CIQ(InputTicker, "IQ_EXTRA_ACC_ITEMS",Input!M$2,Date,,,Ccy,Conv)</f>
        <v>0</v>
      </c>
      <c r="L49" s="4">
        <f>_xll.ciqfunctions.udf.CIQ(InputTicker, "IQ_EXTRA_ACC_ITEMS",Input!N$2,Date,,,Ccy,Conv)</f>
        <v>0</v>
      </c>
      <c r="M49" s="4">
        <f>_xll.ciqfunctions.udf.CIQ(InputTicker, "IQ_EXTRA_ACC_ITEMS",Input!O$2,Date,,,Ccy,Conv)</f>
        <v>0</v>
      </c>
      <c r="N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2"/>
      <c r="AG49" s="42"/>
      <c r="AH49" s="42"/>
      <c r="AI49" s="42"/>
      <c r="AJ49" s="42"/>
      <c r="AK49" s="42"/>
      <c r="AL49" s="42"/>
      <c r="AM49" s="42"/>
      <c r="AN49" s="42"/>
      <c r="AO49" s="42"/>
      <c r="AP49" s="42"/>
      <c r="AQ49" s="42"/>
      <c r="AR49" s="42"/>
      <c r="AS49" s="42"/>
      <c r="AT49" s="42"/>
      <c r="AU49" s="42"/>
      <c r="AV49" s="42"/>
      <c r="AW49" s="42"/>
      <c r="AX49" s="42"/>
      <c r="AY49" s="42"/>
      <c r="AZ49" s="42"/>
      <c r="BA49" s="42"/>
      <c r="BB49" s="42"/>
      <c r="BC49" s="42"/>
      <c r="BD49" s="42"/>
      <c r="BE49" s="42"/>
      <c r="BF49" s="42"/>
      <c r="BG49" s="42"/>
      <c r="BH49" s="42"/>
      <c r="BI49" s="42"/>
      <c r="BJ49" s="42"/>
      <c r="BK49" s="42"/>
      <c r="BL49" s="42"/>
      <c r="BM49" s="42"/>
      <c r="BN49" s="42"/>
    </row>
    <row r="50" spans="1:66" ht="12.75" customHeight="1" x14ac:dyDescent="0.2">
      <c r="A50" s="5" t="s">
        <v>21</v>
      </c>
      <c r="B50" s="10">
        <f>_xll.ciqfunctions.udf.CIQ(InputTicker, "IQ_NI_COMPANY",Input!D$2,Date,,,Ccy,Conv)</f>
        <v>20539</v>
      </c>
      <c r="C50" s="10">
        <f>_xll.ciqfunctions.udf.CIQ(InputTicker, "IQ_NI_COMPANY",Input!E$2,Date,,,Ccy,Conv)</f>
        <v>25489</v>
      </c>
      <c r="D50" s="10">
        <f>_xll.ciqfunctions.udf.CIQ(InputTicker, "IQ_NI_COMPANY",Input!F$2,Date,,,Ccy,Conv)</f>
        <v>16571</v>
      </c>
      <c r="E50" s="10">
        <f>_xll.ciqfunctions.udf.CIQ(InputTicker, "IQ_NI_COMPANY",Input!G$2,Date,,,Ccy,Conv)</f>
        <v>39240</v>
      </c>
      <c r="F50" s="10">
        <f>_xll.ciqfunctions.udf.CIQ(InputTicker, "IQ_NI_COMPANY",Input!H$2,Date,,,Ccy,Conv)</f>
        <v>44281</v>
      </c>
      <c r="G50" s="10">
        <f>_xll.ciqfunctions.udf.CIQ(InputTicker, "IQ_NI_COMPANY",Input!I$2,Date,,,Ccy,Conv)</f>
        <v>61271</v>
      </c>
      <c r="H50" s="10">
        <f>_xll.ciqfunctions.udf.CIQ(InputTicker, "IQ_NI_COMPANY",Input!J$2,Date,,,Ccy,Conv)</f>
        <v>72738</v>
      </c>
      <c r="I50" s="10">
        <f>_xll.ciqfunctions.udf.CIQ(InputTicker, "IQ_NI_COMPANY",Input!K$2,Date,,,Ccy,Conv)</f>
        <v>72361</v>
      </c>
      <c r="J50" s="10">
        <f>_xll.ciqfunctions.udf.CIQ(InputTicker, "IQ_NI_COMPANY",Input!L$2,Date,,,Ccy,Conv)</f>
        <v>88136</v>
      </c>
      <c r="K50" s="10">
        <f>_xll.ciqfunctions.udf.CIQ(InputTicker, "IQ_NI_COMPANY",Input!M$2,Date,,,Ccy,Conv)</f>
        <v>101832</v>
      </c>
      <c r="L50" s="10">
        <f>_xll.ciqfunctions.udf.CIQ(InputTicker, "IQ_NI_COMPANY",Input!N$2,Date,,,Ccy,Conv)</f>
        <v>133749</v>
      </c>
      <c r="M50" s="10">
        <f>_xll.ciqfunctions.udf.CIQ(InputTicker, "IQ_NI_COMPANY",Input!O$2,Date,,,Ccy,Conv)</f>
        <v>133749</v>
      </c>
      <c r="N50" s="46"/>
      <c r="P50" s="46"/>
      <c r="Q50" s="46"/>
      <c r="R50" s="46"/>
      <c r="T50" s="42"/>
      <c r="U50" s="42"/>
      <c r="V50" s="46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42"/>
      <c r="AR50" s="42"/>
      <c r="AS50" s="42"/>
      <c r="AT50" s="42"/>
      <c r="AU50" s="42"/>
      <c r="AV50" s="42"/>
      <c r="AW50" s="42"/>
      <c r="AX50" s="42"/>
      <c r="AY50" s="42"/>
      <c r="AZ50" s="42"/>
      <c r="BA50" s="42"/>
      <c r="BB50" s="42"/>
      <c r="BC50" s="42"/>
      <c r="BD50" s="42"/>
      <c r="BE50" s="42"/>
      <c r="BF50" s="42"/>
      <c r="BG50" s="42"/>
      <c r="BH50" s="42"/>
      <c r="BI50" s="42"/>
      <c r="BJ50" s="42"/>
      <c r="BK50" s="42"/>
      <c r="BL50" s="42"/>
      <c r="BM50" s="42"/>
      <c r="BN50" s="42"/>
    </row>
    <row r="51" spans="1:66" ht="12.75" customHeight="1" x14ac:dyDescent="0.2">
      <c r="A51" s="1" t="s">
        <v>169</v>
      </c>
      <c r="B51" s="4">
        <f>_xll.ciqfunctions.udf.CIQ(InputTicker, "IQ_MINORITY_INTEREST_IS",Input!D$2,Date,,,Ccy,Conv)</f>
        <v>0</v>
      </c>
      <c r="C51" s="4">
        <f>_xll.ciqfunctions.udf.CIQ(InputTicker, "IQ_MINORITY_INTEREST_IS",Input!E$2,Date,,,Ccy,Conv)</f>
        <v>0</v>
      </c>
      <c r="D51" s="4">
        <f>_xll.ciqfunctions.udf.CIQ(InputTicker, "IQ_MINORITY_INTEREST_IS",Input!F$2,Date,,,Ccy,Conv)</f>
        <v>0</v>
      </c>
      <c r="E51" s="4">
        <f>_xll.ciqfunctions.udf.CIQ(InputTicker, "IQ_MINORITY_INTEREST_IS",Input!G$2,Date,,,Ccy,Conv)</f>
        <v>0</v>
      </c>
      <c r="F51" s="4">
        <f>_xll.ciqfunctions.udf.CIQ(InputTicker, "IQ_MINORITY_INTEREST_IS",Input!H$2,Date,,,Ccy,Conv)</f>
        <v>0</v>
      </c>
      <c r="G51" s="4">
        <f>_xll.ciqfunctions.udf.CIQ(InputTicker, "IQ_MINORITY_INTEREST_IS",Input!I$2,Date,,,Ccy,Conv)</f>
        <v>0</v>
      </c>
      <c r="H51" s="4">
        <f>_xll.ciqfunctions.udf.CIQ(InputTicker, "IQ_MINORITY_INTEREST_IS",Input!J$2,Date,,,Ccy,Conv)</f>
        <v>0</v>
      </c>
      <c r="I51" s="4">
        <f>_xll.ciqfunctions.udf.CIQ(InputTicker, "IQ_MINORITY_INTEREST_IS",Input!K$2,Date,,,Ccy,Conv)</f>
        <v>0</v>
      </c>
      <c r="J51" s="4">
        <f>_xll.ciqfunctions.udf.CIQ(InputTicker, "IQ_MINORITY_INTEREST_IS",Input!L$2,Date,,,Ccy,Conv)</f>
        <v>0</v>
      </c>
      <c r="K51" s="4">
        <f>_xll.ciqfunctions.udf.CIQ(InputTicker, "IQ_MINORITY_INTEREST_IS",Input!M$2,Date,,,Ccy,Conv)</f>
        <v>0</v>
      </c>
      <c r="L51" s="4">
        <f>_xll.ciqfunctions.udf.CIQ(InputTicker, "IQ_MINORITY_INTEREST_IS",Input!N$2,Date,,,Ccy,Conv)</f>
        <v>0</v>
      </c>
      <c r="M51" s="4">
        <f>_xll.ciqfunctions.udf.CIQ(InputTicker, "IQ_MINORITY_INTEREST_IS",Input!O$2,Date,,,Ccy,Conv)</f>
        <v>0</v>
      </c>
      <c r="N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2"/>
      <c r="AG51" s="42"/>
      <c r="AH51" s="42"/>
      <c r="AI51" s="42"/>
      <c r="AJ51" s="42"/>
      <c r="AK51" s="42"/>
      <c r="AL51" s="42"/>
      <c r="AM51" s="42"/>
      <c r="AN51" s="42"/>
      <c r="AO51" s="42"/>
      <c r="AP51" s="42"/>
      <c r="AQ51" s="42"/>
      <c r="AR51" s="42"/>
      <c r="AS51" s="42"/>
      <c r="AT51" s="42"/>
      <c r="AU51" s="42"/>
      <c r="AV51" s="42"/>
      <c r="AW51" s="42"/>
      <c r="AX51" s="42"/>
      <c r="AY51" s="42"/>
      <c r="AZ51" s="42"/>
      <c r="BA51" s="42"/>
      <c r="BB51" s="42"/>
      <c r="BC51" s="42"/>
      <c r="BD51" s="42"/>
      <c r="BE51" s="42"/>
      <c r="BF51" s="42"/>
      <c r="BG51" s="42"/>
      <c r="BH51" s="42"/>
      <c r="BI51" s="42"/>
      <c r="BJ51" s="42"/>
      <c r="BK51" s="42"/>
      <c r="BL51" s="42"/>
      <c r="BM51" s="42"/>
      <c r="BN51" s="42"/>
    </row>
    <row r="52" spans="1:66" ht="12.75" customHeight="1" thickBot="1" x14ac:dyDescent="0.25">
      <c r="A52" s="5" t="s">
        <v>22</v>
      </c>
      <c r="B52" s="9">
        <f>_xll.ciqfunctions.udf.CIQ(InputTicker, "IQ_NI",Input!D$2,Date,,,Ccy,Conv)</f>
        <v>20539</v>
      </c>
      <c r="C52" s="9">
        <f>_xll.ciqfunctions.udf.CIQ(InputTicker, "IQ_NI",Input!E$2,Date,,,Ccy,Conv)</f>
        <v>25489</v>
      </c>
      <c r="D52" s="9">
        <f>_xll.ciqfunctions.udf.CIQ(InputTicker, "IQ_NI",Input!F$2,Date,,,Ccy,Conv)</f>
        <v>16571</v>
      </c>
      <c r="E52" s="9">
        <f>_xll.ciqfunctions.udf.CIQ(InputTicker, "IQ_NI",Input!G$2,Date,,,Ccy,Conv)</f>
        <v>39240</v>
      </c>
      <c r="F52" s="9">
        <f>_xll.ciqfunctions.udf.CIQ(InputTicker, "IQ_NI",Input!H$2,Date,,,Ccy,Conv)</f>
        <v>44281</v>
      </c>
      <c r="G52" s="9">
        <f>_xll.ciqfunctions.udf.CIQ(InputTicker, "IQ_NI",Input!I$2,Date,,,Ccy,Conv)</f>
        <v>61271</v>
      </c>
      <c r="H52" s="9">
        <f>_xll.ciqfunctions.udf.CIQ(InputTicker, "IQ_NI",Input!J$2,Date,,,Ccy,Conv)</f>
        <v>72738</v>
      </c>
      <c r="I52" s="9">
        <f>_xll.ciqfunctions.udf.CIQ(InputTicker, "IQ_NI",Input!K$2,Date,,,Ccy,Conv)</f>
        <v>72361</v>
      </c>
      <c r="J52" s="9">
        <f>_xll.ciqfunctions.udf.CIQ(InputTicker, "IQ_NI",Input!L$2,Date,,,Ccy,Conv)</f>
        <v>88136</v>
      </c>
      <c r="K52" s="9">
        <f>_xll.ciqfunctions.udf.CIQ(InputTicker, "IQ_NI",Input!M$2,Date,,,Ccy,Conv)</f>
        <v>101832</v>
      </c>
      <c r="L52" s="9">
        <f>_xll.ciqfunctions.udf.CIQ(InputTicker, "IQ_NI",Input!N$2,Date,,,Ccy,Conv)</f>
        <v>133749</v>
      </c>
      <c r="M52" s="9">
        <f>_xll.ciqfunctions.udf.CIQ(InputTicker, "IQ_NI",Input!O$2,Date,,,Ccy,Conv)</f>
        <v>133749</v>
      </c>
      <c r="N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42"/>
      <c r="AR52" s="42"/>
      <c r="AS52" s="42"/>
      <c r="AT52" s="42"/>
      <c r="AU52" s="42"/>
      <c r="AV52" s="42"/>
      <c r="AW52" s="42"/>
      <c r="AX52" s="42"/>
      <c r="AY52" s="42"/>
      <c r="AZ52" s="42"/>
      <c r="BA52" s="42"/>
      <c r="BB52" s="42"/>
      <c r="BC52" s="42"/>
      <c r="BD52" s="42"/>
      <c r="BE52" s="42"/>
      <c r="BF52" s="42"/>
      <c r="BG52" s="42"/>
      <c r="BH52" s="42"/>
      <c r="BI52" s="42"/>
      <c r="BJ52" s="42"/>
      <c r="BK52" s="42"/>
      <c r="BL52" s="42"/>
      <c r="BM52" s="42"/>
      <c r="BN52" s="42"/>
    </row>
    <row r="53" spans="1:66" ht="12.75" customHeight="1" thickTop="1" x14ac:dyDescent="0.2">
      <c r="A53" s="1" t="s">
        <v>75</v>
      </c>
      <c r="B53" s="4">
        <f>_xll.ciqfunctions.udf.CIQ(InputTicker, "IQ_PREF_DIV_OTHER",Input!D$2,Date,,,Ccy,Conv)</f>
        <v>0</v>
      </c>
      <c r="C53" s="4">
        <f>_xll.ciqfunctions.udf.CIQ(InputTicker, "IQ_PREF_DIV_OTHER",Input!E$2,Date,,,Ccy,Conv)</f>
        <v>0</v>
      </c>
      <c r="D53" s="4">
        <f>_xll.ciqfunctions.udf.CIQ(InputTicker, "IQ_PREF_DIV_OTHER",Input!F$2,Date,,,Ccy,Conv)</f>
        <v>0</v>
      </c>
      <c r="E53" s="4">
        <f>_xll.ciqfunctions.udf.CIQ(InputTicker, "IQ_PREF_DIV_OTHER",Input!G$2,Date,,,Ccy,Conv)</f>
        <v>0</v>
      </c>
      <c r="F53" s="4">
        <f>_xll.ciqfunctions.udf.CIQ(InputTicker, "IQ_PREF_DIV_OTHER",Input!H$2,Date,,,Ccy,Conv)</f>
        <v>0</v>
      </c>
      <c r="G53" s="4">
        <f>_xll.ciqfunctions.udf.CIQ(InputTicker, "IQ_PREF_DIV_OTHER",Input!I$2,Date,,,Ccy,Conv)</f>
        <v>0</v>
      </c>
      <c r="H53" s="4">
        <f>_xll.ciqfunctions.udf.CIQ(InputTicker, "IQ_PREF_DIV_OTHER",Input!J$2,Date,,,Ccy,Conv)</f>
        <v>0</v>
      </c>
      <c r="I53" s="4">
        <f>_xll.ciqfunctions.udf.CIQ(InputTicker, "IQ_PREF_DIV_OTHER",Input!K$2,Date,,,Ccy,Conv)</f>
        <v>0</v>
      </c>
      <c r="J53" s="4">
        <f>_xll.ciqfunctions.udf.CIQ(InputTicker, "IQ_PREF_DIV_OTHER",Input!L$2,Date,,,Ccy,Conv)</f>
        <v>0</v>
      </c>
      <c r="K53" s="4">
        <f>_xll.ciqfunctions.udf.CIQ(InputTicker, "IQ_PREF_DIV_OTHER",Input!M$2,Date,,,Ccy,Conv)</f>
        <v>0</v>
      </c>
      <c r="L53" s="4">
        <f>_xll.ciqfunctions.udf.CIQ(InputTicker, "IQ_PREF_DIV_OTHER",Input!N$2,Date,,,Ccy,Conv)</f>
        <v>0</v>
      </c>
      <c r="M53" s="4">
        <f>_xll.ciqfunctions.udf.CIQ(InputTicker, "IQ_PREF_DIV_OTHER",Input!O$2,Date,,,Ccy,Conv)</f>
        <v>0</v>
      </c>
      <c r="N53" s="46"/>
      <c r="P53" s="46"/>
      <c r="Q53" s="46"/>
      <c r="R53" s="46"/>
      <c r="T53" s="42"/>
      <c r="U53" s="42"/>
      <c r="V53" s="46"/>
      <c r="W53" s="42"/>
      <c r="X53" s="42"/>
      <c r="Y53" s="42"/>
      <c r="Z53" s="42"/>
      <c r="AA53" s="42"/>
      <c r="AB53" s="42"/>
      <c r="AC53" s="42"/>
      <c r="AD53" s="42"/>
      <c r="AE53" s="42"/>
      <c r="AF53" s="42"/>
      <c r="AG53" s="42"/>
      <c r="AH53" s="42"/>
      <c r="AI53" s="42"/>
      <c r="AJ53" s="42"/>
      <c r="AK53" s="42"/>
      <c r="AL53" s="42"/>
      <c r="AM53" s="42"/>
      <c r="AN53" s="42"/>
      <c r="AO53" s="42"/>
      <c r="AP53" s="42"/>
      <c r="AQ53" s="42"/>
      <c r="AR53" s="42"/>
      <c r="AS53" s="42"/>
      <c r="AT53" s="42"/>
      <c r="AU53" s="42"/>
      <c r="AV53" s="42"/>
      <c r="AW53" s="42"/>
      <c r="AX53" s="42"/>
      <c r="AY53" s="42"/>
      <c r="AZ53" s="42"/>
      <c r="BA53" s="42"/>
      <c r="BB53" s="42"/>
      <c r="BC53" s="42"/>
      <c r="BD53" s="42"/>
      <c r="BE53" s="42"/>
      <c r="BF53" s="42"/>
      <c r="BG53" s="42"/>
      <c r="BH53" s="42"/>
      <c r="BI53" s="42"/>
      <c r="BJ53" s="42"/>
      <c r="BK53" s="42"/>
      <c r="BL53" s="42"/>
      <c r="BM53" s="42"/>
      <c r="BN53" s="42"/>
    </row>
    <row r="54" spans="1:66" ht="12.75" customHeight="1" x14ac:dyDescent="0.2">
      <c r="A54" s="5" t="s">
        <v>76</v>
      </c>
      <c r="B54" s="7">
        <f>_xll.ciqfunctions.udf.CIQ(InputTicker, "IQ_NI_AVAIL_INCL",Input!D$2,Date,,,Ccy,Conv)</f>
        <v>20539</v>
      </c>
      <c r="C54" s="7">
        <f>_xll.ciqfunctions.udf.CIQ(InputTicker, "IQ_NI_AVAIL_INCL",Input!E$2,Date,,,Ccy,Conv)</f>
        <v>25489</v>
      </c>
      <c r="D54" s="7">
        <f>_xll.ciqfunctions.udf.CIQ(InputTicker, "IQ_NI_AVAIL_INCL",Input!F$2,Date,,,Ccy,Conv)</f>
        <v>16571</v>
      </c>
      <c r="E54" s="7">
        <f>_xll.ciqfunctions.udf.CIQ(InputTicker, "IQ_NI_AVAIL_INCL",Input!G$2,Date,,,Ccy,Conv)</f>
        <v>39240</v>
      </c>
      <c r="F54" s="7">
        <f>_xll.ciqfunctions.udf.CIQ(InputTicker, "IQ_NI_AVAIL_INCL",Input!H$2,Date,,,Ccy,Conv)</f>
        <v>44281</v>
      </c>
      <c r="G54" s="7">
        <f>_xll.ciqfunctions.udf.CIQ(InputTicker, "IQ_NI_AVAIL_INCL",Input!I$2,Date,,,Ccy,Conv)</f>
        <v>61271</v>
      </c>
      <c r="H54" s="7">
        <f>_xll.ciqfunctions.udf.CIQ(InputTicker, "IQ_NI_AVAIL_INCL",Input!J$2,Date,,,Ccy,Conv)</f>
        <v>72738</v>
      </c>
      <c r="I54" s="7">
        <f>_xll.ciqfunctions.udf.CIQ(InputTicker, "IQ_NI_AVAIL_INCL",Input!K$2,Date,,,Ccy,Conv)</f>
        <v>72361</v>
      </c>
      <c r="J54" s="7">
        <f>_xll.ciqfunctions.udf.CIQ(InputTicker, "IQ_NI_AVAIL_INCL",Input!L$2,Date,,,Ccy,Conv)</f>
        <v>88136</v>
      </c>
      <c r="K54" s="7">
        <f>_xll.ciqfunctions.udf.CIQ(InputTicker, "IQ_NI_AVAIL_INCL",Input!M$2,Date,,,Ccy,Conv)</f>
        <v>101832</v>
      </c>
      <c r="L54" s="7">
        <f>_xll.ciqfunctions.udf.CIQ(InputTicker, "IQ_NI_AVAIL_INCL",Input!N$2,Date,,,Ccy,Conv)</f>
        <v>133749</v>
      </c>
      <c r="M54" s="7">
        <f>_xll.ciqfunctions.udf.CIQ(InputTicker, "IQ_NI_AVAIL_INCL",Input!O$2,Date,,,Ccy,Conv)</f>
        <v>133749</v>
      </c>
      <c r="N54" s="46"/>
      <c r="P54" s="46"/>
      <c r="Q54" s="46"/>
      <c r="R54" s="46"/>
      <c r="T54" s="42"/>
      <c r="U54" s="42"/>
      <c r="V54" s="46"/>
      <c r="W54" s="42"/>
      <c r="X54" s="42"/>
      <c r="Y54" s="42"/>
      <c r="Z54" s="42"/>
      <c r="AA54" s="42"/>
      <c r="AB54" s="42"/>
      <c r="AC54" s="42"/>
      <c r="AD54" s="42"/>
      <c r="AE54" s="42"/>
      <c r="AF54" s="42"/>
      <c r="AG54" s="42"/>
      <c r="AH54" s="42"/>
      <c r="AI54" s="42"/>
      <c r="AJ54" s="42"/>
      <c r="AK54" s="42"/>
      <c r="AL54" s="42"/>
      <c r="AM54" s="42"/>
      <c r="AN54" s="42"/>
      <c r="AO54" s="42"/>
      <c r="AP54" s="42"/>
      <c r="AQ54" s="42"/>
      <c r="AR54" s="42"/>
      <c r="AS54" s="42"/>
      <c r="AT54" s="42"/>
      <c r="AU54" s="42"/>
      <c r="AV54" s="42"/>
      <c r="AW54" s="42"/>
      <c r="AX54" s="42"/>
      <c r="AY54" s="42"/>
      <c r="AZ54" s="42"/>
      <c r="BA54" s="42"/>
      <c r="BB54" s="42"/>
      <c r="BC54" s="42"/>
      <c r="BD54" s="42"/>
      <c r="BE54" s="42"/>
      <c r="BF54" s="42"/>
      <c r="BG54" s="42"/>
      <c r="BH54" s="42"/>
      <c r="BI54" s="42"/>
      <c r="BJ54" s="42"/>
      <c r="BK54" s="42"/>
      <c r="BL54" s="42"/>
      <c r="BM54" s="42"/>
      <c r="BN54" s="42"/>
    </row>
    <row r="55" spans="1:66" ht="12.75" customHeight="1" x14ac:dyDescent="0.2">
      <c r="A55" s="5" t="s">
        <v>77</v>
      </c>
      <c r="B55" s="7">
        <f>_xll.ciqfunctions.udf.CIQ(InputTicker, "IQ_NI_AVAIL_EXCL",Input!D$2,Date,,,Ccy,Conv)</f>
        <v>20539</v>
      </c>
      <c r="C55" s="7">
        <f>_xll.ciqfunctions.udf.CIQ(InputTicker, "IQ_NI_AVAIL_EXCL",Input!E$2,Date,,,Ccy,Conv)</f>
        <v>25489</v>
      </c>
      <c r="D55" s="7">
        <f>_xll.ciqfunctions.udf.CIQ(InputTicker, "IQ_NI_AVAIL_EXCL",Input!F$2,Date,,,Ccy,Conv)</f>
        <v>16571</v>
      </c>
      <c r="E55" s="7">
        <f>_xll.ciqfunctions.udf.CIQ(InputTicker, "IQ_NI_AVAIL_EXCL",Input!G$2,Date,,,Ccy,Conv)</f>
        <v>39240</v>
      </c>
      <c r="F55" s="7">
        <f>_xll.ciqfunctions.udf.CIQ(InputTicker, "IQ_NI_AVAIL_EXCL",Input!H$2,Date,,,Ccy,Conv)</f>
        <v>44281</v>
      </c>
      <c r="G55" s="7">
        <f>_xll.ciqfunctions.udf.CIQ(InputTicker, "IQ_NI_AVAIL_EXCL",Input!I$2,Date,,,Ccy,Conv)</f>
        <v>61271</v>
      </c>
      <c r="H55" s="7">
        <f>_xll.ciqfunctions.udf.CIQ(InputTicker, "IQ_NI_AVAIL_EXCL",Input!J$2,Date,,,Ccy,Conv)</f>
        <v>72738</v>
      </c>
      <c r="I55" s="7">
        <f>_xll.ciqfunctions.udf.CIQ(InputTicker, "IQ_NI_AVAIL_EXCL",Input!K$2,Date,,,Ccy,Conv)</f>
        <v>72361</v>
      </c>
      <c r="J55" s="7">
        <f>_xll.ciqfunctions.udf.CIQ(InputTicker, "IQ_NI_AVAIL_EXCL",Input!L$2,Date,,,Ccy,Conv)</f>
        <v>88136</v>
      </c>
      <c r="K55" s="7">
        <f>_xll.ciqfunctions.udf.CIQ(InputTicker, "IQ_NI_AVAIL_EXCL",Input!M$2,Date,,,Ccy,Conv)</f>
        <v>101832</v>
      </c>
      <c r="L55" s="7">
        <f>_xll.ciqfunctions.udf.CIQ(InputTicker, "IQ_NI_AVAIL_EXCL",Input!N$2,Date,,,Ccy,Conv)</f>
        <v>133749</v>
      </c>
      <c r="M55" s="7">
        <f>_xll.ciqfunctions.udf.CIQ(InputTicker, "IQ_NI_AVAIL_EXCL",Input!O$2,Date,,,Ccy,Conv)</f>
        <v>133749</v>
      </c>
      <c r="N55" s="46"/>
      <c r="P55" s="46"/>
      <c r="Q55" s="46"/>
      <c r="R55" s="46"/>
      <c r="T55" s="42"/>
      <c r="U55" s="42"/>
      <c r="V55" s="46"/>
      <c r="W55" s="42"/>
      <c r="X55" s="42"/>
      <c r="Y55" s="42"/>
      <c r="Z55" s="42"/>
      <c r="AA55" s="42"/>
      <c r="AB55" s="42"/>
      <c r="AC55" s="42"/>
      <c r="AD55" s="42"/>
      <c r="AE55" s="42"/>
      <c r="AF55" s="42"/>
      <c r="AG55" s="42"/>
      <c r="AH55" s="42"/>
      <c r="AI55" s="42"/>
      <c r="AJ55" s="42"/>
      <c r="AK55" s="42"/>
      <c r="AL55" s="42"/>
      <c r="AM55" s="42"/>
      <c r="AN55" s="42"/>
      <c r="AO55" s="42"/>
      <c r="AP55" s="42"/>
      <c r="AQ55" s="42"/>
      <c r="AR55" s="42"/>
      <c r="AS55" s="42"/>
      <c r="AT55" s="42"/>
      <c r="AU55" s="42"/>
      <c r="AV55" s="42"/>
      <c r="AW55" s="42"/>
      <c r="AX55" s="42"/>
      <c r="AY55" s="42"/>
      <c r="AZ55" s="42"/>
      <c r="BA55" s="42"/>
      <c r="BB55" s="42"/>
      <c r="BC55" s="42"/>
      <c r="BD55" s="42"/>
      <c r="BE55" s="42"/>
      <c r="BF55" s="42"/>
      <c r="BG55" s="42"/>
      <c r="BH55" s="42"/>
      <c r="BI55" s="42"/>
      <c r="BJ55" s="42"/>
      <c r="BK55" s="42"/>
      <c r="BL55" s="42"/>
      <c r="BM55" s="42"/>
      <c r="BN55" s="42"/>
    </row>
    <row r="56" spans="1:66" ht="12.75" customHeight="1" x14ac:dyDescent="0.2">
      <c r="A56" s="1" t="s">
        <v>78</v>
      </c>
      <c r="B56" s="11">
        <f>_xll.ciqfunctions.udf.CIQ(InputTicker, "IQ_BASIC_EPS_INCL",Input!D$2,Date,,,Ccy,Conv)</f>
        <v>2.5916700000000001</v>
      </c>
      <c r="C56" s="11">
        <f>_xll.ciqfunctions.udf.CIQ(InputTicker, "IQ_BASIC_EPS_INCL",Input!E$2,Date,,,Ccy,Conv)</f>
        <v>3.2906</v>
      </c>
      <c r="D56" s="11">
        <f>_xll.ciqfunctions.udf.CIQ(InputTicker, "IQ_BASIC_EPS_INCL",Input!F$2,Date,,,Ccy,Conv)</f>
        <v>2.1520800000000002</v>
      </c>
      <c r="E56" s="11">
        <f>_xll.ciqfunctions.udf.CIQ(InputTicker, "IQ_BASIC_EPS_INCL",Input!G$2,Date,,,Ccy,Conv)</f>
        <v>5.1140400000000001</v>
      </c>
      <c r="F56" s="11">
        <f>_xll.ciqfunctions.udf.CIQ(InputTicker, "IQ_BASIC_EPS_INCL",Input!H$2,Date,,,Ccy,Conv)</f>
        <v>5.8187899999999999</v>
      </c>
      <c r="G56" s="11">
        <f>_xll.ciqfunctions.udf.CIQ(InputTicker, "IQ_BASIC_EPS_INCL",Input!I$2,Date,,,Ccy,Conv)</f>
        <v>8.1185899999999993</v>
      </c>
      <c r="H56" s="11">
        <f>_xll.ciqfunctions.udf.CIQ(InputTicker, "IQ_BASIC_EPS_INCL",Input!J$2,Date,,,Ccy,Conv)</f>
        <v>9.7035800000000005</v>
      </c>
      <c r="I56" s="11">
        <f>_xll.ciqfunctions.udf.CIQ(InputTicker, "IQ_BASIC_EPS_INCL",Input!K$2,Date,,,Ccy,Conv)</f>
        <v>9.7180999999999997</v>
      </c>
      <c r="J56" s="11">
        <f>_xll.ciqfunctions.udf.CIQ(InputTicker, "IQ_BASIC_EPS_INCL",Input!L$2,Date,,,Ccy,Conv)</f>
        <v>11.860580000000001</v>
      </c>
      <c r="K56" s="11">
        <f>_xll.ciqfunctions.udf.CIQ(InputTicker, "IQ_BASIC_EPS_INCL",Input!M$2,Date,,,Ccy,Conv)</f>
        <v>13.69999</v>
      </c>
      <c r="L56" s="11">
        <f>_xll.ciqfunctions.udf.CIQ(InputTicker, "IQ_BASIC_EPS_INCL",Input!N$2,Date,,,Ccy,Conv)</f>
        <v>18.003630000000001</v>
      </c>
      <c r="M56" s="11">
        <f>_xll.ciqfunctions.udf.CIQ(InputTicker, "IQ_BASIC_EPS_INCL",Input!O$2,Date,,,Ccy,Conv)</f>
        <v>18.003630000000001</v>
      </c>
      <c r="N56" s="47"/>
      <c r="P56" s="48"/>
      <c r="Q56" s="48"/>
      <c r="R56" s="48"/>
      <c r="T56" s="42"/>
      <c r="U56" s="42"/>
      <c r="V56" s="48"/>
      <c r="W56" s="42"/>
      <c r="X56" s="42"/>
      <c r="Y56" s="42"/>
      <c r="Z56" s="42"/>
      <c r="AA56" s="42"/>
      <c r="AB56" s="42"/>
      <c r="AC56" s="42"/>
      <c r="AD56" s="42"/>
      <c r="AE56" s="42"/>
      <c r="AF56" s="42"/>
      <c r="AG56" s="42"/>
      <c r="AH56" s="42"/>
      <c r="AI56" s="42"/>
      <c r="AJ56" s="42"/>
      <c r="AK56" s="42"/>
      <c r="AL56" s="42"/>
      <c r="AM56" s="42"/>
      <c r="AN56" s="42"/>
      <c r="AO56" s="42"/>
      <c r="AP56" s="42"/>
      <c r="AQ56" s="42"/>
      <c r="AR56" s="42"/>
      <c r="AS56" s="42"/>
      <c r="AT56" s="42"/>
      <c r="AU56" s="42"/>
      <c r="AV56" s="42"/>
      <c r="AW56" s="42"/>
      <c r="AX56" s="42"/>
      <c r="AY56" s="42"/>
      <c r="AZ56" s="42"/>
      <c r="BA56" s="42"/>
      <c r="BB56" s="42"/>
      <c r="BC56" s="42"/>
      <c r="BD56" s="42"/>
      <c r="BE56" s="42"/>
      <c r="BF56" s="42"/>
      <c r="BG56" s="42"/>
      <c r="BH56" s="42"/>
      <c r="BI56" s="42"/>
      <c r="BJ56" s="42"/>
      <c r="BK56" s="42"/>
      <c r="BL56" s="42"/>
      <c r="BM56" s="42"/>
      <c r="BN56" s="42"/>
    </row>
    <row r="57" spans="1:66" ht="12.75" customHeight="1" x14ac:dyDescent="0.2">
      <c r="A57" s="1" t="s">
        <v>79</v>
      </c>
      <c r="B57" s="11">
        <f>_xll.ciqfunctions.udf.CIQ(InputTicker, "IQ_BASIC_EPS_EXCL",Input!D$2,Date,,,Ccy,Conv)</f>
        <v>2.5916700000000001</v>
      </c>
      <c r="C57" s="11">
        <f>_xll.ciqfunctions.udf.CIQ(InputTicker, "IQ_BASIC_EPS_EXCL",Input!E$2,Date,,,Ccy,Conv)</f>
        <v>3.2906</v>
      </c>
      <c r="D57" s="11">
        <f>_xll.ciqfunctions.udf.CIQ(InputTicker, "IQ_BASIC_EPS_EXCL",Input!F$2,Date,,,Ccy,Conv)</f>
        <v>2.1520800000000002</v>
      </c>
      <c r="E57" s="11">
        <f>_xll.ciqfunctions.udf.CIQ(InputTicker, "IQ_BASIC_EPS_EXCL",Input!G$2,Date,,,Ccy,Conv)</f>
        <v>5.1140400000000001</v>
      </c>
      <c r="F57" s="11">
        <f>_xll.ciqfunctions.udf.CIQ(InputTicker, "IQ_BASIC_EPS_EXCL",Input!H$2,Date,,,Ccy,Conv)</f>
        <v>5.8187899999999999</v>
      </c>
      <c r="G57" s="11">
        <f>_xll.ciqfunctions.udf.CIQ(InputTicker, "IQ_BASIC_EPS_EXCL",Input!I$2,Date,,,Ccy,Conv)</f>
        <v>8.1185899999999993</v>
      </c>
      <c r="H57" s="11">
        <f>_xll.ciqfunctions.udf.CIQ(InputTicker, "IQ_BASIC_EPS_EXCL",Input!J$2,Date,,,Ccy,Conv)</f>
        <v>9.7035800000000005</v>
      </c>
      <c r="I57" s="11">
        <f>_xll.ciqfunctions.udf.CIQ(InputTicker, "IQ_BASIC_EPS_EXCL",Input!K$2,Date,,,Ccy,Conv)</f>
        <v>9.7180999999999997</v>
      </c>
      <c r="J57" s="11">
        <f>_xll.ciqfunctions.udf.CIQ(InputTicker, "IQ_BASIC_EPS_EXCL",Input!L$2,Date,,,Ccy,Conv)</f>
        <v>11.860580000000001</v>
      </c>
      <c r="K57" s="11">
        <f>_xll.ciqfunctions.udf.CIQ(InputTicker, "IQ_BASIC_EPS_EXCL",Input!M$2,Date,,,Ccy,Conv)</f>
        <v>13.69999</v>
      </c>
      <c r="L57" s="11">
        <f>_xll.ciqfunctions.udf.CIQ(InputTicker, "IQ_BASIC_EPS_EXCL",Input!N$2,Date,,,Ccy,Conv)</f>
        <v>18.003630000000001</v>
      </c>
      <c r="M57" s="11">
        <f>_xll.ciqfunctions.udf.CIQ(InputTicker, "IQ_BASIC_EPS_EXCL",Input!O$2,Date,,,Ccy,Conv)</f>
        <v>18.003630000000001</v>
      </c>
      <c r="N57" s="47"/>
      <c r="P57" s="48"/>
      <c r="Q57" s="48"/>
      <c r="R57" s="48"/>
      <c r="T57" s="42"/>
      <c r="U57" s="42"/>
      <c r="V57" s="48"/>
      <c r="W57" s="42"/>
      <c r="X57" s="42"/>
      <c r="Y57" s="42"/>
      <c r="Z57" s="42"/>
      <c r="AA57" s="42"/>
      <c r="AB57" s="42"/>
      <c r="AC57" s="42"/>
      <c r="AD57" s="42"/>
      <c r="AE57" s="42"/>
      <c r="AF57" s="42"/>
      <c r="AG57" s="42"/>
      <c r="AH57" s="42"/>
      <c r="AI57" s="42"/>
      <c r="AJ57" s="42"/>
      <c r="AK57" s="42"/>
      <c r="AL57" s="42"/>
      <c r="AM57" s="42"/>
      <c r="AN57" s="42"/>
      <c r="AO57" s="42"/>
      <c r="AP57" s="42"/>
      <c r="AQ57" s="42"/>
      <c r="AR57" s="42"/>
      <c r="AS57" s="42"/>
      <c r="AT57" s="42"/>
      <c r="AU57" s="42"/>
      <c r="AV57" s="42"/>
      <c r="AW57" s="42"/>
      <c r="AX57" s="42"/>
      <c r="AY57" s="42"/>
      <c r="AZ57" s="42"/>
      <c r="BA57" s="42"/>
      <c r="BB57" s="42"/>
      <c r="BC57" s="42"/>
      <c r="BD57" s="42"/>
      <c r="BE57" s="42"/>
      <c r="BF57" s="42"/>
      <c r="BG57" s="42"/>
      <c r="BH57" s="42"/>
      <c r="BI57" s="42"/>
      <c r="BJ57" s="42"/>
      <c r="BK57" s="42"/>
      <c r="BL57" s="42"/>
      <c r="BM57" s="42"/>
      <c r="BN57" s="42"/>
    </row>
    <row r="58" spans="1:66" ht="12.75" customHeight="1" x14ac:dyDescent="0.2">
      <c r="A58" s="1" t="s">
        <v>80</v>
      </c>
      <c r="B58" s="12">
        <f>_xll.ciqfunctions.udf.CIQ(InputTicker, "IQ_BASIC_WEIGHT",Input!D$2,Date)</f>
        <v>7925</v>
      </c>
      <c r="C58" s="12">
        <f>_xll.ciqfunctions.udf.CIQ(InputTicker, "IQ_BASIC_WEIGHT",Input!E$2,Date)</f>
        <v>7746</v>
      </c>
      <c r="D58" s="12">
        <f>_xll.ciqfunctions.udf.CIQ(InputTicker, "IQ_BASIC_WEIGHT",Input!F$2,Date)</f>
        <v>7700</v>
      </c>
      <c r="E58" s="12">
        <f>_xll.ciqfunctions.udf.CIQ(InputTicker, "IQ_BASIC_WEIGHT",Input!G$2,Date)</f>
        <v>7673</v>
      </c>
      <c r="F58" s="12">
        <f>_xll.ciqfunctions.udf.CIQ(InputTicker, "IQ_BASIC_WEIGHT",Input!H$2,Date)</f>
        <v>7610</v>
      </c>
      <c r="G58" s="12">
        <f>_xll.ciqfunctions.udf.CIQ(InputTicker, "IQ_BASIC_WEIGHT",Input!I$2,Date)</f>
        <v>7547</v>
      </c>
      <c r="H58" s="12">
        <f>_xll.ciqfunctions.udf.CIQ(InputTicker, "IQ_BASIC_WEIGHT",Input!J$2,Date)</f>
        <v>7496</v>
      </c>
      <c r="I58" s="12">
        <f>_xll.ciqfunctions.udf.CIQ(InputTicker, "IQ_BASIC_WEIGHT",Input!K$2,Date)</f>
        <v>7446</v>
      </c>
      <c r="J58" s="12">
        <f>_xll.ciqfunctions.udf.CIQ(InputTicker, "IQ_BASIC_WEIGHT",Input!L$2,Date)</f>
        <v>7431</v>
      </c>
      <c r="K58" s="12">
        <f>_xll.ciqfunctions.udf.CIQ(InputTicker, "IQ_BASIC_WEIGHT",Input!M$2,Date)</f>
        <v>7433</v>
      </c>
      <c r="L58" s="12">
        <f>_xll.ciqfunctions.udf.CIQ(InputTicker, "IQ_BASIC_WEIGHT",Input!N$2,Date)</f>
        <v>7429</v>
      </c>
      <c r="M58" s="12">
        <f>_xll.ciqfunctions.udf.CIQ(InputTicker, "IQ_BASIC_WEIGHT",Input!O$2,Date)</f>
        <v>7429</v>
      </c>
      <c r="N58" s="42"/>
      <c r="T58" s="42"/>
      <c r="U58" s="42"/>
      <c r="V58" s="42"/>
      <c r="W58" s="42"/>
      <c r="X58" s="42"/>
      <c r="Y58" s="42"/>
      <c r="Z58" s="42"/>
      <c r="AA58" s="42"/>
      <c r="AB58" s="42"/>
      <c r="AC58" s="42"/>
      <c r="AD58" s="42"/>
      <c r="AE58" s="42"/>
      <c r="AF58" s="42"/>
      <c r="AG58" s="42"/>
      <c r="AH58" s="42"/>
      <c r="AI58" s="42"/>
      <c r="AJ58" s="42"/>
      <c r="AK58" s="42"/>
      <c r="AL58" s="42"/>
      <c r="AM58" s="42"/>
      <c r="AN58" s="42"/>
      <c r="AO58" s="42"/>
      <c r="AP58" s="42"/>
      <c r="AQ58" s="42"/>
      <c r="AR58" s="42"/>
      <c r="AS58" s="42"/>
      <c r="AT58" s="42"/>
      <c r="AU58" s="42"/>
      <c r="AV58" s="42"/>
      <c r="AW58" s="42"/>
      <c r="AX58" s="42"/>
      <c r="AY58" s="42"/>
      <c r="AZ58" s="42"/>
      <c r="BA58" s="42"/>
      <c r="BB58" s="42"/>
      <c r="BC58" s="42"/>
      <c r="BD58" s="42"/>
      <c r="BE58" s="42"/>
      <c r="BF58" s="42"/>
      <c r="BG58" s="42"/>
      <c r="BH58" s="42"/>
      <c r="BI58" s="42"/>
      <c r="BJ58" s="42"/>
      <c r="BK58" s="42"/>
      <c r="BL58" s="42"/>
      <c r="BM58" s="42"/>
      <c r="BN58" s="42"/>
    </row>
    <row r="59" spans="1:66" ht="12.75" customHeight="1" x14ac:dyDescent="0.2">
      <c r="A59" s="1" t="s">
        <v>81</v>
      </c>
      <c r="B59" s="11">
        <f>_xll.ciqfunctions.udf.CIQ(InputTicker, "IQ_DILUT_EPS_INCL",Input!D$2,Date,,,Ccy,Conv)</f>
        <v>2.56</v>
      </c>
      <c r="C59" s="11">
        <f>_xll.ciqfunctions.udf.CIQ(InputTicker, "IQ_DILUT_EPS_INCL",Input!E$2,Date,,,Ccy,Conv)</f>
        <v>3.25</v>
      </c>
      <c r="D59" s="11">
        <f>_xll.ciqfunctions.udf.CIQ(InputTicker, "IQ_DILUT_EPS_INCL",Input!F$2,Date,,,Ccy,Conv)</f>
        <v>2.13</v>
      </c>
      <c r="E59" s="11">
        <f>_xll.ciqfunctions.udf.CIQ(InputTicker, "IQ_DILUT_EPS_INCL",Input!G$2,Date,,,Ccy,Conv)</f>
        <v>5.0599999999999996</v>
      </c>
      <c r="F59" s="11">
        <f>_xll.ciqfunctions.udf.CIQ(InputTicker, "IQ_DILUT_EPS_INCL",Input!H$2,Date,,,Ccy,Conv)</f>
        <v>5.76</v>
      </c>
      <c r="G59" s="11">
        <f>_xll.ciqfunctions.udf.CIQ(InputTicker, "IQ_DILUT_EPS_INCL",Input!I$2,Date,,,Ccy,Conv)</f>
        <v>8.0500000000000007</v>
      </c>
      <c r="H59" s="11">
        <f>_xll.ciqfunctions.udf.CIQ(InputTicker, "IQ_DILUT_EPS_INCL",Input!J$2,Date,,,Ccy,Conv)</f>
        <v>9.65</v>
      </c>
      <c r="I59" s="11">
        <f>_xll.ciqfunctions.udf.CIQ(InputTicker, "IQ_DILUT_EPS_INCL",Input!K$2,Date,,,Ccy,Conv)</f>
        <v>9.68</v>
      </c>
      <c r="J59" s="11">
        <f>_xll.ciqfunctions.udf.CIQ(InputTicker, "IQ_DILUT_EPS_INCL",Input!L$2,Date,,,Ccy,Conv)</f>
        <v>11.8</v>
      </c>
      <c r="K59" s="11">
        <f>_xll.ciqfunctions.udf.CIQ(InputTicker, "IQ_DILUT_EPS_INCL",Input!M$2,Date,,,Ccy,Conv)</f>
        <v>13.64</v>
      </c>
      <c r="L59" s="11">
        <f>_xll.ciqfunctions.udf.CIQ(InputTicker, "IQ_DILUT_EPS_INCL",Input!N$2,Date,,,Ccy,Conv)</f>
        <v>17.95</v>
      </c>
      <c r="M59" s="11">
        <f>_xll.ciqfunctions.udf.CIQ(InputTicker, "IQ_DILUT_EPS_INCL",Input!O$2,Date,,,Ccy,Conv)</f>
        <v>17.95</v>
      </c>
      <c r="N59" s="48"/>
      <c r="T59" s="42"/>
      <c r="U59" s="42"/>
      <c r="V59" s="42"/>
      <c r="W59" s="42"/>
      <c r="X59" s="42"/>
      <c r="Y59" s="42"/>
      <c r="Z59" s="42"/>
      <c r="AA59" s="42"/>
      <c r="AB59" s="42"/>
      <c r="AC59" s="42"/>
      <c r="AD59" s="42"/>
      <c r="AE59" s="42"/>
      <c r="AF59" s="42"/>
      <c r="AG59" s="42"/>
      <c r="AH59" s="42"/>
      <c r="AI59" s="42"/>
      <c r="AJ59" s="42"/>
      <c r="AK59" s="42"/>
      <c r="AL59" s="42"/>
      <c r="AM59" s="42"/>
      <c r="AN59" s="42"/>
      <c r="AO59" s="42"/>
      <c r="AP59" s="42"/>
      <c r="AQ59" s="42"/>
      <c r="AR59" s="42"/>
      <c r="AS59" s="42"/>
      <c r="AT59" s="42"/>
      <c r="AU59" s="42"/>
      <c r="AV59" s="42"/>
      <c r="AW59" s="42"/>
      <c r="AX59" s="42"/>
      <c r="AY59" s="42"/>
      <c r="AZ59" s="42"/>
      <c r="BA59" s="42"/>
      <c r="BB59" s="42"/>
      <c r="BC59" s="42"/>
      <c r="BD59" s="42"/>
      <c r="BE59" s="42"/>
      <c r="BF59" s="42"/>
      <c r="BG59" s="42"/>
      <c r="BH59" s="42"/>
      <c r="BI59" s="42"/>
      <c r="BJ59" s="42"/>
      <c r="BK59" s="42"/>
      <c r="BL59" s="42"/>
      <c r="BM59" s="42"/>
      <c r="BN59" s="42"/>
    </row>
    <row r="60" spans="1:66" ht="12.75" customHeight="1" x14ac:dyDescent="0.2">
      <c r="A60" s="1" t="s">
        <v>82</v>
      </c>
      <c r="B60" s="11">
        <f>_xll.ciqfunctions.udf.CIQ(InputTicker, "IQ_DILUT_EPS_EXCL",Input!D$2,Date,,,Ccy,Conv)</f>
        <v>2.56</v>
      </c>
      <c r="C60" s="11">
        <f>_xll.ciqfunctions.udf.CIQ(InputTicker, "IQ_DILUT_EPS_EXCL",Input!E$2,Date,,,Ccy,Conv)</f>
        <v>3.25</v>
      </c>
      <c r="D60" s="11">
        <f>_xll.ciqfunctions.udf.CIQ(InputTicker, "IQ_DILUT_EPS_EXCL",Input!F$2,Date,,,Ccy,Conv)</f>
        <v>2.13</v>
      </c>
      <c r="E60" s="11">
        <f>_xll.ciqfunctions.udf.CIQ(InputTicker, "IQ_DILUT_EPS_EXCL",Input!G$2,Date,,,Ccy,Conv)</f>
        <v>5.0599999999999996</v>
      </c>
      <c r="F60" s="11">
        <f>_xll.ciqfunctions.udf.CIQ(InputTicker, "IQ_DILUT_EPS_EXCL",Input!H$2,Date,,,Ccy,Conv)</f>
        <v>5.76</v>
      </c>
      <c r="G60" s="11">
        <f>_xll.ciqfunctions.udf.CIQ(InputTicker, "IQ_DILUT_EPS_EXCL",Input!I$2,Date,,,Ccy,Conv)</f>
        <v>8.0500000000000007</v>
      </c>
      <c r="H60" s="11">
        <f>_xll.ciqfunctions.udf.CIQ(InputTicker, "IQ_DILUT_EPS_EXCL",Input!J$2,Date,,,Ccy,Conv)</f>
        <v>9.65</v>
      </c>
      <c r="I60" s="11">
        <f>_xll.ciqfunctions.udf.CIQ(InputTicker, "IQ_DILUT_EPS_EXCL",Input!K$2,Date,,,Ccy,Conv)</f>
        <v>9.68</v>
      </c>
      <c r="J60" s="11">
        <f>_xll.ciqfunctions.udf.CIQ(InputTicker, "IQ_DILUT_EPS_EXCL",Input!L$2,Date,,,Ccy,Conv)</f>
        <v>11.8</v>
      </c>
      <c r="K60" s="11">
        <f>_xll.ciqfunctions.udf.CIQ(InputTicker, "IQ_DILUT_EPS_EXCL",Input!M$2,Date,,,Ccy,Conv)</f>
        <v>13.64</v>
      </c>
      <c r="L60" s="11">
        <f>_xll.ciqfunctions.udf.CIQ(InputTicker, "IQ_DILUT_EPS_EXCL",Input!N$2,Date,,,Ccy,Conv)</f>
        <v>17.95</v>
      </c>
      <c r="M60" s="11">
        <f>_xll.ciqfunctions.udf.CIQ(InputTicker, "IQ_DILUT_EPS_EXCL",Input!O$2,Date,,,Ccy,Conv)</f>
        <v>17.95</v>
      </c>
      <c r="N60" s="48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  <c r="AG60" s="42"/>
      <c r="AH60" s="42"/>
      <c r="AI60" s="42"/>
      <c r="AJ60" s="42"/>
      <c r="AK60" s="42"/>
      <c r="AL60" s="42"/>
      <c r="AM60" s="42"/>
      <c r="AN60" s="42"/>
      <c r="AO60" s="42"/>
      <c r="AP60" s="42"/>
      <c r="AQ60" s="42"/>
      <c r="AR60" s="42"/>
      <c r="AS60" s="42"/>
      <c r="AT60" s="42"/>
      <c r="AU60" s="42"/>
      <c r="AV60" s="42"/>
      <c r="AW60" s="42"/>
      <c r="AX60" s="42"/>
      <c r="AY60" s="42"/>
      <c r="AZ60" s="42"/>
      <c r="BA60" s="42"/>
      <c r="BB60" s="42"/>
      <c r="BC60" s="42"/>
      <c r="BD60" s="42"/>
      <c r="BE60" s="42"/>
      <c r="BF60" s="42"/>
      <c r="BG60" s="42"/>
      <c r="BH60" s="42"/>
      <c r="BI60" s="42"/>
      <c r="BJ60" s="42"/>
      <c r="BK60" s="42"/>
      <c r="BL60" s="42"/>
      <c r="BM60" s="42"/>
      <c r="BN60" s="42"/>
    </row>
    <row r="61" spans="1:66" ht="12.75" customHeight="1" x14ac:dyDescent="0.2">
      <c r="A61" s="1" t="s">
        <v>83</v>
      </c>
      <c r="B61" s="12">
        <f>_xll.ciqfunctions.udf.CIQ(InputTicker, "IQ_DILUT_WEIGHT",Input!D$2,Date)</f>
        <v>8013</v>
      </c>
      <c r="C61" s="12">
        <f>_xll.ciqfunctions.udf.CIQ(InputTicker, "IQ_DILUT_WEIGHT",Input!E$2,Date)</f>
        <v>7832</v>
      </c>
      <c r="D61" s="12">
        <f>_xll.ciqfunctions.udf.CIQ(InputTicker, "IQ_DILUT_WEIGHT",Input!F$2,Date)</f>
        <v>7794</v>
      </c>
      <c r="E61" s="12">
        <f>_xll.ciqfunctions.udf.CIQ(InputTicker, "IQ_DILUT_WEIGHT",Input!G$2,Date)</f>
        <v>7753</v>
      </c>
      <c r="F61" s="12">
        <f>_xll.ciqfunctions.udf.CIQ(InputTicker, "IQ_DILUT_WEIGHT",Input!H$2,Date)</f>
        <v>7683</v>
      </c>
      <c r="G61" s="12">
        <f>_xll.ciqfunctions.udf.CIQ(InputTicker, "IQ_DILUT_WEIGHT",Input!I$2,Date)</f>
        <v>7608</v>
      </c>
      <c r="H61" s="12">
        <f>_xll.ciqfunctions.udf.CIQ(InputTicker, "IQ_DILUT_WEIGHT",Input!J$2,Date)</f>
        <v>7540</v>
      </c>
      <c r="I61" s="12">
        <f>_xll.ciqfunctions.udf.CIQ(InputTicker, "IQ_DILUT_WEIGHT",Input!K$2,Date)</f>
        <v>7472</v>
      </c>
      <c r="J61" s="12">
        <f>_xll.ciqfunctions.udf.CIQ(InputTicker, "IQ_DILUT_WEIGHT",Input!L$2,Date)</f>
        <v>7469</v>
      </c>
      <c r="K61" s="12">
        <f>_xll.ciqfunctions.udf.CIQ(InputTicker, "IQ_DILUT_WEIGHT",Input!M$2,Date)</f>
        <v>7465</v>
      </c>
      <c r="L61" s="12">
        <f>_xll.ciqfunctions.udf.CIQ(InputTicker, "IQ_DILUT_WEIGHT",Input!N$2,Date)</f>
        <v>7453</v>
      </c>
      <c r="M61" s="12">
        <f>_xll.ciqfunctions.udf.CIQ(InputTicker, "IQ_DILUT_WEIGHT",Input!O$2,Date)</f>
        <v>7453</v>
      </c>
      <c r="N61" s="42"/>
      <c r="T61" s="42"/>
      <c r="U61" s="42"/>
      <c r="V61" s="42"/>
      <c r="W61" s="42"/>
      <c r="X61" s="42"/>
      <c r="Y61" s="42"/>
      <c r="Z61" s="42"/>
      <c r="AA61" s="42"/>
      <c r="AB61" s="42"/>
      <c r="AC61" s="42"/>
      <c r="AD61" s="42"/>
      <c r="AE61" s="42"/>
      <c r="AF61" s="42"/>
      <c r="AG61" s="42"/>
      <c r="AH61" s="42"/>
      <c r="AI61" s="42"/>
      <c r="AJ61" s="42"/>
      <c r="AK61" s="42"/>
      <c r="AL61" s="42"/>
      <c r="AM61" s="42"/>
      <c r="AN61" s="42"/>
      <c r="AO61" s="42"/>
      <c r="AP61" s="42"/>
      <c r="AQ61" s="42"/>
      <c r="AR61" s="42"/>
      <c r="AS61" s="42"/>
      <c r="AT61" s="42"/>
      <c r="AU61" s="42"/>
      <c r="AV61" s="42"/>
      <c r="AW61" s="42"/>
      <c r="AX61" s="42"/>
      <c r="AY61" s="42"/>
      <c r="AZ61" s="42"/>
      <c r="BA61" s="42"/>
      <c r="BB61" s="42"/>
      <c r="BC61" s="42"/>
      <c r="BD61" s="42"/>
      <c r="BE61" s="42"/>
      <c r="BF61" s="42"/>
      <c r="BG61" s="42"/>
      <c r="BH61" s="42"/>
      <c r="BI61" s="42"/>
      <c r="BJ61" s="42"/>
      <c r="BK61" s="42"/>
      <c r="BL61" s="42"/>
      <c r="BM61" s="42"/>
      <c r="BN61" s="42"/>
    </row>
    <row r="62" spans="1:66" ht="12.75" customHeight="1" x14ac:dyDescent="0.2">
      <c r="A62" s="1" t="s">
        <v>311</v>
      </c>
      <c r="B62" s="11">
        <f>_xll.ciqfunctions.udf.CIQ(InputTicker, "IQ_EPS_NORM",Input!D$2,Date,,,Ccy,Conv)</f>
        <v>2.05931</v>
      </c>
      <c r="C62" s="11">
        <f>_xll.ciqfunctions.udf.CIQ(InputTicker, "IQ_EPS_NORM",Input!E$2,Date,,,Ccy,Conv)</f>
        <v>2.2445499999999998</v>
      </c>
      <c r="D62" s="11">
        <f>_xll.ciqfunctions.udf.CIQ(InputTicker, "IQ_EPS_NORM",Input!F$2,Date,,,Ccy,Conv)</f>
        <v>2.7593299999999998</v>
      </c>
      <c r="E62" s="11">
        <f>_xll.ciqfunctions.udf.CIQ(InputTicker, "IQ_EPS_NORM",Input!G$2,Date,,,Ccy,Conv)</f>
        <v>3.5057999999999998</v>
      </c>
      <c r="F62" s="11">
        <f>_xll.ciqfunctions.udf.CIQ(InputTicker, "IQ_EPS_NORM",Input!H$2,Date,,,Ccy,Conv)</f>
        <v>4.3531500000000003</v>
      </c>
      <c r="G62" s="11">
        <f>_xll.ciqfunctions.udf.CIQ(InputTicker, "IQ_EPS_NORM",Input!I$2,Date,,,Ccy,Conv)</f>
        <v>5.7862400000000003</v>
      </c>
      <c r="H62" s="11">
        <f>_xll.ciqfunctions.udf.CIQ(InputTicker, "IQ_EPS_NORM",Input!J$2,Date,,,Ccy,Conv)</f>
        <v>6.9405299999999999</v>
      </c>
      <c r="I62" s="11">
        <f>_xll.ciqfunctions.udf.CIQ(InputTicker, "IQ_EPS_NORM",Input!K$2,Date,,,Ccy,Conv)</f>
        <v>7.5287100000000002</v>
      </c>
      <c r="J62" s="11">
        <f>_xll.ciqfunctions.udf.CIQ(InputTicker, "IQ_EPS_NORM",Input!L$2,Date,,,Ccy,Conv)</f>
        <v>9.0904699999999998</v>
      </c>
      <c r="K62" s="11">
        <f>_xll.ciqfunctions.udf.CIQ(InputTicker, "IQ_EPS_NORM",Input!M$2,Date,,,Ccy,Conv)</f>
        <v>10.446820000000001</v>
      </c>
      <c r="L62" s="11">
        <f>_xll.ciqfunctions.udf.CIQ(InputTicker, "IQ_EPS_NORM",Input!N$2,Date,,,Ccy,Conv)</f>
        <v>13.43426</v>
      </c>
      <c r="M62" s="11">
        <f>_xll.ciqfunctions.udf.CIQ(InputTicker, "IQ_EPS_NORM",Input!O$2,Date,,,Ccy,Conv)</f>
        <v>13.43426</v>
      </c>
      <c r="N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  <c r="AG62" s="42"/>
      <c r="AH62" s="42"/>
      <c r="AI62" s="42"/>
      <c r="AJ62" s="42"/>
      <c r="AK62" s="42"/>
      <c r="AL62" s="42"/>
      <c r="AM62" s="42"/>
      <c r="AN62" s="42"/>
      <c r="AO62" s="42"/>
      <c r="AP62" s="42"/>
      <c r="AQ62" s="42"/>
      <c r="AR62" s="42"/>
      <c r="AS62" s="42"/>
      <c r="AT62" s="42"/>
      <c r="AU62" s="42"/>
      <c r="AV62" s="42"/>
      <c r="AW62" s="42"/>
      <c r="AX62" s="42"/>
      <c r="AY62" s="42"/>
      <c r="AZ62" s="42"/>
      <c r="BA62" s="42"/>
      <c r="BB62" s="42"/>
      <c r="BC62" s="42"/>
      <c r="BD62" s="42"/>
      <c r="BE62" s="42"/>
      <c r="BF62" s="42"/>
      <c r="BG62" s="42"/>
      <c r="BH62" s="42"/>
      <c r="BI62" s="42"/>
      <c r="BJ62" s="42"/>
      <c r="BK62" s="42"/>
      <c r="BL62" s="42"/>
      <c r="BM62" s="42"/>
      <c r="BN62" s="42"/>
    </row>
    <row r="63" spans="1:66" ht="12.75" customHeight="1" x14ac:dyDescent="0.2">
      <c r="A63" s="1" t="s">
        <v>312</v>
      </c>
      <c r="B63" s="11">
        <f>_xll.ciqfunctions.udf.CIQ(InputTicker, "IQ_DILUT_EPS_NORM",Input!D$2,Date,,,Ccy,Conv)</f>
        <v>2.0366900000000001</v>
      </c>
      <c r="C63" s="11">
        <f>_xll.ciqfunctions.udf.CIQ(InputTicker, "IQ_DILUT_EPS_NORM",Input!E$2,Date,,,Ccy,Conv)</f>
        <v>2.2199</v>
      </c>
      <c r="D63" s="11">
        <f>_xll.ciqfunctions.udf.CIQ(InputTicker, "IQ_DILUT_EPS_NORM",Input!F$2,Date,,,Ccy,Conv)</f>
        <v>2.7260599999999999</v>
      </c>
      <c r="E63" s="11">
        <f>_xll.ciqfunctions.udf.CIQ(InputTicker, "IQ_DILUT_EPS_NORM",Input!G$2,Date,,,Ccy,Conv)</f>
        <v>3.4696199999999999</v>
      </c>
      <c r="F63" s="11">
        <f>_xll.ciqfunctions.udf.CIQ(InputTicker, "IQ_DILUT_EPS_NORM",Input!H$2,Date,,,Ccy,Conv)</f>
        <v>4.3117900000000002</v>
      </c>
      <c r="G63" s="11">
        <f>_xll.ciqfunctions.udf.CIQ(InputTicker, "IQ_DILUT_EPS_NORM",Input!I$2,Date,,,Ccy,Conv)</f>
        <v>5.7398499999999997</v>
      </c>
      <c r="H63" s="11">
        <f>_xll.ciqfunctions.udf.CIQ(InputTicker, "IQ_DILUT_EPS_NORM",Input!J$2,Date,,,Ccy,Conv)</f>
        <v>6.9000300000000001</v>
      </c>
      <c r="I63" s="11">
        <f>_xll.ciqfunctions.udf.CIQ(InputTicker, "IQ_DILUT_EPS_NORM",Input!K$2,Date,,,Ccy,Conv)</f>
        <v>7.50251</v>
      </c>
      <c r="J63" s="11">
        <f>_xll.ciqfunctions.udf.CIQ(InputTicker, "IQ_DILUT_EPS_NORM",Input!L$2,Date,,,Ccy,Conv)</f>
        <v>9.0442199999999993</v>
      </c>
      <c r="K63" s="11">
        <f>_xll.ciqfunctions.udf.CIQ(InputTicker, "IQ_DILUT_EPS_NORM",Input!M$2,Date,,,Ccy,Conv)</f>
        <v>10.40204</v>
      </c>
      <c r="L63" s="11">
        <f>_xll.ciqfunctions.udf.CIQ(InputTicker, "IQ_DILUT_EPS_NORM",Input!N$2,Date,,,Ccy,Conv)</f>
        <v>13.391</v>
      </c>
      <c r="M63" s="11">
        <f>_xll.ciqfunctions.udf.CIQ(InputTicker, "IQ_DILUT_EPS_NORM",Input!O$2,Date,,,Ccy,Conv)</f>
        <v>13.391</v>
      </c>
      <c r="N63" s="42"/>
      <c r="T63" s="42"/>
      <c r="U63" s="42"/>
      <c r="V63" s="42"/>
      <c r="W63" s="42"/>
      <c r="X63" s="42"/>
      <c r="Y63" s="42"/>
      <c r="Z63" s="42"/>
      <c r="AA63" s="42"/>
      <c r="AB63" s="42"/>
      <c r="AC63" s="42"/>
      <c r="AD63" s="42"/>
      <c r="AE63" s="42"/>
      <c r="AF63" s="42"/>
      <c r="AG63" s="42"/>
      <c r="AH63" s="42"/>
      <c r="AI63" s="42"/>
      <c r="AJ63" s="42"/>
      <c r="AK63" s="42"/>
      <c r="AL63" s="42"/>
      <c r="AM63" s="42"/>
      <c r="AN63" s="42"/>
      <c r="AO63" s="42"/>
      <c r="AP63" s="42"/>
      <c r="AQ63" s="42"/>
      <c r="AR63" s="42"/>
      <c r="AS63" s="42"/>
      <c r="AT63" s="42"/>
      <c r="AU63" s="42"/>
      <c r="AV63" s="42"/>
      <c r="AW63" s="42"/>
      <c r="AX63" s="42"/>
      <c r="AY63" s="42"/>
      <c r="AZ63" s="42"/>
      <c r="BA63" s="42"/>
      <c r="BB63" s="42"/>
      <c r="BC63" s="42"/>
      <c r="BD63" s="42"/>
      <c r="BE63" s="42"/>
      <c r="BF63" s="42"/>
      <c r="BG63" s="42"/>
      <c r="BH63" s="42"/>
      <c r="BI63" s="42"/>
      <c r="BJ63" s="42"/>
      <c r="BK63" s="42"/>
      <c r="BL63" s="42"/>
      <c r="BM63" s="42"/>
      <c r="BN63" s="42"/>
    </row>
    <row r="64" spans="1:66" ht="12.75" customHeight="1" x14ac:dyDescent="0.2">
      <c r="A64" s="1" t="s">
        <v>391</v>
      </c>
      <c r="B64" s="4">
        <f>_xll.ciqfunctions.udf.CIQ(InputTicker, "IQ_DISTRIBUTABLE_CASH_PER_SHARE_DILUTED",Input!D$2,Date,,,Ccy,Conv)</f>
        <v>0</v>
      </c>
      <c r="C64" s="4">
        <f>_xll.ciqfunctions.udf.CIQ(InputTicker, "IQ_DISTRIBUTABLE_CASH_PER_SHARE_DILUTED",Input!E$2,Date,,,Ccy,Conv)</f>
        <v>0</v>
      </c>
      <c r="D64" s="4">
        <f>_xll.ciqfunctions.udf.CIQ(InputTicker, "IQ_DISTRIBUTABLE_CASH_PER_SHARE_DILUTED",Input!F$2,Date,,,Ccy,Conv)</f>
        <v>0</v>
      </c>
      <c r="E64" s="4">
        <f>_xll.ciqfunctions.udf.CIQ(InputTicker, "IQ_DISTRIBUTABLE_CASH_PER_SHARE_DILUTED",Input!G$2,Date,,,Ccy,Conv)</f>
        <v>0</v>
      </c>
      <c r="F64" s="4">
        <f>_xll.ciqfunctions.udf.CIQ(InputTicker, "IQ_DISTRIBUTABLE_CASH_PER_SHARE_DILUTED",Input!H$2,Date,,,Ccy,Conv)</f>
        <v>0</v>
      </c>
      <c r="G64" s="4">
        <f>_xll.ciqfunctions.udf.CIQ(InputTicker, "IQ_DISTRIBUTABLE_CASH_PER_SHARE_DILUTED",Input!I$2,Date,,,Ccy,Conv)</f>
        <v>0</v>
      </c>
      <c r="H64" s="4">
        <f>_xll.ciqfunctions.udf.CIQ(InputTicker, "IQ_DISTRIBUTABLE_CASH_PER_SHARE_DILUTED",Input!J$2,Date,,,Ccy,Conv)</f>
        <v>0</v>
      </c>
      <c r="I64" s="4">
        <f>_xll.ciqfunctions.udf.CIQ(InputTicker, "IQ_DISTRIBUTABLE_CASH_PER_SHARE_DILUTED",Input!K$2,Date,,,Ccy,Conv)</f>
        <v>0</v>
      </c>
      <c r="J64" s="4">
        <f>_xll.ciqfunctions.udf.CIQ(InputTicker, "IQ_DISTRIBUTABLE_CASH_PER_SHARE_DILUTED",Input!L$2,Date,,,Ccy,Conv)</f>
        <v>0</v>
      </c>
      <c r="K64" s="4">
        <f>_xll.ciqfunctions.udf.CIQ(InputTicker, "IQ_DISTRIBUTABLE_CASH_PER_SHARE_DILUTED",Input!M$2,Date,,,Ccy,Conv)</f>
        <v>0</v>
      </c>
      <c r="L64" s="4">
        <f>_xll.ciqfunctions.udf.CIQ(InputTicker, "IQ_DISTRIBUTABLE_CASH_PER_SHARE_DILUTED",Input!N$2,Date,,,Ccy,Conv)</f>
        <v>0</v>
      </c>
      <c r="M64" s="4">
        <f>_xll.ciqfunctions.udf.CIQ(InputTicker, "IQ_DISTRIBUTABLE_CASH_PER_SHARE_DILUTED",Input!O$2,Date,,,Ccy,Conv)</f>
        <v>0</v>
      </c>
      <c r="N64" s="42"/>
      <c r="P64" s="48"/>
      <c r="Q64" s="48"/>
      <c r="R64" s="48"/>
      <c r="T64" s="42"/>
      <c r="U64" s="42"/>
      <c r="V64" s="48"/>
      <c r="W64" s="42"/>
      <c r="X64" s="42"/>
      <c r="Y64" s="42"/>
      <c r="Z64" s="42"/>
      <c r="AA64" s="42"/>
      <c r="AB64" s="42"/>
      <c r="AC64" s="42"/>
      <c r="AD64" s="42"/>
      <c r="AE64" s="42"/>
      <c r="AF64" s="42"/>
      <c r="AG64" s="42"/>
      <c r="AH64" s="42"/>
      <c r="AI64" s="42"/>
      <c r="AJ64" s="42"/>
      <c r="AK64" s="42"/>
      <c r="AL64" s="42"/>
      <c r="AM64" s="42"/>
      <c r="AN64" s="42"/>
      <c r="AO64" s="42"/>
      <c r="AP64" s="42"/>
      <c r="AQ64" s="42"/>
      <c r="AR64" s="42"/>
      <c r="AS64" s="42"/>
      <c r="AT64" s="42"/>
      <c r="AU64" s="42"/>
      <c r="AV64" s="42"/>
      <c r="AW64" s="42"/>
      <c r="AX64" s="42"/>
      <c r="AY64" s="42"/>
      <c r="AZ64" s="42"/>
      <c r="BA64" s="42"/>
      <c r="BB64" s="42"/>
      <c r="BC64" s="42"/>
      <c r="BD64" s="42"/>
      <c r="BE64" s="42"/>
      <c r="BF64" s="42"/>
      <c r="BG64" s="42"/>
      <c r="BH64" s="42"/>
      <c r="BI64" s="42"/>
      <c r="BJ64" s="42"/>
      <c r="BK64" s="42"/>
      <c r="BL64" s="42"/>
      <c r="BM64" s="42"/>
      <c r="BN64" s="42"/>
    </row>
    <row r="65" spans="1:66" ht="12.75" customHeight="1" x14ac:dyDescent="0.2">
      <c r="A65" s="1" t="s">
        <v>389</v>
      </c>
      <c r="B65" s="4">
        <f>_xll.ciqfunctions.udf.CIQ(InputTicker, "IQ_DISTRIBUTABLE_CASH_SHARES_BASIC",Input!D$2,Date)</f>
        <v>0</v>
      </c>
      <c r="C65" s="4">
        <f>_xll.ciqfunctions.udf.CIQ(InputTicker, "IQ_DISTRIBUTABLE_CASH_SHARES_BASIC",Input!E$2,Date)</f>
        <v>0</v>
      </c>
      <c r="D65" s="4">
        <f>_xll.ciqfunctions.udf.CIQ(InputTicker, "IQ_DISTRIBUTABLE_CASH_SHARES_BASIC",Input!F$2,Date)</f>
        <v>0</v>
      </c>
      <c r="E65" s="4">
        <f>_xll.ciqfunctions.udf.CIQ(InputTicker, "IQ_DISTRIBUTABLE_CASH_SHARES_BASIC",Input!G$2,Date)</f>
        <v>0</v>
      </c>
      <c r="F65" s="4">
        <f>_xll.ciqfunctions.udf.CIQ(InputTicker, "IQ_DISTRIBUTABLE_CASH_SHARES_BASIC",Input!H$2,Date)</f>
        <v>0</v>
      </c>
      <c r="G65" s="4">
        <f>_xll.ciqfunctions.udf.CIQ(InputTicker, "IQ_DISTRIBUTABLE_CASH_SHARES_BASIC",Input!I$2,Date)</f>
        <v>0</v>
      </c>
      <c r="H65" s="4">
        <f>_xll.ciqfunctions.udf.CIQ(InputTicker, "IQ_DISTRIBUTABLE_CASH_SHARES_BASIC",Input!J$2,Date)</f>
        <v>0</v>
      </c>
      <c r="I65" s="4">
        <f>_xll.ciqfunctions.udf.CIQ(InputTicker, "IQ_DISTRIBUTABLE_CASH_SHARES_BASIC",Input!K$2,Date)</f>
        <v>0</v>
      </c>
      <c r="J65" s="4">
        <f>_xll.ciqfunctions.udf.CIQ(InputTicker, "IQ_DISTRIBUTABLE_CASH_SHARES_BASIC",Input!L$2,Date)</f>
        <v>0</v>
      </c>
      <c r="K65" s="4">
        <f>_xll.ciqfunctions.udf.CIQ(InputTicker, "IQ_DISTRIBUTABLE_CASH_SHARES_BASIC",Input!M$2,Date)</f>
        <v>0</v>
      </c>
      <c r="L65" s="4">
        <f>_xll.ciqfunctions.udf.CIQ(InputTicker, "IQ_DISTRIBUTABLE_CASH_SHARES_BASIC",Input!N$2,Date)</f>
        <v>0</v>
      </c>
      <c r="M65" s="4">
        <f>_xll.ciqfunctions.udf.CIQ(InputTicker, "IQ_DISTRIBUTABLE_CASH_SHARES_BASIC",Input!O$2,Date)</f>
        <v>0</v>
      </c>
      <c r="N65" s="49"/>
      <c r="P65" s="48"/>
      <c r="Q65" s="48"/>
      <c r="R65" s="48"/>
      <c r="T65" s="42"/>
      <c r="U65" s="42"/>
      <c r="V65" s="48"/>
      <c r="W65" s="42"/>
      <c r="X65" s="42"/>
      <c r="Y65" s="42"/>
      <c r="Z65" s="42"/>
      <c r="AA65" s="42"/>
      <c r="AB65" s="42"/>
      <c r="AC65" s="42"/>
      <c r="AD65" s="42"/>
      <c r="AE65" s="42"/>
      <c r="AF65" s="42"/>
      <c r="AG65" s="42"/>
      <c r="AH65" s="42"/>
      <c r="AI65" s="42"/>
      <c r="AJ65" s="42"/>
      <c r="AK65" s="42"/>
      <c r="AL65" s="42"/>
      <c r="AM65" s="42"/>
      <c r="AN65" s="42"/>
      <c r="AO65" s="42"/>
      <c r="AP65" s="42"/>
      <c r="AQ65" s="42"/>
      <c r="AR65" s="42"/>
      <c r="AS65" s="42"/>
      <c r="AT65" s="42"/>
      <c r="AU65" s="42"/>
      <c r="AV65" s="42"/>
      <c r="AW65" s="42"/>
      <c r="AX65" s="42"/>
      <c r="AY65" s="42"/>
      <c r="AZ65" s="42"/>
      <c r="BA65" s="42"/>
      <c r="BB65" s="42"/>
      <c r="BC65" s="42"/>
      <c r="BD65" s="42"/>
      <c r="BE65" s="42"/>
      <c r="BF65" s="42"/>
      <c r="BG65" s="42"/>
      <c r="BH65" s="42"/>
      <c r="BI65" s="42"/>
      <c r="BJ65" s="42"/>
      <c r="BK65" s="42"/>
      <c r="BL65" s="42"/>
      <c r="BM65" s="42"/>
      <c r="BN65" s="42"/>
    </row>
    <row r="66" spans="1:66" ht="12.75" customHeight="1" x14ac:dyDescent="0.2">
      <c r="A66" s="1" t="s">
        <v>390</v>
      </c>
      <c r="B66" s="4">
        <f>_xll.ciqfunctions.udf.CIQ(InputTicker, "IQ_DISTRIBUTABLE_CASH_SHARES_DILUTED",Input!D$2,Date)</f>
        <v>0</v>
      </c>
      <c r="C66" s="4">
        <f>_xll.ciqfunctions.udf.CIQ(InputTicker, "IQ_DISTRIBUTABLE_CASH_SHARES_DILUTED",Input!E$2,Date)</f>
        <v>0</v>
      </c>
      <c r="D66" s="4">
        <f>_xll.ciqfunctions.udf.CIQ(InputTicker, "IQ_DISTRIBUTABLE_CASH_SHARES_DILUTED",Input!F$2,Date)</f>
        <v>0</v>
      </c>
      <c r="E66" s="4">
        <f>_xll.ciqfunctions.udf.CIQ(InputTicker, "IQ_DISTRIBUTABLE_CASH_SHARES_DILUTED",Input!G$2,Date)</f>
        <v>0</v>
      </c>
      <c r="F66" s="4">
        <f>_xll.ciqfunctions.udf.CIQ(InputTicker, "IQ_DISTRIBUTABLE_CASH_SHARES_DILUTED",Input!H$2,Date)</f>
        <v>0</v>
      </c>
      <c r="G66" s="4">
        <f>_xll.ciqfunctions.udf.CIQ(InputTicker, "IQ_DISTRIBUTABLE_CASH_SHARES_DILUTED",Input!I$2,Date)</f>
        <v>0</v>
      </c>
      <c r="H66" s="4">
        <f>_xll.ciqfunctions.udf.CIQ(InputTicker, "IQ_DISTRIBUTABLE_CASH_SHARES_DILUTED",Input!J$2,Date)</f>
        <v>0</v>
      </c>
      <c r="I66" s="4">
        <f>_xll.ciqfunctions.udf.CIQ(InputTicker, "IQ_DISTRIBUTABLE_CASH_SHARES_DILUTED",Input!K$2,Date)</f>
        <v>0</v>
      </c>
      <c r="J66" s="4">
        <f>_xll.ciqfunctions.udf.CIQ(InputTicker, "IQ_DISTRIBUTABLE_CASH_SHARES_DILUTED",Input!L$2,Date)</f>
        <v>0</v>
      </c>
      <c r="K66" s="4">
        <f>_xll.ciqfunctions.udf.CIQ(InputTicker, "IQ_DISTRIBUTABLE_CASH_SHARES_DILUTED",Input!M$2,Date)</f>
        <v>0</v>
      </c>
      <c r="L66" s="4">
        <f>_xll.ciqfunctions.udf.CIQ(InputTicker, "IQ_DISTRIBUTABLE_CASH_SHARES_DILUTED",Input!N$2,Date)</f>
        <v>0</v>
      </c>
      <c r="M66" s="4">
        <f>_xll.ciqfunctions.udf.CIQ(InputTicker, "IQ_DISTRIBUTABLE_CASH_SHARES_DILUTED",Input!O$2,Date)</f>
        <v>0</v>
      </c>
      <c r="N66" s="49"/>
      <c r="P66" s="48"/>
      <c r="Q66" s="48"/>
      <c r="R66" s="48"/>
      <c r="T66" s="42"/>
      <c r="U66" s="42"/>
      <c r="V66" s="48"/>
      <c r="W66" s="42"/>
      <c r="X66" s="42"/>
      <c r="Y66" s="42"/>
      <c r="Z66" s="42"/>
      <c r="AA66" s="42"/>
      <c r="AB66" s="42"/>
      <c r="AC66" s="42"/>
      <c r="AD66" s="42"/>
      <c r="AE66" s="42"/>
      <c r="AF66" s="42"/>
      <c r="AG66" s="42"/>
      <c r="AH66" s="42"/>
      <c r="AI66" s="42"/>
      <c r="AJ66" s="42"/>
      <c r="AK66" s="42"/>
      <c r="AL66" s="42"/>
      <c r="AM66" s="42"/>
      <c r="AN66" s="42"/>
      <c r="AO66" s="42"/>
      <c r="AP66" s="42"/>
      <c r="AQ66" s="42"/>
      <c r="AR66" s="42"/>
      <c r="AS66" s="42"/>
      <c r="AT66" s="42"/>
      <c r="AU66" s="42"/>
      <c r="AV66" s="42"/>
      <c r="AW66" s="42"/>
      <c r="AX66" s="42"/>
      <c r="AY66" s="42"/>
      <c r="AZ66" s="42"/>
      <c r="BA66" s="42"/>
      <c r="BB66" s="42"/>
      <c r="BC66" s="42"/>
      <c r="BD66" s="42"/>
      <c r="BE66" s="42"/>
      <c r="BF66" s="42"/>
      <c r="BG66" s="42"/>
      <c r="BH66" s="42"/>
      <c r="BI66" s="42"/>
      <c r="BJ66" s="42"/>
      <c r="BK66" s="42"/>
      <c r="BL66" s="42"/>
      <c r="BM66" s="42"/>
      <c r="BN66" s="42"/>
    </row>
    <row r="67" spans="1:66" ht="12.75" customHeight="1" x14ac:dyDescent="0.2">
      <c r="A67" s="1" t="s">
        <v>316</v>
      </c>
      <c r="B67" s="11">
        <f>_xll.ciqfunctions.udf.CIQ(InputTicker, "IQ_DIV_SHARE",Input!D$2,Date,,,Ccy,Conv)</f>
        <v>1.44</v>
      </c>
      <c r="C67" s="11">
        <f>_xll.ciqfunctions.udf.CIQ(InputTicker, "IQ_DIV_SHARE",Input!E$2,Date,,,Ccy,Conv)</f>
        <v>1.56</v>
      </c>
      <c r="D67" s="11">
        <f>_xll.ciqfunctions.udf.CIQ(InputTicker, "IQ_DIV_SHARE",Input!F$2,Date,,,Ccy,Conv)</f>
        <v>1.68</v>
      </c>
      <c r="E67" s="11">
        <f>_xll.ciqfunctions.udf.CIQ(InputTicker, "IQ_DIV_SHARE",Input!G$2,Date,,,Ccy,Conv)</f>
        <v>1.84</v>
      </c>
      <c r="F67" s="11">
        <f>_xll.ciqfunctions.udf.CIQ(InputTicker, "IQ_DIV_SHARE",Input!H$2,Date,,,Ccy,Conv)</f>
        <v>2.04</v>
      </c>
      <c r="G67" s="11">
        <f>_xll.ciqfunctions.udf.CIQ(InputTicker, "IQ_DIV_SHARE",Input!I$2,Date,,,Ccy,Conv)</f>
        <v>2.2400000000000002</v>
      </c>
      <c r="H67" s="11">
        <f>_xll.ciqfunctions.udf.CIQ(InputTicker, "IQ_DIV_SHARE",Input!J$2,Date,,,Ccy,Conv)</f>
        <v>2.48</v>
      </c>
      <c r="I67" s="11">
        <f>_xll.ciqfunctions.udf.CIQ(InputTicker, "IQ_DIV_SHARE",Input!K$2,Date,,,Ccy,Conv)</f>
        <v>2.72</v>
      </c>
      <c r="J67" s="11">
        <f>_xll.ciqfunctions.udf.CIQ(InputTicker, "IQ_DIV_SHARE",Input!L$2,Date,,,Ccy,Conv)</f>
        <v>3</v>
      </c>
      <c r="K67" s="11">
        <f>_xll.ciqfunctions.udf.CIQ(InputTicker, "IQ_DIV_SHARE",Input!M$2,Date,,,Ccy,Conv)</f>
        <v>3.32</v>
      </c>
      <c r="L67" s="11">
        <f>_xll.ciqfunctions.udf.CIQ(InputTicker, "IQ_DIV_SHARE",Input!N$2,Date,,,Ccy,Conv)</f>
        <v>3.64</v>
      </c>
      <c r="M67" s="11">
        <f>_xll.ciqfunctions.udf.CIQ(InputTicker, "IQ_DIV_SHARE",Input!O$2,Date,,,Ccy,Conv)</f>
        <v>3.64</v>
      </c>
      <c r="N67" s="47"/>
      <c r="P67" s="48"/>
      <c r="Q67" s="48"/>
      <c r="R67" s="48"/>
      <c r="T67" s="42"/>
      <c r="U67" s="42"/>
      <c r="V67" s="48"/>
      <c r="W67" s="42"/>
      <c r="X67" s="42"/>
      <c r="Y67" s="42"/>
      <c r="Z67" s="42"/>
      <c r="AA67" s="42"/>
      <c r="AB67" s="42"/>
      <c r="AC67" s="42"/>
      <c r="AD67" s="42"/>
      <c r="AE67" s="42"/>
      <c r="AF67" s="42"/>
      <c r="AG67" s="42"/>
      <c r="AH67" s="42"/>
      <c r="AI67" s="42"/>
      <c r="AJ67" s="42"/>
      <c r="AK67" s="42"/>
      <c r="AL67" s="42"/>
      <c r="AM67" s="42"/>
      <c r="AN67" s="42"/>
      <c r="AO67" s="42"/>
      <c r="AP67" s="42"/>
      <c r="AQ67" s="42"/>
      <c r="AR67" s="42"/>
      <c r="AS67" s="42"/>
      <c r="AT67" s="42"/>
      <c r="AU67" s="42"/>
      <c r="AV67" s="42"/>
      <c r="AW67" s="42"/>
      <c r="AX67" s="42"/>
      <c r="AY67" s="42"/>
      <c r="AZ67" s="42"/>
      <c r="BA67" s="42"/>
      <c r="BB67" s="42"/>
      <c r="BC67" s="42"/>
      <c r="BD67" s="42"/>
      <c r="BE67" s="42"/>
      <c r="BF67" s="42"/>
      <c r="BG67" s="42"/>
      <c r="BH67" s="42"/>
      <c r="BI67" s="42"/>
      <c r="BJ67" s="42"/>
      <c r="BK67" s="42"/>
      <c r="BL67" s="42"/>
      <c r="BM67" s="42"/>
      <c r="BN67" s="42"/>
    </row>
    <row r="68" spans="1:66" ht="12.75" customHeight="1" x14ac:dyDescent="0.2">
      <c r="A68" s="1" t="s">
        <v>429</v>
      </c>
      <c r="B68" s="4">
        <f>_xll.ciqfunctions.udf.CIQ(InputTicker, "IQ_DR_RATIO_PRIMARY",Input!D$2,Date)</f>
        <v>4.1669999999999999E-2</v>
      </c>
      <c r="C68" s="4">
        <f>_xll.ciqfunctions.udf.CIQ(InputTicker, "IQ_DR_RATIO_PRIMARY",Input!E$2,Date)</f>
        <v>4.1669999999999999E-2</v>
      </c>
      <c r="D68" s="4">
        <f>_xll.ciqfunctions.udf.CIQ(InputTicker, "IQ_DR_RATIO_PRIMARY",Input!F$2,Date)</f>
        <v>4.1669999999999999E-2</v>
      </c>
      <c r="E68" s="4">
        <f>_xll.ciqfunctions.udf.CIQ(InputTicker, "IQ_DR_RATIO_PRIMARY",Input!G$2,Date)</f>
        <v>4.1669999999999999E-2</v>
      </c>
      <c r="F68" s="4">
        <f>_xll.ciqfunctions.udf.CIQ(InputTicker, "IQ_DR_RATIO_PRIMARY",Input!H$2,Date)</f>
        <v>4.1669999999999999E-2</v>
      </c>
      <c r="G68" s="4">
        <f>_xll.ciqfunctions.udf.CIQ(InputTicker, "IQ_DR_RATIO_PRIMARY",Input!I$2,Date)</f>
        <v>4.1669999999999999E-2</v>
      </c>
      <c r="H68" s="4">
        <f>_xll.ciqfunctions.udf.CIQ(InputTicker, "IQ_DR_RATIO_PRIMARY",Input!J$2,Date)</f>
        <v>4.1669999999999999E-2</v>
      </c>
      <c r="I68" s="4">
        <f>_xll.ciqfunctions.udf.CIQ(InputTicker, "IQ_DR_RATIO_PRIMARY",Input!K$2,Date)</f>
        <v>4.1669999999999999E-2</v>
      </c>
      <c r="J68" s="4">
        <f>_xll.ciqfunctions.udf.CIQ(InputTicker, "IQ_DR_RATIO_PRIMARY",Input!L$2,Date)</f>
        <v>4.1669999999999999E-2</v>
      </c>
      <c r="K68" s="4">
        <f>_xll.ciqfunctions.udf.CIQ(InputTicker, "IQ_DR_RATIO_PRIMARY",Input!M$2,Date)</f>
        <v>4.1669999999999999E-2</v>
      </c>
      <c r="L68" s="4">
        <f>_xll.ciqfunctions.udf.CIQ(InputTicker, "IQ_DR_RATIO_PRIMARY",Input!N$2,Date)</f>
        <v>4.1669999999999999E-2</v>
      </c>
      <c r="M68" s="4">
        <f>_xll.ciqfunctions.udf.CIQ(InputTicker, "IQ_DR_RATIO_PRIMARY",Input!O$2,Date)</f>
        <v>4.1669999999999999E-2</v>
      </c>
      <c r="N68" s="48"/>
      <c r="P68" s="48"/>
      <c r="Q68" s="48"/>
      <c r="R68" s="48"/>
      <c r="T68" s="42"/>
      <c r="U68" s="42"/>
      <c r="V68" s="48"/>
      <c r="W68" s="42"/>
      <c r="X68" s="42"/>
      <c r="Y68" s="42"/>
      <c r="Z68" s="42"/>
      <c r="AA68" s="42"/>
      <c r="AB68" s="42"/>
      <c r="AC68" s="42"/>
      <c r="AD68" s="42"/>
      <c r="AE68" s="42"/>
      <c r="AF68" s="42"/>
      <c r="AG68" s="42"/>
      <c r="AH68" s="42"/>
      <c r="AI68" s="42"/>
      <c r="AJ68" s="42"/>
      <c r="AK68" s="42"/>
      <c r="AL68" s="42"/>
      <c r="AM68" s="42"/>
      <c r="AN68" s="42"/>
      <c r="AO68" s="42"/>
      <c r="AP68" s="42"/>
      <c r="AQ68" s="42"/>
      <c r="AR68" s="42"/>
      <c r="AS68" s="42"/>
      <c r="AT68" s="42"/>
      <c r="AU68" s="42"/>
      <c r="AV68" s="42"/>
      <c r="AW68" s="42"/>
      <c r="AX68" s="42"/>
      <c r="AY68" s="42"/>
      <c r="AZ68" s="42"/>
      <c r="BA68" s="42"/>
      <c r="BB68" s="42"/>
      <c r="BC68" s="42"/>
      <c r="BD68" s="42"/>
      <c r="BE68" s="42"/>
      <c r="BF68" s="42"/>
      <c r="BG68" s="42"/>
      <c r="BH68" s="42"/>
      <c r="BI68" s="42"/>
      <c r="BJ68" s="42"/>
      <c r="BK68" s="42"/>
      <c r="BL68" s="42"/>
      <c r="BM68" s="42"/>
      <c r="BN68" s="42"/>
    </row>
    <row r="69" spans="1:66" ht="12.75" customHeight="1" x14ac:dyDescent="0.2">
      <c r="A69" s="1" t="s">
        <v>314</v>
      </c>
      <c r="B69" s="11">
        <f>_xll.ciqfunctions.udf.CIQ(InputTicker, "IQ_TOTAL_REV_SHARE",Input!D$2,Date,,,Ccy,Conv)</f>
        <v>11.502079999999999</v>
      </c>
      <c r="C69" s="11">
        <f>_xll.ciqfunctions.udf.CIQ(InputTicker, "IQ_TOTAL_REV_SHARE",Input!E$2,Date,,,Ccy,Conv)</f>
        <v>12.46721</v>
      </c>
      <c r="D69" s="11">
        <f>_xll.ciqfunctions.udf.CIQ(InputTicker, "IQ_TOTAL_REV_SHARE",Input!F$2,Date,,,Ccy,Conv)</f>
        <v>14.332470000000001</v>
      </c>
      <c r="E69" s="11">
        <f>_xll.ciqfunctions.udf.CIQ(InputTicker, "IQ_TOTAL_REV_SHARE",Input!G$2,Date,,,Ccy,Conv)</f>
        <v>16.400759999999998</v>
      </c>
      <c r="F69" s="11">
        <f>_xll.ciqfunctions.udf.CIQ(InputTicker, "IQ_TOTAL_REV_SHARE",Input!H$2,Date,,,Ccy,Conv)</f>
        <v>18.793040000000001</v>
      </c>
      <c r="G69" s="11">
        <f>_xll.ciqfunctions.udf.CIQ(InputTicker, "IQ_TOTAL_REV_SHARE",Input!I$2,Date,,,Ccy,Conv)</f>
        <v>22.27216</v>
      </c>
      <c r="H69" s="11">
        <f>_xll.ciqfunctions.udf.CIQ(InputTicker, "IQ_TOTAL_REV_SHARE",Input!J$2,Date,,,Ccy,Conv)</f>
        <v>26.450109999999999</v>
      </c>
      <c r="I69" s="11">
        <f>_xll.ciqfunctions.udf.CIQ(InputTicker, "IQ_TOTAL_REV_SHARE",Input!K$2,Date,,,Ccy,Conv)</f>
        <v>28.460249999999998</v>
      </c>
      <c r="J69" s="11">
        <f>_xll.ciqfunctions.udf.CIQ(InputTicker, "IQ_TOTAL_REV_SHARE",Input!L$2,Date,,,Ccy,Conv)</f>
        <v>32.986409999999999</v>
      </c>
      <c r="K69" s="11">
        <f>_xll.ciqfunctions.udf.CIQ(InputTicker, "IQ_TOTAL_REV_SHARE",Input!M$2,Date,,,Ccy,Conv)</f>
        <v>37.901789999999998</v>
      </c>
      <c r="L69" s="11">
        <f>_xll.ciqfunctions.udf.CIQ(InputTicker, "IQ_TOTAL_REV_SHARE",Input!N$2,Date,,,Ccy,Conv)</f>
        <v>44.668059999999997</v>
      </c>
      <c r="M69" s="11">
        <f>_xll.ciqfunctions.udf.CIQ(InputTicker, "IQ_TOTAL_REV_SHARE",Input!O$2,Date,,,Ccy,Conv)</f>
        <v>44.668059999999997</v>
      </c>
      <c r="N69" s="48"/>
      <c r="P69" s="48"/>
      <c r="Q69" s="48"/>
      <c r="R69" s="48"/>
      <c r="T69" s="42"/>
      <c r="U69" s="42"/>
      <c r="V69" s="48"/>
      <c r="W69" s="42"/>
      <c r="X69" s="42"/>
      <c r="Y69" s="42"/>
      <c r="Z69" s="42"/>
      <c r="AA69" s="42"/>
      <c r="AB69" s="42"/>
      <c r="AC69" s="42"/>
      <c r="AD69" s="42"/>
      <c r="AE69" s="42"/>
      <c r="AF69" s="42"/>
      <c r="AG69" s="42"/>
      <c r="AH69" s="42"/>
      <c r="AI69" s="42"/>
      <c r="AJ69" s="42"/>
      <c r="AK69" s="42"/>
      <c r="AL69" s="42"/>
      <c r="AM69" s="42"/>
      <c r="AN69" s="42"/>
      <c r="AO69" s="42"/>
      <c r="AP69" s="42"/>
      <c r="AQ69" s="42"/>
      <c r="AR69" s="42"/>
      <c r="AS69" s="42"/>
      <c r="AT69" s="42"/>
      <c r="AU69" s="42"/>
      <c r="AV69" s="42"/>
      <c r="AW69" s="42"/>
      <c r="AX69" s="42"/>
      <c r="AY69" s="42"/>
      <c r="AZ69" s="42"/>
      <c r="BA69" s="42"/>
      <c r="BB69" s="42"/>
      <c r="BC69" s="42"/>
      <c r="BD69" s="42"/>
      <c r="BE69" s="42"/>
      <c r="BF69" s="42"/>
      <c r="BG69" s="42"/>
      <c r="BH69" s="42"/>
      <c r="BI69" s="42"/>
      <c r="BJ69" s="42"/>
      <c r="BK69" s="42"/>
      <c r="BL69" s="42"/>
      <c r="BM69" s="42"/>
      <c r="BN69" s="42"/>
    </row>
    <row r="70" spans="1:66" ht="12.75" customHeight="1" x14ac:dyDescent="0.2">
      <c r="A70" s="1" t="s">
        <v>313</v>
      </c>
      <c r="B70" s="11">
        <f>_xll.ciqfunctions.udf.CIQ(InputTicker, "IQ_DISTRIBUTABLE_CASH_SHARE",Input!D$2,Date,,,Ccy,Conv)</f>
        <v>0</v>
      </c>
      <c r="C70" s="11">
        <f>_xll.ciqfunctions.udf.CIQ(InputTicker, "IQ_DISTRIBUTABLE_CASH_SHARE",Input!E$2,Date,,,Ccy,Conv)</f>
        <v>0</v>
      </c>
      <c r="D70" s="11">
        <f>_xll.ciqfunctions.udf.CIQ(InputTicker, "IQ_DISTRIBUTABLE_CASH_SHARE",Input!F$2,Date,,,Ccy,Conv)</f>
        <v>0</v>
      </c>
      <c r="E70" s="11">
        <f>_xll.ciqfunctions.udf.CIQ(InputTicker, "IQ_DISTRIBUTABLE_CASH_SHARE",Input!G$2,Date,,,Ccy,Conv)</f>
        <v>0</v>
      </c>
      <c r="F70" s="11">
        <f>_xll.ciqfunctions.udf.CIQ(InputTicker, "IQ_DISTRIBUTABLE_CASH_SHARE",Input!H$2,Date,,,Ccy,Conv)</f>
        <v>0</v>
      </c>
      <c r="G70" s="11">
        <f>_xll.ciqfunctions.udf.CIQ(InputTicker, "IQ_DISTRIBUTABLE_CASH_SHARE",Input!I$2,Date,,,Ccy,Conv)</f>
        <v>0</v>
      </c>
      <c r="H70" s="11">
        <f>_xll.ciqfunctions.udf.CIQ(InputTicker, "IQ_DISTRIBUTABLE_CASH_SHARE",Input!J$2,Date,,,Ccy,Conv)</f>
        <v>0</v>
      </c>
      <c r="I70" s="11">
        <f>_xll.ciqfunctions.udf.CIQ(InputTicker, "IQ_DISTRIBUTABLE_CASH_SHARE",Input!K$2,Date,,,Ccy,Conv)</f>
        <v>0</v>
      </c>
      <c r="J70" s="11">
        <f>_xll.ciqfunctions.udf.CIQ(InputTicker, "IQ_DISTRIBUTABLE_CASH_SHARE",Input!L$2,Date,,,Ccy,Conv)</f>
        <v>0</v>
      </c>
      <c r="K70" s="11">
        <f>_xll.ciqfunctions.udf.CIQ(InputTicker, "IQ_DISTRIBUTABLE_CASH_SHARE",Input!M$2,Date,,,Ccy,Conv)</f>
        <v>0</v>
      </c>
      <c r="L70" s="11">
        <f>_xll.ciqfunctions.udf.CIQ(InputTicker, "IQ_DISTRIBUTABLE_CASH_SHARE",Input!N$2,Date,,,Ccy,Conv)</f>
        <v>0</v>
      </c>
      <c r="M70" s="11">
        <f>_xll.ciqfunctions.udf.CIQ(InputTicker, "IQ_DISTRIBUTABLE_CASH_SHARE",Input!O$2,Date,,,Ccy,Conv)</f>
        <v>0</v>
      </c>
      <c r="N70" s="48"/>
      <c r="P70" s="48"/>
      <c r="Q70" s="48"/>
      <c r="R70" s="48"/>
      <c r="T70" s="42"/>
      <c r="U70" s="42"/>
      <c r="V70" s="48"/>
      <c r="W70" s="42"/>
      <c r="X70" s="42"/>
      <c r="Y70" s="42"/>
      <c r="Z70" s="42"/>
      <c r="AA70" s="42"/>
      <c r="AB70" s="42"/>
      <c r="AC70" s="42"/>
      <c r="AD70" s="42"/>
      <c r="AE70" s="42"/>
      <c r="AF70" s="42"/>
      <c r="AG70" s="42"/>
      <c r="AH70" s="42"/>
      <c r="AI70" s="42"/>
      <c r="AJ70" s="42"/>
      <c r="AK70" s="42"/>
      <c r="AL70" s="42"/>
      <c r="AM70" s="42"/>
      <c r="AN70" s="42"/>
      <c r="AO70" s="42"/>
      <c r="AP70" s="42"/>
      <c r="AQ70" s="42"/>
      <c r="AR70" s="42"/>
      <c r="AS70" s="42"/>
      <c r="AT70" s="42"/>
      <c r="AU70" s="42"/>
      <c r="AV70" s="42"/>
      <c r="AW70" s="42"/>
      <c r="AX70" s="42"/>
      <c r="AY70" s="42"/>
      <c r="AZ70" s="42"/>
      <c r="BA70" s="42"/>
      <c r="BB70" s="42"/>
      <c r="BC70" s="42"/>
      <c r="BD70" s="42"/>
      <c r="BE70" s="42"/>
      <c r="BF70" s="42"/>
      <c r="BG70" s="42"/>
      <c r="BH70" s="42"/>
      <c r="BI70" s="42"/>
      <c r="BJ70" s="42"/>
      <c r="BK70" s="42"/>
      <c r="BL70" s="42"/>
      <c r="BM70" s="42"/>
      <c r="BN70" s="42"/>
    </row>
    <row r="71" spans="1:66" ht="12.75" customHeight="1" x14ac:dyDescent="0.2">
      <c r="A71" s="1" t="s">
        <v>315</v>
      </c>
      <c r="B71" s="11">
        <f>_xll.ciqfunctions.udf.CIQ(InputTicker, "IQ_SPECIAL_DIV_SHARE",Input!D$2,Date,,,Ccy,Conv)</f>
        <v>0</v>
      </c>
      <c r="C71" s="11">
        <f>_xll.ciqfunctions.udf.CIQ(InputTicker, "IQ_SPECIAL_DIV_SHARE",Input!E$2,Date,,,Ccy,Conv)</f>
        <v>0</v>
      </c>
      <c r="D71" s="11">
        <f>_xll.ciqfunctions.udf.CIQ(InputTicker, "IQ_SPECIAL_DIV_SHARE",Input!F$2,Date,,,Ccy,Conv)</f>
        <v>0</v>
      </c>
      <c r="E71" s="11">
        <f>_xll.ciqfunctions.udf.CIQ(InputTicker, "IQ_SPECIAL_DIV_SHARE",Input!G$2,Date,,,Ccy,Conv)</f>
        <v>0</v>
      </c>
      <c r="F71" s="11">
        <f>_xll.ciqfunctions.udf.CIQ(InputTicker, "IQ_SPECIAL_DIV_SHARE",Input!H$2,Date,,,Ccy,Conv)</f>
        <v>0</v>
      </c>
      <c r="G71" s="11">
        <f>_xll.ciqfunctions.udf.CIQ(InputTicker, "IQ_SPECIAL_DIV_SHARE",Input!I$2,Date,,,Ccy,Conv)</f>
        <v>0</v>
      </c>
      <c r="H71" s="11">
        <f>_xll.ciqfunctions.udf.CIQ(InputTicker, "IQ_SPECIAL_DIV_SHARE",Input!J$2,Date,,,Ccy,Conv)</f>
        <v>0</v>
      </c>
      <c r="I71" s="11">
        <f>_xll.ciqfunctions.udf.CIQ(InputTicker, "IQ_SPECIAL_DIV_SHARE",Input!K$2,Date,,,Ccy,Conv)</f>
        <v>0</v>
      </c>
      <c r="J71" s="11">
        <f>_xll.ciqfunctions.udf.CIQ(InputTicker, "IQ_SPECIAL_DIV_SHARE",Input!L$2,Date,,,Ccy,Conv)</f>
        <v>0</v>
      </c>
      <c r="K71" s="11">
        <f>_xll.ciqfunctions.udf.CIQ(InputTicker, "IQ_SPECIAL_DIV_SHARE",Input!M$2,Date,,,Ccy,Conv)</f>
        <v>0</v>
      </c>
      <c r="L71" s="11">
        <f>_xll.ciqfunctions.udf.CIQ(InputTicker, "IQ_SPECIAL_DIV_SHARE",Input!N$2,Date,,,Ccy,Conv)</f>
        <v>0</v>
      </c>
      <c r="M71" s="11">
        <f>_xll.ciqfunctions.udf.CIQ(InputTicker, "IQ_SPECIAL_DIV_SHARE",Input!O$2,Date,,,Ccy,Conv)</f>
        <v>0</v>
      </c>
      <c r="N71" s="48"/>
      <c r="P71" s="48"/>
      <c r="Q71" s="48"/>
      <c r="R71" s="48"/>
      <c r="T71" s="42"/>
      <c r="U71" s="42"/>
      <c r="V71" s="48"/>
      <c r="W71" s="42"/>
      <c r="X71" s="42"/>
      <c r="Y71" s="42"/>
      <c r="Z71" s="42"/>
      <c r="AA71" s="42"/>
      <c r="AB71" s="42"/>
      <c r="AC71" s="42"/>
      <c r="AD71" s="42"/>
      <c r="AE71" s="42"/>
      <c r="AF71" s="42"/>
      <c r="AG71" s="42"/>
      <c r="AH71" s="42"/>
      <c r="AI71" s="42"/>
      <c r="AJ71" s="42"/>
      <c r="AK71" s="42"/>
      <c r="AL71" s="42"/>
      <c r="AM71" s="42"/>
      <c r="AN71" s="42"/>
      <c r="AO71" s="42"/>
      <c r="AP71" s="42"/>
      <c r="AQ71" s="42"/>
      <c r="AR71" s="42"/>
      <c r="AS71" s="42"/>
      <c r="AT71" s="42"/>
      <c r="AU71" s="42"/>
      <c r="AV71" s="42"/>
      <c r="AW71" s="42"/>
      <c r="AX71" s="42"/>
      <c r="AY71" s="42"/>
      <c r="AZ71" s="42"/>
      <c r="BA71" s="42"/>
      <c r="BB71" s="42"/>
      <c r="BC71" s="42"/>
      <c r="BD71" s="42"/>
      <c r="BE71" s="42"/>
      <c r="BF71" s="42"/>
      <c r="BG71" s="42"/>
      <c r="BH71" s="42"/>
      <c r="BI71" s="42"/>
      <c r="BJ71" s="42"/>
      <c r="BK71" s="42"/>
      <c r="BL71" s="42"/>
      <c r="BM71" s="42"/>
      <c r="BN71" s="42"/>
    </row>
    <row r="72" spans="1:66" ht="12.75" customHeight="1" x14ac:dyDescent="0.2">
      <c r="A72" s="1" t="s">
        <v>216</v>
      </c>
      <c r="B72" s="13">
        <f>_xll.ciqfunctions.udf.CIQ(InputTicker, "IQ_FILINGDATE_IS",Input!D$2,Date)</f>
        <v>43315</v>
      </c>
      <c r="C72" s="13">
        <f>_xll.ciqfunctions.udf.CIQ(InputTicker, "IQ_FILINGDATE_IS",Input!E$2,Date)</f>
        <v>43678</v>
      </c>
      <c r="D72" s="13">
        <f>_xll.ciqfunctions.udf.CIQ(InputTicker, "IQ_FILINGDATE_IS",Input!F$2,Date)</f>
        <v>44043</v>
      </c>
      <c r="E72" s="13">
        <f>_xll.ciqfunctions.udf.CIQ(InputTicker, "IQ_FILINGDATE_IS",Input!G$2,Date)</f>
        <v>44406</v>
      </c>
      <c r="F72" s="13">
        <f>_xll.ciqfunctions.udf.CIQ(InputTicker, "IQ_FILINGDATE_IS",Input!H$2,Date)</f>
        <v>44770</v>
      </c>
      <c r="G72" s="13">
        <f>_xll.ciqfunctions.udf.CIQ(InputTicker, "IQ_FILINGDATE_IS",Input!I$2,Date)</f>
        <v>45134</v>
      </c>
      <c r="H72" s="13">
        <f>_xll.ciqfunctions.udf.CIQ(InputTicker, "IQ_FILINGDATE_IS",Input!J$2,Date)</f>
        <v>45503</v>
      </c>
      <c r="I72" s="13">
        <f>_xll.ciqfunctions.udf.CIQ(InputTicker, "IQ_FILINGDATE_IS",Input!K$2,Date)</f>
        <v>45868</v>
      </c>
      <c r="J72" s="13">
        <f>_xll.ciqfunctions.udf.CIQ(InputTicker, "IQ_FILINGDATE_IS",Input!L$2,Date)</f>
        <v>46232</v>
      </c>
      <c r="K72" s="13">
        <f>_xll.ciqfunctions.udf.CIQ(InputTicker, "IQ_FILINGDATE_IS",Input!M$2,Date)</f>
        <v>46232</v>
      </c>
      <c r="L72" s="13">
        <f>_xll.ciqfunctions.udf.CIQ(InputTicker, "IQ_FILINGDATE_IS",Input!N$2,Date)</f>
        <v>46232</v>
      </c>
      <c r="M72" s="13">
        <f>_xll.ciqfunctions.udf.CIQ(InputTicker, "IQ_FILINGDATE_IS",Input!O$2,Date)</f>
        <v>46232</v>
      </c>
      <c r="N72" s="42"/>
      <c r="P72" s="46"/>
      <c r="Q72" s="46"/>
      <c r="R72" s="46"/>
      <c r="T72" s="42"/>
      <c r="U72" s="42"/>
      <c r="V72" s="46"/>
      <c r="W72" s="42"/>
      <c r="X72" s="42"/>
      <c r="Y72" s="42"/>
      <c r="Z72" s="42"/>
      <c r="AA72" s="42"/>
      <c r="AB72" s="42"/>
      <c r="AC72" s="42"/>
      <c r="AD72" s="42"/>
      <c r="AE72" s="42"/>
      <c r="AF72" s="42"/>
      <c r="AG72" s="42"/>
      <c r="AH72" s="42"/>
      <c r="AI72" s="42"/>
      <c r="AJ72" s="42"/>
      <c r="AK72" s="42"/>
      <c r="AL72" s="42"/>
      <c r="AM72" s="42"/>
      <c r="AN72" s="42"/>
      <c r="AO72" s="42"/>
      <c r="AP72" s="42"/>
      <c r="AQ72" s="42"/>
      <c r="AR72" s="42"/>
      <c r="AS72" s="42"/>
      <c r="AT72" s="42"/>
      <c r="AU72" s="42"/>
      <c r="AV72" s="42"/>
      <c r="AW72" s="42"/>
      <c r="AX72" s="42"/>
      <c r="AY72" s="42"/>
      <c r="AZ72" s="42"/>
      <c r="BA72" s="42"/>
      <c r="BB72" s="42"/>
      <c r="BC72" s="42"/>
      <c r="BD72" s="42"/>
      <c r="BE72" s="42"/>
      <c r="BF72" s="42"/>
      <c r="BG72" s="42"/>
      <c r="BH72" s="42"/>
      <c r="BI72" s="42"/>
      <c r="BJ72" s="42"/>
      <c r="BK72" s="42"/>
      <c r="BL72" s="42"/>
      <c r="BM72" s="42"/>
      <c r="BN72" s="42"/>
    </row>
    <row r="73" spans="1:66" ht="12.75" customHeight="1" x14ac:dyDescent="0.2">
      <c r="A73" s="1" t="s">
        <v>317</v>
      </c>
      <c r="B73" s="18">
        <f>_xll.ciqfunctions.udf.CIQ(InputTicker,"IQ_PERIODLENGTH_IS",Input!D$2,Date)</f>
        <v>12</v>
      </c>
      <c r="C73" s="18">
        <f>_xll.ciqfunctions.udf.CIQ(InputTicker,"IQ_PERIODLENGTH_IS",Input!E$2,Date)</f>
        <v>12</v>
      </c>
      <c r="D73" s="18">
        <f>_xll.ciqfunctions.udf.CIQ(InputTicker,"IQ_PERIODLENGTH_IS",Input!F$2,Date)</f>
        <v>12</v>
      </c>
      <c r="E73" s="18">
        <f>_xll.ciqfunctions.udf.CIQ(InputTicker,"IQ_PERIODLENGTH_IS",Input!G$2,Date)</f>
        <v>12</v>
      </c>
      <c r="F73" s="18">
        <f>_xll.ciqfunctions.udf.CIQ(InputTicker,"IQ_PERIODLENGTH_IS",Input!H$2,Date)</f>
        <v>12</v>
      </c>
      <c r="G73" s="18">
        <f>_xll.ciqfunctions.udf.CIQ(InputTicker,"IQ_PERIODLENGTH_IS",Input!I$2,Date)</f>
        <v>12</v>
      </c>
      <c r="H73" s="18">
        <f>_xll.ciqfunctions.udf.CIQ(InputTicker,"IQ_PERIODLENGTH_IS",Input!J$2,Date)</f>
        <v>12</v>
      </c>
      <c r="I73" s="18">
        <f>_xll.ciqfunctions.udf.CIQ(InputTicker,"IQ_PERIODLENGTH_IS",Input!K$2,Date)</f>
        <v>12</v>
      </c>
      <c r="J73" s="18">
        <f>_xll.ciqfunctions.udf.CIQ(InputTicker,"IQ_PERIODLENGTH_IS",Input!L$2,Date)</f>
        <v>12</v>
      </c>
      <c r="K73" s="18">
        <f>_xll.ciqfunctions.udf.CIQ(InputTicker,"IQ_PERIODLENGTH_IS",Input!M$2,Date)</f>
        <v>12</v>
      </c>
      <c r="L73" s="18">
        <f>_xll.ciqfunctions.udf.CIQ(InputTicker,"IQ_PERIODLENGTH_IS",Input!N$2,Date)</f>
        <v>12</v>
      </c>
      <c r="M73" s="18">
        <f>_xll.ciqfunctions.udf.CIQ(InputTicker,"IQ_PERIODLENGTH_IS",Input!O$2,Date)</f>
        <v>12</v>
      </c>
      <c r="N73" s="42"/>
      <c r="P73" s="46"/>
      <c r="Q73" s="46"/>
      <c r="R73" s="46"/>
      <c r="T73" s="42"/>
      <c r="U73" s="42"/>
      <c r="V73" s="46"/>
      <c r="W73" s="42"/>
      <c r="X73" s="42"/>
      <c r="Y73" s="42"/>
      <c r="Z73" s="42"/>
      <c r="AA73" s="42"/>
      <c r="AB73" s="42"/>
      <c r="AC73" s="42"/>
      <c r="AD73" s="42"/>
      <c r="AE73" s="42"/>
      <c r="AF73" s="42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42"/>
      <c r="BD73" s="42"/>
      <c r="BE73" s="42"/>
      <c r="BF73" s="42"/>
      <c r="BG73" s="42"/>
      <c r="BH73" s="42"/>
      <c r="BI73" s="42"/>
      <c r="BJ73" s="42"/>
      <c r="BK73" s="42"/>
      <c r="BL73" s="42"/>
      <c r="BM73" s="42"/>
      <c r="BN73" s="42"/>
    </row>
    <row r="74" spans="1:66" ht="12.75" customHeight="1" x14ac:dyDescent="0.2">
      <c r="A74" s="1" t="s">
        <v>84</v>
      </c>
      <c r="B74" s="4">
        <f>_xll.ciqfunctions.udf.CIQ(InputTicker,"IQ_EBITDA",Input!D$2,Date,,,Ccy,Conv)</f>
        <v>33066</v>
      </c>
      <c r="C74" s="4">
        <f>_xll.ciqfunctions.udf.CIQ(InputTicker,"IQ_EBITDA",Input!E$2,Date,,,Ccy,Conv)</f>
        <v>37131</v>
      </c>
      <c r="D74" s="4">
        <f>_xll.ciqfunctions.udf.CIQ(InputTicker,"IQ_EBITDA",Input!F$2,Date,,,Ccy,Conv)</f>
        <v>44958</v>
      </c>
      <c r="E74" s="4">
        <f>_xll.ciqfunctions.udf.CIQ(InputTicker,"IQ_EBITDA",Input!G$2,Date,,,Ccy,Conv)</f>
        <v>54559</v>
      </c>
      <c r="F74" s="4">
        <f>_xll.ciqfunctions.udf.CIQ(InputTicker,"IQ_EBITDA",Input!H$2,Date,,,Ccy,Conv)</f>
        <v>65259</v>
      </c>
      <c r="G74" s="4">
        <f>_xll.ciqfunctions.udf.CIQ(InputTicker,"IQ_EBITDA",Input!I$2,Date,,,Ccy,Conv)</f>
        <v>80816</v>
      </c>
      <c r="H74" s="4">
        <f>_xll.ciqfunctions.udf.CIQ(InputTicker,"IQ_EBITDA",Input!J$2,Date,,,Ccy,Conv)</f>
        <v>97983</v>
      </c>
      <c r="I74" s="4">
        <f>_xll.ciqfunctions.udf.CIQ(InputTicker,"IQ_EBITDA",Input!K$2,Date,,,Ccy,Conv)</f>
        <v>102023</v>
      </c>
      <c r="J74" s="4">
        <f>_xll.ciqfunctions.udf.CIQ(InputTicker,"IQ_EBITDA",Input!L$2,Date,,,Ccy,Conv)</f>
        <v>129433</v>
      </c>
      <c r="K74" s="4">
        <f>_xll.ciqfunctions.udf.CIQ(InputTicker,"IQ_EBITDA",Input!M$2,Date,,,Ccy,Conv)</f>
        <v>156528</v>
      </c>
      <c r="L74" s="4">
        <f>_xll.ciqfunctions.udf.CIQ(InputTicker,"IQ_EBITDA",Input!N$2,Date,,,Ccy,Conv)</f>
        <v>194237</v>
      </c>
      <c r="M74" s="4">
        <f>_xll.ciqfunctions.udf.CIQ(InputTicker,"IQ_EBITDA",Input!O$2,Date,,,Ccy,Conv)</f>
        <v>194237</v>
      </c>
      <c r="N74" s="42"/>
      <c r="P74" s="46"/>
      <c r="Q74" s="46"/>
      <c r="R74" s="46"/>
      <c r="T74" s="42"/>
      <c r="U74" s="42"/>
      <c r="V74" s="46"/>
      <c r="W74" s="42"/>
      <c r="X74" s="42"/>
      <c r="Y74" s="42"/>
      <c r="Z74" s="42"/>
      <c r="AA74" s="42"/>
      <c r="AB74" s="42"/>
      <c r="AC74" s="42"/>
      <c r="AD74" s="42"/>
      <c r="AE74" s="42"/>
      <c r="AF74" s="42"/>
      <c r="AG74" s="42"/>
      <c r="AH74" s="42"/>
      <c r="AI74" s="42"/>
      <c r="AJ74" s="42"/>
      <c r="AK74" s="42"/>
      <c r="AL74" s="42"/>
      <c r="AM74" s="42"/>
      <c r="AN74" s="42"/>
      <c r="AO74" s="42"/>
      <c r="AP74" s="42"/>
      <c r="AQ74" s="42"/>
      <c r="AR74" s="42"/>
      <c r="AS74" s="42"/>
      <c r="AT74" s="42"/>
      <c r="AU74" s="42"/>
      <c r="AV74" s="42"/>
      <c r="AW74" s="42"/>
      <c r="AX74" s="42"/>
      <c r="AY74" s="42"/>
      <c r="AZ74" s="42"/>
      <c r="BA74" s="42"/>
      <c r="BB74" s="42"/>
      <c r="BC74" s="42"/>
      <c r="BD74" s="42"/>
      <c r="BE74" s="42"/>
      <c r="BF74" s="42"/>
      <c r="BG74" s="42"/>
      <c r="BH74" s="42"/>
      <c r="BI74" s="42"/>
      <c r="BJ74" s="42"/>
      <c r="BK74" s="42"/>
      <c r="BL74" s="42"/>
      <c r="BM74" s="42"/>
      <c r="BN74" s="42"/>
    </row>
    <row r="75" spans="1:66" ht="12.75" customHeight="1" x14ac:dyDescent="0.2">
      <c r="A75" s="1" t="s">
        <v>286</v>
      </c>
      <c r="B75" s="4">
        <f>_xll.ciqfunctions.udf.CIQ(InputTicker,"IQ_EBITDA_EQ_INC",Input!D$2,Date,,,Ccy,Conv)</f>
        <v>33066</v>
      </c>
      <c r="C75" s="4">
        <f>_xll.ciqfunctions.udf.CIQ(InputTicker,"IQ_EBITDA_EQ_INC",Input!E$2,Date,,,Ccy,Conv)</f>
        <v>38543</v>
      </c>
      <c r="D75" s="4">
        <f>_xll.ciqfunctions.udf.CIQ(InputTicker,"IQ_EBITDA_EQ_INC",Input!F$2,Date,,,Ccy,Conv)</f>
        <v>46543</v>
      </c>
      <c r="E75" s="4">
        <f>_xll.ciqfunctions.udf.CIQ(InputTicker,"IQ_EBITDA_EQ_INC",Input!G$2,Date,,,Ccy,Conv)</f>
        <v>56266</v>
      </c>
      <c r="F75" s="4">
        <f>_xll.ciqfunctions.udf.CIQ(InputTicker,"IQ_EBITDA_EQ_INC",Input!H$2,Date,,,Ccy,Conv)</f>
        <v>67302</v>
      </c>
      <c r="G75" s="4">
        <f>_xll.ciqfunctions.udf.CIQ(InputTicker,"IQ_EBITDA_EQ_INC",Input!I$2,Date,,,Ccy,Conv)</f>
        <v>82943</v>
      </c>
      <c r="H75" s="4">
        <f>_xll.ciqfunctions.udf.CIQ(InputTicker,"IQ_EBITDA_EQ_INC",Input!J$2,Date,,,Ccy,Conv)</f>
        <v>100412</v>
      </c>
      <c r="I75" s="4">
        <f>_xll.ciqfunctions.udf.CIQ(InputTicker,"IQ_EBITDA_EQ_INC",Input!K$2,Date,,,Ccy,Conv)</f>
        <v>104898</v>
      </c>
      <c r="J75" s="4">
        <f>_xll.ciqfunctions.udf.CIQ(InputTicker,"IQ_EBITDA_EQ_INC",Input!L$2,Date,,,Ccy,Conv)</f>
        <v>131669</v>
      </c>
      <c r="K75" s="4">
        <f>_xll.ciqfunctions.udf.CIQ(InputTicker,"IQ_EBITDA_EQ_INC",Input!M$2,Date,,,Ccy,Conv)</f>
        <v>157327</v>
      </c>
      <c r="L75" s="4">
        <f>_xll.ciqfunctions.udf.CIQ(InputTicker,"IQ_EBITDA_EQ_INC",Input!N$2,Date,,,Ccy,Conv)</f>
        <v>205927</v>
      </c>
      <c r="M75" s="4">
        <f>_xll.ciqfunctions.udf.CIQ(InputTicker,"IQ_EBITDA_EQ_INC",Input!O$2,Date,,,Ccy,Conv)</f>
        <v>205927</v>
      </c>
      <c r="N75" s="50"/>
      <c r="P75" s="46"/>
      <c r="Q75" s="46"/>
      <c r="R75" s="46"/>
      <c r="T75" s="42"/>
      <c r="U75" s="42"/>
      <c r="V75" s="46"/>
      <c r="W75" s="42"/>
      <c r="X75" s="42"/>
      <c r="Y75" s="42"/>
      <c r="Z75" s="42"/>
      <c r="AA75" s="42"/>
      <c r="AB75" s="42"/>
      <c r="AC75" s="42"/>
      <c r="AD75" s="42"/>
      <c r="AE75" s="42"/>
      <c r="AF75" s="42"/>
      <c r="AG75" s="42"/>
      <c r="AH75" s="42"/>
      <c r="AI75" s="42"/>
      <c r="AJ75" s="42"/>
      <c r="AK75" s="42"/>
      <c r="AL75" s="42"/>
      <c r="AM75" s="42"/>
      <c r="AN75" s="42"/>
      <c r="AO75" s="42"/>
      <c r="AP75" s="42"/>
      <c r="AQ75" s="42"/>
      <c r="AR75" s="42"/>
      <c r="AS75" s="42"/>
      <c r="AT75" s="42"/>
      <c r="AU75" s="42"/>
      <c r="AV75" s="42"/>
      <c r="AW75" s="42"/>
      <c r="AX75" s="42"/>
      <c r="AY75" s="42"/>
      <c r="AZ75" s="42"/>
      <c r="BA75" s="42"/>
      <c r="BB75" s="42"/>
      <c r="BC75" s="42"/>
      <c r="BD75" s="42"/>
      <c r="BE75" s="42"/>
      <c r="BF75" s="42"/>
      <c r="BG75" s="42"/>
      <c r="BH75" s="42"/>
      <c r="BI75" s="42"/>
      <c r="BJ75" s="42"/>
      <c r="BK75" s="42"/>
      <c r="BL75" s="42"/>
      <c r="BM75" s="42"/>
      <c r="BN75" s="42"/>
    </row>
    <row r="76" spans="1:66" ht="12.75" customHeight="1" x14ac:dyDescent="0.2">
      <c r="A76" s="1" t="s">
        <v>287</v>
      </c>
      <c r="B76" s="4">
        <f>_xll.ciqfunctions.udf.CIQ(InputTicker,"IQ_EBITDA_EQ_INC_EXCL_SBC",Input!D$2,Date,,,Ccy,Conv)</f>
        <v>35734</v>
      </c>
      <c r="C76" s="4">
        <f>_xll.ciqfunctions.udf.CIQ(InputTicker,"IQ_EBITDA_EQ_INC_EXCL_SBC",Input!E$2,Date,,,Ccy,Conv)</f>
        <v>40397</v>
      </c>
      <c r="D76" s="4">
        <f>_xll.ciqfunctions.udf.CIQ(InputTicker,"IQ_EBITDA_EQ_INC_EXCL_SBC",Input!F$2,Date,,,Ccy,Conv)</f>
        <v>48898</v>
      </c>
      <c r="E76" s="4">
        <f>_xll.ciqfunctions.udf.CIQ(InputTicker,"IQ_EBITDA_EQ_INC_EXCL_SBC",Input!G$2,Date,,,Ccy,Conv)</f>
        <v>59211</v>
      </c>
      <c r="F76" s="4">
        <f>_xll.ciqfunctions.udf.CIQ(InputTicker,"IQ_EBITDA_EQ_INC_EXCL_SBC",Input!H$2,Date,,,Ccy,Conv)</f>
        <v>70548</v>
      </c>
      <c r="G76" s="4">
        <f>_xll.ciqfunctions.udf.CIQ(InputTicker,"IQ_EBITDA_EQ_INC_EXCL_SBC",Input!I$2,Date,,,Ccy,Conv)</f>
        <v>86934</v>
      </c>
      <c r="H76" s="4">
        <f>_xll.ciqfunctions.udf.CIQ(InputTicker,"IQ_EBITDA_EQ_INC_EXCL_SBC",Input!J$2,Date,,,Ccy,Conv)</f>
        <v>105453</v>
      </c>
      <c r="I76" s="4">
        <f>_xll.ciqfunctions.udf.CIQ(InputTicker,"IQ_EBITDA_EQ_INC_EXCL_SBC",Input!K$2,Date,,,Ccy,Conv)</f>
        <v>111634</v>
      </c>
      <c r="J76" s="4">
        <f>_xll.ciqfunctions.udf.CIQ(InputTicker,"IQ_EBITDA_EQ_INC_EXCL_SBC",Input!L$2,Date,,,Ccy,Conv)</f>
        <v>138848</v>
      </c>
      <c r="K76" s="4">
        <f>_xll.ciqfunctions.udf.CIQ(InputTicker,"IQ_EBITDA_EQ_INC_EXCL_SBC",Input!M$2,Date,,,Ccy,Conv)</f>
        <v>163777</v>
      </c>
      <c r="L76" s="4">
        <f>_xll.ciqfunctions.udf.CIQ(InputTicker,"IQ_EBITDA_EQ_INC_EXCL_SBC",Input!N$2,Date,,,Ccy,Conv)</f>
        <v>211364</v>
      </c>
      <c r="M76" s="4">
        <f>_xll.ciqfunctions.udf.CIQ(InputTicker,"IQ_EBITDA_EQ_INC_EXCL_SBC",Input!O$2,Date,,,Ccy,Conv)</f>
        <v>211364</v>
      </c>
      <c r="N76" s="50"/>
      <c r="P76" s="46"/>
      <c r="Q76" s="46"/>
      <c r="R76" s="46"/>
      <c r="T76" s="42"/>
      <c r="U76" s="42"/>
      <c r="V76" s="46"/>
      <c r="W76" s="42"/>
      <c r="X76" s="42"/>
      <c r="Y76" s="42"/>
      <c r="Z76" s="42"/>
      <c r="AA76" s="42"/>
      <c r="AB76" s="42"/>
      <c r="AC76" s="42"/>
      <c r="AD76" s="42"/>
      <c r="AE76" s="42"/>
      <c r="AF76" s="42"/>
      <c r="AG76" s="42"/>
      <c r="AH76" s="42"/>
      <c r="AI76" s="42"/>
      <c r="AJ76" s="42"/>
      <c r="AK76" s="42"/>
      <c r="AL76" s="42"/>
      <c r="AM76" s="42"/>
      <c r="AN76" s="42"/>
      <c r="AO76" s="42"/>
      <c r="AP76" s="42"/>
      <c r="AQ76" s="42"/>
      <c r="AR76" s="42"/>
      <c r="AS76" s="42"/>
      <c r="AT76" s="42"/>
      <c r="AU76" s="42"/>
      <c r="AV76" s="42"/>
      <c r="AW76" s="42"/>
      <c r="AX76" s="42"/>
      <c r="AY76" s="42"/>
      <c r="AZ76" s="42"/>
      <c r="BA76" s="42"/>
      <c r="BB76" s="42"/>
      <c r="BC76" s="42"/>
      <c r="BD76" s="42"/>
      <c r="BE76" s="42"/>
      <c r="BF76" s="42"/>
      <c r="BG76" s="42"/>
      <c r="BH76" s="42"/>
      <c r="BI76" s="42"/>
      <c r="BJ76" s="42"/>
      <c r="BK76" s="42"/>
      <c r="BL76" s="42"/>
      <c r="BM76" s="42"/>
      <c r="BN76" s="42"/>
    </row>
    <row r="77" spans="1:66" ht="12.75" customHeight="1" x14ac:dyDescent="0.2">
      <c r="A77" s="1" t="s">
        <v>288</v>
      </c>
      <c r="B77" s="4">
        <f>_xll.ciqfunctions.udf.CIQ(InputTicker,"IQ_EBITDA_EXCL_SBC",Input!D$2,Date,,,Ccy,Conv)</f>
        <v>35734</v>
      </c>
      <c r="C77" s="4">
        <f>_xll.ciqfunctions.udf.CIQ(InputTicker,"IQ_EBITDA_EXCL_SBC",Input!E$2,Date,,,Ccy,Conv)</f>
        <v>40397</v>
      </c>
      <c r="D77" s="4">
        <f>_xll.ciqfunctions.udf.CIQ(InputTicker,"IQ_EBITDA_EXCL_SBC",Input!F$2,Date,,,Ccy,Conv)</f>
        <v>48898</v>
      </c>
      <c r="E77" s="4">
        <f>_xll.ciqfunctions.udf.CIQ(InputTicker,"IQ_EBITDA_EXCL_SBC",Input!G$2,Date,,,Ccy,Conv)</f>
        <v>59211</v>
      </c>
      <c r="F77" s="4">
        <f>_xll.ciqfunctions.udf.CIQ(InputTicker,"IQ_EBITDA_EXCL_SBC",Input!H$2,Date,,,Ccy,Conv)</f>
        <v>70548</v>
      </c>
      <c r="G77" s="4">
        <f>_xll.ciqfunctions.udf.CIQ(InputTicker,"IQ_EBITDA_EXCL_SBC",Input!I$2,Date,,,Ccy,Conv)</f>
        <v>86934</v>
      </c>
      <c r="H77" s="4">
        <f>_xll.ciqfunctions.udf.CIQ(InputTicker,"IQ_EBITDA_EXCL_SBC",Input!J$2,Date,,,Ccy,Conv)</f>
        <v>105485</v>
      </c>
      <c r="I77" s="4">
        <f>_xll.ciqfunctions.udf.CIQ(InputTicker,"IQ_EBITDA_EXCL_SBC",Input!K$2,Date,,,Ccy,Conv)</f>
        <v>111634</v>
      </c>
      <c r="J77" s="4">
        <f>_xll.ciqfunctions.udf.CIQ(InputTicker,"IQ_EBITDA_EXCL_SBC",Input!L$2,Date,,,Ccy,Conv)</f>
        <v>140167</v>
      </c>
      <c r="K77" s="4">
        <f>_xll.ciqfunctions.udf.CIQ(InputTicker,"IQ_EBITDA_EXCL_SBC",Input!M$2,Date,,,Ccy,Conv)</f>
        <v>168502</v>
      </c>
      <c r="L77" s="4">
        <f>_xll.ciqfunctions.udf.CIQ(InputTicker,"IQ_EBITDA_EXCL_SBC",Input!N$2,Date,,,Ccy,Conv)</f>
        <v>206642</v>
      </c>
      <c r="M77" s="4">
        <f>_xll.ciqfunctions.udf.CIQ(InputTicker,"IQ_EBITDA_EXCL_SBC",Input!O$2,Date,,,Ccy,Conv)</f>
        <v>206642</v>
      </c>
      <c r="N77" s="50"/>
      <c r="P77" s="46"/>
      <c r="Q77" s="46"/>
      <c r="R77" s="46"/>
      <c r="T77" s="42"/>
      <c r="U77" s="42"/>
      <c r="V77" s="46"/>
      <c r="W77" s="42"/>
      <c r="X77" s="42"/>
      <c r="Y77" s="42"/>
      <c r="Z77" s="42"/>
      <c r="AA77" s="42"/>
      <c r="AB77" s="42"/>
      <c r="AC77" s="42"/>
      <c r="AD77" s="42"/>
      <c r="AE77" s="42"/>
      <c r="AF77" s="42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42"/>
      <c r="BD77" s="42"/>
      <c r="BE77" s="42"/>
      <c r="BF77" s="42"/>
      <c r="BG77" s="42"/>
      <c r="BH77" s="42"/>
      <c r="BI77" s="42"/>
      <c r="BJ77" s="42"/>
      <c r="BK77" s="42"/>
      <c r="BL77" s="42"/>
      <c r="BM77" s="42"/>
      <c r="BN77" s="42"/>
    </row>
    <row r="78" spans="1:66" ht="12.75" customHeight="1" x14ac:dyDescent="0.2">
      <c r="A78" s="1" t="s">
        <v>460</v>
      </c>
      <c r="B78" s="4">
        <f>_xll.ciqfunctions.udf.CIQ(InputTicker,"IQ_EBITDA_LEASE_ADJUSTED",Input!D$2,Date,,,Ccy,Conv)</f>
        <v>33066</v>
      </c>
      <c r="C78" s="4">
        <f>_xll.ciqfunctions.udf.CIQ(InputTicker,"IQ_EBITDA_LEASE_ADJUSTED",Input!E$2,Date,,,Ccy,Conv)</f>
        <v>38543</v>
      </c>
      <c r="D78" s="4">
        <f>_xll.ciqfunctions.udf.CIQ(InputTicker,"IQ_EBITDA_LEASE_ADJUSTED",Input!F$2,Date,,,Ccy,Conv)</f>
        <v>46543</v>
      </c>
      <c r="E78" s="4">
        <f>_xll.ciqfunctions.udf.CIQ(InputTicker,"IQ_EBITDA_LEASE_ADJUSTED",Input!G$2,Date,,,Ccy,Conv)</f>
        <v>56266</v>
      </c>
      <c r="F78" s="4">
        <f>_xll.ciqfunctions.udf.CIQ(InputTicker,"IQ_EBITDA_LEASE_ADJUSTED",Input!H$2,Date,,,Ccy,Conv)</f>
        <v>67302</v>
      </c>
      <c r="G78" s="4">
        <f>_xll.ciqfunctions.udf.CIQ(InputTicker,"IQ_EBITDA_LEASE_ADJUSTED",Input!I$2,Date,,,Ccy,Conv)</f>
        <v>82943</v>
      </c>
      <c r="H78" s="4">
        <f>_xll.ciqfunctions.udf.CIQ(InputTicker,"IQ_EBITDA_LEASE_ADJUSTED",Input!J$2,Date,,,Ccy,Conv)</f>
        <v>100444</v>
      </c>
      <c r="I78" s="4">
        <f>_xll.ciqfunctions.udf.CIQ(InputTicker,"IQ_EBITDA_LEASE_ADJUSTED",Input!K$2,Date,,,Ccy,Conv)</f>
        <v>104898</v>
      </c>
      <c r="J78" s="4">
        <f>_xll.ciqfunctions.udf.CIQ(InputTicker,"IQ_EBITDA_LEASE_ADJUSTED",Input!L$2,Date,,,Ccy,Conv)</f>
        <v>132988</v>
      </c>
      <c r="K78" s="4">
        <f>_xll.ciqfunctions.udf.CIQ(InputTicker,"IQ_EBITDA_LEASE_ADJUSTED",Input!M$2,Date,,,Ccy,Conv)</f>
        <v>162052</v>
      </c>
      <c r="L78" s="4">
        <f>_xll.ciqfunctions.udf.CIQ(InputTicker,"IQ_EBITDA_LEASE_ADJUSTED",Input!N$2,Date,,,Ccy,Conv)</f>
        <v>201205</v>
      </c>
      <c r="M78" s="4">
        <f>_xll.ciqfunctions.udf.CIQ(InputTicker,"IQ_EBITDA_LEASE_ADJUSTED",Input!O$2,Date,,,Ccy,Conv)</f>
        <v>201205</v>
      </c>
      <c r="N78" s="50"/>
      <c r="P78" s="46"/>
      <c r="Q78" s="46"/>
      <c r="R78" s="46"/>
      <c r="T78" s="42"/>
      <c r="U78" s="42"/>
      <c r="V78" s="46"/>
      <c r="W78" s="42"/>
      <c r="X78" s="42"/>
      <c r="Y78" s="42"/>
      <c r="Z78" s="42"/>
      <c r="AA78" s="42"/>
      <c r="AB78" s="42"/>
      <c r="AC78" s="42"/>
      <c r="AD78" s="42"/>
      <c r="AE78" s="42"/>
      <c r="AF78" s="42"/>
      <c r="AG78" s="42"/>
      <c r="AH78" s="42"/>
      <c r="AI78" s="42"/>
      <c r="AJ78" s="42"/>
      <c r="AK78" s="42"/>
      <c r="AL78" s="42"/>
      <c r="AM78" s="42"/>
      <c r="AN78" s="42"/>
      <c r="AO78" s="42"/>
      <c r="AP78" s="42"/>
      <c r="AQ78" s="42"/>
      <c r="AR78" s="42"/>
      <c r="AS78" s="42"/>
      <c r="AT78" s="42"/>
      <c r="AU78" s="42"/>
      <c r="AV78" s="42"/>
      <c r="AW78" s="42"/>
      <c r="AX78" s="42"/>
      <c r="AY78" s="42"/>
      <c r="AZ78" s="42"/>
      <c r="BA78" s="42"/>
      <c r="BB78" s="42"/>
      <c r="BC78" s="42"/>
      <c r="BD78" s="42"/>
      <c r="BE78" s="42"/>
      <c r="BF78" s="42"/>
      <c r="BG78" s="42"/>
      <c r="BH78" s="42"/>
      <c r="BI78" s="42"/>
      <c r="BJ78" s="42"/>
      <c r="BK78" s="42"/>
      <c r="BL78" s="42"/>
      <c r="BM78" s="42"/>
      <c r="BN78" s="42"/>
    </row>
    <row r="79" spans="1:66" ht="12.75" customHeight="1" x14ac:dyDescent="0.2">
      <c r="A79" s="1" t="s">
        <v>461</v>
      </c>
      <c r="B79" s="4">
        <f>_xll.ciqfunctions.udf.CIQ(InputTicker,"IQ_LEASE_ADJUSTMENT_EBITDA",Input!D$2,Date,,,Ccy,Conv)</f>
        <v>0</v>
      </c>
      <c r="C79" s="4">
        <f>_xll.ciqfunctions.udf.CIQ(InputTicker,"IQ_LEASE_ADJUSTMENT_EBITDA",Input!E$2,Date,,,Ccy,Conv)</f>
        <v>1412</v>
      </c>
      <c r="D79" s="4">
        <f>_xll.ciqfunctions.udf.CIQ(InputTicker,"IQ_LEASE_ADJUSTMENT_EBITDA",Input!F$2,Date,,,Ccy,Conv)</f>
        <v>1585</v>
      </c>
      <c r="E79" s="4">
        <f>_xll.ciqfunctions.udf.CIQ(InputTicker,"IQ_LEASE_ADJUSTMENT_EBITDA",Input!G$2,Date,,,Ccy,Conv)</f>
        <v>1707</v>
      </c>
      <c r="F79" s="4">
        <f>_xll.ciqfunctions.udf.CIQ(InputTicker,"IQ_LEASE_ADJUSTMENT_EBITDA",Input!H$2,Date,,,Ccy,Conv)</f>
        <v>2043</v>
      </c>
      <c r="G79" s="4">
        <f>_xll.ciqfunctions.udf.CIQ(InputTicker,"IQ_LEASE_ADJUSTMENT_EBITDA",Input!I$2,Date,,,Ccy,Conv)</f>
        <v>2127</v>
      </c>
      <c r="H79" s="4">
        <f>_xll.ciqfunctions.udf.CIQ(InputTicker,"IQ_LEASE_ADJUSTMENT_EBITDA",Input!J$2,Date,,,Ccy,Conv)</f>
        <v>2461</v>
      </c>
      <c r="I79" s="4">
        <f>_xll.ciqfunctions.udf.CIQ(InputTicker,"IQ_LEASE_ADJUSTMENT_EBITDA",Input!K$2,Date,,,Ccy,Conv)</f>
        <v>2875</v>
      </c>
      <c r="J79" s="4">
        <f>_xll.ciqfunctions.udf.CIQ(InputTicker,"IQ_LEASE_ADJUSTMENT_EBITDA",Input!L$2,Date,,,Ccy,Conv)</f>
        <v>3555</v>
      </c>
      <c r="K79" s="4">
        <f>_xll.ciqfunctions.udf.CIQ(InputTicker,"IQ_LEASE_ADJUSTMENT_EBITDA",Input!M$2,Date,,,Ccy,Conv)</f>
        <v>5524</v>
      </c>
      <c r="L79" s="4">
        <f>_xll.ciqfunctions.udf.CIQ(InputTicker,"IQ_LEASE_ADJUSTMENT_EBITDA",Input!N$2,Date,,,Ccy,Conv)</f>
        <v>6968</v>
      </c>
      <c r="M79" s="4">
        <f>_xll.ciqfunctions.udf.CIQ(InputTicker,"IQ_LEASE_ADJUSTMENT_EBITDA",Input!O$2,Date,,,Ccy,Conv)</f>
        <v>6968</v>
      </c>
      <c r="N79" s="50"/>
      <c r="P79" s="46"/>
      <c r="Q79" s="46"/>
      <c r="R79" s="46"/>
      <c r="T79" s="42"/>
      <c r="U79" s="42"/>
      <c r="V79" s="46"/>
      <c r="W79" s="42"/>
      <c r="X79" s="42"/>
      <c r="Y79" s="42"/>
      <c r="Z79" s="42"/>
      <c r="AA79" s="42"/>
      <c r="AB79" s="42"/>
      <c r="AC79" s="42"/>
      <c r="AD79" s="42"/>
      <c r="AE79" s="42"/>
      <c r="AF79" s="42"/>
      <c r="AG79" s="42"/>
      <c r="AH79" s="42"/>
      <c r="AI79" s="42"/>
      <c r="AJ79" s="42"/>
      <c r="AK79" s="42"/>
      <c r="AL79" s="42"/>
      <c r="AM79" s="42"/>
      <c r="AN79" s="42"/>
      <c r="AO79" s="42"/>
      <c r="AP79" s="42"/>
      <c r="AQ79" s="42"/>
      <c r="AR79" s="42"/>
      <c r="AS79" s="42"/>
      <c r="AT79" s="42"/>
      <c r="AU79" s="42"/>
      <c r="AV79" s="42"/>
      <c r="AW79" s="42"/>
      <c r="AX79" s="42"/>
      <c r="AY79" s="42"/>
      <c r="AZ79" s="42"/>
      <c r="BA79" s="42"/>
      <c r="BB79" s="42"/>
      <c r="BC79" s="42"/>
      <c r="BD79" s="42"/>
      <c r="BE79" s="42"/>
      <c r="BF79" s="42"/>
      <c r="BG79" s="42"/>
      <c r="BH79" s="42"/>
      <c r="BI79" s="42"/>
      <c r="BJ79" s="42"/>
      <c r="BK79" s="42"/>
      <c r="BL79" s="42"/>
      <c r="BM79" s="42"/>
      <c r="BN79" s="42"/>
    </row>
    <row r="80" spans="1:66" ht="12.75" customHeight="1" x14ac:dyDescent="0.2">
      <c r="A80" s="1" t="s">
        <v>462</v>
      </c>
      <c r="B80" s="4">
        <f>_xll.ciqfunctions.udf.CIQ(InputTicker,"IQ_EBITDA_EQ_INC_EXCL_OPER_LEASE_ADJ",Input!D$2,Date,,,Ccy,Conv)</f>
        <v>33066</v>
      </c>
      <c r="C80" s="4">
        <f>_xll.ciqfunctions.udf.CIQ(InputTicker,"IQ_EBITDA_EQ_INC_EXCL_OPER_LEASE_ADJ",Input!E$2,Date,,,Ccy,Conv)</f>
        <v>37131</v>
      </c>
      <c r="D80" s="4">
        <f>_xll.ciqfunctions.udf.CIQ(InputTicker,"IQ_EBITDA_EQ_INC_EXCL_OPER_LEASE_ADJ",Input!F$2,Date,,,Ccy,Conv)</f>
        <v>44958</v>
      </c>
      <c r="E80" s="4">
        <f>_xll.ciqfunctions.udf.CIQ(InputTicker,"IQ_EBITDA_EQ_INC_EXCL_OPER_LEASE_ADJ",Input!G$2,Date,,,Ccy,Conv)</f>
        <v>54559</v>
      </c>
      <c r="F80" s="4">
        <f>_xll.ciqfunctions.udf.CIQ(InputTicker,"IQ_EBITDA_EQ_INC_EXCL_OPER_LEASE_ADJ",Input!H$2,Date,,,Ccy,Conv)</f>
        <v>65259</v>
      </c>
      <c r="G80" s="4">
        <f>_xll.ciqfunctions.udf.CIQ(InputTicker,"IQ_EBITDA_EQ_INC_EXCL_OPER_LEASE_ADJ",Input!I$2,Date,,,Ccy,Conv)</f>
        <v>80816</v>
      </c>
      <c r="H80" s="4">
        <f>_xll.ciqfunctions.udf.CIQ(InputTicker,"IQ_EBITDA_EQ_INC_EXCL_OPER_LEASE_ADJ",Input!J$2,Date,,,Ccy,Conv)</f>
        <v>97951</v>
      </c>
      <c r="I80" s="4">
        <f>_xll.ciqfunctions.udf.CIQ(InputTicker,"IQ_EBITDA_EQ_INC_EXCL_OPER_LEASE_ADJ",Input!K$2,Date,,,Ccy,Conv)</f>
        <v>102023</v>
      </c>
      <c r="J80" s="4">
        <f>_xll.ciqfunctions.udf.CIQ(InputTicker,"IQ_EBITDA_EQ_INC_EXCL_OPER_LEASE_ADJ",Input!L$2,Date,,,Ccy,Conv)</f>
        <v>128114</v>
      </c>
      <c r="K80" s="4">
        <f>_xll.ciqfunctions.udf.CIQ(InputTicker,"IQ_EBITDA_EQ_INC_EXCL_OPER_LEASE_ADJ",Input!M$2,Date,,,Ccy,Conv)</f>
        <v>151803</v>
      </c>
      <c r="L80" s="4">
        <f>_xll.ciqfunctions.udf.CIQ(InputTicker,"IQ_EBITDA_EQ_INC_EXCL_OPER_LEASE_ADJ",Input!N$2,Date,,,Ccy,Conv)</f>
        <v>198959</v>
      </c>
      <c r="M80" s="4">
        <f>_xll.ciqfunctions.udf.CIQ(InputTicker,"IQ_EBITDA_EQ_INC_EXCL_OPER_LEASE_ADJ",Input!O$2,Date,,,Ccy,Conv)</f>
        <v>198959</v>
      </c>
      <c r="N80" s="50"/>
      <c r="P80" s="46"/>
      <c r="Q80" s="46"/>
      <c r="R80" s="46"/>
      <c r="T80" s="42"/>
      <c r="U80" s="42"/>
      <c r="V80" s="46"/>
      <c r="W80" s="42"/>
      <c r="X80" s="42"/>
      <c r="Y80" s="42"/>
      <c r="Z80" s="42"/>
      <c r="AA80" s="42"/>
      <c r="AB80" s="42"/>
      <c r="AC80" s="42"/>
      <c r="AD80" s="42"/>
      <c r="AE80" s="42"/>
      <c r="AF80" s="42"/>
      <c r="AG80" s="42"/>
      <c r="AH80" s="42"/>
      <c r="AI80" s="42"/>
      <c r="AJ80" s="42"/>
      <c r="AK80" s="42"/>
      <c r="AL80" s="42"/>
      <c r="AM80" s="42"/>
      <c r="AN80" s="42"/>
      <c r="AO80" s="42"/>
      <c r="AP80" s="42"/>
      <c r="AQ80" s="42"/>
      <c r="AR80" s="42"/>
      <c r="AS80" s="42"/>
      <c r="AT80" s="42"/>
      <c r="AU80" s="42"/>
      <c r="AV80" s="42"/>
      <c r="AW80" s="42"/>
      <c r="AX80" s="42"/>
      <c r="AY80" s="42"/>
      <c r="AZ80" s="42"/>
      <c r="BA80" s="42"/>
      <c r="BB80" s="42"/>
      <c r="BC80" s="42"/>
      <c r="BD80" s="42"/>
      <c r="BE80" s="42"/>
      <c r="BF80" s="42"/>
      <c r="BG80" s="42"/>
      <c r="BH80" s="42"/>
      <c r="BI80" s="42"/>
      <c r="BJ80" s="42"/>
      <c r="BK80" s="42"/>
      <c r="BL80" s="42"/>
      <c r="BM80" s="42"/>
      <c r="BN80" s="42"/>
    </row>
    <row r="81" spans="1:66" ht="12.75" customHeight="1" x14ac:dyDescent="0.2">
      <c r="A81" s="1" t="s">
        <v>307</v>
      </c>
      <c r="B81" s="4">
        <f>_xll.ciqfunctions.udf.CIQ(InputTicker,"IQ_EBIT",Input!D$2,Date,,,Ccy,Conv)</f>
        <v>27188</v>
      </c>
      <c r="C81" s="4">
        <f>_xll.ciqfunctions.udf.CIQ(InputTicker,"IQ_EBIT",Input!E$2,Date,,,Ccy,Conv)</f>
        <v>29331</v>
      </c>
      <c r="D81" s="4">
        <f>_xll.ciqfunctions.udf.CIQ(InputTicker,"IQ_EBIT",Input!F$2,Date,,,Ccy,Conv)</f>
        <v>35058</v>
      </c>
      <c r="E81" s="4">
        <f>_xll.ciqfunctions.udf.CIQ(InputTicker,"IQ_EBIT",Input!G$2,Date,,,Ccy,Conv)</f>
        <v>42959</v>
      </c>
      <c r="F81" s="4">
        <f>_xll.ciqfunctions.udf.CIQ(InputTicker,"IQ_EBIT",Input!H$2,Date,,,Ccy,Conv)</f>
        <v>52959</v>
      </c>
      <c r="G81" s="4">
        <f>_xll.ciqfunctions.udf.CIQ(InputTicker,"IQ_EBIT",Input!I$2,Date,,,Ccy,Conv)</f>
        <v>69916</v>
      </c>
      <c r="H81" s="4">
        <f>_xll.ciqfunctions.udf.CIQ(InputTicker,"IQ_EBIT",Input!J$2,Date,,,Ccy,Conv)</f>
        <v>83383</v>
      </c>
      <c r="I81" s="4">
        <f>_xll.ciqfunctions.udf.CIQ(InputTicker,"IQ_EBIT",Input!K$2,Date,,,Ccy,Conv)</f>
        <v>88523</v>
      </c>
      <c r="J81" s="4">
        <f>_xll.ciqfunctions.udf.CIQ(InputTicker,"IQ_EBIT",Input!L$2,Date,,,Ccy,Conv)</f>
        <v>109433</v>
      </c>
      <c r="K81" s="4">
        <f>_xll.ciqfunctions.udf.CIQ(InputTicker,"IQ_EBIT",Input!M$2,Date,,,Ccy,Conv)</f>
        <v>128528</v>
      </c>
      <c r="L81" s="4">
        <f>_xll.ciqfunctions.udf.CIQ(InputTicker,"IQ_EBIT",Input!N$2,Date,,,Ccy,Conv)</f>
        <v>155237</v>
      </c>
      <c r="M81" s="4">
        <f>_xll.ciqfunctions.udf.CIQ(InputTicker,"IQ_EBIT",Input!O$2,Date,,,Ccy,Conv)</f>
        <v>155237</v>
      </c>
      <c r="N81" s="50"/>
      <c r="P81" s="46"/>
      <c r="Q81" s="46"/>
      <c r="R81" s="46"/>
      <c r="T81" s="42"/>
      <c r="U81" s="42"/>
      <c r="V81" s="46"/>
      <c r="W81" s="42"/>
      <c r="X81" s="42"/>
      <c r="Y81" s="42"/>
      <c r="Z81" s="42"/>
      <c r="AA81" s="42"/>
      <c r="AB81" s="42"/>
      <c r="AC81" s="42"/>
      <c r="AD81" s="42"/>
      <c r="AE81" s="42"/>
      <c r="AF81" s="42"/>
      <c r="AG81" s="42"/>
      <c r="AH81" s="42"/>
      <c r="AI81" s="42"/>
      <c r="AJ81" s="42"/>
      <c r="AK81" s="42"/>
      <c r="AL81" s="42"/>
      <c r="AM81" s="42"/>
      <c r="AN81" s="42"/>
      <c r="AO81" s="42"/>
      <c r="AP81" s="42"/>
      <c r="AQ81" s="42"/>
      <c r="AR81" s="42"/>
      <c r="AS81" s="42"/>
      <c r="AT81" s="42"/>
      <c r="AU81" s="42"/>
      <c r="AV81" s="42"/>
      <c r="AW81" s="42"/>
      <c r="AX81" s="42"/>
      <c r="AY81" s="42"/>
      <c r="AZ81" s="42"/>
      <c r="BA81" s="42"/>
      <c r="BB81" s="42"/>
      <c r="BC81" s="42"/>
      <c r="BD81" s="42"/>
      <c r="BE81" s="42"/>
      <c r="BF81" s="42"/>
      <c r="BG81" s="42"/>
      <c r="BH81" s="42"/>
      <c r="BI81" s="42"/>
      <c r="BJ81" s="42"/>
      <c r="BK81" s="42"/>
      <c r="BL81" s="42"/>
      <c r="BM81" s="42"/>
      <c r="BN81" s="42"/>
    </row>
    <row r="82" spans="1:66" ht="12.75" customHeight="1" x14ac:dyDescent="0.2">
      <c r="A82" s="1" t="s">
        <v>289</v>
      </c>
      <c r="B82" s="4">
        <f>_xll.ciqfunctions.udf.CIQ(InputTicker,"IQ_EBIT_EQ_INC",Input!D$2,Date,,,Ccy,Conv)</f>
        <v>27188</v>
      </c>
      <c r="C82" s="4">
        <f>_xll.ciqfunctions.udf.CIQ(InputTicker,"IQ_EBIT_EQ_INC",Input!E$2,Date,,,Ccy,Conv)</f>
        <v>29331</v>
      </c>
      <c r="D82" s="4">
        <f>_xll.ciqfunctions.udf.CIQ(InputTicker,"IQ_EBIT_EQ_INC",Input!F$2,Date,,,Ccy,Conv)</f>
        <v>35058</v>
      </c>
      <c r="E82" s="4">
        <f>_xll.ciqfunctions.udf.CIQ(InputTicker,"IQ_EBIT_EQ_INC",Input!G$2,Date,,,Ccy,Conv)</f>
        <v>42959</v>
      </c>
      <c r="F82" s="4">
        <f>_xll.ciqfunctions.udf.CIQ(InputTicker,"IQ_EBIT_EQ_INC",Input!H$2,Date,,,Ccy,Conv)</f>
        <v>52959</v>
      </c>
      <c r="G82" s="4">
        <f>_xll.ciqfunctions.udf.CIQ(InputTicker,"IQ_EBIT_EQ_INC",Input!I$2,Date,,,Ccy,Conv)</f>
        <v>69916</v>
      </c>
      <c r="H82" s="4">
        <f>_xll.ciqfunctions.udf.CIQ(InputTicker,"IQ_EBIT_EQ_INC",Input!J$2,Date,,,Ccy,Conv)</f>
        <v>83351</v>
      </c>
      <c r="I82" s="4">
        <f>_xll.ciqfunctions.udf.CIQ(InputTicker,"IQ_EBIT_EQ_INC",Input!K$2,Date,,,Ccy,Conv)</f>
        <v>88523</v>
      </c>
      <c r="J82" s="4">
        <f>_xll.ciqfunctions.udf.CIQ(InputTicker,"IQ_EBIT_EQ_INC",Input!L$2,Date,,,Ccy,Conv)</f>
        <v>108114</v>
      </c>
      <c r="K82" s="4">
        <f>_xll.ciqfunctions.udf.CIQ(InputTicker,"IQ_EBIT_EQ_INC",Input!M$2,Date,,,Ccy,Conv)</f>
        <v>123803</v>
      </c>
      <c r="L82" s="4">
        <f>_xll.ciqfunctions.udf.CIQ(InputTicker,"IQ_EBIT_EQ_INC",Input!N$2,Date,,,Ccy,Conv)</f>
        <v>159959</v>
      </c>
      <c r="M82" s="4">
        <f>_xll.ciqfunctions.udf.CIQ(InputTicker,"IQ_EBIT_EQ_INC",Input!O$2,Date,,,Ccy,Conv)</f>
        <v>159959</v>
      </c>
      <c r="N82" s="50"/>
      <c r="P82" s="46"/>
      <c r="Q82" s="46"/>
      <c r="R82" s="46"/>
      <c r="T82" s="42"/>
      <c r="U82" s="42"/>
      <c r="V82" s="46"/>
      <c r="W82" s="42"/>
      <c r="X82" s="42"/>
      <c r="Y82" s="42"/>
      <c r="Z82" s="42"/>
      <c r="AA82" s="42"/>
      <c r="AB82" s="42"/>
      <c r="AC82" s="42"/>
      <c r="AD82" s="42"/>
      <c r="AE82" s="42"/>
      <c r="AF82" s="42"/>
      <c r="AG82" s="42"/>
      <c r="AH82" s="42"/>
      <c r="AI82" s="42"/>
      <c r="AJ82" s="42"/>
      <c r="AK82" s="42"/>
      <c r="AL82" s="42"/>
      <c r="AM82" s="42"/>
      <c r="AN82" s="42"/>
      <c r="AO82" s="42"/>
      <c r="AP82" s="42"/>
      <c r="AQ82" s="42"/>
      <c r="AR82" s="42"/>
      <c r="AS82" s="42"/>
      <c r="AT82" s="42"/>
      <c r="AU82" s="42"/>
      <c r="AV82" s="42"/>
      <c r="AW82" s="42"/>
      <c r="AX82" s="42"/>
      <c r="AY82" s="42"/>
      <c r="AZ82" s="42"/>
      <c r="BA82" s="42"/>
      <c r="BB82" s="42"/>
      <c r="BC82" s="42"/>
      <c r="BD82" s="42"/>
      <c r="BE82" s="42"/>
      <c r="BF82" s="42"/>
      <c r="BG82" s="42"/>
      <c r="BH82" s="42"/>
      <c r="BI82" s="42"/>
      <c r="BJ82" s="42"/>
      <c r="BK82" s="42"/>
      <c r="BL82" s="42"/>
      <c r="BM82" s="42"/>
      <c r="BN82" s="42"/>
    </row>
    <row r="83" spans="1:66" ht="12.75" customHeight="1" x14ac:dyDescent="0.2">
      <c r="A83" s="1" t="s">
        <v>290</v>
      </c>
      <c r="B83" s="4">
        <f>_xll.ciqfunctions.udf.CIQ(InputTicker,"IQ_EBIT_EQ_INC_EXCL_SBC",Input!D$2,Date,,,Ccy,Conv)</f>
        <v>29856</v>
      </c>
      <c r="C83" s="4">
        <f>_xll.ciqfunctions.udf.CIQ(InputTicker,"IQ_EBIT_EQ_INC_EXCL_SBC",Input!E$2,Date,,,Ccy,Conv)</f>
        <v>32597</v>
      </c>
      <c r="D83" s="4">
        <f>_xll.ciqfunctions.udf.CIQ(InputTicker,"IQ_EBIT_EQ_INC_EXCL_SBC",Input!F$2,Date,,,Ccy,Conv)</f>
        <v>38998</v>
      </c>
      <c r="E83" s="4">
        <f>_xll.ciqfunctions.udf.CIQ(InputTicker,"IQ_EBIT_EQ_INC_EXCL_SBC",Input!G$2,Date,,,Ccy,Conv)</f>
        <v>47611</v>
      </c>
      <c r="F83" s="4">
        <f>_xll.ciqfunctions.udf.CIQ(InputTicker,"IQ_EBIT_EQ_INC_EXCL_SBC",Input!H$2,Date,,,Ccy,Conv)</f>
        <v>58248</v>
      </c>
      <c r="G83" s="4">
        <f>_xll.ciqfunctions.udf.CIQ(InputTicker,"IQ_EBIT_EQ_INC_EXCL_SBC",Input!I$2,Date,,,Ccy,Conv)</f>
        <v>76034</v>
      </c>
      <c r="H83" s="4">
        <f>_xll.ciqfunctions.udf.CIQ(InputTicker,"IQ_EBIT_EQ_INC_EXCL_SBC",Input!J$2,Date,,,Ccy,Conv)</f>
        <v>90853</v>
      </c>
      <c r="I83" s="4">
        <f>_xll.ciqfunctions.udf.CIQ(InputTicker,"IQ_EBIT_EQ_INC_EXCL_SBC",Input!K$2,Date,,,Ccy,Conv)</f>
        <v>98134</v>
      </c>
      <c r="J83" s="4">
        <f>_xll.ciqfunctions.udf.CIQ(InputTicker,"IQ_EBIT_EQ_INC_EXCL_SBC",Input!L$2,Date,,,Ccy,Conv)</f>
        <v>118848</v>
      </c>
      <c r="K83" s="4">
        <f>_xll.ciqfunctions.udf.CIQ(InputTicker,"IQ_EBIT_EQ_INC_EXCL_SBC",Input!M$2,Date,,,Ccy,Conv)</f>
        <v>135777</v>
      </c>
      <c r="L83" s="4">
        <f>_xll.ciqfunctions.udf.CIQ(InputTicker,"IQ_EBIT_EQ_INC_EXCL_SBC",Input!N$2,Date,,,Ccy,Conv)</f>
        <v>172364</v>
      </c>
      <c r="M83" s="4">
        <f>_xll.ciqfunctions.udf.CIQ(InputTicker,"IQ_EBIT_EQ_INC_EXCL_SBC",Input!O$2,Date,,,Ccy,Conv)</f>
        <v>172364</v>
      </c>
      <c r="N83" s="50"/>
      <c r="P83" s="46"/>
      <c r="Q83" s="46"/>
      <c r="R83" s="46"/>
      <c r="T83" s="42"/>
      <c r="U83" s="42"/>
      <c r="V83" s="46"/>
      <c r="W83" s="42"/>
      <c r="X83" s="42"/>
      <c r="Y83" s="42"/>
      <c r="Z83" s="42"/>
      <c r="AA83" s="42"/>
      <c r="AB83" s="42"/>
      <c r="AC83" s="42"/>
      <c r="AD83" s="42"/>
      <c r="AE83" s="42"/>
      <c r="AF83" s="42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42"/>
      <c r="BD83" s="42"/>
      <c r="BE83" s="42"/>
      <c r="BF83" s="42"/>
      <c r="BG83" s="42"/>
      <c r="BH83" s="42"/>
      <c r="BI83" s="42"/>
      <c r="BJ83" s="42"/>
      <c r="BK83" s="42"/>
      <c r="BL83" s="42"/>
      <c r="BM83" s="42"/>
      <c r="BN83" s="42"/>
    </row>
    <row r="84" spans="1:66" ht="12.75" customHeight="1" x14ac:dyDescent="0.2">
      <c r="A84" s="1" t="s">
        <v>291</v>
      </c>
      <c r="B84" s="4">
        <f>_xll.ciqfunctions.udf.CIQ(InputTicker,"IQ_EBIT_EXCL_SBC",Input!D$2,Date,,,Ccy,Conv)</f>
        <v>29856</v>
      </c>
      <c r="C84" s="4">
        <f>_xll.ciqfunctions.udf.CIQ(InputTicker,"IQ_EBIT_EXCL_SBC",Input!E$2,Date,,,Ccy,Conv)</f>
        <v>32597</v>
      </c>
      <c r="D84" s="4">
        <f>_xll.ciqfunctions.udf.CIQ(InputTicker,"IQ_EBIT_EXCL_SBC",Input!F$2,Date,,,Ccy,Conv)</f>
        <v>38998</v>
      </c>
      <c r="E84" s="4">
        <f>_xll.ciqfunctions.udf.CIQ(InputTicker,"IQ_EBIT_EXCL_SBC",Input!G$2,Date,,,Ccy,Conv)</f>
        <v>47611</v>
      </c>
      <c r="F84" s="4">
        <f>_xll.ciqfunctions.udf.CIQ(InputTicker,"IQ_EBIT_EXCL_SBC",Input!H$2,Date,,,Ccy,Conv)</f>
        <v>58248</v>
      </c>
      <c r="G84" s="4">
        <f>_xll.ciqfunctions.udf.CIQ(InputTicker,"IQ_EBIT_EXCL_SBC",Input!I$2,Date,,,Ccy,Conv)</f>
        <v>76034</v>
      </c>
      <c r="H84" s="4">
        <f>_xll.ciqfunctions.udf.CIQ(InputTicker,"IQ_EBIT_EXCL_SBC",Input!J$2,Date,,,Ccy,Conv)</f>
        <v>90885</v>
      </c>
      <c r="I84" s="4">
        <f>_xll.ciqfunctions.udf.CIQ(InputTicker,"IQ_EBIT_EXCL_SBC",Input!K$2,Date,,,Ccy,Conv)</f>
        <v>98134</v>
      </c>
      <c r="J84" s="4">
        <f>_xll.ciqfunctions.udf.CIQ(InputTicker,"IQ_EBIT_EXCL_SBC",Input!L$2,Date,,,Ccy,Conv)</f>
        <v>120167</v>
      </c>
      <c r="K84" s="4">
        <f>_xll.ciqfunctions.udf.CIQ(InputTicker,"IQ_EBIT_EXCL_SBC",Input!M$2,Date,,,Ccy,Conv)</f>
        <v>140502</v>
      </c>
      <c r="L84" s="4">
        <f>_xll.ciqfunctions.udf.CIQ(InputTicker,"IQ_EBIT_EXCL_SBC",Input!N$2,Date,,,Ccy,Conv)</f>
        <v>167642</v>
      </c>
      <c r="M84" s="4">
        <f>_xll.ciqfunctions.udf.CIQ(InputTicker,"IQ_EBIT_EXCL_SBC",Input!O$2,Date,,,Ccy,Conv)</f>
        <v>167642</v>
      </c>
      <c r="N84" s="50"/>
      <c r="P84" s="46"/>
      <c r="Q84" s="46"/>
      <c r="R84" s="46"/>
      <c r="T84" s="42"/>
      <c r="U84" s="42"/>
      <c r="V84" s="46"/>
      <c r="W84" s="42"/>
      <c r="X84" s="42"/>
      <c r="Y84" s="42"/>
      <c r="Z84" s="42"/>
      <c r="AA84" s="42"/>
      <c r="AB84" s="42"/>
      <c r="AC84" s="42"/>
      <c r="AD84" s="42"/>
      <c r="AE84" s="42"/>
      <c r="AF84" s="42"/>
      <c r="AG84" s="42"/>
      <c r="AH84" s="42"/>
      <c r="AI84" s="42"/>
      <c r="AJ84" s="42"/>
      <c r="AK84" s="42"/>
      <c r="AL84" s="42"/>
      <c r="AM84" s="42"/>
      <c r="AN84" s="42"/>
      <c r="AO84" s="42"/>
      <c r="AP84" s="42"/>
      <c r="AQ84" s="42"/>
      <c r="AR84" s="42"/>
      <c r="AS84" s="42"/>
      <c r="AT84" s="42"/>
      <c r="AU84" s="42"/>
      <c r="AV84" s="42"/>
      <c r="AW84" s="42"/>
      <c r="AX84" s="42"/>
      <c r="AY84" s="42"/>
      <c r="AZ84" s="42"/>
      <c r="BA84" s="42"/>
      <c r="BB84" s="42"/>
      <c r="BC84" s="42"/>
      <c r="BD84" s="42"/>
      <c r="BE84" s="42"/>
      <c r="BF84" s="42"/>
      <c r="BG84" s="42"/>
      <c r="BH84" s="42"/>
      <c r="BI84" s="42"/>
      <c r="BJ84" s="42"/>
      <c r="BK84" s="42"/>
      <c r="BL84" s="42"/>
      <c r="BM84" s="42"/>
      <c r="BN84" s="42"/>
    </row>
    <row r="85" spans="1:66" ht="12.75" customHeight="1" x14ac:dyDescent="0.2">
      <c r="A85" s="1" t="s">
        <v>308</v>
      </c>
      <c r="B85" s="4">
        <f>_xll.ciqfunctions.udf.CIQ(InputTicker,"IQ_EBITA",Input!D$2,Date,,,Ccy,Conv)</f>
        <v>28166</v>
      </c>
      <c r="C85" s="4">
        <f>_xll.ciqfunctions.udf.CIQ(InputTicker,"IQ_EBITA",Input!E$2,Date,,,Ccy,Conv)</f>
        <v>31031</v>
      </c>
      <c r="D85" s="4">
        <f>_xll.ciqfunctions.udf.CIQ(InputTicker,"IQ_EBITA",Input!F$2,Date,,,Ccy,Conv)</f>
        <v>37258</v>
      </c>
      <c r="E85" s="4">
        <f>_xll.ciqfunctions.udf.CIQ(InputTicker,"IQ_EBITA",Input!G$2,Date,,,Ccy,Conv)</f>
        <v>44859</v>
      </c>
      <c r="F85" s="4">
        <f>_xll.ciqfunctions.udf.CIQ(InputTicker,"IQ_EBITA",Input!H$2,Date,,,Ccy,Conv)</f>
        <v>54559</v>
      </c>
      <c r="G85" s="4">
        <f>_xll.ciqfunctions.udf.CIQ(InputTicker,"IQ_EBITA",Input!I$2,Date,,,Ccy,Conv)</f>
        <v>71516</v>
      </c>
      <c r="H85" s="4">
        <f>_xll.ciqfunctions.udf.CIQ(InputTicker,"IQ_EBITA",Input!J$2,Date,,,Ccy,Conv)</f>
        <v>85383</v>
      </c>
      <c r="I85" s="4">
        <f>_xll.ciqfunctions.udf.CIQ(InputTicker,"IQ_EBITA",Input!K$2,Date,,,Ccy,Conv)</f>
        <v>91023</v>
      </c>
      <c r="J85" s="4">
        <f>_xll.ciqfunctions.udf.CIQ(InputTicker,"IQ_EBITA",Input!L$2,Date,,,Ccy,Conv)</f>
        <v>114233</v>
      </c>
      <c r="K85" s="4">
        <f>_xll.ciqfunctions.udf.CIQ(InputTicker,"IQ_EBITA",Input!M$2,Date,,,Ccy,Conv)</f>
        <v>134528</v>
      </c>
      <c r="L85" s="4">
        <f>_xll.ciqfunctions.udf.CIQ(InputTicker,"IQ_EBITA",Input!N$2,Date,,,Ccy,Conv)</f>
        <v>159937</v>
      </c>
      <c r="M85" s="4">
        <f>_xll.ciqfunctions.udf.CIQ(InputTicker,"IQ_EBITA",Input!O$2,Date,,,Ccy,Conv)</f>
        <v>159937</v>
      </c>
      <c r="N85" s="50"/>
      <c r="P85" s="46"/>
      <c r="Q85" s="46"/>
      <c r="R85" s="46"/>
      <c r="T85" s="42"/>
      <c r="U85" s="42"/>
      <c r="V85" s="46"/>
      <c r="W85" s="42"/>
      <c r="X85" s="42"/>
      <c r="Y85" s="42"/>
      <c r="Z85" s="42"/>
      <c r="AA85" s="42"/>
      <c r="AB85" s="42"/>
      <c r="AC85" s="42"/>
      <c r="AD85" s="42"/>
      <c r="AE85" s="42"/>
      <c r="AF85" s="42"/>
      <c r="AG85" s="42"/>
      <c r="AH85" s="42"/>
      <c r="AI85" s="42"/>
      <c r="AJ85" s="42"/>
      <c r="AK85" s="42"/>
      <c r="AL85" s="42"/>
      <c r="AM85" s="42"/>
      <c r="AN85" s="42"/>
      <c r="AO85" s="42"/>
      <c r="AP85" s="42"/>
      <c r="AQ85" s="42"/>
      <c r="AR85" s="42"/>
      <c r="AS85" s="42"/>
      <c r="AT85" s="42"/>
      <c r="AU85" s="42"/>
      <c r="AV85" s="42"/>
      <c r="AW85" s="42"/>
      <c r="AX85" s="42"/>
      <c r="AY85" s="42"/>
      <c r="AZ85" s="42"/>
      <c r="BA85" s="42"/>
      <c r="BB85" s="42"/>
      <c r="BC85" s="42"/>
      <c r="BD85" s="42"/>
      <c r="BE85" s="42"/>
      <c r="BF85" s="42"/>
      <c r="BG85" s="42"/>
      <c r="BH85" s="42"/>
      <c r="BI85" s="42"/>
      <c r="BJ85" s="42"/>
      <c r="BK85" s="42"/>
      <c r="BL85" s="42"/>
      <c r="BM85" s="42"/>
      <c r="BN85" s="42"/>
    </row>
    <row r="86" spans="1:66" ht="12.75" customHeight="1" x14ac:dyDescent="0.2">
      <c r="A86" s="1" t="s">
        <v>292</v>
      </c>
      <c r="B86" s="4">
        <f>_xll.ciqfunctions.udf.CIQ(InputTicker,"IQ_EBITA_EQ_INC",Input!D$2,Date,,,Ccy,Conv)</f>
        <v>28166</v>
      </c>
      <c r="C86" s="4">
        <f>_xll.ciqfunctions.udf.CIQ(InputTicker,"IQ_EBITA_EQ_INC",Input!E$2,Date,,,Ccy,Conv)</f>
        <v>31031</v>
      </c>
      <c r="D86" s="4">
        <f>_xll.ciqfunctions.udf.CIQ(InputTicker,"IQ_EBITA_EQ_INC",Input!F$2,Date,,,Ccy,Conv)</f>
        <v>37258</v>
      </c>
      <c r="E86" s="4">
        <f>_xll.ciqfunctions.udf.CIQ(InputTicker,"IQ_EBITA_EQ_INC",Input!G$2,Date,,,Ccy,Conv)</f>
        <v>44859</v>
      </c>
      <c r="F86" s="4">
        <f>_xll.ciqfunctions.udf.CIQ(InputTicker,"IQ_EBITA_EQ_INC",Input!H$2,Date,,,Ccy,Conv)</f>
        <v>54559</v>
      </c>
      <c r="G86" s="4">
        <f>_xll.ciqfunctions.udf.CIQ(InputTicker,"IQ_EBITA_EQ_INC",Input!I$2,Date,,,Ccy,Conv)</f>
        <v>71516</v>
      </c>
      <c r="H86" s="4">
        <f>_xll.ciqfunctions.udf.CIQ(InputTicker,"IQ_EBITA_EQ_INC",Input!J$2,Date,,,Ccy,Conv)</f>
        <v>85351</v>
      </c>
      <c r="I86" s="4">
        <f>_xll.ciqfunctions.udf.CIQ(InputTicker,"IQ_EBITA_EQ_INC",Input!K$2,Date,,,Ccy,Conv)</f>
        <v>91023</v>
      </c>
      <c r="J86" s="4">
        <f>_xll.ciqfunctions.udf.CIQ(InputTicker,"IQ_EBITA_EQ_INC",Input!L$2,Date,,,Ccy,Conv)</f>
        <v>112914</v>
      </c>
      <c r="K86" s="4">
        <f>_xll.ciqfunctions.udf.CIQ(InputTicker,"IQ_EBITA_EQ_INC",Input!M$2,Date,,,Ccy,Conv)</f>
        <v>129803</v>
      </c>
      <c r="L86" s="4">
        <f>_xll.ciqfunctions.udf.CIQ(InputTicker,"IQ_EBITA_EQ_INC",Input!N$2,Date,,,Ccy,Conv)</f>
        <v>164659</v>
      </c>
      <c r="M86" s="4">
        <f>_xll.ciqfunctions.udf.CIQ(InputTicker,"IQ_EBITA_EQ_INC",Input!O$2,Date,,,Ccy,Conv)</f>
        <v>164659</v>
      </c>
      <c r="N86" s="50"/>
      <c r="P86" s="46"/>
      <c r="Q86" s="46"/>
      <c r="R86" s="46"/>
      <c r="T86" s="42"/>
      <c r="U86" s="42"/>
      <c r="V86" s="46"/>
      <c r="W86" s="42"/>
      <c r="X86" s="42"/>
      <c r="Y86" s="42"/>
      <c r="Z86" s="42"/>
      <c r="AA86" s="42"/>
      <c r="AB86" s="42"/>
      <c r="AC86" s="42"/>
      <c r="AD86" s="42"/>
      <c r="AE86" s="42"/>
      <c r="AF86" s="42"/>
      <c r="AG86" s="42"/>
      <c r="AH86" s="42"/>
      <c r="AI86" s="42"/>
      <c r="AJ86" s="42"/>
      <c r="AK86" s="42"/>
      <c r="AL86" s="42"/>
      <c r="AM86" s="42"/>
      <c r="AN86" s="42"/>
      <c r="AO86" s="42"/>
      <c r="AP86" s="42"/>
      <c r="AQ86" s="42"/>
      <c r="AR86" s="42"/>
      <c r="AS86" s="42"/>
      <c r="AT86" s="42"/>
      <c r="AU86" s="42"/>
      <c r="AV86" s="42"/>
      <c r="AW86" s="42"/>
      <c r="AX86" s="42"/>
      <c r="AY86" s="42"/>
      <c r="AZ86" s="42"/>
      <c r="BA86" s="42"/>
      <c r="BB86" s="42"/>
      <c r="BC86" s="42"/>
      <c r="BD86" s="42"/>
      <c r="BE86" s="42"/>
      <c r="BF86" s="42"/>
      <c r="BG86" s="42"/>
      <c r="BH86" s="42"/>
      <c r="BI86" s="42"/>
      <c r="BJ86" s="42"/>
      <c r="BK86" s="42"/>
      <c r="BL86" s="42"/>
      <c r="BM86" s="42"/>
      <c r="BN86" s="42"/>
    </row>
    <row r="87" spans="1:66" ht="12.75" customHeight="1" x14ac:dyDescent="0.2">
      <c r="A87" s="1" t="s">
        <v>293</v>
      </c>
      <c r="B87" s="4">
        <f>_xll.ciqfunctions.udf.CIQ(InputTicker,"IQ_EBITA_EQ_INC_EXCL_SBC",Input!D$2,Date,,,Ccy,Conv)</f>
        <v>30834</v>
      </c>
      <c r="C87" s="4">
        <f>_xll.ciqfunctions.udf.CIQ(InputTicker,"IQ_EBITA_EQ_INC_EXCL_SBC",Input!E$2,Date,,,Ccy,Conv)</f>
        <v>34297</v>
      </c>
      <c r="D87" s="4">
        <f>_xll.ciqfunctions.udf.CIQ(InputTicker,"IQ_EBITA_EQ_INC_EXCL_SBC",Input!F$2,Date,,,Ccy,Conv)</f>
        <v>41198</v>
      </c>
      <c r="E87" s="4">
        <f>_xll.ciqfunctions.udf.CIQ(InputTicker,"IQ_EBITA_EQ_INC_EXCL_SBC",Input!G$2,Date,,,Ccy,Conv)</f>
        <v>49511</v>
      </c>
      <c r="F87" s="4">
        <f>_xll.ciqfunctions.udf.CIQ(InputTicker,"IQ_EBITA_EQ_INC_EXCL_SBC",Input!H$2,Date,,,Ccy,Conv)</f>
        <v>59848</v>
      </c>
      <c r="G87" s="4">
        <f>_xll.ciqfunctions.udf.CIQ(InputTicker,"IQ_EBITA_EQ_INC_EXCL_SBC",Input!I$2,Date,,,Ccy,Conv)</f>
        <v>77634</v>
      </c>
      <c r="H87" s="4">
        <f>_xll.ciqfunctions.udf.CIQ(InputTicker,"IQ_EBITA_EQ_INC_EXCL_SBC",Input!J$2,Date,,,Ccy,Conv)</f>
        <v>92853</v>
      </c>
      <c r="I87" s="4">
        <f>_xll.ciqfunctions.udf.CIQ(InputTicker,"IQ_EBITA_EQ_INC_EXCL_SBC",Input!K$2,Date,,,Ccy,Conv)</f>
        <v>100634</v>
      </c>
      <c r="J87" s="4">
        <f>_xll.ciqfunctions.udf.CIQ(InputTicker,"IQ_EBITA_EQ_INC_EXCL_SBC",Input!L$2,Date,,,Ccy,Conv)</f>
        <v>123648</v>
      </c>
      <c r="K87" s="4">
        <f>_xll.ciqfunctions.udf.CIQ(InputTicker,"IQ_EBITA_EQ_INC_EXCL_SBC",Input!M$2,Date,,,Ccy,Conv)</f>
        <v>141777</v>
      </c>
      <c r="L87" s="4">
        <f>_xll.ciqfunctions.udf.CIQ(InputTicker,"IQ_EBITA_EQ_INC_EXCL_SBC",Input!N$2,Date,,,Ccy,Conv)</f>
        <v>177064</v>
      </c>
      <c r="M87" s="4">
        <f>_xll.ciqfunctions.udf.CIQ(InputTicker,"IQ_EBITA_EQ_INC_EXCL_SBC",Input!O$2,Date,,,Ccy,Conv)</f>
        <v>177064</v>
      </c>
      <c r="N87" s="50"/>
      <c r="P87" s="46"/>
      <c r="Q87" s="46"/>
      <c r="R87" s="46"/>
      <c r="T87" s="42"/>
      <c r="U87" s="42"/>
      <c r="V87" s="46"/>
      <c r="W87" s="42"/>
      <c r="X87" s="42"/>
      <c r="Y87" s="42"/>
      <c r="Z87" s="42"/>
      <c r="AA87" s="42"/>
      <c r="AB87" s="42"/>
      <c r="AC87" s="42"/>
      <c r="AD87" s="42"/>
      <c r="AE87" s="42"/>
      <c r="AF87" s="42"/>
      <c r="AG87" s="42"/>
      <c r="AH87" s="42"/>
      <c r="AI87" s="42"/>
      <c r="AJ87" s="42"/>
      <c r="AK87" s="42"/>
      <c r="AL87" s="42"/>
      <c r="AM87" s="42"/>
      <c r="AN87" s="42"/>
      <c r="AO87" s="42"/>
      <c r="AP87" s="42"/>
      <c r="AQ87" s="42"/>
      <c r="AR87" s="42"/>
      <c r="AS87" s="42"/>
      <c r="AT87" s="42"/>
      <c r="AU87" s="42"/>
      <c r="AV87" s="42"/>
      <c r="AW87" s="42"/>
      <c r="AX87" s="42"/>
      <c r="AY87" s="42"/>
      <c r="AZ87" s="42"/>
      <c r="BA87" s="42"/>
      <c r="BB87" s="42"/>
      <c r="BC87" s="42"/>
      <c r="BD87" s="42"/>
      <c r="BE87" s="42"/>
      <c r="BF87" s="42"/>
      <c r="BG87" s="42"/>
      <c r="BH87" s="42"/>
      <c r="BI87" s="42"/>
      <c r="BJ87" s="42"/>
      <c r="BK87" s="42"/>
      <c r="BL87" s="42"/>
      <c r="BM87" s="42"/>
      <c r="BN87" s="42"/>
    </row>
    <row r="88" spans="1:66" ht="12.75" customHeight="1" x14ac:dyDescent="0.2">
      <c r="A88" s="1" t="s">
        <v>294</v>
      </c>
      <c r="B88" s="4">
        <f>_xll.ciqfunctions.udf.CIQ(InputTicker,"IQ_EBITA_EXCL_SBC",Input!D$2,Date,,,Ccy,Conv)</f>
        <v>30834</v>
      </c>
      <c r="C88" s="4">
        <f>_xll.ciqfunctions.udf.CIQ(InputTicker,"IQ_EBITA_EXCL_SBC",Input!E$2,Date,,,Ccy,Conv)</f>
        <v>34297</v>
      </c>
      <c r="D88" s="4">
        <f>_xll.ciqfunctions.udf.CIQ(InputTicker,"IQ_EBITA_EXCL_SBC",Input!F$2,Date,,,Ccy,Conv)</f>
        <v>41198</v>
      </c>
      <c r="E88" s="4">
        <f>_xll.ciqfunctions.udf.CIQ(InputTicker,"IQ_EBITA_EXCL_SBC",Input!G$2,Date,,,Ccy,Conv)</f>
        <v>49511</v>
      </c>
      <c r="F88" s="4">
        <f>_xll.ciqfunctions.udf.CIQ(InputTicker,"IQ_EBITA_EXCL_SBC",Input!H$2,Date,,,Ccy,Conv)</f>
        <v>59848</v>
      </c>
      <c r="G88" s="4">
        <f>_xll.ciqfunctions.udf.CIQ(InputTicker,"IQ_EBITA_EXCL_SBC",Input!I$2,Date,,,Ccy,Conv)</f>
        <v>77634</v>
      </c>
      <c r="H88" s="4">
        <f>_xll.ciqfunctions.udf.CIQ(InputTicker,"IQ_EBITA_EXCL_SBC",Input!J$2,Date,,,Ccy,Conv)</f>
        <v>92885</v>
      </c>
      <c r="I88" s="4">
        <f>_xll.ciqfunctions.udf.CIQ(InputTicker,"IQ_EBITA_EXCL_SBC",Input!K$2,Date,,,Ccy,Conv)</f>
        <v>100634</v>
      </c>
      <c r="J88" s="4">
        <f>_xll.ciqfunctions.udf.CIQ(InputTicker,"IQ_EBITA_EXCL_SBC",Input!L$2,Date,,,Ccy,Conv)</f>
        <v>124967</v>
      </c>
      <c r="K88" s="4">
        <f>_xll.ciqfunctions.udf.CIQ(InputTicker,"IQ_EBITA_EXCL_SBC",Input!M$2,Date,,,Ccy,Conv)</f>
        <v>146502</v>
      </c>
      <c r="L88" s="4">
        <f>_xll.ciqfunctions.udf.CIQ(InputTicker,"IQ_EBITA_EXCL_SBC",Input!N$2,Date,,,Ccy,Conv)</f>
        <v>172342</v>
      </c>
      <c r="M88" s="4">
        <f>_xll.ciqfunctions.udf.CIQ(InputTicker,"IQ_EBITA_EXCL_SBC",Input!O$2,Date,,,Ccy,Conv)</f>
        <v>172342</v>
      </c>
      <c r="N88" s="50"/>
      <c r="P88" s="46"/>
      <c r="Q88" s="46"/>
      <c r="R88" s="46"/>
      <c r="T88" s="42"/>
      <c r="U88" s="42"/>
      <c r="V88" s="46"/>
      <c r="W88" s="42"/>
      <c r="X88" s="42"/>
      <c r="Y88" s="42"/>
      <c r="Z88" s="42"/>
      <c r="AA88" s="42"/>
      <c r="AB88" s="42"/>
      <c r="AC88" s="42"/>
      <c r="AD88" s="42"/>
      <c r="AE88" s="42"/>
      <c r="AF88" s="42"/>
      <c r="AG88" s="42"/>
      <c r="AH88" s="42"/>
      <c r="AI88" s="42"/>
      <c r="AJ88" s="42"/>
      <c r="AK88" s="42"/>
      <c r="AL88" s="42"/>
      <c r="AM88" s="42"/>
      <c r="AN88" s="42"/>
      <c r="AO88" s="42"/>
      <c r="AP88" s="42"/>
      <c r="AQ88" s="42"/>
      <c r="AR88" s="42"/>
      <c r="AS88" s="42"/>
      <c r="AT88" s="42"/>
      <c r="AU88" s="42"/>
      <c r="AV88" s="42"/>
      <c r="AW88" s="42"/>
      <c r="AX88" s="42"/>
      <c r="AY88" s="42"/>
      <c r="AZ88" s="42"/>
      <c r="BA88" s="42"/>
      <c r="BB88" s="42"/>
      <c r="BC88" s="42"/>
      <c r="BD88" s="42"/>
      <c r="BE88" s="42"/>
      <c r="BF88" s="42"/>
      <c r="BG88" s="42"/>
      <c r="BH88" s="42"/>
      <c r="BI88" s="42"/>
      <c r="BJ88" s="42"/>
      <c r="BK88" s="42"/>
      <c r="BL88" s="42"/>
      <c r="BM88" s="42"/>
      <c r="BN88" s="42"/>
    </row>
    <row r="89" spans="1:66" ht="12.75" customHeight="1" x14ac:dyDescent="0.2">
      <c r="A89" s="1" t="s">
        <v>309</v>
      </c>
      <c r="B89" s="4">
        <f>_xll.ciqfunctions.udf.CIQ(InputTicker,"IQ_EBITDAR",Input!D$2,Date,,,Ccy,Conv)</f>
        <v>34002</v>
      </c>
      <c r="C89" s="4">
        <f>_xll.ciqfunctions.udf.CIQ(InputTicker,"IQ_EBITDAR",Input!E$2,Date,,,Ccy,Conv)</f>
        <v>38543</v>
      </c>
      <c r="D89" s="4">
        <f>_xll.ciqfunctions.udf.CIQ(InputTicker,"IQ_EBITDAR",Input!F$2,Date,,,Ccy,Conv)</f>
        <v>46543</v>
      </c>
      <c r="E89" s="4">
        <f>_xll.ciqfunctions.udf.CIQ(InputTicker,"IQ_EBITDAR",Input!G$2,Date,,,Ccy,Conv)</f>
        <v>56266</v>
      </c>
      <c r="F89" s="4">
        <f>_xll.ciqfunctions.udf.CIQ(InputTicker,"IQ_EBITDAR",Input!H$2,Date,,,Ccy,Conv)</f>
        <v>67302</v>
      </c>
      <c r="G89" s="4">
        <f>_xll.ciqfunctions.udf.CIQ(InputTicker,"IQ_EBITDAR",Input!I$2,Date,,,Ccy,Conv)</f>
        <v>82943</v>
      </c>
      <c r="H89" s="4">
        <f>_xll.ciqfunctions.udf.CIQ(InputTicker,"IQ_EBITDAR",Input!J$2,Date,,,Ccy,Conv)</f>
        <v>100444</v>
      </c>
      <c r="I89" s="4">
        <f>_xll.ciqfunctions.udf.CIQ(InputTicker,"IQ_EBITDAR",Input!K$2,Date,,,Ccy,Conv)</f>
        <v>104898</v>
      </c>
      <c r="J89" s="4">
        <f>_xll.ciqfunctions.udf.CIQ(InputTicker,"IQ_EBITDAR",Input!L$2,Date,,,Ccy,Conv)</f>
        <v>132988</v>
      </c>
      <c r="K89" s="4">
        <f>_xll.ciqfunctions.udf.CIQ(InputTicker,"IQ_EBITDAR",Input!M$2,Date,,,Ccy,Conv)</f>
        <v>162052</v>
      </c>
      <c r="L89" s="4">
        <f>_xll.ciqfunctions.udf.CIQ(InputTicker,"IQ_EBITDAR",Input!N$2,Date,,,Ccy,Conv)</f>
        <v>201205</v>
      </c>
      <c r="M89" s="4">
        <f>_xll.ciqfunctions.udf.CIQ(InputTicker,"IQ_EBITDAR",Input!O$2,Date,,,Ccy,Conv)</f>
        <v>201205</v>
      </c>
      <c r="N89" s="50"/>
      <c r="P89" s="46"/>
      <c r="Q89" s="46"/>
      <c r="R89" s="46"/>
      <c r="T89" s="42"/>
      <c r="U89" s="42"/>
      <c r="V89" s="46"/>
      <c r="W89" s="42"/>
      <c r="X89" s="42"/>
      <c r="Y89" s="42"/>
      <c r="Z89" s="42"/>
      <c r="AA89" s="42"/>
      <c r="AB89" s="42"/>
      <c r="AC89" s="42"/>
      <c r="AD89" s="42"/>
      <c r="AE89" s="42"/>
      <c r="AF89" s="42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42"/>
      <c r="BD89" s="42"/>
      <c r="BE89" s="42"/>
      <c r="BF89" s="42"/>
      <c r="BG89" s="42"/>
      <c r="BH89" s="42"/>
      <c r="BI89" s="42"/>
      <c r="BJ89" s="42"/>
      <c r="BK89" s="42"/>
      <c r="BL89" s="42"/>
      <c r="BM89" s="42"/>
      <c r="BN89" s="42"/>
    </row>
    <row r="90" spans="1:66" ht="12.75" customHeight="1" x14ac:dyDescent="0.2">
      <c r="A90" s="1" t="s">
        <v>295</v>
      </c>
      <c r="B90" s="4">
        <f>_xll.ciqfunctions.udf.CIQ(InputTicker,"IQ_EBITDAR_EQ_INC",Input!D$2,Date,,,Ccy,Conv)</f>
        <v>34002</v>
      </c>
      <c r="C90" s="4">
        <f>_xll.ciqfunctions.udf.CIQ(InputTicker,"IQ_EBITDAR_EQ_INC",Input!E$2,Date,,,Ccy,Conv)</f>
        <v>39955</v>
      </c>
      <c r="D90" s="4">
        <f>_xll.ciqfunctions.udf.CIQ(InputTicker,"IQ_EBITDAR_EQ_INC",Input!F$2,Date,,,Ccy,Conv)</f>
        <v>48128</v>
      </c>
      <c r="E90" s="4">
        <f>_xll.ciqfunctions.udf.CIQ(InputTicker,"IQ_EBITDAR_EQ_INC",Input!G$2,Date,,,Ccy,Conv)</f>
        <v>57973</v>
      </c>
      <c r="F90" s="4">
        <f>_xll.ciqfunctions.udf.CIQ(InputTicker,"IQ_EBITDAR_EQ_INC",Input!H$2,Date,,,Ccy,Conv)</f>
        <v>69345</v>
      </c>
      <c r="G90" s="4">
        <f>_xll.ciqfunctions.udf.CIQ(InputTicker,"IQ_EBITDAR_EQ_INC",Input!I$2,Date,,,Ccy,Conv)</f>
        <v>85070</v>
      </c>
      <c r="H90" s="4">
        <f>_xll.ciqfunctions.udf.CIQ(InputTicker,"IQ_EBITDAR_EQ_INC",Input!J$2,Date,,,Ccy,Conv)</f>
        <v>102873</v>
      </c>
      <c r="I90" s="4">
        <f>_xll.ciqfunctions.udf.CIQ(InputTicker,"IQ_EBITDAR_EQ_INC",Input!K$2,Date,,,Ccy,Conv)</f>
        <v>107773</v>
      </c>
      <c r="J90" s="4">
        <f>_xll.ciqfunctions.udf.CIQ(InputTicker,"IQ_EBITDAR_EQ_INC",Input!L$2,Date,,,Ccy,Conv)</f>
        <v>135224</v>
      </c>
      <c r="K90" s="4">
        <f>_xll.ciqfunctions.udf.CIQ(InputTicker,"IQ_EBITDAR_EQ_INC",Input!M$2,Date,,,Ccy,Conv)</f>
        <v>162851</v>
      </c>
      <c r="L90" s="4">
        <f>_xll.ciqfunctions.udf.CIQ(InputTicker,"IQ_EBITDAR_EQ_INC",Input!N$2,Date,,,Ccy,Conv)</f>
        <v>212895</v>
      </c>
      <c r="M90" s="4">
        <f>_xll.ciqfunctions.udf.CIQ(InputTicker,"IQ_EBITDAR_EQ_INC",Input!O$2,Date,,,Ccy,Conv)</f>
        <v>212895</v>
      </c>
      <c r="N90" s="50"/>
      <c r="P90" s="46"/>
      <c r="Q90" s="46"/>
      <c r="R90" s="46"/>
      <c r="T90" s="42"/>
      <c r="U90" s="42"/>
      <c r="V90" s="46"/>
      <c r="W90" s="42"/>
      <c r="X90" s="42"/>
      <c r="Y90" s="42"/>
      <c r="Z90" s="42"/>
      <c r="AA90" s="42"/>
      <c r="AB90" s="42"/>
      <c r="AC90" s="42"/>
      <c r="AD90" s="42"/>
      <c r="AE90" s="42"/>
      <c r="AF90" s="42"/>
      <c r="AG90" s="42"/>
      <c r="AH90" s="42"/>
      <c r="AI90" s="42"/>
      <c r="AJ90" s="42"/>
      <c r="AK90" s="42"/>
      <c r="AL90" s="42"/>
      <c r="AM90" s="42"/>
      <c r="AN90" s="42"/>
      <c r="AO90" s="42"/>
      <c r="AP90" s="42"/>
      <c r="AQ90" s="42"/>
      <c r="AR90" s="42"/>
      <c r="AS90" s="42"/>
      <c r="AT90" s="42"/>
      <c r="AU90" s="42"/>
      <c r="AV90" s="42"/>
      <c r="AW90" s="42"/>
      <c r="AX90" s="42"/>
      <c r="AY90" s="42"/>
      <c r="AZ90" s="42"/>
      <c r="BA90" s="42"/>
      <c r="BB90" s="42"/>
      <c r="BC90" s="42"/>
      <c r="BD90" s="42"/>
      <c r="BE90" s="42"/>
      <c r="BF90" s="42"/>
      <c r="BG90" s="42"/>
      <c r="BH90" s="42"/>
      <c r="BI90" s="42"/>
      <c r="BJ90" s="42"/>
      <c r="BK90" s="42"/>
      <c r="BL90" s="42"/>
      <c r="BM90" s="42"/>
      <c r="BN90" s="42"/>
    </row>
    <row r="91" spans="1:66" ht="12.75" customHeight="1" x14ac:dyDescent="0.2">
      <c r="A91" s="1" t="s">
        <v>296</v>
      </c>
      <c r="B91" s="4">
        <f>_xll.ciqfunctions.udf.CIQ(InputTicker,"IQ_EBITDAR_EQ_INC_EXCL_SBC",Input!D$2,Date,,,Ccy,Conv)</f>
        <v>36670</v>
      </c>
      <c r="C91" s="4">
        <f>_xll.ciqfunctions.udf.CIQ(InputTicker,"IQ_EBITDAR_EQ_INC_EXCL_SBC",Input!E$2,Date,,,Ccy,Conv)</f>
        <v>41809</v>
      </c>
      <c r="D91" s="4">
        <f>_xll.ciqfunctions.udf.CIQ(InputTicker,"IQ_EBITDAR_EQ_INC_EXCL_SBC",Input!F$2,Date,,,Ccy,Conv)</f>
        <v>50483</v>
      </c>
      <c r="E91" s="4">
        <f>_xll.ciqfunctions.udf.CIQ(InputTicker,"IQ_EBITDAR_EQ_INC_EXCL_SBC",Input!G$2,Date,,,Ccy,Conv)</f>
        <v>60918</v>
      </c>
      <c r="F91" s="4">
        <f>_xll.ciqfunctions.udf.CIQ(InputTicker,"IQ_EBITDAR_EQ_INC_EXCL_SBC",Input!H$2,Date,,,Ccy,Conv)</f>
        <v>72591</v>
      </c>
      <c r="G91" s="4">
        <f>_xll.ciqfunctions.udf.CIQ(InputTicker,"IQ_EBITDAR_EQ_INC_EXCL_SBC",Input!I$2,Date,,,Ccy,Conv)</f>
        <v>89061</v>
      </c>
      <c r="H91" s="4">
        <f>_xll.ciqfunctions.udf.CIQ(InputTicker,"IQ_EBITDAR_EQ_INC_EXCL_SBC",Input!J$2,Date,,,Ccy,Conv)</f>
        <v>107914</v>
      </c>
      <c r="I91" s="4">
        <f>_xll.ciqfunctions.udf.CIQ(InputTicker,"IQ_EBITDAR_EQ_INC_EXCL_SBC",Input!K$2,Date,,,Ccy,Conv)</f>
        <v>114509</v>
      </c>
      <c r="J91" s="4">
        <f>_xll.ciqfunctions.udf.CIQ(InputTicker,"IQ_EBITDAR_EQ_INC_EXCL_SBC",Input!L$2,Date,,,Ccy,Conv)</f>
        <v>142403</v>
      </c>
      <c r="K91" s="4">
        <f>_xll.ciqfunctions.udf.CIQ(InputTicker,"IQ_EBITDAR_EQ_INC_EXCL_SBC",Input!M$2,Date,,,Ccy,Conv)</f>
        <v>169301</v>
      </c>
      <c r="L91" s="4">
        <f>_xll.ciqfunctions.udf.CIQ(InputTicker,"IQ_EBITDAR_EQ_INC_EXCL_SBC",Input!N$2,Date,,,Ccy,Conv)</f>
        <v>218332</v>
      </c>
      <c r="M91" s="4">
        <f>_xll.ciqfunctions.udf.CIQ(InputTicker,"IQ_EBITDAR_EQ_INC_EXCL_SBC",Input!O$2,Date,,,Ccy,Conv)</f>
        <v>218332</v>
      </c>
      <c r="N91" s="50"/>
      <c r="P91" s="46"/>
      <c r="Q91" s="46"/>
      <c r="R91" s="46"/>
      <c r="T91" s="42"/>
      <c r="U91" s="42"/>
      <c r="V91" s="46"/>
      <c r="W91" s="42"/>
      <c r="X91" s="42"/>
      <c r="Y91" s="42"/>
      <c r="Z91" s="42"/>
      <c r="AA91" s="42"/>
      <c r="AB91" s="42"/>
      <c r="AC91" s="42"/>
      <c r="AD91" s="42"/>
      <c r="AE91" s="42"/>
      <c r="AF91" s="42"/>
      <c r="AG91" s="42"/>
      <c r="AH91" s="42"/>
      <c r="AI91" s="42"/>
      <c r="AJ91" s="42"/>
      <c r="AK91" s="42"/>
      <c r="AL91" s="42"/>
      <c r="AM91" s="42"/>
      <c r="AN91" s="42"/>
      <c r="AO91" s="42"/>
      <c r="AP91" s="42"/>
      <c r="AQ91" s="42"/>
      <c r="AR91" s="42"/>
      <c r="AS91" s="42"/>
      <c r="AT91" s="42"/>
      <c r="AU91" s="42"/>
      <c r="AV91" s="42"/>
      <c r="AW91" s="42"/>
      <c r="AX91" s="42"/>
      <c r="AY91" s="42"/>
      <c r="AZ91" s="42"/>
      <c r="BA91" s="42"/>
      <c r="BB91" s="42"/>
      <c r="BC91" s="42"/>
      <c r="BD91" s="42"/>
      <c r="BE91" s="42"/>
      <c r="BF91" s="42"/>
      <c r="BG91" s="42"/>
      <c r="BH91" s="42"/>
      <c r="BI91" s="42"/>
      <c r="BJ91" s="42"/>
      <c r="BK91" s="42"/>
      <c r="BL91" s="42"/>
      <c r="BM91" s="42"/>
      <c r="BN91" s="42"/>
    </row>
    <row r="92" spans="1:66" ht="12.75" customHeight="1" x14ac:dyDescent="0.2">
      <c r="A92" s="1" t="s">
        <v>297</v>
      </c>
      <c r="B92" s="4">
        <f>_xll.ciqfunctions.udf.CIQ(InputTicker,"IQ_EBITDAR_EXCL_SBC",Input!D$2,Date,,,Ccy,Conv)</f>
        <v>36670</v>
      </c>
      <c r="C92" s="4">
        <f>_xll.ciqfunctions.udf.CIQ(InputTicker,"IQ_EBITDAR_EXCL_SBC",Input!E$2,Date,,,Ccy,Conv)</f>
        <v>41809</v>
      </c>
      <c r="D92" s="4">
        <f>_xll.ciqfunctions.udf.CIQ(InputTicker,"IQ_EBITDAR_EXCL_SBC",Input!F$2,Date,,,Ccy,Conv)</f>
        <v>50483</v>
      </c>
      <c r="E92" s="4">
        <f>_xll.ciqfunctions.udf.CIQ(InputTicker,"IQ_EBITDAR_EXCL_SBC",Input!G$2,Date,,,Ccy,Conv)</f>
        <v>60918</v>
      </c>
      <c r="F92" s="4">
        <f>_xll.ciqfunctions.udf.CIQ(InputTicker,"IQ_EBITDAR_EXCL_SBC",Input!H$2,Date,,,Ccy,Conv)</f>
        <v>72591</v>
      </c>
      <c r="G92" s="4">
        <f>_xll.ciqfunctions.udf.CIQ(InputTicker,"IQ_EBITDAR_EXCL_SBC",Input!I$2,Date,,,Ccy,Conv)</f>
        <v>89061</v>
      </c>
      <c r="H92" s="4">
        <f>_xll.ciqfunctions.udf.CIQ(InputTicker,"IQ_EBITDAR_EXCL_SBC",Input!J$2,Date,,,Ccy,Conv)</f>
        <v>107946</v>
      </c>
      <c r="I92" s="4">
        <f>_xll.ciqfunctions.udf.CIQ(InputTicker,"IQ_EBITDAR_EXCL_SBC",Input!K$2,Date,,,Ccy,Conv)</f>
        <v>114509</v>
      </c>
      <c r="J92" s="4">
        <f>_xll.ciqfunctions.udf.CIQ(InputTicker,"IQ_EBITDAR_EXCL_SBC",Input!L$2,Date,,,Ccy,Conv)</f>
        <v>143722</v>
      </c>
      <c r="K92" s="4">
        <f>_xll.ciqfunctions.udf.CIQ(InputTicker,"IQ_EBITDAR_EXCL_SBC",Input!M$2,Date,,,Ccy,Conv)</f>
        <v>174026</v>
      </c>
      <c r="L92" s="4">
        <f>_xll.ciqfunctions.udf.CIQ(InputTicker,"IQ_EBITDAR_EXCL_SBC",Input!N$2,Date,,,Ccy,Conv)</f>
        <v>213610</v>
      </c>
      <c r="M92" s="4">
        <f>_xll.ciqfunctions.udf.CIQ(InputTicker,"IQ_EBITDAR_EXCL_SBC",Input!O$2,Date,,,Ccy,Conv)</f>
        <v>213610</v>
      </c>
      <c r="N92" s="50"/>
      <c r="P92" s="46"/>
      <c r="Q92" s="46"/>
      <c r="R92" s="46"/>
      <c r="T92" s="42"/>
      <c r="U92" s="42"/>
      <c r="V92" s="46"/>
      <c r="W92" s="42"/>
      <c r="X92" s="42"/>
      <c r="Y92" s="42"/>
      <c r="Z92" s="42"/>
      <c r="AA92" s="42"/>
      <c r="AB92" s="42"/>
      <c r="AC92" s="42"/>
      <c r="AD92" s="42"/>
      <c r="AE92" s="42"/>
      <c r="AF92" s="42"/>
      <c r="AG92" s="42"/>
      <c r="AH92" s="42"/>
      <c r="AI92" s="42"/>
      <c r="AJ92" s="42"/>
      <c r="AK92" s="42"/>
      <c r="AL92" s="42"/>
      <c r="AM92" s="42"/>
      <c r="AN92" s="42"/>
      <c r="AO92" s="42"/>
      <c r="AP92" s="42"/>
      <c r="AQ92" s="42"/>
      <c r="AR92" s="42"/>
      <c r="AS92" s="42"/>
      <c r="AT92" s="42"/>
      <c r="AU92" s="42"/>
      <c r="AV92" s="42"/>
      <c r="AW92" s="42"/>
      <c r="AX92" s="42"/>
      <c r="AY92" s="42"/>
      <c r="AZ92" s="42"/>
      <c r="BA92" s="42"/>
      <c r="BB92" s="42"/>
      <c r="BC92" s="42"/>
      <c r="BD92" s="42"/>
      <c r="BE92" s="42"/>
      <c r="BF92" s="42"/>
      <c r="BG92" s="42"/>
      <c r="BH92" s="42"/>
      <c r="BI92" s="42"/>
      <c r="BJ92" s="42"/>
      <c r="BK92" s="42"/>
      <c r="BL92" s="42"/>
      <c r="BM92" s="42"/>
      <c r="BN92" s="42"/>
    </row>
    <row r="93" spans="1:66" ht="12.75" customHeight="1" x14ac:dyDescent="0.2">
      <c r="A93" s="1" t="s">
        <v>430</v>
      </c>
      <c r="B93" s="4">
        <f>_xll.ciqfunctions.udf.CIQ(InputTicker,"IQ_EBITDA_CAPEX",Input!D$2,Date,,,Ccy,Conv)</f>
        <v>24723</v>
      </c>
      <c r="C93" s="4">
        <f>_xll.ciqfunctions.udf.CIQ(InputTicker,"IQ_EBITDA_CAPEX",Input!E$2,Date,,,Ccy,Conv)</f>
        <v>29002</v>
      </c>
      <c r="D93" s="4">
        <f>_xll.ciqfunctions.udf.CIQ(InputTicker,"IQ_EBITDA_CAPEX",Input!F$2,Date,,,Ccy,Conv)</f>
        <v>33326</v>
      </c>
      <c r="E93" s="4">
        <f>_xll.ciqfunctions.udf.CIQ(InputTicker,"IQ_EBITDA_CAPEX",Input!G$2,Date,,,Ccy,Conv)</f>
        <v>40634</v>
      </c>
      <c r="F93" s="4">
        <f>_xll.ciqfunctions.udf.CIQ(InputTicker,"IQ_EBITDA_CAPEX",Input!H$2,Date,,,Ccy,Conv)</f>
        <v>49818</v>
      </c>
      <c r="G93" s="4">
        <f>_xll.ciqfunctions.udf.CIQ(InputTicker,"IQ_EBITDA_CAPEX",Input!I$2,Date,,,Ccy,Conv)</f>
        <v>60194</v>
      </c>
      <c r="H93" s="4">
        <f>_xll.ciqfunctions.udf.CIQ(InputTicker,"IQ_EBITDA_CAPEX",Input!J$2,Date,,,Ccy,Conv)</f>
        <v>74097</v>
      </c>
      <c r="I93" s="4">
        <f>_xll.ciqfunctions.udf.CIQ(InputTicker,"IQ_EBITDA_CAPEX",Input!K$2,Date,,,Ccy,Conv)</f>
        <v>73916</v>
      </c>
      <c r="J93" s="4">
        <f>_xll.ciqfunctions.udf.CIQ(InputTicker,"IQ_EBITDA_CAPEX",Input!L$2,Date,,,Ccy,Conv)</f>
        <v>84956</v>
      </c>
      <c r="K93" s="4">
        <f>_xll.ciqfunctions.udf.CIQ(InputTicker,"IQ_EBITDA_CAPEX",Input!M$2,Date,,,Ccy,Conv)</f>
        <v>91977</v>
      </c>
      <c r="L93" s="4">
        <f>_xll.ciqfunctions.udf.CIQ(InputTicker,"IQ_EBITDA_CAPEX",Input!N$2,Date,,,Ccy,Conv)</f>
        <v>78289</v>
      </c>
      <c r="M93" s="4">
        <f>_xll.ciqfunctions.udf.CIQ(InputTicker,"IQ_EBITDA_CAPEX",Input!O$2,Date,,,Ccy,Conv)</f>
        <v>78289</v>
      </c>
      <c r="N93" s="49"/>
      <c r="P93" s="46"/>
      <c r="Q93" s="46"/>
      <c r="R93" s="46"/>
      <c r="T93" s="42"/>
      <c r="U93" s="42"/>
      <c r="V93" s="46"/>
      <c r="W93" s="42"/>
      <c r="X93" s="42"/>
      <c r="Y93" s="42"/>
      <c r="Z93" s="42"/>
      <c r="AA93" s="42"/>
      <c r="AB93" s="42"/>
      <c r="AC93" s="42"/>
      <c r="AD93" s="42"/>
      <c r="AE93" s="42"/>
      <c r="AF93" s="42"/>
      <c r="AG93" s="42"/>
      <c r="AH93" s="42"/>
      <c r="AI93" s="42"/>
      <c r="AJ93" s="42"/>
      <c r="AK93" s="42"/>
      <c r="AL93" s="42"/>
      <c r="AM93" s="42"/>
      <c r="AN93" s="42"/>
      <c r="AO93" s="42"/>
      <c r="AP93" s="42"/>
      <c r="AQ93" s="42"/>
      <c r="AR93" s="42"/>
      <c r="AS93" s="42"/>
      <c r="AT93" s="42"/>
      <c r="AU93" s="42"/>
      <c r="AV93" s="42"/>
      <c r="AW93" s="42"/>
      <c r="AX93" s="42"/>
      <c r="AY93" s="42"/>
      <c r="AZ93" s="42"/>
      <c r="BA93" s="42"/>
      <c r="BB93" s="42"/>
      <c r="BC93" s="42"/>
      <c r="BD93" s="42"/>
      <c r="BE93" s="42"/>
      <c r="BF93" s="42"/>
      <c r="BG93" s="42"/>
      <c r="BH93" s="42"/>
      <c r="BI93" s="42"/>
      <c r="BJ93" s="42"/>
      <c r="BK93" s="42"/>
      <c r="BL93" s="42"/>
      <c r="BM93" s="42"/>
      <c r="BN93" s="42"/>
    </row>
    <row r="94" spans="1:66" ht="12.75" customHeight="1" x14ac:dyDescent="0.2">
      <c r="A94" s="1" t="s">
        <v>39</v>
      </c>
      <c r="B94" s="4">
        <f>_xll.ciqfunctions.udf.CIQ(InputTicker,"IQ_FEES_OTHER_INCOME",Input!D$2,Date,,,Ccy,Conv)</f>
        <v>0</v>
      </c>
      <c r="C94" s="4">
        <f>_xll.ciqfunctions.udf.CIQ(InputTicker,"IQ_FEES_OTHER_INCOME",Input!E$2,Date,,,Ccy,Conv)</f>
        <v>0</v>
      </c>
      <c r="D94" s="4">
        <f>_xll.ciqfunctions.udf.CIQ(InputTicker,"IQ_FEES_OTHER_INCOME",Input!F$2,Date,,,Ccy,Conv)</f>
        <v>0</v>
      </c>
      <c r="E94" s="4">
        <f>_xll.ciqfunctions.udf.CIQ(InputTicker,"IQ_FEES_OTHER_INCOME",Input!G$2,Date,,,Ccy,Conv)</f>
        <v>0</v>
      </c>
      <c r="F94" s="4">
        <f>_xll.ciqfunctions.udf.CIQ(InputTicker,"IQ_FEES_OTHER_INCOME",Input!H$2,Date,,,Ccy,Conv)</f>
        <v>0</v>
      </c>
      <c r="G94" s="4">
        <f>_xll.ciqfunctions.udf.CIQ(InputTicker,"IQ_FEES_OTHER_INCOME",Input!I$2,Date,,,Ccy,Conv)</f>
        <v>0</v>
      </c>
      <c r="H94" s="4">
        <f>_xll.ciqfunctions.udf.CIQ(InputTicker,"IQ_FEES_OTHER_INCOME",Input!J$2,Date,,,Ccy,Conv)</f>
        <v>0</v>
      </c>
      <c r="I94" s="4">
        <f>_xll.ciqfunctions.udf.CIQ(InputTicker,"IQ_FEES_OTHER_INCOME",Input!K$2,Date,,,Ccy,Conv)</f>
        <v>0</v>
      </c>
      <c r="J94" s="4">
        <f>_xll.ciqfunctions.udf.CIQ(InputTicker,"IQ_FEES_OTHER_INCOME",Input!L$2,Date,,,Ccy,Conv)</f>
        <v>0</v>
      </c>
      <c r="K94" s="4">
        <f>_xll.ciqfunctions.udf.CIQ(InputTicker,"IQ_FEES_OTHER_INCOME",Input!M$2,Date,,,Ccy,Conv)</f>
        <v>0</v>
      </c>
      <c r="L94" s="4">
        <f>_xll.ciqfunctions.udf.CIQ(InputTicker,"IQ_FEES_OTHER_INCOME",Input!N$2,Date,,,Ccy,Conv)</f>
        <v>0</v>
      </c>
      <c r="M94" s="4">
        <f>_xll.ciqfunctions.udf.CIQ(InputTicker,"IQ_FEES_OTHER_INCOME",Input!O$2,Date,,,Ccy,Conv)</f>
        <v>0</v>
      </c>
      <c r="N94" s="50"/>
      <c r="P94" s="46"/>
      <c r="Q94" s="46"/>
      <c r="R94" s="46"/>
      <c r="T94" s="42"/>
      <c r="U94" s="42"/>
      <c r="V94" s="46"/>
      <c r="W94" s="42"/>
      <c r="X94" s="42"/>
      <c r="Y94" s="42"/>
      <c r="Z94" s="42"/>
      <c r="AA94" s="42"/>
      <c r="AB94" s="42"/>
      <c r="AC94" s="42"/>
      <c r="AD94" s="42"/>
      <c r="AE94" s="42"/>
      <c r="AF94" s="42"/>
      <c r="AG94" s="42"/>
      <c r="AH94" s="42"/>
      <c r="AI94" s="42"/>
      <c r="AJ94" s="42"/>
      <c r="AK94" s="42"/>
      <c r="AL94" s="42"/>
      <c r="AM94" s="42"/>
      <c r="AN94" s="42"/>
      <c r="AO94" s="42"/>
      <c r="AP94" s="42"/>
      <c r="AQ94" s="42"/>
      <c r="AR94" s="42"/>
      <c r="AS94" s="42"/>
      <c r="AT94" s="42"/>
      <c r="AU94" s="42"/>
      <c r="AV94" s="42"/>
      <c r="AW94" s="42"/>
      <c r="AX94" s="42"/>
      <c r="AY94" s="42"/>
      <c r="AZ94" s="42"/>
      <c r="BA94" s="42"/>
      <c r="BB94" s="42"/>
      <c r="BC94" s="42"/>
      <c r="BD94" s="42"/>
      <c r="BE94" s="42"/>
      <c r="BF94" s="42"/>
      <c r="BG94" s="42"/>
      <c r="BH94" s="42"/>
      <c r="BI94" s="42"/>
      <c r="BJ94" s="42"/>
      <c r="BK94" s="42"/>
      <c r="BL94" s="42"/>
      <c r="BM94" s="42"/>
      <c r="BN94" s="42"/>
    </row>
    <row r="95" spans="1:66" ht="12.75" customHeight="1" x14ac:dyDescent="0.2">
      <c r="A95" s="1" t="s">
        <v>318</v>
      </c>
      <c r="B95" s="4">
        <f>_xll.ciqfunctions.udf.CIQ(InputTicker,"IQ_SAME_STORE",Input!D$2,Date)</f>
        <v>0</v>
      </c>
      <c r="C95" s="4">
        <f>_xll.ciqfunctions.udf.CIQ(InputTicker,"IQ_SAME_STORE",Input!E$2,Date)</f>
        <v>0</v>
      </c>
      <c r="D95" s="4">
        <f>_xll.ciqfunctions.udf.CIQ(InputTicker,"IQ_SAME_STORE",Input!F$2,Date)</f>
        <v>0</v>
      </c>
      <c r="E95" s="4">
        <f>_xll.ciqfunctions.udf.CIQ(InputTicker,"IQ_SAME_STORE",Input!G$2,Date)</f>
        <v>0</v>
      </c>
      <c r="F95" s="4">
        <f>_xll.ciqfunctions.udf.CIQ(InputTicker,"IQ_SAME_STORE",Input!H$2,Date)</f>
        <v>0</v>
      </c>
      <c r="G95" s="4">
        <f>_xll.ciqfunctions.udf.CIQ(InputTicker,"IQ_SAME_STORE",Input!I$2,Date)</f>
        <v>0</v>
      </c>
      <c r="H95" s="4">
        <f>_xll.ciqfunctions.udf.CIQ(InputTicker,"IQ_SAME_STORE",Input!J$2,Date)</f>
        <v>0</v>
      </c>
      <c r="I95" s="4">
        <f>_xll.ciqfunctions.udf.CIQ(InputTicker,"IQ_SAME_STORE",Input!K$2,Date)</f>
        <v>0</v>
      </c>
      <c r="J95" s="4">
        <f>_xll.ciqfunctions.udf.CIQ(InputTicker,"IQ_SAME_STORE",Input!L$2,Date)</f>
        <v>0</v>
      </c>
      <c r="K95" s="4">
        <f>_xll.ciqfunctions.udf.CIQ(InputTicker,"IQ_SAME_STORE",Input!M$2,Date)</f>
        <v>0</v>
      </c>
      <c r="L95" s="4">
        <f>_xll.ciqfunctions.udf.CIQ(InputTicker,"IQ_SAME_STORE",Input!N$2,Date)</f>
        <v>0</v>
      </c>
      <c r="M95" s="4">
        <f>_xll.ciqfunctions.udf.CIQ(InputTicker,"IQ_SAME_STORE",Input!O$2,Date)</f>
        <v>0</v>
      </c>
      <c r="N95" s="42"/>
      <c r="P95" s="46"/>
      <c r="Q95" s="46"/>
      <c r="R95" s="46"/>
      <c r="T95" s="42"/>
      <c r="U95" s="42"/>
      <c r="V95" s="46"/>
      <c r="W95" s="42"/>
      <c r="X95" s="42"/>
      <c r="Y95" s="42"/>
      <c r="Z95" s="42"/>
      <c r="AA95" s="42"/>
      <c r="AB95" s="42"/>
      <c r="AC95" s="42"/>
      <c r="AD95" s="42"/>
      <c r="AE95" s="42"/>
      <c r="AF95" s="42"/>
      <c r="AG95" s="42"/>
      <c r="AH95" s="42"/>
      <c r="AI95" s="42"/>
      <c r="AJ95" s="42"/>
      <c r="AK95" s="42"/>
      <c r="AL95" s="42"/>
      <c r="AM95" s="42"/>
      <c r="AN95" s="42"/>
      <c r="AO95" s="42"/>
      <c r="AP95" s="42"/>
      <c r="AQ95" s="42"/>
      <c r="AR95" s="42"/>
      <c r="AS95" s="42"/>
      <c r="AT95" s="42"/>
      <c r="AU95" s="42"/>
      <c r="AV95" s="42"/>
      <c r="AW95" s="42"/>
      <c r="AX95" s="42"/>
      <c r="AY95" s="42"/>
      <c r="AZ95" s="42"/>
      <c r="BA95" s="42"/>
      <c r="BB95" s="42"/>
      <c r="BC95" s="42"/>
      <c r="BD95" s="42"/>
      <c r="BE95" s="42"/>
      <c r="BF95" s="42"/>
      <c r="BG95" s="42"/>
      <c r="BH95" s="42"/>
      <c r="BI95" s="42"/>
      <c r="BJ95" s="42"/>
      <c r="BK95" s="42"/>
      <c r="BL95" s="42"/>
      <c r="BM95" s="42"/>
      <c r="BN95" s="42"/>
    </row>
    <row r="96" spans="1:66" ht="12.75" customHeight="1" x14ac:dyDescent="0.2">
      <c r="A96" s="1" t="s">
        <v>215</v>
      </c>
      <c r="B96" s="4">
        <f>_xll.ciqfunctions.udf.CIQ(InputTicker, "IQ_TOTAL_REV_AS_REPORTED",Input!D$2,Date,,,Ccy,Conv)</f>
        <v>91154</v>
      </c>
      <c r="C96" s="4">
        <f>_xll.ciqfunctions.udf.CIQ(InputTicker, "IQ_TOTAL_REV_AS_REPORTED",Input!E$2,Date,,,Ccy,Conv)</f>
        <v>96571</v>
      </c>
      <c r="D96" s="4">
        <f>_xll.ciqfunctions.udf.CIQ(InputTicker, "IQ_TOTAL_REV_AS_REPORTED",Input!F$2,Date,,,Ccy,Conv)</f>
        <v>110360</v>
      </c>
      <c r="E96" s="4">
        <f>_xll.ciqfunctions.udf.CIQ(InputTicker, "IQ_TOTAL_REV_AS_REPORTED",Input!G$2,Date,,,Ccy,Conv)</f>
        <v>125843</v>
      </c>
      <c r="F96" s="4">
        <f>_xll.ciqfunctions.udf.CIQ(InputTicker, "IQ_TOTAL_REV_AS_REPORTED",Input!H$2,Date,,,Ccy,Conv)</f>
        <v>143015</v>
      </c>
      <c r="G96" s="4">
        <f>_xll.ciqfunctions.udf.CIQ(InputTicker, "IQ_TOTAL_REV_AS_REPORTED",Input!I$2,Date,,,Ccy,Conv)</f>
        <v>168088</v>
      </c>
      <c r="H96" s="4">
        <f>_xll.ciqfunctions.udf.CIQ(InputTicker, "IQ_TOTAL_REV_AS_REPORTED",Input!J$2,Date,,,Ccy,Conv)</f>
        <v>198270</v>
      </c>
      <c r="I96" s="4">
        <f>_xll.ciqfunctions.udf.CIQ(InputTicker, "IQ_TOTAL_REV_AS_REPORTED",Input!K$2,Date,,,Ccy,Conv)</f>
        <v>211915</v>
      </c>
      <c r="J96" s="4">
        <f>_xll.ciqfunctions.udf.CIQ(InputTicker, "IQ_TOTAL_REV_AS_REPORTED",Input!L$2,Date,,,Ccy,Conv)</f>
        <v>245122</v>
      </c>
      <c r="K96" s="4">
        <f>_xll.ciqfunctions.udf.CIQ(InputTicker, "IQ_TOTAL_REV_AS_REPORTED",Input!M$2,Date,,,Ccy,Conv)</f>
        <v>281724</v>
      </c>
      <c r="L96" s="4">
        <f>_xll.ciqfunctions.udf.CIQ(InputTicker, "IQ_TOTAL_REV_AS_REPORTED",Input!N$2,Date,,,Ccy,Conv)</f>
        <v>331839</v>
      </c>
      <c r="M96" s="4">
        <f>_xll.ciqfunctions.udf.CIQ(InputTicker, "IQ_TOTAL_REV_AS_REPORTED",Input!O$2,Date,,,Ccy,Conv)</f>
        <v>331839</v>
      </c>
      <c r="N96" s="49"/>
      <c r="P96" s="46"/>
      <c r="Q96" s="46"/>
      <c r="R96" s="46"/>
      <c r="T96" s="42"/>
      <c r="U96" s="42"/>
      <c r="V96" s="46"/>
      <c r="W96" s="42"/>
      <c r="X96" s="42"/>
      <c r="Y96" s="42"/>
      <c r="Z96" s="42"/>
      <c r="AA96" s="42"/>
      <c r="AB96" s="42"/>
      <c r="AC96" s="42"/>
      <c r="AD96" s="42"/>
      <c r="AE96" s="42"/>
      <c r="AF96" s="42"/>
      <c r="AG96" s="42"/>
      <c r="AH96" s="42"/>
      <c r="AI96" s="42"/>
      <c r="AJ96" s="42"/>
      <c r="AK96" s="42"/>
      <c r="AL96" s="42"/>
      <c r="AM96" s="42"/>
      <c r="AN96" s="42"/>
      <c r="AO96" s="42"/>
      <c r="AP96" s="42"/>
      <c r="AQ96" s="42"/>
      <c r="AR96" s="42"/>
      <c r="AS96" s="42"/>
      <c r="AT96" s="42"/>
      <c r="AU96" s="42"/>
      <c r="AV96" s="42"/>
      <c r="AW96" s="42"/>
      <c r="AX96" s="42"/>
      <c r="AY96" s="42"/>
      <c r="AZ96" s="42"/>
      <c r="BA96" s="42"/>
      <c r="BB96" s="42"/>
      <c r="BC96" s="42"/>
      <c r="BD96" s="42"/>
      <c r="BE96" s="42"/>
      <c r="BF96" s="42"/>
      <c r="BG96" s="42"/>
      <c r="BH96" s="42"/>
      <c r="BI96" s="42"/>
      <c r="BJ96" s="42"/>
      <c r="BK96" s="42"/>
      <c r="BL96" s="42"/>
      <c r="BM96" s="42"/>
      <c r="BN96" s="42"/>
    </row>
    <row r="97" spans="1:66" ht="12.75" customHeight="1" x14ac:dyDescent="0.2">
      <c r="A97" s="1" t="s">
        <v>463</v>
      </c>
      <c r="B97" s="4">
        <f>_xll.ciqfunctions.udf.CIQ(InputTicker, "IQ_AS_REPORTED_EBITDA",Input!D$2,Date,,,Ccy,Conv)</f>
        <v>0</v>
      </c>
      <c r="C97" s="4">
        <f>_xll.ciqfunctions.udf.CIQ(InputTicker, "IQ_AS_REPORTED_EBITDA",Input!E$2,Date,,,Ccy,Conv)</f>
        <v>0</v>
      </c>
      <c r="D97" s="4">
        <f>_xll.ciqfunctions.udf.CIQ(InputTicker, "IQ_AS_REPORTED_EBITDA",Input!F$2,Date,,,Ccy,Conv)</f>
        <v>0</v>
      </c>
      <c r="E97" s="4">
        <f>_xll.ciqfunctions.udf.CIQ(InputTicker, "IQ_AS_REPORTED_EBITDA",Input!G$2,Date,,,Ccy,Conv)</f>
        <v>0</v>
      </c>
      <c r="F97" s="4">
        <f>_xll.ciqfunctions.udf.CIQ(InputTicker, "IQ_AS_REPORTED_EBITDA",Input!H$2,Date,,,Ccy,Conv)</f>
        <v>0</v>
      </c>
      <c r="G97" s="4">
        <f>_xll.ciqfunctions.udf.CIQ(InputTicker, "IQ_AS_REPORTED_EBITDA",Input!I$2,Date,,,Ccy,Conv)</f>
        <v>0</v>
      </c>
      <c r="H97" s="4">
        <f>_xll.ciqfunctions.udf.CIQ(InputTicker, "IQ_AS_REPORTED_EBITDA",Input!J$2,Date,,,Ccy,Conv)</f>
        <v>0</v>
      </c>
      <c r="I97" s="4">
        <f>_xll.ciqfunctions.udf.CIQ(InputTicker, "IQ_AS_REPORTED_EBITDA",Input!K$2,Date,,,Ccy,Conv)</f>
        <v>0</v>
      </c>
      <c r="J97" s="4">
        <f>_xll.ciqfunctions.udf.CIQ(InputTicker, "IQ_AS_REPORTED_EBITDA",Input!L$2,Date,,,Ccy,Conv)</f>
        <v>0</v>
      </c>
      <c r="K97" s="4">
        <f>_xll.ciqfunctions.udf.CIQ(InputTicker, "IQ_AS_REPORTED_EBITDA",Input!M$2,Date,,,Ccy,Conv)</f>
        <v>0</v>
      </c>
      <c r="L97" s="4">
        <f>_xll.ciqfunctions.udf.CIQ(InputTicker, "IQ_AS_REPORTED_EBITDA",Input!N$2,Date,,,Ccy,Conv)</f>
        <v>0</v>
      </c>
      <c r="M97" s="4">
        <f>_xll.ciqfunctions.udf.CIQ(InputTicker, "IQ_AS_REPORTED_EBITDA",Input!O$2,Date,,,Ccy,Conv)</f>
        <v>0</v>
      </c>
      <c r="N97" s="49"/>
      <c r="P97" s="46"/>
      <c r="Q97" s="46"/>
      <c r="R97" s="46"/>
      <c r="T97" s="42"/>
      <c r="U97" s="42"/>
      <c r="V97" s="46"/>
      <c r="W97" s="42"/>
      <c r="X97" s="42"/>
      <c r="Y97" s="42"/>
      <c r="Z97" s="42"/>
      <c r="AA97" s="42"/>
      <c r="AB97" s="42"/>
      <c r="AC97" s="42"/>
      <c r="AD97" s="42"/>
      <c r="AE97" s="42"/>
      <c r="AF97" s="42"/>
      <c r="AG97" s="42"/>
      <c r="AH97" s="42"/>
      <c r="AI97" s="42"/>
      <c r="AJ97" s="42"/>
      <c r="AK97" s="42"/>
      <c r="AL97" s="42"/>
      <c r="AM97" s="42"/>
      <c r="AN97" s="42"/>
      <c r="AO97" s="42"/>
      <c r="AP97" s="42"/>
      <c r="AQ97" s="42"/>
      <c r="AR97" s="42"/>
      <c r="AS97" s="42"/>
      <c r="AT97" s="42"/>
      <c r="AU97" s="42"/>
      <c r="AV97" s="42"/>
      <c r="AW97" s="42"/>
      <c r="AX97" s="42"/>
      <c r="AY97" s="42"/>
      <c r="AZ97" s="42"/>
      <c r="BA97" s="42"/>
      <c r="BB97" s="42"/>
      <c r="BC97" s="42"/>
      <c r="BD97" s="42"/>
      <c r="BE97" s="42"/>
      <c r="BF97" s="42"/>
      <c r="BG97" s="42"/>
      <c r="BH97" s="42"/>
      <c r="BI97" s="42"/>
      <c r="BJ97" s="42"/>
      <c r="BK97" s="42"/>
      <c r="BL97" s="42"/>
      <c r="BM97" s="42"/>
      <c r="BN97" s="42"/>
    </row>
    <row r="98" spans="1:66" ht="12.75" customHeight="1" x14ac:dyDescent="0.2">
      <c r="A98" s="1" t="s">
        <v>0</v>
      </c>
      <c r="B98" s="4">
        <f>_xll.ciqfunctions.udf.CIQ(InputTicker, "IQ_PROV_BAD_DEBTS_PATIENT_SERVICE_REV",Input!D$2,Date,,,Ccy,Conv)</f>
        <v>0</v>
      </c>
      <c r="C98" s="4">
        <f>_xll.ciqfunctions.udf.CIQ(InputTicker, "IQ_PROV_BAD_DEBTS_PATIENT_SERVICE_REV",Input!E$2,Date,,,Ccy,Conv)</f>
        <v>0</v>
      </c>
      <c r="D98" s="4">
        <f>_xll.ciqfunctions.udf.CIQ(InputTicker, "IQ_PROV_BAD_DEBTS_PATIENT_SERVICE_REV",Input!F$2,Date,,,Ccy,Conv)</f>
        <v>0</v>
      </c>
      <c r="E98" s="4">
        <f>_xll.ciqfunctions.udf.CIQ(InputTicker, "IQ_PROV_BAD_DEBTS_PATIENT_SERVICE_REV",Input!G$2,Date,,,Ccy,Conv)</f>
        <v>0</v>
      </c>
      <c r="F98" s="4">
        <f>_xll.ciqfunctions.udf.CIQ(InputTicker, "IQ_PROV_BAD_DEBTS_PATIENT_SERVICE_REV",Input!H$2,Date,,,Ccy,Conv)</f>
        <v>0</v>
      </c>
      <c r="G98" s="4">
        <f>_xll.ciqfunctions.udf.CIQ(InputTicker, "IQ_PROV_BAD_DEBTS_PATIENT_SERVICE_REV",Input!I$2,Date,,,Ccy,Conv)</f>
        <v>0</v>
      </c>
      <c r="H98" s="4">
        <f>_xll.ciqfunctions.udf.CIQ(InputTicker, "IQ_PROV_BAD_DEBTS_PATIENT_SERVICE_REV",Input!J$2,Date,,,Ccy,Conv)</f>
        <v>0</v>
      </c>
      <c r="I98" s="4">
        <f>_xll.ciqfunctions.udf.CIQ(InputTicker, "IQ_PROV_BAD_DEBTS_PATIENT_SERVICE_REV",Input!K$2,Date,,,Ccy,Conv)</f>
        <v>0</v>
      </c>
      <c r="J98" s="4">
        <f>_xll.ciqfunctions.udf.CIQ(InputTicker, "IQ_PROV_BAD_DEBTS_PATIENT_SERVICE_REV",Input!L$2,Date,,,Ccy,Conv)</f>
        <v>0</v>
      </c>
      <c r="K98" s="4">
        <f>_xll.ciqfunctions.udf.CIQ(InputTicker, "IQ_PROV_BAD_DEBTS_PATIENT_SERVICE_REV",Input!M$2,Date,,,Ccy,Conv)</f>
        <v>0</v>
      </c>
      <c r="L98" s="4">
        <f>_xll.ciqfunctions.udf.CIQ(InputTicker, "IQ_PROV_BAD_DEBTS_PATIENT_SERVICE_REV",Input!N$2,Date,,,Ccy,Conv)</f>
        <v>0</v>
      </c>
      <c r="M98" s="4">
        <f>_xll.ciqfunctions.udf.CIQ(InputTicker, "IQ_PROV_BAD_DEBTS_PATIENT_SERVICE_REV",Input!O$2,Date,,,Ccy,Conv)</f>
        <v>0</v>
      </c>
      <c r="N98" s="49"/>
      <c r="P98" s="46"/>
      <c r="Q98" s="46"/>
      <c r="R98" s="46"/>
      <c r="T98" s="42"/>
      <c r="U98" s="42"/>
      <c r="V98" s="46"/>
      <c r="W98" s="42"/>
      <c r="X98" s="42"/>
      <c r="Y98" s="42"/>
      <c r="Z98" s="42"/>
      <c r="AA98" s="42"/>
      <c r="AB98" s="42"/>
      <c r="AC98" s="42"/>
      <c r="AD98" s="42"/>
      <c r="AE98" s="42"/>
      <c r="AF98" s="42"/>
      <c r="AG98" s="42"/>
      <c r="AH98" s="42"/>
      <c r="AI98" s="42"/>
      <c r="AJ98" s="42"/>
      <c r="AK98" s="42"/>
      <c r="AL98" s="42"/>
      <c r="AM98" s="42"/>
      <c r="AN98" s="42"/>
      <c r="AO98" s="42"/>
      <c r="AP98" s="42"/>
      <c r="AQ98" s="42"/>
      <c r="AR98" s="42"/>
      <c r="AS98" s="42"/>
      <c r="AT98" s="42"/>
      <c r="AU98" s="42"/>
      <c r="AV98" s="42"/>
      <c r="AW98" s="42"/>
      <c r="AX98" s="42"/>
      <c r="AY98" s="42"/>
      <c r="AZ98" s="42"/>
      <c r="BA98" s="42"/>
      <c r="BB98" s="42"/>
      <c r="BC98" s="42"/>
      <c r="BD98" s="42"/>
      <c r="BE98" s="42"/>
      <c r="BF98" s="42"/>
      <c r="BG98" s="42"/>
      <c r="BH98" s="42"/>
      <c r="BI98" s="42"/>
      <c r="BJ98" s="42"/>
      <c r="BK98" s="42"/>
      <c r="BL98" s="42"/>
      <c r="BM98" s="42"/>
      <c r="BN98" s="42"/>
    </row>
    <row r="99" spans="1:66" ht="12.75" customHeight="1" x14ac:dyDescent="0.2">
      <c r="A99" s="1" t="s">
        <v>23</v>
      </c>
      <c r="B99" s="4">
        <f>_xll.ciqfunctions.udf.CIQ(InputTicker, "IQ_EARNING_PARENT_EXCL_EXTRA",Input!D$2,Date,,,Ccy,Conv)</f>
        <v>20539</v>
      </c>
      <c r="C99" s="4">
        <f>_xll.ciqfunctions.udf.CIQ(InputTicker, "IQ_EARNING_PARENT_EXCL_EXTRA",Input!E$2,Date,,,Ccy,Conv)</f>
        <v>25489</v>
      </c>
      <c r="D99" s="4">
        <f>_xll.ciqfunctions.udf.CIQ(InputTicker, "IQ_EARNING_PARENT_EXCL_EXTRA",Input!F$2,Date,,,Ccy,Conv)</f>
        <v>16571</v>
      </c>
      <c r="E99" s="4">
        <f>_xll.ciqfunctions.udf.CIQ(InputTicker, "IQ_EARNING_PARENT_EXCL_EXTRA",Input!G$2,Date,,,Ccy,Conv)</f>
        <v>39240</v>
      </c>
      <c r="F99" s="4">
        <f>_xll.ciqfunctions.udf.CIQ(InputTicker, "IQ_EARNING_PARENT_EXCL_EXTRA",Input!H$2,Date,,,Ccy,Conv)</f>
        <v>44281</v>
      </c>
      <c r="G99" s="4">
        <f>_xll.ciqfunctions.udf.CIQ(InputTicker, "IQ_EARNING_PARENT_EXCL_EXTRA",Input!I$2,Date,,,Ccy,Conv)</f>
        <v>61271</v>
      </c>
      <c r="H99" s="4">
        <f>_xll.ciqfunctions.udf.CIQ(InputTicker, "IQ_EARNING_PARENT_EXCL_EXTRA",Input!J$2,Date,,,Ccy,Conv)</f>
        <v>72738</v>
      </c>
      <c r="I99" s="4">
        <f>_xll.ciqfunctions.udf.CIQ(InputTicker, "IQ_EARNING_PARENT_EXCL_EXTRA",Input!K$2,Date,,,Ccy,Conv)</f>
        <v>72361</v>
      </c>
      <c r="J99" s="4">
        <f>_xll.ciqfunctions.udf.CIQ(InputTicker, "IQ_EARNING_PARENT_EXCL_EXTRA",Input!L$2,Date,,,Ccy,Conv)</f>
        <v>88136</v>
      </c>
      <c r="K99" s="4">
        <f>_xll.ciqfunctions.udf.CIQ(InputTicker, "IQ_EARNING_PARENT_EXCL_EXTRA",Input!M$2,Date,,,Ccy,Conv)</f>
        <v>101832</v>
      </c>
      <c r="L99" s="4">
        <f>_xll.ciqfunctions.udf.CIQ(InputTicker, "IQ_EARNING_PARENT_EXCL_EXTRA",Input!N$2,Date,,,Ccy,Conv)</f>
        <v>133749</v>
      </c>
      <c r="M99" s="4">
        <f>_xll.ciqfunctions.udf.CIQ(InputTicker, "IQ_EARNING_PARENT_EXCL_EXTRA",Input!O$2,Date,,,Ccy,Conv)</f>
        <v>133749</v>
      </c>
      <c r="N99" s="49"/>
      <c r="P99" s="46"/>
      <c r="Q99" s="46"/>
      <c r="R99" s="46"/>
      <c r="T99" s="42"/>
      <c r="U99" s="42"/>
      <c r="V99" s="46"/>
      <c r="W99" s="42"/>
      <c r="X99" s="42"/>
      <c r="Y99" s="42"/>
      <c r="Z99" s="42"/>
      <c r="AA99" s="42"/>
      <c r="AB99" s="42"/>
      <c r="AC99" s="42"/>
      <c r="AD99" s="42"/>
      <c r="AE99" s="42"/>
      <c r="AF99" s="42"/>
      <c r="AG99" s="42"/>
      <c r="AH99" s="42"/>
      <c r="AI99" s="42"/>
      <c r="AJ99" s="42"/>
      <c r="AK99" s="42"/>
      <c r="AL99" s="42"/>
      <c r="AM99" s="42"/>
      <c r="AN99" s="42"/>
      <c r="AO99" s="42"/>
      <c r="AP99" s="42"/>
      <c r="AQ99" s="42"/>
      <c r="AR99" s="42"/>
      <c r="AS99" s="42"/>
      <c r="AT99" s="42"/>
      <c r="AU99" s="42"/>
      <c r="AV99" s="42"/>
      <c r="AW99" s="42"/>
      <c r="AX99" s="42"/>
      <c r="AY99" s="42"/>
      <c r="AZ99" s="42"/>
      <c r="BA99" s="42"/>
      <c r="BB99" s="42"/>
      <c r="BC99" s="42"/>
      <c r="BD99" s="42"/>
      <c r="BE99" s="42"/>
      <c r="BF99" s="42"/>
      <c r="BG99" s="42"/>
      <c r="BH99" s="42"/>
      <c r="BI99" s="42"/>
      <c r="BJ99" s="42"/>
      <c r="BK99" s="42"/>
      <c r="BL99" s="42"/>
      <c r="BM99" s="42"/>
      <c r="BN99" s="42"/>
    </row>
    <row r="100" spans="1:66" ht="12.75" customHeight="1" x14ac:dyDescent="0.2">
      <c r="A100" s="1" t="s">
        <v>213</v>
      </c>
      <c r="B100" s="4">
        <f>_xll.ciqfunctions.udf.CIQ(InputTicker, "IQ_NI_SFAS",Input!D$2,Date,,,Ccy,Conv)</f>
        <v>0</v>
      </c>
      <c r="C100" s="4">
        <f>_xll.ciqfunctions.udf.CIQ(InputTicker, "IQ_NI_SFAS",Input!E$2,Date,,,Ccy,Conv)</f>
        <v>0</v>
      </c>
      <c r="D100" s="4">
        <f>_xll.ciqfunctions.udf.CIQ(InputTicker, "IQ_NI_SFAS",Input!F$2,Date,,,Ccy,Conv)</f>
        <v>0</v>
      </c>
      <c r="E100" s="4">
        <f>_xll.ciqfunctions.udf.CIQ(InputTicker, "IQ_NI_SFAS",Input!G$2,Date,,,Ccy,Conv)</f>
        <v>0</v>
      </c>
      <c r="F100" s="4">
        <f>_xll.ciqfunctions.udf.CIQ(InputTicker, "IQ_NI_SFAS",Input!H$2,Date,,,Ccy,Conv)</f>
        <v>0</v>
      </c>
      <c r="G100" s="4">
        <f>_xll.ciqfunctions.udf.CIQ(InputTicker, "IQ_NI_SFAS",Input!I$2,Date,,,Ccy,Conv)</f>
        <v>0</v>
      </c>
      <c r="H100" s="4">
        <f>_xll.ciqfunctions.udf.CIQ(InputTicker, "IQ_NI_SFAS",Input!J$2,Date,,,Ccy,Conv)</f>
        <v>0</v>
      </c>
      <c r="I100" s="4">
        <f>_xll.ciqfunctions.udf.CIQ(InputTicker, "IQ_NI_SFAS",Input!K$2,Date,,,Ccy,Conv)</f>
        <v>0</v>
      </c>
      <c r="J100" s="4">
        <f>_xll.ciqfunctions.udf.CIQ(InputTicker, "IQ_NI_SFAS",Input!L$2,Date,,,Ccy,Conv)</f>
        <v>0</v>
      </c>
      <c r="K100" s="4">
        <f>_xll.ciqfunctions.udf.CIQ(InputTicker, "IQ_NI_SFAS",Input!M$2,Date,,,Ccy,Conv)</f>
        <v>0</v>
      </c>
      <c r="L100" s="4">
        <f>_xll.ciqfunctions.udf.CIQ(InputTicker, "IQ_NI_SFAS",Input!N$2,Date,,,Ccy,Conv)</f>
        <v>0</v>
      </c>
      <c r="M100" s="4">
        <f>_xll.ciqfunctions.udf.CIQ(InputTicker, "IQ_NI_SFAS",Input!O$2,Date,,,Ccy,Conv)</f>
        <v>0</v>
      </c>
      <c r="N100" s="49"/>
      <c r="P100" s="46"/>
      <c r="Q100" s="46"/>
      <c r="R100" s="46"/>
      <c r="T100" s="42"/>
      <c r="U100" s="42"/>
      <c r="V100" s="46"/>
      <c r="W100" s="42"/>
      <c r="X100" s="42"/>
      <c r="Y100" s="42"/>
      <c r="Z100" s="42"/>
      <c r="AA100" s="42"/>
      <c r="AB100" s="42"/>
      <c r="AC100" s="42"/>
      <c r="AD100" s="42"/>
      <c r="AE100" s="42"/>
      <c r="AF100" s="42"/>
      <c r="AG100" s="42"/>
      <c r="AH100" s="42"/>
      <c r="AI100" s="42"/>
      <c r="AJ100" s="42"/>
      <c r="AK100" s="42"/>
      <c r="AL100" s="42"/>
      <c r="AM100" s="42"/>
      <c r="AN100" s="42"/>
      <c r="AO100" s="42"/>
      <c r="AP100" s="42"/>
      <c r="AQ100" s="42"/>
      <c r="AR100" s="42"/>
      <c r="AS100" s="42"/>
      <c r="AT100" s="42"/>
      <c r="AU100" s="42"/>
      <c r="AV100" s="42"/>
      <c r="AW100" s="42"/>
      <c r="AX100" s="42"/>
      <c r="AY100" s="42"/>
      <c r="AZ100" s="42"/>
      <c r="BA100" s="42"/>
      <c r="BB100" s="42"/>
      <c r="BC100" s="42"/>
      <c r="BD100" s="42"/>
      <c r="BE100" s="42"/>
      <c r="BF100" s="42"/>
      <c r="BG100" s="42"/>
      <c r="BH100" s="42"/>
      <c r="BI100" s="42"/>
      <c r="BJ100" s="42"/>
      <c r="BK100" s="42"/>
      <c r="BL100" s="42"/>
      <c r="BM100" s="42"/>
      <c r="BN100" s="42"/>
    </row>
    <row r="101" spans="1:66" ht="12.75" customHeight="1" x14ac:dyDescent="0.2">
      <c r="A101" s="1" t="s">
        <v>442</v>
      </c>
      <c r="B101" s="4">
        <f>_xll.ciqfunctions.udf.CIQ(InputTicker, "IQ_INTEREST_INCOME",Input!D$2,Date,,,Ccy,Conv)</f>
        <v>903</v>
      </c>
      <c r="C101" s="4">
        <f>_xll.ciqfunctions.udf.CIQ(InputTicker, "IQ_INTEREST_INCOME",Input!E$2,Date,,,Ccy,Conv)</f>
        <v>1387</v>
      </c>
      <c r="D101" s="4">
        <f>_xll.ciqfunctions.udf.CIQ(InputTicker, "IQ_INTEREST_INCOME",Input!F$2,Date,,,Ccy,Conv)</f>
        <v>2214</v>
      </c>
      <c r="E101" s="4">
        <f>_xll.ciqfunctions.udf.CIQ(InputTicker, "IQ_INTEREST_INCOME",Input!G$2,Date,,,Ccy,Conv)</f>
        <v>2762</v>
      </c>
      <c r="F101" s="4">
        <f>_xll.ciqfunctions.udf.CIQ(InputTicker, "IQ_INTEREST_INCOME",Input!H$2,Date,,,Ccy,Conv)</f>
        <v>2680</v>
      </c>
      <c r="G101" s="4">
        <f>_xll.ciqfunctions.udf.CIQ(InputTicker, "IQ_INTEREST_INCOME",Input!I$2,Date,,,Ccy,Conv)</f>
        <v>2131</v>
      </c>
      <c r="H101" s="4">
        <f>_xll.ciqfunctions.udf.CIQ(InputTicker, "IQ_INTEREST_INCOME",Input!J$2,Date,,,Ccy,Conv)</f>
        <v>2094</v>
      </c>
      <c r="I101" s="4">
        <f>_xll.ciqfunctions.udf.CIQ(InputTicker, "IQ_INTEREST_INCOME",Input!K$2,Date,,,Ccy,Conv)</f>
        <v>2994</v>
      </c>
      <c r="J101" s="4">
        <f>_xll.ciqfunctions.udf.CIQ(InputTicker, "IQ_INTEREST_INCOME",Input!L$2,Date,,,Ccy,Conv)</f>
        <v>3157</v>
      </c>
      <c r="K101" s="4">
        <f>_xll.ciqfunctions.udf.CIQ(InputTicker, "IQ_INTEREST_INCOME",Input!M$2,Date,,,Ccy,Conv)</f>
        <v>2647</v>
      </c>
      <c r="L101" s="4">
        <f>_xll.ciqfunctions.udf.CIQ(InputTicker, "IQ_INTEREST_INCOME",Input!N$2,Date,,,Ccy,Conv)</f>
        <v>3301</v>
      </c>
      <c r="M101" s="4">
        <f>_xll.ciqfunctions.udf.CIQ(InputTicker, "IQ_INTEREST_INCOME",Input!O$2,Date,,,Ccy,Conv)</f>
        <v>3301</v>
      </c>
      <c r="N101" s="49"/>
      <c r="P101" s="46"/>
      <c r="Q101" s="46"/>
      <c r="R101" s="46"/>
      <c r="T101" s="42"/>
      <c r="U101" s="42"/>
      <c r="V101" s="46"/>
      <c r="W101" s="42"/>
      <c r="X101" s="42"/>
      <c r="Y101" s="42"/>
      <c r="Z101" s="42"/>
      <c r="AA101" s="42"/>
      <c r="AB101" s="42"/>
      <c r="AC101" s="42"/>
      <c r="AD101" s="42"/>
      <c r="AE101" s="42"/>
      <c r="AF101" s="42"/>
      <c r="AG101" s="42"/>
      <c r="AH101" s="42"/>
      <c r="AI101" s="42"/>
      <c r="AJ101" s="42"/>
      <c r="AK101" s="42"/>
      <c r="AL101" s="42"/>
      <c r="AM101" s="42"/>
      <c r="AN101" s="42"/>
      <c r="AO101" s="42"/>
      <c r="AP101" s="42"/>
      <c r="AQ101" s="42"/>
      <c r="AR101" s="42"/>
      <c r="AS101" s="42"/>
      <c r="AT101" s="42"/>
      <c r="AU101" s="42"/>
      <c r="AV101" s="42"/>
      <c r="AW101" s="42"/>
      <c r="AX101" s="42"/>
      <c r="AY101" s="42"/>
      <c r="AZ101" s="42"/>
      <c r="BA101" s="42"/>
      <c r="BB101" s="42"/>
      <c r="BC101" s="42"/>
      <c r="BD101" s="42"/>
      <c r="BE101" s="42"/>
      <c r="BF101" s="42"/>
      <c r="BG101" s="42"/>
      <c r="BH101" s="42"/>
      <c r="BI101" s="42"/>
      <c r="BJ101" s="42"/>
      <c r="BK101" s="42"/>
      <c r="BL101" s="42"/>
      <c r="BM101" s="42"/>
      <c r="BN101" s="42"/>
    </row>
    <row r="102" spans="1:66" ht="12.75" customHeight="1" x14ac:dyDescent="0.2">
      <c r="A102" s="1" t="s">
        <v>444</v>
      </c>
      <c r="B102" s="4">
        <f>_xll.ciqfunctions.udf.CIQ(InputTicker, "IQ_INVESTMENT_INCOME",Input!D$2,Date,,,Ccy,Conv)</f>
        <v>0</v>
      </c>
      <c r="C102" s="4">
        <f>_xll.ciqfunctions.udf.CIQ(InputTicker, "IQ_INVESTMENT_INCOME",Input!E$2,Date,,,Ccy,Conv)</f>
        <v>0</v>
      </c>
      <c r="D102" s="4">
        <f>_xll.ciqfunctions.udf.CIQ(InputTicker, "IQ_INVESTMENT_INCOME",Input!F$2,Date,,,Ccy,Conv)</f>
        <v>0</v>
      </c>
      <c r="E102" s="4">
        <f>_xll.ciqfunctions.udf.CIQ(InputTicker, "IQ_INVESTMENT_INCOME",Input!G$2,Date,,,Ccy,Conv)</f>
        <v>0</v>
      </c>
      <c r="F102" s="4">
        <f>_xll.ciqfunctions.udf.CIQ(InputTicker, "IQ_INVESTMENT_INCOME",Input!H$2,Date,,,Ccy,Conv)</f>
        <v>0</v>
      </c>
      <c r="G102" s="4">
        <f>_xll.ciqfunctions.udf.CIQ(InputTicker, "IQ_INVESTMENT_INCOME",Input!I$2,Date,,,Ccy,Conv)</f>
        <v>0</v>
      </c>
      <c r="H102" s="4">
        <f>_xll.ciqfunctions.udf.CIQ(InputTicker, "IQ_INVESTMENT_INCOME",Input!J$2,Date,,,Ccy,Conv)</f>
        <v>0</v>
      </c>
      <c r="I102" s="4">
        <f>_xll.ciqfunctions.udf.CIQ(InputTicker, "IQ_INVESTMENT_INCOME",Input!K$2,Date,,,Ccy,Conv)</f>
        <v>0</v>
      </c>
      <c r="J102" s="4">
        <f>_xll.ciqfunctions.udf.CIQ(InputTicker, "IQ_INVESTMENT_INCOME",Input!L$2,Date,,,Ccy,Conv)</f>
        <v>0</v>
      </c>
      <c r="K102" s="4">
        <f>_xll.ciqfunctions.udf.CIQ(InputTicker, "IQ_INVESTMENT_INCOME",Input!M$2,Date,,,Ccy,Conv)</f>
        <v>0</v>
      </c>
      <c r="L102" s="4">
        <f>_xll.ciqfunctions.udf.CIQ(InputTicker, "IQ_INVESTMENT_INCOME",Input!N$2,Date,,,Ccy,Conv)</f>
        <v>0</v>
      </c>
      <c r="M102" s="4">
        <f>_xll.ciqfunctions.udf.CIQ(InputTicker, "IQ_INVESTMENT_INCOME",Input!O$2,Date,,,Ccy,Conv)</f>
        <v>0</v>
      </c>
      <c r="N102" s="49"/>
      <c r="P102" s="46"/>
      <c r="Q102" s="46"/>
      <c r="R102" s="46"/>
      <c r="T102" s="42"/>
      <c r="U102" s="42"/>
      <c r="V102" s="46"/>
      <c r="W102" s="42"/>
      <c r="X102" s="42"/>
      <c r="Y102" s="42"/>
      <c r="Z102" s="42"/>
      <c r="AA102" s="42"/>
      <c r="AB102" s="42"/>
      <c r="AC102" s="42"/>
      <c r="AD102" s="42"/>
      <c r="AE102" s="42"/>
      <c r="AF102" s="42"/>
      <c r="AG102" s="42"/>
      <c r="AH102" s="42"/>
      <c r="AI102" s="42"/>
      <c r="AJ102" s="42"/>
      <c r="AK102" s="42"/>
      <c r="AL102" s="42"/>
      <c r="AM102" s="42"/>
      <c r="AN102" s="42"/>
      <c r="AO102" s="42"/>
      <c r="AP102" s="42"/>
      <c r="AQ102" s="42"/>
      <c r="AR102" s="42"/>
      <c r="AS102" s="42"/>
      <c r="AT102" s="42"/>
      <c r="AU102" s="42"/>
      <c r="AV102" s="42"/>
      <c r="AW102" s="42"/>
      <c r="AX102" s="42"/>
      <c r="AY102" s="42"/>
      <c r="AZ102" s="42"/>
      <c r="BA102" s="42"/>
      <c r="BB102" s="42"/>
      <c r="BC102" s="42"/>
      <c r="BD102" s="42"/>
      <c r="BE102" s="42"/>
      <c r="BF102" s="42"/>
      <c r="BG102" s="42"/>
      <c r="BH102" s="42"/>
      <c r="BI102" s="42"/>
      <c r="BJ102" s="42"/>
      <c r="BK102" s="42"/>
      <c r="BL102" s="42"/>
      <c r="BM102" s="42"/>
      <c r="BN102" s="42"/>
    </row>
    <row r="103" spans="1:66" ht="12.75" customHeight="1" x14ac:dyDescent="0.2">
      <c r="A103" s="1" t="s">
        <v>373</v>
      </c>
      <c r="B103" s="4">
        <f>_xll.ciqfunctions.udf.CIQ(InputTicker, "IQ_EXCISE_TAXES_EXCL_SALES",Input!D$2,Date,,,Ccy,Conv)</f>
        <v>0</v>
      </c>
      <c r="C103" s="4">
        <f>_xll.ciqfunctions.udf.CIQ(InputTicker, "IQ_EXCISE_TAXES_EXCL_SALES",Input!E$2,Date,,,Ccy,Conv)</f>
        <v>0</v>
      </c>
      <c r="D103" s="4">
        <f>_xll.ciqfunctions.udf.CIQ(InputTicker, "IQ_EXCISE_TAXES_EXCL_SALES",Input!F$2,Date,,,Ccy,Conv)</f>
        <v>0</v>
      </c>
      <c r="E103" s="4">
        <f>_xll.ciqfunctions.udf.CIQ(InputTicker, "IQ_EXCISE_TAXES_EXCL_SALES",Input!G$2,Date,,,Ccy,Conv)</f>
        <v>0</v>
      </c>
      <c r="F103" s="4">
        <f>_xll.ciqfunctions.udf.CIQ(InputTicker, "IQ_EXCISE_TAXES_EXCL_SALES",Input!H$2,Date,,,Ccy,Conv)</f>
        <v>0</v>
      </c>
      <c r="G103" s="4">
        <f>_xll.ciqfunctions.udf.CIQ(InputTicker, "IQ_EXCISE_TAXES_EXCL_SALES",Input!I$2,Date,,,Ccy,Conv)</f>
        <v>0</v>
      </c>
      <c r="H103" s="4">
        <f>_xll.ciqfunctions.udf.CIQ(InputTicker, "IQ_EXCISE_TAXES_EXCL_SALES",Input!J$2,Date,,,Ccy,Conv)</f>
        <v>0</v>
      </c>
      <c r="I103" s="4">
        <f>_xll.ciqfunctions.udf.CIQ(InputTicker, "IQ_EXCISE_TAXES_EXCL_SALES",Input!K$2,Date,,,Ccy,Conv)</f>
        <v>0</v>
      </c>
      <c r="J103" s="4">
        <f>_xll.ciqfunctions.udf.CIQ(InputTicker, "IQ_EXCISE_TAXES_EXCL_SALES",Input!L$2,Date,,,Ccy,Conv)</f>
        <v>0</v>
      </c>
      <c r="K103" s="4">
        <f>_xll.ciqfunctions.udf.CIQ(InputTicker, "IQ_EXCISE_TAXES_EXCL_SALES",Input!M$2,Date,,,Ccy,Conv)</f>
        <v>0</v>
      </c>
      <c r="L103" s="4">
        <f>_xll.ciqfunctions.udf.CIQ(InputTicker, "IQ_EXCISE_TAXES_EXCL_SALES",Input!N$2,Date,,,Ccy,Conv)</f>
        <v>0</v>
      </c>
      <c r="M103" s="4">
        <f>_xll.ciqfunctions.udf.CIQ(InputTicker, "IQ_EXCISE_TAXES_EXCL_SALES",Input!O$2,Date,,,Ccy,Conv)</f>
        <v>0</v>
      </c>
      <c r="N103" s="49"/>
      <c r="P103" s="46"/>
      <c r="Q103" s="46"/>
      <c r="R103" s="46"/>
      <c r="T103" s="42"/>
      <c r="U103" s="42"/>
      <c r="V103" s="46"/>
      <c r="W103" s="42"/>
      <c r="X103" s="42"/>
      <c r="Y103" s="42"/>
      <c r="Z103" s="42"/>
      <c r="AA103" s="42"/>
      <c r="AB103" s="42"/>
      <c r="AC103" s="42"/>
      <c r="AD103" s="42"/>
      <c r="AE103" s="42"/>
      <c r="AF103" s="42"/>
      <c r="AG103" s="42"/>
      <c r="AH103" s="42"/>
      <c r="AI103" s="42"/>
      <c r="AJ103" s="42"/>
      <c r="AK103" s="42"/>
      <c r="AL103" s="42"/>
      <c r="AM103" s="42"/>
      <c r="AN103" s="42"/>
      <c r="AO103" s="42"/>
      <c r="AP103" s="42"/>
      <c r="AQ103" s="42"/>
      <c r="AR103" s="42"/>
      <c r="AS103" s="42"/>
      <c r="AT103" s="42"/>
      <c r="AU103" s="42"/>
      <c r="AV103" s="42"/>
      <c r="AW103" s="42"/>
      <c r="AX103" s="42"/>
      <c r="AY103" s="42"/>
      <c r="AZ103" s="42"/>
      <c r="BA103" s="42"/>
      <c r="BB103" s="42"/>
      <c r="BC103" s="42"/>
      <c r="BD103" s="42"/>
      <c r="BE103" s="42"/>
      <c r="BF103" s="42"/>
      <c r="BG103" s="42"/>
      <c r="BH103" s="42"/>
      <c r="BI103" s="42"/>
      <c r="BJ103" s="42"/>
      <c r="BK103" s="42"/>
      <c r="BL103" s="42"/>
      <c r="BM103" s="42"/>
      <c r="BN103" s="42"/>
    </row>
    <row r="104" spans="1:66" ht="12.75" customHeight="1" x14ac:dyDescent="0.2">
      <c r="A104" s="1" t="s">
        <v>374</v>
      </c>
      <c r="B104" s="4">
        <f>_xll.ciqfunctions.udf.CIQ(InputTicker, "IQ_EXCISE_TAXES_INCL_SALES",Input!D$2,Date,,,Ccy,Conv)</f>
        <v>0</v>
      </c>
      <c r="C104" s="4">
        <f>_xll.ciqfunctions.udf.CIQ(InputTicker, "IQ_EXCISE_TAXES_INCL_SALES",Input!E$2,Date,,,Ccy,Conv)</f>
        <v>0</v>
      </c>
      <c r="D104" s="4">
        <f>_xll.ciqfunctions.udf.CIQ(InputTicker, "IQ_EXCISE_TAXES_INCL_SALES",Input!F$2,Date,,,Ccy,Conv)</f>
        <v>0</v>
      </c>
      <c r="E104" s="4">
        <f>_xll.ciqfunctions.udf.CIQ(InputTicker, "IQ_EXCISE_TAXES_INCL_SALES",Input!G$2,Date,,,Ccy,Conv)</f>
        <v>0</v>
      </c>
      <c r="F104" s="4">
        <f>_xll.ciqfunctions.udf.CIQ(InputTicker, "IQ_EXCISE_TAXES_INCL_SALES",Input!H$2,Date,,,Ccy,Conv)</f>
        <v>0</v>
      </c>
      <c r="G104" s="4">
        <f>_xll.ciqfunctions.udf.CIQ(InputTicker, "IQ_EXCISE_TAXES_INCL_SALES",Input!I$2,Date,,,Ccy,Conv)</f>
        <v>0</v>
      </c>
      <c r="H104" s="4">
        <f>_xll.ciqfunctions.udf.CIQ(InputTicker, "IQ_EXCISE_TAXES_INCL_SALES",Input!J$2,Date,,,Ccy,Conv)</f>
        <v>0</v>
      </c>
      <c r="I104" s="4">
        <f>_xll.ciqfunctions.udf.CIQ(InputTicker, "IQ_EXCISE_TAXES_INCL_SALES",Input!K$2,Date,,,Ccy,Conv)</f>
        <v>0</v>
      </c>
      <c r="J104" s="4">
        <f>_xll.ciqfunctions.udf.CIQ(InputTicker, "IQ_EXCISE_TAXES_INCL_SALES",Input!L$2,Date,,,Ccy,Conv)</f>
        <v>0</v>
      </c>
      <c r="K104" s="4">
        <f>_xll.ciqfunctions.udf.CIQ(InputTicker, "IQ_EXCISE_TAXES_INCL_SALES",Input!M$2,Date,,,Ccy,Conv)</f>
        <v>0</v>
      </c>
      <c r="L104" s="4">
        <f>_xll.ciqfunctions.udf.CIQ(InputTicker, "IQ_EXCISE_TAXES_INCL_SALES",Input!N$2,Date,,,Ccy,Conv)</f>
        <v>0</v>
      </c>
      <c r="M104" s="4">
        <f>_xll.ciqfunctions.udf.CIQ(InputTicker, "IQ_EXCISE_TAXES_INCL_SALES",Input!O$2,Date,,,Ccy,Conv)</f>
        <v>0</v>
      </c>
      <c r="N104" s="49"/>
      <c r="P104" s="46"/>
      <c r="Q104" s="46"/>
      <c r="R104" s="46"/>
      <c r="T104" s="42"/>
      <c r="U104" s="42"/>
      <c r="V104" s="46"/>
      <c r="W104" s="42"/>
      <c r="X104" s="42"/>
      <c r="Y104" s="42"/>
      <c r="Z104" s="42"/>
      <c r="AA104" s="42"/>
      <c r="AB104" s="42"/>
      <c r="AC104" s="42"/>
      <c r="AD104" s="42"/>
      <c r="AE104" s="42"/>
      <c r="AF104" s="42"/>
      <c r="AG104" s="42"/>
      <c r="AH104" s="42"/>
      <c r="AI104" s="42"/>
      <c r="AJ104" s="42"/>
      <c r="AK104" s="42"/>
      <c r="AL104" s="42"/>
      <c r="AM104" s="42"/>
      <c r="AN104" s="42"/>
      <c r="AO104" s="42"/>
      <c r="AP104" s="42"/>
      <c r="AQ104" s="42"/>
      <c r="AR104" s="42"/>
      <c r="AS104" s="42"/>
      <c r="AT104" s="42"/>
      <c r="AU104" s="42"/>
      <c r="AV104" s="42"/>
      <c r="AW104" s="42"/>
      <c r="AX104" s="42"/>
      <c r="AY104" s="42"/>
      <c r="AZ104" s="42"/>
      <c r="BA104" s="42"/>
      <c r="BB104" s="42"/>
      <c r="BC104" s="42"/>
      <c r="BD104" s="42"/>
      <c r="BE104" s="42"/>
      <c r="BF104" s="42"/>
      <c r="BG104" s="42"/>
      <c r="BH104" s="42"/>
      <c r="BI104" s="42"/>
      <c r="BJ104" s="42"/>
      <c r="BK104" s="42"/>
      <c r="BL104" s="42"/>
      <c r="BM104" s="42"/>
      <c r="BN104" s="42"/>
    </row>
    <row r="105" spans="1:66" ht="12.75" customHeight="1" x14ac:dyDescent="0.2">
      <c r="A105" s="1" t="s">
        <v>319</v>
      </c>
      <c r="B105" s="4">
        <f>_xll.ciqfunctions.udf.CIQ(InputTicker, "IQ_CURR_DOMESTIC_TAXES",Input!D$2,Date,,,Ccy,Conv)</f>
        <v>681</v>
      </c>
      <c r="C105" s="4">
        <f>_xll.ciqfunctions.udf.CIQ(InputTicker, "IQ_CURR_DOMESTIC_TAXES",Input!E$2,Date,,,Ccy,Conv)</f>
        <v>2769</v>
      </c>
      <c r="D105" s="4">
        <f>_xll.ciqfunctions.udf.CIQ(InputTicker, "IQ_CURR_DOMESTIC_TAXES",Input!F$2,Date,,,Ccy,Conv)</f>
        <v>20698</v>
      </c>
      <c r="E105" s="4">
        <f>_xll.ciqfunctions.udf.CIQ(InputTicker, "IQ_CURR_DOMESTIC_TAXES",Input!G$2,Date,,,Ccy,Conv)</f>
        <v>5380</v>
      </c>
      <c r="F105" s="4">
        <f>_xll.ciqfunctions.udf.CIQ(InputTicker, "IQ_CURR_DOMESTIC_TAXES",Input!H$2,Date,,,Ccy,Conv)</f>
        <v>4300</v>
      </c>
      <c r="G105" s="4">
        <f>_xll.ciqfunctions.udf.CIQ(InputTicker, "IQ_CURR_DOMESTIC_TAXES",Input!I$2,Date,,,Ccy,Conv)</f>
        <v>4514</v>
      </c>
      <c r="H105" s="4">
        <f>_xll.ciqfunctions.udf.CIQ(InputTicker, "IQ_CURR_DOMESTIC_TAXES",Input!J$2,Date,,,Ccy,Conv)</f>
        <v>10008</v>
      </c>
      <c r="I105" s="4">
        <f>_xll.ciqfunctions.udf.CIQ(InputTicker, "IQ_CURR_DOMESTIC_TAXES",Input!K$2,Date,,,Ccy,Conv)</f>
        <v>16331</v>
      </c>
      <c r="J105" s="4">
        <f>_xll.ciqfunctions.udf.CIQ(InputTicker, "IQ_CURR_DOMESTIC_TAXES",Input!L$2,Date,,,Ccy,Conv)</f>
        <v>14531</v>
      </c>
      <c r="K105" s="4">
        <f>_xll.ciqfunctions.udf.CIQ(InputTicker, "IQ_CURR_DOMESTIC_TAXES",Input!M$2,Date,,,Ccy,Conv)</f>
        <v>17428</v>
      </c>
      <c r="L105" s="4">
        <f>_xll.ciqfunctions.udf.CIQ(InputTicker, "IQ_CURR_DOMESTIC_TAXES",Input!N$2,Date,,,Ccy,Conv)</f>
        <v>5174</v>
      </c>
      <c r="M105" s="4">
        <f>_xll.ciqfunctions.udf.CIQ(InputTicker, "IQ_CURR_DOMESTIC_TAXES",Input!O$2,Date,,,Ccy,Conv)</f>
        <v>5174</v>
      </c>
      <c r="N105" s="49"/>
      <c r="P105" s="46"/>
      <c r="Q105" s="46"/>
      <c r="R105" s="46"/>
      <c r="T105" s="42"/>
      <c r="U105" s="42"/>
      <c r="V105" s="46"/>
      <c r="W105" s="42"/>
      <c r="X105" s="42"/>
      <c r="Y105" s="42"/>
      <c r="Z105" s="42"/>
      <c r="AA105" s="42"/>
      <c r="AB105" s="42"/>
      <c r="AC105" s="42"/>
      <c r="AD105" s="42"/>
      <c r="AE105" s="42"/>
      <c r="AF105" s="42"/>
      <c r="AG105" s="42"/>
      <c r="AH105" s="42"/>
      <c r="AI105" s="42"/>
      <c r="AJ105" s="42"/>
      <c r="AK105" s="42"/>
      <c r="AL105" s="42"/>
      <c r="AM105" s="42"/>
      <c r="AN105" s="42"/>
      <c r="AO105" s="42"/>
      <c r="AP105" s="42"/>
      <c r="AQ105" s="42"/>
      <c r="AR105" s="42"/>
      <c r="AS105" s="42"/>
      <c r="AT105" s="42"/>
      <c r="AU105" s="42"/>
      <c r="AV105" s="42"/>
      <c r="AW105" s="42"/>
      <c r="AX105" s="42"/>
      <c r="AY105" s="42"/>
      <c r="AZ105" s="42"/>
      <c r="BA105" s="42"/>
      <c r="BB105" s="42"/>
      <c r="BC105" s="42"/>
      <c r="BD105" s="42"/>
      <c r="BE105" s="42"/>
      <c r="BF105" s="42"/>
      <c r="BG105" s="42"/>
      <c r="BH105" s="42"/>
      <c r="BI105" s="42"/>
      <c r="BJ105" s="42"/>
      <c r="BK105" s="42"/>
      <c r="BL105" s="42"/>
      <c r="BM105" s="42"/>
      <c r="BN105" s="42"/>
    </row>
    <row r="106" spans="1:66" ht="12.75" customHeight="1" x14ac:dyDescent="0.2">
      <c r="A106" s="1" t="s">
        <v>320</v>
      </c>
      <c r="B106" s="4">
        <f>_xll.ciqfunctions.udf.CIQ(InputTicker, "IQ_CURR_FOREIGN_TAXES",Input!D$2,Date,,,Ccy,Conv)</f>
        <v>1940</v>
      </c>
      <c r="C106" s="4">
        <f>_xll.ciqfunctions.udf.CIQ(InputTicker, "IQ_CURR_FOREIGN_TAXES",Input!E$2,Date,,,Ccy,Conv)</f>
        <v>2472</v>
      </c>
      <c r="D106" s="4">
        <f>_xll.ciqfunctions.udf.CIQ(InputTicker, "IQ_CURR_FOREIGN_TAXES",Input!F$2,Date,,,Ccy,Conv)</f>
        <v>4348</v>
      </c>
      <c r="E106" s="4">
        <f>_xll.ciqfunctions.udf.CIQ(InputTicker, "IQ_CURR_FOREIGN_TAXES",Input!G$2,Date,,,Ccy,Conv)</f>
        <v>5531</v>
      </c>
      <c r="F106" s="4">
        <f>_xll.ciqfunctions.udf.CIQ(InputTicker, "IQ_CURR_FOREIGN_TAXES",Input!H$2,Date,,,Ccy,Conv)</f>
        <v>4444</v>
      </c>
      <c r="G106" s="4">
        <f>_xll.ciqfunctions.udf.CIQ(InputTicker, "IQ_CURR_FOREIGN_TAXES",Input!I$2,Date,,,Ccy,Conv)</f>
        <v>5467</v>
      </c>
      <c r="H106" s="4">
        <f>_xll.ciqfunctions.udf.CIQ(InputTicker, "IQ_CURR_FOREIGN_TAXES",Input!J$2,Date,,,Ccy,Conv)</f>
        <v>6672</v>
      </c>
      <c r="I106" s="4">
        <f>_xll.ciqfunctions.udf.CIQ(InputTicker, "IQ_CURR_FOREIGN_TAXES",Input!K$2,Date,,,Ccy,Conv)</f>
        <v>6678</v>
      </c>
      <c r="J106" s="4">
        <f>_xll.ciqfunctions.udf.CIQ(InputTicker, "IQ_CURR_FOREIGN_TAXES",Input!L$2,Date,,,Ccy,Conv)</f>
        <v>9858</v>
      </c>
      <c r="K106" s="4">
        <f>_xll.ciqfunctions.udf.CIQ(InputTicker, "IQ_CURR_FOREIGN_TAXES",Input!M$2,Date,,,Ccy,Conv)</f>
        <v>11423</v>
      </c>
      <c r="L106" s="4">
        <f>_xll.ciqfunctions.udf.CIQ(InputTicker, "IQ_CURR_FOREIGN_TAXES",Input!N$2,Date,,,Ccy,Conv)</f>
        <v>12587</v>
      </c>
      <c r="M106" s="4">
        <f>_xll.ciqfunctions.udf.CIQ(InputTicker, "IQ_CURR_FOREIGN_TAXES",Input!O$2,Date,,,Ccy,Conv)</f>
        <v>12587</v>
      </c>
      <c r="N106" s="49"/>
      <c r="P106" s="46"/>
      <c r="Q106" s="46"/>
      <c r="R106" s="46"/>
      <c r="T106" s="42"/>
      <c r="U106" s="42"/>
      <c r="V106" s="46"/>
      <c r="W106" s="42"/>
      <c r="X106" s="42"/>
      <c r="Y106" s="42"/>
      <c r="Z106" s="42"/>
      <c r="AA106" s="42"/>
      <c r="AB106" s="42"/>
      <c r="AC106" s="42"/>
      <c r="AD106" s="42"/>
      <c r="AE106" s="42"/>
      <c r="AF106" s="42"/>
      <c r="AG106" s="42"/>
      <c r="AH106" s="42"/>
      <c r="AI106" s="42"/>
      <c r="AJ106" s="42"/>
      <c r="AK106" s="42"/>
      <c r="AL106" s="42"/>
      <c r="AM106" s="42"/>
      <c r="AN106" s="42"/>
      <c r="AO106" s="42"/>
      <c r="AP106" s="42"/>
      <c r="AQ106" s="42"/>
      <c r="AR106" s="42"/>
      <c r="AS106" s="42"/>
      <c r="AT106" s="42"/>
      <c r="AU106" s="42"/>
      <c r="AV106" s="42"/>
      <c r="AW106" s="42"/>
      <c r="AX106" s="42"/>
      <c r="AY106" s="42"/>
      <c r="AZ106" s="42"/>
      <c r="BA106" s="42"/>
      <c r="BB106" s="42"/>
      <c r="BC106" s="42"/>
      <c r="BD106" s="42"/>
      <c r="BE106" s="42"/>
      <c r="BF106" s="42"/>
      <c r="BG106" s="42"/>
      <c r="BH106" s="42"/>
      <c r="BI106" s="42"/>
      <c r="BJ106" s="42"/>
      <c r="BK106" s="42"/>
      <c r="BL106" s="42"/>
      <c r="BM106" s="42"/>
      <c r="BN106" s="42"/>
    </row>
    <row r="107" spans="1:66" ht="12.75" customHeight="1" x14ac:dyDescent="0.2">
      <c r="A107" s="1" t="s">
        <v>432</v>
      </c>
      <c r="B107" s="4">
        <f>_xll.ciqfunctions.udf.CIQ(InputTicker, "IQ_CURR_TAXES",Input!D$2,Date,,,Ccy,Conv)</f>
        <v>2621</v>
      </c>
      <c r="C107" s="4">
        <f>_xll.ciqfunctions.udf.CIQ(InputTicker, "IQ_CURR_TAXES",Input!E$2,Date,,,Ccy,Conv)</f>
        <v>5241</v>
      </c>
      <c r="D107" s="4">
        <f>_xll.ciqfunctions.udf.CIQ(InputTicker, "IQ_CURR_TAXES",Input!F$2,Date,,,Ccy,Conv)</f>
        <v>25046</v>
      </c>
      <c r="E107" s="4">
        <f>_xll.ciqfunctions.udf.CIQ(InputTicker, "IQ_CURR_TAXES",Input!G$2,Date,,,Ccy,Conv)</f>
        <v>10911</v>
      </c>
      <c r="F107" s="4">
        <f>_xll.ciqfunctions.udf.CIQ(InputTicker, "IQ_CURR_TAXES",Input!H$2,Date,,,Ccy,Conv)</f>
        <v>8744</v>
      </c>
      <c r="G107" s="4">
        <f>_xll.ciqfunctions.udf.CIQ(InputTicker, "IQ_CURR_TAXES",Input!I$2,Date,,,Ccy,Conv)</f>
        <v>9981</v>
      </c>
      <c r="H107" s="4">
        <f>_xll.ciqfunctions.udf.CIQ(InputTicker, "IQ_CURR_TAXES",Input!J$2,Date,,,Ccy,Conv)</f>
        <v>16680</v>
      </c>
      <c r="I107" s="4">
        <f>_xll.ciqfunctions.udf.CIQ(InputTicker, "IQ_CURR_TAXES",Input!K$2,Date,,,Ccy,Conv)</f>
        <v>23009</v>
      </c>
      <c r="J107" s="4">
        <f>_xll.ciqfunctions.udf.CIQ(InputTicker, "IQ_CURR_TAXES",Input!L$2,Date,,,Ccy,Conv)</f>
        <v>24389</v>
      </c>
      <c r="K107" s="4">
        <f>_xll.ciqfunctions.udf.CIQ(InputTicker, "IQ_CURR_TAXES",Input!M$2,Date,,,Ccy,Conv)</f>
        <v>28851</v>
      </c>
      <c r="L107" s="4">
        <f>_xll.ciqfunctions.udf.CIQ(InputTicker, "IQ_CURR_TAXES",Input!N$2,Date,,,Ccy,Conv)</f>
        <v>17761</v>
      </c>
      <c r="M107" s="4">
        <f>_xll.ciqfunctions.udf.CIQ(InputTicker, "IQ_CURR_TAXES",Input!O$2,Date,,,Ccy,Conv)</f>
        <v>17761</v>
      </c>
      <c r="N107" s="49"/>
      <c r="P107" s="46"/>
      <c r="Q107" s="46"/>
      <c r="R107" s="46"/>
      <c r="T107" s="42"/>
      <c r="U107" s="42"/>
      <c r="V107" s="46"/>
      <c r="W107" s="42"/>
      <c r="X107" s="42"/>
      <c r="Y107" s="42"/>
      <c r="Z107" s="42"/>
      <c r="AA107" s="42"/>
      <c r="AB107" s="42"/>
      <c r="AC107" s="42"/>
      <c r="AD107" s="42"/>
      <c r="AE107" s="42"/>
      <c r="AF107" s="42"/>
      <c r="AG107" s="42"/>
      <c r="AH107" s="42"/>
      <c r="AI107" s="42"/>
      <c r="AJ107" s="42"/>
      <c r="AK107" s="42"/>
      <c r="AL107" s="42"/>
      <c r="AM107" s="42"/>
      <c r="AN107" s="42"/>
      <c r="AO107" s="42"/>
      <c r="AP107" s="42"/>
      <c r="AQ107" s="42"/>
      <c r="AR107" s="42"/>
      <c r="AS107" s="42"/>
      <c r="AT107" s="42"/>
      <c r="AU107" s="42"/>
      <c r="AV107" s="42"/>
      <c r="AW107" s="42"/>
      <c r="AX107" s="42"/>
      <c r="AY107" s="42"/>
      <c r="AZ107" s="42"/>
      <c r="BA107" s="42"/>
      <c r="BB107" s="42"/>
      <c r="BC107" s="42"/>
      <c r="BD107" s="42"/>
      <c r="BE107" s="42"/>
      <c r="BF107" s="42"/>
      <c r="BG107" s="42"/>
      <c r="BH107" s="42"/>
      <c r="BI107" s="42"/>
      <c r="BJ107" s="42"/>
      <c r="BK107" s="42"/>
      <c r="BL107" s="42"/>
      <c r="BM107" s="42"/>
      <c r="BN107" s="42"/>
    </row>
    <row r="108" spans="1:66" ht="12.75" customHeight="1" x14ac:dyDescent="0.2">
      <c r="A108" s="1" t="s">
        <v>321</v>
      </c>
      <c r="B108" s="4">
        <f>_xll.ciqfunctions.udf.CIQ(InputTicker, "IQ_DEFERRED_DOMESTIC_TAXES",Input!D$2,Date,,,Ccy,Conv)</f>
        <v>2030</v>
      </c>
      <c r="C108" s="4">
        <f>_xll.ciqfunctions.udf.CIQ(InputTicker, "IQ_DEFERRED_DOMESTIC_TAXES",Input!E$2,Date,,,Ccy,Conv)</f>
        <v>-285</v>
      </c>
      <c r="D108" s="4">
        <f>_xll.ciqfunctions.udf.CIQ(InputTicker, "IQ_DEFERRED_DOMESTIC_TAXES",Input!F$2,Date,,,Ccy,Conv)</f>
        <v>-4750</v>
      </c>
      <c r="E108" s="4">
        <f>_xll.ciqfunctions.udf.CIQ(InputTicker, "IQ_DEFERRED_DOMESTIC_TAXES",Input!G$2,Date,,,Ccy,Conv)</f>
        <v>-6657</v>
      </c>
      <c r="F108" s="4">
        <f>_xll.ciqfunctions.udf.CIQ(InputTicker, "IQ_DEFERRED_DOMESTIC_TAXES",Input!H$2,Date,,,Ccy,Conv)</f>
        <v>52</v>
      </c>
      <c r="G108" s="4">
        <f>_xll.ciqfunctions.udf.CIQ(InputTicker, "IQ_DEFERRED_DOMESTIC_TAXES",Input!I$2,Date,,,Ccy,Conv)</f>
        <v>-179</v>
      </c>
      <c r="H108" s="4">
        <f>_xll.ciqfunctions.udf.CIQ(InputTicker, "IQ_DEFERRED_DOMESTIC_TAXES",Input!J$2,Date,,,Ccy,Conv)</f>
        <v>-5877</v>
      </c>
      <c r="I108" s="4">
        <f>_xll.ciqfunctions.udf.CIQ(InputTicker, "IQ_DEFERRED_DOMESTIC_TAXES",Input!K$2,Date,,,Ccy,Conv)</f>
        <v>-6623</v>
      </c>
      <c r="J108" s="4">
        <f>_xll.ciqfunctions.udf.CIQ(InputTicker, "IQ_DEFERRED_DOMESTIC_TAXES",Input!L$2,Date,,,Ccy,Conv)</f>
        <v>-5170</v>
      </c>
      <c r="K108" s="4">
        <f>_xll.ciqfunctions.udf.CIQ(InputTicker, "IQ_DEFERRED_DOMESTIC_TAXES",Input!M$2,Date,,,Ccy,Conv)</f>
        <v>-7337</v>
      </c>
      <c r="L108" s="4">
        <f>_xll.ciqfunctions.udf.CIQ(InputTicker, "IQ_DEFERRED_DOMESTIC_TAXES",Input!N$2,Date,,,Ccy,Conv)</f>
        <v>13893</v>
      </c>
      <c r="M108" s="4">
        <f>_xll.ciqfunctions.udf.CIQ(InputTicker, "IQ_DEFERRED_DOMESTIC_TAXES",Input!O$2,Date,,,Ccy,Conv)</f>
        <v>13893</v>
      </c>
      <c r="N108" s="49"/>
      <c r="P108" s="46"/>
      <c r="Q108" s="46"/>
      <c r="R108" s="46"/>
      <c r="T108" s="42"/>
      <c r="U108" s="42"/>
      <c r="V108" s="46"/>
      <c r="W108" s="42"/>
      <c r="X108" s="42"/>
      <c r="Y108" s="42"/>
      <c r="Z108" s="42"/>
      <c r="AA108" s="42"/>
      <c r="AB108" s="42"/>
      <c r="AC108" s="42"/>
      <c r="AD108" s="42"/>
      <c r="AE108" s="42"/>
      <c r="AF108" s="42"/>
      <c r="AG108" s="42"/>
      <c r="AH108" s="42"/>
      <c r="AI108" s="42"/>
      <c r="AJ108" s="42"/>
      <c r="AK108" s="42"/>
      <c r="AL108" s="42"/>
      <c r="AM108" s="42"/>
      <c r="AN108" s="42"/>
      <c r="AO108" s="42"/>
      <c r="AP108" s="42"/>
      <c r="AQ108" s="42"/>
      <c r="AR108" s="42"/>
      <c r="AS108" s="42"/>
      <c r="AT108" s="42"/>
      <c r="AU108" s="42"/>
      <c r="AV108" s="42"/>
      <c r="AW108" s="42"/>
      <c r="AX108" s="42"/>
      <c r="AY108" s="42"/>
      <c r="AZ108" s="42"/>
      <c r="BA108" s="42"/>
      <c r="BB108" s="42"/>
      <c r="BC108" s="42"/>
      <c r="BD108" s="42"/>
      <c r="BE108" s="42"/>
      <c r="BF108" s="42"/>
      <c r="BG108" s="42"/>
      <c r="BH108" s="42"/>
      <c r="BI108" s="42"/>
      <c r="BJ108" s="42"/>
      <c r="BK108" s="42"/>
      <c r="BL108" s="42"/>
      <c r="BM108" s="42"/>
      <c r="BN108" s="42"/>
    </row>
    <row r="109" spans="1:66" ht="12.75" customHeight="1" x14ac:dyDescent="0.2">
      <c r="A109" s="1" t="s">
        <v>322</v>
      </c>
      <c r="B109" s="4">
        <f>_xll.ciqfunctions.udf.CIQ(InputTicker, "IQ_DEFERRED_FOREIGN_TAXES",Input!D$2,Date,,,Ccy,Conv)</f>
        <v>449</v>
      </c>
      <c r="C109" s="4">
        <f>_xll.ciqfunctions.udf.CIQ(InputTicker, "IQ_DEFERRED_FOREIGN_TAXES",Input!E$2,Date,,,Ccy,Conv)</f>
        <v>-544</v>
      </c>
      <c r="D109" s="4">
        <f>_xll.ciqfunctions.udf.CIQ(InputTicker, "IQ_DEFERRED_FOREIGN_TAXES",Input!F$2,Date,,,Ccy,Conv)</f>
        <v>-393</v>
      </c>
      <c r="E109" s="4">
        <f>_xll.ciqfunctions.udf.CIQ(InputTicker, "IQ_DEFERRED_FOREIGN_TAXES",Input!G$2,Date,,,Ccy,Conv)</f>
        <v>194</v>
      </c>
      <c r="F109" s="4">
        <f>_xll.ciqfunctions.udf.CIQ(InputTicker, "IQ_DEFERRED_FOREIGN_TAXES",Input!H$2,Date,,,Ccy,Conv)</f>
        <v>-41</v>
      </c>
      <c r="G109" s="4">
        <f>_xll.ciqfunctions.udf.CIQ(InputTicker, "IQ_DEFERRED_FOREIGN_TAXES",Input!I$2,Date,,,Ccy,Conv)</f>
        <v>29</v>
      </c>
      <c r="H109" s="4">
        <f>_xll.ciqfunctions.udf.CIQ(InputTicker, "IQ_DEFERRED_FOREIGN_TAXES",Input!J$2,Date,,,Ccy,Conv)</f>
        <v>175</v>
      </c>
      <c r="I109" s="4">
        <f>_xll.ciqfunctions.udf.CIQ(InputTicker, "IQ_DEFERRED_FOREIGN_TAXES",Input!K$2,Date,,,Ccy,Conv)</f>
        <v>564</v>
      </c>
      <c r="J109" s="4">
        <f>_xll.ciqfunctions.udf.CIQ(InputTicker, "IQ_DEFERRED_FOREIGN_TAXES",Input!L$2,Date,,,Ccy,Conv)</f>
        <v>432</v>
      </c>
      <c r="K109" s="4">
        <f>_xll.ciqfunctions.udf.CIQ(InputTicker, "IQ_DEFERRED_FOREIGN_TAXES",Input!M$2,Date,,,Ccy,Conv)</f>
        <v>281</v>
      </c>
      <c r="L109" s="4">
        <f>_xll.ciqfunctions.udf.CIQ(InputTicker, "IQ_DEFERRED_FOREIGN_TAXES",Input!N$2,Date,,,Ccy,Conv)</f>
        <v>531</v>
      </c>
      <c r="M109" s="4">
        <f>_xll.ciqfunctions.udf.CIQ(InputTicker, "IQ_DEFERRED_FOREIGN_TAXES",Input!O$2,Date,,,Ccy,Conv)</f>
        <v>531</v>
      </c>
      <c r="N109" s="49"/>
      <c r="P109" s="46"/>
      <c r="Q109" s="46"/>
      <c r="R109" s="46"/>
      <c r="T109" s="42"/>
      <c r="U109" s="42"/>
      <c r="V109" s="46"/>
      <c r="W109" s="42"/>
      <c r="X109" s="42"/>
      <c r="Y109" s="42"/>
      <c r="Z109" s="42"/>
      <c r="AA109" s="42"/>
      <c r="AB109" s="42"/>
      <c r="AC109" s="42"/>
      <c r="AD109" s="42"/>
      <c r="AE109" s="42"/>
      <c r="AF109" s="42"/>
      <c r="AG109" s="42"/>
      <c r="AH109" s="42"/>
      <c r="AI109" s="42"/>
      <c r="AJ109" s="42"/>
      <c r="AK109" s="42"/>
      <c r="AL109" s="42"/>
      <c r="AM109" s="42"/>
      <c r="AN109" s="42"/>
      <c r="AO109" s="42"/>
      <c r="AP109" s="42"/>
      <c r="AQ109" s="42"/>
      <c r="AR109" s="42"/>
      <c r="AS109" s="42"/>
      <c r="AT109" s="42"/>
      <c r="AU109" s="42"/>
      <c r="AV109" s="42"/>
      <c r="AW109" s="42"/>
      <c r="AX109" s="42"/>
      <c r="AY109" s="42"/>
      <c r="AZ109" s="42"/>
      <c r="BA109" s="42"/>
      <c r="BB109" s="42"/>
      <c r="BC109" s="42"/>
      <c r="BD109" s="42"/>
      <c r="BE109" s="42"/>
      <c r="BF109" s="42"/>
      <c r="BG109" s="42"/>
      <c r="BH109" s="42"/>
      <c r="BI109" s="42"/>
      <c r="BJ109" s="42"/>
      <c r="BK109" s="42"/>
      <c r="BL109" s="42"/>
      <c r="BM109" s="42"/>
      <c r="BN109" s="42"/>
    </row>
    <row r="110" spans="1:66" ht="12.75" customHeight="1" x14ac:dyDescent="0.2">
      <c r="A110" s="1" t="s">
        <v>433</v>
      </c>
      <c r="B110" s="4">
        <f>_xll.ciqfunctions.udf.CIQ(InputTicker, "IQ_DEFERRED_TAXES_TOTAL",Input!D$2,Date,,,Ccy,Conv)</f>
        <v>2479</v>
      </c>
      <c r="C110" s="4">
        <f>_xll.ciqfunctions.udf.CIQ(InputTicker, "IQ_DEFERRED_TAXES_TOTAL",Input!E$2,Date,,,Ccy,Conv)</f>
        <v>-829</v>
      </c>
      <c r="D110" s="4">
        <f>_xll.ciqfunctions.udf.CIQ(InputTicker, "IQ_DEFERRED_TAXES_TOTAL",Input!F$2,Date,,,Ccy,Conv)</f>
        <v>-5143</v>
      </c>
      <c r="E110" s="4">
        <f>_xll.ciqfunctions.udf.CIQ(InputTicker, "IQ_DEFERRED_TAXES_TOTAL",Input!G$2,Date,,,Ccy,Conv)</f>
        <v>-6463</v>
      </c>
      <c r="F110" s="4">
        <f>_xll.ciqfunctions.udf.CIQ(InputTicker, "IQ_DEFERRED_TAXES_TOTAL",Input!H$2,Date,,,Ccy,Conv)</f>
        <v>11</v>
      </c>
      <c r="G110" s="4">
        <f>_xll.ciqfunctions.udf.CIQ(InputTicker, "IQ_DEFERRED_TAXES_TOTAL",Input!I$2,Date,,,Ccy,Conv)</f>
        <v>-150</v>
      </c>
      <c r="H110" s="4">
        <f>_xll.ciqfunctions.udf.CIQ(InputTicker, "IQ_DEFERRED_TAXES_TOTAL",Input!J$2,Date,,,Ccy,Conv)</f>
        <v>-5702</v>
      </c>
      <c r="I110" s="4">
        <f>_xll.ciqfunctions.udf.CIQ(InputTicker, "IQ_DEFERRED_TAXES_TOTAL",Input!K$2,Date,,,Ccy,Conv)</f>
        <v>-6059</v>
      </c>
      <c r="J110" s="4">
        <f>_xll.ciqfunctions.udf.CIQ(InputTicker, "IQ_DEFERRED_TAXES_TOTAL",Input!L$2,Date,,,Ccy,Conv)</f>
        <v>-4738</v>
      </c>
      <c r="K110" s="4">
        <f>_xll.ciqfunctions.udf.CIQ(InputTicker, "IQ_DEFERRED_TAXES_TOTAL",Input!M$2,Date,,,Ccy,Conv)</f>
        <v>-7056</v>
      </c>
      <c r="L110" s="4">
        <f>_xll.ciqfunctions.udf.CIQ(InputTicker, "IQ_DEFERRED_TAXES_TOTAL",Input!N$2,Date,,,Ccy,Conv)</f>
        <v>14424</v>
      </c>
      <c r="M110" s="4">
        <f>_xll.ciqfunctions.udf.CIQ(InputTicker, "IQ_DEFERRED_TAXES_TOTAL",Input!O$2,Date,,,Ccy,Conv)</f>
        <v>14424</v>
      </c>
      <c r="N110" s="49"/>
      <c r="P110" s="46"/>
      <c r="Q110" s="46"/>
      <c r="R110" s="46"/>
      <c r="T110" s="42"/>
      <c r="U110" s="42"/>
      <c r="V110" s="46"/>
      <c r="W110" s="42"/>
      <c r="X110" s="42"/>
      <c r="Y110" s="42"/>
      <c r="Z110" s="42"/>
      <c r="AA110" s="42"/>
      <c r="AB110" s="42"/>
      <c r="AC110" s="42"/>
      <c r="AD110" s="42"/>
      <c r="AE110" s="42"/>
      <c r="AF110" s="42"/>
      <c r="AG110" s="42"/>
      <c r="AH110" s="42"/>
      <c r="AI110" s="42"/>
      <c r="AJ110" s="42"/>
      <c r="AK110" s="42"/>
      <c r="AL110" s="42"/>
      <c r="AM110" s="42"/>
      <c r="AN110" s="42"/>
      <c r="AO110" s="42"/>
      <c r="AP110" s="42"/>
      <c r="AQ110" s="42"/>
      <c r="AR110" s="42"/>
      <c r="AS110" s="42"/>
      <c r="AT110" s="42"/>
      <c r="AU110" s="42"/>
      <c r="AV110" s="42"/>
      <c r="AW110" s="42"/>
      <c r="AX110" s="42"/>
      <c r="AY110" s="42"/>
      <c r="AZ110" s="42"/>
      <c r="BA110" s="42"/>
      <c r="BB110" s="42"/>
      <c r="BC110" s="42"/>
      <c r="BD110" s="42"/>
      <c r="BE110" s="42"/>
      <c r="BF110" s="42"/>
      <c r="BG110" s="42"/>
      <c r="BH110" s="42"/>
      <c r="BI110" s="42"/>
      <c r="BJ110" s="42"/>
      <c r="BK110" s="42"/>
      <c r="BL110" s="42"/>
      <c r="BM110" s="42"/>
      <c r="BN110" s="42"/>
    </row>
    <row r="111" spans="1:66" ht="12.75" customHeight="1" x14ac:dyDescent="0.2">
      <c r="A111" s="1" t="s">
        <v>458</v>
      </c>
      <c r="B111" s="4">
        <f>_xll.ciqfunctions.udf.CIQ(InputTicker, "IQ_NONRECURRING_INCOME_TAXES",Input!D$2,Date,,,Ccy,Conv)</f>
        <v>0</v>
      </c>
      <c r="C111" s="4">
        <f>_xll.ciqfunctions.udf.CIQ(InputTicker, "IQ_NONRECURRING_INCOME_TAXES",Input!E$2,Date,,,Ccy,Conv)</f>
        <v>0</v>
      </c>
      <c r="D111" s="4">
        <f>_xll.ciqfunctions.udf.CIQ(InputTicker, "IQ_NONRECURRING_INCOME_TAXES",Input!F$2,Date,,,Ccy,Conv)</f>
        <v>13696</v>
      </c>
      <c r="E111" s="4">
        <f>_xll.ciqfunctions.udf.CIQ(InputTicker, "IQ_NONRECURRING_INCOME_TAXES",Input!G$2,Date,,,Ccy,Conv)</f>
        <v>157</v>
      </c>
      <c r="F111" s="4">
        <f>_xll.ciqfunctions.udf.CIQ(InputTicker, "IQ_NONRECURRING_INCOME_TAXES",Input!H$2,Date,,,Ccy,Conv)</f>
        <v>0</v>
      </c>
      <c r="G111" s="4">
        <f>_xll.ciqfunctions.udf.CIQ(InputTicker, "IQ_NONRECURRING_INCOME_TAXES",Input!I$2,Date,,,Ccy,Conv)</f>
        <v>0</v>
      </c>
      <c r="H111" s="4">
        <f>_xll.ciqfunctions.udf.CIQ(InputTicker, "IQ_NONRECURRING_INCOME_TAXES",Input!J$2,Date,,,Ccy,Conv)</f>
        <v>0</v>
      </c>
      <c r="I111" s="4">
        <f>_xll.ciqfunctions.udf.CIQ(InputTicker, "IQ_NONRECURRING_INCOME_TAXES",Input!K$2,Date,,,Ccy,Conv)</f>
        <v>0</v>
      </c>
      <c r="J111" s="4">
        <f>_xll.ciqfunctions.udf.CIQ(InputTicker, "IQ_NONRECURRING_INCOME_TAXES",Input!L$2,Date,,,Ccy,Conv)</f>
        <v>0</v>
      </c>
      <c r="K111" s="4">
        <f>_xll.ciqfunctions.udf.CIQ(InputTicker, "IQ_NONRECURRING_INCOME_TAXES",Input!M$2,Date,,,Ccy,Conv)</f>
        <v>0</v>
      </c>
      <c r="L111" s="4">
        <f>_xll.ciqfunctions.udf.CIQ(InputTicker, "IQ_NONRECURRING_INCOME_TAXES",Input!N$2,Date,,,Ccy,Conv)</f>
        <v>0</v>
      </c>
      <c r="M111" s="4">
        <f>_xll.ciqfunctions.udf.CIQ(InputTicker, "IQ_NONRECURRING_INCOME_TAXES",Input!O$2,Date,,,Ccy,Conv)</f>
        <v>0</v>
      </c>
      <c r="N111" s="49"/>
      <c r="P111" s="46"/>
      <c r="Q111" s="46"/>
      <c r="R111" s="46"/>
      <c r="T111" s="42"/>
      <c r="U111" s="42"/>
      <c r="V111" s="46"/>
      <c r="W111" s="42"/>
      <c r="X111" s="42"/>
      <c r="Y111" s="42"/>
      <c r="Z111" s="42"/>
      <c r="AA111" s="42"/>
      <c r="AB111" s="42"/>
      <c r="AC111" s="42"/>
      <c r="AD111" s="42"/>
      <c r="AE111" s="42"/>
      <c r="AF111" s="42"/>
      <c r="AG111" s="42"/>
      <c r="AH111" s="42"/>
      <c r="AI111" s="42"/>
      <c r="AJ111" s="42"/>
      <c r="AK111" s="42"/>
      <c r="AL111" s="42"/>
      <c r="AM111" s="42"/>
      <c r="AN111" s="42"/>
      <c r="AO111" s="42"/>
      <c r="AP111" s="42"/>
      <c r="AQ111" s="42"/>
      <c r="AR111" s="42"/>
      <c r="AS111" s="42"/>
      <c r="AT111" s="42"/>
      <c r="AU111" s="42"/>
      <c r="AV111" s="42"/>
      <c r="AW111" s="42"/>
      <c r="AX111" s="42"/>
      <c r="AY111" s="42"/>
      <c r="AZ111" s="42"/>
      <c r="BA111" s="42"/>
      <c r="BB111" s="42"/>
      <c r="BC111" s="42"/>
      <c r="BD111" s="42"/>
      <c r="BE111" s="42"/>
      <c r="BF111" s="42"/>
      <c r="BG111" s="42"/>
      <c r="BH111" s="42"/>
      <c r="BI111" s="42"/>
      <c r="BJ111" s="42"/>
      <c r="BK111" s="42"/>
      <c r="BL111" s="42"/>
      <c r="BM111" s="42"/>
      <c r="BN111" s="42"/>
    </row>
    <row r="112" spans="1:66" ht="12.75" customHeight="1" x14ac:dyDescent="0.2">
      <c r="A112" s="1" t="s">
        <v>323</v>
      </c>
      <c r="B112" s="4">
        <f>_xll.ciqfunctions.udf.CIQ(InputTicker, "IQ_NI_NORM",Input!D$2,Date,,,Ccy,Conv)</f>
        <v>16320</v>
      </c>
      <c r="C112" s="4">
        <f>_xll.ciqfunctions.udf.CIQ(InputTicker, "IQ_NI_NORM",Input!E$2,Date,,,Ccy,Conv)</f>
        <v>17386.25</v>
      </c>
      <c r="D112" s="4">
        <f>_xll.ciqfunctions.udf.CIQ(InputTicker, "IQ_NI_NORM",Input!F$2,Date,,,Ccy,Conv)</f>
        <v>21246.875</v>
      </c>
      <c r="E112" s="4">
        <f>_xll.ciqfunctions.udf.CIQ(InputTicker, "IQ_NI_NORM",Input!G$2,Date,,,Ccy,Conv)</f>
        <v>26900</v>
      </c>
      <c r="F112" s="4">
        <f>_xll.ciqfunctions.udf.CIQ(InputTicker, "IQ_NI_NORM",Input!H$2,Date,,,Ccy,Conv)</f>
        <v>33127.5</v>
      </c>
      <c r="G112" s="4">
        <f>_xll.ciqfunctions.udf.CIQ(InputTicker, "IQ_NI_NORM",Input!I$2,Date,,,Ccy,Conv)</f>
        <v>43668.75</v>
      </c>
      <c r="H112" s="4">
        <f>_xll.ciqfunctions.udf.CIQ(InputTicker, "IQ_NI_NORM",Input!J$2,Date,,,Ccy,Conv)</f>
        <v>52026.25</v>
      </c>
      <c r="I112" s="4">
        <f>_xll.ciqfunctions.udf.CIQ(InputTicker, "IQ_NI_NORM",Input!K$2,Date,,,Ccy,Conv)</f>
        <v>56058.75</v>
      </c>
      <c r="J112" s="4">
        <f>_xll.ciqfunctions.udf.CIQ(InputTicker, "IQ_NI_NORM",Input!L$2,Date,,,Ccy,Conv)</f>
        <v>67551.25</v>
      </c>
      <c r="K112" s="4">
        <f>_xll.ciqfunctions.udf.CIQ(InputTicker, "IQ_NI_NORM",Input!M$2,Date,,,Ccy,Conv)</f>
        <v>77651.25</v>
      </c>
      <c r="L112" s="4">
        <f>_xll.ciqfunctions.udf.CIQ(InputTicker, "IQ_NI_NORM",Input!N$2,Date,,,Ccy,Conv)</f>
        <v>99803.125</v>
      </c>
      <c r="M112" s="4">
        <f>_xll.ciqfunctions.udf.CIQ(InputTicker, "IQ_NI_NORM",Input!O$2,Date,,,Ccy,Conv)</f>
        <v>99803.125</v>
      </c>
      <c r="N112" s="49"/>
      <c r="P112" s="46"/>
      <c r="Q112" s="46"/>
      <c r="R112" s="46"/>
      <c r="T112" s="42"/>
      <c r="U112" s="42"/>
      <c r="V112" s="46"/>
      <c r="W112" s="42"/>
      <c r="X112" s="42"/>
      <c r="Y112" s="42"/>
      <c r="Z112" s="42"/>
      <c r="AA112" s="42"/>
      <c r="AB112" s="42"/>
      <c r="AC112" s="42"/>
      <c r="AD112" s="42"/>
      <c r="AE112" s="42"/>
      <c r="AF112" s="42"/>
      <c r="AG112" s="42"/>
      <c r="AH112" s="42"/>
      <c r="AI112" s="42"/>
      <c r="AJ112" s="42"/>
      <c r="AK112" s="42"/>
      <c r="AL112" s="42"/>
      <c r="AM112" s="42"/>
      <c r="AN112" s="42"/>
      <c r="AO112" s="42"/>
      <c r="AP112" s="42"/>
      <c r="AQ112" s="42"/>
      <c r="AR112" s="42"/>
      <c r="AS112" s="42"/>
      <c r="AT112" s="42"/>
      <c r="AU112" s="42"/>
      <c r="AV112" s="42"/>
      <c r="AW112" s="42"/>
      <c r="AX112" s="42"/>
      <c r="AY112" s="42"/>
      <c r="AZ112" s="42"/>
      <c r="BA112" s="42"/>
      <c r="BB112" s="42"/>
      <c r="BC112" s="42"/>
      <c r="BD112" s="42"/>
      <c r="BE112" s="42"/>
      <c r="BF112" s="42"/>
      <c r="BG112" s="42"/>
      <c r="BH112" s="42"/>
      <c r="BI112" s="42"/>
      <c r="BJ112" s="42"/>
      <c r="BK112" s="42"/>
      <c r="BL112" s="42"/>
      <c r="BM112" s="42"/>
      <c r="BN112" s="42"/>
    </row>
    <row r="113" spans="1:66" ht="12.75" customHeight="1" x14ac:dyDescent="0.2">
      <c r="A113" s="1" t="s">
        <v>348</v>
      </c>
      <c r="B113" s="4">
        <f>_xll.ciqfunctions.udf.CIQ(InputTicker, "IQ_DILUT_NI",Input!D$2,Date,,,Ccy,Conv)</f>
        <v>20513.28</v>
      </c>
      <c r="C113" s="4">
        <f>_xll.ciqfunctions.udf.CIQ(InputTicker, "IQ_DILUT_NI",Input!E$2,Date,,,Ccy,Conv)</f>
        <v>25454</v>
      </c>
      <c r="D113" s="4">
        <f>_xll.ciqfunctions.udf.CIQ(InputTicker, "IQ_DILUT_NI",Input!F$2,Date,,,Ccy,Conv)</f>
        <v>16601.22</v>
      </c>
      <c r="E113" s="4">
        <f>_xll.ciqfunctions.udf.CIQ(InputTicker, "IQ_DILUT_NI",Input!G$2,Date,,,Ccy,Conv)</f>
        <v>39230.18</v>
      </c>
      <c r="F113" s="4">
        <f>_xll.ciqfunctions.udf.CIQ(InputTicker, "IQ_DILUT_NI",Input!H$2,Date,,,Ccy,Conv)</f>
        <v>44254.080000000002</v>
      </c>
      <c r="G113" s="4">
        <f>_xll.ciqfunctions.udf.CIQ(InputTicker, "IQ_DILUT_NI",Input!I$2,Date,,,Ccy,Conv)</f>
        <v>61244.4</v>
      </c>
      <c r="H113" s="4">
        <f>_xll.ciqfunctions.udf.CIQ(InputTicker, "IQ_DILUT_NI",Input!J$2,Date,,,Ccy,Conv)</f>
        <v>72761</v>
      </c>
      <c r="I113" s="4">
        <f>_xll.ciqfunctions.udf.CIQ(InputTicker, "IQ_DILUT_NI",Input!K$2,Date,,,Ccy,Conv)</f>
        <v>72328.960000000006</v>
      </c>
      <c r="J113" s="4">
        <f>_xll.ciqfunctions.udf.CIQ(InputTicker, "IQ_DILUT_NI",Input!L$2,Date,,,Ccy,Conv)</f>
        <v>88134.2</v>
      </c>
      <c r="K113" s="4">
        <f>_xll.ciqfunctions.udf.CIQ(InputTicker, "IQ_DILUT_NI",Input!M$2,Date,,,Ccy,Conv)</f>
        <v>101822.6</v>
      </c>
      <c r="L113" s="4">
        <f>_xll.ciqfunctions.udf.CIQ(InputTicker, "IQ_DILUT_NI",Input!N$2,Date,,,Ccy,Conv)</f>
        <v>133781.35</v>
      </c>
      <c r="M113" s="4">
        <f>_xll.ciqfunctions.udf.CIQ(InputTicker, "IQ_DILUT_NI",Input!O$2,Date,,,Ccy,Conv)</f>
        <v>133781.35</v>
      </c>
      <c r="N113" s="49"/>
      <c r="P113" s="46"/>
      <c r="Q113" s="46"/>
      <c r="R113" s="46"/>
      <c r="T113" s="42"/>
      <c r="U113" s="42"/>
      <c r="V113" s="46"/>
      <c r="W113" s="42"/>
      <c r="X113" s="42"/>
      <c r="Y113" s="42"/>
      <c r="Z113" s="42"/>
      <c r="AA113" s="42"/>
      <c r="AB113" s="42"/>
      <c r="AC113" s="42"/>
      <c r="AD113" s="42"/>
      <c r="AE113" s="42"/>
      <c r="AF113" s="42"/>
      <c r="AG113" s="42"/>
      <c r="AH113" s="42"/>
      <c r="AI113" s="42"/>
      <c r="AJ113" s="42"/>
      <c r="AK113" s="42"/>
      <c r="AL113" s="42"/>
      <c r="AM113" s="42"/>
      <c r="AN113" s="42"/>
      <c r="AO113" s="42"/>
      <c r="AP113" s="42"/>
      <c r="AQ113" s="42"/>
      <c r="AR113" s="42"/>
      <c r="AS113" s="42"/>
      <c r="AT113" s="42"/>
      <c r="AU113" s="42"/>
      <c r="AV113" s="42"/>
      <c r="AW113" s="42"/>
      <c r="AX113" s="42"/>
      <c r="AY113" s="42"/>
      <c r="AZ113" s="42"/>
      <c r="BA113" s="42"/>
      <c r="BB113" s="42"/>
      <c r="BC113" s="42"/>
      <c r="BD113" s="42"/>
      <c r="BE113" s="42"/>
      <c r="BF113" s="42"/>
      <c r="BG113" s="42"/>
      <c r="BH113" s="42"/>
      <c r="BI113" s="42"/>
      <c r="BJ113" s="42"/>
      <c r="BK113" s="42"/>
      <c r="BL113" s="42"/>
      <c r="BM113" s="42"/>
      <c r="BN113" s="42"/>
    </row>
    <row r="114" spans="1:66" ht="12.75" customHeight="1" x14ac:dyDescent="0.2">
      <c r="A114" s="1" t="s">
        <v>310</v>
      </c>
      <c r="B114" s="4">
        <f>_xll.ciqfunctions.udf.CIQ(InputTicker, "IQ_CAPITALIZED_INTEREST",Input!D$2,Date,,,Ccy,Conv)</f>
        <v>58</v>
      </c>
      <c r="C114" s="4">
        <f>_xll.ciqfunctions.udf.CIQ(InputTicker, "IQ_CAPITALIZED_INTEREST",Input!E$2,Date,,,Ccy,Conv)</f>
        <v>0</v>
      </c>
      <c r="D114" s="4">
        <f>_xll.ciqfunctions.udf.CIQ(InputTicker, "IQ_CAPITALIZED_INTEREST",Input!F$2,Date,,,Ccy,Conv)</f>
        <v>0</v>
      </c>
      <c r="E114" s="4">
        <f>_xll.ciqfunctions.udf.CIQ(InputTicker, "IQ_CAPITALIZED_INTEREST",Input!G$2,Date,,,Ccy,Conv)</f>
        <v>0</v>
      </c>
      <c r="F114" s="4">
        <f>_xll.ciqfunctions.udf.CIQ(InputTicker, "IQ_CAPITALIZED_INTEREST",Input!H$2,Date,,,Ccy,Conv)</f>
        <v>0</v>
      </c>
      <c r="G114" s="4">
        <f>_xll.ciqfunctions.udf.CIQ(InputTicker, "IQ_CAPITALIZED_INTEREST",Input!I$2,Date,,,Ccy,Conv)</f>
        <v>0</v>
      </c>
      <c r="H114" s="4">
        <f>_xll.ciqfunctions.udf.CIQ(InputTicker, "IQ_CAPITALIZED_INTEREST",Input!J$2,Date,,,Ccy,Conv)</f>
        <v>0</v>
      </c>
      <c r="I114" s="4">
        <f>_xll.ciqfunctions.udf.CIQ(InputTicker, "IQ_CAPITALIZED_INTEREST",Input!K$2,Date,,,Ccy,Conv)</f>
        <v>0</v>
      </c>
      <c r="J114" s="4">
        <f>_xll.ciqfunctions.udf.CIQ(InputTicker, "IQ_CAPITALIZED_INTEREST",Input!L$2,Date,,,Ccy,Conv)</f>
        <v>0</v>
      </c>
      <c r="K114" s="4">
        <f>_xll.ciqfunctions.udf.CIQ(InputTicker, "IQ_CAPITALIZED_INTEREST",Input!M$2,Date,,,Ccy,Conv)</f>
        <v>0</v>
      </c>
      <c r="L114" s="4">
        <f>_xll.ciqfunctions.udf.CIQ(InputTicker, "IQ_CAPITALIZED_INTEREST",Input!N$2,Date,,,Ccy,Conv)</f>
        <v>0</v>
      </c>
      <c r="M114" s="4">
        <f>_xll.ciqfunctions.udf.CIQ(InputTicker, "IQ_CAPITALIZED_INTEREST",Input!O$2,Date,,,Ccy,Conv)</f>
        <v>0</v>
      </c>
      <c r="N114" s="49"/>
      <c r="P114" s="46"/>
      <c r="Q114" s="46"/>
      <c r="R114" s="46"/>
      <c r="T114" s="42"/>
      <c r="U114" s="42"/>
      <c r="V114" s="46"/>
      <c r="W114" s="42"/>
      <c r="X114" s="42"/>
      <c r="Y114" s="42"/>
      <c r="Z114" s="42"/>
      <c r="AA114" s="42"/>
      <c r="AB114" s="42"/>
      <c r="AC114" s="42"/>
      <c r="AD114" s="42"/>
      <c r="AE114" s="42"/>
      <c r="AF114" s="42"/>
      <c r="AG114" s="42"/>
      <c r="AH114" s="42"/>
      <c r="AI114" s="42"/>
      <c r="AJ114" s="42"/>
      <c r="AK114" s="42"/>
      <c r="AL114" s="42"/>
      <c r="AM114" s="42"/>
      <c r="AN114" s="42"/>
      <c r="AO114" s="42"/>
      <c r="AP114" s="42"/>
      <c r="AQ114" s="42"/>
      <c r="AR114" s="42"/>
      <c r="AS114" s="42"/>
      <c r="AT114" s="42"/>
      <c r="AU114" s="42"/>
      <c r="AV114" s="42"/>
      <c r="AW114" s="42"/>
      <c r="AX114" s="42"/>
      <c r="AY114" s="42"/>
      <c r="AZ114" s="42"/>
      <c r="BA114" s="42"/>
      <c r="BB114" s="42"/>
      <c r="BC114" s="42"/>
      <c r="BD114" s="42"/>
      <c r="BE114" s="42"/>
      <c r="BF114" s="42"/>
      <c r="BG114" s="42"/>
      <c r="BH114" s="42"/>
      <c r="BI114" s="42"/>
      <c r="BJ114" s="42"/>
      <c r="BK114" s="42"/>
      <c r="BL114" s="42"/>
      <c r="BM114" s="42"/>
      <c r="BN114" s="42"/>
    </row>
    <row r="115" spans="1:66" ht="12.75" customHeight="1" x14ac:dyDescent="0.2">
      <c r="A115" s="1" t="s">
        <v>324</v>
      </c>
      <c r="B115" s="4">
        <f>_xll.ciqfunctions.udf.CIQ(InputTicker, "IQ_INT_EXP_LTD",Input!D$2,Date,,,Ccy,Conv)</f>
        <v>28</v>
      </c>
      <c r="C115" s="4">
        <f>_xll.ciqfunctions.udf.CIQ(InputTicker, "IQ_INT_EXP_LTD",Input!E$2,Date,,,Ccy,Conv)</f>
        <v>68</v>
      </c>
      <c r="D115" s="4">
        <f>_xll.ciqfunctions.udf.CIQ(InputTicker, "IQ_INT_EXP_LTD",Input!F$2,Date,,,Ccy,Conv)</f>
        <v>175</v>
      </c>
      <c r="E115" s="4">
        <f>_xll.ciqfunctions.udf.CIQ(InputTicker, "IQ_INT_EXP_LTD",Input!G$2,Date,,,Ccy,Conv)</f>
        <v>247</v>
      </c>
      <c r="F115" s="4">
        <f>_xll.ciqfunctions.udf.CIQ(InputTicker, "IQ_INT_EXP_LTD",Input!H$2,Date,,,Ccy,Conv)</f>
        <v>336</v>
      </c>
      <c r="G115" s="4">
        <f>_xll.ciqfunctions.udf.CIQ(InputTicker, "IQ_INT_EXP_LTD",Input!I$2,Date,,,Ccy,Conv)</f>
        <v>386</v>
      </c>
      <c r="H115" s="4">
        <f>_xll.ciqfunctions.udf.CIQ(InputTicker, "IQ_INT_EXP_LTD",Input!J$2,Date,,,Ccy,Conv)</f>
        <v>429</v>
      </c>
      <c r="I115" s="4">
        <f>_xll.ciqfunctions.udf.CIQ(InputTicker, "IQ_INT_EXP_LTD",Input!K$2,Date,,,Ccy,Conv)</f>
        <v>501</v>
      </c>
      <c r="J115" s="4">
        <f>_xll.ciqfunctions.udf.CIQ(InputTicker, "IQ_INT_EXP_LTD",Input!L$2,Date,,,Ccy,Conv)</f>
        <v>734</v>
      </c>
      <c r="K115" s="4">
        <f>_xll.ciqfunctions.udf.CIQ(InputTicker, "IQ_INT_EXP_LTD",Input!M$2,Date,,,Ccy,Conv)</f>
        <v>1417</v>
      </c>
      <c r="L115" s="4">
        <f>_xll.ciqfunctions.udf.CIQ(InputTicker, "IQ_INT_EXP_LTD",Input!N$2,Date,,,Ccy,Conv)</f>
        <v>2547</v>
      </c>
      <c r="M115" s="4">
        <f>_xll.ciqfunctions.udf.CIQ(InputTicker, "IQ_INT_EXP_LTD",Input!O$2,Date,,,Ccy,Conv)</f>
        <v>2547</v>
      </c>
      <c r="N115" s="49"/>
      <c r="P115" s="46"/>
      <c r="Q115" s="46"/>
      <c r="R115" s="46"/>
      <c r="T115" s="42"/>
      <c r="U115" s="42"/>
      <c r="V115" s="46"/>
      <c r="W115" s="42"/>
      <c r="X115" s="42"/>
      <c r="Y115" s="42"/>
      <c r="Z115" s="42"/>
      <c r="AA115" s="42"/>
      <c r="AB115" s="42"/>
      <c r="AC115" s="42"/>
      <c r="AD115" s="42"/>
      <c r="AE115" s="42"/>
      <c r="AF115" s="42"/>
      <c r="AG115" s="42"/>
      <c r="AH115" s="42"/>
      <c r="AI115" s="42"/>
      <c r="AJ115" s="42"/>
      <c r="AK115" s="42"/>
      <c r="AL115" s="42"/>
      <c r="AM115" s="42"/>
      <c r="AN115" s="42"/>
      <c r="AO115" s="42"/>
      <c r="AP115" s="42"/>
      <c r="AQ115" s="42"/>
      <c r="AR115" s="42"/>
      <c r="AS115" s="42"/>
      <c r="AT115" s="42"/>
      <c r="AU115" s="42"/>
      <c r="AV115" s="42"/>
      <c r="AW115" s="42"/>
      <c r="AX115" s="42"/>
      <c r="AY115" s="42"/>
      <c r="AZ115" s="42"/>
      <c r="BA115" s="42"/>
      <c r="BB115" s="42"/>
      <c r="BC115" s="42"/>
      <c r="BD115" s="42"/>
      <c r="BE115" s="42"/>
      <c r="BF115" s="42"/>
      <c r="BG115" s="42"/>
      <c r="BH115" s="42"/>
      <c r="BI115" s="42"/>
      <c r="BJ115" s="42"/>
      <c r="BK115" s="42"/>
      <c r="BL115" s="42"/>
      <c r="BM115" s="42"/>
      <c r="BN115" s="42"/>
    </row>
    <row r="116" spans="1:66" ht="12.75" customHeight="1" x14ac:dyDescent="0.2">
      <c r="A116" s="1" t="s">
        <v>459</v>
      </c>
      <c r="B116" s="4">
        <f>_xll.ciqfunctions.udf.CIQ(InputTicker, "IQ_INTEREST_EXP_LEASE_LIABILITY_DEBT",Input!D$2,Date,,,Ccy,Conv)</f>
        <v>28</v>
      </c>
      <c r="C116" s="4">
        <f>_xll.ciqfunctions.udf.CIQ(InputTicker, "IQ_INTEREST_EXP_LEASE_LIABILITY_DEBT",Input!E$2,Date,,,Ccy,Conv)</f>
        <v>68</v>
      </c>
      <c r="D116" s="4">
        <f>_xll.ciqfunctions.udf.CIQ(InputTicker, "IQ_INTEREST_EXP_LEASE_LIABILITY_DEBT",Input!F$2,Date,,,Ccy,Conv)</f>
        <v>0</v>
      </c>
      <c r="E116" s="4">
        <f>_xll.ciqfunctions.udf.CIQ(InputTicker, "IQ_INTEREST_EXP_LEASE_LIABILITY_DEBT",Input!G$2,Date,,,Ccy,Conv)</f>
        <v>0</v>
      </c>
      <c r="F116" s="4">
        <f>_xll.ciqfunctions.udf.CIQ(InputTicker, "IQ_INTEREST_EXP_LEASE_LIABILITY_DEBT",Input!H$2,Date,,,Ccy,Conv)</f>
        <v>336</v>
      </c>
      <c r="G116" s="4">
        <f>_xll.ciqfunctions.udf.CIQ(InputTicker, "IQ_INTEREST_EXP_LEASE_LIABILITY_DEBT",Input!I$2,Date,,,Ccy,Conv)</f>
        <v>386</v>
      </c>
      <c r="H116" s="4">
        <f>_xll.ciqfunctions.udf.CIQ(InputTicker, "IQ_INTEREST_EXP_LEASE_LIABILITY_DEBT",Input!J$2,Date,,,Ccy,Conv)</f>
        <v>429</v>
      </c>
      <c r="I116" s="4">
        <f>_xll.ciqfunctions.udf.CIQ(InputTicker, "IQ_INTEREST_EXP_LEASE_LIABILITY_DEBT",Input!K$2,Date,,,Ccy,Conv)</f>
        <v>501</v>
      </c>
      <c r="J116" s="4">
        <f>_xll.ciqfunctions.udf.CIQ(InputTicker, "IQ_INTEREST_EXP_LEASE_LIABILITY_DEBT",Input!L$2,Date,,,Ccy,Conv)</f>
        <v>734</v>
      </c>
      <c r="K116" s="4">
        <f>_xll.ciqfunctions.udf.CIQ(InputTicker, "IQ_INTEREST_EXP_LEASE_LIABILITY_DEBT",Input!M$2,Date,,,Ccy,Conv)</f>
        <v>1417</v>
      </c>
      <c r="L116" s="4">
        <f>_xll.ciqfunctions.udf.CIQ(InputTicker, "IQ_INTEREST_EXP_LEASE_LIABILITY_DEBT",Input!N$2,Date,,,Ccy,Conv)</f>
        <v>2547</v>
      </c>
      <c r="M116" s="4">
        <f>_xll.ciqfunctions.udf.CIQ(InputTicker, "IQ_INTEREST_EXP_LEASE_LIABILITY_DEBT",Input!O$2,Date,,,Ccy,Conv)</f>
        <v>2547</v>
      </c>
      <c r="N116" s="49"/>
      <c r="P116" s="46"/>
      <c r="Q116" s="46"/>
      <c r="R116" s="46"/>
      <c r="T116" s="42"/>
      <c r="U116" s="42"/>
      <c r="V116" s="46"/>
      <c r="W116" s="42"/>
      <c r="X116" s="42"/>
      <c r="Y116" s="42"/>
      <c r="Z116" s="42"/>
      <c r="AA116" s="42"/>
      <c r="AB116" s="42"/>
      <c r="AC116" s="42"/>
      <c r="AD116" s="42"/>
      <c r="AE116" s="42"/>
      <c r="AF116" s="42"/>
      <c r="AG116" s="42"/>
      <c r="AH116" s="42"/>
      <c r="AI116" s="42"/>
      <c r="AJ116" s="42"/>
      <c r="AK116" s="42"/>
      <c r="AL116" s="42"/>
      <c r="AM116" s="42"/>
      <c r="AN116" s="42"/>
      <c r="AO116" s="42"/>
      <c r="AP116" s="42"/>
      <c r="AQ116" s="42"/>
      <c r="AR116" s="42"/>
      <c r="AS116" s="42"/>
      <c r="AT116" s="42"/>
      <c r="AU116" s="42"/>
      <c r="AV116" s="42"/>
      <c r="AW116" s="42"/>
      <c r="AX116" s="42"/>
      <c r="AY116" s="42"/>
      <c r="AZ116" s="42"/>
      <c r="BA116" s="42"/>
      <c r="BB116" s="42"/>
      <c r="BC116" s="42"/>
      <c r="BD116" s="42"/>
      <c r="BE116" s="42"/>
      <c r="BF116" s="42"/>
      <c r="BG116" s="42"/>
      <c r="BH116" s="42"/>
      <c r="BI116" s="42"/>
      <c r="BJ116" s="42"/>
      <c r="BK116" s="42"/>
      <c r="BL116" s="42"/>
      <c r="BM116" s="42"/>
      <c r="BN116" s="42"/>
    </row>
    <row r="117" spans="1:66" ht="12.75" customHeight="1" x14ac:dyDescent="0.2">
      <c r="A117" s="1" t="s">
        <v>328</v>
      </c>
      <c r="B117" s="4">
        <f>_xll.ciqfunctions.udf.CIQ(InputTicker, "IQ_INT_EXP_INCL_CAP",Input!D$2,Date,,,Ccy,Conv)</f>
        <v>1301</v>
      </c>
      <c r="C117" s="4">
        <f>_xll.ciqfunctions.udf.CIQ(InputTicker, "IQ_INT_EXP_INCL_CAP",Input!E$2,Date,,,Ccy,Conv)</f>
        <v>2222</v>
      </c>
      <c r="D117" s="4">
        <f>_xll.ciqfunctions.udf.CIQ(InputTicker, "IQ_INT_EXP_INCL_CAP",Input!F$2,Date,,,Ccy,Conv)</f>
        <v>2733</v>
      </c>
      <c r="E117" s="4">
        <f>_xll.ciqfunctions.udf.CIQ(InputTicker, "IQ_INT_EXP_INCL_CAP",Input!G$2,Date,,,Ccy,Conv)</f>
        <v>2686</v>
      </c>
      <c r="F117" s="4">
        <f>_xll.ciqfunctions.udf.CIQ(InputTicker, "IQ_INT_EXP_INCL_CAP",Input!H$2,Date,,,Ccy,Conv)</f>
        <v>2591</v>
      </c>
      <c r="G117" s="4">
        <f>_xll.ciqfunctions.udf.CIQ(InputTicker, "IQ_INT_EXP_INCL_CAP",Input!I$2,Date,,,Ccy,Conv)</f>
        <v>2330</v>
      </c>
      <c r="H117" s="4">
        <f>_xll.ciqfunctions.udf.CIQ(InputTicker, "IQ_INT_EXP_INCL_CAP",Input!J$2,Date,,,Ccy,Conv)</f>
        <v>2047</v>
      </c>
      <c r="I117" s="4">
        <f>_xll.ciqfunctions.udf.CIQ(InputTicker, "IQ_INT_EXP_INCL_CAP",Input!K$2,Date,,,Ccy,Conv)</f>
        <v>1995</v>
      </c>
      <c r="J117" s="4">
        <f>_xll.ciqfunctions.udf.CIQ(InputTicker, "IQ_INT_EXP_INCL_CAP",Input!L$2,Date,,,Ccy,Conv)</f>
        <v>2983</v>
      </c>
      <c r="K117" s="4">
        <f>_xll.ciqfunctions.udf.CIQ(InputTicker, "IQ_INT_EXP_INCL_CAP",Input!M$2,Date,,,Ccy,Conv)</f>
        <v>2425</v>
      </c>
      <c r="L117" s="4">
        <f>_xll.ciqfunctions.udf.CIQ(InputTicker, "IQ_INT_EXP_INCL_CAP",Input!N$2,Date,,,Ccy,Conv)</f>
        <v>3081</v>
      </c>
      <c r="M117" s="4">
        <f>_xll.ciqfunctions.udf.CIQ(InputTicker, "IQ_INT_EXP_INCL_CAP",Input!O$2,Date,,,Ccy,Conv)</f>
        <v>3081</v>
      </c>
      <c r="N117" s="49"/>
      <c r="P117" s="46"/>
      <c r="Q117" s="46"/>
      <c r="R117" s="46"/>
      <c r="T117" s="42"/>
      <c r="U117" s="42"/>
      <c r="V117" s="46"/>
      <c r="W117" s="42"/>
      <c r="X117" s="42"/>
      <c r="Y117" s="42"/>
      <c r="Z117" s="42"/>
      <c r="AA117" s="42"/>
      <c r="AB117" s="42"/>
      <c r="AC117" s="42"/>
      <c r="AD117" s="42"/>
      <c r="AE117" s="42"/>
      <c r="AF117" s="42"/>
      <c r="AG117" s="42"/>
      <c r="AH117" s="42"/>
      <c r="AI117" s="42"/>
      <c r="AJ117" s="42"/>
      <c r="AK117" s="42"/>
      <c r="AL117" s="42"/>
      <c r="AM117" s="42"/>
      <c r="AN117" s="42"/>
      <c r="AO117" s="42"/>
      <c r="AP117" s="42"/>
      <c r="AQ117" s="42"/>
      <c r="AR117" s="42"/>
      <c r="AS117" s="42"/>
      <c r="AT117" s="42"/>
      <c r="AU117" s="42"/>
      <c r="AV117" s="42"/>
      <c r="AW117" s="42"/>
      <c r="AX117" s="42"/>
      <c r="AY117" s="42"/>
      <c r="AZ117" s="42"/>
      <c r="BA117" s="42"/>
      <c r="BB117" s="42"/>
      <c r="BC117" s="42"/>
      <c r="BD117" s="42"/>
      <c r="BE117" s="42"/>
      <c r="BF117" s="42"/>
      <c r="BG117" s="42"/>
      <c r="BH117" s="42"/>
      <c r="BI117" s="42"/>
      <c r="BJ117" s="42"/>
      <c r="BK117" s="42"/>
      <c r="BL117" s="42"/>
      <c r="BM117" s="42"/>
      <c r="BN117" s="42"/>
    </row>
    <row r="118" spans="1:66" ht="12.75" customHeight="1" x14ac:dyDescent="0.2">
      <c r="A118" s="1" t="s">
        <v>325</v>
      </c>
      <c r="B118" s="4">
        <f>_xll.ciqfunctions.udf.CIQ(InputTicker, "IQ_NONCASH_PENSION_EXP",Input!D$2,Date,,,Ccy,Conv)</f>
        <v>0</v>
      </c>
      <c r="C118" s="4">
        <f>_xll.ciqfunctions.udf.CIQ(InputTicker, "IQ_NONCASH_PENSION_EXP",Input!E$2,Date,,,Ccy,Conv)</f>
        <v>0</v>
      </c>
      <c r="D118" s="4">
        <f>_xll.ciqfunctions.udf.CIQ(InputTicker, "IQ_NONCASH_PENSION_EXP",Input!F$2,Date,,,Ccy,Conv)</f>
        <v>0</v>
      </c>
      <c r="E118" s="4">
        <f>_xll.ciqfunctions.udf.CIQ(InputTicker, "IQ_NONCASH_PENSION_EXP",Input!G$2,Date,,,Ccy,Conv)</f>
        <v>0</v>
      </c>
      <c r="F118" s="4">
        <f>_xll.ciqfunctions.udf.CIQ(InputTicker, "IQ_NONCASH_PENSION_EXP",Input!H$2,Date,,,Ccy,Conv)</f>
        <v>0</v>
      </c>
      <c r="G118" s="4">
        <f>_xll.ciqfunctions.udf.CIQ(InputTicker, "IQ_NONCASH_PENSION_EXP",Input!I$2,Date,,,Ccy,Conv)</f>
        <v>0</v>
      </c>
      <c r="H118" s="4">
        <f>_xll.ciqfunctions.udf.CIQ(InputTicker, "IQ_NONCASH_PENSION_EXP",Input!J$2,Date,,,Ccy,Conv)</f>
        <v>0</v>
      </c>
      <c r="I118" s="4">
        <f>_xll.ciqfunctions.udf.CIQ(InputTicker, "IQ_NONCASH_PENSION_EXP",Input!K$2,Date,,,Ccy,Conv)</f>
        <v>0</v>
      </c>
      <c r="J118" s="4">
        <f>_xll.ciqfunctions.udf.CIQ(InputTicker, "IQ_NONCASH_PENSION_EXP",Input!L$2,Date,,,Ccy,Conv)</f>
        <v>0</v>
      </c>
      <c r="K118" s="4">
        <f>_xll.ciqfunctions.udf.CIQ(InputTicker, "IQ_NONCASH_PENSION_EXP",Input!M$2,Date,,,Ccy,Conv)</f>
        <v>0</v>
      </c>
      <c r="L118" s="4">
        <f>_xll.ciqfunctions.udf.CIQ(InputTicker, "IQ_NONCASH_PENSION_EXP",Input!N$2,Date,,,Ccy,Conv)</f>
        <v>0</v>
      </c>
      <c r="M118" s="4">
        <f>_xll.ciqfunctions.udf.CIQ(InputTicker, "IQ_NONCASH_PENSION_EXP",Input!O$2,Date,,,Ccy,Conv)</f>
        <v>0</v>
      </c>
      <c r="N118" s="49"/>
      <c r="P118" s="46"/>
      <c r="Q118" s="46"/>
      <c r="R118" s="46"/>
      <c r="T118" s="42"/>
      <c r="U118" s="42"/>
      <c r="V118" s="46"/>
      <c r="W118" s="42"/>
      <c r="X118" s="42"/>
      <c r="Y118" s="42"/>
      <c r="Z118" s="42"/>
      <c r="AA118" s="42"/>
      <c r="AB118" s="42"/>
      <c r="AC118" s="42"/>
      <c r="AD118" s="42"/>
      <c r="AE118" s="42"/>
      <c r="AF118" s="42"/>
      <c r="AG118" s="42"/>
      <c r="AH118" s="42"/>
      <c r="AI118" s="42"/>
      <c r="AJ118" s="42"/>
      <c r="AK118" s="42"/>
      <c r="AL118" s="42"/>
      <c r="AM118" s="42"/>
      <c r="AN118" s="42"/>
      <c r="AO118" s="42"/>
      <c r="AP118" s="42"/>
      <c r="AQ118" s="42"/>
      <c r="AR118" s="42"/>
      <c r="AS118" s="42"/>
      <c r="AT118" s="42"/>
      <c r="AU118" s="42"/>
      <c r="AV118" s="42"/>
      <c r="AW118" s="42"/>
      <c r="AX118" s="42"/>
      <c r="AY118" s="42"/>
      <c r="AZ118" s="42"/>
      <c r="BA118" s="42"/>
      <c r="BB118" s="42"/>
      <c r="BC118" s="42"/>
      <c r="BD118" s="42"/>
      <c r="BE118" s="42"/>
      <c r="BF118" s="42"/>
      <c r="BG118" s="42"/>
      <c r="BH118" s="42"/>
      <c r="BI118" s="42"/>
      <c r="BJ118" s="42"/>
      <c r="BK118" s="42"/>
      <c r="BL118" s="42"/>
      <c r="BM118" s="42"/>
      <c r="BN118" s="42"/>
    </row>
    <row r="119" spans="1:66" ht="12.75" customHeight="1" x14ac:dyDescent="0.2">
      <c r="A119" s="1" t="s">
        <v>326</v>
      </c>
      <c r="B119" s="4">
        <f>_xll.ciqfunctions.udf.CIQ(InputTicker, "IQ_DA_EBITDA",Input!D$2,Date,,,Ccy,Conv)</f>
        <v>5878</v>
      </c>
      <c r="C119" s="4">
        <f>_xll.ciqfunctions.udf.CIQ(InputTicker, "IQ_DA_EBITDA",Input!E$2,Date,,,Ccy,Conv)</f>
        <v>7800</v>
      </c>
      <c r="D119" s="4">
        <f>_xll.ciqfunctions.udf.CIQ(InputTicker, "IQ_DA_EBITDA",Input!F$2,Date,,,Ccy,Conv)</f>
        <v>9900</v>
      </c>
      <c r="E119" s="4">
        <f>_xll.ciqfunctions.udf.CIQ(InputTicker, "IQ_DA_EBITDA",Input!G$2,Date,,,Ccy,Conv)</f>
        <v>11600</v>
      </c>
      <c r="F119" s="4">
        <f>_xll.ciqfunctions.udf.CIQ(InputTicker, "IQ_DA_EBITDA",Input!H$2,Date,,,Ccy,Conv)</f>
        <v>12300</v>
      </c>
      <c r="G119" s="4">
        <f>_xll.ciqfunctions.udf.CIQ(InputTicker, "IQ_DA_EBITDA",Input!I$2,Date,,,Ccy,Conv)</f>
        <v>10900</v>
      </c>
      <c r="H119" s="4">
        <f>_xll.ciqfunctions.udf.CIQ(InputTicker, "IQ_DA_EBITDA",Input!J$2,Date,,,Ccy,Conv)</f>
        <v>14600</v>
      </c>
      <c r="I119" s="4">
        <f>_xll.ciqfunctions.udf.CIQ(InputTicker, "IQ_DA_EBITDA",Input!K$2,Date,,,Ccy,Conv)</f>
        <v>13500</v>
      </c>
      <c r="J119" s="4">
        <f>_xll.ciqfunctions.udf.CIQ(InputTicker, "IQ_DA_EBITDA",Input!L$2,Date,,,Ccy,Conv)</f>
        <v>20000</v>
      </c>
      <c r="K119" s="4">
        <f>_xll.ciqfunctions.udf.CIQ(InputTicker, "IQ_DA_EBITDA",Input!M$2,Date,,,Ccy,Conv)</f>
        <v>28000</v>
      </c>
      <c r="L119" s="4">
        <f>_xll.ciqfunctions.udf.CIQ(InputTicker, "IQ_DA_EBITDA",Input!N$2,Date,,,Ccy,Conv)</f>
        <v>39000</v>
      </c>
      <c r="M119" s="4">
        <f>_xll.ciqfunctions.udf.CIQ(InputTicker, "IQ_DA_EBITDA",Input!O$2,Date,,,Ccy,Conv)</f>
        <v>39000</v>
      </c>
      <c r="N119" s="49"/>
      <c r="P119" s="46"/>
      <c r="Q119" s="46"/>
      <c r="R119" s="46"/>
      <c r="T119" s="42"/>
      <c r="U119" s="42"/>
      <c r="V119" s="46"/>
      <c r="W119" s="42"/>
      <c r="X119" s="42"/>
      <c r="Y119" s="42"/>
      <c r="Z119" s="42"/>
      <c r="AA119" s="42"/>
      <c r="AB119" s="42"/>
      <c r="AC119" s="42"/>
      <c r="AD119" s="42"/>
      <c r="AE119" s="42"/>
      <c r="AF119" s="42"/>
      <c r="AG119" s="42"/>
      <c r="AH119" s="42"/>
      <c r="AI119" s="42"/>
      <c r="AJ119" s="42"/>
      <c r="AK119" s="42"/>
      <c r="AL119" s="42"/>
      <c r="AM119" s="42"/>
      <c r="AN119" s="42"/>
      <c r="AO119" s="42"/>
      <c r="AP119" s="42"/>
      <c r="AQ119" s="42"/>
      <c r="AR119" s="42"/>
      <c r="AS119" s="42"/>
      <c r="AT119" s="42"/>
      <c r="AU119" s="42"/>
      <c r="AV119" s="42"/>
      <c r="AW119" s="42"/>
      <c r="AX119" s="42"/>
      <c r="AY119" s="42"/>
      <c r="AZ119" s="42"/>
      <c r="BA119" s="42"/>
      <c r="BB119" s="42"/>
      <c r="BC119" s="42"/>
      <c r="BD119" s="42"/>
      <c r="BE119" s="42"/>
      <c r="BF119" s="42"/>
      <c r="BG119" s="42"/>
      <c r="BH119" s="42"/>
      <c r="BI119" s="42"/>
      <c r="BJ119" s="42"/>
      <c r="BK119" s="42"/>
      <c r="BL119" s="42"/>
      <c r="BM119" s="42"/>
      <c r="BN119" s="42"/>
    </row>
    <row r="120" spans="1:66" ht="12.75" customHeight="1" x14ac:dyDescent="0.2">
      <c r="A120" s="1" t="s">
        <v>327</v>
      </c>
      <c r="B120" s="4">
        <f>_xll.ciqfunctions.udf.CIQ(InputTicker, "IQ_DISTRIBUTABLE_CASH",Input!D$2,Date,,,Ccy,Conv)</f>
        <v>0</v>
      </c>
      <c r="C120" s="4">
        <f>_xll.ciqfunctions.udf.CIQ(InputTicker, "IQ_DISTRIBUTABLE_CASH",Input!E$2,Date,,,Ccy,Conv)</f>
        <v>0</v>
      </c>
      <c r="D120" s="4">
        <f>_xll.ciqfunctions.udf.CIQ(InputTicker, "IQ_DISTRIBUTABLE_CASH",Input!F$2,Date,,,Ccy,Conv)</f>
        <v>0</v>
      </c>
      <c r="E120" s="4">
        <f>_xll.ciqfunctions.udf.CIQ(InputTicker, "IQ_DISTRIBUTABLE_CASH",Input!G$2,Date,,,Ccy,Conv)</f>
        <v>0</v>
      </c>
      <c r="F120" s="4">
        <f>_xll.ciqfunctions.udf.CIQ(InputTicker, "IQ_DISTRIBUTABLE_CASH",Input!H$2,Date,,,Ccy,Conv)</f>
        <v>0</v>
      </c>
      <c r="G120" s="4">
        <f>_xll.ciqfunctions.udf.CIQ(InputTicker, "IQ_DISTRIBUTABLE_CASH",Input!I$2,Date,,,Ccy,Conv)</f>
        <v>0</v>
      </c>
      <c r="H120" s="4">
        <f>_xll.ciqfunctions.udf.CIQ(InputTicker, "IQ_DISTRIBUTABLE_CASH",Input!J$2,Date,,,Ccy,Conv)</f>
        <v>0</v>
      </c>
      <c r="I120" s="4">
        <f>_xll.ciqfunctions.udf.CIQ(InputTicker, "IQ_DISTRIBUTABLE_CASH",Input!K$2,Date,,,Ccy,Conv)</f>
        <v>0</v>
      </c>
      <c r="J120" s="4">
        <f>_xll.ciqfunctions.udf.CIQ(InputTicker, "IQ_DISTRIBUTABLE_CASH",Input!L$2,Date,,,Ccy,Conv)</f>
        <v>0</v>
      </c>
      <c r="K120" s="4">
        <f>_xll.ciqfunctions.udf.CIQ(InputTicker, "IQ_DISTRIBUTABLE_CASH",Input!M$2,Date,,,Ccy,Conv)</f>
        <v>0</v>
      </c>
      <c r="L120" s="4">
        <f>_xll.ciqfunctions.udf.CIQ(InputTicker, "IQ_DISTRIBUTABLE_CASH",Input!N$2,Date,,,Ccy,Conv)</f>
        <v>0</v>
      </c>
      <c r="M120" s="4">
        <f>_xll.ciqfunctions.udf.CIQ(InputTicker, "IQ_DISTRIBUTABLE_CASH",Input!O$2,Date,,,Ccy,Conv)</f>
        <v>0</v>
      </c>
      <c r="N120" s="49"/>
      <c r="P120" s="46"/>
      <c r="Q120" s="46"/>
      <c r="R120" s="46"/>
      <c r="T120" s="42"/>
      <c r="U120" s="42"/>
      <c r="V120" s="46"/>
      <c r="W120" s="42"/>
      <c r="X120" s="42"/>
      <c r="Y120" s="42"/>
      <c r="Z120" s="42"/>
      <c r="AA120" s="42"/>
      <c r="AB120" s="42"/>
      <c r="AC120" s="42"/>
      <c r="AD120" s="42"/>
      <c r="AE120" s="42"/>
      <c r="AF120" s="42"/>
      <c r="AG120" s="42"/>
      <c r="AH120" s="42"/>
      <c r="AI120" s="42"/>
      <c r="AJ120" s="42"/>
      <c r="AK120" s="42"/>
      <c r="AL120" s="42"/>
      <c r="AM120" s="42"/>
      <c r="AN120" s="42"/>
      <c r="AO120" s="42"/>
      <c r="AP120" s="42"/>
      <c r="AQ120" s="42"/>
      <c r="AR120" s="42"/>
      <c r="AS120" s="42"/>
      <c r="AT120" s="42"/>
      <c r="AU120" s="42"/>
      <c r="AV120" s="42"/>
      <c r="AW120" s="42"/>
      <c r="AX120" s="42"/>
      <c r="AY120" s="42"/>
      <c r="AZ120" s="42"/>
      <c r="BA120" s="42"/>
      <c r="BB120" s="42"/>
      <c r="BC120" s="42"/>
      <c r="BD120" s="42"/>
      <c r="BE120" s="42"/>
      <c r="BF120" s="42"/>
      <c r="BG120" s="42"/>
      <c r="BH120" s="42"/>
      <c r="BI120" s="42"/>
      <c r="BJ120" s="42"/>
      <c r="BK120" s="42"/>
      <c r="BL120" s="42"/>
      <c r="BM120" s="42"/>
      <c r="BN120" s="42"/>
    </row>
    <row r="121" spans="1:66" ht="12.75" customHeight="1" x14ac:dyDescent="0.2">
      <c r="A121" s="1" t="s">
        <v>436</v>
      </c>
      <c r="B121" s="4">
        <f>_xll.ciqfunctions.udf.CIQ(InputTicker, "IQ_DISTRIBUTABLE_CASH_STANDARDIZED",Input!D$2,Date,,,Ccy,Conv)</f>
        <v>0</v>
      </c>
      <c r="C121" s="4">
        <f>_xll.ciqfunctions.udf.CIQ(InputTicker, "IQ_DISTRIBUTABLE_CASH_STANDARDIZED",Input!E$2,Date,,,Ccy,Conv)</f>
        <v>0</v>
      </c>
      <c r="D121" s="4">
        <f>_xll.ciqfunctions.udf.CIQ(InputTicker, "IQ_DISTRIBUTABLE_CASH_STANDARDIZED",Input!F$2,Date,,,Ccy,Conv)</f>
        <v>0</v>
      </c>
      <c r="E121" s="4">
        <f>_xll.ciqfunctions.udf.CIQ(InputTicker, "IQ_DISTRIBUTABLE_CASH_STANDARDIZED",Input!G$2,Date,,,Ccy,Conv)</f>
        <v>0</v>
      </c>
      <c r="F121" s="4">
        <f>_xll.ciqfunctions.udf.CIQ(InputTicker, "IQ_DISTRIBUTABLE_CASH_STANDARDIZED",Input!H$2,Date,,,Ccy,Conv)</f>
        <v>0</v>
      </c>
      <c r="G121" s="4">
        <f>_xll.ciqfunctions.udf.CIQ(InputTicker, "IQ_DISTRIBUTABLE_CASH_STANDARDIZED",Input!I$2,Date,,,Ccy,Conv)</f>
        <v>0</v>
      </c>
      <c r="H121" s="4">
        <f>_xll.ciqfunctions.udf.CIQ(InputTicker, "IQ_DISTRIBUTABLE_CASH_STANDARDIZED",Input!J$2,Date,,,Ccy,Conv)</f>
        <v>0</v>
      </c>
      <c r="I121" s="4">
        <f>_xll.ciqfunctions.udf.CIQ(InputTicker, "IQ_DISTRIBUTABLE_CASH_STANDARDIZED",Input!K$2,Date,,,Ccy,Conv)</f>
        <v>0</v>
      </c>
      <c r="J121" s="4">
        <f>_xll.ciqfunctions.udf.CIQ(InputTicker, "IQ_DISTRIBUTABLE_CASH_STANDARDIZED",Input!L$2,Date,,,Ccy,Conv)</f>
        <v>0</v>
      </c>
      <c r="K121" s="4">
        <f>_xll.ciqfunctions.udf.CIQ(InputTicker, "IQ_DISTRIBUTABLE_CASH_STANDARDIZED",Input!M$2,Date,,,Ccy,Conv)</f>
        <v>0</v>
      </c>
      <c r="L121" s="4">
        <f>_xll.ciqfunctions.udf.CIQ(InputTicker, "IQ_DISTRIBUTABLE_CASH_STANDARDIZED",Input!N$2,Date,,,Ccy,Conv)</f>
        <v>0</v>
      </c>
      <c r="M121" s="4">
        <f>_xll.ciqfunctions.udf.CIQ(InputTicker, "IQ_DISTRIBUTABLE_CASH_STANDARDIZED",Input!O$2,Date,,,Ccy,Conv)</f>
        <v>0</v>
      </c>
      <c r="N121" s="49"/>
      <c r="P121" s="46"/>
      <c r="Q121" s="46"/>
      <c r="R121" s="46"/>
      <c r="T121" s="42"/>
      <c r="U121" s="42"/>
      <c r="V121" s="46"/>
      <c r="W121" s="42"/>
      <c r="X121" s="42"/>
      <c r="Y121" s="42"/>
      <c r="Z121" s="42"/>
      <c r="AA121" s="42"/>
      <c r="AB121" s="42"/>
      <c r="AC121" s="42"/>
      <c r="AD121" s="42"/>
      <c r="AE121" s="42"/>
      <c r="AF121" s="42"/>
      <c r="AG121" s="42"/>
      <c r="AH121" s="42"/>
      <c r="AI121" s="42"/>
      <c r="AJ121" s="42"/>
      <c r="AK121" s="42"/>
      <c r="AL121" s="42"/>
      <c r="AM121" s="42"/>
      <c r="AN121" s="42"/>
      <c r="AO121" s="42"/>
      <c r="AP121" s="42"/>
      <c r="AQ121" s="42"/>
      <c r="AR121" s="42"/>
      <c r="AS121" s="42"/>
      <c r="AT121" s="42"/>
      <c r="AU121" s="42"/>
      <c r="AV121" s="42"/>
      <c r="AW121" s="42"/>
      <c r="AX121" s="42"/>
      <c r="AY121" s="42"/>
      <c r="AZ121" s="42"/>
      <c r="BA121" s="42"/>
      <c r="BB121" s="42"/>
      <c r="BC121" s="42"/>
      <c r="BD121" s="42"/>
      <c r="BE121" s="42"/>
      <c r="BF121" s="42"/>
      <c r="BG121" s="42"/>
      <c r="BH121" s="42"/>
      <c r="BI121" s="42"/>
      <c r="BJ121" s="42"/>
      <c r="BK121" s="42"/>
      <c r="BL121" s="42"/>
      <c r="BM121" s="42"/>
      <c r="BN121" s="42"/>
    </row>
    <row r="122" spans="1:66" ht="12.75" customHeight="1" x14ac:dyDescent="0.2">
      <c r="A122" s="1" t="s">
        <v>389</v>
      </c>
      <c r="B122" s="4">
        <f>_xll.ciqfunctions.udf.CIQ(InputTicker, "IQ_DISTRIBUTABLE_CASH_SHARES_BASIC",Input!D$2,Date)</f>
        <v>0</v>
      </c>
      <c r="C122" s="4">
        <f>_xll.ciqfunctions.udf.CIQ(InputTicker, "IQ_DISTRIBUTABLE_CASH_SHARES_BASIC",Input!E$2,Date)</f>
        <v>0</v>
      </c>
      <c r="D122" s="4">
        <f>_xll.ciqfunctions.udf.CIQ(InputTicker, "IQ_DISTRIBUTABLE_CASH_SHARES_BASIC",Input!F$2,Date)</f>
        <v>0</v>
      </c>
      <c r="E122" s="4">
        <f>_xll.ciqfunctions.udf.CIQ(InputTicker, "IQ_DISTRIBUTABLE_CASH_SHARES_BASIC",Input!G$2,Date)</f>
        <v>0</v>
      </c>
      <c r="F122" s="4">
        <f>_xll.ciqfunctions.udf.CIQ(InputTicker, "IQ_DISTRIBUTABLE_CASH_SHARES_BASIC",Input!H$2,Date)</f>
        <v>0</v>
      </c>
      <c r="G122" s="4">
        <f>_xll.ciqfunctions.udf.CIQ(InputTicker, "IQ_DISTRIBUTABLE_CASH_SHARES_BASIC",Input!I$2,Date)</f>
        <v>0</v>
      </c>
      <c r="H122" s="4">
        <f>_xll.ciqfunctions.udf.CIQ(InputTicker, "IQ_DISTRIBUTABLE_CASH_SHARES_BASIC",Input!J$2,Date)</f>
        <v>0</v>
      </c>
      <c r="I122" s="4">
        <f>_xll.ciqfunctions.udf.CIQ(InputTicker, "IQ_DISTRIBUTABLE_CASH_SHARES_BASIC",Input!K$2,Date)</f>
        <v>0</v>
      </c>
      <c r="J122" s="4">
        <f>_xll.ciqfunctions.udf.CIQ(InputTicker, "IQ_DISTRIBUTABLE_CASH_SHARES_BASIC",Input!L$2,Date)</f>
        <v>0</v>
      </c>
      <c r="K122" s="4">
        <f>_xll.ciqfunctions.udf.CIQ(InputTicker, "IQ_DISTRIBUTABLE_CASH_SHARES_BASIC",Input!M$2,Date)</f>
        <v>0</v>
      </c>
      <c r="L122" s="4">
        <f>_xll.ciqfunctions.udf.CIQ(InputTicker, "IQ_DISTRIBUTABLE_CASH_SHARES_BASIC",Input!N$2,Date)</f>
        <v>0</v>
      </c>
      <c r="M122" s="4">
        <f>_xll.ciqfunctions.udf.CIQ(InputTicker, "IQ_DISTRIBUTABLE_CASH_SHARES_BASIC",Input!O$2,Date)</f>
        <v>0</v>
      </c>
      <c r="N122" s="49"/>
      <c r="P122" s="46"/>
      <c r="Q122" s="46"/>
      <c r="R122" s="46"/>
      <c r="T122" s="42"/>
      <c r="U122" s="42"/>
      <c r="V122" s="46"/>
      <c r="W122" s="42"/>
      <c r="X122" s="42"/>
      <c r="Y122" s="42"/>
      <c r="Z122" s="42"/>
      <c r="AA122" s="42"/>
      <c r="AB122" s="42"/>
      <c r="AC122" s="42"/>
      <c r="AD122" s="42"/>
      <c r="AE122" s="42"/>
      <c r="AF122" s="42"/>
      <c r="AG122" s="42"/>
      <c r="AH122" s="42"/>
      <c r="AI122" s="42"/>
      <c r="AJ122" s="42"/>
      <c r="AK122" s="42"/>
      <c r="AL122" s="42"/>
      <c r="AM122" s="42"/>
      <c r="AN122" s="42"/>
      <c r="AO122" s="42"/>
      <c r="AP122" s="42"/>
      <c r="AQ122" s="42"/>
      <c r="AR122" s="42"/>
      <c r="AS122" s="42"/>
      <c r="AT122" s="42"/>
      <c r="AU122" s="42"/>
      <c r="AV122" s="42"/>
      <c r="AW122" s="42"/>
      <c r="AX122" s="42"/>
      <c r="AY122" s="42"/>
      <c r="AZ122" s="42"/>
      <c r="BA122" s="42"/>
      <c r="BB122" s="42"/>
      <c r="BC122" s="42"/>
      <c r="BD122" s="42"/>
      <c r="BE122" s="42"/>
      <c r="BF122" s="42"/>
      <c r="BG122" s="42"/>
      <c r="BH122" s="42"/>
      <c r="BI122" s="42"/>
      <c r="BJ122" s="42"/>
      <c r="BK122" s="42"/>
      <c r="BL122" s="42"/>
      <c r="BM122" s="42"/>
      <c r="BN122" s="42"/>
    </row>
    <row r="123" spans="1:66" ht="12.75" customHeight="1" x14ac:dyDescent="0.2">
      <c r="A123" s="1" t="s">
        <v>390</v>
      </c>
      <c r="B123" s="4">
        <f>_xll.ciqfunctions.udf.CIQ(InputTicker, "IQ_DISTRIBUTABLE_CASH_SHARES_DILUTED",Input!D$2,Date)</f>
        <v>0</v>
      </c>
      <c r="C123" s="4">
        <f>_xll.ciqfunctions.udf.CIQ(InputTicker, "IQ_DISTRIBUTABLE_CASH_SHARES_DILUTED",Input!E$2,Date)</f>
        <v>0</v>
      </c>
      <c r="D123" s="4">
        <f>_xll.ciqfunctions.udf.CIQ(InputTicker, "IQ_DISTRIBUTABLE_CASH_SHARES_DILUTED",Input!F$2,Date)</f>
        <v>0</v>
      </c>
      <c r="E123" s="4">
        <f>_xll.ciqfunctions.udf.CIQ(InputTicker, "IQ_DISTRIBUTABLE_CASH_SHARES_DILUTED",Input!G$2,Date)</f>
        <v>0</v>
      </c>
      <c r="F123" s="4">
        <f>_xll.ciqfunctions.udf.CIQ(InputTicker, "IQ_DISTRIBUTABLE_CASH_SHARES_DILUTED",Input!H$2,Date)</f>
        <v>0</v>
      </c>
      <c r="G123" s="4">
        <f>_xll.ciqfunctions.udf.CIQ(InputTicker, "IQ_DISTRIBUTABLE_CASH_SHARES_DILUTED",Input!I$2,Date)</f>
        <v>0</v>
      </c>
      <c r="H123" s="4">
        <f>_xll.ciqfunctions.udf.CIQ(InputTicker, "IQ_DISTRIBUTABLE_CASH_SHARES_DILUTED",Input!J$2,Date)</f>
        <v>0</v>
      </c>
      <c r="I123" s="4">
        <f>_xll.ciqfunctions.udf.CIQ(InputTicker, "IQ_DISTRIBUTABLE_CASH_SHARES_DILUTED",Input!K$2,Date)</f>
        <v>0</v>
      </c>
      <c r="J123" s="4">
        <f>_xll.ciqfunctions.udf.CIQ(InputTicker, "IQ_DISTRIBUTABLE_CASH_SHARES_DILUTED",Input!L$2,Date)</f>
        <v>0</v>
      </c>
      <c r="K123" s="4">
        <f>_xll.ciqfunctions.udf.CIQ(InputTicker, "IQ_DISTRIBUTABLE_CASH_SHARES_DILUTED",Input!M$2,Date)</f>
        <v>0</v>
      </c>
      <c r="L123" s="4">
        <f>_xll.ciqfunctions.udf.CIQ(InputTicker, "IQ_DISTRIBUTABLE_CASH_SHARES_DILUTED",Input!N$2,Date)</f>
        <v>0</v>
      </c>
      <c r="M123" s="4">
        <f>_xll.ciqfunctions.udf.CIQ(InputTicker, "IQ_DISTRIBUTABLE_CASH_SHARES_DILUTED",Input!O$2,Date)</f>
        <v>0</v>
      </c>
      <c r="N123" s="49"/>
      <c r="P123" s="46"/>
      <c r="Q123" s="46"/>
      <c r="R123" s="46"/>
      <c r="T123" s="42"/>
      <c r="U123" s="42"/>
      <c r="V123" s="46"/>
      <c r="W123" s="42"/>
      <c r="X123" s="42"/>
      <c r="Y123" s="42"/>
      <c r="Z123" s="42"/>
      <c r="AA123" s="42"/>
      <c r="AB123" s="42"/>
      <c r="AC123" s="42"/>
      <c r="AD123" s="42"/>
      <c r="AE123" s="42"/>
      <c r="AF123" s="42"/>
      <c r="AG123" s="42"/>
      <c r="AH123" s="42"/>
      <c r="AI123" s="42"/>
      <c r="AJ123" s="42"/>
      <c r="AK123" s="42"/>
      <c r="AL123" s="42"/>
      <c r="AM123" s="42"/>
      <c r="AN123" s="42"/>
      <c r="AO123" s="42"/>
      <c r="AP123" s="42"/>
      <c r="AQ123" s="42"/>
      <c r="AR123" s="42"/>
      <c r="AS123" s="42"/>
      <c r="AT123" s="42"/>
      <c r="AU123" s="42"/>
      <c r="AV123" s="42"/>
      <c r="AW123" s="42"/>
      <c r="AX123" s="42"/>
      <c r="AY123" s="42"/>
      <c r="AZ123" s="42"/>
      <c r="BA123" s="42"/>
      <c r="BB123" s="42"/>
      <c r="BC123" s="42"/>
      <c r="BD123" s="42"/>
      <c r="BE123" s="42"/>
      <c r="BF123" s="42"/>
      <c r="BG123" s="42"/>
      <c r="BH123" s="42"/>
      <c r="BI123" s="42"/>
      <c r="BJ123" s="42"/>
      <c r="BK123" s="42"/>
      <c r="BL123" s="42"/>
      <c r="BM123" s="42"/>
      <c r="BN123" s="42"/>
    </row>
    <row r="124" spans="1:66" ht="12.75" customHeight="1" x14ac:dyDescent="0.2">
      <c r="A124" s="1" t="s">
        <v>344</v>
      </c>
      <c r="B124" s="4">
        <f>_xll.ciqfunctions.udf.CIQ(InputTicker, "IQ_ANNU_DISTRIBUTION_UNIT",Input!D$2,Date,,,Ccy,Conv)</f>
        <v>0</v>
      </c>
      <c r="C124" s="4">
        <f>_xll.ciqfunctions.udf.CIQ(InputTicker, "IQ_ANNU_DISTRIBUTION_UNIT",Input!E$2,Date,,,Ccy,Conv)</f>
        <v>0</v>
      </c>
      <c r="D124" s="4">
        <f>_xll.ciqfunctions.udf.CIQ(InputTicker, "IQ_ANNU_DISTRIBUTION_UNIT",Input!F$2,Date,,,Ccy,Conv)</f>
        <v>0</v>
      </c>
      <c r="E124" s="4">
        <f>_xll.ciqfunctions.udf.CIQ(InputTicker, "IQ_ANNU_DISTRIBUTION_UNIT",Input!G$2,Date,,,Ccy,Conv)</f>
        <v>0</v>
      </c>
      <c r="F124" s="4">
        <f>_xll.ciqfunctions.udf.CIQ(InputTicker, "IQ_ANNU_DISTRIBUTION_UNIT",Input!H$2,Date,,,Ccy,Conv)</f>
        <v>0</v>
      </c>
      <c r="G124" s="4">
        <f>_xll.ciqfunctions.udf.CIQ(InputTicker, "IQ_ANNU_DISTRIBUTION_UNIT",Input!I$2,Date,,,Ccy,Conv)</f>
        <v>0</v>
      </c>
      <c r="H124" s="4">
        <f>_xll.ciqfunctions.udf.CIQ(InputTicker, "IQ_ANNU_DISTRIBUTION_UNIT",Input!J$2,Date,,,Ccy,Conv)</f>
        <v>0</v>
      </c>
      <c r="I124" s="4">
        <f>_xll.ciqfunctions.udf.CIQ(InputTicker, "IQ_ANNU_DISTRIBUTION_UNIT",Input!K$2,Date,,,Ccy,Conv)</f>
        <v>0</v>
      </c>
      <c r="J124" s="4">
        <f>_xll.ciqfunctions.udf.CIQ(InputTicker, "IQ_ANNU_DISTRIBUTION_UNIT",Input!L$2,Date,,,Ccy,Conv)</f>
        <v>0</v>
      </c>
      <c r="K124" s="4">
        <f>_xll.ciqfunctions.udf.CIQ(InputTicker, "IQ_ANNU_DISTRIBUTION_UNIT",Input!M$2,Date,,,Ccy,Conv)</f>
        <v>0</v>
      </c>
      <c r="L124" s="4">
        <f>_xll.ciqfunctions.udf.CIQ(InputTicker, "IQ_ANNU_DISTRIBUTION_UNIT",Input!N$2,Date,,,Ccy,Conv)</f>
        <v>0</v>
      </c>
      <c r="M124" s="4">
        <f>_xll.ciqfunctions.udf.CIQ(InputTicker, "IQ_ANNU_DISTRIBUTION_UNIT",Input!O$2,Date,,,Ccy,Conv)</f>
        <v>0</v>
      </c>
      <c r="N124" s="49"/>
      <c r="P124" s="46"/>
      <c r="Q124" s="46"/>
      <c r="R124" s="46"/>
      <c r="T124" s="42"/>
      <c r="U124" s="42"/>
      <c r="V124" s="46"/>
      <c r="W124" s="42"/>
      <c r="X124" s="42"/>
      <c r="Y124" s="42"/>
      <c r="Z124" s="42"/>
      <c r="AA124" s="42"/>
      <c r="AB124" s="42"/>
      <c r="AC124" s="42"/>
      <c r="AD124" s="42"/>
      <c r="AE124" s="42"/>
      <c r="AF124" s="42"/>
      <c r="AG124" s="42"/>
      <c r="AH124" s="42"/>
      <c r="AI124" s="42"/>
      <c r="AJ124" s="42"/>
      <c r="AK124" s="42"/>
      <c r="AL124" s="42"/>
      <c r="AM124" s="42"/>
      <c r="AN124" s="42"/>
      <c r="AO124" s="42"/>
      <c r="AP124" s="42"/>
      <c r="AQ124" s="42"/>
      <c r="AR124" s="42"/>
      <c r="AS124" s="42"/>
      <c r="AT124" s="42"/>
      <c r="AU124" s="42"/>
      <c r="AV124" s="42"/>
      <c r="AW124" s="42"/>
      <c r="AX124" s="42"/>
      <c r="AY124" s="42"/>
      <c r="AZ124" s="42"/>
      <c r="BA124" s="42"/>
      <c r="BB124" s="42"/>
      <c r="BC124" s="42"/>
      <c r="BD124" s="42"/>
      <c r="BE124" s="42"/>
      <c r="BF124" s="42"/>
      <c r="BG124" s="42"/>
      <c r="BH124" s="42"/>
      <c r="BI124" s="42"/>
      <c r="BJ124" s="42"/>
      <c r="BK124" s="42"/>
      <c r="BL124" s="42"/>
      <c r="BM124" s="42"/>
      <c r="BN124" s="42"/>
    </row>
    <row r="125" spans="1:66" ht="12.75" customHeight="1" x14ac:dyDescent="0.2">
      <c r="A125" s="1" t="s">
        <v>365</v>
      </c>
      <c r="B125" s="4">
        <f>_xll.ciqfunctions.udf.CIQ(InputTicker, "IQ_DISTRIBUTABLE_CASH_PAYOUT",Input!D$2,Date)</f>
        <v>0</v>
      </c>
      <c r="C125" s="4">
        <f>_xll.ciqfunctions.udf.CIQ(InputTicker, "IQ_DISTRIBUTABLE_CASH_PAYOUT",Input!E$2,Date)</f>
        <v>0</v>
      </c>
      <c r="D125" s="4">
        <f>_xll.ciqfunctions.udf.CIQ(InputTicker, "IQ_DISTRIBUTABLE_CASH_PAYOUT",Input!F$2,Date)</f>
        <v>0</v>
      </c>
      <c r="E125" s="4">
        <f>_xll.ciqfunctions.udf.CIQ(InputTicker, "IQ_DISTRIBUTABLE_CASH_PAYOUT",Input!G$2,Date)</f>
        <v>0</v>
      </c>
      <c r="F125" s="4">
        <f>_xll.ciqfunctions.udf.CIQ(InputTicker, "IQ_DISTRIBUTABLE_CASH_PAYOUT",Input!H$2,Date)</f>
        <v>0</v>
      </c>
      <c r="G125" s="4">
        <f>_xll.ciqfunctions.udf.CIQ(InputTicker, "IQ_DISTRIBUTABLE_CASH_PAYOUT",Input!I$2,Date)</f>
        <v>0</v>
      </c>
      <c r="H125" s="4">
        <f>_xll.ciqfunctions.udf.CIQ(InputTicker, "IQ_DISTRIBUTABLE_CASH_PAYOUT",Input!J$2,Date)</f>
        <v>0</v>
      </c>
      <c r="I125" s="4">
        <f>_xll.ciqfunctions.udf.CIQ(InputTicker, "IQ_DISTRIBUTABLE_CASH_PAYOUT",Input!K$2,Date)</f>
        <v>0</v>
      </c>
      <c r="J125" s="4">
        <f>_xll.ciqfunctions.udf.CIQ(InputTicker, "IQ_DISTRIBUTABLE_CASH_PAYOUT",Input!L$2,Date)</f>
        <v>0</v>
      </c>
      <c r="K125" s="4">
        <f>_xll.ciqfunctions.udf.CIQ(InputTicker, "IQ_DISTRIBUTABLE_CASH_PAYOUT",Input!M$2,Date)</f>
        <v>0</v>
      </c>
      <c r="L125" s="4">
        <f>_xll.ciqfunctions.udf.CIQ(InputTicker, "IQ_DISTRIBUTABLE_CASH_PAYOUT",Input!N$2,Date)</f>
        <v>0</v>
      </c>
      <c r="M125" s="4">
        <f>_xll.ciqfunctions.udf.CIQ(InputTicker, "IQ_DISTRIBUTABLE_CASH_PAYOUT",Input!O$2,Date)</f>
        <v>0</v>
      </c>
      <c r="N125" s="49"/>
      <c r="P125" s="46"/>
      <c r="Q125" s="46"/>
      <c r="R125" s="46"/>
      <c r="T125" s="42"/>
      <c r="U125" s="42"/>
      <c r="V125" s="46"/>
      <c r="W125" s="42"/>
      <c r="X125" s="42"/>
      <c r="Y125" s="42"/>
      <c r="Z125" s="42"/>
      <c r="AA125" s="42"/>
      <c r="AB125" s="42"/>
      <c r="AC125" s="42"/>
      <c r="AD125" s="42"/>
      <c r="AE125" s="42"/>
      <c r="AF125" s="42"/>
      <c r="AG125" s="42"/>
      <c r="AH125" s="42"/>
      <c r="AI125" s="42"/>
      <c r="AJ125" s="42"/>
      <c r="AK125" s="42"/>
      <c r="AL125" s="42"/>
      <c r="AM125" s="42"/>
      <c r="AN125" s="42"/>
      <c r="AO125" s="42"/>
      <c r="AP125" s="42"/>
      <c r="AQ125" s="42"/>
      <c r="AR125" s="42"/>
      <c r="AS125" s="42"/>
      <c r="AT125" s="42"/>
      <c r="AU125" s="42"/>
      <c r="AV125" s="42"/>
      <c r="AW125" s="42"/>
      <c r="AX125" s="42"/>
      <c r="AY125" s="42"/>
      <c r="AZ125" s="42"/>
      <c r="BA125" s="42"/>
      <c r="BB125" s="42"/>
      <c r="BC125" s="42"/>
      <c r="BD125" s="42"/>
      <c r="BE125" s="42"/>
      <c r="BF125" s="42"/>
      <c r="BG125" s="42"/>
      <c r="BH125" s="42"/>
      <c r="BI125" s="42"/>
      <c r="BJ125" s="42"/>
      <c r="BK125" s="42"/>
      <c r="BL125" s="42"/>
      <c r="BM125" s="42"/>
      <c r="BN125" s="42"/>
    </row>
    <row r="126" spans="1:66" ht="12.75" customHeight="1" x14ac:dyDescent="0.2">
      <c r="A126" s="1" t="s">
        <v>329</v>
      </c>
      <c r="B126" s="4">
        <f>_xll.ciqfunctions.udf.CIQ(InputTicker, "IQ_COMMON_DIV",Input!D$2,Date,,,Ccy,Conv)</f>
        <v>11329</v>
      </c>
      <c r="C126" s="4">
        <f>_xll.ciqfunctions.udf.CIQ(InputTicker, "IQ_COMMON_DIV",Input!E$2,Date,,,Ccy,Conv)</f>
        <v>12040</v>
      </c>
      <c r="D126" s="4">
        <f>_xll.ciqfunctions.udf.CIQ(InputTicker, "IQ_COMMON_DIV",Input!F$2,Date,,,Ccy,Conv)</f>
        <v>12917</v>
      </c>
      <c r="E126" s="4">
        <f>_xll.ciqfunctions.udf.CIQ(InputTicker, "IQ_COMMON_DIV",Input!G$2,Date,,,Ccy,Conv)</f>
        <v>14103</v>
      </c>
      <c r="F126" s="4">
        <f>_xll.ciqfunctions.udf.CIQ(InputTicker, "IQ_COMMON_DIV",Input!H$2,Date,,,Ccy,Conv)</f>
        <v>15483</v>
      </c>
      <c r="G126" s="4">
        <f>_xll.ciqfunctions.udf.CIQ(InputTicker, "IQ_COMMON_DIV",Input!I$2,Date,,,Ccy,Conv)</f>
        <v>16871</v>
      </c>
      <c r="H126" s="4">
        <f>_xll.ciqfunctions.udf.CIQ(InputTicker, "IQ_COMMON_DIV",Input!J$2,Date,,,Ccy,Conv)</f>
        <v>18552</v>
      </c>
      <c r="I126" s="4">
        <f>_xll.ciqfunctions.udf.CIQ(InputTicker, "IQ_COMMON_DIV",Input!K$2,Date,,,Ccy,Conv)</f>
        <v>20226</v>
      </c>
      <c r="J126" s="4">
        <f>_xll.ciqfunctions.udf.CIQ(InputTicker, "IQ_COMMON_DIV",Input!L$2,Date,,,Ccy,Conv)</f>
        <v>22293</v>
      </c>
      <c r="K126" s="4">
        <f>_xll.ciqfunctions.udf.CIQ(InputTicker, "IQ_COMMON_DIV",Input!M$2,Date,,,Ccy,Conv)</f>
        <v>24676</v>
      </c>
      <c r="L126" s="4">
        <f>_xll.ciqfunctions.udf.CIQ(InputTicker, "IQ_COMMON_DIV",Input!N$2,Date,,,Ccy,Conv)</f>
        <v>27035</v>
      </c>
      <c r="M126" s="4">
        <f>_xll.ciqfunctions.udf.CIQ(InputTicker, "IQ_COMMON_DIV",Input!O$2,Date,,,Ccy,Conv)</f>
        <v>27035</v>
      </c>
      <c r="N126" s="49"/>
      <c r="P126" s="46"/>
      <c r="Q126" s="46"/>
      <c r="R126" s="46"/>
      <c r="T126" s="42"/>
      <c r="U126" s="42"/>
      <c r="V126" s="46"/>
      <c r="W126" s="42"/>
      <c r="X126" s="42"/>
      <c r="Y126" s="42"/>
      <c r="Z126" s="42"/>
      <c r="AA126" s="42"/>
      <c r="AB126" s="42"/>
      <c r="AC126" s="42"/>
      <c r="AD126" s="42"/>
      <c r="AE126" s="42"/>
      <c r="AF126" s="42"/>
      <c r="AG126" s="42"/>
      <c r="AH126" s="42"/>
      <c r="AI126" s="42"/>
      <c r="AJ126" s="42"/>
      <c r="AK126" s="42"/>
      <c r="AL126" s="42"/>
      <c r="AM126" s="42"/>
      <c r="AN126" s="42"/>
      <c r="AO126" s="42"/>
      <c r="AP126" s="42"/>
      <c r="AQ126" s="42"/>
      <c r="AR126" s="42"/>
      <c r="AS126" s="42"/>
      <c r="AT126" s="42"/>
      <c r="AU126" s="42"/>
      <c r="AV126" s="42"/>
      <c r="AW126" s="42"/>
      <c r="AX126" s="42"/>
      <c r="AY126" s="42"/>
      <c r="AZ126" s="42"/>
      <c r="BA126" s="42"/>
      <c r="BB126" s="42"/>
      <c r="BC126" s="42"/>
      <c r="BD126" s="42"/>
      <c r="BE126" s="42"/>
      <c r="BF126" s="42"/>
      <c r="BG126" s="42"/>
      <c r="BH126" s="42"/>
      <c r="BI126" s="42"/>
      <c r="BJ126" s="42"/>
      <c r="BK126" s="42"/>
      <c r="BL126" s="42"/>
      <c r="BM126" s="42"/>
      <c r="BN126" s="42"/>
    </row>
    <row r="127" spans="1:66" ht="12.75" customHeight="1" x14ac:dyDescent="0.2">
      <c r="A127" s="1" t="s">
        <v>282</v>
      </c>
      <c r="B127" s="4">
        <f>_xll.ciqfunctions.udf.CIQ(InputTicker, "IQ_EFFECT_TAX_RATE",Input!D$2,Date)</f>
        <v>19.891500000000001</v>
      </c>
      <c r="C127" s="4">
        <f>_xll.ciqfunctions.udf.CIQ(InputTicker, "IQ_EFFECT_TAX_RATE",Input!E$2,Date)</f>
        <v>14.7553</v>
      </c>
      <c r="D127" s="4">
        <f>_xll.ciqfunctions.udf.CIQ(InputTicker, "IQ_EFFECT_TAX_RATE",Input!F$2,Date)</f>
        <v>54.567599999999999</v>
      </c>
      <c r="E127" s="4">
        <f>_xll.ciqfunctions.udf.CIQ(InputTicker, "IQ_EFFECT_TAX_RATE",Input!G$2,Date)</f>
        <v>10.1812</v>
      </c>
      <c r="F127" s="4">
        <f>_xll.ciqfunctions.udf.CIQ(InputTicker, "IQ_EFFECT_TAX_RATE",Input!H$2,Date)</f>
        <v>16.5076</v>
      </c>
      <c r="G127" s="4">
        <f>_xll.ciqfunctions.udf.CIQ(InputTicker, "IQ_EFFECT_TAX_RATE",Input!I$2,Date)</f>
        <v>13.826599999999999</v>
      </c>
      <c r="H127" s="4">
        <f>_xll.ciqfunctions.udf.CIQ(InputTicker, "IQ_EFFECT_TAX_RATE",Input!J$2,Date)</f>
        <v>13.113300000000001</v>
      </c>
      <c r="I127" s="4">
        <f>_xll.ciqfunctions.udf.CIQ(InputTicker, "IQ_EFFECT_TAX_RATE",Input!K$2,Date)</f>
        <v>18.9786</v>
      </c>
      <c r="J127" s="4">
        <f>_xll.ciqfunctions.udf.CIQ(InputTicker, "IQ_EFFECT_TAX_RATE",Input!L$2,Date)</f>
        <v>18.231300000000001</v>
      </c>
      <c r="K127" s="4">
        <f>_xll.ciqfunctions.udf.CIQ(InputTicker, "IQ_EFFECT_TAX_RATE",Input!M$2,Date)</f>
        <v>17.6296</v>
      </c>
      <c r="L127" s="4">
        <f>_xll.ciqfunctions.udf.CIQ(InputTicker, "IQ_EFFECT_TAX_RATE",Input!N$2,Date)</f>
        <v>19.3962</v>
      </c>
      <c r="M127" s="4">
        <f>_xll.ciqfunctions.udf.CIQ(InputTicker, "IQ_EFFECT_TAX_RATE",Input!O$2,Date)</f>
        <v>19.3962</v>
      </c>
      <c r="N127" s="49"/>
      <c r="P127" s="46"/>
      <c r="Q127" s="46"/>
      <c r="R127" s="46"/>
      <c r="T127" s="42"/>
      <c r="U127" s="42"/>
      <c r="V127" s="46"/>
      <c r="W127" s="42"/>
      <c r="X127" s="42"/>
      <c r="Y127" s="42"/>
      <c r="Z127" s="42"/>
      <c r="AA127" s="42"/>
      <c r="AB127" s="42"/>
      <c r="AC127" s="42"/>
      <c r="AD127" s="42"/>
      <c r="AE127" s="42"/>
      <c r="AF127" s="42"/>
      <c r="AG127" s="42"/>
      <c r="AH127" s="42"/>
      <c r="AI127" s="42"/>
      <c r="AJ127" s="42"/>
      <c r="AK127" s="42"/>
      <c r="AL127" s="42"/>
      <c r="AM127" s="42"/>
      <c r="AN127" s="42"/>
      <c r="AO127" s="42"/>
      <c r="AP127" s="42"/>
      <c r="AQ127" s="42"/>
      <c r="AR127" s="42"/>
      <c r="AS127" s="42"/>
      <c r="AT127" s="42"/>
      <c r="AU127" s="42"/>
      <c r="AV127" s="42"/>
      <c r="AW127" s="42"/>
      <c r="AX127" s="42"/>
      <c r="AY127" s="42"/>
      <c r="AZ127" s="42"/>
      <c r="BA127" s="42"/>
      <c r="BB127" s="42"/>
      <c r="BC127" s="42"/>
      <c r="BD127" s="42"/>
      <c r="BE127" s="42"/>
      <c r="BF127" s="42"/>
      <c r="BG127" s="42"/>
      <c r="BH127" s="42"/>
      <c r="BI127" s="42"/>
      <c r="BJ127" s="42"/>
      <c r="BK127" s="42"/>
      <c r="BL127" s="42"/>
      <c r="BM127" s="42"/>
      <c r="BN127" s="42"/>
    </row>
    <row r="128" spans="1:66" ht="12.75" customHeight="1" x14ac:dyDescent="0.2">
      <c r="A128" s="1" t="s">
        <v>283</v>
      </c>
      <c r="B128" s="4">
        <f>_xll.ciqfunctions.udf.CIQ(InputTicker, "IQ_PAYOUT_RATIO",Input!D$2,Date)</f>
        <v>53.585799999999999</v>
      </c>
      <c r="C128" s="4">
        <f>_xll.ciqfunctions.udf.CIQ(InputTicker, "IQ_PAYOUT_RATIO",Input!E$2,Date)</f>
        <v>46.470999999999997</v>
      </c>
      <c r="D128" s="4">
        <f>_xll.ciqfunctions.udf.CIQ(InputTicker, "IQ_PAYOUT_RATIO",Input!F$2,Date)</f>
        <v>76.633799999999994</v>
      </c>
      <c r="E128" s="4">
        <f>_xll.ciqfunctions.udf.CIQ(InputTicker, "IQ_PAYOUT_RATIO",Input!G$2,Date)</f>
        <v>35.196199999999997</v>
      </c>
      <c r="F128" s="4">
        <f>_xll.ciqfunctions.udf.CIQ(InputTicker, "IQ_PAYOUT_RATIO",Input!H$2,Date)</f>
        <v>34.183900000000001</v>
      </c>
      <c r="G128" s="4">
        <f>_xll.ciqfunctions.udf.CIQ(InputTicker, "IQ_PAYOUT_RATIO",Input!I$2,Date)</f>
        <v>26.963799999999999</v>
      </c>
      <c r="H128" s="4">
        <f>_xll.ciqfunctions.udf.CIQ(InputTicker, "IQ_PAYOUT_RATIO",Input!J$2,Date)</f>
        <v>24.931899999999999</v>
      </c>
      <c r="I128" s="4">
        <f>_xll.ciqfunctions.udf.CIQ(InputTicker, "IQ_PAYOUT_RATIO",Input!K$2,Date)</f>
        <v>27.3628</v>
      </c>
      <c r="J128" s="4">
        <f>_xll.ciqfunctions.udf.CIQ(InputTicker, "IQ_PAYOUT_RATIO",Input!L$2,Date)</f>
        <v>24.701499999999999</v>
      </c>
      <c r="K128" s="4">
        <f>_xll.ciqfunctions.udf.CIQ(InputTicker, "IQ_PAYOUT_RATIO",Input!M$2,Date)</f>
        <v>23.648700000000002</v>
      </c>
      <c r="L128" s="4">
        <f>_xll.ciqfunctions.udf.CIQ(InputTicker, "IQ_PAYOUT_RATIO",Input!N$2,Date)</f>
        <v>19.772099999999998</v>
      </c>
      <c r="M128" s="4">
        <f>_xll.ciqfunctions.udf.CIQ(InputTicker, "IQ_PAYOUT_RATIO",Input!O$2,Date)</f>
        <v>19.772099999999998</v>
      </c>
      <c r="N128" s="49"/>
      <c r="T128" s="42"/>
      <c r="U128" s="42"/>
      <c r="V128" s="42"/>
      <c r="W128" s="42"/>
      <c r="X128" s="42"/>
      <c r="Y128" s="42"/>
      <c r="Z128" s="42"/>
      <c r="AA128" s="42"/>
      <c r="AB128" s="42"/>
      <c r="AC128" s="42"/>
      <c r="AD128" s="42"/>
      <c r="AE128" s="42"/>
      <c r="AF128" s="42"/>
      <c r="AG128" s="42"/>
      <c r="AH128" s="42"/>
      <c r="AI128" s="42"/>
      <c r="AJ128" s="42"/>
      <c r="AK128" s="42"/>
      <c r="AL128" s="42"/>
      <c r="AM128" s="42"/>
      <c r="AN128" s="42"/>
      <c r="AO128" s="42"/>
      <c r="AP128" s="42"/>
      <c r="AQ128" s="42"/>
      <c r="AR128" s="42"/>
      <c r="AS128" s="42"/>
      <c r="AT128" s="42"/>
      <c r="AU128" s="42"/>
      <c r="AV128" s="42"/>
      <c r="AW128" s="42"/>
      <c r="AX128" s="42"/>
      <c r="AY128" s="42"/>
      <c r="AZ128" s="42"/>
      <c r="BA128" s="42"/>
      <c r="BB128" s="42"/>
      <c r="BC128" s="42"/>
      <c r="BD128" s="42"/>
      <c r="BE128" s="42"/>
      <c r="BF128" s="42"/>
      <c r="BG128" s="42"/>
      <c r="BH128" s="42"/>
      <c r="BI128" s="42"/>
      <c r="BJ128" s="42"/>
      <c r="BK128" s="42"/>
      <c r="BL128" s="42"/>
      <c r="BM128" s="42"/>
      <c r="BN128" s="42"/>
    </row>
    <row r="129" spans="1:66" ht="12.75" customHeight="1" x14ac:dyDescent="0.2">
      <c r="A129" s="1" t="s">
        <v>407</v>
      </c>
      <c r="B129" s="4">
        <f>_xll.ciqfunctions.udf.CIQ(InputTicker, "IQ_DIC",Input!D$2,Date,,,Ccy,Conv)</f>
        <v>0</v>
      </c>
      <c r="C129" s="4">
        <f>_xll.ciqfunctions.udf.CIQ(InputTicker, "IQ_DIC",Input!E$2,Date,,,Ccy,Conv)</f>
        <v>0</v>
      </c>
      <c r="D129" s="4">
        <f>_xll.ciqfunctions.udf.CIQ(InputTicker, "IQ_DIC",Input!F$2,Date,,,Ccy,Conv)</f>
        <v>0</v>
      </c>
      <c r="E129" s="4">
        <f>_xll.ciqfunctions.udf.CIQ(InputTicker, "IQ_DIC",Input!G$2,Date,,,Ccy,Conv)</f>
        <v>0</v>
      </c>
      <c r="F129" s="4">
        <f>_xll.ciqfunctions.udf.CIQ(InputTicker, "IQ_DIC",Input!H$2,Date,,,Ccy,Conv)</f>
        <v>0</v>
      </c>
      <c r="G129" s="4">
        <f>_xll.ciqfunctions.udf.CIQ(InputTicker, "IQ_DIC",Input!I$2,Date,,,Ccy,Conv)</f>
        <v>0</v>
      </c>
      <c r="H129" s="4">
        <f>_xll.ciqfunctions.udf.CIQ(InputTicker, "IQ_DIC",Input!J$2,Date,,,Ccy,Conv)</f>
        <v>0</v>
      </c>
      <c r="I129" s="4">
        <f>_xll.ciqfunctions.udf.CIQ(InputTicker, "IQ_DIC",Input!K$2,Date,,,Ccy,Conv)</f>
        <v>0</v>
      </c>
      <c r="J129" s="4">
        <f>_xll.ciqfunctions.udf.CIQ(InputTicker, "IQ_DIC",Input!L$2,Date,,,Ccy,Conv)</f>
        <v>0</v>
      </c>
      <c r="K129" s="4">
        <f>_xll.ciqfunctions.udf.CIQ(InputTicker, "IQ_DIC",Input!M$2,Date,,,Ccy,Conv)</f>
        <v>0</v>
      </c>
      <c r="L129" s="4">
        <f>_xll.ciqfunctions.udf.CIQ(InputTicker, "IQ_DIC",Input!N$2,Date,,,Ccy,Conv)</f>
        <v>0</v>
      </c>
      <c r="M129" s="4">
        <f>_xll.ciqfunctions.udf.CIQ(InputTicker, "IQ_DIC",Input!O$2,Date,,,Ccy,Conv)</f>
        <v>0</v>
      </c>
      <c r="N129" s="49"/>
      <c r="T129" s="42"/>
      <c r="U129" s="42"/>
      <c r="V129" s="42"/>
      <c r="W129" s="42"/>
      <c r="X129" s="42"/>
      <c r="Y129" s="42"/>
      <c r="Z129" s="42"/>
      <c r="AA129" s="42"/>
      <c r="AB129" s="42"/>
      <c r="AC129" s="42"/>
      <c r="AD129" s="42"/>
      <c r="AE129" s="42"/>
      <c r="AF129" s="42"/>
      <c r="AG129" s="42"/>
      <c r="AH129" s="42"/>
      <c r="AI129" s="42"/>
      <c r="AJ129" s="42"/>
      <c r="AK129" s="42"/>
      <c r="AL129" s="42"/>
      <c r="AM129" s="42"/>
      <c r="AN129" s="42"/>
      <c r="AO129" s="42"/>
      <c r="AP129" s="42"/>
      <c r="AQ129" s="42"/>
      <c r="AR129" s="42"/>
      <c r="AS129" s="42"/>
      <c r="AT129" s="42"/>
      <c r="AU129" s="42"/>
      <c r="AV129" s="42"/>
      <c r="AW129" s="42"/>
      <c r="AX129" s="42"/>
      <c r="AY129" s="42"/>
      <c r="AZ129" s="42"/>
      <c r="BA129" s="42"/>
      <c r="BB129" s="42"/>
      <c r="BC129" s="42"/>
      <c r="BD129" s="42"/>
      <c r="BE129" s="42"/>
      <c r="BF129" s="42"/>
      <c r="BG129" s="42"/>
      <c r="BH129" s="42"/>
      <c r="BI129" s="42"/>
      <c r="BJ129" s="42"/>
      <c r="BK129" s="42"/>
      <c r="BL129" s="42"/>
      <c r="BM129" s="42"/>
      <c r="BN129" s="42"/>
    </row>
    <row r="130" spans="1:66" ht="12.75" customHeight="1" x14ac:dyDescent="0.2">
      <c r="A130" s="1" t="s">
        <v>347</v>
      </c>
      <c r="B130" s="15" t="str">
        <f>_xll.ciqfunctions.udf.CIQ(InputTicker, "IQ_FILING_CURRENCY",Input!D$2,Date)</f>
        <v>USD</v>
      </c>
      <c r="C130" s="15" t="str">
        <f>_xll.ciqfunctions.udf.CIQ(InputTicker, "IQ_FILING_CURRENCY",Input!E$2,Date)</f>
        <v>USD</v>
      </c>
      <c r="D130" s="15" t="str">
        <f>_xll.ciqfunctions.udf.CIQ(InputTicker, "IQ_FILING_CURRENCY",Input!F$2,Date)</f>
        <v>USD</v>
      </c>
      <c r="E130" s="15" t="str">
        <f>_xll.ciqfunctions.udf.CIQ(InputTicker, "IQ_FILING_CURRENCY",Input!G$2,Date)</f>
        <v>USD</v>
      </c>
      <c r="F130" s="15" t="str">
        <f>_xll.ciqfunctions.udf.CIQ(InputTicker, "IQ_FILING_CURRENCY",Input!H$2,Date)</f>
        <v>USD</v>
      </c>
      <c r="G130" s="15" t="str">
        <f>_xll.ciqfunctions.udf.CIQ(InputTicker, "IQ_FILING_CURRENCY",Input!I$2,Date)</f>
        <v>USD</v>
      </c>
      <c r="H130" s="15" t="str">
        <f>_xll.ciqfunctions.udf.CIQ(InputTicker, "IQ_FILING_CURRENCY",Input!J$2,Date)</f>
        <v>USD</v>
      </c>
      <c r="I130" s="15" t="str">
        <f>_xll.ciqfunctions.udf.CIQ(InputTicker, "IQ_FILING_CURRENCY",Input!K$2,Date)</f>
        <v>USD</v>
      </c>
      <c r="J130" s="15" t="str">
        <f>_xll.ciqfunctions.udf.CIQ(InputTicker, "IQ_FILING_CURRENCY",Input!L$2,Date)</f>
        <v>USD</v>
      </c>
      <c r="K130" s="15" t="str">
        <f>_xll.ciqfunctions.udf.CIQ(InputTicker, "IQ_FILING_CURRENCY",Input!M$2,Date)</f>
        <v>USD</v>
      </c>
      <c r="L130" s="15" t="str">
        <f>_xll.ciqfunctions.udf.CIQ(InputTicker, "IQ_FILING_CURRENCY",Input!N$2,Date)</f>
        <v>USD</v>
      </c>
      <c r="M130" s="15" t="str">
        <f>_xll.ciqfunctions.udf.CIQ(InputTicker, "IQ_FILING_CURRENCY",Input!O$2,Date)</f>
        <v>USD</v>
      </c>
      <c r="N130" s="49"/>
      <c r="P130" s="51"/>
      <c r="Q130" s="51"/>
      <c r="R130" s="51"/>
      <c r="T130" s="42"/>
      <c r="U130" s="42"/>
      <c r="V130" s="51"/>
      <c r="W130" s="42"/>
      <c r="X130" s="42"/>
      <c r="Y130" s="42"/>
      <c r="Z130" s="42"/>
      <c r="AA130" s="42"/>
      <c r="AB130" s="42"/>
      <c r="AC130" s="42"/>
      <c r="AD130" s="42"/>
      <c r="AE130" s="42"/>
      <c r="AF130" s="42"/>
      <c r="AG130" s="42"/>
      <c r="AH130" s="42"/>
      <c r="AI130" s="42"/>
      <c r="AJ130" s="42"/>
      <c r="AK130" s="42"/>
      <c r="AL130" s="42"/>
      <c r="AM130" s="42"/>
      <c r="AN130" s="42"/>
      <c r="AO130" s="42"/>
      <c r="AP130" s="42"/>
      <c r="AQ130" s="42"/>
      <c r="AR130" s="42"/>
      <c r="AS130" s="42"/>
      <c r="AT130" s="42"/>
      <c r="AU130" s="42"/>
      <c r="AV130" s="42"/>
      <c r="AW130" s="42"/>
      <c r="AX130" s="42"/>
      <c r="AY130" s="42"/>
      <c r="AZ130" s="42"/>
      <c r="BA130" s="42"/>
      <c r="BB130" s="42"/>
      <c r="BC130" s="42"/>
      <c r="BD130" s="42"/>
      <c r="BE130" s="42"/>
      <c r="BF130" s="42"/>
      <c r="BG130" s="42"/>
      <c r="BH130" s="42"/>
      <c r="BI130" s="42"/>
      <c r="BJ130" s="42"/>
      <c r="BK130" s="42"/>
      <c r="BL130" s="42"/>
      <c r="BM130" s="42"/>
      <c r="BN130" s="42"/>
    </row>
    <row r="131" spans="1:66" ht="12.75" customHeight="1" x14ac:dyDescent="0.2">
      <c r="A131" s="1" t="s">
        <v>345</v>
      </c>
      <c r="B131" s="15" t="str">
        <f>_xll.ciqfunctions.udf.CIQ(InputTicker, "IQ_RESTATEMENT_IS",Input!D$2,Date)</f>
        <v>RS</v>
      </c>
      <c r="C131" s="15" t="str">
        <f>_xll.ciqfunctions.udf.CIQ(InputTicker, "IQ_RESTATEMENT_IS",Input!E$2,Date)</f>
        <v>RS</v>
      </c>
      <c r="D131" s="15" t="str">
        <f>_xll.ciqfunctions.udf.CIQ(InputTicker, "IQ_RESTATEMENT_IS",Input!F$2,Date)</f>
        <v>NC</v>
      </c>
      <c r="E131" s="15" t="str">
        <f>_xll.ciqfunctions.udf.CIQ(InputTicker, "IQ_RESTATEMENT_IS",Input!G$2,Date)</f>
        <v>NC</v>
      </c>
      <c r="F131" s="15" t="str">
        <f>_xll.ciqfunctions.udf.CIQ(InputTicker, "IQ_RESTATEMENT_IS",Input!H$2,Date)</f>
        <v>NC</v>
      </c>
      <c r="G131" s="15" t="str">
        <f>_xll.ciqfunctions.udf.CIQ(InputTicker, "IQ_RESTATEMENT_IS",Input!I$2,Date)</f>
        <v>NC</v>
      </c>
      <c r="H131" s="15" t="str">
        <f>_xll.ciqfunctions.udf.CIQ(InputTicker, "IQ_RESTATEMENT_IS",Input!J$2,Date)</f>
        <v>NC</v>
      </c>
      <c r="I131" s="15" t="str">
        <f>_xll.ciqfunctions.udf.CIQ(InputTicker, "IQ_RESTATEMENT_IS",Input!K$2,Date)</f>
        <v>RC</v>
      </c>
      <c r="J131" s="15" t="str">
        <f>_xll.ciqfunctions.udf.CIQ(InputTicker, "IQ_RESTATEMENT_IS",Input!L$2,Date)</f>
        <v>NC</v>
      </c>
      <c r="K131" s="15" t="str">
        <f>_xll.ciqfunctions.udf.CIQ(InputTicker, "IQ_RESTATEMENT_IS",Input!M$2,Date)</f>
        <v>NC</v>
      </c>
      <c r="L131" s="15" t="str">
        <f>_xll.ciqfunctions.udf.CIQ(InputTicker, "IQ_RESTATEMENT_IS",Input!N$2,Date)</f>
        <v>O</v>
      </c>
      <c r="M131" s="15" t="str">
        <f>_xll.ciqfunctions.udf.CIQ(InputTicker, "IQ_RESTATEMENT_IS",Input!O$2,Date)</f>
        <v>O</v>
      </c>
      <c r="N131" s="49"/>
      <c r="P131" s="51"/>
      <c r="Q131" s="51"/>
      <c r="R131" s="51"/>
      <c r="T131" s="42"/>
      <c r="U131" s="42"/>
      <c r="V131" s="51"/>
      <c r="W131" s="42"/>
      <c r="X131" s="42"/>
      <c r="Y131" s="42"/>
      <c r="Z131" s="42"/>
      <c r="AA131" s="42"/>
      <c r="AB131" s="42"/>
      <c r="AC131" s="42"/>
      <c r="AD131" s="42"/>
      <c r="AE131" s="42"/>
      <c r="AF131" s="42"/>
      <c r="AG131" s="42"/>
      <c r="AH131" s="42"/>
      <c r="AI131" s="42"/>
      <c r="AJ131" s="42"/>
      <c r="AK131" s="42"/>
      <c r="AL131" s="42"/>
      <c r="AM131" s="42"/>
      <c r="AN131" s="42"/>
      <c r="AO131" s="42"/>
      <c r="AP131" s="42"/>
      <c r="AQ131" s="42"/>
      <c r="AR131" s="42"/>
      <c r="AS131" s="42"/>
      <c r="AT131" s="42"/>
      <c r="AU131" s="42"/>
      <c r="AV131" s="42"/>
      <c r="AW131" s="42"/>
      <c r="AX131" s="42"/>
      <c r="AY131" s="42"/>
      <c r="AZ131" s="42"/>
      <c r="BA131" s="42"/>
      <c r="BB131" s="42"/>
      <c r="BC131" s="42"/>
      <c r="BD131" s="42"/>
      <c r="BE131" s="42"/>
      <c r="BF131" s="42"/>
      <c r="BG131" s="42"/>
      <c r="BH131" s="42"/>
      <c r="BI131" s="42"/>
      <c r="BJ131" s="42"/>
      <c r="BK131" s="42"/>
      <c r="BL131" s="42"/>
      <c r="BM131" s="42"/>
      <c r="BN131" s="42"/>
    </row>
    <row r="132" spans="1:66" ht="12.75" customHeight="1" x14ac:dyDescent="0.2">
      <c r="A132" s="1" t="s">
        <v>346</v>
      </c>
      <c r="B132" s="15" t="str">
        <f>_xll.ciqfunctions.udf.CIQ(InputTicker, "IQ_CALC_TYPE_IS",Input!D$2,Date)</f>
        <v>REP</v>
      </c>
      <c r="C132" s="15" t="str">
        <f>_xll.ciqfunctions.udf.CIQ(InputTicker, "IQ_CALC_TYPE_IS",Input!E$2,Date)</f>
        <v>REP</v>
      </c>
      <c r="D132" s="15" t="str">
        <f>_xll.ciqfunctions.udf.CIQ(InputTicker, "IQ_CALC_TYPE_IS",Input!F$2,Date)</f>
        <v>REP</v>
      </c>
      <c r="E132" s="15" t="str">
        <f>_xll.ciqfunctions.udf.CIQ(InputTicker, "IQ_CALC_TYPE_IS",Input!G$2,Date)</f>
        <v>REP</v>
      </c>
      <c r="F132" s="15" t="str">
        <f>_xll.ciqfunctions.udf.CIQ(InputTicker, "IQ_CALC_TYPE_IS",Input!H$2,Date)</f>
        <v>REP</v>
      </c>
      <c r="G132" s="15" t="str">
        <f>_xll.ciqfunctions.udf.CIQ(InputTicker, "IQ_CALC_TYPE_IS",Input!I$2,Date)</f>
        <v>REP</v>
      </c>
      <c r="H132" s="15" t="str">
        <f>_xll.ciqfunctions.udf.CIQ(InputTicker, "IQ_CALC_TYPE_IS",Input!J$2,Date)</f>
        <v>REP</v>
      </c>
      <c r="I132" s="15" t="str">
        <f>_xll.ciqfunctions.udf.CIQ(InputTicker, "IQ_CALC_TYPE_IS",Input!K$2,Date)</f>
        <v>REP</v>
      </c>
      <c r="J132" s="15" t="str">
        <f>_xll.ciqfunctions.udf.CIQ(InputTicker, "IQ_CALC_TYPE_IS",Input!L$2,Date)</f>
        <v>REP</v>
      </c>
      <c r="K132" s="15" t="str">
        <f>_xll.ciqfunctions.udf.CIQ(InputTicker, "IQ_CALC_TYPE_IS",Input!M$2,Date)</f>
        <v>REP</v>
      </c>
      <c r="L132" s="15" t="str">
        <f>_xll.ciqfunctions.udf.CIQ(InputTicker, "IQ_CALC_TYPE_IS",Input!N$2,Date)</f>
        <v>REP</v>
      </c>
      <c r="M132" s="15" t="str">
        <f>_xll.ciqfunctions.udf.CIQ(InputTicker, "IQ_CALC_TYPE_IS",Input!O$2,Date)</f>
        <v>REP</v>
      </c>
      <c r="N132" s="49"/>
      <c r="P132" s="51"/>
      <c r="Q132" s="51"/>
      <c r="R132" s="51"/>
      <c r="T132" s="42"/>
      <c r="U132" s="42"/>
      <c r="V132" s="51"/>
      <c r="W132" s="42"/>
      <c r="X132" s="42"/>
      <c r="Y132" s="42"/>
      <c r="Z132" s="42"/>
      <c r="AA132" s="42"/>
      <c r="AB132" s="42"/>
      <c r="AC132" s="42"/>
      <c r="AD132" s="42"/>
      <c r="AE132" s="42"/>
      <c r="AF132" s="42"/>
      <c r="AG132" s="42"/>
      <c r="AH132" s="42"/>
      <c r="AI132" s="42"/>
      <c r="AJ132" s="42"/>
      <c r="AK132" s="42"/>
      <c r="AL132" s="42"/>
      <c r="AM132" s="42"/>
      <c r="AN132" s="42"/>
      <c r="AO132" s="42"/>
      <c r="AP132" s="42"/>
      <c r="AQ132" s="42"/>
      <c r="AR132" s="42"/>
      <c r="AS132" s="42"/>
      <c r="AT132" s="42"/>
      <c r="AU132" s="42"/>
      <c r="AV132" s="42"/>
      <c r="AW132" s="42"/>
      <c r="AX132" s="42"/>
      <c r="AY132" s="42"/>
      <c r="AZ132" s="42"/>
      <c r="BA132" s="42"/>
      <c r="BB132" s="42"/>
      <c r="BC132" s="42"/>
      <c r="BD132" s="42"/>
      <c r="BE132" s="42"/>
      <c r="BF132" s="42"/>
      <c r="BG132" s="42"/>
      <c r="BH132" s="42"/>
      <c r="BI132" s="42"/>
      <c r="BJ132" s="42"/>
      <c r="BK132" s="42"/>
      <c r="BL132" s="42"/>
      <c r="BM132" s="42"/>
      <c r="BN132" s="42"/>
    </row>
    <row r="133" spans="1:66" ht="12.75" customHeight="1" x14ac:dyDescent="0.2">
      <c r="A133" s="1" t="s">
        <v>376</v>
      </c>
      <c r="B133" s="15" t="str">
        <f>_xll.ciqfunctions.udf.CIQ(InputTicker, "IQ_GAAP_IS",Input!D$2,Date)</f>
        <v>US GAAP</v>
      </c>
      <c r="C133" s="15" t="str">
        <f>_xll.ciqfunctions.udf.CIQ(InputTicker, "IQ_GAAP_IS",Input!E$2,Date)</f>
        <v>US GAAP</v>
      </c>
      <c r="D133" s="15" t="str">
        <f>_xll.ciqfunctions.udf.CIQ(InputTicker, "IQ_GAAP_IS",Input!F$2,Date)</f>
        <v>US GAAP</v>
      </c>
      <c r="E133" s="15" t="str">
        <f>_xll.ciqfunctions.udf.CIQ(InputTicker, "IQ_GAAP_IS",Input!G$2,Date)</f>
        <v>US GAAP</v>
      </c>
      <c r="F133" s="15" t="str">
        <f>_xll.ciqfunctions.udf.CIQ(InputTicker, "IQ_GAAP_IS",Input!H$2,Date)</f>
        <v>US GAAP</v>
      </c>
      <c r="G133" s="15" t="str">
        <f>_xll.ciqfunctions.udf.CIQ(InputTicker, "IQ_GAAP_IS",Input!I$2,Date)</f>
        <v>US GAAP</v>
      </c>
      <c r="H133" s="15" t="str">
        <f>_xll.ciqfunctions.udf.CIQ(InputTicker, "IQ_GAAP_IS",Input!J$2,Date)</f>
        <v>US GAAP</v>
      </c>
      <c r="I133" s="15" t="str">
        <f>_xll.ciqfunctions.udf.CIQ(InputTicker, "IQ_GAAP_IS",Input!K$2,Date)</f>
        <v>US GAAP</v>
      </c>
      <c r="J133" s="15" t="str">
        <f>_xll.ciqfunctions.udf.CIQ(InputTicker, "IQ_GAAP_IS",Input!L$2,Date)</f>
        <v>US GAAP</v>
      </c>
      <c r="K133" s="15" t="str">
        <f>_xll.ciqfunctions.udf.CIQ(InputTicker, "IQ_GAAP_IS",Input!M$2,Date)</f>
        <v>US GAAP</v>
      </c>
      <c r="L133" s="15" t="str">
        <f>_xll.ciqfunctions.udf.CIQ(InputTicker, "IQ_GAAP_IS",Input!N$2,Date)</f>
        <v>US GAAP</v>
      </c>
      <c r="M133" s="15" t="str">
        <f>_xll.ciqfunctions.udf.CIQ(InputTicker, "IQ_GAAP_IS",Input!O$2,Date)</f>
        <v>US GAAP</v>
      </c>
      <c r="N133" s="42"/>
      <c r="P133" s="51"/>
      <c r="Q133" s="51"/>
      <c r="R133" s="51"/>
      <c r="T133" s="42"/>
      <c r="U133" s="42"/>
      <c r="V133" s="51"/>
      <c r="W133" s="42"/>
      <c r="X133" s="42"/>
      <c r="Y133" s="42"/>
      <c r="Z133" s="42"/>
      <c r="AA133" s="42"/>
      <c r="AB133" s="42"/>
      <c r="AC133" s="42"/>
      <c r="AD133" s="42"/>
      <c r="AE133" s="42"/>
      <c r="AF133" s="42"/>
      <c r="AG133" s="42"/>
      <c r="AH133" s="42"/>
      <c r="AI133" s="42"/>
      <c r="AJ133" s="42"/>
      <c r="AK133" s="42"/>
      <c r="AL133" s="42"/>
      <c r="AM133" s="42"/>
      <c r="AN133" s="42"/>
      <c r="AO133" s="42"/>
      <c r="AP133" s="42"/>
      <c r="AQ133" s="42"/>
      <c r="AR133" s="42"/>
      <c r="AS133" s="42"/>
      <c r="AT133" s="42"/>
      <c r="AU133" s="42"/>
      <c r="AV133" s="42"/>
      <c r="AW133" s="42"/>
      <c r="AX133" s="42"/>
      <c r="AY133" s="42"/>
      <c r="AZ133" s="42"/>
      <c r="BA133" s="42"/>
      <c r="BB133" s="42"/>
      <c r="BC133" s="42"/>
      <c r="BD133" s="42"/>
      <c r="BE133" s="42"/>
      <c r="BF133" s="42"/>
      <c r="BG133" s="42"/>
      <c r="BH133" s="42"/>
      <c r="BI133" s="42"/>
      <c r="BJ133" s="42"/>
      <c r="BK133" s="42"/>
      <c r="BL133" s="42"/>
      <c r="BM133" s="42"/>
      <c r="BN133" s="42"/>
    </row>
    <row r="134" spans="1:66" ht="12.75" customHeight="1" x14ac:dyDescent="0.2">
      <c r="A134" s="1" t="s">
        <v>366</v>
      </c>
      <c r="B134" s="4">
        <f>_xll.ciqfunctions.udf.CIQ(InputTicker,"IQ_ADVERTISING",Input!D$2,Date,,,Ccy,Conv)</f>
        <v>1600</v>
      </c>
      <c r="C134" s="4">
        <f>_xll.ciqfunctions.udf.CIQ(InputTicker,"IQ_ADVERTISING",Input!E$2,Date,,,Ccy,Conv)</f>
        <v>1500</v>
      </c>
      <c r="D134" s="4">
        <f>_xll.ciqfunctions.udf.CIQ(InputTicker,"IQ_ADVERTISING",Input!F$2,Date,,,Ccy,Conv)</f>
        <v>1600</v>
      </c>
      <c r="E134" s="4">
        <f>_xll.ciqfunctions.udf.CIQ(InputTicker,"IQ_ADVERTISING",Input!G$2,Date,,,Ccy,Conv)</f>
        <v>1600</v>
      </c>
      <c r="F134" s="4">
        <f>_xll.ciqfunctions.udf.CIQ(InputTicker,"IQ_ADVERTISING",Input!H$2,Date,,,Ccy,Conv)</f>
        <v>1600</v>
      </c>
      <c r="G134" s="4">
        <f>_xll.ciqfunctions.udf.CIQ(InputTicker,"IQ_ADVERTISING",Input!I$2,Date,,,Ccy,Conv)</f>
        <v>1500</v>
      </c>
      <c r="H134" s="4">
        <f>_xll.ciqfunctions.udf.CIQ(InputTicker,"IQ_ADVERTISING",Input!J$2,Date,,,Ccy,Conv)</f>
        <v>1500</v>
      </c>
      <c r="I134" s="4">
        <f>_xll.ciqfunctions.udf.CIQ(InputTicker,"IQ_ADVERTISING",Input!K$2,Date,,,Ccy,Conv)</f>
        <v>904</v>
      </c>
      <c r="J134" s="4">
        <f>_xll.ciqfunctions.udf.CIQ(InputTicker,"IQ_ADVERTISING",Input!L$2,Date,,,Ccy,Conv)</f>
        <v>1700</v>
      </c>
      <c r="K134" s="4">
        <f>_xll.ciqfunctions.udf.CIQ(InputTicker,"IQ_ADVERTISING",Input!M$2,Date,,,Ccy,Conv)</f>
        <v>2100</v>
      </c>
      <c r="L134" s="4">
        <f>_xll.ciqfunctions.udf.CIQ(InputTicker,"IQ_ADVERTISING",Input!N$2,Date,,,Ccy,Conv)</f>
        <v>2700</v>
      </c>
      <c r="M134" s="4">
        <f>_xll.ciqfunctions.udf.CIQ(InputTicker,"IQ_ADVERTISING",Input!O$2,Date,,,Ccy,Conv)</f>
        <v>2700</v>
      </c>
      <c r="N134" s="49"/>
      <c r="P134" s="51"/>
      <c r="Q134" s="51"/>
      <c r="R134" s="51"/>
      <c r="T134" s="42"/>
      <c r="U134" s="42"/>
      <c r="V134" s="51"/>
      <c r="W134" s="42"/>
      <c r="X134" s="42"/>
      <c r="Y134" s="42"/>
      <c r="Z134" s="42"/>
      <c r="AA134" s="42"/>
      <c r="AB134" s="42"/>
      <c r="AC134" s="42"/>
      <c r="AD134" s="42"/>
      <c r="AE134" s="42"/>
      <c r="AF134" s="42"/>
      <c r="AG134" s="42"/>
      <c r="AH134" s="42"/>
      <c r="AI134" s="42"/>
      <c r="AJ134" s="42"/>
      <c r="AK134" s="42"/>
      <c r="AL134" s="42"/>
      <c r="AM134" s="42"/>
      <c r="AN134" s="42"/>
      <c r="AO134" s="42"/>
      <c r="AP134" s="42"/>
      <c r="AQ134" s="42"/>
      <c r="AR134" s="42"/>
      <c r="AS134" s="42"/>
      <c r="AT134" s="42"/>
      <c r="AU134" s="42"/>
      <c r="AV134" s="42"/>
      <c r="AW134" s="42"/>
      <c r="AX134" s="42"/>
      <c r="AY134" s="42"/>
      <c r="AZ134" s="42"/>
      <c r="BA134" s="42"/>
      <c r="BB134" s="42"/>
      <c r="BC134" s="42"/>
      <c r="BD134" s="42"/>
      <c r="BE134" s="42"/>
      <c r="BF134" s="42"/>
      <c r="BG134" s="42"/>
      <c r="BH134" s="42"/>
      <c r="BI134" s="42"/>
      <c r="BJ134" s="42"/>
      <c r="BK134" s="42"/>
      <c r="BL134" s="42"/>
      <c r="BM134" s="42"/>
      <c r="BN134" s="42"/>
    </row>
    <row r="135" spans="1:66" ht="12.75" customHeight="1" x14ac:dyDescent="0.2">
      <c r="A135" s="1" t="s">
        <v>330</v>
      </c>
      <c r="B135" s="4">
        <f>_xll.ciqfunctions.udf.CIQ(InputTicker,"IQ_MARKETING",Input!D$2,Date,,,Ccy,Conv)</f>
        <v>0</v>
      </c>
      <c r="C135" s="4">
        <f>_xll.ciqfunctions.udf.CIQ(InputTicker,"IQ_MARKETING",Input!E$2,Date,,,Ccy,Conv)</f>
        <v>0</v>
      </c>
      <c r="D135" s="4">
        <f>_xll.ciqfunctions.udf.CIQ(InputTicker,"IQ_MARKETING",Input!F$2,Date,,,Ccy,Conv)</f>
        <v>0</v>
      </c>
      <c r="E135" s="4">
        <f>_xll.ciqfunctions.udf.CIQ(InputTicker,"IQ_MARKETING",Input!G$2,Date,,,Ccy,Conv)</f>
        <v>0</v>
      </c>
      <c r="F135" s="4">
        <f>_xll.ciqfunctions.udf.CIQ(InputTicker,"IQ_MARKETING",Input!H$2,Date,,,Ccy,Conv)</f>
        <v>0</v>
      </c>
      <c r="G135" s="4">
        <f>_xll.ciqfunctions.udf.CIQ(InputTicker,"IQ_MARKETING",Input!I$2,Date,,,Ccy,Conv)</f>
        <v>0</v>
      </c>
      <c r="H135" s="4">
        <f>_xll.ciqfunctions.udf.CIQ(InputTicker,"IQ_MARKETING",Input!J$2,Date,,,Ccy,Conv)</f>
        <v>0</v>
      </c>
      <c r="I135" s="4">
        <f>_xll.ciqfunctions.udf.CIQ(InputTicker,"IQ_MARKETING",Input!K$2,Date,,,Ccy,Conv)</f>
        <v>0</v>
      </c>
      <c r="J135" s="4">
        <f>_xll.ciqfunctions.udf.CIQ(InputTicker,"IQ_MARKETING",Input!L$2,Date,,,Ccy,Conv)</f>
        <v>0</v>
      </c>
      <c r="K135" s="4">
        <f>_xll.ciqfunctions.udf.CIQ(InputTicker,"IQ_MARKETING",Input!M$2,Date,,,Ccy,Conv)</f>
        <v>0</v>
      </c>
      <c r="L135" s="4">
        <f>_xll.ciqfunctions.udf.CIQ(InputTicker,"IQ_MARKETING",Input!N$2,Date,,,Ccy,Conv)</f>
        <v>0</v>
      </c>
      <c r="M135" s="4">
        <f>_xll.ciqfunctions.udf.CIQ(InputTicker,"IQ_MARKETING",Input!O$2,Date,,,Ccy,Conv)</f>
        <v>0</v>
      </c>
      <c r="N135" s="49"/>
      <c r="P135" s="51"/>
      <c r="Q135" s="51"/>
      <c r="R135" s="51"/>
      <c r="T135" s="42"/>
      <c r="U135" s="42"/>
      <c r="V135" s="51"/>
      <c r="W135" s="42"/>
      <c r="X135" s="42"/>
      <c r="Y135" s="42"/>
      <c r="Z135" s="42"/>
      <c r="AA135" s="42"/>
      <c r="AB135" s="42"/>
      <c r="AC135" s="42"/>
      <c r="AD135" s="42"/>
      <c r="AE135" s="42"/>
      <c r="AF135" s="42"/>
      <c r="AG135" s="42"/>
      <c r="AH135" s="42"/>
      <c r="AI135" s="42"/>
      <c r="AJ135" s="42"/>
      <c r="AK135" s="42"/>
      <c r="AL135" s="42"/>
      <c r="AM135" s="42"/>
      <c r="AN135" s="42"/>
      <c r="AO135" s="42"/>
      <c r="AP135" s="42"/>
      <c r="AQ135" s="42"/>
      <c r="AR135" s="42"/>
      <c r="AS135" s="42"/>
      <c r="AT135" s="42"/>
      <c r="AU135" s="42"/>
      <c r="AV135" s="42"/>
      <c r="AW135" s="42"/>
      <c r="AX135" s="42"/>
      <c r="AY135" s="42"/>
      <c r="AZ135" s="42"/>
      <c r="BA135" s="42"/>
      <c r="BB135" s="42"/>
      <c r="BC135" s="42"/>
      <c r="BD135" s="42"/>
      <c r="BE135" s="42"/>
      <c r="BF135" s="42"/>
      <c r="BG135" s="42"/>
      <c r="BH135" s="42"/>
      <c r="BI135" s="42"/>
      <c r="BJ135" s="42"/>
      <c r="BK135" s="42"/>
      <c r="BL135" s="42"/>
      <c r="BM135" s="42"/>
      <c r="BN135" s="42"/>
    </row>
    <row r="136" spans="1:66" ht="12.75" customHeight="1" x14ac:dyDescent="0.2">
      <c r="A136" s="1" t="s">
        <v>331</v>
      </c>
      <c r="B136" s="4">
        <f>_xll.ciqfunctions.udf.CIQ(InputTicker,"IQ_SALES_MARKETING",Input!D$2,Date,,,Ccy,Conv)</f>
        <v>14635</v>
      </c>
      <c r="C136" s="4">
        <f>_xll.ciqfunctions.udf.CIQ(InputTicker,"IQ_SALES_MARKETING",Input!E$2,Date,,,Ccy,Conv)</f>
        <v>15461</v>
      </c>
      <c r="D136" s="4">
        <f>_xll.ciqfunctions.udf.CIQ(InputTicker,"IQ_SALES_MARKETING",Input!F$2,Date,,,Ccy,Conv)</f>
        <v>17469</v>
      </c>
      <c r="E136" s="4">
        <f>_xll.ciqfunctions.udf.CIQ(InputTicker,"IQ_SALES_MARKETING",Input!G$2,Date,,,Ccy,Conv)</f>
        <v>18213</v>
      </c>
      <c r="F136" s="4">
        <f>_xll.ciqfunctions.udf.CIQ(InputTicker,"IQ_SALES_MARKETING",Input!H$2,Date,,,Ccy,Conv)</f>
        <v>19598</v>
      </c>
      <c r="G136" s="4">
        <f>_xll.ciqfunctions.udf.CIQ(InputTicker,"IQ_SALES_MARKETING",Input!I$2,Date,,,Ccy,Conv)</f>
        <v>20117</v>
      </c>
      <c r="H136" s="4">
        <f>_xll.ciqfunctions.udf.CIQ(InputTicker,"IQ_SALES_MARKETING",Input!J$2,Date,,,Ccy,Conv)</f>
        <v>21825</v>
      </c>
      <c r="I136" s="4">
        <f>_xll.ciqfunctions.udf.CIQ(InputTicker,"IQ_SALES_MARKETING",Input!K$2,Date,,,Ccy,Conv)</f>
        <v>22759</v>
      </c>
      <c r="J136" s="4">
        <f>_xll.ciqfunctions.udf.CIQ(InputTicker,"IQ_SALES_MARKETING",Input!L$2,Date,,,Ccy,Conv)</f>
        <v>24456</v>
      </c>
      <c r="K136" s="4">
        <f>_xll.ciqfunctions.udf.CIQ(InputTicker,"IQ_SALES_MARKETING",Input!M$2,Date,,,Ccy,Conv)</f>
        <v>25654</v>
      </c>
      <c r="L136" s="4">
        <f>_xll.ciqfunctions.udf.CIQ(InputTicker,"IQ_SALES_MARKETING",Input!N$2,Date,,,Ccy,Conv)</f>
        <v>26710</v>
      </c>
      <c r="M136" s="4">
        <f>_xll.ciqfunctions.udf.CIQ(InputTicker,"IQ_SALES_MARKETING",Input!O$2,Date,,,Ccy,Conv)</f>
        <v>26710</v>
      </c>
      <c r="N136" s="49"/>
      <c r="P136" s="51"/>
      <c r="Q136" s="51"/>
      <c r="R136" s="51"/>
      <c r="T136" s="42"/>
      <c r="U136" s="42"/>
      <c r="V136" s="51"/>
      <c r="W136" s="42"/>
      <c r="X136" s="42"/>
      <c r="Y136" s="42"/>
      <c r="Z136" s="42"/>
      <c r="AA136" s="42"/>
      <c r="AB136" s="42"/>
      <c r="AC136" s="42"/>
      <c r="AD136" s="42"/>
      <c r="AE136" s="42"/>
      <c r="AF136" s="42"/>
      <c r="AG136" s="42"/>
      <c r="AH136" s="42"/>
      <c r="AI136" s="42"/>
      <c r="AJ136" s="42"/>
      <c r="AK136" s="42"/>
      <c r="AL136" s="42"/>
      <c r="AM136" s="42"/>
      <c r="AN136" s="42"/>
      <c r="AO136" s="42"/>
      <c r="AP136" s="42"/>
      <c r="AQ136" s="42"/>
      <c r="AR136" s="42"/>
      <c r="AS136" s="42"/>
      <c r="AT136" s="42"/>
      <c r="AU136" s="42"/>
      <c r="AV136" s="42"/>
      <c r="AW136" s="42"/>
      <c r="AX136" s="42"/>
      <c r="AY136" s="42"/>
      <c r="AZ136" s="42"/>
      <c r="BA136" s="42"/>
      <c r="BB136" s="42"/>
      <c r="BC136" s="42"/>
      <c r="BD136" s="42"/>
      <c r="BE136" s="42"/>
      <c r="BF136" s="42"/>
      <c r="BG136" s="42"/>
      <c r="BH136" s="42"/>
      <c r="BI136" s="42"/>
      <c r="BJ136" s="42"/>
      <c r="BK136" s="42"/>
      <c r="BL136" s="42"/>
      <c r="BM136" s="42"/>
      <c r="BN136" s="42"/>
    </row>
    <row r="137" spans="1:66" ht="12.75" customHeight="1" x14ac:dyDescent="0.2">
      <c r="A137" s="1" t="s">
        <v>332</v>
      </c>
      <c r="B137" s="4">
        <f>_xll.ciqfunctions.udf.CIQ(InputTicker,"IQ_GA_EXP",Input!D$2,Date,,,Ccy,Conv)</f>
        <v>4563</v>
      </c>
      <c r="C137" s="4">
        <f>_xll.ciqfunctions.udf.CIQ(InputTicker,"IQ_GA_EXP",Input!E$2,Date,,,Ccy,Conv)</f>
        <v>4481</v>
      </c>
      <c r="D137" s="4">
        <f>_xll.ciqfunctions.udf.CIQ(InputTicker,"IQ_GA_EXP",Input!F$2,Date,,,Ccy,Conv)</f>
        <v>4754</v>
      </c>
      <c r="E137" s="4">
        <f>_xll.ciqfunctions.udf.CIQ(InputTicker,"IQ_GA_EXP",Input!G$2,Date,,,Ccy,Conv)</f>
        <v>4885</v>
      </c>
      <c r="F137" s="4">
        <f>_xll.ciqfunctions.udf.CIQ(InputTicker,"IQ_GA_EXP",Input!H$2,Date,,,Ccy,Conv)</f>
        <v>5111</v>
      </c>
      <c r="G137" s="4">
        <f>_xll.ciqfunctions.udf.CIQ(InputTicker,"IQ_GA_EXP",Input!I$2,Date,,,Ccy,Conv)</f>
        <v>5107</v>
      </c>
      <c r="H137" s="4">
        <f>_xll.ciqfunctions.udf.CIQ(InputTicker,"IQ_GA_EXP",Input!J$2,Date,,,Ccy,Conv)</f>
        <v>5900</v>
      </c>
      <c r="I137" s="4">
        <f>_xll.ciqfunctions.udf.CIQ(InputTicker,"IQ_GA_EXP",Input!K$2,Date,,,Ccy,Conv)</f>
        <v>7575</v>
      </c>
      <c r="J137" s="4">
        <f>_xll.ciqfunctions.udf.CIQ(InputTicker,"IQ_GA_EXP",Input!L$2,Date,,,Ccy,Conv)</f>
        <v>7609</v>
      </c>
      <c r="K137" s="4">
        <f>_xll.ciqfunctions.udf.CIQ(InputTicker,"IQ_GA_EXP",Input!M$2,Date,,,Ccy,Conv)</f>
        <v>7223</v>
      </c>
      <c r="L137" s="4">
        <f>_xll.ciqfunctions.udf.CIQ(InputTicker,"IQ_GA_EXP",Input!N$2,Date,,,Ccy,Conv)</f>
        <v>7956</v>
      </c>
      <c r="M137" s="4">
        <f>_xll.ciqfunctions.udf.CIQ(InputTicker,"IQ_GA_EXP",Input!O$2,Date,,,Ccy,Conv)</f>
        <v>7956</v>
      </c>
      <c r="N137" s="49"/>
      <c r="P137" s="51"/>
      <c r="Q137" s="51"/>
      <c r="R137" s="51"/>
      <c r="T137" s="42"/>
      <c r="U137" s="42"/>
      <c r="V137" s="51"/>
      <c r="W137" s="42"/>
      <c r="X137" s="42"/>
      <c r="Y137" s="42"/>
      <c r="Z137" s="42"/>
      <c r="AA137" s="42"/>
      <c r="AB137" s="42"/>
      <c r="AC137" s="42"/>
      <c r="AD137" s="42"/>
      <c r="AE137" s="42"/>
      <c r="AF137" s="42"/>
      <c r="AG137" s="42"/>
      <c r="AH137" s="42"/>
      <c r="AI137" s="42"/>
      <c r="AJ137" s="42"/>
      <c r="AK137" s="42"/>
      <c r="AL137" s="42"/>
      <c r="AM137" s="42"/>
      <c r="AN137" s="42"/>
      <c r="AO137" s="42"/>
      <c r="AP137" s="42"/>
      <c r="AQ137" s="42"/>
      <c r="AR137" s="42"/>
      <c r="AS137" s="42"/>
      <c r="AT137" s="42"/>
      <c r="AU137" s="42"/>
      <c r="AV137" s="42"/>
      <c r="AW137" s="42"/>
      <c r="AX137" s="42"/>
      <c r="AY137" s="42"/>
      <c r="AZ137" s="42"/>
      <c r="BA137" s="42"/>
      <c r="BB137" s="42"/>
      <c r="BC137" s="42"/>
      <c r="BD137" s="42"/>
      <c r="BE137" s="42"/>
      <c r="BF137" s="42"/>
      <c r="BG137" s="42"/>
      <c r="BH137" s="42"/>
      <c r="BI137" s="42"/>
      <c r="BJ137" s="42"/>
      <c r="BK137" s="42"/>
      <c r="BL137" s="42"/>
      <c r="BM137" s="42"/>
      <c r="BN137" s="42"/>
    </row>
    <row r="138" spans="1:66" ht="12.75" customHeight="1" x14ac:dyDescent="0.2">
      <c r="A138" s="1" t="s">
        <v>369</v>
      </c>
      <c r="B138" s="4">
        <f>_xll.ciqfunctions.udf.CIQ(InputTicker, "IQ_RD_EXP_FN",Input!D$2,Date,,,Ccy,Conv)</f>
        <v>11988</v>
      </c>
      <c r="C138" s="4">
        <f>_xll.ciqfunctions.udf.CIQ(InputTicker, "IQ_RD_EXP_FN",Input!E$2,Date,,,Ccy,Conv)</f>
        <v>13037</v>
      </c>
      <c r="D138" s="4">
        <f>_xll.ciqfunctions.udf.CIQ(InputTicker, "IQ_RD_EXP_FN",Input!F$2,Date,,,Ccy,Conv)</f>
        <v>14726</v>
      </c>
      <c r="E138" s="4">
        <f>_xll.ciqfunctions.udf.CIQ(InputTicker, "IQ_RD_EXP_FN",Input!G$2,Date,,,Ccy,Conv)</f>
        <v>16876</v>
      </c>
      <c r="F138" s="4">
        <f>_xll.ciqfunctions.udf.CIQ(InputTicker, "IQ_RD_EXP_FN",Input!H$2,Date,,,Ccy,Conv)</f>
        <v>19269</v>
      </c>
      <c r="G138" s="4">
        <f>_xll.ciqfunctions.udf.CIQ(InputTicker, "IQ_RD_EXP_FN",Input!I$2,Date,,,Ccy,Conv)</f>
        <v>20716</v>
      </c>
      <c r="H138" s="4">
        <f>_xll.ciqfunctions.udf.CIQ(InputTicker, "IQ_RD_EXP_FN",Input!J$2,Date,,,Ccy,Conv)</f>
        <v>24512</v>
      </c>
      <c r="I138" s="4">
        <f>_xll.ciqfunctions.udf.CIQ(InputTicker, "IQ_RD_EXP_FN",Input!K$2,Date,,,Ccy,Conv)</f>
        <v>27195</v>
      </c>
      <c r="J138" s="4">
        <f>_xll.ciqfunctions.udf.CIQ(InputTicker, "IQ_RD_EXP_FN",Input!L$2,Date,,,Ccy,Conv)</f>
        <v>29510</v>
      </c>
      <c r="K138" s="4">
        <f>_xll.ciqfunctions.udf.CIQ(InputTicker, "IQ_RD_EXP_FN",Input!M$2,Date,,,Ccy,Conv)</f>
        <v>32488</v>
      </c>
      <c r="L138" s="4">
        <f>_xll.ciqfunctions.udf.CIQ(InputTicker, "IQ_RD_EXP_FN",Input!N$2,Date,,,Ccy,Conv)</f>
        <v>35562</v>
      </c>
      <c r="M138" s="4">
        <f>_xll.ciqfunctions.udf.CIQ(InputTicker, "IQ_RD_EXP_FN",Input!O$2,Date,,,Ccy,Conv)</f>
        <v>35562</v>
      </c>
      <c r="N138" s="49"/>
      <c r="P138" s="51"/>
      <c r="Q138" s="51"/>
      <c r="R138" s="51"/>
      <c r="T138" s="42"/>
      <c r="U138" s="42"/>
      <c r="V138" s="51"/>
      <c r="W138" s="42"/>
      <c r="X138" s="42"/>
      <c r="Y138" s="42"/>
      <c r="Z138" s="42"/>
      <c r="AA138" s="42"/>
      <c r="AB138" s="42"/>
      <c r="AC138" s="42"/>
      <c r="AD138" s="42"/>
      <c r="AE138" s="42"/>
      <c r="AF138" s="42"/>
      <c r="AG138" s="42"/>
      <c r="AH138" s="42"/>
      <c r="AI138" s="42"/>
      <c r="AJ138" s="42"/>
      <c r="AK138" s="42"/>
      <c r="AL138" s="42"/>
      <c r="AM138" s="42"/>
      <c r="AN138" s="42"/>
      <c r="AO138" s="42"/>
      <c r="AP138" s="42"/>
      <c r="AQ138" s="42"/>
      <c r="AR138" s="42"/>
      <c r="AS138" s="42"/>
      <c r="AT138" s="42"/>
      <c r="AU138" s="42"/>
      <c r="AV138" s="42"/>
      <c r="AW138" s="42"/>
      <c r="AX138" s="42"/>
      <c r="AY138" s="42"/>
      <c r="AZ138" s="42"/>
      <c r="BA138" s="42"/>
      <c r="BB138" s="42"/>
      <c r="BC138" s="42"/>
      <c r="BD138" s="42"/>
      <c r="BE138" s="42"/>
      <c r="BF138" s="42"/>
      <c r="BG138" s="42"/>
      <c r="BH138" s="42"/>
      <c r="BI138" s="42"/>
      <c r="BJ138" s="42"/>
      <c r="BK138" s="42"/>
      <c r="BL138" s="42"/>
      <c r="BM138" s="42"/>
      <c r="BN138" s="42"/>
    </row>
    <row r="139" spans="1:66" ht="12.75" customHeight="1" x14ac:dyDescent="0.2">
      <c r="A139" s="1" t="s">
        <v>36</v>
      </c>
      <c r="B139" s="4">
        <f>_xll.ciqfunctions.udf.CIQ(InputTicker, "IQ_NET_RENTAL_EXP_FN",Input!D$2,Date,,,Ccy,Conv)</f>
        <v>936</v>
      </c>
      <c r="C139" s="4">
        <f>_xll.ciqfunctions.udf.CIQ(InputTicker, "IQ_NET_RENTAL_EXP_FN",Input!E$2,Date,,,Ccy,Conv)</f>
        <v>1412</v>
      </c>
      <c r="D139" s="4">
        <f>_xll.ciqfunctions.udf.CIQ(InputTicker, "IQ_NET_RENTAL_EXP_FN",Input!F$2,Date,,,Ccy,Conv)</f>
        <v>1585</v>
      </c>
      <c r="E139" s="4">
        <f>_xll.ciqfunctions.udf.CIQ(InputTicker, "IQ_NET_RENTAL_EXP_FN",Input!G$2,Date,,,Ccy,Conv)</f>
        <v>1707</v>
      </c>
      <c r="F139" s="4">
        <f>_xll.ciqfunctions.udf.CIQ(InputTicker, "IQ_NET_RENTAL_EXP_FN",Input!H$2,Date,,,Ccy,Conv)</f>
        <v>2043</v>
      </c>
      <c r="G139" s="4">
        <f>_xll.ciqfunctions.udf.CIQ(InputTicker, "IQ_NET_RENTAL_EXP_FN",Input!I$2,Date,,,Ccy,Conv)</f>
        <v>2127</v>
      </c>
      <c r="H139" s="4">
        <f>_xll.ciqfunctions.udf.CIQ(InputTicker, "IQ_NET_RENTAL_EXP_FN",Input!J$2,Date,,,Ccy,Conv)</f>
        <v>2461</v>
      </c>
      <c r="I139" s="4">
        <f>_xll.ciqfunctions.udf.CIQ(InputTicker, "IQ_NET_RENTAL_EXP_FN",Input!K$2,Date,,,Ccy,Conv)</f>
        <v>2875</v>
      </c>
      <c r="J139" s="4">
        <f>_xll.ciqfunctions.udf.CIQ(InputTicker, "IQ_NET_RENTAL_EXP_FN",Input!L$2,Date,,,Ccy,Conv)</f>
        <v>3555</v>
      </c>
      <c r="K139" s="4">
        <f>_xll.ciqfunctions.udf.CIQ(InputTicker, "IQ_NET_RENTAL_EXP_FN",Input!M$2,Date,,,Ccy,Conv)</f>
        <v>5524</v>
      </c>
      <c r="L139" s="4">
        <f>_xll.ciqfunctions.udf.CIQ(InputTicker, "IQ_NET_RENTAL_EXP_FN",Input!N$2,Date,,,Ccy,Conv)</f>
        <v>6968</v>
      </c>
      <c r="M139" s="4">
        <f>_xll.ciqfunctions.udf.CIQ(InputTicker, "IQ_NET_RENTAL_EXP_FN",Input!O$2,Date,,,Ccy,Conv)</f>
        <v>6968</v>
      </c>
      <c r="N139" s="49"/>
      <c r="P139" s="51"/>
      <c r="Q139" s="51"/>
      <c r="R139" s="51"/>
      <c r="T139" s="42"/>
      <c r="U139" s="42"/>
      <c r="V139" s="51"/>
      <c r="W139" s="42"/>
      <c r="X139" s="42"/>
      <c r="Y139" s="42"/>
      <c r="Z139" s="42"/>
      <c r="AA139" s="42"/>
      <c r="AB139" s="42"/>
      <c r="AC139" s="42"/>
      <c r="AD139" s="42"/>
      <c r="AE139" s="42"/>
      <c r="AF139" s="42"/>
      <c r="AG139" s="42"/>
      <c r="AH139" s="42"/>
      <c r="AI139" s="42"/>
      <c r="AJ139" s="42"/>
      <c r="AK139" s="42"/>
      <c r="AL139" s="42"/>
      <c r="AM139" s="42"/>
      <c r="AN139" s="42"/>
      <c r="AO139" s="42"/>
      <c r="AP139" s="42"/>
      <c r="AQ139" s="42"/>
      <c r="AR139" s="42"/>
      <c r="AS139" s="42"/>
      <c r="AT139" s="42"/>
      <c r="AU139" s="42"/>
      <c r="AV139" s="42"/>
      <c r="AW139" s="42"/>
      <c r="AX139" s="42"/>
      <c r="AY139" s="42"/>
      <c r="AZ139" s="42"/>
      <c r="BA139" s="42"/>
      <c r="BB139" s="42"/>
      <c r="BC139" s="42"/>
      <c r="BD139" s="42"/>
      <c r="BE139" s="42"/>
      <c r="BF139" s="42"/>
      <c r="BG139" s="42"/>
      <c r="BH139" s="42"/>
      <c r="BI139" s="42"/>
      <c r="BJ139" s="42"/>
      <c r="BK139" s="42"/>
      <c r="BL139" s="42"/>
      <c r="BM139" s="42"/>
      <c r="BN139" s="42"/>
    </row>
    <row r="140" spans="1:66" ht="12.75" customHeight="1" x14ac:dyDescent="0.2">
      <c r="A140" s="1" t="s">
        <v>37</v>
      </c>
      <c r="B140" s="4">
        <f>_xll.ciqfunctions.udf.CIQ(InputTicker, "IQ_NET_RENTAL_EXP",Input!D$2,Date,,,Ccy,Conv)</f>
        <v>0</v>
      </c>
      <c r="C140" s="4">
        <f>_xll.ciqfunctions.udf.CIQ(InputTicker, "IQ_NET_RENTAL_EXP",Input!E$2,Date,,,Ccy,Conv)</f>
        <v>0</v>
      </c>
      <c r="D140" s="4">
        <f>_xll.ciqfunctions.udf.CIQ(InputTicker, "IQ_NET_RENTAL_EXP",Input!F$2,Date,,,Ccy,Conv)</f>
        <v>0</v>
      </c>
      <c r="E140" s="4">
        <f>_xll.ciqfunctions.udf.CIQ(InputTicker, "IQ_NET_RENTAL_EXP",Input!G$2,Date,,,Ccy,Conv)</f>
        <v>0</v>
      </c>
      <c r="F140" s="4">
        <f>_xll.ciqfunctions.udf.CIQ(InputTicker, "IQ_NET_RENTAL_EXP",Input!H$2,Date,,,Ccy,Conv)</f>
        <v>0</v>
      </c>
      <c r="G140" s="4">
        <f>_xll.ciqfunctions.udf.CIQ(InputTicker, "IQ_NET_RENTAL_EXP",Input!I$2,Date,,,Ccy,Conv)</f>
        <v>0</v>
      </c>
      <c r="H140" s="4">
        <f>_xll.ciqfunctions.udf.CIQ(InputTicker, "IQ_NET_RENTAL_EXP",Input!J$2,Date,,,Ccy,Conv)</f>
        <v>0</v>
      </c>
      <c r="I140" s="4">
        <f>_xll.ciqfunctions.udf.CIQ(InputTicker, "IQ_NET_RENTAL_EXP",Input!K$2,Date,,,Ccy,Conv)</f>
        <v>0</v>
      </c>
      <c r="J140" s="4">
        <f>_xll.ciqfunctions.udf.CIQ(InputTicker, "IQ_NET_RENTAL_EXP",Input!L$2,Date,,,Ccy,Conv)</f>
        <v>0</v>
      </c>
      <c r="K140" s="4">
        <f>_xll.ciqfunctions.udf.CIQ(InputTicker, "IQ_NET_RENTAL_EXP",Input!M$2,Date,,,Ccy,Conv)</f>
        <v>0</v>
      </c>
      <c r="L140" s="4">
        <f>_xll.ciqfunctions.udf.CIQ(InputTicker, "IQ_NET_RENTAL_EXP",Input!N$2,Date,,,Ccy,Conv)</f>
        <v>0</v>
      </c>
      <c r="M140" s="4">
        <f>_xll.ciqfunctions.udf.CIQ(InputTicker, "IQ_NET_RENTAL_EXP",Input!O$2,Date,,,Ccy,Conv)</f>
        <v>0</v>
      </c>
      <c r="N140" s="49"/>
      <c r="P140" s="51"/>
      <c r="Q140" s="51"/>
      <c r="R140" s="51"/>
      <c r="T140" s="42"/>
      <c r="U140" s="42"/>
      <c r="V140" s="51"/>
      <c r="W140" s="42"/>
      <c r="X140" s="42"/>
      <c r="Y140" s="42"/>
      <c r="Z140" s="42"/>
      <c r="AA140" s="42"/>
      <c r="AB140" s="42"/>
      <c r="AC140" s="42"/>
      <c r="AD140" s="42"/>
      <c r="AE140" s="42"/>
      <c r="AF140" s="42"/>
      <c r="AG140" s="42"/>
      <c r="AH140" s="42"/>
      <c r="AI140" s="42"/>
      <c r="AJ140" s="42"/>
      <c r="AK140" s="42"/>
      <c r="AL140" s="42"/>
      <c r="AM140" s="42"/>
      <c r="AN140" s="42"/>
      <c r="AO140" s="42"/>
      <c r="AP140" s="42"/>
      <c r="AQ140" s="42"/>
      <c r="AR140" s="42"/>
      <c r="AS140" s="42"/>
      <c r="AT140" s="42"/>
      <c r="AU140" s="42"/>
      <c r="AV140" s="42"/>
      <c r="AW140" s="42"/>
      <c r="AX140" s="42"/>
      <c r="AY140" s="42"/>
      <c r="AZ140" s="42"/>
      <c r="BA140" s="42"/>
      <c r="BB140" s="42"/>
      <c r="BC140" s="42"/>
      <c r="BD140" s="42"/>
      <c r="BE140" s="42"/>
      <c r="BF140" s="42"/>
      <c r="BG140" s="42"/>
      <c r="BH140" s="42"/>
      <c r="BI140" s="42"/>
      <c r="BJ140" s="42"/>
      <c r="BK140" s="42"/>
      <c r="BL140" s="42"/>
      <c r="BM140" s="42"/>
      <c r="BN140" s="42"/>
    </row>
    <row r="141" spans="1:66" ht="12.75" customHeight="1" x14ac:dyDescent="0.2">
      <c r="A141" s="1" t="s">
        <v>38</v>
      </c>
      <c r="B141" s="4">
        <f>_xll.ciqfunctions.udf.CIQ(InputTicker, "IQ_NET_RENTAL_EXP_SUPPLE",Input!D$2,Date,,,Ccy,Conv)</f>
        <v>936</v>
      </c>
      <c r="C141" s="4">
        <f>_xll.ciqfunctions.udf.CIQ(InputTicker, "IQ_NET_RENTAL_EXP_SUPPLE",Input!E$2,Date,,,Ccy,Conv)</f>
        <v>1412</v>
      </c>
      <c r="D141" s="4">
        <f>_xll.ciqfunctions.udf.CIQ(InputTicker, "IQ_NET_RENTAL_EXP_SUPPLE",Input!F$2,Date,,,Ccy,Conv)</f>
        <v>1585</v>
      </c>
      <c r="E141" s="4">
        <f>_xll.ciqfunctions.udf.CIQ(InputTicker, "IQ_NET_RENTAL_EXP_SUPPLE",Input!G$2,Date,,,Ccy,Conv)</f>
        <v>1707</v>
      </c>
      <c r="F141" s="4">
        <f>_xll.ciqfunctions.udf.CIQ(InputTicker, "IQ_NET_RENTAL_EXP_SUPPLE",Input!H$2,Date,,,Ccy,Conv)</f>
        <v>2043</v>
      </c>
      <c r="G141" s="4">
        <f>_xll.ciqfunctions.udf.CIQ(InputTicker, "IQ_NET_RENTAL_EXP_SUPPLE",Input!I$2,Date,,,Ccy,Conv)</f>
        <v>2127</v>
      </c>
      <c r="H141" s="4">
        <f>_xll.ciqfunctions.udf.CIQ(InputTicker, "IQ_NET_RENTAL_EXP_SUPPLE",Input!J$2,Date,,,Ccy,Conv)</f>
        <v>2461</v>
      </c>
      <c r="I141" s="4">
        <f>_xll.ciqfunctions.udf.CIQ(InputTicker, "IQ_NET_RENTAL_EXP_SUPPLE",Input!K$2,Date,,,Ccy,Conv)</f>
        <v>2875</v>
      </c>
      <c r="J141" s="4">
        <f>_xll.ciqfunctions.udf.CIQ(InputTicker, "IQ_NET_RENTAL_EXP_SUPPLE",Input!L$2,Date,,,Ccy,Conv)</f>
        <v>3555</v>
      </c>
      <c r="K141" s="4">
        <f>_xll.ciqfunctions.udf.CIQ(InputTicker, "IQ_NET_RENTAL_EXP_SUPPLE",Input!M$2,Date,,,Ccy,Conv)</f>
        <v>5524</v>
      </c>
      <c r="L141" s="4">
        <f>_xll.ciqfunctions.udf.CIQ(InputTicker, "IQ_NET_RENTAL_EXP_SUPPLE",Input!N$2,Date,,,Ccy,Conv)</f>
        <v>6968</v>
      </c>
      <c r="M141" s="4">
        <f>_xll.ciqfunctions.udf.CIQ(InputTicker, "IQ_NET_RENTAL_EXP_SUPPLE",Input!O$2,Date,,,Ccy,Conv)</f>
        <v>6968</v>
      </c>
      <c r="N141" s="49"/>
      <c r="P141" s="51"/>
      <c r="Q141" s="51"/>
      <c r="R141" s="51"/>
      <c r="T141" s="42"/>
      <c r="U141" s="42"/>
      <c r="V141" s="51"/>
      <c r="W141" s="42"/>
      <c r="X141" s="42"/>
      <c r="Y141" s="42"/>
      <c r="Z141" s="42"/>
      <c r="AA141" s="42"/>
      <c r="AB141" s="42"/>
      <c r="AC141" s="42"/>
      <c r="AD141" s="42"/>
      <c r="AE141" s="42"/>
      <c r="AF141" s="42"/>
      <c r="AG141" s="42"/>
      <c r="AH141" s="42"/>
      <c r="AI141" s="42"/>
      <c r="AJ141" s="42"/>
      <c r="AK141" s="42"/>
      <c r="AL141" s="42"/>
      <c r="AM141" s="42"/>
      <c r="AN141" s="42"/>
      <c r="AO141" s="42"/>
      <c r="AP141" s="42"/>
      <c r="AQ141" s="42"/>
      <c r="AR141" s="42"/>
      <c r="AS141" s="42"/>
      <c r="AT141" s="42"/>
      <c r="AU141" s="42"/>
      <c r="AV141" s="42"/>
      <c r="AW141" s="42"/>
      <c r="AX141" s="42"/>
      <c r="AY141" s="42"/>
      <c r="AZ141" s="42"/>
      <c r="BA141" s="42"/>
      <c r="BB141" s="42"/>
      <c r="BC141" s="42"/>
      <c r="BD141" s="42"/>
      <c r="BE141" s="42"/>
      <c r="BF141" s="42"/>
      <c r="BG141" s="42"/>
      <c r="BH141" s="42"/>
      <c r="BI141" s="42"/>
      <c r="BJ141" s="42"/>
      <c r="BK141" s="42"/>
      <c r="BL141" s="42"/>
      <c r="BM141" s="42"/>
      <c r="BN141" s="42"/>
    </row>
    <row r="142" spans="1:66" ht="12.75" customHeight="1" x14ac:dyDescent="0.2">
      <c r="A142" s="1" t="s">
        <v>7</v>
      </c>
      <c r="B142" s="4">
        <f>_xll.ciqfunctions.udf.CIQ(InputTicker, "IQ_CONTINGENT_RENTAL",Input!D$2,Date,,,Ccy,Conv)</f>
        <v>0</v>
      </c>
      <c r="C142" s="4">
        <f>_xll.ciqfunctions.udf.CIQ(InputTicker, "IQ_CONTINGENT_RENTAL",Input!E$2,Date,,,Ccy,Conv)</f>
        <v>0</v>
      </c>
      <c r="D142" s="4">
        <f>_xll.ciqfunctions.udf.CIQ(InputTicker, "IQ_CONTINGENT_RENTAL",Input!F$2,Date,,,Ccy,Conv)</f>
        <v>0</v>
      </c>
      <c r="E142" s="4">
        <f>_xll.ciqfunctions.udf.CIQ(InputTicker, "IQ_CONTINGENT_RENTAL",Input!G$2,Date,,,Ccy,Conv)</f>
        <v>0</v>
      </c>
      <c r="F142" s="4">
        <f>_xll.ciqfunctions.udf.CIQ(InputTicker, "IQ_CONTINGENT_RENTAL",Input!H$2,Date,,,Ccy,Conv)</f>
        <v>0</v>
      </c>
      <c r="G142" s="4">
        <f>_xll.ciqfunctions.udf.CIQ(InputTicker, "IQ_CONTINGENT_RENTAL",Input!I$2,Date,,,Ccy,Conv)</f>
        <v>0</v>
      </c>
      <c r="H142" s="4">
        <f>_xll.ciqfunctions.udf.CIQ(InputTicker, "IQ_CONTINGENT_RENTAL",Input!J$2,Date,,,Ccy,Conv)</f>
        <v>0</v>
      </c>
      <c r="I142" s="4">
        <f>_xll.ciqfunctions.udf.CIQ(InputTicker, "IQ_CONTINGENT_RENTAL",Input!K$2,Date,,,Ccy,Conv)</f>
        <v>0</v>
      </c>
      <c r="J142" s="4">
        <f>_xll.ciqfunctions.udf.CIQ(InputTicker, "IQ_CONTINGENT_RENTAL",Input!L$2,Date,,,Ccy,Conv)</f>
        <v>0</v>
      </c>
      <c r="K142" s="4">
        <f>_xll.ciqfunctions.udf.CIQ(InputTicker, "IQ_CONTINGENT_RENTAL",Input!M$2,Date,,,Ccy,Conv)</f>
        <v>0</v>
      </c>
      <c r="L142" s="4">
        <f>_xll.ciqfunctions.udf.CIQ(InputTicker, "IQ_CONTINGENT_RENTAL",Input!N$2,Date,,,Ccy,Conv)</f>
        <v>0</v>
      </c>
      <c r="M142" s="4">
        <f>_xll.ciqfunctions.udf.CIQ(InputTicker, "IQ_CONTINGENT_RENTAL",Input!O$2,Date,,,Ccy,Conv)</f>
        <v>0</v>
      </c>
      <c r="N142" s="49"/>
      <c r="P142" s="51"/>
      <c r="Q142" s="51"/>
      <c r="R142" s="51"/>
      <c r="T142" s="42"/>
      <c r="U142" s="42"/>
      <c r="V142" s="51"/>
      <c r="W142" s="42"/>
      <c r="X142" s="42"/>
      <c r="Y142" s="42"/>
      <c r="Z142" s="42"/>
      <c r="AA142" s="42"/>
      <c r="AB142" s="42"/>
      <c r="AC142" s="42"/>
      <c r="AD142" s="42"/>
      <c r="AE142" s="42"/>
      <c r="AF142" s="42"/>
      <c r="AG142" s="42"/>
      <c r="AH142" s="42"/>
      <c r="AI142" s="42"/>
      <c r="AJ142" s="42"/>
      <c r="AK142" s="42"/>
      <c r="AL142" s="42"/>
      <c r="AM142" s="42"/>
      <c r="AN142" s="42"/>
      <c r="AO142" s="42"/>
      <c r="AP142" s="42"/>
      <c r="AQ142" s="42"/>
      <c r="AR142" s="42"/>
      <c r="AS142" s="42"/>
      <c r="AT142" s="42"/>
      <c r="AU142" s="42"/>
      <c r="AV142" s="42"/>
      <c r="AW142" s="42"/>
      <c r="AX142" s="42"/>
      <c r="AY142" s="42"/>
      <c r="AZ142" s="42"/>
      <c r="BA142" s="42"/>
      <c r="BB142" s="42"/>
      <c r="BC142" s="42"/>
      <c r="BD142" s="42"/>
      <c r="BE142" s="42"/>
      <c r="BF142" s="42"/>
      <c r="BG142" s="42"/>
      <c r="BH142" s="42"/>
      <c r="BI142" s="42"/>
      <c r="BJ142" s="42"/>
      <c r="BK142" s="42"/>
      <c r="BL142" s="42"/>
      <c r="BM142" s="42"/>
      <c r="BN142" s="42"/>
    </row>
    <row r="143" spans="1:66" ht="12.75" customHeight="1" x14ac:dyDescent="0.2">
      <c r="A143" s="1" t="s">
        <v>29</v>
      </c>
      <c r="B143" s="4">
        <f>_xll.ciqfunctions.udf.CIQ(InputTicker, "IQ_MINIMUM_RENTAL",Input!D$2,Date,,,Ccy,Conv)</f>
        <v>0</v>
      </c>
      <c r="C143" s="4">
        <f>_xll.ciqfunctions.udf.CIQ(InputTicker, "IQ_MINIMUM_RENTAL",Input!E$2,Date,,,Ccy,Conv)</f>
        <v>0</v>
      </c>
      <c r="D143" s="4">
        <f>_xll.ciqfunctions.udf.CIQ(InputTicker, "IQ_MINIMUM_RENTAL",Input!F$2,Date,,,Ccy,Conv)</f>
        <v>0</v>
      </c>
      <c r="E143" s="4">
        <f>_xll.ciqfunctions.udf.CIQ(InputTicker, "IQ_MINIMUM_RENTAL",Input!G$2,Date,,,Ccy,Conv)</f>
        <v>0</v>
      </c>
      <c r="F143" s="4">
        <f>_xll.ciqfunctions.udf.CIQ(InputTicker, "IQ_MINIMUM_RENTAL",Input!H$2,Date,,,Ccy,Conv)</f>
        <v>0</v>
      </c>
      <c r="G143" s="4">
        <f>_xll.ciqfunctions.udf.CIQ(InputTicker, "IQ_MINIMUM_RENTAL",Input!I$2,Date,,,Ccy,Conv)</f>
        <v>0</v>
      </c>
      <c r="H143" s="4">
        <f>_xll.ciqfunctions.udf.CIQ(InputTicker, "IQ_MINIMUM_RENTAL",Input!J$2,Date,,,Ccy,Conv)</f>
        <v>0</v>
      </c>
      <c r="I143" s="4">
        <f>_xll.ciqfunctions.udf.CIQ(InputTicker, "IQ_MINIMUM_RENTAL",Input!K$2,Date,,,Ccy,Conv)</f>
        <v>0</v>
      </c>
      <c r="J143" s="4">
        <f>_xll.ciqfunctions.udf.CIQ(InputTicker, "IQ_MINIMUM_RENTAL",Input!L$2,Date,,,Ccy,Conv)</f>
        <v>0</v>
      </c>
      <c r="K143" s="4">
        <f>_xll.ciqfunctions.udf.CIQ(InputTicker, "IQ_MINIMUM_RENTAL",Input!M$2,Date,,,Ccy,Conv)</f>
        <v>0</v>
      </c>
      <c r="L143" s="4">
        <f>_xll.ciqfunctions.udf.CIQ(InputTicker, "IQ_MINIMUM_RENTAL",Input!N$2,Date,,,Ccy,Conv)</f>
        <v>0</v>
      </c>
      <c r="M143" s="4">
        <f>_xll.ciqfunctions.udf.CIQ(InputTicker, "IQ_MINIMUM_RENTAL",Input!O$2,Date,,,Ccy,Conv)</f>
        <v>0</v>
      </c>
      <c r="N143" s="49"/>
      <c r="P143" s="51"/>
      <c r="Q143" s="51"/>
      <c r="R143" s="51"/>
      <c r="T143" s="42"/>
      <c r="U143" s="42"/>
      <c r="V143" s="51"/>
      <c r="W143" s="42"/>
      <c r="X143" s="42"/>
      <c r="Y143" s="42"/>
      <c r="Z143" s="42"/>
      <c r="AA143" s="42"/>
      <c r="AB143" s="42"/>
      <c r="AC143" s="42"/>
      <c r="AD143" s="42"/>
      <c r="AE143" s="42"/>
      <c r="AF143" s="42"/>
      <c r="AG143" s="42"/>
      <c r="AH143" s="42"/>
      <c r="AI143" s="42"/>
      <c r="AJ143" s="42"/>
      <c r="AK143" s="42"/>
      <c r="AL143" s="42"/>
      <c r="AM143" s="42"/>
      <c r="AN143" s="42"/>
      <c r="AO143" s="42"/>
      <c r="AP143" s="42"/>
      <c r="AQ143" s="42"/>
      <c r="AR143" s="42"/>
      <c r="AS143" s="42"/>
      <c r="AT143" s="42"/>
      <c r="AU143" s="42"/>
      <c r="AV143" s="42"/>
      <c r="AW143" s="42"/>
      <c r="AX143" s="42"/>
      <c r="AY143" s="42"/>
      <c r="AZ143" s="42"/>
      <c r="BA143" s="42"/>
      <c r="BB143" s="42"/>
      <c r="BC143" s="42"/>
      <c r="BD143" s="42"/>
      <c r="BE143" s="42"/>
      <c r="BF143" s="42"/>
      <c r="BG143" s="42"/>
      <c r="BH143" s="42"/>
      <c r="BI143" s="42"/>
      <c r="BJ143" s="42"/>
      <c r="BK143" s="42"/>
      <c r="BL143" s="42"/>
      <c r="BM143" s="42"/>
      <c r="BN143" s="42"/>
    </row>
    <row r="144" spans="1:66" ht="12.75" customHeight="1" x14ac:dyDescent="0.2">
      <c r="A144" s="1" t="s">
        <v>30</v>
      </c>
      <c r="B144" s="4">
        <f>_xll.ciqfunctions.udf.CIQ(InputTicker, "IQ_OTHER_RENTAL",Input!D$2,Date,,,Ccy,Conv)</f>
        <v>0</v>
      </c>
      <c r="C144" s="4">
        <f>_xll.ciqfunctions.udf.CIQ(InputTicker, "IQ_OTHER_RENTAL",Input!E$2,Date,,,Ccy,Conv)</f>
        <v>0</v>
      </c>
      <c r="D144" s="4">
        <f>_xll.ciqfunctions.udf.CIQ(InputTicker, "IQ_OTHER_RENTAL",Input!F$2,Date,,,Ccy,Conv)</f>
        <v>0</v>
      </c>
      <c r="E144" s="4">
        <f>_xll.ciqfunctions.udf.CIQ(InputTicker, "IQ_OTHER_RENTAL",Input!G$2,Date,,,Ccy,Conv)</f>
        <v>0</v>
      </c>
      <c r="F144" s="4">
        <f>_xll.ciqfunctions.udf.CIQ(InputTicker, "IQ_OTHER_RENTAL",Input!H$2,Date,,,Ccy,Conv)</f>
        <v>0</v>
      </c>
      <c r="G144" s="4">
        <f>_xll.ciqfunctions.udf.CIQ(InputTicker, "IQ_OTHER_RENTAL",Input!I$2,Date,,,Ccy,Conv)</f>
        <v>0</v>
      </c>
      <c r="H144" s="4">
        <f>_xll.ciqfunctions.udf.CIQ(InputTicker, "IQ_OTHER_RENTAL",Input!J$2,Date,,,Ccy,Conv)</f>
        <v>0</v>
      </c>
      <c r="I144" s="4">
        <f>_xll.ciqfunctions.udf.CIQ(InputTicker, "IQ_OTHER_RENTAL",Input!K$2,Date,,,Ccy,Conv)</f>
        <v>0</v>
      </c>
      <c r="J144" s="4">
        <f>_xll.ciqfunctions.udf.CIQ(InputTicker, "IQ_OTHER_RENTAL",Input!L$2,Date,,,Ccy,Conv)</f>
        <v>0</v>
      </c>
      <c r="K144" s="4">
        <f>_xll.ciqfunctions.udf.CIQ(InputTicker, "IQ_OTHER_RENTAL",Input!M$2,Date,,,Ccy,Conv)</f>
        <v>0</v>
      </c>
      <c r="L144" s="4">
        <f>_xll.ciqfunctions.udf.CIQ(InputTicker, "IQ_OTHER_RENTAL",Input!N$2,Date,,,Ccy,Conv)</f>
        <v>0</v>
      </c>
      <c r="M144" s="4">
        <f>_xll.ciqfunctions.udf.CIQ(InputTicker, "IQ_OTHER_RENTAL",Input!O$2,Date,,,Ccy,Conv)</f>
        <v>0</v>
      </c>
      <c r="N144" s="49"/>
      <c r="P144" s="51"/>
      <c r="Q144" s="51"/>
      <c r="R144" s="51"/>
      <c r="T144" s="42"/>
      <c r="U144" s="42"/>
      <c r="V144" s="51"/>
      <c r="W144" s="42"/>
      <c r="X144" s="42"/>
      <c r="Y144" s="42"/>
      <c r="Z144" s="42"/>
      <c r="AA144" s="42"/>
      <c r="AB144" s="42"/>
      <c r="AC144" s="42"/>
      <c r="AD144" s="42"/>
      <c r="AE144" s="42"/>
      <c r="AF144" s="42"/>
      <c r="AG144" s="42"/>
      <c r="AH144" s="42"/>
      <c r="AI144" s="42"/>
      <c r="AJ144" s="42"/>
      <c r="AK144" s="42"/>
      <c r="AL144" s="42"/>
      <c r="AM144" s="42"/>
      <c r="AN144" s="42"/>
      <c r="AO144" s="42"/>
      <c r="AP144" s="42"/>
      <c r="AQ144" s="42"/>
      <c r="AR144" s="42"/>
      <c r="AS144" s="42"/>
      <c r="AT144" s="42"/>
      <c r="AU144" s="42"/>
      <c r="AV144" s="42"/>
      <c r="AW144" s="42"/>
      <c r="AX144" s="42"/>
      <c r="AY144" s="42"/>
      <c r="AZ144" s="42"/>
      <c r="BA144" s="42"/>
      <c r="BB144" s="42"/>
      <c r="BC144" s="42"/>
      <c r="BD144" s="42"/>
      <c r="BE144" s="42"/>
      <c r="BF144" s="42"/>
      <c r="BG144" s="42"/>
      <c r="BH144" s="42"/>
      <c r="BI144" s="42"/>
      <c r="BJ144" s="42"/>
      <c r="BK144" s="42"/>
      <c r="BL144" s="42"/>
      <c r="BM144" s="42"/>
      <c r="BN144" s="42"/>
    </row>
    <row r="145" spans="1:66" ht="12.75" customHeight="1" x14ac:dyDescent="0.2">
      <c r="A145" s="1" t="s">
        <v>17</v>
      </c>
      <c r="B145" s="4">
        <f>_xll.ciqfunctions.udf.CIQ(InputTicker, "IQ_AIRCRAFT_RENT",Input!D$2,Date,,,Ccy,Conv)</f>
        <v>0</v>
      </c>
      <c r="C145" s="4">
        <f>_xll.ciqfunctions.udf.CIQ(InputTicker, "IQ_AIRCRAFT_RENT",Input!E$2,Date,,,Ccy,Conv)</f>
        <v>0</v>
      </c>
      <c r="D145" s="4">
        <f>_xll.ciqfunctions.udf.CIQ(InputTicker, "IQ_AIRCRAFT_RENT",Input!F$2,Date,,,Ccy,Conv)</f>
        <v>0</v>
      </c>
      <c r="E145" s="4">
        <f>_xll.ciqfunctions.udf.CIQ(InputTicker, "IQ_AIRCRAFT_RENT",Input!G$2,Date,,,Ccy,Conv)</f>
        <v>0</v>
      </c>
      <c r="F145" s="4">
        <f>_xll.ciqfunctions.udf.CIQ(InputTicker, "IQ_AIRCRAFT_RENT",Input!H$2,Date,,,Ccy,Conv)</f>
        <v>0</v>
      </c>
      <c r="G145" s="4">
        <f>_xll.ciqfunctions.udf.CIQ(InputTicker, "IQ_AIRCRAFT_RENT",Input!I$2,Date,,,Ccy,Conv)</f>
        <v>0</v>
      </c>
      <c r="H145" s="4">
        <f>_xll.ciqfunctions.udf.CIQ(InputTicker, "IQ_AIRCRAFT_RENT",Input!J$2,Date,,,Ccy,Conv)</f>
        <v>0</v>
      </c>
      <c r="I145" s="4">
        <f>_xll.ciqfunctions.udf.CIQ(InputTicker, "IQ_AIRCRAFT_RENT",Input!K$2,Date,,,Ccy,Conv)</f>
        <v>0</v>
      </c>
      <c r="J145" s="4">
        <f>_xll.ciqfunctions.udf.CIQ(InputTicker, "IQ_AIRCRAFT_RENT",Input!L$2,Date,,,Ccy,Conv)</f>
        <v>0</v>
      </c>
      <c r="K145" s="4">
        <f>_xll.ciqfunctions.udf.CIQ(InputTicker, "IQ_AIRCRAFT_RENT",Input!M$2,Date,,,Ccy,Conv)</f>
        <v>0</v>
      </c>
      <c r="L145" s="4">
        <f>_xll.ciqfunctions.udf.CIQ(InputTicker, "IQ_AIRCRAFT_RENT",Input!N$2,Date,,,Ccy,Conv)</f>
        <v>0</v>
      </c>
      <c r="M145" s="4">
        <f>_xll.ciqfunctions.udf.CIQ(InputTicker, "IQ_AIRCRAFT_RENT",Input!O$2,Date,,,Ccy,Conv)</f>
        <v>0</v>
      </c>
      <c r="N145" s="49"/>
      <c r="P145" s="51"/>
      <c r="Q145" s="51"/>
      <c r="R145" s="51"/>
      <c r="T145" s="42"/>
      <c r="U145" s="42"/>
      <c r="V145" s="51"/>
      <c r="W145" s="42"/>
      <c r="X145" s="42"/>
      <c r="Y145" s="42"/>
      <c r="Z145" s="42"/>
      <c r="AA145" s="42"/>
      <c r="AB145" s="42"/>
      <c r="AC145" s="42"/>
      <c r="AD145" s="42"/>
      <c r="AE145" s="42"/>
      <c r="AF145" s="42"/>
      <c r="AG145" s="42"/>
      <c r="AH145" s="42"/>
      <c r="AI145" s="42"/>
      <c r="AJ145" s="42"/>
      <c r="AK145" s="42"/>
      <c r="AL145" s="42"/>
      <c r="AM145" s="42"/>
      <c r="AN145" s="42"/>
      <c r="AO145" s="42"/>
      <c r="AP145" s="42"/>
      <c r="AQ145" s="42"/>
      <c r="AR145" s="42"/>
      <c r="AS145" s="42"/>
      <c r="AT145" s="42"/>
      <c r="AU145" s="42"/>
      <c r="AV145" s="42"/>
      <c r="AW145" s="42"/>
      <c r="AX145" s="42"/>
      <c r="AY145" s="42"/>
      <c r="AZ145" s="42"/>
      <c r="BA145" s="42"/>
      <c r="BB145" s="42"/>
      <c r="BC145" s="42"/>
      <c r="BD145" s="42"/>
      <c r="BE145" s="42"/>
      <c r="BF145" s="42"/>
      <c r="BG145" s="42"/>
      <c r="BH145" s="42"/>
      <c r="BI145" s="42"/>
      <c r="BJ145" s="42"/>
      <c r="BK145" s="42"/>
      <c r="BL145" s="42"/>
      <c r="BM145" s="42"/>
      <c r="BN145" s="42"/>
    </row>
    <row r="146" spans="1:66" ht="12.75" customHeight="1" x14ac:dyDescent="0.2">
      <c r="A146" s="1" t="s">
        <v>31</v>
      </c>
      <c r="B146" s="4">
        <f>_xll.ciqfunctions.udf.CIQ(InputTicker, "IQ_DEPRECIATION_RENTAL_ASSETS",Input!D$2,Date,,,Ccy,Conv)</f>
        <v>0</v>
      </c>
      <c r="C146" s="4">
        <f>_xll.ciqfunctions.udf.CIQ(InputTicker, "IQ_DEPRECIATION_RENTAL_ASSETS",Input!E$2,Date,,,Ccy,Conv)</f>
        <v>0</v>
      </c>
      <c r="D146" s="4">
        <f>_xll.ciqfunctions.udf.CIQ(InputTicker, "IQ_DEPRECIATION_RENTAL_ASSETS",Input!F$2,Date,,,Ccy,Conv)</f>
        <v>0</v>
      </c>
      <c r="E146" s="4">
        <f>_xll.ciqfunctions.udf.CIQ(InputTicker, "IQ_DEPRECIATION_RENTAL_ASSETS",Input!G$2,Date,,,Ccy,Conv)</f>
        <v>0</v>
      </c>
      <c r="F146" s="4">
        <f>_xll.ciqfunctions.udf.CIQ(InputTicker, "IQ_DEPRECIATION_RENTAL_ASSETS",Input!H$2,Date,,,Ccy,Conv)</f>
        <v>0</v>
      </c>
      <c r="G146" s="4">
        <f>_xll.ciqfunctions.udf.CIQ(InputTicker, "IQ_DEPRECIATION_RENTAL_ASSETS",Input!I$2,Date,,,Ccy,Conv)</f>
        <v>0</v>
      </c>
      <c r="H146" s="4">
        <f>_xll.ciqfunctions.udf.CIQ(InputTicker, "IQ_DEPRECIATION_RENTAL_ASSETS",Input!J$2,Date,,,Ccy,Conv)</f>
        <v>0</v>
      </c>
      <c r="I146" s="4">
        <f>_xll.ciqfunctions.udf.CIQ(InputTicker, "IQ_DEPRECIATION_RENTAL_ASSETS",Input!K$2,Date,,,Ccy,Conv)</f>
        <v>0</v>
      </c>
      <c r="J146" s="4">
        <f>_xll.ciqfunctions.udf.CIQ(InputTicker, "IQ_DEPRECIATION_RENTAL_ASSETS",Input!L$2,Date,,,Ccy,Conv)</f>
        <v>0</v>
      </c>
      <c r="K146" s="4">
        <f>_xll.ciqfunctions.udf.CIQ(InputTicker, "IQ_DEPRECIATION_RENTAL_ASSETS",Input!M$2,Date,,,Ccy,Conv)</f>
        <v>0</v>
      </c>
      <c r="L146" s="4">
        <f>_xll.ciqfunctions.udf.CIQ(InputTicker, "IQ_DEPRECIATION_RENTAL_ASSETS",Input!N$2,Date,,,Ccy,Conv)</f>
        <v>0</v>
      </c>
      <c r="M146" s="4">
        <f>_xll.ciqfunctions.udf.CIQ(InputTicker, "IQ_DEPRECIATION_RENTAL_ASSETS",Input!O$2,Date,,,Ccy,Conv)</f>
        <v>0</v>
      </c>
      <c r="N146" s="49"/>
      <c r="P146" s="51"/>
      <c r="Q146" s="51"/>
      <c r="R146" s="51"/>
      <c r="T146" s="42"/>
      <c r="U146" s="42"/>
      <c r="V146" s="51"/>
      <c r="W146" s="42"/>
      <c r="X146" s="42"/>
      <c r="Y146" s="42"/>
      <c r="Z146" s="42"/>
      <c r="AA146" s="42"/>
      <c r="AB146" s="42"/>
      <c r="AC146" s="42"/>
      <c r="AD146" s="42"/>
      <c r="AE146" s="42"/>
      <c r="AF146" s="42"/>
      <c r="AG146" s="42"/>
      <c r="AH146" s="42"/>
      <c r="AI146" s="42"/>
      <c r="AJ146" s="42"/>
      <c r="AK146" s="42"/>
      <c r="AL146" s="42"/>
      <c r="AM146" s="42"/>
      <c r="AN146" s="42"/>
      <c r="AO146" s="42"/>
      <c r="AP146" s="42"/>
      <c r="AQ146" s="42"/>
      <c r="AR146" s="42"/>
      <c r="AS146" s="42"/>
      <c r="AT146" s="42"/>
      <c r="AU146" s="42"/>
      <c r="AV146" s="42"/>
      <c r="AW146" s="42"/>
      <c r="AX146" s="42"/>
      <c r="AY146" s="42"/>
      <c r="AZ146" s="42"/>
      <c r="BA146" s="42"/>
      <c r="BB146" s="42"/>
      <c r="BC146" s="42"/>
      <c r="BD146" s="42"/>
      <c r="BE146" s="42"/>
      <c r="BF146" s="42"/>
      <c r="BG146" s="42"/>
      <c r="BH146" s="42"/>
      <c r="BI146" s="42"/>
      <c r="BJ146" s="42"/>
      <c r="BK146" s="42"/>
      <c r="BL146" s="42"/>
      <c r="BM146" s="42"/>
      <c r="BN146" s="42"/>
    </row>
    <row r="147" spans="1:66" ht="12.75" customHeight="1" x14ac:dyDescent="0.2">
      <c r="A147" s="1" t="s">
        <v>406</v>
      </c>
      <c r="B147" s="4">
        <f>_xll.ciqfunctions.udf.CIQ(InputTicker, "IQ_EXPLORE_DRILL_EXP_TOTAL",Input!D$2,Date,,,Ccy,Conv)</f>
        <v>0</v>
      </c>
      <c r="C147" s="4">
        <f>_xll.ciqfunctions.udf.CIQ(InputTicker, "IQ_EXPLORE_DRILL_EXP_TOTAL",Input!E$2,Date,,,Ccy,Conv)</f>
        <v>0</v>
      </c>
      <c r="D147" s="4">
        <f>_xll.ciqfunctions.udf.CIQ(InputTicker, "IQ_EXPLORE_DRILL_EXP_TOTAL",Input!F$2,Date,,,Ccy,Conv)</f>
        <v>0</v>
      </c>
      <c r="E147" s="4">
        <f>_xll.ciqfunctions.udf.CIQ(InputTicker, "IQ_EXPLORE_DRILL_EXP_TOTAL",Input!G$2,Date,,,Ccy,Conv)</f>
        <v>0</v>
      </c>
      <c r="F147" s="4">
        <f>_xll.ciqfunctions.udf.CIQ(InputTicker, "IQ_EXPLORE_DRILL_EXP_TOTAL",Input!H$2,Date,,,Ccy,Conv)</f>
        <v>0</v>
      </c>
      <c r="G147" s="4">
        <f>_xll.ciqfunctions.udf.CIQ(InputTicker, "IQ_EXPLORE_DRILL_EXP_TOTAL",Input!I$2,Date,,,Ccy,Conv)</f>
        <v>0</v>
      </c>
      <c r="H147" s="4">
        <f>_xll.ciqfunctions.udf.CIQ(InputTicker, "IQ_EXPLORE_DRILL_EXP_TOTAL",Input!J$2,Date,,,Ccy,Conv)</f>
        <v>0</v>
      </c>
      <c r="I147" s="4">
        <f>_xll.ciqfunctions.udf.CIQ(InputTicker, "IQ_EXPLORE_DRILL_EXP_TOTAL",Input!K$2,Date,,,Ccy,Conv)</f>
        <v>0</v>
      </c>
      <c r="J147" s="4">
        <f>_xll.ciqfunctions.udf.CIQ(InputTicker, "IQ_EXPLORE_DRILL_EXP_TOTAL",Input!L$2,Date,,,Ccy,Conv)</f>
        <v>0</v>
      </c>
      <c r="K147" s="4">
        <f>_xll.ciqfunctions.udf.CIQ(InputTicker, "IQ_EXPLORE_DRILL_EXP_TOTAL",Input!M$2,Date,,,Ccy,Conv)</f>
        <v>0</v>
      </c>
      <c r="L147" s="4">
        <f>_xll.ciqfunctions.udf.CIQ(InputTicker, "IQ_EXPLORE_DRILL_EXP_TOTAL",Input!N$2,Date,,,Ccy,Conv)</f>
        <v>0</v>
      </c>
      <c r="M147" s="4">
        <f>_xll.ciqfunctions.udf.CIQ(InputTicker, "IQ_EXPLORE_DRILL_EXP_TOTAL",Input!O$2,Date,,,Ccy,Conv)</f>
        <v>0</v>
      </c>
      <c r="N147" s="49"/>
      <c r="P147" s="51"/>
      <c r="Q147" s="51"/>
      <c r="R147" s="51"/>
      <c r="T147" s="42"/>
      <c r="U147" s="42"/>
      <c r="V147" s="51"/>
      <c r="W147" s="42"/>
      <c r="X147" s="42"/>
      <c r="Y147" s="42"/>
      <c r="Z147" s="42"/>
      <c r="AA147" s="42"/>
      <c r="AB147" s="42"/>
      <c r="AC147" s="42"/>
      <c r="AD147" s="42"/>
      <c r="AE147" s="42"/>
      <c r="AF147" s="42"/>
      <c r="AG147" s="42"/>
      <c r="AH147" s="42"/>
      <c r="AI147" s="42"/>
      <c r="AJ147" s="42"/>
      <c r="AK147" s="42"/>
      <c r="AL147" s="42"/>
      <c r="AM147" s="42"/>
      <c r="AN147" s="42"/>
      <c r="AO147" s="42"/>
      <c r="AP147" s="42"/>
      <c r="AQ147" s="42"/>
      <c r="AR147" s="42"/>
      <c r="AS147" s="42"/>
      <c r="AT147" s="42"/>
      <c r="AU147" s="42"/>
      <c r="AV147" s="42"/>
      <c r="AW147" s="42"/>
      <c r="AX147" s="42"/>
      <c r="AY147" s="42"/>
      <c r="AZ147" s="42"/>
      <c r="BA147" s="42"/>
      <c r="BB147" s="42"/>
      <c r="BC147" s="42"/>
      <c r="BD147" s="42"/>
      <c r="BE147" s="42"/>
      <c r="BF147" s="42"/>
      <c r="BG147" s="42"/>
      <c r="BH147" s="42"/>
      <c r="BI147" s="42"/>
      <c r="BJ147" s="42"/>
      <c r="BK147" s="42"/>
      <c r="BL147" s="42"/>
      <c r="BM147" s="42"/>
      <c r="BN147" s="42"/>
    </row>
    <row r="148" spans="1:66" ht="12.75" customHeight="1" x14ac:dyDescent="0.2">
      <c r="A148" s="1" t="s">
        <v>333</v>
      </c>
      <c r="B148" s="4">
        <f>_xll.ciqfunctions.udf.CIQ(InputTicker, "IQ_MAINT_REPAIR",Input!D$2,Date,,,Ccy,Conv)</f>
        <v>0</v>
      </c>
      <c r="C148" s="4">
        <f>_xll.ciqfunctions.udf.CIQ(InputTicker, "IQ_MAINT_REPAIR",Input!E$2,Date,,,Ccy,Conv)</f>
        <v>0</v>
      </c>
      <c r="D148" s="4">
        <f>_xll.ciqfunctions.udf.CIQ(InputTicker, "IQ_MAINT_REPAIR",Input!F$2,Date,,,Ccy,Conv)</f>
        <v>0</v>
      </c>
      <c r="E148" s="4">
        <f>_xll.ciqfunctions.udf.CIQ(InputTicker, "IQ_MAINT_REPAIR",Input!G$2,Date,,,Ccy,Conv)</f>
        <v>0</v>
      </c>
      <c r="F148" s="4">
        <f>_xll.ciqfunctions.udf.CIQ(InputTicker, "IQ_MAINT_REPAIR",Input!H$2,Date,,,Ccy,Conv)</f>
        <v>0</v>
      </c>
      <c r="G148" s="4">
        <f>_xll.ciqfunctions.udf.CIQ(InputTicker, "IQ_MAINT_REPAIR",Input!I$2,Date,,,Ccy,Conv)</f>
        <v>0</v>
      </c>
      <c r="H148" s="4">
        <f>_xll.ciqfunctions.udf.CIQ(InputTicker, "IQ_MAINT_REPAIR",Input!J$2,Date,,,Ccy,Conv)</f>
        <v>0</v>
      </c>
      <c r="I148" s="4">
        <f>_xll.ciqfunctions.udf.CIQ(InputTicker, "IQ_MAINT_REPAIR",Input!K$2,Date,,,Ccy,Conv)</f>
        <v>0</v>
      </c>
      <c r="J148" s="4">
        <f>_xll.ciqfunctions.udf.CIQ(InputTicker, "IQ_MAINT_REPAIR",Input!L$2,Date,,,Ccy,Conv)</f>
        <v>0</v>
      </c>
      <c r="K148" s="4">
        <f>_xll.ciqfunctions.udf.CIQ(InputTicker, "IQ_MAINT_REPAIR",Input!M$2,Date,,,Ccy,Conv)</f>
        <v>0</v>
      </c>
      <c r="L148" s="4">
        <f>_xll.ciqfunctions.udf.CIQ(InputTicker, "IQ_MAINT_REPAIR",Input!N$2,Date,,,Ccy,Conv)</f>
        <v>0</v>
      </c>
      <c r="M148" s="4">
        <f>_xll.ciqfunctions.udf.CIQ(InputTicker, "IQ_MAINT_REPAIR",Input!O$2,Date,,,Ccy,Conv)</f>
        <v>0</v>
      </c>
      <c r="N148" s="49"/>
      <c r="P148" s="51"/>
      <c r="Q148" s="51"/>
      <c r="R148" s="51"/>
      <c r="T148" s="42"/>
      <c r="U148" s="42"/>
      <c r="V148" s="51"/>
      <c r="W148" s="42"/>
      <c r="X148" s="42"/>
      <c r="Y148" s="42"/>
      <c r="Z148" s="42"/>
      <c r="AA148" s="42"/>
      <c r="AB148" s="42"/>
      <c r="AC148" s="42"/>
      <c r="AD148" s="42"/>
      <c r="AE148" s="42"/>
      <c r="AF148" s="42"/>
      <c r="AG148" s="42"/>
      <c r="AH148" s="42"/>
      <c r="AI148" s="42"/>
      <c r="AJ148" s="42"/>
      <c r="AK148" s="42"/>
      <c r="AL148" s="42"/>
      <c r="AM148" s="42"/>
      <c r="AN148" s="42"/>
      <c r="AO148" s="42"/>
      <c r="AP148" s="42"/>
      <c r="AQ148" s="42"/>
      <c r="AR148" s="42"/>
      <c r="AS148" s="42"/>
      <c r="AT148" s="42"/>
      <c r="AU148" s="42"/>
      <c r="AV148" s="42"/>
      <c r="AW148" s="42"/>
      <c r="AX148" s="42"/>
      <c r="AY148" s="42"/>
      <c r="AZ148" s="42"/>
      <c r="BA148" s="42"/>
      <c r="BB148" s="42"/>
      <c r="BC148" s="42"/>
      <c r="BD148" s="42"/>
      <c r="BE148" s="42"/>
      <c r="BF148" s="42"/>
      <c r="BG148" s="42"/>
      <c r="BH148" s="42"/>
      <c r="BI148" s="42"/>
      <c r="BJ148" s="42"/>
      <c r="BK148" s="42"/>
      <c r="BL148" s="42"/>
      <c r="BM148" s="42"/>
      <c r="BN148" s="42"/>
    </row>
    <row r="149" spans="1:66" ht="12.75" customHeight="1" x14ac:dyDescent="0.2">
      <c r="A149" s="1" t="s">
        <v>334</v>
      </c>
      <c r="B149" s="4">
        <f>_xll.ciqfunctions.udf.CIQ(InputTicker, "IQ_IMPUT_OPER_LEASE_INT_EXP",Input!D$2,Date,,,Ccy,Conv)</f>
        <v>216.66528</v>
      </c>
      <c r="C149" s="4">
        <f>_xll.ciqfunctions.udf.CIQ(InputTicker, "IQ_IMPUT_OPER_LEASE_INT_EXP",Input!E$2,Date,,,Ccy,Conv)</f>
        <v>334.50844999999998</v>
      </c>
      <c r="D149" s="4">
        <f>_xll.ciqfunctions.udf.CIQ(InputTicker, "IQ_IMPUT_OPER_LEASE_INT_EXP",Input!F$2,Date,,,Ccy,Conv)</f>
        <v>378.66284000000002</v>
      </c>
      <c r="E149" s="4">
        <f>_xll.ciqfunctions.udf.CIQ(InputTicker, "IQ_IMPUT_OPER_LEASE_INT_EXP",Input!G$2,Date,,,Ccy,Conv)</f>
        <v>421.69727999999998</v>
      </c>
      <c r="F149" s="4">
        <f>_xll.ciqfunctions.udf.CIQ(InputTicker, "IQ_IMPUT_OPER_LEASE_INT_EXP",Input!H$2,Date,,,Ccy,Conv)</f>
        <v>502.43090000000001</v>
      </c>
      <c r="G149" s="4">
        <f>_xll.ciqfunctions.udf.CIQ(InputTicker, "IQ_IMPUT_OPER_LEASE_INT_EXP",Input!I$2,Date,,,Ccy,Conv)</f>
        <v>482.35255000000001</v>
      </c>
      <c r="H149" s="4">
        <f>_xll.ciqfunctions.udf.CIQ(InputTicker, "IQ_IMPUT_OPER_LEASE_INT_EXP",Input!J$2,Date,,,Ccy,Conv)</f>
        <v>501.63055000000003</v>
      </c>
      <c r="I149" s="4">
        <f>_xll.ciqfunctions.udf.CIQ(InputTicker, "IQ_IMPUT_OPER_LEASE_INT_EXP",Input!K$2,Date,,,Ccy,Conv)</f>
        <v>581.39400000000001</v>
      </c>
      <c r="J149" s="4">
        <f>_xll.ciqfunctions.udf.CIQ(InputTicker, "IQ_IMPUT_OPER_LEASE_INT_EXP",Input!L$2,Date,,,Ccy,Conv)</f>
        <v>957.00599999999997</v>
      </c>
      <c r="K149" s="4">
        <f>_xll.ciqfunctions.udf.CIQ(InputTicker, "IQ_IMPUT_OPER_LEASE_INT_EXP",Input!M$2,Date,,,Ccy,Conv)</f>
        <v>1020.43747</v>
      </c>
      <c r="L149" s="4">
        <f>_xll.ciqfunctions.udf.CIQ(InputTicker, "IQ_IMPUT_OPER_LEASE_INT_EXP",Input!N$2,Date,,,Ccy,Conv)</f>
        <v>1425.26259</v>
      </c>
      <c r="M149" s="4">
        <f>_xll.ciqfunctions.udf.CIQ(InputTicker, "IQ_IMPUT_OPER_LEASE_INT_EXP",Input!O$2,Date,,,Ccy,Conv)</f>
        <v>1425.26259</v>
      </c>
      <c r="N149" s="49"/>
      <c r="P149" s="51"/>
      <c r="Q149" s="51"/>
      <c r="R149" s="51"/>
      <c r="T149" s="42"/>
      <c r="U149" s="42"/>
      <c r="V149" s="51"/>
      <c r="W149" s="42"/>
      <c r="X149" s="42"/>
      <c r="Y149" s="42"/>
      <c r="Z149" s="42"/>
      <c r="AA149" s="42"/>
      <c r="AB149" s="42"/>
      <c r="AC149" s="42"/>
      <c r="AD149" s="42"/>
      <c r="AE149" s="42"/>
      <c r="AF149" s="42"/>
      <c r="AG149" s="42"/>
      <c r="AH149" s="42"/>
      <c r="AI149" s="42"/>
      <c r="AJ149" s="42"/>
      <c r="AK149" s="42"/>
      <c r="AL149" s="42"/>
      <c r="AM149" s="42"/>
      <c r="AN149" s="42"/>
      <c r="AO149" s="42"/>
      <c r="AP149" s="42"/>
      <c r="AQ149" s="42"/>
      <c r="AR149" s="42"/>
      <c r="AS149" s="42"/>
      <c r="AT149" s="42"/>
      <c r="AU149" s="42"/>
      <c r="AV149" s="42"/>
      <c r="AW149" s="42"/>
      <c r="AX149" s="42"/>
      <c r="AY149" s="42"/>
      <c r="AZ149" s="42"/>
      <c r="BA149" s="42"/>
      <c r="BB149" s="42"/>
      <c r="BC149" s="42"/>
      <c r="BD149" s="42"/>
      <c r="BE149" s="42"/>
      <c r="BF149" s="42"/>
      <c r="BG149" s="42"/>
      <c r="BH149" s="42"/>
      <c r="BI149" s="42"/>
      <c r="BJ149" s="42"/>
      <c r="BK149" s="42"/>
      <c r="BL149" s="42"/>
      <c r="BM149" s="42"/>
      <c r="BN149" s="42"/>
    </row>
    <row r="150" spans="1:66" ht="12.75" customHeight="1" x14ac:dyDescent="0.2">
      <c r="A150" s="1" t="s">
        <v>335</v>
      </c>
      <c r="B150" s="4">
        <f>_xll.ciqfunctions.udf.CIQ(InputTicker, "IQ_IMPUT_OPER_LEASE_DEPR",Input!D$2,Date,,,Ccy,Conv)</f>
        <v>719.33471999999995</v>
      </c>
      <c r="C150" s="4">
        <f>_xll.ciqfunctions.udf.CIQ(InputTicker, "IQ_IMPUT_OPER_LEASE_DEPR",Input!E$2,Date,,,Ccy,Conv)</f>
        <v>1077.49155</v>
      </c>
      <c r="D150" s="4">
        <f>_xll.ciqfunctions.udf.CIQ(InputTicker, "IQ_IMPUT_OPER_LEASE_DEPR",Input!F$2,Date,,,Ccy,Conv)</f>
        <v>1206.33716</v>
      </c>
      <c r="E150" s="4">
        <f>_xll.ciqfunctions.udf.CIQ(InputTicker, "IQ_IMPUT_OPER_LEASE_DEPR",Input!G$2,Date,,,Ccy,Conv)</f>
        <v>1285.3027199999999</v>
      </c>
      <c r="F150" s="4">
        <f>_xll.ciqfunctions.udf.CIQ(InputTicker, "IQ_IMPUT_OPER_LEASE_DEPR",Input!H$2,Date,,,Ccy,Conv)</f>
        <v>1540.5690999999999</v>
      </c>
      <c r="G150" s="4">
        <f>_xll.ciqfunctions.udf.CIQ(InputTicker, "IQ_IMPUT_OPER_LEASE_DEPR",Input!I$2,Date,,,Ccy,Conv)</f>
        <v>1644.6474499999999</v>
      </c>
      <c r="H150" s="4">
        <f>_xll.ciqfunctions.udf.CIQ(InputTicker, "IQ_IMPUT_OPER_LEASE_DEPR",Input!J$2,Date,,,Ccy,Conv)</f>
        <v>1959.3694499999999</v>
      </c>
      <c r="I150" s="4">
        <f>_xll.ciqfunctions.udf.CIQ(InputTicker, "IQ_IMPUT_OPER_LEASE_DEPR",Input!K$2,Date,,,Ccy,Conv)</f>
        <v>2293.6060000000002</v>
      </c>
      <c r="J150" s="4">
        <f>_xll.ciqfunctions.udf.CIQ(InputTicker, "IQ_IMPUT_OPER_LEASE_DEPR",Input!L$2,Date,,,Ccy,Conv)</f>
        <v>2597.9940000000001</v>
      </c>
      <c r="K150" s="4">
        <f>_xll.ciqfunctions.udf.CIQ(InputTicker, "IQ_IMPUT_OPER_LEASE_DEPR",Input!M$2,Date,,,Ccy,Conv)</f>
        <v>4503.5625300000002</v>
      </c>
      <c r="L150" s="4">
        <f>_xll.ciqfunctions.udf.CIQ(InputTicker, "IQ_IMPUT_OPER_LEASE_DEPR",Input!N$2,Date,,,Ccy,Conv)</f>
        <v>5542.7374099999997</v>
      </c>
      <c r="M150" s="4">
        <f>_xll.ciqfunctions.udf.CIQ(InputTicker, "IQ_IMPUT_OPER_LEASE_DEPR",Input!O$2,Date,,,Ccy,Conv)</f>
        <v>5542.7374099999997</v>
      </c>
      <c r="N150" s="49"/>
      <c r="P150" s="46"/>
      <c r="Q150" s="46"/>
      <c r="R150" s="46"/>
      <c r="T150" s="42"/>
      <c r="U150" s="42"/>
      <c r="V150" s="46"/>
      <c r="W150" s="42"/>
      <c r="X150" s="42"/>
      <c r="Y150" s="42"/>
      <c r="Z150" s="42"/>
      <c r="AA150" s="42"/>
      <c r="AB150" s="42"/>
      <c r="AC150" s="42"/>
      <c r="AD150" s="42"/>
      <c r="AE150" s="42"/>
      <c r="AF150" s="42"/>
      <c r="AG150" s="42"/>
      <c r="AH150" s="42"/>
      <c r="AI150" s="42"/>
      <c r="AJ150" s="42"/>
      <c r="AK150" s="42"/>
      <c r="AL150" s="42"/>
      <c r="AM150" s="42"/>
      <c r="AN150" s="42"/>
      <c r="AO150" s="42"/>
      <c r="AP150" s="42"/>
      <c r="AQ150" s="42"/>
      <c r="AR150" s="42"/>
      <c r="AS150" s="42"/>
      <c r="AT150" s="42"/>
      <c r="AU150" s="42"/>
      <c r="AV150" s="42"/>
      <c r="AW150" s="42"/>
      <c r="AX150" s="42"/>
      <c r="AY150" s="42"/>
      <c r="AZ150" s="42"/>
      <c r="BA150" s="42"/>
      <c r="BB150" s="42"/>
      <c r="BC150" s="42"/>
      <c r="BD150" s="42"/>
      <c r="BE150" s="42"/>
      <c r="BF150" s="42"/>
      <c r="BG150" s="42"/>
      <c r="BH150" s="42"/>
      <c r="BI150" s="42"/>
      <c r="BJ150" s="42"/>
      <c r="BK150" s="42"/>
      <c r="BL150" s="42"/>
      <c r="BM150" s="42"/>
      <c r="BN150" s="42"/>
    </row>
    <row r="151" spans="1:66" ht="12.75" customHeight="1" x14ac:dyDescent="0.2">
      <c r="A151" s="1" t="s">
        <v>392</v>
      </c>
      <c r="B151" s="4">
        <f>_xll.ciqfunctions.udf.CIQ(InputTicker, "IQ_SALARIES_OTHER_BENEFITS",Input!D$2,Date,,,Ccy,Conv)</f>
        <v>0</v>
      </c>
      <c r="C151" s="4">
        <f>_xll.ciqfunctions.udf.CIQ(InputTicker, "IQ_SALARIES_OTHER_BENEFITS",Input!E$2,Date,,,Ccy,Conv)</f>
        <v>0</v>
      </c>
      <c r="D151" s="4">
        <f>_xll.ciqfunctions.udf.CIQ(InputTicker, "IQ_SALARIES_OTHER_BENEFITS",Input!F$2,Date,,,Ccy,Conv)</f>
        <v>0</v>
      </c>
      <c r="E151" s="4">
        <f>_xll.ciqfunctions.udf.CIQ(InputTicker, "IQ_SALARIES_OTHER_BENEFITS",Input!G$2,Date,,,Ccy,Conv)</f>
        <v>0</v>
      </c>
      <c r="F151" s="4">
        <f>_xll.ciqfunctions.udf.CIQ(InputTicker, "IQ_SALARIES_OTHER_BENEFITS",Input!H$2,Date,,,Ccy,Conv)</f>
        <v>0</v>
      </c>
      <c r="G151" s="4">
        <f>_xll.ciqfunctions.udf.CIQ(InputTicker, "IQ_SALARIES_OTHER_BENEFITS",Input!I$2,Date,,,Ccy,Conv)</f>
        <v>0</v>
      </c>
      <c r="H151" s="4">
        <f>_xll.ciqfunctions.udf.CIQ(InputTicker, "IQ_SALARIES_OTHER_BENEFITS",Input!J$2,Date,,,Ccy,Conv)</f>
        <v>0</v>
      </c>
      <c r="I151" s="4">
        <f>_xll.ciqfunctions.udf.CIQ(InputTicker, "IQ_SALARIES_OTHER_BENEFITS",Input!K$2,Date,,,Ccy,Conv)</f>
        <v>0</v>
      </c>
      <c r="J151" s="4">
        <f>_xll.ciqfunctions.udf.CIQ(InputTicker, "IQ_SALARIES_OTHER_BENEFITS",Input!L$2,Date,,,Ccy,Conv)</f>
        <v>0</v>
      </c>
      <c r="K151" s="4">
        <f>_xll.ciqfunctions.udf.CIQ(InputTicker, "IQ_SALARIES_OTHER_BENEFITS",Input!M$2,Date,,,Ccy,Conv)</f>
        <v>0</v>
      </c>
      <c r="L151" s="4">
        <f>_xll.ciqfunctions.udf.CIQ(InputTicker, "IQ_SALARIES_OTHER_BENEFITS",Input!N$2,Date,,,Ccy,Conv)</f>
        <v>0</v>
      </c>
      <c r="M151" s="4">
        <f>_xll.ciqfunctions.udf.CIQ(InputTicker, "IQ_SALARIES_OTHER_BENEFITS",Input!O$2,Date,,,Ccy,Conv)</f>
        <v>0</v>
      </c>
      <c r="N151" s="49"/>
      <c r="P151" s="46"/>
      <c r="Q151" s="46"/>
      <c r="R151" s="46"/>
      <c r="T151" s="42"/>
      <c r="U151" s="42"/>
      <c r="V151" s="46"/>
      <c r="W151" s="42"/>
      <c r="X151" s="42"/>
      <c r="Y151" s="42"/>
      <c r="Z151" s="42"/>
      <c r="AA151" s="42"/>
      <c r="AB151" s="42"/>
      <c r="AC151" s="42"/>
      <c r="AD151" s="42"/>
      <c r="AE151" s="42"/>
      <c r="AF151" s="42"/>
      <c r="AG151" s="42"/>
      <c r="AH151" s="42"/>
      <c r="AI151" s="42"/>
      <c r="AJ151" s="42"/>
      <c r="AK151" s="42"/>
      <c r="AL151" s="42"/>
      <c r="AM151" s="42"/>
      <c r="AN151" s="42"/>
      <c r="AO151" s="42"/>
      <c r="AP151" s="42"/>
      <c r="AQ151" s="42"/>
      <c r="AR151" s="42"/>
      <c r="AS151" s="42"/>
      <c r="AT151" s="42"/>
      <c r="AU151" s="42"/>
      <c r="AV151" s="42"/>
      <c r="AW151" s="42"/>
      <c r="AX151" s="42"/>
      <c r="AY151" s="42"/>
      <c r="AZ151" s="42"/>
      <c r="BA151" s="42"/>
      <c r="BB151" s="42"/>
      <c r="BC151" s="42"/>
      <c r="BD151" s="42"/>
      <c r="BE151" s="42"/>
      <c r="BF151" s="42"/>
      <c r="BG151" s="42"/>
      <c r="BH151" s="42"/>
      <c r="BI151" s="42"/>
      <c r="BJ151" s="42"/>
      <c r="BK151" s="42"/>
      <c r="BL151" s="42"/>
      <c r="BM151" s="42"/>
      <c r="BN151" s="42"/>
    </row>
    <row r="152" spans="1:66" ht="12.75" customHeight="1" x14ac:dyDescent="0.2">
      <c r="A152" s="1" t="s">
        <v>411</v>
      </c>
      <c r="B152" s="4">
        <f>_xll.ciqfunctions.udf.CIQ(InputTicker,"IQ_RESTRUCTURE_SUPPLE",Input!D$2,Date,,,Ccy,Conv)</f>
        <v>0</v>
      </c>
      <c r="C152" s="4">
        <f>_xll.ciqfunctions.udf.CIQ(InputTicker,"IQ_RESTRUCTURE_SUPPLE",Input!E$2,Date,,,Ccy,Conv)</f>
        <v>0</v>
      </c>
      <c r="D152" s="4">
        <f>_xll.ciqfunctions.udf.CIQ(InputTicker,"IQ_RESTRUCTURE_SUPPLE",Input!F$2,Date,,,Ccy,Conv)</f>
        <v>0</v>
      </c>
      <c r="E152" s="4">
        <f>_xll.ciqfunctions.udf.CIQ(InputTicker,"IQ_RESTRUCTURE_SUPPLE",Input!G$2,Date,,,Ccy,Conv)</f>
        <v>0</v>
      </c>
      <c r="F152" s="4">
        <f>_xll.ciqfunctions.udf.CIQ(InputTicker,"IQ_RESTRUCTURE_SUPPLE",Input!H$2,Date,,,Ccy,Conv)</f>
        <v>0</v>
      </c>
      <c r="G152" s="4">
        <f>_xll.ciqfunctions.udf.CIQ(InputTicker,"IQ_RESTRUCTURE_SUPPLE",Input!I$2,Date,,,Ccy,Conv)</f>
        <v>0</v>
      </c>
      <c r="H152" s="4">
        <f>_xll.ciqfunctions.udf.CIQ(InputTicker,"IQ_RESTRUCTURE_SUPPLE",Input!J$2,Date,,,Ccy,Conv)</f>
        <v>0</v>
      </c>
      <c r="I152" s="4">
        <f>_xll.ciqfunctions.udf.CIQ(InputTicker,"IQ_RESTRUCTURE_SUPPLE",Input!K$2,Date,,,Ccy,Conv)</f>
        <v>0</v>
      </c>
      <c r="J152" s="4">
        <f>_xll.ciqfunctions.udf.CIQ(InputTicker,"IQ_RESTRUCTURE_SUPPLE",Input!L$2,Date,,,Ccy,Conv)</f>
        <v>0</v>
      </c>
      <c r="K152" s="4">
        <f>_xll.ciqfunctions.udf.CIQ(InputTicker,"IQ_RESTRUCTURE_SUPPLE",Input!M$2,Date,,,Ccy,Conv)</f>
        <v>0</v>
      </c>
      <c r="L152" s="4">
        <f>_xll.ciqfunctions.udf.CIQ(InputTicker,"IQ_RESTRUCTURE_SUPPLE",Input!N$2,Date,,,Ccy,Conv)</f>
        <v>0</v>
      </c>
      <c r="M152" s="4">
        <f>_xll.ciqfunctions.udf.CIQ(InputTicker,"IQ_RESTRUCTURE_SUPPLE",Input!O$2,Date,,,Ccy,Conv)</f>
        <v>0</v>
      </c>
      <c r="N152" s="49"/>
      <c r="P152" s="46"/>
      <c r="Q152" s="46"/>
      <c r="R152" s="46"/>
      <c r="T152" s="42"/>
      <c r="U152" s="42"/>
      <c r="V152" s="46"/>
      <c r="W152" s="42"/>
      <c r="X152" s="42"/>
      <c r="Y152" s="42"/>
      <c r="Z152" s="42"/>
      <c r="AA152" s="42"/>
      <c r="AB152" s="42"/>
      <c r="AC152" s="42"/>
      <c r="AD152" s="42"/>
      <c r="AE152" s="42"/>
      <c r="AF152" s="42"/>
      <c r="AG152" s="42"/>
      <c r="AH152" s="42"/>
      <c r="AI152" s="42"/>
      <c r="AJ152" s="42"/>
      <c r="AK152" s="42"/>
      <c r="AL152" s="42"/>
      <c r="AM152" s="42"/>
      <c r="AN152" s="42"/>
      <c r="AO152" s="42"/>
      <c r="AP152" s="42"/>
      <c r="AQ152" s="42"/>
      <c r="AR152" s="42"/>
      <c r="AS152" s="42"/>
      <c r="AT152" s="42"/>
      <c r="AU152" s="42"/>
      <c r="AV152" s="42"/>
      <c r="AW152" s="42"/>
      <c r="AX152" s="42"/>
      <c r="AY152" s="42"/>
      <c r="AZ152" s="42"/>
      <c r="BA152" s="42"/>
      <c r="BB152" s="42"/>
      <c r="BC152" s="42"/>
      <c r="BD152" s="42"/>
      <c r="BE152" s="42"/>
      <c r="BF152" s="42"/>
      <c r="BG152" s="42"/>
      <c r="BH152" s="42"/>
      <c r="BI152" s="42"/>
      <c r="BJ152" s="42"/>
      <c r="BK152" s="42"/>
      <c r="BL152" s="42"/>
      <c r="BM152" s="42"/>
      <c r="BN152" s="42"/>
    </row>
    <row r="153" spans="1:66" ht="12.75" customHeight="1" x14ac:dyDescent="0.2">
      <c r="A153" s="1" t="s">
        <v>412</v>
      </c>
      <c r="B153" s="4">
        <f>_xll.ciqfunctions.udf.CIQ(InputTicker,"IQ_MERGER_SUPPLE",Input!D$2,Date,,,Ccy,Conv)</f>
        <v>0</v>
      </c>
      <c r="C153" s="4">
        <f>_xll.ciqfunctions.udf.CIQ(InputTicker,"IQ_MERGER_SUPPLE",Input!E$2,Date,,,Ccy,Conv)</f>
        <v>0</v>
      </c>
      <c r="D153" s="4">
        <f>_xll.ciqfunctions.udf.CIQ(InputTicker,"IQ_MERGER_SUPPLE",Input!F$2,Date,,,Ccy,Conv)</f>
        <v>0</v>
      </c>
      <c r="E153" s="4">
        <f>_xll.ciqfunctions.udf.CIQ(InputTicker,"IQ_MERGER_SUPPLE",Input!G$2,Date,,,Ccy,Conv)</f>
        <v>0</v>
      </c>
      <c r="F153" s="4">
        <f>_xll.ciqfunctions.udf.CIQ(InputTicker,"IQ_MERGER_SUPPLE",Input!H$2,Date,,,Ccy,Conv)</f>
        <v>0</v>
      </c>
      <c r="G153" s="4">
        <f>_xll.ciqfunctions.udf.CIQ(InputTicker,"IQ_MERGER_SUPPLE",Input!I$2,Date,,,Ccy,Conv)</f>
        <v>0</v>
      </c>
      <c r="H153" s="4">
        <f>_xll.ciqfunctions.udf.CIQ(InputTicker,"IQ_MERGER_SUPPLE",Input!J$2,Date,,,Ccy,Conv)</f>
        <v>0</v>
      </c>
      <c r="I153" s="4">
        <f>_xll.ciqfunctions.udf.CIQ(InputTicker,"IQ_MERGER_SUPPLE",Input!K$2,Date,,,Ccy,Conv)</f>
        <v>0</v>
      </c>
      <c r="J153" s="4">
        <f>_xll.ciqfunctions.udf.CIQ(InputTicker,"IQ_MERGER_SUPPLE",Input!L$2,Date,,,Ccy,Conv)</f>
        <v>0</v>
      </c>
      <c r="K153" s="4">
        <f>_xll.ciqfunctions.udf.CIQ(InputTicker,"IQ_MERGER_SUPPLE",Input!M$2,Date,,,Ccy,Conv)</f>
        <v>0</v>
      </c>
      <c r="L153" s="4">
        <f>_xll.ciqfunctions.udf.CIQ(InputTicker,"IQ_MERGER_SUPPLE",Input!N$2,Date,,,Ccy,Conv)</f>
        <v>0</v>
      </c>
      <c r="M153" s="4">
        <f>_xll.ciqfunctions.udf.CIQ(InputTicker,"IQ_MERGER_SUPPLE",Input!O$2,Date,,,Ccy,Conv)</f>
        <v>0</v>
      </c>
      <c r="N153" s="49"/>
      <c r="P153" s="46"/>
      <c r="Q153" s="46"/>
      <c r="R153" s="46"/>
      <c r="T153" s="42"/>
      <c r="U153" s="42"/>
      <c r="V153" s="46"/>
      <c r="W153" s="42"/>
      <c r="X153" s="42"/>
      <c r="Y153" s="42"/>
      <c r="Z153" s="42"/>
      <c r="AA153" s="42"/>
      <c r="AB153" s="42"/>
      <c r="AC153" s="42"/>
      <c r="AD153" s="42"/>
      <c r="AE153" s="42"/>
      <c r="AF153" s="42"/>
      <c r="AG153" s="42"/>
      <c r="AH153" s="42"/>
      <c r="AI153" s="42"/>
      <c r="AJ153" s="42"/>
      <c r="AK153" s="42"/>
      <c r="AL153" s="42"/>
      <c r="AM153" s="42"/>
      <c r="AN153" s="42"/>
      <c r="AO153" s="42"/>
      <c r="AP153" s="42"/>
      <c r="AQ153" s="42"/>
      <c r="AR153" s="42"/>
      <c r="AS153" s="42"/>
      <c r="AT153" s="42"/>
      <c r="AU153" s="42"/>
      <c r="AV153" s="42"/>
      <c r="AW153" s="42"/>
      <c r="AX153" s="42"/>
      <c r="AY153" s="42"/>
      <c r="AZ153" s="42"/>
      <c r="BA153" s="42"/>
      <c r="BB153" s="42"/>
      <c r="BC153" s="42"/>
      <c r="BD153" s="42"/>
      <c r="BE153" s="42"/>
      <c r="BF153" s="42"/>
      <c r="BG153" s="42"/>
      <c r="BH153" s="42"/>
      <c r="BI153" s="42"/>
      <c r="BJ153" s="42"/>
      <c r="BK153" s="42"/>
      <c r="BL153" s="42"/>
      <c r="BM153" s="42"/>
      <c r="BN153" s="42"/>
    </row>
    <row r="154" spans="1:66" ht="12.75" customHeight="1" x14ac:dyDescent="0.2">
      <c r="A154" s="1" t="s">
        <v>413</v>
      </c>
      <c r="B154" s="4">
        <f>_xll.ciqfunctions.udf.CIQ(InputTicker,"IQ_IMPAIRMENT_GW_SUPPLE",Input!D$2,Date,,,Ccy,Conv)</f>
        <v>0</v>
      </c>
      <c r="C154" s="4">
        <f>_xll.ciqfunctions.udf.CIQ(InputTicker,"IQ_IMPAIRMENT_GW_SUPPLE",Input!E$2,Date,,,Ccy,Conv)</f>
        <v>0</v>
      </c>
      <c r="D154" s="4">
        <f>_xll.ciqfunctions.udf.CIQ(InputTicker,"IQ_IMPAIRMENT_GW_SUPPLE",Input!F$2,Date,,,Ccy,Conv)</f>
        <v>0</v>
      </c>
      <c r="E154" s="4">
        <f>_xll.ciqfunctions.udf.CIQ(InputTicker,"IQ_IMPAIRMENT_GW_SUPPLE",Input!G$2,Date,,,Ccy,Conv)</f>
        <v>0</v>
      </c>
      <c r="F154" s="4">
        <f>_xll.ciqfunctions.udf.CIQ(InputTicker,"IQ_IMPAIRMENT_GW_SUPPLE",Input!H$2,Date,,,Ccy,Conv)</f>
        <v>0</v>
      </c>
      <c r="G154" s="4">
        <f>_xll.ciqfunctions.udf.CIQ(InputTicker,"IQ_IMPAIRMENT_GW_SUPPLE",Input!I$2,Date,,,Ccy,Conv)</f>
        <v>0</v>
      </c>
      <c r="H154" s="4">
        <f>_xll.ciqfunctions.udf.CIQ(InputTicker,"IQ_IMPAIRMENT_GW_SUPPLE",Input!J$2,Date,,,Ccy,Conv)</f>
        <v>0</v>
      </c>
      <c r="I154" s="4">
        <f>_xll.ciqfunctions.udf.CIQ(InputTicker,"IQ_IMPAIRMENT_GW_SUPPLE",Input!K$2,Date,,,Ccy,Conv)</f>
        <v>0</v>
      </c>
      <c r="J154" s="4">
        <f>_xll.ciqfunctions.udf.CIQ(InputTicker,"IQ_IMPAIRMENT_GW_SUPPLE",Input!L$2,Date,,,Ccy,Conv)</f>
        <v>0</v>
      </c>
      <c r="K154" s="4">
        <f>_xll.ciqfunctions.udf.CIQ(InputTicker,"IQ_IMPAIRMENT_GW_SUPPLE",Input!M$2,Date,,,Ccy,Conv)</f>
        <v>0</v>
      </c>
      <c r="L154" s="4">
        <f>_xll.ciqfunctions.udf.CIQ(InputTicker,"IQ_IMPAIRMENT_GW_SUPPLE",Input!N$2,Date,,,Ccy,Conv)</f>
        <v>0</v>
      </c>
      <c r="M154" s="4">
        <f>_xll.ciqfunctions.udf.CIQ(InputTicker,"IQ_IMPAIRMENT_GW_SUPPLE",Input!O$2,Date,,,Ccy,Conv)</f>
        <v>0</v>
      </c>
      <c r="N154" s="49"/>
      <c r="P154" s="46"/>
      <c r="Q154" s="46"/>
      <c r="R154" s="46"/>
      <c r="T154" s="42"/>
      <c r="U154" s="42"/>
      <c r="V154" s="46"/>
      <c r="W154" s="42"/>
      <c r="X154" s="42"/>
      <c r="Y154" s="42"/>
      <c r="Z154" s="42"/>
      <c r="AA154" s="42"/>
      <c r="AB154" s="42"/>
      <c r="AC154" s="42"/>
      <c r="AD154" s="42"/>
      <c r="AE154" s="42"/>
      <c r="AF154" s="42"/>
      <c r="AG154" s="42"/>
      <c r="AH154" s="42"/>
      <c r="AI154" s="42"/>
      <c r="AJ154" s="42"/>
      <c r="AK154" s="42"/>
      <c r="AL154" s="42"/>
      <c r="AM154" s="42"/>
      <c r="AN154" s="42"/>
      <c r="AO154" s="42"/>
      <c r="AP154" s="42"/>
      <c r="AQ154" s="42"/>
      <c r="AR154" s="42"/>
      <c r="AS154" s="42"/>
      <c r="AT154" s="42"/>
      <c r="AU154" s="42"/>
      <c r="AV154" s="42"/>
      <c r="AW154" s="42"/>
      <c r="AX154" s="42"/>
      <c r="AY154" s="42"/>
      <c r="AZ154" s="42"/>
      <c r="BA154" s="42"/>
      <c r="BB154" s="42"/>
      <c r="BC154" s="42"/>
      <c r="BD154" s="42"/>
      <c r="BE154" s="42"/>
      <c r="BF154" s="42"/>
      <c r="BG154" s="42"/>
      <c r="BH154" s="42"/>
      <c r="BI154" s="42"/>
      <c r="BJ154" s="42"/>
      <c r="BK154" s="42"/>
      <c r="BL154" s="42"/>
      <c r="BM154" s="42"/>
      <c r="BN154" s="42"/>
    </row>
    <row r="155" spans="1:66" ht="12.75" customHeight="1" x14ac:dyDescent="0.2">
      <c r="A155" s="1" t="s">
        <v>414</v>
      </c>
      <c r="B155" s="4">
        <f>_xll.ciqfunctions.udf.CIQ(InputTicker,"IQ_ASSET_WRITEDOWN_SUPPLE",Input!D$2,Date,,,Ccy,Conv)</f>
        <v>0</v>
      </c>
      <c r="C155" s="4">
        <f>_xll.ciqfunctions.udf.CIQ(InputTicker,"IQ_ASSET_WRITEDOWN_SUPPLE",Input!E$2,Date,,,Ccy,Conv)</f>
        <v>0</v>
      </c>
      <c r="D155" s="4">
        <f>_xll.ciqfunctions.udf.CIQ(InputTicker,"IQ_ASSET_WRITEDOWN_SUPPLE",Input!F$2,Date,,,Ccy,Conv)</f>
        <v>0</v>
      </c>
      <c r="E155" s="4">
        <f>_xll.ciqfunctions.udf.CIQ(InputTicker,"IQ_ASSET_WRITEDOWN_SUPPLE",Input!G$2,Date,,,Ccy,Conv)</f>
        <v>0</v>
      </c>
      <c r="F155" s="4">
        <f>_xll.ciqfunctions.udf.CIQ(InputTicker,"IQ_ASSET_WRITEDOWN_SUPPLE",Input!H$2,Date,,,Ccy,Conv)</f>
        <v>0</v>
      </c>
      <c r="G155" s="4">
        <f>_xll.ciqfunctions.udf.CIQ(InputTicker,"IQ_ASSET_WRITEDOWN_SUPPLE",Input!I$2,Date,,,Ccy,Conv)</f>
        <v>0</v>
      </c>
      <c r="H155" s="4">
        <f>_xll.ciqfunctions.udf.CIQ(InputTicker,"IQ_ASSET_WRITEDOWN_SUPPLE",Input!J$2,Date,,,Ccy,Conv)</f>
        <v>0</v>
      </c>
      <c r="I155" s="4">
        <f>_xll.ciqfunctions.udf.CIQ(InputTicker,"IQ_ASSET_WRITEDOWN_SUPPLE",Input!K$2,Date,,,Ccy,Conv)</f>
        <v>0</v>
      </c>
      <c r="J155" s="4">
        <f>_xll.ciqfunctions.udf.CIQ(InputTicker,"IQ_ASSET_WRITEDOWN_SUPPLE",Input!L$2,Date,,,Ccy,Conv)</f>
        <v>0</v>
      </c>
      <c r="K155" s="4">
        <f>_xll.ciqfunctions.udf.CIQ(InputTicker,"IQ_ASSET_WRITEDOWN_SUPPLE",Input!M$2,Date,,,Ccy,Conv)</f>
        <v>0</v>
      </c>
      <c r="L155" s="4">
        <f>_xll.ciqfunctions.udf.CIQ(InputTicker,"IQ_ASSET_WRITEDOWN_SUPPLE",Input!N$2,Date,,,Ccy,Conv)</f>
        <v>0</v>
      </c>
      <c r="M155" s="4">
        <f>_xll.ciqfunctions.udf.CIQ(InputTicker,"IQ_ASSET_WRITEDOWN_SUPPLE",Input!O$2,Date,,,Ccy,Conv)</f>
        <v>0</v>
      </c>
      <c r="N155" s="49"/>
      <c r="P155" s="46"/>
      <c r="Q155" s="46"/>
      <c r="R155" s="46"/>
      <c r="T155" s="42"/>
      <c r="U155" s="42"/>
      <c r="V155" s="46"/>
      <c r="W155" s="42"/>
      <c r="X155" s="42"/>
      <c r="Y155" s="42"/>
      <c r="Z155" s="42"/>
      <c r="AA155" s="42"/>
      <c r="AB155" s="42"/>
      <c r="AC155" s="42"/>
      <c r="AD155" s="42"/>
      <c r="AE155" s="42"/>
      <c r="AF155" s="42"/>
      <c r="AG155" s="42"/>
      <c r="AH155" s="42"/>
      <c r="AI155" s="42"/>
      <c r="AJ155" s="42"/>
      <c r="AK155" s="42"/>
      <c r="AL155" s="42"/>
      <c r="AM155" s="42"/>
      <c r="AN155" s="42"/>
      <c r="AO155" s="42"/>
      <c r="AP155" s="42"/>
      <c r="AQ155" s="42"/>
      <c r="AR155" s="42"/>
      <c r="AS155" s="42"/>
      <c r="AT155" s="42"/>
      <c r="AU155" s="42"/>
      <c r="AV155" s="42"/>
      <c r="AW155" s="42"/>
      <c r="AX155" s="42"/>
      <c r="AY155" s="42"/>
      <c r="AZ155" s="42"/>
      <c r="BA155" s="42"/>
      <c r="BB155" s="42"/>
      <c r="BC155" s="42"/>
      <c r="BD155" s="42"/>
      <c r="BE155" s="42"/>
      <c r="BF155" s="42"/>
      <c r="BG155" s="42"/>
      <c r="BH155" s="42"/>
      <c r="BI155" s="42"/>
      <c r="BJ155" s="42"/>
      <c r="BK155" s="42"/>
      <c r="BL155" s="42"/>
      <c r="BM155" s="42"/>
      <c r="BN155" s="42"/>
    </row>
    <row r="156" spans="1:66" ht="12.75" customHeight="1" x14ac:dyDescent="0.2">
      <c r="A156" s="1" t="s">
        <v>415</v>
      </c>
      <c r="B156" s="4">
        <f>_xll.ciqfunctions.udf.CIQ(InputTicker,"IQ_IPRD_SUPPLE",Input!D$2,Date,,,Ccy,Conv)</f>
        <v>0</v>
      </c>
      <c r="C156" s="4">
        <f>_xll.ciqfunctions.udf.CIQ(InputTicker,"IQ_IPRD_SUPPLE",Input!E$2,Date,,,Ccy,Conv)</f>
        <v>0</v>
      </c>
      <c r="D156" s="4">
        <f>_xll.ciqfunctions.udf.CIQ(InputTicker,"IQ_IPRD_SUPPLE",Input!F$2,Date,,,Ccy,Conv)</f>
        <v>0</v>
      </c>
      <c r="E156" s="4">
        <f>_xll.ciqfunctions.udf.CIQ(InputTicker,"IQ_IPRD_SUPPLE",Input!G$2,Date,,,Ccy,Conv)</f>
        <v>0</v>
      </c>
      <c r="F156" s="4">
        <f>_xll.ciqfunctions.udf.CIQ(InputTicker,"IQ_IPRD_SUPPLE",Input!H$2,Date,,,Ccy,Conv)</f>
        <v>0</v>
      </c>
      <c r="G156" s="4">
        <f>_xll.ciqfunctions.udf.CIQ(InputTicker,"IQ_IPRD_SUPPLE",Input!I$2,Date,,,Ccy,Conv)</f>
        <v>0</v>
      </c>
      <c r="H156" s="4">
        <f>_xll.ciqfunctions.udf.CIQ(InputTicker,"IQ_IPRD_SUPPLE",Input!J$2,Date,,,Ccy,Conv)</f>
        <v>0</v>
      </c>
      <c r="I156" s="4">
        <f>_xll.ciqfunctions.udf.CIQ(InputTicker,"IQ_IPRD_SUPPLE",Input!K$2,Date,,,Ccy,Conv)</f>
        <v>0</v>
      </c>
      <c r="J156" s="4">
        <f>_xll.ciqfunctions.udf.CIQ(InputTicker,"IQ_IPRD_SUPPLE",Input!L$2,Date,,,Ccy,Conv)</f>
        <v>0</v>
      </c>
      <c r="K156" s="4">
        <f>_xll.ciqfunctions.udf.CIQ(InputTicker,"IQ_IPRD_SUPPLE",Input!M$2,Date,,,Ccy,Conv)</f>
        <v>0</v>
      </c>
      <c r="L156" s="4">
        <f>_xll.ciqfunctions.udf.CIQ(InputTicker,"IQ_IPRD_SUPPLE",Input!N$2,Date,,,Ccy,Conv)</f>
        <v>0</v>
      </c>
      <c r="M156" s="4">
        <f>_xll.ciqfunctions.udf.CIQ(InputTicker,"IQ_IPRD_SUPPLE",Input!O$2,Date,,,Ccy,Conv)</f>
        <v>0</v>
      </c>
      <c r="N156" s="49"/>
      <c r="P156" s="46"/>
      <c r="Q156" s="46"/>
      <c r="R156" s="46"/>
      <c r="T156" s="42"/>
      <c r="U156" s="42"/>
      <c r="V156" s="46"/>
      <c r="W156" s="42"/>
      <c r="X156" s="42"/>
      <c r="Y156" s="42"/>
      <c r="Z156" s="42"/>
      <c r="AA156" s="42"/>
      <c r="AB156" s="42"/>
      <c r="AC156" s="42"/>
      <c r="AD156" s="42"/>
      <c r="AE156" s="42"/>
      <c r="AF156" s="42"/>
      <c r="AG156" s="42"/>
      <c r="AH156" s="42"/>
      <c r="AI156" s="42"/>
      <c r="AJ156" s="42"/>
      <c r="AK156" s="42"/>
      <c r="AL156" s="42"/>
      <c r="AM156" s="42"/>
      <c r="AN156" s="42"/>
      <c r="AO156" s="42"/>
      <c r="AP156" s="42"/>
      <c r="AQ156" s="42"/>
      <c r="AR156" s="42"/>
      <c r="AS156" s="42"/>
      <c r="AT156" s="42"/>
      <c r="AU156" s="42"/>
      <c r="AV156" s="42"/>
      <c r="AW156" s="42"/>
      <c r="AX156" s="42"/>
      <c r="AY156" s="42"/>
      <c r="AZ156" s="42"/>
      <c r="BA156" s="42"/>
      <c r="BB156" s="42"/>
      <c r="BC156" s="42"/>
      <c r="BD156" s="42"/>
      <c r="BE156" s="42"/>
      <c r="BF156" s="42"/>
      <c r="BG156" s="42"/>
      <c r="BH156" s="42"/>
      <c r="BI156" s="42"/>
      <c r="BJ156" s="42"/>
      <c r="BK156" s="42"/>
      <c r="BL156" s="42"/>
      <c r="BM156" s="42"/>
      <c r="BN156" s="42"/>
    </row>
    <row r="157" spans="1:66" ht="12.75" customHeight="1" x14ac:dyDescent="0.2">
      <c r="A157" s="1" t="s">
        <v>464</v>
      </c>
      <c r="B157" s="4">
        <f>_xll.ciqfunctions.udf.CIQ(InputTicker,"IQ_GAIN_BARGAIN_ACQ",Input!D$2,Date,,,Ccy,Conv)</f>
        <v>0</v>
      </c>
      <c r="C157" s="4">
        <f>_xll.ciqfunctions.udf.CIQ(InputTicker,"IQ_GAIN_BARGAIN_ACQ",Input!E$2,Date,,,Ccy,Conv)</f>
        <v>0</v>
      </c>
      <c r="D157" s="4">
        <f>_xll.ciqfunctions.udf.CIQ(InputTicker,"IQ_GAIN_BARGAIN_ACQ",Input!F$2,Date,,,Ccy,Conv)</f>
        <v>0</v>
      </c>
      <c r="E157" s="4">
        <f>_xll.ciqfunctions.udf.CIQ(InputTicker,"IQ_GAIN_BARGAIN_ACQ",Input!G$2,Date,,,Ccy,Conv)</f>
        <v>0</v>
      </c>
      <c r="F157" s="4">
        <f>_xll.ciqfunctions.udf.CIQ(InputTicker,"IQ_GAIN_BARGAIN_ACQ",Input!H$2,Date,,,Ccy,Conv)</f>
        <v>0</v>
      </c>
      <c r="G157" s="4">
        <f>_xll.ciqfunctions.udf.CIQ(InputTicker,"IQ_GAIN_BARGAIN_ACQ",Input!I$2,Date,,,Ccy,Conv)</f>
        <v>0</v>
      </c>
      <c r="H157" s="4">
        <f>_xll.ciqfunctions.udf.CIQ(InputTicker,"IQ_GAIN_BARGAIN_ACQ",Input!J$2,Date,,,Ccy,Conv)</f>
        <v>0</v>
      </c>
      <c r="I157" s="4">
        <f>_xll.ciqfunctions.udf.CIQ(InputTicker,"IQ_GAIN_BARGAIN_ACQ",Input!K$2,Date,,,Ccy,Conv)</f>
        <v>0</v>
      </c>
      <c r="J157" s="4">
        <f>_xll.ciqfunctions.udf.CIQ(InputTicker,"IQ_GAIN_BARGAIN_ACQ",Input!L$2,Date,,,Ccy,Conv)</f>
        <v>0</v>
      </c>
      <c r="K157" s="4">
        <f>_xll.ciqfunctions.udf.CIQ(InputTicker,"IQ_GAIN_BARGAIN_ACQ",Input!M$2,Date,,,Ccy,Conv)</f>
        <v>0</v>
      </c>
      <c r="L157" s="4">
        <f>_xll.ciqfunctions.udf.CIQ(InputTicker,"IQ_GAIN_BARGAIN_ACQ",Input!N$2,Date,,,Ccy,Conv)</f>
        <v>0</v>
      </c>
      <c r="M157" s="4">
        <f>_xll.ciqfunctions.udf.CIQ(InputTicker,"IQ_GAIN_BARGAIN_ACQ",Input!O$2,Date,,,Ccy,Conv)</f>
        <v>0</v>
      </c>
      <c r="N157" s="49"/>
      <c r="P157" s="46"/>
      <c r="Q157" s="46"/>
      <c r="R157" s="46"/>
      <c r="T157" s="42"/>
      <c r="U157" s="42"/>
      <c r="V157" s="46"/>
      <c r="W157" s="42"/>
      <c r="X157" s="42"/>
      <c r="Y157" s="42"/>
      <c r="Z157" s="42"/>
      <c r="AA157" s="42"/>
      <c r="AB157" s="42"/>
      <c r="AC157" s="42"/>
      <c r="AD157" s="42"/>
      <c r="AE157" s="42"/>
      <c r="AF157" s="42"/>
      <c r="AG157" s="42"/>
      <c r="AH157" s="42"/>
      <c r="AI157" s="42"/>
      <c r="AJ157" s="42"/>
      <c r="AK157" s="42"/>
      <c r="AL157" s="42"/>
      <c r="AM157" s="42"/>
      <c r="AN157" s="42"/>
      <c r="AO157" s="42"/>
      <c r="AP157" s="42"/>
      <c r="AQ157" s="42"/>
      <c r="AR157" s="42"/>
      <c r="AS157" s="42"/>
      <c r="AT157" s="42"/>
      <c r="AU157" s="42"/>
      <c r="AV157" s="42"/>
      <c r="AW157" s="42"/>
      <c r="AX157" s="42"/>
      <c r="AY157" s="42"/>
      <c r="AZ157" s="42"/>
      <c r="BA157" s="42"/>
      <c r="BB157" s="42"/>
      <c r="BC157" s="42"/>
      <c r="BD157" s="42"/>
      <c r="BE157" s="42"/>
      <c r="BF157" s="42"/>
      <c r="BG157" s="42"/>
      <c r="BH157" s="42"/>
      <c r="BI157" s="42"/>
      <c r="BJ157" s="42"/>
      <c r="BK157" s="42"/>
      <c r="BL157" s="42"/>
      <c r="BM157" s="42"/>
      <c r="BN157" s="42"/>
    </row>
    <row r="158" spans="1:66" ht="12.75" customHeight="1" x14ac:dyDescent="0.2">
      <c r="A158" s="1" t="s">
        <v>465</v>
      </c>
      <c r="B158" s="4">
        <f>_xll.ciqfunctions.udf.CIQ(InputTicker,"IQ_GAIN_BARGAIN_ACQ_SUPPLE",Input!D$2,Date,,,Ccy,Conv)</f>
        <v>0</v>
      </c>
      <c r="C158" s="4">
        <f>_xll.ciqfunctions.udf.CIQ(InputTicker,"IQ_GAIN_BARGAIN_ACQ_SUPPLE",Input!E$2,Date,,,Ccy,Conv)</f>
        <v>0</v>
      </c>
      <c r="D158" s="4">
        <f>_xll.ciqfunctions.udf.CIQ(InputTicker,"IQ_GAIN_BARGAIN_ACQ_SUPPLE",Input!F$2,Date,,,Ccy,Conv)</f>
        <v>0</v>
      </c>
      <c r="E158" s="4">
        <f>_xll.ciqfunctions.udf.CIQ(InputTicker,"IQ_GAIN_BARGAIN_ACQ_SUPPLE",Input!G$2,Date,,,Ccy,Conv)</f>
        <v>0</v>
      </c>
      <c r="F158" s="4">
        <f>_xll.ciqfunctions.udf.CIQ(InputTicker,"IQ_GAIN_BARGAIN_ACQ_SUPPLE",Input!H$2,Date,,,Ccy,Conv)</f>
        <v>0</v>
      </c>
      <c r="G158" s="4">
        <f>_xll.ciqfunctions.udf.CIQ(InputTicker,"IQ_GAIN_BARGAIN_ACQ_SUPPLE",Input!I$2,Date,,,Ccy,Conv)</f>
        <v>0</v>
      </c>
      <c r="H158" s="4">
        <f>_xll.ciqfunctions.udf.CIQ(InputTicker,"IQ_GAIN_BARGAIN_ACQ_SUPPLE",Input!J$2,Date,,,Ccy,Conv)</f>
        <v>0</v>
      </c>
      <c r="I158" s="4">
        <f>_xll.ciqfunctions.udf.CIQ(InputTicker,"IQ_GAIN_BARGAIN_ACQ_SUPPLE",Input!K$2,Date,,,Ccy,Conv)</f>
        <v>0</v>
      </c>
      <c r="J158" s="4">
        <f>_xll.ciqfunctions.udf.CIQ(InputTicker,"IQ_GAIN_BARGAIN_ACQ_SUPPLE",Input!L$2,Date,,,Ccy,Conv)</f>
        <v>0</v>
      </c>
      <c r="K158" s="4">
        <f>_xll.ciqfunctions.udf.CIQ(InputTicker,"IQ_GAIN_BARGAIN_ACQ_SUPPLE",Input!M$2,Date,,,Ccy,Conv)</f>
        <v>0</v>
      </c>
      <c r="L158" s="4">
        <f>_xll.ciqfunctions.udf.CIQ(InputTicker,"IQ_GAIN_BARGAIN_ACQ_SUPPLE",Input!N$2,Date,,,Ccy,Conv)</f>
        <v>0</v>
      </c>
      <c r="M158" s="4">
        <f>_xll.ciqfunctions.udf.CIQ(InputTicker,"IQ_GAIN_BARGAIN_ACQ_SUPPLE",Input!O$2,Date,,,Ccy,Conv)</f>
        <v>0</v>
      </c>
      <c r="N158" s="49"/>
      <c r="P158" s="46"/>
      <c r="Q158" s="46"/>
      <c r="R158" s="46"/>
      <c r="T158" s="42"/>
      <c r="U158" s="42"/>
      <c r="V158" s="46"/>
      <c r="W158" s="42"/>
      <c r="X158" s="42"/>
      <c r="Y158" s="42"/>
      <c r="Z158" s="42"/>
      <c r="AA158" s="42"/>
      <c r="AB158" s="42"/>
      <c r="AC158" s="42"/>
      <c r="AD158" s="42"/>
      <c r="AE158" s="42"/>
      <c r="AF158" s="42"/>
      <c r="AG158" s="42"/>
      <c r="AH158" s="42"/>
      <c r="AI158" s="42"/>
      <c r="AJ158" s="42"/>
      <c r="AK158" s="42"/>
      <c r="AL158" s="42"/>
      <c r="AM158" s="42"/>
      <c r="AN158" s="42"/>
      <c r="AO158" s="42"/>
      <c r="AP158" s="42"/>
      <c r="AQ158" s="42"/>
      <c r="AR158" s="42"/>
      <c r="AS158" s="42"/>
      <c r="AT158" s="42"/>
      <c r="AU158" s="42"/>
      <c r="AV158" s="42"/>
      <c r="AW158" s="42"/>
      <c r="AX158" s="42"/>
      <c r="AY158" s="42"/>
      <c r="AZ158" s="42"/>
      <c r="BA158" s="42"/>
      <c r="BB158" s="42"/>
      <c r="BC158" s="42"/>
      <c r="BD158" s="42"/>
      <c r="BE158" s="42"/>
      <c r="BF158" s="42"/>
      <c r="BG158" s="42"/>
      <c r="BH158" s="42"/>
      <c r="BI158" s="42"/>
      <c r="BJ158" s="42"/>
      <c r="BK158" s="42"/>
      <c r="BL158" s="42"/>
      <c r="BM158" s="42"/>
      <c r="BN158" s="42"/>
    </row>
    <row r="159" spans="1:66" ht="12.75" customHeight="1" x14ac:dyDescent="0.2">
      <c r="A159" s="1" t="s">
        <v>416</v>
      </c>
      <c r="B159" s="4">
        <f>_xll.ciqfunctions.udf.CIQ(InputTicker,"IQ_INS_SETTLE_SUPPLE",Input!D$2,Date,,,Ccy,Conv)</f>
        <v>0</v>
      </c>
      <c r="C159" s="4">
        <f>_xll.ciqfunctions.udf.CIQ(InputTicker,"IQ_INS_SETTLE_SUPPLE",Input!E$2,Date,,,Ccy,Conv)</f>
        <v>0</v>
      </c>
      <c r="D159" s="4">
        <f>_xll.ciqfunctions.udf.CIQ(InputTicker,"IQ_INS_SETTLE_SUPPLE",Input!F$2,Date,,,Ccy,Conv)</f>
        <v>0</v>
      </c>
      <c r="E159" s="4">
        <f>_xll.ciqfunctions.udf.CIQ(InputTicker,"IQ_INS_SETTLE_SUPPLE",Input!G$2,Date,,,Ccy,Conv)</f>
        <v>0</v>
      </c>
      <c r="F159" s="4">
        <f>_xll.ciqfunctions.udf.CIQ(InputTicker,"IQ_INS_SETTLE_SUPPLE",Input!H$2,Date,,,Ccy,Conv)</f>
        <v>0</v>
      </c>
      <c r="G159" s="4">
        <f>_xll.ciqfunctions.udf.CIQ(InputTicker,"IQ_INS_SETTLE_SUPPLE",Input!I$2,Date,,,Ccy,Conv)</f>
        <v>0</v>
      </c>
      <c r="H159" s="4">
        <f>_xll.ciqfunctions.udf.CIQ(InputTicker,"IQ_INS_SETTLE_SUPPLE",Input!J$2,Date,,,Ccy,Conv)</f>
        <v>0</v>
      </c>
      <c r="I159" s="4">
        <f>_xll.ciqfunctions.udf.CIQ(InputTicker,"IQ_INS_SETTLE_SUPPLE",Input!K$2,Date,,,Ccy,Conv)</f>
        <v>0</v>
      </c>
      <c r="J159" s="4">
        <f>_xll.ciqfunctions.udf.CIQ(InputTicker,"IQ_INS_SETTLE_SUPPLE",Input!L$2,Date,,,Ccy,Conv)</f>
        <v>0</v>
      </c>
      <c r="K159" s="4">
        <f>_xll.ciqfunctions.udf.CIQ(InputTicker,"IQ_INS_SETTLE_SUPPLE",Input!M$2,Date,,,Ccy,Conv)</f>
        <v>0</v>
      </c>
      <c r="L159" s="4">
        <f>_xll.ciqfunctions.udf.CIQ(InputTicker,"IQ_INS_SETTLE_SUPPLE",Input!N$2,Date,,,Ccy,Conv)</f>
        <v>0</v>
      </c>
      <c r="M159" s="4">
        <f>_xll.ciqfunctions.udf.CIQ(InputTicker,"IQ_INS_SETTLE_SUPPLE",Input!O$2,Date,,,Ccy,Conv)</f>
        <v>0</v>
      </c>
      <c r="N159" s="49"/>
      <c r="T159" s="42"/>
      <c r="U159" s="42"/>
      <c r="V159" s="42"/>
      <c r="W159" s="42"/>
      <c r="X159" s="42"/>
      <c r="Y159" s="42"/>
      <c r="Z159" s="42"/>
      <c r="AA159" s="42"/>
      <c r="AB159" s="42"/>
      <c r="AC159" s="42"/>
      <c r="AD159" s="42"/>
      <c r="AE159" s="42"/>
      <c r="AF159" s="42"/>
      <c r="AG159" s="42"/>
      <c r="AH159" s="42"/>
      <c r="AI159" s="42"/>
      <c r="AJ159" s="42"/>
      <c r="AK159" s="42"/>
      <c r="AL159" s="42"/>
      <c r="AM159" s="42"/>
      <c r="AN159" s="42"/>
      <c r="AO159" s="42"/>
      <c r="AP159" s="42"/>
      <c r="AQ159" s="42"/>
      <c r="AR159" s="42"/>
      <c r="AS159" s="42"/>
      <c r="AT159" s="42"/>
      <c r="AU159" s="42"/>
      <c r="AV159" s="42"/>
      <c r="AW159" s="42"/>
      <c r="AX159" s="42"/>
      <c r="AY159" s="42"/>
      <c r="AZ159" s="42"/>
      <c r="BA159" s="42"/>
      <c r="BB159" s="42"/>
      <c r="BC159" s="42"/>
      <c r="BD159" s="42"/>
      <c r="BE159" s="42"/>
      <c r="BF159" s="42"/>
      <c r="BG159" s="42"/>
      <c r="BH159" s="42"/>
      <c r="BI159" s="42"/>
      <c r="BJ159" s="42"/>
      <c r="BK159" s="42"/>
      <c r="BL159" s="42"/>
      <c r="BM159" s="42"/>
      <c r="BN159" s="42"/>
    </row>
    <row r="160" spans="1:66" ht="12.75" customHeight="1" x14ac:dyDescent="0.2">
      <c r="A160" s="1" t="s">
        <v>417</v>
      </c>
      <c r="B160" s="4">
        <f>_xll.ciqfunctions.udf.CIQ(InputTicker,"IQ_LEGAL_SETTLE_SUPPLE",Input!D$2,Date,,,Ccy,Conv)</f>
        <v>0</v>
      </c>
      <c r="C160" s="4">
        <f>_xll.ciqfunctions.udf.CIQ(InputTicker,"IQ_LEGAL_SETTLE_SUPPLE",Input!E$2,Date,,,Ccy,Conv)</f>
        <v>0</v>
      </c>
      <c r="D160" s="4">
        <f>_xll.ciqfunctions.udf.CIQ(InputTicker,"IQ_LEGAL_SETTLE_SUPPLE",Input!F$2,Date,,,Ccy,Conv)</f>
        <v>0</v>
      </c>
      <c r="E160" s="4">
        <f>_xll.ciqfunctions.udf.CIQ(InputTicker,"IQ_LEGAL_SETTLE_SUPPLE",Input!G$2,Date,,,Ccy,Conv)</f>
        <v>0</v>
      </c>
      <c r="F160" s="4">
        <f>_xll.ciqfunctions.udf.CIQ(InputTicker,"IQ_LEGAL_SETTLE_SUPPLE",Input!H$2,Date,,,Ccy,Conv)</f>
        <v>0</v>
      </c>
      <c r="G160" s="4">
        <f>_xll.ciqfunctions.udf.CIQ(InputTicker,"IQ_LEGAL_SETTLE_SUPPLE",Input!I$2,Date,,,Ccy,Conv)</f>
        <v>0</v>
      </c>
      <c r="H160" s="4">
        <f>_xll.ciqfunctions.udf.CIQ(InputTicker,"IQ_LEGAL_SETTLE_SUPPLE",Input!J$2,Date,,,Ccy,Conv)</f>
        <v>0</v>
      </c>
      <c r="I160" s="4">
        <f>_xll.ciqfunctions.udf.CIQ(InputTicker,"IQ_LEGAL_SETTLE_SUPPLE",Input!K$2,Date,,,Ccy,Conv)</f>
        <v>0</v>
      </c>
      <c r="J160" s="4">
        <f>_xll.ciqfunctions.udf.CIQ(InputTicker,"IQ_LEGAL_SETTLE_SUPPLE",Input!L$2,Date,,,Ccy,Conv)</f>
        <v>0</v>
      </c>
      <c r="K160" s="4">
        <f>_xll.ciqfunctions.udf.CIQ(InputTicker,"IQ_LEGAL_SETTLE_SUPPLE",Input!M$2,Date,,,Ccy,Conv)</f>
        <v>0</v>
      </c>
      <c r="L160" s="4">
        <f>_xll.ciqfunctions.udf.CIQ(InputTicker,"IQ_LEGAL_SETTLE_SUPPLE",Input!N$2,Date,,,Ccy,Conv)</f>
        <v>0</v>
      </c>
      <c r="M160" s="4">
        <f>_xll.ciqfunctions.udf.CIQ(InputTicker,"IQ_LEGAL_SETTLE_SUPPLE",Input!O$2,Date,,,Ccy,Conv)</f>
        <v>0</v>
      </c>
      <c r="N160" s="49"/>
      <c r="T160" s="42"/>
      <c r="U160" s="42"/>
      <c r="V160" s="42"/>
      <c r="W160" s="42"/>
      <c r="X160" s="42"/>
      <c r="Y160" s="42"/>
      <c r="Z160" s="42"/>
      <c r="AA160" s="42"/>
      <c r="AB160" s="42"/>
      <c r="AC160" s="42"/>
      <c r="AD160" s="42"/>
      <c r="AE160" s="42"/>
      <c r="AF160" s="42"/>
      <c r="AG160" s="42"/>
      <c r="AH160" s="42"/>
      <c r="AI160" s="42"/>
      <c r="AJ160" s="42"/>
      <c r="AK160" s="42"/>
      <c r="AL160" s="42"/>
      <c r="AM160" s="42"/>
      <c r="AN160" s="42"/>
      <c r="AO160" s="42"/>
      <c r="AP160" s="42"/>
      <c r="AQ160" s="42"/>
      <c r="AR160" s="42"/>
      <c r="AS160" s="42"/>
      <c r="AT160" s="42"/>
      <c r="AU160" s="42"/>
      <c r="AV160" s="42"/>
      <c r="AW160" s="42"/>
      <c r="AX160" s="42"/>
      <c r="AY160" s="42"/>
      <c r="AZ160" s="42"/>
      <c r="BA160" s="42"/>
      <c r="BB160" s="42"/>
      <c r="BC160" s="42"/>
      <c r="BD160" s="42"/>
      <c r="BE160" s="42"/>
      <c r="BF160" s="42"/>
      <c r="BG160" s="42"/>
      <c r="BH160" s="42"/>
      <c r="BI160" s="42"/>
      <c r="BJ160" s="42"/>
      <c r="BK160" s="42"/>
      <c r="BL160" s="42"/>
      <c r="BM160" s="42"/>
      <c r="BN160" s="42"/>
    </row>
    <row r="161" spans="1:66" ht="12.75" customHeight="1" x14ac:dyDescent="0.2">
      <c r="A161" s="1" t="s">
        <v>418</v>
      </c>
      <c r="B161" s="4">
        <f>_xll.ciqfunctions.udf.CIQ(InputTicker,"IQ_OTHER_UNUSUAL_SUPPLE",Input!D$2,Date,,,Ccy,Conv)</f>
        <v>0</v>
      </c>
      <c r="C161" s="4">
        <f>_xll.ciqfunctions.udf.CIQ(InputTicker,"IQ_OTHER_UNUSUAL_SUPPLE",Input!E$2,Date,,,Ccy,Conv)</f>
        <v>0</v>
      </c>
      <c r="D161" s="4">
        <f>_xll.ciqfunctions.udf.CIQ(InputTicker,"IQ_OTHER_UNUSUAL_SUPPLE",Input!F$2,Date,,,Ccy,Conv)</f>
        <v>0</v>
      </c>
      <c r="E161" s="4">
        <f>_xll.ciqfunctions.udf.CIQ(InputTicker,"IQ_OTHER_UNUSUAL_SUPPLE",Input!G$2,Date,,,Ccy,Conv)</f>
        <v>0</v>
      </c>
      <c r="F161" s="4">
        <f>_xll.ciqfunctions.udf.CIQ(InputTicker,"IQ_OTHER_UNUSUAL_SUPPLE",Input!H$2,Date,,,Ccy,Conv)</f>
        <v>0</v>
      </c>
      <c r="G161" s="4">
        <f>_xll.ciqfunctions.udf.CIQ(InputTicker,"IQ_OTHER_UNUSUAL_SUPPLE",Input!I$2,Date,,,Ccy,Conv)</f>
        <v>0</v>
      </c>
      <c r="H161" s="4">
        <f>_xll.ciqfunctions.udf.CIQ(InputTicker,"IQ_OTHER_UNUSUAL_SUPPLE",Input!J$2,Date,,,Ccy,Conv)</f>
        <v>0</v>
      </c>
      <c r="I161" s="4">
        <f>_xll.ciqfunctions.udf.CIQ(InputTicker,"IQ_OTHER_UNUSUAL_SUPPLE",Input!K$2,Date,,,Ccy,Conv)</f>
        <v>0</v>
      </c>
      <c r="J161" s="4">
        <f>_xll.ciqfunctions.udf.CIQ(InputTicker,"IQ_OTHER_UNUSUAL_SUPPLE",Input!L$2,Date,,,Ccy,Conv)</f>
        <v>0</v>
      </c>
      <c r="K161" s="4">
        <f>_xll.ciqfunctions.udf.CIQ(InputTicker,"IQ_OTHER_UNUSUAL_SUPPLE",Input!M$2,Date,,,Ccy,Conv)</f>
        <v>0</v>
      </c>
      <c r="L161" s="4">
        <f>_xll.ciqfunctions.udf.CIQ(InputTicker,"IQ_OTHER_UNUSUAL_SUPPLE",Input!N$2,Date,,,Ccy,Conv)</f>
        <v>0</v>
      </c>
      <c r="M161" s="4">
        <f>_xll.ciqfunctions.udf.CIQ(InputTicker,"IQ_OTHER_UNUSUAL_SUPPLE",Input!O$2,Date,,,Ccy,Conv)</f>
        <v>0</v>
      </c>
      <c r="N161" s="49"/>
      <c r="T161" s="42"/>
      <c r="U161" s="42"/>
      <c r="V161" s="42"/>
      <c r="W161" s="42"/>
      <c r="X161" s="42"/>
      <c r="Y161" s="42"/>
      <c r="Z161" s="42"/>
      <c r="AA161" s="42"/>
      <c r="AB161" s="42"/>
      <c r="AC161" s="42"/>
      <c r="AD161" s="42"/>
      <c r="AE161" s="42"/>
      <c r="AF161" s="42"/>
      <c r="AG161" s="42"/>
      <c r="AH161" s="42"/>
      <c r="AI161" s="42"/>
      <c r="AJ161" s="42"/>
      <c r="AK161" s="42"/>
      <c r="AL161" s="42"/>
      <c r="AM161" s="42"/>
      <c r="AN161" s="42"/>
      <c r="AO161" s="42"/>
      <c r="AP161" s="42"/>
      <c r="AQ161" s="42"/>
      <c r="AR161" s="42"/>
      <c r="AS161" s="42"/>
      <c r="AT161" s="42"/>
      <c r="AU161" s="42"/>
      <c r="AV161" s="42"/>
      <c r="AW161" s="42"/>
      <c r="AX161" s="42"/>
      <c r="AY161" s="42"/>
      <c r="AZ161" s="42"/>
      <c r="BA161" s="42"/>
      <c r="BB161" s="42"/>
      <c r="BC161" s="42"/>
      <c r="BD161" s="42"/>
      <c r="BE161" s="42"/>
      <c r="BF161" s="42"/>
      <c r="BG161" s="42"/>
      <c r="BH161" s="42"/>
      <c r="BI161" s="42"/>
      <c r="BJ161" s="42"/>
      <c r="BK161" s="42"/>
      <c r="BL161" s="42"/>
      <c r="BM161" s="42"/>
      <c r="BN161" s="42"/>
    </row>
    <row r="162" spans="1:66" ht="12.75" customHeight="1" x14ac:dyDescent="0.2">
      <c r="A162" s="1" t="s">
        <v>410</v>
      </c>
      <c r="B162" s="4">
        <f>_xll.ciqfunctions.udf.CIQ(InputTicker,"IQ_TOTAL_UNUSUAL_SUPPLE",Input!D$2,Date,,,Ccy,Conv)</f>
        <v>0</v>
      </c>
      <c r="C162" s="4">
        <f>_xll.ciqfunctions.udf.CIQ(InputTicker,"IQ_TOTAL_UNUSUAL_SUPPLE",Input!E$2,Date,,,Ccy,Conv)</f>
        <v>0</v>
      </c>
      <c r="D162" s="4">
        <f>_xll.ciqfunctions.udf.CIQ(InputTicker,"IQ_TOTAL_UNUSUAL_SUPPLE",Input!F$2,Date,,,Ccy,Conv)</f>
        <v>0</v>
      </c>
      <c r="E162" s="4">
        <f>_xll.ciqfunctions.udf.CIQ(InputTicker,"IQ_TOTAL_UNUSUAL_SUPPLE",Input!G$2,Date,,,Ccy,Conv)</f>
        <v>0</v>
      </c>
      <c r="F162" s="4">
        <f>_xll.ciqfunctions.udf.CIQ(InputTicker,"IQ_TOTAL_UNUSUAL_SUPPLE",Input!H$2,Date,,,Ccy,Conv)</f>
        <v>0</v>
      </c>
      <c r="G162" s="4">
        <f>_xll.ciqfunctions.udf.CIQ(InputTicker,"IQ_TOTAL_UNUSUAL_SUPPLE",Input!I$2,Date,,,Ccy,Conv)</f>
        <v>0</v>
      </c>
      <c r="H162" s="4">
        <f>_xll.ciqfunctions.udf.CIQ(InputTicker,"IQ_TOTAL_UNUSUAL_SUPPLE",Input!J$2,Date,,,Ccy,Conv)</f>
        <v>0</v>
      </c>
      <c r="I162" s="4">
        <f>_xll.ciqfunctions.udf.CIQ(InputTicker,"IQ_TOTAL_UNUSUAL_SUPPLE",Input!K$2,Date,,,Ccy,Conv)</f>
        <v>0</v>
      </c>
      <c r="J162" s="4">
        <f>_xll.ciqfunctions.udf.CIQ(InputTicker,"IQ_TOTAL_UNUSUAL_SUPPLE",Input!L$2,Date,,,Ccy,Conv)</f>
        <v>0</v>
      </c>
      <c r="K162" s="4">
        <f>_xll.ciqfunctions.udf.CIQ(InputTicker,"IQ_TOTAL_UNUSUAL_SUPPLE",Input!M$2,Date,,,Ccy,Conv)</f>
        <v>0</v>
      </c>
      <c r="L162" s="4">
        <f>_xll.ciqfunctions.udf.CIQ(InputTicker,"IQ_TOTAL_UNUSUAL_SUPPLE",Input!N$2,Date,,,Ccy,Conv)</f>
        <v>0</v>
      </c>
      <c r="M162" s="4">
        <f>_xll.ciqfunctions.udf.CIQ(InputTicker,"IQ_TOTAL_UNUSUAL_SUPPLE",Input!O$2,Date,,,Ccy,Conv)</f>
        <v>0</v>
      </c>
      <c r="N162" s="49"/>
      <c r="T162" s="42"/>
      <c r="U162" s="42"/>
      <c r="V162" s="42"/>
      <c r="W162" s="42"/>
      <c r="X162" s="42"/>
      <c r="Y162" s="42"/>
      <c r="Z162" s="42"/>
      <c r="AA162" s="42"/>
      <c r="AB162" s="42"/>
      <c r="AC162" s="42"/>
      <c r="AD162" s="42"/>
      <c r="AE162" s="42"/>
      <c r="AF162" s="42"/>
      <c r="AG162" s="42"/>
      <c r="AH162" s="42"/>
      <c r="AI162" s="42"/>
      <c r="AJ162" s="42"/>
      <c r="AK162" s="42"/>
      <c r="AL162" s="42"/>
      <c r="AM162" s="42"/>
      <c r="AN162" s="42"/>
      <c r="AO162" s="42"/>
      <c r="AP162" s="42"/>
      <c r="AQ162" s="42"/>
      <c r="AR162" s="42"/>
      <c r="AS162" s="42"/>
      <c r="AT162" s="42"/>
      <c r="AU162" s="42"/>
      <c r="AV162" s="42"/>
      <c r="AW162" s="42"/>
      <c r="AX162" s="42"/>
      <c r="AY162" s="42"/>
      <c r="AZ162" s="42"/>
      <c r="BA162" s="42"/>
      <c r="BB162" s="42"/>
      <c r="BC162" s="42"/>
      <c r="BD162" s="42"/>
      <c r="BE162" s="42"/>
      <c r="BF162" s="42"/>
      <c r="BG162" s="42"/>
      <c r="BH162" s="42"/>
      <c r="BI162" s="42"/>
      <c r="BJ162" s="42"/>
      <c r="BK162" s="42"/>
      <c r="BL162" s="42"/>
      <c r="BM162" s="42"/>
      <c r="BN162" s="42"/>
    </row>
    <row r="163" spans="1:66" ht="12.75" customHeight="1" x14ac:dyDescent="0.2">
      <c r="A163" s="1" t="s">
        <v>40</v>
      </c>
      <c r="B163" s="4">
        <f>_xll.ciqfunctions.udf.CIQ(InputTicker,"IQ_NEGATIVE_GW_AMORT",Input!D$2,Date,,,Ccy,Conv)</f>
        <v>0</v>
      </c>
      <c r="C163" s="4">
        <f>_xll.ciqfunctions.udf.CIQ(InputTicker,"IQ_NEGATIVE_GW_AMORT",Input!E$2,Date,,,Ccy,Conv)</f>
        <v>0</v>
      </c>
      <c r="D163" s="4">
        <f>_xll.ciqfunctions.udf.CIQ(InputTicker,"IQ_NEGATIVE_GW_AMORT",Input!F$2,Date,,,Ccy,Conv)</f>
        <v>0</v>
      </c>
      <c r="E163" s="4">
        <f>_xll.ciqfunctions.udf.CIQ(InputTicker,"IQ_NEGATIVE_GW_AMORT",Input!G$2,Date,,,Ccy,Conv)</f>
        <v>0</v>
      </c>
      <c r="F163" s="4">
        <f>_xll.ciqfunctions.udf.CIQ(InputTicker,"IQ_NEGATIVE_GW_AMORT",Input!H$2,Date,,,Ccy,Conv)</f>
        <v>0</v>
      </c>
      <c r="G163" s="4">
        <f>_xll.ciqfunctions.udf.CIQ(InputTicker,"IQ_NEGATIVE_GW_AMORT",Input!I$2,Date,,,Ccy,Conv)</f>
        <v>0</v>
      </c>
      <c r="H163" s="4">
        <f>_xll.ciqfunctions.udf.CIQ(InputTicker,"IQ_NEGATIVE_GW_AMORT",Input!J$2,Date,,,Ccy,Conv)</f>
        <v>0</v>
      </c>
      <c r="I163" s="4">
        <f>_xll.ciqfunctions.udf.CIQ(InputTicker,"IQ_NEGATIVE_GW_AMORT",Input!K$2,Date,,,Ccy,Conv)</f>
        <v>0</v>
      </c>
      <c r="J163" s="4">
        <f>_xll.ciqfunctions.udf.CIQ(InputTicker,"IQ_NEGATIVE_GW_AMORT",Input!L$2,Date,,,Ccy,Conv)</f>
        <v>0</v>
      </c>
      <c r="K163" s="4">
        <f>_xll.ciqfunctions.udf.CIQ(InputTicker,"IQ_NEGATIVE_GW_AMORT",Input!M$2,Date,,,Ccy,Conv)</f>
        <v>0</v>
      </c>
      <c r="L163" s="4">
        <f>_xll.ciqfunctions.udf.CIQ(InputTicker,"IQ_NEGATIVE_GW_AMORT",Input!N$2,Date,,,Ccy,Conv)</f>
        <v>0</v>
      </c>
      <c r="M163" s="4">
        <f>_xll.ciqfunctions.udf.CIQ(InputTicker,"IQ_NEGATIVE_GW_AMORT",Input!O$2,Date,,,Ccy,Conv)</f>
        <v>0</v>
      </c>
      <c r="N163" s="49"/>
      <c r="P163" s="51"/>
      <c r="Q163" s="51"/>
      <c r="R163" s="51"/>
      <c r="T163" s="42"/>
      <c r="U163" s="42"/>
      <c r="V163" s="51"/>
      <c r="W163" s="42"/>
      <c r="X163" s="42"/>
      <c r="Y163" s="42"/>
      <c r="Z163" s="42"/>
      <c r="AA163" s="42"/>
      <c r="AB163" s="42"/>
      <c r="AC163" s="42"/>
      <c r="AD163" s="42"/>
      <c r="AE163" s="42"/>
      <c r="AF163" s="42"/>
      <c r="AG163" s="42"/>
      <c r="AH163" s="42"/>
      <c r="AI163" s="42"/>
      <c r="AJ163" s="42"/>
      <c r="AK163" s="42"/>
      <c r="AL163" s="42"/>
      <c r="AM163" s="42"/>
      <c r="AN163" s="42"/>
      <c r="AO163" s="42"/>
      <c r="AP163" s="42"/>
      <c r="AQ163" s="42"/>
      <c r="AR163" s="42"/>
      <c r="AS163" s="42"/>
      <c r="AT163" s="42"/>
      <c r="AU163" s="42"/>
      <c r="AV163" s="42"/>
      <c r="AW163" s="42"/>
      <c r="AX163" s="42"/>
      <c r="AY163" s="42"/>
      <c r="AZ163" s="42"/>
      <c r="BA163" s="42"/>
      <c r="BB163" s="42"/>
      <c r="BC163" s="42"/>
      <c r="BD163" s="42"/>
      <c r="BE163" s="42"/>
      <c r="BF163" s="42"/>
      <c r="BG163" s="42"/>
      <c r="BH163" s="42"/>
      <c r="BI163" s="42"/>
      <c r="BJ163" s="42"/>
      <c r="BK163" s="42"/>
      <c r="BL163" s="42"/>
      <c r="BM163" s="42"/>
      <c r="BN163" s="42"/>
    </row>
    <row r="164" spans="1:66" ht="12.75" customHeight="1" x14ac:dyDescent="0.2">
      <c r="A164" s="1" t="s">
        <v>41</v>
      </c>
      <c r="B164" s="4">
        <f>_xll.ciqfunctions.udf.CIQ(InputTicker,"IQ_NEGATIVE_GW_AMORT_AT",Input!D$2,Date,,,Ccy,Conv)</f>
        <v>0</v>
      </c>
      <c r="C164" s="4">
        <f>_xll.ciqfunctions.udf.CIQ(InputTicker,"IQ_NEGATIVE_GW_AMORT_AT",Input!E$2,Date,,,Ccy,Conv)</f>
        <v>0</v>
      </c>
      <c r="D164" s="4">
        <f>_xll.ciqfunctions.udf.CIQ(InputTicker,"IQ_NEGATIVE_GW_AMORT_AT",Input!F$2,Date,,,Ccy,Conv)</f>
        <v>0</v>
      </c>
      <c r="E164" s="4">
        <f>_xll.ciqfunctions.udf.CIQ(InputTicker,"IQ_NEGATIVE_GW_AMORT_AT",Input!G$2,Date,,,Ccy,Conv)</f>
        <v>0</v>
      </c>
      <c r="F164" s="4">
        <f>_xll.ciqfunctions.udf.CIQ(InputTicker,"IQ_NEGATIVE_GW_AMORT_AT",Input!H$2,Date,,,Ccy,Conv)</f>
        <v>0</v>
      </c>
      <c r="G164" s="4">
        <f>_xll.ciqfunctions.udf.CIQ(InputTicker,"IQ_NEGATIVE_GW_AMORT_AT",Input!I$2,Date,,,Ccy,Conv)</f>
        <v>0</v>
      </c>
      <c r="H164" s="4">
        <f>_xll.ciqfunctions.udf.CIQ(InputTicker,"IQ_NEGATIVE_GW_AMORT_AT",Input!J$2,Date,,,Ccy,Conv)</f>
        <v>0</v>
      </c>
      <c r="I164" s="4">
        <f>_xll.ciqfunctions.udf.CIQ(InputTicker,"IQ_NEGATIVE_GW_AMORT_AT",Input!K$2,Date,,,Ccy,Conv)</f>
        <v>0</v>
      </c>
      <c r="J164" s="4">
        <f>_xll.ciqfunctions.udf.CIQ(InputTicker,"IQ_NEGATIVE_GW_AMORT_AT",Input!L$2,Date,,,Ccy,Conv)</f>
        <v>0</v>
      </c>
      <c r="K164" s="4">
        <f>_xll.ciqfunctions.udf.CIQ(InputTicker,"IQ_NEGATIVE_GW_AMORT_AT",Input!M$2,Date,,,Ccy,Conv)</f>
        <v>0</v>
      </c>
      <c r="L164" s="4">
        <f>_xll.ciqfunctions.udf.CIQ(InputTicker,"IQ_NEGATIVE_GW_AMORT_AT",Input!N$2,Date,,,Ccy,Conv)</f>
        <v>0</v>
      </c>
      <c r="M164" s="4">
        <f>_xll.ciqfunctions.udf.CIQ(InputTicker,"IQ_NEGATIVE_GW_AMORT_AT",Input!O$2,Date,,,Ccy,Conv)</f>
        <v>0</v>
      </c>
      <c r="N164" s="49"/>
      <c r="P164" s="51"/>
      <c r="Q164" s="51"/>
      <c r="R164" s="51"/>
      <c r="T164" s="42"/>
      <c r="U164" s="42"/>
      <c r="V164" s="51"/>
      <c r="W164" s="42"/>
      <c r="X164" s="42"/>
      <c r="Y164" s="42"/>
      <c r="Z164" s="42"/>
      <c r="AA164" s="42"/>
      <c r="AB164" s="42"/>
      <c r="AC164" s="42"/>
      <c r="AD164" s="42"/>
      <c r="AE164" s="42"/>
      <c r="AF164" s="42"/>
      <c r="AG164" s="42"/>
      <c r="AH164" s="42"/>
      <c r="AI164" s="42"/>
      <c r="AJ164" s="42"/>
      <c r="AK164" s="42"/>
      <c r="AL164" s="42"/>
      <c r="AM164" s="42"/>
      <c r="AN164" s="42"/>
      <c r="AO164" s="42"/>
      <c r="AP164" s="42"/>
      <c r="AQ164" s="42"/>
      <c r="AR164" s="42"/>
      <c r="AS164" s="42"/>
      <c r="AT164" s="42"/>
      <c r="AU164" s="42"/>
      <c r="AV164" s="42"/>
      <c r="AW164" s="42"/>
      <c r="AX164" s="42"/>
      <c r="AY164" s="42"/>
      <c r="AZ164" s="42"/>
      <c r="BA164" s="42"/>
      <c r="BB164" s="42"/>
      <c r="BC164" s="42"/>
      <c r="BD164" s="42"/>
      <c r="BE164" s="42"/>
      <c r="BF164" s="42"/>
      <c r="BG164" s="42"/>
      <c r="BH164" s="42"/>
      <c r="BI164" s="42"/>
      <c r="BJ164" s="42"/>
      <c r="BK164" s="42"/>
      <c r="BL164" s="42"/>
      <c r="BM164" s="42"/>
      <c r="BN164" s="42"/>
    </row>
    <row r="165" spans="1:66" ht="12.75" customHeight="1" x14ac:dyDescent="0.2">
      <c r="A165" s="1" t="s">
        <v>336</v>
      </c>
      <c r="B165" s="4">
        <f>_xll.ciqfunctions.udf.CIQ(InputTicker, "IQ_STOCK_BASED_COGS",Input!D$2,Date,,,Ccy,Conv)</f>
        <v>0</v>
      </c>
      <c r="C165" s="4">
        <f>_xll.ciqfunctions.udf.CIQ(InputTicker, "IQ_STOCK_BASED_COGS",Input!E$2,Date,,,Ccy,Conv)</f>
        <v>0</v>
      </c>
      <c r="D165" s="4">
        <f>_xll.ciqfunctions.udf.CIQ(InputTicker, "IQ_STOCK_BASED_COGS",Input!F$2,Date,,,Ccy,Conv)</f>
        <v>0</v>
      </c>
      <c r="E165" s="4">
        <f>_xll.ciqfunctions.udf.CIQ(InputTicker, "IQ_STOCK_BASED_COGS",Input!G$2,Date,,,Ccy,Conv)</f>
        <v>0</v>
      </c>
      <c r="F165" s="4">
        <f>_xll.ciqfunctions.udf.CIQ(InputTicker, "IQ_STOCK_BASED_COGS",Input!H$2,Date,,,Ccy,Conv)</f>
        <v>0</v>
      </c>
      <c r="G165" s="4">
        <f>_xll.ciqfunctions.udf.CIQ(InputTicker, "IQ_STOCK_BASED_COGS",Input!I$2,Date,,,Ccy,Conv)</f>
        <v>0</v>
      </c>
      <c r="H165" s="4">
        <f>_xll.ciqfunctions.udf.CIQ(InputTicker, "IQ_STOCK_BASED_COGS",Input!J$2,Date,,,Ccy,Conv)</f>
        <v>0</v>
      </c>
      <c r="I165" s="4">
        <f>_xll.ciqfunctions.udf.CIQ(InputTicker, "IQ_STOCK_BASED_COGS",Input!K$2,Date,,,Ccy,Conv)</f>
        <v>0</v>
      </c>
      <c r="J165" s="4">
        <f>_xll.ciqfunctions.udf.CIQ(InputTicker, "IQ_STOCK_BASED_COGS",Input!L$2,Date,,,Ccy,Conv)</f>
        <v>0</v>
      </c>
      <c r="K165" s="4">
        <f>_xll.ciqfunctions.udf.CIQ(InputTicker, "IQ_STOCK_BASED_COGS",Input!M$2,Date,,,Ccy,Conv)</f>
        <v>0</v>
      </c>
      <c r="L165" s="4">
        <f>_xll.ciqfunctions.udf.CIQ(InputTicker, "IQ_STOCK_BASED_COGS",Input!N$2,Date,,,Ccy,Conv)</f>
        <v>0</v>
      </c>
      <c r="M165" s="4">
        <f>_xll.ciqfunctions.udf.CIQ(InputTicker, "IQ_STOCK_BASED_COGS",Input!O$2,Date,,,Ccy,Conv)</f>
        <v>0</v>
      </c>
      <c r="N165" s="49"/>
      <c r="P165" s="51"/>
      <c r="Q165" s="51"/>
      <c r="R165" s="51"/>
      <c r="T165" s="42"/>
      <c r="U165" s="42"/>
      <c r="V165" s="51"/>
      <c r="W165" s="42"/>
      <c r="X165" s="42"/>
      <c r="Y165" s="42"/>
      <c r="Z165" s="42"/>
      <c r="AA165" s="42"/>
      <c r="AB165" s="42"/>
      <c r="AC165" s="42"/>
      <c r="AD165" s="42"/>
      <c r="AE165" s="42"/>
      <c r="AF165" s="42"/>
      <c r="AG165" s="42"/>
      <c r="AH165" s="42"/>
      <c r="AI165" s="42"/>
      <c r="AJ165" s="42"/>
      <c r="AK165" s="42"/>
      <c r="AL165" s="42"/>
      <c r="AM165" s="42"/>
      <c r="AN165" s="42"/>
      <c r="AO165" s="42"/>
      <c r="AP165" s="42"/>
      <c r="AQ165" s="42"/>
      <c r="AR165" s="42"/>
      <c r="AS165" s="42"/>
      <c r="AT165" s="42"/>
      <c r="AU165" s="42"/>
      <c r="AV165" s="42"/>
      <c r="AW165" s="42"/>
      <c r="AX165" s="42"/>
      <c r="AY165" s="42"/>
      <c r="AZ165" s="42"/>
      <c r="BA165" s="42"/>
      <c r="BB165" s="42"/>
      <c r="BC165" s="42"/>
      <c r="BD165" s="42"/>
      <c r="BE165" s="42"/>
      <c r="BF165" s="42"/>
      <c r="BG165" s="42"/>
      <c r="BH165" s="42"/>
      <c r="BI165" s="42"/>
      <c r="BJ165" s="42"/>
      <c r="BK165" s="42"/>
      <c r="BL165" s="42"/>
      <c r="BM165" s="42"/>
      <c r="BN165" s="42"/>
    </row>
    <row r="166" spans="1:66" ht="12.75" customHeight="1" x14ac:dyDescent="0.2">
      <c r="A166" s="1" t="s">
        <v>337</v>
      </c>
      <c r="B166" s="4">
        <f>_xll.ciqfunctions.udf.CIQ(InputTicker, "IQ_STOCK_BASED_RD",Input!D$2,Date,,,Ccy,Conv)</f>
        <v>0</v>
      </c>
      <c r="C166" s="4">
        <f>_xll.ciqfunctions.udf.CIQ(InputTicker, "IQ_STOCK_BASED_RD",Input!E$2,Date,,,Ccy,Conv)</f>
        <v>0</v>
      </c>
      <c r="D166" s="4">
        <f>_xll.ciqfunctions.udf.CIQ(InputTicker, "IQ_STOCK_BASED_RD",Input!F$2,Date,,,Ccy,Conv)</f>
        <v>0</v>
      </c>
      <c r="E166" s="4">
        <f>_xll.ciqfunctions.udf.CIQ(InputTicker, "IQ_STOCK_BASED_RD",Input!G$2,Date,,,Ccy,Conv)</f>
        <v>0</v>
      </c>
      <c r="F166" s="4">
        <f>_xll.ciqfunctions.udf.CIQ(InputTicker, "IQ_STOCK_BASED_RD",Input!H$2,Date,,,Ccy,Conv)</f>
        <v>0</v>
      </c>
      <c r="G166" s="4">
        <f>_xll.ciqfunctions.udf.CIQ(InputTicker, "IQ_STOCK_BASED_RD",Input!I$2,Date,,,Ccy,Conv)</f>
        <v>0</v>
      </c>
      <c r="H166" s="4">
        <f>_xll.ciqfunctions.udf.CIQ(InputTicker, "IQ_STOCK_BASED_RD",Input!J$2,Date,,,Ccy,Conv)</f>
        <v>0</v>
      </c>
      <c r="I166" s="4">
        <f>_xll.ciqfunctions.udf.CIQ(InputTicker, "IQ_STOCK_BASED_RD",Input!K$2,Date,,,Ccy,Conv)</f>
        <v>0</v>
      </c>
      <c r="J166" s="4">
        <f>_xll.ciqfunctions.udf.CIQ(InputTicker, "IQ_STOCK_BASED_RD",Input!L$2,Date,,,Ccy,Conv)</f>
        <v>0</v>
      </c>
      <c r="K166" s="4">
        <f>_xll.ciqfunctions.udf.CIQ(InputTicker, "IQ_STOCK_BASED_RD",Input!M$2,Date,,,Ccy,Conv)</f>
        <v>0</v>
      </c>
      <c r="L166" s="4">
        <f>_xll.ciqfunctions.udf.CIQ(InputTicker, "IQ_STOCK_BASED_RD",Input!N$2,Date,,,Ccy,Conv)</f>
        <v>0</v>
      </c>
      <c r="M166" s="4">
        <f>_xll.ciqfunctions.udf.CIQ(InputTicker, "IQ_STOCK_BASED_RD",Input!O$2,Date,,,Ccy,Conv)</f>
        <v>0</v>
      </c>
      <c r="N166" s="49"/>
      <c r="P166" s="51"/>
      <c r="Q166" s="51"/>
      <c r="R166" s="51"/>
      <c r="T166" s="42"/>
      <c r="U166" s="42"/>
      <c r="V166" s="51"/>
      <c r="W166" s="42"/>
      <c r="X166" s="42"/>
      <c r="Y166" s="42"/>
      <c r="Z166" s="42"/>
      <c r="AA166" s="42"/>
      <c r="AB166" s="42"/>
      <c r="AC166" s="42"/>
      <c r="AD166" s="42"/>
      <c r="AE166" s="42"/>
      <c r="AF166" s="42"/>
      <c r="AG166" s="42"/>
      <c r="AH166" s="42"/>
      <c r="AI166" s="42"/>
      <c r="AJ166" s="42"/>
      <c r="AK166" s="42"/>
      <c r="AL166" s="42"/>
      <c r="AM166" s="42"/>
      <c r="AN166" s="42"/>
      <c r="AO166" s="42"/>
      <c r="AP166" s="42"/>
      <c r="AQ166" s="42"/>
      <c r="AR166" s="42"/>
      <c r="AS166" s="42"/>
      <c r="AT166" s="42"/>
      <c r="AU166" s="42"/>
      <c r="AV166" s="42"/>
      <c r="AW166" s="42"/>
      <c r="AX166" s="42"/>
      <c r="AY166" s="42"/>
      <c r="AZ166" s="42"/>
      <c r="BA166" s="42"/>
      <c r="BB166" s="42"/>
      <c r="BC166" s="42"/>
      <c r="BD166" s="42"/>
      <c r="BE166" s="42"/>
      <c r="BF166" s="42"/>
      <c r="BG166" s="42"/>
      <c r="BH166" s="42"/>
      <c r="BI166" s="42"/>
      <c r="BJ166" s="42"/>
      <c r="BK166" s="42"/>
      <c r="BL166" s="42"/>
      <c r="BM166" s="42"/>
      <c r="BN166" s="42"/>
    </row>
    <row r="167" spans="1:66" ht="12.75" customHeight="1" x14ac:dyDescent="0.2">
      <c r="A167" s="1" t="s">
        <v>338</v>
      </c>
      <c r="B167" s="4">
        <f>_xll.ciqfunctions.udf.CIQ(InputTicker, "IQ_STOCK_BASED_SM",Input!D$2,Date,,,Ccy,Conv)</f>
        <v>0</v>
      </c>
      <c r="C167" s="4">
        <f>_xll.ciqfunctions.udf.CIQ(InputTicker, "IQ_STOCK_BASED_SM",Input!E$2,Date,,,Ccy,Conv)</f>
        <v>0</v>
      </c>
      <c r="D167" s="4">
        <f>_xll.ciqfunctions.udf.CIQ(InputTicker, "IQ_STOCK_BASED_SM",Input!F$2,Date,,,Ccy,Conv)</f>
        <v>0</v>
      </c>
      <c r="E167" s="4">
        <f>_xll.ciqfunctions.udf.CIQ(InputTicker, "IQ_STOCK_BASED_SM",Input!G$2,Date,,,Ccy,Conv)</f>
        <v>0</v>
      </c>
      <c r="F167" s="4">
        <f>_xll.ciqfunctions.udf.CIQ(InputTicker, "IQ_STOCK_BASED_SM",Input!H$2,Date,,,Ccy,Conv)</f>
        <v>0</v>
      </c>
      <c r="G167" s="4">
        <f>_xll.ciqfunctions.udf.CIQ(InputTicker, "IQ_STOCK_BASED_SM",Input!I$2,Date,,,Ccy,Conv)</f>
        <v>0</v>
      </c>
      <c r="H167" s="4">
        <f>_xll.ciqfunctions.udf.CIQ(InputTicker, "IQ_STOCK_BASED_SM",Input!J$2,Date,,,Ccy,Conv)</f>
        <v>0</v>
      </c>
      <c r="I167" s="4">
        <f>_xll.ciqfunctions.udf.CIQ(InputTicker, "IQ_STOCK_BASED_SM",Input!K$2,Date,,,Ccy,Conv)</f>
        <v>0</v>
      </c>
      <c r="J167" s="4">
        <f>_xll.ciqfunctions.udf.CIQ(InputTicker, "IQ_STOCK_BASED_SM",Input!L$2,Date,,,Ccy,Conv)</f>
        <v>0</v>
      </c>
      <c r="K167" s="4">
        <f>_xll.ciqfunctions.udf.CIQ(InputTicker, "IQ_STOCK_BASED_SM",Input!M$2,Date,,,Ccy,Conv)</f>
        <v>0</v>
      </c>
      <c r="L167" s="4">
        <f>_xll.ciqfunctions.udf.CIQ(InputTicker, "IQ_STOCK_BASED_SM",Input!N$2,Date,,,Ccy,Conv)</f>
        <v>0</v>
      </c>
      <c r="M167" s="4">
        <f>_xll.ciqfunctions.udf.CIQ(InputTicker, "IQ_STOCK_BASED_SM",Input!O$2,Date,,,Ccy,Conv)</f>
        <v>0</v>
      </c>
      <c r="N167" s="49"/>
      <c r="P167" s="51"/>
      <c r="Q167" s="51"/>
      <c r="R167" s="51"/>
      <c r="T167" s="42"/>
      <c r="U167" s="42"/>
      <c r="V167" s="51"/>
      <c r="W167" s="42"/>
      <c r="X167" s="42"/>
      <c r="Y167" s="42"/>
      <c r="Z167" s="42"/>
      <c r="AA167" s="42"/>
      <c r="AB167" s="42"/>
      <c r="AC167" s="42"/>
      <c r="AD167" s="42"/>
      <c r="AE167" s="42"/>
      <c r="AF167" s="42"/>
      <c r="AG167" s="42"/>
      <c r="AH167" s="42"/>
      <c r="AI167" s="42"/>
      <c r="AJ167" s="42"/>
      <c r="AK167" s="42"/>
      <c r="AL167" s="42"/>
      <c r="AM167" s="42"/>
      <c r="AN167" s="42"/>
      <c r="AO167" s="42"/>
      <c r="AP167" s="42"/>
      <c r="AQ167" s="42"/>
      <c r="AR167" s="42"/>
      <c r="AS167" s="42"/>
      <c r="AT167" s="42"/>
      <c r="AU167" s="42"/>
      <c r="AV167" s="42"/>
      <c r="AW167" s="42"/>
      <c r="AX167" s="42"/>
      <c r="AY167" s="42"/>
      <c r="AZ167" s="42"/>
      <c r="BA167" s="42"/>
      <c r="BB167" s="42"/>
      <c r="BC167" s="42"/>
      <c r="BD167" s="42"/>
      <c r="BE167" s="42"/>
      <c r="BF167" s="42"/>
      <c r="BG167" s="42"/>
      <c r="BH167" s="42"/>
      <c r="BI167" s="42"/>
      <c r="BJ167" s="42"/>
      <c r="BK167" s="42"/>
      <c r="BL167" s="42"/>
      <c r="BM167" s="42"/>
      <c r="BN167" s="42"/>
    </row>
    <row r="168" spans="1:66" ht="12.75" customHeight="1" x14ac:dyDescent="0.2">
      <c r="A168" s="1" t="s">
        <v>339</v>
      </c>
      <c r="B168" s="4">
        <f>_xll.ciqfunctions.udf.CIQ(InputTicker, "IQ_STOCK_BASED_GA",Input!D$2,Date,,,Ccy,Conv)</f>
        <v>0</v>
      </c>
      <c r="C168" s="4">
        <f>_xll.ciqfunctions.udf.CIQ(InputTicker, "IQ_STOCK_BASED_GA",Input!E$2,Date,,,Ccy,Conv)</f>
        <v>0</v>
      </c>
      <c r="D168" s="4">
        <f>_xll.ciqfunctions.udf.CIQ(InputTicker, "IQ_STOCK_BASED_GA",Input!F$2,Date,,,Ccy,Conv)</f>
        <v>0</v>
      </c>
      <c r="E168" s="4">
        <f>_xll.ciqfunctions.udf.CIQ(InputTicker, "IQ_STOCK_BASED_GA",Input!G$2,Date,,,Ccy,Conv)</f>
        <v>0</v>
      </c>
      <c r="F168" s="4">
        <f>_xll.ciqfunctions.udf.CIQ(InputTicker, "IQ_STOCK_BASED_GA",Input!H$2,Date,,,Ccy,Conv)</f>
        <v>0</v>
      </c>
      <c r="G168" s="4">
        <f>_xll.ciqfunctions.udf.CIQ(InputTicker, "IQ_STOCK_BASED_GA",Input!I$2,Date,,,Ccy,Conv)</f>
        <v>0</v>
      </c>
      <c r="H168" s="4">
        <f>_xll.ciqfunctions.udf.CIQ(InputTicker, "IQ_STOCK_BASED_GA",Input!J$2,Date,,,Ccy,Conv)</f>
        <v>0</v>
      </c>
      <c r="I168" s="4">
        <f>_xll.ciqfunctions.udf.CIQ(InputTicker, "IQ_STOCK_BASED_GA",Input!K$2,Date,,,Ccy,Conv)</f>
        <v>0</v>
      </c>
      <c r="J168" s="4">
        <f>_xll.ciqfunctions.udf.CIQ(InputTicker, "IQ_STOCK_BASED_GA",Input!L$2,Date,,,Ccy,Conv)</f>
        <v>0</v>
      </c>
      <c r="K168" s="4">
        <f>_xll.ciqfunctions.udf.CIQ(InputTicker, "IQ_STOCK_BASED_GA",Input!M$2,Date,,,Ccy,Conv)</f>
        <v>0</v>
      </c>
      <c r="L168" s="4">
        <f>_xll.ciqfunctions.udf.CIQ(InputTicker, "IQ_STOCK_BASED_GA",Input!N$2,Date,,,Ccy,Conv)</f>
        <v>0</v>
      </c>
      <c r="M168" s="4">
        <f>_xll.ciqfunctions.udf.CIQ(InputTicker, "IQ_STOCK_BASED_GA",Input!O$2,Date,,,Ccy,Conv)</f>
        <v>0</v>
      </c>
      <c r="N168" s="49"/>
      <c r="P168" s="51"/>
      <c r="Q168" s="51"/>
      <c r="R168" s="51"/>
      <c r="T168" s="42"/>
      <c r="U168" s="42"/>
      <c r="V168" s="51"/>
      <c r="W168" s="42"/>
      <c r="X168" s="42"/>
      <c r="Y168" s="42"/>
      <c r="Z168" s="42"/>
      <c r="AA168" s="42"/>
      <c r="AB168" s="42"/>
      <c r="AC168" s="42"/>
      <c r="AD168" s="42"/>
      <c r="AE168" s="42"/>
      <c r="AF168" s="42"/>
      <c r="AG168" s="42"/>
      <c r="AH168" s="42"/>
      <c r="AI168" s="42"/>
      <c r="AJ168" s="42"/>
      <c r="AK168" s="42"/>
      <c r="AL168" s="42"/>
      <c r="AM168" s="42"/>
      <c r="AN168" s="42"/>
      <c r="AO168" s="42"/>
      <c r="AP168" s="42"/>
      <c r="AQ168" s="42"/>
      <c r="AR168" s="42"/>
      <c r="AS168" s="42"/>
      <c r="AT168" s="42"/>
      <c r="AU168" s="42"/>
      <c r="AV168" s="42"/>
      <c r="AW168" s="42"/>
      <c r="AX168" s="42"/>
      <c r="AY168" s="42"/>
      <c r="AZ168" s="42"/>
      <c r="BA168" s="42"/>
      <c r="BB168" s="42"/>
      <c r="BC168" s="42"/>
      <c r="BD168" s="42"/>
      <c r="BE168" s="42"/>
      <c r="BF168" s="42"/>
      <c r="BG168" s="42"/>
      <c r="BH168" s="42"/>
      <c r="BI168" s="42"/>
      <c r="BJ168" s="42"/>
      <c r="BK168" s="42"/>
      <c r="BL168" s="42"/>
      <c r="BM168" s="42"/>
      <c r="BN168" s="42"/>
    </row>
    <row r="169" spans="1:66" ht="12.75" customHeight="1" x14ac:dyDescent="0.2">
      <c r="A169" s="1" t="s">
        <v>340</v>
      </c>
      <c r="B169" s="4">
        <f>_xll.ciqfunctions.udf.CIQ(InputTicker, "IQ_STOCK_BASED_SGA",Input!D$2,Date,,,Ccy,Conv)</f>
        <v>0</v>
      </c>
      <c r="C169" s="4">
        <f>_xll.ciqfunctions.udf.CIQ(InputTicker, "IQ_STOCK_BASED_SGA",Input!E$2,Date,,,Ccy,Conv)</f>
        <v>0</v>
      </c>
      <c r="D169" s="4">
        <f>_xll.ciqfunctions.udf.CIQ(InputTicker, "IQ_STOCK_BASED_SGA",Input!F$2,Date,,,Ccy,Conv)</f>
        <v>0</v>
      </c>
      <c r="E169" s="4">
        <f>_xll.ciqfunctions.udf.CIQ(InputTicker, "IQ_STOCK_BASED_SGA",Input!G$2,Date,,,Ccy,Conv)</f>
        <v>0</v>
      </c>
      <c r="F169" s="4">
        <f>_xll.ciqfunctions.udf.CIQ(InputTicker, "IQ_STOCK_BASED_SGA",Input!H$2,Date,,,Ccy,Conv)</f>
        <v>0</v>
      </c>
      <c r="G169" s="4">
        <f>_xll.ciqfunctions.udf.CIQ(InputTicker, "IQ_STOCK_BASED_SGA",Input!I$2,Date,,,Ccy,Conv)</f>
        <v>0</v>
      </c>
      <c r="H169" s="4">
        <f>_xll.ciqfunctions.udf.CIQ(InputTicker, "IQ_STOCK_BASED_SGA",Input!J$2,Date,,,Ccy,Conv)</f>
        <v>0</v>
      </c>
      <c r="I169" s="4">
        <f>_xll.ciqfunctions.udf.CIQ(InputTicker, "IQ_STOCK_BASED_SGA",Input!K$2,Date,,,Ccy,Conv)</f>
        <v>0</v>
      </c>
      <c r="J169" s="4">
        <f>_xll.ciqfunctions.udf.CIQ(InputTicker, "IQ_STOCK_BASED_SGA",Input!L$2,Date,,,Ccy,Conv)</f>
        <v>0</v>
      </c>
      <c r="K169" s="4">
        <f>_xll.ciqfunctions.udf.CIQ(InputTicker, "IQ_STOCK_BASED_SGA",Input!M$2,Date,,,Ccy,Conv)</f>
        <v>0</v>
      </c>
      <c r="L169" s="4">
        <f>_xll.ciqfunctions.udf.CIQ(InputTicker, "IQ_STOCK_BASED_SGA",Input!N$2,Date,,,Ccy,Conv)</f>
        <v>0</v>
      </c>
      <c r="M169" s="4">
        <f>_xll.ciqfunctions.udf.CIQ(InputTicker, "IQ_STOCK_BASED_SGA",Input!O$2,Date,,,Ccy,Conv)</f>
        <v>0</v>
      </c>
      <c r="N169" s="49"/>
      <c r="P169" s="51"/>
      <c r="Q169" s="51"/>
      <c r="R169" s="51"/>
      <c r="T169" s="42"/>
      <c r="U169" s="42"/>
      <c r="V169" s="51"/>
      <c r="W169" s="42"/>
      <c r="X169" s="42"/>
      <c r="Y169" s="42"/>
      <c r="Z169" s="42"/>
      <c r="AA169" s="42"/>
      <c r="AB169" s="42"/>
      <c r="AC169" s="42"/>
      <c r="AD169" s="42"/>
      <c r="AE169" s="42"/>
      <c r="AF169" s="42"/>
      <c r="AG169" s="42"/>
      <c r="AH169" s="42"/>
      <c r="AI169" s="42"/>
      <c r="AJ169" s="42"/>
      <c r="AK169" s="42"/>
      <c r="AL169" s="42"/>
      <c r="AM169" s="42"/>
      <c r="AN169" s="42"/>
      <c r="AO169" s="42"/>
      <c r="AP169" s="42"/>
      <c r="AQ169" s="42"/>
      <c r="AR169" s="42"/>
      <c r="AS169" s="42"/>
      <c r="AT169" s="42"/>
      <c r="AU169" s="42"/>
      <c r="AV169" s="42"/>
      <c r="AW169" s="42"/>
      <c r="AX169" s="42"/>
      <c r="AY169" s="42"/>
      <c r="AZ169" s="42"/>
      <c r="BA169" s="42"/>
      <c r="BB169" s="42"/>
      <c r="BC169" s="42"/>
      <c r="BD169" s="42"/>
      <c r="BE169" s="42"/>
      <c r="BF169" s="42"/>
      <c r="BG169" s="42"/>
      <c r="BH169" s="42"/>
      <c r="BI169" s="42"/>
      <c r="BJ169" s="42"/>
      <c r="BK169" s="42"/>
      <c r="BL169" s="42"/>
      <c r="BM169" s="42"/>
      <c r="BN169" s="42"/>
    </row>
    <row r="170" spans="1:66" ht="12.75" customHeight="1" x14ac:dyDescent="0.2">
      <c r="A170" s="1" t="s">
        <v>393</v>
      </c>
      <c r="B170" s="4">
        <f>_xll.ciqfunctions.udf.CIQ(InputTicker, "IQ_STOCK_BASED_EXPLORE_DRILL",Input!D$2,Date,,,Ccy,Conv)</f>
        <v>0</v>
      </c>
      <c r="C170" s="4">
        <f>_xll.ciqfunctions.udf.CIQ(InputTicker, "IQ_STOCK_BASED_EXPLORE_DRILL",Input!E$2,Date,,,Ccy,Conv)</f>
        <v>0</v>
      </c>
      <c r="D170" s="4">
        <f>_xll.ciqfunctions.udf.CIQ(InputTicker, "IQ_STOCK_BASED_EXPLORE_DRILL",Input!F$2,Date,,,Ccy,Conv)</f>
        <v>0</v>
      </c>
      <c r="E170" s="4">
        <f>_xll.ciqfunctions.udf.CIQ(InputTicker, "IQ_STOCK_BASED_EXPLORE_DRILL",Input!G$2,Date,,,Ccy,Conv)</f>
        <v>0</v>
      </c>
      <c r="F170" s="4">
        <f>_xll.ciqfunctions.udf.CIQ(InputTicker, "IQ_STOCK_BASED_EXPLORE_DRILL",Input!H$2,Date,,,Ccy,Conv)</f>
        <v>0</v>
      </c>
      <c r="G170" s="4">
        <f>_xll.ciqfunctions.udf.CIQ(InputTicker, "IQ_STOCK_BASED_EXPLORE_DRILL",Input!I$2,Date,,,Ccy,Conv)</f>
        <v>0</v>
      </c>
      <c r="H170" s="4">
        <f>_xll.ciqfunctions.udf.CIQ(InputTicker, "IQ_STOCK_BASED_EXPLORE_DRILL",Input!J$2,Date,,,Ccy,Conv)</f>
        <v>0</v>
      </c>
      <c r="I170" s="4">
        <f>_xll.ciqfunctions.udf.CIQ(InputTicker, "IQ_STOCK_BASED_EXPLORE_DRILL",Input!K$2,Date,,,Ccy,Conv)</f>
        <v>0</v>
      </c>
      <c r="J170" s="4">
        <f>_xll.ciqfunctions.udf.CIQ(InputTicker, "IQ_STOCK_BASED_EXPLORE_DRILL",Input!L$2,Date,,,Ccy,Conv)</f>
        <v>0</v>
      </c>
      <c r="K170" s="4">
        <f>_xll.ciqfunctions.udf.CIQ(InputTicker, "IQ_STOCK_BASED_EXPLORE_DRILL",Input!M$2,Date,,,Ccy,Conv)</f>
        <v>0</v>
      </c>
      <c r="L170" s="4">
        <f>_xll.ciqfunctions.udf.CIQ(InputTicker, "IQ_STOCK_BASED_EXPLORE_DRILL",Input!N$2,Date,,,Ccy,Conv)</f>
        <v>0</v>
      </c>
      <c r="M170" s="4">
        <f>_xll.ciqfunctions.udf.CIQ(InputTicker, "IQ_STOCK_BASED_EXPLORE_DRILL",Input!O$2,Date,,,Ccy,Conv)</f>
        <v>0</v>
      </c>
      <c r="N170" s="49"/>
      <c r="P170" s="51"/>
      <c r="Q170" s="51"/>
      <c r="R170" s="51"/>
      <c r="T170" s="42"/>
      <c r="U170" s="42"/>
      <c r="V170" s="51"/>
      <c r="W170" s="42"/>
      <c r="X170" s="42"/>
      <c r="Y170" s="42"/>
      <c r="Z170" s="42"/>
      <c r="AA170" s="42"/>
      <c r="AB170" s="42"/>
      <c r="AC170" s="42"/>
      <c r="AD170" s="42"/>
      <c r="AE170" s="42"/>
      <c r="AF170" s="42"/>
      <c r="AG170" s="42"/>
      <c r="AH170" s="42"/>
      <c r="AI170" s="42"/>
      <c r="AJ170" s="42"/>
      <c r="AK170" s="42"/>
      <c r="AL170" s="42"/>
      <c r="AM170" s="42"/>
      <c r="AN170" s="42"/>
      <c r="AO170" s="42"/>
      <c r="AP170" s="42"/>
      <c r="AQ170" s="42"/>
      <c r="AR170" s="42"/>
      <c r="AS170" s="42"/>
      <c r="AT170" s="42"/>
      <c r="AU170" s="42"/>
      <c r="AV170" s="42"/>
      <c r="AW170" s="42"/>
      <c r="AX170" s="42"/>
      <c r="AY170" s="42"/>
      <c r="AZ170" s="42"/>
      <c r="BA170" s="42"/>
      <c r="BB170" s="42"/>
      <c r="BC170" s="42"/>
      <c r="BD170" s="42"/>
      <c r="BE170" s="42"/>
      <c r="BF170" s="42"/>
      <c r="BG170" s="42"/>
      <c r="BH170" s="42"/>
      <c r="BI170" s="42"/>
      <c r="BJ170" s="42"/>
      <c r="BK170" s="42"/>
      <c r="BL170" s="42"/>
      <c r="BM170" s="42"/>
      <c r="BN170" s="42"/>
    </row>
    <row r="171" spans="1:66" ht="12.75" customHeight="1" x14ac:dyDescent="0.2">
      <c r="A171" s="1" t="s">
        <v>341</v>
      </c>
      <c r="B171" s="4">
        <f>_xll.ciqfunctions.udf.CIQ(InputTicker, "IQ_STOCK_BASED_OTHER",Input!D$2,Date,,,Ccy,Conv)</f>
        <v>2668</v>
      </c>
      <c r="C171" s="4">
        <f>_xll.ciqfunctions.udf.CIQ(InputTicker, "IQ_STOCK_BASED_OTHER",Input!E$2,Date,,,Ccy,Conv)</f>
        <v>3266</v>
      </c>
      <c r="D171" s="4">
        <f>_xll.ciqfunctions.udf.CIQ(InputTicker, "IQ_STOCK_BASED_OTHER",Input!F$2,Date,,,Ccy,Conv)</f>
        <v>3940</v>
      </c>
      <c r="E171" s="4">
        <f>_xll.ciqfunctions.udf.CIQ(InputTicker, "IQ_STOCK_BASED_OTHER",Input!G$2,Date,,,Ccy,Conv)</f>
        <v>4652</v>
      </c>
      <c r="F171" s="4">
        <f>_xll.ciqfunctions.udf.CIQ(InputTicker, "IQ_STOCK_BASED_OTHER",Input!H$2,Date,,,Ccy,Conv)</f>
        <v>5289</v>
      </c>
      <c r="G171" s="4">
        <f>_xll.ciqfunctions.udf.CIQ(InputTicker, "IQ_STOCK_BASED_OTHER",Input!I$2,Date,,,Ccy,Conv)</f>
        <v>6118</v>
      </c>
      <c r="H171" s="4">
        <f>_xll.ciqfunctions.udf.CIQ(InputTicker, "IQ_STOCK_BASED_OTHER",Input!J$2,Date,,,Ccy,Conv)</f>
        <v>7502</v>
      </c>
      <c r="I171" s="4">
        <f>_xll.ciqfunctions.udf.CIQ(InputTicker, "IQ_STOCK_BASED_OTHER",Input!K$2,Date,,,Ccy,Conv)</f>
        <v>9611</v>
      </c>
      <c r="J171" s="4">
        <f>_xll.ciqfunctions.udf.CIQ(InputTicker, "IQ_STOCK_BASED_OTHER",Input!L$2,Date,,,Ccy,Conv)</f>
        <v>10734</v>
      </c>
      <c r="K171" s="4">
        <f>_xll.ciqfunctions.udf.CIQ(InputTicker, "IQ_STOCK_BASED_OTHER",Input!M$2,Date,,,Ccy,Conv)</f>
        <v>11974</v>
      </c>
      <c r="L171" s="4">
        <f>_xll.ciqfunctions.udf.CIQ(InputTicker, "IQ_STOCK_BASED_OTHER",Input!N$2,Date,,,Ccy,Conv)</f>
        <v>12405</v>
      </c>
      <c r="M171" s="4">
        <f>_xll.ciqfunctions.udf.CIQ(InputTicker, "IQ_STOCK_BASED_OTHER",Input!O$2,Date,,,Ccy,Conv)</f>
        <v>12405</v>
      </c>
      <c r="N171" s="49"/>
      <c r="P171" s="51"/>
      <c r="Q171" s="51"/>
      <c r="R171" s="51"/>
      <c r="T171" s="42"/>
      <c r="U171" s="42"/>
      <c r="V171" s="51"/>
      <c r="W171" s="42"/>
      <c r="X171" s="42"/>
      <c r="Y171" s="42"/>
      <c r="Z171" s="42"/>
      <c r="AA171" s="42"/>
      <c r="AB171" s="42"/>
      <c r="AC171" s="42"/>
      <c r="AD171" s="42"/>
      <c r="AE171" s="42"/>
      <c r="AF171" s="42"/>
      <c r="AG171" s="42"/>
      <c r="AH171" s="42"/>
      <c r="AI171" s="42"/>
      <c r="AJ171" s="42"/>
      <c r="AK171" s="42"/>
      <c r="AL171" s="42"/>
      <c r="AM171" s="42"/>
      <c r="AN171" s="42"/>
      <c r="AO171" s="42"/>
      <c r="AP171" s="42"/>
      <c r="AQ171" s="42"/>
      <c r="AR171" s="42"/>
      <c r="AS171" s="42"/>
      <c r="AT171" s="42"/>
      <c r="AU171" s="42"/>
      <c r="AV171" s="42"/>
      <c r="AW171" s="42"/>
      <c r="AX171" s="42"/>
      <c r="AY171" s="42"/>
      <c r="AZ171" s="42"/>
      <c r="BA171" s="42"/>
      <c r="BB171" s="42"/>
      <c r="BC171" s="42"/>
      <c r="BD171" s="42"/>
      <c r="BE171" s="42"/>
      <c r="BF171" s="42"/>
      <c r="BG171" s="42"/>
      <c r="BH171" s="42"/>
      <c r="BI171" s="42"/>
      <c r="BJ171" s="42"/>
      <c r="BK171" s="42"/>
      <c r="BL171" s="42"/>
      <c r="BM171" s="42"/>
      <c r="BN171" s="42"/>
    </row>
    <row r="172" spans="1:66" ht="12.75" customHeight="1" x14ac:dyDescent="0.2">
      <c r="A172" s="1" t="s">
        <v>342</v>
      </c>
      <c r="B172" s="4">
        <f>_xll.ciqfunctions.udf.CIQ(InputTicker, "IQ_STOCK_BASED_AT",Input!D$2,Date,,,Ccy,Conv)</f>
        <v>0</v>
      </c>
      <c r="C172" s="4">
        <f>_xll.ciqfunctions.udf.CIQ(InputTicker, "IQ_STOCK_BASED_AT",Input!E$2,Date,,,Ccy,Conv)</f>
        <v>0</v>
      </c>
      <c r="D172" s="4">
        <f>_xll.ciqfunctions.udf.CIQ(InputTicker, "IQ_STOCK_BASED_AT",Input!F$2,Date,,,Ccy,Conv)</f>
        <v>0</v>
      </c>
      <c r="E172" s="4">
        <f>_xll.ciqfunctions.udf.CIQ(InputTicker, "IQ_STOCK_BASED_AT",Input!G$2,Date,,,Ccy,Conv)</f>
        <v>0</v>
      </c>
      <c r="F172" s="4">
        <f>_xll.ciqfunctions.udf.CIQ(InputTicker, "IQ_STOCK_BASED_AT",Input!H$2,Date,,,Ccy,Conv)</f>
        <v>0</v>
      </c>
      <c r="G172" s="4">
        <f>_xll.ciqfunctions.udf.CIQ(InputTicker, "IQ_STOCK_BASED_AT",Input!I$2,Date,,,Ccy,Conv)</f>
        <v>0</v>
      </c>
      <c r="H172" s="4">
        <f>_xll.ciqfunctions.udf.CIQ(InputTicker, "IQ_STOCK_BASED_AT",Input!J$2,Date,,,Ccy,Conv)</f>
        <v>0</v>
      </c>
      <c r="I172" s="4">
        <f>_xll.ciqfunctions.udf.CIQ(InputTicker, "IQ_STOCK_BASED_AT",Input!K$2,Date,,,Ccy,Conv)</f>
        <v>0</v>
      </c>
      <c r="J172" s="4">
        <f>_xll.ciqfunctions.udf.CIQ(InputTicker, "IQ_STOCK_BASED_AT",Input!L$2,Date,,,Ccy,Conv)</f>
        <v>0</v>
      </c>
      <c r="K172" s="4">
        <f>_xll.ciqfunctions.udf.CIQ(InputTicker, "IQ_STOCK_BASED_AT",Input!M$2,Date,,,Ccy,Conv)</f>
        <v>0</v>
      </c>
      <c r="L172" s="4">
        <f>_xll.ciqfunctions.udf.CIQ(InputTicker, "IQ_STOCK_BASED_AT",Input!N$2,Date,,,Ccy,Conv)</f>
        <v>0</v>
      </c>
      <c r="M172" s="4">
        <f>_xll.ciqfunctions.udf.CIQ(InputTicker, "IQ_STOCK_BASED_AT",Input!O$2,Date,,,Ccy,Conv)</f>
        <v>0</v>
      </c>
      <c r="N172" s="49"/>
      <c r="P172" s="51"/>
      <c r="Q172" s="51"/>
      <c r="R172" s="51"/>
      <c r="T172" s="42"/>
      <c r="U172" s="42"/>
      <c r="V172" s="51"/>
      <c r="W172" s="42"/>
      <c r="X172" s="42"/>
      <c r="Y172" s="42"/>
      <c r="Z172" s="42"/>
      <c r="AA172" s="42"/>
      <c r="AB172" s="42"/>
      <c r="AC172" s="42"/>
      <c r="AD172" s="42"/>
      <c r="AE172" s="42"/>
      <c r="AF172" s="42"/>
      <c r="AG172" s="42"/>
      <c r="AH172" s="42"/>
      <c r="AI172" s="42"/>
      <c r="AJ172" s="42"/>
      <c r="AK172" s="42"/>
      <c r="AL172" s="42"/>
      <c r="AM172" s="42"/>
      <c r="AN172" s="42"/>
      <c r="AO172" s="42"/>
      <c r="AP172" s="42"/>
      <c r="AQ172" s="42"/>
      <c r="AR172" s="42"/>
      <c r="AS172" s="42"/>
      <c r="AT172" s="42"/>
      <c r="AU172" s="42"/>
      <c r="AV172" s="42"/>
      <c r="AW172" s="42"/>
      <c r="AX172" s="42"/>
      <c r="AY172" s="42"/>
      <c r="AZ172" s="42"/>
      <c r="BA172" s="42"/>
      <c r="BB172" s="42"/>
      <c r="BC172" s="42"/>
      <c r="BD172" s="42"/>
      <c r="BE172" s="42"/>
      <c r="BF172" s="42"/>
      <c r="BG172" s="42"/>
      <c r="BH172" s="42"/>
      <c r="BI172" s="42"/>
      <c r="BJ172" s="42"/>
      <c r="BK172" s="42"/>
      <c r="BL172" s="42"/>
      <c r="BM172" s="42"/>
      <c r="BN172" s="42"/>
    </row>
    <row r="173" spans="1:66" ht="12.75" customHeight="1" x14ac:dyDescent="0.2">
      <c r="A173" s="1" t="s">
        <v>343</v>
      </c>
      <c r="B173" s="4">
        <f>_xll.ciqfunctions.udf.CIQ(InputTicker, "IQ_STOCK_BASED_TOTAL",Input!D$2,Date,,,Ccy,Conv)</f>
        <v>2668</v>
      </c>
      <c r="C173" s="4">
        <f>_xll.ciqfunctions.udf.CIQ(InputTicker, "IQ_STOCK_BASED_TOTAL",Input!E$2,Date,,,Ccy,Conv)</f>
        <v>3266</v>
      </c>
      <c r="D173" s="4">
        <f>_xll.ciqfunctions.udf.CIQ(InputTicker, "IQ_STOCK_BASED_TOTAL",Input!F$2,Date,,,Ccy,Conv)</f>
        <v>3940</v>
      </c>
      <c r="E173" s="4">
        <f>_xll.ciqfunctions.udf.CIQ(InputTicker, "IQ_STOCK_BASED_TOTAL",Input!G$2,Date,,,Ccy,Conv)</f>
        <v>4652</v>
      </c>
      <c r="F173" s="4">
        <f>_xll.ciqfunctions.udf.CIQ(InputTicker, "IQ_STOCK_BASED_TOTAL",Input!H$2,Date,,,Ccy,Conv)</f>
        <v>5289</v>
      </c>
      <c r="G173" s="4">
        <f>_xll.ciqfunctions.udf.CIQ(InputTicker, "IQ_STOCK_BASED_TOTAL",Input!I$2,Date,,,Ccy,Conv)</f>
        <v>6118</v>
      </c>
      <c r="H173" s="4">
        <f>_xll.ciqfunctions.udf.CIQ(InputTicker, "IQ_STOCK_BASED_TOTAL",Input!J$2,Date,,,Ccy,Conv)</f>
        <v>7502</v>
      </c>
      <c r="I173" s="4">
        <f>_xll.ciqfunctions.udf.CIQ(InputTicker, "IQ_STOCK_BASED_TOTAL",Input!K$2,Date,,,Ccy,Conv)</f>
        <v>9611</v>
      </c>
      <c r="J173" s="4">
        <f>_xll.ciqfunctions.udf.CIQ(InputTicker, "IQ_STOCK_BASED_TOTAL",Input!L$2,Date,,,Ccy,Conv)</f>
        <v>10734</v>
      </c>
      <c r="K173" s="4">
        <f>_xll.ciqfunctions.udf.CIQ(InputTicker, "IQ_STOCK_BASED_TOTAL",Input!M$2,Date,,,Ccy,Conv)</f>
        <v>11974</v>
      </c>
      <c r="L173" s="4">
        <f>_xll.ciqfunctions.udf.CIQ(InputTicker, "IQ_STOCK_BASED_TOTAL",Input!N$2,Date,,,Ccy,Conv)</f>
        <v>12405</v>
      </c>
      <c r="M173" s="4">
        <f>_xll.ciqfunctions.udf.CIQ(InputTicker, "IQ_STOCK_BASED_TOTAL",Input!O$2,Date,,,Ccy,Conv)</f>
        <v>12405</v>
      </c>
      <c r="N173" s="49"/>
      <c r="P173" s="51"/>
      <c r="Q173" s="51"/>
      <c r="R173" s="51"/>
      <c r="T173" s="42"/>
      <c r="U173" s="42"/>
      <c r="V173" s="51"/>
      <c r="W173" s="42"/>
      <c r="X173" s="42"/>
      <c r="Y173" s="42"/>
      <c r="Z173" s="42"/>
      <c r="AA173" s="42"/>
      <c r="AB173" s="42"/>
      <c r="AC173" s="42"/>
      <c r="AD173" s="42"/>
      <c r="AE173" s="42"/>
      <c r="AF173" s="42"/>
      <c r="AG173" s="42"/>
      <c r="AH173" s="42"/>
      <c r="AI173" s="42"/>
      <c r="AJ173" s="42"/>
      <c r="AK173" s="42"/>
      <c r="AL173" s="42"/>
      <c r="AM173" s="42"/>
      <c r="AN173" s="42"/>
      <c r="AO173" s="42"/>
      <c r="AP173" s="42"/>
      <c r="AQ173" s="42"/>
      <c r="AR173" s="42"/>
      <c r="AS173" s="42"/>
      <c r="AT173" s="42"/>
      <c r="AU173" s="42"/>
      <c r="AV173" s="42"/>
      <c r="AW173" s="42"/>
      <c r="AX173" s="42"/>
      <c r="AY173" s="42"/>
      <c r="AZ173" s="42"/>
      <c r="BA173" s="42"/>
      <c r="BB173" s="42"/>
      <c r="BC173" s="42"/>
      <c r="BD173" s="42"/>
      <c r="BE173" s="42"/>
      <c r="BF173" s="42"/>
      <c r="BG173" s="42"/>
      <c r="BH173" s="42"/>
      <c r="BI173" s="42"/>
      <c r="BJ173" s="42"/>
      <c r="BK173" s="42"/>
      <c r="BL173" s="42"/>
      <c r="BM173" s="42"/>
      <c r="BN173" s="42"/>
    </row>
    <row r="174" spans="1:66" ht="12.75" customHeight="1" x14ac:dyDescent="0.2">
      <c r="A174" s="1" t="s">
        <v>298</v>
      </c>
      <c r="B174" s="4">
        <f>_xll.ciqfunctions.udf.CIQ(InputTicker,"IQ_RESTR_STOCK_COMP_PRETAX",Input!D$2,Date,,,Ccy,Conv)</f>
        <v>0</v>
      </c>
      <c r="C174" s="4">
        <f>_xll.ciqfunctions.udf.CIQ(InputTicker,"IQ_RESTR_STOCK_COMP_PRETAX",Input!E$2,Date,,,Ccy,Conv)</f>
        <v>0</v>
      </c>
      <c r="D174" s="4">
        <f>_xll.ciqfunctions.udf.CIQ(InputTicker,"IQ_RESTR_STOCK_COMP_PRETAX",Input!F$2,Date,,,Ccy,Conv)</f>
        <v>0</v>
      </c>
      <c r="E174" s="4">
        <f>_xll.ciqfunctions.udf.CIQ(InputTicker,"IQ_RESTR_STOCK_COMP_PRETAX",Input!G$2,Date,,,Ccy,Conv)</f>
        <v>0</v>
      </c>
      <c r="F174" s="4">
        <f>_xll.ciqfunctions.udf.CIQ(InputTicker,"IQ_RESTR_STOCK_COMP_PRETAX",Input!H$2,Date,,,Ccy,Conv)</f>
        <v>0</v>
      </c>
      <c r="G174" s="4">
        <f>_xll.ciqfunctions.udf.CIQ(InputTicker,"IQ_RESTR_STOCK_COMP_PRETAX",Input!I$2,Date,,,Ccy,Conv)</f>
        <v>0</v>
      </c>
      <c r="H174" s="4">
        <f>_xll.ciqfunctions.udf.CIQ(InputTicker,"IQ_RESTR_STOCK_COMP_PRETAX",Input!J$2,Date,,,Ccy,Conv)</f>
        <v>0</v>
      </c>
      <c r="I174" s="4">
        <f>_xll.ciqfunctions.udf.CIQ(InputTicker,"IQ_RESTR_STOCK_COMP_PRETAX",Input!K$2,Date,,,Ccy,Conv)</f>
        <v>0</v>
      </c>
      <c r="J174" s="4">
        <f>_xll.ciqfunctions.udf.CIQ(InputTicker,"IQ_RESTR_STOCK_COMP_PRETAX",Input!L$2,Date,,,Ccy,Conv)</f>
        <v>0</v>
      </c>
      <c r="K174" s="4">
        <f>_xll.ciqfunctions.udf.CIQ(InputTicker,"IQ_RESTR_STOCK_COMP_PRETAX",Input!M$2,Date,,,Ccy,Conv)</f>
        <v>0</v>
      </c>
      <c r="L174" s="4">
        <f>_xll.ciqfunctions.udf.CIQ(InputTicker,"IQ_RESTR_STOCK_COMP_PRETAX",Input!N$2,Date,,,Ccy,Conv)</f>
        <v>0</v>
      </c>
      <c r="M174" s="4">
        <f>_xll.ciqfunctions.udf.CIQ(InputTicker,"IQ_RESTR_STOCK_COMP_PRETAX",Input!O$2,Date,,,Ccy,Conv)</f>
        <v>0</v>
      </c>
      <c r="N174" s="49"/>
      <c r="P174" s="51"/>
      <c r="Q174" s="51"/>
      <c r="R174" s="51"/>
      <c r="T174" s="42"/>
      <c r="U174" s="42"/>
      <c r="V174" s="51"/>
      <c r="W174" s="42"/>
      <c r="X174" s="42"/>
      <c r="Y174" s="42"/>
      <c r="Z174" s="42"/>
      <c r="AA174" s="42"/>
      <c r="AB174" s="42"/>
      <c r="AC174" s="42"/>
      <c r="AD174" s="42"/>
      <c r="AE174" s="42"/>
      <c r="AF174" s="42"/>
      <c r="AG174" s="42"/>
      <c r="AH174" s="42"/>
      <c r="AI174" s="42"/>
      <c r="AJ174" s="42"/>
      <c r="AK174" s="42"/>
      <c r="AL174" s="42"/>
      <c r="AM174" s="42"/>
      <c r="AN174" s="42"/>
      <c r="AO174" s="42"/>
      <c r="AP174" s="42"/>
      <c r="AQ174" s="42"/>
      <c r="AR174" s="42"/>
      <c r="AS174" s="42"/>
      <c r="AT174" s="42"/>
      <c r="AU174" s="42"/>
      <c r="AV174" s="42"/>
      <c r="AW174" s="42"/>
      <c r="AX174" s="42"/>
      <c r="AY174" s="42"/>
      <c r="AZ174" s="42"/>
      <c r="BA174" s="42"/>
      <c r="BB174" s="42"/>
      <c r="BC174" s="42"/>
      <c r="BD174" s="42"/>
      <c r="BE174" s="42"/>
      <c r="BF174" s="42"/>
      <c r="BG174" s="42"/>
      <c r="BH174" s="42"/>
      <c r="BI174" s="42"/>
      <c r="BJ174" s="42"/>
      <c r="BK174" s="42"/>
      <c r="BL174" s="42"/>
      <c r="BM174" s="42"/>
      <c r="BN174" s="42"/>
    </row>
    <row r="175" spans="1:66" ht="12.75" customHeight="1" x14ac:dyDescent="0.2">
      <c r="A175" s="1" t="s">
        <v>299</v>
      </c>
      <c r="B175" s="4">
        <f>_xll.ciqfunctions.udf.CIQ(InputTicker,"IQ_RESTR_STOCK_COMP_TAX",Input!D$2,Date,,,Ccy,Conv)</f>
        <v>0</v>
      </c>
      <c r="C175" s="4">
        <f>_xll.ciqfunctions.udf.CIQ(InputTicker,"IQ_RESTR_STOCK_COMP_TAX",Input!E$2,Date,,,Ccy,Conv)</f>
        <v>0</v>
      </c>
      <c r="D175" s="4">
        <f>_xll.ciqfunctions.udf.CIQ(InputTicker,"IQ_RESTR_STOCK_COMP_TAX",Input!F$2,Date,,,Ccy,Conv)</f>
        <v>0</v>
      </c>
      <c r="E175" s="4">
        <f>_xll.ciqfunctions.udf.CIQ(InputTicker,"IQ_RESTR_STOCK_COMP_TAX",Input!G$2,Date,,,Ccy,Conv)</f>
        <v>0</v>
      </c>
      <c r="F175" s="4">
        <f>_xll.ciqfunctions.udf.CIQ(InputTicker,"IQ_RESTR_STOCK_COMP_TAX",Input!H$2,Date,,,Ccy,Conv)</f>
        <v>0</v>
      </c>
      <c r="G175" s="4">
        <f>_xll.ciqfunctions.udf.CIQ(InputTicker,"IQ_RESTR_STOCK_COMP_TAX",Input!I$2,Date,,,Ccy,Conv)</f>
        <v>0</v>
      </c>
      <c r="H175" s="4">
        <f>_xll.ciqfunctions.udf.CIQ(InputTicker,"IQ_RESTR_STOCK_COMP_TAX",Input!J$2,Date,,,Ccy,Conv)</f>
        <v>0</v>
      </c>
      <c r="I175" s="4">
        <f>_xll.ciqfunctions.udf.CIQ(InputTicker,"IQ_RESTR_STOCK_COMP_TAX",Input!K$2,Date,,,Ccy,Conv)</f>
        <v>0</v>
      </c>
      <c r="J175" s="4">
        <f>_xll.ciqfunctions.udf.CIQ(InputTicker,"IQ_RESTR_STOCK_COMP_TAX",Input!L$2,Date,,,Ccy,Conv)</f>
        <v>0</v>
      </c>
      <c r="K175" s="4">
        <f>_xll.ciqfunctions.udf.CIQ(InputTicker,"IQ_RESTR_STOCK_COMP_TAX",Input!M$2,Date,,,Ccy,Conv)</f>
        <v>0</v>
      </c>
      <c r="L175" s="4">
        <f>_xll.ciqfunctions.udf.CIQ(InputTicker,"IQ_RESTR_STOCK_COMP_TAX",Input!N$2,Date,,,Ccy,Conv)</f>
        <v>0</v>
      </c>
      <c r="M175" s="4">
        <f>_xll.ciqfunctions.udf.CIQ(InputTicker,"IQ_RESTR_STOCK_COMP_TAX",Input!O$2,Date,,,Ccy,Conv)</f>
        <v>0</v>
      </c>
      <c r="N175" s="49"/>
      <c r="T175" s="42"/>
      <c r="U175" s="42"/>
      <c r="V175" s="42"/>
      <c r="W175" s="42"/>
      <c r="X175" s="42"/>
      <c r="Y175" s="42"/>
      <c r="Z175" s="42"/>
      <c r="AA175" s="42"/>
      <c r="AB175" s="42"/>
      <c r="AC175" s="42"/>
      <c r="AD175" s="42"/>
      <c r="AE175" s="42"/>
      <c r="AF175" s="42"/>
      <c r="AG175" s="42"/>
      <c r="AH175" s="42"/>
      <c r="AI175" s="42"/>
      <c r="AJ175" s="42"/>
      <c r="AK175" s="42"/>
      <c r="AL175" s="42"/>
      <c r="AM175" s="42"/>
      <c r="AN175" s="42"/>
      <c r="AO175" s="42"/>
      <c r="AP175" s="42"/>
      <c r="AQ175" s="42"/>
      <c r="AR175" s="42"/>
      <c r="AS175" s="42"/>
      <c r="AT175" s="42"/>
      <c r="AU175" s="42"/>
      <c r="AV175" s="42"/>
      <c r="AW175" s="42"/>
      <c r="AX175" s="42"/>
      <c r="AY175" s="42"/>
      <c r="AZ175" s="42"/>
      <c r="BA175" s="42"/>
      <c r="BB175" s="42"/>
      <c r="BC175" s="42"/>
      <c r="BD175" s="42"/>
      <c r="BE175" s="42"/>
      <c r="BF175" s="42"/>
      <c r="BG175" s="42"/>
      <c r="BH175" s="42"/>
      <c r="BI175" s="42"/>
      <c r="BJ175" s="42"/>
      <c r="BK175" s="42"/>
      <c r="BL175" s="42"/>
      <c r="BM175" s="42"/>
      <c r="BN175" s="42"/>
    </row>
    <row r="176" spans="1:66" ht="12.75" customHeight="1" x14ac:dyDescent="0.2">
      <c r="A176" s="1" t="s">
        <v>300</v>
      </c>
      <c r="B176" s="4">
        <f>_xll.ciqfunctions.udf.CIQ(InputTicker,"IQ_RESTR_STOCK_COMP",Input!D$2,Date,,,Ccy,Conv)</f>
        <v>0</v>
      </c>
      <c r="C176" s="4">
        <f>_xll.ciqfunctions.udf.CIQ(InputTicker,"IQ_RESTR_STOCK_COMP",Input!E$2,Date,,,Ccy,Conv)</f>
        <v>0</v>
      </c>
      <c r="D176" s="4">
        <f>_xll.ciqfunctions.udf.CIQ(InputTicker,"IQ_RESTR_STOCK_COMP",Input!F$2,Date,,,Ccy,Conv)</f>
        <v>0</v>
      </c>
      <c r="E176" s="4">
        <f>_xll.ciqfunctions.udf.CIQ(InputTicker,"IQ_RESTR_STOCK_COMP",Input!G$2,Date,,,Ccy,Conv)</f>
        <v>0</v>
      </c>
      <c r="F176" s="4">
        <f>_xll.ciqfunctions.udf.CIQ(InputTicker,"IQ_RESTR_STOCK_COMP",Input!H$2,Date,,,Ccy,Conv)</f>
        <v>0</v>
      </c>
      <c r="G176" s="4">
        <f>_xll.ciqfunctions.udf.CIQ(InputTicker,"IQ_RESTR_STOCK_COMP",Input!I$2,Date,,,Ccy,Conv)</f>
        <v>0</v>
      </c>
      <c r="H176" s="4">
        <f>_xll.ciqfunctions.udf.CIQ(InputTicker,"IQ_RESTR_STOCK_COMP",Input!J$2,Date,,,Ccy,Conv)</f>
        <v>0</v>
      </c>
      <c r="I176" s="4">
        <f>_xll.ciqfunctions.udf.CIQ(InputTicker,"IQ_RESTR_STOCK_COMP",Input!K$2,Date,,,Ccy,Conv)</f>
        <v>0</v>
      </c>
      <c r="J176" s="4">
        <f>_xll.ciqfunctions.udf.CIQ(InputTicker,"IQ_RESTR_STOCK_COMP",Input!L$2,Date,,,Ccy,Conv)</f>
        <v>0</v>
      </c>
      <c r="K176" s="4">
        <f>_xll.ciqfunctions.udf.CIQ(InputTicker,"IQ_RESTR_STOCK_COMP",Input!M$2,Date,,,Ccy,Conv)</f>
        <v>0</v>
      </c>
      <c r="L176" s="4">
        <f>_xll.ciqfunctions.udf.CIQ(InputTicker,"IQ_RESTR_STOCK_COMP",Input!N$2,Date,,,Ccy,Conv)</f>
        <v>0</v>
      </c>
      <c r="M176" s="4">
        <f>_xll.ciqfunctions.udf.CIQ(InputTicker,"IQ_RESTR_STOCK_COMP",Input!O$2,Date,,,Ccy,Conv)</f>
        <v>0</v>
      </c>
      <c r="N176" s="49"/>
      <c r="T176" s="42"/>
      <c r="U176" s="42"/>
      <c r="V176" s="42"/>
      <c r="W176" s="42"/>
      <c r="X176" s="42"/>
      <c r="Y176" s="42"/>
      <c r="Z176" s="42"/>
      <c r="AA176" s="42"/>
      <c r="AB176" s="42"/>
      <c r="AC176" s="42"/>
      <c r="AD176" s="42"/>
      <c r="AE176" s="42"/>
      <c r="AF176" s="42"/>
      <c r="AG176" s="42"/>
      <c r="AH176" s="42"/>
      <c r="AI176" s="42"/>
      <c r="AJ176" s="42"/>
      <c r="AK176" s="42"/>
      <c r="AL176" s="42"/>
      <c r="AM176" s="42"/>
      <c r="AN176" s="42"/>
      <c r="AO176" s="42"/>
      <c r="AP176" s="42"/>
      <c r="AQ176" s="42"/>
      <c r="AR176" s="42"/>
      <c r="AS176" s="42"/>
      <c r="AT176" s="42"/>
      <c r="AU176" s="42"/>
      <c r="AV176" s="42"/>
      <c r="AW176" s="42"/>
      <c r="AX176" s="42"/>
      <c r="AY176" s="42"/>
      <c r="AZ176" s="42"/>
      <c r="BA176" s="42"/>
      <c r="BB176" s="42"/>
      <c r="BC176" s="42"/>
      <c r="BD176" s="42"/>
      <c r="BE176" s="42"/>
      <c r="BF176" s="42"/>
      <c r="BG176" s="42"/>
      <c r="BH176" s="42"/>
      <c r="BI176" s="42"/>
      <c r="BJ176" s="42"/>
      <c r="BK176" s="42"/>
      <c r="BL176" s="42"/>
      <c r="BM176" s="42"/>
      <c r="BN176" s="42"/>
    </row>
    <row r="177" spans="1:66" ht="12.75" customHeight="1" x14ac:dyDescent="0.2">
      <c r="A177" s="1" t="s">
        <v>301</v>
      </c>
      <c r="B177" s="4">
        <f>_xll.ciqfunctions.udf.CIQ(InputTicker,"IQ_STOCK_OPTIONS_COMP_PRETAX",Input!D$2,Date,,,Ccy,Conv)</f>
        <v>0</v>
      </c>
      <c r="C177" s="4">
        <f>_xll.ciqfunctions.udf.CIQ(InputTicker,"IQ_STOCK_OPTIONS_COMP_PRETAX",Input!E$2,Date,,,Ccy,Conv)</f>
        <v>0</v>
      </c>
      <c r="D177" s="4">
        <f>_xll.ciqfunctions.udf.CIQ(InputTicker,"IQ_STOCK_OPTIONS_COMP_PRETAX",Input!F$2,Date,,,Ccy,Conv)</f>
        <v>0</v>
      </c>
      <c r="E177" s="4">
        <f>_xll.ciqfunctions.udf.CIQ(InputTicker,"IQ_STOCK_OPTIONS_COMP_PRETAX",Input!G$2,Date,,,Ccy,Conv)</f>
        <v>0</v>
      </c>
      <c r="F177" s="4">
        <f>_xll.ciqfunctions.udf.CIQ(InputTicker,"IQ_STOCK_OPTIONS_COMP_PRETAX",Input!H$2,Date,,,Ccy,Conv)</f>
        <v>0</v>
      </c>
      <c r="G177" s="4">
        <f>_xll.ciqfunctions.udf.CIQ(InputTicker,"IQ_STOCK_OPTIONS_COMP_PRETAX",Input!I$2,Date,,,Ccy,Conv)</f>
        <v>0</v>
      </c>
      <c r="H177" s="4">
        <f>_xll.ciqfunctions.udf.CIQ(InputTicker,"IQ_STOCK_OPTIONS_COMP_PRETAX",Input!J$2,Date,,,Ccy,Conv)</f>
        <v>0</v>
      </c>
      <c r="I177" s="4">
        <f>_xll.ciqfunctions.udf.CIQ(InputTicker,"IQ_STOCK_OPTIONS_COMP_PRETAX",Input!K$2,Date,,,Ccy,Conv)</f>
        <v>0</v>
      </c>
      <c r="J177" s="4">
        <f>_xll.ciqfunctions.udf.CIQ(InputTicker,"IQ_STOCK_OPTIONS_COMP_PRETAX",Input!L$2,Date,,,Ccy,Conv)</f>
        <v>0</v>
      </c>
      <c r="K177" s="4">
        <f>_xll.ciqfunctions.udf.CIQ(InputTicker,"IQ_STOCK_OPTIONS_COMP_PRETAX",Input!M$2,Date,,,Ccy,Conv)</f>
        <v>0</v>
      </c>
      <c r="L177" s="4">
        <f>_xll.ciqfunctions.udf.CIQ(InputTicker,"IQ_STOCK_OPTIONS_COMP_PRETAX",Input!N$2,Date,,,Ccy,Conv)</f>
        <v>0</v>
      </c>
      <c r="M177" s="4">
        <f>_xll.ciqfunctions.udf.CIQ(InputTicker,"IQ_STOCK_OPTIONS_COMP_PRETAX",Input!O$2,Date,,,Ccy,Conv)</f>
        <v>0</v>
      </c>
      <c r="N177" s="49"/>
      <c r="T177" s="42"/>
      <c r="U177" s="42"/>
      <c r="V177" s="42"/>
      <c r="W177" s="42"/>
      <c r="X177" s="42"/>
      <c r="Y177" s="42"/>
      <c r="Z177" s="42"/>
      <c r="AA177" s="42"/>
      <c r="AB177" s="42"/>
      <c r="AC177" s="42"/>
      <c r="AD177" s="42"/>
      <c r="AE177" s="42"/>
      <c r="AF177" s="42"/>
      <c r="AG177" s="42"/>
      <c r="AH177" s="42"/>
      <c r="AI177" s="42"/>
      <c r="AJ177" s="42"/>
      <c r="AK177" s="42"/>
      <c r="AL177" s="42"/>
      <c r="AM177" s="42"/>
      <c r="AN177" s="42"/>
      <c r="AO177" s="42"/>
      <c r="AP177" s="42"/>
      <c r="AQ177" s="42"/>
      <c r="AR177" s="42"/>
      <c r="AS177" s="42"/>
      <c r="AT177" s="42"/>
      <c r="AU177" s="42"/>
      <c r="AV177" s="42"/>
      <c r="AW177" s="42"/>
      <c r="AX177" s="42"/>
      <c r="AY177" s="42"/>
      <c r="AZ177" s="42"/>
      <c r="BA177" s="42"/>
      <c r="BB177" s="42"/>
      <c r="BC177" s="42"/>
      <c r="BD177" s="42"/>
      <c r="BE177" s="42"/>
      <c r="BF177" s="42"/>
      <c r="BG177" s="42"/>
      <c r="BH177" s="42"/>
      <c r="BI177" s="42"/>
      <c r="BJ177" s="42"/>
      <c r="BK177" s="42"/>
      <c r="BL177" s="42"/>
      <c r="BM177" s="42"/>
      <c r="BN177" s="42"/>
    </row>
    <row r="178" spans="1:66" ht="12.75" customHeight="1" x14ac:dyDescent="0.2">
      <c r="A178" s="1" t="s">
        <v>302</v>
      </c>
      <c r="B178" s="4">
        <f>_xll.ciqfunctions.udf.CIQ(InputTicker,"IQ_STOCK_OPTIONS_COMP_TAX",Input!D$2,Date,,,Ccy,Conv)</f>
        <v>0</v>
      </c>
      <c r="C178" s="4">
        <f>_xll.ciqfunctions.udf.CIQ(InputTicker,"IQ_STOCK_OPTIONS_COMP_TAX",Input!E$2,Date,,,Ccy,Conv)</f>
        <v>0</v>
      </c>
      <c r="D178" s="4">
        <f>_xll.ciqfunctions.udf.CIQ(InputTicker,"IQ_STOCK_OPTIONS_COMP_TAX",Input!F$2,Date,,,Ccy,Conv)</f>
        <v>0</v>
      </c>
      <c r="E178" s="4">
        <f>_xll.ciqfunctions.udf.CIQ(InputTicker,"IQ_STOCK_OPTIONS_COMP_TAX",Input!G$2,Date,,,Ccy,Conv)</f>
        <v>0</v>
      </c>
      <c r="F178" s="4">
        <f>_xll.ciqfunctions.udf.CIQ(InputTicker,"IQ_STOCK_OPTIONS_COMP_TAX",Input!H$2,Date,,,Ccy,Conv)</f>
        <v>0</v>
      </c>
      <c r="G178" s="4">
        <f>_xll.ciqfunctions.udf.CIQ(InputTicker,"IQ_STOCK_OPTIONS_COMP_TAX",Input!I$2,Date,,,Ccy,Conv)</f>
        <v>0</v>
      </c>
      <c r="H178" s="4">
        <f>_xll.ciqfunctions.udf.CIQ(InputTicker,"IQ_STOCK_OPTIONS_COMP_TAX",Input!J$2,Date,,,Ccy,Conv)</f>
        <v>0</v>
      </c>
      <c r="I178" s="4">
        <f>_xll.ciqfunctions.udf.CIQ(InputTicker,"IQ_STOCK_OPTIONS_COMP_TAX",Input!K$2,Date,,,Ccy,Conv)</f>
        <v>0</v>
      </c>
      <c r="J178" s="4">
        <f>_xll.ciqfunctions.udf.CIQ(InputTicker,"IQ_STOCK_OPTIONS_COMP_TAX",Input!L$2,Date,,,Ccy,Conv)</f>
        <v>0</v>
      </c>
      <c r="K178" s="4">
        <f>_xll.ciqfunctions.udf.CIQ(InputTicker,"IQ_STOCK_OPTIONS_COMP_TAX",Input!M$2,Date,,,Ccy,Conv)</f>
        <v>0</v>
      </c>
      <c r="L178" s="4">
        <f>_xll.ciqfunctions.udf.CIQ(InputTicker,"IQ_STOCK_OPTIONS_COMP_TAX",Input!N$2,Date,,,Ccy,Conv)</f>
        <v>0</v>
      </c>
      <c r="M178" s="4">
        <f>_xll.ciqfunctions.udf.CIQ(InputTicker,"IQ_STOCK_OPTIONS_COMP_TAX",Input!O$2,Date,,,Ccy,Conv)</f>
        <v>0</v>
      </c>
      <c r="N178" s="49"/>
      <c r="T178" s="42"/>
      <c r="U178" s="42"/>
      <c r="V178" s="42"/>
      <c r="W178" s="42"/>
      <c r="X178" s="42"/>
      <c r="Y178" s="42"/>
      <c r="Z178" s="42"/>
      <c r="AA178" s="42"/>
      <c r="AB178" s="42"/>
      <c r="AC178" s="42"/>
      <c r="AD178" s="42"/>
      <c r="AE178" s="42"/>
      <c r="AF178" s="42"/>
      <c r="AG178" s="42"/>
      <c r="AH178" s="42"/>
      <c r="AI178" s="42"/>
      <c r="AJ178" s="42"/>
      <c r="AK178" s="42"/>
      <c r="AL178" s="42"/>
      <c r="AM178" s="42"/>
      <c r="AN178" s="42"/>
      <c r="AO178" s="42"/>
      <c r="AP178" s="42"/>
      <c r="AQ178" s="42"/>
      <c r="AR178" s="42"/>
      <c r="AS178" s="42"/>
      <c r="AT178" s="42"/>
      <c r="AU178" s="42"/>
      <c r="AV178" s="42"/>
      <c r="AW178" s="42"/>
      <c r="AX178" s="42"/>
      <c r="AY178" s="42"/>
      <c r="AZ178" s="42"/>
      <c r="BA178" s="42"/>
      <c r="BB178" s="42"/>
      <c r="BC178" s="42"/>
      <c r="BD178" s="42"/>
      <c r="BE178" s="42"/>
      <c r="BF178" s="42"/>
      <c r="BG178" s="42"/>
      <c r="BH178" s="42"/>
      <c r="BI178" s="42"/>
      <c r="BJ178" s="42"/>
      <c r="BK178" s="42"/>
      <c r="BL178" s="42"/>
      <c r="BM178" s="42"/>
      <c r="BN178" s="42"/>
    </row>
    <row r="179" spans="1:66" ht="12.75" customHeight="1" x14ac:dyDescent="0.2">
      <c r="A179" s="1" t="s">
        <v>303</v>
      </c>
      <c r="B179" s="4">
        <f>_xll.ciqfunctions.udf.CIQ(InputTicker,"IQ_STOCK_OPTIONS_COMP",Input!D$2,Date,,,Ccy,Conv)</f>
        <v>0</v>
      </c>
      <c r="C179" s="4">
        <f>_xll.ciqfunctions.udf.CIQ(InputTicker,"IQ_STOCK_OPTIONS_COMP",Input!E$2,Date,,,Ccy,Conv)</f>
        <v>0</v>
      </c>
      <c r="D179" s="4">
        <f>_xll.ciqfunctions.udf.CIQ(InputTicker,"IQ_STOCK_OPTIONS_COMP",Input!F$2,Date,,,Ccy,Conv)</f>
        <v>0</v>
      </c>
      <c r="E179" s="4">
        <f>_xll.ciqfunctions.udf.CIQ(InputTicker,"IQ_STOCK_OPTIONS_COMP",Input!G$2,Date,,,Ccy,Conv)</f>
        <v>0</v>
      </c>
      <c r="F179" s="4">
        <f>_xll.ciqfunctions.udf.CIQ(InputTicker,"IQ_STOCK_OPTIONS_COMP",Input!H$2,Date,,,Ccy,Conv)</f>
        <v>0</v>
      </c>
      <c r="G179" s="4">
        <f>_xll.ciqfunctions.udf.CIQ(InputTicker,"IQ_STOCK_OPTIONS_COMP",Input!I$2,Date,,,Ccy,Conv)</f>
        <v>0</v>
      </c>
      <c r="H179" s="4">
        <f>_xll.ciqfunctions.udf.CIQ(InputTicker,"IQ_STOCK_OPTIONS_COMP",Input!J$2,Date,,,Ccy,Conv)</f>
        <v>0</v>
      </c>
      <c r="I179" s="4">
        <f>_xll.ciqfunctions.udf.CIQ(InputTicker,"IQ_STOCK_OPTIONS_COMP",Input!K$2,Date,,,Ccy,Conv)</f>
        <v>0</v>
      </c>
      <c r="J179" s="4">
        <f>_xll.ciqfunctions.udf.CIQ(InputTicker,"IQ_STOCK_OPTIONS_COMP",Input!L$2,Date,,,Ccy,Conv)</f>
        <v>0</v>
      </c>
      <c r="K179" s="4">
        <f>_xll.ciqfunctions.udf.CIQ(InputTicker,"IQ_STOCK_OPTIONS_COMP",Input!M$2,Date,,,Ccy,Conv)</f>
        <v>0</v>
      </c>
      <c r="L179" s="4">
        <f>_xll.ciqfunctions.udf.CIQ(InputTicker,"IQ_STOCK_OPTIONS_COMP",Input!N$2,Date,,,Ccy,Conv)</f>
        <v>0</v>
      </c>
      <c r="M179" s="4">
        <f>_xll.ciqfunctions.udf.CIQ(InputTicker,"IQ_STOCK_OPTIONS_COMP",Input!O$2,Date,,,Ccy,Conv)</f>
        <v>0</v>
      </c>
      <c r="N179" s="49"/>
      <c r="T179" s="42"/>
      <c r="U179" s="42"/>
      <c r="V179" s="42"/>
      <c r="W179" s="42"/>
      <c r="X179" s="42"/>
      <c r="Y179" s="42"/>
      <c r="Z179" s="42"/>
      <c r="AA179" s="42"/>
      <c r="AB179" s="42"/>
      <c r="AC179" s="42"/>
      <c r="AD179" s="42"/>
      <c r="AE179" s="42"/>
      <c r="AF179" s="42"/>
      <c r="AG179" s="42"/>
      <c r="AH179" s="42"/>
      <c r="AI179" s="42"/>
      <c r="AJ179" s="42"/>
      <c r="AK179" s="42"/>
      <c r="AL179" s="42"/>
      <c r="AM179" s="42"/>
      <c r="AN179" s="42"/>
      <c r="AO179" s="42"/>
      <c r="AP179" s="42"/>
      <c r="AQ179" s="42"/>
      <c r="AR179" s="42"/>
      <c r="AS179" s="42"/>
      <c r="AT179" s="42"/>
      <c r="AU179" s="42"/>
      <c r="AV179" s="42"/>
      <c r="AW179" s="42"/>
      <c r="AX179" s="42"/>
      <c r="AY179" s="42"/>
      <c r="AZ179" s="42"/>
      <c r="BA179" s="42"/>
      <c r="BB179" s="42"/>
      <c r="BC179" s="42"/>
      <c r="BD179" s="42"/>
      <c r="BE179" s="42"/>
      <c r="BF179" s="42"/>
      <c r="BG179" s="42"/>
      <c r="BH179" s="42"/>
      <c r="BI179" s="42"/>
      <c r="BJ179" s="42"/>
      <c r="BK179" s="42"/>
      <c r="BL179" s="42"/>
      <c r="BM179" s="42"/>
      <c r="BN179" s="42"/>
    </row>
    <row r="180" spans="1:66" ht="12.75" customHeight="1" x14ac:dyDescent="0.2">
      <c r="A180" s="1" t="s">
        <v>304</v>
      </c>
      <c r="B180" s="4">
        <f>_xll.ciqfunctions.udf.CIQ(InputTicker,"IQ_STOCK_BASED_COMP_PRETAX",Input!D$2,Date,,,Ccy,Conv)</f>
        <v>2668</v>
      </c>
      <c r="C180" s="4">
        <f>_xll.ciqfunctions.udf.CIQ(InputTicker,"IQ_STOCK_BASED_COMP_PRETAX",Input!E$2,Date,,,Ccy,Conv)</f>
        <v>3266</v>
      </c>
      <c r="D180" s="4">
        <f>_xll.ciqfunctions.udf.CIQ(InputTicker,"IQ_STOCK_BASED_COMP_PRETAX",Input!F$2,Date,,,Ccy,Conv)</f>
        <v>3940</v>
      </c>
      <c r="E180" s="4">
        <f>_xll.ciqfunctions.udf.CIQ(InputTicker,"IQ_STOCK_BASED_COMP_PRETAX",Input!G$2,Date,,,Ccy,Conv)</f>
        <v>4652</v>
      </c>
      <c r="F180" s="4">
        <f>_xll.ciqfunctions.udf.CIQ(InputTicker,"IQ_STOCK_BASED_COMP_PRETAX",Input!H$2,Date,,,Ccy,Conv)</f>
        <v>5289</v>
      </c>
      <c r="G180" s="4">
        <f>_xll.ciqfunctions.udf.CIQ(InputTicker,"IQ_STOCK_BASED_COMP_PRETAX",Input!I$2,Date,,,Ccy,Conv)</f>
        <v>6118</v>
      </c>
      <c r="H180" s="4">
        <f>_xll.ciqfunctions.udf.CIQ(InputTicker,"IQ_STOCK_BASED_COMP_PRETAX",Input!J$2,Date,,,Ccy,Conv)</f>
        <v>7502</v>
      </c>
      <c r="I180" s="4">
        <f>_xll.ciqfunctions.udf.CIQ(InputTicker,"IQ_STOCK_BASED_COMP_PRETAX",Input!K$2,Date,,,Ccy,Conv)</f>
        <v>9611</v>
      </c>
      <c r="J180" s="4">
        <f>_xll.ciqfunctions.udf.CIQ(InputTicker,"IQ_STOCK_BASED_COMP_PRETAX",Input!L$2,Date,,,Ccy,Conv)</f>
        <v>10734</v>
      </c>
      <c r="K180" s="4">
        <f>_xll.ciqfunctions.udf.CIQ(InputTicker,"IQ_STOCK_BASED_COMP_PRETAX",Input!M$2,Date,,,Ccy,Conv)</f>
        <v>11974</v>
      </c>
      <c r="L180" s="4">
        <f>_xll.ciqfunctions.udf.CIQ(InputTicker,"IQ_STOCK_BASED_COMP_PRETAX",Input!N$2,Date,,,Ccy,Conv)</f>
        <v>12405</v>
      </c>
      <c r="M180" s="4">
        <f>_xll.ciqfunctions.udf.CIQ(InputTicker,"IQ_STOCK_BASED_COMP_PRETAX",Input!O$2,Date,,,Ccy,Conv)</f>
        <v>12405</v>
      </c>
      <c r="N180" s="49"/>
      <c r="T180" s="42"/>
      <c r="U180" s="42"/>
      <c r="V180" s="42"/>
      <c r="W180" s="42"/>
      <c r="X180" s="42"/>
      <c r="Y180" s="42"/>
      <c r="Z180" s="42"/>
      <c r="AA180" s="42"/>
      <c r="AB180" s="42"/>
      <c r="AC180" s="42"/>
      <c r="AD180" s="42"/>
      <c r="AE180" s="42"/>
      <c r="AF180" s="42"/>
      <c r="AG180" s="42"/>
      <c r="AH180" s="42"/>
      <c r="AI180" s="42"/>
      <c r="AJ180" s="42"/>
      <c r="AK180" s="42"/>
      <c r="AL180" s="42"/>
      <c r="AM180" s="42"/>
      <c r="AN180" s="42"/>
      <c r="AO180" s="42"/>
      <c r="AP180" s="42"/>
      <c r="AQ180" s="42"/>
      <c r="AR180" s="42"/>
      <c r="AS180" s="42"/>
      <c r="AT180" s="42"/>
      <c r="AU180" s="42"/>
      <c r="AV180" s="42"/>
      <c r="AW180" s="42"/>
      <c r="AX180" s="42"/>
      <c r="AY180" s="42"/>
      <c r="AZ180" s="42"/>
      <c r="BA180" s="42"/>
      <c r="BB180" s="42"/>
      <c r="BC180" s="42"/>
      <c r="BD180" s="42"/>
      <c r="BE180" s="42"/>
      <c r="BF180" s="42"/>
      <c r="BG180" s="42"/>
      <c r="BH180" s="42"/>
      <c r="BI180" s="42"/>
      <c r="BJ180" s="42"/>
      <c r="BK180" s="42"/>
      <c r="BL180" s="42"/>
      <c r="BM180" s="42"/>
      <c r="BN180" s="42"/>
    </row>
    <row r="181" spans="1:66" ht="12.75" customHeight="1" x14ac:dyDescent="0.2">
      <c r="A181" s="1" t="s">
        <v>305</v>
      </c>
      <c r="B181" s="4">
        <f>_xll.ciqfunctions.udf.CIQ(InputTicker,"IQ_STOCK_BASED_COMP_TAX",Input!D$2,Date,,,Ccy,Conv)</f>
        <v>-882</v>
      </c>
      <c r="C181" s="4">
        <f>_xll.ciqfunctions.udf.CIQ(InputTicker,"IQ_STOCK_BASED_COMP_TAX",Input!E$2,Date,,,Ccy,Conv)</f>
        <v>-1066</v>
      </c>
      <c r="D181" s="4">
        <f>_xll.ciqfunctions.udf.CIQ(InputTicker,"IQ_STOCK_BASED_COMP_TAX",Input!F$2,Date,,,Ccy,Conv)</f>
        <v>-823</v>
      </c>
      <c r="E181" s="4">
        <f>_xll.ciqfunctions.udf.CIQ(InputTicker,"IQ_STOCK_BASED_COMP_TAX",Input!G$2,Date,,,Ccy,Conv)</f>
        <v>-816</v>
      </c>
      <c r="F181" s="4">
        <f>_xll.ciqfunctions.udf.CIQ(InputTicker,"IQ_STOCK_BASED_COMP_TAX",Input!H$2,Date,,,Ccy,Conv)</f>
        <v>-938</v>
      </c>
      <c r="G181" s="4">
        <f>_xll.ciqfunctions.udf.CIQ(InputTicker,"IQ_STOCK_BASED_COMP_TAX",Input!I$2,Date,,,Ccy,Conv)</f>
        <v>-1065</v>
      </c>
      <c r="H181" s="4">
        <f>_xll.ciqfunctions.udf.CIQ(InputTicker,"IQ_STOCK_BASED_COMP_TAX",Input!J$2,Date,,,Ccy,Conv)</f>
        <v>-1293</v>
      </c>
      <c r="I181" s="4">
        <f>_xll.ciqfunctions.udf.CIQ(InputTicker,"IQ_STOCK_BASED_COMP_TAX",Input!K$2,Date,,,Ccy,Conv)</f>
        <v>-1651</v>
      </c>
      <c r="J181" s="4">
        <f>_xll.ciqfunctions.udf.CIQ(InputTicker,"IQ_STOCK_BASED_COMP_TAX",Input!L$2,Date,,,Ccy,Conv)</f>
        <v>-1826</v>
      </c>
      <c r="K181" s="4">
        <f>_xll.ciqfunctions.udf.CIQ(InputTicker,"IQ_STOCK_BASED_COMP_TAX",Input!M$2,Date,,,Ccy,Conv)</f>
        <v>-2027</v>
      </c>
      <c r="L181" s="4">
        <f>_xll.ciqfunctions.udf.CIQ(InputTicker,"IQ_STOCK_BASED_COMP_TAX",Input!N$2,Date,,,Ccy,Conv)</f>
        <v>-2089</v>
      </c>
      <c r="M181" s="4">
        <f>_xll.ciqfunctions.udf.CIQ(InputTicker,"IQ_STOCK_BASED_COMP_TAX",Input!O$2,Date,,,Ccy,Conv)</f>
        <v>-2089</v>
      </c>
      <c r="N181" s="42"/>
      <c r="T181" s="42"/>
      <c r="U181" s="42"/>
      <c r="V181" s="42"/>
      <c r="W181" s="42"/>
      <c r="X181" s="42"/>
      <c r="Y181" s="42"/>
      <c r="Z181" s="42"/>
      <c r="AA181" s="42"/>
      <c r="AB181" s="42"/>
      <c r="AC181" s="42"/>
      <c r="AD181" s="42"/>
      <c r="AE181" s="42"/>
      <c r="AF181" s="42"/>
      <c r="AG181" s="42"/>
      <c r="AH181" s="42"/>
      <c r="AI181" s="42"/>
      <c r="AJ181" s="42"/>
      <c r="AK181" s="42"/>
      <c r="AL181" s="42"/>
      <c r="AM181" s="42"/>
      <c r="AN181" s="42"/>
      <c r="AO181" s="42"/>
      <c r="AP181" s="42"/>
      <c r="AQ181" s="42"/>
      <c r="AR181" s="42"/>
      <c r="AS181" s="42"/>
      <c r="AT181" s="42"/>
      <c r="AU181" s="42"/>
      <c r="AV181" s="42"/>
      <c r="AW181" s="42"/>
      <c r="AX181" s="42"/>
      <c r="AY181" s="42"/>
      <c r="AZ181" s="42"/>
      <c r="BA181" s="42"/>
      <c r="BB181" s="42"/>
      <c r="BC181" s="42"/>
      <c r="BD181" s="42"/>
      <c r="BE181" s="42"/>
      <c r="BF181" s="42"/>
      <c r="BG181" s="42"/>
      <c r="BH181" s="42"/>
      <c r="BI181" s="42"/>
      <c r="BJ181" s="42"/>
      <c r="BK181" s="42"/>
      <c r="BL181" s="42"/>
      <c r="BM181" s="42"/>
      <c r="BN181" s="42"/>
    </row>
    <row r="182" spans="1:66" ht="12.75" customHeight="1" x14ac:dyDescent="0.2">
      <c r="A182" s="1" t="s">
        <v>306</v>
      </c>
      <c r="B182" s="4">
        <f>_xll.ciqfunctions.udf.CIQ(InputTicker,"IQ_STOCK_BASED_COMP",Input!D$2,Date,,,Ccy,Conv)</f>
        <v>1786</v>
      </c>
      <c r="C182" s="4">
        <f>_xll.ciqfunctions.udf.CIQ(InputTicker,"IQ_STOCK_BASED_COMP",Input!E$2,Date,,,Ccy,Conv)</f>
        <v>2200</v>
      </c>
      <c r="D182" s="4">
        <f>_xll.ciqfunctions.udf.CIQ(InputTicker,"IQ_STOCK_BASED_COMP",Input!F$2,Date,,,Ccy,Conv)</f>
        <v>3117</v>
      </c>
      <c r="E182" s="4">
        <f>_xll.ciqfunctions.udf.CIQ(InputTicker,"IQ_STOCK_BASED_COMP",Input!G$2,Date,,,Ccy,Conv)</f>
        <v>3836</v>
      </c>
      <c r="F182" s="4">
        <f>_xll.ciqfunctions.udf.CIQ(InputTicker,"IQ_STOCK_BASED_COMP",Input!H$2,Date,,,Ccy,Conv)</f>
        <v>4351</v>
      </c>
      <c r="G182" s="4">
        <f>_xll.ciqfunctions.udf.CIQ(InputTicker,"IQ_STOCK_BASED_COMP",Input!I$2,Date,,,Ccy,Conv)</f>
        <v>5053</v>
      </c>
      <c r="H182" s="4">
        <f>_xll.ciqfunctions.udf.CIQ(InputTicker,"IQ_STOCK_BASED_COMP",Input!J$2,Date,,,Ccy,Conv)</f>
        <v>6209</v>
      </c>
      <c r="I182" s="4">
        <f>_xll.ciqfunctions.udf.CIQ(InputTicker,"IQ_STOCK_BASED_COMP",Input!K$2,Date,,,Ccy,Conv)</f>
        <v>7960</v>
      </c>
      <c r="J182" s="4">
        <f>_xll.ciqfunctions.udf.CIQ(InputTicker,"IQ_STOCK_BASED_COMP",Input!L$2,Date,,,Ccy,Conv)</f>
        <v>8908</v>
      </c>
      <c r="K182" s="4">
        <f>_xll.ciqfunctions.udf.CIQ(InputTicker,"IQ_STOCK_BASED_COMP",Input!M$2,Date,,,Ccy,Conv)</f>
        <v>9947</v>
      </c>
      <c r="L182" s="4">
        <f>_xll.ciqfunctions.udf.CIQ(InputTicker,"IQ_STOCK_BASED_COMP",Input!N$2,Date,,,Ccy,Conv)</f>
        <v>10316</v>
      </c>
      <c r="M182" s="4">
        <f>_xll.ciqfunctions.udf.CIQ(InputTicker,"IQ_STOCK_BASED_COMP",Input!O$2,Date,,,Ccy,Conv)</f>
        <v>10316</v>
      </c>
      <c r="N182" s="42"/>
      <c r="T182" s="42"/>
      <c r="U182" s="42"/>
      <c r="V182" s="42"/>
      <c r="W182" s="42"/>
      <c r="X182" s="42"/>
      <c r="Y182" s="42"/>
      <c r="Z182" s="42"/>
      <c r="AA182" s="42"/>
      <c r="AB182" s="42"/>
      <c r="AC182" s="42"/>
      <c r="AD182" s="42"/>
      <c r="AE182" s="42"/>
      <c r="AF182" s="42"/>
      <c r="AG182" s="42"/>
      <c r="AH182" s="42"/>
      <c r="AI182" s="42"/>
      <c r="AJ182" s="42"/>
      <c r="AK182" s="42"/>
      <c r="AL182" s="42"/>
      <c r="AM182" s="42"/>
      <c r="AN182" s="42"/>
      <c r="AO182" s="42"/>
      <c r="AP182" s="42"/>
      <c r="AQ182" s="42"/>
      <c r="AR182" s="42"/>
      <c r="AS182" s="42"/>
      <c r="AT182" s="42"/>
      <c r="AU182" s="42"/>
      <c r="AV182" s="42"/>
      <c r="AW182" s="42"/>
      <c r="AX182" s="42"/>
      <c r="AY182" s="42"/>
      <c r="AZ182" s="42"/>
      <c r="BA182" s="42"/>
      <c r="BB182" s="42"/>
      <c r="BC182" s="42"/>
      <c r="BD182" s="42"/>
      <c r="BE182" s="42"/>
      <c r="BF182" s="42"/>
      <c r="BG182" s="42"/>
      <c r="BH182" s="42"/>
      <c r="BI182" s="42"/>
      <c r="BJ182" s="42"/>
      <c r="BK182" s="42"/>
      <c r="BL182" s="42"/>
      <c r="BM182" s="42"/>
      <c r="BN182" s="42"/>
    </row>
    <row r="183" spans="1:66" ht="12.75" customHeight="1" x14ac:dyDescent="0.2">
      <c r="A183" s="3" t="s">
        <v>44</v>
      </c>
      <c r="B183" s="7">
        <f>_xll.ciqfunctions.udf.CIQ(InputTicker, "IQ_NI_CF",Input!D$2,Date,,,Ccy,Conv)</f>
        <v>20539</v>
      </c>
      <c r="C183" s="7">
        <f>_xll.ciqfunctions.udf.CIQ(InputTicker, "IQ_NI_CF",Input!E$2,Date,,,Ccy,Conv)</f>
        <v>25489</v>
      </c>
      <c r="D183" s="7">
        <f>_xll.ciqfunctions.udf.CIQ(InputTicker, "IQ_NI_CF",Input!F$2,Date,,,Ccy,Conv)</f>
        <v>16571</v>
      </c>
      <c r="E183" s="7">
        <f>_xll.ciqfunctions.udf.CIQ(InputTicker, "IQ_NI_CF",Input!G$2,Date,,,Ccy,Conv)</f>
        <v>39240</v>
      </c>
      <c r="F183" s="7">
        <f>_xll.ciqfunctions.udf.CIQ(InputTicker, "IQ_NI_CF",Input!H$2,Date,,,Ccy,Conv)</f>
        <v>44281</v>
      </c>
      <c r="G183" s="7">
        <f>_xll.ciqfunctions.udf.CIQ(InputTicker, "IQ_NI_CF",Input!I$2,Date,,,Ccy,Conv)</f>
        <v>61271</v>
      </c>
      <c r="H183" s="7">
        <f>_xll.ciqfunctions.udf.CIQ(InputTicker, "IQ_NI_CF",Input!J$2,Date,,,Ccy,Conv)</f>
        <v>72738</v>
      </c>
      <c r="I183" s="7">
        <f>_xll.ciqfunctions.udf.CIQ(InputTicker, "IQ_NI_CF",Input!K$2,Date,,,Ccy,Conv)</f>
        <v>72361</v>
      </c>
      <c r="J183" s="7">
        <f>_xll.ciqfunctions.udf.CIQ(InputTicker, "IQ_NI_CF",Input!L$2,Date,,,Ccy,Conv)</f>
        <v>88136</v>
      </c>
      <c r="K183" s="7">
        <f>_xll.ciqfunctions.udf.CIQ(InputTicker, "IQ_NI_CF",Input!M$2,Date,,,Ccy,Conv)</f>
        <v>101832</v>
      </c>
      <c r="L183" s="7">
        <f>_xll.ciqfunctions.udf.CIQ(InputTicker, "IQ_NI_CF",Input!N$2,Date,,,Ccy,Conv)</f>
        <v>133749</v>
      </c>
      <c r="M183" s="7">
        <f>_xll.ciqfunctions.udf.CIQ(InputTicker, "IQ_NI_CF",Input!O$2,Date,,,Ccy,Conv)</f>
        <v>133749</v>
      </c>
      <c r="N183" s="42"/>
      <c r="T183" s="42"/>
      <c r="U183" s="42"/>
      <c r="V183" s="42"/>
      <c r="W183" s="42"/>
      <c r="X183" s="42"/>
      <c r="Y183" s="42"/>
      <c r="Z183" s="42"/>
      <c r="AA183" s="42"/>
      <c r="AB183" s="42"/>
      <c r="AC183" s="42"/>
      <c r="AD183" s="42"/>
      <c r="AE183" s="42"/>
      <c r="AF183" s="42"/>
      <c r="AG183" s="42"/>
      <c r="AH183" s="42"/>
      <c r="AI183" s="42"/>
      <c r="AJ183" s="42"/>
      <c r="AK183" s="42"/>
      <c r="AL183" s="42"/>
      <c r="AM183" s="42"/>
      <c r="AN183" s="42"/>
      <c r="AO183" s="42"/>
      <c r="AP183" s="42"/>
      <c r="AQ183" s="42"/>
      <c r="AR183" s="42"/>
      <c r="AS183" s="42"/>
      <c r="AT183" s="42"/>
      <c r="AU183" s="42"/>
      <c r="AV183" s="42"/>
      <c r="AW183" s="42"/>
      <c r="AX183" s="42"/>
      <c r="AY183" s="42"/>
      <c r="AZ183" s="42"/>
      <c r="BA183" s="42"/>
      <c r="BB183" s="42"/>
      <c r="BC183" s="42"/>
      <c r="BD183" s="42"/>
      <c r="BE183" s="42"/>
      <c r="BF183" s="42"/>
      <c r="BG183" s="42"/>
      <c r="BH183" s="42"/>
      <c r="BI183" s="42"/>
      <c r="BJ183" s="42"/>
      <c r="BK183" s="42"/>
      <c r="BL183" s="42"/>
      <c r="BM183" s="42"/>
      <c r="BN183" s="42"/>
    </row>
    <row r="184" spans="1:66" ht="12.75" customHeight="1" x14ac:dyDescent="0.2">
      <c r="A184" s="1" t="s">
        <v>126</v>
      </c>
      <c r="B184" s="4">
        <f>_xll.ciqfunctions.udf.CIQ(InputTicker, "IQ_DA_SUPPL_CF",Input!D$2,Date,,,Ccy,Conv)</f>
        <v>4900</v>
      </c>
      <c r="C184" s="4">
        <f>_xll.ciqfunctions.udf.CIQ(InputTicker, "IQ_DA_SUPPL_CF",Input!E$2,Date,,,Ccy,Conv)</f>
        <v>6100</v>
      </c>
      <c r="D184" s="4">
        <f>_xll.ciqfunctions.udf.CIQ(InputTicker, "IQ_DA_SUPPL_CF",Input!F$2,Date,,,Ccy,Conv)</f>
        <v>7700</v>
      </c>
      <c r="E184" s="4">
        <f>_xll.ciqfunctions.udf.CIQ(InputTicker, "IQ_DA_SUPPL_CF",Input!G$2,Date,,,Ccy,Conv)</f>
        <v>9700</v>
      </c>
      <c r="F184" s="4">
        <f>_xll.ciqfunctions.udf.CIQ(InputTicker, "IQ_DA_SUPPL_CF",Input!H$2,Date,,,Ccy,Conv)</f>
        <v>10700</v>
      </c>
      <c r="G184" s="4">
        <f>_xll.ciqfunctions.udf.CIQ(InputTicker, "IQ_DA_SUPPL_CF",Input!I$2,Date,,,Ccy,Conv)</f>
        <v>9300</v>
      </c>
      <c r="H184" s="4">
        <f>_xll.ciqfunctions.udf.CIQ(InputTicker, "IQ_DA_SUPPL_CF",Input!J$2,Date,,,Ccy,Conv)</f>
        <v>12600</v>
      </c>
      <c r="I184" s="4">
        <f>_xll.ciqfunctions.udf.CIQ(InputTicker, "IQ_DA_SUPPL_CF",Input!K$2,Date,,,Ccy,Conv)</f>
        <v>11000</v>
      </c>
      <c r="J184" s="4">
        <f>_xll.ciqfunctions.udf.CIQ(InputTicker, "IQ_DA_SUPPL_CF",Input!L$2,Date,,,Ccy,Conv)</f>
        <v>15200</v>
      </c>
      <c r="K184" s="4">
        <f>_xll.ciqfunctions.udf.CIQ(InputTicker, "IQ_DA_SUPPL_CF",Input!M$2,Date,,,Ccy,Conv)</f>
        <v>22000</v>
      </c>
      <c r="L184" s="4">
        <f>_xll.ciqfunctions.udf.CIQ(InputTicker, "IQ_DA_SUPPL_CF",Input!N$2,Date,,,Ccy,Conv)</f>
        <v>34300</v>
      </c>
      <c r="M184" s="4">
        <f>_xll.ciqfunctions.udf.CIQ(InputTicker, "IQ_DA_SUPPL_CF",Input!O$2,Date,,,Ccy,Conv)</f>
        <v>34300</v>
      </c>
      <c r="N184" s="42"/>
      <c r="T184" s="42"/>
      <c r="U184" s="42"/>
      <c r="V184" s="42"/>
      <c r="W184" s="42"/>
      <c r="X184" s="42"/>
      <c r="Y184" s="42"/>
      <c r="Z184" s="42"/>
      <c r="AA184" s="42"/>
      <c r="AB184" s="42"/>
      <c r="AC184" s="42"/>
      <c r="AD184" s="42"/>
      <c r="AE184" s="42"/>
      <c r="AF184" s="42"/>
      <c r="AG184" s="42"/>
      <c r="AH184" s="42"/>
      <c r="AI184" s="42"/>
      <c r="AJ184" s="42"/>
      <c r="AK184" s="42"/>
      <c r="AL184" s="42"/>
      <c r="AM184" s="42"/>
      <c r="AN184" s="42"/>
      <c r="AO184" s="42"/>
      <c r="AP184" s="42"/>
      <c r="AQ184" s="42"/>
      <c r="AR184" s="42"/>
      <c r="AS184" s="42"/>
      <c r="AT184" s="42"/>
      <c r="AU184" s="42"/>
      <c r="AV184" s="42"/>
      <c r="AW184" s="42"/>
      <c r="AX184" s="42"/>
      <c r="AY184" s="42"/>
      <c r="AZ184" s="42"/>
      <c r="BA184" s="42"/>
      <c r="BB184" s="42"/>
      <c r="BC184" s="42"/>
      <c r="BD184" s="42"/>
      <c r="BE184" s="42"/>
      <c r="BF184" s="42"/>
      <c r="BG184" s="42"/>
      <c r="BH184" s="42"/>
      <c r="BI184" s="42"/>
      <c r="BJ184" s="42"/>
      <c r="BK184" s="42"/>
      <c r="BL184" s="42"/>
      <c r="BM184" s="42"/>
      <c r="BN184" s="42"/>
    </row>
    <row r="185" spans="1:66" ht="12.75" customHeight="1" x14ac:dyDescent="0.2">
      <c r="A185" s="1" t="s">
        <v>141</v>
      </c>
      <c r="B185" s="4">
        <f>_xll.ciqfunctions.udf.CIQ(InputTicker, "IQ_GW_INTAN_AMORT_CF",Input!D$2,Date,,,Ccy,Conv)</f>
        <v>978</v>
      </c>
      <c r="C185" s="4">
        <f>_xll.ciqfunctions.udf.CIQ(InputTicker, "IQ_GW_INTAN_AMORT_CF",Input!E$2,Date,,,Ccy,Conv)</f>
        <v>1700</v>
      </c>
      <c r="D185" s="4">
        <f>_xll.ciqfunctions.udf.CIQ(InputTicker, "IQ_GW_INTAN_AMORT_CF",Input!F$2,Date,,,Ccy,Conv)</f>
        <v>2200</v>
      </c>
      <c r="E185" s="4">
        <f>_xll.ciqfunctions.udf.CIQ(InputTicker, "IQ_GW_INTAN_AMORT_CF",Input!G$2,Date,,,Ccy,Conv)</f>
        <v>1900</v>
      </c>
      <c r="F185" s="4">
        <f>_xll.ciqfunctions.udf.CIQ(InputTicker, "IQ_GW_INTAN_AMORT_CF",Input!H$2,Date,,,Ccy,Conv)</f>
        <v>1600</v>
      </c>
      <c r="G185" s="4">
        <f>_xll.ciqfunctions.udf.CIQ(InputTicker, "IQ_GW_INTAN_AMORT_CF",Input!I$2,Date,,,Ccy,Conv)</f>
        <v>1600</v>
      </c>
      <c r="H185" s="4">
        <f>_xll.ciqfunctions.udf.CIQ(InputTicker, "IQ_GW_INTAN_AMORT_CF",Input!J$2,Date,,,Ccy,Conv)</f>
        <v>2000</v>
      </c>
      <c r="I185" s="4">
        <f>_xll.ciqfunctions.udf.CIQ(InputTicker, "IQ_GW_INTAN_AMORT_CF",Input!K$2,Date,,,Ccy,Conv)</f>
        <v>2500</v>
      </c>
      <c r="J185" s="4">
        <f>_xll.ciqfunctions.udf.CIQ(InputTicker, "IQ_GW_INTAN_AMORT_CF",Input!L$2,Date,,,Ccy,Conv)</f>
        <v>4800</v>
      </c>
      <c r="K185" s="4">
        <f>_xll.ciqfunctions.udf.CIQ(InputTicker, "IQ_GW_INTAN_AMORT_CF",Input!M$2,Date,,,Ccy,Conv)</f>
        <v>6000</v>
      </c>
      <c r="L185" s="4">
        <f>_xll.ciqfunctions.udf.CIQ(InputTicker, "IQ_GW_INTAN_AMORT_CF",Input!N$2,Date,,,Ccy,Conv)</f>
        <v>4700</v>
      </c>
      <c r="M185" s="4">
        <f>_xll.ciqfunctions.udf.CIQ(InputTicker, "IQ_GW_INTAN_AMORT_CF",Input!O$2,Date,,,Ccy,Conv)</f>
        <v>4700</v>
      </c>
      <c r="N185" s="42"/>
      <c r="T185" s="42"/>
      <c r="U185" s="42"/>
      <c r="V185" s="42"/>
      <c r="W185" s="42"/>
      <c r="X185" s="42"/>
      <c r="Y185" s="42"/>
      <c r="Z185" s="42"/>
      <c r="AA185" s="42"/>
      <c r="AB185" s="42"/>
      <c r="AC185" s="42"/>
      <c r="AD185" s="42"/>
      <c r="AE185" s="42"/>
      <c r="AF185" s="42"/>
      <c r="AG185" s="42"/>
      <c r="AH185" s="42"/>
      <c r="AI185" s="42"/>
      <c r="AJ185" s="42"/>
      <c r="AK185" s="42"/>
      <c r="AL185" s="42"/>
      <c r="AM185" s="42"/>
      <c r="AN185" s="42"/>
      <c r="AO185" s="42"/>
      <c r="AP185" s="42"/>
      <c r="AQ185" s="42"/>
      <c r="AR185" s="42"/>
      <c r="AS185" s="42"/>
      <c r="AT185" s="42"/>
      <c r="AU185" s="42"/>
      <c r="AV185" s="42"/>
      <c r="AW185" s="42"/>
      <c r="AX185" s="42"/>
      <c r="AY185" s="42"/>
      <c r="AZ185" s="42"/>
      <c r="BA185" s="42"/>
      <c r="BB185" s="42"/>
      <c r="BC185" s="42"/>
      <c r="BD185" s="42"/>
      <c r="BE185" s="42"/>
      <c r="BF185" s="42"/>
      <c r="BG185" s="42"/>
      <c r="BH185" s="42"/>
      <c r="BI185" s="42"/>
      <c r="BJ185" s="42"/>
      <c r="BK185" s="42"/>
      <c r="BL185" s="42"/>
      <c r="BM185" s="42"/>
      <c r="BN185" s="42"/>
    </row>
    <row r="186" spans="1:66" ht="12.75" customHeight="1" x14ac:dyDescent="0.2">
      <c r="A186" s="1" t="s">
        <v>197</v>
      </c>
      <c r="B186" s="4">
        <f>_xll.ciqfunctions.udf.CIQ(InputTicker, "IQ_OIL_IMPAIR",Input!D$2,Date,,,Ccy,Conv)</f>
        <v>0</v>
      </c>
      <c r="C186" s="4">
        <f>_xll.ciqfunctions.udf.CIQ(InputTicker, "IQ_OIL_IMPAIR",Input!E$2,Date,,,Ccy,Conv)</f>
        <v>0</v>
      </c>
      <c r="D186" s="4">
        <f>_xll.ciqfunctions.udf.CIQ(InputTicker, "IQ_OIL_IMPAIR",Input!F$2,Date,,,Ccy,Conv)</f>
        <v>0</v>
      </c>
      <c r="E186" s="4">
        <f>_xll.ciqfunctions.udf.CIQ(InputTicker, "IQ_OIL_IMPAIR",Input!G$2,Date,,,Ccy,Conv)</f>
        <v>0</v>
      </c>
      <c r="F186" s="4">
        <f>_xll.ciqfunctions.udf.CIQ(InputTicker, "IQ_OIL_IMPAIR",Input!H$2,Date,,,Ccy,Conv)</f>
        <v>0</v>
      </c>
      <c r="G186" s="4">
        <f>_xll.ciqfunctions.udf.CIQ(InputTicker, "IQ_OIL_IMPAIR",Input!I$2,Date,,,Ccy,Conv)</f>
        <v>0</v>
      </c>
      <c r="H186" s="4">
        <f>_xll.ciqfunctions.udf.CIQ(InputTicker, "IQ_OIL_IMPAIR",Input!J$2,Date,,,Ccy,Conv)</f>
        <v>0</v>
      </c>
      <c r="I186" s="4">
        <f>_xll.ciqfunctions.udf.CIQ(InputTicker, "IQ_OIL_IMPAIR",Input!K$2,Date,,,Ccy,Conv)</f>
        <v>0</v>
      </c>
      <c r="J186" s="4">
        <f>_xll.ciqfunctions.udf.CIQ(InputTicker, "IQ_OIL_IMPAIR",Input!L$2,Date,,,Ccy,Conv)</f>
        <v>0</v>
      </c>
      <c r="K186" s="4">
        <f>_xll.ciqfunctions.udf.CIQ(InputTicker, "IQ_OIL_IMPAIR",Input!M$2,Date,,,Ccy,Conv)</f>
        <v>0</v>
      </c>
      <c r="L186" s="4">
        <f>_xll.ciqfunctions.udf.CIQ(InputTicker, "IQ_OIL_IMPAIR",Input!N$2,Date,,,Ccy,Conv)</f>
        <v>0</v>
      </c>
      <c r="M186" s="4">
        <f>_xll.ciqfunctions.udf.CIQ(InputTicker, "IQ_OIL_IMPAIR",Input!O$2,Date,,,Ccy,Conv)</f>
        <v>0</v>
      </c>
      <c r="N186" s="42"/>
      <c r="T186" s="42"/>
      <c r="U186" s="42"/>
      <c r="V186" s="42"/>
      <c r="W186" s="42"/>
      <c r="X186" s="42"/>
      <c r="Y186" s="42"/>
      <c r="Z186" s="42"/>
      <c r="AA186" s="42"/>
      <c r="AB186" s="42"/>
      <c r="AC186" s="42"/>
      <c r="AD186" s="42"/>
      <c r="AE186" s="42"/>
      <c r="AF186" s="42"/>
      <c r="AG186" s="42"/>
      <c r="AH186" s="42"/>
      <c r="AI186" s="42"/>
      <c r="AJ186" s="42"/>
      <c r="AK186" s="42"/>
      <c r="AL186" s="42"/>
      <c r="AM186" s="42"/>
      <c r="AN186" s="42"/>
      <c r="AO186" s="42"/>
      <c r="AP186" s="42"/>
      <c r="AQ186" s="42"/>
      <c r="AR186" s="42"/>
      <c r="AS186" s="42"/>
      <c r="AT186" s="42"/>
      <c r="AU186" s="42"/>
      <c r="AV186" s="42"/>
      <c r="AW186" s="42"/>
      <c r="AX186" s="42"/>
      <c r="AY186" s="42"/>
      <c r="AZ186" s="42"/>
      <c r="BA186" s="42"/>
      <c r="BB186" s="42"/>
      <c r="BC186" s="42"/>
      <c r="BD186" s="42"/>
      <c r="BE186" s="42"/>
      <c r="BF186" s="42"/>
      <c r="BG186" s="42"/>
      <c r="BH186" s="42"/>
      <c r="BI186" s="42"/>
      <c r="BJ186" s="42"/>
      <c r="BK186" s="42"/>
      <c r="BL186" s="42"/>
      <c r="BM186" s="42"/>
      <c r="BN186" s="42"/>
    </row>
    <row r="187" spans="1:66" ht="12.75" customHeight="1" x14ac:dyDescent="0.2">
      <c r="A187" s="5" t="s">
        <v>60</v>
      </c>
      <c r="B187" s="6">
        <f>_xll.ciqfunctions.udf.CIQ(InputTicker, "IQ_DA_CF",Input!D$2,Date,,,Ccy,Conv)</f>
        <v>5878</v>
      </c>
      <c r="C187" s="6">
        <f>_xll.ciqfunctions.udf.CIQ(InputTicker, "IQ_DA_CF",Input!E$2,Date,,,Ccy,Conv)</f>
        <v>7800</v>
      </c>
      <c r="D187" s="6">
        <f>_xll.ciqfunctions.udf.CIQ(InputTicker, "IQ_DA_CF",Input!F$2,Date,,,Ccy,Conv)</f>
        <v>9900</v>
      </c>
      <c r="E187" s="6">
        <f>_xll.ciqfunctions.udf.CIQ(InputTicker, "IQ_DA_CF",Input!G$2,Date,,,Ccy,Conv)</f>
        <v>11600</v>
      </c>
      <c r="F187" s="6">
        <f>_xll.ciqfunctions.udf.CIQ(InputTicker, "IQ_DA_CF",Input!H$2,Date,,,Ccy,Conv)</f>
        <v>12300</v>
      </c>
      <c r="G187" s="6">
        <f>_xll.ciqfunctions.udf.CIQ(InputTicker, "IQ_DA_CF",Input!I$2,Date,,,Ccy,Conv)</f>
        <v>10900</v>
      </c>
      <c r="H187" s="6">
        <f>_xll.ciqfunctions.udf.CIQ(InputTicker, "IQ_DA_CF",Input!J$2,Date,,,Ccy,Conv)</f>
        <v>14600</v>
      </c>
      <c r="I187" s="6">
        <f>_xll.ciqfunctions.udf.CIQ(InputTicker, "IQ_DA_CF",Input!K$2,Date,,,Ccy,Conv)</f>
        <v>13500</v>
      </c>
      <c r="J187" s="6">
        <f>_xll.ciqfunctions.udf.CIQ(InputTicker, "IQ_DA_CF",Input!L$2,Date,,,Ccy,Conv)</f>
        <v>20000</v>
      </c>
      <c r="K187" s="6">
        <f>_xll.ciqfunctions.udf.CIQ(InputTicker, "IQ_DA_CF",Input!M$2,Date,,,Ccy,Conv)</f>
        <v>28000</v>
      </c>
      <c r="L187" s="6">
        <f>_xll.ciqfunctions.udf.CIQ(InputTicker, "IQ_DA_CF",Input!N$2,Date,,,Ccy,Conv)</f>
        <v>39000</v>
      </c>
      <c r="M187" s="6">
        <f>_xll.ciqfunctions.udf.CIQ(InputTicker, "IQ_DA_CF",Input!O$2,Date,,,Ccy,Conv)</f>
        <v>39000</v>
      </c>
      <c r="N187" s="42"/>
      <c r="T187" s="42"/>
      <c r="U187" s="42"/>
      <c r="V187" s="42"/>
      <c r="W187" s="42"/>
      <c r="X187" s="42"/>
      <c r="Y187" s="42"/>
      <c r="Z187" s="42"/>
      <c r="AA187" s="42"/>
      <c r="AB187" s="42"/>
      <c r="AC187" s="42"/>
      <c r="AD187" s="42"/>
      <c r="AE187" s="42"/>
      <c r="AF187" s="42"/>
      <c r="AG187" s="42"/>
      <c r="AH187" s="42"/>
      <c r="AI187" s="42"/>
      <c r="AJ187" s="42"/>
      <c r="AK187" s="42"/>
      <c r="AL187" s="42"/>
      <c r="AM187" s="42"/>
      <c r="AN187" s="42"/>
      <c r="AO187" s="42"/>
      <c r="AP187" s="42"/>
      <c r="AQ187" s="42"/>
      <c r="AR187" s="42"/>
      <c r="AS187" s="42"/>
      <c r="AT187" s="42"/>
      <c r="AU187" s="42"/>
      <c r="AV187" s="42"/>
      <c r="AW187" s="42"/>
      <c r="AX187" s="42"/>
      <c r="AY187" s="42"/>
      <c r="AZ187" s="42"/>
      <c r="BA187" s="42"/>
      <c r="BB187" s="42"/>
      <c r="BC187" s="42"/>
      <c r="BD187" s="42"/>
      <c r="BE187" s="42"/>
      <c r="BF187" s="42"/>
      <c r="BG187" s="42"/>
      <c r="BH187" s="42"/>
      <c r="BI187" s="42"/>
      <c r="BJ187" s="42"/>
      <c r="BK187" s="42"/>
      <c r="BL187" s="42"/>
      <c r="BM187" s="42"/>
      <c r="BN187" s="42"/>
    </row>
    <row r="188" spans="1:66" ht="12.75" customHeight="1" x14ac:dyDescent="0.2">
      <c r="A188" s="1" t="s">
        <v>424</v>
      </c>
      <c r="B188" s="4">
        <f>_xll.ciqfunctions.udf.CIQ(InputTicker, "IQ_OTHER_AMORT",Input!D$2,Date,,,Ccy,Conv)</f>
        <v>69</v>
      </c>
      <c r="C188" s="4">
        <f>_xll.ciqfunctions.udf.CIQ(InputTicker, "IQ_OTHER_AMORT",Input!E$2,Date,,,Ccy,Conv)</f>
        <v>0</v>
      </c>
      <c r="D188" s="4">
        <f>_xll.ciqfunctions.udf.CIQ(InputTicker, "IQ_OTHER_AMORT",Input!F$2,Date,,,Ccy,Conv)</f>
        <v>0</v>
      </c>
      <c r="E188" s="4">
        <f>_xll.ciqfunctions.udf.CIQ(InputTicker, "IQ_OTHER_AMORT",Input!G$2,Date,,,Ccy,Conv)</f>
        <v>0</v>
      </c>
      <c r="F188" s="4">
        <f>_xll.ciqfunctions.udf.CIQ(InputTicker, "IQ_OTHER_AMORT",Input!H$2,Date,,,Ccy,Conv)</f>
        <v>0</v>
      </c>
      <c r="G188" s="4">
        <f>_xll.ciqfunctions.udf.CIQ(InputTicker, "IQ_OTHER_AMORT",Input!I$2,Date,,,Ccy,Conv)</f>
        <v>0</v>
      </c>
      <c r="H188" s="4">
        <f>_xll.ciqfunctions.udf.CIQ(InputTicker, "IQ_OTHER_AMORT",Input!J$2,Date,,,Ccy,Conv)</f>
        <v>0</v>
      </c>
      <c r="I188" s="4">
        <f>_xll.ciqfunctions.udf.CIQ(InputTicker, "IQ_OTHER_AMORT",Input!K$2,Date,,,Ccy,Conv)</f>
        <v>0</v>
      </c>
      <c r="J188" s="4">
        <f>_xll.ciqfunctions.udf.CIQ(InputTicker, "IQ_OTHER_AMORT",Input!L$2,Date,,,Ccy,Conv)</f>
        <v>0</v>
      </c>
      <c r="K188" s="4">
        <f>_xll.ciqfunctions.udf.CIQ(InputTicker, "IQ_OTHER_AMORT",Input!M$2,Date,,,Ccy,Conv)</f>
        <v>0</v>
      </c>
      <c r="L188" s="4">
        <f>_xll.ciqfunctions.udf.CIQ(InputTicker, "IQ_OTHER_AMORT",Input!N$2,Date,,,Ccy,Conv)</f>
        <v>0</v>
      </c>
      <c r="M188" s="4">
        <f>_xll.ciqfunctions.udf.CIQ(InputTicker, "IQ_OTHER_AMORT",Input!O$2,Date,,,Ccy,Conv)</f>
        <v>0</v>
      </c>
      <c r="N188" s="42"/>
      <c r="T188" s="42"/>
      <c r="U188" s="42"/>
      <c r="V188" s="42"/>
      <c r="W188" s="42"/>
      <c r="X188" s="42"/>
      <c r="Y188" s="42"/>
      <c r="Z188" s="42"/>
      <c r="AA188" s="42"/>
      <c r="AB188" s="42"/>
      <c r="AC188" s="42"/>
      <c r="AD188" s="42"/>
      <c r="AE188" s="42"/>
      <c r="AF188" s="42"/>
      <c r="AG188" s="42"/>
      <c r="AH188" s="42"/>
      <c r="AI188" s="42"/>
      <c r="AJ188" s="42"/>
      <c r="AK188" s="42"/>
      <c r="AL188" s="42"/>
      <c r="AM188" s="42"/>
      <c r="AN188" s="42"/>
      <c r="AO188" s="42"/>
      <c r="AP188" s="42"/>
      <c r="AQ188" s="42"/>
      <c r="AR188" s="42"/>
      <c r="AS188" s="42"/>
      <c r="AT188" s="42"/>
      <c r="AU188" s="42"/>
      <c r="AV188" s="42"/>
      <c r="AW188" s="42"/>
      <c r="AX188" s="42"/>
      <c r="AY188" s="42"/>
      <c r="AZ188" s="42"/>
      <c r="BA188" s="42"/>
      <c r="BB188" s="42"/>
      <c r="BC188" s="42"/>
      <c r="BD188" s="42"/>
      <c r="BE188" s="42"/>
      <c r="BF188" s="42"/>
      <c r="BG188" s="42"/>
      <c r="BH188" s="42"/>
      <c r="BI188" s="42"/>
      <c r="BJ188" s="42"/>
      <c r="BK188" s="42"/>
      <c r="BL188" s="42"/>
      <c r="BM188" s="42"/>
      <c r="BN188" s="42"/>
    </row>
    <row r="189" spans="1:66" ht="12.75" customHeight="1" x14ac:dyDescent="0.2">
      <c r="A189" s="1" t="s">
        <v>169</v>
      </c>
      <c r="B189" s="4">
        <f>_xll.ciqfunctions.udf.CIQ(InputTicker, "IQ_MINORITY_INTEREST_CF",Input!D$2,Date,,,Ccy,Conv)</f>
        <v>0</v>
      </c>
      <c r="C189" s="4">
        <f>_xll.ciqfunctions.udf.CIQ(InputTicker, "IQ_MINORITY_INTEREST_CF",Input!E$2,Date,,,Ccy,Conv)</f>
        <v>0</v>
      </c>
      <c r="D189" s="4">
        <f>_xll.ciqfunctions.udf.CIQ(InputTicker, "IQ_MINORITY_INTEREST_CF",Input!F$2,Date,,,Ccy,Conv)</f>
        <v>0</v>
      </c>
      <c r="E189" s="4">
        <f>_xll.ciqfunctions.udf.CIQ(InputTicker, "IQ_MINORITY_INTEREST_CF",Input!G$2,Date,,,Ccy,Conv)</f>
        <v>0</v>
      </c>
      <c r="F189" s="4">
        <f>_xll.ciqfunctions.udf.CIQ(InputTicker, "IQ_MINORITY_INTEREST_CF",Input!H$2,Date,,,Ccy,Conv)</f>
        <v>0</v>
      </c>
      <c r="G189" s="4">
        <f>_xll.ciqfunctions.udf.CIQ(InputTicker, "IQ_MINORITY_INTEREST_CF",Input!I$2,Date,,,Ccy,Conv)</f>
        <v>0</v>
      </c>
      <c r="H189" s="4">
        <f>_xll.ciqfunctions.udf.CIQ(InputTicker, "IQ_MINORITY_INTEREST_CF",Input!J$2,Date,,,Ccy,Conv)</f>
        <v>0</v>
      </c>
      <c r="I189" s="4">
        <f>_xll.ciqfunctions.udf.CIQ(InputTicker, "IQ_MINORITY_INTEREST_CF",Input!K$2,Date,,,Ccy,Conv)</f>
        <v>0</v>
      </c>
      <c r="J189" s="4">
        <f>_xll.ciqfunctions.udf.CIQ(InputTicker, "IQ_MINORITY_INTEREST_CF",Input!L$2,Date,,,Ccy,Conv)</f>
        <v>0</v>
      </c>
      <c r="K189" s="4">
        <f>_xll.ciqfunctions.udf.CIQ(InputTicker, "IQ_MINORITY_INTEREST_CF",Input!M$2,Date,,,Ccy,Conv)</f>
        <v>0</v>
      </c>
      <c r="L189" s="4">
        <f>_xll.ciqfunctions.udf.CIQ(InputTicker, "IQ_MINORITY_INTEREST_CF",Input!N$2,Date,,,Ccy,Conv)</f>
        <v>0</v>
      </c>
      <c r="M189" s="4">
        <f>_xll.ciqfunctions.udf.CIQ(InputTicker, "IQ_MINORITY_INTEREST_CF",Input!O$2,Date,,,Ccy,Conv)</f>
        <v>0</v>
      </c>
      <c r="N189" s="42"/>
      <c r="T189" s="42"/>
      <c r="U189" s="42"/>
      <c r="V189" s="42"/>
      <c r="W189" s="42"/>
      <c r="X189" s="42"/>
      <c r="Y189" s="42"/>
      <c r="Z189" s="42"/>
      <c r="AA189" s="42"/>
      <c r="AB189" s="42"/>
      <c r="AC189" s="42"/>
      <c r="AD189" s="42"/>
      <c r="AE189" s="42"/>
      <c r="AF189" s="42"/>
      <c r="AG189" s="42"/>
      <c r="AH189" s="42"/>
      <c r="AI189" s="42"/>
      <c r="AJ189" s="42"/>
      <c r="AK189" s="42"/>
      <c r="AL189" s="42"/>
      <c r="AM189" s="42"/>
      <c r="AN189" s="42"/>
      <c r="AO189" s="42"/>
      <c r="AP189" s="42"/>
      <c r="AQ189" s="42"/>
      <c r="AR189" s="42"/>
      <c r="AS189" s="42"/>
      <c r="AT189" s="42"/>
      <c r="AU189" s="42"/>
      <c r="AV189" s="42"/>
      <c r="AW189" s="42"/>
      <c r="AX189" s="42"/>
      <c r="AY189" s="42"/>
      <c r="AZ189" s="42"/>
      <c r="BA189" s="42"/>
      <c r="BB189" s="42"/>
      <c r="BC189" s="42"/>
      <c r="BD189" s="42"/>
      <c r="BE189" s="42"/>
      <c r="BF189" s="42"/>
      <c r="BG189" s="42"/>
      <c r="BH189" s="42"/>
      <c r="BI189" s="42"/>
      <c r="BJ189" s="42"/>
      <c r="BK189" s="42"/>
      <c r="BL189" s="42"/>
      <c r="BM189" s="42"/>
      <c r="BN189" s="42"/>
    </row>
    <row r="190" spans="1:66" ht="12.75" customHeight="1" x14ac:dyDescent="0.2">
      <c r="A190" s="1" t="s">
        <v>198</v>
      </c>
      <c r="B190" s="4">
        <f>_xll.ciqfunctions.udf.CIQ(InputTicker, "IQ_GAIN_ASSETS_CF",Input!D$2,Date,,,Ccy,Conv)</f>
        <v>0</v>
      </c>
      <c r="C190" s="4">
        <f>_xll.ciqfunctions.udf.CIQ(InputTicker, "IQ_GAIN_ASSETS_CF",Input!E$2,Date,,,Ccy,Conv)</f>
        <v>0</v>
      </c>
      <c r="D190" s="4">
        <f>_xll.ciqfunctions.udf.CIQ(InputTicker, "IQ_GAIN_ASSETS_CF",Input!F$2,Date,,,Ccy,Conv)</f>
        <v>0</v>
      </c>
      <c r="E190" s="4">
        <f>_xll.ciqfunctions.udf.CIQ(InputTicker, "IQ_GAIN_ASSETS_CF",Input!G$2,Date,,,Ccy,Conv)</f>
        <v>0</v>
      </c>
      <c r="F190" s="4">
        <f>_xll.ciqfunctions.udf.CIQ(InputTicker, "IQ_GAIN_ASSETS_CF",Input!H$2,Date,,,Ccy,Conv)</f>
        <v>0</v>
      </c>
      <c r="G190" s="4">
        <f>_xll.ciqfunctions.udf.CIQ(InputTicker, "IQ_GAIN_ASSETS_CF",Input!I$2,Date,,,Ccy,Conv)</f>
        <v>0</v>
      </c>
      <c r="H190" s="4">
        <f>_xll.ciqfunctions.udf.CIQ(InputTicker, "IQ_GAIN_ASSETS_CF",Input!J$2,Date,,,Ccy,Conv)</f>
        <v>0</v>
      </c>
      <c r="I190" s="4">
        <f>_xll.ciqfunctions.udf.CIQ(InputTicker, "IQ_GAIN_ASSETS_CF",Input!K$2,Date,,,Ccy,Conv)</f>
        <v>0</v>
      </c>
      <c r="J190" s="4">
        <f>_xll.ciqfunctions.udf.CIQ(InputTicker, "IQ_GAIN_ASSETS_CF",Input!L$2,Date,,,Ccy,Conv)</f>
        <v>0</v>
      </c>
      <c r="K190" s="4">
        <f>_xll.ciqfunctions.udf.CIQ(InputTicker, "IQ_GAIN_ASSETS_CF",Input!M$2,Date,,,Ccy,Conv)</f>
        <v>0</v>
      </c>
      <c r="L190" s="4">
        <f>_xll.ciqfunctions.udf.CIQ(InputTicker, "IQ_GAIN_ASSETS_CF",Input!N$2,Date,,,Ccy,Conv)</f>
        <v>0</v>
      </c>
      <c r="M190" s="4">
        <f>_xll.ciqfunctions.udf.CIQ(InputTicker, "IQ_GAIN_ASSETS_CF",Input!O$2,Date,,,Ccy,Conv)</f>
        <v>0</v>
      </c>
      <c r="N190" s="42"/>
      <c r="T190" s="42"/>
      <c r="U190" s="42"/>
      <c r="V190" s="42"/>
      <c r="W190" s="42"/>
      <c r="X190" s="42"/>
      <c r="Y190" s="42"/>
      <c r="Z190" s="42"/>
      <c r="AA190" s="42"/>
      <c r="AB190" s="42"/>
      <c r="AC190" s="42"/>
      <c r="AD190" s="42"/>
      <c r="AE190" s="42"/>
      <c r="AF190" s="42"/>
      <c r="AG190" s="42"/>
      <c r="AH190" s="42"/>
      <c r="AI190" s="42"/>
      <c r="AJ190" s="42"/>
      <c r="AK190" s="42"/>
      <c r="AL190" s="42"/>
      <c r="AM190" s="42"/>
      <c r="AN190" s="42"/>
      <c r="AO190" s="42"/>
      <c r="AP190" s="42"/>
      <c r="AQ190" s="42"/>
      <c r="AR190" s="42"/>
      <c r="AS190" s="42"/>
      <c r="AT190" s="42"/>
      <c r="AU190" s="42"/>
      <c r="AV190" s="42"/>
      <c r="AW190" s="42"/>
      <c r="AX190" s="42"/>
      <c r="AY190" s="42"/>
      <c r="AZ190" s="42"/>
      <c r="BA190" s="42"/>
      <c r="BB190" s="42"/>
      <c r="BC190" s="42"/>
      <c r="BD190" s="42"/>
      <c r="BE190" s="42"/>
      <c r="BF190" s="42"/>
      <c r="BG190" s="42"/>
      <c r="BH190" s="42"/>
      <c r="BI190" s="42"/>
      <c r="BJ190" s="42"/>
      <c r="BK190" s="42"/>
      <c r="BL190" s="42"/>
      <c r="BM190" s="42"/>
      <c r="BN190" s="42"/>
    </row>
    <row r="191" spans="1:66" ht="12.75" customHeight="1" x14ac:dyDescent="0.2">
      <c r="A191" s="1" t="s">
        <v>142</v>
      </c>
      <c r="B191" s="4">
        <f>_xll.ciqfunctions.udf.CIQ(InputTicker, "IQ_GAIN_INVEST_CF",Input!D$2,Date,,,Ccy,Conv)</f>
        <v>-223</v>
      </c>
      <c r="C191" s="4">
        <f>_xll.ciqfunctions.udf.CIQ(InputTicker, "IQ_GAIN_INVEST_CF",Input!E$2,Date,,,Ccy,Conv)</f>
        <v>-2073</v>
      </c>
      <c r="D191" s="4">
        <f>_xll.ciqfunctions.udf.CIQ(InputTicker, "IQ_GAIN_INVEST_CF",Input!F$2,Date,,,Ccy,Conv)</f>
        <v>-2212</v>
      </c>
      <c r="E191" s="4">
        <f>_xll.ciqfunctions.udf.CIQ(InputTicker, "IQ_GAIN_INVEST_CF",Input!G$2,Date,,,Ccy,Conv)</f>
        <v>-792</v>
      </c>
      <c r="F191" s="4">
        <f>_xll.ciqfunctions.udf.CIQ(InputTicker, "IQ_GAIN_INVEST_CF",Input!H$2,Date,,,Ccy,Conv)</f>
        <v>-219</v>
      </c>
      <c r="G191" s="4">
        <f>_xll.ciqfunctions.udf.CIQ(InputTicker, "IQ_GAIN_INVEST_CF",Input!I$2,Date,,,Ccy,Conv)</f>
        <v>-1249</v>
      </c>
      <c r="H191" s="4">
        <f>_xll.ciqfunctions.udf.CIQ(InputTicker, "IQ_GAIN_INVEST_CF",Input!J$2,Date,,,Ccy,Conv)</f>
        <v>-409</v>
      </c>
      <c r="I191" s="4">
        <f>_xll.ciqfunctions.udf.CIQ(InputTicker, "IQ_GAIN_INVEST_CF",Input!K$2,Date,,,Ccy,Conv)</f>
        <v>196</v>
      </c>
      <c r="J191" s="4">
        <f>_xll.ciqfunctions.udf.CIQ(InputTicker, "IQ_GAIN_INVEST_CF",Input!L$2,Date,,,Ccy,Conv)</f>
        <v>1634</v>
      </c>
      <c r="K191" s="4">
        <f>_xll.ciqfunctions.udf.CIQ(InputTicker, "IQ_GAIN_INVEST_CF",Input!M$2,Date,,,Ccy,Conv)</f>
        <v>5329</v>
      </c>
      <c r="L191" s="4">
        <f>_xll.ciqfunctions.udf.CIQ(InputTicker, "IQ_GAIN_INVEST_CF",Input!N$2,Date,,,Ccy,Conv)</f>
        <v>-11047</v>
      </c>
      <c r="M191" s="4">
        <f>_xll.ciqfunctions.udf.CIQ(InputTicker, "IQ_GAIN_INVEST_CF",Input!O$2,Date,,,Ccy,Conv)</f>
        <v>-11047</v>
      </c>
      <c r="N191" s="42"/>
      <c r="T191" s="42"/>
      <c r="U191" s="42"/>
      <c r="V191" s="42"/>
      <c r="W191" s="42"/>
      <c r="X191" s="42"/>
      <c r="Y191" s="42"/>
      <c r="Z191" s="42"/>
      <c r="AA191" s="42"/>
      <c r="AB191" s="42"/>
      <c r="AC191" s="42"/>
      <c r="AD191" s="42"/>
      <c r="AE191" s="42"/>
      <c r="AF191" s="42"/>
      <c r="AG191" s="42"/>
      <c r="AH191" s="42"/>
      <c r="AI191" s="42"/>
      <c r="AJ191" s="42"/>
      <c r="AK191" s="42"/>
      <c r="AL191" s="42"/>
      <c r="AM191" s="42"/>
      <c r="AN191" s="42"/>
      <c r="AO191" s="42"/>
      <c r="AP191" s="42"/>
      <c r="AQ191" s="42"/>
      <c r="AR191" s="42"/>
      <c r="AS191" s="42"/>
      <c r="AT191" s="42"/>
      <c r="AU191" s="42"/>
      <c r="AV191" s="42"/>
      <c r="AW191" s="42"/>
      <c r="AX191" s="42"/>
      <c r="AY191" s="42"/>
      <c r="AZ191" s="42"/>
      <c r="BA191" s="42"/>
      <c r="BB191" s="42"/>
      <c r="BC191" s="42"/>
      <c r="BD191" s="42"/>
      <c r="BE191" s="42"/>
      <c r="BF191" s="42"/>
      <c r="BG191" s="42"/>
      <c r="BH191" s="42"/>
      <c r="BI191" s="42"/>
      <c r="BJ191" s="42"/>
      <c r="BK191" s="42"/>
      <c r="BL191" s="42"/>
      <c r="BM191" s="42"/>
      <c r="BN191" s="42"/>
    </row>
    <row r="192" spans="1:66" ht="12.75" customHeight="1" x14ac:dyDescent="0.2">
      <c r="A192" s="1" t="s">
        <v>199</v>
      </c>
      <c r="B192" s="4">
        <f>_xll.ciqfunctions.udf.CIQ(InputTicker, "IQ_ASSET_WRITEDOWN_CF",Input!D$2,Date,,,Ccy,Conv)</f>
        <v>630</v>
      </c>
      <c r="C192" s="4">
        <f>_xll.ciqfunctions.udf.CIQ(InputTicker, "IQ_ASSET_WRITEDOWN_CF",Input!E$2,Date,,,Ccy,Conv)</f>
        <v>0</v>
      </c>
      <c r="D192" s="4">
        <f>_xll.ciqfunctions.udf.CIQ(InputTicker, "IQ_ASSET_WRITEDOWN_CF",Input!F$2,Date,,,Ccy,Conv)</f>
        <v>0</v>
      </c>
      <c r="E192" s="4">
        <f>_xll.ciqfunctions.udf.CIQ(InputTicker, "IQ_ASSET_WRITEDOWN_CF",Input!G$2,Date,,,Ccy,Conv)</f>
        <v>0</v>
      </c>
      <c r="F192" s="4">
        <f>_xll.ciqfunctions.udf.CIQ(InputTicker, "IQ_ASSET_WRITEDOWN_CF",Input!H$2,Date,,,Ccy,Conv)</f>
        <v>0</v>
      </c>
      <c r="G192" s="4">
        <f>_xll.ciqfunctions.udf.CIQ(InputTicker, "IQ_ASSET_WRITEDOWN_CF",Input!I$2,Date,,,Ccy,Conv)</f>
        <v>0</v>
      </c>
      <c r="H192" s="4">
        <f>_xll.ciqfunctions.udf.CIQ(InputTicker, "IQ_ASSET_WRITEDOWN_CF",Input!J$2,Date,,,Ccy,Conv)</f>
        <v>0</v>
      </c>
      <c r="I192" s="4">
        <f>_xll.ciqfunctions.udf.CIQ(InputTicker, "IQ_ASSET_WRITEDOWN_CF",Input!K$2,Date,,,Ccy,Conv)</f>
        <v>0</v>
      </c>
      <c r="J192" s="4">
        <f>_xll.ciqfunctions.udf.CIQ(InputTicker, "IQ_ASSET_WRITEDOWN_CF",Input!L$2,Date,,,Ccy,Conv)</f>
        <v>0</v>
      </c>
      <c r="K192" s="4">
        <f>_xll.ciqfunctions.udf.CIQ(InputTicker, "IQ_ASSET_WRITEDOWN_CF",Input!M$2,Date,,,Ccy,Conv)</f>
        <v>0</v>
      </c>
      <c r="L192" s="4">
        <f>_xll.ciqfunctions.udf.CIQ(InputTicker, "IQ_ASSET_WRITEDOWN_CF",Input!N$2,Date,,,Ccy,Conv)</f>
        <v>0</v>
      </c>
      <c r="M192" s="4">
        <f>_xll.ciqfunctions.udf.CIQ(InputTicker, "IQ_ASSET_WRITEDOWN_CF",Input!O$2,Date,,,Ccy,Conv)</f>
        <v>0</v>
      </c>
      <c r="N192" s="42"/>
      <c r="T192" s="42"/>
      <c r="U192" s="42"/>
      <c r="V192" s="42"/>
      <c r="W192" s="42"/>
      <c r="X192" s="42"/>
      <c r="Y192" s="42"/>
      <c r="Z192" s="42"/>
      <c r="AA192" s="42"/>
      <c r="AB192" s="42"/>
      <c r="AC192" s="42"/>
      <c r="AD192" s="42"/>
      <c r="AE192" s="42"/>
      <c r="AF192" s="42"/>
      <c r="AG192" s="42"/>
      <c r="AH192" s="42"/>
      <c r="AI192" s="42"/>
      <c r="AJ192" s="42"/>
      <c r="AK192" s="42"/>
      <c r="AL192" s="42"/>
      <c r="AM192" s="42"/>
      <c r="AN192" s="42"/>
      <c r="AO192" s="42"/>
      <c r="AP192" s="42"/>
      <c r="AQ192" s="42"/>
      <c r="AR192" s="42"/>
      <c r="AS192" s="42"/>
      <c r="AT192" s="42"/>
      <c r="AU192" s="42"/>
      <c r="AV192" s="42"/>
      <c r="AW192" s="42"/>
      <c r="AX192" s="42"/>
      <c r="AY192" s="42"/>
      <c r="AZ192" s="42"/>
      <c r="BA192" s="42"/>
      <c r="BB192" s="42"/>
      <c r="BC192" s="42"/>
      <c r="BD192" s="42"/>
      <c r="BE192" s="42"/>
      <c r="BF192" s="42"/>
      <c r="BG192" s="42"/>
      <c r="BH192" s="42"/>
      <c r="BI192" s="42"/>
      <c r="BJ192" s="42"/>
      <c r="BK192" s="42"/>
      <c r="BL192" s="42"/>
      <c r="BM192" s="42"/>
      <c r="BN192" s="42"/>
    </row>
    <row r="193" spans="1:66" ht="12.75" customHeight="1" x14ac:dyDescent="0.2">
      <c r="A193" s="1" t="s">
        <v>200</v>
      </c>
      <c r="B193" s="4">
        <f>_xll.ciqfunctions.udf.CIQ(InputTicker, "IQ_LOANS_CF",Input!D$2,Date,,,Ccy,Conv)</f>
        <v>0</v>
      </c>
      <c r="C193" s="4">
        <f>_xll.ciqfunctions.udf.CIQ(InputTicker, "IQ_LOANS_CF",Input!E$2,Date,,,Ccy,Conv)</f>
        <v>0</v>
      </c>
      <c r="D193" s="4">
        <f>_xll.ciqfunctions.udf.CIQ(InputTicker, "IQ_LOANS_CF",Input!F$2,Date,,,Ccy,Conv)</f>
        <v>0</v>
      </c>
      <c r="E193" s="4">
        <f>_xll.ciqfunctions.udf.CIQ(InputTicker, "IQ_LOANS_CF",Input!G$2,Date,,,Ccy,Conv)</f>
        <v>0</v>
      </c>
      <c r="F193" s="4">
        <f>_xll.ciqfunctions.udf.CIQ(InputTicker, "IQ_LOANS_CF",Input!H$2,Date,,,Ccy,Conv)</f>
        <v>0</v>
      </c>
      <c r="G193" s="4">
        <f>_xll.ciqfunctions.udf.CIQ(InputTicker, "IQ_LOANS_CF",Input!I$2,Date,,,Ccy,Conv)</f>
        <v>0</v>
      </c>
      <c r="H193" s="4">
        <f>_xll.ciqfunctions.udf.CIQ(InputTicker, "IQ_LOANS_CF",Input!J$2,Date,,,Ccy,Conv)</f>
        <v>0</v>
      </c>
      <c r="I193" s="4">
        <f>_xll.ciqfunctions.udf.CIQ(InputTicker, "IQ_LOANS_CF",Input!K$2,Date,,,Ccy,Conv)</f>
        <v>0</v>
      </c>
      <c r="J193" s="4">
        <f>_xll.ciqfunctions.udf.CIQ(InputTicker, "IQ_LOANS_CF",Input!L$2,Date,,,Ccy,Conv)</f>
        <v>0</v>
      </c>
      <c r="K193" s="4">
        <f>_xll.ciqfunctions.udf.CIQ(InputTicker, "IQ_LOANS_CF",Input!M$2,Date,,,Ccy,Conv)</f>
        <v>0</v>
      </c>
      <c r="L193" s="4">
        <f>_xll.ciqfunctions.udf.CIQ(InputTicker, "IQ_LOANS_CF",Input!N$2,Date,,,Ccy,Conv)</f>
        <v>0</v>
      </c>
      <c r="M193" s="4">
        <f>_xll.ciqfunctions.udf.CIQ(InputTicker, "IQ_LOANS_CF",Input!O$2,Date,,,Ccy,Conv)</f>
        <v>0</v>
      </c>
      <c r="N193" s="42"/>
      <c r="T193" s="42"/>
      <c r="U193" s="42"/>
      <c r="V193" s="42"/>
      <c r="W193" s="42"/>
      <c r="X193" s="42"/>
      <c r="Y193" s="42"/>
      <c r="Z193" s="42"/>
      <c r="AA193" s="42"/>
      <c r="AB193" s="42"/>
      <c r="AC193" s="42"/>
      <c r="AD193" s="42"/>
      <c r="AE193" s="42"/>
      <c r="AF193" s="42"/>
      <c r="AG193" s="42"/>
      <c r="AH193" s="42"/>
      <c r="AI193" s="42"/>
      <c r="AJ193" s="42"/>
      <c r="AK193" s="42"/>
      <c r="AL193" s="42"/>
      <c r="AM193" s="42"/>
      <c r="AN193" s="42"/>
      <c r="AO193" s="42"/>
      <c r="AP193" s="42"/>
      <c r="AQ193" s="42"/>
      <c r="AR193" s="42"/>
      <c r="AS193" s="42"/>
      <c r="AT193" s="42"/>
      <c r="AU193" s="42"/>
      <c r="AV193" s="42"/>
      <c r="AW193" s="42"/>
      <c r="AX193" s="42"/>
      <c r="AY193" s="42"/>
      <c r="AZ193" s="42"/>
      <c r="BA193" s="42"/>
      <c r="BB193" s="42"/>
      <c r="BC193" s="42"/>
      <c r="BD193" s="42"/>
      <c r="BE193" s="42"/>
      <c r="BF193" s="42"/>
      <c r="BG193" s="42"/>
      <c r="BH193" s="42"/>
      <c r="BI193" s="42"/>
      <c r="BJ193" s="42"/>
      <c r="BK193" s="42"/>
      <c r="BL193" s="42"/>
      <c r="BM193" s="42"/>
      <c r="BN193" s="42"/>
    </row>
    <row r="194" spans="1:66" ht="12.75" customHeight="1" x14ac:dyDescent="0.2">
      <c r="A194" s="1" t="s">
        <v>201</v>
      </c>
      <c r="B194" s="4">
        <f>_xll.ciqfunctions.udf.CIQ(InputTicker, "IQ_CREDIT_LOSS_CF",Input!D$2,Date,,,Ccy,Conv)</f>
        <v>0</v>
      </c>
      <c r="C194" s="4">
        <f>_xll.ciqfunctions.udf.CIQ(InputTicker, "IQ_CREDIT_LOSS_CF",Input!E$2,Date,,,Ccy,Conv)</f>
        <v>0</v>
      </c>
      <c r="D194" s="4">
        <f>_xll.ciqfunctions.udf.CIQ(InputTicker, "IQ_CREDIT_LOSS_CF",Input!F$2,Date,,,Ccy,Conv)</f>
        <v>0</v>
      </c>
      <c r="E194" s="4">
        <f>_xll.ciqfunctions.udf.CIQ(InputTicker, "IQ_CREDIT_LOSS_CF",Input!G$2,Date,,,Ccy,Conv)</f>
        <v>0</v>
      </c>
      <c r="F194" s="4">
        <f>_xll.ciqfunctions.udf.CIQ(InputTicker, "IQ_CREDIT_LOSS_CF",Input!H$2,Date,,,Ccy,Conv)</f>
        <v>0</v>
      </c>
      <c r="G194" s="4">
        <f>_xll.ciqfunctions.udf.CIQ(InputTicker, "IQ_CREDIT_LOSS_CF",Input!I$2,Date,,,Ccy,Conv)</f>
        <v>0</v>
      </c>
      <c r="H194" s="4">
        <f>_xll.ciqfunctions.udf.CIQ(InputTicker, "IQ_CREDIT_LOSS_CF",Input!J$2,Date,,,Ccy,Conv)</f>
        <v>0</v>
      </c>
      <c r="I194" s="4">
        <f>_xll.ciqfunctions.udf.CIQ(InputTicker, "IQ_CREDIT_LOSS_CF",Input!K$2,Date,,,Ccy,Conv)</f>
        <v>0</v>
      </c>
      <c r="J194" s="4">
        <f>_xll.ciqfunctions.udf.CIQ(InputTicker, "IQ_CREDIT_LOSS_CF",Input!L$2,Date,,,Ccy,Conv)</f>
        <v>0</v>
      </c>
      <c r="K194" s="4">
        <f>_xll.ciqfunctions.udf.CIQ(InputTicker, "IQ_CREDIT_LOSS_CF",Input!M$2,Date,,,Ccy,Conv)</f>
        <v>0</v>
      </c>
      <c r="L194" s="4">
        <f>_xll.ciqfunctions.udf.CIQ(InputTicker, "IQ_CREDIT_LOSS_CF",Input!N$2,Date,,,Ccy,Conv)</f>
        <v>0</v>
      </c>
      <c r="M194" s="4">
        <f>_xll.ciqfunctions.udf.CIQ(InputTicker, "IQ_CREDIT_LOSS_CF",Input!O$2,Date,,,Ccy,Conv)</f>
        <v>0</v>
      </c>
      <c r="N194" s="42"/>
      <c r="T194" s="42"/>
      <c r="U194" s="42"/>
      <c r="V194" s="42"/>
      <c r="W194" s="42"/>
      <c r="X194" s="42"/>
      <c r="Y194" s="42"/>
      <c r="Z194" s="42"/>
      <c r="AA194" s="42"/>
      <c r="AB194" s="42"/>
      <c r="AC194" s="42"/>
      <c r="AD194" s="42"/>
      <c r="AE194" s="42"/>
      <c r="AF194" s="42"/>
      <c r="AG194" s="42"/>
      <c r="AH194" s="42"/>
      <c r="AI194" s="42"/>
      <c r="AJ194" s="42"/>
      <c r="AK194" s="42"/>
      <c r="AL194" s="42"/>
      <c r="AM194" s="42"/>
      <c r="AN194" s="42"/>
      <c r="AO194" s="42"/>
      <c r="AP194" s="42"/>
      <c r="AQ194" s="42"/>
      <c r="AR194" s="42"/>
      <c r="AS194" s="42"/>
      <c r="AT194" s="42"/>
      <c r="AU194" s="42"/>
      <c r="AV194" s="42"/>
      <c r="AW194" s="42"/>
      <c r="AX194" s="42"/>
      <c r="AY194" s="42"/>
      <c r="AZ194" s="42"/>
      <c r="BA194" s="42"/>
      <c r="BB194" s="42"/>
      <c r="BC194" s="42"/>
      <c r="BD194" s="42"/>
      <c r="BE194" s="42"/>
      <c r="BF194" s="42"/>
      <c r="BG194" s="42"/>
      <c r="BH194" s="42"/>
      <c r="BI194" s="42"/>
      <c r="BJ194" s="42"/>
      <c r="BK194" s="42"/>
      <c r="BL194" s="42"/>
      <c r="BM194" s="42"/>
      <c r="BN194" s="42"/>
    </row>
    <row r="195" spans="1:66" ht="12.75" customHeight="1" x14ac:dyDescent="0.2">
      <c r="A195" s="1" t="s">
        <v>202</v>
      </c>
      <c r="B195" s="4">
        <f>_xll.ciqfunctions.udf.CIQ(InputTicker, "IQ_INC_EQUITY_CF",Input!D$2,Date,,,Ccy,Conv)</f>
        <v>0</v>
      </c>
      <c r="C195" s="4">
        <f>_xll.ciqfunctions.udf.CIQ(InputTicker, "IQ_INC_EQUITY_CF",Input!E$2,Date,,,Ccy,Conv)</f>
        <v>0</v>
      </c>
      <c r="D195" s="4">
        <f>_xll.ciqfunctions.udf.CIQ(InputTicker, "IQ_INC_EQUITY_CF",Input!F$2,Date,,,Ccy,Conv)</f>
        <v>0</v>
      </c>
      <c r="E195" s="4">
        <f>_xll.ciqfunctions.udf.CIQ(InputTicker, "IQ_INC_EQUITY_CF",Input!G$2,Date,,,Ccy,Conv)</f>
        <v>0</v>
      </c>
      <c r="F195" s="4">
        <f>_xll.ciqfunctions.udf.CIQ(InputTicker, "IQ_INC_EQUITY_CF",Input!H$2,Date,,,Ccy,Conv)</f>
        <v>0</v>
      </c>
      <c r="G195" s="4">
        <f>_xll.ciqfunctions.udf.CIQ(InputTicker, "IQ_INC_EQUITY_CF",Input!I$2,Date,,,Ccy,Conv)</f>
        <v>0</v>
      </c>
      <c r="H195" s="4">
        <f>_xll.ciqfunctions.udf.CIQ(InputTicker, "IQ_INC_EQUITY_CF",Input!J$2,Date,,,Ccy,Conv)</f>
        <v>0</v>
      </c>
      <c r="I195" s="4">
        <f>_xll.ciqfunctions.udf.CIQ(InputTicker, "IQ_INC_EQUITY_CF",Input!K$2,Date,,,Ccy,Conv)</f>
        <v>0</v>
      </c>
      <c r="J195" s="4">
        <f>_xll.ciqfunctions.udf.CIQ(InputTicker, "IQ_INC_EQUITY_CF",Input!L$2,Date,,,Ccy,Conv)</f>
        <v>0</v>
      </c>
      <c r="K195" s="4">
        <f>_xll.ciqfunctions.udf.CIQ(InputTicker, "IQ_INC_EQUITY_CF",Input!M$2,Date,,,Ccy,Conv)</f>
        <v>0</v>
      </c>
      <c r="L195" s="4">
        <f>_xll.ciqfunctions.udf.CIQ(InputTicker, "IQ_INC_EQUITY_CF",Input!N$2,Date,,,Ccy,Conv)</f>
        <v>0</v>
      </c>
      <c r="M195" s="4">
        <f>_xll.ciqfunctions.udf.CIQ(InputTicker, "IQ_INC_EQUITY_CF",Input!O$2,Date,,,Ccy,Conv)</f>
        <v>0</v>
      </c>
      <c r="N195" s="42"/>
      <c r="T195" s="42"/>
      <c r="U195" s="42"/>
      <c r="V195" s="42"/>
      <c r="W195" s="42"/>
      <c r="X195" s="42"/>
      <c r="Y195" s="42"/>
      <c r="Z195" s="42"/>
      <c r="AA195" s="42"/>
      <c r="AB195" s="42"/>
      <c r="AC195" s="42"/>
      <c r="AD195" s="42"/>
      <c r="AE195" s="42"/>
      <c r="AF195" s="42"/>
      <c r="AG195" s="42"/>
      <c r="AH195" s="42"/>
      <c r="AI195" s="42"/>
      <c r="AJ195" s="42"/>
      <c r="AK195" s="42"/>
      <c r="AL195" s="42"/>
      <c r="AM195" s="42"/>
      <c r="AN195" s="42"/>
      <c r="AO195" s="42"/>
      <c r="AP195" s="42"/>
      <c r="AQ195" s="42"/>
      <c r="AR195" s="42"/>
      <c r="AS195" s="42"/>
      <c r="AT195" s="42"/>
      <c r="AU195" s="42"/>
      <c r="AV195" s="42"/>
      <c r="AW195" s="42"/>
      <c r="AX195" s="42"/>
      <c r="AY195" s="42"/>
      <c r="AZ195" s="42"/>
      <c r="BA195" s="42"/>
      <c r="BB195" s="42"/>
      <c r="BC195" s="42"/>
      <c r="BD195" s="42"/>
      <c r="BE195" s="42"/>
      <c r="BF195" s="42"/>
      <c r="BG195" s="42"/>
      <c r="BH195" s="42"/>
      <c r="BI195" s="42"/>
      <c r="BJ195" s="42"/>
      <c r="BK195" s="42"/>
      <c r="BL195" s="42"/>
      <c r="BM195" s="42"/>
      <c r="BN195" s="42"/>
    </row>
    <row r="196" spans="1:66" ht="12.75" customHeight="1" x14ac:dyDescent="0.2">
      <c r="A196" s="1" t="s">
        <v>203</v>
      </c>
      <c r="B196" s="4">
        <f>_xll.ciqfunctions.udf.CIQ(InputTicker, "IQ_STOCK_BASED_CF",Input!D$2,Date,,,Ccy,Conv)</f>
        <v>2668</v>
      </c>
      <c r="C196" s="4">
        <f>_xll.ciqfunctions.udf.CIQ(InputTicker, "IQ_STOCK_BASED_CF",Input!E$2,Date,,,Ccy,Conv)</f>
        <v>3266</v>
      </c>
      <c r="D196" s="4">
        <f>_xll.ciqfunctions.udf.CIQ(InputTicker, "IQ_STOCK_BASED_CF",Input!F$2,Date,,,Ccy,Conv)</f>
        <v>3940</v>
      </c>
      <c r="E196" s="4">
        <f>_xll.ciqfunctions.udf.CIQ(InputTicker, "IQ_STOCK_BASED_CF",Input!G$2,Date,,,Ccy,Conv)</f>
        <v>4652</v>
      </c>
      <c r="F196" s="4">
        <f>_xll.ciqfunctions.udf.CIQ(InputTicker, "IQ_STOCK_BASED_CF",Input!H$2,Date,,,Ccy,Conv)</f>
        <v>5289</v>
      </c>
      <c r="G196" s="4">
        <f>_xll.ciqfunctions.udf.CIQ(InputTicker, "IQ_STOCK_BASED_CF",Input!I$2,Date,,,Ccy,Conv)</f>
        <v>6118</v>
      </c>
      <c r="H196" s="4">
        <f>_xll.ciqfunctions.udf.CIQ(InputTicker, "IQ_STOCK_BASED_CF",Input!J$2,Date,,,Ccy,Conv)</f>
        <v>7502</v>
      </c>
      <c r="I196" s="4">
        <f>_xll.ciqfunctions.udf.CIQ(InputTicker, "IQ_STOCK_BASED_CF",Input!K$2,Date,,,Ccy,Conv)</f>
        <v>9611</v>
      </c>
      <c r="J196" s="4">
        <f>_xll.ciqfunctions.udf.CIQ(InputTicker, "IQ_STOCK_BASED_CF",Input!L$2,Date,,,Ccy,Conv)</f>
        <v>10734</v>
      </c>
      <c r="K196" s="4">
        <f>_xll.ciqfunctions.udf.CIQ(InputTicker, "IQ_STOCK_BASED_CF",Input!M$2,Date,,,Ccy,Conv)</f>
        <v>11974</v>
      </c>
      <c r="L196" s="4">
        <f>_xll.ciqfunctions.udf.CIQ(InputTicker, "IQ_STOCK_BASED_CF",Input!N$2,Date,,,Ccy,Conv)</f>
        <v>12405</v>
      </c>
      <c r="M196" s="4">
        <f>_xll.ciqfunctions.udf.CIQ(InputTicker, "IQ_STOCK_BASED_CF",Input!O$2,Date,,,Ccy,Conv)</f>
        <v>12405</v>
      </c>
      <c r="N196" s="42"/>
      <c r="T196" s="42"/>
      <c r="U196" s="42"/>
      <c r="V196" s="42"/>
      <c r="W196" s="42"/>
      <c r="X196" s="42"/>
      <c r="Y196" s="42"/>
      <c r="Z196" s="42"/>
      <c r="AA196" s="42"/>
      <c r="AB196" s="42"/>
      <c r="AC196" s="42"/>
      <c r="AD196" s="42"/>
      <c r="AE196" s="42"/>
      <c r="AF196" s="42"/>
      <c r="AG196" s="42"/>
      <c r="AH196" s="42"/>
      <c r="AI196" s="42"/>
      <c r="AJ196" s="42"/>
      <c r="AK196" s="42"/>
      <c r="AL196" s="42"/>
      <c r="AM196" s="42"/>
      <c r="AN196" s="42"/>
      <c r="AO196" s="42"/>
      <c r="AP196" s="42"/>
      <c r="AQ196" s="42"/>
      <c r="AR196" s="42"/>
      <c r="AS196" s="42"/>
      <c r="AT196" s="42"/>
      <c r="AU196" s="42"/>
      <c r="AV196" s="42"/>
      <c r="AW196" s="42"/>
      <c r="AX196" s="42"/>
      <c r="AY196" s="42"/>
      <c r="AZ196" s="42"/>
      <c r="BA196" s="42"/>
      <c r="BB196" s="42"/>
      <c r="BC196" s="42"/>
      <c r="BD196" s="42"/>
      <c r="BE196" s="42"/>
      <c r="BF196" s="42"/>
      <c r="BG196" s="42"/>
      <c r="BH196" s="42"/>
      <c r="BI196" s="42"/>
      <c r="BJ196" s="42"/>
      <c r="BK196" s="42"/>
      <c r="BL196" s="42"/>
      <c r="BM196" s="42"/>
      <c r="BN196" s="42"/>
    </row>
    <row r="197" spans="1:66" ht="12.75" customHeight="1" x14ac:dyDescent="0.2">
      <c r="A197" s="1" t="s">
        <v>143</v>
      </c>
      <c r="B197" s="4">
        <f>_xll.ciqfunctions.udf.CIQ(InputTicker, "IQ_TAX_BENEFIT_OPTIONS",Input!D$2,Date,,,Ccy,Conv)</f>
        <v>0</v>
      </c>
      <c r="C197" s="4">
        <f>_xll.ciqfunctions.udf.CIQ(InputTicker, "IQ_TAX_BENEFIT_OPTIONS",Input!E$2,Date,,,Ccy,Conv)</f>
        <v>0</v>
      </c>
      <c r="D197" s="4">
        <f>_xll.ciqfunctions.udf.CIQ(InputTicker, "IQ_TAX_BENEFIT_OPTIONS",Input!F$2,Date,,,Ccy,Conv)</f>
        <v>0</v>
      </c>
      <c r="E197" s="4">
        <f>_xll.ciqfunctions.udf.CIQ(InputTicker, "IQ_TAX_BENEFIT_OPTIONS",Input!G$2,Date,,,Ccy,Conv)</f>
        <v>0</v>
      </c>
      <c r="F197" s="4">
        <f>_xll.ciqfunctions.udf.CIQ(InputTicker, "IQ_TAX_BENEFIT_OPTIONS",Input!H$2,Date,,,Ccy,Conv)</f>
        <v>0</v>
      </c>
      <c r="G197" s="4">
        <f>_xll.ciqfunctions.udf.CIQ(InputTicker, "IQ_TAX_BENEFIT_OPTIONS",Input!I$2,Date,,,Ccy,Conv)</f>
        <v>0</v>
      </c>
      <c r="H197" s="4">
        <f>_xll.ciqfunctions.udf.CIQ(InputTicker, "IQ_TAX_BENEFIT_OPTIONS",Input!J$2,Date,,,Ccy,Conv)</f>
        <v>0</v>
      </c>
      <c r="I197" s="4">
        <f>_xll.ciqfunctions.udf.CIQ(InputTicker, "IQ_TAX_BENEFIT_OPTIONS",Input!K$2,Date,,,Ccy,Conv)</f>
        <v>0</v>
      </c>
      <c r="J197" s="4">
        <f>_xll.ciqfunctions.udf.CIQ(InputTicker, "IQ_TAX_BENEFIT_OPTIONS",Input!L$2,Date,,,Ccy,Conv)</f>
        <v>0</v>
      </c>
      <c r="K197" s="4">
        <f>_xll.ciqfunctions.udf.CIQ(InputTicker, "IQ_TAX_BENEFIT_OPTIONS",Input!M$2,Date,,,Ccy,Conv)</f>
        <v>0</v>
      </c>
      <c r="L197" s="4">
        <f>_xll.ciqfunctions.udf.CIQ(InputTicker, "IQ_TAX_BENEFIT_OPTIONS",Input!N$2,Date,,,Ccy,Conv)</f>
        <v>0</v>
      </c>
      <c r="M197" s="4">
        <f>_xll.ciqfunctions.udf.CIQ(InputTicker, "IQ_TAX_BENEFIT_OPTIONS",Input!O$2,Date,,,Ccy,Conv)</f>
        <v>0</v>
      </c>
      <c r="N197" s="42"/>
      <c r="T197" s="42"/>
      <c r="U197" s="42"/>
      <c r="V197" s="42"/>
      <c r="W197" s="42"/>
      <c r="X197" s="42"/>
      <c r="Y197" s="42"/>
      <c r="Z197" s="42"/>
      <c r="AA197" s="42"/>
      <c r="AB197" s="42"/>
      <c r="AC197" s="42"/>
      <c r="AD197" s="42"/>
      <c r="AE197" s="42"/>
      <c r="AF197" s="42"/>
      <c r="AG197" s="42"/>
      <c r="AH197" s="42"/>
      <c r="AI197" s="42"/>
      <c r="AJ197" s="42"/>
      <c r="AK197" s="42"/>
      <c r="AL197" s="42"/>
      <c r="AM197" s="42"/>
      <c r="AN197" s="42"/>
      <c r="AO197" s="42"/>
      <c r="AP197" s="42"/>
      <c r="AQ197" s="42"/>
      <c r="AR197" s="42"/>
      <c r="AS197" s="42"/>
      <c r="AT197" s="42"/>
      <c r="AU197" s="42"/>
      <c r="AV197" s="42"/>
      <c r="AW197" s="42"/>
      <c r="AX197" s="42"/>
      <c r="AY197" s="42"/>
      <c r="AZ197" s="42"/>
      <c r="BA197" s="42"/>
      <c r="BB197" s="42"/>
      <c r="BC197" s="42"/>
      <c r="BD197" s="42"/>
      <c r="BE197" s="42"/>
      <c r="BF197" s="42"/>
      <c r="BG197" s="42"/>
      <c r="BH197" s="42"/>
      <c r="BI197" s="42"/>
      <c r="BJ197" s="42"/>
      <c r="BK197" s="42"/>
      <c r="BL197" s="42"/>
      <c r="BM197" s="42"/>
      <c r="BN197" s="42"/>
    </row>
    <row r="198" spans="1:66" ht="12.75" customHeight="1" x14ac:dyDescent="0.2">
      <c r="A198" s="1" t="s">
        <v>204</v>
      </c>
      <c r="B198" s="4">
        <f>_xll.ciqfunctions.udf.CIQ(InputTicker, "IQ_PROV_BAD_DEBTS_CF",Input!D$2,Date,,,Ccy,Conv)</f>
        <v>0</v>
      </c>
      <c r="C198" s="4">
        <f>_xll.ciqfunctions.udf.CIQ(InputTicker, "IQ_PROV_BAD_DEBTS_CF",Input!E$2,Date,,,Ccy,Conv)</f>
        <v>0</v>
      </c>
      <c r="D198" s="4">
        <f>_xll.ciqfunctions.udf.CIQ(InputTicker, "IQ_PROV_BAD_DEBTS_CF",Input!F$2,Date,,,Ccy,Conv)</f>
        <v>0</v>
      </c>
      <c r="E198" s="4">
        <f>_xll.ciqfunctions.udf.CIQ(InputTicker, "IQ_PROV_BAD_DEBTS_CF",Input!G$2,Date,,,Ccy,Conv)</f>
        <v>0</v>
      </c>
      <c r="F198" s="4">
        <f>_xll.ciqfunctions.udf.CIQ(InputTicker, "IQ_PROV_BAD_DEBTS_CF",Input!H$2,Date,,,Ccy,Conv)</f>
        <v>0</v>
      </c>
      <c r="G198" s="4">
        <f>_xll.ciqfunctions.udf.CIQ(InputTicker, "IQ_PROV_BAD_DEBTS_CF",Input!I$2,Date,,,Ccy,Conv)</f>
        <v>0</v>
      </c>
      <c r="H198" s="4">
        <f>_xll.ciqfunctions.udf.CIQ(InputTicker, "IQ_PROV_BAD_DEBTS_CF",Input!J$2,Date,,,Ccy,Conv)</f>
        <v>0</v>
      </c>
      <c r="I198" s="4">
        <f>_xll.ciqfunctions.udf.CIQ(InputTicker, "IQ_PROV_BAD_DEBTS_CF",Input!K$2,Date,,,Ccy,Conv)</f>
        <v>0</v>
      </c>
      <c r="J198" s="4">
        <f>_xll.ciqfunctions.udf.CIQ(InputTicker, "IQ_PROV_BAD_DEBTS_CF",Input!L$2,Date,,,Ccy,Conv)</f>
        <v>0</v>
      </c>
      <c r="K198" s="4">
        <f>_xll.ciqfunctions.udf.CIQ(InputTicker, "IQ_PROV_BAD_DEBTS_CF",Input!M$2,Date,,,Ccy,Conv)</f>
        <v>0</v>
      </c>
      <c r="L198" s="4">
        <f>_xll.ciqfunctions.udf.CIQ(InputTicker, "IQ_PROV_BAD_DEBTS_CF",Input!N$2,Date,,,Ccy,Conv)</f>
        <v>0</v>
      </c>
      <c r="M198" s="4">
        <f>_xll.ciqfunctions.udf.CIQ(InputTicker, "IQ_PROV_BAD_DEBTS_CF",Input!O$2,Date,,,Ccy,Conv)</f>
        <v>0</v>
      </c>
      <c r="N198" s="42"/>
      <c r="T198" s="42"/>
      <c r="U198" s="42"/>
      <c r="V198" s="42"/>
      <c r="W198" s="42"/>
      <c r="X198" s="42"/>
      <c r="Y198" s="42"/>
      <c r="Z198" s="42"/>
      <c r="AA198" s="42"/>
      <c r="AB198" s="42"/>
      <c r="AC198" s="42"/>
      <c r="AD198" s="42"/>
      <c r="AE198" s="42"/>
      <c r="AF198" s="42"/>
      <c r="AG198" s="42"/>
      <c r="AH198" s="42"/>
      <c r="AI198" s="42"/>
      <c r="AJ198" s="42"/>
      <c r="AK198" s="42"/>
      <c r="AL198" s="42"/>
      <c r="AM198" s="42"/>
      <c r="AN198" s="42"/>
      <c r="AO198" s="42"/>
      <c r="AP198" s="42"/>
      <c r="AQ198" s="42"/>
      <c r="AR198" s="42"/>
      <c r="AS198" s="42"/>
      <c r="AT198" s="42"/>
      <c r="AU198" s="42"/>
      <c r="AV198" s="42"/>
      <c r="AW198" s="42"/>
      <c r="AX198" s="42"/>
      <c r="AY198" s="42"/>
      <c r="AZ198" s="42"/>
      <c r="BA198" s="42"/>
      <c r="BB198" s="42"/>
      <c r="BC198" s="42"/>
      <c r="BD198" s="42"/>
      <c r="BE198" s="42"/>
      <c r="BF198" s="42"/>
      <c r="BG198" s="42"/>
      <c r="BH198" s="42"/>
      <c r="BI198" s="42"/>
      <c r="BJ198" s="42"/>
      <c r="BK198" s="42"/>
      <c r="BL198" s="42"/>
      <c r="BM198" s="42"/>
      <c r="BN198" s="42"/>
    </row>
    <row r="199" spans="1:66" ht="12.75" customHeight="1" x14ac:dyDescent="0.2">
      <c r="A199" s="1" t="s">
        <v>205</v>
      </c>
      <c r="B199" s="4">
        <f>_xll.ciqfunctions.udf.CIQ(InputTicker, "IQ_DO_CF",Input!D$2,Date,,,Ccy,Conv)</f>
        <v>0</v>
      </c>
      <c r="C199" s="4">
        <f>_xll.ciqfunctions.udf.CIQ(InputTicker, "IQ_DO_CF",Input!E$2,Date,,,Ccy,Conv)</f>
        <v>0</v>
      </c>
      <c r="D199" s="4">
        <f>_xll.ciqfunctions.udf.CIQ(InputTicker, "IQ_DO_CF",Input!F$2,Date,,,Ccy,Conv)</f>
        <v>0</v>
      </c>
      <c r="E199" s="4">
        <f>_xll.ciqfunctions.udf.CIQ(InputTicker, "IQ_DO_CF",Input!G$2,Date,,,Ccy,Conv)</f>
        <v>0</v>
      </c>
      <c r="F199" s="4">
        <f>_xll.ciqfunctions.udf.CIQ(InputTicker, "IQ_DO_CF",Input!H$2,Date,,,Ccy,Conv)</f>
        <v>0</v>
      </c>
      <c r="G199" s="4">
        <f>_xll.ciqfunctions.udf.CIQ(InputTicker, "IQ_DO_CF",Input!I$2,Date,,,Ccy,Conv)</f>
        <v>0</v>
      </c>
      <c r="H199" s="4">
        <f>_xll.ciqfunctions.udf.CIQ(InputTicker, "IQ_DO_CF",Input!J$2,Date,,,Ccy,Conv)</f>
        <v>0</v>
      </c>
      <c r="I199" s="4">
        <f>_xll.ciqfunctions.udf.CIQ(InputTicker, "IQ_DO_CF",Input!K$2,Date,,,Ccy,Conv)</f>
        <v>0</v>
      </c>
      <c r="J199" s="4">
        <f>_xll.ciqfunctions.udf.CIQ(InputTicker, "IQ_DO_CF",Input!L$2,Date,,,Ccy,Conv)</f>
        <v>0</v>
      </c>
      <c r="K199" s="4">
        <f>_xll.ciqfunctions.udf.CIQ(InputTicker, "IQ_DO_CF",Input!M$2,Date,,,Ccy,Conv)</f>
        <v>0</v>
      </c>
      <c r="L199" s="4">
        <f>_xll.ciqfunctions.udf.CIQ(InputTicker, "IQ_DO_CF",Input!N$2,Date,,,Ccy,Conv)</f>
        <v>0</v>
      </c>
      <c r="M199" s="4">
        <f>_xll.ciqfunctions.udf.CIQ(InputTicker, "IQ_DO_CF",Input!O$2,Date,,,Ccy,Conv)</f>
        <v>0</v>
      </c>
      <c r="N199" s="42"/>
      <c r="T199" s="42"/>
      <c r="U199" s="42"/>
      <c r="V199" s="42"/>
      <c r="W199" s="42"/>
      <c r="X199" s="42"/>
      <c r="Y199" s="42"/>
      <c r="Z199" s="42"/>
      <c r="AA199" s="42"/>
      <c r="AB199" s="42"/>
      <c r="AC199" s="42"/>
      <c r="AD199" s="42"/>
      <c r="AE199" s="42"/>
      <c r="AF199" s="42"/>
      <c r="AG199" s="42"/>
      <c r="AH199" s="42"/>
      <c r="AI199" s="42"/>
      <c r="AJ199" s="42"/>
      <c r="AK199" s="42"/>
      <c r="AL199" s="42"/>
      <c r="AM199" s="42"/>
      <c r="AN199" s="42"/>
      <c r="AO199" s="42"/>
      <c r="AP199" s="42"/>
      <c r="AQ199" s="42"/>
      <c r="AR199" s="42"/>
      <c r="AS199" s="42"/>
      <c r="AT199" s="42"/>
      <c r="AU199" s="42"/>
      <c r="AV199" s="42"/>
      <c r="AW199" s="42"/>
      <c r="AX199" s="42"/>
      <c r="AY199" s="42"/>
      <c r="AZ199" s="42"/>
      <c r="BA199" s="42"/>
      <c r="BB199" s="42"/>
      <c r="BC199" s="42"/>
      <c r="BD199" s="42"/>
      <c r="BE199" s="42"/>
      <c r="BF199" s="42"/>
      <c r="BG199" s="42"/>
      <c r="BH199" s="42"/>
      <c r="BI199" s="42"/>
      <c r="BJ199" s="42"/>
      <c r="BK199" s="42"/>
      <c r="BL199" s="42"/>
      <c r="BM199" s="42"/>
      <c r="BN199" s="42"/>
    </row>
    <row r="200" spans="1:66" ht="12.75" customHeight="1" x14ac:dyDescent="0.2">
      <c r="A200" s="1" t="s">
        <v>206</v>
      </c>
      <c r="B200" s="4">
        <f>_xll.ciqfunctions.udf.CIQ(InputTicker, "IQ_OTHER_OPER_ACT",Input!D$2,Date,,,Ccy,Conv)</f>
        <v>3154</v>
      </c>
      <c r="C200" s="4">
        <f>_xll.ciqfunctions.udf.CIQ(InputTicker, "IQ_OTHER_OPER_ACT",Input!E$2,Date,,,Ccy,Conv)</f>
        <v>149</v>
      </c>
      <c r="D200" s="4">
        <f>_xll.ciqfunctions.udf.CIQ(InputTicker, "IQ_OTHER_OPER_ACT",Input!F$2,Date,,,Ccy,Conv)</f>
        <v>-4782</v>
      </c>
      <c r="E200" s="4">
        <f>_xll.ciqfunctions.udf.CIQ(InputTicker, "IQ_OTHER_OPER_ACT",Input!G$2,Date,,,Ccy,Conv)</f>
        <v>-6381</v>
      </c>
      <c r="F200" s="4">
        <f>_xll.ciqfunctions.udf.CIQ(InputTicker, "IQ_OTHER_OPER_ACT",Input!H$2,Date,,,Ccy,Conv)</f>
        <v>507</v>
      </c>
      <c r="G200" s="4">
        <f>_xll.ciqfunctions.udf.CIQ(InputTicker, "IQ_OTHER_OPER_ACT",Input!I$2,Date,,,Ccy,Conv)</f>
        <v>636</v>
      </c>
      <c r="H200" s="4">
        <f>_xll.ciqfunctions.udf.CIQ(InputTicker, "IQ_OTHER_OPER_ACT",Input!J$2,Date,,,Ccy,Conv)</f>
        <v>-5842</v>
      </c>
      <c r="I200" s="4">
        <f>_xll.ciqfunctions.udf.CIQ(InputTicker, "IQ_OTHER_OPER_ACT",Input!K$2,Date,,,Ccy,Conv)</f>
        <v>-5698</v>
      </c>
      <c r="J200" s="4">
        <f>_xll.ciqfunctions.udf.CIQ(InputTicker, "IQ_OTHER_OPER_ACT",Input!L$2,Date,,,Ccy,Conv)</f>
        <v>-3780</v>
      </c>
      <c r="K200" s="4">
        <f>_xll.ciqfunctions.udf.CIQ(InputTicker, "IQ_OTHER_OPER_ACT",Input!M$2,Date,,,Ccy,Conv)</f>
        <v>-5623</v>
      </c>
      <c r="L200" s="4">
        <f>_xll.ciqfunctions.udf.CIQ(InputTicker, "IQ_OTHER_OPER_ACT",Input!N$2,Date,,,Ccy,Conv)</f>
        <v>13723</v>
      </c>
      <c r="M200" s="4">
        <f>_xll.ciqfunctions.udf.CIQ(InputTicker, "IQ_OTHER_OPER_ACT",Input!O$2,Date,,,Ccy,Conv)</f>
        <v>13723</v>
      </c>
      <c r="N200" s="42"/>
      <c r="T200" s="42"/>
      <c r="U200" s="42"/>
      <c r="V200" s="42"/>
      <c r="W200" s="42"/>
      <c r="X200" s="42"/>
      <c r="Y200" s="42"/>
      <c r="Z200" s="42"/>
      <c r="AA200" s="42"/>
      <c r="AB200" s="42"/>
      <c r="AC200" s="42"/>
      <c r="AD200" s="42"/>
      <c r="AE200" s="42"/>
      <c r="AF200" s="42"/>
      <c r="AG200" s="42"/>
      <c r="AH200" s="42"/>
      <c r="AI200" s="42"/>
      <c r="AJ200" s="42"/>
      <c r="AK200" s="42"/>
      <c r="AL200" s="42"/>
      <c r="AM200" s="42"/>
      <c r="AN200" s="42"/>
      <c r="AO200" s="42"/>
      <c r="AP200" s="42"/>
      <c r="AQ200" s="42"/>
      <c r="AR200" s="42"/>
      <c r="AS200" s="42"/>
      <c r="AT200" s="42"/>
      <c r="AU200" s="42"/>
      <c r="AV200" s="42"/>
      <c r="AW200" s="42"/>
      <c r="AX200" s="42"/>
      <c r="AY200" s="42"/>
      <c r="AZ200" s="42"/>
      <c r="BA200" s="42"/>
      <c r="BB200" s="42"/>
      <c r="BC200" s="42"/>
      <c r="BD200" s="42"/>
      <c r="BE200" s="42"/>
      <c r="BF200" s="42"/>
      <c r="BG200" s="42"/>
      <c r="BH200" s="42"/>
      <c r="BI200" s="42"/>
      <c r="BJ200" s="42"/>
      <c r="BK200" s="42"/>
      <c r="BL200" s="42"/>
      <c r="BM200" s="42"/>
      <c r="BN200" s="42"/>
    </row>
    <row r="201" spans="1:66" ht="12.75" customHeight="1" x14ac:dyDescent="0.2">
      <c r="A201" s="1" t="s">
        <v>207</v>
      </c>
      <c r="B201" s="4">
        <f>_xll.ciqfunctions.udf.CIQ(InputTicker, "IQ_CHANGE_TRADING_ASSETS",Input!D$2,Date,,,Ccy,Conv)</f>
        <v>0</v>
      </c>
      <c r="C201" s="4">
        <f>_xll.ciqfunctions.udf.CIQ(InputTicker, "IQ_CHANGE_TRADING_ASSETS",Input!E$2,Date,,,Ccy,Conv)</f>
        <v>0</v>
      </c>
      <c r="D201" s="4">
        <f>_xll.ciqfunctions.udf.CIQ(InputTicker, "IQ_CHANGE_TRADING_ASSETS",Input!F$2,Date,,,Ccy,Conv)</f>
        <v>0</v>
      </c>
      <c r="E201" s="4">
        <f>_xll.ciqfunctions.udf.CIQ(InputTicker, "IQ_CHANGE_TRADING_ASSETS",Input!G$2,Date,,,Ccy,Conv)</f>
        <v>0</v>
      </c>
      <c r="F201" s="4">
        <f>_xll.ciqfunctions.udf.CIQ(InputTicker, "IQ_CHANGE_TRADING_ASSETS",Input!H$2,Date,,,Ccy,Conv)</f>
        <v>0</v>
      </c>
      <c r="G201" s="4">
        <f>_xll.ciqfunctions.udf.CIQ(InputTicker, "IQ_CHANGE_TRADING_ASSETS",Input!I$2,Date,,,Ccy,Conv)</f>
        <v>0</v>
      </c>
      <c r="H201" s="4">
        <f>_xll.ciqfunctions.udf.CIQ(InputTicker, "IQ_CHANGE_TRADING_ASSETS",Input!J$2,Date,,,Ccy,Conv)</f>
        <v>0</v>
      </c>
      <c r="I201" s="4">
        <f>_xll.ciqfunctions.udf.CIQ(InputTicker, "IQ_CHANGE_TRADING_ASSETS",Input!K$2,Date,,,Ccy,Conv)</f>
        <v>0</v>
      </c>
      <c r="J201" s="4">
        <f>_xll.ciqfunctions.udf.CIQ(InputTicker, "IQ_CHANGE_TRADING_ASSETS",Input!L$2,Date,,,Ccy,Conv)</f>
        <v>0</v>
      </c>
      <c r="K201" s="4">
        <f>_xll.ciqfunctions.udf.CIQ(InputTicker, "IQ_CHANGE_TRADING_ASSETS",Input!M$2,Date,,,Ccy,Conv)</f>
        <v>0</v>
      </c>
      <c r="L201" s="4">
        <f>_xll.ciqfunctions.udf.CIQ(InputTicker, "IQ_CHANGE_TRADING_ASSETS",Input!N$2,Date,,,Ccy,Conv)</f>
        <v>0</v>
      </c>
      <c r="M201" s="4">
        <f>_xll.ciqfunctions.udf.CIQ(InputTicker, "IQ_CHANGE_TRADING_ASSETS",Input!O$2,Date,,,Ccy,Conv)</f>
        <v>0</v>
      </c>
      <c r="N201" s="42"/>
      <c r="T201" s="42"/>
      <c r="U201" s="42"/>
      <c r="V201" s="42"/>
      <c r="W201" s="42"/>
      <c r="X201" s="42"/>
      <c r="Y201" s="42"/>
      <c r="Z201" s="42"/>
      <c r="AA201" s="42"/>
      <c r="AB201" s="42"/>
      <c r="AC201" s="42"/>
      <c r="AD201" s="42"/>
      <c r="AE201" s="42"/>
      <c r="AF201" s="42"/>
      <c r="AG201" s="42"/>
      <c r="AH201" s="42"/>
      <c r="AI201" s="42"/>
      <c r="AJ201" s="42"/>
      <c r="AK201" s="42"/>
      <c r="AL201" s="42"/>
      <c r="AM201" s="42"/>
      <c r="AN201" s="42"/>
      <c r="AO201" s="42"/>
      <c r="AP201" s="42"/>
      <c r="AQ201" s="42"/>
      <c r="AR201" s="42"/>
      <c r="AS201" s="42"/>
      <c r="AT201" s="42"/>
      <c r="AU201" s="42"/>
      <c r="AV201" s="42"/>
      <c r="AW201" s="42"/>
      <c r="AX201" s="42"/>
      <c r="AY201" s="42"/>
      <c r="AZ201" s="42"/>
      <c r="BA201" s="42"/>
      <c r="BB201" s="42"/>
      <c r="BC201" s="42"/>
      <c r="BD201" s="42"/>
      <c r="BE201" s="42"/>
      <c r="BF201" s="42"/>
      <c r="BG201" s="42"/>
      <c r="BH201" s="42"/>
      <c r="BI201" s="42"/>
      <c r="BJ201" s="42"/>
      <c r="BK201" s="42"/>
      <c r="BL201" s="42"/>
      <c r="BM201" s="42"/>
      <c r="BN201" s="42"/>
    </row>
    <row r="202" spans="1:66" ht="12.75" customHeight="1" x14ac:dyDescent="0.2">
      <c r="A202" s="1" t="s">
        <v>144</v>
      </c>
      <c r="B202" s="4">
        <f>_xll.ciqfunctions.udf.CIQ(InputTicker, "IQ_CHANGE_AR",Input!D$2,Date,,,Ccy,Conv)</f>
        <v>562</v>
      </c>
      <c r="C202" s="4">
        <f>_xll.ciqfunctions.udf.CIQ(InputTicker, "IQ_CHANGE_AR",Input!E$2,Date,,,Ccy,Conv)</f>
        <v>-1216</v>
      </c>
      <c r="D202" s="4">
        <f>_xll.ciqfunctions.udf.CIQ(InputTicker, "IQ_CHANGE_AR",Input!F$2,Date,,,Ccy,Conv)</f>
        <v>-3862</v>
      </c>
      <c r="E202" s="4">
        <f>_xll.ciqfunctions.udf.CIQ(InputTicker, "IQ_CHANGE_AR",Input!G$2,Date,,,Ccy,Conv)</f>
        <v>-2812</v>
      </c>
      <c r="F202" s="4">
        <f>_xll.ciqfunctions.udf.CIQ(InputTicker, "IQ_CHANGE_AR",Input!H$2,Date,,,Ccy,Conv)</f>
        <v>-2577</v>
      </c>
      <c r="G202" s="4">
        <f>_xll.ciqfunctions.udf.CIQ(InputTicker, "IQ_CHANGE_AR",Input!I$2,Date,,,Ccy,Conv)</f>
        <v>-6481</v>
      </c>
      <c r="H202" s="4">
        <f>_xll.ciqfunctions.udf.CIQ(InputTicker, "IQ_CHANGE_AR",Input!J$2,Date,,,Ccy,Conv)</f>
        <v>-6834</v>
      </c>
      <c r="I202" s="4">
        <f>_xll.ciqfunctions.udf.CIQ(InputTicker, "IQ_CHANGE_AR",Input!K$2,Date,,,Ccy,Conv)</f>
        <v>-4087</v>
      </c>
      <c r="J202" s="4">
        <f>_xll.ciqfunctions.udf.CIQ(InputTicker, "IQ_CHANGE_AR",Input!L$2,Date,,,Ccy,Conv)</f>
        <v>-7191</v>
      </c>
      <c r="K202" s="4">
        <f>_xll.ciqfunctions.udf.CIQ(InputTicker, "IQ_CHANGE_AR",Input!M$2,Date,,,Ccy,Conv)</f>
        <v>-10581</v>
      </c>
      <c r="L202" s="4">
        <f>_xll.ciqfunctions.udf.CIQ(InputTicker, "IQ_CHANGE_AR",Input!N$2,Date,,,Ccy,Conv)</f>
        <v>-12737</v>
      </c>
      <c r="M202" s="4">
        <f>_xll.ciqfunctions.udf.CIQ(InputTicker, "IQ_CHANGE_AR",Input!O$2,Date,,,Ccy,Conv)</f>
        <v>-12737</v>
      </c>
      <c r="N202" s="42"/>
      <c r="T202" s="42"/>
      <c r="U202" s="42"/>
      <c r="V202" s="42"/>
      <c r="W202" s="42"/>
      <c r="X202" s="42"/>
      <c r="Y202" s="42"/>
      <c r="Z202" s="42"/>
      <c r="AA202" s="42"/>
      <c r="AB202" s="42"/>
      <c r="AC202" s="42"/>
      <c r="AD202" s="42"/>
      <c r="AE202" s="42"/>
      <c r="AF202" s="42"/>
      <c r="AG202" s="42"/>
      <c r="AH202" s="42"/>
      <c r="AI202" s="42"/>
      <c r="AJ202" s="42"/>
      <c r="AK202" s="42"/>
      <c r="AL202" s="42"/>
      <c r="AM202" s="42"/>
      <c r="AN202" s="42"/>
      <c r="AO202" s="42"/>
      <c r="AP202" s="42"/>
      <c r="AQ202" s="42"/>
      <c r="AR202" s="42"/>
      <c r="AS202" s="42"/>
      <c r="AT202" s="42"/>
      <c r="AU202" s="42"/>
      <c r="AV202" s="42"/>
      <c r="AW202" s="42"/>
      <c r="AX202" s="42"/>
      <c r="AY202" s="42"/>
      <c r="AZ202" s="42"/>
      <c r="BA202" s="42"/>
      <c r="BB202" s="42"/>
      <c r="BC202" s="42"/>
      <c r="BD202" s="42"/>
      <c r="BE202" s="42"/>
      <c r="BF202" s="42"/>
      <c r="BG202" s="42"/>
      <c r="BH202" s="42"/>
      <c r="BI202" s="42"/>
      <c r="BJ202" s="42"/>
      <c r="BK202" s="42"/>
      <c r="BL202" s="42"/>
      <c r="BM202" s="42"/>
      <c r="BN202" s="42"/>
    </row>
    <row r="203" spans="1:66" ht="12.75" customHeight="1" x14ac:dyDescent="0.2">
      <c r="A203" s="1" t="s">
        <v>145</v>
      </c>
      <c r="B203" s="4">
        <f>_xll.ciqfunctions.udf.CIQ(InputTicker, "IQ_CHANGE_INVENTORY",Input!D$2,Date,,,Ccy,Conv)</f>
        <v>600</v>
      </c>
      <c r="C203" s="4">
        <f>_xll.ciqfunctions.udf.CIQ(InputTicker, "IQ_CHANGE_INVENTORY",Input!E$2,Date,,,Ccy,Conv)</f>
        <v>50</v>
      </c>
      <c r="D203" s="4">
        <f>_xll.ciqfunctions.udf.CIQ(InputTicker, "IQ_CHANGE_INVENTORY",Input!F$2,Date,,,Ccy,Conv)</f>
        <v>-465</v>
      </c>
      <c r="E203" s="4">
        <f>_xll.ciqfunctions.udf.CIQ(InputTicker, "IQ_CHANGE_INVENTORY",Input!G$2,Date,,,Ccy,Conv)</f>
        <v>597</v>
      </c>
      <c r="F203" s="4">
        <f>_xll.ciqfunctions.udf.CIQ(InputTicker, "IQ_CHANGE_INVENTORY",Input!H$2,Date,,,Ccy,Conv)</f>
        <v>168</v>
      </c>
      <c r="G203" s="4">
        <f>_xll.ciqfunctions.udf.CIQ(InputTicker, "IQ_CHANGE_INVENTORY",Input!I$2,Date,,,Ccy,Conv)</f>
        <v>-737</v>
      </c>
      <c r="H203" s="4">
        <f>_xll.ciqfunctions.udf.CIQ(InputTicker, "IQ_CHANGE_INVENTORY",Input!J$2,Date,,,Ccy,Conv)</f>
        <v>-1123</v>
      </c>
      <c r="I203" s="4">
        <f>_xll.ciqfunctions.udf.CIQ(InputTicker, "IQ_CHANGE_INVENTORY",Input!K$2,Date,,,Ccy,Conv)</f>
        <v>1242</v>
      </c>
      <c r="J203" s="4">
        <f>_xll.ciqfunctions.udf.CIQ(InputTicker, "IQ_CHANGE_INVENTORY",Input!L$2,Date,,,Ccy,Conv)</f>
        <v>1284</v>
      </c>
      <c r="K203" s="4">
        <f>_xll.ciqfunctions.udf.CIQ(InputTicker, "IQ_CHANGE_INVENTORY",Input!M$2,Date,,,Ccy,Conv)</f>
        <v>309</v>
      </c>
      <c r="L203" s="4">
        <f>_xll.ciqfunctions.udf.CIQ(InputTicker, "IQ_CHANGE_INVENTORY",Input!N$2,Date,,,Ccy,Conv)</f>
        <v>-461</v>
      </c>
      <c r="M203" s="4">
        <f>_xll.ciqfunctions.udf.CIQ(InputTicker, "IQ_CHANGE_INVENTORY",Input!O$2,Date,,,Ccy,Conv)</f>
        <v>-461</v>
      </c>
      <c r="N203" s="42"/>
      <c r="T203" s="42"/>
      <c r="U203" s="42"/>
      <c r="V203" s="42"/>
      <c r="W203" s="42"/>
      <c r="X203" s="42"/>
      <c r="Y203" s="42"/>
      <c r="Z203" s="42"/>
      <c r="AA203" s="42"/>
      <c r="AB203" s="42"/>
      <c r="AC203" s="42"/>
      <c r="AD203" s="42"/>
      <c r="AE203" s="42"/>
      <c r="AF203" s="42"/>
      <c r="AG203" s="42"/>
      <c r="AH203" s="42"/>
      <c r="AI203" s="42"/>
      <c r="AJ203" s="42"/>
      <c r="AK203" s="42"/>
      <c r="AL203" s="42"/>
      <c r="AM203" s="42"/>
      <c r="AN203" s="42"/>
      <c r="AO203" s="42"/>
      <c r="AP203" s="42"/>
      <c r="AQ203" s="42"/>
      <c r="AR203" s="42"/>
      <c r="AS203" s="42"/>
      <c r="AT203" s="42"/>
      <c r="AU203" s="42"/>
      <c r="AV203" s="42"/>
      <c r="AW203" s="42"/>
      <c r="AX203" s="42"/>
      <c r="AY203" s="42"/>
      <c r="AZ203" s="42"/>
      <c r="BA203" s="42"/>
      <c r="BB203" s="42"/>
      <c r="BC203" s="42"/>
      <c r="BD203" s="42"/>
      <c r="BE203" s="42"/>
      <c r="BF203" s="42"/>
      <c r="BG203" s="42"/>
      <c r="BH203" s="42"/>
      <c r="BI203" s="42"/>
      <c r="BJ203" s="42"/>
      <c r="BK203" s="42"/>
      <c r="BL203" s="42"/>
      <c r="BM203" s="42"/>
      <c r="BN203" s="42"/>
    </row>
    <row r="204" spans="1:66" ht="12.75" customHeight="1" x14ac:dyDescent="0.2">
      <c r="A204" s="1" t="s">
        <v>146</v>
      </c>
      <c r="B204" s="4">
        <f>_xll.ciqfunctions.udf.CIQ(InputTicker, "IQ_CHANGE_AP",Input!D$2,Date,,,Ccy,Conv)</f>
        <v>88</v>
      </c>
      <c r="C204" s="4">
        <f>_xll.ciqfunctions.udf.CIQ(InputTicker, "IQ_CHANGE_AP",Input!E$2,Date,,,Ccy,Conv)</f>
        <v>81</v>
      </c>
      <c r="D204" s="4">
        <f>_xll.ciqfunctions.udf.CIQ(InputTicker, "IQ_CHANGE_AP",Input!F$2,Date,,,Ccy,Conv)</f>
        <v>1148</v>
      </c>
      <c r="E204" s="4">
        <f>_xll.ciqfunctions.udf.CIQ(InputTicker, "IQ_CHANGE_AP",Input!G$2,Date,,,Ccy,Conv)</f>
        <v>232</v>
      </c>
      <c r="F204" s="4">
        <f>_xll.ciqfunctions.udf.CIQ(InputTicker, "IQ_CHANGE_AP",Input!H$2,Date,,,Ccy,Conv)</f>
        <v>3018</v>
      </c>
      <c r="G204" s="4">
        <f>_xll.ciqfunctions.udf.CIQ(InputTicker, "IQ_CHANGE_AP",Input!I$2,Date,,,Ccy,Conv)</f>
        <v>2798</v>
      </c>
      <c r="H204" s="4">
        <f>_xll.ciqfunctions.udf.CIQ(InputTicker, "IQ_CHANGE_AP",Input!J$2,Date,,,Ccy,Conv)</f>
        <v>2943</v>
      </c>
      <c r="I204" s="4">
        <f>_xll.ciqfunctions.udf.CIQ(InputTicker, "IQ_CHANGE_AP",Input!K$2,Date,,,Ccy,Conv)</f>
        <v>-2721</v>
      </c>
      <c r="J204" s="4">
        <f>_xll.ciqfunctions.udf.CIQ(InputTicker, "IQ_CHANGE_AP",Input!L$2,Date,,,Ccy,Conv)</f>
        <v>3545</v>
      </c>
      <c r="K204" s="4">
        <f>_xll.ciqfunctions.udf.CIQ(InputTicker, "IQ_CHANGE_AP",Input!M$2,Date,,,Ccy,Conv)</f>
        <v>569</v>
      </c>
      <c r="L204" s="4">
        <f>_xll.ciqfunctions.udf.CIQ(InputTicker, "IQ_CHANGE_AP",Input!N$2,Date,,,Ccy,Conv)</f>
        <v>5268</v>
      </c>
      <c r="M204" s="4">
        <f>_xll.ciqfunctions.udf.CIQ(InputTicker, "IQ_CHANGE_AP",Input!O$2,Date,,,Ccy,Conv)</f>
        <v>5268</v>
      </c>
      <c r="N204" s="42"/>
      <c r="T204" s="42"/>
      <c r="U204" s="42"/>
      <c r="V204" s="42"/>
      <c r="W204" s="42"/>
      <c r="X204" s="42"/>
      <c r="Y204" s="42"/>
      <c r="Z204" s="42"/>
      <c r="AA204" s="42"/>
      <c r="AB204" s="42"/>
      <c r="AC204" s="42"/>
      <c r="AD204" s="42"/>
      <c r="AE204" s="42"/>
      <c r="AF204" s="42"/>
      <c r="AG204" s="42"/>
      <c r="AH204" s="42"/>
      <c r="AI204" s="42"/>
      <c r="AJ204" s="42"/>
      <c r="AK204" s="42"/>
      <c r="AL204" s="42"/>
      <c r="AM204" s="42"/>
      <c r="AN204" s="42"/>
      <c r="AO204" s="42"/>
      <c r="AP204" s="42"/>
      <c r="AQ204" s="42"/>
      <c r="AR204" s="42"/>
      <c r="AS204" s="42"/>
      <c r="AT204" s="42"/>
      <c r="AU204" s="42"/>
      <c r="AV204" s="42"/>
      <c r="AW204" s="42"/>
      <c r="AX204" s="42"/>
      <c r="AY204" s="42"/>
      <c r="AZ204" s="42"/>
      <c r="BA204" s="42"/>
      <c r="BB204" s="42"/>
      <c r="BC204" s="42"/>
      <c r="BD204" s="42"/>
      <c r="BE204" s="42"/>
      <c r="BF204" s="42"/>
      <c r="BG204" s="42"/>
      <c r="BH204" s="42"/>
      <c r="BI204" s="42"/>
      <c r="BJ204" s="42"/>
      <c r="BK204" s="42"/>
      <c r="BL204" s="42"/>
      <c r="BM204" s="42"/>
      <c r="BN204" s="42"/>
    </row>
    <row r="205" spans="1:66" ht="12.75" customHeight="1" x14ac:dyDescent="0.2">
      <c r="A205" s="1" t="s">
        <v>147</v>
      </c>
      <c r="B205" s="4">
        <f>_xll.ciqfunctions.udf.CIQ(InputTicker, "IQ_CHANGE_UNEARN_REV",Input!D$2,Date,,,Ccy,Conv)</f>
        <v>2565</v>
      </c>
      <c r="C205" s="4">
        <f>_xll.ciqfunctions.udf.CIQ(InputTicker, "IQ_CHANGE_UNEARN_REV",Input!E$2,Date,,,Ccy,Conv)</f>
        <v>3820</v>
      </c>
      <c r="D205" s="4">
        <f>_xll.ciqfunctions.udf.CIQ(InputTicker, "IQ_CHANGE_UNEARN_REV",Input!F$2,Date,,,Ccy,Conv)</f>
        <v>5922</v>
      </c>
      <c r="E205" s="4">
        <f>_xll.ciqfunctions.udf.CIQ(InputTicker, "IQ_CHANGE_UNEARN_REV",Input!G$2,Date,,,Ccy,Conv)</f>
        <v>4462</v>
      </c>
      <c r="F205" s="4">
        <f>_xll.ciqfunctions.udf.CIQ(InputTicker, "IQ_CHANGE_UNEARN_REV",Input!H$2,Date,,,Ccy,Conv)</f>
        <v>2212</v>
      </c>
      <c r="G205" s="4">
        <f>_xll.ciqfunctions.udf.CIQ(InputTicker, "IQ_CHANGE_UNEARN_REV",Input!I$2,Date,,,Ccy,Conv)</f>
        <v>4633</v>
      </c>
      <c r="H205" s="4">
        <f>_xll.ciqfunctions.udf.CIQ(InputTicker, "IQ_CHANGE_UNEARN_REV",Input!J$2,Date,,,Ccy,Conv)</f>
        <v>5109</v>
      </c>
      <c r="I205" s="4">
        <f>_xll.ciqfunctions.udf.CIQ(InputTicker, "IQ_CHANGE_UNEARN_REV",Input!K$2,Date,,,Ccy,Conv)</f>
        <v>5535</v>
      </c>
      <c r="J205" s="4">
        <f>_xll.ciqfunctions.udf.CIQ(InputTicker, "IQ_CHANGE_UNEARN_REV",Input!L$2,Date,,,Ccy,Conv)</f>
        <v>5348</v>
      </c>
      <c r="K205" s="4">
        <f>_xll.ciqfunctions.udf.CIQ(InputTicker, "IQ_CHANGE_UNEARN_REV",Input!M$2,Date,,,Ccy,Conv)</f>
        <v>5438</v>
      </c>
      <c r="L205" s="4">
        <f>_xll.ciqfunctions.udf.CIQ(InputTicker, "IQ_CHANGE_UNEARN_REV",Input!N$2,Date,,,Ccy,Conv)</f>
        <v>9361</v>
      </c>
      <c r="M205" s="4">
        <f>_xll.ciqfunctions.udf.CIQ(InputTicker, "IQ_CHANGE_UNEARN_REV",Input!O$2,Date,,,Ccy,Conv)</f>
        <v>9361</v>
      </c>
      <c r="N205" s="42"/>
      <c r="T205" s="42"/>
      <c r="U205" s="42"/>
      <c r="V205" s="42"/>
      <c r="W205" s="42"/>
      <c r="X205" s="42"/>
      <c r="Y205" s="42"/>
      <c r="Z205" s="42"/>
      <c r="AA205" s="42"/>
      <c r="AB205" s="42"/>
      <c r="AC205" s="42"/>
      <c r="AD205" s="42"/>
      <c r="AE205" s="42"/>
      <c r="AF205" s="42"/>
      <c r="AG205" s="42"/>
      <c r="AH205" s="42"/>
      <c r="AI205" s="42"/>
      <c r="AJ205" s="42"/>
      <c r="AK205" s="42"/>
      <c r="AL205" s="42"/>
      <c r="AM205" s="42"/>
      <c r="AN205" s="42"/>
      <c r="AO205" s="42"/>
      <c r="AP205" s="42"/>
      <c r="AQ205" s="42"/>
      <c r="AR205" s="42"/>
      <c r="AS205" s="42"/>
      <c r="AT205" s="42"/>
      <c r="AU205" s="42"/>
      <c r="AV205" s="42"/>
      <c r="AW205" s="42"/>
      <c r="AX205" s="42"/>
      <c r="AY205" s="42"/>
      <c r="AZ205" s="42"/>
      <c r="BA205" s="42"/>
      <c r="BB205" s="42"/>
      <c r="BC205" s="42"/>
      <c r="BD205" s="42"/>
      <c r="BE205" s="42"/>
      <c r="BF205" s="42"/>
      <c r="BG205" s="42"/>
      <c r="BH205" s="42"/>
      <c r="BI205" s="42"/>
      <c r="BJ205" s="42"/>
      <c r="BK205" s="42"/>
      <c r="BL205" s="42"/>
      <c r="BM205" s="42"/>
      <c r="BN205" s="42"/>
    </row>
    <row r="206" spans="1:66" ht="12.75" customHeight="1" x14ac:dyDescent="0.2">
      <c r="A206" s="1" t="s">
        <v>208</v>
      </c>
      <c r="B206" s="4">
        <f>_xll.ciqfunctions.udf.CIQ(InputTicker, "IQ_CHANGE_INC_TAX",Input!D$2,Date,,,Ccy,Conv)</f>
        <v>-298</v>
      </c>
      <c r="C206" s="4">
        <f>_xll.ciqfunctions.udf.CIQ(InputTicker, "IQ_CHANGE_INC_TAX",Input!E$2,Date,,,Ccy,Conv)</f>
        <v>1792</v>
      </c>
      <c r="D206" s="4">
        <f>_xll.ciqfunctions.udf.CIQ(InputTicker, "IQ_CHANGE_INC_TAX",Input!F$2,Date,,,Ccy,Conv)</f>
        <v>18183</v>
      </c>
      <c r="E206" s="4">
        <f>_xll.ciqfunctions.udf.CIQ(InputTicker, "IQ_CHANGE_INC_TAX",Input!G$2,Date,,,Ccy,Conv)</f>
        <v>2929</v>
      </c>
      <c r="F206" s="4">
        <f>_xll.ciqfunctions.udf.CIQ(InputTicker, "IQ_CHANGE_INC_TAX",Input!H$2,Date,,,Ccy,Conv)</f>
        <v>-3631</v>
      </c>
      <c r="G206" s="4">
        <f>_xll.ciqfunctions.udf.CIQ(InputTicker, "IQ_CHANGE_INC_TAX",Input!I$2,Date,,,Ccy,Conv)</f>
        <v>-2309</v>
      </c>
      <c r="H206" s="4">
        <f>_xll.ciqfunctions.udf.CIQ(InputTicker, "IQ_CHANGE_INC_TAX",Input!J$2,Date,,,Ccy,Conv)</f>
        <v>696</v>
      </c>
      <c r="I206" s="4">
        <f>_xll.ciqfunctions.udf.CIQ(InputTicker, "IQ_CHANGE_INC_TAX",Input!K$2,Date,,,Ccy,Conv)</f>
        <v>-358</v>
      </c>
      <c r="J206" s="4">
        <f>_xll.ciqfunctions.udf.CIQ(InputTicker, "IQ_CHANGE_INC_TAX",Input!L$2,Date,,,Ccy,Conv)</f>
        <v>1687</v>
      </c>
      <c r="K206" s="4">
        <f>_xll.ciqfunctions.udf.CIQ(InputTicker, "IQ_CHANGE_INC_TAX",Input!M$2,Date,,,Ccy,Conv)</f>
        <v>-38</v>
      </c>
      <c r="L206" s="4">
        <f>_xll.ciqfunctions.udf.CIQ(InputTicker, "IQ_CHANGE_INC_TAX",Input!N$2,Date,,,Ccy,Conv)</f>
        <v>-1875</v>
      </c>
      <c r="M206" s="4">
        <f>_xll.ciqfunctions.udf.CIQ(InputTicker, "IQ_CHANGE_INC_TAX",Input!O$2,Date,,,Ccy,Conv)</f>
        <v>-1875</v>
      </c>
      <c r="N206" s="42"/>
      <c r="T206" s="42"/>
      <c r="U206" s="42"/>
      <c r="V206" s="42"/>
      <c r="W206" s="42"/>
      <c r="X206" s="42"/>
      <c r="Y206" s="42"/>
      <c r="Z206" s="42"/>
      <c r="AA206" s="42"/>
      <c r="AB206" s="42"/>
      <c r="AC206" s="42"/>
      <c r="AD206" s="42"/>
      <c r="AE206" s="42"/>
      <c r="AF206" s="42"/>
      <c r="AG206" s="42"/>
      <c r="AH206" s="42"/>
      <c r="AI206" s="42"/>
      <c r="AJ206" s="42"/>
      <c r="AK206" s="42"/>
      <c r="AL206" s="42"/>
      <c r="AM206" s="42"/>
      <c r="AN206" s="42"/>
      <c r="AO206" s="42"/>
      <c r="AP206" s="42"/>
      <c r="AQ206" s="42"/>
      <c r="AR206" s="42"/>
      <c r="AS206" s="42"/>
      <c r="AT206" s="42"/>
      <c r="AU206" s="42"/>
      <c r="AV206" s="42"/>
      <c r="AW206" s="42"/>
      <c r="AX206" s="42"/>
      <c r="AY206" s="42"/>
      <c r="AZ206" s="42"/>
      <c r="BA206" s="42"/>
      <c r="BB206" s="42"/>
      <c r="BC206" s="42"/>
      <c r="BD206" s="42"/>
      <c r="BE206" s="42"/>
      <c r="BF206" s="42"/>
      <c r="BG206" s="42"/>
      <c r="BH206" s="42"/>
      <c r="BI206" s="42"/>
      <c r="BJ206" s="42"/>
      <c r="BK206" s="42"/>
      <c r="BL206" s="42"/>
      <c r="BM206" s="42"/>
      <c r="BN206" s="42"/>
    </row>
    <row r="207" spans="1:66" ht="12.75" customHeight="1" x14ac:dyDescent="0.2">
      <c r="A207" s="1" t="s">
        <v>148</v>
      </c>
      <c r="B207" s="4">
        <f>_xll.ciqfunctions.udf.CIQ(InputTicker, "IQ_CHANGE_DEF_TAX",Input!D$2,Date,,,Ccy,Conv)</f>
        <v>0</v>
      </c>
      <c r="C207" s="4">
        <f>_xll.ciqfunctions.udf.CIQ(InputTicker, "IQ_CHANGE_DEF_TAX",Input!E$2,Date,,,Ccy,Conv)</f>
        <v>0</v>
      </c>
      <c r="D207" s="4">
        <f>_xll.ciqfunctions.udf.CIQ(InputTicker, "IQ_CHANGE_DEF_TAX",Input!F$2,Date,,,Ccy,Conv)</f>
        <v>0</v>
      </c>
      <c r="E207" s="4">
        <f>_xll.ciqfunctions.udf.CIQ(InputTicker, "IQ_CHANGE_DEF_TAX",Input!G$2,Date,,,Ccy,Conv)</f>
        <v>0</v>
      </c>
      <c r="F207" s="4">
        <f>_xll.ciqfunctions.udf.CIQ(InputTicker, "IQ_CHANGE_DEF_TAX",Input!H$2,Date,,,Ccy,Conv)</f>
        <v>0</v>
      </c>
      <c r="G207" s="4">
        <f>_xll.ciqfunctions.udf.CIQ(InputTicker, "IQ_CHANGE_DEF_TAX",Input!I$2,Date,,,Ccy,Conv)</f>
        <v>0</v>
      </c>
      <c r="H207" s="4">
        <f>_xll.ciqfunctions.udf.CIQ(InputTicker, "IQ_CHANGE_DEF_TAX",Input!J$2,Date,,,Ccy,Conv)</f>
        <v>0</v>
      </c>
      <c r="I207" s="4">
        <f>_xll.ciqfunctions.udf.CIQ(InputTicker, "IQ_CHANGE_DEF_TAX",Input!K$2,Date,,,Ccy,Conv)</f>
        <v>0</v>
      </c>
      <c r="J207" s="4">
        <f>_xll.ciqfunctions.udf.CIQ(InputTicker, "IQ_CHANGE_DEF_TAX",Input!L$2,Date,,,Ccy,Conv)</f>
        <v>0</v>
      </c>
      <c r="K207" s="4">
        <f>_xll.ciqfunctions.udf.CIQ(InputTicker, "IQ_CHANGE_DEF_TAX",Input!M$2,Date,,,Ccy,Conv)</f>
        <v>0</v>
      </c>
      <c r="L207" s="4">
        <f>_xll.ciqfunctions.udf.CIQ(InputTicker, "IQ_CHANGE_DEF_TAX",Input!N$2,Date,,,Ccy,Conv)</f>
        <v>0</v>
      </c>
      <c r="M207" s="4">
        <f>_xll.ciqfunctions.udf.CIQ(InputTicker, "IQ_CHANGE_DEF_TAX",Input!O$2,Date,,,Ccy,Conv)</f>
        <v>0</v>
      </c>
      <c r="N207" s="42"/>
      <c r="T207" s="42"/>
      <c r="U207" s="42"/>
      <c r="V207" s="42"/>
      <c r="W207" s="42"/>
      <c r="X207" s="42"/>
      <c r="Y207" s="42"/>
      <c r="Z207" s="42"/>
      <c r="AA207" s="42"/>
      <c r="AB207" s="42"/>
      <c r="AC207" s="42"/>
      <c r="AD207" s="42"/>
      <c r="AE207" s="42"/>
      <c r="AF207" s="42"/>
      <c r="AG207" s="42"/>
      <c r="AH207" s="42"/>
      <c r="AI207" s="42"/>
      <c r="AJ207" s="42"/>
      <c r="AK207" s="42"/>
      <c r="AL207" s="42"/>
      <c r="AM207" s="42"/>
      <c r="AN207" s="42"/>
      <c r="AO207" s="42"/>
      <c r="AP207" s="42"/>
      <c r="AQ207" s="42"/>
      <c r="AR207" s="42"/>
      <c r="AS207" s="42"/>
      <c r="AT207" s="42"/>
      <c r="AU207" s="42"/>
      <c r="AV207" s="42"/>
      <c r="AW207" s="42"/>
      <c r="AX207" s="42"/>
      <c r="AY207" s="42"/>
      <c r="AZ207" s="42"/>
      <c r="BA207" s="42"/>
      <c r="BB207" s="42"/>
      <c r="BC207" s="42"/>
      <c r="BD207" s="42"/>
      <c r="BE207" s="42"/>
      <c r="BF207" s="42"/>
      <c r="BG207" s="42"/>
      <c r="BH207" s="42"/>
      <c r="BI207" s="42"/>
      <c r="BJ207" s="42"/>
      <c r="BK207" s="42"/>
      <c r="BL207" s="42"/>
      <c r="BM207" s="42"/>
      <c r="BN207" s="42"/>
    </row>
    <row r="208" spans="1:66" ht="12.75" customHeight="1" x14ac:dyDescent="0.2">
      <c r="A208" s="1" t="s">
        <v>370</v>
      </c>
      <c r="B208" s="4">
        <f>_xll.ciqfunctions.udf.CIQ(InputTicker, "IQ_CHANGE_OTHER_NET_OPER_ASSETS",Input!D$2,Date,,,Ccy,Conv)</f>
        <v>-2907</v>
      </c>
      <c r="C208" s="4">
        <f>_xll.ciqfunctions.udf.CIQ(InputTicker, "IQ_CHANGE_OTHER_NET_OPER_ASSETS",Input!E$2,Date,,,Ccy,Conv)</f>
        <v>349</v>
      </c>
      <c r="D208" s="4">
        <f>_xll.ciqfunctions.udf.CIQ(InputTicker, "IQ_CHANGE_OTHER_NET_OPER_ASSETS",Input!F$2,Date,,,Ccy,Conv)</f>
        <v>-459</v>
      </c>
      <c r="E208" s="4">
        <f>_xll.ciqfunctions.udf.CIQ(InputTicker, "IQ_CHANGE_OTHER_NET_OPER_ASSETS",Input!G$2,Date,,,Ccy,Conv)</f>
        <v>-1542</v>
      </c>
      <c r="F208" s="4">
        <f>_xll.ciqfunctions.udf.CIQ(InputTicker, "IQ_CHANGE_OTHER_NET_OPER_ASSETS",Input!H$2,Date,,,Ccy,Conv)</f>
        <v>-673</v>
      </c>
      <c r="G208" s="4">
        <f>_xll.ciqfunctions.udf.CIQ(InputTicker, "IQ_CHANGE_OTHER_NET_OPER_ASSETS",Input!I$2,Date,,,Ccy,Conv)</f>
        <v>1160</v>
      </c>
      <c r="H208" s="4">
        <f>_xll.ciqfunctions.udf.CIQ(InputTicker, "IQ_CHANGE_OTHER_NET_OPER_ASSETS",Input!J$2,Date,,,Ccy,Conv)</f>
        <v>-345</v>
      </c>
      <c r="I208" s="4">
        <f>_xll.ciqfunctions.udf.CIQ(InputTicker, "IQ_CHANGE_OTHER_NET_OPER_ASSETS",Input!K$2,Date,,,Ccy,Conv)</f>
        <v>-1999</v>
      </c>
      <c r="J208" s="4">
        <f>_xll.ciqfunctions.udf.CIQ(InputTicker, "IQ_CHANGE_OTHER_NET_OPER_ASSETS",Input!L$2,Date,,,Ccy,Conv)</f>
        <v>-2849</v>
      </c>
      <c r="K208" s="4">
        <f>_xll.ciqfunctions.udf.CIQ(InputTicker, "IQ_CHANGE_OTHER_NET_OPER_ASSETS",Input!M$2,Date,,,Ccy,Conv)</f>
        <v>-1047</v>
      </c>
      <c r="L208" s="4">
        <f>_xll.ciqfunctions.udf.CIQ(InputTicker, "IQ_CHANGE_OTHER_NET_OPER_ASSETS",Input!N$2,Date,,,Ccy,Conv)</f>
        <v>-4451</v>
      </c>
      <c r="M208" s="4">
        <f>_xll.ciqfunctions.udf.CIQ(InputTicker, "IQ_CHANGE_OTHER_NET_OPER_ASSETS",Input!O$2,Date,,,Ccy,Conv)</f>
        <v>-4451</v>
      </c>
      <c r="N208" s="42"/>
      <c r="T208" s="42"/>
      <c r="U208" s="42"/>
      <c r="V208" s="42"/>
      <c r="W208" s="42"/>
      <c r="X208" s="42"/>
      <c r="Y208" s="42"/>
      <c r="Z208" s="42"/>
      <c r="AA208" s="42"/>
      <c r="AB208" s="42"/>
      <c r="AC208" s="42"/>
      <c r="AD208" s="42"/>
      <c r="AE208" s="42"/>
      <c r="AF208" s="42"/>
      <c r="AG208" s="42"/>
      <c r="AH208" s="42"/>
      <c r="AI208" s="42"/>
      <c r="AJ208" s="42"/>
      <c r="AK208" s="42"/>
      <c r="AL208" s="42"/>
      <c r="AM208" s="42"/>
      <c r="AN208" s="42"/>
      <c r="AO208" s="42"/>
      <c r="AP208" s="42"/>
      <c r="AQ208" s="42"/>
      <c r="AR208" s="42"/>
      <c r="AS208" s="42"/>
      <c r="AT208" s="42"/>
      <c r="AU208" s="42"/>
      <c r="AV208" s="42"/>
      <c r="AW208" s="42"/>
      <c r="AX208" s="42"/>
      <c r="AY208" s="42"/>
      <c r="AZ208" s="42"/>
      <c r="BA208" s="42"/>
      <c r="BB208" s="42"/>
      <c r="BC208" s="42"/>
      <c r="BD208" s="42"/>
      <c r="BE208" s="42"/>
      <c r="BF208" s="42"/>
      <c r="BG208" s="42"/>
      <c r="BH208" s="42"/>
      <c r="BI208" s="42"/>
      <c r="BJ208" s="42"/>
      <c r="BK208" s="42"/>
      <c r="BL208" s="42"/>
      <c r="BM208" s="42"/>
      <c r="BN208" s="42"/>
    </row>
    <row r="209" spans="1:66" ht="12.75" customHeight="1" thickBot="1" x14ac:dyDescent="0.25">
      <c r="A209" s="5" t="s">
        <v>103</v>
      </c>
      <c r="B209" s="9">
        <f>_xll.ciqfunctions.udf.CIQ(InputTicker, "IQ_CASH_OPER",Input!D$2,Date,,,Ccy,Conv)</f>
        <v>33325</v>
      </c>
      <c r="C209" s="9">
        <f>_xll.ciqfunctions.udf.CIQ(InputTicker, "IQ_CASH_OPER",Input!E$2,Date,,,Ccy,Conv)</f>
        <v>39507</v>
      </c>
      <c r="D209" s="9">
        <f>_xll.ciqfunctions.udf.CIQ(InputTicker, "IQ_CASH_OPER",Input!F$2,Date,,,Ccy,Conv)</f>
        <v>43884</v>
      </c>
      <c r="E209" s="9">
        <f>_xll.ciqfunctions.udf.CIQ(InputTicker, "IQ_CASH_OPER",Input!G$2,Date,,,Ccy,Conv)</f>
        <v>52185</v>
      </c>
      <c r="F209" s="9">
        <f>_xll.ciqfunctions.udf.CIQ(InputTicker, "IQ_CASH_OPER",Input!H$2,Date,,,Ccy,Conv)</f>
        <v>60675</v>
      </c>
      <c r="G209" s="9">
        <f>_xll.ciqfunctions.udf.CIQ(InputTicker, "IQ_CASH_OPER",Input!I$2,Date,,,Ccy,Conv)</f>
        <v>76740</v>
      </c>
      <c r="H209" s="9">
        <f>_xll.ciqfunctions.udf.CIQ(InputTicker, "IQ_CASH_OPER",Input!J$2,Date,,,Ccy,Conv)</f>
        <v>89035</v>
      </c>
      <c r="I209" s="9">
        <f>_xll.ciqfunctions.udf.CIQ(InputTicker, "IQ_CASH_OPER",Input!K$2,Date,,,Ccy,Conv)</f>
        <v>87582</v>
      </c>
      <c r="J209" s="9">
        <f>_xll.ciqfunctions.udf.CIQ(InputTicker, "IQ_CASH_OPER",Input!L$2,Date,,,Ccy,Conv)</f>
        <v>118548</v>
      </c>
      <c r="K209" s="9">
        <f>_xll.ciqfunctions.udf.CIQ(InputTicker, "IQ_CASH_OPER",Input!M$2,Date,,,Ccy,Conv)</f>
        <v>136162</v>
      </c>
      <c r="L209" s="9">
        <f>_xll.ciqfunctions.udf.CIQ(InputTicker, "IQ_CASH_OPER",Input!N$2,Date,,,Ccy,Conv)</f>
        <v>182935</v>
      </c>
      <c r="M209" s="9">
        <f>_xll.ciqfunctions.udf.CIQ(InputTicker, "IQ_CASH_OPER",Input!O$2,Date,,,Ccy,Conv)</f>
        <v>182935</v>
      </c>
      <c r="N209" s="42"/>
      <c r="T209" s="42"/>
      <c r="U209" s="42"/>
      <c r="V209" s="42"/>
      <c r="W209" s="42"/>
      <c r="X209" s="42"/>
      <c r="Y209" s="42"/>
      <c r="Z209" s="42"/>
      <c r="AA209" s="42"/>
      <c r="AB209" s="42"/>
      <c r="AC209" s="42"/>
      <c r="AD209" s="42"/>
      <c r="AE209" s="42"/>
      <c r="AF209" s="42"/>
      <c r="AG209" s="42"/>
      <c r="AH209" s="42"/>
      <c r="AI209" s="42"/>
      <c r="AJ209" s="42"/>
      <c r="AK209" s="42"/>
      <c r="AL209" s="42"/>
      <c r="AM209" s="42"/>
      <c r="AN209" s="42"/>
      <c r="AO209" s="42"/>
      <c r="AP209" s="42"/>
      <c r="AQ209" s="42"/>
      <c r="AR209" s="42"/>
      <c r="AS209" s="42"/>
      <c r="AT209" s="42"/>
      <c r="AU209" s="42"/>
      <c r="AV209" s="42"/>
      <c r="AW209" s="42"/>
      <c r="AX209" s="42"/>
      <c r="AY209" s="42"/>
      <c r="AZ209" s="42"/>
      <c r="BA209" s="42"/>
      <c r="BB209" s="42"/>
      <c r="BC209" s="42"/>
      <c r="BD209" s="42"/>
      <c r="BE209" s="42"/>
      <c r="BF209" s="42"/>
      <c r="BG209" s="42"/>
      <c r="BH209" s="42"/>
      <c r="BI209" s="42"/>
      <c r="BJ209" s="42"/>
      <c r="BK209" s="42"/>
      <c r="BL209" s="42"/>
      <c r="BM209" s="42"/>
      <c r="BN209" s="42"/>
    </row>
    <row r="210" spans="1:66" ht="12.75" customHeight="1" thickTop="1" x14ac:dyDescent="0.2">
      <c r="A210" s="1" t="s">
        <v>104</v>
      </c>
      <c r="B210" s="4">
        <f>_xll.ciqfunctions.udf.CIQ(InputTicker, "IQ_CAPEX",Input!D$2,Date,,,Ccy,Conv)</f>
        <v>-8343</v>
      </c>
      <c r="C210" s="4">
        <f>_xll.ciqfunctions.udf.CIQ(InputTicker, "IQ_CAPEX",Input!E$2,Date,,,Ccy,Conv)</f>
        <v>-8129</v>
      </c>
      <c r="D210" s="4">
        <f>_xll.ciqfunctions.udf.CIQ(InputTicker, "IQ_CAPEX",Input!F$2,Date,,,Ccy,Conv)</f>
        <v>-11632</v>
      </c>
      <c r="E210" s="4">
        <f>_xll.ciqfunctions.udf.CIQ(InputTicker, "IQ_CAPEX",Input!G$2,Date,,,Ccy,Conv)</f>
        <v>-13925</v>
      </c>
      <c r="F210" s="4">
        <f>_xll.ciqfunctions.udf.CIQ(InputTicker, "IQ_CAPEX",Input!H$2,Date,,,Ccy,Conv)</f>
        <v>-15441</v>
      </c>
      <c r="G210" s="4">
        <f>_xll.ciqfunctions.udf.CIQ(InputTicker, "IQ_CAPEX",Input!I$2,Date,,,Ccy,Conv)</f>
        <v>-20622</v>
      </c>
      <c r="H210" s="4">
        <f>_xll.ciqfunctions.udf.CIQ(InputTicker, "IQ_CAPEX",Input!J$2,Date,,,Ccy,Conv)</f>
        <v>-23886</v>
      </c>
      <c r="I210" s="4">
        <f>_xll.ciqfunctions.udf.CIQ(InputTicker, "IQ_CAPEX",Input!K$2,Date,,,Ccy,Conv)</f>
        <v>-28107</v>
      </c>
      <c r="J210" s="4">
        <f>_xll.ciqfunctions.udf.CIQ(InputTicker, "IQ_CAPEX",Input!L$2,Date,,,Ccy,Conv)</f>
        <v>-44477</v>
      </c>
      <c r="K210" s="4">
        <f>_xll.ciqfunctions.udf.CIQ(InputTicker, "IQ_CAPEX",Input!M$2,Date,,,Ccy,Conv)</f>
        <v>-64551</v>
      </c>
      <c r="L210" s="4">
        <f>_xll.ciqfunctions.udf.CIQ(InputTicker, "IQ_CAPEX",Input!N$2,Date,,,Ccy,Conv)</f>
        <v>-115948</v>
      </c>
      <c r="M210" s="4">
        <f>_xll.ciqfunctions.udf.CIQ(InputTicker, "IQ_CAPEX",Input!O$2,Date,,,Ccy,Conv)</f>
        <v>-115948</v>
      </c>
      <c r="N210" s="42"/>
      <c r="T210" s="42"/>
      <c r="U210" s="42"/>
      <c r="V210" s="42"/>
      <c r="W210" s="42"/>
      <c r="X210" s="42"/>
      <c r="Y210" s="42"/>
      <c r="Z210" s="42"/>
      <c r="AA210" s="42"/>
      <c r="AB210" s="42"/>
      <c r="AC210" s="42"/>
      <c r="AD210" s="42"/>
      <c r="AE210" s="42"/>
      <c r="AF210" s="42"/>
      <c r="AG210" s="42"/>
      <c r="AH210" s="42"/>
      <c r="AI210" s="42"/>
      <c r="AJ210" s="42"/>
      <c r="AK210" s="42"/>
      <c r="AL210" s="42"/>
      <c r="AM210" s="42"/>
      <c r="AN210" s="42"/>
      <c r="AO210" s="42"/>
      <c r="AP210" s="42"/>
      <c r="AQ210" s="42"/>
      <c r="AR210" s="42"/>
      <c r="AS210" s="42"/>
      <c r="AT210" s="42"/>
      <c r="AU210" s="42"/>
      <c r="AV210" s="42"/>
      <c r="AW210" s="42"/>
      <c r="AX210" s="42"/>
      <c r="AY210" s="42"/>
      <c r="AZ210" s="42"/>
      <c r="BA210" s="42"/>
      <c r="BB210" s="42"/>
      <c r="BC210" s="42"/>
      <c r="BD210" s="42"/>
      <c r="BE210" s="42"/>
      <c r="BF210" s="42"/>
      <c r="BG210" s="42"/>
      <c r="BH210" s="42"/>
      <c r="BI210" s="42"/>
      <c r="BJ210" s="42"/>
      <c r="BK210" s="42"/>
      <c r="BL210" s="42"/>
      <c r="BM210" s="42"/>
      <c r="BN210" s="42"/>
    </row>
    <row r="211" spans="1:66" ht="12.75" customHeight="1" x14ac:dyDescent="0.2">
      <c r="A211" s="1" t="s">
        <v>105</v>
      </c>
      <c r="B211" s="4">
        <f>_xll.ciqfunctions.udf.CIQ(InputTicker, "IQ_SALE_PPE_CF",Input!D$2,Date,,,Ccy,Conv)</f>
        <v>0</v>
      </c>
      <c r="C211" s="4">
        <f>_xll.ciqfunctions.udf.CIQ(InputTicker, "IQ_SALE_PPE_CF",Input!E$2,Date,,,Ccy,Conv)</f>
        <v>0</v>
      </c>
      <c r="D211" s="4">
        <f>_xll.ciqfunctions.udf.CIQ(InputTicker, "IQ_SALE_PPE_CF",Input!F$2,Date,,,Ccy,Conv)</f>
        <v>0</v>
      </c>
      <c r="E211" s="4">
        <f>_xll.ciqfunctions.udf.CIQ(InputTicker, "IQ_SALE_PPE_CF",Input!G$2,Date,,,Ccy,Conv)</f>
        <v>0</v>
      </c>
      <c r="F211" s="4">
        <f>_xll.ciqfunctions.udf.CIQ(InputTicker, "IQ_SALE_PPE_CF",Input!H$2,Date,,,Ccy,Conv)</f>
        <v>0</v>
      </c>
      <c r="G211" s="4">
        <f>_xll.ciqfunctions.udf.CIQ(InputTicker, "IQ_SALE_PPE_CF",Input!I$2,Date,,,Ccy,Conv)</f>
        <v>0</v>
      </c>
      <c r="H211" s="4">
        <f>_xll.ciqfunctions.udf.CIQ(InputTicker, "IQ_SALE_PPE_CF",Input!J$2,Date,,,Ccy,Conv)</f>
        <v>0</v>
      </c>
      <c r="I211" s="4">
        <f>_xll.ciqfunctions.udf.CIQ(InputTicker, "IQ_SALE_PPE_CF",Input!K$2,Date,,,Ccy,Conv)</f>
        <v>0</v>
      </c>
      <c r="J211" s="4">
        <f>_xll.ciqfunctions.udf.CIQ(InputTicker, "IQ_SALE_PPE_CF",Input!L$2,Date,,,Ccy,Conv)</f>
        <v>0</v>
      </c>
      <c r="K211" s="4">
        <f>_xll.ciqfunctions.udf.CIQ(InputTicker, "IQ_SALE_PPE_CF",Input!M$2,Date,,,Ccy,Conv)</f>
        <v>0</v>
      </c>
      <c r="L211" s="4">
        <f>_xll.ciqfunctions.udf.CIQ(InputTicker, "IQ_SALE_PPE_CF",Input!N$2,Date,,,Ccy,Conv)</f>
        <v>0</v>
      </c>
      <c r="M211" s="4">
        <f>_xll.ciqfunctions.udf.CIQ(InputTicker, "IQ_SALE_PPE_CF",Input!O$2,Date,,,Ccy,Conv)</f>
        <v>0</v>
      </c>
      <c r="N211" s="42"/>
      <c r="T211" s="42"/>
      <c r="U211" s="42"/>
      <c r="V211" s="42"/>
      <c r="W211" s="42"/>
      <c r="X211" s="42"/>
      <c r="Y211" s="42"/>
      <c r="Z211" s="42"/>
      <c r="AA211" s="42"/>
      <c r="AB211" s="42"/>
      <c r="AC211" s="42"/>
      <c r="AD211" s="42"/>
      <c r="AE211" s="42"/>
      <c r="AF211" s="42"/>
      <c r="AG211" s="42"/>
      <c r="AH211" s="42"/>
      <c r="AI211" s="42"/>
      <c r="AJ211" s="42"/>
      <c r="AK211" s="42"/>
      <c r="AL211" s="42"/>
      <c r="AM211" s="42"/>
      <c r="AN211" s="42"/>
      <c r="AO211" s="42"/>
      <c r="AP211" s="42"/>
      <c r="AQ211" s="42"/>
      <c r="AR211" s="42"/>
      <c r="AS211" s="42"/>
      <c r="AT211" s="42"/>
      <c r="AU211" s="42"/>
      <c r="AV211" s="42"/>
      <c r="AW211" s="42"/>
      <c r="AX211" s="42"/>
      <c r="AY211" s="42"/>
      <c r="AZ211" s="42"/>
      <c r="BA211" s="42"/>
      <c r="BB211" s="42"/>
      <c r="BC211" s="42"/>
      <c r="BD211" s="42"/>
      <c r="BE211" s="42"/>
      <c r="BF211" s="42"/>
      <c r="BG211" s="42"/>
      <c r="BH211" s="42"/>
      <c r="BI211" s="42"/>
      <c r="BJ211" s="42"/>
      <c r="BK211" s="42"/>
      <c r="BL211" s="42"/>
      <c r="BM211" s="42"/>
      <c r="BN211" s="42"/>
    </row>
    <row r="212" spans="1:66" ht="12.75" customHeight="1" x14ac:dyDescent="0.2">
      <c r="A212" s="1" t="s">
        <v>106</v>
      </c>
      <c r="B212" s="4">
        <f>_xll.ciqfunctions.udf.CIQ(InputTicker, "IQ_CASH_ACQUIRE_CF",Input!D$2,Date,,,Ccy,Conv)</f>
        <v>-1393</v>
      </c>
      <c r="C212" s="4">
        <f>_xll.ciqfunctions.udf.CIQ(InputTicker, "IQ_CASH_ACQUIRE_CF",Input!E$2,Date,,,Ccy,Conv)</f>
        <v>-25944</v>
      </c>
      <c r="D212" s="4">
        <f>_xll.ciqfunctions.udf.CIQ(InputTicker, "IQ_CASH_ACQUIRE_CF",Input!F$2,Date,,,Ccy,Conv)</f>
        <v>-888</v>
      </c>
      <c r="E212" s="4">
        <f>_xll.ciqfunctions.udf.CIQ(InputTicker, "IQ_CASH_ACQUIRE_CF",Input!G$2,Date,,,Ccy,Conv)</f>
        <v>-2388</v>
      </c>
      <c r="F212" s="4">
        <f>_xll.ciqfunctions.udf.CIQ(InputTicker, "IQ_CASH_ACQUIRE_CF",Input!H$2,Date,,,Ccy,Conv)</f>
        <v>-2521</v>
      </c>
      <c r="G212" s="4">
        <f>_xll.ciqfunctions.udf.CIQ(InputTicker, "IQ_CASH_ACQUIRE_CF",Input!I$2,Date,,,Ccy,Conv)</f>
        <v>-8909</v>
      </c>
      <c r="H212" s="4">
        <f>_xll.ciqfunctions.udf.CIQ(InputTicker, "IQ_CASH_ACQUIRE_CF",Input!J$2,Date,,,Ccy,Conv)</f>
        <v>-22038</v>
      </c>
      <c r="I212" s="4">
        <f>_xll.ciqfunctions.udf.CIQ(InputTicker, "IQ_CASH_ACQUIRE_CF",Input!K$2,Date,,,Ccy,Conv)</f>
        <v>-1670</v>
      </c>
      <c r="J212" s="4">
        <f>_xll.ciqfunctions.udf.CIQ(InputTicker, "IQ_CASH_ACQUIRE_CF",Input!L$2,Date,,,Ccy,Conv)</f>
        <v>-69132</v>
      </c>
      <c r="K212" s="4">
        <f>_xll.ciqfunctions.udf.CIQ(InputTicker, "IQ_CASH_ACQUIRE_CF",Input!M$2,Date,,,Ccy,Conv)</f>
        <v>-5978</v>
      </c>
      <c r="L212" s="4">
        <f>_xll.ciqfunctions.udf.CIQ(InputTicker, "IQ_CASH_ACQUIRE_CF",Input!N$2,Date,,,Ccy,Conv)</f>
        <v>-1743</v>
      </c>
      <c r="M212" s="4">
        <f>_xll.ciqfunctions.udf.CIQ(InputTicker, "IQ_CASH_ACQUIRE_CF",Input!O$2,Date,,,Ccy,Conv)</f>
        <v>-1743</v>
      </c>
      <c r="N212" s="42"/>
      <c r="T212" s="42"/>
      <c r="U212" s="42"/>
      <c r="V212" s="42"/>
      <c r="W212" s="42"/>
      <c r="X212" s="42"/>
      <c r="Y212" s="42"/>
      <c r="Z212" s="42"/>
      <c r="AA212" s="42"/>
      <c r="AB212" s="42"/>
      <c r="AC212" s="42"/>
      <c r="AD212" s="42"/>
      <c r="AE212" s="42"/>
      <c r="AF212" s="42"/>
      <c r="AG212" s="42"/>
      <c r="AH212" s="42"/>
      <c r="AI212" s="42"/>
      <c r="AJ212" s="42"/>
      <c r="AK212" s="42"/>
      <c r="AL212" s="42"/>
      <c r="AM212" s="42"/>
      <c r="AN212" s="42"/>
      <c r="AO212" s="42"/>
      <c r="AP212" s="42"/>
      <c r="AQ212" s="42"/>
      <c r="AR212" s="42"/>
      <c r="AS212" s="42"/>
      <c r="AT212" s="42"/>
      <c r="AU212" s="42"/>
      <c r="AV212" s="42"/>
      <c r="AW212" s="42"/>
      <c r="AX212" s="42"/>
      <c r="AY212" s="42"/>
      <c r="AZ212" s="42"/>
      <c r="BA212" s="42"/>
      <c r="BB212" s="42"/>
      <c r="BC212" s="42"/>
      <c r="BD212" s="42"/>
      <c r="BE212" s="42"/>
      <c r="BF212" s="42"/>
      <c r="BG212" s="42"/>
      <c r="BH212" s="42"/>
      <c r="BI212" s="42"/>
      <c r="BJ212" s="42"/>
      <c r="BK212" s="42"/>
      <c r="BL212" s="42"/>
      <c r="BM212" s="42"/>
      <c r="BN212" s="42"/>
    </row>
    <row r="213" spans="1:66" ht="12.75" customHeight="1" x14ac:dyDescent="0.2">
      <c r="A213" s="1" t="s">
        <v>107</v>
      </c>
      <c r="B213" s="4">
        <f>_xll.ciqfunctions.udf.CIQ(InputTicker, "IQ_DIVEST_CF",Input!D$2,Date,,,Ccy,Conv)</f>
        <v>0</v>
      </c>
      <c r="C213" s="4">
        <f>_xll.ciqfunctions.udf.CIQ(InputTicker, "IQ_DIVEST_CF",Input!E$2,Date,,,Ccy,Conv)</f>
        <v>0</v>
      </c>
      <c r="D213" s="4">
        <f>_xll.ciqfunctions.udf.CIQ(InputTicker, "IQ_DIVEST_CF",Input!F$2,Date,,,Ccy,Conv)</f>
        <v>0</v>
      </c>
      <c r="E213" s="4">
        <f>_xll.ciqfunctions.udf.CIQ(InputTicker, "IQ_DIVEST_CF",Input!G$2,Date,,,Ccy,Conv)</f>
        <v>0</v>
      </c>
      <c r="F213" s="4">
        <f>_xll.ciqfunctions.udf.CIQ(InputTicker, "IQ_DIVEST_CF",Input!H$2,Date,,,Ccy,Conv)</f>
        <v>0</v>
      </c>
      <c r="G213" s="4">
        <f>_xll.ciqfunctions.udf.CIQ(InputTicker, "IQ_DIVEST_CF",Input!I$2,Date,,,Ccy,Conv)</f>
        <v>0</v>
      </c>
      <c r="H213" s="4">
        <f>_xll.ciqfunctions.udf.CIQ(InputTicker, "IQ_DIVEST_CF",Input!J$2,Date,,,Ccy,Conv)</f>
        <v>0</v>
      </c>
      <c r="I213" s="4">
        <f>_xll.ciqfunctions.udf.CIQ(InputTicker, "IQ_DIVEST_CF",Input!K$2,Date,,,Ccy,Conv)</f>
        <v>0</v>
      </c>
      <c r="J213" s="4">
        <f>_xll.ciqfunctions.udf.CIQ(InputTicker, "IQ_DIVEST_CF",Input!L$2,Date,,,Ccy,Conv)</f>
        <v>0</v>
      </c>
      <c r="K213" s="4">
        <f>_xll.ciqfunctions.udf.CIQ(InputTicker, "IQ_DIVEST_CF",Input!M$2,Date,,,Ccy,Conv)</f>
        <v>0</v>
      </c>
      <c r="L213" s="4">
        <f>_xll.ciqfunctions.udf.CIQ(InputTicker, "IQ_DIVEST_CF",Input!N$2,Date,,,Ccy,Conv)</f>
        <v>0</v>
      </c>
      <c r="M213" s="4">
        <f>_xll.ciqfunctions.udf.CIQ(InputTicker, "IQ_DIVEST_CF",Input!O$2,Date,,,Ccy,Conv)</f>
        <v>0</v>
      </c>
      <c r="N213" s="42"/>
      <c r="T213" s="42"/>
      <c r="U213" s="42"/>
      <c r="V213" s="42"/>
      <c r="W213" s="42"/>
      <c r="X213" s="42"/>
      <c r="Y213" s="42"/>
      <c r="Z213" s="42"/>
      <c r="AA213" s="42"/>
      <c r="AB213" s="42"/>
      <c r="AC213" s="42"/>
      <c r="AD213" s="42"/>
      <c r="AE213" s="42"/>
      <c r="AF213" s="42"/>
      <c r="AG213" s="42"/>
      <c r="AH213" s="42"/>
      <c r="AI213" s="42"/>
      <c r="AJ213" s="42"/>
      <c r="AK213" s="42"/>
      <c r="AL213" s="42"/>
      <c r="AM213" s="42"/>
      <c r="AN213" s="42"/>
      <c r="AO213" s="42"/>
      <c r="AP213" s="42"/>
      <c r="AQ213" s="42"/>
      <c r="AR213" s="42"/>
      <c r="AS213" s="42"/>
      <c r="AT213" s="42"/>
      <c r="AU213" s="42"/>
      <c r="AV213" s="42"/>
      <c r="AW213" s="42"/>
      <c r="AX213" s="42"/>
      <c r="AY213" s="42"/>
      <c r="AZ213" s="42"/>
      <c r="BA213" s="42"/>
      <c r="BB213" s="42"/>
      <c r="BC213" s="42"/>
      <c r="BD213" s="42"/>
      <c r="BE213" s="42"/>
      <c r="BF213" s="42"/>
      <c r="BG213" s="42"/>
      <c r="BH213" s="42"/>
      <c r="BI213" s="42"/>
      <c r="BJ213" s="42"/>
      <c r="BK213" s="42"/>
      <c r="BL213" s="42"/>
      <c r="BM213" s="42"/>
      <c r="BN213" s="42"/>
    </row>
    <row r="214" spans="1:66" ht="12.75" customHeight="1" x14ac:dyDescent="0.2">
      <c r="A214" s="1" t="s">
        <v>279</v>
      </c>
      <c r="B214" s="4">
        <f>_xll.ciqfunctions.udf.CIQ(InputTicker, "IQ_SALE_REAL_ESTATE_CF",Input!D$2,Date,,,Ccy,Conv)</f>
        <v>0</v>
      </c>
      <c r="C214" s="4">
        <f>_xll.ciqfunctions.udf.CIQ(InputTicker, "IQ_SALE_REAL_ESTATE_CF",Input!E$2,Date,,,Ccy,Conv)</f>
        <v>0</v>
      </c>
      <c r="D214" s="4">
        <f>_xll.ciqfunctions.udf.CIQ(InputTicker, "IQ_SALE_REAL_ESTATE_CF",Input!F$2,Date,,,Ccy,Conv)</f>
        <v>0</v>
      </c>
      <c r="E214" s="4">
        <f>_xll.ciqfunctions.udf.CIQ(InputTicker, "IQ_SALE_REAL_ESTATE_CF",Input!G$2,Date,,,Ccy,Conv)</f>
        <v>0</v>
      </c>
      <c r="F214" s="4">
        <f>_xll.ciqfunctions.udf.CIQ(InputTicker, "IQ_SALE_REAL_ESTATE_CF",Input!H$2,Date,,,Ccy,Conv)</f>
        <v>0</v>
      </c>
      <c r="G214" s="4">
        <f>_xll.ciqfunctions.udf.CIQ(InputTicker, "IQ_SALE_REAL_ESTATE_CF",Input!I$2,Date,,,Ccy,Conv)</f>
        <v>0</v>
      </c>
      <c r="H214" s="4">
        <f>_xll.ciqfunctions.udf.CIQ(InputTicker, "IQ_SALE_REAL_ESTATE_CF",Input!J$2,Date,,,Ccy,Conv)</f>
        <v>0</v>
      </c>
      <c r="I214" s="4">
        <f>_xll.ciqfunctions.udf.CIQ(InputTicker, "IQ_SALE_REAL_ESTATE_CF",Input!K$2,Date,,,Ccy,Conv)</f>
        <v>0</v>
      </c>
      <c r="J214" s="4">
        <f>_xll.ciqfunctions.udf.CIQ(InputTicker, "IQ_SALE_REAL_ESTATE_CF",Input!L$2,Date,,,Ccy,Conv)</f>
        <v>0</v>
      </c>
      <c r="K214" s="4">
        <f>_xll.ciqfunctions.udf.CIQ(InputTicker, "IQ_SALE_REAL_ESTATE_CF",Input!M$2,Date,,,Ccy,Conv)</f>
        <v>0</v>
      </c>
      <c r="L214" s="4">
        <f>_xll.ciqfunctions.udf.CIQ(InputTicker, "IQ_SALE_REAL_ESTATE_CF",Input!N$2,Date,,,Ccy,Conv)</f>
        <v>0</v>
      </c>
      <c r="M214" s="4">
        <f>_xll.ciqfunctions.udf.CIQ(InputTicker, "IQ_SALE_REAL_ESTATE_CF",Input!O$2,Date,,,Ccy,Conv)</f>
        <v>0</v>
      </c>
      <c r="N214" s="42"/>
      <c r="T214" s="42"/>
      <c r="U214" s="42"/>
      <c r="V214" s="42"/>
      <c r="W214" s="42"/>
      <c r="X214" s="42"/>
      <c r="Y214" s="42"/>
      <c r="Z214" s="42"/>
      <c r="AA214" s="42"/>
      <c r="AB214" s="42"/>
      <c r="AC214" s="42"/>
      <c r="AD214" s="42"/>
      <c r="AE214" s="42"/>
      <c r="AF214" s="42"/>
      <c r="AG214" s="42"/>
      <c r="AH214" s="42"/>
      <c r="AI214" s="42"/>
      <c r="AJ214" s="42"/>
      <c r="AK214" s="42"/>
      <c r="AL214" s="42"/>
      <c r="AM214" s="42"/>
      <c r="AN214" s="42"/>
      <c r="AO214" s="42"/>
      <c r="AP214" s="42"/>
      <c r="AQ214" s="42"/>
      <c r="AR214" s="42"/>
      <c r="AS214" s="42"/>
      <c r="AT214" s="42"/>
      <c r="AU214" s="42"/>
      <c r="AV214" s="42"/>
      <c r="AW214" s="42"/>
      <c r="AX214" s="42"/>
      <c r="AY214" s="42"/>
      <c r="AZ214" s="42"/>
      <c r="BA214" s="42"/>
      <c r="BB214" s="42"/>
      <c r="BC214" s="42"/>
      <c r="BD214" s="42"/>
      <c r="BE214" s="42"/>
      <c r="BF214" s="42"/>
      <c r="BG214" s="42"/>
      <c r="BH214" s="42"/>
      <c r="BI214" s="42"/>
      <c r="BJ214" s="42"/>
      <c r="BK214" s="42"/>
      <c r="BL214" s="42"/>
      <c r="BM214" s="42"/>
      <c r="BN214" s="42"/>
    </row>
    <row r="215" spans="1:66" ht="12.75" customHeight="1" x14ac:dyDescent="0.2">
      <c r="A215" s="1" t="s">
        <v>280</v>
      </c>
      <c r="B215" s="4">
        <f>_xll.ciqfunctions.udf.CIQ(InputTicker, "IQ_SALE_INTAN_CF",Input!D$2,Date,,,Ccy,Conv)</f>
        <v>0</v>
      </c>
      <c r="C215" s="4">
        <f>_xll.ciqfunctions.udf.CIQ(InputTicker, "IQ_SALE_INTAN_CF",Input!E$2,Date,,,Ccy,Conv)</f>
        <v>0</v>
      </c>
      <c r="D215" s="4">
        <f>_xll.ciqfunctions.udf.CIQ(InputTicker, "IQ_SALE_INTAN_CF",Input!F$2,Date,,,Ccy,Conv)</f>
        <v>0</v>
      </c>
      <c r="E215" s="4">
        <f>_xll.ciqfunctions.udf.CIQ(InputTicker, "IQ_SALE_INTAN_CF",Input!G$2,Date,,,Ccy,Conv)</f>
        <v>0</v>
      </c>
      <c r="F215" s="4">
        <f>_xll.ciqfunctions.udf.CIQ(InputTicker, "IQ_SALE_INTAN_CF",Input!H$2,Date,,,Ccy,Conv)</f>
        <v>0</v>
      </c>
      <c r="G215" s="4">
        <f>_xll.ciqfunctions.udf.CIQ(InputTicker, "IQ_SALE_INTAN_CF",Input!I$2,Date,,,Ccy,Conv)</f>
        <v>0</v>
      </c>
      <c r="H215" s="4">
        <f>_xll.ciqfunctions.udf.CIQ(InputTicker, "IQ_SALE_INTAN_CF",Input!J$2,Date,,,Ccy,Conv)</f>
        <v>0</v>
      </c>
      <c r="I215" s="4">
        <f>_xll.ciqfunctions.udf.CIQ(InputTicker, "IQ_SALE_INTAN_CF",Input!K$2,Date,,,Ccy,Conv)</f>
        <v>0</v>
      </c>
      <c r="J215" s="4">
        <f>_xll.ciqfunctions.udf.CIQ(InputTicker, "IQ_SALE_INTAN_CF",Input!L$2,Date,,,Ccy,Conv)</f>
        <v>0</v>
      </c>
      <c r="K215" s="4">
        <f>_xll.ciqfunctions.udf.CIQ(InputTicker, "IQ_SALE_INTAN_CF",Input!M$2,Date,,,Ccy,Conv)</f>
        <v>0</v>
      </c>
      <c r="L215" s="4">
        <f>_xll.ciqfunctions.udf.CIQ(InputTicker, "IQ_SALE_INTAN_CF",Input!N$2,Date,,,Ccy,Conv)</f>
        <v>0</v>
      </c>
      <c r="M215" s="4">
        <f>_xll.ciqfunctions.udf.CIQ(InputTicker, "IQ_SALE_INTAN_CF",Input!O$2,Date,,,Ccy,Conv)</f>
        <v>0</v>
      </c>
      <c r="N215" s="42"/>
      <c r="T215" s="42"/>
      <c r="U215" s="42"/>
      <c r="V215" s="42"/>
      <c r="W215" s="42"/>
      <c r="X215" s="42"/>
      <c r="Y215" s="42"/>
      <c r="Z215" s="42"/>
      <c r="AA215" s="42"/>
      <c r="AB215" s="42"/>
      <c r="AC215" s="42"/>
      <c r="AD215" s="42"/>
      <c r="AE215" s="42"/>
      <c r="AF215" s="42"/>
      <c r="AG215" s="42"/>
      <c r="AH215" s="42"/>
      <c r="AI215" s="42"/>
      <c r="AJ215" s="42"/>
      <c r="AK215" s="42"/>
      <c r="AL215" s="42"/>
      <c r="AM215" s="42"/>
      <c r="AN215" s="42"/>
      <c r="AO215" s="42"/>
      <c r="AP215" s="42"/>
      <c r="AQ215" s="42"/>
      <c r="AR215" s="42"/>
      <c r="AS215" s="42"/>
      <c r="AT215" s="42"/>
      <c r="AU215" s="42"/>
      <c r="AV215" s="42"/>
      <c r="AW215" s="42"/>
      <c r="AX215" s="42"/>
      <c r="AY215" s="42"/>
      <c r="AZ215" s="42"/>
      <c r="BA215" s="42"/>
      <c r="BB215" s="42"/>
      <c r="BC215" s="42"/>
      <c r="BD215" s="42"/>
      <c r="BE215" s="42"/>
      <c r="BF215" s="42"/>
      <c r="BG215" s="42"/>
      <c r="BH215" s="42"/>
      <c r="BI215" s="42"/>
      <c r="BJ215" s="42"/>
      <c r="BK215" s="42"/>
      <c r="BL215" s="42"/>
      <c r="BM215" s="42"/>
      <c r="BN215" s="42"/>
    </row>
    <row r="216" spans="1:66" ht="12.75" customHeight="1" x14ac:dyDescent="0.2">
      <c r="A216" s="1" t="s">
        <v>281</v>
      </c>
      <c r="B216" s="4">
        <f>_xll.ciqfunctions.udf.CIQ(InputTicker, "IQ_INVEST_SECURITY_CF",Input!D$2,Date,,,Ccy,Conv)</f>
        <v>-14417</v>
      </c>
      <c r="C216" s="4">
        <f>_xll.ciqfunctions.udf.CIQ(InputTicker, "IQ_INVEST_SECURITY_CF",Input!E$2,Date,,,Ccy,Conv)</f>
        <v>-12511</v>
      </c>
      <c r="D216" s="4">
        <f>_xll.ciqfunctions.udf.CIQ(InputTicker, "IQ_INVEST_SECURITY_CF",Input!F$2,Date,,,Ccy,Conv)</f>
        <v>6557</v>
      </c>
      <c r="E216" s="4">
        <f>_xll.ciqfunctions.udf.CIQ(InputTicker, "IQ_INVEST_SECURITY_CF",Input!G$2,Date,,,Ccy,Conv)</f>
        <v>540</v>
      </c>
      <c r="F216" s="4">
        <f>_xll.ciqfunctions.udf.CIQ(InputTicker, "IQ_INVEST_SECURITY_CF",Input!H$2,Date,,,Ccy,Conv)</f>
        <v>6980</v>
      </c>
      <c r="G216" s="4">
        <f>_xll.ciqfunctions.udf.CIQ(InputTicker, "IQ_INVEST_SECURITY_CF",Input!I$2,Date,,,Ccy,Conv)</f>
        <v>2876</v>
      </c>
      <c r="H216" s="4">
        <f>_xll.ciqfunctions.udf.CIQ(InputTicker, "IQ_INVEST_SECURITY_CF",Input!J$2,Date,,,Ccy,Conv)</f>
        <v>18438</v>
      </c>
      <c r="I216" s="4">
        <f>_xll.ciqfunctions.udf.CIQ(InputTicker, "IQ_INVEST_SECURITY_CF",Input!K$2,Date,,,Ccy,Conv)</f>
        <v>10213</v>
      </c>
      <c r="J216" s="4">
        <f>_xll.ciqfunctions.udf.CIQ(InputTicker, "IQ_INVEST_SECURITY_CF",Input!L$2,Date,,,Ccy,Conv)</f>
        <v>17937</v>
      </c>
      <c r="K216" s="4">
        <f>_xll.ciqfunctions.udf.CIQ(InputTicker, "IQ_INVEST_SECURITY_CF",Input!M$2,Date,,,Ccy,Conv)</f>
        <v>-4387</v>
      </c>
      <c r="L216" s="4">
        <f>_xll.ciqfunctions.udf.CIQ(InputTicker, "IQ_INVEST_SECURITY_CF",Input!N$2,Date,,,Ccy,Conv)</f>
        <v>-1948</v>
      </c>
      <c r="M216" s="4">
        <f>_xll.ciqfunctions.udf.CIQ(InputTicker, "IQ_INVEST_SECURITY_CF",Input!O$2,Date,,,Ccy,Conv)</f>
        <v>-1948</v>
      </c>
      <c r="N216" s="42"/>
      <c r="T216" s="42"/>
      <c r="U216" s="42"/>
      <c r="V216" s="42"/>
      <c r="W216" s="42"/>
      <c r="X216" s="42"/>
      <c r="Y216" s="42"/>
      <c r="Z216" s="42"/>
      <c r="AA216" s="42"/>
      <c r="AB216" s="42"/>
      <c r="AC216" s="42"/>
      <c r="AD216" s="42"/>
      <c r="AE216" s="42"/>
      <c r="AF216" s="42"/>
      <c r="AG216" s="42"/>
      <c r="AH216" s="42"/>
      <c r="AI216" s="42"/>
      <c r="AJ216" s="42"/>
      <c r="AK216" s="42"/>
      <c r="AL216" s="42"/>
      <c r="AM216" s="42"/>
      <c r="AN216" s="42"/>
      <c r="AO216" s="42"/>
      <c r="AP216" s="42"/>
      <c r="AQ216" s="42"/>
      <c r="AR216" s="42"/>
      <c r="AS216" s="42"/>
      <c r="AT216" s="42"/>
      <c r="AU216" s="42"/>
      <c r="AV216" s="42"/>
      <c r="AW216" s="42"/>
      <c r="AX216" s="42"/>
      <c r="AY216" s="42"/>
      <c r="AZ216" s="42"/>
      <c r="BA216" s="42"/>
      <c r="BB216" s="42"/>
      <c r="BC216" s="42"/>
      <c r="BD216" s="42"/>
      <c r="BE216" s="42"/>
      <c r="BF216" s="42"/>
      <c r="BG216" s="42"/>
      <c r="BH216" s="42"/>
      <c r="BI216" s="42"/>
      <c r="BJ216" s="42"/>
      <c r="BK216" s="42"/>
      <c r="BL216" s="42"/>
      <c r="BM216" s="42"/>
      <c r="BN216" s="42"/>
    </row>
    <row r="217" spans="1:66" ht="12.75" customHeight="1" x14ac:dyDescent="0.2">
      <c r="A217" s="1" t="s">
        <v>149</v>
      </c>
      <c r="B217" s="4">
        <f>_xll.ciqfunctions.udf.CIQ(InputTicker, "IQ_INVEST_LOANS_CF",Input!D$2,Date,,,Ccy,Conv)</f>
        <v>0</v>
      </c>
      <c r="C217" s="4">
        <f>_xll.ciqfunctions.udf.CIQ(InputTicker, "IQ_INVEST_LOANS_CF",Input!E$2,Date,,,Ccy,Conv)</f>
        <v>0</v>
      </c>
      <c r="D217" s="4">
        <f>_xll.ciqfunctions.udf.CIQ(InputTicker, "IQ_INVEST_LOANS_CF",Input!F$2,Date,,,Ccy,Conv)</f>
        <v>0</v>
      </c>
      <c r="E217" s="4">
        <f>_xll.ciqfunctions.udf.CIQ(InputTicker, "IQ_INVEST_LOANS_CF",Input!G$2,Date,,,Ccy,Conv)</f>
        <v>0</v>
      </c>
      <c r="F217" s="4">
        <f>_xll.ciqfunctions.udf.CIQ(InputTicker, "IQ_INVEST_LOANS_CF",Input!H$2,Date,,,Ccy,Conv)</f>
        <v>0</v>
      </c>
      <c r="G217" s="4">
        <f>_xll.ciqfunctions.udf.CIQ(InputTicker, "IQ_INVEST_LOANS_CF",Input!I$2,Date,,,Ccy,Conv)</f>
        <v>0</v>
      </c>
      <c r="H217" s="4">
        <f>_xll.ciqfunctions.udf.CIQ(InputTicker, "IQ_INVEST_LOANS_CF",Input!J$2,Date,,,Ccy,Conv)</f>
        <v>0</v>
      </c>
      <c r="I217" s="4">
        <f>_xll.ciqfunctions.udf.CIQ(InputTicker, "IQ_INVEST_LOANS_CF",Input!K$2,Date,,,Ccy,Conv)</f>
        <v>0</v>
      </c>
      <c r="J217" s="4">
        <f>_xll.ciqfunctions.udf.CIQ(InputTicker, "IQ_INVEST_LOANS_CF",Input!L$2,Date,,,Ccy,Conv)</f>
        <v>0</v>
      </c>
      <c r="K217" s="4">
        <f>_xll.ciqfunctions.udf.CIQ(InputTicker, "IQ_INVEST_LOANS_CF",Input!M$2,Date,,,Ccy,Conv)</f>
        <v>0</v>
      </c>
      <c r="L217" s="4">
        <f>_xll.ciqfunctions.udf.CIQ(InputTicker, "IQ_INVEST_LOANS_CF",Input!N$2,Date,,,Ccy,Conv)</f>
        <v>0</v>
      </c>
      <c r="M217" s="4">
        <f>_xll.ciqfunctions.udf.CIQ(InputTicker, "IQ_INVEST_LOANS_CF",Input!O$2,Date,,,Ccy,Conv)</f>
        <v>0</v>
      </c>
      <c r="N217" s="42"/>
      <c r="T217" s="42"/>
      <c r="U217" s="42"/>
      <c r="V217" s="42"/>
      <c r="W217" s="42"/>
      <c r="X217" s="42"/>
      <c r="Y217" s="42"/>
      <c r="Z217" s="42"/>
      <c r="AA217" s="42"/>
      <c r="AB217" s="42"/>
      <c r="AC217" s="42"/>
      <c r="AD217" s="42"/>
      <c r="AE217" s="42"/>
      <c r="AF217" s="42"/>
      <c r="AG217" s="42"/>
      <c r="AH217" s="42"/>
      <c r="AI217" s="42"/>
      <c r="AJ217" s="42"/>
      <c r="AK217" s="42"/>
      <c r="AL217" s="42"/>
      <c r="AM217" s="42"/>
      <c r="AN217" s="42"/>
      <c r="AO217" s="42"/>
      <c r="AP217" s="42"/>
      <c r="AQ217" s="42"/>
      <c r="AR217" s="42"/>
      <c r="AS217" s="42"/>
      <c r="AT217" s="42"/>
      <c r="AU217" s="42"/>
      <c r="AV217" s="42"/>
      <c r="AW217" s="42"/>
      <c r="AX217" s="42"/>
      <c r="AY217" s="42"/>
      <c r="AZ217" s="42"/>
      <c r="BA217" s="42"/>
      <c r="BB217" s="42"/>
      <c r="BC217" s="42"/>
      <c r="BD217" s="42"/>
      <c r="BE217" s="42"/>
      <c r="BF217" s="42"/>
      <c r="BG217" s="42"/>
      <c r="BH217" s="42"/>
      <c r="BI217" s="42"/>
      <c r="BJ217" s="42"/>
      <c r="BK217" s="42"/>
      <c r="BL217" s="42"/>
      <c r="BM217" s="42"/>
      <c r="BN217" s="42"/>
    </row>
    <row r="218" spans="1:66" ht="12.75" customHeight="1" x14ac:dyDescent="0.2">
      <c r="A218" s="1" t="s">
        <v>150</v>
      </c>
      <c r="B218" s="4">
        <f>_xll.ciqfunctions.udf.CIQ(InputTicker, "IQ_OTHER_INVEST_ACT_SUPPL",Input!D$2,Date,,,Ccy,Conv)</f>
        <v>203</v>
      </c>
      <c r="C218" s="4">
        <f>_xll.ciqfunctions.udf.CIQ(InputTicker, "IQ_OTHER_INVEST_ACT_SUPPL",Input!E$2,Date,,,Ccy,Conv)</f>
        <v>-197</v>
      </c>
      <c r="D218" s="4">
        <f>_xll.ciqfunctions.udf.CIQ(InputTicker, "IQ_OTHER_INVEST_ACT_SUPPL",Input!F$2,Date,,,Ccy,Conv)</f>
        <v>-98</v>
      </c>
      <c r="E218" s="4">
        <f>_xll.ciqfunctions.udf.CIQ(InputTicker, "IQ_OTHER_INVEST_ACT_SUPPL",Input!G$2,Date,,,Ccy,Conv)</f>
        <v>0</v>
      </c>
      <c r="F218" s="4">
        <f>_xll.ciqfunctions.udf.CIQ(InputTicker, "IQ_OTHER_INVEST_ACT_SUPPL",Input!H$2,Date,,,Ccy,Conv)</f>
        <v>-1241</v>
      </c>
      <c r="G218" s="4">
        <f>_xll.ciqfunctions.udf.CIQ(InputTicker, "IQ_OTHER_INVEST_ACT_SUPPL",Input!I$2,Date,,,Ccy,Conv)</f>
        <v>-922</v>
      </c>
      <c r="H218" s="4">
        <f>_xll.ciqfunctions.udf.CIQ(InputTicker, "IQ_OTHER_INVEST_ACT_SUPPL",Input!J$2,Date,,,Ccy,Conv)</f>
        <v>-2825</v>
      </c>
      <c r="I218" s="4">
        <f>_xll.ciqfunctions.udf.CIQ(InputTicker, "IQ_OTHER_INVEST_ACT_SUPPL",Input!K$2,Date,,,Ccy,Conv)</f>
        <v>-3116</v>
      </c>
      <c r="J218" s="4">
        <f>_xll.ciqfunctions.udf.CIQ(InputTicker, "IQ_OTHER_INVEST_ACT_SUPPL",Input!L$2,Date,,,Ccy,Conv)</f>
        <v>-1298</v>
      </c>
      <c r="K218" s="4">
        <f>_xll.ciqfunctions.udf.CIQ(InputTicker, "IQ_OTHER_INVEST_ACT_SUPPL",Input!M$2,Date,,,Ccy,Conv)</f>
        <v>2317</v>
      </c>
      <c r="L218" s="4">
        <f>_xll.ciqfunctions.udf.CIQ(InputTicker, "IQ_OTHER_INVEST_ACT_SUPPL",Input!N$2,Date,,,Ccy,Conv)</f>
        <v>-19861</v>
      </c>
      <c r="M218" s="4">
        <f>_xll.ciqfunctions.udf.CIQ(InputTicker, "IQ_OTHER_INVEST_ACT_SUPPL",Input!O$2,Date,,,Ccy,Conv)</f>
        <v>-19861</v>
      </c>
      <c r="N218" s="42"/>
      <c r="T218" s="42"/>
      <c r="U218" s="42"/>
      <c r="V218" s="42"/>
      <c r="W218" s="42"/>
      <c r="X218" s="42"/>
      <c r="Y218" s="42"/>
      <c r="Z218" s="42"/>
      <c r="AA218" s="42"/>
      <c r="AB218" s="42"/>
      <c r="AC218" s="42"/>
      <c r="AD218" s="42"/>
      <c r="AE218" s="42"/>
      <c r="AF218" s="42"/>
      <c r="AG218" s="42"/>
      <c r="AH218" s="42"/>
      <c r="AI218" s="42"/>
      <c r="AJ218" s="42"/>
      <c r="AK218" s="42"/>
      <c r="AL218" s="42"/>
      <c r="AM218" s="42"/>
      <c r="AN218" s="42"/>
      <c r="AO218" s="42"/>
      <c r="AP218" s="42"/>
      <c r="AQ218" s="42"/>
      <c r="AR218" s="42"/>
      <c r="AS218" s="42"/>
      <c r="AT218" s="42"/>
      <c r="AU218" s="42"/>
      <c r="AV218" s="42"/>
      <c r="AW218" s="42"/>
      <c r="AX218" s="42"/>
      <c r="AY218" s="42"/>
      <c r="AZ218" s="42"/>
      <c r="BA218" s="42"/>
      <c r="BB218" s="42"/>
      <c r="BC218" s="42"/>
      <c r="BD218" s="42"/>
      <c r="BE218" s="42"/>
      <c r="BF218" s="42"/>
      <c r="BG218" s="42"/>
      <c r="BH218" s="42"/>
      <c r="BI218" s="42"/>
      <c r="BJ218" s="42"/>
      <c r="BK218" s="42"/>
      <c r="BL218" s="42"/>
      <c r="BM218" s="42"/>
      <c r="BN218" s="42"/>
    </row>
    <row r="219" spans="1:66" ht="12.75" customHeight="1" thickBot="1" x14ac:dyDescent="0.25">
      <c r="A219" s="5" t="s">
        <v>108</v>
      </c>
      <c r="B219" s="9">
        <f>_xll.ciqfunctions.udf.CIQ(InputTicker, "IQ_CASH_INVEST",Input!D$2,Date,,,Ccy,Conv)</f>
        <v>-23950</v>
      </c>
      <c r="C219" s="9">
        <f>_xll.ciqfunctions.udf.CIQ(InputTicker, "IQ_CASH_INVEST",Input!E$2,Date,,,Ccy,Conv)</f>
        <v>-46781</v>
      </c>
      <c r="D219" s="9">
        <f>_xll.ciqfunctions.udf.CIQ(InputTicker, "IQ_CASH_INVEST",Input!F$2,Date,,,Ccy,Conv)</f>
        <v>-6061</v>
      </c>
      <c r="E219" s="9">
        <f>_xll.ciqfunctions.udf.CIQ(InputTicker, "IQ_CASH_INVEST",Input!G$2,Date,,,Ccy,Conv)</f>
        <v>-15773</v>
      </c>
      <c r="F219" s="9">
        <f>_xll.ciqfunctions.udf.CIQ(InputTicker, "IQ_CASH_INVEST",Input!H$2,Date,,,Ccy,Conv)</f>
        <v>-12223</v>
      </c>
      <c r="G219" s="9">
        <f>_xll.ciqfunctions.udf.CIQ(InputTicker, "IQ_CASH_INVEST",Input!I$2,Date,,,Ccy,Conv)</f>
        <v>-27577</v>
      </c>
      <c r="H219" s="9">
        <f>_xll.ciqfunctions.udf.CIQ(InputTicker, "IQ_CASH_INVEST",Input!J$2,Date,,,Ccy,Conv)</f>
        <v>-30311</v>
      </c>
      <c r="I219" s="9">
        <f>_xll.ciqfunctions.udf.CIQ(InputTicker, "IQ_CASH_INVEST",Input!K$2,Date,,,Ccy,Conv)</f>
        <v>-22680</v>
      </c>
      <c r="J219" s="9">
        <f>_xll.ciqfunctions.udf.CIQ(InputTicker, "IQ_CASH_INVEST",Input!L$2,Date,,,Ccy,Conv)</f>
        <v>-96970</v>
      </c>
      <c r="K219" s="9">
        <f>_xll.ciqfunctions.udf.CIQ(InputTicker, "IQ_CASH_INVEST",Input!M$2,Date,,,Ccy,Conv)</f>
        <v>-72599</v>
      </c>
      <c r="L219" s="9">
        <f>_xll.ciqfunctions.udf.CIQ(InputTicker, "IQ_CASH_INVEST",Input!N$2,Date,,,Ccy,Conv)</f>
        <v>-139500</v>
      </c>
      <c r="M219" s="9">
        <f>_xll.ciqfunctions.udf.CIQ(InputTicker, "IQ_CASH_INVEST",Input!O$2,Date,,,Ccy,Conv)</f>
        <v>-139500</v>
      </c>
      <c r="N219" s="42"/>
      <c r="T219" s="42"/>
      <c r="U219" s="42"/>
      <c r="V219" s="42"/>
      <c r="W219" s="42"/>
      <c r="X219" s="42"/>
      <c r="Y219" s="42"/>
      <c r="Z219" s="42"/>
      <c r="AA219" s="42"/>
      <c r="AB219" s="42"/>
      <c r="AC219" s="42"/>
      <c r="AD219" s="42"/>
      <c r="AE219" s="42"/>
      <c r="AF219" s="42"/>
      <c r="AG219" s="42"/>
      <c r="AH219" s="42"/>
      <c r="AI219" s="42"/>
      <c r="AJ219" s="42"/>
      <c r="AK219" s="42"/>
      <c r="AL219" s="42"/>
      <c r="AM219" s="42"/>
      <c r="AN219" s="42"/>
      <c r="AO219" s="42"/>
      <c r="AP219" s="42"/>
      <c r="AQ219" s="42"/>
      <c r="AR219" s="42"/>
      <c r="AS219" s="42"/>
      <c r="AT219" s="42"/>
      <c r="AU219" s="42"/>
      <c r="AV219" s="42"/>
      <c r="AW219" s="42"/>
      <c r="AX219" s="42"/>
      <c r="AY219" s="42"/>
      <c r="AZ219" s="42"/>
      <c r="BA219" s="42"/>
      <c r="BB219" s="42"/>
      <c r="BC219" s="42"/>
      <c r="BD219" s="42"/>
      <c r="BE219" s="42"/>
      <c r="BF219" s="42"/>
      <c r="BG219" s="42"/>
      <c r="BH219" s="42"/>
      <c r="BI219" s="42"/>
      <c r="BJ219" s="42"/>
      <c r="BK219" s="42"/>
      <c r="BL219" s="42"/>
      <c r="BM219" s="42"/>
      <c r="BN219" s="42"/>
    </row>
    <row r="220" spans="1:66" ht="12.75" customHeight="1" thickTop="1" x14ac:dyDescent="0.2">
      <c r="A220" s="1" t="s">
        <v>109</v>
      </c>
      <c r="B220" s="4">
        <f>_xll.ciqfunctions.udf.CIQ(InputTicker, "IQ_ST_DEBT_ISSUED",Input!D$2,Date,,,Ccy,Conv)</f>
        <v>7195</v>
      </c>
      <c r="C220" s="4">
        <f>_xll.ciqfunctions.udf.CIQ(InputTicker, "IQ_ST_DEBT_ISSUED",Input!E$2,Date,,,Ccy,Conv)</f>
        <v>0</v>
      </c>
      <c r="D220" s="4">
        <f>_xll.ciqfunctions.udf.CIQ(InputTicker, "IQ_ST_DEBT_ISSUED",Input!F$2,Date,,,Ccy,Conv)</f>
        <v>0</v>
      </c>
      <c r="E220" s="4">
        <f>_xll.ciqfunctions.udf.CIQ(InputTicker, "IQ_ST_DEBT_ISSUED",Input!G$2,Date,,,Ccy,Conv)</f>
        <v>0</v>
      </c>
      <c r="F220" s="4">
        <f>_xll.ciqfunctions.udf.CIQ(InputTicker, "IQ_ST_DEBT_ISSUED",Input!H$2,Date,,,Ccy,Conv)</f>
        <v>0</v>
      </c>
      <c r="G220" s="4">
        <f>_xll.ciqfunctions.udf.CIQ(InputTicker, "IQ_ST_DEBT_ISSUED",Input!I$2,Date,,,Ccy,Conv)</f>
        <v>0</v>
      </c>
      <c r="H220" s="4">
        <f>_xll.ciqfunctions.udf.CIQ(InputTicker, "IQ_ST_DEBT_ISSUED",Input!J$2,Date,,,Ccy,Conv)</f>
        <v>0</v>
      </c>
      <c r="I220" s="4">
        <f>_xll.ciqfunctions.udf.CIQ(InputTicker, "IQ_ST_DEBT_ISSUED",Input!K$2,Date,,,Ccy,Conv)</f>
        <v>0</v>
      </c>
      <c r="J220" s="4">
        <f>_xll.ciqfunctions.udf.CIQ(InputTicker, "IQ_ST_DEBT_ISSUED",Input!L$2,Date,,,Ccy,Conv)</f>
        <v>5250</v>
      </c>
      <c r="K220" s="4">
        <f>_xll.ciqfunctions.udf.CIQ(InputTicker, "IQ_ST_DEBT_ISSUED",Input!M$2,Date,,,Ccy,Conv)</f>
        <v>0</v>
      </c>
      <c r="L220" s="4">
        <f>_xll.ciqfunctions.udf.CIQ(InputTicker, "IQ_ST_DEBT_ISSUED",Input!N$2,Date,,,Ccy,Conv)</f>
        <v>0</v>
      </c>
      <c r="M220" s="4">
        <f>_xll.ciqfunctions.udf.CIQ(InputTicker, "IQ_ST_DEBT_ISSUED",Input!O$2,Date,,,Ccy,Conv)</f>
        <v>0</v>
      </c>
      <c r="N220" s="42"/>
      <c r="T220" s="42"/>
      <c r="U220" s="42"/>
      <c r="V220" s="42"/>
      <c r="W220" s="42"/>
      <c r="X220" s="42"/>
      <c r="Y220" s="42"/>
      <c r="Z220" s="42"/>
      <c r="AA220" s="42"/>
      <c r="AB220" s="42"/>
      <c r="AC220" s="42"/>
      <c r="AD220" s="42"/>
      <c r="AE220" s="42"/>
      <c r="AF220" s="42"/>
      <c r="AG220" s="42"/>
      <c r="AH220" s="42"/>
      <c r="AI220" s="42"/>
      <c r="AJ220" s="42"/>
      <c r="AK220" s="42"/>
      <c r="AL220" s="42"/>
      <c r="AM220" s="42"/>
      <c r="AN220" s="42"/>
      <c r="AO220" s="42"/>
      <c r="AP220" s="42"/>
      <c r="AQ220" s="42"/>
      <c r="AR220" s="42"/>
      <c r="AS220" s="42"/>
      <c r="AT220" s="42"/>
      <c r="AU220" s="42"/>
      <c r="AV220" s="42"/>
      <c r="AW220" s="42"/>
      <c r="AX220" s="42"/>
      <c r="AY220" s="42"/>
      <c r="AZ220" s="42"/>
      <c r="BA220" s="42"/>
      <c r="BB220" s="42"/>
      <c r="BC220" s="42"/>
      <c r="BD220" s="42"/>
      <c r="BE220" s="42"/>
      <c r="BF220" s="42"/>
      <c r="BG220" s="42"/>
      <c r="BH220" s="42"/>
      <c r="BI220" s="42"/>
      <c r="BJ220" s="42"/>
      <c r="BK220" s="42"/>
      <c r="BL220" s="42"/>
      <c r="BM220" s="42"/>
      <c r="BN220" s="42"/>
    </row>
    <row r="221" spans="1:66" ht="12.75" customHeight="1" x14ac:dyDescent="0.2">
      <c r="A221" s="1" t="s">
        <v>110</v>
      </c>
      <c r="B221" s="4">
        <f>_xll.ciqfunctions.udf.CIQ(InputTicker, "IQ_LT_DEBT_ISSUED",Input!D$2,Date,,,Ccy,Conv)</f>
        <v>13884</v>
      </c>
      <c r="C221" s="4">
        <f>_xll.ciqfunctions.udf.CIQ(InputTicker, "IQ_LT_DEBT_ISSUED",Input!E$2,Date,,,Ccy,Conv)</f>
        <v>44344</v>
      </c>
      <c r="D221" s="4">
        <f>_xll.ciqfunctions.udf.CIQ(InputTicker, "IQ_LT_DEBT_ISSUED",Input!F$2,Date,,,Ccy,Conv)</f>
        <v>7183</v>
      </c>
      <c r="E221" s="4">
        <f>_xll.ciqfunctions.udf.CIQ(InputTicker, "IQ_LT_DEBT_ISSUED",Input!G$2,Date,,,Ccy,Conv)</f>
        <v>0</v>
      </c>
      <c r="F221" s="4">
        <f>_xll.ciqfunctions.udf.CIQ(InputTicker, "IQ_LT_DEBT_ISSUED",Input!H$2,Date,,,Ccy,Conv)</f>
        <v>0</v>
      </c>
      <c r="G221" s="4">
        <f>_xll.ciqfunctions.udf.CIQ(InputTicker, "IQ_LT_DEBT_ISSUED",Input!I$2,Date,,,Ccy,Conv)</f>
        <v>0</v>
      </c>
      <c r="H221" s="4">
        <f>_xll.ciqfunctions.udf.CIQ(InputTicker, "IQ_LT_DEBT_ISSUED",Input!J$2,Date,,,Ccy,Conv)</f>
        <v>0</v>
      </c>
      <c r="I221" s="4">
        <f>_xll.ciqfunctions.udf.CIQ(InputTicker, "IQ_LT_DEBT_ISSUED",Input!K$2,Date,,,Ccy,Conv)</f>
        <v>0</v>
      </c>
      <c r="J221" s="4">
        <f>_xll.ciqfunctions.udf.CIQ(InputTicker, "IQ_LT_DEBT_ISSUED",Input!L$2,Date,,,Ccy,Conv)</f>
        <v>24395</v>
      </c>
      <c r="K221" s="4">
        <f>_xll.ciqfunctions.udf.CIQ(InputTicker, "IQ_LT_DEBT_ISSUED",Input!M$2,Date,,,Ccy,Conv)</f>
        <v>0</v>
      </c>
      <c r="L221" s="4">
        <f>_xll.ciqfunctions.udf.CIQ(InputTicker, "IQ_LT_DEBT_ISSUED",Input!N$2,Date,,,Ccy,Conv)</f>
        <v>0</v>
      </c>
      <c r="M221" s="4">
        <f>_xll.ciqfunctions.udf.CIQ(InputTicker, "IQ_LT_DEBT_ISSUED",Input!O$2,Date,,,Ccy,Conv)</f>
        <v>0</v>
      </c>
      <c r="N221" s="42"/>
      <c r="T221" s="42"/>
      <c r="U221" s="42"/>
      <c r="V221" s="42"/>
      <c r="W221" s="42"/>
      <c r="X221" s="42"/>
      <c r="Y221" s="42"/>
      <c r="Z221" s="42"/>
      <c r="AA221" s="42"/>
      <c r="AB221" s="42"/>
      <c r="AC221" s="42"/>
      <c r="AD221" s="42"/>
      <c r="AE221" s="42"/>
      <c r="AF221" s="42"/>
      <c r="AG221" s="42"/>
      <c r="AH221" s="42"/>
      <c r="AI221" s="42"/>
      <c r="AJ221" s="42"/>
      <c r="AK221" s="42"/>
      <c r="AL221" s="42"/>
      <c r="AM221" s="42"/>
      <c r="AN221" s="42"/>
      <c r="AO221" s="42"/>
      <c r="AP221" s="42"/>
      <c r="AQ221" s="42"/>
      <c r="AR221" s="42"/>
      <c r="AS221" s="42"/>
      <c r="AT221" s="42"/>
      <c r="AU221" s="42"/>
      <c r="AV221" s="42"/>
      <c r="AW221" s="42"/>
      <c r="AX221" s="42"/>
      <c r="AY221" s="42"/>
      <c r="AZ221" s="42"/>
      <c r="BA221" s="42"/>
      <c r="BB221" s="42"/>
      <c r="BC221" s="42"/>
      <c r="BD221" s="42"/>
      <c r="BE221" s="42"/>
      <c r="BF221" s="42"/>
      <c r="BG221" s="42"/>
      <c r="BH221" s="42"/>
      <c r="BI221" s="42"/>
      <c r="BJ221" s="42"/>
      <c r="BK221" s="42"/>
      <c r="BL221" s="42"/>
      <c r="BM221" s="42"/>
      <c r="BN221" s="42"/>
    </row>
    <row r="222" spans="1:66" ht="12.75" customHeight="1" x14ac:dyDescent="0.2">
      <c r="A222" s="5" t="s">
        <v>111</v>
      </c>
      <c r="B222" s="6">
        <f>_xll.ciqfunctions.udf.CIQ(InputTicker, "IQ_TOTAL_DEBT_ISSUED",Input!D$2,Date,,,Ccy,Conv)</f>
        <v>21079</v>
      </c>
      <c r="C222" s="6">
        <f>_xll.ciqfunctions.udf.CIQ(InputTicker, "IQ_TOTAL_DEBT_ISSUED",Input!E$2,Date,,,Ccy,Conv)</f>
        <v>44344</v>
      </c>
      <c r="D222" s="6">
        <f>_xll.ciqfunctions.udf.CIQ(InputTicker, "IQ_TOTAL_DEBT_ISSUED",Input!F$2,Date,,,Ccy,Conv)</f>
        <v>7183</v>
      </c>
      <c r="E222" s="6">
        <f>_xll.ciqfunctions.udf.CIQ(InputTicker, "IQ_TOTAL_DEBT_ISSUED",Input!G$2,Date,,,Ccy,Conv)</f>
        <v>0</v>
      </c>
      <c r="F222" s="6">
        <f>_xll.ciqfunctions.udf.CIQ(InputTicker, "IQ_TOTAL_DEBT_ISSUED",Input!H$2,Date,,,Ccy,Conv)</f>
        <v>0</v>
      </c>
      <c r="G222" s="6">
        <f>_xll.ciqfunctions.udf.CIQ(InputTicker, "IQ_TOTAL_DEBT_ISSUED",Input!I$2,Date,,,Ccy,Conv)</f>
        <v>0</v>
      </c>
      <c r="H222" s="6">
        <f>_xll.ciqfunctions.udf.CIQ(InputTicker, "IQ_TOTAL_DEBT_ISSUED",Input!J$2,Date,,,Ccy,Conv)</f>
        <v>0</v>
      </c>
      <c r="I222" s="6">
        <f>_xll.ciqfunctions.udf.CIQ(InputTicker, "IQ_TOTAL_DEBT_ISSUED",Input!K$2,Date,,,Ccy,Conv)</f>
        <v>0</v>
      </c>
      <c r="J222" s="6">
        <f>_xll.ciqfunctions.udf.CIQ(InputTicker, "IQ_TOTAL_DEBT_ISSUED",Input!L$2,Date,,,Ccy,Conv)</f>
        <v>29645</v>
      </c>
      <c r="K222" s="6">
        <f>_xll.ciqfunctions.udf.CIQ(InputTicker, "IQ_TOTAL_DEBT_ISSUED",Input!M$2,Date,,,Ccy,Conv)</f>
        <v>0</v>
      </c>
      <c r="L222" s="6">
        <f>_xll.ciqfunctions.udf.CIQ(InputTicker, "IQ_TOTAL_DEBT_ISSUED",Input!N$2,Date,,,Ccy,Conv)</f>
        <v>0</v>
      </c>
      <c r="M222" s="6">
        <f>_xll.ciqfunctions.udf.CIQ(InputTicker, "IQ_TOTAL_DEBT_ISSUED",Input!O$2,Date,,,Ccy,Conv)</f>
        <v>0</v>
      </c>
      <c r="N222" s="42"/>
      <c r="T222" s="42"/>
      <c r="U222" s="42"/>
      <c r="V222" s="42"/>
      <c r="W222" s="42"/>
      <c r="X222" s="42"/>
      <c r="Y222" s="42"/>
      <c r="Z222" s="42"/>
      <c r="AA222" s="42"/>
      <c r="AB222" s="42"/>
      <c r="AC222" s="42"/>
      <c r="AD222" s="42"/>
      <c r="AE222" s="42"/>
      <c r="AF222" s="42"/>
      <c r="AG222" s="42"/>
      <c r="AH222" s="42"/>
      <c r="AI222" s="42"/>
      <c r="AJ222" s="42"/>
      <c r="AK222" s="42"/>
      <c r="AL222" s="42"/>
      <c r="AM222" s="42"/>
      <c r="AN222" s="42"/>
      <c r="AO222" s="42"/>
      <c r="AP222" s="42"/>
      <c r="AQ222" s="42"/>
      <c r="AR222" s="42"/>
      <c r="AS222" s="42"/>
      <c r="AT222" s="42"/>
      <c r="AU222" s="42"/>
      <c r="AV222" s="42"/>
      <c r="AW222" s="42"/>
      <c r="AX222" s="42"/>
      <c r="AY222" s="42"/>
      <c r="AZ222" s="42"/>
      <c r="BA222" s="42"/>
      <c r="BB222" s="42"/>
      <c r="BC222" s="42"/>
      <c r="BD222" s="42"/>
      <c r="BE222" s="42"/>
      <c r="BF222" s="42"/>
      <c r="BG222" s="42"/>
      <c r="BH222" s="42"/>
      <c r="BI222" s="42"/>
      <c r="BJ222" s="42"/>
      <c r="BK222" s="42"/>
      <c r="BL222" s="42"/>
      <c r="BM222" s="42"/>
      <c r="BN222" s="42"/>
    </row>
    <row r="223" spans="1:66" ht="12.75" customHeight="1" x14ac:dyDescent="0.2">
      <c r="A223" s="1" t="s">
        <v>112</v>
      </c>
      <c r="B223" s="4">
        <f>_xll.ciqfunctions.udf.CIQ(InputTicker, "IQ_ST_DEBT_REPAID",Input!D$2,Date,,,Ccy,Conv)</f>
        <v>0</v>
      </c>
      <c r="C223" s="4">
        <f>_xll.ciqfunctions.udf.CIQ(InputTicker, "IQ_ST_DEBT_REPAID",Input!E$2,Date,,,Ccy,Conv)</f>
        <v>-4963</v>
      </c>
      <c r="D223" s="4">
        <f>_xll.ciqfunctions.udf.CIQ(InputTicker, "IQ_ST_DEBT_REPAID",Input!F$2,Date,,,Ccy,Conv)</f>
        <v>-7324</v>
      </c>
      <c r="E223" s="4">
        <f>_xll.ciqfunctions.udf.CIQ(InputTicker, "IQ_ST_DEBT_REPAID",Input!G$2,Date,,,Ccy,Conv)</f>
        <v>0</v>
      </c>
      <c r="F223" s="4">
        <f>_xll.ciqfunctions.udf.CIQ(InputTicker, "IQ_ST_DEBT_REPAID",Input!H$2,Date,,,Ccy,Conv)</f>
        <v>0</v>
      </c>
      <c r="G223" s="4">
        <f>_xll.ciqfunctions.udf.CIQ(InputTicker, "IQ_ST_DEBT_REPAID",Input!I$2,Date,,,Ccy,Conv)</f>
        <v>0</v>
      </c>
      <c r="H223" s="4">
        <f>_xll.ciqfunctions.udf.CIQ(InputTicker, "IQ_ST_DEBT_REPAID",Input!J$2,Date,,,Ccy,Conv)</f>
        <v>0</v>
      </c>
      <c r="I223" s="4">
        <f>_xll.ciqfunctions.udf.CIQ(InputTicker, "IQ_ST_DEBT_REPAID",Input!K$2,Date,,,Ccy,Conv)</f>
        <v>0</v>
      </c>
      <c r="J223" s="4">
        <f>_xll.ciqfunctions.udf.CIQ(InputTicker, "IQ_ST_DEBT_REPAID",Input!L$2,Date,,,Ccy,Conv)</f>
        <v>0</v>
      </c>
      <c r="K223" s="4">
        <f>_xll.ciqfunctions.udf.CIQ(InputTicker, "IQ_ST_DEBT_REPAID",Input!M$2,Date,,,Ccy,Conv)</f>
        <v>-5746</v>
      </c>
      <c r="L223" s="4">
        <f>_xll.ciqfunctions.udf.CIQ(InputTicker, "IQ_ST_DEBT_REPAID",Input!N$2,Date,,,Ccy,Conv)</f>
        <v>0</v>
      </c>
      <c r="M223" s="4">
        <f>_xll.ciqfunctions.udf.CIQ(InputTicker, "IQ_ST_DEBT_REPAID",Input!O$2,Date,,,Ccy,Conv)</f>
        <v>0</v>
      </c>
      <c r="N223" s="42"/>
      <c r="T223" s="42"/>
      <c r="U223" s="42"/>
      <c r="V223" s="42"/>
      <c r="W223" s="42"/>
      <c r="X223" s="42"/>
      <c r="Y223" s="42"/>
      <c r="Z223" s="42"/>
      <c r="AA223" s="42"/>
      <c r="AB223" s="42"/>
      <c r="AC223" s="42"/>
      <c r="AD223" s="42"/>
      <c r="AE223" s="42"/>
      <c r="AF223" s="42"/>
      <c r="AG223" s="42"/>
      <c r="AH223" s="42"/>
      <c r="AI223" s="42"/>
      <c r="AJ223" s="42"/>
      <c r="AK223" s="42"/>
      <c r="AL223" s="42"/>
      <c r="AM223" s="42"/>
      <c r="AN223" s="42"/>
      <c r="AO223" s="42"/>
      <c r="AP223" s="42"/>
      <c r="AQ223" s="42"/>
      <c r="AR223" s="42"/>
      <c r="AS223" s="42"/>
      <c r="AT223" s="42"/>
      <c r="AU223" s="42"/>
      <c r="AV223" s="42"/>
      <c r="AW223" s="42"/>
      <c r="AX223" s="42"/>
      <c r="AY223" s="42"/>
      <c r="AZ223" s="42"/>
      <c r="BA223" s="42"/>
      <c r="BB223" s="42"/>
      <c r="BC223" s="42"/>
      <c r="BD223" s="42"/>
      <c r="BE223" s="42"/>
      <c r="BF223" s="42"/>
      <c r="BG223" s="42"/>
      <c r="BH223" s="42"/>
      <c r="BI223" s="42"/>
      <c r="BJ223" s="42"/>
      <c r="BK223" s="42"/>
      <c r="BL223" s="42"/>
      <c r="BM223" s="42"/>
      <c r="BN223" s="42"/>
    </row>
    <row r="224" spans="1:66" ht="12.75" customHeight="1" x14ac:dyDescent="0.2">
      <c r="A224" s="1" t="s">
        <v>113</v>
      </c>
      <c r="B224" s="4">
        <f>_xll.ciqfunctions.udf.CIQ(InputTicker, "IQ_LT_DEBT_REPAID",Input!D$2,Date,,,Ccy,Conv)</f>
        <v>-2796</v>
      </c>
      <c r="C224" s="4">
        <f>_xll.ciqfunctions.udf.CIQ(InputTicker, "IQ_LT_DEBT_REPAID",Input!E$2,Date,,,Ccy,Conv)</f>
        <v>-7922</v>
      </c>
      <c r="D224" s="4">
        <f>_xll.ciqfunctions.udf.CIQ(InputTicker, "IQ_LT_DEBT_REPAID",Input!F$2,Date,,,Ccy,Conv)</f>
        <v>-10060</v>
      </c>
      <c r="E224" s="4">
        <f>_xll.ciqfunctions.udf.CIQ(InputTicker, "IQ_LT_DEBT_REPAID",Input!G$2,Date,,,Ccy,Conv)</f>
        <v>-4000</v>
      </c>
      <c r="F224" s="4">
        <f>_xll.ciqfunctions.udf.CIQ(InputTicker, "IQ_LT_DEBT_REPAID",Input!H$2,Date,,,Ccy,Conv)</f>
        <v>-5518</v>
      </c>
      <c r="G224" s="4">
        <f>_xll.ciqfunctions.udf.CIQ(InputTicker, "IQ_LT_DEBT_REPAID",Input!I$2,Date,,,Ccy,Conv)</f>
        <v>-3750</v>
      </c>
      <c r="H224" s="4">
        <f>_xll.ciqfunctions.udf.CIQ(InputTicker, "IQ_LT_DEBT_REPAID",Input!J$2,Date,,,Ccy,Conv)</f>
        <v>-9023</v>
      </c>
      <c r="I224" s="4">
        <f>_xll.ciqfunctions.udf.CIQ(InputTicker, "IQ_LT_DEBT_REPAID",Input!K$2,Date,,,Ccy,Conv)</f>
        <v>-2750</v>
      </c>
      <c r="J224" s="4">
        <f>_xll.ciqfunctions.udf.CIQ(InputTicker, "IQ_LT_DEBT_REPAID",Input!L$2,Date,,,Ccy,Conv)</f>
        <v>-29070</v>
      </c>
      <c r="K224" s="4">
        <f>_xll.ciqfunctions.udf.CIQ(InputTicker, "IQ_LT_DEBT_REPAID",Input!M$2,Date,,,Ccy,Conv)</f>
        <v>-3216</v>
      </c>
      <c r="L224" s="4">
        <f>_xll.ciqfunctions.udf.CIQ(InputTicker, "IQ_LT_DEBT_REPAID",Input!N$2,Date,,,Ccy,Conv)</f>
        <v>-3000</v>
      </c>
      <c r="M224" s="4">
        <f>_xll.ciqfunctions.udf.CIQ(InputTicker, "IQ_LT_DEBT_REPAID",Input!O$2,Date,,,Ccy,Conv)</f>
        <v>-3000</v>
      </c>
      <c r="N224" s="42"/>
      <c r="T224" s="42"/>
      <c r="U224" s="42"/>
      <c r="V224" s="42"/>
      <c r="W224" s="42"/>
      <c r="X224" s="42"/>
      <c r="Y224" s="42"/>
      <c r="Z224" s="42"/>
      <c r="AA224" s="42"/>
      <c r="AB224" s="42"/>
      <c r="AC224" s="42"/>
      <c r="AD224" s="42"/>
      <c r="AE224" s="42"/>
      <c r="AF224" s="42"/>
      <c r="AG224" s="42"/>
      <c r="AH224" s="42"/>
      <c r="AI224" s="42"/>
      <c r="AJ224" s="42"/>
      <c r="AK224" s="42"/>
      <c r="AL224" s="42"/>
      <c r="AM224" s="42"/>
      <c r="AN224" s="42"/>
      <c r="AO224" s="42"/>
      <c r="AP224" s="42"/>
      <c r="AQ224" s="42"/>
      <c r="AR224" s="42"/>
      <c r="AS224" s="42"/>
      <c r="AT224" s="42"/>
      <c r="AU224" s="42"/>
      <c r="AV224" s="42"/>
      <c r="AW224" s="42"/>
      <c r="AX224" s="42"/>
      <c r="AY224" s="42"/>
      <c r="AZ224" s="42"/>
      <c r="BA224" s="42"/>
      <c r="BB224" s="42"/>
      <c r="BC224" s="42"/>
      <c r="BD224" s="42"/>
      <c r="BE224" s="42"/>
      <c r="BF224" s="42"/>
      <c r="BG224" s="42"/>
      <c r="BH224" s="42"/>
      <c r="BI224" s="42"/>
      <c r="BJ224" s="42"/>
      <c r="BK224" s="42"/>
      <c r="BL224" s="42"/>
      <c r="BM224" s="42"/>
      <c r="BN224" s="42"/>
    </row>
    <row r="225" spans="1:66" ht="12.75" customHeight="1" x14ac:dyDescent="0.2">
      <c r="A225" s="5" t="s">
        <v>114</v>
      </c>
      <c r="B225" s="6">
        <f>_xll.ciqfunctions.udf.CIQ(InputTicker, "IQ_TOTAL_DEBT_REPAID",Input!D$2,Date,,,Ccy,Conv)</f>
        <v>-2796</v>
      </c>
      <c r="C225" s="6">
        <f>_xll.ciqfunctions.udf.CIQ(InputTicker, "IQ_TOTAL_DEBT_REPAID",Input!E$2,Date,,,Ccy,Conv)</f>
        <v>-12885</v>
      </c>
      <c r="D225" s="6">
        <f>_xll.ciqfunctions.udf.CIQ(InputTicker, "IQ_TOTAL_DEBT_REPAID",Input!F$2,Date,,,Ccy,Conv)</f>
        <v>-17384</v>
      </c>
      <c r="E225" s="6">
        <f>_xll.ciqfunctions.udf.CIQ(InputTicker, "IQ_TOTAL_DEBT_REPAID",Input!G$2,Date,,,Ccy,Conv)</f>
        <v>-4000</v>
      </c>
      <c r="F225" s="6">
        <f>_xll.ciqfunctions.udf.CIQ(InputTicker, "IQ_TOTAL_DEBT_REPAID",Input!H$2,Date,,,Ccy,Conv)</f>
        <v>-5518</v>
      </c>
      <c r="G225" s="6">
        <f>_xll.ciqfunctions.udf.CIQ(InputTicker, "IQ_TOTAL_DEBT_REPAID",Input!I$2,Date,,,Ccy,Conv)</f>
        <v>-3750</v>
      </c>
      <c r="H225" s="6">
        <f>_xll.ciqfunctions.udf.CIQ(InputTicker, "IQ_TOTAL_DEBT_REPAID",Input!J$2,Date,,,Ccy,Conv)</f>
        <v>-9023</v>
      </c>
      <c r="I225" s="6">
        <f>_xll.ciqfunctions.udf.CIQ(InputTicker, "IQ_TOTAL_DEBT_REPAID",Input!K$2,Date,,,Ccy,Conv)</f>
        <v>-2750</v>
      </c>
      <c r="J225" s="6">
        <f>_xll.ciqfunctions.udf.CIQ(InputTicker, "IQ_TOTAL_DEBT_REPAID",Input!L$2,Date,,,Ccy,Conv)</f>
        <v>-29070</v>
      </c>
      <c r="K225" s="6">
        <f>_xll.ciqfunctions.udf.CIQ(InputTicker, "IQ_TOTAL_DEBT_REPAID",Input!M$2,Date,,,Ccy,Conv)</f>
        <v>-8962</v>
      </c>
      <c r="L225" s="6">
        <f>_xll.ciqfunctions.udf.CIQ(InputTicker, "IQ_TOTAL_DEBT_REPAID",Input!N$2,Date,,,Ccy,Conv)</f>
        <v>-3000</v>
      </c>
      <c r="M225" s="6">
        <f>_xll.ciqfunctions.udf.CIQ(InputTicker, "IQ_TOTAL_DEBT_REPAID",Input!O$2,Date,,,Ccy,Conv)</f>
        <v>-3000</v>
      </c>
      <c r="N225" s="42"/>
      <c r="T225" s="42"/>
      <c r="U225" s="42"/>
      <c r="V225" s="42"/>
      <c r="W225" s="42"/>
      <c r="X225" s="42"/>
      <c r="Y225" s="42"/>
      <c r="Z225" s="42"/>
      <c r="AA225" s="42"/>
      <c r="AB225" s="42"/>
      <c r="AC225" s="42"/>
      <c r="AD225" s="42"/>
      <c r="AE225" s="42"/>
      <c r="AF225" s="42"/>
      <c r="AG225" s="42"/>
      <c r="AH225" s="42"/>
      <c r="AI225" s="42"/>
      <c r="AJ225" s="42"/>
      <c r="AK225" s="42"/>
      <c r="AL225" s="42"/>
      <c r="AM225" s="42"/>
      <c r="AN225" s="42"/>
      <c r="AO225" s="42"/>
      <c r="AP225" s="42"/>
      <c r="AQ225" s="42"/>
      <c r="AR225" s="42"/>
      <c r="AS225" s="42"/>
      <c r="AT225" s="42"/>
      <c r="AU225" s="42"/>
      <c r="AV225" s="42"/>
      <c r="AW225" s="42"/>
      <c r="AX225" s="42"/>
      <c r="AY225" s="42"/>
      <c r="AZ225" s="42"/>
      <c r="BA225" s="42"/>
      <c r="BB225" s="42"/>
      <c r="BC225" s="42"/>
      <c r="BD225" s="42"/>
      <c r="BE225" s="42"/>
      <c r="BF225" s="42"/>
      <c r="BG225" s="42"/>
      <c r="BH225" s="42"/>
      <c r="BI225" s="42"/>
      <c r="BJ225" s="42"/>
      <c r="BK225" s="42"/>
      <c r="BL225" s="42"/>
      <c r="BM225" s="42"/>
      <c r="BN225" s="42"/>
    </row>
    <row r="226" spans="1:66" ht="12.75" customHeight="1" x14ac:dyDescent="0.2">
      <c r="A226" s="1" t="s">
        <v>115</v>
      </c>
      <c r="B226" s="4">
        <f>_xll.ciqfunctions.udf.CIQ(InputTicker, "IQ_COMMON_ISSUED",Input!D$2,Date,,,Ccy,Conv)</f>
        <v>668</v>
      </c>
      <c r="C226" s="4">
        <f>_xll.ciqfunctions.udf.CIQ(InputTicker, "IQ_COMMON_ISSUED",Input!E$2,Date,,,Ccy,Conv)</f>
        <v>772</v>
      </c>
      <c r="D226" s="4">
        <f>_xll.ciqfunctions.udf.CIQ(InputTicker, "IQ_COMMON_ISSUED",Input!F$2,Date,,,Ccy,Conv)</f>
        <v>1002</v>
      </c>
      <c r="E226" s="4">
        <f>_xll.ciqfunctions.udf.CIQ(InputTicker, "IQ_COMMON_ISSUED",Input!G$2,Date,,,Ccy,Conv)</f>
        <v>1142</v>
      </c>
      <c r="F226" s="4">
        <f>_xll.ciqfunctions.udf.CIQ(InputTicker, "IQ_COMMON_ISSUED",Input!H$2,Date,,,Ccy,Conv)</f>
        <v>1343</v>
      </c>
      <c r="G226" s="4">
        <f>_xll.ciqfunctions.udf.CIQ(InputTicker, "IQ_COMMON_ISSUED",Input!I$2,Date,,,Ccy,Conv)</f>
        <v>1693</v>
      </c>
      <c r="H226" s="4">
        <f>_xll.ciqfunctions.udf.CIQ(InputTicker, "IQ_COMMON_ISSUED",Input!J$2,Date,,,Ccy,Conv)</f>
        <v>1841</v>
      </c>
      <c r="I226" s="4">
        <f>_xll.ciqfunctions.udf.CIQ(InputTicker, "IQ_COMMON_ISSUED",Input!K$2,Date,,,Ccy,Conv)</f>
        <v>1866</v>
      </c>
      <c r="J226" s="4">
        <f>_xll.ciqfunctions.udf.CIQ(InputTicker, "IQ_COMMON_ISSUED",Input!L$2,Date,,,Ccy,Conv)</f>
        <v>2002</v>
      </c>
      <c r="K226" s="4">
        <f>_xll.ciqfunctions.udf.CIQ(InputTicker, "IQ_COMMON_ISSUED",Input!M$2,Date,,,Ccy,Conv)</f>
        <v>2056</v>
      </c>
      <c r="L226" s="4">
        <f>_xll.ciqfunctions.udf.CIQ(InputTicker, "IQ_COMMON_ISSUED",Input!N$2,Date,,,Ccy,Conv)</f>
        <v>2009</v>
      </c>
      <c r="M226" s="4">
        <f>_xll.ciqfunctions.udf.CIQ(InputTicker, "IQ_COMMON_ISSUED",Input!O$2,Date,,,Ccy,Conv)</f>
        <v>2009</v>
      </c>
      <c r="N226" s="42"/>
      <c r="T226" s="42"/>
      <c r="U226" s="42"/>
      <c r="V226" s="42"/>
      <c r="W226" s="42"/>
      <c r="X226" s="42"/>
      <c r="Y226" s="42"/>
      <c r="Z226" s="42"/>
      <c r="AA226" s="42"/>
      <c r="AB226" s="42"/>
      <c r="AC226" s="42"/>
      <c r="AD226" s="42"/>
      <c r="AE226" s="42"/>
      <c r="AF226" s="42"/>
      <c r="AG226" s="42"/>
      <c r="AH226" s="42"/>
      <c r="AI226" s="42"/>
      <c r="AJ226" s="42"/>
      <c r="AK226" s="42"/>
      <c r="AL226" s="42"/>
      <c r="AM226" s="42"/>
      <c r="AN226" s="42"/>
      <c r="AO226" s="42"/>
      <c r="AP226" s="42"/>
      <c r="AQ226" s="42"/>
      <c r="AR226" s="42"/>
      <c r="AS226" s="42"/>
      <c r="AT226" s="42"/>
      <c r="AU226" s="42"/>
      <c r="AV226" s="42"/>
      <c r="AW226" s="42"/>
      <c r="AX226" s="42"/>
      <c r="AY226" s="42"/>
      <c r="AZ226" s="42"/>
      <c r="BA226" s="42"/>
      <c r="BB226" s="42"/>
      <c r="BC226" s="42"/>
      <c r="BD226" s="42"/>
      <c r="BE226" s="42"/>
      <c r="BF226" s="42"/>
      <c r="BG226" s="42"/>
      <c r="BH226" s="42"/>
      <c r="BI226" s="42"/>
      <c r="BJ226" s="42"/>
      <c r="BK226" s="42"/>
      <c r="BL226" s="42"/>
      <c r="BM226" s="42"/>
      <c r="BN226" s="42"/>
    </row>
    <row r="227" spans="1:66" ht="12.75" customHeight="1" x14ac:dyDescent="0.2">
      <c r="A227" s="1" t="s">
        <v>116</v>
      </c>
      <c r="B227" s="4">
        <f>_xll.ciqfunctions.udf.CIQ(InputTicker, "IQ_COMMON_REP",Input!D$2,Date,,,Ccy,Conv)</f>
        <v>-15969</v>
      </c>
      <c r="C227" s="4">
        <f>_xll.ciqfunctions.udf.CIQ(InputTicker, "IQ_COMMON_REP",Input!E$2,Date,,,Ccy,Conv)</f>
        <v>-11788</v>
      </c>
      <c r="D227" s="4">
        <f>_xll.ciqfunctions.udf.CIQ(InputTicker, "IQ_COMMON_REP",Input!F$2,Date,,,Ccy,Conv)</f>
        <v>-10721</v>
      </c>
      <c r="E227" s="4">
        <f>_xll.ciqfunctions.udf.CIQ(InputTicker, "IQ_COMMON_REP",Input!G$2,Date,,,Ccy,Conv)</f>
        <v>-19543</v>
      </c>
      <c r="F227" s="4">
        <f>_xll.ciqfunctions.udf.CIQ(InputTicker, "IQ_COMMON_REP",Input!H$2,Date,,,Ccy,Conv)</f>
        <v>-22968</v>
      </c>
      <c r="G227" s="4">
        <f>_xll.ciqfunctions.udf.CIQ(InputTicker, "IQ_COMMON_REP",Input!I$2,Date,,,Ccy,Conv)</f>
        <v>-27385</v>
      </c>
      <c r="H227" s="4">
        <f>_xll.ciqfunctions.udf.CIQ(InputTicker, "IQ_COMMON_REP",Input!J$2,Date,,,Ccy,Conv)</f>
        <v>-32696</v>
      </c>
      <c r="I227" s="4">
        <f>_xll.ciqfunctions.udf.CIQ(InputTicker, "IQ_COMMON_REP",Input!K$2,Date,,,Ccy,Conv)</f>
        <v>-22245</v>
      </c>
      <c r="J227" s="4">
        <f>_xll.ciqfunctions.udf.CIQ(InputTicker, "IQ_COMMON_REP",Input!L$2,Date,,,Ccy,Conv)</f>
        <v>-17254</v>
      </c>
      <c r="K227" s="4">
        <f>_xll.ciqfunctions.udf.CIQ(InputTicker, "IQ_COMMON_REP",Input!M$2,Date,,,Ccy,Conv)</f>
        <v>-18420</v>
      </c>
      <c r="L227" s="4">
        <f>_xll.ciqfunctions.udf.CIQ(InputTicker, "IQ_COMMON_REP",Input!N$2,Date,,,Ccy,Conv)</f>
        <v>-22271</v>
      </c>
      <c r="M227" s="4">
        <f>_xll.ciqfunctions.udf.CIQ(InputTicker, "IQ_COMMON_REP",Input!O$2,Date,,,Ccy,Conv)</f>
        <v>-22271</v>
      </c>
      <c r="N227" s="42"/>
      <c r="T227" s="42"/>
      <c r="U227" s="42"/>
      <c r="V227" s="42"/>
      <c r="W227" s="42"/>
      <c r="X227" s="42"/>
      <c r="Y227" s="42"/>
      <c r="Z227" s="42"/>
      <c r="AA227" s="42"/>
      <c r="AB227" s="42"/>
      <c r="AC227" s="42"/>
      <c r="AD227" s="42"/>
      <c r="AE227" s="42"/>
      <c r="AF227" s="42"/>
      <c r="AG227" s="42"/>
      <c r="AH227" s="42"/>
      <c r="AI227" s="42"/>
      <c r="AJ227" s="42"/>
      <c r="AK227" s="42"/>
      <c r="AL227" s="42"/>
      <c r="AM227" s="42"/>
      <c r="AN227" s="42"/>
      <c r="AO227" s="42"/>
      <c r="AP227" s="42"/>
      <c r="AQ227" s="42"/>
      <c r="AR227" s="42"/>
      <c r="AS227" s="42"/>
      <c r="AT227" s="42"/>
      <c r="AU227" s="42"/>
      <c r="AV227" s="42"/>
      <c r="AW227" s="42"/>
      <c r="AX227" s="42"/>
      <c r="AY227" s="42"/>
      <c r="AZ227" s="42"/>
      <c r="BA227" s="42"/>
      <c r="BB227" s="42"/>
      <c r="BC227" s="42"/>
      <c r="BD227" s="42"/>
      <c r="BE227" s="42"/>
      <c r="BF227" s="42"/>
      <c r="BG227" s="42"/>
      <c r="BH227" s="42"/>
      <c r="BI227" s="42"/>
      <c r="BJ227" s="42"/>
      <c r="BK227" s="42"/>
      <c r="BL227" s="42"/>
      <c r="BM227" s="42"/>
      <c r="BN227" s="42"/>
    </row>
    <row r="228" spans="1:66" ht="12.75" customHeight="1" x14ac:dyDescent="0.2">
      <c r="A228" s="1" t="s">
        <v>117</v>
      </c>
      <c r="B228" s="4">
        <f>_xll.ciqfunctions.udf.CIQ(InputTicker, "IQ_PREF_ISSUED",Input!D$2,Date,,,Ccy,Conv)</f>
        <v>0</v>
      </c>
      <c r="C228" s="4">
        <f>_xll.ciqfunctions.udf.CIQ(InputTicker, "IQ_PREF_ISSUED",Input!E$2,Date,,,Ccy,Conv)</f>
        <v>0</v>
      </c>
      <c r="D228" s="4">
        <f>_xll.ciqfunctions.udf.CIQ(InputTicker, "IQ_PREF_ISSUED",Input!F$2,Date,,,Ccy,Conv)</f>
        <v>0</v>
      </c>
      <c r="E228" s="4">
        <f>_xll.ciqfunctions.udf.CIQ(InputTicker, "IQ_PREF_ISSUED",Input!G$2,Date,,,Ccy,Conv)</f>
        <v>0</v>
      </c>
      <c r="F228" s="4">
        <f>_xll.ciqfunctions.udf.CIQ(InputTicker, "IQ_PREF_ISSUED",Input!H$2,Date,,,Ccy,Conv)</f>
        <v>0</v>
      </c>
      <c r="G228" s="4">
        <f>_xll.ciqfunctions.udf.CIQ(InputTicker, "IQ_PREF_ISSUED",Input!I$2,Date,,,Ccy,Conv)</f>
        <v>0</v>
      </c>
      <c r="H228" s="4">
        <f>_xll.ciqfunctions.udf.CIQ(InputTicker, "IQ_PREF_ISSUED",Input!J$2,Date,,,Ccy,Conv)</f>
        <v>0</v>
      </c>
      <c r="I228" s="4">
        <f>_xll.ciqfunctions.udf.CIQ(InputTicker, "IQ_PREF_ISSUED",Input!K$2,Date,,,Ccy,Conv)</f>
        <v>0</v>
      </c>
      <c r="J228" s="4">
        <f>_xll.ciqfunctions.udf.CIQ(InputTicker, "IQ_PREF_ISSUED",Input!L$2,Date,,,Ccy,Conv)</f>
        <v>0</v>
      </c>
      <c r="K228" s="4">
        <f>_xll.ciqfunctions.udf.CIQ(InputTicker, "IQ_PREF_ISSUED",Input!M$2,Date,,,Ccy,Conv)</f>
        <v>0</v>
      </c>
      <c r="L228" s="4">
        <f>_xll.ciqfunctions.udf.CIQ(InputTicker, "IQ_PREF_ISSUED",Input!N$2,Date,,,Ccy,Conv)</f>
        <v>0</v>
      </c>
      <c r="M228" s="4">
        <f>_xll.ciqfunctions.udf.CIQ(InputTicker, "IQ_PREF_ISSUED",Input!O$2,Date,,,Ccy,Conv)</f>
        <v>0</v>
      </c>
      <c r="N228" s="42"/>
      <c r="T228" s="42"/>
      <c r="U228" s="42"/>
      <c r="V228" s="42"/>
      <c r="W228" s="42"/>
      <c r="X228" s="42"/>
      <c r="Y228" s="42"/>
      <c r="Z228" s="42"/>
      <c r="AA228" s="42"/>
      <c r="AB228" s="42"/>
      <c r="AC228" s="42"/>
      <c r="AD228" s="42"/>
      <c r="AE228" s="42"/>
      <c r="AF228" s="42"/>
      <c r="AG228" s="42"/>
      <c r="AH228" s="42"/>
      <c r="AI228" s="42"/>
      <c r="AJ228" s="42"/>
      <c r="AK228" s="42"/>
      <c r="AL228" s="42"/>
      <c r="AM228" s="42"/>
      <c r="AN228" s="42"/>
      <c r="AO228" s="42"/>
      <c r="AP228" s="42"/>
      <c r="AQ228" s="42"/>
      <c r="AR228" s="42"/>
      <c r="AS228" s="42"/>
      <c r="AT228" s="42"/>
      <c r="AU228" s="42"/>
      <c r="AV228" s="42"/>
      <c r="AW228" s="42"/>
      <c r="AX228" s="42"/>
      <c r="AY228" s="42"/>
      <c r="AZ228" s="42"/>
      <c r="BA228" s="42"/>
      <c r="BB228" s="42"/>
      <c r="BC228" s="42"/>
      <c r="BD228" s="42"/>
      <c r="BE228" s="42"/>
      <c r="BF228" s="42"/>
      <c r="BG228" s="42"/>
      <c r="BH228" s="42"/>
      <c r="BI228" s="42"/>
      <c r="BJ228" s="42"/>
      <c r="BK228" s="42"/>
      <c r="BL228" s="42"/>
      <c r="BM228" s="42"/>
      <c r="BN228" s="42"/>
    </row>
    <row r="229" spans="1:66" ht="12.75" customHeight="1" x14ac:dyDescent="0.2">
      <c r="A229" s="1" t="s">
        <v>118</v>
      </c>
      <c r="B229" s="4">
        <f>_xll.ciqfunctions.udf.CIQ(InputTicker, "IQ_PREF_REP",Input!D$2,Date,,,Ccy,Conv)</f>
        <v>0</v>
      </c>
      <c r="C229" s="4">
        <f>_xll.ciqfunctions.udf.CIQ(InputTicker, "IQ_PREF_REP",Input!E$2,Date,,,Ccy,Conv)</f>
        <v>0</v>
      </c>
      <c r="D229" s="4">
        <f>_xll.ciqfunctions.udf.CIQ(InputTicker, "IQ_PREF_REP",Input!F$2,Date,,,Ccy,Conv)</f>
        <v>0</v>
      </c>
      <c r="E229" s="4">
        <f>_xll.ciqfunctions.udf.CIQ(InputTicker, "IQ_PREF_REP",Input!G$2,Date,,,Ccy,Conv)</f>
        <v>0</v>
      </c>
      <c r="F229" s="4">
        <f>_xll.ciqfunctions.udf.CIQ(InputTicker, "IQ_PREF_REP",Input!H$2,Date,,,Ccy,Conv)</f>
        <v>0</v>
      </c>
      <c r="G229" s="4">
        <f>_xll.ciqfunctions.udf.CIQ(InputTicker, "IQ_PREF_REP",Input!I$2,Date,,,Ccy,Conv)</f>
        <v>0</v>
      </c>
      <c r="H229" s="4">
        <f>_xll.ciqfunctions.udf.CIQ(InputTicker, "IQ_PREF_REP",Input!J$2,Date,,,Ccy,Conv)</f>
        <v>0</v>
      </c>
      <c r="I229" s="4">
        <f>_xll.ciqfunctions.udf.CIQ(InputTicker, "IQ_PREF_REP",Input!K$2,Date,,,Ccy,Conv)</f>
        <v>0</v>
      </c>
      <c r="J229" s="4">
        <f>_xll.ciqfunctions.udf.CIQ(InputTicker, "IQ_PREF_REP",Input!L$2,Date,,,Ccy,Conv)</f>
        <v>0</v>
      </c>
      <c r="K229" s="4">
        <f>_xll.ciqfunctions.udf.CIQ(InputTicker, "IQ_PREF_REP",Input!M$2,Date,,,Ccy,Conv)</f>
        <v>0</v>
      </c>
      <c r="L229" s="4">
        <f>_xll.ciqfunctions.udf.CIQ(InputTicker, "IQ_PREF_REP",Input!N$2,Date,,,Ccy,Conv)</f>
        <v>0</v>
      </c>
      <c r="M229" s="4">
        <f>_xll.ciqfunctions.udf.CIQ(InputTicker, "IQ_PREF_REP",Input!O$2,Date,,,Ccy,Conv)</f>
        <v>0</v>
      </c>
      <c r="N229" s="42"/>
      <c r="T229" s="42"/>
      <c r="U229" s="42"/>
      <c r="V229" s="42"/>
      <c r="W229" s="42"/>
      <c r="X229" s="42"/>
      <c r="Y229" s="42"/>
      <c r="Z229" s="42"/>
      <c r="AA229" s="42"/>
      <c r="AB229" s="42"/>
      <c r="AC229" s="42"/>
      <c r="AD229" s="42"/>
      <c r="AE229" s="42"/>
      <c r="AF229" s="42"/>
      <c r="AG229" s="42"/>
      <c r="AH229" s="42"/>
      <c r="AI229" s="42"/>
      <c r="AJ229" s="42"/>
      <c r="AK229" s="42"/>
      <c r="AL229" s="42"/>
      <c r="AM229" s="42"/>
      <c r="AN229" s="42"/>
      <c r="AO229" s="42"/>
      <c r="AP229" s="42"/>
      <c r="AQ229" s="42"/>
      <c r="AR229" s="42"/>
      <c r="AS229" s="42"/>
      <c r="AT229" s="42"/>
      <c r="AU229" s="42"/>
      <c r="AV229" s="42"/>
      <c r="AW229" s="42"/>
      <c r="AX229" s="42"/>
      <c r="AY229" s="42"/>
      <c r="AZ229" s="42"/>
      <c r="BA229" s="42"/>
      <c r="BB229" s="42"/>
      <c r="BC229" s="42"/>
      <c r="BD229" s="42"/>
      <c r="BE229" s="42"/>
      <c r="BF229" s="42"/>
      <c r="BG229" s="42"/>
      <c r="BH229" s="42"/>
      <c r="BI229" s="42"/>
      <c r="BJ229" s="42"/>
      <c r="BK229" s="42"/>
      <c r="BL229" s="42"/>
      <c r="BM229" s="42"/>
      <c r="BN229" s="42"/>
    </row>
    <row r="230" spans="1:66" ht="12.75" customHeight="1" x14ac:dyDescent="0.2">
      <c r="A230" s="1" t="s">
        <v>151</v>
      </c>
      <c r="B230" s="4">
        <f>_xll.ciqfunctions.udf.CIQ(InputTicker, "IQ_COMMON_DIV_CF",Input!D$2,Date,,,Ccy,Conv)</f>
        <v>-11006</v>
      </c>
      <c r="C230" s="4">
        <f>_xll.ciqfunctions.udf.CIQ(InputTicker, "IQ_COMMON_DIV_CF",Input!E$2,Date,,,Ccy,Conv)</f>
        <v>-11845</v>
      </c>
      <c r="D230" s="4">
        <f>_xll.ciqfunctions.udf.CIQ(InputTicker, "IQ_COMMON_DIV_CF",Input!F$2,Date,,,Ccy,Conv)</f>
        <v>-12699</v>
      </c>
      <c r="E230" s="4">
        <f>_xll.ciqfunctions.udf.CIQ(InputTicker, "IQ_COMMON_DIV_CF",Input!G$2,Date,,,Ccy,Conv)</f>
        <v>-13811</v>
      </c>
      <c r="F230" s="4">
        <f>_xll.ciqfunctions.udf.CIQ(InputTicker, "IQ_COMMON_DIV_CF",Input!H$2,Date,,,Ccy,Conv)</f>
        <v>-15137</v>
      </c>
      <c r="G230" s="4">
        <f>_xll.ciqfunctions.udf.CIQ(InputTicker, "IQ_COMMON_DIV_CF",Input!I$2,Date,,,Ccy,Conv)</f>
        <v>-16521</v>
      </c>
      <c r="H230" s="4">
        <f>_xll.ciqfunctions.udf.CIQ(InputTicker, "IQ_COMMON_DIV_CF",Input!J$2,Date,,,Ccy,Conv)</f>
        <v>-18135</v>
      </c>
      <c r="I230" s="4">
        <f>_xll.ciqfunctions.udf.CIQ(InputTicker, "IQ_COMMON_DIV_CF",Input!K$2,Date,,,Ccy,Conv)</f>
        <v>-19800</v>
      </c>
      <c r="J230" s="4">
        <f>_xll.ciqfunctions.udf.CIQ(InputTicker, "IQ_COMMON_DIV_CF",Input!L$2,Date,,,Ccy,Conv)</f>
        <v>-21771</v>
      </c>
      <c r="K230" s="4">
        <f>_xll.ciqfunctions.udf.CIQ(InputTicker, "IQ_COMMON_DIV_CF",Input!M$2,Date,,,Ccy,Conv)</f>
        <v>-24082</v>
      </c>
      <c r="L230" s="4">
        <f>_xll.ciqfunctions.udf.CIQ(InputTicker, "IQ_COMMON_DIV_CF",Input!N$2,Date,,,Ccy,Conv)</f>
        <v>-26445</v>
      </c>
      <c r="M230" s="4">
        <f>_xll.ciqfunctions.udf.CIQ(InputTicker, "IQ_COMMON_DIV_CF",Input!O$2,Date,,,Ccy,Conv)</f>
        <v>-26445</v>
      </c>
      <c r="N230" s="42"/>
      <c r="T230" s="42"/>
      <c r="U230" s="42"/>
      <c r="V230" s="42"/>
      <c r="W230" s="42"/>
      <c r="X230" s="42"/>
      <c r="Y230" s="42"/>
      <c r="Z230" s="42"/>
      <c r="AA230" s="42"/>
      <c r="AB230" s="42"/>
      <c r="AC230" s="42"/>
      <c r="AD230" s="42"/>
      <c r="AE230" s="42"/>
      <c r="AF230" s="42"/>
      <c r="AG230" s="42"/>
      <c r="AH230" s="42"/>
      <c r="AI230" s="42"/>
      <c r="AJ230" s="42"/>
      <c r="AK230" s="42"/>
      <c r="AL230" s="42"/>
      <c r="AM230" s="42"/>
      <c r="AN230" s="42"/>
      <c r="AO230" s="42"/>
      <c r="AP230" s="42"/>
      <c r="AQ230" s="42"/>
      <c r="AR230" s="42"/>
      <c r="AS230" s="42"/>
      <c r="AT230" s="42"/>
      <c r="AU230" s="42"/>
      <c r="AV230" s="42"/>
      <c r="AW230" s="42"/>
      <c r="AX230" s="42"/>
      <c r="AY230" s="42"/>
      <c r="AZ230" s="42"/>
      <c r="BA230" s="42"/>
      <c r="BB230" s="42"/>
      <c r="BC230" s="42"/>
      <c r="BD230" s="42"/>
      <c r="BE230" s="42"/>
      <c r="BF230" s="42"/>
      <c r="BG230" s="42"/>
      <c r="BH230" s="42"/>
      <c r="BI230" s="42"/>
      <c r="BJ230" s="42"/>
      <c r="BK230" s="42"/>
      <c r="BL230" s="42"/>
      <c r="BM230" s="42"/>
      <c r="BN230" s="42"/>
    </row>
    <row r="231" spans="1:66" ht="12.75" customHeight="1" x14ac:dyDescent="0.2">
      <c r="A231" s="1" t="s">
        <v>152</v>
      </c>
      <c r="B231" s="4">
        <f>_xll.ciqfunctions.udf.CIQ(InputTicker, "IQ_PREF_DIV_CF",Input!D$2,Date,,,Ccy,Conv)</f>
        <v>0</v>
      </c>
      <c r="C231" s="4">
        <f>_xll.ciqfunctions.udf.CIQ(InputTicker, "IQ_PREF_DIV_CF",Input!E$2,Date,,,Ccy,Conv)</f>
        <v>0</v>
      </c>
      <c r="D231" s="4">
        <f>_xll.ciqfunctions.udf.CIQ(InputTicker, "IQ_PREF_DIV_CF",Input!F$2,Date,,,Ccy,Conv)</f>
        <v>0</v>
      </c>
      <c r="E231" s="4">
        <f>_xll.ciqfunctions.udf.CIQ(InputTicker, "IQ_PREF_DIV_CF",Input!G$2,Date,,,Ccy,Conv)</f>
        <v>0</v>
      </c>
      <c r="F231" s="4">
        <f>_xll.ciqfunctions.udf.CIQ(InputTicker, "IQ_PREF_DIV_CF",Input!H$2,Date,,,Ccy,Conv)</f>
        <v>0</v>
      </c>
      <c r="G231" s="4">
        <f>_xll.ciqfunctions.udf.CIQ(InputTicker, "IQ_PREF_DIV_CF",Input!I$2,Date,,,Ccy,Conv)</f>
        <v>0</v>
      </c>
      <c r="H231" s="4">
        <f>_xll.ciqfunctions.udf.CIQ(InputTicker, "IQ_PREF_DIV_CF",Input!J$2,Date,,,Ccy,Conv)</f>
        <v>0</v>
      </c>
      <c r="I231" s="4">
        <f>_xll.ciqfunctions.udf.CIQ(InputTicker, "IQ_PREF_DIV_CF",Input!K$2,Date,,,Ccy,Conv)</f>
        <v>0</v>
      </c>
      <c r="J231" s="4">
        <f>_xll.ciqfunctions.udf.CIQ(InputTicker, "IQ_PREF_DIV_CF",Input!L$2,Date,,,Ccy,Conv)</f>
        <v>0</v>
      </c>
      <c r="K231" s="4">
        <f>_xll.ciqfunctions.udf.CIQ(InputTicker, "IQ_PREF_DIV_CF",Input!M$2,Date,,,Ccy,Conv)</f>
        <v>0</v>
      </c>
      <c r="L231" s="4">
        <f>_xll.ciqfunctions.udf.CIQ(InputTicker, "IQ_PREF_DIV_CF",Input!N$2,Date,,,Ccy,Conv)</f>
        <v>0</v>
      </c>
      <c r="M231" s="4">
        <f>_xll.ciqfunctions.udf.CIQ(InputTicker, "IQ_PREF_DIV_CF",Input!O$2,Date,,,Ccy,Conv)</f>
        <v>0</v>
      </c>
      <c r="N231" s="42"/>
      <c r="T231" s="42"/>
      <c r="U231" s="42"/>
      <c r="V231" s="42"/>
      <c r="W231" s="42"/>
      <c r="X231" s="42"/>
      <c r="Y231" s="42"/>
      <c r="Z231" s="42"/>
      <c r="AA231" s="42"/>
      <c r="AB231" s="42"/>
      <c r="AC231" s="42"/>
      <c r="AD231" s="42"/>
      <c r="AE231" s="42"/>
      <c r="AF231" s="42"/>
      <c r="AG231" s="42"/>
      <c r="AH231" s="42"/>
      <c r="AI231" s="42"/>
      <c r="AJ231" s="42"/>
      <c r="AK231" s="42"/>
      <c r="AL231" s="42"/>
      <c r="AM231" s="42"/>
      <c r="AN231" s="42"/>
      <c r="AO231" s="42"/>
      <c r="AP231" s="42"/>
      <c r="AQ231" s="42"/>
      <c r="AR231" s="42"/>
      <c r="AS231" s="42"/>
      <c r="AT231" s="42"/>
      <c r="AU231" s="42"/>
      <c r="AV231" s="42"/>
      <c r="AW231" s="42"/>
      <c r="AX231" s="42"/>
      <c r="AY231" s="42"/>
      <c r="AZ231" s="42"/>
      <c r="BA231" s="42"/>
      <c r="BB231" s="42"/>
      <c r="BC231" s="42"/>
      <c r="BD231" s="42"/>
      <c r="BE231" s="42"/>
      <c r="BF231" s="42"/>
      <c r="BG231" s="42"/>
      <c r="BH231" s="42"/>
      <c r="BI231" s="42"/>
      <c r="BJ231" s="42"/>
      <c r="BK231" s="42"/>
      <c r="BL231" s="42"/>
      <c r="BM231" s="42"/>
      <c r="BN231" s="42"/>
    </row>
    <row r="232" spans="1:66" ht="12.75" customHeight="1" x14ac:dyDescent="0.2">
      <c r="A232" s="1" t="s">
        <v>153</v>
      </c>
      <c r="B232" s="4">
        <f>_xll.ciqfunctions.udf.CIQ(InputTicker, "IQ_COMMON_PREF_DIV_CF",Input!D$2,Date,,,Ccy,Conv)</f>
        <v>0</v>
      </c>
      <c r="C232" s="4">
        <f>_xll.ciqfunctions.udf.CIQ(InputTicker, "IQ_COMMON_PREF_DIV_CF",Input!E$2,Date,,,Ccy,Conv)</f>
        <v>0</v>
      </c>
      <c r="D232" s="4">
        <f>_xll.ciqfunctions.udf.CIQ(InputTicker, "IQ_COMMON_PREF_DIV_CF",Input!F$2,Date,,,Ccy,Conv)</f>
        <v>0</v>
      </c>
      <c r="E232" s="4">
        <f>_xll.ciqfunctions.udf.CIQ(InputTicker, "IQ_COMMON_PREF_DIV_CF",Input!G$2,Date,,,Ccy,Conv)</f>
        <v>0</v>
      </c>
      <c r="F232" s="4">
        <f>_xll.ciqfunctions.udf.CIQ(InputTicker, "IQ_COMMON_PREF_DIV_CF",Input!H$2,Date,,,Ccy,Conv)</f>
        <v>0</v>
      </c>
      <c r="G232" s="4">
        <f>_xll.ciqfunctions.udf.CIQ(InputTicker, "IQ_COMMON_PREF_DIV_CF",Input!I$2,Date,,,Ccy,Conv)</f>
        <v>0</v>
      </c>
      <c r="H232" s="4">
        <f>_xll.ciqfunctions.udf.CIQ(InputTicker, "IQ_COMMON_PREF_DIV_CF",Input!J$2,Date,,,Ccy,Conv)</f>
        <v>0</v>
      </c>
      <c r="I232" s="4">
        <f>_xll.ciqfunctions.udf.CIQ(InputTicker, "IQ_COMMON_PREF_DIV_CF",Input!K$2,Date,,,Ccy,Conv)</f>
        <v>0</v>
      </c>
      <c r="J232" s="4">
        <f>_xll.ciqfunctions.udf.CIQ(InputTicker, "IQ_COMMON_PREF_DIV_CF",Input!L$2,Date,,,Ccy,Conv)</f>
        <v>0</v>
      </c>
      <c r="K232" s="4">
        <f>_xll.ciqfunctions.udf.CIQ(InputTicker, "IQ_COMMON_PREF_DIV_CF",Input!M$2,Date,,,Ccy,Conv)</f>
        <v>0</v>
      </c>
      <c r="L232" s="4">
        <f>_xll.ciqfunctions.udf.CIQ(InputTicker, "IQ_COMMON_PREF_DIV_CF",Input!N$2,Date,,,Ccy,Conv)</f>
        <v>0</v>
      </c>
      <c r="M232" s="4">
        <f>_xll.ciqfunctions.udf.CIQ(InputTicker, "IQ_COMMON_PREF_DIV_CF",Input!O$2,Date,,,Ccy,Conv)</f>
        <v>0</v>
      </c>
      <c r="N232" s="42"/>
      <c r="T232" s="42"/>
      <c r="U232" s="42"/>
      <c r="V232" s="42"/>
      <c r="W232" s="42"/>
      <c r="X232" s="42"/>
      <c r="Y232" s="42"/>
      <c r="Z232" s="42"/>
      <c r="AA232" s="42"/>
      <c r="AB232" s="42"/>
      <c r="AC232" s="42"/>
      <c r="AD232" s="42"/>
      <c r="AE232" s="42"/>
      <c r="AF232" s="42"/>
      <c r="AG232" s="42"/>
      <c r="AH232" s="42"/>
      <c r="AI232" s="42"/>
      <c r="AJ232" s="42"/>
      <c r="AK232" s="42"/>
      <c r="AL232" s="42"/>
      <c r="AM232" s="42"/>
      <c r="AN232" s="42"/>
      <c r="AO232" s="42"/>
      <c r="AP232" s="42"/>
      <c r="AQ232" s="42"/>
      <c r="AR232" s="42"/>
      <c r="AS232" s="42"/>
      <c r="AT232" s="42"/>
      <c r="AU232" s="42"/>
      <c r="AV232" s="42"/>
      <c r="AW232" s="42"/>
      <c r="AX232" s="42"/>
      <c r="AY232" s="42"/>
      <c r="AZ232" s="42"/>
      <c r="BA232" s="42"/>
      <c r="BB232" s="42"/>
      <c r="BC232" s="42"/>
      <c r="BD232" s="42"/>
      <c r="BE232" s="42"/>
      <c r="BF232" s="42"/>
      <c r="BG232" s="42"/>
      <c r="BH232" s="42"/>
      <c r="BI232" s="42"/>
      <c r="BJ232" s="42"/>
      <c r="BK232" s="42"/>
      <c r="BL232" s="42"/>
      <c r="BM232" s="42"/>
      <c r="BN232" s="42"/>
    </row>
    <row r="233" spans="1:66" ht="12.75" customHeight="1" x14ac:dyDescent="0.2">
      <c r="A233" s="1" t="s">
        <v>119</v>
      </c>
      <c r="B233" s="6">
        <f>_xll.ciqfunctions.udf.CIQ(InputTicker, "IQ_TOTAL_DIV_PAID_CF",Input!D$2,Date,,,Ccy,Conv)</f>
        <v>-11006</v>
      </c>
      <c r="C233" s="6">
        <f>_xll.ciqfunctions.udf.CIQ(InputTicker, "IQ_TOTAL_DIV_PAID_CF",Input!E$2,Date,,,Ccy,Conv)</f>
        <v>-11845</v>
      </c>
      <c r="D233" s="6">
        <f>_xll.ciqfunctions.udf.CIQ(InputTicker, "IQ_TOTAL_DIV_PAID_CF",Input!F$2,Date,,,Ccy,Conv)</f>
        <v>-12699</v>
      </c>
      <c r="E233" s="6">
        <f>_xll.ciqfunctions.udf.CIQ(InputTicker, "IQ_TOTAL_DIV_PAID_CF",Input!G$2,Date,,,Ccy,Conv)</f>
        <v>-13811</v>
      </c>
      <c r="F233" s="6">
        <f>_xll.ciqfunctions.udf.CIQ(InputTicker, "IQ_TOTAL_DIV_PAID_CF",Input!H$2,Date,,,Ccy,Conv)</f>
        <v>-15137</v>
      </c>
      <c r="G233" s="6">
        <f>_xll.ciqfunctions.udf.CIQ(InputTicker, "IQ_TOTAL_DIV_PAID_CF",Input!I$2,Date,,,Ccy,Conv)</f>
        <v>-16521</v>
      </c>
      <c r="H233" s="6">
        <f>_xll.ciqfunctions.udf.CIQ(InputTicker, "IQ_TOTAL_DIV_PAID_CF",Input!J$2,Date,,,Ccy,Conv)</f>
        <v>-18135</v>
      </c>
      <c r="I233" s="6">
        <f>_xll.ciqfunctions.udf.CIQ(InputTicker, "IQ_TOTAL_DIV_PAID_CF",Input!K$2,Date,,,Ccy,Conv)</f>
        <v>-19800</v>
      </c>
      <c r="J233" s="6">
        <f>_xll.ciqfunctions.udf.CIQ(InputTicker, "IQ_TOTAL_DIV_PAID_CF",Input!L$2,Date,,,Ccy,Conv)</f>
        <v>-21771</v>
      </c>
      <c r="K233" s="6">
        <f>_xll.ciqfunctions.udf.CIQ(InputTicker, "IQ_TOTAL_DIV_PAID_CF",Input!M$2,Date,,,Ccy,Conv)</f>
        <v>-24082</v>
      </c>
      <c r="L233" s="6">
        <f>_xll.ciqfunctions.udf.CIQ(InputTicker, "IQ_TOTAL_DIV_PAID_CF",Input!N$2,Date,,,Ccy,Conv)</f>
        <v>-26445</v>
      </c>
      <c r="M233" s="6">
        <f>_xll.ciqfunctions.udf.CIQ(InputTicker, "IQ_TOTAL_DIV_PAID_CF",Input!O$2,Date,,,Ccy,Conv)</f>
        <v>-26445</v>
      </c>
      <c r="N233" s="42"/>
      <c r="T233" s="42"/>
      <c r="U233" s="42"/>
      <c r="V233" s="42"/>
      <c r="W233" s="42"/>
      <c r="X233" s="42"/>
      <c r="Y233" s="42"/>
      <c r="Z233" s="42"/>
      <c r="AA233" s="42"/>
      <c r="AB233" s="42"/>
      <c r="AC233" s="42"/>
      <c r="AD233" s="42"/>
      <c r="AE233" s="42"/>
      <c r="AF233" s="42"/>
      <c r="AG233" s="42"/>
      <c r="AH233" s="42"/>
      <c r="AI233" s="42"/>
      <c r="AJ233" s="42"/>
      <c r="AK233" s="42"/>
      <c r="AL233" s="42"/>
      <c r="AM233" s="42"/>
      <c r="AN233" s="42"/>
      <c r="AO233" s="42"/>
      <c r="AP233" s="42"/>
      <c r="AQ233" s="42"/>
      <c r="AR233" s="42"/>
      <c r="AS233" s="42"/>
      <c r="AT233" s="42"/>
      <c r="AU233" s="42"/>
      <c r="AV233" s="42"/>
      <c r="AW233" s="42"/>
      <c r="AX233" s="42"/>
      <c r="AY233" s="42"/>
      <c r="AZ233" s="42"/>
      <c r="BA233" s="42"/>
      <c r="BB233" s="42"/>
      <c r="BC233" s="42"/>
      <c r="BD233" s="42"/>
      <c r="BE233" s="42"/>
      <c r="BF233" s="42"/>
      <c r="BG233" s="42"/>
      <c r="BH233" s="42"/>
      <c r="BI233" s="42"/>
      <c r="BJ233" s="42"/>
      <c r="BK233" s="42"/>
      <c r="BL233" s="42"/>
      <c r="BM233" s="42"/>
      <c r="BN233" s="42"/>
    </row>
    <row r="234" spans="1:66" ht="12.75" customHeight="1" x14ac:dyDescent="0.2">
      <c r="A234" s="1" t="s">
        <v>154</v>
      </c>
      <c r="B234" s="4">
        <f>_xll.ciqfunctions.udf.CIQ(InputTicker, "IQ_SPECIAL_DIV_CF",Input!D$2,Date,,,Ccy,Conv)</f>
        <v>0</v>
      </c>
      <c r="C234" s="4">
        <f>_xll.ciqfunctions.udf.CIQ(InputTicker, "IQ_SPECIAL_DIV_CF",Input!E$2,Date,,,Ccy,Conv)</f>
        <v>0</v>
      </c>
      <c r="D234" s="4">
        <f>_xll.ciqfunctions.udf.CIQ(InputTicker, "IQ_SPECIAL_DIV_CF",Input!F$2,Date,,,Ccy,Conv)</f>
        <v>0</v>
      </c>
      <c r="E234" s="4">
        <f>_xll.ciqfunctions.udf.CIQ(InputTicker, "IQ_SPECIAL_DIV_CF",Input!G$2,Date,,,Ccy,Conv)</f>
        <v>0</v>
      </c>
      <c r="F234" s="4">
        <f>_xll.ciqfunctions.udf.CIQ(InputTicker, "IQ_SPECIAL_DIV_CF",Input!H$2,Date,,,Ccy,Conv)</f>
        <v>0</v>
      </c>
      <c r="G234" s="4">
        <f>_xll.ciqfunctions.udf.CIQ(InputTicker, "IQ_SPECIAL_DIV_CF",Input!I$2,Date,,,Ccy,Conv)</f>
        <v>0</v>
      </c>
      <c r="H234" s="4">
        <f>_xll.ciqfunctions.udf.CIQ(InputTicker, "IQ_SPECIAL_DIV_CF",Input!J$2,Date,,,Ccy,Conv)</f>
        <v>0</v>
      </c>
      <c r="I234" s="4">
        <f>_xll.ciqfunctions.udf.CIQ(InputTicker, "IQ_SPECIAL_DIV_CF",Input!K$2,Date,,,Ccy,Conv)</f>
        <v>0</v>
      </c>
      <c r="J234" s="4">
        <f>_xll.ciqfunctions.udf.CIQ(InputTicker, "IQ_SPECIAL_DIV_CF",Input!L$2,Date,,,Ccy,Conv)</f>
        <v>0</v>
      </c>
      <c r="K234" s="4">
        <f>_xll.ciqfunctions.udf.CIQ(InputTicker, "IQ_SPECIAL_DIV_CF",Input!M$2,Date,,,Ccy,Conv)</f>
        <v>0</v>
      </c>
      <c r="L234" s="4">
        <f>_xll.ciqfunctions.udf.CIQ(InputTicker, "IQ_SPECIAL_DIV_CF",Input!N$2,Date,,,Ccy,Conv)</f>
        <v>0</v>
      </c>
      <c r="M234" s="4">
        <f>_xll.ciqfunctions.udf.CIQ(InputTicker, "IQ_SPECIAL_DIV_CF",Input!O$2,Date,,,Ccy,Conv)</f>
        <v>0</v>
      </c>
      <c r="N234" s="42"/>
      <c r="T234" s="42"/>
      <c r="U234" s="42"/>
      <c r="V234" s="42"/>
      <c r="W234" s="42"/>
      <c r="X234" s="42"/>
      <c r="Y234" s="42"/>
      <c r="Z234" s="42"/>
      <c r="AA234" s="42"/>
      <c r="AB234" s="42"/>
      <c r="AC234" s="42"/>
      <c r="AD234" s="42"/>
      <c r="AE234" s="42"/>
      <c r="AF234" s="42"/>
      <c r="AG234" s="42"/>
      <c r="AH234" s="42"/>
      <c r="AI234" s="42"/>
      <c r="AJ234" s="42"/>
      <c r="AK234" s="42"/>
      <c r="AL234" s="42"/>
      <c r="AM234" s="42"/>
      <c r="AN234" s="42"/>
      <c r="AO234" s="42"/>
      <c r="AP234" s="42"/>
      <c r="AQ234" s="42"/>
      <c r="AR234" s="42"/>
      <c r="AS234" s="42"/>
      <c r="AT234" s="42"/>
      <c r="AU234" s="42"/>
      <c r="AV234" s="42"/>
      <c r="AW234" s="42"/>
      <c r="AX234" s="42"/>
      <c r="AY234" s="42"/>
      <c r="AZ234" s="42"/>
      <c r="BA234" s="42"/>
      <c r="BB234" s="42"/>
      <c r="BC234" s="42"/>
      <c r="BD234" s="42"/>
      <c r="BE234" s="42"/>
      <c r="BF234" s="42"/>
      <c r="BG234" s="42"/>
      <c r="BH234" s="42"/>
      <c r="BI234" s="42"/>
      <c r="BJ234" s="42"/>
      <c r="BK234" s="42"/>
      <c r="BL234" s="42"/>
      <c r="BM234" s="42"/>
      <c r="BN234" s="42"/>
    </row>
    <row r="235" spans="1:66" ht="12.75" customHeight="1" x14ac:dyDescent="0.2">
      <c r="A235" s="1" t="s">
        <v>155</v>
      </c>
      <c r="B235" s="4">
        <f>_xll.ciqfunctions.udf.CIQ(InputTicker, "IQ_OTHER_FINANCE_ACT_SUPPL",Input!D$2,Date,,,Ccy,Conv)</f>
        <v>-369</v>
      </c>
      <c r="C235" s="4">
        <f>_xll.ciqfunctions.udf.CIQ(InputTicker, "IQ_OTHER_FINANCE_ACT_SUPPL",Input!E$2,Date,,,Ccy,Conv)</f>
        <v>-190</v>
      </c>
      <c r="D235" s="4">
        <f>_xll.ciqfunctions.udf.CIQ(InputTicker, "IQ_OTHER_FINANCE_ACT_SUPPL",Input!F$2,Date,,,Ccy,Conv)</f>
        <v>-971</v>
      </c>
      <c r="E235" s="4">
        <f>_xll.ciqfunctions.udf.CIQ(InputTicker, "IQ_OTHER_FINANCE_ACT_SUPPL",Input!G$2,Date,,,Ccy,Conv)</f>
        <v>-675</v>
      </c>
      <c r="F235" s="4">
        <f>_xll.ciqfunctions.udf.CIQ(InputTicker, "IQ_OTHER_FINANCE_ACT_SUPPL",Input!H$2,Date,,,Ccy,Conv)</f>
        <v>-3751</v>
      </c>
      <c r="G235" s="4">
        <f>_xll.ciqfunctions.udf.CIQ(InputTicker, "IQ_OTHER_FINANCE_ACT_SUPPL",Input!I$2,Date,,,Ccy,Conv)</f>
        <v>-2523</v>
      </c>
      <c r="H235" s="4">
        <f>_xll.ciqfunctions.udf.CIQ(InputTicker, "IQ_OTHER_FINANCE_ACT_SUPPL",Input!J$2,Date,,,Ccy,Conv)</f>
        <v>-863</v>
      </c>
      <c r="I235" s="4">
        <f>_xll.ciqfunctions.udf.CIQ(InputTicker, "IQ_OTHER_FINANCE_ACT_SUPPL",Input!K$2,Date,,,Ccy,Conv)</f>
        <v>-1006</v>
      </c>
      <c r="J235" s="4">
        <f>_xll.ciqfunctions.udf.CIQ(InputTicker, "IQ_OTHER_FINANCE_ACT_SUPPL",Input!L$2,Date,,,Ccy,Conv)</f>
        <v>-1309</v>
      </c>
      <c r="K235" s="4">
        <f>_xll.ciqfunctions.udf.CIQ(InputTicker, "IQ_OTHER_FINANCE_ACT_SUPPL",Input!M$2,Date,,,Ccy,Conv)</f>
        <v>-2291</v>
      </c>
      <c r="L235" s="4">
        <f>_xll.ciqfunctions.udf.CIQ(InputTicker, "IQ_OTHER_FINANCE_ACT_SUPPL",Input!N$2,Date,,,Ccy,Conv)</f>
        <v>-2839</v>
      </c>
      <c r="M235" s="4">
        <f>_xll.ciqfunctions.udf.CIQ(InputTicker, "IQ_OTHER_FINANCE_ACT_SUPPL",Input!O$2,Date,,,Ccy,Conv)</f>
        <v>-2839</v>
      </c>
      <c r="N235" s="42"/>
      <c r="T235" s="42"/>
      <c r="U235" s="42"/>
      <c r="V235" s="42"/>
      <c r="W235" s="42"/>
      <c r="X235" s="42"/>
      <c r="Y235" s="42"/>
      <c r="Z235" s="42"/>
      <c r="AA235" s="42"/>
      <c r="AB235" s="42"/>
      <c r="AC235" s="42"/>
      <c r="AD235" s="42"/>
      <c r="AE235" s="42"/>
      <c r="AF235" s="42"/>
      <c r="AG235" s="42"/>
      <c r="AH235" s="42"/>
      <c r="AI235" s="42"/>
      <c r="AJ235" s="42"/>
      <c r="AK235" s="42"/>
      <c r="AL235" s="42"/>
      <c r="AM235" s="42"/>
      <c r="AN235" s="42"/>
      <c r="AO235" s="42"/>
      <c r="AP235" s="42"/>
      <c r="AQ235" s="42"/>
      <c r="AR235" s="42"/>
      <c r="AS235" s="42"/>
      <c r="AT235" s="42"/>
      <c r="AU235" s="42"/>
      <c r="AV235" s="42"/>
      <c r="AW235" s="42"/>
      <c r="AX235" s="42"/>
      <c r="AY235" s="42"/>
      <c r="AZ235" s="42"/>
      <c r="BA235" s="42"/>
      <c r="BB235" s="42"/>
      <c r="BC235" s="42"/>
      <c r="BD235" s="42"/>
      <c r="BE235" s="42"/>
      <c r="BF235" s="42"/>
      <c r="BG235" s="42"/>
      <c r="BH235" s="42"/>
      <c r="BI235" s="42"/>
      <c r="BJ235" s="42"/>
      <c r="BK235" s="42"/>
      <c r="BL235" s="42"/>
      <c r="BM235" s="42"/>
      <c r="BN235" s="42"/>
    </row>
    <row r="236" spans="1:66" ht="12.75" customHeight="1" thickBot="1" x14ac:dyDescent="0.25">
      <c r="A236" s="5" t="s">
        <v>120</v>
      </c>
      <c r="B236" s="9">
        <f>_xll.ciqfunctions.udf.CIQ(InputTicker, "IQ_CASH_FINAN",Input!D$2,Date,,,Ccy,Conv)</f>
        <v>-8393</v>
      </c>
      <c r="C236" s="9">
        <f>_xll.ciqfunctions.udf.CIQ(InputTicker, "IQ_CASH_FINAN",Input!E$2,Date,,,Ccy,Conv)</f>
        <v>8408</v>
      </c>
      <c r="D236" s="9">
        <f>_xll.ciqfunctions.udf.CIQ(InputTicker, "IQ_CASH_FINAN",Input!F$2,Date,,,Ccy,Conv)</f>
        <v>-33590</v>
      </c>
      <c r="E236" s="9">
        <f>_xll.ciqfunctions.udf.CIQ(InputTicker, "IQ_CASH_FINAN",Input!G$2,Date,,,Ccy,Conv)</f>
        <v>-36887</v>
      </c>
      <c r="F236" s="9">
        <f>_xll.ciqfunctions.udf.CIQ(InputTicker, "IQ_CASH_FINAN",Input!H$2,Date,,,Ccy,Conv)</f>
        <v>-46031</v>
      </c>
      <c r="G236" s="9">
        <f>_xll.ciqfunctions.udf.CIQ(InputTicker, "IQ_CASH_FINAN",Input!I$2,Date,,,Ccy,Conv)</f>
        <v>-48486</v>
      </c>
      <c r="H236" s="9">
        <f>_xll.ciqfunctions.udf.CIQ(InputTicker, "IQ_CASH_FINAN",Input!J$2,Date,,,Ccy,Conv)</f>
        <v>-58876</v>
      </c>
      <c r="I236" s="9">
        <f>_xll.ciqfunctions.udf.CIQ(InputTicker, "IQ_CASH_FINAN",Input!K$2,Date,,,Ccy,Conv)</f>
        <v>-43935</v>
      </c>
      <c r="J236" s="9">
        <f>_xll.ciqfunctions.udf.CIQ(InputTicker, "IQ_CASH_FINAN",Input!L$2,Date,,,Ccy,Conv)</f>
        <v>-37757</v>
      </c>
      <c r="K236" s="9">
        <f>_xll.ciqfunctions.udf.CIQ(InputTicker, "IQ_CASH_FINAN",Input!M$2,Date,,,Ccy,Conv)</f>
        <v>-51699</v>
      </c>
      <c r="L236" s="9">
        <f>_xll.ciqfunctions.udf.CIQ(InputTicker, "IQ_CASH_FINAN",Input!N$2,Date,,,Ccy,Conv)</f>
        <v>-52546</v>
      </c>
      <c r="M236" s="9">
        <f>_xll.ciqfunctions.udf.CIQ(InputTicker, "IQ_CASH_FINAN",Input!O$2,Date,,,Ccy,Conv)</f>
        <v>-52546</v>
      </c>
      <c r="N236" s="42"/>
      <c r="T236" s="42"/>
      <c r="U236" s="42"/>
      <c r="V236" s="42"/>
      <c r="W236" s="42"/>
      <c r="X236" s="42"/>
      <c r="Y236" s="42"/>
      <c r="Z236" s="42"/>
      <c r="AA236" s="42"/>
      <c r="AB236" s="42"/>
      <c r="AC236" s="42"/>
      <c r="AD236" s="42"/>
      <c r="AE236" s="42"/>
      <c r="AF236" s="42"/>
      <c r="AG236" s="42"/>
      <c r="AH236" s="42"/>
      <c r="AI236" s="42"/>
      <c r="AJ236" s="42"/>
      <c r="AK236" s="42"/>
      <c r="AL236" s="42"/>
      <c r="AM236" s="42"/>
      <c r="AN236" s="42"/>
      <c r="AO236" s="42"/>
      <c r="AP236" s="42"/>
      <c r="AQ236" s="42"/>
      <c r="AR236" s="42"/>
      <c r="AS236" s="42"/>
      <c r="AT236" s="42"/>
      <c r="AU236" s="42"/>
      <c r="AV236" s="42"/>
      <c r="AW236" s="42"/>
      <c r="AX236" s="42"/>
      <c r="AY236" s="42"/>
      <c r="AZ236" s="42"/>
      <c r="BA236" s="42"/>
      <c r="BB236" s="42"/>
      <c r="BC236" s="42"/>
      <c r="BD236" s="42"/>
      <c r="BE236" s="42"/>
      <c r="BF236" s="42"/>
      <c r="BG236" s="42"/>
      <c r="BH236" s="42"/>
      <c r="BI236" s="42"/>
      <c r="BJ236" s="42"/>
      <c r="BK236" s="42"/>
      <c r="BL236" s="42"/>
      <c r="BM236" s="42"/>
      <c r="BN236" s="42"/>
    </row>
    <row r="237" spans="1:66" ht="12.75" customHeight="1" thickTop="1" x14ac:dyDescent="0.2">
      <c r="A237" s="1" t="s">
        <v>156</v>
      </c>
      <c r="B237" s="4">
        <f>_xll.ciqfunctions.udf.CIQ(InputTicker, "IQ_FX",Input!D$2,Date,,,Ccy,Conv)</f>
        <v>-67</v>
      </c>
      <c r="C237" s="4">
        <f>_xll.ciqfunctions.udf.CIQ(InputTicker, "IQ_FX",Input!E$2,Date,,,Ccy,Conv)</f>
        <v>19</v>
      </c>
      <c r="D237" s="4">
        <f>_xll.ciqfunctions.udf.CIQ(InputTicker, "IQ_FX",Input!F$2,Date,,,Ccy,Conv)</f>
        <v>50</v>
      </c>
      <c r="E237" s="4">
        <f>_xll.ciqfunctions.udf.CIQ(InputTicker, "IQ_FX",Input!G$2,Date,,,Ccy,Conv)</f>
        <v>-115</v>
      </c>
      <c r="F237" s="4">
        <f>_xll.ciqfunctions.udf.CIQ(InputTicker, "IQ_FX",Input!H$2,Date,,,Ccy,Conv)</f>
        <v>-201</v>
      </c>
      <c r="G237" s="4">
        <f>_xll.ciqfunctions.udf.CIQ(InputTicker, "IQ_FX",Input!I$2,Date,,,Ccy,Conv)</f>
        <v>-29</v>
      </c>
      <c r="H237" s="4">
        <f>_xll.ciqfunctions.udf.CIQ(InputTicker, "IQ_FX",Input!J$2,Date,,,Ccy,Conv)</f>
        <v>-141</v>
      </c>
      <c r="I237" s="4">
        <f>_xll.ciqfunctions.udf.CIQ(InputTicker, "IQ_FX",Input!K$2,Date,,,Ccy,Conv)</f>
        <v>-194</v>
      </c>
      <c r="J237" s="4">
        <f>_xll.ciqfunctions.udf.CIQ(InputTicker, "IQ_FX",Input!L$2,Date,,,Ccy,Conv)</f>
        <v>-210</v>
      </c>
      <c r="K237" s="4">
        <f>_xll.ciqfunctions.udf.CIQ(InputTicker, "IQ_FX",Input!M$2,Date,,,Ccy,Conv)</f>
        <v>63</v>
      </c>
      <c r="L237" s="4">
        <f>_xll.ciqfunctions.udf.CIQ(InputTicker, "IQ_FX",Input!N$2,Date,,,Ccy,Conv)</f>
        <v>-196</v>
      </c>
      <c r="M237" s="4">
        <f>_xll.ciqfunctions.udf.CIQ(InputTicker, "IQ_FX",Input!O$2,Date,,,Ccy,Conv)</f>
        <v>-196</v>
      </c>
      <c r="N237" s="42"/>
      <c r="T237" s="42"/>
      <c r="U237" s="42"/>
      <c r="V237" s="42"/>
      <c r="W237" s="42"/>
      <c r="X237" s="42"/>
      <c r="Y237" s="42"/>
      <c r="Z237" s="42"/>
      <c r="AA237" s="42"/>
      <c r="AB237" s="42"/>
      <c r="AC237" s="42"/>
      <c r="AD237" s="42"/>
      <c r="AE237" s="42"/>
      <c r="AF237" s="42"/>
      <c r="AG237" s="42"/>
      <c r="AH237" s="42"/>
      <c r="AI237" s="42"/>
      <c r="AJ237" s="42"/>
      <c r="AK237" s="42"/>
      <c r="AL237" s="42"/>
      <c r="AM237" s="42"/>
      <c r="AN237" s="42"/>
      <c r="AO237" s="42"/>
      <c r="AP237" s="42"/>
      <c r="AQ237" s="42"/>
      <c r="AR237" s="42"/>
      <c r="AS237" s="42"/>
      <c r="AT237" s="42"/>
      <c r="AU237" s="42"/>
      <c r="AV237" s="42"/>
      <c r="AW237" s="42"/>
      <c r="AX237" s="42"/>
      <c r="AY237" s="42"/>
      <c r="AZ237" s="42"/>
      <c r="BA237" s="42"/>
      <c r="BB237" s="42"/>
      <c r="BC237" s="42"/>
      <c r="BD237" s="42"/>
      <c r="BE237" s="42"/>
      <c r="BF237" s="42"/>
      <c r="BG237" s="42"/>
      <c r="BH237" s="42"/>
      <c r="BI237" s="42"/>
      <c r="BJ237" s="42"/>
      <c r="BK237" s="42"/>
      <c r="BL237" s="42"/>
      <c r="BM237" s="42"/>
      <c r="BN237" s="42"/>
    </row>
    <row r="238" spans="1:66" ht="12.75" customHeight="1" x14ac:dyDescent="0.2">
      <c r="A238" s="1" t="s">
        <v>212</v>
      </c>
      <c r="B238" s="4">
        <f>_xll.ciqfunctions.udf.CIQ(InputTicker, "IQ_MISC_ADJUST_CF",Input!D$2,Date,,,Ccy,Conv)</f>
        <v>0</v>
      </c>
      <c r="C238" s="4">
        <f>_xll.ciqfunctions.udf.CIQ(InputTicker, "IQ_MISC_ADJUST_CF",Input!E$2,Date,,,Ccy,Conv)</f>
        <v>0</v>
      </c>
      <c r="D238" s="4">
        <f>_xll.ciqfunctions.udf.CIQ(InputTicker, "IQ_MISC_ADJUST_CF",Input!F$2,Date,,,Ccy,Conv)</f>
        <v>0</v>
      </c>
      <c r="E238" s="4">
        <f>_xll.ciqfunctions.udf.CIQ(InputTicker, "IQ_MISC_ADJUST_CF",Input!G$2,Date,,,Ccy,Conv)</f>
        <v>0</v>
      </c>
      <c r="F238" s="4">
        <f>_xll.ciqfunctions.udf.CIQ(InputTicker, "IQ_MISC_ADJUST_CF",Input!H$2,Date,,,Ccy,Conv)</f>
        <v>0</v>
      </c>
      <c r="G238" s="4">
        <f>_xll.ciqfunctions.udf.CIQ(InputTicker, "IQ_MISC_ADJUST_CF",Input!I$2,Date,,,Ccy,Conv)</f>
        <v>0</v>
      </c>
      <c r="H238" s="4">
        <f>_xll.ciqfunctions.udf.CIQ(InputTicker, "IQ_MISC_ADJUST_CF",Input!J$2,Date,,,Ccy,Conv)</f>
        <v>0</v>
      </c>
      <c r="I238" s="4">
        <f>_xll.ciqfunctions.udf.CIQ(InputTicker, "IQ_MISC_ADJUST_CF",Input!K$2,Date,,,Ccy,Conv)</f>
        <v>0</v>
      </c>
      <c r="J238" s="4">
        <f>_xll.ciqfunctions.udf.CIQ(InputTicker, "IQ_MISC_ADJUST_CF",Input!L$2,Date,,,Ccy,Conv)</f>
        <v>0</v>
      </c>
      <c r="K238" s="4">
        <f>_xll.ciqfunctions.udf.CIQ(InputTicker, "IQ_MISC_ADJUST_CF",Input!M$2,Date,,,Ccy,Conv)</f>
        <v>0</v>
      </c>
      <c r="L238" s="4">
        <f>_xll.ciqfunctions.udf.CIQ(InputTicker, "IQ_MISC_ADJUST_CF",Input!N$2,Date,,,Ccy,Conv)</f>
        <v>0</v>
      </c>
      <c r="M238" s="4">
        <f>_xll.ciqfunctions.udf.CIQ(InputTicker, "IQ_MISC_ADJUST_CF",Input!O$2,Date,,,Ccy,Conv)</f>
        <v>0</v>
      </c>
      <c r="N238" s="42"/>
      <c r="T238" s="42"/>
      <c r="U238" s="42"/>
      <c r="V238" s="42"/>
      <c r="W238" s="42"/>
      <c r="X238" s="42"/>
      <c r="Y238" s="42"/>
      <c r="Z238" s="42"/>
      <c r="AA238" s="42"/>
      <c r="AB238" s="42"/>
      <c r="AC238" s="42"/>
      <c r="AD238" s="42"/>
      <c r="AE238" s="42"/>
      <c r="AF238" s="42"/>
      <c r="AG238" s="42"/>
      <c r="AH238" s="42"/>
      <c r="AI238" s="42"/>
      <c r="AJ238" s="42"/>
      <c r="AK238" s="42"/>
      <c r="AL238" s="42"/>
      <c r="AM238" s="42"/>
      <c r="AN238" s="42"/>
      <c r="AO238" s="42"/>
      <c r="AP238" s="42"/>
      <c r="AQ238" s="42"/>
      <c r="AR238" s="42"/>
      <c r="AS238" s="42"/>
      <c r="AT238" s="42"/>
      <c r="AU238" s="42"/>
      <c r="AV238" s="42"/>
      <c r="AW238" s="42"/>
      <c r="AX238" s="42"/>
      <c r="AY238" s="42"/>
      <c r="AZ238" s="42"/>
      <c r="BA238" s="42"/>
      <c r="BB238" s="42"/>
      <c r="BC238" s="42"/>
      <c r="BD238" s="42"/>
      <c r="BE238" s="42"/>
      <c r="BF238" s="42"/>
      <c r="BG238" s="42"/>
      <c r="BH238" s="42"/>
      <c r="BI238" s="42"/>
      <c r="BJ238" s="42"/>
      <c r="BK238" s="42"/>
      <c r="BL238" s="42"/>
      <c r="BM238" s="42"/>
      <c r="BN238" s="42"/>
    </row>
    <row r="239" spans="1:66" ht="12.75" customHeight="1" thickBot="1" x14ac:dyDescent="0.25">
      <c r="A239" s="5" t="s">
        <v>121</v>
      </c>
      <c r="B239" s="9">
        <f>_xll.ciqfunctions.udf.CIQ(InputTicker, "IQ_NET_CHANGE",Input!D$2,Date,,,Ccy,Conv)</f>
        <v>915</v>
      </c>
      <c r="C239" s="9">
        <f>_xll.ciqfunctions.udf.CIQ(InputTicker, "IQ_NET_CHANGE",Input!E$2,Date,,,Ccy,Conv)</f>
        <v>1153</v>
      </c>
      <c r="D239" s="9">
        <f>_xll.ciqfunctions.udf.CIQ(InputTicker, "IQ_NET_CHANGE",Input!F$2,Date,,,Ccy,Conv)</f>
        <v>4283</v>
      </c>
      <c r="E239" s="9">
        <f>_xll.ciqfunctions.udf.CIQ(InputTicker, "IQ_NET_CHANGE",Input!G$2,Date,,,Ccy,Conv)</f>
        <v>-590</v>
      </c>
      <c r="F239" s="9">
        <f>_xll.ciqfunctions.udf.CIQ(InputTicker, "IQ_NET_CHANGE",Input!H$2,Date,,,Ccy,Conv)</f>
        <v>2220</v>
      </c>
      <c r="G239" s="9">
        <f>_xll.ciqfunctions.udf.CIQ(InputTicker, "IQ_NET_CHANGE",Input!I$2,Date,,,Ccy,Conv)</f>
        <v>648</v>
      </c>
      <c r="H239" s="9">
        <f>_xll.ciqfunctions.udf.CIQ(InputTicker, "IQ_NET_CHANGE",Input!J$2,Date,,,Ccy,Conv)</f>
        <v>-293</v>
      </c>
      <c r="I239" s="9">
        <f>_xll.ciqfunctions.udf.CIQ(InputTicker, "IQ_NET_CHANGE",Input!K$2,Date,,,Ccy,Conv)</f>
        <v>20773</v>
      </c>
      <c r="J239" s="9">
        <f>_xll.ciqfunctions.udf.CIQ(InputTicker, "IQ_NET_CHANGE",Input!L$2,Date,,,Ccy,Conv)</f>
        <v>-16389</v>
      </c>
      <c r="K239" s="9">
        <f>_xll.ciqfunctions.udf.CIQ(InputTicker, "IQ_NET_CHANGE",Input!M$2,Date,,,Ccy,Conv)</f>
        <v>11927</v>
      </c>
      <c r="L239" s="9">
        <f>_xll.ciqfunctions.udf.CIQ(InputTicker, "IQ_NET_CHANGE",Input!N$2,Date,,,Ccy,Conv)</f>
        <v>-9307</v>
      </c>
      <c r="M239" s="9">
        <f>_xll.ciqfunctions.udf.CIQ(InputTicker, "IQ_NET_CHANGE",Input!O$2,Date,,,Ccy,Conv)</f>
        <v>-9307</v>
      </c>
      <c r="N239" s="42"/>
      <c r="T239" s="42"/>
      <c r="U239" s="42"/>
      <c r="V239" s="42"/>
      <c r="W239" s="42"/>
      <c r="X239" s="42"/>
      <c r="Y239" s="42"/>
      <c r="Z239" s="42"/>
      <c r="AA239" s="42"/>
      <c r="AB239" s="42"/>
      <c r="AC239" s="42"/>
      <c r="AD239" s="42"/>
      <c r="AE239" s="42"/>
      <c r="AF239" s="42"/>
      <c r="AG239" s="42"/>
      <c r="AH239" s="42"/>
      <c r="AI239" s="42"/>
      <c r="AJ239" s="42"/>
      <c r="AK239" s="42"/>
      <c r="AL239" s="42"/>
      <c r="AM239" s="42"/>
      <c r="AN239" s="42"/>
      <c r="AO239" s="42"/>
      <c r="AP239" s="42"/>
      <c r="AQ239" s="42"/>
      <c r="AR239" s="42"/>
      <c r="AS239" s="42"/>
      <c r="AT239" s="42"/>
      <c r="AU239" s="42"/>
      <c r="AV239" s="42"/>
      <c r="AW239" s="42"/>
      <c r="AX239" s="42"/>
      <c r="AY239" s="42"/>
      <c r="AZ239" s="42"/>
      <c r="BA239" s="42"/>
      <c r="BB239" s="42"/>
      <c r="BC239" s="42"/>
      <c r="BD239" s="42"/>
      <c r="BE239" s="42"/>
      <c r="BF239" s="42"/>
      <c r="BG239" s="42"/>
      <c r="BH239" s="42"/>
      <c r="BI239" s="42"/>
      <c r="BJ239" s="42"/>
      <c r="BK239" s="42"/>
      <c r="BL239" s="42"/>
      <c r="BM239" s="42"/>
      <c r="BN239" s="42"/>
    </row>
    <row r="240" spans="1:66" ht="12.75" customHeight="1" thickTop="1" x14ac:dyDescent="0.2">
      <c r="A240" s="1" t="s">
        <v>317</v>
      </c>
      <c r="B240" s="18">
        <f>_xll.ciqfunctions.udf.CIQ(InputTicker,"IQ_PERIODLENGTH_CF",Input!D$2,Date)</f>
        <v>12</v>
      </c>
      <c r="C240" s="18">
        <f>_xll.ciqfunctions.udf.CIQ(InputTicker,"IQ_PERIODLENGTH_CF",Input!E$2,Date)</f>
        <v>12</v>
      </c>
      <c r="D240" s="18">
        <f>_xll.ciqfunctions.udf.CIQ(InputTicker,"IQ_PERIODLENGTH_CF",Input!F$2,Date)</f>
        <v>12</v>
      </c>
      <c r="E240" s="18">
        <f>_xll.ciqfunctions.udf.CIQ(InputTicker,"IQ_PERIODLENGTH_CF",Input!G$2,Date)</f>
        <v>12</v>
      </c>
      <c r="F240" s="18">
        <f>_xll.ciqfunctions.udf.CIQ(InputTicker,"IQ_PERIODLENGTH_CF",Input!H$2,Date)</f>
        <v>12</v>
      </c>
      <c r="G240" s="18">
        <f>_xll.ciqfunctions.udf.CIQ(InputTicker,"IQ_PERIODLENGTH_CF",Input!I$2,Date)</f>
        <v>12</v>
      </c>
      <c r="H240" s="18">
        <f>_xll.ciqfunctions.udf.CIQ(InputTicker,"IQ_PERIODLENGTH_CF",Input!J$2,Date)</f>
        <v>12</v>
      </c>
      <c r="I240" s="18">
        <f>_xll.ciqfunctions.udf.CIQ(InputTicker,"IQ_PERIODLENGTH_CF",Input!K$2,Date)</f>
        <v>12</v>
      </c>
      <c r="J240" s="18">
        <f>_xll.ciqfunctions.udf.CIQ(InputTicker,"IQ_PERIODLENGTH_CF",Input!L$2,Date)</f>
        <v>12</v>
      </c>
      <c r="K240" s="18">
        <f>_xll.ciqfunctions.udf.CIQ(InputTicker,"IQ_PERIODLENGTH_CF",Input!M$2,Date)</f>
        <v>12</v>
      </c>
      <c r="L240" s="18">
        <f>_xll.ciqfunctions.udf.CIQ(InputTicker,"IQ_PERIODLENGTH_CF",Input!N$2,Date)</f>
        <v>12</v>
      </c>
      <c r="M240" s="18">
        <f>_xll.ciqfunctions.udf.CIQ(InputTicker,"IQ_PERIODLENGTH_CF",Input!O$2,Date)</f>
        <v>12</v>
      </c>
      <c r="N240" s="49"/>
      <c r="T240" s="42"/>
      <c r="U240" s="42"/>
      <c r="V240" s="42"/>
      <c r="W240" s="42"/>
      <c r="X240" s="42"/>
      <c r="Y240" s="42"/>
      <c r="Z240" s="42"/>
      <c r="AA240" s="42"/>
      <c r="AB240" s="42"/>
      <c r="AC240" s="42"/>
      <c r="AD240" s="42"/>
      <c r="AE240" s="42"/>
      <c r="AF240" s="42"/>
      <c r="AG240" s="42"/>
      <c r="AH240" s="42"/>
      <c r="AI240" s="42"/>
      <c r="AJ240" s="42"/>
      <c r="AK240" s="42"/>
      <c r="AL240" s="42"/>
      <c r="AM240" s="42"/>
      <c r="AN240" s="42"/>
      <c r="AO240" s="42"/>
      <c r="AP240" s="42"/>
      <c r="AQ240" s="42"/>
      <c r="AR240" s="42"/>
      <c r="AS240" s="42"/>
      <c r="AT240" s="42"/>
      <c r="AU240" s="42"/>
      <c r="AV240" s="42"/>
      <c r="AW240" s="42"/>
      <c r="AX240" s="42"/>
      <c r="AY240" s="42"/>
      <c r="AZ240" s="42"/>
      <c r="BA240" s="42"/>
      <c r="BB240" s="42"/>
      <c r="BC240" s="42"/>
      <c r="BD240" s="42"/>
      <c r="BE240" s="42"/>
      <c r="BF240" s="42"/>
      <c r="BG240" s="42"/>
      <c r="BH240" s="42"/>
      <c r="BI240" s="42"/>
      <c r="BJ240" s="42"/>
      <c r="BK240" s="42"/>
      <c r="BL240" s="42"/>
      <c r="BM240" s="42"/>
      <c r="BN240" s="42"/>
    </row>
    <row r="241" spans="1:66" ht="12.75" customHeight="1" x14ac:dyDescent="0.2">
      <c r="A241" s="1" t="s">
        <v>5</v>
      </c>
      <c r="B241" s="4">
        <f>_xll.ciqfunctions.udf.CIQ(InputTicker, "IQ_DA_SUPPL_PARTIAL_CF",Input!D$2,Date,,,Ccy,Conv)</f>
        <v>0</v>
      </c>
      <c r="C241" s="4">
        <f>_xll.ciqfunctions.udf.CIQ(InputTicker, "IQ_DA_SUPPL_PARTIAL_CF",Input!E$2,Date,,,Ccy,Conv)</f>
        <v>0</v>
      </c>
      <c r="D241" s="4">
        <f>_xll.ciqfunctions.udf.CIQ(InputTicker, "IQ_DA_SUPPL_PARTIAL_CF",Input!F$2,Date,,,Ccy,Conv)</f>
        <v>0</v>
      </c>
      <c r="E241" s="4">
        <f>_xll.ciqfunctions.udf.CIQ(InputTicker, "IQ_DA_SUPPL_PARTIAL_CF",Input!G$2,Date,,,Ccy,Conv)</f>
        <v>0</v>
      </c>
      <c r="F241" s="4">
        <f>_xll.ciqfunctions.udf.CIQ(InputTicker, "IQ_DA_SUPPL_PARTIAL_CF",Input!H$2,Date,,,Ccy,Conv)</f>
        <v>0</v>
      </c>
      <c r="G241" s="4">
        <f>_xll.ciqfunctions.udf.CIQ(InputTicker, "IQ_DA_SUPPL_PARTIAL_CF",Input!I$2,Date,,,Ccy,Conv)</f>
        <v>0</v>
      </c>
      <c r="H241" s="4">
        <f>_xll.ciqfunctions.udf.CIQ(InputTicker, "IQ_DA_SUPPL_PARTIAL_CF",Input!J$2,Date,,,Ccy,Conv)</f>
        <v>0</v>
      </c>
      <c r="I241" s="4">
        <f>_xll.ciqfunctions.udf.CIQ(InputTicker, "IQ_DA_SUPPL_PARTIAL_CF",Input!K$2,Date,,,Ccy,Conv)</f>
        <v>0</v>
      </c>
      <c r="J241" s="4">
        <f>_xll.ciqfunctions.udf.CIQ(InputTicker, "IQ_DA_SUPPL_PARTIAL_CF",Input!L$2,Date,,,Ccy,Conv)</f>
        <v>0</v>
      </c>
      <c r="K241" s="4">
        <f>_xll.ciqfunctions.udf.CIQ(InputTicker, "IQ_DA_SUPPL_PARTIAL_CF",Input!M$2,Date,,,Ccy,Conv)</f>
        <v>0</v>
      </c>
      <c r="L241" s="4">
        <f>_xll.ciqfunctions.udf.CIQ(InputTicker, "IQ_DA_SUPPL_PARTIAL_CF",Input!N$2,Date,,,Ccy,Conv)</f>
        <v>0</v>
      </c>
      <c r="M241" s="4">
        <f>_xll.ciqfunctions.udf.CIQ(InputTicker, "IQ_DA_SUPPL_PARTIAL_CF",Input!O$2,Date,,,Ccy,Conv)</f>
        <v>0</v>
      </c>
      <c r="N241" s="49"/>
      <c r="T241" s="42"/>
      <c r="U241" s="42"/>
      <c r="V241" s="42"/>
      <c r="W241" s="42"/>
      <c r="X241" s="42"/>
      <c r="Y241" s="42"/>
      <c r="Z241" s="42"/>
      <c r="AA241" s="42"/>
      <c r="AB241" s="42"/>
      <c r="AC241" s="42"/>
      <c r="AD241" s="42"/>
      <c r="AE241" s="42"/>
      <c r="AF241" s="42"/>
      <c r="AG241" s="42"/>
      <c r="AH241" s="42"/>
      <c r="AI241" s="42"/>
      <c r="AJ241" s="42"/>
      <c r="AK241" s="42"/>
      <c r="AL241" s="42"/>
      <c r="AM241" s="42"/>
      <c r="AN241" s="42"/>
      <c r="AO241" s="42"/>
      <c r="AP241" s="42"/>
      <c r="AQ241" s="42"/>
      <c r="AR241" s="42"/>
      <c r="AS241" s="42"/>
      <c r="AT241" s="42"/>
      <c r="AU241" s="42"/>
      <c r="AV241" s="42"/>
      <c r="AW241" s="42"/>
      <c r="AX241" s="42"/>
      <c r="AY241" s="42"/>
      <c r="AZ241" s="42"/>
      <c r="BA241" s="42"/>
      <c r="BB241" s="42"/>
      <c r="BC241" s="42"/>
      <c r="BD241" s="42"/>
      <c r="BE241" s="42"/>
      <c r="BF241" s="42"/>
      <c r="BG241" s="42"/>
      <c r="BH241" s="42"/>
      <c r="BI241" s="42"/>
      <c r="BJ241" s="42"/>
      <c r="BK241" s="42"/>
      <c r="BL241" s="42"/>
      <c r="BM241" s="42"/>
      <c r="BN241" s="42"/>
    </row>
    <row r="242" spans="1:66" ht="12.75" customHeight="1" x14ac:dyDescent="0.2">
      <c r="A242" s="1" t="s">
        <v>6</v>
      </c>
      <c r="B242" s="4">
        <f>_xll.ciqfunctions.udf.CIQ(InputTicker, "IQ_GW_INTAN_AMORT_PARTIAL_CF",Input!D$2,Date,,,Ccy,Conv)</f>
        <v>0</v>
      </c>
      <c r="C242" s="4">
        <f>_xll.ciqfunctions.udf.CIQ(InputTicker, "IQ_GW_INTAN_AMORT_PARTIAL_CF",Input!E$2,Date,,,Ccy,Conv)</f>
        <v>0</v>
      </c>
      <c r="D242" s="4">
        <f>_xll.ciqfunctions.udf.CIQ(InputTicker, "IQ_GW_INTAN_AMORT_PARTIAL_CF",Input!F$2,Date,,,Ccy,Conv)</f>
        <v>0</v>
      </c>
      <c r="E242" s="4">
        <f>_xll.ciqfunctions.udf.CIQ(InputTicker, "IQ_GW_INTAN_AMORT_PARTIAL_CF",Input!G$2,Date,,,Ccy,Conv)</f>
        <v>0</v>
      </c>
      <c r="F242" s="4">
        <f>_xll.ciqfunctions.udf.CIQ(InputTicker, "IQ_GW_INTAN_AMORT_PARTIAL_CF",Input!H$2,Date,,,Ccy,Conv)</f>
        <v>0</v>
      </c>
      <c r="G242" s="4">
        <f>_xll.ciqfunctions.udf.CIQ(InputTicker, "IQ_GW_INTAN_AMORT_PARTIAL_CF",Input!I$2,Date,,,Ccy,Conv)</f>
        <v>0</v>
      </c>
      <c r="H242" s="4">
        <f>_xll.ciqfunctions.udf.CIQ(InputTicker, "IQ_GW_INTAN_AMORT_PARTIAL_CF",Input!J$2,Date,,,Ccy,Conv)</f>
        <v>0</v>
      </c>
      <c r="I242" s="4">
        <f>_xll.ciqfunctions.udf.CIQ(InputTicker, "IQ_GW_INTAN_AMORT_PARTIAL_CF",Input!K$2,Date,,,Ccy,Conv)</f>
        <v>0</v>
      </c>
      <c r="J242" s="4">
        <f>_xll.ciqfunctions.udf.CIQ(InputTicker, "IQ_GW_INTAN_AMORT_PARTIAL_CF",Input!L$2,Date,,,Ccy,Conv)</f>
        <v>0</v>
      </c>
      <c r="K242" s="4">
        <f>_xll.ciqfunctions.udf.CIQ(InputTicker, "IQ_GW_INTAN_AMORT_PARTIAL_CF",Input!M$2,Date,,,Ccy,Conv)</f>
        <v>0</v>
      </c>
      <c r="L242" s="4">
        <f>_xll.ciqfunctions.udf.CIQ(InputTicker, "IQ_GW_INTAN_AMORT_PARTIAL_CF",Input!N$2,Date,,,Ccy,Conv)</f>
        <v>0</v>
      </c>
      <c r="M242" s="4">
        <f>_xll.ciqfunctions.udf.CIQ(InputTicker, "IQ_GW_INTAN_AMORT_PARTIAL_CF",Input!O$2,Date,,,Ccy,Conv)</f>
        <v>0</v>
      </c>
      <c r="N242" s="49"/>
      <c r="T242" s="42"/>
      <c r="U242" s="42"/>
      <c r="V242" s="42"/>
      <c r="W242" s="42"/>
      <c r="X242" s="42"/>
      <c r="Y242" s="42"/>
      <c r="Z242" s="42"/>
      <c r="AA242" s="42"/>
      <c r="AB242" s="42"/>
      <c r="AC242" s="42"/>
      <c r="AD242" s="42"/>
      <c r="AE242" s="42"/>
      <c r="AF242" s="42"/>
      <c r="AG242" s="42"/>
      <c r="AH242" s="42"/>
      <c r="AI242" s="42"/>
      <c r="AJ242" s="42"/>
      <c r="AK242" s="42"/>
      <c r="AL242" s="42"/>
      <c r="AM242" s="42"/>
      <c r="AN242" s="42"/>
      <c r="AO242" s="42"/>
      <c r="AP242" s="42"/>
      <c r="AQ242" s="42"/>
      <c r="AR242" s="42"/>
      <c r="AS242" s="42"/>
      <c r="AT242" s="42"/>
      <c r="AU242" s="42"/>
      <c r="AV242" s="42"/>
      <c r="AW242" s="42"/>
      <c r="AX242" s="42"/>
      <c r="AY242" s="42"/>
      <c r="AZ242" s="42"/>
      <c r="BA242" s="42"/>
      <c r="BB242" s="42"/>
      <c r="BC242" s="42"/>
      <c r="BD242" s="42"/>
      <c r="BE242" s="42"/>
      <c r="BF242" s="42"/>
      <c r="BG242" s="42"/>
      <c r="BH242" s="42"/>
      <c r="BI242" s="42"/>
      <c r="BJ242" s="42"/>
      <c r="BK242" s="42"/>
      <c r="BL242" s="42"/>
      <c r="BM242" s="42"/>
      <c r="BN242" s="42"/>
    </row>
    <row r="243" spans="1:66" ht="12.75" customHeight="1" x14ac:dyDescent="0.2">
      <c r="A243" s="1" t="s">
        <v>349</v>
      </c>
      <c r="B243" s="4">
        <f>_xll.ciqfunctions.udf.CIQ(InputTicker, "IQ_DEPRE_SUPP",Input!D$2,Date,,,Ccy,Conv)</f>
        <v>4900</v>
      </c>
      <c r="C243" s="4">
        <f>_xll.ciqfunctions.udf.CIQ(InputTicker, "IQ_DEPRE_SUPP",Input!E$2,Date,,,Ccy,Conv)</f>
        <v>6100</v>
      </c>
      <c r="D243" s="4">
        <f>_xll.ciqfunctions.udf.CIQ(InputTicker, "IQ_DEPRE_SUPP",Input!F$2,Date,,,Ccy,Conv)</f>
        <v>7700</v>
      </c>
      <c r="E243" s="4">
        <f>_xll.ciqfunctions.udf.CIQ(InputTicker, "IQ_DEPRE_SUPP",Input!G$2,Date,,,Ccy,Conv)</f>
        <v>9700</v>
      </c>
      <c r="F243" s="4">
        <f>_xll.ciqfunctions.udf.CIQ(InputTicker, "IQ_DEPRE_SUPP",Input!H$2,Date,,,Ccy,Conv)</f>
        <v>10700</v>
      </c>
      <c r="G243" s="4">
        <f>_xll.ciqfunctions.udf.CIQ(InputTicker, "IQ_DEPRE_SUPP",Input!I$2,Date,,,Ccy,Conv)</f>
        <v>9300</v>
      </c>
      <c r="H243" s="4">
        <f>_xll.ciqfunctions.udf.CIQ(InputTicker, "IQ_DEPRE_SUPP",Input!J$2,Date,,,Ccy,Conv)</f>
        <v>12600</v>
      </c>
      <c r="I243" s="4">
        <f>_xll.ciqfunctions.udf.CIQ(InputTicker, "IQ_DEPRE_SUPP",Input!K$2,Date,,,Ccy,Conv)</f>
        <v>11000</v>
      </c>
      <c r="J243" s="4">
        <f>_xll.ciqfunctions.udf.CIQ(InputTicker, "IQ_DEPRE_SUPP",Input!L$2,Date,,,Ccy,Conv)</f>
        <v>15200</v>
      </c>
      <c r="K243" s="4">
        <f>_xll.ciqfunctions.udf.CIQ(InputTicker, "IQ_DEPRE_SUPP",Input!M$2,Date,,,Ccy,Conv)</f>
        <v>22000</v>
      </c>
      <c r="L243" s="4">
        <f>_xll.ciqfunctions.udf.CIQ(InputTicker, "IQ_DEPRE_SUPP",Input!N$2,Date,,,Ccy,Conv)</f>
        <v>34300</v>
      </c>
      <c r="M243" s="4">
        <f>_xll.ciqfunctions.udf.CIQ(InputTicker, "IQ_DEPRE_SUPP",Input!O$2,Date,,,Ccy,Conv)</f>
        <v>34300</v>
      </c>
      <c r="N243" s="49"/>
      <c r="T243" s="42"/>
      <c r="U243" s="42"/>
      <c r="V243" s="42"/>
      <c r="W243" s="42"/>
      <c r="X243" s="42"/>
      <c r="Y243" s="42"/>
      <c r="Z243" s="42"/>
      <c r="AA243" s="42"/>
      <c r="AB243" s="42"/>
      <c r="AC243" s="42"/>
      <c r="AD243" s="42"/>
      <c r="AE243" s="42"/>
      <c r="AF243" s="42"/>
      <c r="AG243" s="42"/>
      <c r="AH243" s="42"/>
      <c r="AI243" s="42"/>
      <c r="AJ243" s="42"/>
      <c r="AK243" s="42"/>
      <c r="AL243" s="42"/>
      <c r="AM243" s="42"/>
      <c r="AN243" s="42"/>
      <c r="AO243" s="42"/>
      <c r="AP243" s="42"/>
      <c r="AQ243" s="42"/>
      <c r="AR243" s="42"/>
      <c r="AS243" s="42"/>
      <c r="AT243" s="42"/>
      <c r="AU243" s="42"/>
      <c r="AV243" s="42"/>
      <c r="AW243" s="42"/>
      <c r="AX243" s="42"/>
      <c r="AY243" s="42"/>
      <c r="AZ243" s="42"/>
      <c r="BA243" s="42"/>
      <c r="BB243" s="42"/>
      <c r="BC243" s="42"/>
      <c r="BD243" s="42"/>
      <c r="BE243" s="42"/>
      <c r="BF243" s="42"/>
      <c r="BG243" s="42"/>
      <c r="BH243" s="42"/>
      <c r="BI243" s="42"/>
      <c r="BJ243" s="42"/>
      <c r="BK243" s="42"/>
      <c r="BL243" s="42"/>
      <c r="BM243" s="42"/>
      <c r="BN243" s="42"/>
    </row>
    <row r="244" spans="1:66" ht="12.75" customHeight="1" x14ac:dyDescent="0.2">
      <c r="A244" s="1" t="s">
        <v>31</v>
      </c>
      <c r="B244" s="4">
        <f>_xll.ciqfunctions.udf.CIQ(InputTicker, "IQ_DEPRECIATION_RENTAL_ASSETS_CF",Input!D$2,Date,,,Ccy,Conv)</f>
        <v>0</v>
      </c>
      <c r="C244" s="4">
        <f>_xll.ciqfunctions.udf.CIQ(InputTicker, "IQ_DEPRECIATION_RENTAL_ASSETS_CF",Input!E$2,Date,,,Ccy,Conv)</f>
        <v>0</v>
      </c>
      <c r="D244" s="4">
        <f>_xll.ciqfunctions.udf.CIQ(InputTicker, "IQ_DEPRECIATION_RENTAL_ASSETS_CF",Input!F$2,Date,,,Ccy,Conv)</f>
        <v>0</v>
      </c>
      <c r="E244" s="4">
        <f>_xll.ciqfunctions.udf.CIQ(InputTicker, "IQ_DEPRECIATION_RENTAL_ASSETS_CF",Input!G$2,Date,,,Ccy,Conv)</f>
        <v>0</v>
      </c>
      <c r="F244" s="4">
        <f>_xll.ciqfunctions.udf.CIQ(InputTicker, "IQ_DEPRECIATION_RENTAL_ASSETS_CF",Input!H$2,Date,,,Ccy,Conv)</f>
        <v>0</v>
      </c>
      <c r="G244" s="4">
        <f>_xll.ciqfunctions.udf.CIQ(InputTicker, "IQ_DEPRECIATION_RENTAL_ASSETS_CF",Input!I$2,Date,,,Ccy,Conv)</f>
        <v>0</v>
      </c>
      <c r="H244" s="4">
        <f>_xll.ciqfunctions.udf.CIQ(InputTicker, "IQ_DEPRECIATION_RENTAL_ASSETS_CF",Input!J$2,Date,,,Ccy,Conv)</f>
        <v>0</v>
      </c>
      <c r="I244" s="4">
        <f>_xll.ciqfunctions.udf.CIQ(InputTicker, "IQ_DEPRECIATION_RENTAL_ASSETS_CF",Input!K$2,Date,,,Ccy,Conv)</f>
        <v>0</v>
      </c>
      <c r="J244" s="4">
        <f>_xll.ciqfunctions.udf.CIQ(InputTicker, "IQ_DEPRECIATION_RENTAL_ASSETS_CF",Input!L$2,Date,,,Ccy,Conv)</f>
        <v>0</v>
      </c>
      <c r="K244" s="4">
        <f>_xll.ciqfunctions.udf.CIQ(InputTicker, "IQ_DEPRECIATION_RENTAL_ASSETS_CF",Input!M$2,Date,,,Ccy,Conv)</f>
        <v>0</v>
      </c>
      <c r="L244" s="4">
        <f>_xll.ciqfunctions.udf.CIQ(InputTicker, "IQ_DEPRECIATION_RENTAL_ASSETS_CF",Input!N$2,Date,,,Ccy,Conv)</f>
        <v>0</v>
      </c>
      <c r="M244" s="4">
        <f>_xll.ciqfunctions.udf.CIQ(InputTicker, "IQ_DEPRECIATION_RENTAL_ASSETS_CF",Input!O$2,Date,,,Ccy,Conv)</f>
        <v>0</v>
      </c>
      <c r="N244" s="49"/>
      <c r="T244" s="42"/>
      <c r="U244" s="42"/>
      <c r="V244" s="42"/>
      <c r="W244" s="42"/>
      <c r="X244" s="42"/>
      <c r="Y244" s="42"/>
      <c r="Z244" s="42"/>
      <c r="AA244" s="42"/>
      <c r="AB244" s="42"/>
      <c r="AC244" s="42"/>
      <c r="AD244" s="42"/>
      <c r="AE244" s="42"/>
      <c r="AF244" s="42"/>
      <c r="AG244" s="42"/>
      <c r="AH244" s="42"/>
      <c r="AI244" s="42"/>
      <c r="AJ244" s="42"/>
      <c r="AK244" s="42"/>
      <c r="AL244" s="42"/>
      <c r="AM244" s="42"/>
      <c r="AN244" s="42"/>
      <c r="AO244" s="42"/>
      <c r="AP244" s="42"/>
      <c r="AQ244" s="42"/>
      <c r="AR244" s="42"/>
      <c r="AS244" s="42"/>
      <c r="AT244" s="42"/>
      <c r="AU244" s="42"/>
      <c r="AV244" s="42"/>
      <c r="AW244" s="42"/>
      <c r="AX244" s="42"/>
      <c r="AY244" s="42"/>
      <c r="AZ244" s="42"/>
      <c r="BA244" s="42"/>
      <c r="BB244" s="42"/>
      <c r="BC244" s="42"/>
      <c r="BD244" s="42"/>
      <c r="BE244" s="42"/>
      <c r="BF244" s="42"/>
      <c r="BG244" s="42"/>
      <c r="BH244" s="42"/>
      <c r="BI244" s="42"/>
      <c r="BJ244" s="42"/>
      <c r="BK244" s="42"/>
      <c r="BL244" s="42"/>
      <c r="BM244" s="42"/>
      <c r="BN244" s="42"/>
    </row>
    <row r="245" spans="1:66" ht="12.75" customHeight="1" x14ac:dyDescent="0.2">
      <c r="A245" s="1" t="s">
        <v>445</v>
      </c>
      <c r="B245" s="4">
        <f>_xll.ciqfunctions.udf.CIQ(InputTicker, "IQ_DEP_RUA",Input!D$2,Date,,,Ccy,Conv)</f>
        <v>0</v>
      </c>
      <c r="C245" s="4">
        <f>_xll.ciqfunctions.udf.CIQ(InputTicker, "IQ_DEP_RUA",Input!E$2,Date,,,Ccy,Conv)</f>
        <v>0</v>
      </c>
      <c r="D245" s="4">
        <f>_xll.ciqfunctions.udf.CIQ(InputTicker, "IQ_DEP_RUA",Input!F$2,Date,,,Ccy,Conv)</f>
        <v>0</v>
      </c>
      <c r="E245" s="4">
        <f>_xll.ciqfunctions.udf.CIQ(InputTicker, "IQ_DEP_RUA",Input!G$2,Date,,,Ccy,Conv)</f>
        <v>0</v>
      </c>
      <c r="F245" s="4">
        <f>_xll.ciqfunctions.udf.CIQ(InputTicker, "IQ_DEP_RUA",Input!H$2,Date,,,Ccy,Conv)</f>
        <v>0</v>
      </c>
      <c r="G245" s="4">
        <f>_xll.ciqfunctions.udf.CIQ(InputTicker, "IQ_DEP_RUA",Input!I$2,Date,,,Ccy,Conv)</f>
        <v>0</v>
      </c>
      <c r="H245" s="4">
        <f>_xll.ciqfunctions.udf.CIQ(InputTicker, "IQ_DEP_RUA",Input!J$2,Date,,,Ccy,Conv)</f>
        <v>0</v>
      </c>
      <c r="I245" s="4">
        <f>_xll.ciqfunctions.udf.CIQ(InputTicker, "IQ_DEP_RUA",Input!K$2,Date,,,Ccy,Conv)</f>
        <v>0</v>
      </c>
      <c r="J245" s="4">
        <f>_xll.ciqfunctions.udf.CIQ(InputTicker, "IQ_DEP_RUA",Input!L$2,Date,,,Ccy,Conv)</f>
        <v>0</v>
      </c>
      <c r="K245" s="4">
        <f>_xll.ciqfunctions.udf.CIQ(InputTicker, "IQ_DEP_RUA",Input!M$2,Date,,,Ccy,Conv)</f>
        <v>0</v>
      </c>
      <c r="L245" s="4">
        <f>_xll.ciqfunctions.udf.CIQ(InputTicker, "IQ_DEP_RUA",Input!N$2,Date,,,Ccy,Conv)</f>
        <v>0</v>
      </c>
      <c r="M245" s="4">
        <f>_xll.ciqfunctions.udf.CIQ(InputTicker, "IQ_DEP_RUA",Input!O$2,Date,,,Ccy,Conv)</f>
        <v>0</v>
      </c>
      <c r="N245" s="49"/>
      <c r="T245" s="42"/>
      <c r="U245" s="42"/>
      <c r="V245" s="42"/>
      <c r="W245" s="42"/>
      <c r="X245" s="42"/>
      <c r="Y245" s="42"/>
      <c r="Z245" s="42"/>
      <c r="AA245" s="42"/>
      <c r="AB245" s="42"/>
      <c r="AC245" s="42"/>
      <c r="AD245" s="42"/>
      <c r="AE245" s="42"/>
      <c r="AF245" s="42"/>
      <c r="AG245" s="42"/>
      <c r="AH245" s="42"/>
      <c r="AI245" s="42"/>
      <c r="AJ245" s="42"/>
      <c r="AK245" s="42"/>
      <c r="AL245" s="42"/>
      <c r="AM245" s="42"/>
      <c r="AN245" s="42"/>
      <c r="AO245" s="42"/>
      <c r="AP245" s="42"/>
      <c r="AQ245" s="42"/>
      <c r="AR245" s="42"/>
      <c r="AS245" s="42"/>
      <c r="AT245" s="42"/>
      <c r="AU245" s="42"/>
      <c r="AV245" s="42"/>
      <c r="AW245" s="42"/>
      <c r="AX245" s="42"/>
      <c r="AY245" s="42"/>
      <c r="AZ245" s="42"/>
      <c r="BA245" s="42"/>
      <c r="BB245" s="42"/>
      <c r="BC245" s="42"/>
      <c r="BD245" s="42"/>
      <c r="BE245" s="42"/>
      <c r="BF245" s="42"/>
      <c r="BG245" s="42"/>
      <c r="BH245" s="42"/>
      <c r="BI245" s="42"/>
      <c r="BJ245" s="42"/>
      <c r="BK245" s="42"/>
      <c r="BL245" s="42"/>
      <c r="BM245" s="42"/>
      <c r="BN245" s="42"/>
    </row>
    <row r="246" spans="1:66" ht="12.75" customHeight="1" x14ac:dyDescent="0.2">
      <c r="A246" s="1" t="s">
        <v>466</v>
      </c>
      <c r="B246" s="4">
        <f>_xll.ciqfunctions.udf.CIQ(InputTicker, "IQ_DA_SUPPL_CF_EXCL_OPER_LEASES",Input!D$2,Date,,,Ccy,Conv)</f>
        <v>4900</v>
      </c>
      <c r="C246" s="4">
        <f>_xll.ciqfunctions.udf.CIQ(InputTicker, "IQ_DA_SUPPL_CF_EXCL_OPER_LEASES",Input!E$2,Date,,,Ccy,Conv)</f>
        <v>6100</v>
      </c>
      <c r="D246" s="4">
        <f>_xll.ciqfunctions.udf.CIQ(InputTicker, "IQ_DA_SUPPL_CF_EXCL_OPER_LEASES",Input!F$2,Date,,,Ccy,Conv)</f>
        <v>7700</v>
      </c>
      <c r="E246" s="4">
        <f>_xll.ciqfunctions.udf.CIQ(InputTicker, "IQ_DA_SUPPL_CF_EXCL_OPER_LEASES",Input!G$2,Date,,,Ccy,Conv)</f>
        <v>9700</v>
      </c>
      <c r="F246" s="4">
        <f>_xll.ciqfunctions.udf.CIQ(InputTicker, "IQ_DA_SUPPL_CF_EXCL_OPER_LEASES",Input!H$2,Date,,,Ccy,Conv)</f>
        <v>10700</v>
      </c>
      <c r="G246" s="4">
        <f>_xll.ciqfunctions.udf.CIQ(InputTicker, "IQ_DA_SUPPL_CF_EXCL_OPER_LEASES",Input!I$2,Date,,,Ccy,Conv)</f>
        <v>9300</v>
      </c>
      <c r="H246" s="4">
        <f>_xll.ciqfunctions.udf.CIQ(InputTicker, "IQ_DA_SUPPL_CF_EXCL_OPER_LEASES",Input!J$2,Date,,,Ccy,Conv)</f>
        <v>12600</v>
      </c>
      <c r="I246" s="4">
        <f>_xll.ciqfunctions.udf.CIQ(InputTicker, "IQ_DA_SUPPL_CF_EXCL_OPER_LEASES",Input!K$2,Date,,,Ccy,Conv)</f>
        <v>11000</v>
      </c>
      <c r="J246" s="4">
        <f>_xll.ciqfunctions.udf.CIQ(InputTicker, "IQ_DA_SUPPL_CF_EXCL_OPER_LEASES",Input!L$2,Date,,,Ccy,Conv)</f>
        <v>15200</v>
      </c>
      <c r="K246" s="4">
        <f>_xll.ciqfunctions.udf.CIQ(InputTicker, "IQ_DA_SUPPL_CF_EXCL_OPER_LEASES",Input!M$2,Date,,,Ccy,Conv)</f>
        <v>22000</v>
      </c>
      <c r="L246" s="4">
        <f>_xll.ciqfunctions.udf.CIQ(InputTicker, "IQ_DA_SUPPL_CF_EXCL_OPER_LEASES",Input!N$2,Date,,,Ccy,Conv)</f>
        <v>34300</v>
      </c>
      <c r="M246" s="4">
        <f>_xll.ciqfunctions.udf.CIQ(InputTicker, "IQ_DA_SUPPL_CF_EXCL_OPER_LEASES",Input!O$2,Date,,,Ccy,Conv)</f>
        <v>34300</v>
      </c>
      <c r="N246" s="49"/>
      <c r="T246" s="42"/>
      <c r="U246" s="42"/>
      <c r="V246" s="42"/>
      <c r="W246" s="42"/>
      <c r="X246" s="42"/>
      <c r="Y246" s="42"/>
      <c r="Z246" s="42"/>
      <c r="AA246" s="42"/>
      <c r="AB246" s="42"/>
      <c r="AC246" s="42"/>
      <c r="AD246" s="42"/>
      <c r="AE246" s="42"/>
      <c r="AF246" s="42"/>
      <c r="AG246" s="42"/>
      <c r="AH246" s="42"/>
      <c r="AI246" s="42"/>
      <c r="AJ246" s="42"/>
      <c r="AK246" s="42"/>
      <c r="AL246" s="42"/>
      <c r="AM246" s="42"/>
      <c r="AN246" s="42"/>
      <c r="AO246" s="42"/>
      <c r="AP246" s="42"/>
      <c r="AQ246" s="42"/>
      <c r="AR246" s="42"/>
      <c r="AS246" s="42"/>
      <c r="AT246" s="42"/>
      <c r="AU246" s="42"/>
      <c r="AV246" s="42"/>
      <c r="AW246" s="42"/>
      <c r="AX246" s="42"/>
      <c r="AY246" s="42"/>
      <c r="AZ246" s="42"/>
      <c r="BA246" s="42"/>
      <c r="BB246" s="42"/>
      <c r="BC246" s="42"/>
      <c r="BD246" s="42"/>
      <c r="BE246" s="42"/>
      <c r="BF246" s="42"/>
      <c r="BG246" s="42"/>
      <c r="BH246" s="42"/>
      <c r="BI246" s="42"/>
      <c r="BJ246" s="42"/>
      <c r="BK246" s="42"/>
      <c r="BL246" s="42"/>
      <c r="BM246" s="42"/>
      <c r="BN246" s="42"/>
    </row>
    <row r="247" spans="1:66" ht="12.75" customHeight="1" x14ac:dyDescent="0.2">
      <c r="A247" s="1" t="s">
        <v>467</v>
      </c>
      <c r="B247" s="4">
        <f>_xll.ciqfunctions.udf.CIQ(InputTicker, "IQ_DA_CF_EXCL_OPER_LEASES",Input!D$2,Date,,,Ccy,Conv)</f>
        <v>5878</v>
      </c>
      <c r="C247" s="4">
        <f>_xll.ciqfunctions.udf.CIQ(InputTicker, "IQ_DA_CF_EXCL_OPER_LEASES",Input!E$2,Date,,,Ccy,Conv)</f>
        <v>7800</v>
      </c>
      <c r="D247" s="4">
        <f>_xll.ciqfunctions.udf.CIQ(InputTicker, "IQ_DA_CF_EXCL_OPER_LEASES",Input!F$2,Date,,,Ccy,Conv)</f>
        <v>9900</v>
      </c>
      <c r="E247" s="4">
        <f>_xll.ciqfunctions.udf.CIQ(InputTicker, "IQ_DA_CF_EXCL_OPER_LEASES",Input!G$2,Date,,,Ccy,Conv)</f>
        <v>11600</v>
      </c>
      <c r="F247" s="4">
        <f>_xll.ciqfunctions.udf.CIQ(InputTicker, "IQ_DA_CF_EXCL_OPER_LEASES",Input!H$2,Date,,,Ccy,Conv)</f>
        <v>12300</v>
      </c>
      <c r="G247" s="4">
        <f>_xll.ciqfunctions.udf.CIQ(InputTicker, "IQ_DA_CF_EXCL_OPER_LEASES",Input!I$2,Date,,,Ccy,Conv)</f>
        <v>10900</v>
      </c>
      <c r="H247" s="4">
        <f>_xll.ciqfunctions.udf.CIQ(InputTicker, "IQ_DA_CF_EXCL_OPER_LEASES",Input!J$2,Date,,,Ccy,Conv)</f>
        <v>14600</v>
      </c>
      <c r="I247" s="4">
        <f>_xll.ciqfunctions.udf.CIQ(InputTicker, "IQ_DA_CF_EXCL_OPER_LEASES",Input!K$2,Date,,,Ccy,Conv)</f>
        <v>13500</v>
      </c>
      <c r="J247" s="4">
        <f>_xll.ciqfunctions.udf.CIQ(InputTicker, "IQ_DA_CF_EXCL_OPER_LEASES",Input!L$2,Date,,,Ccy,Conv)</f>
        <v>20000</v>
      </c>
      <c r="K247" s="4">
        <f>_xll.ciqfunctions.udf.CIQ(InputTicker, "IQ_DA_CF_EXCL_OPER_LEASES",Input!M$2,Date,,,Ccy,Conv)</f>
        <v>28000</v>
      </c>
      <c r="L247" s="4">
        <f>_xll.ciqfunctions.udf.CIQ(InputTicker, "IQ_DA_CF_EXCL_OPER_LEASES",Input!N$2,Date,,,Ccy,Conv)</f>
        <v>39000</v>
      </c>
      <c r="M247" s="4">
        <f>_xll.ciqfunctions.udf.CIQ(InputTicker, "IQ_DA_CF_EXCL_OPER_LEASES",Input!O$2,Date,,,Ccy,Conv)</f>
        <v>39000</v>
      </c>
      <c r="N247" s="49"/>
      <c r="T247" s="42"/>
      <c r="U247" s="42"/>
      <c r="V247" s="42"/>
      <c r="W247" s="42"/>
      <c r="X247" s="42"/>
      <c r="Y247" s="42"/>
      <c r="Z247" s="42"/>
      <c r="AA247" s="42"/>
      <c r="AB247" s="42"/>
      <c r="AC247" s="42"/>
      <c r="AD247" s="42"/>
      <c r="AE247" s="42"/>
      <c r="AF247" s="42"/>
      <c r="AG247" s="42"/>
      <c r="AH247" s="42"/>
      <c r="AI247" s="42"/>
      <c r="AJ247" s="42"/>
      <c r="AK247" s="42"/>
      <c r="AL247" s="42"/>
      <c r="AM247" s="42"/>
      <c r="AN247" s="42"/>
      <c r="AO247" s="42"/>
      <c r="AP247" s="42"/>
      <c r="AQ247" s="42"/>
      <c r="AR247" s="42"/>
      <c r="AS247" s="42"/>
      <c r="AT247" s="42"/>
      <c r="AU247" s="42"/>
      <c r="AV247" s="42"/>
      <c r="AW247" s="42"/>
      <c r="AX247" s="42"/>
      <c r="AY247" s="42"/>
      <c r="AZ247" s="42"/>
      <c r="BA247" s="42"/>
      <c r="BB247" s="42"/>
      <c r="BC247" s="42"/>
      <c r="BD247" s="42"/>
      <c r="BE247" s="42"/>
      <c r="BF247" s="42"/>
      <c r="BG247" s="42"/>
      <c r="BH247" s="42"/>
      <c r="BI247" s="42"/>
      <c r="BJ247" s="42"/>
      <c r="BK247" s="42"/>
      <c r="BL247" s="42"/>
      <c r="BM247" s="42"/>
      <c r="BN247" s="42"/>
    </row>
    <row r="248" spans="1:66" ht="12.75" customHeight="1" x14ac:dyDescent="0.2">
      <c r="A248" s="1" t="s">
        <v>40</v>
      </c>
      <c r="B248" s="4">
        <f>_xll.ciqfunctions.udf.CIQ(InputTicker, "IQ_NEGATIVE_GW_AMORT_CF",Input!D$2,Date,,,Ccy,Conv)</f>
        <v>0</v>
      </c>
      <c r="C248" s="4">
        <f>_xll.ciqfunctions.udf.CIQ(InputTicker, "IQ_NEGATIVE_GW_AMORT_CF",Input!E$2,Date,,,Ccy,Conv)</f>
        <v>0</v>
      </c>
      <c r="D248" s="4">
        <f>_xll.ciqfunctions.udf.CIQ(InputTicker, "IQ_NEGATIVE_GW_AMORT_CF",Input!F$2,Date,,,Ccy,Conv)</f>
        <v>0</v>
      </c>
      <c r="E248" s="4">
        <f>_xll.ciqfunctions.udf.CIQ(InputTicker, "IQ_NEGATIVE_GW_AMORT_CF",Input!G$2,Date,,,Ccy,Conv)</f>
        <v>0</v>
      </c>
      <c r="F248" s="4">
        <f>_xll.ciqfunctions.udf.CIQ(InputTicker, "IQ_NEGATIVE_GW_AMORT_CF",Input!H$2,Date,,,Ccy,Conv)</f>
        <v>0</v>
      </c>
      <c r="G248" s="4">
        <f>_xll.ciqfunctions.udf.CIQ(InputTicker, "IQ_NEGATIVE_GW_AMORT_CF",Input!I$2,Date,,,Ccy,Conv)</f>
        <v>0</v>
      </c>
      <c r="H248" s="4">
        <f>_xll.ciqfunctions.udf.CIQ(InputTicker, "IQ_NEGATIVE_GW_AMORT_CF",Input!J$2,Date,,,Ccy,Conv)</f>
        <v>0</v>
      </c>
      <c r="I248" s="4">
        <f>_xll.ciqfunctions.udf.CIQ(InputTicker, "IQ_NEGATIVE_GW_AMORT_CF",Input!K$2,Date,,,Ccy,Conv)</f>
        <v>0</v>
      </c>
      <c r="J248" s="4">
        <f>_xll.ciqfunctions.udf.CIQ(InputTicker, "IQ_NEGATIVE_GW_AMORT_CF",Input!L$2,Date,,,Ccy,Conv)</f>
        <v>0</v>
      </c>
      <c r="K248" s="4">
        <f>_xll.ciqfunctions.udf.CIQ(InputTicker, "IQ_NEGATIVE_GW_AMORT_CF",Input!M$2,Date,,,Ccy,Conv)</f>
        <v>0</v>
      </c>
      <c r="L248" s="4">
        <f>_xll.ciqfunctions.udf.CIQ(InputTicker, "IQ_NEGATIVE_GW_AMORT_CF",Input!N$2,Date,,,Ccy,Conv)</f>
        <v>0</v>
      </c>
      <c r="M248" s="4">
        <f>_xll.ciqfunctions.udf.CIQ(InputTicker, "IQ_NEGATIVE_GW_AMORT_CF",Input!O$2,Date,,,Ccy,Conv)</f>
        <v>0</v>
      </c>
      <c r="N248" s="49"/>
      <c r="T248" s="42"/>
      <c r="U248" s="42"/>
      <c r="V248" s="42"/>
      <c r="W248" s="42"/>
      <c r="X248" s="42"/>
      <c r="Y248" s="42"/>
      <c r="Z248" s="42"/>
      <c r="AA248" s="42"/>
      <c r="AB248" s="42"/>
      <c r="AC248" s="42"/>
      <c r="AD248" s="42"/>
      <c r="AE248" s="42"/>
      <c r="AF248" s="42"/>
      <c r="AG248" s="42"/>
      <c r="AH248" s="42"/>
      <c r="AI248" s="42"/>
      <c r="AJ248" s="42"/>
      <c r="AK248" s="42"/>
      <c r="AL248" s="42"/>
      <c r="AM248" s="42"/>
      <c r="AN248" s="42"/>
      <c r="AO248" s="42"/>
      <c r="AP248" s="42"/>
      <c r="AQ248" s="42"/>
      <c r="AR248" s="42"/>
      <c r="AS248" s="42"/>
      <c r="AT248" s="42"/>
      <c r="AU248" s="42"/>
      <c r="AV248" s="42"/>
      <c r="AW248" s="42"/>
      <c r="AX248" s="42"/>
      <c r="AY248" s="42"/>
      <c r="AZ248" s="42"/>
      <c r="BA248" s="42"/>
      <c r="BB248" s="42"/>
      <c r="BC248" s="42"/>
      <c r="BD248" s="42"/>
      <c r="BE248" s="42"/>
      <c r="BF248" s="42"/>
      <c r="BG248" s="42"/>
      <c r="BH248" s="42"/>
      <c r="BI248" s="42"/>
      <c r="BJ248" s="42"/>
      <c r="BK248" s="42"/>
      <c r="BL248" s="42"/>
      <c r="BM248" s="42"/>
      <c r="BN248" s="42"/>
    </row>
    <row r="249" spans="1:66" ht="12.75" customHeight="1" x14ac:dyDescent="0.2">
      <c r="A249" s="1" t="s">
        <v>439</v>
      </c>
      <c r="B249" s="4">
        <f>_xll.ciqfunctions.udf.CIQ(InputTicker, "IQ_AMORT_DIC_CF",Input!D$2,Date,,,Ccy,Conv)</f>
        <v>0</v>
      </c>
      <c r="C249" s="4">
        <f>_xll.ciqfunctions.udf.CIQ(InputTicker, "IQ_AMORT_DIC_CF",Input!E$2,Date,,,Ccy,Conv)</f>
        <v>0</v>
      </c>
      <c r="D249" s="4">
        <f>_xll.ciqfunctions.udf.CIQ(InputTicker, "IQ_AMORT_DIC_CF",Input!F$2,Date,,,Ccy,Conv)</f>
        <v>0</v>
      </c>
      <c r="E249" s="4">
        <f>_xll.ciqfunctions.udf.CIQ(InputTicker, "IQ_AMORT_DIC_CF",Input!G$2,Date,,,Ccy,Conv)</f>
        <v>0</v>
      </c>
      <c r="F249" s="4">
        <f>_xll.ciqfunctions.udf.CIQ(InputTicker, "IQ_AMORT_DIC_CF",Input!H$2,Date,,,Ccy,Conv)</f>
        <v>0</v>
      </c>
      <c r="G249" s="4">
        <f>_xll.ciqfunctions.udf.CIQ(InputTicker, "IQ_AMORT_DIC_CF",Input!I$2,Date,,,Ccy,Conv)</f>
        <v>0</v>
      </c>
      <c r="H249" s="4">
        <f>_xll.ciqfunctions.udf.CIQ(InputTicker, "IQ_AMORT_DIC_CF",Input!J$2,Date,,,Ccy,Conv)</f>
        <v>0</v>
      </c>
      <c r="I249" s="4">
        <f>_xll.ciqfunctions.udf.CIQ(InputTicker, "IQ_AMORT_DIC_CF",Input!K$2,Date,,,Ccy,Conv)</f>
        <v>0</v>
      </c>
      <c r="J249" s="4">
        <f>_xll.ciqfunctions.udf.CIQ(InputTicker, "IQ_AMORT_DIC_CF",Input!L$2,Date,,,Ccy,Conv)</f>
        <v>0</v>
      </c>
      <c r="K249" s="4">
        <f>_xll.ciqfunctions.udf.CIQ(InputTicker, "IQ_AMORT_DIC_CF",Input!M$2,Date,,,Ccy,Conv)</f>
        <v>0</v>
      </c>
      <c r="L249" s="4">
        <f>_xll.ciqfunctions.udf.CIQ(InputTicker, "IQ_AMORT_DIC_CF",Input!N$2,Date,,,Ccy,Conv)</f>
        <v>0</v>
      </c>
      <c r="M249" s="4">
        <f>_xll.ciqfunctions.udf.CIQ(InputTicker, "IQ_AMORT_DIC_CF",Input!O$2,Date,,,Ccy,Conv)</f>
        <v>0</v>
      </c>
      <c r="N249" s="49"/>
      <c r="T249" s="42"/>
      <c r="U249" s="42"/>
      <c r="V249" s="42"/>
      <c r="W249" s="42"/>
      <c r="X249" s="42"/>
      <c r="Y249" s="42"/>
      <c r="Z249" s="42"/>
      <c r="AA249" s="42"/>
      <c r="AB249" s="42"/>
      <c r="AC249" s="42"/>
      <c r="AD249" s="42"/>
      <c r="AE249" s="42"/>
      <c r="AF249" s="42"/>
      <c r="AG249" s="42"/>
      <c r="AH249" s="42"/>
      <c r="AI249" s="42"/>
      <c r="AJ249" s="42"/>
      <c r="AK249" s="42"/>
      <c r="AL249" s="42"/>
      <c r="AM249" s="42"/>
      <c r="AN249" s="42"/>
      <c r="AO249" s="42"/>
      <c r="AP249" s="42"/>
      <c r="AQ249" s="42"/>
      <c r="AR249" s="42"/>
      <c r="AS249" s="42"/>
      <c r="AT249" s="42"/>
      <c r="AU249" s="42"/>
      <c r="AV249" s="42"/>
      <c r="AW249" s="42"/>
      <c r="AX249" s="42"/>
      <c r="AY249" s="42"/>
      <c r="AZ249" s="42"/>
      <c r="BA249" s="42"/>
      <c r="BB249" s="42"/>
      <c r="BC249" s="42"/>
      <c r="BD249" s="42"/>
      <c r="BE249" s="42"/>
      <c r="BF249" s="42"/>
      <c r="BG249" s="42"/>
      <c r="BH249" s="42"/>
      <c r="BI249" s="42"/>
      <c r="BJ249" s="42"/>
      <c r="BK249" s="42"/>
      <c r="BL249" s="42"/>
      <c r="BM249" s="42"/>
      <c r="BN249" s="42"/>
    </row>
    <row r="250" spans="1:66" ht="12.75" customHeight="1" x14ac:dyDescent="0.2">
      <c r="A250" s="1" t="s">
        <v>440</v>
      </c>
      <c r="B250" s="4">
        <f>_xll.ciqfunctions.udf.CIQ(InputTicker, "IQ_AMORT_SOFTWARE_ASSETS_CF",Input!D$2,Date,,,Ccy,Conv)</f>
        <v>69</v>
      </c>
      <c r="C250" s="4">
        <f>_xll.ciqfunctions.udf.CIQ(InputTicker, "IQ_AMORT_SOFTWARE_ASSETS_CF",Input!E$2,Date,,,Ccy,Conv)</f>
        <v>0</v>
      </c>
      <c r="D250" s="4">
        <f>_xll.ciqfunctions.udf.CIQ(InputTicker, "IQ_AMORT_SOFTWARE_ASSETS_CF",Input!F$2,Date,,,Ccy,Conv)</f>
        <v>0</v>
      </c>
      <c r="E250" s="4">
        <f>_xll.ciqfunctions.udf.CIQ(InputTicker, "IQ_AMORT_SOFTWARE_ASSETS_CF",Input!G$2,Date,,,Ccy,Conv)</f>
        <v>0</v>
      </c>
      <c r="F250" s="4">
        <f>_xll.ciqfunctions.udf.CIQ(InputTicker, "IQ_AMORT_SOFTWARE_ASSETS_CF",Input!H$2,Date,,,Ccy,Conv)</f>
        <v>0</v>
      </c>
      <c r="G250" s="4">
        <f>_xll.ciqfunctions.udf.CIQ(InputTicker, "IQ_AMORT_SOFTWARE_ASSETS_CF",Input!I$2,Date,,,Ccy,Conv)</f>
        <v>0</v>
      </c>
      <c r="H250" s="4">
        <f>_xll.ciqfunctions.udf.CIQ(InputTicker, "IQ_AMORT_SOFTWARE_ASSETS_CF",Input!J$2,Date,,,Ccy,Conv)</f>
        <v>0</v>
      </c>
      <c r="I250" s="4">
        <f>_xll.ciqfunctions.udf.CIQ(InputTicker, "IQ_AMORT_SOFTWARE_ASSETS_CF",Input!K$2,Date,,,Ccy,Conv)</f>
        <v>0</v>
      </c>
      <c r="J250" s="4">
        <f>_xll.ciqfunctions.udf.CIQ(InputTicker, "IQ_AMORT_SOFTWARE_ASSETS_CF",Input!L$2,Date,,,Ccy,Conv)</f>
        <v>0</v>
      </c>
      <c r="K250" s="4">
        <f>_xll.ciqfunctions.udf.CIQ(InputTicker, "IQ_AMORT_SOFTWARE_ASSETS_CF",Input!M$2,Date,,,Ccy,Conv)</f>
        <v>0</v>
      </c>
      <c r="L250" s="4">
        <f>_xll.ciqfunctions.udf.CIQ(InputTicker, "IQ_AMORT_SOFTWARE_ASSETS_CF",Input!N$2,Date,,,Ccy,Conv)</f>
        <v>0</v>
      </c>
      <c r="M250" s="4">
        <f>_xll.ciqfunctions.udf.CIQ(InputTicker, "IQ_AMORT_SOFTWARE_ASSETS_CF",Input!O$2,Date,,,Ccy,Conv)</f>
        <v>0</v>
      </c>
      <c r="N250" s="49"/>
      <c r="T250" s="42"/>
      <c r="U250" s="42"/>
      <c r="V250" s="42"/>
      <c r="W250" s="42"/>
      <c r="X250" s="42"/>
      <c r="Y250" s="42"/>
      <c r="Z250" s="42"/>
      <c r="AA250" s="42"/>
      <c r="AB250" s="42"/>
      <c r="AC250" s="42"/>
      <c r="AD250" s="42"/>
      <c r="AE250" s="42"/>
      <c r="AF250" s="42"/>
      <c r="AG250" s="42"/>
      <c r="AH250" s="42"/>
      <c r="AI250" s="42"/>
      <c r="AJ250" s="42"/>
      <c r="AK250" s="42"/>
      <c r="AL250" s="42"/>
      <c r="AM250" s="42"/>
      <c r="AN250" s="42"/>
      <c r="AO250" s="42"/>
      <c r="AP250" s="42"/>
      <c r="AQ250" s="42"/>
      <c r="AR250" s="42"/>
      <c r="AS250" s="42"/>
      <c r="AT250" s="42"/>
      <c r="AU250" s="42"/>
      <c r="AV250" s="42"/>
      <c r="AW250" s="42"/>
      <c r="AX250" s="42"/>
      <c r="AY250" s="42"/>
      <c r="AZ250" s="42"/>
      <c r="BA250" s="42"/>
      <c r="BB250" s="42"/>
      <c r="BC250" s="42"/>
      <c r="BD250" s="42"/>
      <c r="BE250" s="42"/>
      <c r="BF250" s="42"/>
      <c r="BG250" s="42"/>
      <c r="BH250" s="42"/>
      <c r="BI250" s="42"/>
      <c r="BJ250" s="42"/>
      <c r="BK250" s="42"/>
      <c r="BL250" s="42"/>
      <c r="BM250" s="42"/>
      <c r="BN250" s="42"/>
    </row>
    <row r="251" spans="1:66" ht="12.75" customHeight="1" x14ac:dyDescent="0.2">
      <c r="A251" s="1" t="s">
        <v>32</v>
      </c>
      <c r="B251" s="4">
        <f>_xll.ciqfunctions.udf.CIQ(InputTicker, "IQ_SALE_PROCEEDS_RENTAL_ASSETS",Input!D$2,Date,,,Ccy,Conv)</f>
        <v>0</v>
      </c>
      <c r="C251" s="4">
        <f>_xll.ciqfunctions.udf.CIQ(InputTicker, "IQ_SALE_PROCEEDS_RENTAL_ASSETS",Input!E$2,Date,,,Ccy,Conv)</f>
        <v>0</v>
      </c>
      <c r="D251" s="4">
        <f>_xll.ciqfunctions.udf.CIQ(InputTicker, "IQ_SALE_PROCEEDS_RENTAL_ASSETS",Input!F$2,Date,,,Ccy,Conv)</f>
        <v>0</v>
      </c>
      <c r="E251" s="4">
        <f>_xll.ciqfunctions.udf.CIQ(InputTicker, "IQ_SALE_PROCEEDS_RENTAL_ASSETS",Input!G$2,Date,,,Ccy,Conv)</f>
        <v>0</v>
      </c>
      <c r="F251" s="4">
        <f>_xll.ciqfunctions.udf.CIQ(InputTicker, "IQ_SALE_PROCEEDS_RENTAL_ASSETS",Input!H$2,Date,,,Ccy,Conv)</f>
        <v>0</v>
      </c>
      <c r="G251" s="4">
        <f>_xll.ciqfunctions.udf.CIQ(InputTicker, "IQ_SALE_PROCEEDS_RENTAL_ASSETS",Input!I$2,Date,,,Ccy,Conv)</f>
        <v>0</v>
      </c>
      <c r="H251" s="4">
        <f>_xll.ciqfunctions.udf.CIQ(InputTicker, "IQ_SALE_PROCEEDS_RENTAL_ASSETS",Input!J$2,Date,,,Ccy,Conv)</f>
        <v>0</v>
      </c>
      <c r="I251" s="4">
        <f>_xll.ciqfunctions.udf.CIQ(InputTicker, "IQ_SALE_PROCEEDS_RENTAL_ASSETS",Input!K$2,Date,,,Ccy,Conv)</f>
        <v>0</v>
      </c>
      <c r="J251" s="4">
        <f>_xll.ciqfunctions.udf.CIQ(InputTicker, "IQ_SALE_PROCEEDS_RENTAL_ASSETS",Input!L$2,Date,,,Ccy,Conv)</f>
        <v>0</v>
      </c>
      <c r="K251" s="4">
        <f>_xll.ciqfunctions.udf.CIQ(InputTicker, "IQ_SALE_PROCEEDS_RENTAL_ASSETS",Input!M$2,Date,,,Ccy,Conv)</f>
        <v>0</v>
      </c>
      <c r="L251" s="4">
        <f>_xll.ciqfunctions.udf.CIQ(InputTicker, "IQ_SALE_PROCEEDS_RENTAL_ASSETS",Input!N$2,Date,,,Ccy,Conv)</f>
        <v>0</v>
      </c>
      <c r="M251" s="4">
        <f>_xll.ciqfunctions.udf.CIQ(InputTicker, "IQ_SALE_PROCEEDS_RENTAL_ASSETS",Input!O$2,Date,,,Ccy,Conv)</f>
        <v>0</v>
      </c>
      <c r="N251" s="49"/>
      <c r="T251" s="42"/>
      <c r="U251" s="42"/>
      <c r="V251" s="42"/>
      <c r="W251" s="42"/>
      <c r="X251" s="42"/>
      <c r="Y251" s="42"/>
      <c r="Z251" s="42"/>
      <c r="AA251" s="42"/>
      <c r="AB251" s="42"/>
      <c r="AC251" s="42"/>
      <c r="AD251" s="42"/>
      <c r="AE251" s="42"/>
      <c r="AF251" s="42"/>
      <c r="AG251" s="42"/>
      <c r="AH251" s="42"/>
      <c r="AI251" s="42"/>
      <c r="AJ251" s="42"/>
      <c r="AK251" s="42"/>
      <c r="AL251" s="42"/>
      <c r="AM251" s="42"/>
      <c r="AN251" s="42"/>
      <c r="AO251" s="42"/>
      <c r="AP251" s="42"/>
      <c r="AQ251" s="42"/>
      <c r="AR251" s="42"/>
      <c r="AS251" s="42"/>
      <c r="AT251" s="42"/>
      <c r="AU251" s="42"/>
      <c r="AV251" s="42"/>
      <c r="AW251" s="42"/>
      <c r="AX251" s="42"/>
      <c r="AY251" s="42"/>
      <c r="AZ251" s="42"/>
      <c r="BA251" s="42"/>
      <c r="BB251" s="42"/>
      <c r="BC251" s="42"/>
      <c r="BD251" s="42"/>
      <c r="BE251" s="42"/>
      <c r="BF251" s="42"/>
      <c r="BG251" s="42"/>
      <c r="BH251" s="42"/>
      <c r="BI251" s="42"/>
      <c r="BJ251" s="42"/>
      <c r="BK251" s="42"/>
      <c r="BL251" s="42"/>
      <c r="BM251" s="42"/>
      <c r="BN251" s="42"/>
    </row>
    <row r="252" spans="1:66" ht="12.75" customHeight="1" x14ac:dyDescent="0.2">
      <c r="A252" s="1" t="s">
        <v>48</v>
      </c>
      <c r="B252" s="4">
        <f>_xll.ciqfunctions.udf.CIQ(InputTicker, "IQ_CASH_INTEREST",Input!D$2,Date,,,Ccy,Conv)</f>
        <v>1100</v>
      </c>
      <c r="C252" s="4">
        <f>_xll.ciqfunctions.udf.CIQ(InputTicker, "IQ_CASH_INTEREST",Input!E$2,Date,,,Ccy,Conv)</f>
        <v>1600</v>
      </c>
      <c r="D252" s="4">
        <f>_xll.ciqfunctions.udf.CIQ(InputTicker, "IQ_CASH_INTEREST",Input!F$2,Date,,,Ccy,Conv)</f>
        <v>0</v>
      </c>
      <c r="E252" s="4">
        <f>_xll.ciqfunctions.udf.CIQ(InputTicker, "IQ_CASH_INTEREST",Input!G$2,Date,,,Ccy,Conv)</f>
        <v>2400</v>
      </c>
      <c r="F252" s="4">
        <f>_xll.ciqfunctions.udf.CIQ(InputTicker, "IQ_CASH_INTEREST",Input!H$2,Date,,,Ccy,Conv)</f>
        <v>2400</v>
      </c>
      <c r="G252" s="4">
        <f>_xll.ciqfunctions.udf.CIQ(InputTicker, "IQ_CASH_INTEREST",Input!I$2,Date,,,Ccy,Conv)</f>
        <v>2000</v>
      </c>
      <c r="H252" s="4">
        <f>_xll.ciqfunctions.udf.CIQ(InputTicker, "IQ_CASH_INTEREST",Input!J$2,Date,,,Ccy,Conv)</f>
        <v>1900</v>
      </c>
      <c r="I252" s="4">
        <f>_xll.ciqfunctions.udf.CIQ(InputTicker, "IQ_CASH_INTEREST",Input!K$2,Date,,,Ccy,Conv)</f>
        <v>1700</v>
      </c>
      <c r="J252" s="4">
        <f>_xll.ciqfunctions.udf.CIQ(InputTicker, "IQ_CASH_INTEREST",Input!L$2,Date,,,Ccy,Conv)</f>
        <v>1700</v>
      </c>
      <c r="K252" s="4">
        <f>_xll.ciqfunctions.udf.CIQ(InputTicker, "IQ_CASH_INTEREST",Input!M$2,Date,,,Ccy,Conv)</f>
        <v>1600</v>
      </c>
      <c r="L252" s="4">
        <f>_xll.ciqfunctions.udf.CIQ(InputTicker, "IQ_CASH_INTEREST",Input!N$2,Date,,,Ccy,Conv)</f>
        <v>1500</v>
      </c>
      <c r="M252" s="4">
        <f>_xll.ciqfunctions.udf.CIQ(InputTicker, "IQ_CASH_INTEREST",Input!O$2,Date,,,Ccy,Conv)</f>
        <v>1500</v>
      </c>
      <c r="N252" s="49"/>
      <c r="T252" s="42"/>
      <c r="U252" s="42"/>
      <c r="V252" s="42"/>
      <c r="W252" s="42"/>
      <c r="X252" s="42"/>
      <c r="Y252" s="42"/>
      <c r="Z252" s="42"/>
      <c r="AA252" s="42"/>
      <c r="AB252" s="42"/>
      <c r="AC252" s="42"/>
      <c r="AD252" s="42"/>
      <c r="AE252" s="42"/>
      <c r="AF252" s="42"/>
      <c r="AG252" s="42"/>
      <c r="AH252" s="42"/>
      <c r="AI252" s="42"/>
      <c r="AJ252" s="42"/>
      <c r="AK252" s="42"/>
      <c r="AL252" s="42"/>
      <c r="AM252" s="42"/>
      <c r="AN252" s="42"/>
      <c r="AO252" s="42"/>
      <c r="AP252" s="42"/>
      <c r="AQ252" s="42"/>
      <c r="AR252" s="42"/>
      <c r="AS252" s="42"/>
      <c r="AT252" s="42"/>
      <c r="AU252" s="42"/>
      <c r="AV252" s="42"/>
      <c r="AW252" s="42"/>
      <c r="AX252" s="42"/>
      <c r="AY252" s="42"/>
      <c r="AZ252" s="42"/>
      <c r="BA252" s="42"/>
      <c r="BB252" s="42"/>
      <c r="BC252" s="42"/>
      <c r="BD252" s="42"/>
      <c r="BE252" s="42"/>
      <c r="BF252" s="42"/>
      <c r="BG252" s="42"/>
      <c r="BH252" s="42"/>
      <c r="BI252" s="42"/>
      <c r="BJ252" s="42"/>
      <c r="BK252" s="42"/>
      <c r="BL252" s="42"/>
      <c r="BM252" s="42"/>
      <c r="BN252" s="42"/>
    </row>
    <row r="253" spans="1:66" ht="12.75" customHeight="1" x14ac:dyDescent="0.2">
      <c r="A253" s="1" t="s">
        <v>409</v>
      </c>
      <c r="B253" s="4">
        <f>_xll.ciqfunctions.udf.CIQ(InputTicker, "IQ_CASH_INTEREST_NET",Input!D$2,Date,,,Ccy,Conv)</f>
        <v>0</v>
      </c>
      <c r="C253" s="4">
        <f>_xll.ciqfunctions.udf.CIQ(InputTicker, "IQ_CASH_INTEREST_NET",Input!E$2,Date,,,Ccy,Conv)</f>
        <v>0</v>
      </c>
      <c r="D253" s="4">
        <f>_xll.ciqfunctions.udf.CIQ(InputTicker, "IQ_CASH_INTEREST_NET",Input!F$2,Date,,,Ccy,Conv)</f>
        <v>0</v>
      </c>
      <c r="E253" s="4">
        <f>_xll.ciqfunctions.udf.CIQ(InputTicker, "IQ_CASH_INTEREST_NET",Input!G$2,Date,,,Ccy,Conv)</f>
        <v>0</v>
      </c>
      <c r="F253" s="4">
        <f>_xll.ciqfunctions.udf.CIQ(InputTicker, "IQ_CASH_INTEREST_NET",Input!H$2,Date,,,Ccy,Conv)</f>
        <v>0</v>
      </c>
      <c r="G253" s="4">
        <f>_xll.ciqfunctions.udf.CIQ(InputTicker, "IQ_CASH_INTEREST_NET",Input!I$2,Date,,,Ccy,Conv)</f>
        <v>0</v>
      </c>
      <c r="H253" s="4">
        <f>_xll.ciqfunctions.udf.CIQ(InputTicker, "IQ_CASH_INTEREST_NET",Input!J$2,Date,,,Ccy,Conv)</f>
        <v>0</v>
      </c>
      <c r="I253" s="4">
        <f>_xll.ciqfunctions.udf.CIQ(InputTicker, "IQ_CASH_INTEREST_NET",Input!K$2,Date,,,Ccy,Conv)</f>
        <v>0</v>
      </c>
      <c r="J253" s="4">
        <f>_xll.ciqfunctions.udf.CIQ(InputTicker, "IQ_CASH_INTEREST_NET",Input!L$2,Date,,,Ccy,Conv)</f>
        <v>0</v>
      </c>
      <c r="K253" s="4">
        <f>_xll.ciqfunctions.udf.CIQ(InputTicker, "IQ_CASH_INTEREST_NET",Input!M$2,Date,,,Ccy,Conv)</f>
        <v>0</v>
      </c>
      <c r="L253" s="4">
        <f>_xll.ciqfunctions.udf.CIQ(InputTicker, "IQ_CASH_INTEREST_NET",Input!N$2,Date,,,Ccy,Conv)</f>
        <v>0</v>
      </c>
      <c r="M253" s="4">
        <f>_xll.ciqfunctions.udf.CIQ(InputTicker, "IQ_CASH_INTEREST_NET",Input!O$2,Date,,,Ccy,Conv)</f>
        <v>0</v>
      </c>
      <c r="N253" s="49"/>
      <c r="T253" s="42"/>
      <c r="U253" s="42"/>
      <c r="V253" s="42"/>
      <c r="W253" s="42"/>
      <c r="X253" s="42"/>
      <c r="Y253" s="42"/>
      <c r="Z253" s="42"/>
      <c r="AA253" s="42"/>
      <c r="AB253" s="42"/>
      <c r="AC253" s="42"/>
      <c r="AD253" s="42"/>
      <c r="AE253" s="42"/>
      <c r="AF253" s="42"/>
      <c r="AG253" s="42"/>
      <c r="AH253" s="42"/>
      <c r="AI253" s="42"/>
      <c r="AJ253" s="42"/>
      <c r="AK253" s="42"/>
      <c r="AL253" s="42"/>
      <c r="AM253" s="42"/>
      <c r="AN253" s="42"/>
      <c r="AO253" s="42"/>
      <c r="AP253" s="42"/>
      <c r="AQ253" s="42"/>
      <c r="AR253" s="42"/>
      <c r="AS253" s="42"/>
      <c r="AT253" s="42"/>
      <c r="AU253" s="42"/>
      <c r="AV253" s="42"/>
      <c r="AW253" s="42"/>
      <c r="AX253" s="42"/>
      <c r="AY253" s="42"/>
      <c r="AZ253" s="42"/>
      <c r="BA253" s="42"/>
      <c r="BB253" s="42"/>
      <c r="BC253" s="42"/>
      <c r="BD253" s="42"/>
      <c r="BE253" s="42"/>
      <c r="BF253" s="42"/>
      <c r="BG253" s="42"/>
      <c r="BH253" s="42"/>
      <c r="BI253" s="42"/>
      <c r="BJ253" s="42"/>
      <c r="BK253" s="42"/>
      <c r="BL253" s="42"/>
      <c r="BM253" s="42"/>
      <c r="BN253" s="42"/>
    </row>
    <row r="254" spans="1:66" ht="12.75" customHeight="1" x14ac:dyDescent="0.2">
      <c r="A254" s="1" t="s">
        <v>507</v>
      </c>
      <c r="B254" s="4">
        <f>_xll.ciqfunctions.udf.CIQ(InputTicker, "IQ_CASH_INTEREST_RECEIVED",Input!D$2,Date,,,Ccy,Conv)</f>
        <v>0</v>
      </c>
      <c r="C254" s="4">
        <f>_xll.ciqfunctions.udf.CIQ(InputTicker, "IQ_CASH_INTEREST_RECEIVED",Input!E$2,Date,,,Ccy,Conv)</f>
        <v>0</v>
      </c>
      <c r="D254" s="4">
        <f>_xll.ciqfunctions.udf.CIQ(InputTicker, "IQ_CASH_INTEREST_RECEIVED",Input!F$2,Date,,,Ccy,Conv)</f>
        <v>0</v>
      </c>
      <c r="E254" s="4">
        <f>_xll.ciqfunctions.udf.CIQ(InputTicker, "IQ_CASH_INTEREST_RECEIVED",Input!G$2,Date,,,Ccy,Conv)</f>
        <v>0</v>
      </c>
      <c r="F254" s="4">
        <f>_xll.ciqfunctions.udf.CIQ(InputTicker, "IQ_CASH_INTEREST_RECEIVED",Input!H$2,Date,,,Ccy,Conv)</f>
        <v>0</v>
      </c>
      <c r="G254" s="4">
        <f>_xll.ciqfunctions.udf.CIQ(InputTicker, "IQ_CASH_INTEREST_RECEIVED",Input!I$2,Date,,,Ccy,Conv)</f>
        <v>0</v>
      </c>
      <c r="H254" s="4">
        <f>_xll.ciqfunctions.udf.CIQ(InputTicker, "IQ_CASH_INTEREST_RECEIVED",Input!J$2,Date,,,Ccy,Conv)</f>
        <v>0</v>
      </c>
      <c r="I254" s="4">
        <f>_xll.ciqfunctions.udf.CIQ(InputTicker, "IQ_CASH_INTEREST_RECEIVED",Input!K$2,Date,,,Ccy,Conv)</f>
        <v>0</v>
      </c>
      <c r="J254" s="4">
        <f>_xll.ciqfunctions.udf.CIQ(InputTicker, "IQ_CASH_INTEREST_RECEIVED",Input!L$2,Date,,,Ccy,Conv)</f>
        <v>0</v>
      </c>
      <c r="K254" s="4">
        <f>_xll.ciqfunctions.udf.CIQ(InputTicker, "IQ_CASH_INTEREST_RECEIVED",Input!M$2,Date,,,Ccy,Conv)</f>
        <v>0</v>
      </c>
      <c r="L254" s="4">
        <f>_xll.ciqfunctions.udf.CIQ(InputTicker, "IQ_CASH_INTEREST_RECEIVED",Input!N$2,Date,,,Ccy,Conv)</f>
        <v>0</v>
      </c>
      <c r="M254" s="4">
        <f>_xll.ciqfunctions.udf.CIQ(InputTicker, "IQ_CASH_INTEREST_RECEIVED",Input!O$2,Date,,,Ccy,Conv)</f>
        <v>0</v>
      </c>
      <c r="N254" s="49"/>
      <c r="T254" s="42"/>
      <c r="U254" s="42"/>
      <c r="V254" s="42"/>
      <c r="W254" s="42"/>
      <c r="X254" s="42"/>
      <c r="Y254" s="42"/>
      <c r="Z254" s="42"/>
      <c r="AA254" s="42"/>
      <c r="AB254" s="42"/>
      <c r="AC254" s="42"/>
      <c r="AD254" s="42"/>
      <c r="AE254" s="42"/>
      <c r="AF254" s="42"/>
      <c r="AG254" s="42"/>
      <c r="AH254" s="42"/>
      <c r="AI254" s="42"/>
      <c r="AJ254" s="42"/>
      <c r="AK254" s="42"/>
      <c r="AL254" s="42"/>
      <c r="AM254" s="42"/>
      <c r="AN254" s="42"/>
      <c r="AO254" s="42"/>
      <c r="AP254" s="42"/>
      <c r="AQ254" s="42"/>
      <c r="AR254" s="42"/>
      <c r="AS254" s="42"/>
      <c r="AT254" s="42"/>
      <c r="AU254" s="42"/>
      <c r="AV254" s="42"/>
      <c r="AW254" s="42"/>
      <c r="AX254" s="42"/>
      <c r="AY254" s="42"/>
      <c r="AZ254" s="42"/>
      <c r="BA254" s="42"/>
      <c r="BB254" s="42"/>
      <c r="BC254" s="42"/>
      <c r="BD254" s="42"/>
      <c r="BE254" s="42"/>
      <c r="BF254" s="42"/>
      <c r="BG254" s="42"/>
      <c r="BH254" s="42"/>
      <c r="BI254" s="42"/>
      <c r="BJ254" s="42"/>
      <c r="BK254" s="42"/>
      <c r="BL254" s="42"/>
      <c r="BM254" s="42"/>
      <c r="BN254" s="42"/>
    </row>
    <row r="255" spans="1:66" ht="12.75" customHeight="1" x14ac:dyDescent="0.2">
      <c r="A255" s="1" t="s">
        <v>381</v>
      </c>
      <c r="B255" s="4">
        <f>_xll.ciqfunctions.udf.CIQ(InputTicker, "IQ_CASH_INTEREST_OPER",Input!D$2,Date,,,Ccy,Conv)</f>
        <v>0</v>
      </c>
      <c r="C255" s="4">
        <f>_xll.ciqfunctions.udf.CIQ(InputTicker, "IQ_CASH_INTEREST_OPER",Input!E$2,Date,,,Ccy,Conv)</f>
        <v>0</v>
      </c>
      <c r="D255" s="4">
        <f>_xll.ciqfunctions.udf.CIQ(InputTicker, "IQ_CASH_INTEREST_OPER",Input!F$2,Date,,,Ccy,Conv)</f>
        <v>0</v>
      </c>
      <c r="E255" s="4">
        <f>_xll.ciqfunctions.udf.CIQ(InputTicker, "IQ_CASH_INTEREST_OPER",Input!G$2,Date,,,Ccy,Conv)</f>
        <v>0</v>
      </c>
      <c r="F255" s="4">
        <f>_xll.ciqfunctions.udf.CIQ(InputTicker, "IQ_CASH_INTEREST_OPER",Input!H$2,Date,,,Ccy,Conv)</f>
        <v>0</v>
      </c>
      <c r="G255" s="4">
        <f>_xll.ciqfunctions.udf.CIQ(InputTicker, "IQ_CASH_INTEREST_OPER",Input!I$2,Date,,,Ccy,Conv)</f>
        <v>0</v>
      </c>
      <c r="H255" s="4">
        <f>_xll.ciqfunctions.udf.CIQ(InputTicker, "IQ_CASH_INTEREST_OPER",Input!J$2,Date,,,Ccy,Conv)</f>
        <v>0</v>
      </c>
      <c r="I255" s="4">
        <f>_xll.ciqfunctions.udf.CIQ(InputTicker, "IQ_CASH_INTEREST_OPER",Input!K$2,Date,,,Ccy,Conv)</f>
        <v>0</v>
      </c>
      <c r="J255" s="4">
        <f>_xll.ciqfunctions.udf.CIQ(InputTicker, "IQ_CASH_INTEREST_OPER",Input!L$2,Date,,,Ccy,Conv)</f>
        <v>0</v>
      </c>
      <c r="K255" s="4">
        <f>_xll.ciqfunctions.udf.CIQ(InputTicker, "IQ_CASH_INTEREST_OPER",Input!M$2,Date,,,Ccy,Conv)</f>
        <v>0</v>
      </c>
      <c r="L255" s="4">
        <f>_xll.ciqfunctions.udf.CIQ(InputTicker, "IQ_CASH_INTEREST_OPER",Input!N$2,Date,,,Ccy,Conv)</f>
        <v>0</v>
      </c>
      <c r="M255" s="4">
        <f>_xll.ciqfunctions.udf.CIQ(InputTicker, "IQ_CASH_INTEREST_OPER",Input!O$2,Date,,,Ccy,Conv)</f>
        <v>0</v>
      </c>
      <c r="N255" s="49"/>
      <c r="T255" s="42"/>
      <c r="U255" s="42"/>
      <c r="V255" s="42"/>
      <c r="W255" s="42"/>
      <c r="X255" s="42"/>
      <c r="Y255" s="42"/>
      <c r="Z255" s="42"/>
      <c r="AA255" s="42"/>
      <c r="AB255" s="42"/>
      <c r="AC255" s="42"/>
      <c r="AD255" s="42"/>
      <c r="AE255" s="42"/>
      <c r="AF255" s="42"/>
      <c r="AG255" s="42"/>
      <c r="AH255" s="42"/>
      <c r="AI255" s="42"/>
      <c r="AJ255" s="42"/>
      <c r="AK255" s="42"/>
      <c r="AL255" s="42"/>
      <c r="AM255" s="42"/>
      <c r="AN255" s="42"/>
      <c r="AO255" s="42"/>
      <c r="AP255" s="42"/>
      <c r="AQ255" s="42"/>
      <c r="AR255" s="42"/>
      <c r="AS255" s="42"/>
      <c r="AT255" s="42"/>
      <c r="AU255" s="42"/>
      <c r="AV255" s="42"/>
      <c r="AW255" s="42"/>
      <c r="AX255" s="42"/>
      <c r="AY255" s="42"/>
      <c r="AZ255" s="42"/>
      <c r="BA255" s="42"/>
      <c r="BB255" s="42"/>
      <c r="BC255" s="42"/>
      <c r="BD255" s="42"/>
      <c r="BE255" s="42"/>
      <c r="BF255" s="42"/>
      <c r="BG255" s="42"/>
      <c r="BH255" s="42"/>
      <c r="BI255" s="42"/>
      <c r="BJ255" s="42"/>
      <c r="BK255" s="42"/>
      <c r="BL255" s="42"/>
      <c r="BM255" s="42"/>
      <c r="BN255" s="42"/>
    </row>
    <row r="256" spans="1:66" ht="12.75" customHeight="1" x14ac:dyDescent="0.2">
      <c r="A256" s="1" t="s">
        <v>382</v>
      </c>
      <c r="B256" s="4">
        <f>_xll.ciqfunctions.udf.CIQ(InputTicker, "IQ_CASH_INTEREST_INVEST",Input!D$2,Date,,,Ccy,Conv)</f>
        <v>0</v>
      </c>
      <c r="C256" s="4">
        <f>_xll.ciqfunctions.udf.CIQ(InputTicker, "IQ_CASH_INTEREST_INVEST",Input!E$2,Date,,,Ccy,Conv)</f>
        <v>0</v>
      </c>
      <c r="D256" s="4">
        <f>_xll.ciqfunctions.udf.CIQ(InputTicker, "IQ_CASH_INTEREST_INVEST",Input!F$2,Date,,,Ccy,Conv)</f>
        <v>0</v>
      </c>
      <c r="E256" s="4">
        <f>_xll.ciqfunctions.udf.CIQ(InputTicker, "IQ_CASH_INTEREST_INVEST",Input!G$2,Date,,,Ccy,Conv)</f>
        <v>0</v>
      </c>
      <c r="F256" s="4">
        <f>_xll.ciqfunctions.udf.CIQ(InputTicker, "IQ_CASH_INTEREST_INVEST",Input!H$2,Date,,,Ccy,Conv)</f>
        <v>0</v>
      </c>
      <c r="G256" s="4">
        <f>_xll.ciqfunctions.udf.CIQ(InputTicker, "IQ_CASH_INTEREST_INVEST",Input!I$2,Date,,,Ccy,Conv)</f>
        <v>0</v>
      </c>
      <c r="H256" s="4">
        <f>_xll.ciqfunctions.udf.CIQ(InputTicker, "IQ_CASH_INTEREST_INVEST",Input!J$2,Date,,,Ccy,Conv)</f>
        <v>0</v>
      </c>
      <c r="I256" s="4">
        <f>_xll.ciqfunctions.udf.CIQ(InputTicker, "IQ_CASH_INTEREST_INVEST",Input!K$2,Date,,,Ccy,Conv)</f>
        <v>0</v>
      </c>
      <c r="J256" s="4">
        <f>_xll.ciqfunctions.udf.CIQ(InputTicker, "IQ_CASH_INTEREST_INVEST",Input!L$2,Date,,,Ccy,Conv)</f>
        <v>0</v>
      </c>
      <c r="K256" s="4">
        <f>_xll.ciqfunctions.udf.CIQ(InputTicker, "IQ_CASH_INTEREST_INVEST",Input!M$2,Date,,,Ccy,Conv)</f>
        <v>0</v>
      </c>
      <c r="L256" s="4">
        <f>_xll.ciqfunctions.udf.CIQ(InputTicker, "IQ_CASH_INTEREST_INVEST",Input!N$2,Date,,,Ccy,Conv)</f>
        <v>0</v>
      </c>
      <c r="M256" s="4">
        <f>_xll.ciqfunctions.udf.CIQ(InputTicker, "IQ_CASH_INTEREST_INVEST",Input!O$2,Date,,,Ccy,Conv)</f>
        <v>0</v>
      </c>
      <c r="N256" s="49"/>
      <c r="T256" s="42"/>
      <c r="U256" s="42"/>
      <c r="V256" s="42"/>
      <c r="W256" s="42"/>
      <c r="X256" s="42"/>
      <c r="Y256" s="42"/>
      <c r="Z256" s="42"/>
      <c r="AA256" s="42"/>
      <c r="AB256" s="42"/>
      <c r="AC256" s="42"/>
      <c r="AD256" s="42"/>
      <c r="AE256" s="42"/>
      <c r="AF256" s="42"/>
      <c r="AG256" s="42"/>
      <c r="AH256" s="42"/>
      <c r="AI256" s="42"/>
      <c r="AJ256" s="42"/>
      <c r="AK256" s="42"/>
      <c r="AL256" s="42"/>
      <c r="AM256" s="42"/>
      <c r="AN256" s="42"/>
      <c r="AO256" s="42"/>
      <c r="AP256" s="42"/>
      <c r="AQ256" s="42"/>
      <c r="AR256" s="42"/>
      <c r="AS256" s="42"/>
      <c r="AT256" s="42"/>
      <c r="AU256" s="42"/>
      <c r="AV256" s="42"/>
      <c r="AW256" s="42"/>
      <c r="AX256" s="42"/>
      <c r="AY256" s="42"/>
      <c r="AZ256" s="42"/>
      <c r="BA256" s="42"/>
      <c r="BB256" s="42"/>
      <c r="BC256" s="42"/>
      <c r="BD256" s="42"/>
      <c r="BE256" s="42"/>
      <c r="BF256" s="42"/>
      <c r="BG256" s="42"/>
      <c r="BH256" s="42"/>
      <c r="BI256" s="42"/>
      <c r="BJ256" s="42"/>
      <c r="BK256" s="42"/>
      <c r="BL256" s="42"/>
      <c r="BM256" s="42"/>
      <c r="BN256" s="42"/>
    </row>
    <row r="257" spans="1:66" ht="12.75" customHeight="1" x14ac:dyDescent="0.2">
      <c r="A257" s="1" t="s">
        <v>383</v>
      </c>
      <c r="B257" s="4">
        <f>_xll.ciqfunctions.udf.CIQ(InputTicker, "IQ_CASH_INTEREST_FINAN",Input!D$2,Date,,,Ccy,Conv)</f>
        <v>0</v>
      </c>
      <c r="C257" s="4">
        <f>_xll.ciqfunctions.udf.CIQ(InputTicker, "IQ_CASH_INTEREST_FINAN",Input!E$2,Date,,,Ccy,Conv)</f>
        <v>0</v>
      </c>
      <c r="D257" s="4">
        <f>_xll.ciqfunctions.udf.CIQ(InputTicker, "IQ_CASH_INTEREST_FINAN",Input!F$2,Date,,,Ccy,Conv)</f>
        <v>0</v>
      </c>
      <c r="E257" s="4">
        <f>_xll.ciqfunctions.udf.CIQ(InputTicker, "IQ_CASH_INTEREST_FINAN",Input!G$2,Date,,,Ccy,Conv)</f>
        <v>0</v>
      </c>
      <c r="F257" s="4">
        <f>_xll.ciqfunctions.udf.CIQ(InputTicker, "IQ_CASH_INTEREST_FINAN",Input!H$2,Date,,,Ccy,Conv)</f>
        <v>0</v>
      </c>
      <c r="G257" s="4">
        <f>_xll.ciqfunctions.udf.CIQ(InputTicker, "IQ_CASH_INTEREST_FINAN",Input!I$2,Date,,,Ccy,Conv)</f>
        <v>0</v>
      </c>
      <c r="H257" s="4">
        <f>_xll.ciqfunctions.udf.CIQ(InputTicker, "IQ_CASH_INTEREST_FINAN",Input!J$2,Date,,,Ccy,Conv)</f>
        <v>0</v>
      </c>
      <c r="I257" s="4">
        <f>_xll.ciqfunctions.udf.CIQ(InputTicker, "IQ_CASH_INTEREST_FINAN",Input!K$2,Date,,,Ccy,Conv)</f>
        <v>0</v>
      </c>
      <c r="J257" s="4">
        <f>_xll.ciqfunctions.udf.CIQ(InputTicker, "IQ_CASH_INTEREST_FINAN",Input!L$2,Date,,,Ccy,Conv)</f>
        <v>0</v>
      </c>
      <c r="K257" s="4">
        <f>_xll.ciqfunctions.udf.CIQ(InputTicker, "IQ_CASH_INTEREST_FINAN",Input!M$2,Date,,,Ccy,Conv)</f>
        <v>0</v>
      </c>
      <c r="L257" s="4">
        <f>_xll.ciqfunctions.udf.CIQ(InputTicker, "IQ_CASH_INTEREST_FINAN",Input!N$2,Date,,,Ccy,Conv)</f>
        <v>0</v>
      </c>
      <c r="M257" s="4">
        <f>_xll.ciqfunctions.udf.CIQ(InputTicker, "IQ_CASH_INTEREST_FINAN",Input!O$2,Date,,,Ccy,Conv)</f>
        <v>0</v>
      </c>
      <c r="N257" s="49"/>
      <c r="T257" s="42"/>
      <c r="U257" s="42"/>
      <c r="V257" s="42"/>
      <c r="W257" s="42"/>
      <c r="X257" s="42"/>
      <c r="Y257" s="42"/>
      <c r="Z257" s="42"/>
      <c r="AA257" s="42"/>
      <c r="AB257" s="42"/>
      <c r="AC257" s="42"/>
      <c r="AD257" s="42"/>
      <c r="AE257" s="42"/>
      <c r="AF257" s="42"/>
      <c r="AG257" s="42"/>
      <c r="AH257" s="42"/>
      <c r="AI257" s="42"/>
      <c r="AJ257" s="42"/>
      <c r="AK257" s="42"/>
      <c r="AL257" s="42"/>
      <c r="AM257" s="42"/>
      <c r="AN257" s="42"/>
      <c r="AO257" s="42"/>
      <c r="AP257" s="42"/>
      <c r="AQ257" s="42"/>
      <c r="AR257" s="42"/>
      <c r="AS257" s="42"/>
      <c r="AT257" s="42"/>
      <c r="AU257" s="42"/>
      <c r="AV257" s="42"/>
      <c r="AW257" s="42"/>
      <c r="AX257" s="42"/>
      <c r="AY257" s="42"/>
      <c r="AZ257" s="42"/>
      <c r="BA257" s="42"/>
      <c r="BB257" s="42"/>
      <c r="BC257" s="42"/>
      <c r="BD257" s="42"/>
      <c r="BE257" s="42"/>
      <c r="BF257" s="42"/>
      <c r="BG257" s="42"/>
      <c r="BH257" s="42"/>
      <c r="BI257" s="42"/>
      <c r="BJ257" s="42"/>
      <c r="BK257" s="42"/>
      <c r="BL257" s="42"/>
      <c r="BM257" s="42"/>
      <c r="BN257" s="42"/>
    </row>
    <row r="258" spans="1:66" ht="12.75" customHeight="1" x14ac:dyDescent="0.2">
      <c r="A258" s="1" t="s">
        <v>49</v>
      </c>
      <c r="B258" s="4">
        <f>_xll.ciqfunctions.udf.CIQ(InputTicker, "IQ_CASH_TAXES",Input!D$2,Date,,,Ccy,Conv)</f>
        <v>3900</v>
      </c>
      <c r="C258" s="4">
        <f>_xll.ciqfunctions.udf.CIQ(InputTicker, "IQ_CASH_TAXES",Input!E$2,Date,,,Ccy,Conv)</f>
        <v>2400</v>
      </c>
      <c r="D258" s="4">
        <f>_xll.ciqfunctions.udf.CIQ(InputTicker, "IQ_CASH_TAXES",Input!F$2,Date,,,Ccy,Conv)</f>
        <v>5500</v>
      </c>
      <c r="E258" s="4">
        <f>_xll.ciqfunctions.udf.CIQ(InputTicker, "IQ_CASH_TAXES",Input!G$2,Date,,,Ccy,Conv)</f>
        <v>8400</v>
      </c>
      <c r="F258" s="4">
        <f>_xll.ciqfunctions.udf.CIQ(InputTicker, "IQ_CASH_TAXES",Input!H$2,Date,,,Ccy,Conv)</f>
        <v>12500</v>
      </c>
      <c r="G258" s="4">
        <f>_xll.ciqfunctions.udf.CIQ(InputTicker, "IQ_CASH_TAXES",Input!I$2,Date,,,Ccy,Conv)</f>
        <v>13400</v>
      </c>
      <c r="H258" s="4">
        <f>_xll.ciqfunctions.udf.CIQ(InputTicker, "IQ_CASH_TAXES",Input!J$2,Date,,,Ccy,Conv)</f>
        <v>16000</v>
      </c>
      <c r="I258" s="4">
        <f>_xll.ciqfunctions.udf.CIQ(InputTicker, "IQ_CASH_TAXES",Input!K$2,Date,,,Ccy,Conv)</f>
        <v>23100</v>
      </c>
      <c r="J258" s="4">
        <f>_xll.ciqfunctions.udf.CIQ(InputTicker, "IQ_CASH_TAXES",Input!L$2,Date,,,Ccy,Conv)</f>
        <v>23400</v>
      </c>
      <c r="K258" s="4">
        <f>_xll.ciqfunctions.udf.CIQ(InputTicker, "IQ_CASH_TAXES",Input!M$2,Date,,,Ccy,Conv)</f>
        <v>28700</v>
      </c>
      <c r="L258" s="4">
        <f>_xll.ciqfunctions.udf.CIQ(InputTicker, "IQ_CASH_TAXES",Input!N$2,Date,,,Ccy,Conv)</f>
        <v>21188</v>
      </c>
      <c r="M258" s="4">
        <f>_xll.ciqfunctions.udf.CIQ(InputTicker, "IQ_CASH_TAXES",Input!O$2,Date,,,Ccy,Conv)</f>
        <v>21188</v>
      </c>
      <c r="N258" s="49"/>
      <c r="T258" s="42"/>
      <c r="U258" s="42"/>
      <c r="V258" s="42"/>
      <c r="W258" s="42"/>
      <c r="X258" s="42"/>
      <c r="Y258" s="42"/>
      <c r="Z258" s="42"/>
      <c r="AA258" s="42"/>
      <c r="AB258" s="42"/>
      <c r="AC258" s="42"/>
      <c r="AD258" s="42"/>
      <c r="AE258" s="42"/>
      <c r="AF258" s="42"/>
      <c r="AG258" s="42"/>
      <c r="AH258" s="42"/>
      <c r="AI258" s="42"/>
      <c r="AJ258" s="42"/>
      <c r="AK258" s="42"/>
      <c r="AL258" s="42"/>
      <c r="AM258" s="42"/>
      <c r="AN258" s="42"/>
      <c r="AO258" s="42"/>
      <c r="AP258" s="42"/>
      <c r="AQ258" s="42"/>
      <c r="AR258" s="42"/>
      <c r="AS258" s="42"/>
      <c r="AT258" s="42"/>
      <c r="AU258" s="42"/>
      <c r="AV258" s="42"/>
      <c r="AW258" s="42"/>
      <c r="AX258" s="42"/>
      <c r="AY258" s="42"/>
      <c r="AZ258" s="42"/>
      <c r="BA258" s="42"/>
      <c r="BB258" s="42"/>
      <c r="BC258" s="42"/>
      <c r="BD258" s="42"/>
      <c r="BE258" s="42"/>
      <c r="BF258" s="42"/>
      <c r="BG258" s="42"/>
      <c r="BH258" s="42"/>
      <c r="BI258" s="42"/>
      <c r="BJ258" s="42"/>
      <c r="BK258" s="42"/>
      <c r="BL258" s="42"/>
      <c r="BM258" s="42"/>
      <c r="BN258" s="42"/>
    </row>
    <row r="259" spans="1:66" ht="12.75" customHeight="1" x14ac:dyDescent="0.2">
      <c r="A259" s="1" t="s">
        <v>384</v>
      </c>
      <c r="B259" s="4">
        <f>_xll.ciqfunctions.udf.CIQ(InputTicker, "IQ_CASH_TAXES_OPER",Input!D$2,Date,,,Ccy,Conv)</f>
        <v>0</v>
      </c>
      <c r="C259" s="4">
        <f>_xll.ciqfunctions.udf.CIQ(InputTicker, "IQ_CASH_TAXES_OPER",Input!E$2,Date,,,Ccy,Conv)</f>
        <v>0</v>
      </c>
      <c r="D259" s="4">
        <f>_xll.ciqfunctions.udf.CIQ(InputTicker, "IQ_CASH_TAXES_OPER",Input!F$2,Date,,,Ccy,Conv)</f>
        <v>0</v>
      </c>
      <c r="E259" s="4">
        <f>_xll.ciqfunctions.udf.CIQ(InputTicker, "IQ_CASH_TAXES_OPER",Input!G$2,Date,,,Ccy,Conv)</f>
        <v>0</v>
      </c>
      <c r="F259" s="4">
        <f>_xll.ciqfunctions.udf.CIQ(InputTicker, "IQ_CASH_TAXES_OPER",Input!H$2,Date,,,Ccy,Conv)</f>
        <v>0</v>
      </c>
      <c r="G259" s="4">
        <f>_xll.ciqfunctions.udf.CIQ(InputTicker, "IQ_CASH_TAXES_OPER",Input!I$2,Date,,,Ccy,Conv)</f>
        <v>0</v>
      </c>
      <c r="H259" s="4">
        <f>_xll.ciqfunctions.udf.CIQ(InputTicker, "IQ_CASH_TAXES_OPER",Input!J$2,Date,,,Ccy,Conv)</f>
        <v>0</v>
      </c>
      <c r="I259" s="4">
        <f>_xll.ciqfunctions.udf.CIQ(InputTicker, "IQ_CASH_TAXES_OPER",Input!K$2,Date,,,Ccy,Conv)</f>
        <v>0</v>
      </c>
      <c r="J259" s="4">
        <f>_xll.ciqfunctions.udf.CIQ(InputTicker, "IQ_CASH_TAXES_OPER",Input!L$2,Date,,,Ccy,Conv)</f>
        <v>0</v>
      </c>
      <c r="K259" s="4">
        <f>_xll.ciqfunctions.udf.CIQ(InputTicker, "IQ_CASH_TAXES_OPER",Input!M$2,Date,,,Ccy,Conv)</f>
        <v>0</v>
      </c>
      <c r="L259" s="4">
        <f>_xll.ciqfunctions.udf.CIQ(InputTicker, "IQ_CASH_TAXES_OPER",Input!N$2,Date,,,Ccy,Conv)</f>
        <v>0</v>
      </c>
      <c r="M259" s="4">
        <f>_xll.ciqfunctions.udf.CIQ(InputTicker, "IQ_CASH_TAXES_OPER",Input!O$2,Date,,,Ccy,Conv)</f>
        <v>0</v>
      </c>
      <c r="N259" s="49"/>
      <c r="T259" s="42"/>
      <c r="U259" s="42"/>
      <c r="V259" s="42"/>
      <c r="W259" s="42"/>
      <c r="X259" s="42"/>
      <c r="Y259" s="42"/>
      <c r="Z259" s="42"/>
      <c r="AA259" s="42"/>
      <c r="AB259" s="42"/>
      <c r="AC259" s="42"/>
      <c r="AD259" s="42"/>
      <c r="AE259" s="42"/>
      <c r="AF259" s="42"/>
      <c r="AG259" s="42"/>
      <c r="AH259" s="42"/>
      <c r="AI259" s="42"/>
      <c r="AJ259" s="42"/>
      <c r="AK259" s="42"/>
      <c r="AL259" s="42"/>
      <c r="AM259" s="42"/>
      <c r="AN259" s="42"/>
      <c r="AO259" s="42"/>
      <c r="AP259" s="42"/>
      <c r="AQ259" s="42"/>
      <c r="AR259" s="42"/>
      <c r="AS259" s="42"/>
      <c r="AT259" s="42"/>
      <c r="AU259" s="42"/>
      <c r="AV259" s="42"/>
      <c r="AW259" s="42"/>
      <c r="AX259" s="42"/>
      <c r="AY259" s="42"/>
      <c r="AZ259" s="42"/>
      <c r="BA259" s="42"/>
      <c r="BB259" s="42"/>
      <c r="BC259" s="42"/>
      <c r="BD259" s="42"/>
      <c r="BE259" s="42"/>
      <c r="BF259" s="42"/>
      <c r="BG259" s="42"/>
      <c r="BH259" s="42"/>
      <c r="BI259" s="42"/>
      <c r="BJ259" s="42"/>
      <c r="BK259" s="42"/>
      <c r="BL259" s="42"/>
      <c r="BM259" s="42"/>
      <c r="BN259" s="42"/>
    </row>
    <row r="260" spans="1:66" ht="12.75" customHeight="1" x14ac:dyDescent="0.2">
      <c r="A260" s="1" t="s">
        <v>385</v>
      </c>
      <c r="B260" s="4">
        <f>_xll.ciqfunctions.udf.CIQ(InputTicker, "IQ_CASH_TAXES_INVEST",Input!D$2,Date,,,Ccy,Conv)</f>
        <v>0</v>
      </c>
      <c r="C260" s="4">
        <f>_xll.ciqfunctions.udf.CIQ(InputTicker, "IQ_CASH_TAXES_INVEST",Input!E$2,Date,,,Ccy,Conv)</f>
        <v>0</v>
      </c>
      <c r="D260" s="4">
        <f>_xll.ciqfunctions.udf.CIQ(InputTicker, "IQ_CASH_TAXES_INVEST",Input!F$2,Date,,,Ccy,Conv)</f>
        <v>0</v>
      </c>
      <c r="E260" s="4">
        <f>_xll.ciqfunctions.udf.CIQ(InputTicker, "IQ_CASH_TAXES_INVEST",Input!G$2,Date,,,Ccy,Conv)</f>
        <v>0</v>
      </c>
      <c r="F260" s="4">
        <f>_xll.ciqfunctions.udf.CIQ(InputTicker, "IQ_CASH_TAXES_INVEST",Input!H$2,Date,,,Ccy,Conv)</f>
        <v>0</v>
      </c>
      <c r="G260" s="4">
        <f>_xll.ciqfunctions.udf.CIQ(InputTicker, "IQ_CASH_TAXES_INVEST",Input!I$2,Date,,,Ccy,Conv)</f>
        <v>0</v>
      </c>
      <c r="H260" s="4">
        <f>_xll.ciqfunctions.udf.CIQ(InputTicker, "IQ_CASH_TAXES_INVEST",Input!J$2,Date,,,Ccy,Conv)</f>
        <v>0</v>
      </c>
      <c r="I260" s="4">
        <f>_xll.ciqfunctions.udf.CIQ(InputTicker, "IQ_CASH_TAXES_INVEST",Input!K$2,Date,,,Ccy,Conv)</f>
        <v>0</v>
      </c>
      <c r="J260" s="4">
        <f>_xll.ciqfunctions.udf.CIQ(InputTicker, "IQ_CASH_TAXES_INVEST",Input!L$2,Date,,,Ccy,Conv)</f>
        <v>0</v>
      </c>
      <c r="K260" s="4">
        <f>_xll.ciqfunctions.udf.CIQ(InputTicker, "IQ_CASH_TAXES_INVEST",Input!M$2,Date,,,Ccy,Conv)</f>
        <v>0</v>
      </c>
      <c r="L260" s="4">
        <f>_xll.ciqfunctions.udf.CIQ(InputTicker, "IQ_CASH_TAXES_INVEST",Input!N$2,Date,,,Ccy,Conv)</f>
        <v>0</v>
      </c>
      <c r="M260" s="4">
        <f>_xll.ciqfunctions.udf.CIQ(InputTicker, "IQ_CASH_TAXES_INVEST",Input!O$2,Date,,,Ccy,Conv)</f>
        <v>0</v>
      </c>
      <c r="N260" s="49"/>
      <c r="T260" s="42"/>
      <c r="U260" s="42"/>
      <c r="V260" s="42"/>
      <c r="W260" s="42"/>
      <c r="X260" s="42"/>
      <c r="Y260" s="42"/>
      <c r="Z260" s="42"/>
      <c r="AA260" s="42"/>
      <c r="AB260" s="42"/>
      <c r="AC260" s="42"/>
      <c r="AD260" s="42"/>
      <c r="AE260" s="42"/>
      <c r="AF260" s="42"/>
      <c r="AG260" s="42"/>
      <c r="AH260" s="42"/>
      <c r="AI260" s="42"/>
      <c r="AJ260" s="42"/>
      <c r="AK260" s="42"/>
      <c r="AL260" s="42"/>
      <c r="AM260" s="42"/>
      <c r="AN260" s="42"/>
      <c r="AO260" s="42"/>
      <c r="AP260" s="42"/>
      <c r="AQ260" s="42"/>
      <c r="AR260" s="42"/>
      <c r="AS260" s="42"/>
      <c r="AT260" s="42"/>
      <c r="AU260" s="42"/>
      <c r="AV260" s="42"/>
      <c r="AW260" s="42"/>
      <c r="AX260" s="42"/>
      <c r="AY260" s="42"/>
      <c r="AZ260" s="42"/>
      <c r="BA260" s="42"/>
      <c r="BB260" s="42"/>
      <c r="BC260" s="42"/>
      <c r="BD260" s="42"/>
      <c r="BE260" s="42"/>
      <c r="BF260" s="42"/>
      <c r="BG260" s="42"/>
      <c r="BH260" s="42"/>
      <c r="BI260" s="42"/>
      <c r="BJ260" s="42"/>
      <c r="BK260" s="42"/>
      <c r="BL260" s="42"/>
      <c r="BM260" s="42"/>
      <c r="BN260" s="42"/>
    </row>
    <row r="261" spans="1:66" ht="12.75" customHeight="1" x14ac:dyDescent="0.2">
      <c r="A261" s="1" t="s">
        <v>386</v>
      </c>
      <c r="B261" s="4">
        <f>_xll.ciqfunctions.udf.CIQ(InputTicker, "IQ_CASH_TAXES_FINAN",Input!D$2,Date,,,Ccy,Conv)</f>
        <v>0</v>
      </c>
      <c r="C261" s="4">
        <f>_xll.ciqfunctions.udf.CIQ(InputTicker, "IQ_CASH_TAXES_FINAN",Input!E$2,Date,,,Ccy,Conv)</f>
        <v>0</v>
      </c>
      <c r="D261" s="4">
        <f>_xll.ciqfunctions.udf.CIQ(InputTicker, "IQ_CASH_TAXES_FINAN",Input!F$2,Date,,,Ccy,Conv)</f>
        <v>0</v>
      </c>
      <c r="E261" s="4">
        <f>_xll.ciqfunctions.udf.CIQ(InputTicker, "IQ_CASH_TAXES_FINAN",Input!G$2,Date,,,Ccy,Conv)</f>
        <v>0</v>
      </c>
      <c r="F261" s="4">
        <f>_xll.ciqfunctions.udf.CIQ(InputTicker, "IQ_CASH_TAXES_FINAN",Input!H$2,Date,,,Ccy,Conv)</f>
        <v>0</v>
      </c>
      <c r="G261" s="4">
        <f>_xll.ciqfunctions.udf.CIQ(InputTicker, "IQ_CASH_TAXES_FINAN",Input!I$2,Date,,,Ccy,Conv)</f>
        <v>0</v>
      </c>
      <c r="H261" s="4">
        <f>_xll.ciqfunctions.udf.CIQ(InputTicker, "IQ_CASH_TAXES_FINAN",Input!J$2,Date,,,Ccy,Conv)</f>
        <v>0</v>
      </c>
      <c r="I261" s="4">
        <f>_xll.ciqfunctions.udf.CIQ(InputTicker, "IQ_CASH_TAXES_FINAN",Input!K$2,Date,,,Ccy,Conv)</f>
        <v>0</v>
      </c>
      <c r="J261" s="4">
        <f>_xll.ciqfunctions.udf.CIQ(InputTicker, "IQ_CASH_TAXES_FINAN",Input!L$2,Date,,,Ccy,Conv)</f>
        <v>0</v>
      </c>
      <c r="K261" s="4">
        <f>_xll.ciqfunctions.udf.CIQ(InputTicker, "IQ_CASH_TAXES_FINAN",Input!M$2,Date,,,Ccy,Conv)</f>
        <v>0</v>
      </c>
      <c r="L261" s="4">
        <f>_xll.ciqfunctions.udf.CIQ(InputTicker, "IQ_CASH_TAXES_FINAN",Input!N$2,Date,,,Ccy,Conv)</f>
        <v>0</v>
      </c>
      <c r="M261" s="4">
        <f>_xll.ciqfunctions.udf.CIQ(InputTicker, "IQ_CASH_TAXES_FINAN",Input!O$2,Date,,,Ccy,Conv)</f>
        <v>0</v>
      </c>
      <c r="N261" s="49"/>
      <c r="T261" s="42"/>
      <c r="U261" s="42"/>
      <c r="V261" s="42"/>
      <c r="W261" s="42"/>
      <c r="X261" s="42"/>
      <c r="Y261" s="42"/>
      <c r="Z261" s="42"/>
      <c r="AA261" s="42"/>
      <c r="AB261" s="42"/>
      <c r="AC261" s="42"/>
      <c r="AD261" s="42"/>
      <c r="AE261" s="42"/>
      <c r="AF261" s="42"/>
      <c r="AG261" s="42"/>
      <c r="AH261" s="42"/>
      <c r="AI261" s="42"/>
      <c r="AJ261" s="42"/>
      <c r="AK261" s="42"/>
      <c r="AL261" s="42"/>
      <c r="AM261" s="42"/>
      <c r="AN261" s="42"/>
      <c r="AO261" s="42"/>
      <c r="AP261" s="42"/>
      <c r="AQ261" s="42"/>
      <c r="AR261" s="42"/>
      <c r="AS261" s="42"/>
      <c r="AT261" s="42"/>
      <c r="AU261" s="42"/>
      <c r="AV261" s="42"/>
      <c r="AW261" s="42"/>
      <c r="AX261" s="42"/>
      <c r="AY261" s="42"/>
      <c r="AZ261" s="42"/>
      <c r="BA261" s="42"/>
      <c r="BB261" s="42"/>
      <c r="BC261" s="42"/>
      <c r="BD261" s="42"/>
      <c r="BE261" s="42"/>
      <c r="BF261" s="42"/>
      <c r="BG261" s="42"/>
      <c r="BH261" s="42"/>
      <c r="BI261" s="42"/>
      <c r="BJ261" s="42"/>
      <c r="BK261" s="42"/>
      <c r="BL261" s="42"/>
      <c r="BM261" s="42"/>
      <c r="BN261" s="42"/>
    </row>
    <row r="262" spans="1:66" ht="12.75" customHeight="1" x14ac:dyDescent="0.2">
      <c r="A262" s="1" t="s">
        <v>388</v>
      </c>
      <c r="B262" s="4">
        <f>_xll.ciqfunctions.udf.CIQ(InputTicker, "IQ_CHANGE_DEF_TAX_TOTAL",Input!D$2,Date,,,Ccy,Conv)</f>
        <v>2479</v>
      </c>
      <c r="C262" s="4">
        <f>_xll.ciqfunctions.udf.CIQ(InputTicker, "IQ_CHANGE_DEF_TAX_TOTAL",Input!E$2,Date,,,Ccy,Conv)</f>
        <v>-829</v>
      </c>
      <c r="D262" s="4">
        <f>_xll.ciqfunctions.udf.CIQ(InputTicker, "IQ_CHANGE_DEF_TAX_TOTAL",Input!F$2,Date,,,Ccy,Conv)</f>
        <v>-5143</v>
      </c>
      <c r="E262" s="4">
        <f>_xll.ciqfunctions.udf.CIQ(InputTicker, "IQ_CHANGE_DEF_TAX_TOTAL",Input!G$2,Date,,,Ccy,Conv)</f>
        <v>-6463</v>
      </c>
      <c r="F262" s="4">
        <f>_xll.ciqfunctions.udf.CIQ(InputTicker, "IQ_CHANGE_DEF_TAX_TOTAL",Input!H$2,Date,,,Ccy,Conv)</f>
        <v>11</v>
      </c>
      <c r="G262" s="4">
        <f>_xll.ciqfunctions.udf.CIQ(InputTicker, "IQ_CHANGE_DEF_TAX_TOTAL",Input!I$2,Date,,,Ccy,Conv)</f>
        <v>-150</v>
      </c>
      <c r="H262" s="4">
        <f>_xll.ciqfunctions.udf.CIQ(InputTicker, "IQ_CHANGE_DEF_TAX_TOTAL",Input!J$2,Date,,,Ccy,Conv)</f>
        <v>-5702</v>
      </c>
      <c r="I262" s="4">
        <f>_xll.ciqfunctions.udf.CIQ(InputTicker, "IQ_CHANGE_DEF_TAX_TOTAL",Input!K$2,Date,,,Ccy,Conv)</f>
        <v>-6059</v>
      </c>
      <c r="J262" s="4">
        <f>_xll.ciqfunctions.udf.CIQ(InputTicker, "IQ_CHANGE_DEF_TAX_TOTAL",Input!L$2,Date,,,Ccy,Conv)</f>
        <v>-4738</v>
      </c>
      <c r="K262" s="4">
        <f>_xll.ciqfunctions.udf.CIQ(InputTicker, "IQ_CHANGE_DEF_TAX_TOTAL",Input!M$2,Date,,,Ccy,Conv)</f>
        <v>-7056</v>
      </c>
      <c r="L262" s="4">
        <f>_xll.ciqfunctions.udf.CIQ(InputTicker, "IQ_CHANGE_DEF_TAX_TOTAL",Input!N$2,Date,,,Ccy,Conv)</f>
        <v>14189</v>
      </c>
      <c r="M262" s="4">
        <f>_xll.ciqfunctions.udf.CIQ(InputTicker, "IQ_CHANGE_DEF_TAX_TOTAL",Input!O$2,Date,,,Ccy,Conv)</f>
        <v>14189</v>
      </c>
      <c r="N262" s="49"/>
      <c r="T262" s="42"/>
      <c r="U262" s="42"/>
      <c r="V262" s="42"/>
      <c r="W262" s="42"/>
      <c r="X262" s="42"/>
      <c r="Y262" s="42"/>
      <c r="Z262" s="42"/>
      <c r="AA262" s="42"/>
      <c r="AB262" s="42"/>
      <c r="AC262" s="42"/>
      <c r="AD262" s="42"/>
      <c r="AE262" s="42"/>
      <c r="AF262" s="42"/>
      <c r="AG262" s="42"/>
      <c r="AH262" s="42"/>
      <c r="AI262" s="42"/>
      <c r="AJ262" s="42"/>
      <c r="AK262" s="42"/>
      <c r="AL262" s="42"/>
      <c r="AM262" s="42"/>
      <c r="AN262" s="42"/>
      <c r="AO262" s="42"/>
      <c r="AP262" s="42"/>
      <c r="AQ262" s="42"/>
      <c r="AR262" s="42"/>
      <c r="AS262" s="42"/>
      <c r="AT262" s="42"/>
      <c r="AU262" s="42"/>
      <c r="AV262" s="42"/>
      <c r="AW262" s="42"/>
      <c r="AX262" s="42"/>
      <c r="AY262" s="42"/>
      <c r="AZ262" s="42"/>
      <c r="BA262" s="42"/>
      <c r="BB262" s="42"/>
      <c r="BC262" s="42"/>
      <c r="BD262" s="42"/>
      <c r="BE262" s="42"/>
      <c r="BF262" s="42"/>
      <c r="BG262" s="42"/>
      <c r="BH262" s="42"/>
      <c r="BI262" s="42"/>
      <c r="BJ262" s="42"/>
      <c r="BK262" s="42"/>
      <c r="BL262" s="42"/>
      <c r="BM262" s="42"/>
      <c r="BN262" s="42"/>
    </row>
    <row r="263" spans="1:66" ht="12.75" customHeight="1" x14ac:dyDescent="0.2">
      <c r="A263" s="1" t="s">
        <v>350</v>
      </c>
      <c r="B263" s="4">
        <f>_xll.ciqfunctions.udf.CIQ(InputTicker, "IQ_CHANGE_NET_WORKING_CAPITAL",Input!D$2,Date,,,Ccy,Conv)</f>
        <v>-3850</v>
      </c>
      <c r="C263" s="4">
        <f>_xll.ciqfunctions.udf.CIQ(InputTicker, "IQ_CHANGE_NET_WORKING_CAPITAL",Input!E$2,Date,,,Ccy,Conv)</f>
        <v>5222</v>
      </c>
      <c r="D263" s="4">
        <f>_xll.ciqfunctions.udf.CIQ(InputTicker, "IQ_CHANGE_NET_WORKING_CAPITAL",Input!F$2,Date,,,Ccy,Conv)</f>
        <v>-2624</v>
      </c>
      <c r="E263" s="4">
        <f>_xll.ciqfunctions.udf.CIQ(InputTicker, "IQ_CHANGE_NET_WORKING_CAPITAL",Input!G$2,Date,,,Ccy,Conv)</f>
        <v>-3435</v>
      </c>
      <c r="F263" s="4">
        <f>_xll.ciqfunctions.udf.CIQ(InputTicker, "IQ_CHANGE_NET_WORKING_CAPITAL",Input!H$2,Date,,,Ccy,Conv)</f>
        <v>-630</v>
      </c>
      <c r="G263" s="4">
        <f>_xll.ciqfunctions.udf.CIQ(InputTicker, "IQ_CHANGE_NET_WORKING_CAPITAL",Input!I$2,Date,,,Ccy,Conv)</f>
        <v>-2700</v>
      </c>
      <c r="H263" s="4">
        <f>_xll.ciqfunctions.udf.CIQ(InputTicker, "IQ_CHANGE_NET_WORKING_CAPITAL",Input!J$2,Date,,,Ccy,Conv)</f>
        <v>-428</v>
      </c>
      <c r="I263" s="4">
        <f>_xll.ciqfunctions.udf.CIQ(InputTicker, "IQ_CHANGE_NET_WORKING_CAPITAL",Input!K$2,Date,,,Ccy,Conv)</f>
        <v>1815</v>
      </c>
      <c r="J263" s="4">
        <f>_xll.ciqfunctions.udf.CIQ(InputTicker, "IQ_CHANGE_NET_WORKING_CAPITAL",Input!L$2,Date,,,Ccy,Conv)</f>
        <v>-3917</v>
      </c>
      <c r="K263" s="4">
        <f>_xll.ciqfunctions.udf.CIQ(InputTicker, "IQ_CHANGE_NET_WORKING_CAPITAL",Input!M$2,Date,,,Ccy,Conv)</f>
        <v>-6835</v>
      </c>
      <c r="L263" s="4">
        <f>_xll.ciqfunctions.udf.CIQ(InputTicker, "IQ_CHANGE_NET_WORKING_CAPITAL",Input!N$2,Date,,,Ccy,Conv)</f>
        <v>14191</v>
      </c>
      <c r="M263" s="4">
        <f>_xll.ciqfunctions.udf.CIQ(InputTicker, "IQ_CHANGE_NET_WORKING_CAPITAL",Input!O$2,Date,,,Ccy,Conv)</f>
        <v>14191</v>
      </c>
      <c r="N263" s="49"/>
      <c r="T263" s="42"/>
      <c r="U263" s="42"/>
      <c r="V263" s="42"/>
      <c r="W263" s="42"/>
      <c r="X263" s="42"/>
      <c r="Y263" s="42"/>
      <c r="Z263" s="42"/>
      <c r="AA263" s="42"/>
      <c r="AB263" s="42"/>
      <c r="AC263" s="42"/>
      <c r="AD263" s="42"/>
      <c r="AE263" s="42"/>
      <c r="AF263" s="42"/>
      <c r="AG263" s="42"/>
      <c r="AH263" s="42"/>
      <c r="AI263" s="42"/>
      <c r="AJ263" s="42"/>
      <c r="AK263" s="42"/>
      <c r="AL263" s="42"/>
      <c r="AM263" s="42"/>
      <c r="AN263" s="42"/>
      <c r="AO263" s="42"/>
      <c r="AP263" s="42"/>
      <c r="AQ263" s="42"/>
      <c r="AR263" s="42"/>
      <c r="AS263" s="42"/>
      <c r="AT263" s="42"/>
      <c r="AU263" s="42"/>
      <c r="AV263" s="42"/>
      <c r="AW263" s="42"/>
      <c r="AX263" s="42"/>
      <c r="AY263" s="42"/>
      <c r="AZ263" s="42"/>
      <c r="BA263" s="42"/>
      <c r="BB263" s="42"/>
      <c r="BC263" s="42"/>
      <c r="BD263" s="42"/>
      <c r="BE263" s="42"/>
      <c r="BF263" s="42"/>
      <c r="BG263" s="42"/>
      <c r="BH263" s="42"/>
      <c r="BI263" s="42"/>
      <c r="BJ263" s="42"/>
      <c r="BK263" s="42"/>
      <c r="BL263" s="42"/>
      <c r="BM263" s="42"/>
      <c r="BN263" s="42"/>
    </row>
    <row r="264" spans="1:66" ht="12.75" customHeight="1" x14ac:dyDescent="0.2">
      <c r="A264" s="1" t="s">
        <v>508</v>
      </c>
      <c r="B264" s="4">
        <f>_xll.ciqfunctions.udf.CIQ(InputTicker, "IQ_LEVERED_FCF",Input!D$2,Date,,,Ccy,Conv)</f>
        <v>20337.625</v>
      </c>
      <c r="C264" s="4">
        <f>_xll.ciqfunctions.udf.CIQ(InputTicker, "IQ_LEVERED_FCF",Input!E$2,Date,,,Ccy,Conv)</f>
        <v>14658.125</v>
      </c>
      <c r="D264" s="4">
        <f>_xll.ciqfunctions.udf.CIQ(InputTicker, "IQ_LEVERED_FCF",Input!F$2,Date,,,Ccy,Conv)</f>
        <v>25035.125</v>
      </c>
      <c r="E264" s="4">
        <f>_xll.ciqfunctions.udf.CIQ(InputTicker, "IQ_LEVERED_FCF",Input!G$2,Date,,,Ccy,Conv)</f>
        <v>30932.625</v>
      </c>
      <c r="F264" s="4">
        <f>_xll.ciqfunctions.udf.CIQ(InputTicker, "IQ_LEVERED_FCF",Input!H$2,Date,,,Ccy,Conv)</f>
        <v>34258</v>
      </c>
      <c r="G264" s="4">
        <f>_xll.ciqfunctions.udf.CIQ(InputTicker, "IQ_LEVERED_FCF",Input!I$2,Date,,,Ccy,Conv)</f>
        <v>41337.25</v>
      </c>
      <c r="H264" s="4">
        <f>_xll.ciqfunctions.udf.CIQ(InputTicker, "IQ_LEVERED_FCF",Input!J$2,Date,,,Ccy,Conv)</f>
        <v>49479</v>
      </c>
      <c r="I264" s="4">
        <f>_xll.ciqfunctions.udf.CIQ(InputTicker, "IQ_LEVERED_FCF",Input!K$2,Date,,,Ccy,Conv)</f>
        <v>47269</v>
      </c>
      <c r="J264" s="4">
        <f>_xll.ciqfunctions.udf.CIQ(InputTicker, "IQ_LEVERED_FCF",Input!L$2,Date,,,Ccy,Conv)</f>
        <v>56705.25</v>
      </c>
      <c r="K264" s="4">
        <f>_xll.ciqfunctions.udf.CIQ(InputTicker, "IQ_LEVERED_FCF",Input!M$2,Date,,,Ccy,Conv)</f>
        <v>61072.375</v>
      </c>
      <c r="L264" s="4">
        <f>_xll.ciqfunctions.udf.CIQ(InputTicker, "IQ_LEVERED_FCF",Input!N$2,Date,,,Ccy,Conv)</f>
        <v>16363.5</v>
      </c>
      <c r="M264" s="4">
        <f>_xll.ciqfunctions.udf.CIQ(InputTicker, "IQ_LEVERED_FCF",Input!O$2,Date,,,Ccy,Conv)</f>
        <v>16363.5</v>
      </c>
      <c r="N264" s="49"/>
      <c r="T264" s="42"/>
      <c r="U264" s="42"/>
      <c r="V264" s="42"/>
      <c r="W264" s="42"/>
      <c r="X264" s="42"/>
      <c r="Y264" s="42"/>
      <c r="Z264" s="42"/>
      <c r="AA264" s="42"/>
      <c r="AB264" s="42"/>
      <c r="AC264" s="42"/>
      <c r="AD264" s="42"/>
      <c r="AE264" s="42"/>
      <c r="AF264" s="42"/>
      <c r="AG264" s="42"/>
      <c r="AH264" s="42"/>
      <c r="AI264" s="42"/>
      <c r="AJ264" s="42"/>
      <c r="AK264" s="42"/>
      <c r="AL264" s="42"/>
      <c r="AM264" s="42"/>
      <c r="AN264" s="42"/>
      <c r="AO264" s="42"/>
      <c r="AP264" s="42"/>
      <c r="AQ264" s="42"/>
      <c r="AR264" s="42"/>
      <c r="AS264" s="42"/>
      <c r="AT264" s="42"/>
      <c r="AU264" s="42"/>
      <c r="AV264" s="42"/>
      <c r="AW264" s="42"/>
      <c r="AX264" s="42"/>
      <c r="AY264" s="42"/>
      <c r="AZ264" s="42"/>
      <c r="BA264" s="42"/>
      <c r="BB264" s="42"/>
      <c r="BC264" s="42"/>
      <c r="BD264" s="42"/>
      <c r="BE264" s="42"/>
      <c r="BF264" s="42"/>
      <c r="BG264" s="42"/>
      <c r="BH264" s="42"/>
      <c r="BI264" s="42"/>
      <c r="BJ264" s="42"/>
      <c r="BK264" s="42"/>
      <c r="BL264" s="42"/>
      <c r="BM264" s="42"/>
      <c r="BN264" s="42"/>
    </row>
    <row r="265" spans="1:66" ht="12.75" customHeight="1" x14ac:dyDescent="0.2">
      <c r="A265" s="1" t="s">
        <v>509</v>
      </c>
      <c r="B265" s="4">
        <f>_xll.ciqfunctions.udf.CIQ(InputTicker, "IQ_UNLEVERED_FCF",Input!D$2,Date,,,Ccy,Conv)</f>
        <v>21114.5</v>
      </c>
      <c r="C265" s="4">
        <f>_xll.ciqfunctions.udf.CIQ(InputTicker, "IQ_UNLEVERED_FCF",Input!E$2,Date,,,Ccy,Conv)</f>
        <v>16046.875</v>
      </c>
      <c r="D265" s="4">
        <f>_xll.ciqfunctions.udf.CIQ(InputTicker, "IQ_UNLEVERED_FCF",Input!F$2,Date,,,Ccy,Conv)</f>
        <v>26743.25</v>
      </c>
      <c r="E265" s="4">
        <f>_xll.ciqfunctions.udf.CIQ(InputTicker, "IQ_UNLEVERED_FCF",Input!G$2,Date,,,Ccy,Conv)</f>
        <v>32611.375</v>
      </c>
      <c r="F265" s="4">
        <f>_xll.ciqfunctions.udf.CIQ(InputTicker, "IQ_UNLEVERED_FCF",Input!H$2,Date,,,Ccy,Conv)</f>
        <v>35877.375</v>
      </c>
      <c r="G265" s="4">
        <f>_xll.ciqfunctions.udf.CIQ(InputTicker, "IQ_UNLEVERED_FCF",Input!I$2,Date,,,Ccy,Conv)</f>
        <v>42793.5</v>
      </c>
      <c r="H265" s="4">
        <f>_xll.ciqfunctions.udf.CIQ(InputTicker, "IQ_UNLEVERED_FCF",Input!J$2,Date,,,Ccy,Conv)</f>
        <v>50758.375</v>
      </c>
      <c r="I265" s="4">
        <f>_xll.ciqfunctions.udf.CIQ(InputTicker, "IQ_UNLEVERED_FCF",Input!K$2,Date,,,Ccy,Conv)</f>
        <v>48515.875</v>
      </c>
      <c r="J265" s="4">
        <f>_xll.ciqfunctions.udf.CIQ(InputTicker, "IQ_UNLEVERED_FCF",Input!L$2,Date,,,Ccy,Conv)</f>
        <v>58569.625</v>
      </c>
      <c r="K265" s="4">
        <f>_xll.ciqfunctions.udf.CIQ(InputTicker, "IQ_UNLEVERED_FCF",Input!M$2,Date,,,Ccy,Conv)</f>
        <v>62588</v>
      </c>
      <c r="L265" s="4">
        <f>_xll.ciqfunctions.udf.CIQ(InputTicker, "IQ_UNLEVERED_FCF",Input!N$2,Date,,,Ccy,Conv)</f>
        <v>18289.125</v>
      </c>
      <c r="M265" s="4">
        <f>_xll.ciqfunctions.udf.CIQ(InputTicker, "IQ_UNLEVERED_FCF",Input!O$2,Date,,,Ccy,Conv)</f>
        <v>18289.125</v>
      </c>
      <c r="N265" s="49"/>
      <c r="T265" s="42"/>
      <c r="U265" s="42"/>
      <c r="V265" s="42"/>
      <c r="W265" s="42"/>
      <c r="X265" s="42"/>
      <c r="Y265" s="42"/>
      <c r="Z265" s="42"/>
      <c r="AA265" s="42"/>
      <c r="AB265" s="42"/>
      <c r="AC265" s="42"/>
      <c r="AD265" s="42"/>
      <c r="AE265" s="42"/>
      <c r="AF265" s="42"/>
      <c r="AG265" s="42"/>
      <c r="AH265" s="42"/>
      <c r="AI265" s="42"/>
      <c r="AJ265" s="42"/>
      <c r="AK265" s="42"/>
      <c r="AL265" s="42"/>
      <c r="AM265" s="42"/>
      <c r="AN265" s="42"/>
      <c r="AO265" s="42"/>
      <c r="AP265" s="42"/>
      <c r="AQ265" s="42"/>
      <c r="AR265" s="42"/>
      <c r="AS265" s="42"/>
      <c r="AT265" s="42"/>
      <c r="AU265" s="42"/>
      <c r="AV265" s="42"/>
      <c r="AW265" s="42"/>
      <c r="AX265" s="42"/>
      <c r="AY265" s="42"/>
      <c r="AZ265" s="42"/>
      <c r="BA265" s="42"/>
      <c r="BB265" s="42"/>
      <c r="BC265" s="42"/>
      <c r="BD265" s="42"/>
      <c r="BE265" s="42"/>
      <c r="BF265" s="42"/>
      <c r="BG265" s="42"/>
      <c r="BH265" s="42"/>
      <c r="BI265" s="42"/>
      <c r="BJ265" s="42"/>
      <c r="BK265" s="42"/>
      <c r="BL265" s="42"/>
      <c r="BM265" s="42"/>
      <c r="BN265" s="42"/>
    </row>
    <row r="266" spans="1:66" ht="12.75" customHeight="1" x14ac:dyDescent="0.2">
      <c r="A266" s="1" t="s">
        <v>33</v>
      </c>
      <c r="B266" s="11">
        <f>_xll.ciqfunctions.udf.CIQ(InputTicker, "IQ_CF_SHARE",Input!D$2,Date,,,Ccy,Conv)</f>
        <v>3.1522999999999999</v>
      </c>
      <c r="C266" s="11">
        <f>_xll.ciqfunctions.udf.CIQ(InputTicker, "IQ_CF_SHARE",Input!E$2,Date,,,Ccy,Conv)</f>
        <v>4.0508600000000001</v>
      </c>
      <c r="D266" s="11">
        <f>_xll.ciqfunctions.udf.CIQ(InputTicker, "IQ_CF_SHARE",Input!F$2,Date,,,Ccy,Conv)</f>
        <v>4.1885700000000003</v>
      </c>
      <c r="E266" s="11">
        <f>_xll.ciqfunctions.udf.CIQ(InputTicker, "IQ_CF_SHARE",Input!G$2,Date,,,Ccy,Conv)</f>
        <v>4.9863200000000001</v>
      </c>
      <c r="F266" s="11">
        <f>_xll.ciqfunctions.udf.CIQ(InputTicker, "IQ_CF_SHARE",Input!H$2,Date,,,Ccy,Conv)</f>
        <v>5.9440200000000001</v>
      </c>
      <c r="G266" s="11">
        <f>_xll.ciqfunctions.udf.CIQ(InputTicker, "IQ_CF_SHARE",Input!I$2,Date,,,Ccy,Conv)</f>
        <v>7.4358000000000004</v>
      </c>
      <c r="H266" s="11">
        <f>_xll.ciqfunctions.udf.CIQ(InputTicker, "IQ_CF_SHARE",Input!J$2,Date,,,Ccy,Conv)</f>
        <v>8.6911699999999996</v>
      </c>
      <c r="I266" s="11">
        <f>_xll.ciqfunctions.udf.CIQ(InputTicker, "IQ_CF_SHARE",Input!K$2,Date,,,Ccy,Conv)</f>
        <v>7.9875100000000003</v>
      </c>
      <c r="J266" s="11">
        <f>_xll.ciqfunctions.udf.CIQ(InputTicker, "IQ_CF_SHARE",Input!L$2,Date,,,Ccy,Conv)</f>
        <v>9.9678400000000007</v>
      </c>
      <c r="K266" s="11">
        <f>_xll.ciqfunctions.udf.CIQ(InputTicker, "IQ_CF_SHARE",Input!M$2,Date,,,Ccy,Conv)</f>
        <v>9.6341999999999999</v>
      </c>
      <c r="L266" s="11">
        <f>_xll.ciqfunctions.udf.CIQ(InputTicker, "IQ_CF_SHARE",Input!N$2,Date,,,Ccy,Conv)</f>
        <v>9.0169599999999992</v>
      </c>
      <c r="M266" s="11">
        <f>_xll.ciqfunctions.udf.CIQ(InputTicker, "IQ_CF_SHARE",Input!O$2,Date,,,Ccy,Conv)</f>
        <v>9.0169599999999992</v>
      </c>
      <c r="N266" s="49"/>
      <c r="T266" s="42"/>
      <c r="U266" s="42"/>
      <c r="V266" s="42"/>
      <c r="W266" s="42"/>
      <c r="X266" s="42"/>
      <c r="Y266" s="42"/>
      <c r="Z266" s="42"/>
      <c r="AA266" s="42"/>
      <c r="AB266" s="42"/>
      <c r="AC266" s="42"/>
      <c r="AD266" s="42"/>
      <c r="AE266" s="42"/>
      <c r="AF266" s="42"/>
      <c r="AG266" s="42"/>
      <c r="AH266" s="42"/>
      <c r="AI266" s="42"/>
      <c r="AJ266" s="42"/>
      <c r="AK266" s="42"/>
      <c r="AL266" s="42"/>
      <c r="AM266" s="42"/>
      <c r="AN266" s="42"/>
      <c r="AO266" s="42"/>
      <c r="AP266" s="42"/>
      <c r="AQ266" s="42"/>
      <c r="AR266" s="42"/>
      <c r="AS266" s="42"/>
      <c r="AT266" s="42"/>
      <c r="AU266" s="42"/>
      <c r="AV266" s="42"/>
      <c r="AW266" s="42"/>
      <c r="AX266" s="42"/>
      <c r="AY266" s="42"/>
      <c r="AZ266" s="42"/>
      <c r="BA266" s="42"/>
      <c r="BB266" s="42"/>
      <c r="BC266" s="42"/>
      <c r="BD266" s="42"/>
      <c r="BE266" s="42"/>
      <c r="BF266" s="42"/>
      <c r="BG266" s="42"/>
      <c r="BH266" s="42"/>
      <c r="BI266" s="42"/>
      <c r="BJ266" s="42"/>
      <c r="BK266" s="42"/>
      <c r="BL266" s="42"/>
      <c r="BM266" s="42"/>
      <c r="BN266" s="42"/>
    </row>
    <row r="267" spans="1:66" ht="12.75" customHeight="1" x14ac:dyDescent="0.2">
      <c r="A267" s="1" t="s">
        <v>122</v>
      </c>
      <c r="B267" s="4">
        <f>_xll.ciqfunctions.udf.CIQ(InputTicker, "IQ_NET_DEBT_ISSUED",Input!D$2,Date,,,Ccy,Conv)</f>
        <v>18283</v>
      </c>
      <c r="C267" s="4">
        <f>_xll.ciqfunctions.udf.CIQ(InputTicker, "IQ_NET_DEBT_ISSUED",Input!E$2,Date,,,Ccy,Conv)</f>
        <v>31459</v>
      </c>
      <c r="D267" s="4">
        <f>_xll.ciqfunctions.udf.CIQ(InputTicker, "IQ_NET_DEBT_ISSUED",Input!F$2,Date,,,Ccy,Conv)</f>
        <v>-10201</v>
      </c>
      <c r="E267" s="4">
        <f>_xll.ciqfunctions.udf.CIQ(InputTicker, "IQ_NET_DEBT_ISSUED",Input!G$2,Date,,,Ccy,Conv)</f>
        <v>-4000</v>
      </c>
      <c r="F267" s="4">
        <f>_xll.ciqfunctions.udf.CIQ(InputTicker, "IQ_NET_DEBT_ISSUED",Input!H$2,Date,,,Ccy,Conv)</f>
        <v>-5518</v>
      </c>
      <c r="G267" s="4">
        <f>_xll.ciqfunctions.udf.CIQ(InputTicker, "IQ_NET_DEBT_ISSUED",Input!I$2,Date,,,Ccy,Conv)</f>
        <v>-3750</v>
      </c>
      <c r="H267" s="4">
        <f>_xll.ciqfunctions.udf.CIQ(InputTicker, "IQ_NET_DEBT_ISSUED",Input!J$2,Date,,,Ccy,Conv)</f>
        <v>-9023</v>
      </c>
      <c r="I267" s="4">
        <f>_xll.ciqfunctions.udf.CIQ(InputTicker, "IQ_NET_DEBT_ISSUED",Input!K$2,Date,,,Ccy,Conv)</f>
        <v>-2750</v>
      </c>
      <c r="J267" s="4">
        <f>_xll.ciqfunctions.udf.CIQ(InputTicker, "IQ_NET_DEBT_ISSUED",Input!L$2,Date,,,Ccy,Conv)</f>
        <v>575</v>
      </c>
      <c r="K267" s="4">
        <f>_xll.ciqfunctions.udf.CIQ(InputTicker, "IQ_NET_DEBT_ISSUED",Input!M$2,Date,,,Ccy,Conv)</f>
        <v>-8962</v>
      </c>
      <c r="L267" s="4">
        <f>_xll.ciqfunctions.udf.CIQ(InputTicker, "IQ_NET_DEBT_ISSUED",Input!N$2,Date,,,Ccy,Conv)</f>
        <v>-3000</v>
      </c>
      <c r="M267" s="4">
        <f>_xll.ciqfunctions.udf.CIQ(InputTicker, "IQ_NET_DEBT_ISSUED",Input!O$2,Date,,,Ccy,Conv)</f>
        <v>-3000</v>
      </c>
      <c r="N267" s="49"/>
      <c r="T267" s="42"/>
      <c r="U267" s="42"/>
      <c r="V267" s="42"/>
      <c r="W267" s="42"/>
      <c r="X267" s="42"/>
      <c r="Y267" s="42"/>
      <c r="Z267" s="42"/>
      <c r="AA267" s="42"/>
      <c r="AB267" s="42"/>
      <c r="AC267" s="42"/>
      <c r="AD267" s="42"/>
      <c r="AE267" s="42"/>
      <c r="AF267" s="42"/>
      <c r="AG267" s="42"/>
      <c r="AH267" s="42"/>
      <c r="AI267" s="42"/>
      <c r="AJ267" s="42"/>
      <c r="AK267" s="42"/>
      <c r="AL267" s="42"/>
      <c r="AM267" s="42"/>
      <c r="AN267" s="42"/>
      <c r="AO267" s="42"/>
      <c r="AP267" s="42"/>
      <c r="AQ267" s="42"/>
      <c r="AR267" s="42"/>
      <c r="AS267" s="42"/>
      <c r="AT267" s="42"/>
      <c r="AU267" s="42"/>
      <c r="AV267" s="42"/>
      <c r="AW267" s="42"/>
      <c r="AX267" s="42"/>
      <c r="AY267" s="42"/>
      <c r="AZ267" s="42"/>
      <c r="BA267" s="42"/>
      <c r="BB267" s="42"/>
      <c r="BC267" s="42"/>
      <c r="BD267" s="42"/>
      <c r="BE267" s="42"/>
      <c r="BF267" s="42"/>
      <c r="BG267" s="42"/>
      <c r="BH267" s="42"/>
      <c r="BI267" s="42"/>
      <c r="BJ267" s="42"/>
      <c r="BK267" s="42"/>
      <c r="BL267" s="42"/>
      <c r="BM267" s="42"/>
      <c r="BN267" s="42"/>
    </row>
    <row r="268" spans="1:66" ht="12.75" customHeight="1" x14ac:dyDescent="0.2">
      <c r="A268" s="1" t="s">
        <v>351</v>
      </c>
      <c r="B268" s="4">
        <f>_xll.ciqfunctions.udf.CIQ(InputTicker, "IQ_MAINT_CAPEX",Input!D$2,Date,,,Ccy,Conv)</f>
        <v>0</v>
      </c>
      <c r="C268" s="4">
        <f>_xll.ciqfunctions.udf.CIQ(InputTicker, "IQ_MAINT_CAPEX",Input!E$2,Date,,,Ccy,Conv)</f>
        <v>0</v>
      </c>
      <c r="D268" s="4">
        <f>_xll.ciqfunctions.udf.CIQ(InputTicker, "IQ_MAINT_CAPEX",Input!F$2,Date,,,Ccy,Conv)</f>
        <v>0</v>
      </c>
      <c r="E268" s="4">
        <f>_xll.ciqfunctions.udf.CIQ(InputTicker, "IQ_MAINT_CAPEX",Input!G$2,Date,,,Ccy,Conv)</f>
        <v>0</v>
      </c>
      <c r="F268" s="4">
        <f>_xll.ciqfunctions.udf.CIQ(InputTicker, "IQ_MAINT_CAPEX",Input!H$2,Date,,,Ccy,Conv)</f>
        <v>0</v>
      </c>
      <c r="G268" s="4">
        <f>_xll.ciqfunctions.udf.CIQ(InputTicker, "IQ_MAINT_CAPEX",Input!I$2,Date,,,Ccy,Conv)</f>
        <v>0</v>
      </c>
      <c r="H268" s="4">
        <f>_xll.ciqfunctions.udf.CIQ(InputTicker, "IQ_MAINT_CAPEX",Input!J$2,Date,,,Ccy,Conv)</f>
        <v>0</v>
      </c>
      <c r="I268" s="4">
        <f>_xll.ciqfunctions.udf.CIQ(InputTicker, "IQ_MAINT_CAPEX",Input!K$2,Date,,,Ccy,Conv)</f>
        <v>0</v>
      </c>
      <c r="J268" s="4">
        <f>_xll.ciqfunctions.udf.CIQ(InputTicker, "IQ_MAINT_CAPEX",Input!L$2,Date,,,Ccy,Conv)</f>
        <v>0</v>
      </c>
      <c r="K268" s="4">
        <f>_xll.ciqfunctions.udf.CIQ(InputTicker, "IQ_MAINT_CAPEX",Input!M$2,Date,,,Ccy,Conv)</f>
        <v>0</v>
      </c>
      <c r="L268" s="4">
        <f>_xll.ciqfunctions.udf.CIQ(InputTicker, "IQ_MAINT_CAPEX",Input!N$2,Date,,,Ccy,Conv)</f>
        <v>0</v>
      </c>
      <c r="M268" s="4">
        <f>_xll.ciqfunctions.udf.CIQ(InputTicker, "IQ_MAINT_CAPEX",Input!O$2,Date,,,Ccy,Conv)</f>
        <v>0</v>
      </c>
      <c r="N268" s="49"/>
      <c r="T268" s="42"/>
      <c r="U268" s="42"/>
      <c r="V268" s="42"/>
      <c r="W268" s="42"/>
      <c r="X268" s="42"/>
      <c r="Y268" s="42"/>
      <c r="Z268" s="42"/>
      <c r="AA268" s="42"/>
      <c r="AB268" s="42"/>
      <c r="AC268" s="42"/>
      <c r="AD268" s="42"/>
      <c r="AE268" s="42"/>
      <c r="AF268" s="42"/>
      <c r="AG268" s="42"/>
      <c r="AH268" s="42"/>
      <c r="AI268" s="42"/>
      <c r="AJ268" s="42"/>
      <c r="AK268" s="42"/>
      <c r="AL268" s="42"/>
      <c r="AM268" s="42"/>
      <c r="AN268" s="42"/>
      <c r="AO268" s="42"/>
      <c r="AP268" s="42"/>
      <c r="AQ268" s="42"/>
      <c r="AR268" s="42"/>
      <c r="AS268" s="42"/>
      <c r="AT268" s="42"/>
      <c r="AU268" s="42"/>
      <c r="AV268" s="42"/>
      <c r="AW268" s="42"/>
      <c r="AX268" s="42"/>
      <c r="AY268" s="42"/>
      <c r="AZ268" s="42"/>
      <c r="BA268" s="42"/>
      <c r="BB268" s="42"/>
      <c r="BC268" s="42"/>
      <c r="BD268" s="42"/>
      <c r="BE268" s="42"/>
      <c r="BF268" s="42"/>
      <c r="BG268" s="42"/>
      <c r="BH268" s="42"/>
      <c r="BI268" s="42"/>
      <c r="BJ268" s="42"/>
      <c r="BK268" s="42"/>
      <c r="BL268" s="42"/>
      <c r="BM268" s="42"/>
      <c r="BN268" s="42"/>
    </row>
    <row r="269" spans="1:66" ht="12.75" customHeight="1" x14ac:dyDescent="0.2">
      <c r="A269" s="1" t="s">
        <v>34</v>
      </c>
      <c r="B269" s="4">
        <f>_xll.ciqfunctions.udf.CIQ(InputTicker, "IQ_DO_INVEST_CF",Input!D$2,Date,,,Ccy,Conv)</f>
        <v>0</v>
      </c>
      <c r="C269" s="4">
        <f>_xll.ciqfunctions.udf.CIQ(InputTicker, "IQ_DO_INVEST_CF",Input!E$2,Date,,,Ccy,Conv)</f>
        <v>0</v>
      </c>
      <c r="D269" s="4">
        <f>_xll.ciqfunctions.udf.CIQ(InputTicker, "IQ_DO_INVEST_CF",Input!F$2,Date,,,Ccy,Conv)</f>
        <v>0</v>
      </c>
      <c r="E269" s="4">
        <f>_xll.ciqfunctions.udf.CIQ(InputTicker, "IQ_DO_INVEST_CF",Input!G$2,Date,,,Ccy,Conv)</f>
        <v>0</v>
      </c>
      <c r="F269" s="4">
        <f>_xll.ciqfunctions.udf.CIQ(InputTicker, "IQ_DO_INVEST_CF",Input!H$2,Date,,,Ccy,Conv)</f>
        <v>0</v>
      </c>
      <c r="G269" s="4">
        <f>_xll.ciqfunctions.udf.CIQ(InputTicker, "IQ_DO_INVEST_CF",Input!I$2,Date,,,Ccy,Conv)</f>
        <v>0</v>
      </c>
      <c r="H269" s="4">
        <f>_xll.ciqfunctions.udf.CIQ(InputTicker, "IQ_DO_INVEST_CF",Input!J$2,Date,,,Ccy,Conv)</f>
        <v>0</v>
      </c>
      <c r="I269" s="4">
        <f>_xll.ciqfunctions.udf.CIQ(InputTicker, "IQ_DO_INVEST_CF",Input!K$2,Date,,,Ccy,Conv)</f>
        <v>0</v>
      </c>
      <c r="J269" s="4">
        <f>_xll.ciqfunctions.udf.CIQ(InputTicker, "IQ_DO_INVEST_CF",Input!L$2,Date,,,Ccy,Conv)</f>
        <v>0</v>
      </c>
      <c r="K269" s="4">
        <f>_xll.ciqfunctions.udf.CIQ(InputTicker, "IQ_DO_INVEST_CF",Input!M$2,Date,,,Ccy,Conv)</f>
        <v>0</v>
      </c>
      <c r="L269" s="4">
        <f>_xll.ciqfunctions.udf.CIQ(InputTicker, "IQ_DO_INVEST_CF",Input!N$2,Date,,,Ccy,Conv)</f>
        <v>0</v>
      </c>
      <c r="M269" s="4">
        <f>_xll.ciqfunctions.udf.CIQ(InputTicker, "IQ_DO_INVEST_CF",Input!O$2,Date,,,Ccy,Conv)</f>
        <v>0</v>
      </c>
      <c r="N269" s="49"/>
      <c r="T269" s="42"/>
      <c r="U269" s="42"/>
      <c r="V269" s="42"/>
      <c r="W269" s="42"/>
      <c r="X269" s="42"/>
      <c r="Y269" s="42"/>
      <c r="Z269" s="42"/>
      <c r="AA269" s="42"/>
      <c r="AB269" s="42"/>
      <c r="AC269" s="42"/>
      <c r="AD269" s="42"/>
      <c r="AE269" s="42"/>
      <c r="AF269" s="42"/>
      <c r="AG269" s="42"/>
      <c r="AH269" s="42"/>
      <c r="AI269" s="42"/>
      <c r="AJ269" s="42"/>
      <c r="AK269" s="42"/>
      <c r="AL269" s="42"/>
      <c r="AM269" s="42"/>
      <c r="AN269" s="42"/>
      <c r="AO269" s="42"/>
      <c r="AP269" s="42"/>
      <c r="AQ269" s="42"/>
      <c r="AR269" s="42"/>
      <c r="AS269" s="42"/>
      <c r="AT269" s="42"/>
      <c r="AU269" s="42"/>
      <c r="AV269" s="42"/>
      <c r="AW269" s="42"/>
      <c r="AX269" s="42"/>
      <c r="AY269" s="42"/>
      <c r="AZ269" s="42"/>
      <c r="BA269" s="42"/>
      <c r="BB269" s="42"/>
      <c r="BC269" s="42"/>
      <c r="BD269" s="42"/>
      <c r="BE269" s="42"/>
      <c r="BF269" s="42"/>
      <c r="BG269" s="42"/>
      <c r="BH269" s="42"/>
      <c r="BI269" s="42"/>
      <c r="BJ269" s="42"/>
      <c r="BK269" s="42"/>
      <c r="BL269" s="42"/>
      <c r="BM269" s="42"/>
      <c r="BN269" s="42"/>
    </row>
    <row r="270" spans="1:66" ht="12.75" customHeight="1" x14ac:dyDescent="0.2">
      <c r="A270" s="1" t="s">
        <v>35</v>
      </c>
      <c r="B270" s="4">
        <f>_xll.ciqfunctions.udf.CIQ(InputTicker, "IQ_DO_FINANCE_CF",Input!D$2,Date,,,Ccy,Conv)</f>
        <v>0</v>
      </c>
      <c r="C270" s="4">
        <f>_xll.ciqfunctions.udf.CIQ(InputTicker, "IQ_DO_FINANCE_CF",Input!E$2,Date,,,Ccy,Conv)</f>
        <v>0</v>
      </c>
      <c r="D270" s="4">
        <f>_xll.ciqfunctions.udf.CIQ(InputTicker, "IQ_DO_FINANCE_CF",Input!F$2,Date,,,Ccy,Conv)</f>
        <v>0</v>
      </c>
      <c r="E270" s="4">
        <f>_xll.ciqfunctions.udf.CIQ(InputTicker, "IQ_DO_FINANCE_CF",Input!G$2,Date,,,Ccy,Conv)</f>
        <v>0</v>
      </c>
      <c r="F270" s="4">
        <f>_xll.ciqfunctions.udf.CIQ(InputTicker, "IQ_DO_FINANCE_CF",Input!H$2,Date,,,Ccy,Conv)</f>
        <v>0</v>
      </c>
      <c r="G270" s="4">
        <f>_xll.ciqfunctions.udf.CIQ(InputTicker, "IQ_DO_FINANCE_CF",Input!I$2,Date,,,Ccy,Conv)</f>
        <v>0</v>
      </c>
      <c r="H270" s="4">
        <f>_xll.ciqfunctions.udf.CIQ(InputTicker, "IQ_DO_FINANCE_CF",Input!J$2,Date,,,Ccy,Conv)</f>
        <v>0</v>
      </c>
      <c r="I270" s="4">
        <f>_xll.ciqfunctions.udf.CIQ(InputTicker, "IQ_DO_FINANCE_CF",Input!K$2,Date,,,Ccy,Conv)</f>
        <v>0</v>
      </c>
      <c r="J270" s="4">
        <f>_xll.ciqfunctions.udf.CIQ(InputTicker, "IQ_DO_FINANCE_CF",Input!L$2,Date,,,Ccy,Conv)</f>
        <v>0</v>
      </c>
      <c r="K270" s="4">
        <f>_xll.ciqfunctions.udf.CIQ(InputTicker, "IQ_DO_FINANCE_CF",Input!M$2,Date,,,Ccy,Conv)</f>
        <v>0</v>
      </c>
      <c r="L270" s="4">
        <f>_xll.ciqfunctions.udf.CIQ(InputTicker, "IQ_DO_FINANCE_CF",Input!N$2,Date,,,Ccy,Conv)</f>
        <v>0</v>
      </c>
      <c r="M270" s="4">
        <f>_xll.ciqfunctions.udf.CIQ(InputTicker, "IQ_DO_FINANCE_CF",Input!O$2,Date,,,Ccy,Conv)</f>
        <v>0</v>
      </c>
      <c r="N270" s="49"/>
      <c r="T270" s="46"/>
      <c r="U270" s="46"/>
      <c r="V270" s="42"/>
      <c r="W270" s="42"/>
      <c r="X270" s="42"/>
      <c r="Y270" s="42"/>
      <c r="Z270" s="42"/>
      <c r="AA270" s="42"/>
      <c r="AB270" s="42"/>
      <c r="AC270" s="42"/>
      <c r="AD270" s="42"/>
      <c r="AE270" s="42"/>
      <c r="AF270" s="42"/>
      <c r="AG270" s="42"/>
      <c r="AH270" s="42"/>
      <c r="AI270" s="42"/>
      <c r="AJ270" s="42"/>
      <c r="AK270" s="42"/>
      <c r="AL270" s="42"/>
      <c r="AM270" s="42"/>
      <c r="AN270" s="42"/>
      <c r="AO270" s="42"/>
      <c r="AP270" s="42"/>
      <c r="AQ270" s="42"/>
      <c r="AR270" s="42"/>
      <c r="AS270" s="42"/>
      <c r="AT270" s="42"/>
      <c r="AU270" s="42"/>
      <c r="AV270" s="42"/>
      <c r="AW270" s="42"/>
      <c r="AX270" s="42"/>
      <c r="AY270" s="42"/>
      <c r="AZ270" s="42"/>
      <c r="BA270" s="42"/>
      <c r="BB270" s="42"/>
      <c r="BC270" s="42"/>
      <c r="BD270" s="42"/>
      <c r="BE270" s="42"/>
      <c r="BF270" s="42"/>
      <c r="BG270" s="42"/>
      <c r="BH270" s="42"/>
      <c r="BI270" s="42"/>
      <c r="BJ270" s="42"/>
      <c r="BK270" s="42"/>
      <c r="BL270" s="42"/>
      <c r="BM270" s="42"/>
      <c r="BN270" s="42"/>
    </row>
    <row r="271" spans="1:66" ht="12.75" customHeight="1" x14ac:dyDescent="0.2">
      <c r="A271" s="1" t="s">
        <v>446</v>
      </c>
      <c r="B271" s="4">
        <f>_xll.ciqfunctions.udf.CIQ(InputTicker, "IQ_OPERATING_LEASE_PAYMENTS",Input!D$2,Date,,,Ccy,Conv)</f>
        <v>0</v>
      </c>
      <c r="C271" s="4">
        <f>_xll.ciqfunctions.udf.CIQ(InputTicker, "IQ_OPERATING_LEASE_PAYMENTS",Input!E$2,Date,,,Ccy,Conv)</f>
        <v>0</v>
      </c>
      <c r="D271" s="4">
        <f>_xll.ciqfunctions.udf.CIQ(InputTicker, "IQ_OPERATING_LEASE_PAYMENTS",Input!F$2,Date,,,Ccy,Conv)</f>
        <v>0</v>
      </c>
      <c r="E271" s="4">
        <f>_xll.ciqfunctions.udf.CIQ(InputTicker, "IQ_OPERATING_LEASE_PAYMENTS",Input!G$2,Date,,,Ccy,Conv)</f>
        <v>0</v>
      </c>
      <c r="F271" s="4">
        <f>_xll.ciqfunctions.udf.CIQ(InputTicker, "IQ_OPERATING_LEASE_PAYMENTS",Input!H$2,Date,,,Ccy,Conv)</f>
        <v>0</v>
      </c>
      <c r="G271" s="4">
        <f>_xll.ciqfunctions.udf.CIQ(InputTicker, "IQ_OPERATING_LEASE_PAYMENTS",Input!I$2,Date,,,Ccy,Conv)</f>
        <v>0</v>
      </c>
      <c r="H271" s="4">
        <f>_xll.ciqfunctions.udf.CIQ(InputTicker, "IQ_OPERATING_LEASE_PAYMENTS",Input!J$2,Date,,,Ccy,Conv)</f>
        <v>0</v>
      </c>
      <c r="I271" s="4">
        <f>_xll.ciqfunctions.udf.CIQ(InputTicker, "IQ_OPERATING_LEASE_PAYMENTS",Input!K$2,Date,,,Ccy,Conv)</f>
        <v>0</v>
      </c>
      <c r="J271" s="4">
        <f>_xll.ciqfunctions.udf.CIQ(InputTicker, "IQ_OPERATING_LEASE_PAYMENTS",Input!L$2,Date,,,Ccy,Conv)</f>
        <v>0</v>
      </c>
      <c r="K271" s="4">
        <f>_xll.ciqfunctions.udf.CIQ(InputTicker, "IQ_OPERATING_LEASE_PAYMENTS",Input!M$2,Date,,,Ccy,Conv)</f>
        <v>0</v>
      </c>
      <c r="L271" s="4">
        <f>_xll.ciqfunctions.udf.CIQ(InputTicker, "IQ_OPERATING_LEASE_PAYMENTS",Input!N$2,Date,,,Ccy,Conv)</f>
        <v>0</v>
      </c>
      <c r="M271" s="4">
        <f>_xll.ciqfunctions.udf.CIQ(InputTicker, "IQ_OPERATING_LEASE_PAYMENTS",Input!O$2,Date,,,Ccy,Conv)</f>
        <v>0</v>
      </c>
      <c r="N271" s="52"/>
      <c r="T271" s="42"/>
      <c r="U271" s="42"/>
      <c r="V271" s="42"/>
      <c r="W271" s="42"/>
      <c r="X271" s="42"/>
      <c r="Y271" s="42"/>
      <c r="Z271" s="42"/>
      <c r="AA271" s="42"/>
      <c r="AB271" s="42"/>
      <c r="AC271" s="42"/>
      <c r="AD271" s="42"/>
      <c r="AE271" s="42"/>
      <c r="AF271" s="42"/>
      <c r="AG271" s="42"/>
      <c r="AH271" s="42"/>
      <c r="AI271" s="42"/>
      <c r="AJ271" s="42"/>
      <c r="AK271" s="42"/>
      <c r="AL271" s="42"/>
      <c r="AM271" s="42"/>
      <c r="AN271" s="42"/>
      <c r="AO271" s="42"/>
      <c r="AP271" s="42"/>
      <c r="AQ271" s="42"/>
      <c r="AR271" s="42"/>
      <c r="AS271" s="42"/>
      <c r="AT271" s="42"/>
      <c r="AU271" s="42"/>
      <c r="AV271" s="42"/>
      <c r="AW271" s="42"/>
      <c r="AX271" s="42"/>
      <c r="AY271" s="42"/>
      <c r="AZ271" s="42"/>
      <c r="BA271" s="42"/>
      <c r="BB271" s="42"/>
      <c r="BC271" s="42"/>
      <c r="BD271" s="42"/>
      <c r="BE271" s="42"/>
      <c r="BF271" s="42"/>
      <c r="BG271" s="42"/>
      <c r="BH271" s="42"/>
      <c r="BI271" s="42"/>
      <c r="BJ271" s="42"/>
      <c r="BK271" s="42"/>
      <c r="BL271" s="42"/>
      <c r="BM271" s="42"/>
      <c r="BN271" s="42"/>
    </row>
    <row r="272" spans="1:66" ht="12.75" customHeight="1" x14ac:dyDescent="0.2">
      <c r="A272" s="1" t="s">
        <v>447</v>
      </c>
      <c r="B272" s="4">
        <f>_xll.ciqfunctions.udf.CIQ(InputTicker, "IQ_OPERATING_LEASE_LIABILITIES",Input!D$2,Date,,,Ccy,Conv)</f>
        <v>0</v>
      </c>
      <c r="C272" s="4">
        <f>_xll.ciqfunctions.udf.CIQ(InputTicker, "IQ_OPERATING_LEASE_LIABILITIES",Input!E$2,Date,,,Ccy,Conv)</f>
        <v>0</v>
      </c>
      <c r="D272" s="4">
        <f>_xll.ciqfunctions.udf.CIQ(InputTicker, "IQ_OPERATING_LEASE_LIABILITIES",Input!F$2,Date,,,Ccy,Conv)</f>
        <v>0</v>
      </c>
      <c r="E272" s="4">
        <f>_xll.ciqfunctions.udf.CIQ(InputTicker, "IQ_OPERATING_LEASE_LIABILITIES",Input!G$2,Date,,,Ccy,Conv)</f>
        <v>0</v>
      </c>
      <c r="F272" s="4">
        <f>_xll.ciqfunctions.udf.CIQ(InputTicker, "IQ_OPERATING_LEASE_LIABILITIES",Input!H$2,Date,,,Ccy,Conv)</f>
        <v>0</v>
      </c>
      <c r="G272" s="4">
        <f>_xll.ciqfunctions.udf.CIQ(InputTicker, "IQ_OPERATING_LEASE_LIABILITIES",Input!I$2,Date,,,Ccy,Conv)</f>
        <v>0</v>
      </c>
      <c r="H272" s="4">
        <f>_xll.ciqfunctions.udf.CIQ(InputTicker, "IQ_OPERATING_LEASE_LIABILITIES",Input!J$2,Date,,,Ccy,Conv)</f>
        <v>0</v>
      </c>
      <c r="I272" s="4">
        <f>_xll.ciqfunctions.udf.CIQ(InputTicker, "IQ_OPERATING_LEASE_LIABILITIES",Input!K$2,Date,,,Ccy,Conv)</f>
        <v>0</v>
      </c>
      <c r="J272" s="4">
        <f>_xll.ciqfunctions.udf.CIQ(InputTicker, "IQ_OPERATING_LEASE_LIABILITIES",Input!L$2,Date,,,Ccy,Conv)</f>
        <v>0</v>
      </c>
      <c r="K272" s="4">
        <f>_xll.ciqfunctions.udf.CIQ(InputTicker, "IQ_OPERATING_LEASE_LIABILITIES",Input!M$2,Date,,,Ccy,Conv)</f>
        <v>0</v>
      </c>
      <c r="L272" s="4">
        <f>_xll.ciqfunctions.udf.CIQ(InputTicker, "IQ_OPERATING_LEASE_LIABILITIES",Input!N$2,Date,,,Ccy,Conv)</f>
        <v>0</v>
      </c>
      <c r="M272" s="4">
        <f>_xll.ciqfunctions.udf.CIQ(InputTicker, "IQ_OPERATING_LEASE_LIABILITIES",Input!O$2,Date,,,Ccy,Conv)</f>
        <v>0</v>
      </c>
      <c r="N272" s="42"/>
      <c r="T272" s="42"/>
      <c r="U272" s="42"/>
      <c r="V272" s="42"/>
      <c r="W272" s="42"/>
      <c r="X272" s="42"/>
      <c r="Y272" s="42"/>
      <c r="Z272" s="42"/>
      <c r="AA272" s="42"/>
      <c r="AB272" s="42"/>
      <c r="AC272" s="42"/>
      <c r="AD272" s="42"/>
      <c r="AE272" s="42"/>
      <c r="AF272" s="42"/>
      <c r="AG272" s="42"/>
      <c r="AH272" s="42"/>
      <c r="AI272" s="42"/>
      <c r="AJ272" s="42"/>
      <c r="AK272" s="42"/>
      <c r="AL272" s="42"/>
      <c r="AM272" s="42"/>
      <c r="AN272" s="42"/>
      <c r="AO272" s="42"/>
      <c r="AP272" s="42"/>
      <c r="AQ272" s="42"/>
      <c r="AR272" s="42"/>
      <c r="AS272" s="42"/>
      <c r="AT272" s="42"/>
      <c r="AU272" s="42"/>
      <c r="AV272" s="42"/>
      <c r="AW272" s="42"/>
      <c r="AX272" s="42"/>
      <c r="AY272" s="42"/>
      <c r="AZ272" s="42"/>
      <c r="BA272" s="42"/>
      <c r="BB272" s="42"/>
      <c r="BC272" s="42"/>
      <c r="BD272" s="42"/>
      <c r="BE272" s="42"/>
      <c r="BF272" s="42"/>
      <c r="BG272" s="42"/>
      <c r="BH272" s="42"/>
      <c r="BI272" s="42"/>
      <c r="BJ272" s="42"/>
      <c r="BK272" s="42"/>
      <c r="BL272" s="42"/>
      <c r="BM272" s="42"/>
      <c r="BN272" s="42"/>
    </row>
    <row r="273" spans="1:66" ht="12.75" customHeight="1" x14ac:dyDescent="0.2">
      <c r="A273" s="1" t="s">
        <v>448</v>
      </c>
      <c r="B273" s="4">
        <f>_xll.ciqfunctions.udf.CIQ(InputTicker, "IQ_OPERATING_LEASE_LIABILITIES_NONCASH",Input!D$2,Date,,,Ccy,Conv)</f>
        <v>0</v>
      </c>
      <c r="C273" s="4">
        <f>_xll.ciqfunctions.udf.CIQ(InputTicker, "IQ_OPERATING_LEASE_LIABILITIES_NONCASH",Input!E$2,Date,,,Ccy,Conv)</f>
        <v>0</v>
      </c>
      <c r="D273" s="4">
        <f>_xll.ciqfunctions.udf.CIQ(InputTicker, "IQ_OPERATING_LEASE_LIABILITIES_NONCASH",Input!F$2,Date,,,Ccy,Conv)</f>
        <v>0</v>
      </c>
      <c r="E273" s="4">
        <f>_xll.ciqfunctions.udf.CIQ(InputTicker, "IQ_OPERATING_LEASE_LIABILITIES_NONCASH",Input!G$2,Date,,,Ccy,Conv)</f>
        <v>0</v>
      </c>
      <c r="F273" s="4">
        <f>_xll.ciqfunctions.udf.CIQ(InputTicker, "IQ_OPERATING_LEASE_LIABILITIES_NONCASH",Input!H$2,Date,,,Ccy,Conv)</f>
        <v>0</v>
      </c>
      <c r="G273" s="4">
        <f>_xll.ciqfunctions.udf.CIQ(InputTicker, "IQ_OPERATING_LEASE_LIABILITIES_NONCASH",Input!I$2,Date,,,Ccy,Conv)</f>
        <v>0</v>
      </c>
      <c r="H273" s="4">
        <f>_xll.ciqfunctions.udf.CIQ(InputTicker, "IQ_OPERATING_LEASE_LIABILITIES_NONCASH",Input!J$2,Date,,,Ccy,Conv)</f>
        <v>0</v>
      </c>
      <c r="I273" s="4">
        <f>_xll.ciqfunctions.udf.CIQ(InputTicker, "IQ_OPERATING_LEASE_LIABILITIES_NONCASH",Input!K$2,Date,,,Ccy,Conv)</f>
        <v>0</v>
      </c>
      <c r="J273" s="4">
        <f>_xll.ciqfunctions.udf.CIQ(InputTicker, "IQ_OPERATING_LEASE_LIABILITIES_NONCASH",Input!L$2,Date,,,Ccy,Conv)</f>
        <v>0</v>
      </c>
      <c r="K273" s="4">
        <f>_xll.ciqfunctions.udf.CIQ(InputTicker, "IQ_OPERATING_LEASE_LIABILITIES_NONCASH",Input!M$2,Date,,,Ccy,Conv)</f>
        <v>0</v>
      </c>
      <c r="L273" s="4">
        <f>_xll.ciqfunctions.udf.CIQ(InputTicker, "IQ_OPERATING_LEASE_LIABILITIES_NONCASH",Input!N$2,Date,,,Ccy,Conv)</f>
        <v>0</v>
      </c>
      <c r="M273" s="4">
        <f>_xll.ciqfunctions.udf.CIQ(InputTicker, "IQ_OPERATING_LEASE_LIABILITIES_NONCASH",Input!O$2,Date,,,Ccy,Conv)</f>
        <v>0</v>
      </c>
      <c r="N273" s="42"/>
      <c r="T273" s="42"/>
      <c r="U273" s="42"/>
      <c r="V273" s="42"/>
      <c r="W273" s="42"/>
      <c r="X273" s="42"/>
      <c r="Y273" s="42"/>
      <c r="Z273" s="42"/>
      <c r="AA273" s="42"/>
      <c r="AB273" s="42"/>
      <c r="AC273" s="42"/>
      <c r="AD273" s="42"/>
      <c r="AE273" s="42"/>
      <c r="AF273" s="42"/>
      <c r="AG273" s="42"/>
      <c r="AH273" s="42"/>
      <c r="AI273" s="42"/>
      <c r="AJ273" s="42"/>
      <c r="AK273" s="42"/>
      <c r="AL273" s="42"/>
      <c r="AM273" s="42"/>
      <c r="AN273" s="42"/>
      <c r="AO273" s="42"/>
      <c r="AP273" s="42"/>
      <c r="AQ273" s="42"/>
      <c r="AR273" s="42"/>
      <c r="AS273" s="42"/>
      <c r="AT273" s="42"/>
      <c r="AU273" s="42"/>
      <c r="AV273" s="42"/>
      <c r="AW273" s="42"/>
      <c r="AX273" s="42"/>
      <c r="AY273" s="42"/>
      <c r="AZ273" s="42"/>
      <c r="BA273" s="42"/>
      <c r="BB273" s="42"/>
      <c r="BC273" s="42"/>
      <c r="BD273" s="42"/>
      <c r="BE273" s="42"/>
      <c r="BF273" s="42"/>
      <c r="BG273" s="42"/>
      <c r="BH273" s="42"/>
      <c r="BI273" s="42"/>
      <c r="BJ273" s="42"/>
      <c r="BK273" s="42"/>
      <c r="BL273" s="42"/>
      <c r="BM273" s="42"/>
      <c r="BN273" s="42"/>
    </row>
    <row r="274" spans="1:66" ht="12.75" customHeight="1" x14ac:dyDescent="0.2">
      <c r="A274" s="1" t="s">
        <v>468</v>
      </c>
      <c r="B274" s="4">
        <f>_xll.ciqfunctions.udf.CIQ(InputTicker, "IQ_LONG_TERM_DEBT_REPAID_EXCL_LEASES",Input!D$2,Date,,,Ccy,Conv)</f>
        <v>-2796</v>
      </c>
      <c r="C274" s="4">
        <f>_xll.ciqfunctions.udf.CIQ(InputTicker, "IQ_LONG_TERM_DEBT_REPAID_EXCL_LEASES",Input!E$2,Date,,,Ccy,Conv)</f>
        <v>-7922</v>
      </c>
      <c r="D274" s="4">
        <f>_xll.ciqfunctions.udf.CIQ(InputTicker, "IQ_LONG_TERM_DEBT_REPAID_EXCL_LEASES",Input!F$2,Date,,,Ccy,Conv)</f>
        <v>-10060</v>
      </c>
      <c r="E274" s="4">
        <f>_xll.ciqfunctions.udf.CIQ(InputTicker, "IQ_LONG_TERM_DEBT_REPAID_EXCL_LEASES",Input!G$2,Date,,,Ccy,Conv)</f>
        <v>-4000</v>
      </c>
      <c r="F274" s="4">
        <f>_xll.ciqfunctions.udf.CIQ(InputTicker, "IQ_LONG_TERM_DEBT_REPAID_EXCL_LEASES",Input!H$2,Date,,,Ccy,Conv)</f>
        <v>-5518</v>
      </c>
      <c r="G274" s="4">
        <f>_xll.ciqfunctions.udf.CIQ(InputTicker, "IQ_LONG_TERM_DEBT_REPAID_EXCL_LEASES",Input!I$2,Date,,,Ccy,Conv)</f>
        <v>-3750</v>
      </c>
      <c r="H274" s="4">
        <f>_xll.ciqfunctions.udf.CIQ(InputTicker, "IQ_LONG_TERM_DEBT_REPAID_EXCL_LEASES",Input!J$2,Date,,,Ccy,Conv)</f>
        <v>-9023</v>
      </c>
      <c r="I274" s="4">
        <f>_xll.ciqfunctions.udf.CIQ(InputTicker, "IQ_LONG_TERM_DEBT_REPAID_EXCL_LEASES",Input!K$2,Date,,,Ccy,Conv)</f>
        <v>-2750</v>
      </c>
      <c r="J274" s="4">
        <f>_xll.ciqfunctions.udf.CIQ(InputTicker, "IQ_LONG_TERM_DEBT_REPAID_EXCL_LEASES",Input!L$2,Date,,,Ccy,Conv)</f>
        <v>-29070</v>
      </c>
      <c r="K274" s="4">
        <f>_xll.ciqfunctions.udf.CIQ(InputTicker, "IQ_LONG_TERM_DEBT_REPAID_EXCL_LEASES",Input!M$2,Date,,,Ccy,Conv)</f>
        <v>-3216</v>
      </c>
      <c r="L274" s="4">
        <f>_xll.ciqfunctions.udf.CIQ(InputTicker, "IQ_LONG_TERM_DEBT_REPAID_EXCL_LEASES",Input!N$2,Date,,,Ccy,Conv)</f>
        <v>-3000</v>
      </c>
      <c r="M274" s="4">
        <f>_xll.ciqfunctions.udf.CIQ(InputTicker, "IQ_LONG_TERM_DEBT_REPAID_EXCL_LEASES",Input!O$2,Date,,,Ccy,Conv)</f>
        <v>-3000</v>
      </c>
      <c r="N274" s="42"/>
      <c r="T274" s="42"/>
      <c r="U274" s="42"/>
      <c r="V274" s="42"/>
      <c r="W274" s="42"/>
      <c r="X274" s="42"/>
      <c r="Y274" s="42"/>
      <c r="Z274" s="42"/>
      <c r="AA274" s="42"/>
      <c r="AB274" s="42"/>
      <c r="AC274" s="42"/>
      <c r="AD274" s="42"/>
      <c r="AE274" s="42"/>
      <c r="AF274" s="42"/>
      <c r="AG274" s="42"/>
      <c r="AH274" s="42"/>
      <c r="AI274" s="42"/>
      <c r="AJ274" s="42"/>
      <c r="AK274" s="42"/>
      <c r="AL274" s="42"/>
      <c r="AM274" s="42"/>
      <c r="AN274" s="42"/>
      <c r="AO274" s="42"/>
      <c r="AP274" s="42"/>
      <c r="AQ274" s="42"/>
      <c r="AR274" s="42"/>
      <c r="AS274" s="42"/>
      <c r="AT274" s="42"/>
      <c r="AU274" s="42"/>
      <c r="AV274" s="42"/>
      <c r="AW274" s="42"/>
      <c r="AX274" s="42"/>
      <c r="AY274" s="42"/>
      <c r="AZ274" s="42"/>
      <c r="BA274" s="42"/>
      <c r="BB274" s="42"/>
      <c r="BC274" s="42"/>
      <c r="BD274" s="42"/>
      <c r="BE274" s="42"/>
      <c r="BF274" s="42"/>
      <c r="BG274" s="42"/>
      <c r="BH274" s="42"/>
      <c r="BI274" s="42"/>
      <c r="BJ274" s="42"/>
      <c r="BK274" s="42"/>
      <c r="BL274" s="42"/>
      <c r="BM274" s="42"/>
      <c r="BN274" s="42"/>
    </row>
    <row r="275" spans="1:66" ht="12.75" customHeight="1" x14ac:dyDescent="0.2">
      <c r="A275" s="1" t="s">
        <v>469</v>
      </c>
      <c r="B275" s="4">
        <f>_xll.ciqfunctions.udf.CIQ(InputTicker, "IQ_TOTAL_DEBT_REPAID_EXCL_LEASES",Input!D$2,Date,,,Ccy,Conv)</f>
        <v>-2796</v>
      </c>
      <c r="C275" s="4">
        <f>_xll.ciqfunctions.udf.CIQ(InputTicker, "IQ_TOTAL_DEBT_REPAID_EXCL_LEASES",Input!E$2,Date,,,Ccy,Conv)</f>
        <v>-12885</v>
      </c>
      <c r="D275" s="4">
        <f>_xll.ciqfunctions.udf.CIQ(InputTicker, "IQ_TOTAL_DEBT_REPAID_EXCL_LEASES",Input!F$2,Date,,,Ccy,Conv)</f>
        <v>-17384</v>
      </c>
      <c r="E275" s="4">
        <f>_xll.ciqfunctions.udf.CIQ(InputTicker, "IQ_TOTAL_DEBT_REPAID_EXCL_LEASES",Input!G$2,Date,,,Ccy,Conv)</f>
        <v>-4000</v>
      </c>
      <c r="F275" s="4">
        <f>_xll.ciqfunctions.udf.CIQ(InputTicker, "IQ_TOTAL_DEBT_REPAID_EXCL_LEASES",Input!H$2,Date,,,Ccy,Conv)</f>
        <v>-5518</v>
      </c>
      <c r="G275" s="4">
        <f>_xll.ciqfunctions.udf.CIQ(InputTicker, "IQ_TOTAL_DEBT_REPAID_EXCL_LEASES",Input!I$2,Date,,,Ccy,Conv)</f>
        <v>-3750</v>
      </c>
      <c r="H275" s="4">
        <f>_xll.ciqfunctions.udf.CIQ(InputTicker, "IQ_TOTAL_DEBT_REPAID_EXCL_LEASES",Input!J$2,Date,,,Ccy,Conv)</f>
        <v>-9023</v>
      </c>
      <c r="I275" s="4">
        <f>_xll.ciqfunctions.udf.CIQ(InputTicker, "IQ_TOTAL_DEBT_REPAID_EXCL_LEASES",Input!K$2,Date,,,Ccy,Conv)</f>
        <v>-2750</v>
      </c>
      <c r="J275" s="4">
        <f>_xll.ciqfunctions.udf.CIQ(InputTicker, "IQ_TOTAL_DEBT_REPAID_EXCL_LEASES",Input!L$2,Date,,,Ccy,Conv)</f>
        <v>-29070</v>
      </c>
      <c r="K275" s="4">
        <f>_xll.ciqfunctions.udf.CIQ(InputTicker, "IQ_TOTAL_DEBT_REPAID_EXCL_LEASES",Input!M$2,Date,,,Ccy,Conv)</f>
        <v>-8962</v>
      </c>
      <c r="L275" s="4">
        <f>_xll.ciqfunctions.udf.CIQ(InputTicker, "IQ_TOTAL_DEBT_REPAID_EXCL_LEASES",Input!N$2,Date,,,Ccy,Conv)</f>
        <v>-3000</v>
      </c>
      <c r="M275" s="4">
        <f>_xll.ciqfunctions.udf.CIQ(InputTicker, "IQ_TOTAL_DEBT_REPAID_EXCL_LEASES",Input!O$2,Date,,,Ccy,Conv)</f>
        <v>-3000</v>
      </c>
      <c r="N275" s="42"/>
      <c r="T275" s="42"/>
      <c r="U275" s="42"/>
      <c r="V275" s="42"/>
      <c r="W275" s="42"/>
      <c r="X275" s="42"/>
      <c r="Y275" s="42"/>
      <c r="Z275" s="42"/>
      <c r="AA275" s="42"/>
      <c r="AB275" s="42"/>
      <c r="AC275" s="42"/>
      <c r="AD275" s="42"/>
      <c r="AE275" s="42"/>
      <c r="AF275" s="42"/>
      <c r="AG275" s="42"/>
      <c r="AH275" s="42"/>
      <c r="AI275" s="42"/>
      <c r="AJ275" s="42"/>
      <c r="AK275" s="42"/>
      <c r="AL275" s="42"/>
      <c r="AM275" s="42"/>
      <c r="AN275" s="42"/>
      <c r="AO275" s="42"/>
      <c r="AP275" s="42"/>
      <c r="AQ275" s="42"/>
      <c r="AR275" s="42"/>
      <c r="AS275" s="42"/>
      <c r="AT275" s="42"/>
      <c r="AU275" s="42"/>
      <c r="AV275" s="42"/>
      <c r="AW275" s="42"/>
      <c r="AX275" s="42"/>
      <c r="AY275" s="42"/>
      <c r="AZ275" s="42"/>
      <c r="BA275" s="42"/>
      <c r="BB275" s="42"/>
      <c r="BC275" s="42"/>
      <c r="BD275" s="42"/>
      <c r="BE275" s="42"/>
      <c r="BF275" s="42"/>
      <c r="BG275" s="42"/>
      <c r="BH275" s="42"/>
      <c r="BI275" s="42"/>
      <c r="BJ275" s="42"/>
      <c r="BK275" s="42"/>
      <c r="BL275" s="42"/>
      <c r="BM275" s="42"/>
      <c r="BN275" s="42"/>
    </row>
    <row r="276" spans="1:66" ht="12.75" customHeight="1" x14ac:dyDescent="0.2">
      <c r="A276" s="1" t="s">
        <v>470</v>
      </c>
      <c r="B276" s="4">
        <f>_xll.ciqfunctions.udf.CIQ(InputTicker, "IQ_GAIN_BARGAIN_ACQ_CF",Input!D$2,Date,,,Ccy,Conv)</f>
        <v>0</v>
      </c>
      <c r="C276" s="4">
        <f>_xll.ciqfunctions.udf.CIQ(InputTicker, "IQ_GAIN_BARGAIN_ACQ_CF",Input!E$2,Date,,,Ccy,Conv)</f>
        <v>0</v>
      </c>
      <c r="D276" s="4">
        <f>_xll.ciqfunctions.udf.CIQ(InputTicker, "IQ_GAIN_BARGAIN_ACQ_CF",Input!F$2,Date,,,Ccy,Conv)</f>
        <v>0</v>
      </c>
      <c r="E276" s="4">
        <f>_xll.ciqfunctions.udf.CIQ(InputTicker, "IQ_GAIN_BARGAIN_ACQ_CF",Input!G$2,Date,,,Ccy,Conv)</f>
        <v>0</v>
      </c>
      <c r="F276" s="4">
        <f>_xll.ciqfunctions.udf.CIQ(InputTicker, "IQ_GAIN_BARGAIN_ACQ_CF",Input!H$2,Date,,,Ccy,Conv)</f>
        <v>0</v>
      </c>
      <c r="G276" s="4">
        <f>_xll.ciqfunctions.udf.CIQ(InputTicker, "IQ_GAIN_BARGAIN_ACQ_CF",Input!I$2,Date,,,Ccy,Conv)</f>
        <v>0</v>
      </c>
      <c r="H276" s="4">
        <f>_xll.ciqfunctions.udf.CIQ(InputTicker, "IQ_GAIN_BARGAIN_ACQ_CF",Input!J$2,Date,,,Ccy,Conv)</f>
        <v>0</v>
      </c>
      <c r="I276" s="4">
        <f>_xll.ciqfunctions.udf.CIQ(InputTicker, "IQ_GAIN_BARGAIN_ACQ_CF",Input!K$2,Date,,,Ccy,Conv)</f>
        <v>0</v>
      </c>
      <c r="J276" s="4">
        <f>_xll.ciqfunctions.udf.CIQ(InputTicker, "IQ_GAIN_BARGAIN_ACQ_CF",Input!L$2,Date,,,Ccy,Conv)</f>
        <v>0</v>
      </c>
      <c r="K276" s="4">
        <f>_xll.ciqfunctions.udf.CIQ(InputTicker, "IQ_GAIN_BARGAIN_ACQ_CF",Input!M$2,Date,,,Ccy,Conv)</f>
        <v>0</v>
      </c>
      <c r="L276" s="4">
        <f>_xll.ciqfunctions.udf.CIQ(InputTicker, "IQ_GAIN_BARGAIN_ACQ_CF",Input!N$2,Date,,,Ccy,Conv)</f>
        <v>0</v>
      </c>
      <c r="M276" s="4">
        <f>_xll.ciqfunctions.udf.CIQ(InputTicker, "IQ_GAIN_BARGAIN_ACQ_CF",Input!O$2,Date,,,Ccy,Conv)</f>
        <v>0</v>
      </c>
      <c r="N276" s="42"/>
      <c r="T276" s="42"/>
      <c r="U276" s="42"/>
      <c r="V276" s="42"/>
      <c r="W276" s="42"/>
      <c r="X276" s="42"/>
      <c r="Y276" s="42"/>
      <c r="Z276" s="42"/>
      <c r="AA276" s="42"/>
      <c r="AB276" s="42"/>
      <c r="AC276" s="42"/>
      <c r="AD276" s="42"/>
      <c r="AE276" s="42"/>
      <c r="AF276" s="42"/>
      <c r="AG276" s="42"/>
      <c r="AH276" s="42"/>
      <c r="AI276" s="42"/>
      <c r="AJ276" s="42"/>
      <c r="AK276" s="42"/>
      <c r="AL276" s="42"/>
      <c r="AM276" s="42"/>
      <c r="AN276" s="42"/>
      <c r="AO276" s="42"/>
      <c r="AP276" s="42"/>
      <c r="AQ276" s="42"/>
      <c r="AR276" s="42"/>
      <c r="AS276" s="42"/>
      <c r="AT276" s="42"/>
      <c r="AU276" s="42"/>
      <c r="AV276" s="42"/>
      <c r="AW276" s="42"/>
      <c r="AX276" s="42"/>
      <c r="AY276" s="42"/>
      <c r="AZ276" s="42"/>
      <c r="BA276" s="42"/>
      <c r="BB276" s="42"/>
      <c r="BC276" s="42"/>
      <c r="BD276" s="42"/>
      <c r="BE276" s="42"/>
      <c r="BF276" s="42"/>
      <c r="BG276" s="42"/>
      <c r="BH276" s="42"/>
      <c r="BI276" s="42"/>
      <c r="BJ276" s="42"/>
      <c r="BK276" s="42"/>
      <c r="BL276" s="42"/>
      <c r="BM276" s="42"/>
      <c r="BN276" s="42"/>
    </row>
    <row r="277" spans="1:66" ht="12.75" customHeight="1" x14ac:dyDescent="0.2">
      <c r="A277" s="1" t="s">
        <v>347</v>
      </c>
      <c r="B277" s="15" t="str">
        <f>_xll.ciqfunctions.udf.CIQ(InputTicker, "IQ_FILING_CURRENCY",Input!D$2,Date)</f>
        <v>USD</v>
      </c>
      <c r="C277" s="15" t="str">
        <f>_xll.ciqfunctions.udf.CIQ(InputTicker, "IQ_FILING_CURRENCY",Input!E$2,Date)</f>
        <v>USD</v>
      </c>
      <c r="D277" s="15" t="str">
        <f>_xll.ciqfunctions.udf.CIQ(InputTicker, "IQ_FILING_CURRENCY",Input!F$2,Date)</f>
        <v>USD</v>
      </c>
      <c r="E277" s="15" t="str">
        <f>_xll.ciqfunctions.udf.CIQ(InputTicker, "IQ_FILING_CURRENCY",Input!G$2,Date)</f>
        <v>USD</v>
      </c>
      <c r="F277" s="15" t="str">
        <f>_xll.ciqfunctions.udf.CIQ(InputTicker, "IQ_FILING_CURRENCY",Input!H$2,Date)</f>
        <v>USD</v>
      </c>
      <c r="G277" s="15" t="str">
        <f>_xll.ciqfunctions.udf.CIQ(InputTicker, "IQ_FILING_CURRENCY",Input!I$2,Date)</f>
        <v>USD</v>
      </c>
      <c r="H277" s="15" t="str">
        <f>_xll.ciqfunctions.udf.CIQ(InputTicker, "IQ_FILING_CURRENCY",Input!J$2,Date)</f>
        <v>USD</v>
      </c>
      <c r="I277" s="15" t="str">
        <f>_xll.ciqfunctions.udf.CIQ(InputTicker, "IQ_FILING_CURRENCY",Input!K$2,Date)</f>
        <v>USD</v>
      </c>
      <c r="J277" s="15" t="str">
        <f>_xll.ciqfunctions.udf.CIQ(InputTicker, "IQ_FILING_CURRENCY",Input!L$2,Date)</f>
        <v>USD</v>
      </c>
      <c r="K277" s="15" t="str">
        <f>_xll.ciqfunctions.udf.CIQ(InputTicker, "IQ_FILING_CURRENCY",Input!M$2,Date)</f>
        <v>USD</v>
      </c>
      <c r="L277" s="15" t="str">
        <f>_xll.ciqfunctions.udf.CIQ(InputTicker, "IQ_FILING_CURRENCY",Input!N$2,Date)</f>
        <v>USD</v>
      </c>
      <c r="M277" s="15" t="str">
        <f>_xll.ciqfunctions.udf.CIQ(InputTicker, "IQ_FILING_CURRENCY",Input!O$2,Date)</f>
        <v>USD</v>
      </c>
      <c r="N277" s="42"/>
      <c r="P277" s="46"/>
      <c r="Q277" s="46"/>
      <c r="R277" s="46"/>
      <c r="S277" s="46"/>
      <c r="T277" s="42"/>
      <c r="U277" s="42"/>
      <c r="V277" s="46"/>
      <c r="W277" s="42"/>
      <c r="X277" s="42"/>
      <c r="Y277" s="42"/>
      <c r="Z277" s="42"/>
      <c r="AA277" s="42"/>
      <c r="AB277" s="42"/>
      <c r="AC277" s="42"/>
      <c r="AD277" s="42"/>
      <c r="AE277" s="42"/>
      <c r="AF277" s="42"/>
      <c r="AG277" s="42"/>
      <c r="AH277" s="42"/>
      <c r="AI277" s="42"/>
      <c r="AJ277" s="42"/>
      <c r="AK277" s="42"/>
      <c r="AL277" s="42"/>
      <c r="AM277" s="42"/>
      <c r="AN277" s="42"/>
      <c r="AO277" s="42"/>
      <c r="AP277" s="42"/>
      <c r="AQ277" s="42"/>
      <c r="AR277" s="42"/>
      <c r="AS277" s="42"/>
      <c r="AT277" s="42"/>
      <c r="AU277" s="42"/>
      <c r="AV277" s="42"/>
      <c r="AW277" s="42"/>
      <c r="AX277" s="42"/>
      <c r="AY277" s="42"/>
      <c r="AZ277" s="42"/>
      <c r="BA277" s="42"/>
      <c r="BB277" s="42"/>
      <c r="BC277" s="42"/>
      <c r="BD277" s="42"/>
      <c r="BE277" s="42"/>
      <c r="BF277" s="42"/>
      <c r="BG277" s="42"/>
      <c r="BH277" s="42"/>
      <c r="BI277" s="42"/>
      <c r="BJ277" s="42"/>
      <c r="BK277" s="42"/>
      <c r="BL277" s="42"/>
      <c r="BM277" s="42"/>
      <c r="BN277" s="42"/>
    </row>
    <row r="278" spans="1:66" ht="12.75" customHeight="1" x14ac:dyDescent="0.2">
      <c r="A278" s="1" t="s">
        <v>345</v>
      </c>
      <c r="B278" s="15" t="str">
        <f>_xll.ciqfunctions.udf.CIQ(InputTicker, "IQ_RESTATEMENT_CF",Input!D$2,Date)</f>
        <v>RS</v>
      </c>
      <c r="C278" s="15" t="str">
        <f>_xll.ciqfunctions.udf.CIQ(InputTicker, "IQ_RESTATEMENT_CF",Input!E$2,Date)</f>
        <v>RS</v>
      </c>
      <c r="D278" s="15" t="str">
        <f>_xll.ciqfunctions.udf.CIQ(InputTicker, "IQ_RESTATEMENT_CF",Input!F$2,Date)</f>
        <v>NC</v>
      </c>
      <c r="E278" s="15" t="str">
        <f>_xll.ciqfunctions.udf.CIQ(InputTicker, "IQ_RESTATEMENT_CF",Input!G$2,Date)</f>
        <v>NC</v>
      </c>
      <c r="F278" s="15" t="str">
        <f>_xll.ciqfunctions.udf.CIQ(InputTicker, "IQ_RESTATEMENT_CF",Input!H$2,Date)</f>
        <v>NC</v>
      </c>
      <c r="G278" s="15" t="str">
        <f>_xll.ciqfunctions.udf.CIQ(InputTicker, "IQ_RESTATEMENT_CF",Input!I$2,Date)</f>
        <v>NC</v>
      </c>
      <c r="H278" s="15" t="str">
        <f>_xll.ciqfunctions.udf.CIQ(InputTicker, "IQ_RESTATEMENT_CF",Input!J$2,Date)</f>
        <v>NC</v>
      </c>
      <c r="I278" s="15" t="str">
        <f>_xll.ciqfunctions.udf.CIQ(InputTicker, "IQ_RESTATEMENT_CF",Input!K$2,Date)</f>
        <v>NC</v>
      </c>
      <c r="J278" s="15" t="str">
        <f>_xll.ciqfunctions.udf.CIQ(InputTicker, "IQ_RESTATEMENT_CF",Input!L$2,Date)</f>
        <v>NC</v>
      </c>
      <c r="K278" s="15" t="str">
        <f>_xll.ciqfunctions.udf.CIQ(InputTicker, "IQ_RESTATEMENT_CF",Input!M$2,Date)</f>
        <v>NC</v>
      </c>
      <c r="L278" s="15" t="str">
        <f>_xll.ciqfunctions.udf.CIQ(InputTicker, "IQ_RESTATEMENT_CF",Input!N$2,Date)</f>
        <v>O</v>
      </c>
      <c r="M278" s="15" t="str">
        <f>_xll.ciqfunctions.udf.CIQ(InputTicker, "IQ_RESTATEMENT_CF",Input!O$2,Date)</f>
        <v>O</v>
      </c>
      <c r="N278" s="42"/>
      <c r="T278" s="46"/>
      <c r="U278" s="46"/>
      <c r="V278" s="42"/>
      <c r="W278" s="42"/>
      <c r="X278" s="42"/>
      <c r="Y278" s="42"/>
      <c r="Z278" s="42"/>
      <c r="AA278" s="42"/>
      <c r="AB278" s="42"/>
      <c r="AC278" s="42"/>
      <c r="AD278" s="42"/>
      <c r="AE278" s="42"/>
      <c r="AF278" s="42"/>
      <c r="AG278" s="42"/>
      <c r="AH278" s="42"/>
      <c r="AI278" s="42"/>
      <c r="AJ278" s="42"/>
      <c r="AK278" s="42"/>
      <c r="AL278" s="42"/>
      <c r="AM278" s="42"/>
      <c r="AN278" s="42"/>
      <c r="AO278" s="42"/>
      <c r="AP278" s="42"/>
      <c r="AQ278" s="42"/>
      <c r="AR278" s="42"/>
      <c r="AS278" s="42"/>
      <c r="AT278" s="42"/>
      <c r="AU278" s="42"/>
      <c r="AV278" s="42"/>
      <c r="AW278" s="42"/>
      <c r="AX278" s="42"/>
      <c r="AY278" s="42"/>
      <c r="AZ278" s="42"/>
      <c r="BA278" s="42"/>
      <c r="BB278" s="42"/>
      <c r="BC278" s="42"/>
      <c r="BD278" s="42"/>
      <c r="BE278" s="42"/>
      <c r="BF278" s="42"/>
      <c r="BG278" s="42"/>
      <c r="BH278" s="42"/>
      <c r="BI278" s="42"/>
      <c r="BJ278" s="42"/>
      <c r="BK278" s="42"/>
      <c r="BL278" s="42"/>
      <c r="BM278" s="42"/>
      <c r="BN278" s="42"/>
    </row>
    <row r="279" spans="1:66" ht="12.75" customHeight="1" x14ac:dyDescent="0.2">
      <c r="A279" s="1" t="s">
        <v>346</v>
      </c>
      <c r="B279" s="15" t="str">
        <f>_xll.ciqfunctions.udf.CIQ(InputTicker, "IQ_CALC_TYPE_CF",Input!D$2,Date)</f>
        <v>REP</v>
      </c>
      <c r="C279" s="15" t="str">
        <f>_xll.ciqfunctions.udf.CIQ(InputTicker, "IQ_CALC_TYPE_CF",Input!E$2,Date)</f>
        <v>REP</v>
      </c>
      <c r="D279" s="15" t="str">
        <f>_xll.ciqfunctions.udf.CIQ(InputTicker, "IQ_CALC_TYPE_CF",Input!F$2,Date)</f>
        <v>REP</v>
      </c>
      <c r="E279" s="15" t="str">
        <f>_xll.ciqfunctions.udf.CIQ(InputTicker, "IQ_CALC_TYPE_CF",Input!G$2,Date)</f>
        <v>REP</v>
      </c>
      <c r="F279" s="15" t="str">
        <f>_xll.ciqfunctions.udf.CIQ(InputTicker, "IQ_CALC_TYPE_CF",Input!H$2,Date)</f>
        <v>REP</v>
      </c>
      <c r="G279" s="15" t="str">
        <f>_xll.ciqfunctions.udf.CIQ(InputTicker, "IQ_CALC_TYPE_CF",Input!I$2,Date)</f>
        <v>REP</v>
      </c>
      <c r="H279" s="15" t="str">
        <f>_xll.ciqfunctions.udf.CIQ(InputTicker, "IQ_CALC_TYPE_CF",Input!J$2,Date)</f>
        <v>REP</v>
      </c>
      <c r="I279" s="15" t="str">
        <f>_xll.ciqfunctions.udf.CIQ(InputTicker, "IQ_CALC_TYPE_CF",Input!K$2,Date)</f>
        <v>REP</v>
      </c>
      <c r="J279" s="15" t="str">
        <f>_xll.ciqfunctions.udf.CIQ(InputTicker, "IQ_CALC_TYPE_CF",Input!L$2,Date)</f>
        <v>REP</v>
      </c>
      <c r="K279" s="15" t="str">
        <f>_xll.ciqfunctions.udf.CIQ(InputTicker, "IQ_CALC_TYPE_CF",Input!M$2,Date)</f>
        <v>REP</v>
      </c>
      <c r="L279" s="15" t="str">
        <f>_xll.ciqfunctions.udf.CIQ(InputTicker, "IQ_CALC_TYPE_CF",Input!N$2,Date)</f>
        <v>REP</v>
      </c>
      <c r="M279" s="15" t="str">
        <f>_xll.ciqfunctions.udf.CIQ(InputTicker, "IQ_CALC_TYPE_CF",Input!O$2,Date)</f>
        <v>REP</v>
      </c>
      <c r="N279" s="42"/>
      <c r="S279" s="46"/>
      <c r="T279" s="42"/>
      <c r="U279" s="42"/>
      <c r="V279" s="42"/>
      <c r="W279" s="42"/>
      <c r="X279" s="42"/>
      <c r="Y279" s="42"/>
      <c r="Z279" s="42"/>
      <c r="AA279" s="42"/>
      <c r="AB279" s="42"/>
      <c r="AC279" s="42"/>
      <c r="AD279" s="42"/>
      <c r="AE279" s="42"/>
      <c r="AF279" s="42"/>
      <c r="AG279" s="42"/>
      <c r="AH279" s="42"/>
      <c r="AI279" s="42"/>
      <c r="AJ279" s="42"/>
      <c r="AK279" s="42"/>
      <c r="AL279" s="42"/>
      <c r="AM279" s="42"/>
      <c r="AN279" s="42"/>
      <c r="AO279" s="42"/>
      <c r="AP279" s="42"/>
      <c r="AQ279" s="42"/>
      <c r="AR279" s="42"/>
      <c r="AS279" s="42"/>
      <c r="AT279" s="42"/>
      <c r="AU279" s="42"/>
      <c r="AV279" s="42"/>
      <c r="AW279" s="42"/>
      <c r="AX279" s="42"/>
      <c r="AY279" s="42"/>
      <c r="AZ279" s="42"/>
      <c r="BA279" s="42"/>
      <c r="BB279" s="42"/>
      <c r="BC279" s="42"/>
      <c r="BD279" s="42"/>
      <c r="BE279" s="42"/>
      <c r="BF279" s="42"/>
      <c r="BG279" s="42"/>
      <c r="BH279" s="42"/>
      <c r="BI279" s="42"/>
      <c r="BJ279" s="42"/>
      <c r="BK279" s="42"/>
      <c r="BL279" s="42"/>
      <c r="BM279" s="42"/>
      <c r="BN279" s="42"/>
    </row>
    <row r="280" spans="1:66" ht="12.75" customHeight="1" x14ac:dyDescent="0.2">
      <c r="A280" s="1" t="s">
        <v>376</v>
      </c>
      <c r="B280" s="15" t="str">
        <f>_xll.ciqfunctions.udf.CIQ(InputTicker, "IQ_GAAP_CF",Input!D$2,Date)</f>
        <v>US GAAP</v>
      </c>
      <c r="C280" s="15" t="str">
        <f>_xll.ciqfunctions.udf.CIQ(InputTicker, "IQ_GAAP_CF",Input!E$2,Date)</f>
        <v>US GAAP</v>
      </c>
      <c r="D280" s="15" t="str">
        <f>_xll.ciqfunctions.udf.CIQ(InputTicker, "IQ_GAAP_CF",Input!F$2,Date)</f>
        <v>US GAAP</v>
      </c>
      <c r="E280" s="15" t="str">
        <f>_xll.ciqfunctions.udf.CIQ(InputTicker, "IQ_GAAP_CF",Input!G$2,Date)</f>
        <v>US GAAP</v>
      </c>
      <c r="F280" s="15" t="str">
        <f>_xll.ciqfunctions.udf.CIQ(InputTicker, "IQ_GAAP_CF",Input!H$2,Date)</f>
        <v>US GAAP</v>
      </c>
      <c r="G280" s="15" t="str">
        <f>_xll.ciqfunctions.udf.CIQ(InputTicker, "IQ_GAAP_CF",Input!I$2,Date)</f>
        <v>US GAAP</v>
      </c>
      <c r="H280" s="15" t="str">
        <f>_xll.ciqfunctions.udf.CIQ(InputTicker, "IQ_GAAP_CF",Input!J$2,Date)</f>
        <v>US GAAP</v>
      </c>
      <c r="I280" s="15" t="str">
        <f>_xll.ciqfunctions.udf.CIQ(InputTicker, "IQ_GAAP_CF",Input!K$2,Date)</f>
        <v>US GAAP</v>
      </c>
      <c r="J280" s="15" t="str">
        <f>_xll.ciqfunctions.udf.CIQ(InputTicker, "IQ_GAAP_CF",Input!L$2,Date)</f>
        <v>US GAAP</v>
      </c>
      <c r="K280" s="15" t="str">
        <f>_xll.ciqfunctions.udf.CIQ(InputTicker, "IQ_GAAP_CF",Input!M$2,Date)</f>
        <v>US GAAP</v>
      </c>
      <c r="L280" s="15" t="str">
        <f>_xll.ciqfunctions.udf.CIQ(InputTicker, "IQ_GAAP_CF",Input!N$2,Date)</f>
        <v>US GAAP</v>
      </c>
      <c r="M280" s="15" t="str">
        <f>_xll.ciqfunctions.udf.CIQ(InputTicker, "IQ_GAAP_CF",Input!O$2,Date)</f>
        <v>US GAAP</v>
      </c>
      <c r="N280" s="42"/>
      <c r="P280" s="46"/>
      <c r="Q280" s="46"/>
      <c r="R280" s="46"/>
      <c r="T280" s="46"/>
      <c r="U280" s="46"/>
      <c r="V280" s="46"/>
      <c r="W280" s="42"/>
      <c r="X280" s="42"/>
      <c r="Y280" s="42"/>
      <c r="Z280" s="42"/>
      <c r="AA280" s="42"/>
      <c r="AB280" s="42"/>
      <c r="AC280" s="42"/>
      <c r="AD280" s="42"/>
      <c r="AE280" s="42"/>
      <c r="AF280" s="42"/>
      <c r="AG280" s="42"/>
      <c r="AH280" s="42"/>
      <c r="AI280" s="42"/>
      <c r="AJ280" s="42"/>
      <c r="AK280" s="42"/>
      <c r="AL280" s="42"/>
      <c r="AM280" s="42"/>
      <c r="AN280" s="42"/>
      <c r="AO280" s="42"/>
      <c r="AP280" s="42"/>
      <c r="AQ280" s="42"/>
      <c r="AR280" s="42"/>
      <c r="AS280" s="42"/>
      <c r="AT280" s="42"/>
      <c r="AU280" s="42"/>
      <c r="AV280" s="42"/>
      <c r="AW280" s="42"/>
      <c r="AX280" s="42"/>
      <c r="AY280" s="42"/>
      <c r="AZ280" s="42"/>
      <c r="BA280" s="42"/>
      <c r="BB280" s="42"/>
      <c r="BC280" s="42"/>
      <c r="BD280" s="42"/>
      <c r="BE280" s="42"/>
      <c r="BF280" s="42"/>
      <c r="BG280" s="42"/>
      <c r="BH280" s="42"/>
      <c r="BI280" s="42"/>
      <c r="BJ280" s="42"/>
      <c r="BK280" s="42"/>
      <c r="BL280" s="42"/>
      <c r="BM280" s="42"/>
      <c r="BN280" s="42"/>
    </row>
    <row r="281" spans="1:66" ht="12.75" customHeight="1" x14ac:dyDescent="0.2">
      <c r="A281" s="1" t="s">
        <v>85</v>
      </c>
      <c r="B281" s="4">
        <f>_xll.ciqfunctions.udf.CIQ(InputTicker, "IQ_CASH_EQUIV",Input!D$2,Date,,,Ccy,Conv)</f>
        <v>6510</v>
      </c>
      <c r="C281" s="4">
        <f>_xll.ciqfunctions.udf.CIQ(InputTicker, "IQ_CASH_EQUIV",Input!E$2,Date,,,Ccy,Conv)</f>
        <v>7663</v>
      </c>
      <c r="D281" s="4">
        <f>_xll.ciqfunctions.udf.CIQ(InputTicker, "IQ_CASH_EQUIV",Input!F$2,Date,,,Ccy,Conv)</f>
        <v>11946</v>
      </c>
      <c r="E281" s="4">
        <f>_xll.ciqfunctions.udf.CIQ(InputTicker, "IQ_CASH_EQUIV",Input!G$2,Date,,,Ccy,Conv)</f>
        <v>11356</v>
      </c>
      <c r="F281" s="4">
        <f>_xll.ciqfunctions.udf.CIQ(InputTicker, "IQ_CASH_EQUIV",Input!H$2,Date,,,Ccy,Conv)</f>
        <v>13576</v>
      </c>
      <c r="G281" s="4">
        <f>_xll.ciqfunctions.udf.CIQ(InputTicker, "IQ_CASH_EQUIV",Input!I$2,Date,,,Ccy,Conv)</f>
        <v>14224</v>
      </c>
      <c r="H281" s="4">
        <f>_xll.ciqfunctions.udf.CIQ(InputTicker, "IQ_CASH_EQUIV",Input!J$2,Date,,,Ccy,Conv)</f>
        <v>13931</v>
      </c>
      <c r="I281" s="4">
        <f>_xll.ciqfunctions.udf.CIQ(InputTicker, "IQ_CASH_EQUIV",Input!K$2,Date,,,Ccy,Conv)</f>
        <v>34704</v>
      </c>
      <c r="J281" s="4">
        <f>_xll.ciqfunctions.udf.CIQ(InputTicker, "IQ_CASH_EQUIV",Input!L$2,Date,,,Ccy,Conv)</f>
        <v>18315</v>
      </c>
      <c r="K281" s="4">
        <f>_xll.ciqfunctions.udf.CIQ(InputTicker, "IQ_CASH_EQUIV",Input!M$2,Date,,,Ccy,Conv)</f>
        <v>30242</v>
      </c>
      <c r="L281" s="4">
        <f>_xll.ciqfunctions.udf.CIQ(InputTicker, "IQ_CASH_EQUIV",Input!N$2,Date,,,Ccy,Conv)</f>
        <v>20935</v>
      </c>
      <c r="M281" s="4">
        <f>_xll.ciqfunctions.udf.CIQ(InputTicker, "IQ_CASH_EQUIV",Input!O$2,Date,,,Ccy,Conv)</f>
        <v>20935</v>
      </c>
      <c r="N281" s="42"/>
      <c r="S281" s="46"/>
      <c r="T281" s="42"/>
      <c r="U281" s="42"/>
      <c r="V281" s="42"/>
      <c r="W281" s="42"/>
      <c r="X281" s="42"/>
      <c r="Y281" s="42"/>
      <c r="Z281" s="42"/>
      <c r="AA281" s="42"/>
      <c r="AB281" s="42"/>
      <c r="AC281" s="42"/>
      <c r="AD281" s="42"/>
      <c r="AE281" s="42"/>
      <c r="AF281" s="42"/>
      <c r="AG281" s="42"/>
      <c r="AH281" s="42"/>
      <c r="AI281" s="42"/>
      <c r="AJ281" s="42"/>
      <c r="AK281" s="42"/>
      <c r="AL281" s="42"/>
      <c r="AM281" s="42"/>
      <c r="AN281" s="42"/>
      <c r="AO281" s="42"/>
      <c r="AP281" s="42"/>
      <c r="AQ281" s="42"/>
      <c r="AR281" s="42"/>
      <c r="AS281" s="42"/>
      <c r="AT281" s="42"/>
      <c r="AU281" s="42"/>
      <c r="AV281" s="42"/>
      <c r="AW281" s="42"/>
      <c r="AX281" s="42"/>
      <c r="AY281" s="42"/>
      <c r="AZ281" s="42"/>
      <c r="BA281" s="42"/>
      <c r="BB281" s="42"/>
      <c r="BC281" s="42"/>
      <c r="BD281" s="42"/>
      <c r="BE281" s="42"/>
      <c r="BF281" s="42"/>
      <c r="BG281" s="42"/>
      <c r="BH281" s="42"/>
      <c r="BI281" s="42"/>
      <c r="BJ281" s="42"/>
      <c r="BK281" s="42"/>
      <c r="BL281" s="42"/>
      <c r="BM281" s="42"/>
      <c r="BN281" s="42"/>
    </row>
    <row r="282" spans="1:66" ht="12.75" customHeight="1" x14ac:dyDescent="0.2">
      <c r="A282" s="1" t="s">
        <v>86</v>
      </c>
      <c r="B282" s="4">
        <f>_xll.ciqfunctions.udf.CIQ(InputTicker, "IQ_ST_INVEST",Input!D$2,Date,,,Ccy,Conv)</f>
        <v>106531</v>
      </c>
      <c r="C282" s="4">
        <f>_xll.ciqfunctions.udf.CIQ(InputTicker, "IQ_ST_INVEST",Input!E$2,Date,,,Ccy,Conv)</f>
        <v>125238</v>
      </c>
      <c r="D282" s="4">
        <f>_xll.ciqfunctions.udf.CIQ(InputTicker, "IQ_ST_INVEST",Input!F$2,Date,,,Ccy,Conv)</f>
        <v>121718</v>
      </c>
      <c r="E282" s="4">
        <f>_xll.ciqfunctions.udf.CIQ(InputTicker, "IQ_ST_INVEST",Input!G$2,Date,,,Ccy,Conv)</f>
        <v>122476</v>
      </c>
      <c r="F282" s="4">
        <f>_xll.ciqfunctions.udf.CIQ(InputTicker, "IQ_ST_INVEST",Input!H$2,Date,,,Ccy,Conv)</f>
        <v>122916</v>
      </c>
      <c r="G282" s="4">
        <f>_xll.ciqfunctions.udf.CIQ(InputTicker, "IQ_ST_INVEST",Input!I$2,Date,,,Ccy,Conv)</f>
        <v>116032</v>
      </c>
      <c r="H282" s="4">
        <f>_xll.ciqfunctions.udf.CIQ(InputTicker, "IQ_ST_INVEST",Input!J$2,Date,,,Ccy,Conv)</f>
        <v>90818</v>
      </c>
      <c r="I282" s="4">
        <f>_xll.ciqfunctions.udf.CIQ(InputTicker, "IQ_ST_INVEST",Input!K$2,Date,,,Ccy,Conv)</f>
        <v>76552</v>
      </c>
      <c r="J282" s="4">
        <f>_xll.ciqfunctions.udf.CIQ(InputTicker, "IQ_ST_INVEST",Input!L$2,Date,,,Ccy,Conv)</f>
        <v>57216</v>
      </c>
      <c r="K282" s="4">
        <f>_xll.ciqfunctions.udf.CIQ(InputTicker, "IQ_ST_INVEST",Input!M$2,Date,,,Ccy,Conv)</f>
        <v>64313</v>
      </c>
      <c r="L282" s="4">
        <f>_xll.ciqfunctions.udf.CIQ(InputTicker, "IQ_ST_INVEST",Input!N$2,Date,,,Ccy,Conv)</f>
        <v>55716</v>
      </c>
      <c r="M282" s="4">
        <f>_xll.ciqfunctions.udf.CIQ(InputTicker, "IQ_ST_INVEST",Input!O$2,Date,,,Ccy,Conv)</f>
        <v>55716</v>
      </c>
      <c r="N282" s="42"/>
      <c r="T282" s="42"/>
      <c r="U282" s="42"/>
      <c r="V282" s="42"/>
      <c r="W282" s="42"/>
      <c r="X282" s="42"/>
      <c r="Y282" s="42"/>
      <c r="Z282" s="42"/>
      <c r="AA282" s="42"/>
      <c r="AB282" s="42"/>
      <c r="AC282" s="42"/>
      <c r="AD282" s="42"/>
      <c r="AE282" s="42"/>
      <c r="AF282" s="42"/>
      <c r="AG282" s="42"/>
      <c r="AH282" s="42"/>
      <c r="AI282" s="42"/>
      <c r="AJ282" s="42"/>
      <c r="AK282" s="42"/>
      <c r="AL282" s="42"/>
      <c r="AM282" s="42"/>
      <c r="AN282" s="42"/>
      <c r="AO282" s="42"/>
      <c r="AP282" s="42"/>
      <c r="AQ282" s="42"/>
      <c r="AR282" s="42"/>
      <c r="AS282" s="42"/>
      <c r="AT282" s="42"/>
      <c r="AU282" s="42"/>
      <c r="AV282" s="42"/>
      <c r="AW282" s="42"/>
      <c r="AX282" s="42"/>
      <c r="AY282" s="42"/>
      <c r="AZ282" s="42"/>
      <c r="BA282" s="42"/>
      <c r="BB282" s="42"/>
      <c r="BC282" s="42"/>
      <c r="BD282" s="42"/>
      <c r="BE282" s="42"/>
      <c r="BF282" s="42"/>
      <c r="BG282" s="42"/>
      <c r="BH282" s="42"/>
      <c r="BI282" s="42"/>
      <c r="BJ282" s="42"/>
      <c r="BK282" s="42"/>
      <c r="BL282" s="42"/>
      <c r="BM282" s="42"/>
      <c r="BN282" s="42"/>
    </row>
    <row r="283" spans="1:66" ht="12.75" customHeight="1" x14ac:dyDescent="0.2">
      <c r="A283" s="1" t="s">
        <v>170</v>
      </c>
      <c r="B283" s="4">
        <f>_xll.ciqfunctions.udf.CIQ(InputTicker, "IQ_TRADING_ASSETS",Input!D$2,Date,,,Ccy,Conv)</f>
        <v>0</v>
      </c>
      <c r="C283" s="4">
        <f>_xll.ciqfunctions.udf.CIQ(InputTicker, "IQ_TRADING_ASSETS",Input!E$2,Date,,,Ccy,Conv)</f>
        <v>0</v>
      </c>
      <c r="D283" s="4">
        <f>_xll.ciqfunctions.udf.CIQ(InputTicker, "IQ_TRADING_ASSETS",Input!F$2,Date,,,Ccy,Conv)</f>
        <v>0</v>
      </c>
      <c r="E283" s="4">
        <f>_xll.ciqfunctions.udf.CIQ(InputTicker, "IQ_TRADING_ASSETS",Input!G$2,Date,,,Ccy,Conv)</f>
        <v>0</v>
      </c>
      <c r="F283" s="4">
        <f>_xll.ciqfunctions.udf.CIQ(InputTicker, "IQ_TRADING_ASSETS",Input!H$2,Date,,,Ccy,Conv)</f>
        <v>0</v>
      </c>
      <c r="G283" s="4">
        <f>_xll.ciqfunctions.udf.CIQ(InputTicker, "IQ_TRADING_ASSETS",Input!I$2,Date,,,Ccy,Conv)</f>
        <v>0</v>
      </c>
      <c r="H283" s="4">
        <f>_xll.ciqfunctions.udf.CIQ(InputTicker, "IQ_TRADING_ASSETS",Input!J$2,Date,,,Ccy,Conv)</f>
        <v>0</v>
      </c>
      <c r="I283" s="4">
        <f>_xll.ciqfunctions.udf.CIQ(InputTicker, "IQ_TRADING_ASSETS",Input!K$2,Date,,,Ccy,Conv)</f>
        <v>0</v>
      </c>
      <c r="J283" s="4">
        <f>_xll.ciqfunctions.udf.CIQ(InputTicker, "IQ_TRADING_ASSETS",Input!L$2,Date,,,Ccy,Conv)</f>
        <v>0</v>
      </c>
      <c r="K283" s="4">
        <f>_xll.ciqfunctions.udf.CIQ(InputTicker, "IQ_TRADING_ASSETS",Input!M$2,Date,,,Ccy,Conv)</f>
        <v>0</v>
      </c>
      <c r="L283" s="4">
        <f>_xll.ciqfunctions.udf.CIQ(InputTicker, "IQ_TRADING_ASSETS",Input!N$2,Date,,,Ccy,Conv)</f>
        <v>0</v>
      </c>
      <c r="M283" s="4">
        <f>_xll.ciqfunctions.udf.CIQ(InputTicker, "IQ_TRADING_ASSETS",Input!O$2,Date,,,Ccy,Conv)</f>
        <v>0</v>
      </c>
      <c r="N283" s="46"/>
      <c r="S283" s="46"/>
      <c r="T283" s="42"/>
      <c r="U283" s="42"/>
      <c r="V283" s="42"/>
      <c r="W283" s="42"/>
      <c r="X283" s="42"/>
      <c r="Y283" s="42"/>
      <c r="Z283" s="42"/>
      <c r="AA283" s="42"/>
      <c r="AB283" s="42"/>
      <c r="AC283" s="42"/>
      <c r="AD283" s="42"/>
      <c r="AE283" s="42"/>
      <c r="AF283" s="42"/>
      <c r="AG283" s="42"/>
      <c r="AH283" s="42"/>
      <c r="AI283" s="42"/>
      <c r="AJ283" s="42"/>
      <c r="AK283" s="42"/>
      <c r="AL283" s="42"/>
      <c r="AM283" s="42"/>
      <c r="AN283" s="42"/>
      <c r="AO283" s="42"/>
      <c r="AP283" s="42"/>
      <c r="AQ283" s="42"/>
      <c r="AR283" s="42"/>
      <c r="AS283" s="42"/>
      <c r="AT283" s="42"/>
      <c r="AU283" s="42"/>
      <c r="AV283" s="42"/>
      <c r="AW283" s="42"/>
      <c r="AX283" s="42"/>
      <c r="AY283" s="42"/>
      <c r="AZ283" s="42"/>
      <c r="BA283" s="42"/>
      <c r="BB283" s="42"/>
      <c r="BC283" s="42"/>
      <c r="BD283" s="42"/>
      <c r="BE283" s="42"/>
      <c r="BF283" s="42"/>
      <c r="BG283" s="42"/>
      <c r="BH283" s="42"/>
      <c r="BI283" s="42"/>
      <c r="BJ283" s="42"/>
      <c r="BK283" s="42"/>
      <c r="BL283" s="42"/>
      <c r="BM283" s="42"/>
      <c r="BN283" s="42"/>
    </row>
    <row r="284" spans="1:66" ht="12.75" customHeight="1" x14ac:dyDescent="0.2">
      <c r="A284" s="5" t="s">
        <v>87</v>
      </c>
      <c r="B284" s="6">
        <f>_xll.ciqfunctions.udf.CIQ(InputTicker, "IQ_CASH_ST_INVEST",Input!D$2,Date,,,Ccy,Conv)</f>
        <v>113041</v>
      </c>
      <c r="C284" s="6">
        <f>_xll.ciqfunctions.udf.CIQ(InputTicker, "IQ_CASH_ST_INVEST",Input!E$2,Date,,,Ccy,Conv)</f>
        <v>132901</v>
      </c>
      <c r="D284" s="6">
        <f>_xll.ciqfunctions.udf.CIQ(InputTicker, "IQ_CASH_ST_INVEST",Input!F$2,Date,,,Ccy,Conv)</f>
        <v>133664</v>
      </c>
      <c r="E284" s="6">
        <f>_xll.ciqfunctions.udf.CIQ(InputTicker, "IQ_CASH_ST_INVEST",Input!G$2,Date,,,Ccy,Conv)</f>
        <v>133832</v>
      </c>
      <c r="F284" s="6">
        <f>_xll.ciqfunctions.udf.CIQ(InputTicker, "IQ_CASH_ST_INVEST",Input!H$2,Date,,,Ccy,Conv)</f>
        <v>136492</v>
      </c>
      <c r="G284" s="6">
        <f>_xll.ciqfunctions.udf.CIQ(InputTicker, "IQ_CASH_ST_INVEST",Input!I$2,Date,,,Ccy,Conv)</f>
        <v>130256</v>
      </c>
      <c r="H284" s="6">
        <f>_xll.ciqfunctions.udf.CIQ(InputTicker, "IQ_CASH_ST_INVEST",Input!J$2,Date,,,Ccy,Conv)</f>
        <v>104749</v>
      </c>
      <c r="I284" s="6">
        <f>_xll.ciqfunctions.udf.CIQ(InputTicker, "IQ_CASH_ST_INVEST",Input!K$2,Date,,,Ccy,Conv)</f>
        <v>111256</v>
      </c>
      <c r="J284" s="6">
        <f>_xll.ciqfunctions.udf.CIQ(InputTicker, "IQ_CASH_ST_INVEST",Input!L$2,Date,,,Ccy,Conv)</f>
        <v>75531</v>
      </c>
      <c r="K284" s="6">
        <f>_xll.ciqfunctions.udf.CIQ(InputTicker, "IQ_CASH_ST_INVEST",Input!M$2,Date,,,Ccy,Conv)</f>
        <v>94555</v>
      </c>
      <c r="L284" s="6">
        <f>_xll.ciqfunctions.udf.CIQ(InputTicker, "IQ_CASH_ST_INVEST",Input!N$2,Date,,,Ccy,Conv)</f>
        <v>76651</v>
      </c>
      <c r="M284" s="6">
        <f>_xll.ciqfunctions.udf.CIQ(InputTicker, "IQ_CASH_ST_INVEST",Input!O$2,Date,,,Ccy,Conv)</f>
        <v>76651</v>
      </c>
      <c r="N284" s="42"/>
      <c r="P284" s="46"/>
      <c r="Q284" s="46"/>
      <c r="R284" s="46"/>
      <c r="T284" s="42"/>
      <c r="U284" s="42"/>
      <c r="V284" s="46"/>
      <c r="W284" s="42"/>
      <c r="X284" s="42"/>
      <c r="Y284" s="42"/>
      <c r="Z284" s="42"/>
      <c r="AA284" s="42"/>
      <c r="AB284" s="42"/>
      <c r="AC284" s="42"/>
      <c r="AD284" s="42"/>
      <c r="AE284" s="42"/>
      <c r="AF284" s="42"/>
      <c r="AG284" s="42"/>
      <c r="AH284" s="42"/>
      <c r="AI284" s="42"/>
      <c r="AJ284" s="42"/>
      <c r="AK284" s="42"/>
      <c r="AL284" s="42"/>
      <c r="AM284" s="42"/>
      <c r="AN284" s="42"/>
      <c r="AO284" s="42"/>
      <c r="AP284" s="42"/>
      <c r="AQ284" s="42"/>
      <c r="AR284" s="42"/>
      <c r="AS284" s="42"/>
      <c r="AT284" s="42"/>
      <c r="AU284" s="42"/>
      <c r="AV284" s="42"/>
      <c r="AW284" s="42"/>
      <c r="AX284" s="42"/>
      <c r="AY284" s="42"/>
      <c r="AZ284" s="42"/>
      <c r="BA284" s="42"/>
      <c r="BB284" s="42"/>
      <c r="BC284" s="42"/>
      <c r="BD284" s="42"/>
      <c r="BE284" s="42"/>
      <c r="BF284" s="42"/>
      <c r="BG284" s="42"/>
      <c r="BH284" s="42"/>
      <c r="BI284" s="42"/>
      <c r="BJ284" s="42"/>
      <c r="BK284" s="42"/>
      <c r="BL284" s="42"/>
      <c r="BM284" s="42"/>
      <c r="BN284" s="42"/>
    </row>
    <row r="285" spans="1:66" ht="12.75" customHeight="1" x14ac:dyDescent="0.2">
      <c r="A285" s="1" t="s">
        <v>55</v>
      </c>
      <c r="B285" s="4">
        <f>_xll.ciqfunctions.udf.CIQ(InputTicker, "IQ_AR",Input!D$2,Date,,,Ccy,Conv)</f>
        <v>18277</v>
      </c>
      <c r="C285" s="4">
        <f>_xll.ciqfunctions.udf.CIQ(InputTicker, "IQ_AR",Input!E$2,Date,,,Ccy,Conv)</f>
        <v>22431</v>
      </c>
      <c r="D285" s="4">
        <f>_xll.ciqfunctions.udf.CIQ(InputTicker, "IQ_AR",Input!F$2,Date,,,Ccy,Conv)</f>
        <v>26481</v>
      </c>
      <c r="E285" s="4">
        <f>_xll.ciqfunctions.udf.CIQ(InputTicker, "IQ_AR",Input!G$2,Date,,,Ccy,Conv)</f>
        <v>29524</v>
      </c>
      <c r="F285" s="4">
        <f>_xll.ciqfunctions.udf.CIQ(InputTicker, "IQ_AR",Input!H$2,Date,,,Ccy,Conv)</f>
        <v>32011</v>
      </c>
      <c r="G285" s="4">
        <f>_xll.ciqfunctions.udf.CIQ(InputTicker, "IQ_AR",Input!I$2,Date,,,Ccy,Conv)</f>
        <v>38043</v>
      </c>
      <c r="H285" s="4">
        <f>_xll.ciqfunctions.udf.CIQ(InputTicker, "IQ_AR",Input!J$2,Date,,,Ccy,Conv)</f>
        <v>44261</v>
      </c>
      <c r="I285" s="4">
        <f>_xll.ciqfunctions.udf.CIQ(InputTicker, "IQ_AR",Input!K$2,Date,,,Ccy,Conv)</f>
        <v>48688</v>
      </c>
      <c r="J285" s="4">
        <f>_xll.ciqfunctions.udf.CIQ(InputTicker, "IQ_AR",Input!L$2,Date,,,Ccy,Conv)</f>
        <v>56924</v>
      </c>
      <c r="K285" s="4">
        <f>_xll.ciqfunctions.udf.CIQ(InputTicker, "IQ_AR",Input!M$2,Date,,,Ccy,Conv)</f>
        <v>69905</v>
      </c>
      <c r="L285" s="4">
        <f>_xll.ciqfunctions.udf.CIQ(InputTicker, "IQ_AR",Input!N$2,Date,,,Ccy,Conv)</f>
        <v>80876</v>
      </c>
      <c r="M285" s="4">
        <f>_xll.ciqfunctions.udf.CIQ(InputTicker, "IQ_AR",Input!O$2,Date,,,Ccy,Conv)</f>
        <v>80876</v>
      </c>
      <c r="N285" s="42"/>
      <c r="P285" s="46"/>
      <c r="Q285" s="46"/>
      <c r="R285" s="46"/>
      <c r="T285" s="42"/>
      <c r="U285" s="42"/>
      <c r="V285" s="46"/>
      <c r="W285" s="42"/>
      <c r="X285" s="42"/>
      <c r="Y285" s="42"/>
      <c r="Z285" s="42"/>
      <c r="AA285" s="42"/>
      <c r="AB285" s="42"/>
      <c r="AC285" s="42"/>
      <c r="AD285" s="42"/>
      <c r="AE285" s="42"/>
      <c r="AF285" s="42"/>
      <c r="AG285" s="42"/>
      <c r="AH285" s="42"/>
      <c r="AI285" s="42"/>
      <c r="AJ285" s="42"/>
      <c r="AK285" s="42"/>
      <c r="AL285" s="42"/>
      <c r="AM285" s="42"/>
      <c r="AN285" s="42"/>
      <c r="AO285" s="42"/>
      <c r="AP285" s="42"/>
      <c r="AQ285" s="42"/>
      <c r="AR285" s="42"/>
      <c r="AS285" s="42"/>
      <c r="AT285" s="42"/>
      <c r="AU285" s="42"/>
      <c r="AV285" s="42"/>
      <c r="AW285" s="42"/>
      <c r="AX285" s="42"/>
      <c r="AY285" s="42"/>
      <c r="AZ285" s="42"/>
      <c r="BA285" s="42"/>
      <c r="BB285" s="42"/>
      <c r="BC285" s="42"/>
      <c r="BD285" s="42"/>
      <c r="BE285" s="42"/>
      <c r="BF285" s="42"/>
      <c r="BG285" s="42"/>
      <c r="BH285" s="42"/>
      <c r="BI285" s="42"/>
      <c r="BJ285" s="42"/>
      <c r="BK285" s="42"/>
      <c r="BL285" s="42"/>
      <c r="BM285" s="42"/>
      <c r="BN285" s="42"/>
    </row>
    <row r="286" spans="1:66" ht="12.75" customHeight="1" x14ac:dyDescent="0.2">
      <c r="A286" s="1" t="s">
        <v>171</v>
      </c>
      <c r="B286" s="4">
        <f>_xll.ciqfunctions.udf.CIQ(InputTicker, "IQ_OTHER_RECEIV",Input!D$2,Date,,,Ccy,Conv)</f>
        <v>0</v>
      </c>
      <c r="C286" s="4">
        <f>_xll.ciqfunctions.udf.CIQ(InputTicker, "IQ_OTHER_RECEIV",Input!E$2,Date,,,Ccy,Conv)</f>
        <v>0</v>
      </c>
      <c r="D286" s="4">
        <f>_xll.ciqfunctions.udf.CIQ(InputTicker, "IQ_OTHER_RECEIV",Input!F$2,Date,,,Ccy,Conv)</f>
        <v>0</v>
      </c>
      <c r="E286" s="4">
        <f>_xll.ciqfunctions.udf.CIQ(InputTicker, "IQ_OTHER_RECEIV",Input!G$2,Date,,,Ccy,Conv)</f>
        <v>0</v>
      </c>
      <c r="F286" s="4">
        <f>_xll.ciqfunctions.udf.CIQ(InputTicker, "IQ_OTHER_RECEIV",Input!H$2,Date,,,Ccy,Conv)</f>
        <v>0</v>
      </c>
      <c r="G286" s="4">
        <f>_xll.ciqfunctions.udf.CIQ(InputTicker, "IQ_OTHER_RECEIV",Input!I$2,Date,,,Ccy,Conv)</f>
        <v>0</v>
      </c>
      <c r="H286" s="4">
        <f>_xll.ciqfunctions.udf.CIQ(InputTicker, "IQ_OTHER_RECEIV",Input!J$2,Date,,,Ccy,Conv)</f>
        <v>6100</v>
      </c>
      <c r="I286" s="4">
        <f>_xll.ciqfunctions.udf.CIQ(InputTicker, "IQ_OTHER_RECEIV",Input!K$2,Date,,,Ccy,Conv)</f>
        <v>9200</v>
      </c>
      <c r="J286" s="4">
        <f>_xll.ciqfunctions.udf.CIQ(InputTicker, "IQ_OTHER_RECEIV",Input!L$2,Date,,,Ccy,Conv)</f>
        <v>10500</v>
      </c>
      <c r="K286" s="4">
        <f>_xll.ciqfunctions.udf.CIQ(InputTicker, "IQ_OTHER_RECEIV",Input!M$2,Date,,,Ccy,Conv)</f>
        <v>8200</v>
      </c>
      <c r="L286" s="4">
        <f>_xll.ciqfunctions.udf.CIQ(InputTicker, "IQ_OTHER_RECEIV",Input!N$2,Date,,,Ccy,Conv)</f>
        <v>27800</v>
      </c>
      <c r="M286" s="4">
        <f>_xll.ciqfunctions.udf.CIQ(InputTicker, "IQ_OTHER_RECEIV",Input!O$2,Date,,,Ccy,Conv)</f>
        <v>27800</v>
      </c>
      <c r="N286" s="42"/>
      <c r="T286" s="42"/>
      <c r="U286" s="42"/>
      <c r="V286" s="42"/>
      <c r="W286" s="42"/>
      <c r="X286" s="42"/>
      <c r="Y286" s="42"/>
      <c r="Z286" s="42"/>
      <c r="AA286" s="42"/>
      <c r="AB286" s="42"/>
      <c r="AC286" s="42"/>
      <c r="AD286" s="42"/>
      <c r="AE286" s="42"/>
      <c r="AF286" s="42"/>
      <c r="AG286" s="42"/>
      <c r="AH286" s="42"/>
      <c r="AI286" s="42"/>
      <c r="AJ286" s="42"/>
      <c r="AK286" s="42"/>
      <c r="AL286" s="42"/>
      <c r="AM286" s="42"/>
      <c r="AN286" s="42"/>
      <c r="AO286" s="42"/>
      <c r="AP286" s="42"/>
      <c r="AQ286" s="42"/>
      <c r="AR286" s="42"/>
      <c r="AS286" s="42"/>
      <c r="AT286" s="42"/>
      <c r="AU286" s="42"/>
      <c r="AV286" s="42"/>
      <c r="AW286" s="42"/>
      <c r="AX286" s="42"/>
      <c r="AY286" s="42"/>
      <c r="AZ286" s="42"/>
      <c r="BA286" s="42"/>
      <c r="BB286" s="42"/>
      <c r="BC286" s="42"/>
      <c r="BD286" s="42"/>
      <c r="BE286" s="42"/>
      <c r="BF286" s="42"/>
      <c r="BG286" s="42"/>
      <c r="BH286" s="42"/>
      <c r="BI286" s="42"/>
      <c r="BJ286" s="42"/>
      <c r="BK286" s="42"/>
      <c r="BL286" s="42"/>
      <c r="BM286" s="42"/>
      <c r="BN286" s="42"/>
    </row>
    <row r="287" spans="1:66" ht="12.75" customHeight="1" x14ac:dyDescent="0.2">
      <c r="A287" s="1" t="s">
        <v>88</v>
      </c>
      <c r="B287" s="4">
        <f>_xll.ciqfunctions.udf.CIQ(InputTicker, "IQ_ST_NOTE_RECEIV",Input!D$2,Date,,,Ccy,Conv)</f>
        <v>0</v>
      </c>
      <c r="C287" s="4">
        <f>_xll.ciqfunctions.udf.CIQ(InputTicker, "IQ_ST_NOTE_RECEIV",Input!E$2,Date,,,Ccy,Conv)</f>
        <v>0</v>
      </c>
      <c r="D287" s="4">
        <f>_xll.ciqfunctions.udf.CIQ(InputTicker, "IQ_ST_NOTE_RECEIV",Input!F$2,Date,,,Ccy,Conv)</f>
        <v>0</v>
      </c>
      <c r="E287" s="4">
        <f>_xll.ciqfunctions.udf.CIQ(InputTicker, "IQ_ST_NOTE_RECEIV",Input!G$2,Date,,,Ccy,Conv)</f>
        <v>0</v>
      </c>
      <c r="F287" s="4">
        <f>_xll.ciqfunctions.udf.CIQ(InputTicker, "IQ_ST_NOTE_RECEIV",Input!H$2,Date,,,Ccy,Conv)</f>
        <v>0</v>
      </c>
      <c r="G287" s="4">
        <f>_xll.ciqfunctions.udf.CIQ(InputTicker, "IQ_ST_NOTE_RECEIV",Input!I$2,Date,,,Ccy,Conv)</f>
        <v>0</v>
      </c>
      <c r="H287" s="4">
        <f>_xll.ciqfunctions.udf.CIQ(InputTicker, "IQ_ST_NOTE_RECEIV",Input!J$2,Date,,,Ccy,Conv)</f>
        <v>0</v>
      </c>
      <c r="I287" s="4">
        <f>_xll.ciqfunctions.udf.CIQ(InputTicker, "IQ_ST_NOTE_RECEIV",Input!K$2,Date,,,Ccy,Conv)</f>
        <v>0</v>
      </c>
      <c r="J287" s="4">
        <f>_xll.ciqfunctions.udf.CIQ(InputTicker, "IQ_ST_NOTE_RECEIV",Input!L$2,Date,,,Ccy,Conv)</f>
        <v>0</v>
      </c>
      <c r="K287" s="4">
        <f>_xll.ciqfunctions.udf.CIQ(InputTicker, "IQ_ST_NOTE_RECEIV",Input!M$2,Date,,,Ccy,Conv)</f>
        <v>0</v>
      </c>
      <c r="L287" s="4">
        <f>_xll.ciqfunctions.udf.CIQ(InputTicker, "IQ_ST_NOTE_RECEIV",Input!N$2,Date,,,Ccy,Conv)</f>
        <v>0</v>
      </c>
      <c r="M287" s="4">
        <f>_xll.ciqfunctions.udf.CIQ(InputTicker, "IQ_ST_NOTE_RECEIV",Input!O$2,Date,,,Ccy,Conv)</f>
        <v>0</v>
      </c>
      <c r="N287" s="42"/>
      <c r="P287" s="46"/>
      <c r="Q287" s="46"/>
      <c r="R287" s="46"/>
      <c r="T287" s="42"/>
      <c r="U287" s="42"/>
      <c r="V287" s="46"/>
      <c r="W287" s="42"/>
      <c r="X287" s="42"/>
      <c r="Y287" s="42"/>
      <c r="Z287" s="42"/>
      <c r="AA287" s="42"/>
      <c r="AB287" s="42"/>
      <c r="AC287" s="42"/>
      <c r="AD287" s="42"/>
      <c r="AE287" s="42"/>
      <c r="AF287" s="42"/>
      <c r="AG287" s="42"/>
      <c r="AH287" s="42"/>
      <c r="AI287" s="42"/>
      <c r="AJ287" s="42"/>
      <c r="AK287" s="42"/>
      <c r="AL287" s="42"/>
      <c r="AM287" s="42"/>
      <c r="AN287" s="42"/>
      <c r="AO287" s="42"/>
      <c r="AP287" s="42"/>
      <c r="AQ287" s="42"/>
      <c r="AR287" s="42"/>
      <c r="AS287" s="42"/>
      <c r="AT287" s="42"/>
      <c r="AU287" s="42"/>
      <c r="AV287" s="42"/>
      <c r="AW287" s="42"/>
      <c r="AX287" s="42"/>
      <c r="AY287" s="42"/>
      <c r="AZ287" s="42"/>
      <c r="BA287" s="42"/>
      <c r="BB287" s="42"/>
      <c r="BC287" s="42"/>
      <c r="BD287" s="42"/>
      <c r="BE287" s="42"/>
      <c r="BF287" s="42"/>
      <c r="BG287" s="42"/>
      <c r="BH287" s="42"/>
      <c r="BI287" s="42"/>
      <c r="BJ287" s="42"/>
      <c r="BK287" s="42"/>
      <c r="BL287" s="42"/>
      <c r="BM287" s="42"/>
      <c r="BN287" s="42"/>
    </row>
    <row r="288" spans="1:66" ht="12.75" customHeight="1" x14ac:dyDescent="0.2">
      <c r="A288" s="5" t="s">
        <v>89</v>
      </c>
      <c r="B288" s="6">
        <f>_xll.ciqfunctions.udf.CIQ(InputTicker, "IQ_TOTAL_RECEIV",Input!D$2,Date,,,Ccy,Conv)</f>
        <v>18277</v>
      </c>
      <c r="C288" s="6">
        <f>_xll.ciqfunctions.udf.CIQ(InputTicker, "IQ_TOTAL_RECEIV",Input!E$2,Date,,,Ccy,Conv)</f>
        <v>22431</v>
      </c>
      <c r="D288" s="6">
        <f>_xll.ciqfunctions.udf.CIQ(InputTicker, "IQ_TOTAL_RECEIV",Input!F$2,Date,,,Ccy,Conv)</f>
        <v>26481</v>
      </c>
      <c r="E288" s="6">
        <f>_xll.ciqfunctions.udf.CIQ(InputTicker, "IQ_TOTAL_RECEIV",Input!G$2,Date,,,Ccy,Conv)</f>
        <v>29524</v>
      </c>
      <c r="F288" s="6">
        <f>_xll.ciqfunctions.udf.CIQ(InputTicker, "IQ_TOTAL_RECEIV",Input!H$2,Date,,,Ccy,Conv)</f>
        <v>32011</v>
      </c>
      <c r="G288" s="6">
        <f>_xll.ciqfunctions.udf.CIQ(InputTicker, "IQ_TOTAL_RECEIV",Input!I$2,Date,,,Ccy,Conv)</f>
        <v>38043</v>
      </c>
      <c r="H288" s="6">
        <f>_xll.ciqfunctions.udf.CIQ(InputTicker, "IQ_TOTAL_RECEIV",Input!J$2,Date,,,Ccy,Conv)</f>
        <v>50361</v>
      </c>
      <c r="I288" s="6">
        <f>_xll.ciqfunctions.udf.CIQ(InputTicker, "IQ_TOTAL_RECEIV",Input!K$2,Date,,,Ccy,Conv)</f>
        <v>57888</v>
      </c>
      <c r="J288" s="6">
        <f>_xll.ciqfunctions.udf.CIQ(InputTicker, "IQ_TOTAL_RECEIV",Input!L$2,Date,,,Ccy,Conv)</f>
        <v>67424</v>
      </c>
      <c r="K288" s="6">
        <f>_xll.ciqfunctions.udf.CIQ(InputTicker, "IQ_TOTAL_RECEIV",Input!M$2,Date,,,Ccy,Conv)</f>
        <v>78105</v>
      </c>
      <c r="L288" s="6">
        <f>_xll.ciqfunctions.udf.CIQ(InputTicker, "IQ_TOTAL_RECEIV",Input!N$2,Date,,,Ccy,Conv)</f>
        <v>108676</v>
      </c>
      <c r="M288" s="6">
        <f>_xll.ciqfunctions.udf.CIQ(InputTicker, "IQ_TOTAL_RECEIV",Input!O$2,Date,,,Ccy,Conv)</f>
        <v>108676</v>
      </c>
      <c r="N288" s="42"/>
      <c r="T288" s="42"/>
      <c r="U288" s="42"/>
      <c r="V288" s="42"/>
      <c r="W288" s="42"/>
      <c r="X288" s="42"/>
      <c r="Y288" s="42"/>
      <c r="Z288" s="42"/>
      <c r="AA288" s="42"/>
      <c r="AB288" s="42"/>
      <c r="AC288" s="42"/>
      <c r="AD288" s="42"/>
      <c r="AE288" s="42"/>
      <c r="AF288" s="42"/>
      <c r="AG288" s="42"/>
      <c r="AH288" s="42"/>
      <c r="AI288" s="42"/>
      <c r="AJ288" s="42"/>
      <c r="AK288" s="42"/>
      <c r="AL288" s="42"/>
      <c r="AM288" s="42"/>
      <c r="AN288" s="42"/>
      <c r="AO288" s="42"/>
      <c r="AP288" s="42"/>
      <c r="AQ288" s="42"/>
      <c r="AR288" s="42"/>
      <c r="AS288" s="42"/>
      <c r="AT288" s="42"/>
      <c r="AU288" s="42"/>
      <c r="AV288" s="42"/>
      <c r="AW288" s="42"/>
      <c r="AX288" s="42"/>
      <c r="AY288" s="42"/>
      <c r="AZ288" s="42"/>
      <c r="BA288" s="42"/>
      <c r="BB288" s="42"/>
      <c r="BC288" s="42"/>
      <c r="BD288" s="42"/>
      <c r="BE288" s="42"/>
      <c r="BF288" s="42"/>
      <c r="BG288" s="42"/>
      <c r="BH288" s="42"/>
      <c r="BI288" s="42"/>
      <c r="BJ288" s="42"/>
      <c r="BK288" s="42"/>
      <c r="BL288" s="42"/>
      <c r="BM288" s="42"/>
      <c r="BN288" s="42"/>
    </row>
    <row r="289" spans="1:66" ht="12.75" customHeight="1" x14ac:dyDescent="0.2">
      <c r="A289" s="1" t="s">
        <v>90</v>
      </c>
      <c r="B289" s="4">
        <f>_xll.ciqfunctions.udf.CIQ(InputTicker, "IQ_INVENTORY",Input!D$2,Date,,,Ccy,Conv)</f>
        <v>2251</v>
      </c>
      <c r="C289" s="4">
        <f>_xll.ciqfunctions.udf.CIQ(InputTicker, "IQ_INVENTORY",Input!E$2,Date,,,Ccy,Conv)</f>
        <v>2181</v>
      </c>
      <c r="D289" s="4">
        <f>_xll.ciqfunctions.udf.CIQ(InputTicker, "IQ_INVENTORY",Input!F$2,Date,,,Ccy,Conv)</f>
        <v>2662</v>
      </c>
      <c r="E289" s="4">
        <f>_xll.ciqfunctions.udf.CIQ(InputTicker, "IQ_INVENTORY",Input!G$2,Date,,,Ccy,Conv)</f>
        <v>2063</v>
      </c>
      <c r="F289" s="4">
        <f>_xll.ciqfunctions.udf.CIQ(InputTicker, "IQ_INVENTORY",Input!H$2,Date,,,Ccy,Conv)</f>
        <v>1895</v>
      </c>
      <c r="G289" s="4">
        <f>_xll.ciqfunctions.udf.CIQ(InputTicker, "IQ_INVENTORY",Input!I$2,Date,,,Ccy,Conv)</f>
        <v>2636</v>
      </c>
      <c r="H289" s="4">
        <f>_xll.ciqfunctions.udf.CIQ(InputTicker, "IQ_INVENTORY",Input!J$2,Date,,,Ccy,Conv)</f>
        <v>3742</v>
      </c>
      <c r="I289" s="4">
        <f>_xll.ciqfunctions.udf.CIQ(InputTicker, "IQ_INVENTORY",Input!K$2,Date,,,Ccy,Conv)</f>
        <v>2500</v>
      </c>
      <c r="J289" s="4">
        <f>_xll.ciqfunctions.udf.CIQ(InputTicker, "IQ_INVENTORY",Input!L$2,Date,,,Ccy,Conv)</f>
        <v>1246</v>
      </c>
      <c r="K289" s="4">
        <f>_xll.ciqfunctions.udf.CIQ(InputTicker, "IQ_INVENTORY",Input!M$2,Date,,,Ccy,Conv)</f>
        <v>938</v>
      </c>
      <c r="L289" s="4">
        <f>_xll.ciqfunctions.udf.CIQ(InputTicker, "IQ_INVENTORY",Input!N$2,Date,,,Ccy,Conv)</f>
        <v>1397</v>
      </c>
      <c r="M289" s="4">
        <f>_xll.ciqfunctions.udf.CIQ(InputTicker, "IQ_INVENTORY",Input!O$2,Date,,,Ccy,Conv)</f>
        <v>1397</v>
      </c>
      <c r="N289" s="42"/>
      <c r="T289" s="46"/>
      <c r="U289" s="46"/>
      <c r="V289" s="42"/>
      <c r="W289" s="42"/>
      <c r="X289" s="42"/>
      <c r="Y289" s="42"/>
      <c r="Z289" s="42"/>
      <c r="AA289" s="42"/>
      <c r="AB289" s="42"/>
      <c r="AC289" s="42"/>
      <c r="AD289" s="42"/>
      <c r="AE289" s="42"/>
      <c r="AF289" s="42"/>
      <c r="AG289" s="42"/>
      <c r="AH289" s="42"/>
      <c r="AI289" s="42"/>
      <c r="AJ289" s="42"/>
      <c r="AK289" s="42"/>
      <c r="AL289" s="42"/>
      <c r="AM289" s="42"/>
      <c r="AN289" s="42"/>
      <c r="AO289" s="42"/>
      <c r="AP289" s="42"/>
      <c r="AQ289" s="42"/>
      <c r="AR289" s="42"/>
      <c r="AS289" s="42"/>
      <c r="AT289" s="42"/>
      <c r="AU289" s="42"/>
      <c r="AV289" s="42"/>
      <c r="AW289" s="42"/>
      <c r="AX289" s="42"/>
      <c r="AY289" s="42"/>
      <c r="AZ289" s="42"/>
      <c r="BA289" s="42"/>
      <c r="BB289" s="42"/>
      <c r="BC289" s="42"/>
      <c r="BD289" s="42"/>
      <c r="BE289" s="42"/>
      <c r="BF289" s="42"/>
      <c r="BG289" s="42"/>
      <c r="BH289" s="42"/>
      <c r="BI289" s="42"/>
      <c r="BJ289" s="42"/>
      <c r="BK289" s="42"/>
      <c r="BL289" s="42"/>
      <c r="BM289" s="42"/>
      <c r="BN289" s="42"/>
    </row>
    <row r="290" spans="1:66" ht="12.75" customHeight="1" x14ac:dyDescent="0.2">
      <c r="A290" s="1" t="s">
        <v>91</v>
      </c>
      <c r="B290" s="4">
        <f>_xll.ciqfunctions.udf.CIQ(InputTicker, "IQ_PREPAID_EXP",Input!D$2,Date,,,Ccy,Conv)</f>
        <v>0</v>
      </c>
      <c r="C290" s="4">
        <f>_xll.ciqfunctions.udf.CIQ(InputTicker, "IQ_PREPAID_EXP",Input!E$2,Date,,,Ccy,Conv)</f>
        <v>0</v>
      </c>
      <c r="D290" s="4">
        <f>_xll.ciqfunctions.udf.CIQ(InputTicker, "IQ_PREPAID_EXP",Input!F$2,Date,,,Ccy,Conv)</f>
        <v>0</v>
      </c>
      <c r="E290" s="4">
        <f>_xll.ciqfunctions.udf.CIQ(InputTicker, "IQ_PREPAID_EXP",Input!G$2,Date,,,Ccy,Conv)</f>
        <v>0</v>
      </c>
      <c r="F290" s="4">
        <f>_xll.ciqfunctions.udf.CIQ(InputTicker, "IQ_PREPAID_EXP",Input!H$2,Date,,,Ccy,Conv)</f>
        <v>0</v>
      </c>
      <c r="G290" s="4">
        <f>_xll.ciqfunctions.udf.CIQ(InputTicker, "IQ_PREPAID_EXP",Input!I$2,Date,,,Ccy,Conv)</f>
        <v>0</v>
      </c>
      <c r="H290" s="4">
        <f>_xll.ciqfunctions.udf.CIQ(InputTicker, "IQ_PREPAID_EXP",Input!J$2,Date,,,Ccy,Conv)</f>
        <v>0</v>
      </c>
      <c r="I290" s="4">
        <f>_xll.ciqfunctions.udf.CIQ(InputTicker, "IQ_PREPAID_EXP",Input!K$2,Date,,,Ccy,Conv)</f>
        <v>0</v>
      </c>
      <c r="J290" s="4">
        <f>_xll.ciqfunctions.udf.CIQ(InputTicker, "IQ_PREPAID_EXP",Input!L$2,Date,,,Ccy,Conv)</f>
        <v>0</v>
      </c>
      <c r="K290" s="4">
        <f>_xll.ciqfunctions.udf.CIQ(InputTicker, "IQ_PREPAID_EXP",Input!M$2,Date,,,Ccy,Conv)</f>
        <v>0</v>
      </c>
      <c r="L290" s="4">
        <f>_xll.ciqfunctions.udf.CIQ(InputTicker, "IQ_PREPAID_EXP",Input!N$2,Date,,,Ccy,Conv)</f>
        <v>0</v>
      </c>
      <c r="M290" s="4">
        <f>_xll.ciqfunctions.udf.CIQ(InputTicker, "IQ_PREPAID_EXP",Input!O$2,Date,,,Ccy,Conv)</f>
        <v>0</v>
      </c>
      <c r="N290" s="42"/>
      <c r="T290" s="42"/>
      <c r="U290" s="42"/>
      <c r="V290" s="42"/>
      <c r="W290" s="42"/>
      <c r="X290" s="42"/>
      <c r="Y290" s="42"/>
      <c r="Z290" s="42"/>
      <c r="AA290" s="42"/>
      <c r="AB290" s="42"/>
      <c r="AC290" s="42"/>
      <c r="AD290" s="42"/>
      <c r="AE290" s="42"/>
      <c r="AF290" s="42"/>
      <c r="AG290" s="42"/>
      <c r="AH290" s="42"/>
      <c r="AI290" s="42"/>
      <c r="AJ290" s="42"/>
      <c r="AK290" s="42"/>
      <c r="AL290" s="42"/>
      <c r="AM290" s="42"/>
      <c r="AN290" s="42"/>
      <c r="AO290" s="42"/>
      <c r="AP290" s="42"/>
      <c r="AQ290" s="42"/>
      <c r="AR290" s="42"/>
      <c r="AS290" s="42"/>
      <c r="AT290" s="42"/>
      <c r="AU290" s="42"/>
      <c r="AV290" s="42"/>
      <c r="AW290" s="42"/>
      <c r="AX290" s="42"/>
      <c r="AY290" s="42"/>
      <c r="AZ290" s="42"/>
      <c r="BA290" s="42"/>
      <c r="BB290" s="42"/>
      <c r="BC290" s="42"/>
      <c r="BD290" s="42"/>
      <c r="BE290" s="42"/>
      <c r="BF290" s="42"/>
      <c r="BG290" s="42"/>
      <c r="BH290" s="42"/>
      <c r="BI290" s="42"/>
      <c r="BJ290" s="42"/>
      <c r="BK290" s="42"/>
      <c r="BL290" s="42"/>
      <c r="BM290" s="42"/>
      <c r="BN290" s="42"/>
    </row>
    <row r="291" spans="1:66" ht="12.75" customHeight="1" x14ac:dyDescent="0.2">
      <c r="A291" s="1" t="s">
        <v>172</v>
      </c>
      <c r="B291" s="4">
        <f>_xll.ciqfunctions.udf.CIQ(InputTicker, "IQ_FIN_DIV_LOANS_CURRENT",Input!D$2,Date,,,Ccy,Conv)</f>
        <v>0</v>
      </c>
      <c r="C291" s="4">
        <f>_xll.ciqfunctions.udf.CIQ(InputTicker, "IQ_FIN_DIV_LOANS_CURRENT",Input!E$2,Date,,,Ccy,Conv)</f>
        <v>0</v>
      </c>
      <c r="D291" s="4">
        <f>_xll.ciqfunctions.udf.CIQ(InputTicker, "IQ_FIN_DIV_LOANS_CURRENT",Input!F$2,Date,,,Ccy,Conv)</f>
        <v>0</v>
      </c>
      <c r="E291" s="4">
        <f>_xll.ciqfunctions.udf.CIQ(InputTicker, "IQ_FIN_DIV_LOANS_CURRENT",Input!G$2,Date,,,Ccy,Conv)</f>
        <v>0</v>
      </c>
      <c r="F291" s="4">
        <f>_xll.ciqfunctions.udf.CIQ(InputTicker, "IQ_FIN_DIV_LOANS_CURRENT",Input!H$2,Date,,,Ccy,Conv)</f>
        <v>0</v>
      </c>
      <c r="G291" s="4">
        <f>_xll.ciqfunctions.udf.CIQ(InputTicker, "IQ_FIN_DIV_LOANS_CURRENT",Input!I$2,Date,,,Ccy,Conv)</f>
        <v>0</v>
      </c>
      <c r="H291" s="4">
        <f>_xll.ciqfunctions.udf.CIQ(InputTicker, "IQ_FIN_DIV_LOANS_CURRENT",Input!J$2,Date,,,Ccy,Conv)</f>
        <v>0</v>
      </c>
      <c r="I291" s="4">
        <f>_xll.ciqfunctions.udf.CIQ(InputTicker, "IQ_FIN_DIV_LOANS_CURRENT",Input!K$2,Date,,,Ccy,Conv)</f>
        <v>0</v>
      </c>
      <c r="J291" s="4">
        <f>_xll.ciqfunctions.udf.CIQ(InputTicker, "IQ_FIN_DIV_LOANS_CURRENT",Input!L$2,Date,,,Ccy,Conv)</f>
        <v>0</v>
      </c>
      <c r="K291" s="4">
        <f>_xll.ciqfunctions.udf.CIQ(InputTicker, "IQ_FIN_DIV_LOANS_CURRENT",Input!M$2,Date,,,Ccy,Conv)</f>
        <v>0</v>
      </c>
      <c r="L291" s="4">
        <f>_xll.ciqfunctions.udf.CIQ(InputTicker, "IQ_FIN_DIV_LOANS_CURRENT",Input!N$2,Date,,,Ccy,Conv)</f>
        <v>0</v>
      </c>
      <c r="M291" s="4">
        <f>_xll.ciqfunctions.udf.CIQ(InputTicker, "IQ_FIN_DIV_LOANS_CURRENT",Input!O$2,Date,,,Ccy,Conv)</f>
        <v>0</v>
      </c>
      <c r="N291" s="46"/>
      <c r="T291" s="42"/>
      <c r="U291" s="42"/>
      <c r="V291" s="42"/>
      <c r="W291" s="42"/>
      <c r="X291" s="42"/>
      <c r="Y291" s="42"/>
      <c r="Z291" s="42"/>
      <c r="AA291" s="42"/>
      <c r="AB291" s="42"/>
      <c r="AC291" s="42"/>
      <c r="AD291" s="42"/>
      <c r="AE291" s="42"/>
      <c r="AF291" s="42"/>
      <c r="AG291" s="42"/>
      <c r="AH291" s="42"/>
      <c r="AI291" s="42"/>
      <c r="AJ291" s="42"/>
      <c r="AK291" s="42"/>
      <c r="AL291" s="42"/>
      <c r="AM291" s="42"/>
      <c r="AN291" s="42"/>
      <c r="AO291" s="42"/>
      <c r="AP291" s="42"/>
      <c r="AQ291" s="42"/>
      <c r="AR291" s="42"/>
      <c r="AS291" s="42"/>
      <c r="AT291" s="42"/>
      <c r="AU291" s="42"/>
      <c r="AV291" s="42"/>
      <c r="AW291" s="42"/>
      <c r="AX291" s="42"/>
      <c r="AY291" s="42"/>
      <c r="AZ291" s="42"/>
      <c r="BA291" s="42"/>
      <c r="BB291" s="42"/>
      <c r="BC291" s="42"/>
      <c r="BD291" s="42"/>
      <c r="BE291" s="42"/>
      <c r="BF291" s="42"/>
      <c r="BG291" s="42"/>
      <c r="BH291" s="42"/>
      <c r="BI291" s="42"/>
      <c r="BJ291" s="42"/>
      <c r="BK291" s="42"/>
      <c r="BL291" s="42"/>
      <c r="BM291" s="42"/>
      <c r="BN291" s="42"/>
    </row>
    <row r="292" spans="1:66" ht="12.75" customHeight="1" x14ac:dyDescent="0.2">
      <c r="A292" s="1" t="s">
        <v>173</v>
      </c>
      <c r="B292" s="4">
        <f>_xll.ciqfunctions.udf.CIQ(InputTicker, "IQ_FIN_DIV_ASSETS_CURRENT",Input!D$2,Date,,,Ccy,Conv)</f>
        <v>0</v>
      </c>
      <c r="C292" s="4">
        <f>_xll.ciqfunctions.udf.CIQ(InputTicker, "IQ_FIN_DIV_ASSETS_CURRENT",Input!E$2,Date,,,Ccy,Conv)</f>
        <v>0</v>
      </c>
      <c r="D292" s="4">
        <f>_xll.ciqfunctions.udf.CIQ(InputTicker, "IQ_FIN_DIV_ASSETS_CURRENT",Input!F$2,Date,,,Ccy,Conv)</f>
        <v>0</v>
      </c>
      <c r="E292" s="4">
        <f>_xll.ciqfunctions.udf.CIQ(InputTicker, "IQ_FIN_DIV_ASSETS_CURRENT",Input!G$2,Date,,,Ccy,Conv)</f>
        <v>0</v>
      </c>
      <c r="F292" s="4">
        <f>_xll.ciqfunctions.udf.CIQ(InputTicker, "IQ_FIN_DIV_ASSETS_CURRENT",Input!H$2,Date,,,Ccy,Conv)</f>
        <v>0</v>
      </c>
      <c r="G292" s="4">
        <f>_xll.ciqfunctions.udf.CIQ(InputTicker, "IQ_FIN_DIV_ASSETS_CURRENT",Input!I$2,Date,,,Ccy,Conv)</f>
        <v>0</v>
      </c>
      <c r="H292" s="4">
        <f>_xll.ciqfunctions.udf.CIQ(InputTicker, "IQ_FIN_DIV_ASSETS_CURRENT",Input!J$2,Date,,,Ccy,Conv)</f>
        <v>0</v>
      </c>
      <c r="I292" s="4">
        <f>_xll.ciqfunctions.udf.CIQ(InputTicker, "IQ_FIN_DIV_ASSETS_CURRENT",Input!K$2,Date,,,Ccy,Conv)</f>
        <v>0</v>
      </c>
      <c r="J292" s="4">
        <f>_xll.ciqfunctions.udf.CIQ(InputTicker, "IQ_FIN_DIV_ASSETS_CURRENT",Input!L$2,Date,,,Ccy,Conv)</f>
        <v>0</v>
      </c>
      <c r="K292" s="4">
        <f>_xll.ciqfunctions.udf.CIQ(InputTicker, "IQ_FIN_DIV_ASSETS_CURRENT",Input!M$2,Date,,,Ccy,Conv)</f>
        <v>0</v>
      </c>
      <c r="L292" s="4">
        <f>_xll.ciqfunctions.udf.CIQ(InputTicker, "IQ_FIN_DIV_ASSETS_CURRENT",Input!N$2,Date,,,Ccy,Conv)</f>
        <v>0</v>
      </c>
      <c r="M292" s="4">
        <f>_xll.ciqfunctions.udf.CIQ(InputTicker, "IQ_FIN_DIV_ASSETS_CURRENT",Input!O$2,Date,,,Ccy,Conv)</f>
        <v>0</v>
      </c>
      <c r="N292" s="42"/>
      <c r="T292" s="42"/>
      <c r="U292" s="42"/>
      <c r="V292" s="42"/>
      <c r="W292" s="42"/>
      <c r="X292" s="42"/>
      <c r="Y292" s="42"/>
      <c r="Z292" s="42"/>
      <c r="AA292" s="42"/>
      <c r="AB292" s="42"/>
      <c r="AC292" s="42"/>
      <c r="AD292" s="42"/>
      <c r="AE292" s="42"/>
      <c r="AF292" s="42"/>
      <c r="AG292" s="42"/>
      <c r="AH292" s="42"/>
      <c r="AI292" s="42"/>
      <c r="AJ292" s="42"/>
      <c r="AK292" s="42"/>
      <c r="AL292" s="42"/>
      <c r="AM292" s="42"/>
      <c r="AN292" s="42"/>
      <c r="AO292" s="42"/>
      <c r="AP292" s="42"/>
      <c r="AQ292" s="42"/>
      <c r="AR292" s="42"/>
      <c r="AS292" s="42"/>
      <c r="AT292" s="42"/>
      <c r="AU292" s="42"/>
      <c r="AV292" s="42"/>
      <c r="AW292" s="42"/>
      <c r="AX292" s="42"/>
      <c r="AY292" s="42"/>
      <c r="AZ292" s="42"/>
      <c r="BA292" s="42"/>
      <c r="BB292" s="42"/>
      <c r="BC292" s="42"/>
      <c r="BD292" s="42"/>
      <c r="BE292" s="42"/>
      <c r="BF292" s="42"/>
      <c r="BG292" s="42"/>
      <c r="BH292" s="42"/>
      <c r="BI292" s="42"/>
      <c r="BJ292" s="42"/>
      <c r="BK292" s="42"/>
      <c r="BL292" s="42"/>
      <c r="BM292" s="42"/>
      <c r="BN292" s="42"/>
    </row>
    <row r="293" spans="1:66" ht="12.75" customHeight="1" x14ac:dyDescent="0.2">
      <c r="A293" s="1" t="s">
        <v>174</v>
      </c>
      <c r="B293" s="4">
        <f>_xll.ciqfunctions.udf.CIQ(InputTicker, "IQ_LOANS_FOR_SALE",Input!D$2,Date,,,Ccy,Conv)</f>
        <v>0</v>
      </c>
      <c r="C293" s="4">
        <f>_xll.ciqfunctions.udf.CIQ(InputTicker, "IQ_LOANS_FOR_SALE",Input!E$2,Date,,,Ccy,Conv)</f>
        <v>0</v>
      </c>
      <c r="D293" s="4">
        <f>_xll.ciqfunctions.udf.CIQ(InputTicker, "IQ_LOANS_FOR_SALE",Input!F$2,Date,,,Ccy,Conv)</f>
        <v>0</v>
      </c>
      <c r="E293" s="4">
        <f>_xll.ciqfunctions.udf.CIQ(InputTicker, "IQ_LOANS_FOR_SALE",Input!G$2,Date,,,Ccy,Conv)</f>
        <v>0</v>
      </c>
      <c r="F293" s="4">
        <f>_xll.ciqfunctions.udf.CIQ(InputTicker, "IQ_LOANS_FOR_SALE",Input!H$2,Date,,,Ccy,Conv)</f>
        <v>0</v>
      </c>
      <c r="G293" s="4">
        <f>_xll.ciqfunctions.udf.CIQ(InputTicker, "IQ_LOANS_FOR_SALE",Input!I$2,Date,,,Ccy,Conv)</f>
        <v>0</v>
      </c>
      <c r="H293" s="4">
        <f>_xll.ciqfunctions.udf.CIQ(InputTicker, "IQ_LOANS_FOR_SALE",Input!J$2,Date,,,Ccy,Conv)</f>
        <v>0</v>
      </c>
      <c r="I293" s="4">
        <f>_xll.ciqfunctions.udf.CIQ(InputTicker, "IQ_LOANS_FOR_SALE",Input!K$2,Date,,,Ccy,Conv)</f>
        <v>0</v>
      </c>
      <c r="J293" s="4">
        <f>_xll.ciqfunctions.udf.CIQ(InputTicker, "IQ_LOANS_FOR_SALE",Input!L$2,Date,,,Ccy,Conv)</f>
        <v>0</v>
      </c>
      <c r="K293" s="4">
        <f>_xll.ciqfunctions.udf.CIQ(InputTicker, "IQ_LOANS_FOR_SALE",Input!M$2,Date,,,Ccy,Conv)</f>
        <v>0</v>
      </c>
      <c r="L293" s="4">
        <f>_xll.ciqfunctions.udf.CIQ(InputTicker, "IQ_LOANS_FOR_SALE",Input!N$2,Date,,,Ccy,Conv)</f>
        <v>0</v>
      </c>
      <c r="M293" s="4">
        <f>_xll.ciqfunctions.udf.CIQ(InputTicker, "IQ_LOANS_FOR_SALE",Input!O$2,Date,,,Ccy,Conv)</f>
        <v>0</v>
      </c>
      <c r="N293" s="46"/>
      <c r="T293" s="42"/>
      <c r="U293" s="42"/>
      <c r="V293" s="42"/>
      <c r="W293" s="42"/>
      <c r="X293" s="42"/>
      <c r="Y293" s="42"/>
      <c r="Z293" s="42"/>
      <c r="AA293" s="42"/>
      <c r="AB293" s="42"/>
      <c r="AC293" s="42"/>
      <c r="AD293" s="42"/>
      <c r="AE293" s="42"/>
      <c r="AF293" s="42"/>
      <c r="AG293" s="42"/>
      <c r="AH293" s="42"/>
      <c r="AI293" s="42"/>
      <c r="AJ293" s="42"/>
      <c r="AK293" s="42"/>
      <c r="AL293" s="42"/>
      <c r="AM293" s="42"/>
      <c r="AN293" s="42"/>
      <c r="AO293" s="42"/>
      <c r="AP293" s="42"/>
      <c r="AQ293" s="42"/>
      <c r="AR293" s="42"/>
      <c r="AS293" s="42"/>
      <c r="AT293" s="42"/>
      <c r="AU293" s="42"/>
      <c r="AV293" s="42"/>
      <c r="AW293" s="42"/>
      <c r="AX293" s="42"/>
      <c r="AY293" s="42"/>
      <c r="AZ293" s="42"/>
      <c r="BA293" s="42"/>
      <c r="BB293" s="42"/>
      <c r="BC293" s="42"/>
      <c r="BD293" s="42"/>
      <c r="BE293" s="42"/>
      <c r="BF293" s="42"/>
      <c r="BG293" s="42"/>
      <c r="BH293" s="42"/>
      <c r="BI293" s="42"/>
      <c r="BJ293" s="42"/>
      <c r="BK293" s="42"/>
      <c r="BL293" s="42"/>
      <c r="BM293" s="42"/>
      <c r="BN293" s="42"/>
    </row>
    <row r="294" spans="1:66" ht="12.75" customHeight="1" x14ac:dyDescent="0.2">
      <c r="A294" s="1" t="s">
        <v>130</v>
      </c>
      <c r="B294" s="4">
        <f>_xll.ciqfunctions.udf.CIQ(InputTicker, "IQ_DEF_TAX_ASSETS_CURRENT",Input!D$2,Date,,,Ccy,Conv)</f>
        <v>0</v>
      </c>
      <c r="C294" s="4">
        <f>_xll.ciqfunctions.udf.CIQ(InputTicker, "IQ_DEF_TAX_ASSETS_CURRENT",Input!E$2,Date,,,Ccy,Conv)</f>
        <v>0</v>
      </c>
      <c r="D294" s="4">
        <f>_xll.ciqfunctions.udf.CIQ(InputTicker, "IQ_DEF_TAX_ASSETS_CURRENT",Input!F$2,Date,,,Ccy,Conv)</f>
        <v>0</v>
      </c>
      <c r="E294" s="4">
        <f>_xll.ciqfunctions.udf.CIQ(InputTicker, "IQ_DEF_TAX_ASSETS_CURRENT",Input!G$2,Date,,,Ccy,Conv)</f>
        <v>0</v>
      </c>
      <c r="F294" s="4">
        <f>_xll.ciqfunctions.udf.CIQ(InputTicker, "IQ_DEF_TAX_ASSETS_CURRENT",Input!H$2,Date,,,Ccy,Conv)</f>
        <v>0</v>
      </c>
      <c r="G294" s="4">
        <f>_xll.ciqfunctions.udf.CIQ(InputTicker, "IQ_DEF_TAX_ASSETS_CURRENT",Input!I$2,Date,,,Ccy,Conv)</f>
        <v>0</v>
      </c>
      <c r="H294" s="4">
        <f>_xll.ciqfunctions.udf.CIQ(InputTicker, "IQ_DEF_TAX_ASSETS_CURRENT",Input!J$2,Date,,,Ccy,Conv)</f>
        <v>0</v>
      </c>
      <c r="I294" s="4">
        <f>_xll.ciqfunctions.udf.CIQ(InputTicker, "IQ_DEF_TAX_ASSETS_CURRENT",Input!K$2,Date,,,Ccy,Conv)</f>
        <v>0</v>
      </c>
      <c r="J294" s="4">
        <f>_xll.ciqfunctions.udf.CIQ(InputTicker, "IQ_DEF_TAX_ASSETS_CURRENT",Input!L$2,Date,,,Ccy,Conv)</f>
        <v>0</v>
      </c>
      <c r="K294" s="4">
        <f>_xll.ciqfunctions.udf.CIQ(InputTicker, "IQ_DEF_TAX_ASSETS_CURRENT",Input!M$2,Date,,,Ccy,Conv)</f>
        <v>0</v>
      </c>
      <c r="L294" s="4">
        <f>_xll.ciqfunctions.udf.CIQ(InputTicker, "IQ_DEF_TAX_ASSETS_CURRENT",Input!N$2,Date,,,Ccy,Conv)</f>
        <v>0</v>
      </c>
      <c r="M294" s="4">
        <f>_xll.ciqfunctions.udf.CIQ(InputTicker, "IQ_DEF_TAX_ASSETS_CURRENT",Input!O$2,Date,,,Ccy,Conv)</f>
        <v>0</v>
      </c>
      <c r="N294" s="42"/>
      <c r="T294" s="42"/>
      <c r="U294" s="42"/>
      <c r="V294" s="42"/>
      <c r="W294" s="42"/>
      <c r="X294" s="42"/>
      <c r="Y294" s="42"/>
      <c r="Z294" s="42"/>
      <c r="AA294" s="42"/>
      <c r="AB294" s="42"/>
      <c r="AC294" s="42"/>
      <c r="AD294" s="42"/>
      <c r="AE294" s="42"/>
      <c r="AF294" s="42"/>
      <c r="AG294" s="42"/>
      <c r="AH294" s="42"/>
      <c r="AI294" s="42"/>
      <c r="AJ294" s="42"/>
      <c r="AK294" s="42"/>
      <c r="AL294" s="42"/>
      <c r="AM294" s="42"/>
      <c r="AN294" s="42"/>
      <c r="AO294" s="42"/>
      <c r="AP294" s="42"/>
      <c r="AQ294" s="42"/>
      <c r="AR294" s="42"/>
      <c r="AS294" s="42"/>
      <c r="AT294" s="42"/>
      <c r="AU294" s="42"/>
      <c r="AV294" s="42"/>
      <c r="AW294" s="42"/>
      <c r="AX294" s="42"/>
      <c r="AY294" s="42"/>
      <c r="AZ294" s="42"/>
      <c r="BA294" s="42"/>
      <c r="BB294" s="42"/>
      <c r="BC294" s="42"/>
      <c r="BD294" s="42"/>
      <c r="BE294" s="42"/>
      <c r="BF294" s="42"/>
      <c r="BG294" s="42"/>
      <c r="BH294" s="42"/>
      <c r="BI294" s="42"/>
      <c r="BJ294" s="42"/>
      <c r="BK294" s="42"/>
      <c r="BL294" s="42"/>
      <c r="BM294" s="42"/>
      <c r="BN294" s="42"/>
    </row>
    <row r="295" spans="1:66" ht="12.75" customHeight="1" x14ac:dyDescent="0.2">
      <c r="A295" s="1" t="s">
        <v>175</v>
      </c>
      <c r="B295" s="4">
        <f>_xll.ciqfunctions.udf.CIQ(InputTicker, "IQ_RESTRICTED_CASH",Input!D$2,Date,,,Ccy,Conv)</f>
        <v>0</v>
      </c>
      <c r="C295" s="4">
        <f>_xll.ciqfunctions.udf.CIQ(InputTicker, "IQ_RESTRICTED_CASH",Input!E$2,Date,,,Ccy,Conv)</f>
        <v>0</v>
      </c>
      <c r="D295" s="4">
        <f>_xll.ciqfunctions.udf.CIQ(InputTicker, "IQ_RESTRICTED_CASH",Input!F$2,Date,,,Ccy,Conv)</f>
        <v>0</v>
      </c>
      <c r="E295" s="4">
        <f>_xll.ciqfunctions.udf.CIQ(InputTicker, "IQ_RESTRICTED_CASH",Input!G$2,Date,,,Ccy,Conv)</f>
        <v>0</v>
      </c>
      <c r="F295" s="4">
        <f>_xll.ciqfunctions.udf.CIQ(InputTicker, "IQ_RESTRICTED_CASH",Input!H$2,Date,,,Ccy,Conv)</f>
        <v>0</v>
      </c>
      <c r="G295" s="4">
        <f>_xll.ciqfunctions.udf.CIQ(InputTicker, "IQ_RESTRICTED_CASH",Input!I$2,Date,,,Ccy,Conv)</f>
        <v>0</v>
      </c>
      <c r="H295" s="4">
        <f>_xll.ciqfunctions.udf.CIQ(InputTicker, "IQ_RESTRICTED_CASH",Input!J$2,Date,,,Ccy,Conv)</f>
        <v>0</v>
      </c>
      <c r="I295" s="4">
        <f>_xll.ciqfunctions.udf.CIQ(InputTicker, "IQ_RESTRICTED_CASH",Input!K$2,Date,,,Ccy,Conv)</f>
        <v>0</v>
      </c>
      <c r="J295" s="4">
        <f>_xll.ciqfunctions.udf.CIQ(InputTicker, "IQ_RESTRICTED_CASH",Input!L$2,Date,,,Ccy,Conv)</f>
        <v>0</v>
      </c>
      <c r="K295" s="4">
        <f>_xll.ciqfunctions.udf.CIQ(InputTicker, "IQ_RESTRICTED_CASH",Input!M$2,Date,,,Ccy,Conv)</f>
        <v>0</v>
      </c>
      <c r="L295" s="4">
        <f>_xll.ciqfunctions.udf.CIQ(InputTicker, "IQ_RESTRICTED_CASH",Input!N$2,Date,,,Ccy,Conv)</f>
        <v>0</v>
      </c>
      <c r="M295" s="4">
        <f>_xll.ciqfunctions.udf.CIQ(InputTicker, "IQ_RESTRICTED_CASH",Input!O$2,Date,,,Ccy,Conv)</f>
        <v>0</v>
      </c>
      <c r="N295" s="46"/>
      <c r="T295" s="42"/>
      <c r="U295" s="42"/>
      <c r="V295" s="42"/>
      <c r="W295" s="42"/>
      <c r="X295" s="42"/>
      <c r="Y295" s="42"/>
      <c r="Z295" s="42"/>
      <c r="AA295" s="42"/>
      <c r="AB295" s="42"/>
      <c r="AC295" s="42"/>
      <c r="AD295" s="42"/>
      <c r="AE295" s="42"/>
      <c r="AF295" s="42"/>
      <c r="AG295" s="42"/>
      <c r="AH295" s="42"/>
      <c r="AI295" s="42"/>
      <c r="AJ295" s="42"/>
      <c r="AK295" s="42"/>
      <c r="AL295" s="42"/>
      <c r="AM295" s="42"/>
      <c r="AN295" s="42"/>
      <c r="AO295" s="42"/>
      <c r="AP295" s="42"/>
      <c r="AQ295" s="42"/>
      <c r="AR295" s="42"/>
      <c r="AS295" s="42"/>
      <c r="AT295" s="42"/>
      <c r="AU295" s="42"/>
      <c r="AV295" s="42"/>
      <c r="AW295" s="42"/>
      <c r="AX295" s="42"/>
      <c r="AY295" s="42"/>
      <c r="AZ295" s="42"/>
      <c r="BA295" s="42"/>
      <c r="BB295" s="42"/>
      <c r="BC295" s="42"/>
      <c r="BD295" s="42"/>
      <c r="BE295" s="42"/>
      <c r="BF295" s="42"/>
      <c r="BG295" s="42"/>
      <c r="BH295" s="42"/>
      <c r="BI295" s="42"/>
      <c r="BJ295" s="42"/>
      <c r="BK295" s="42"/>
      <c r="BL295" s="42"/>
      <c r="BM295" s="42"/>
      <c r="BN295" s="42"/>
    </row>
    <row r="296" spans="1:66" ht="12.75" customHeight="1" x14ac:dyDescent="0.2">
      <c r="A296" s="1" t="s">
        <v>131</v>
      </c>
      <c r="B296" s="4">
        <f>_xll.ciqfunctions.udf.CIQ(InputTicker, "IQ_OTHER_CA_SUPPL",Input!D$2,Date,,,Ccy,Conv)</f>
        <v>6091</v>
      </c>
      <c r="C296" s="4">
        <f>_xll.ciqfunctions.udf.CIQ(InputTicker, "IQ_OTHER_CA_SUPPL",Input!E$2,Date,,,Ccy,Conv)</f>
        <v>5183</v>
      </c>
      <c r="D296" s="4">
        <f>_xll.ciqfunctions.udf.CIQ(InputTicker, "IQ_OTHER_CA_SUPPL",Input!F$2,Date,,,Ccy,Conv)</f>
        <v>6855</v>
      </c>
      <c r="E296" s="4">
        <f>_xll.ciqfunctions.udf.CIQ(InputTicker, "IQ_OTHER_CA_SUPPL",Input!G$2,Date,,,Ccy,Conv)</f>
        <v>10133</v>
      </c>
      <c r="F296" s="4">
        <f>_xll.ciqfunctions.udf.CIQ(InputTicker, "IQ_OTHER_CA_SUPPL",Input!H$2,Date,,,Ccy,Conv)</f>
        <v>11517</v>
      </c>
      <c r="G296" s="4">
        <f>_xll.ciqfunctions.udf.CIQ(InputTicker, "IQ_OTHER_CA_SUPPL",Input!I$2,Date,,,Ccy,Conv)</f>
        <v>13471</v>
      </c>
      <c r="H296" s="4">
        <f>_xll.ciqfunctions.udf.CIQ(InputTicker, "IQ_OTHER_CA_SUPPL",Input!J$2,Date,,,Ccy,Conv)</f>
        <v>10832</v>
      </c>
      <c r="I296" s="4">
        <f>_xll.ciqfunctions.udf.CIQ(InputTicker, "IQ_OTHER_CA_SUPPL",Input!K$2,Date,,,Ccy,Conv)</f>
        <v>12613</v>
      </c>
      <c r="J296" s="4">
        <f>_xll.ciqfunctions.udf.CIQ(InputTicker, "IQ_OTHER_CA_SUPPL",Input!L$2,Date,,,Ccy,Conv)</f>
        <v>15533</v>
      </c>
      <c r="K296" s="4">
        <f>_xll.ciqfunctions.udf.CIQ(InputTicker, "IQ_OTHER_CA_SUPPL",Input!M$2,Date,,,Ccy,Conv)</f>
        <v>17533</v>
      </c>
      <c r="L296" s="4">
        <f>_xll.ciqfunctions.udf.CIQ(InputTicker, "IQ_OTHER_CA_SUPPL",Input!N$2,Date,,,Ccy,Conv)</f>
        <v>20986</v>
      </c>
      <c r="M296" s="4">
        <f>_xll.ciqfunctions.udf.CIQ(InputTicker, "IQ_OTHER_CA_SUPPL",Input!O$2,Date,,,Ccy,Conv)</f>
        <v>20986</v>
      </c>
      <c r="N296" s="42"/>
      <c r="T296" s="42"/>
      <c r="U296" s="42"/>
      <c r="V296" s="42"/>
      <c r="W296" s="42"/>
      <c r="X296" s="42"/>
      <c r="Y296" s="42"/>
      <c r="Z296" s="42"/>
      <c r="AA296" s="42"/>
      <c r="AB296" s="42"/>
      <c r="AC296" s="42"/>
      <c r="AD296" s="42"/>
      <c r="AE296" s="42"/>
      <c r="AF296" s="42"/>
      <c r="AG296" s="42"/>
      <c r="AH296" s="42"/>
      <c r="AI296" s="42"/>
      <c r="AJ296" s="42"/>
      <c r="AK296" s="42"/>
      <c r="AL296" s="42"/>
      <c r="AM296" s="42"/>
      <c r="AN296" s="42"/>
      <c r="AO296" s="42"/>
      <c r="AP296" s="42"/>
      <c r="AQ296" s="42"/>
      <c r="AR296" s="42"/>
      <c r="AS296" s="42"/>
      <c r="AT296" s="42"/>
      <c r="AU296" s="42"/>
      <c r="AV296" s="42"/>
      <c r="AW296" s="42"/>
      <c r="AX296" s="42"/>
      <c r="AY296" s="42"/>
      <c r="AZ296" s="42"/>
      <c r="BA296" s="42"/>
      <c r="BB296" s="42"/>
      <c r="BC296" s="42"/>
      <c r="BD296" s="42"/>
      <c r="BE296" s="42"/>
      <c r="BF296" s="42"/>
      <c r="BG296" s="42"/>
      <c r="BH296" s="42"/>
      <c r="BI296" s="42"/>
      <c r="BJ296" s="42"/>
      <c r="BK296" s="42"/>
      <c r="BL296" s="42"/>
      <c r="BM296" s="42"/>
      <c r="BN296" s="42"/>
    </row>
    <row r="297" spans="1:66" ht="12.75" customHeight="1" x14ac:dyDescent="0.2">
      <c r="A297" s="5" t="s">
        <v>45</v>
      </c>
      <c r="B297" s="6">
        <f>_xll.ciqfunctions.udf.CIQ(InputTicker, "IQ_TOTAL_CA",Input!D$2,Date,,,Ccy,Conv)</f>
        <v>139660</v>
      </c>
      <c r="C297" s="6">
        <f>_xll.ciqfunctions.udf.CIQ(InputTicker, "IQ_TOTAL_CA",Input!E$2,Date,,,Ccy,Conv)</f>
        <v>162696</v>
      </c>
      <c r="D297" s="6">
        <f>_xll.ciqfunctions.udf.CIQ(InputTicker, "IQ_TOTAL_CA",Input!F$2,Date,,,Ccy,Conv)</f>
        <v>169662</v>
      </c>
      <c r="E297" s="6">
        <f>_xll.ciqfunctions.udf.CIQ(InputTicker, "IQ_TOTAL_CA",Input!G$2,Date,,,Ccy,Conv)</f>
        <v>175552</v>
      </c>
      <c r="F297" s="6">
        <f>_xll.ciqfunctions.udf.CIQ(InputTicker, "IQ_TOTAL_CA",Input!H$2,Date,,,Ccy,Conv)</f>
        <v>181915</v>
      </c>
      <c r="G297" s="6">
        <f>_xll.ciqfunctions.udf.CIQ(InputTicker, "IQ_TOTAL_CA",Input!I$2,Date,,,Ccy,Conv)</f>
        <v>184406</v>
      </c>
      <c r="H297" s="6">
        <f>_xll.ciqfunctions.udf.CIQ(InputTicker, "IQ_TOTAL_CA",Input!J$2,Date,,,Ccy,Conv)</f>
        <v>169684</v>
      </c>
      <c r="I297" s="6">
        <f>_xll.ciqfunctions.udf.CIQ(InputTicker, "IQ_TOTAL_CA",Input!K$2,Date,,,Ccy,Conv)</f>
        <v>184257</v>
      </c>
      <c r="J297" s="6">
        <f>_xll.ciqfunctions.udf.CIQ(InputTicker, "IQ_TOTAL_CA",Input!L$2,Date,,,Ccy,Conv)</f>
        <v>159734</v>
      </c>
      <c r="K297" s="6">
        <f>_xll.ciqfunctions.udf.CIQ(InputTicker, "IQ_TOTAL_CA",Input!M$2,Date,,,Ccy,Conv)</f>
        <v>191131</v>
      </c>
      <c r="L297" s="6">
        <f>_xll.ciqfunctions.udf.CIQ(InputTicker, "IQ_TOTAL_CA",Input!N$2,Date,,,Ccy,Conv)</f>
        <v>207710</v>
      </c>
      <c r="M297" s="6">
        <f>_xll.ciqfunctions.udf.CIQ(InputTicker, "IQ_TOTAL_CA",Input!O$2,Date,,,Ccy,Conv)</f>
        <v>207710</v>
      </c>
      <c r="N297" s="46"/>
      <c r="T297" s="42"/>
      <c r="U297" s="42"/>
      <c r="V297" s="42"/>
      <c r="W297" s="42"/>
      <c r="X297" s="42"/>
      <c r="Y297" s="42"/>
      <c r="Z297" s="42"/>
      <c r="AA297" s="42"/>
      <c r="AB297" s="42"/>
      <c r="AC297" s="42"/>
      <c r="AD297" s="42"/>
      <c r="AE297" s="42"/>
      <c r="AF297" s="42"/>
      <c r="AG297" s="42"/>
      <c r="AH297" s="42"/>
      <c r="AI297" s="42"/>
      <c r="AJ297" s="42"/>
      <c r="AK297" s="42"/>
      <c r="AL297" s="42"/>
      <c r="AM297" s="42"/>
      <c r="AN297" s="42"/>
      <c r="AO297" s="42"/>
      <c r="AP297" s="42"/>
      <c r="AQ297" s="42"/>
      <c r="AR297" s="42"/>
      <c r="AS297" s="42"/>
      <c r="AT297" s="42"/>
      <c r="AU297" s="42"/>
      <c r="AV297" s="42"/>
      <c r="AW297" s="42"/>
      <c r="AX297" s="42"/>
      <c r="AY297" s="42"/>
      <c r="AZ297" s="42"/>
      <c r="BA297" s="42"/>
      <c r="BB297" s="42"/>
      <c r="BC297" s="42"/>
      <c r="BD297" s="42"/>
      <c r="BE297" s="42"/>
      <c r="BF297" s="42"/>
      <c r="BG297" s="42"/>
      <c r="BH297" s="42"/>
      <c r="BI297" s="42"/>
      <c r="BJ297" s="42"/>
      <c r="BK297" s="42"/>
      <c r="BL297" s="42"/>
      <c r="BM297" s="42"/>
      <c r="BN297" s="42"/>
    </row>
    <row r="298" spans="1:66" ht="12.75" customHeight="1" x14ac:dyDescent="0.2">
      <c r="A298" s="1" t="s">
        <v>92</v>
      </c>
      <c r="B298" s="4">
        <f>_xll.ciqfunctions.udf.CIQ(InputTicker, "IQ_GPPE",Input!D$2,Date,,,Ccy,Conv)</f>
        <v>38156</v>
      </c>
      <c r="C298" s="4">
        <f>_xll.ciqfunctions.udf.CIQ(InputTicker, "IQ_GPPE",Input!E$2,Date,,,Ccy,Conv)</f>
        <v>54468</v>
      </c>
      <c r="D298" s="4">
        <f>_xll.ciqfunctions.udf.CIQ(InputTicker, "IQ_GPPE",Input!F$2,Date,,,Ccy,Conv)</f>
        <v>65369</v>
      </c>
      <c r="E298" s="4">
        <f>_xll.ciqfunctions.udf.CIQ(InputTicker, "IQ_GPPE",Input!G$2,Date,,,Ccy,Conv)</f>
        <v>79186</v>
      </c>
      <c r="F298" s="4">
        <f>_xll.ciqfunctions.udf.CIQ(InputTicker, "IQ_GPPE",Input!H$2,Date,,,Ccy,Conv)</f>
        <v>96101</v>
      </c>
      <c r="G298" s="4">
        <f>_xll.ciqfunctions.udf.CIQ(InputTicker, "IQ_GPPE",Input!I$2,Date,,,Ccy,Conv)</f>
        <v>122154</v>
      </c>
      <c r="H298" s="4">
        <f>_xll.ciqfunctions.udf.CIQ(InputTicker, "IQ_GPPE",Input!J$2,Date,,,Ccy,Conv)</f>
        <v>147206</v>
      </c>
      <c r="I298" s="4">
        <f>_xll.ciqfunctions.udf.CIQ(InputTicker, "IQ_GPPE",Input!K$2,Date,,,Ccy,Conv)</f>
        <v>178238</v>
      </c>
      <c r="J298" s="4">
        <f>_xll.ciqfunctions.udf.CIQ(InputTicker, "IQ_GPPE",Input!L$2,Date,,,Ccy,Conv)</f>
        <v>230973</v>
      </c>
      <c r="K298" s="4">
        <f>_xll.ciqfunctions.udf.CIQ(InputTicker, "IQ_GPPE",Input!M$2,Date,,,Ccy,Conv)</f>
        <v>323442</v>
      </c>
      <c r="L298" s="4">
        <f>_xll.ciqfunctions.udf.CIQ(InputTicker, "IQ_GPPE",Input!N$2,Date,,,Ccy,Conv)</f>
        <v>455944</v>
      </c>
      <c r="M298" s="4">
        <f>_xll.ciqfunctions.udf.CIQ(InputTicker, "IQ_GPPE",Input!O$2,Date,,,Ccy,Conv)</f>
        <v>455944</v>
      </c>
      <c r="N298" s="42"/>
      <c r="T298" s="42"/>
      <c r="U298" s="42"/>
      <c r="V298" s="42"/>
      <c r="W298" s="42"/>
      <c r="X298" s="42"/>
      <c r="Y298" s="42"/>
      <c r="Z298" s="42"/>
      <c r="AA298" s="42"/>
      <c r="AB298" s="42"/>
      <c r="AC298" s="42"/>
      <c r="AD298" s="42"/>
      <c r="AE298" s="42"/>
      <c r="AF298" s="42"/>
      <c r="AG298" s="42"/>
      <c r="AH298" s="42"/>
      <c r="AI298" s="42"/>
      <c r="AJ298" s="42"/>
      <c r="AK298" s="42"/>
      <c r="AL298" s="42"/>
      <c r="AM298" s="42"/>
      <c r="AN298" s="42"/>
      <c r="AO298" s="42"/>
      <c r="AP298" s="42"/>
      <c r="AQ298" s="42"/>
      <c r="AR298" s="42"/>
      <c r="AS298" s="42"/>
      <c r="AT298" s="42"/>
      <c r="AU298" s="42"/>
      <c r="AV298" s="42"/>
      <c r="AW298" s="42"/>
      <c r="AX298" s="42"/>
      <c r="AY298" s="42"/>
      <c r="AZ298" s="42"/>
      <c r="BA298" s="42"/>
      <c r="BB298" s="42"/>
      <c r="BC298" s="42"/>
      <c r="BD298" s="42"/>
      <c r="BE298" s="42"/>
      <c r="BF298" s="42"/>
      <c r="BG298" s="42"/>
      <c r="BH298" s="42"/>
      <c r="BI298" s="42"/>
      <c r="BJ298" s="42"/>
      <c r="BK298" s="42"/>
      <c r="BL298" s="42"/>
      <c r="BM298" s="42"/>
      <c r="BN298" s="42"/>
    </row>
    <row r="299" spans="1:66" ht="12.75" customHeight="1" x14ac:dyDescent="0.2">
      <c r="A299" s="1" t="s">
        <v>93</v>
      </c>
      <c r="B299" s="4">
        <f>_xll.ciqfunctions.udf.CIQ(InputTicker, "IQ_AD",Input!D$2,Date,,,Ccy,Conv)</f>
        <v>-19800</v>
      </c>
      <c r="C299" s="4">
        <f>_xll.ciqfunctions.udf.CIQ(InputTicker, "IQ_AD",Input!E$2,Date,,,Ccy,Conv)</f>
        <v>-24179</v>
      </c>
      <c r="D299" s="4">
        <f>_xll.ciqfunctions.udf.CIQ(InputTicker, "IQ_AD",Input!F$2,Date,,,Ccy,Conv)</f>
        <v>-29223</v>
      </c>
      <c r="E299" s="4">
        <f>_xll.ciqfunctions.udf.CIQ(InputTicker, "IQ_AD",Input!G$2,Date,,,Ccy,Conv)</f>
        <v>-35330</v>
      </c>
      <c r="F299" s="4">
        <f>_xll.ciqfunctions.udf.CIQ(InputTicker, "IQ_AD",Input!H$2,Date,,,Ccy,Conv)</f>
        <v>-43197</v>
      </c>
      <c r="G299" s="4">
        <f>_xll.ciqfunctions.udf.CIQ(InputTicker, "IQ_AD",Input!I$2,Date,,,Ccy,Conv)</f>
        <v>-51351</v>
      </c>
      <c r="H299" s="4">
        <f>_xll.ciqfunctions.udf.CIQ(InputTicker, "IQ_AD",Input!J$2,Date,,,Ccy,Conv)</f>
        <v>-59660</v>
      </c>
      <c r="I299" s="4">
        <f>_xll.ciqfunctions.udf.CIQ(InputTicker, "IQ_AD",Input!K$2,Date,,,Ccy,Conv)</f>
        <v>-68251</v>
      </c>
      <c r="J299" s="4">
        <f>_xll.ciqfunctions.udf.CIQ(InputTicker, "IQ_AD",Input!L$2,Date,,,Ccy,Conv)</f>
        <v>-76421</v>
      </c>
      <c r="K299" s="4">
        <f>_xll.ciqfunctions.udf.CIQ(InputTicker, "IQ_AD",Input!M$2,Date,,,Ccy,Conv)</f>
        <v>-93653</v>
      </c>
      <c r="L299" s="4">
        <f>_xll.ciqfunctions.udf.CIQ(InputTicker, "IQ_AD",Input!N$2,Date,,,Ccy,Conv)</f>
        <v>-118691</v>
      </c>
      <c r="M299" s="4">
        <f>_xll.ciqfunctions.udf.CIQ(InputTicker, "IQ_AD",Input!O$2,Date,,,Ccy,Conv)</f>
        <v>-118691</v>
      </c>
      <c r="N299" s="42"/>
      <c r="T299" s="46"/>
      <c r="U299" s="46"/>
      <c r="V299" s="42"/>
      <c r="W299" s="42"/>
      <c r="X299" s="42"/>
      <c r="Y299" s="42"/>
      <c r="Z299" s="42"/>
      <c r="AA299" s="42"/>
      <c r="AB299" s="42"/>
      <c r="AC299" s="42"/>
      <c r="AD299" s="42"/>
      <c r="AE299" s="42"/>
      <c r="AF299" s="42"/>
      <c r="AG299" s="42"/>
      <c r="AH299" s="42"/>
      <c r="AI299" s="42"/>
      <c r="AJ299" s="42"/>
      <c r="AK299" s="42"/>
      <c r="AL299" s="42"/>
      <c r="AM299" s="42"/>
      <c r="AN299" s="42"/>
      <c r="AO299" s="42"/>
      <c r="AP299" s="42"/>
      <c r="AQ299" s="42"/>
      <c r="AR299" s="42"/>
      <c r="AS299" s="42"/>
      <c r="AT299" s="42"/>
      <c r="AU299" s="42"/>
      <c r="AV299" s="42"/>
      <c r="AW299" s="42"/>
      <c r="AX299" s="42"/>
      <c r="AY299" s="42"/>
      <c r="AZ299" s="42"/>
      <c r="BA299" s="42"/>
      <c r="BB299" s="42"/>
      <c r="BC299" s="42"/>
      <c r="BD299" s="42"/>
      <c r="BE299" s="42"/>
      <c r="BF299" s="42"/>
      <c r="BG299" s="42"/>
      <c r="BH299" s="42"/>
      <c r="BI299" s="42"/>
      <c r="BJ299" s="42"/>
      <c r="BK299" s="42"/>
      <c r="BL299" s="42"/>
      <c r="BM299" s="42"/>
      <c r="BN299" s="42"/>
    </row>
    <row r="300" spans="1:66" ht="12.75" customHeight="1" x14ac:dyDescent="0.2">
      <c r="A300" s="5" t="s">
        <v>94</v>
      </c>
      <c r="B300" s="6">
        <f>_xll.ciqfunctions.udf.CIQ(InputTicker, "IQ_NPPE",Input!D$2,Date,,,Ccy,Conv)</f>
        <v>18356</v>
      </c>
      <c r="C300" s="6">
        <f>_xll.ciqfunctions.udf.CIQ(InputTicker, "IQ_NPPE",Input!E$2,Date,,,Ccy,Conv)</f>
        <v>30289</v>
      </c>
      <c r="D300" s="6">
        <f>_xll.ciqfunctions.udf.CIQ(InputTicker, "IQ_NPPE",Input!F$2,Date,,,Ccy,Conv)</f>
        <v>36146</v>
      </c>
      <c r="E300" s="6">
        <f>_xll.ciqfunctions.udf.CIQ(InputTicker, "IQ_NPPE",Input!G$2,Date,,,Ccy,Conv)</f>
        <v>43856</v>
      </c>
      <c r="F300" s="6">
        <f>_xll.ciqfunctions.udf.CIQ(InputTicker, "IQ_NPPE",Input!H$2,Date,,,Ccy,Conv)</f>
        <v>52904</v>
      </c>
      <c r="G300" s="6">
        <f>_xll.ciqfunctions.udf.CIQ(InputTicker, "IQ_NPPE",Input!I$2,Date,,,Ccy,Conv)</f>
        <v>70803</v>
      </c>
      <c r="H300" s="6">
        <f>_xll.ciqfunctions.udf.CIQ(InputTicker, "IQ_NPPE",Input!J$2,Date,,,Ccy,Conv)</f>
        <v>87546</v>
      </c>
      <c r="I300" s="6">
        <f>_xll.ciqfunctions.udf.CIQ(InputTicker, "IQ_NPPE",Input!K$2,Date,,,Ccy,Conv)</f>
        <v>109987</v>
      </c>
      <c r="J300" s="6">
        <f>_xll.ciqfunctions.udf.CIQ(InputTicker, "IQ_NPPE",Input!L$2,Date,,,Ccy,Conv)</f>
        <v>154552</v>
      </c>
      <c r="K300" s="6">
        <f>_xll.ciqfunctions.udf.CIQ(InputTicker, "IQ_NPPE",Input!M$2,Date,,,Ccy,Conv)</f>
        <v>229789</v>
      </c>
      <c r="L300" s="6">
        <f>_xll.ciqfunctions.udf.CIQ(InputTicker, "IQ_NPPE",Input!N$2,Date,,,Ccy,Conv)</f>
        <v>337253</v>
      </c>
      <c r="M300" s="6">
        <f>_xll.ciqfunctions.udf.CIQ(InputTicker, "IQ_NPPE",Input!O$2,Date,,,Ccy,Conv)</f>
        <v>337253</v>
      </c>
      <c r="N300" s="42"/>
      <c r="P300" s="46"/>
      <c r="Q300" s="46"/>
      <c r="R300" s="46"/>
      <c r="T300" s="42"/>
      <c r="U300" s="42"/>
      <c r="V300" s="46"/>
      <c r="W300" s="42"/>
      <c r="X300" s="42"/>
      <c r="Y300" s="42"/>
      <c r="Z300" s="42"/>
      <c r="AA300" s="42"/>
      <c r="AB300" s="42"/>
      <c r="AC300" s="42"/>
      <c r="AD300" s="42"/>
      <c r="AE300" s="42"/>
      <c r="AF300" s="42"/>
      <c r="AG300" s="42"/>
      <c r="AH300" s="42"/>
      <c r="AI300" s="42"/>
      <c r="AJ300" s="42"/>
      <c r="AK300" s="42"/>
      <c r="AL300" s="42"/>
      <c r="AM300" s="42"/>
      <c r="AN300" s="42"/>
      <c r="AO300" s="42"/>
      <c r="AP300" s="42"/>
      <c r="AQ300" s="42"/>
      <c r="AR300" s="42"/>
      <c r="AS300" s="42"/>
      <c r="AT300" s="42"/>
      <c r="AU300" s="42"/>
      <c r="AV300" s="42"/>
      <c r="AW300" s="42"/>
      <c r="AX300" s="42"/>
      <c r="AY300" s="42"/>
      <c r="AZ300" s="42"/>
      <c r="BA300" s="42"/>
      <c r="BB300" s="42"/>
      <c r="BC300" s="42"/>
      <c r="BD300" s="42"/>
      <c r="BE300" s="42"/>
      <c r="BF300" s="42"/>
      <c r="BG300" s="42"/>
      <c r="BH300" s="42"/>
      <c r="BI300" s="42"/>
      <c r="BJ300" s="42"/>
      <c r="BK300" s="42"/>
      <c r="BL300" s="42"/>
      <c r="BM300" s="42"/>
      <c r="BN300" s="42"/>
    </row>
    <row r="301" spans="1:66" ht="12.75" customHeight="1" x14ac:dyDescent="0.2">
      <c r="A301" s="1" t="s">
        <v>176</v>
      </c>
      <c r="B301" s="4">
        <f>_xll.ciqfunctions.udf.CIQ(InputTicker, "IQ_LT_INVEST",Input!D$2,Date,,,Ccy,Conv)</f>
        <v>10438</v>
      </c>
      <c r="C301" s="4">
        <f>_xll.ciqfunctions.udf.CIQ(InputTicker, "IQ_LT_INVEST",Input!E$2,Date,,,Ccy,Conv)</f>
        <v>6023</v>
      </c>
      <c r="D301" s="4">
        <f>_xll.ciqfunctions.udf.CIQ(InputTicker, "IQ_LT_INVEST",Input!F$2,Date,,,Ccy,Conv)</f>
        <v>1862</v>
      </c>
      <c r="E301" s="4">
        <f>_xll.ciqfunctions.udf.CIQ(InputTicker, "IQ_LT_INVEST",Input!G$2,Date,,,Ccy,Conv)</f>
        <v>2649</v>
      </c>
      <c r="F301" s="4">
        <f>_xll.ciqfunctions.udf.CIQ(InputTicker, "IQ_LT_INVEST",Input!H$2,Date,,,Ccy,Conv)</f>
        <v>2965</v>
      </c>
      <c r="G301" s="4">
        <f>_xll.ciqfunctions.udf.CIQ(InputTicker, "IQ_LT_INVEST",Input!I$2,Date,,,Ccy,Conv)</f>
        <v>5984</v>
      </c>
      <c r="H301" s="4">
        <f>_xll.ciqfunctions.udf.CIQ(InputTicker, "IQ_LT_INVEST",Input!J$2,Date,,,Ccy,Conv)</f>
        <v>6891</v>
      </c>
      <c r="I301" s="4">
        <f>_xll.ciqfunctions.udf.CIQ(InputTicker, "IQ_LT_INVEST",Input!K$2,Date,,,Ccy,Conv)</f>
        <v>9879</v>
      </c>
      <c r="J301" s="4">
        <f>_xll.ciqfunctions.udf.CIQ(InputTicker, "IQ_LT_INVEST",Input!L$2,Date,,,Ccy,Conv)</f>
        <v>14600</v>
      </c>
      <c r="K301" s="4">
        <f>_xll.ciqfunctions.udf.CIQ(InputTicker, "IQ_LT_INVEST",Input!M$2,Date,,,Ccy,Conv)</f>
        <v>15405</v>
      </c>
      <c r="L301" s="4">
        <f>_xll.ciqfunctions.udf.CIQ(InputTicker, "IQ_LT_INVEST",Input!N$2,Date,,,Ccy,Conv)</f>
        <v>36348</v>
      </c>
      <c r="M301" s="4">
        <f>_xll.ciqfunctions.udf.CIQ(InputTicker, "IQ_LT_INVEST",Input!O$2,Date,,,Ccy,Conv)</f>
        <v>36348</v>
      </c>
      <c r="N301" s="42"/>
      <c r="T301" s="42"/>
      <c r="U301" s="42"/>
      <c r="V301" s="42"/>
      <c r="W301" s="42"/>
      <c r="X301" s="42"/>
      <c r="Y301" s="42"/>
      <c r="Z301" s="42"/>
      <c r="AA301" s="42"/>
      <c r="AB301" s="42"/>
      <c r="AC301" s="42"/>
      <c r="AD301" s="42"/>
      <c r="AE301" s="42"/>
      <c r="AF301" s="42"/>
      <c r="AG301" s="42"/>
      <c r="AH301" s="42"/>
      <c r="AI301" s="42"/>
      <c r="AJ301" s="42"/>
      <c r="AK301" s="42"/>
      <c r="AL301" s="42"/>
      <c r="AM301" s="42"/>
      <c r="AN301" s="42"/>
      <c r="AO301" s="42"/>
      <c r="AP301" s="42"/>
      <c r="AQ301" s="42"/>
      <c r="AR301" s="42"/>
      <c r="AS301" s="42"/>
      <c r="AT301" s="42"/>
      <c r="AU301" s="42"/>
      <c r="AV301" s="42"/>
      <c r="AW301" s="42"/>
      <c r="AX301" s="42"/>
      <c r="AY301" s="42"/>
      <c r="AZ301" s="42"/>
      <c r="BA301" s="42"/>
      <c r="BB301" s="42"/>
      <c r="BC301" s="42"/>
      <c r="BD301" s="42"/>
      <c r="BE301" s="42"/>
      <c r="BF301" s="42"/>
      <c r="BG301" s="42"/>
      <c r="BH301" s="42"/>
      <c r="BI301" s="42"/>
      <c r="BJ301" s="42"/>
      <c r="BK301" s="42"/>
      <c r="BL301" s="42"/>
      <c r="BM301" s="42"/>
      <c r="BN301" s="42"/>
    </row>
    <row r="302" spans="1:66" ht="12.75" customHeight="1" x14ac:dyDescent="0.2">
      <c r="A302" s="1" t="s">
        <v>56</v>
      </c>
      <c r="B302" s="4">
        <f>_xll.ciqfunctions.udf.CIQ(InputTicker, "IQ_GW",Input!D$2,Date,,,Ccy,Conv)</f>
        <v>17872</v>
      </c>
      <c r="C302" s="4">
        <f>_xll.ciqfunctions.udf.CIQ(InputTicker, "IQ_GW",Input!E$2,Date,,,Ccy,Conv)</f>
        <v>35122</v>
      </c>
      <c r="D302" s="4">
        <f>_xll.ciqfunctions.udf.CIQ(InputTicker, "IQ_GW",Input!F$2,Date,,,Ccy,Conv)</f>
        <v>35683</v>
      </c>
      <c r="E302" s="4">
        <f>_xll.ciqfunctions.udf.CIQ(InputTicker, "IQ_GW",Input!G$2,Date,,,Ccy,Conv)</f>
        <v>42026</v>
      </c>
      <c r="F302" s="4">
        <f>_xll.ciqfunctions.udf.CIQ(InputTicker, "IQ_GW",Input!H$2,Date,,,Ccy,Conv)</f>
        <v>43351</v>
      </c>
      <c r="G302" s="4">
        <f>_xll.ciqfunctions.udf.CIQ(InputTicker, "IQ_GW",Input!I$2,Date,,,Ccy,Conv)</f>
        <v>49711</v>
      </c>
      <c r="H302" s="4">
        <f>_xll.ciqfunctions.udf.CIQ(InputTicker, "IQ_GW",Input!J$2,Date,,,Ccy,Conv)</f>
        <v>67524</v>
      </c>
      <c r="I302" s="4">
        <f>_xll.ciqfunctions.udf.CIQ(InputTicker, "IQ_GW",Input!K$2,Date,,,Ccy,Conv)</f>
        <v>67886</v>
      </c>
      <c r="J302" s="4">
        <f>_xll.ciqfunctions.udf.CIQ(InputTicker, "IQ_GW",Input!L$2,Date,,,Ccy,Conv)</f>
        <v>119220</v>
      </c>
      <c r="K302" s="4">
        <f>_xll.ciqfunctions.udf.CIQ(InputTicker, "IQ_GW",Input!M$2,Date,,,Ccy,Conv)</f>
        <v>119509</v>
      </c>
      <c r="L302" s="4">
        <f>_xll.ciqfunctions.udf.CIQ(InputTicker, "IQ_GW",Input!N$2,Date,,,Ccy,Conv)</f>
        <v>119651</v>
      </c>
      <c r="M302" s="4">
        <f>_xll.ciqfunctions.udf.CIQ(InputTicker, "IQ_GW",Input!O$2,Date,,,Ccy,Conv)</f>
        <v>119651</v>
      </c>
      <c r="N302" s="42"/>
      <c r="T302" s="42"/>
      <c r="U302" s="42"/>
      <c r="V302" s="42"/>
      <c r="W302" s="42"/>
      <c r="X302" s="42"/>
      <c r="Y302" s="42"/>
      <c r="Z302" s="42"/>
      <c r="AA302" s="42"/>
      <c r="AB302" s="42"/>
      <c r="AC302" s="42"/>
      <c r="AD302" s="42"/>
      <c r="AE302" s="42"/>
      <c r="AF302" s="42"/>
      <c r="AG302" s="42"/>
      <c r="AH302" s="42"/>
      <c r="AI302" s="42"/>
      <c r="AJ302" s="42"/>
      <c r="AK302" s="42"/>
      <c r="AL302" s="42"/>
      <c r="AM302" s="42"/>
      <c r="AN302" s="42"/>
      <c r="AO302" s="42"/>
      <c r="AP302" s="42"/>
      <c r="AQ302" s="42"/>
      <c r="AR302" s="42"/>
      <c r="AS302" s="42"/>
      <c r="AT302" s="42"/>
      <c r="AU302" s="42"/>
      <c r="AV302" s="42"/>
      <c r="AW302" s="42"/>
      <c r="AX302" s="42"/>
      <c r="AY302" s="42"/>
      <c r="AZ302" s="42"/>
      <c r="BA302" s="42"/>
      <c r="BB302" s="42"/>
      <c r="BC302" s="42"/>
      <c r="BD302" s="42"/>
      <c r="BE302" s="42"/>
      <c r="BF302" s="42"/>
      <c r="BG302" s="42"/>
      <c r="BH302" s="42"/>
      <c r="BI302" s="42"/>
      <c r="BJ302" s="42"/>
      <c r="BK302" s="42"/>
      <c r="BL302" s="42"/>
      <c r="BM302" s="42"/>
      <c r="BN302" s="42"/>
    </row>
    <row r="303" spans="1:66" ht="12.75" customHeight="1" x14ac:dyDescent="0.2">
      <c r="A303" s="1" t="s">
        <v>95</v>
      </c>
      <c r="B303" s="4">
        <f>_xll.ciqfunctions.udf.CIQ(InputTicker, "IQ_OTHER_INTAN",Input!D$2,Date,,,Ccy,Conv)</f>
        <v>3733</v>
      </c>
      <c r="C303" s="4">
        <f>_xll.ciqfunctions.udf.CIQ(InputTicker, "IQ_OTHER_INTAN",Input!E$2,Date,,,Ccy,Conv)</f>
        <v>10106</v>
      </c>
      <c r="D303" s="4">
        <f>_xll.ciqfunctions.udf.CIQ(InputTicker, "IQ_OTHER_INTAN",Input!F$2,Date,,,Ccy,Conv)</f>
        <v>8053</v>
      </c>
      <c r="E303" s="4">
        <f>_xll.ciqfunctions.udf.CIQ(InputTicker, "IQ_OTHER_INTAN",Input!G$2,Date,,,Ccy,Conv)</f>
        <v>7750</v>
      </c>
      <c r="F303" s="4">
        <f>_xll.ciqfunctions.udf.CIQ(InputTicker, "IQ_OTHER_INTAN",Input!H$2,Date,,,Ccy,Conv)</f>
        <v>7038</v>
      </c>
      <c r="G303" s="4">
        <f>_xll.ciqfunctions.udf.CIQ(InputTicker, "IQ_OTHER_INTAN",Input!I$2,Date,,,Ccy,Conv)</f>
        <v>7800</v>
      </c>
      <c r="H303" s="4">
        <f>_xll.ciqfunctions.udf.CIQ(InputTicker, "IQ_OTHER_INTAN",Input!J$2,Date,,,Ccy,Conv)</f>
        <v>11298</v>
      </c>
      <c r="I303" s="4">
        <f>_xll.ciqfunctions.udf.CIQ(InputTicker, "IQ_OTHER_INTAN",Input!K$2,Date,,,Ccy,Conv)</f>
        <v>9366</v>
      </c>
      <c r="J303" s="4">
        <f>_xll.ciqfunctions.udf.CIQ(InputTicker, "IQ_OTHER_INTAN",Input!L$2,Date,,,Ccy,Conv)</f>
        <v>27597</v>
      </c>
      <c r="K303" s="4">
        <f>_xll.ciqfunctions.udf.CIQ(InputTicker, "IQ_OTHER_INTAN",Input!M$2,Date,,,Ccy,Conv)</f>
        <v>22604</v>
      </c>
      <c r="L303" s="4">
        <f>_xll.ciqfunctions.udf.CIQ(InputTicker, "IQ_OTHER_INTAN",Input!N$2,Date,,,Ccy,Conv)</f>
        <v>18609</v>
      </c>
      <c r="M303" s="4">
        <f>_xll.ciqfunctions.udf.CIQ(InputTicker, "IQ_OTHER_INTAN",Input!O$2,Date,,,Ccy,Conv)</f>
        <v>18609</v>
      </c>
      <c r="N303" s="42"/>
      <c r="T303" s="42"/>
      <c r="U303" s="42"/>
      <c r="V303" s="42"/>
      <c r="W303" s="42"/>
      <c r="X303" s="42"/>
      <c r="Y303" s="42"/>
      <c r="Z303" s="42"/>
      <c r="AA303" s="42"/>
      <c r="AB303" s="42"/>
      <c r="AC303" s="42"/>
      <c r="AD303" s="42"/>
      <c r="AE303" s="42"/>
      <c r="AF303" s="42"/>
      <c r="AG303" s="42"/>
      <c r="AH303" s="42"/>
      <c r="AI303" s="42"/>
      <c r="AJ303" s="42"/>
      <c r="AK303" s="42"/>
      <c r="AL303" s="42"/>
      <c r="AM303" s="42"/>
      <c r="AN303" s="42"/>
      <c r="AO303" s="42"/>
      <c r="AP303" s="42"/>
      <c r="AQ303" s="42"/>
      <c r="AR303" s="42"/>
      <c r="AS303" s="42"/>
      <c r="AT303" s="42"/>
      <c r="AU303" s="42"/>
      <c r="AV303" s="42"/>
      <c r="AW303" s="42"/>
      <c r="AX303" s="42"/>
      <c r="AY303" s="42"/>
      <c r="AZ303" s="42"/>
      <c r="BA303" s="42"/>
      <c r="BB303" s="42"/>
      <c r="BC303" s="42"/>
      <c r="BD303" s="42"/>
      <c r="BE303" s="42"/>
      <c r="BF303" s="42"/>
      <c r="BG303" s="42"/>
      <c r="BH303" s="42"/>
      <c r="BI303" s="42"/>
      <c r="BJ303" s="42"/>
      <c r="BK303" s="42"/>
      <c r="BL303" s="42"/>
      <c r="BM303" s="42"/>
      <c r="BN303" s="42"/>
    </row>
    <row r="304" spans="1:66" ht="12.75" customHeight="1" x14ac:dyDescent="0.2">
      <c r="A304" s="1" t="s">
        <v>177</v>
      </c>
      <c r="B304" s="4">
        <f>_xll.ciqfunctions.udf.CIQ(InputTicker, "IQ_FIN_DIV_LOANS_LT",Input!D$2,Date,,,Ccy,Conv)</f>
        <v>0</v>
      </c>
      <c r="C304" s="4">
        <f>_xll.ciqfunctions.udf.CIQ(InputTicker, "IQ_FIN_DIV_LOANS_LT",Input!E$2,Date,,,Ccy,Conv)</f>
        <v>0</v>
      </c>
      <c r="D304" s="4">
        <f>_xll.ciqfunctions.udf.CIQ(InputTicker, "IQ_FIN_DIV_LOANS_LT",Input!F$2,Date,,,Ccy,Conv)</f>
        <v>0</v>
      </c>
      <c r="E304" s="4">
        <f>_xll.ciqfunctions.udf.CIQ(InputTicker, "IQ_FIN_DIV_LOANS_LT",Input!G$2,Date,,,Ccy,Conv)</f>
        <v>0</v>
      </c>
      <c r="F304" s="4">
        <f>_xll.ciqfunctions.udf.CIQ(InputTicker, "IQ_FIN_DIV_LOANS_LT",Input!H$2,Date,,,Ccy,Conv)</f>
        <v>0</v>
      </c>
      <c r="G304" s="4">
        <f>_xll.ciqfunctions.udf.CIQ(InputTicker, "IQ_FIN_DIV_LOANS_LT",Input!I$2,Date,,,Ccy,Conv)</f>
        <v>0</v>
      </c>
      <c r="H304" s="4">
        <f>_xll.ciqfunctions.udf.CIQ(InputTicker, "IQ_FIN_DIV_LOANS_LT",Input!J$2,Date,,,Ccy,Conv)</f>
        <v>0</v>
      </c>
      <c r="I304" s="4">
        <f>_xll.ciqfunctions.udf.CIQ(InputTicker, "IQ_FIN_DIV_LOANS_LT",Input!K$2,Date,,,Ccy,Conv)</f>
        <v>0</v>
      </c>
      <c r="J304" s="4">
        <f>_xll.ciqfunctions.udf.CIQ(InputTicker, "IQ_FIN_DIV_LOANS_LT",Input!L$2,Date,,,Ccy,Conv)</f>
        <v>0</v>
      </c>
      <c r="K304" s="4">
        <f>_xll.ciqfunctions.udf.CIQ(InputTicker, "IQ_FIN_DIV_LOANS_LT",Input!M$2,Date,,,Ccy,Conv)</f>
        <v>0</v>
      </c>
      <c r="L304" s="4">
        <f>_xll.ciqfunctions.udf.CIQ(InputTicker, "IQ_FIN_DIV_LOANS_LT",Input!N$2,Date,,,Ccy,Conv)</f>
        <v>0</v>
      </c>
      <c r="M304" s="4">
        <f>_xll.ciqfunctions.udf.CIQ(InputTicker, "IQ_FIN_DIV_LOANS_LT",Input!O$2,Date,,,Ccy,Conv)</f>
        <v>0</v>
      </c>
      <c r="N304" s="42"/>
      <c r="T304" s="42"/>
      <c r="U304" s="42"/>
      <c r="V304" s="42"/>
      <c r="W304" s="42"/>
      <c r="X304" s="42"/>
      <c r="Y304" s="42"/>
      <c r="Z304" s="42"/>
      <c r="AA304" s="42"/>
      <c r="AB304" s="42"/>
      <c r="AC304" s="42"/>
      <c r="AD304" s="42"/>
      <c r="AE304" s="42"/>
      <c r="AF304" s="42"/>
      <c r="AG304" s="42"/>
      <c r="AH304" s="42"/>
      <c r="AI304" s="42"/>
      <c r="AJ304" s="42"/>
      <c r="AK304" s="42"/>
      <c r="AL304" s="42"/>
      <c r="AM304" s="42"/>
      <c r="AN304" s="42"/>
      <c r="AO304" s="42"/>
      <c r="AP304" s="42"/>
      <c r="AQ304" s="42"/>
      <c r="AR304" s="42"/>
      <c r="AS304" s="42"/>
      <c r="AT304" s="42"/>
      <c r="AU304" s="42"/>
      <c r="AV304" s="42"/>
      <c r="AW304" s="42"/>
      <c r="AX304" s="42"/>
      <c r="AY304" s="42"/>
      <c r="AZ304" s="42"/>
      <c r="BA304" s="42"/>
      <c r="BB304" s="42"/>
      <c r="BC304" s="42"/>
      <c r="BD304" s="42"/>
      <c r="BE304" s="42"/>
      <c r="BF304" s="42"/>
      <c r="BG304" s="42"/>
      <c r="BH304" s="42"/>
      <c r="BI304" s="42"/>
      <c r="BJ304" s="42"/>
      <c r="BK304" s="42"/>
      <c r="BL304" s="42"/>
      <c r="BM304" s="42"/>
      <c r="BN304" s="42"/>
    </row>
    <row r="305" spans="1:66" ht="12.75" customHeight="1" x14ac:dyDescent="0.2">
      <c r="A305" s="1" t="s">
        <v>178</v>
      </c>
      <c r="B305" s="4">
        <f>_xll.ciqfunctions.udf.CIQ(InputTicker, "IQ_FIN_DIV_ASSETS_LT",Input!D$2,Date,,,Ccy,Conv)</f>
        <v>0</v>
      </c>
      <c r="C305" s="4">
        <f>_xll.ciqfunctions.udf.CIQ(InputTicker, "IQ_FIN_DIV_ASSETS_LT",Input!E$2,Date,,,Ccy,Conv)</f>
        <v>0</v>
      </c>
      <c r="D305" s="4">
        <f>_xll.ciqfunctions.udf.CIQ(InputTicker, "IQ_FIN_DIV_ASSETS_LT",Input!F$2,Date,,,Ccy,Conv)</f>
        <v>0</v>
      </c>
      <c r="E305" s="4">
        <f>_xll.ciqfunctions.udf.CIQ(InputTicker, "IQ_FIN_DIV_ASSETS_LT",Input!G$2,Date,,,Ccy,Conv)</f>
        <v>0</v>
      </c>
      <c r="F305" s="4">
        <f>_xll.ciqfunctions.udf.CIQ(InputTicker, "IQ_FIN_DIV_ASSETS_LT",Input!H$2,Date,,,Ccy,Conv)</f>
        <v>0</v>
      </c>
      <c r="G305" s="4">
        <f>_xll.ciqfunctions.udf.CIQ(InputTicker, "IQ_FIN_DIV_ASSETS_LT",Input!I$2,Date,,,Ccy,Conv)</f>
        <v>0</v>
      </c>
      <c r="H305" s="4">
        <f>_xll.ciqfunctions.udf.CIQ(InputTicker, "IQ_FIN_DIV_ASSETS_LT",Input!J$2,Date,,,Ccy,Conv)</f>
        <v>0</v>
      </c>
      <c r="I305" s="4">
        <f>_xll.ciqfunctions.udf.CIQ(InputTicker, "IQ_FIN_DIV_ASSETS_LT",Input!K$2,Date,,,Ccy,Conv)</f>
        <v>0</v>
      </c>
      <c r="J305" s="4">
        <f>_xll.ciqfunctions.udf.CIQ(InputTicker, "IQ_FIN_DIV_ASSETS_LT",Input!L$2,Date,,,Ccy,Conv)</f>
        <v>0</v>
      </c>
      <c r="K305" s="4">
        <f>_xll.ciqfunctions.udf.CIQ(InputTicker, "IQ_FIN_DIV_ASSETS_LT",Input!M$2,Date,,,Ccy,Conv)</f>
        <v>0</v>
      </c>
      <c r="L305" s="4">
        <f>_xll.ciqfunctions.udf.CIQ(InputTicker, "IQ_FIN_DIV_ASSETS_LT",Input!N$2,Date,,,Ccy,Conv)</f>
        <v>0</v>
      </c>
      <c r="M305" s="4">
        <f>_xll.ciqfunctions.udf.CIQ(InputTicker, "IQ_FIN_DIV_ASSETS_LT",Input!O$2,Date,,,Ccy,Conv)</f>
        <v>0</v>
      </c>
      <c r="N305" s="46"/>
      <c r="T305" s="42"/>
      <c r="U305" s="42"/>
      <c r="V305" s="42"/>
      <c r="W305" s="42"/>
      <c r="X305" s="42"/>
      <c r="Y305" s="42"/>
      <c r="Z305" s="42"/>
      <c r="AA305" s="42"/>
      <c r="AB305" s="42"/>
      <c r="AC305" s="42"/>
      <c r="AD305" s="42"/>
      <c r="AE305" s="42"/>
      <c r="AF305" s="42"/>
      <c r="AG305" s="42"/>
      <c r="AH305" s="42"/>
      <c r="AI305" s="42"/>
      <c r="AJ305" s="42"/>
      <c r="AK305" s="42"/>
      <c r="AL305" s="42"/>
      <c r="AM305" s="42"/>
      <c r="AN305" s="42"/>
      <c r="AO305" s="42"/>
      <c r="AP305" s="42"/>
      <c r="AQ305" s="42"/>
      <c r="AR305" s="42"/>
      <c r="AS305" s="42"/>
      <c r="AT305" s="42"/>
      <c r="AU305" s="42"/>
      <c r="AV305" s="42"/>
      <c r="AW305" s="42"/>
      <c r="AX305" s="42"/>
      <c r="AY305" s="42"/>
      <c r="AZ305" s="42"/>
      <c r="BA305" s="42"/>
      <c r="BB305" s="42"/>
      <c r="BC305" s="42"/>
      <c r="BD305" s="42"/>
      <c r="BE305" s="42"/>
      <c r="BF305" s="42"/>
      <c r="BG305" s="42"/>
      <c r="BH305" s="42"/>
      <c r="BI305" s="42"/>
      <c r="BJ305" s="42"/>
      <c r="BK305" s="42"/>
      <c r="BL305" s="42"/>
      <c r="BM305" s="42"/>
      <c r="BN305" s="42"/>
    </row>
    <row r="306" spans="1:66" ht="12.75" customHeight="1" x14ac:dyDescent="0.2">
      <c r="A306" s="1" t="s">
        <v>179</v>
      </c>
      <c r="B306" s="4">
        <f>_xll.ciqfunctions.udf.CIQ(InputTicker, "IQ_AR_LT",Input!D$2,Date,,,Ccy,Conv)</f>
        <v>0</v>
      </c>
      <c r="C306" s="4">
        <f>_xll.ciqfunctions.udf.CIQ(InputTicker, "IQ_AR_LT",Input!E$2,Date,,,Ccy,Conv)</f>
        <v>1700</v>
      </c>
      <c r="D306" s="4">
        <f>_xll.ciqfunctions.udf.CIQ(InputTicker, "IQ_AR_LT",Input!F$2,Date,,,Ccy,Conv)</f>
        <v>1800</v>
      </c>
      <c r="E306" s="4">
        <f>_xll.ciqfunctions.udf.CIQ(InputTicker, "IQ_AR_LT",Input!G$2,Date,,,Ccy,Conv)</f>
        <v>2200</v>
      </c>
      <c r="F306" s="4">
        <f>_xll.ciqfunctions.udf.CIQ(InputTicker, "IQ_AR_LT",Input!H$2,Date,,,Ccy,Conv)</f>
        <v>2700</v>
      </c>
      <c r="G306" s="4">
        <f>_xll.ciqfunctions.udf.CIQ(InputTicker, "IQ_AR_LT",Input!I$2,Date,,,Ccy,Conv)</f>
        <v>3400</v>
      </c>
      <c r="H306" s="4">
        <f>_xll.ciqfunctions.udf.CIQ(InputTicker, "IQ_AR_LT",Input!J$2,Date,,,Ccy,Conv)</f>
        <v>3800</v>
      </c>
      <c r="I306" s="4">
        <f>_xll.ciqfunctions.udf.CIQ(InputTicker, "IQ_AR_LT",Input!K$2,Date,,,Ccy,Conv)</f>
        <v>4500</v>
      </c>
      <c r="J306" s="4">
        <f>_xll.ciqfunctions.udf.CIQ(InputTicker, "IQ_AR_LT",Input!L$2,Date,,,Ccy,Conv)</f>
        <v>4900</v>
      </c>
      <c r="K306" s="4">
        <f>_xll.ciqfunctions.udf.CIQ(InputTicker, "IQ_AR_LT",Input!M$2,Date,,,Ccy,Conv)</f>
        <v>5200</v>
      </c>
      <c r="L306" s="4">
        <f>_xll.ciqfunctions.udf.CIQ(InputTicker, "IQ_AR_LT",Input!N$2,Date,,,Ccy,Conv)</f>
        <v>5500</v>
      </c>
      <c r="M306" s="4">
        <f>_xll.ciqfunctions.udf.CIQ(InputTicker, "IQ_AR_LT",Input!O$2,Date,,,Ccy,Conv)</f>
        <v>5500</v>
      </c>
      <c r="N306" s="42"/>
      <c r="T306" s="42"/>
      <c r="U306" s="42"/>
      <c r="V306" s="42"/>
      <c r="W306" s="42"/>
      <c r="X306" s="42"/>
      <c r="Y306" s="42"/>
      <c r="Z306" s="42"/>
      <c r="AA306" s="42"/>
      <c r="AB306" s="42"/>
      <c r="AC306" s="42"/>
      <c r="AD306" s="42"/>
      <c r="AE306" s="42"/>
      <c r="AF306" s="42"/>
      <c r="AG306" s="42"/>
      <c r="AH306" s="42"/>
      <c r="AI306" s="42"/>
      <c r="AJ306" s="42"/>
      <c r="AK306" s="42"/>
      <c r="AL306" s="42"/>
      <c r="AM306" s="42"/>
      <c r="AN306" s="42"/>
      <c r="AO306" s="42"/>
      <c r="AP306" s="42"/>
      <c r="AQ306" s="42"/>
      <c r="AR306" s="42"/>
      <c r="AS306" s="42"/>
      <c r="AT306" s="42"/>
      <c r="AU306" s="42"/>
      <c r="AV306" s="42"/>
      <c r="AW306" s="42"/>
      <c r="AX306" s="42"/>
      <c r="AY306" s="42"/>
      <c r="AZ306" s="42"/>
      <c r="BA306" s="42"/>
      <c r="BB306" s="42"/>
      <c r="BC306" s="42"/>
      <c r="BD306" s="42"/>
      <c r="BE306" s="42"/>
      <c r="BF306" s="42"/>
      <c r="BG306" s="42"/>
      <c r="BH306" s="42"/>
      <c r="BI306" s="42"/>
      <c r="BJ306" s="42"/>
      <c r="BK306" s="42"/>
      <c r="BL306" s="42"/>
      <c r="BM306" s="42"/>
      <c r="BN306" s="42"/>
    </row>
    <row r="307" spans="1:66" ht="12.75" customHeight="1" x14ac:dyDescent="0.2">
      <c r="A307" s="1" t="s">
        <v>132</v>
      </c>
      <c r="B307" s="4">
        <f>_xll.ciqfunctions.udf.CIQ(InputTicker, "IQ_LOANS_RECEIV_LT",Input!D$2,Date,,,Ccy,Conv)</f>
        <v>0</v>
      </c>
      <c r="C307" s="4">
        <f>_xll.ciqfunctions.udf.CIQ(InputTicker, "IQ_LOANS_RECEIV_LT",Input!E$2,Date,,,Ccy,Conv)</f>
        <v>0</v>
      </c>
      <c r="D307" s="4">
        <f>_xll.ciqfunctions.udf.CIQ(InputTicker, "IQ_LOANS_RECEIV_LT",Input!F$2,Date,,,Ccy,Conv)</f>
        <v>0</v>
      </c>
      <c r="E307" s="4">
        <f>_xll.ciqfunctions.udf.CIQ(InputTicker, "IQ_LOANS_RECEIV_LT",Input!G$2,Date,,,Ccy,Conv)</f>
        <v>0</v>
      </c>
      <c r="F307" s="4">
        <f>_xll.ciqfunctions.udf.CIQ(InputTicker, "IQ_LOANS_RECEIV_LT",Input!H$2,Date,,,Ccy,Conv)</f>
        <v>0</v>
      </c>
      <c r="G307" s="4">
        <f>_xll.ciqfunctions.udf.CIQ(InputTicker, "IQ_LOANS_RECEIV_LT",Input!I$2,Date,,,Ccy,Conv)</f>
        <v>0</v>
      </c>
      <c r="H307" s="4">
        <f>_xll.ciqfunctions.udf.CIQ(InputTicker, "IQ_LOANS_RECEIV_LT",Input!J$2,Date,,,Ccy,Conv)</f>
        <v>0</v>
      </c>
      <c r="I307" s="4">
        <f>_xll.ciqfunctions.udf.CIQ(InputTicker, "IQ_LOANS_RECEIV_LT",Input!K$2,Date,,,Ccy,Conv)</f>
        <v>0</v>
      </c>
      <c r="J307" s="4">
        <f>_xll.ciqfunctions.udf.CIQ(InputTicker, "IQ_LOANS_RECEIV_LT",Input!L$2,Date,,,Ccy,Conv)</f>
        <v>0</v>
      </c>
      <c r="K307" s="4">
        <f>_xll.ciqfunctions.udf.CIQ(InputTicker, "IQ_LOANS_RECEIV_LT",Input!M$2,Date,,,Ccy,Conv)</f>
        <v>0</v>
      </c>
      <c r="L307" s="4">
        <f>_xll.ciqfunctions.udf.CIQ(InputTicker, "IQ_LOANS_RECEIV_LT",Input!N$2,Date,,,Ccy,Conv)</f>
        <v>0</v>
      </c>
      <c r="M307" s="4">
        <f>_xll.ciqfunctions.udf.CIQ(InputTicker, "IQ_LOANS_RECEIV_LT",Input!O$2,Date,,,Ccy,Conv)</f>
        <v>0</v>
      </c>
      <c r="N307" s="42"/>
      <c r="S307" s="46"/>
      <c r="T307" s="42"/>
      <c r="U307" s="42"/>
      <c r="V307" s="42"/>
      <c r="W307" s="42"/>
      <c r="X307" s="42"/>
      <c r="Y307" s="42"/>
      <c r="Z307" s="42"/>
      <c r="AA307" s="42"/>
      <c r="AB307" s="42"/>
      <c r="AC307" s="42"/>
      <c r="AD307" s="42"/>
      <c r="AE307" s="42"/>
      <c r="AF307" s="42"/>
      <c r="AG307" s="42"/>
      <c r="AH307" s="42"/>
      <c r="AI307" s="42"/>
      <c r="AJ307" s="42"/>
      <c r="AK307" s="42"/>
      <c r="AL307" s="42"/>
      <c r="AM307" s="42"/>
      <c r="AN307" s="42"/>
      <c r="AO307" s="42"/>
      <c r="AP307" s="42"/>
      <c r="AQ307" s="42"/>
      <c r="AR307" s="42"/>
      <c r="AS307" s="42"/>
      <c r="AT307" s="42"/>
      <c r="AU307" s="42"/>
      <c r="AV307" s="42"/>
      <c r="AW307" s="42"/>
      <c r="AX307" s="42"/>
      <c r="AY307" s="42"/>
      <c r="AZ307" s="42"/>
      <c r="BA307" s="42"/>
      <c r="BB307" s="42"/>
      <c r="BC307" s="42"/>
      <c r="BD307" s="42"/>
      <c r="BE307" s="42"/>
      <c r="BF307" s="42"/>
      <c r="BG307" s="42"/>
      <c r="BH307" s="42"/>
      <c r="BI307" s="42"/>
      <c r="BJ307" s="42"/>
      <c r="BK307" s="42"/>
      <c r="BL307" s="42"/>
      <c r="BM307" s="42"/>
      <c r="BN307" s="42"/>
    </row>
    <row r="308" spans="1:66" ht="12.75" customHeight="1" x14ac:dyDescent="0.2">
      <c r="A308" s="1" t="s">
        <v>133</v>
      </c>
      <c r="B308" s="4">
        <f>_xll.ciqfunctions.udf.CIQ(InputTicker, "IQ_DEF_TAX_ASSETS_LT",Input!D$2,Date,,,Ccy,Conv)</f>
        <v>219</v>
      </c>
      <c r="C308" s="4">
        <f>_xll.ciqfunctions.udf.CIQ(InputTicker, "IQ_DEF_TAX_ASSETS_LT",Input!E$2,Date,,,Ccy,Conv)</f>
        <v>248</v>
      </c>
      <c r="D308" s="4">
        <f>_xll.ciqfunctions.udf.CIQ(InputTicker, "IQ_DEF_TAX_ASSETS_LT",Input!F$2,Date,,,Ccy,Conv)</f>
        <v>1369</v>
      </c>
      <c r="E308" s="4">
        <f>_xll.ciqfunctions.udf.CIQ(InputTicker, "IQ_DEF_TAX_ASSETS_LT",Input!G$2,Date,,,Ccy,Conv)</f>
        <v>7536</v>
      </c>
      <c r="F308" s="4">
        <f>_xll.ciqfunctions.udf.CIQ(InputTicker, "IQ_DEF_TAX_ASSETS_LT",Input!H$2,Date,,,Ccy,Conv)</f>
        <v>6405</v>
      </c>
      <c r="G308" s="4">
        <f>_xll.ciqfunctions.udf.CIQ(InputTicker, "IQ_DEF_TAX_ASSETS_LT",Input!I$2,Date,,,Ccy,Conv)</f>
        <v>7181</v>
      </c>
      <c r="H308" s="4">
        <f>_xll.ciqfunctions.udf.CIQ(InputTicker, "IQ_DEF_TAX_ASSETS_LT",Input!J$2,Date,,,Ccy,Conv)</f>
        <v>13515</v>
      </c>
      <c r="I308" s="4">
        <f>_xll.ciqfunctions.udf.CIQ(InputTicker, "IQ_DEF_TAX_ASSETS_LT",Input!K$2,Date,,,Ccy,Conv)</f>
        <v>20163</v>
      </c>
      <c r="J308" s="4">
        <f>_xll.ciqfunctions.udf.CIQ(InputTicker, "IQ_DEF_TAX_ASSETS_LT",Input!L$2,Date,,,Ccy,Conv)</f>
        <v>22270</v>
      </c>
      <c r="K308" s="4">
        <f>_xll.ciqfunctions.udf.CIQ(InputTicker, "IQ_DEF_TAX_ASSETS_LT",Input!M$2,Date,,,Ccy,Conv)</f>
        <v>29108</v>
      </c>
      <c r="L308" s="4">
        <f>_xll.ciqfunctions.udf.CIQ(InputTicker, "IQ_DEF_TAX_ASSETS_LT",Input!N$2,Date,,,Ccy,Conv)</f>
        <v>15114</v>
      </c>
      <c r="M308" s="4">
        <f>_xll.ciqfunctions.udf.CIQ(InputTicker, "IQ_DEF_TAX_ASSETS_LT",Input!O$2,Date,,,Ccy,Conv)</f>
        <v>15114</v>
      </c>
      <c r="N308" s="46"/>
      <c r="T308" s="42"/>
      <c r="U308" s="42"/>
      <c r="V308" s="42"/>
      <c r="W308" s="42"/>
      <c r="X308" s="42"/>
      <c r="Y308" s="42"/>
      <c r="Z308" s="42"/>
      <c r="AA308" s="42"/>
      <c r="AB308" s="42"/>
      <c r="AC308" s="42"/>
      <c r="AD308" s="42"/>
      <c r="AE308" s="42"/>
      <c r="AF308" s="42"/>
      <c r="AG308" s="42"/>
      <c r="AH308" s="42"/>
      <c r="AI308" s="42"/>
      <c r="AJ308" s="42"/>
      <c r="AK308" s="42"/>
      <c r="AL308" s="42"/>
      <c r="AM308" s="42"/>
      <c r="AN308" s="42"/>
      <c r="AO308" s="42"/>
      <c r="AP308" s="42"/>
      <c r="AQ308" s="42"/>
      <c r="AR308" s="42"/>
      <c r="AS308" s="42"/>
      <c r="AT308" s="42"/>
      <c r="AU308" s="42"/>
      <c r="AV308" s="42"/>
      <c r="AW308" s="42"/>
      <c r="AX308" s="42"/>
      <c r="AY308" s="42"/>
      <c r="AZ308" s="42"/>
      <c r="BA308" s="42"/>
      <c r="BB308" s="42"/>
      <c r="BC308" s="42"/>
      <c r="BD308" s="42"/>
      <c r="BE308" s="42"/>
      <c r="BF308" s="42"/>
      <c r="BG308" s="42"/>
      <c r="BH308" s="42"/>
      <c r="BI308" s="42"/>
      <c r="BJ308" s="42"/>
      <c r="BK308" s="42"/>
      <c r="BL308" s="42"/>
      <c r="BM308" s="42"/>
      <c r="BN308" s="42"/>
    </row>
    <row r="309" spans="1:66" ht="12.75" customHeight="1" x14ac:dyDescent="0.2">
      <c r="A309" s="1" t="s">
        <v>180</v>
      </c>
      <c r="B309" s="4">
        <f>_xll.ciqfunctions.udf.CIQ(InputTicker, "IQ_DEF_CHARGES_LT",Input!D$2,Date,,,Ccy,Conv)</f>
        <v>0</v>
      </c>
      <c r="C309" s="4">
        <f>_xll.ciqfunctions.udf.CIQ(InputTicker, "IQ_DEF_CHARGES_LT",Input!E$2,Date,,,Ccy,Conv)</f>
        <v>0</v>
      </c>
      <c r="D309" s="4">
        <f>_xll.ciqfunctions.udf.CIQ(InputTicker, "IQ_DEF_CHARGES_LT",Input!F$2,Date,,,Ccy,Conv)</f>
        <v>0</v>
      </c>
      <c r="E309" s="4">
        <f>_xll.ciqfunctions.udf.CIQ(InputTicker, "IQ_DEF_CHARGES_LT",Input!G$2,Date,,,Ccy,Conv)</f>
        <v>0</v>
      </c>
      <c r="F309" s="4">
        <f>_xll.ciqfunctions.udf.CIQ(InputTicker, "IQ_DEF_CHARGES_LT",Input!H$2,Date,,,Ccy,Conv)</f>
        <v>0</v>
      </c>
      <c r="G309" s="4">
        <f>_xll.ciqfunctions.udf.CIQ(InputTicker, "IQ_DEF_CHARGES_LT",Input!I$2,Date,,,Ccy,Conv)</f>
        <v>0</v>
      </c>
      <c r="H309" s="4">
        <f>_xll.ciqfunctions.udf.CIQ(InputTicker, "IQ_DEF_CHARGES_LT",Input!J$2,Date,,,Ccy,Conv)</f>
        <v>0</v>
      </c>
      <c r="I309" s="4">
        <f>_xll.ciqfunctions.udf.CIQ(InputTicker, "IQ_DEF_CHARGES_LT",Input!K$2,Date,,,Ccy,Conv)</f>
        <v>0</v>
      </c>
      <c r="J309" s="4">
        <f>_xll.ciqfunctions.udf.CIQ(InputTicker, "IQ_DEF_CHARGES_LT",Input!L$2,Date,,,Ccy,Conv)</f>
        <v>0</v>
      </c>
      <c r="K309" s="4">
        <f>_xll.ciqfunctions.udf.CIQ(InputTicker, "IQ_DEF_CHARGES_LT",Input!M$2,Date,,,Ccy,Conv)</f>
        <v>0</v>
      </c>
      <c r="L309" s="4">
        <f>_xll.ciqfunctions.udf.CIQ(InputTicker, "IQ_DEF_CHARGES_LT",Input!N$2,Date,,,Ccy,Conv)</f>
        <v>0</v>
      </c>
      <c r="M309" s="4">
        <f>_xll.ciqfunctions.udf.CIQ(InputTicker, "IQ_DEF_CHARGES_LT",Input!O$2,Date,,,Ccy,Conv)</f>
        <v>0</v>
      </c>
      <c r="N309" s="42"/>
      <c r="S309" s="46"/>
      <c r="T309" s="46"/>
      <c r="U309" s="46"/>
      <c r="V309" s="42"/>
      <c r="W309" s="42"/>
      <c r="X309" s="42"/>
      <c r="Y309" s="42"/>
      <c r="Z309" s="42"/>
      <c r="AA309" s="42"/>
      <c r="AB309" s="42"/>
      <c r="AC309" s="42"/>
      <c r="AD309" s="42"/>
      <c r="AE309" s="42"/>
      <c r="AF309" s="42"/>
      <c r="AG309" s="42"/>
      <c r="AH309" s="42"/>
      <c r="AI309" s="42"/>
      <c r="AJ309" s="42"/>
      <c r="AK309" s="42"/>
      <c r="AL309" s="42"/>
      <c r="AM309" s="42"/>
      <c r="AN309" s="42"/>
      <c r="AO309" s="42"/>
      <c r="AP309" s="42"/>
      <c r="AQ309" s="42"/>
      <c r="AR309" s="42"/>
      <c r="AS309" s="42"/>
      <c r="AT309" s="42"/>
      <c r="AU309" s="42"/>
      <c r="AV309" s="42"/>
      <c r="AW309" s="42"/>
      <c r="AX309" s="42"/>
      <c r="AY309" s="42"/>
      <c r="AZ309" s="42"/>
      <c r="BA309" s="42"/>
      <c r="BB309" s="42"/>
      <c r="BC309" s="42"/>
      <c r="BD309" s="42"/>
      <c r="BE309" s="42"/>
      <c r="BF309" s="42"/>
      <c r="BG309" s="42"/>
      <c r="BH309" s="42"/>
      <c r="BI309" s="42"/>
      <c r="BJ309" s="42"/>
      <c r="BK309" s="42"/>
      <c r="BL309" s="42"/>
      <c r="BM309" s="42"/>
      <c r="BN309" s="42"/>
    </row>
    <row r="310" spans="1:66" ht="12.75" customHeight="1" x14ac:dyDescent="0.2">
      <c r="A310" s="1" t="s">
        <v>134</v>
      </c>
      <c r="B310" s="4">
        <f>_xll.ciqfunctions.udf.CIQ(InputTicker, "IQ_OTHER_LT_ASSETS",Input!D$2,Date,,,Ccy,Conv)</f>
        <v>3190</v>
      </c>
      <c r="C310" s="4">
        <f>_xll.ciqfunctions.udf.CIQ(InputTicker, "IQ_OTHER_LT_ASSETS",Input!E$2,Date,,,Ccy,Conv)</f>
        <v>4128</v>
      </c>
      <c r="D310" s="4">
        <f>_xll.ciqfunctions.udf.CIQ(InputTicker, "IQ_OTHER_LT_ASSETS",Input!F$2,Date,,,Ccy,Conv)</f>
        <v>4273</v>
      </c>
      <c r="E310" s="4">
        <f>_xll.ciqfunctions.udf.CIQ(InputTicker, "IQ_OTHER_LT_ASSETS",Input!G$2,Date,,,Ccy,Conv)</f>
        <v>4987</v>
      </c>
      <c r="F310" s="4">
        <f>_xll.ciqfunctions.udf.CIQ(InputTicker, "IQ_OTHER_LT_ASSETS",Input!H$2,Date,,,Ccy,Conv)</f>
        <v>4033</v>
      </c>
      <c r="G310" s="4">
        <f>_xll.ciqfunctions.udf.CIQ(InputTicker, "IQ_OTHER_LT_ASSETS",Input!I$2,Date,,,Ccy,Conv)</f>
        <v>4494</v>
      </c>
      <c r="H310" s="4">
        <f>_xll.ciqfunctions.udf.CIQ(InputTicker, "IQ_OTHER_LT_ASSETS",Input!J$2,Date,,,Ccy,Conv)</f>
        <v>4582</v>
      </c>
      <c r="I310" s="4">
        <f>_xll.ciqfunctions.udf.CIQ(InputTicker, "IQ_OTHER_LT_ASSETS",Input!K$2,Date,,,Ccy,Conv)</f>
        <v>5938</v>
      </c>
      <c r="J310" s="4">
        <f>_xll.ciqfunctions.udf.CIQ(InputTicker, "IQ_OTHER_LT_ASSETS",Input!L$2,Date,,,Ccy,Conv)</f>
        <v>9290</v>
      </c>
      <c r="K310" s="4">
        <f>_xll.ciqfunctions.udf.CIQ(InputTicker, "IQ_OTHER_LT_ASSETS",Input!M$2,Date,,,Ccy,Conv)</f>
        <v>6257</v>
      </c>
      <c r="L310" s="4">
        <f>_xll.ciqfunctions.udf.CIQ(InputTicker, "IQ_OTHER_LT_ASSETS",Input!N$2,Date,,,Ccy,Conv)</f>
        <v>18191</v>
      </c>
      <c r="M310" s="4">
        <f>_xll.ciqfunctions.udf.CIQ(InputTicker, "IQ_OTHER_LT_ASSETS",Input!O$2,Date,,,Ccy,Conv)</f>
        <v>18191</v>
      </c>
      <c r="N310" s="42"/>
      <c r="P310" s="46"/>
      <c r="Q310" s="46"/>
      <c r="R310" s="46"/>
      <c r="T310" s="42"/>
      <c r="U310" s="42"/>
      <c r="V310" s="46"/>
      <c r="W310" s="42"/>
      <c r="X310" s="42"/>
      <c r="Y310" s="42"/>
      <c r="Z310" s="42"/>
      <c r="AA310" s="42"/>
      <c r="AB310" s="42"/>
      <c r="AC310" s="42"/>
      <c r="AD310" s="42"/>
      <c r="AE310" s="42"/>
      <c r="AF310" s="42"/>
      <c r="AG310" s="42"/>
      <c r="AH310" s="42"/>
      <c r="AI310" s="42"/>
      <c r="AJ310" s="42"/>
      <c r="AK310" s="42"/>
      <c r="AL310" s="42"/>
      <c r="AM310" s="42"/>
      <c r="AN310" s="42"/>
      <c r="AO310" s="42"/>
      <c r="AP310" s="42"/>
      <c r="AQ310" s="42"/>
      <c r="AR310" s="42"/>
      <c r="AS310" s="42"/>
      <c r="AT310" s="42"/>
      <c r="AU310" s="42"/>
      <c r="AV310" s="42"/>
      <c r="AW310" s="42"/>
      <c r="AX310" s="42"/>
      <c r="AY310" s="42"/>
      <c r="AZ310" s="42"/>
      <c r="BA310" s="42"/>
      <c r="BB310" s="42"/>
      <c r="BC310" s="42"/>
      <c r="BD310" s="42"/>
      <c r="BE310" s="42"/>
      <c r="BF310" s="42"/>
      <c r="BG310" s="42"/>
      <c r="BH310" s="42"/>
      <c r="BI310" s="42"/>
      <c r="BJ310" s="42"/>
      <c r="BK310" s="42"/>
      <c r="BL310" s="42"/>
      <c r="BM310" s="42"/>
      <c r="BN310" s="42"/>
    </row>
    <row r="311" spans="1:66" ht="12.75" customHeight="1" thickBot="1" x14ac:dyDescent="0.25">
      <c r="A311" s="5" t="s">
        <v>267</v>
      </c>
      <c r="B311" s="9">
        <f>_xll.ciqfunctions.udf.CIQ(InputTicker, "IQ_TOTAL_ASSETS",Input!D$2,Date,,,Ccy,Conv)</f>
        <v>193468</v>
      </c>
      <c r="C311" s="9">
        <f>_xll.ciqfunctions.udf.CIQ(InputTicker, "IQ_TOTAL_ASSETS",Input!E$2,Date,,,Ccy,Conv)</f>
        <v>250312</v>
      </c>
      <c r="D311" s="9">
        <f>_xll.ciqfunctions.udf.CIQ(InputTicker, "IQ_TOTAL_ASSETS",Input!F$2,Date,,,Ccy,Conv)</f>
        <v>258848</v>
      </c>
      <c r="E311" s="9">
        <f>_xll.ciqfunctions.udf.CIQ(InputTicker, "IQ_TOTAL_ASSETS",Input!G$2,Date,,,Ccy,Conv)</f>
        <v>286556</v>
      </c>
      <c r="F311" s="9">
        <f>_xll.ciqfunctions.udf.CIQ(InputTicker, "IQ_TOTAL_ASSETS",Input!H$2,Date,,,Ccy,Conv)</f>
        <v>301311</v>
      </c>
      <c r="G311" s="9">
        <f>_xll.ciqfunctions.udf.CIQ(InputTicker, "IQ_TOTAL_ASSETS",Input!I$2,Date,,,Ccy,Conv)</f>
        <v>333779</v>
      </c>
      <c r="H311" s="9">
        <f>_xll.ciqfunctions.udf.CIQ(InputTicker, "IQ_TOTAL_ASSETS",Input!J$2,Date,,,Ccy,Conv)</f>
        <v>364840</v>
      </c>
      <c r="I311" s="9">
        <f>_xll.ciqfunctions.udf.CIQ(InputTicker, "IQ_TOTAL_ASSETS",Input!K$2,Date,,,Ccy,Conv)</f>
        <v>411976</v>
      </c>
      <c r="J311" s="9">
        <f>_xll.ciqfunctions.udf.CIQ(InputTicker, "IQ_TOTAL_ASSETS",Input!L$2,Date,,,Ccy,Conv)</f>
        <v>512163</v>
      </c>
      <c r="K311" s="9">
        <f>_xll.ciqfunctions.udf.CIQ(InputTicker, "IQ_TOTAL_ASSETS",Input!M$2,Date,,,Ccy,Conv)</f>
        <v>619003</v>
      </c>
      <c r="L311" s="9">
        <f>_xll.ciqfunctions.udf.CIQ(InputTicker, "IQ_TOTAL_ASSETS",Input!N$2,Date,,,Ccy,Conv)</f>
        <v>758376</v>
      </c>
      <c r="M311" s="9">
        <f>_xll.ciqfunctions.udf.CIQ(InputTicker, "IQ_TOTAL_ASSETS",Input!O$2,Date,,,Ccy,Conv)</f>
        <v>758376</v>
      </c>
      <c r="N311" s="42"/>
      <c r="T311" s="46"/>
      <c r="U311" s="46"/>
      <c r="V311" s="42"/>
      <c r="W311" s="42"/>
      <c r="X311" s="42"/>
      <c r="Y311" s="42"/>
      <c r="Z311" s="42"/>
      <c r="AA311" s="42"/>
      <c r="AB311" s="42"/>
      <c r="AC311" s="42"/>
      <c r="AD311" s="42"/>
      <c r="AE311" s="42"/>
      <c r="AF311" s="42"/>
      <c r="AG311" s="42"/>
      <c r="AH311" s="42"/>
      <c r="AI311" s="42"/>
      <c r="AJ311" s="42"/>
      <c r="AK311" s="42"/>
      <c r="AL311" s="42"/>
      <c r="AM311" s="42"/>
      <c r="AN311" s="42"/>
      <c r="AO311" s="42"/>
      <c r="AP311" s="42"/>
      <c r="AQ311" s="42"/>
      <c r="AR311" s="42"/>
      <c r="AS311" s="42"/>
      <c r="AT311" s="42"/>
      <c r="AU311" s="42"/>
      <c r="AV311" s="42"/>
      <c r="AW311" s="42"/>
      <c r="AX311" s="42"/>
      <c r="AY311" s="42"/>
      <c r="AZ311" s="42"/>
      <c r="BA311" s="42"/>
      <c r="BB311" s="42"/>
      <c r="BC311" s="42"/>
      <c r="BD311" s="42"/>
      <c r="BE311" s="42"/>
      <c r="BF311" s="42"/>
      <c r="BG311" s="42"/>
      <c r="BH311" s="42"/>
      <c r="BI311" s="42"/>
      <c r="BJ311" s="42"/>
      <c r="BK311" s="42"/>
      <c r="BL311" s="42"/>
      <c r="BM311" s="42"/>
      <c r="BN311" s="42"/>
    </row>
    <row r="312" spans="1:66" ht="12.75" customHeight="1" thickTop="1" x14ac:dyDescent="0.2">
      <c r="A312" s="1" t="s">
        <v>50</v>
      </c>
      <c r="B312" s="4">
        <f>_xll.ciqfunctions.udf.CIQ(InputTicker, "IQ_AP",Input!D$2,Date,,,Ccy,Conv)</f>
        <v>6898</v>
      </c>
      <c r="C312" s="4">
        <f>_xll.ciqfunctions.udf.CIQ(InputTicker, "IQ_AP",Input!E$2,Date,,,Ccy,Conv)</f>
        <v>7390</v>
      </c>
      <c r="D312" s="4">
        <f>_xll.ciqfunctions.udf.CIQ(InputTicker, "IQ_AP",Input!F$2,Date,,,Ccy,Conv)</f>
        <v>8617</v>
      </c>
      <c r="E312" s="4">
        <f>_xll.ciqfunctions.udf.CIQ(InputTicker, "IQ_AP",Input!G$2,Date,,,Ccy,Conv)</f>
        <v>9382</v>
      </c>
      <c r="F312" s="4">
        <f>_xll.ciqfunctions.udf.CIQ(InputTicker, "IQ_AP",Input!H$2,Date,,,Ccy,Conv)</f>
        <v>12530</v>
      </c>
      <c r="G312" s="4">
        <f>_xll.ciqfunctions.udf.CIQ(InputTicker, "IQ_AP",Input!I$2,Date,,,Ccy,Conv)</f>
        <v>15163</v>
      </c>
      <c r="H312" s="4">
        <f>_xll.ciqfunctions.udf.CIQ(InputTicker, "IQ_AP",Input!J$2,Date,,,Ccy,Conv)</f>
        <v>19000</v>
      </c>
      <c r="I312" s="4">
        <f>_xll.ciqfunctions.udf.CIQ(InputTicker, "IQ_AP",Input!K$2,Date,,,Ccy,Conv)</f>
        <v>18095</v>
      </c>
      <c r="J312" s="4">
        <f>_xll.ciqfunctions.udf.CIQ(InputTicker, "IQ_AP",Input!L$2,Date,,,Ccy,Conv)</f>
        <v>21996</v>
      </c>
      <c r="K312" s="4">
        <f>_xll.ciqfunctions.udf.CIQ(InputTicker, "IQ_AP",Input!M$2,Date,,,Ccy,Conv)</f>
        <v>27724</v>
      </c>
      <c r="L312" s="4">
        <f>_xll.ciqfunctions.udf.CIQ(InputTicker, "IQ_AP",Input!N$2,Date,,,Ccy,Conv)</f>
        <v>42416</v>
      </c>
      <c r="M312" s="4">
        <f>_xll.ciqfunctions.udf.CIQ(InputTicker, "IQ_AP",Input!O$2,Date,,,Ccy,Conv)</f>
        <v>42416</v>
      </c>
      <c r="N312" s="42"/>
      <c r="T312" s="42"/>
      <c r="U312" s="42"/>
      <c r="V312" s="42"/>
      <c r="W312" s="42"/>
      <c r="X312" s="42"/>
      <c r="Y312" s="42"/>
      <c r="Z312" s="42"/>
      <c r="AA312" s="42"/>
      <c r="AB312" s="42"/>
      <c r="AC312" s="42"/>
      <c r="AD312" s="42"/>
      <c r="AE312" s="42"/>
      <c r="AF312" s="42"/>
      <c r="AG312" s="42"/>
      <c r="AH312" s="42"/>
      <c r="AI312" s="42"/>
      <c r="AJ312" s="42"/>
      <c r="AK312" s="42"/>
      <c r="AL312" s="42"/>
      <c r="AM312" s="42"/>
      <c r="AN312" s="42"/>
      <c r="AO312" s="42"/>
      <c r="AP312" s="42"/>
      <c r="AQ312" s="42"/>
      <c r="AR312" s="42"/>
      <c r="AS312" s="42"/>
      <c r="AT312" s="42"/>
      <c r="AU312" s="42"/>
      <c r="AV312" s="42"/>
      <c r="AW312" s="42"/>
      <c r="AX312" s="42"/>
      <c r="AY312" s="42"/>
      <c r="AZ312" s="42"/>
      <c r="BA312" s="42"/>
      <c r="BB312" s="42"/>
      <c r="BC312" s="42"/>
      <c r="BD312" s="42"/>
      <c r="BE312" s="42"/>
      <c r="BF312" s="42"/>
      <c r="BG312" s="42"/>
      <c r="BH312" s="42"/>
      <c r="BI312" s="42"/>
      <c r="BJ312" s="42"/>
      <c r="BK312" s="42"/>
      <c r="BL312" s="42"/>
      <c r="BM312" s="42"/>
      <c r="BN312" s="42"/>
    </row>
    <row r="313" spans="1:66" ht="12.75" customHeight="1" x14ac:dyDescent="0.2">
      <c r="A313" s="1" t="s">
        <v>96</v>
      </c>
      <c r="B313" s="4">
        <f>_xll.ciqfunctions.udf.CIQ(InputTicker, "IQ_AE",Input!D$2,Date,,,Ccy,Conv)</f>
        <v>5264</v>
      </c>
      <c r="C313" s="4">
        <f>_xll.ciqfunctions.udf.CIQ(InputTicker, "IQ_AE",Input!E$2,Date,,,Ccy,Conv)</f>
        <v>5819</v>
      </c>
      <c r="D313" s="4">
        <f>_xll.ciqfunctions.udf.CIQ(InputTicker, "IQ_AE",Input!F$2,Date,,,Ccy,Conv)</f>
        <v>6103</v>
      </c>
      <c r="E313" s="4">
        <f>_xll.ciqfunctions.udf.CIQ(InputTicker, "IQ_AE",Input!G$2,Date,,,Ccy,Conv)</f>
        <v>6830</v>
      </c>
      <c r="F313" s="4">
        <f>_xll.ciqfunctions.udf.CIQ(InputTicker, "IQ_AE",Input!H$2,Date,,,Ccy,Conv)</f>
        <v>7874</v>
      </c>
      <c r="G313" s="4">
        <f>_xll.ciqfunctions.udf.CIQ(InputTicker, "IQ_AE",Input!I$2,Date,,,Ccy,Conv)</f>
        <v>10057</v>
      </c>
      <c r="H313" s="4">
        <f>_xll.ciqfunctions.udf.CIQ(InputTicker, "IQ_AE",Input!J$2,Date,,,Ccy,Conv)</f>
        <v>10661</v>
      </c>
      <c r="I313" s="4">
        <f>_xll.ciqfunctions.udf.CIQ(InputTicker, "IQ_AE",Input!K$2,Date,,,Ccy,Conv)</f>
        <v>11009</v>
      </c>
      <c r="J313" s="4">
        <f>_xll.ciqfunctions.udf.CIQ(InputTicker, "IQ_AE",Input!L$2,Date,,,Ccy,Conv)</f>
        <v>12564</v>
      </c>
      <c r="K313" s="4">
        <f>_xll.ciqfunctions.udf.CIQ(InputTicker, "IQ_AE",Input!M$2,Date,,,Ccy,Conv)</f>
        <v>13709</v>
      </c>
      <c r="L313" s="4">
        <f>_xll.ciqfunctions.udf.CIQ(InputTicker, "IQ_AE",Input!N$2,Date,,,Ccy,Conv)</f>
        <v>14945</v>
      </c>
      <c r="M313" s="4">
        <f>_xll.ciqfunctions.udf.CIQ(InputTicker, "IQ_AE",Input!O$2,Date,,,Ccy,Conv)</f>
        <v>14945</v>
      </c>
      <c r="N313" s="42"/>
      <c r="T313" s="17"/>
      <c r="U313" s="17"/>
      <c r="V313" s="42"/>
      <c r="W313" s="42"/>
      <c r="X313" s="42"/>
      <c r="Y313" s="42"/>
      <c r="Z313" s="42"/>
      <c r="AA313" s="42"/>
      <c r="AB313" s="42"/>
      <c r="AC313" s="42"/>
      <c r="AD313" s="42"/>
      <c r="AE313" s="42"/>
      <c r="AF313" s="42"/>
      <c r="AG313" s="42"/>
      <c r="AH313" s="42"/>
      <c r="AI313" s="42"/>
      <c r="AJ313" s="42"/>
      <c r="AK313" s="42"/>
      <c r="AL313" s="42"/>
      <c r="AM313" s="42"/>
      <c r="AN313" s="42"/>
      <c r="AO313" s="42"/>
      <c r="AP313" s="42"/>
      <c r="AQ313" s="42"/>
      <c r="AR313" s="42"/>
      <c r="AS313" s="42"/>
      <c r="AT313" s="42"/>
      <c r="AU313" s="42"/>
      <c r="AV313" s="42"/>
      <c r="AW313" s="42"/>
      <c r="AX313" s="42"/>
      <c r="AY313" s="42"/>
      <c r="AZ313" s="42"/>
      <c r="BA313" s="42"/>
      <c r="BB313" s="42"/>
      <c r="BC313" s="42"/>
      <c r="BD313" s="42"/>
      <c r="BE313" s="42"/>
      <c r="BF313" s="42"/>
      <c r="BG313" s="42"/>
      <c r="BH313" s="42"/>
      <c r="BI313" s="42"/>
      <c r="BJ313" s="42"/>
      <c r="BK313" s="42"/>
      <c r="BL313" s="42"/>
      <c r="BM313" s="42"/>
      <c r="BN313" s="42"/>
    </row>
    <row r="314" spans="1:66" ht="12.75" customHeight="1" x14ac:dyDescent="0.2">
      <c r="A314" s="1" t="s">
        <v>181</v>
      </c>
      <c r="B314" s="4">
        <f>_xll.ciqfunctions.udf.CIQ(InputTicker, "IQ_ST_DEBT",Input!D$2,Date,,,Ccy,Conv)</f>
        <v>13198</v>
      </c>
      <c r="C314" s="4">
        <f>_xll.ciqfunctions.udf.CIQ(InputTicker, "IQ_ST_DEBT",Input!E$2,Date,,,Ccy,Conv)</f>
        <v>9072</v>
      </c>
      <c r="D314" s="4">
        <f>_xll.ciqfunctions.udf.CIQ(InputTicker, "IQ_ST_DEBT",Input!F$2,Date,,,Ccy,Conv)</f>
        <v>0</v>
      </c>
      <c r="E314" s="4">
        <f>_xll.ciqfunctions.udf.CIQ(InputTicker, "IQ_ST_DEBT",Input!G$2,Date,,,Ccy,Conv)</f>
        <v>0</v>
      </c>
      <c r="F314" s="4">
        <f>_xll.ciqfunctions.udf.CIQ(InputTicker, "IQ_ST_DEBT",Input!H$2,Date,,,Ccy,Conv)</f>
        <v>0</v>
      </c>
      <c r="G314" s="4">
        <f>_xll.ciqfunctions.udf.CIQ(InputTicker, "IQ_ST_DEBT",Input!I$2,Date,,,Ccy,Conv)</f>
        <v>0</v>
      </c>
      <c r="H314" s="4">
        <f>_xll.ciqfunctions.udf.CIQ(InputTicker, "IQ_ST_DEBT",Input!J$2,Date,,,Ccy,Conv)</f>
        <v>0</v>
      </c>
      <c r="I314" s="4">
        <f>_xll.ciqfunctions.udf.CIQ(InputTicker, "IQ_ST_DEBT",Input!K$2,Date,,,Ccy,Conv)</f>
        <v>0</v>
      </c>
      <c r="J314" s="4">
        <f>_xll.ciqfunctions.udf.CIQ(InputTicker, "IQ_ST_DEBT",Input!L$2,Date,,,Ccy,Conv)</f>
        <v>6693</v>
      </c>
      <c r="K314" s="4">
        <f>_xll.ciqfunctions.udf.CIQ(InputTicker, "IQ_ST_DEBT",Input!M$2,Date,,,Ccy,Conv)</f>
        <v>0</v>
      </c>
      <c r="L314" s="4">
        <f>_xll.ciqfunctions.udf.CIQ(InputTicker, "IQ_ST_DEBT",Input!N$2,Date,,,Ccy,Conv)</f>
        <v>0</v>
      </c>
      <c r="M314" s="4">
        <f>_xll.ciqfunctions.udf.CIQ(InputTicker, "IQ_ST_DEBT",Input!O$2,Date,,,Ccy,Conv)</f>
        <v>0</v>
      </c>
      <c r="N314" s="42"/>
      <c r="T314" s="42"/>
      <c r="U314" s="42"/>
      <c r="V314" s="42"/>
      <c r="W314" s="42"/>
      <c r="X314" s="42"/>
      <c r="Y314" s="42"/>
      <c r="Z314" s="42"/>
      <c r="AA314" s="42"/>
      <c r="AB314" s="42"/>
      <c r="AC314" s="42"/>
      <c r="AD314" s="42"/>
      <c r="AE314" s="42"/>
      <c r="AF314" s="42"/>
      <c r="AG314" s="42"/>
      <c r="AH314" s="42"/>
      <c r="AI314" s="42"/>
      <c r="AJ314" s="42"/>
      <c r="AK314" s="42"/>
      <c r="AL314" s="42"/>
      <c r="AM314" s="42"/>
      <c r="AN314" s="42"/>
      <c r="AO314" s="42"/>
      <c r="AP314" s="42"/>
      <c r="AQ314" s="42"/>
      <c r="AR314" s="42"/>
      <c r="AS314" s="42"/>
      <c r="AT314" s="42"/>
      <c r="AU314" s="42"/>
      <c r="AV314" s="42"/>
      <c r="AW314" s="42"/>
      <c r="AX314" s="42"/>
      <c r="AY314" s="42"/>
      <c r="AZ314" s="42"/>
      <c r="BA314" s="42"/>
      <c r="BB314" s="42"/>
      <c r="BC314" s="42"/>
      <c r="BD314" s="42"/>
      <c r="BE314" s="42"/>
      <c r="BF314" s="42"/>
      <c r="BG314" s="42"/>
      <c r="BH314" s="42"/>
      <c r="BI314" s="42"/>
      <c r="BJ314" s="42"/>
      <c r="BK314" s="42"/>
      <c r="BL314" s="42"/>
      <c r="BM314" s="42"/>
      <c r="BN314" s="42"/>
    </row>
    <row r="315" spans="1:66" ht="12.75" customHeight="1" x14ac:dyDescent="0.2">
      <c r="A315" s="1" t="s">
        <v>182</v>
      </c>
      <c r="B315" s="4">
        <f>_xll.ciqfunctions.udf.CIQ(InputTicker, "IQ_CURRENT_PORT_DEBT",Input!D$2,Date,,,Ccy,Conv)</f>
        <v>0</v>
      </c>
      <c r="C315" s="4">
        <f>_xll.ciqfunctions.udf.CIQ(InputTicker, "IQ_CURRENT_PORT_DEBT",Input!E$2,Date,,,Ccy,Conv)</f>
        <v>1049</v>
      </c>
      <c r="D315" s="4">
        <f>_xll.ciqfunctions.udf.CIQ(InputTicker, "IQ_CURRENT_PORT_DEBT",Input!F$2,Date,,,Ccy,Conv)</f>
        <v>3998</v>
      </c>
      <c r="E315" s="4">
        <f>_xll.ciqfunctions.udf.CIQ(InputTicker, "IQ_CURRENT_PORT_DEBT",Input!G$2,Date,,,Ccy,Conv)</f>
        <v>5516</v>
      </c>
      <c r="F315" s="4">
        <f>_xll.ciqfunctions.udf.CIQ(InputTicker, "IQ_CURRENT_PORT_DEBT",Input!H$2,Date,,,Ccy,Conv)</f>
        <v>3749</v>
      </c>
      <c r="G315" s="4">
        <f>_xll.ciqfunctions.udf.CIQ(InputTicker, "IQ_CURRENT_PORT_DEBT",Input!I$2,Date,,,Ccy,Conv)</f>
        <v>8072</v>
      </c>
      <c r="H315" s="4">
        <f>_xll.ciqfunctions.udf.CIQ(InputTicker, "IQ_CURRENT_PORT_DEBT",Input!J$2,Date,,,Ccy,Conv)</f>
        <v>2749</v>
      </c>
      <c r="I315" s="4">
        <f>_xll.ciqfunctions.udf.CIQ(InputTicker, "IQ_CURRENT_PORT_DEBT",Input!K$2,Date,,,Ccy,Conv)</f>
        <v>5247</v>
      </c>
      <c r="J315" s="4">
        <f>_xll.ciqfunctions.udf.CIQ(InputTicker, "IQ_CURRENT_PORT_DEBT",Input!L$2,Date,,,Ccy,Conv)</f>
        <v>2249</v>
      </c>
      <c r="K315" s="4">
        <f>_xll.ciqfunctions.udf.CIQ(InputTicker, "IQ_CURRENT_PORT_DEBT",Input!M$2,Date,,,Ccy,Conv)</f>
        <v>2999</v>
      </c>
      <c r="L315" s="4">
        <f>_xll.ciqfunctions.udf.CIQ(InputTicker, "IQ_CURRENT_PORT_DEBT",Input!N$2,Date,,,Ccy,Conv)</f>
        <v>9227</v>
      </c>
      <c r="M315" s="4">
        <f>_xll.ciqfunctions.udf.CIQ(InputTicker, "IQ_CURRENT_PORT_DEBT",Input!O$2,Date,,,Ccy,Conv)</f>
        <v>9227</v>
      </c>
      <c r="N315" s="42"/>
      <c r="T315" s="46"/>
      <c r="U315" s="46"/>
      <c r="V315" s="42"/>
      <c r="W315" s="42"/>
      <c r="X315" s="42"/>
      <c r="Y315" s="42"/>
      <c r="Z315" s="42"/>
      <c r="AA315" s="42"/>
      <c r="AB315" s="42"/>
      <c r="AC315" s="42"/>
      <c r="AD315" s="42"/>
      <c r="AE315" s="42"/>
      <c r="AF315" s="42"/>
      <c r="AG315" s="42"/>
      <c r="AH315" s="42"/>
      <c r="AI315" s="42"/>
      <c r="AJ315" s="42"/>
      <c r="AK315" s="42"/>
      <c r="AL315" s="42"/>
      <c r="AM315" s="42"/>
      <c r="AN315" s="42"/>
      <c r="AO315" s="42"/>
      <c r="AP315" s="42"/>
      <c r="AQ315" s="42"/>
      <c r="AR315" s="42"/>
      <c r="AS315" s="42"/>
      <c r="AT315" s="42"/>
      <c r="AU315" s="42"/>
      <c r="AV315" s="42"/>
      <c r="AW315" s="42"/>
      <c r="AX315" s="42"/>
      <c r="AY315" s="42"/>
      <c r="AZ315" s="42"/>
      <c r="BA315" s="42"/>
      <c r="BB315" s="42"/>
      <c r="BC315" s="42"/>
      <c r="BD315" s="42"/>
      <c r="BE315" s="42"/>
      <c r="BF315" s="42"/>
      <c r="BG315" s="42"/>
      <c r="BH315" s="42"/>
      <c r="BI315" s="42"/>
      <c r="BJ315" s="42"/>
      <c r="BK315" s="42"/>
      <c r="BL315" s="42"/>
      <c r="BM315" s="42"/>
      <c r="BN315" s="42"/>
    </row>
    <row r="316" spans="1:66" ht="12.75" customHeight="1" x14ac:dyDescent="0.2">
      <c r="A316" s="1" t="s">
        <v>471</v>
      </c>
      <c r="B316" s="4">
        <f>_xll.ciqfunctions.udf.CIQ(InputTicker, "IQ_CURRENT_PORT_LEASES",Input!D$2,Date,,,Ccy,Conv)</f>
        <v>25</v>
      </c>
      <c r="C316" s="4">
        <f>_xll.ciqfunctions.udf.CIQ(InputTicker, "IQ_CURRENT_PORT_LEASES",Input!E$2,Date,,,Ccy,Conv)</f>
        <v>1536</v>
      </c>
      <c r="D316" s="4">
        <f>_xll.ciqfunctions.udf.CIQ(InputTicker, "IQ_CURRENT_PORT_LEASES",Input!F$2,Date,,,Ccy,Conv)</f>
        <v>1575</v>
      </c>
      <c r="E316" s="4">
        <f>_xll.ciqfunctions.udf.CIQ(InputTicker, "IQ_CURRENT_PORT_LEASES",Input!G$2,Date,,,Ccy,Conv)</f>
        <v>1832</v>
      </c>
      <c r="F316" s="4">
        <f>_xll.ciqfunctions.udf.CIQ(InputTicker, "IQ_CURRENT_PORT_LEASES",Input!H$2,Date,,,Ccy,Conv)</f>
        <v>2156</v>
      </c>
      <c r="G316" s="4">
        <f>_xll.ciqfunctions.udf.CIQ(InputTicker, "IQ_CURRENT_PORT_LEASES",Input!I$2,Date,,,Ccy,Conv)</f>
        <v>2753</v>
      </c>
      <c r="H316" s="4">
        <f>_xll.ciqfunctions.udf.CIQ(InputTicker, "IQ_CURRENT_PORT_LEASES",Input!J$2,Date,,,Ccy,Conv)</f>
        <v>3288</v>
      </c>
      <c r="I316" s="4">
        <f>_xll.ciqfunctions.udf.CIQ(InputTicker, "IQ_CURRENT_PORT_LEASES",Input!K$2,Date,,,Ccy,Conv)</f>
        <v>3606</v>
      </c>
      <c r="J316" s="4">
        <f>_xll.ciqfunctions.udf.CIQ(InputTicker, "IQ_CURRENT_PORT_LEASES",Input!L$2,Date,,,Ccy,Conv)</f>
        <v>5929</v>
      </c>
      <c r="K316" s="4">
        <f>_xll.ciqfunctions.udf.CIQ(InputTicker, "IQ_CURRENT_PORT_LEASES",Input!M$2,Date,,,Ccy,Conv)</f>
        <v>8596</v>
      </c>
      <c r="L316" s="4">
        <f>_xll.ciqfunctions.udf.CIQ(InputTicker, "IQ_CURRENT_PORT_LEASES",Input!N$2,Date,,,Ccy,Conv)</f>
        <v>9683</v>
      </c>
      <c r="M316" s="4">
        <f>_xll.ciqfunctions.udf.CIQ(InputTicker, "IQ_CURRENT_PORT_LEASES",Input!O$2,Date,,,Ccy,Conv)</f>
        <v>9683</v>
      </c>
      <c r="N316" s="42"/>
      <c r="S316" s="46"/>
      <c r="T316" s="42"/>
      <c r="U316" s="42"/>
      <c r="V316" s="42"/>
      <c r="W316" s="42"/>
      <c r="X316" s="42"/>
      <c r="Y316" s="42"/>
      <c r="Z316" s="42"/>
      <c r="AA316" s="42"/>
      <c r="AB316" s="42"/>
      <c r="AC316" s="42"/>
      <c r="AD316" s="42"/>
      <c r="AE316" s="42"/>
      <c r="AF316" s="42"/>
      <c r="AG316" s="42"/>
      <c r="AH316" s="42"/>
      <c r="AI316" s="42"/>
      <c r="AJ316" s="42"/>
      <c r="AK316" s="42"/>
      <c r="AL316" s="42"/>
      <c r="AM316" s="42"/>
      <c r="AN316" s="42"/>
      <c r="AO316" s="42"/>
      <c r="AP316" s="42"/>
      <c r="AQ316" s="42"/>
      <c r="AR316" s="42"/>
      <c r="AS316" s="42"/>
      <c r="AT316" s="42"/>
      <c r="AU316" s="42"/>
      <c r="AV316" s="42"/>
      <c r="AW316" s="42"/>
      <c r="AX316" s="42"/>
      <c r="AY316" s="42"/>
      <c r="AZ316" s="42"/>
      <c r="BA316" s="42"/>
      <c r="BB316" s="42"/>
      <c r="BC316" s="42"/>
      <c r="BD316" s="42"/>
      <c r="BE316" s="42"/>
      <c r="BF316" s="42"/>
      <c r="BG316" s="42"/>
      <c r="BH316" s="42"/>
      <c r="BI316" s="42"/>
      <c r="BJ316" s="42"/>
      <c r="BK316" s="42"/>
      <c r="BL316" s="42"/>
      <c r="BM316" s="42"/>
      <c r="BN316" s="42"/>
    </row>
    <row r="317" spans="1:66" ht="12.75" customHeight="1" x14ac:dyDescent="0.2">
      <c r="A317" s="1" t="s">
        <v>183</v>
      </c>
      <c r="B317" s="4">
        <f>_xll.ciqfunctions.udf.CIQ(InputTicker, "IQ_FIN_DIV_DEBT_CURRENT",Input!D$2,Date,,,Ccy,Conv)</f>
        <v>0</v>
      </c>
      <c r="C317" s="4">
        <f>_xll.ciqfunctions.udf.CIQ(InputTicker, "IQ_FIN_DIV_DEBT_CURRENT",Input!E$2,Date,,,Ccy,Conv)</f>
        <v>0</v>
      </c>
      <c r="D317" s="4">
        <f>_xll.ciqfunctions.udf.CIQ(InputTicker, "IQ_FIN_DIV_DEBT_CURRENT",Input!F$2,Date,,,Ccy,Conv)</f>
        <v>0</v>
      </c>
      <c r="E317" s="4">
        <f>_xll.ciqfunctions.udf.CIQ(InputTicker, "IQ_FIN_DIV_DEBT_CURRENT",Input!G$2,Date,,,Ccy,Conv)</f>
        <v>0</v>
      </c>
      <c r="F317" s="4">
        <f>_xll.ciqfunctions.udf.CIQ(InputTicker, "IQ_FIN_DIV_DEBT_CURRENT",Input!H$2,Date,,,Ccy,Conv)</f>
        <v>0</v>
      </c>
      <c r="G317" s="4">
        <f>_xll.ciqfunctions.udf.CIQ(InputTicker, "IQ_FIN_DIV_DEBT_CURRENT",Input!I$2,Date,,,Ccy,Conv)</f>
        <v>0</v>
      </c>
      <c r="H317" s="4">
        <f>_xll.ciqfunctions.udf.CIQ(InputTicker, "IQ_FIN_DIV_DEBT_CURRENT",Input!J$2,Date,,,Ccy,Conv)</f>
        <v>0</v>
      </c>
      <c r="I317" s="4">
        <f>_xll.ciqfunctions.udf.CIQ(InputTicker, "IQ_FIN_DIV_DEBT_CURRENT",Input!K$2,Date,,,Ccy,Conv)</f>
        <v>0</v>
      </c>
      <c r="J317" s="4">
        <f>_xll.ciqfunctions.udf.CIQ(InputTicker, "IQ_FIN_DIV_DEBT_CURRENT",Input!L$2,Date,,,Ccy,Conv)</f>
        <v>0</v>
      </c>
      <c r="K317" s="4">
        <f>_xll.ciqfunctions.udf.CIQ(InputTicker, "IQ_FIN_DIV_DEBT_CURRENT",Input!M$2,Date,,,Ccy,Conv)</f>
        <v>0</v>
      </c>
      <c r="L317" s="4">
        <f>_xll.ciqfunctions.udf.CIQ(InputTicker, "IQ_FIN_DIV_DEBT_CURRENT",Input!N$2,Date,,,Ccy,Conv)</f>
        <v>0</v>
      </c>
      <c r="M317" s="4">
        <f>_xll.ciqfunctions.udf.CIQ(InputTicker, "IQ_FIN_DIV_DEBT_CURRENT",Input!O$2,Date,,,Ccy,Conv)</f>
        <v>0</v>
      </c>
      <c r="N317" s="46"/>
      <c r="T317" s="42"/>
      <c r="U317" s="42"/>
      <c r="V317" s="42"/>
      <c r="W317" s="42"/>
      <c r="X317" s="42"/>
      <c r="Y317" s="42"/>
      <c r="Z317" s="42"/>
      <c r="AA317" s="42"/>
      <c r="AB317" s="42"/>
      <c r="AC317" s="42"/>
      <c r="AD317" s="42"/>
      <c r="AE317" s="42"/>
      <c r="AF317" s="42"/>
      <c r="AG317" s="42"/>
      <c r="AH317" s="42"/>
      <c r="AI317" s="42"/>
      <c r="AJ317" s="42"/>
      <c r="AK317" s="42"/>
      <c r="AL317" s="42"/>
      <c r="AM317" s="42"/>
      <c r="AN317" s="42"/>
      <c r="AO317" s="42"/>
      <c r="AP317" s="42"/>
      <c r="AQ317" s="42"/>
      <c r="AR317" s="42"/>
      <c r="AS317" s="42"/>
      <c r="AT317" s="42"/>
      <c r="AU317" s="42"/>
      <c r="AV317" s="42"/>
      <c r="AW317" s="42"/>
      <c r="AX317" s="42"/>
      <c r="AY317" s="42"/>
      <c r="AZ317" s="42"/>
      <c r="BA317" s="42"/>
      <c r="BB317" s="42"/>
      <c r="BC317" s="42"/>
      <c r="BD317" s="42"/>
      <c r="BE317" s="42"/>
      <c r="BF317" s="42"/>
      <c r="BG317" s="42"/>
      <c r="BH317" s="42"/>
      <c r="BI317" s="42"/>
      <c r="BJ317" s="42"/>
      <c r="BK317" s="42"/>
      <c r="BL317" s="42"/>
      <c r="BM317" s="42"/>
      <c r="BN317" s="42"/>
    </row>
    <row r="318" spans="1:66" ht="12.75" customHeight="1" x14ac:dyDescent="0.2">
      <c r="A318" s="1" t="s">
        <v>184</v>
      </c>
      <c r="B318" s="4">
        <f>_xll.ciqfunctions.udf.CIQ(InputTicker, "IQ_FIN_DIV_LIAB_CURRENT",Input!D$2,Date,,,Ccy,Conv)</f>
        <v>0</v>
      </c>
      <c r="C318" s="4">
        <f>_xll.ciqfunctions.udf.CIQ(InputTicker, "IQ_FIN_DIV_LIAB_CURRENT",Input!E$2,Date,,,Ccy,Conv)</f>
        <v>0</v>
      </c>
      <c r="D318" s="4">
        <f>_xll.ciqfunctions.udf.CIQ(InputTicker, "IQ_FIN_DIV_LIAB_CURRENT",Input!F$2,Date,,,Ccy,Conv)</f>
        <v>0</v>
      </c>
      <c r="E318" s="4">
        <f>_xll.ciqfunctions.udf.CIQ(InputTicker, "IQ_FIN_DIV_LIAB_CURRENT",Input!G$2,Date,,,Ccy,Conv)</f>
        <v>0</v>
      </c>
      <c r="F318" s="4">
        <f>_xll.ciqfunctions.udf.CIQ(InputTicker, "IQ_FIN_DIV_LIAB_CURRENT",Input!H$2,Date,,,Ccy,Conv)</f>
        <v>0</v>
      </c>
      <c r="G318" s="4">
        <f>_xll.ciqfunctions.udf.CIQ(InputTicker, "IQ_FIN_DIV_LIAB_CURRENT",Input!I$2,Date,,,Ccy,Conv)</f>
        <v>0</v>
      </c>
      <c r="H318" s="4">
        <f>_xll.ciqfunctions.udf.CIQ(InputTicker, "IQ_FIN_DIV_LIAB_CURRENT",Input!J$2,Date,,,Ccy,Conv)</f>
        <v>0</v>
      </c>
      <c r="I318" s="4">
        <f>_xll.ciqfunctions.udf.CIQ(InputTicker, "IQ_FIN_DIV_LIAB_CURRENT",Input!K$2,Date,,,Ccy,Conv)</f>
        <v>0</v>
      </c>
      <c r="J318" s="4">
        <f>_xll.ciqfunctions.udf.CIQ(InputTicker, "IQ_FIN_DIV_LIAB_CURRENT",Input!L$2,Date,,,Ccy,Conv)</f>
        <v>0</v>
      </c>
      <c r="K318" s="4">
        <f>_xll.ciqfunctions.udf.CIQ(InputTicker, "IQ_FIN_DIV_LIAB_CURRENT",Input!M$2,Date,,,Ccy,Conv)</f>
        <v>0</v>
      </c>
      <c r="L318" s="4">
        <f>_xll.ciqfunctions.udf.CIQ(InputTicker, "IQ_FIN_DIV_LIAB_CURRENT",Input!N$2,Date,,,Ccy,Conv)</f>
        <v>0</v>
      </c>
      <c r="M318" s="4">
        <f>_xll.ciqfunctions.udf.CIQ(InputTicker, "IQ_FIN_DIV_LIAB_CURRENT",Input!O$2,Date,,,Ccy,Conv)</f>
        <v>0</v>
      </c>
      <c r="N318" s="42"/>
      <c r="S318" s="46"/>
      <c r="T318" s="42"/>
      <c r="U318" s="42"/>
      <c r="V318" s="42"/>
      <c r="W318" s="42"/>
      <c r="X318" s="42"/>
      <c r="Y318" s="42"/>
      <c r="Z318" s="42"/>
      <c r="AA318" s="42"/>
      <c r="AB318" s="42"/>
      <c r="AC318" s="42"/>
      <c r="AD318" s="42"/>
      <c r="AE318" s="42"/>
      <c r="AF318" s="42"/>
      <c r="AG318" s="42"/>
      <c r="AH318" s="42"/>
      <c r="AI318" s="42"/>
      <c r="AJ318" s="42"/>
      <c r="AK318" s="42"/>
      <c r="AL318" s="42"/>
      <c r="AM318" s="42"/>
      <c r="AN318" s="42"/>
      <c r="AO318" s="42"/>
      <c r="AP318" s="42"/>
      <c r="AQ318" s="42"/>
      <c r="AR318" s="42"/>
      <c r="AS318" s="42"/>
      <c r="AT318" s="42"/>
      <c r="AU318" s="42"/>
      <c r="AV318" s="42"/>
      <c r="AW318" s="42"/>
      <c r="AX318" s="42"/>
      <c r="AY318" s="42"/>
      <c r="AZ318" s="42"/>
      <c r="BA318" s="42"/>
      <c r="BB318" s="42"/>
      <c r="BC318" s="42"/>
      <c r="BD318" s="42"/>
      <c r="BE318" s="42"/>
      <c r="BF318" s="42"/>
      <c r="BG318" s="42"/>
      <c r="BH318" s="42"/>
      <c r="BI318" s="42"/>
      <c r="BJ318" s="42"/>
      <c r="BK318" s="42"/>
      <c r="BL318" s="42"/>
      <c r="BM318" s="42"/>
      <c r="BN318" s="42"/>
    </row>
    <row r="319" spans="1:66" ht="12.75" customHeight="1" x14ac:dyDescent="0.2">
      <c r="A319" s="1" t="s">
        <v>185</v>
      </c>
      <c r="B319" s="4">
        <f>_xll.ciqfunctions.udf.CIQ(InputTicker, "IQ_INC_TAX_PAY_CURRENT",Input!D$2,Date,,,Ccy,Conv)</f>
        <v>580</v>
      </c>
      <c r="C319" s="4">
        <f>_xll.ciqfunctions.udf.CIQ(InputTicker, "IQ_INC_TAX_PAY_CURRENT",Input!E$2,Date,,,Ccy,Conv)</f>
        <v>718</v>
      </c>
      <c r="D319" s="4">
        <f>_xll.ciqfunctions.udf.CIQ(InputTicker, "IQ_INC_TAX_PAY_CURRENT",Input!F$2,Date,,,Ccy,Conv)</f>
        <v>2121</v>
      </c>
      <c r="E319" s="4">
        <f>_xll.ciqfunctions.udf.CIQ(InputTicker, "IQ_INC_TAX_PAY_CURRENT",Input!G$2,Date,,,Ccy,Conv)</f>
        <v>5665</v>
      </c>
      <c r="F319" s="4">
        <f>_xll.ciqfunctions.udf.CIQ(InputTicker, "IQ_INC_TAX_PAY_CURRENT",Input!H$2,Date,,,Ccy,Conv)</f>
        <v>2130</v>
      </c>
      <c r="G319" s="4">
        <f>_xll.ciqfunctions.udf.CIQ(InputTicker, "IQ_INC_TAX_PAY_CURRENT",Input!I$2,Date,,,Ccy,Conv)</f>
        <v>2174</v>
      </c>
      <c r="H319" s="4">
        <f>_xll.ciqfunctions.udf.CIQ(InputTicker, "IQ_INC_TAX_PAY_CURRENT",Input!J$2,Date,,,Ccy,Conv)</f>
        <v>4067</v>
      </c>
      <c r="I319" s="4">
        <f>_xll.ciqfunctions.udf.CIQ(InputTicker, "IQ_INC_TAX_PAY_CURRENT",Input!K$2,Date,,,Ccy,Conv)</f>
        <v>4152</v>
      </c>
      <c r="J319" s="4">
        <f>_xll.ciqfunctions.udf.CIQ(InputTicker, "IQ_INC_TAX_PAY_CURRENT",Input!L$2,Date,,,Ccy,Conv)</f>
        <v>5017</v>
      </c>
      <c r="K319" s="4">
        <f>_xll.ciqfunctions.udf.CIQ(InputTicker, "IQ_INC_TAX_PAY_CURRENT",Input!M$2,Date,,,Ccy,Conv)</f>
        <v>7211</v>
      </c>
      <c r="L319" s="4">
        <f>_xll.ciqfunctions.udf.CIQ(InputTicker, "IQ_INC_TAX_PAY_CURRENT",Input!N$2,Date,,,Ccy,Conv)</f>
        <v>2534</v>
      </c>
      <c r="M319" s="4">
        <f>_xll.ciqfunctions.udf.CIQ(InputTicker, "IQ_INC_TAX_PAY_CURRENT",Input!O$2,Date,,,Ccy,Conv)</f>
        <v>2534</v>
      </c>
      <c r="N319" s="46"/>
      <c r="P319" s="46"/>
      <c r="Q319" s="46"/>
      <c r="R319" s="46"/>
      <c r="T319" s="42"/>
      <c r="U319" s="42"/>
      <c r="V319" s="46"/>
      <c r="W319" s="42"/>
      <c r="X319" s="42"/>
      <c r="Y319" s="42"/>
      <c r="Z319" s="42"/>
      <c r="AA319" s="42"/>
      <c r="AB319" s="42"/>
      <c r="AC319" s="42"/>
      <c r="AD319" s="42"/>
      <c r="AE319" s="42"/>
      <c r="AF319" s="42"/>
      <c r="AG319" s="42"/>
      <c r="AH319" s="42"/>
      <c r="AI319" s="42"/>
      <c r="AJ319" s="42"/>
      <c r="AK319" s="42"/>
      <c r="AL319" s="42"/>
      <c r="AM319" s="42"/>
      <c r="AN319" s="42"/>
      <c r="AO319" s="42"/>
      <c r="AP319" s="42"/>
      <c r="AQ319" s="42"/>
      <c r="AR319" s="42"/>
      <c r="AS319" s="42"/>
      <c r="AT319" s="42"/>
      <c r="AU319" s="42"/>
      <c r="AV319" s="42"/>
      <c r="AW319" s="42"/>
      <c r="AX319" s="42"/>
      <c r="AY319" s="42"/>
      <c r="AZ319" s="42"/>
      <c r="BA319" s="42"/>
      <c r="BB319" s="42"/>
      <c r="BC319" s="42"/>
      <c r="BD319" s="42"/>
      <c r="BE319" s="42"/>
      <c r="BF319" s="42"/>
      <c r="BG319" s="42"/>
      <c r="BH319" s="42"/>
      <c r="BI319" s="42"/>
      <c r="BJ319" s="42"/>
      <c r="BK319" s="42"/>
      <c r="BL319" s="42"/>
      <c r="BM319" s="42"/>
      <c r="BN319" s="42"/>
    </row>
    <row r="320" spans="1:66" ht="12.75" customHeight="1" x14ac:dyDescent="0.2">
      <c r="A320" s="1" t="s">
        <v>135</v>
      </c>
      <c r="B320" s="4">
        <f>_xll.ciqfunctions.udf.CIQ(InputTicker, "IQ_UNEARN_REV_CURRENT",Input!D$2,Date,,,Ccy,Conv)</f>
        <v>27468</v>
      </c>
      <c r="C320" s="4">
        <f>_xll.ciqfunctions.udf.CIQ(InputTicker, "IQ_UNEARN_REV_CURRENT",Input!E$2,Date,,,Ccy,Conv)</f>
        <v>24013</v>
      </c>
      <c r="D320" s="4">
        <f>_xll.ciqfunctions.udf.CIQ(InputTicker, "IQ_UNEARN_REV_CURRENT",Input!F$2,Date,,,Ccy,Conv)</f>
        <v>28905</v>
      </c>
      <c r="E320" s="4">
        <f>_xll.ciqfunctions.udf.CIQ(InputTicker, "IQ_UNEARN_REV_CURRENT",Input!G$2,Date,,,Ccy,Conv)</f>
        <v>32676</v>
      </c>
      <c r="F320" s="4">
        <f>_xll.ciqfunctions.udf.CIQ(InputTicker, "IQ_UNEARN_REV_CURRENT",Input!H$2,Date,,,Ccy,Conv)</f>
        <v>36000</v>
      </c>
      <c r="G320" s="4">
        <f>_xll.ciqfunctions.udf.CIQ(InputTicker, "IQ_UNEARN_REV_CURRENT",Input!I$2,Date,,,Ccy,Conv)</f>
        <v>41525</v>
      </c>
      <c r="H320" s="4">
        <f>_xll.ciqfunctions.udf.CIQ(InputTicker, "IQ_UNEARN_REV_CURRENT",Input!J$2,Date,,,Ccy,Conv)</f>
        <v>45538</v>
      </c>
      <c r="I320" s="4">
        <f>_xll.ciqfunctions.udf.CIQ(InputTicker, "IQ_UNEARN_REV_CURRENT",Input!K$2,Date,,,Ccy,Conv)</f>
        <v>50901</v>
      </c>
      <c r="J320" s="4">
        <f>_xll.ciqfunctions.udf.CIQ(InputTicker, "IQ_UNEARN_REV_CURRENT",Input!L$2,Date,,,Ccy,Conv)</f>
        <v>57582</v>
      </c>
      <c r="K320" s="4">
        <f>_xll.ciqfunctions.udf.CIQ(InputTicker, "IQ_UNEARN_REV_CURRENT",Input!M$2,Date,,,Ccy,Conv)</f>
        <v>64555</v>
      </c>
      <c r="L320" s="4">
        <f>_xll.ciqfunctions.udf.CIQ(InputTicker, "IQ_UNEARN_REV_CURRENT",Input!N$2,Date,,,Ccy,Conv)</f>
        <v>72965</v>
      </c>
      <c r="M320" s="4">
        <f>_xll.ciqfunctions.udf.CIQ(InputTicker, "IQ_UNEARN_REV_CURRENT",Input!O$2,Date,,,Ccy,Conv)</f>
        <v>72965</v>
      </c>
      <c r="N320" s="42"/>
      <c r="T320" s="46"/>
      <c r="U320" s="46"/>
      <c r="V320" s="42"/>
      <c r="W320" s="42"/>
      <c r="X320" s="42"/>
      <c r="Y320" s="42"/>
      <c r="Z320" s="42"/>
      <c r="AA320" s="42"/>
      <c r="AB320" s="42"/>
      <c r="AC320" s="42"/>
      <c r="AD320" s="42"/>
      <c r="AE320" s="42"/>
      <c r="AF320" s="42"/>
      <c r="AG320" s="42"/>
      <c r="AH320" s="42"/>
      <c r="AI320" s="42"/>
      <c r="AJ320" s="42"/>
      <c r="AK320" s="42"/>
      <c r="AL320" s="42"/>
      <c r="AM320" s="42"/>
      <c r="AN320" s="42"/>
      <c r="AO320" s="42"/>
      <c r="AP320" s="42"/>
      <c r="AQ320" s="42"/>
      <c r="AR320" s="42"/>
      <c r="AS320" s="42"/>
      <c r="AT320" s="42"/>
      <c r="AU320" s="42"/>
      <c r="AV320" s="42"/>
      <c r="AW320" s="42"/>
      <c r="AX320" s="42"/>
      <c r="AY320" s="42"/>
      <c r="AZ320" s="42"/>
      <c r="BA320" s="42"/>
      <c r="BB320" s="42"/>
      <c r="BC320" s="42"/>
      <c r="BD320" s="42"/>
      <c r="BE320" s="42"/>
      <c r="BF320" s="42"/>
      <c r="BG320" s="42"/>
      <c r="BH320" s="42"/>
      <c r="BI320" s="42"/>
      <c r="BJ320" s="42"/>
      <c r="BK320" s="42"/>
      <c r="BL320" s="42"/>
      <c r="BM320" s="42"/>
      <c r="BN320" s="42"/>
    </row>
    <row r="321" spans="1:66" ht="12.75" customHeight="1" x14ac:dyDescent="0.2">
      <c r="A321" s="1" t="s">
        <v>186</v>
      </c>
      <c r="B321" s="4">
        <f>_xll.ciqfunctions.udf.CIQ(InputTicker, "IQ_DEF_TAX_LIAB_CURRENT",Input!D$2,Date,,,Ccy,Conv)</f>
        <v>0</v>
      </c>
      <c r="C321" s="4">
        <f>_xll.ciqfunctions.udf.CIQ(InputTicker, "IQ_DEF_TAX_LIAB_CURRENT",Input!E$2,Date,,,Ccy,Conv)</f>
        <v>0</v>
      </c>
      <c r="D321" s="4">
        <f>_xll.ciqfunctions.udf.CIQ(InputTicker, "IQ_DEF_TAX_LIAB_CURRENT",Input!F$2,Date,,,Ccy,Conv)</f>
        <v>0</v>
      </c>
      <c r="E321" s="4">
        <f>_xll.ciqfunctions.udf.CIQ(InputTicker, "IQ_DEF_TAX_LIAB_CURRENT",Input!G$2,Date,,,Ccy,Conv)</f>
        <v>0</v>
      </c>
      <c r="F321" s="4">
        <f>_xll.ciqfunctions.udf.CIQ(InputTicker, "IQ_DEF_TAX_LIAB_CURRENT",Input!H$2,Date,,,Ccy,Conv)</f>
        <v>0</v>
      </c>
      <c r="G321" s="4">
        <f>_xll.ciqfunctions.udf.CIQ(InputTicker, "IQ_DEF_TAX_LIAB_CURRENT",Input!I$2,Date,,,Ccy,Conv)</f>
        <v>0</v>
      </c>
      <c r="H321" s="4">
        <f>_xll.ciqfunctions.udf.CIQ(InputTicker, "IQ_DEF_TAX_LIAB_CURRENT",Input!J$2,Date,,,Ccy,Conv)</f>
        <v>0</v>
      </c>
      <c r="I321" s="4">
        <f>_xll.ciqfunctions.udf.CIQ(InputTicker, "IQ_DEF_TAX_LIAB_CURRENT",Input!K$2,Date,,,Ccy,Conv)</f>
        <v>0</v>
      </c>
      <c r="J321" s="4">
        <f>_xll.ciqfunctions.udf.CIQ(InputTicker, "IQ_DEF_TAX_LIAB_CURRENT",Input!L$2,Date,,,Ccy,Conv)</f>
        <v>0</v>
      </c>
      <c r="K321" s="4">
        <f>_xll.ciqfunctions.udf.CIQ(InputTicker, "IQ_DEF_TAX_LIAB_CURRENT",Input!M$2,Date,,,Ccy,Conv)</f>
        <v>0</v>
      </c>
      <c r="L321" s="4">
        <f>_xll.ciqfunctions.udf.CIQ(InputTicker, "IQ_DEF_TAX_LIAB_CURRENT",Input!N$2,Date,,,Ccy,Conv)</f>
        <v>0</v>
      </c>
      <c r="M321" s="4">
        <f>_xll.ciqfunctions.udf.CIQ(InputTicker, "IQ_DEF_TAX_LIAB_CURRENT",Input!O$2,Date,,,Ccy,Conv)</f>
        <v>0</v>
      </c>
      <c r="N321" s="42"/>
      <c r="S321" s="17"/>
      <c r="T321" s="46"/>
      <c r="U321" s="46"/>
      <c r="V321" s="42"/>
      <c r="W321" s="42"/>
      <c r="X321" s="42"/>
      <c r="Y321" s="42"/>
      <c r="Z321" s="42"/>
      <c r="AA321" s="42"/>
      <c r="AB321" s="42"/>
      <c r="AC321" s="42"/>
      <c r="AD321" s="42"/>
      <c r="AE321" s="42"/>
      <c r="AF321" s="42"/>
      <c r="AG321" s="42"/>
      <c r="AH321" s="42"/>
      <c r="AI321" s="42"/>
      <c r="AJ321" s="42"/>
      <c r="AK321" s="42"/>
      <c r="AL321" s="42"/>
      <c r="AM321" s="42"/>
      <c r="AN321" s="42"/>
      <c r="AO321" s="42"/>
      <c r="AP321" s="42"/>
      <c r="AQ321" s="42"/>
      <c r="AR321" s="42"/>
      <c r="AS321" s="42"/>
      <c r="AT321" s="42"/>
      <c r="AU321" s="42"/>
      <c r="AV321" s="42"/>
      <c r="AW321" s="42"/>
      <c r="AX321" s="42"/>
      <c r="AY321" s="42"/>
      <c r="AZ321" s="42"/>
      <c r="BA321" s="42"/>
      <c r="BB321" s="42"/>
      <c r="BC321" s="42"/>
      <c r="BD321" s="42"/>
      <c r="BE321" s="42"/>
      <c r="BF321" s="42"/>
      <c r="BG321" s="42"/>
      <c r="BH321" s="42"/>
      <c r="BI321" s="42"/>
      <c r="BJ321" s="42"/>
      <c r="BK321" s="42"/>
      <c r="BL321" s="42"/>
      <c r="BM321" s="42"/>
      <c r="BN321" s="42"/>
    </row>
    <row r="322" spans="1:66" ht="12.75" customHeight="1" x14ac:dyDescent="0.2">
      <c r="A322" s="1" t="s">
        <v>136</v>
      </c>
      <c r="B322" s="4">
        <f>_xll.ciqfunctions.udf.CIQ(InputTicker, "IQ_OTHER_CL_SUPPL",Input!D$2,Date,,,Ccy,Conv)</f>
        <v>5924</v>
      </c>
      <c r="C322" s="4">
        <f>_xll.ciqfunctions.udf.CIQ(InputTicker, "IQ_OTHER_CL_SUPPL",Input!E$2,Date,,,Ccy,Conv)</f>
        <v>6148</v>
      </c>
      <c r="D322" s="4">
        <f>_xll.ciqfunctions.udf.CIQ(InputTicker, "IQ_OTHER_CL_SUPPL",Input!F$2,Date,,,Ccy,Conv)</f>
        <v>7169</v>
      </c>
      <c r="E322" s="4">
        <f>_xll.ciqfunctions.udf.CIQ(InputTicker, "IQ_OTHER_CL_SUPPL",Input!G$2,Date,,,Ccy,Conv)</f>
        <v>7519</v>
      </c>
      <c r="F322" s="4">
        <f>_xll.ciqfunctions.udf.CIQ(InputTicker, "IQ_OTHER_CL_SUPPL",Input!H$2,Date,,,Ccy,Conv)</f>
        <v>7871</v>
      </c>
      <c r="G322" s="4">
        <f>_xll.ciqfunctions.udf.CIQ(InputTicker, "IQ_OTHER_CL_SUPPL",Input!I$2,Date,,,Ccy,Conv)</f>
        <v>8913</v>
      </c>
      <c r="H322" s="4">
        <f>_xll.ciqfunctions.udf.CIQ(InputTicker, "IQ_OTHER_CL_SUPPL",Input!J$2,Date,,,Ccy,Conv)</f>
        <v>9779</v>
      </c>
      <c r="I322" s="4">
        <f>_xll.ciqfunctions.udf.CIQ(InputTicker, "IQ_OTHER_CL_SUPPL",Input!K$2,Date,,,Ccy,Conv)</f>
        <v>11139</v>
      </c>
      <c r="J322" s="4">
        <f>_xll.ciqfunctions.udf.CIQ(InputTicker, "IQ_OTHER_CL_SUPPL",Input!L$2,Date,,,Ccy,Conv)</f>
        <v>13256</v>
      </c>
      <c r="K322" s="4">
        <f>_xll.ciqfunctions.udf.CIQ(InputTicker, "IQ_OTHER_CL_SUPPL",Input!M$2,Date,,,Ccy,Conv)</f>
        <v>16424</v>
      </c>
      <c r="L322" s="4">
        <f>_xll.ciqfunctions.udf.CIQ(InputTicker, "IQ_OTHER_CL_SUPPL",Input!N$2,Date,,,Ccy,Conv)</f>
        <v>17055</v>
      </c>
      <c r="M322" s="4">
        <f>_xll.ciqfunctions.udf.CIQ(InputTicker, "IQ_OTHER_CL_SUPPL",Input!O$2,Date,,,Ccy,Conv)</f>
        <v>17055</v>
      </c>
      <c r="N322" s="42"/>
      <c r="T322" s="46"/>
      <c r="U322" s="46"/>
      <c r="V322" s="42"/>
      <c r="W322" s="42"/>
      <c r="X322" s="42"/>
      <c r="Y322" s="42"/>
      <c r="Z322" s="42"/>
      <c r="AA322" s="42"/>
      <c r="AB322" s="42"/>
      <c r="AC322" s="42"/>
      <c r="AD322" s="42"/>
      <c r="AE322" s="42"/>
      <c r="AF322" s="42"/>
      <c r="AG322" s="42"/>
      <c r="AH322" s="42"/>
      <c r="AI322" s="42"/>
      <c r="AJ322" s="42"/>
      <c r="AK322" s="42"/>
      <c r="AL322" s="42"/>
      <c r="AM322" s="42"/>
      <c r="AN322" s="42"/>
      <c r="AO322" s="42"/>
      <c r="AP322" s="42"/>
      <c r="AQ322" s="42"/>
      <c r="AR322" s="42"/>
      <c r="AS322" s="42"/>
      <c r="AT322" s="42"/>
      <c r="AU322" s="42"/>
      <c r="AV322" s="42"/>
      <c r="AW322" s="42"/>
      <c r="AX322" s="42"/>
      <c r="AY322" s="42"/>
      <c r="AZ322" s="42"/>
      <c r="BA322" s="42"/>
      <c r="BB322" s="42"/>
      <c r="BC322" s="42"/>
      <c r="BD322" s="42"/>
      <c r="BE322" s="42"/>
      <c r="BF322" s="42"/>
      <c r="BG322" s="42"/>
      <c r="BH322" s="42"/>
      <c r="BI322" s="42"/>
      <c r="BJ322" s="42"/>
      <c r="BK322" s="42"/>
      <c r="BL322" s="42"/>
      <c r="BM322" s="42"/>
      <c r="BN322" s="42"/>
    </row>
    <row r="323" spans="1:66" ht="12.75" customHeight="1" x14ac:dyDescent="0.2">
      <c r="A323" s="5" t="s">
        <v>97</v>
      </c>
      <c r="B323" s="6">
        <f>_xll.ciqfunctions.udf.CIQ(InputTicker, "IQ_TOTAL_CL",Input!D$2,Date,,,Ccy,Conv)</f>
        <v>59357</v>
      </c>
      <c r="C323" s="6">
        <f>_xll.ciqfunctions.udf.CIQ(InputTicker, "IQ_TOTAL_CL",Input!E$2,Date,,,Ccy,Conv)</f>
        <v>55745</v>
      </c>
      <c r="D323" s="6">
        <f>_xll.ciqfunctions.udf.CIQ(InputTicker, "IQ_TOTAL_CL",Input!F$2,Date,,,Ccy,Conv)</f>
        <v>58488</v>
      </c>
      <c r="E323" s="6">
        <f>_xll.ciqfunctions.udf.CIQ(InputTicker, "IQ_TOTAL_CL",Input!G$2,Date,,,Ccy,Conv)</f>
        <v>69420</v>
      </c>
      <c r="F323" s="6">
        <f>_xll.ciqfunctions.udf.CIQ(InputTicker, "IQ_TOTAL_CL",Input!H$2,Date,,,Ccy,Conv)</f>
        <v>72310</v>
      </c>
      <c r="G323" s="6">
        <f>_xll.ciqfunctions.udf.CIQ(InputTicker, "IQ_TOTAL_CL",Input!I$2,Date,,,Ccy,Conv)</f>
        <v>88657</v>
      </c>
      <c r="H323" s="6">
        <f>_xll.ciqfunctions.udf.CIQ(InputTicker, "IQ_TOTAL_CL",Input!J$2,Date,,,Ccy,Conv)</f>
        <v>95082</v>
      </c>
      <c r="I323" s="6">
        <f>_xll.ciqfunctions.udf.CIQ(InputTicker, "IQ_TOTAL_CL",Input!K$2,Date,,,Ccy,Conv)</f>
        <v>104149</v>
      </c>
      <c r="J323" s="6">
        <f>_xll.ciqfunctions.udf.CIQ(InputTicker, "IQ_TOTAL_CL",Input!L$2,Date,,,Ccy,Conv)</f>
        <v>125286</v>
      </c>
      <c r="K323" s="6">
        <f>_xll.ciqfunctions.udf.CIQ(InputTicker, "IQ_TOTAL_CL",Input!M$2,Date,,,Ccy,Conv)</f>
        <v>141218</v>
      </c>
      <c r="L323" s="6">
        <f>_xll.ciqfunctions.udf.CIQ(InputTicker, "IQ_TOTAL_CL",Input!N$2,Date,,,Ccy,Conv)</f>
        <v>168825</v>
      </c>
      <c r="M323" s="6">
        <f>_xll.ciqfunctions.udf.CIQ(InputTicker, "IQ_TOTAL_CL",Input!O$2,Date,,,Ccy,Conv)</f>
        <v>168825</v>
      </c>
      <c r="N323" s="42"/>
      <c r="S323" s="46"/>
      <c r="T323" s="46"/>
      <c r="U323" s="46"/>
      <c r="V323" s="42"/>
      <c r="W323" s="42"/>
      <c r="X323" s="42"/>
      <c r="Y323" s="42"/>
      <c r="Z323" s="42"/>
      <c r="AA323" s="42"/>
      <c r="AB323" s="42"/>
      <c r="AC323" s="42"/>
      <c r="AD323" s="42"/>
      <c r="AE323" s="42"/>
      <c r="AF323" s="42"/>
      <c r="AG323" s="42"/>
      <c r="AH323" s="42"/>
      <c r="AI323" s="42"/>
      <c r="AJ323" s="42"/>
      <c r="AK323" s="42"/>
      <c r="AL323" s="42"/>
      <c r="AM323" s="42"/>
      <c r="AN323" s="42"/>
      <c r="AO323" s="42"/>
      <c r="AP323" s="42"/>
      <c r="AQ323" s="42"/>
      <c r="AR323" s="42"/>
      <c r="AS323" s="42"/>
      <c r="AT323" s="42"/>
      <c r="AU323" s="42"/>
      <c r="AV323" s="42"/>
      <c r="AW323" s="42"/>
      <c r="AX323" s="42"/>
      <c r="AY323" s="42"/>
      <c r="AZ323" s="42"/>
      <c r="BA323" s="42"/>
      <c r="BB323" s="42"/>
      <c r="BC323" s="42"/>
      <c r="BD323" s="42"/>
      <c r="BE323" s="42"/>
      <c r="BF323" s="42"/>
      <c r="BG323" s="42"/>
      <c r="BH323" s="42"/>
      <c r="BI323" s="42"/>
      <c r="BJ323" s="42"/>
      <c r="BK323" s="42"/>
      <c r="BL323" s="42"/>
      <c r="BM323" s="42"/>
      <c r="BN323" s="42"/>
    </row>
    <row r="324" spans="1:66" ht="12.75" customHeight="1" x14ac:dyDescent="0.2">
      <c r="A324" s="1" t="s">
        <v>187</v>
      </c>
      <c r="B324" s="4">
        <f>_xll.ciqfunctions.udf.CIQ(InputTicker, "IQ_LT_DEBT",Input!D$2,Date,,,Ccy,Conv)</f>
        <v>40557</v>
      </c>
      <c r="C324" s="4">
        <f>_xll.ciqfunctions.udf.CIQ(InputTicker, "IQ_LT_DEBT",Input!E$2,Date,,,Ccy,Conv)</f>
        <v>76073</v>
      </c>
      <c r="D324" s="4">
        <f>_xll.ciqfunctions.udf.CIQ(InputTicker, "IQ_LT_DEBT",Input!F$2,Date,,,Ccy,Conv)</f>
        <v>72242</v>
      </c>
      <c r="E324" s="4">
        <f>_xll.ciqfunctions.udf.CIQ(InputTicker, "IQ_LT_DEBT",Input!G$2,Date,,,Ccy,Conv)</f>
        <v>66662</v>
      </c>
      <c r="F324" s="4">
        <f>_xll.ciqfunctions.udf.CIQ(InputTicker, "IQ_LT_DEBT",Input!H$2,Date,,,Ccy,Conv)</f>
        <v>59578</v>
      </c>
      <c r="G324" s="4">
        <f>_xll.ciqfunctions.udf.CIQ(InputTicker, "IQ_LT_DEBT",Input!I$2,Date,,,Ccy,Conv)</f>
        <v>50074</v>
      </c>
      <c r="H324" s="4">
        <f>_xll.ciqfunctions.udf.CIQ(InputTicker, "IQ_LT_DEBT",Input!J$2,Date,,,Ccy,Conv)</f>
        <v>47032</v>
      </c>
      <c r="I324" s="4">
        <f>_xll.ciqfunctions.udf.CIQ(InputTicker, "IQ_LT_DEBT",Input!K$2,Date,,,Ccy,Conv)</f>
        <v>41990</v>
      </c>
      <c r="J324" s="4">
        <f>_xll.ciqfunctions.udf.CIQ(InputTicker, "IQ_LT_DEBT",Input!L$2,Date,,,Ccy,Conv)</f>
        <v>42688</v>
      </c>
      <c r="K324" s="4">
        <f>_xll.ciqfunctions.udf.CIQ(InputTicker, "IQ_LT_DEBT",Input!M$2,Date,,,Ccy,Conv)</f>
        <v>40152</v>
      </c>
      <c r="L324" s="4">
        <f>_xll.ciqfunctions.udf.CIQ(InputTicker, "IQ_LT_DEBT",Input!N$2,Date,,,Ccy,Conv)</f>
        <v>31067</v>
      </c>
      <c r="M324" s="4">
        <f>_xll.ciqfunctions.udf.CIQ(InputTicker, "IQ_LT_DEBT",Input!O$2,Date,,,Ccy,Conv)</f>
        <v>31067</v>
      </c>
      <c r="N324" s="42"/>
      <c r="T324" s="42"/>
      <c r="U324" s="42"/>
      <c r="V324" s="42"/>
      <c r="W324" s="42"/>
      <c r="X324" s="42"/>
      <c r="Y324" s="42"/>
      <c r="Z324" s="42"/>
      <c r="AA324" s="42"/>
      <c r="AB324" s="42"/>
      <c r="AC324" s="42"/>
      <c r="AD324" s="42"/>
      <c r="AE324" s="42"/>
      <c r="AF324" s="42"/>
      <c r="AG324" s="42"/>
      <c r="AH324" s="42"/>
      <c r="AI324" s="42"/>
      <c r="AJ324" s="42"/>
      <c r="AK324" s="42"/>
      <c r="AL324" s="42"/>
      <c r="AM324" s="42"/>
      <c r="AN324" s="42"/>
      <c r="AO324" s="42"/>
      <c r="AP324" s="42"/>
      <c r="AQ324" s="42"/>
      <c r="AR324" s="42"/>
      <c r="AS324" s="42"/>
      <c r="AT324" s="42"/>
      <c r="AU324" s="42"/>
      <c r="AV324" s="42"/>
      <c r="AW324" s="42"/>
      <c r="AX324" s="42"/>
      <c r="AY324" s="42"/>
      <c r="AZ324" s="42"/>
      <c r="BA324" s="42"/>
      <c r="BB324" s="42"/>
      <c r="BC324" s="42"/>
      <c r="BD324" s="42"/>
      <c r="BE324" s="42"/>
      <c r="BF324" s="42"/>
      <c r="BG324" s="42"/>
      <c r="BH324" s="42"/>
      <c r="BI324" s="42"/>
      <c r="BJ324" s="42"/>
      <c r="BK324" s="42"/>
      <c r="BL324" s="42"/>
      <c r="BM324" s="42"/>
      <c r="BN324" s="42"/>
    </row>
    <row r="325" spans="1:66" ht="12.75" customHeight="1" x14ac:dyDescent="0.2">
      <c r="A325" s="42" t="s">
        <v>472</v>
      </c>
      <c r="B325" s="4">
        <f>_xll.ciqfunctions.udf.CIQ(InputTicker, "IQ_LONG_TERM_LEASES",Input!D$2,Date,,,Ccy,Conv)</f>
        <v>761</v>
      </c>
      <c r="C325" s="4">
        <f>_xll.ciqfunctions.udf.CIQ(InputTicker, "IQ_LONG_TERM_LEASES",Input!E$2,Date,,,Ccy,Conv)</f>
        <v>7797</v>
      </c>
      <c r="D325" s="4">
        <f>_xll.ciqfunctions.udf.CIQ(InputTicker, "IQ_LONG_TERM_LEASES",Input!F$2,Date,,,Ccy,Conv)</f>
        <v>9693</v>
      </c>
      <c r="E325" s="4">
        <f>_xll.ciqfunctions.udf.CIQ(InputTicker, "IQ_LONG_TERM_LEASES",Input!G$2,Date,,,Ccy,Conv)</f>
        <v>12445</v>
      </c>
      <c r="F325" s="4">
        <f>_xll.ciqfunctions.udf.CIQ(InputTicker, "IQ_LONG_TERM_LEASES",Input!H$2,Date,,,Ccy,Conv)</f>
        <v>16627</v>
      </c>
      <c r="G325" s="4">
        <f>_xll.ciqfunctions.udf.CIQ(InputTicker, "IQ_LONG_TERM_LEASES",Input!I$2,Date,,,Ccy,Conv)</f>
        <v>21379</v>
      </c>
      <c r="H325" s="4">
        <f>_xll.ciqfunctions.udf.CIQ(InputTicker, "IQ_LONG_TERM_LEASES",Input!J$2,Date,,,Ccy,Conv)</f>
        <v>25331</v>
      </c>
      <c r="I325" s="4">
        <f>_xll.ciqfunctions.udf.CIQ(InputTicker, "IQ_LONG_TERM_LEASES",Input!K$2,Date,,,Ccy,Conv)</f>
        <v>28598</v>
      </c>
      <c r="J325" s="4">
        <f>_xll.ciqfunctions.udf.CIQ(InputTicker, "IQ_LONG_TERM_LEASES",Input!L$2,Date,,,Ccy,Conv)</f>
        <v>40293</v>
      </c>
      <c r="K325" s="4">
        <f>_xll.ciqfunctions.udf.CIQ(InputTicker, "IQ_LONG_TERM_LEASES",Input!M$2,Date,,,Ccy,Conv)</f>
        <v>60437</v>
      </c>
      <c r="L325" s="4">
        <f>_xll.ciqfunctions.udf.CIQ(InputTicker, "IQ_LONG_TERM_LEASES",Input!N$2,Date,,,Ccy,Conv)</f>
        <v>78836</v>
      </c>
      <c r="M325" s="4">
        <f>_xll.ciqfunctions.udf.CIQ(InputTicker, "IQ_LONG_TERM_LEASES",Input!O$2,Date,,,Ccy,Conv)</f>
        <v>78836</v>
      </c>
      <c r="N325" s="42"/>
      <c r="P325" s="46"/>
      <c r="Q325" s="46"/>
      <c r="R325" s="46"/>
      <c r="T325" s="42"/>
      <c r="U325" s="42"/>
      <c r="V325" s="46"/>
      <c r="W325" s="42"/>
      <c r="X325" s="42"/>
      <c r="Y325" s="42"/>
      <c r="Z325" s="42"/>
      <c r="AA325" s="42"/>
      <c r="AB325" s="42"/>
      <c r="AC325" s="42"/>
      <c r="AD325" s="42"/>
      <c r="AE325" s="42"/>
      <c r="AF325" s="42"/>
      <c r="AG325" s="42"/>
      <c r="AH325" s="42"/>
      <c r="AI325" s="42"/>
      <c r="AJ325" s="42"/>
      <c r="AK325" s="42"/>
      <c r="AL325" s="42"/>
      <c r="AM325" s="42"/>
      <c r="AN325" s="42"/>
      <c r="AO325" s="42"/>
      <c r="AP325" s="42"/>
      <c r="AQ325" s="42"/>
      <c r="AR325" s="42"/>
      <c r="AS325" s="42"/>
      <c r="AT325" s="42"/>
      <c r="AU325" s="42"/>
      <c r="AV325" s="42"/>
      <c r="AW325" s="42"/>
      <c r="AX325" s="42"/>
      <c r="AY325" s="42"/>
      <c r="AZ325" s="42"/>
      <c r="BA325" s="42"/>
      <c r="BB325" s="42"/>
      <c r="BC325" s="42"/>
      <c r="BD325" s="42"/>
      <c r="BE325" s="42"/>
      <c r="BF325" s="42"/>
      <c r="BG325" s="42"/>
      <c r="BH325" s="42"/>
      <c r="BI325" s="42"/>
      <c r="BJ325" s="42"/>
      <c r="BK325" s="42"/>
      <c r="BL325" s="42"/>
      <c r="BM325" s="42"/>
      <c r="BN325" s="42"/>
    </row>
    <row r="326" spans="1:66" ht="12.75" customHeight="1" x14ac:dyDescent="0.2">
      <c r="A326" s="42" t="s">
        <v>189</v>
      </c>
      <c r="B326" s="4">
        <f>_xll.ciqfunctions.udf.CIQ(InputTicker, "IQ_FIN_DIV_DEBT_LT",Input!D$2,Date,,,Ccy,Conv)</f>
        <v>0</v>
      </c>
      <c r="C326" s="4">
        <f>_xll.ciqfunctions.udf.CIQ(InputTicker, "IQ_FIN_DIV_DEBT_LT",Input!E$2,Date,,,Ccy,Conv)</f>
        <v>0</v>
      </c>
      <c r="D326" s="4">
        <f>_xll.ciqfunctions.udf.CIQ(InputTicker, "IQ_FIN_DIV_DEBT_LT",Input!F$2,Date,,,Ccy,Conv)</f>
        <v>0</v>
      </c>
      <c r="E326" s="4">
        <f>_xll.ciqfunctions.udf.CIQ(InputTicker, "IQ_FIN_DIV_DEBT_LT",Input!G$2,Date,,,Ccy,Conv)</f>
        <v>0</v>
      </c>
      <c r="F326" s="4">
        <f>_xll.ciqfunctions.udf.CIQ(InputTicker, "IQ_FIN_DIV_DEBT_LT",Input!H$2,Date,,,Ccy,Conv)</f>
        <v>0</v>
      </c>
      <c r="G326" s="4">
        <f>_xll.ciqfunctions.udf.CIQ(InputTicker, "IQ_FIN_DIV_DEBT_LT",Input!I$2,Date,,,Ccy,Conv)</f>
        <v>0</v>
      </c>
      <c r="H326" s="4">
        <f>_xll.ciqfunctions.udf.CIQ(InputTicker, "IQ_FIN_DIV_DEBT_LT",Input!J$2,Date,,,Ccy,Conv)</f>
        <v>0</v>
      </c>
      <c r="I326" s="4">
        <f>_xll.ciqfunctions.udf.CIQ(InputTicker, "IQ_FIN_DIV_DEBT_LT",Input!K$2,Date,,,Ccy,Conv)</f>
        <v>0</v>
      </c>
      <c r="J326" s="4">
        <f>_xll.ciqfunctions.udf.CIQ(InputTicker, "IQ_FIN_DIV_DEBT_LT",Input!L$2,Date,,,Ccy,Conv)</f>
        <v>0</v>
      </c>
      <c r="K326" s="4">
        <f>_xll.ciqfunctions.udf.CIQ(InputTicker, "IQ_FIN_DIV_DEBT_LT",Input!M$2,Date,,,Ccy,Conv)</f>
        <v>0</v>
      </c>
      <c r="L326" s="4">
        <f>_xll.ciqfunctions.udf.CIQ(InputTicker, "IQ_FIN_DIV_DEBT_LT",Input!N$2,Date,,,Ccy,Conv)</f>
        <v>0</v>
      </c>
      <c r="M326" s="4">
        <f>_xll.ciqfunctions.udf.CIQ(InputTicker, "IQ_FIN_DIV_DEBT_LT",Input!O$2,Date,,,Ccy,Conv)</f>
        <v>0</v>
      </c>
      <c r="N326" s="46"/>
      <c r="T326" s="42"/>
      <c r="U326" s="42"/>
      <c r="V326" s="42"/>
      <c r="W326" s="42"/>
      <c r="X326" s="42"/>
      <c r="Y326" s="42"/>
      <c r="Z326" s="42"/>
      <c r="AA326" s="42"/>
      <c r="AB326" s="42"/>
      <c r="AC326" s="42"/>
      <c r="AD326" s="42"/>
      <c r="AE326" s="42"/>
      <c r="AF326" s="42"/>
      <c r="AG326" s="42"/>
      <c r="AH326" s="42"/>
      <c r="AI326" s="42"/>
      <c r="AJ326" s="42"/>
      <c r="AK326" s="42"/>
      <c r="AL326" s="42"/>
      <c r="AM326" s="42"/>
      <c r="AN326" s="42"/>
      <c r="AO326" s="42"/>
      <c r="AP326" s="42"/>
      <c r="AQ326" s="42"/>
      <c r="AR326" s="42"/>
      <c r="AS326" s="42"/>
      <c r="AT326" s="42"/>
      <c r="AU326" s="42"/>
      <c r="AV326" s="42"/>
      <c r="AW326" s="42"/>
      <c r="AX326" s="42"/>
      <c r="AY326" s="42"/>
      <c r="AZ326" s="42"/>
      <c r="BA326" s="42"/>
      <c r="BB326" s="42"/>
      <c r="BC326" s="42"/>
      <c r="BD326" s="42"/>
      <c r="BE326" s="42"/>
      <c r="BF326" s="42"/>
      <c r="BG326" s="42"/>
      <c r="BH326" s="42"/>
      <c r="BI326" s="42"/>
      <c r="BJ326" s="42"/>
      <c r="BK326" s="42"/>
      <c r="BL326" s="42"/>
      <c r="BM326" s="42"/>
      <c r="BN326" s="42"/>
    </row>
    <row r="327" spans="1:66" ht="12.75" customHeight="1" x14ac:dyDescent="0.2">
      <c r="A327" s="42" t="s">
        <v>190</v>
      </c>
      <c r="B327" s="4">
        <f>_xll.ciqfunctions.udf.CIQ(InputTicker, "IQ_FIN_DIV_LIAB_LT",Input!D$2,Date,,,Ccy,Conv)</f>
        <v>0</v>
      </c>
      <c r="C327" s="4">
        <f>_xll.ciqfunctions.udf.CIQ(InputTicker, "IQ_FIN_DIV_LIAB_LT",Input!E$2,Date,,,Ccy,Conv)</f>
        <v>0</v>
      </c>
      <c r="D327" s="4">
        <f>_xll.ciqfunctions.udf.CIQ(InputTicker, "IQ_FIN_DIV_LIAB_LT",Input!F$2,Date,,,Ccy,Conv)</f>
        <v>0</v>
      </c>
      <c r="E327" s="4">
        <f>_xll.ciqfunctions.udf.CIQ(InputTicker, "IQ_FIN_DIV_LIAB_LT",Input!G$2,Date,,,Ccy,Conv)</f>
        <v>0</v>
      </c>
      <c r="F327" s="4">
        <f>_xll.ciqfunctions.udf.CIQ(InputTicker, "IQ_FIN_DIV_LIAB_LT",Input!H$2,Date,,,Ccy,Conv)</f>
        <v>0</v>
      </c>
      <c r="G327" s="4">
        <f>_xll.ciqfunctions.udf.CIQ(InputTicker, "IQ_FIN_DIV_LIAB_LT",Input!I$2,Date,,,Ccy,Conv)</f>
        <v>0</v>
      </c>
      <c r="H327" s="4">
        <f>_xll.ciqfunctions.udf.CIQ(InputTicker, "IQ_FIN_DIV_LIAB_LT",Input!J$2,Date,,,Ccy,Conv)</f>
        <v>0</v>
      </c>
      <c r="I327" s="4">
        <f>_xll.ciqfunctions.udf.CIQ(InputTicker, "IQ_FIN_DIV_LIAB_LT",Input!K$2,Date,,,Ccy,Conv)</f>
        <v>0</v>
      </c>
      <c r="J327" s="4">
        <f>_xll.ciqfunctions.udf.CIQ(InputTicker, "IQ_FIN_DIV_LIAB_LT",Input!L$2,Date,,,Ccy,Conv)</f>
        <v>0</v>
      </c>
      <c r="K327" s="4">
        <f>_xll.ciqfunctions.udf.CIQ(InputTicker, "IQ_FIN_DIV_LIAB_LT",Input!M$2,Date,,,Ccy,Conv)</f>
        <v>0</v>
      </c>
      <c r="L327" s="4">
        <f>_xll.ciqfunctions.udf.CIQ(InputTicker, "IQ_FIN_DIV_LIAB_LT",Input!N$2,Date,,,Ccy,Conv)</f>
        <v>0</v>
      </c>
      <c r="M327" s="4">
        <f>_xll.ciqfunctions.udf.CIQ(InputTicker, "IQ_FIN_DIV_LIAB_LT",Input!O$2,Date,,,Ccy,Conv)</f>
        <v>0</v>
      </c>
      <c r="N327" s="42"/>
      <c r="S327" s="46"/>
      <c r="T327" s="42"/>
      <c r="U327" s="42"/>
      <c r="V327" s="42"/>
      <c r="W327" s="42"/>
      <c r="X327" s="42"/>
      <c r="Y327" s="42"/>
      <c r="Z327" s="42"/>
      <c r="AA327" s="42"/>
      <c r="AB327" s="42"/>
      <c r="AC327" s="42"/>
      <c r="AD327" s="42"/>
      <c r="AE327" s="42"/>
      <c r="AF327" s="42"/>
      <c r="AG327" s="42"/>
      <c r="AH327" s="42"/>
      <c r="AI327" s="42"/>
      <c r="AJ327" s="42"/>
      <c r="AK327" s="42"/>
      <c r="AL327" s="42"/>
      <c r="AM327" s="42"/>
      <c r="AN327" s="42"/>
      <c r="AO327" s="42"/>
      <c r="AP327" s="42"/>
      <c r="AQ327" s="42"/>
      <c r="AR327" s="42"/>
      <c r="AS327" s="42"/>
      <c r="AT327" s="42"/>
      <c r="AU327" s="42"/>
      <c r="AV327" s="42"/>
      <c r="AW327" s="42"/>
      <c r="AX327" s="42"/>
      <c r="AY327" s="42"/>
      <c r="AZ327" s="42"/>
      <c r="BA327" s="42"/>
      <c r="BB327" s="42"/>
      <c r="BC327" s="42"/>
      <c r="BD327" s="42"/>
      <c r="BE327" s="42"/>
      <c r="BF327" s="42"/>
      <c r="BG327" s="42"/>
      <c r="BH327" s="42"/>
      <c r="BI327" s="42"/>
      <c r="BJ327" s="42"/>
      <c r="BK327" s="42"/>
      <c r="BL327" s="42"/>
      <c r="BM327" s="42"/>
      <c r="BN327" s="42"/>
    </row>
    <row r="328" spans="1:66" ht="12.75" customHeight="1" x14ac:dyDescent="0.2">
      <c r="A328" s="42" t="s">
        <v>191</v>
      </c>
      <c r="B328" s="4">
        <f>_xll.ciqfunctions.udf.CIQ(InputTicker, "IQ_UNEARN_REV_LT",Input!D$2,Date,,,Ccy,Conv)</f>
        <v>6441</v>
      </c>
      <c r="C328" s="4">
        <f>_xll.ciqfunctions.udf.CIQ(InputTicker, "IQ_UNEARN_REV_LT",Input!E$2,Date,,,Ccy,Conv)</f>
        <v>2643</v>
      </c>
      <c r="D328" s="4">
        <f>_xll.ciqfunctions.udf.CIQ(InputTicker, "IQ_UNEARN_REV_LT",Input!F$2,Date,,,Ccy,Conv)</f>
        <v>3815</v>
      </c>
      <c r="E328" s="4">
        <f>_xll.ciqfunctions.udf.CIQ(InputTicker, "IQ_UNEARN_REV_LT",Input!G$2,Date,,,Ccy,Conv)</f>
        <v>4530</v>
      </c>
      <c r="F328" s="4">
        <f>_xll.ciqfunctions.udf.CIQ(InputTicker, "IQ_UNEARN_REV_LT",Input!H$2,Date,,,Ccy,Conv)</f>
        <v>3180</v>
      </c>
      <c r="G328" s="4">
        <f>_xll.ciqfunctions.udf.CIQ(InputTicker, "IQ_UNEARN_REV_LT",Input!I$2,Date,,,Ccy,Conv)</f>
        <v>2616</v>
      </c>
      <c r="H328" s="4">
        <f>_xll.ciqfunctions.udf.CIQ(InputTicker, "IQ_UNEARN_REV_LT",Input!J$2,Date,,,Ccy,Conv)</f>
        <v>2870</v>
      </c>
      <c r="I328" s="4">
        <f>_xll.ciqfunctions.udf.CIQ(InputTicker, "IQ_UNEARN_REV_LT",Input!K$2,Date,,,Ccy,Conv)</f>
        <v>2912</v>
      </c>
      <c r="J328" s="4">
        <f>_xll.ciqfunctions.udf.CIQ(InputTicker, "IQ_UNEARN_REV_LT",Input!L$2,Date,,,Ccy,Conv)</f>
        <v>2602</v>
      </c>
      <c r="K328" s="4">
        <f>_xll.ciqfunctions.udf.CIQ(InputTicker, "IQ_UNEARN_REV_LT",Input!M$2,Date,,,Ccy,Conv)</f>
        <v>2710</v>
      </c>
      <c r="L328" s="4">
        <f>_xll.ciqfunctions.udf.CIQ(InputTicker, "IQ_UNEARN_REV_LT",Input!N$2,Date,,,Ccy,Conv)</f>
        <v>2747</v>
      </c>
      <c r="M328" s="4">
        <f>_xll.ciqfunctions.udf.CIQ(InputTicker, "IQ_UNEARN_REV_LT",Input!O$2,Date,,,Ccy,Conv)</f>
        <v>2747</v>
      </c>
      <c r="N328" s="42"/>
      <c r="P328" s="46"/>
      <c r="Q328" s="46"/>
      <c r="R328" s="46"/>
      <c r="T328" s="46"/>
      <c r="U328" s="46"/>
      <c r="V328" s="46"/>
      <c r="W328" s="42"/>
      <c r="X328" s="42"/>
      <c r="Y328" s="42"/>
      <c r="Z328" s="42"/>
      <c r="AA328" s="42"/>
      <c r="AB328" s="42"/>
      <c r="AC328" s="42"/>
      <c r="AD328" s="42"/>
      <c r="AE328" s="42"/>
      <c r="AF328" s="42"/>
      <c r="AG328" s="42"/>
      <c r="AH328" s="42"/>
      <c r="AI328" s="42"/>
      <c r="AJ328" s="42"/>
      <c r="AK328" s="42"/>
      <c r="AL328" s="42"/>
      <c r="AM328" s="42"/>
      <c r="AN328" s="42"/>
      <c r="AO328" s="42"/>
      <c r="AP328" s="42"/>
      <c r="AQ328" s="42"/>
      <c r="AR328" s="42"/>
      <c r="AS328" s="42"/>
      <c r="AT328" s="42"/>
      <c r="AU328" s="42"/>
      <c r="AV328" s="42"/>
      <c r="AW328" s="42"/>
      <c r="AX328" s="42"/>
      <c r="AY328" s="42"/>
      <c r="AZ328" s="42"/>
      <c r="BA328" s="42"/>
      <c r="BB328" s="42"/>
      <c r="BC328" s="42"/>
      <c r="BD328" s="42"/>
      <c r="BE328" s="42"/>
      <c r="BF328" s="42"/>
      <c r="BG328" s="42"/>
      <c r="BH328" s="42"/>
      <c r="BI328" s="42"/>
      <c r="BJ328" s="42"/>
      <c r="BK328" s="42"/>
      <c r="BL328" s="42"/>
      <c r="BM328" s="42"/>
      <c r="BN328" s="42"/>
    </row>
    <row r="329" spans="1:66" ht="12.75" customHeight="1" x14ac:dyDescent="0.2">
      <c r="A329" s="42" t="s">
        <v>192</v>
      </c>
      <c r="B329" s="4">
        <f>_xll.ciqfunctions.udf.CIQ(InputTicker, "IQ_PENSION",Input!D$2,Date,,,Ccy,Conv)</f>
        <v>0</v>
      </c>
      <c r="C329" s="4">
        <f>_xll.ciqfunctions.udf.CIQ(InputTicker, "IQ_PENSION",Input!E$2,Date,,,Ccy,Conv)</f>
        <v>0</v>
      </c>
      <c r="D329" s="4">
        <f>_xll.ciqfunctions.udf.CIQ(InputTicker, "IQ_PENSION",Input!F$2,Date,,,Ccy,Conv)</f>
        <v>0</v>
      </c>
      <c r="E329" s="4">
        <f>_xll.ciqfunctions.udf.CIQ(InputTicker, "IQ_PENSION",Input!G$2,Date,,,Ccy,Conv)</f>
        <v>0</v>
      </c>
      <c r="F329" s="4">
        <f>_xll.ciqfunctions.udf.CIQ(InputTicker, "IQ_PENSION",Input!H$2,Date,,,Ccy,Conv)</f>
        <v>0</v>
      </c>
      <c r="G329" s="4">
        <f>_xll.ciqfunctions.udf.CIQ(InputTicker, "IQ_PENSION",Input!I$2,Date,,,Ccy,Conv)</f>
        <v>0</v>
      </c>
      <c r="H329" s="4">
        <f>_xll.ciqfunctions.udf.CIQ(InputTicker, "IQ_PENSION",Input!J$2,Date,,,Ccy,Conv)</f>
        <v>0</v>
      </c>
      <c r="I329" s="4">
        <f>_xll.ciqfunctions.udf.CIQ(InputTicker, "IQ_PENSION",Input!K$2,Date,,,Ccy,Conv)</f>
        <v>0</v>
      </c>
      <c r="J329" s="4">
        <f>_xll.ciqfunctions.udf.CIQ(InputTicker, "IQ_PENSION",Input!L$2,Date,,,Ccy,Conv)</f>
        <v>0</v>
      </c>
      <c r="K329" s="4">
        <f>_xll.ciqfunctions.udf.CIQ(InputTicker, "IQ_PENSION",Input!M$2,Date,,,Ccy,Conv)</f>
        <v>0</v>
      </c>
      <c r="L329" s="4">
        <f>_xll.ciqfunctions.udf.CIQ(InputTicker, "IQ_PENSION",Input!N$2,Date,,,Ccy,Conv)</f>
        <v>0</v>
      </c>
      <c r="M329" s="4">
        <f>_xll.ciqfunctions.udf.CIQ(InputTicker, "IQ_PENSION",Input!O$2,Date,,,Ccy,Conv)</f>
        <v>0</v>
      </c>
      <c r="N329" s="46"/>
      <c r="T329" s="42"/>
      <c r="U329" s="42"/>
      <c r="V329" s="42"/>
      <c r="W329" s="42"/>
      <c r="X329" s="42"/>
      <c r="Y329" s="42"/>
      <c r="Z329" s="42"/>
      <c r="AA329" s="42"/>
      <c r="AB329" s="42"/>
      <c r="AC329" s="42"/>
      <c r="AD329" s="42"/>
      <c r="AE329" s="42"/>
      <c r="AF329" s="42"/>
      <c r="AG329" s="42"/>
      <c r="AH329" s="42"/>
      <c r="AI329" s="42"/>
      <c r="AJ329" s="42"/>
      <c r="AK329" s="42"/>
      <c r="AL329" s="42"/>
      <c r="AM329" s="42"/>
      <c r="AN329" s="42"/>
      <c r="AO329" s="42"/>
      <c r="AP329" s="42"/>
      <c r="AQ329" s="42"/>
      <c r="AR329" s="42"/>
      <c r="AS329" s="42"/>
      <c r="AT329" s="42"/>
      <c r="AU329" s="42"/>
      <c r="AV329" s="42"/>
      <c r="AW329" s="42"/>
      <c r="AX329" s="42"/>
      <c r="AY329" s="42"/>
      <c r="AZ329" s="42"/>
      <c r="BA329" s="42"/>
      <c r="BB329" s="42"/>
      <c r="BC329" s="42"/>
      <c r="BD329" s="42"/>
      <c r="BE329" s="42"/>
      <c r="BF329" s="42"/>
      <c r="BG329" s="42"/>
      <c r="BH329" s="42"/>
      <c r="BI329" s="42"/>
      <c r="BJ329" s="42"/>
      <c r="BK329" s="42"/>
      <c r="BL329" s="42"/>
      <c r="BM329" s="42"/>
      <c r="BN329" s="42"/>
    </row>
    <row r="330" spans="1:66" ht="12.75" customHeight="1" x14ac:dyDescent="0.2">
      <c r="A330" s="42" t="s">
        <v>137</v>
      </c>
      <c r="B330" s="4">
        <f>_xll.ciqfunctions.udf.CIQ(InputTicker, "IQ_DEF_TAX_LIAB_LT",Input!D$2,Date,,,Ccy,Conv)</f>
        <v>1476</v>
      </c>
      <c r="C330" s="4">
        <f>_xll.ciqfunctions.udf.CIQ(InputTicker, "IQ_DEF_TAX_LIAB_LT",Input!E$2,Date,,,Ccy,Conv)</f>
        <v>5734</v>
      </c>
      <c r="D330" s="4">
        <f>_xll.ciqfunctions.udf.CIQ(InputTicker, "IQ_DEF_TAX_LIAB_LT",Input!F$2,Date,,,Ccy,Conv)</f>
        <v>541</v>
      </c>
      <c r="E330" s="4">
        <f>_xll.ciqfunctions.udf.CIQ(InputTicker, "IQ_DEF_TAX_LIAB_LT",Input!G$2,Date,,,Ccy,Conv)</f>
        <v>233</v>
      </c>
      <c r="F330" s="4">
        <f>_xll.ciqfunctions.udf.CIQ(InputTicker, "IQ_DEF_TAX_LIAB_LT",Input!H$2,Date,,,Ccy,Conv)</f>
        <v>204</v>
      </c>
      <c r="G330" s="4">
        <f>_xll.ciqfunctions.udf.CIQ(InputTicker, "IQ_DEF_TAX_LIAB_LT",Input!I$2,Date,,,Ccy,Conv)</f>
        <v>198</v>
      </c>
      <c r="H330" s="4">
        <f>_xll.ciqfunctions.udf.CIQ(InputTicker, "IQ_DEF_TAX_LIAB_LT",Input!J$2,Date,,,Ccy,Conv)</f>
        <v>230</v>
      </c>
      <c r="I330" s="4">
        <f>_xll.ciqfunctions.udf.CIQ(InputTicker, "IQ_DEF_TAX_LIAB_LT",Input!K$2,Date,,,Ccy,Conv)</f>
        <v>433</v>
      </c>
      <c r="J330" s="4">
        <f>_xll.ciqfunctions.udf.CIQ(InputTicker, "IQ_DEF_TAX_LIAB_LT",Input!L$2,Date,,,Ccy,Conv)</f>
        <v>2618</v>
      </c>
      <c r="K330" s="4">
        <f>_xll.ciqfunctions.udf.CIQ(InputTicker, "IQ_DEF_TAX_LIAB_LT",Input!M$2,Date,,,Ccy,Conv)</f>
        <v>2835</v>
      </c>
      <c r="L330" s="4">
        <f>_xll.ciqfunctions.udf.CIQ(InputTicker, "IQ_DEF_TAX_LIAB_LT",Input!N$2,Date,,,Ccy,Conv)</f>
        <v>3054</v>
      </c>
      <c r="M330" s="4">
        <f>_xll.ciqfunctions.udf.CIQ(InputTicker, "IQ_DEF_TAX_LIAB_LT",Input!O$2,Date,,,Ccy,Conv)</f>
        <v>3054</v>
      </c>
      <c r="N330" s="42"/>
      <c r="S330" s="46"/>
      <c r="T330" s="42"/>
      <c r="U330" s="42"/>
      <c r="V330" s="42"/>
      <c r="W330" s="42"/>
      <c r="X330" s="42"/>
      <c r="Y330" s="42"/>
      <c r="Z330" s="42"/>
      <c r="AA330" s="42"/>
      <c r="AB330" s="42"/>
      <c r="AC330" s="42"/>
      <c r="AD330" s="42"/>
      <c r="AE330" s="42"/>
      <c r="AF330" s="42"/>
      <c r="AG330" s="42"/>
      <c r="AH330" s="42"/>
      <c r="AI330" s="42"/>
      <c r="AJ330" s="42"/>
      <c r="AK330" s="42"/>
      <c r="AL330" s="42"/>
      <c r="AM330" s="42"/>
      <c r="AN330" s="42"/>
      <c r="AO330" s="42"/>
      <c r="AP330" s="42"/>
      <c r="AQ330" s="42"/>
      <c r="AR330" s="42"/>
      <c r="AS330" s="42"/>
      <c r="AT330" s="42"/>
      <c r="AU330" s="42"/>
      <c r="AV330" s="42"/>
      <c r="AW330" s="42"/>
      <c r="AX330" s="42"/>
      <c r="AY330" s="42"/>
      <c r="AZ330" s="42"/>
      <c r="BA330" s="42"/>
      <c r="BB330" s="42"/>
      <c r="BC330" s="42"/>
      <c r="BD330" s="42"/>
      <c r="BE330" s="42"/>
      <c r="BF330" s="42"/>
      <c r="BG330" s="42"/>
      <c r="BH330" s="42"/>
      <c r="BI330" s="42"/>
      <c r="BJ330" s="42"/>
      <c r="BK330" s="42"/>
      <c r="BL330" s="42"/>
      <c r="BM330" s="42"/>
      <c r="BN330" s="42"/>
    </row>
    <row r="331" spans="1:66" ht="12.75" customHeight="1" x14ac:dyDescent="0.2">
      <c r="A331" s="42" t="s">
        <v>138</v>
      </c>
      <c r="B331" s="4">
        <f>_xll.ciqfunctions.udf.CIQ(InputTicker, "IQ_OTHER_LIAB_LT",Input!D$2,Date,,,Ccy,Conv)</f>
        <v>12879</v>
      </c>
      <c r="C331" s="4">
        <f>_xll.ciqfunctions.udf.CIQ(InputTicker, "IQ_OTHER_LIAB_LT",Input!E$2,Date,,,Ccy,Conv)</f>
        <v>14609</v>
      </c>
      <c r="D331" s="4">
        <f>_xll.ciqfunctions.udf.CIQ(InputTicker, "IQ_OTHER_LIAB_LT",Input!F$2,Date,,,Ccy,Conv)</f>
        <v>31351</v>
      </c>
      <c r="E331" s="4">
        <f>_xll.ciqfunctions.udf.CIQ(InputTicker, "IQ_OTHER_LIAB_LT",Input!G$2,Date,,,Ccy,Conv)</f>
        <v>30936</v>
      </c>
      <c r="F331" s="4">
        <f>_xll.ciqfunctions.udf.CIQ(InputTicker, "IQ_OTHER_LIAB_LT",Input!H$2,Date,,,Ccy,Conv)</f>
        <v>31108</v>
      </c>
      <c r="G331" s="4">
        <f>_xll.ciqfunctions.udf.CIQ(InputTicker, "IQ_OTHER_LIAB_LT",Input!I$2,Date,,,Ccy,Conv)</f>
        <v>28867</v>
      </c>
      <c r="H331" s="4">
        <f>_xll.ciqfunctions.udf.CIQ(InputTicker, "IQ_OTHER_LIAB_LT",Input!J$2,Date,,,Ccy,Conv)</f>
        <v>27753</v>
      </c>
      <c r="I331" s="4">
        <f>_xll.ciqfunctions.udf.CIQ(InputTicker, "IQ_OTHER_LIAB_LT",Input!K$2,Date,,,Ccy,Conv)</f>
        <v>27671</v>
      </c>
      <c r="J331" s="4">
        <f>_xll.ciqfunctions.udf.CIQ(InputTicker, "IQ_OTHER_LIAB_LT",Input!L$2,Date,,,Ccy,Conv)</f>
        <v>30199</v>
      </c>
      <c r="K331" s="4">
        <f>_xll.ciqfunctions.udf.CIQ(InputTicker, "IQ_OTHER_LIAB_LT",Input!M$2,Date,,,Ccy,Conv)</f>
        <v>28172</v>
      </c>
      <c r="L331" s="4">
        <f>_xll.ciqfunctions.udf.CIQ(InputTicker, "IQ_OTHER_LIAB_LT",Input!N$2,Date,,,Ccy,Conv)</f>
        <v>31460</v>
      </c>
      <c r="M331" s="4">
        <f>_xll.ciqfunctions.udf.CIQ(InputTicker, "IQ_OTHER_LIAB_LT",Input!O$2,Date,,,Ccy,Conv)</f>
        <v>31460</v>
      </c>
      <c r="N331" s="42"/>
      <c r="P331" s="46"/>
      <c r="Q331" s="46"/>
      <c r="R331" s="46"/>
      <c r="S331" s="46"/>
      <c r="T331" s="42"/>
      <c r="U331" s="42"/>
      <c r="V331" s="46"/>
      <c r="W331" s="42"/>
      <c r="X331" s="42"/>
      <c r="Y331" s="42"/>
      <c r="Z331" s="42"/>
      <c r="AA331" s="42"/>
      <c r="AB331" s="42"/>
      <c r="AC331" s="42"/>
      <c r="AD331" s="42"/>
      <c r="AE331" s="42"/>
      <c r="AF331" s="42"/>
      <c r="AG331" s="42"/>
      <c r="AH331" s="42"/>
      <c r="AI331" s="42"/>
      <c r="AJ331" s="42"/>
      <c r="AK331" s="42"/>
      <c r="AL331" s="42"/>
      <c r="AM331" s="42"/>
      <c r="AN331" s="42"/>
      <c r="AO331" s="42"/>
      <c r="AP331" s="42"/>
      <c r="AQ331" s="42"/>
      <c r="AR331" s="42"/>
      <c r="AS331" s="42"/>
      <c r="AT331" s="42"/>
      <c r="AU331" s="42"/>
      <c r="AV331" s="42"/>
      <c r="AW331" s="42"/>
      <c r="AX331" s="42"/>
      <c r="AY331" s="42"/>
      <c r="AZ331" s="42"/>
      <c r="BA331" s="42"/>
      <c r="BB331" s="42"/>
      <c r="BC331" s="42"/>
      <c r="BD331" s="42"/>
      <c r="BE331" s="42"/>
      <c r="BF331" s="42"/>
      <c r="BG331" s="42"/>
      <c r="BH331" s="42"/>
      <c r="BI331" s="42"/>
      <c r="BJ331" s="42"/>
      <c r="BK331" s="42"/>
      <c r="BL331" s="42"/>
      <c r="BM331" s="42"/>
      <c r="BN331" s="42"/>
    </row>
    <row r="332" spans="1:66" ht="12.75" customHeight="1" thickBot="1" x14ac:dyDescent="0.25">
      <c r="A332" s="5" t="s">
        <v>510</v>
      </c>
      <c r="B332" s="9">
        <f>_xll.ciqfunctions.udf.CIQ(InputTicker, "IQ_TOTAL_LIAB",Input!D$2,Date,,,Ccy,Conv)</f>
        <v>121471</v>
      </c>
      <c r="C332" s="9">
        <f>_xll.ciqfunctions.udf.CIQ(InputTicker, "IQ_TOTAL_LIAB",Input!E$2,Date,,,Ccy,Conv)</f>
        <v>162601</v>
      </c>
      <c r="D332" s="9">
        <f>_xll.ciqfunctions.udf.CIQ(InputTicker, "IQ_TOTAL_LIAB",Input!F$2,Date,,,Ccy,Conv)</f>
        <v>176130</v>
      </c>
      <c r="E332" s="9">
        <f>_xll.ciqfunctions.udf.CIQ(InputTicker, "IQ_TOTAL_LIAB",Input!G$2,Date,,,Ccy,Conv)</f>
        <v>184226</v>
      </c>
      <c r="F332" s="9">
        <f>_xll.ciqfunctions.udf.CIQ(InputTicker, "IQ_TOTAL_LIAB",Input!H$2,Date,,,Ccy,Conv)</f>
        <v>183007</v>
      </c>
      <c r="G332" s="9">
        <f>_xll.ciqfunctions.udf.CIQ(InputTicker, "IQ_TOTAL_LIAB",Input!I$2,Date,,,Ccy,Conv)</f>
        <v>191791</v>
      </c>
      <c r="H332" s="9">
        <f>_xll.ciqfunctions.udf.CIQ(InputTicker, "IQ_TOTAL_LIAB",Input!J$2,Date,,,Ccy,Conv)</f>
        <v>198298</v>
      </c>
      <c r="I332" s="9">
        <f>_xll.ciqfunctions.udf.CIQ(InputTicker, "IQ_TOTAL_LIAB",Input!K$2,Date,,,Ccy,Conv)</f>
        <v>205753</v>
      </c>
      <c r="J332" s="9">
        <f>_xll.ciqfunctions.udf.CIQ(InputTicker, "IQ_TOTAL_LIAB",Input!L$2,Date,,,Ccy,Conv)</f>
        <v>243686</v>
      </c>
      <c r="K332" s="9">
        <f>_xll.ciqfunctions.udf.CIQ(InputTicker, "IQ_TOTAL_LIAB",Input!M$2,Date,,,Ccy,Conv)</f>
        <v>275524</v>
      </c>
      <c r="L332" s="9">
        <f>_xll.ciqfunctions.udf.CIQ(InputTicker, "IQ_TOTAL_LIAB",Input!N$2,Date,,,Ccy,Conv)</f>
        <v>315989</v>
      </c>
      <c r="M332" s="9">
        <f>_xll.ciqfunctions.udf.CIQ(InputTicker, "IQ_TOTAL_LIAB",Input!O$2,Date,,,Ccy,Conv)</f>
        <v>315989</v>
      </c>
      <c r="N332" s="42"/>
      <c r="S332" s="46"/>
      <c r="T332" s="42"/>
      <c r="U332" s="42"/>
      <c r="V332" s="42"/>
      <c r="W332" s="42"/>
      <c r="X332" s="42"/>
      <c r="Y332" s="42"/>
      <c r="Z332" s="42"/>
      <c r="AA332" s="42"/>
      <c r="AB332" s="42"/>
      <c r="AC332" s="42"/>
      <c r="AD332" s="42"/>
      <c r="AE332" s="42"/>
      <c r="AF332" s="42"/>
      <c r="AG332" s="42"/>
      <c r="AH332" s="42"/>
      <c r="AI332" s="42"/>
      <c r="AJ332" s="42"/>
      <c r="AK332" s="42"/>
      <c r="AL332" s="42"/>
      <c r="AM332" s="42"/>
      <c r="AN332" s="42"/>
      <c r="AO332" s="42"/>
      <c r="AP332" s="42"/>
      <c r="AQ332" s="42"/>
      <c r="AR332" s="42"/>
      <c r="AS332" s="42"/>
      <c r="AT332" s="42"/>
      <c r="AU332" s="42"/>
      <c r="AV332" s="42"/>
      <c r="AW332" s="42"/>
      <c r="AX332" s="42"/>
      <c r="AY332" s="42"/>
      <c r="AZ332" s="42"/>
      <c r="BA332" s="42"/>
      <c r="BB332" s="42"/>
      <c r="BC332" s="42"/>
      <c r="BD332" s="42"/>
      <c r="BE332" s="42"/>
      <c r="BF332" s="42"/>
      <c r="BG332" s="42"/>
      <c r="BH332" s="42"/>
      <c r="BI332" s="42"/>
      <c r="BJ332" s="42"/>
      <c r="BK332" s="42"/>
      <c r="BL332" s="42"/>
      <c r="BM332" s="42"/>
      <c r="BN332" s="42"/>
    </row>
    <row r="333" spans="1:66" ht="12.75" customHeight="1" thickTop="1" x14ac:dyDescent="0.2">
      <c r="A333" s="1" t="s">
        <v>193</v>
      </c>
      <c r="B333" s="4">
        <f>_xll.ciqfunctions.udf.CIQ(InputTicker, "IQ_PREF_REDEEM",Input!D$2,Date,,,Ccy,Conv)</f>
        <v>0</v>
      </c>
      <c r="C333" s="4">
        <f>_xll.ciqfunctions.udf.CIQ(InputTicker, "IQ_PREF_REDEEM",Input!E$2,Date,,,Ccy,Conv)</f>
        <v>0</v>
      </c>
      <c r="D333" s="4">
        <f>_xll.ciqfunctions.udf.CIQ(InputTicker, "IQ_PREF_REDEEM",Input!F$2,Date,,,Ccy,Conv)</f>
        <v>0</v>
      </c>
      <c r="E333" s="4">
        <f>_xll.ciqfunctions.udf.CIQ(InputTicker, "IQ_PREF_REDEEM",Input!G$2,Date,,,Ccy,Conv)</f>
        <v>0</v>
      </c>
      <c r="F333" s="4">
        <f>_xll.ciqfunctions.udf.CIQ(InputTicker, "IQ_PREF_REDEEM",Input!H$2,Date,,,Ccy,Conv)</f>
        <v>0</v>
      </c>
      <c r="G333" s="4">
        <f>_xll.ciqfunctions.udf.CIQ(InputTicker, "IQ_PREF_REDEEM",Input!I$2,Date,,,Ccy,Conv)</f>
        <v>0</v>
      </c>
      <c r="H333" s="4">
        <f>_xll.ciqfunctions.udf.CIQ(InputTicker, "IQ_PREF_REDEEM",Input!J$2,Date,,,Ccy,Conv)</f>
        <v>0</v>
      </c>
      <c r="I333" s="4">
        <f>_xll.ciqfunctions.udf.CIQ(InputTicker, "IQ_PREF_REDEEM",Input!K$2,Date,,,Ccy,Conv)</f>
        <v>0</v>
      </c>
      <c r="J333" s="4">
        <f>_xll.ciqfunctions.udf.CIQ(InputTicker, "IQ_PREF_REDEEM",Input!L$2,Date,,,Ccy,Conv)</f>
        <v>0</v>
      </c>
      <c r="K333" s="4">
        <f>_xll.ciqfunctions.udf.CIQ(InputTicker, "IQ_PREF_REDEEM",Input!M$2,Date,,,Ccy,Conv)</f>
        <v>0</v>
      </c>
      <c r="L333" s="4">
        <f>_xll.ciqfunctions.udf.CIQ(InputTicker, "IQ_PREF_REDEEM",Input!N$2,Date,,,Ccy,Conv)</f>
        <v>0</v>
      </c>
      <c r="M333" s="4">
        <f>_xll.ciqfunctions.udf.CIQ(InputTicker, "IQ_PREF_REDEEM",Input!O$2,Date,,,Ccy,Conv)</f>
        <v>0</v>
      </c>
      <c r="N333" s="46"/>
      <c r="P333" s="46"/>
      <c r="Q333" s="46"/>
      <c r="R333" s="46"/>
      <c r="T333" s="42"/>
      <c r="U333" s="42"/>
      <c r="V333" s="46"/>
      <c r="W333" s="42"/>
      <c r="X333" s="42"/>
      <c r="Y333" s="42"/>
      <c r="Z333" s="42"/>
      <c r="AA333" s="42"/>
      <c r="AB333" s="42"/>
      <c r="AC333" s="42"/>
      <c r="AD333" s="42"/>
      <c r="AE333" s="42"/>
      <c r="AF333" s="42"/>
      <c r="AG333" s="42"/>
      <c r="AH333" s="42"/>
      <c r="AI333" s="42"/>
      <c r="AJ333" s="42"/>
      <c r="AK333" s="42"/>
      <c r="AL333" s="42"/>
      <c r="AM333" s="42"/>
      <c r="AN333" s="42"/>
      <c r="AO333" s="42"/>
      <c r="AP333" s="42"/>
      <c r="AQ333" s="42"/>
      <c r="AR333" s="42"/>
      <c r="AS333" s="42"/>
      <c r="AT333" s="42"/>
      <c r="AU333" s="42"/>
      <c r="AV333" s="42"/>
      <c r="AW333" s="42"/>
      <c r="AX333" s="42"/>
      <c r="AY333" s="42"/>
      <c r="AZ333" s="42"/>
      <c r="BA333" s="42"/>
      <c r="BB333" s="42"/>
      <c r="BC333" s="42"/>
      <c r="BD333" s="42"/>
      <c r="BE333" s="42"/>
      <c r="BF333" s="42"/>
      <c r="BG333" s="42"/>
      <c r="BH333" s="42"/>
      <c r="BI333" s="42"/>
      <c r="BJ333" s="42"/>
      <c r="BK333" s="42"/>
      <c r="BL333" s="42"/>
      <c r="BM333" s="42"/>
      <c r="BN333" s="42"/>
    </row>
    <row r="334" spans="1:66" ht="12.75" customHeight="1" x14ac:dyDescent="0.2">
      <c r="A334" s="1" t="s">
        <v>194</v>
      </c>
      <c r="B334" s="4">
        <f>_xll.ciqfunctions.udf.CIQ(InputTicker, "IQ_PREF_NON_REDEEM",Input!D$2,Date,,,Ccy,Conv)</f>
        <v>0</v>
      </c>
      <c r="C334" s="4">
        <f>_xll.ciqfunctions.udf.CIQ(InputTicker, "IQ_PREF_NON_REDEEM",Input!E$2,Date,,,Ccy,Conv)</f>
        <v>0</v>
      </c>
      <c r="D334" s="4">
        <f>_xll.ciqfunctions.udf.CIQ(InputTicker, "IQ_PREF_NON_REDEEM",Input!F$2,Date,,,Ccy,Conv)</f>
        <v>0</v>
      </c>
      <c r="E334" s="4">
        <f>_xll.ciqfunctions.udf.CIQ(InputTicker, "IQ_PREF_NON_REDEEM",Input!G$2,Date,,,Ccy,Conv)</f>
        <v>0</v>
      </c>
      <c r="F334" s="4">
        <f>_xll.ciqfunctions.udf.CIQ(InputTicker, "IQ_PREF_NON_REDEEM",Input!H$2,Date,,,Ccy,Conv)</f>
        <v>0</v>
      </c>
      <c r="G334" s="4">
        <f>_xll.ciqfunctions.udf.CIQ(InputTicker, "IQ_PREF_NON_REDEEM",Input!I$2,Date,,,Ccy,Conv)</f>
        <v>0</v>
      </c>
      <c r="H334" s="4">
        <f>_xll.ciqfunctions.udf.CIQ(InputTicker, "IQ_PREF_NON_REDEEM",Input!J$2,Date,,,Ccy,Conv)</f>
        <v>0</v>
      </c>
      <c r="I334" s="4">
        <f>_xll.ciqfunctions.udf.CIQ(InputTicker, "IQ_PREF_NON_REDEEM",Input!K$2,Date,,,Ccy,Conv)</f>
        <v>0</v>
      </c>
      <c r="J334" s="4">
        <f>_xll.ciqfunctions.udf.CIQ(InputTicker, "IQ_PREF_NON_REDEEM",Input!L$2,Date,,,Ccy,Conv)</f>
        <v>0</v>
      </c>
      <c r="K334" s="4">
        <f>_xll.ciqfunctions.udf.CIQ(InputTicker, "IQ_PREF_NON_REDEEM",Input!M$2,Date,,,Ccy,Conv)</f>
        <v>0</v>
      </c>
      <c r="L334" s="4">
        <f>_xll.ciqfunctions.udf.CIQ(InputTicker, "IQ_PREF_NON_REDEEM",Input!N$2,Date,,,Ccy,Conv)</f>
        <v>0</v>
      </c>
      <c r="M334" s="4">
        <f>_xll.ciqfunctions.udf.CIQ(InputTicker, "IQ_PREF_NON_REDEEM",Input!O$2,Date,,,Ccy,Conv)</f>
        <v>0</v>
      </c>
      <c r="N334" s="42"/>
      <c r="T334" s="42"/>
      <c r="U334" s="42"/>
      <c r="V334" s="42"/>
      <c r="W334" s="42"/>
      <c r="X334" s="42"/>
      <c r="Y334" s="42"/>
      <c r="Z334" s="42"/>
      <c r="AA334" s="42"/>
      <c r="AB334" s="42"/>
      <c r="AC334" s="42"/>
      <c r="AD334" s="42"/>
      <c r="AE334" s="42"/>
      <c r="AF334" s="42"/>
      <c r="AG334" s="42"/>
      <c r="AH334" s="42"/>
      <c r="AI334" s="42"/>
      <c r="AJ334" s="42"/>
      <c r="AK334" s="42"/>
      <c r="AL334" s="42"/>
      <c r="AM334" s="42"/>
      <c r="AN334" s="42"/>
      <c r="AO334" s="42"/>
      <c r="AP334" s="42"/>
      <c r="AQ334" s="42"/>
      <c r="AR334" s="42"/>
      <c r="AS334" s="42"/>
      <c r="AT334" s="42"/>
      <c r="AU334" s="42"/>
      <c r="AV334" s="42"/>
      <c r="AW334" s="42"/>
      <c r="AX334" s="42"/>
      <c r="AY334" s="42"/>
      <c r="AZ334" s="42"/>
      <c r="BA334" s="42"/>
      <c r="BB334" s="42"/>
      <c r="BC334" s="42"/>
      <c r="BD334" s="42"/>
      <c r="BE334" s="42"/>
      <c r="BF334" s="42"/>
      <c r="BG334" s="42"/>
      <c r="BH334" s="42"/>
      <c r="BI334" s="42"/>
      <c r="BJ334" s="42"/>
      <c r="BK334" s="42"/>
      <c r="BL334" s="42"/>
      <c r="BM334" s="42"/>
      <c r="BN334" s="42"/>
    </row>
    <row r="335" spans="1:66" ht="12.75" customHeight="1" x14ac:dyDescent="0.2">
      <c r="A335" s="1" t="s">
        <v>195</v>
      </c>
      <c r="B335" s="4">
        <f>_xll.ciqfunctions.udf.CIQ(InputTicker, "IQ_PREF_CONVERT",Input!D$2,Date,,,Ccy,Conv)</f>
        <v>0</v>
      </c>
      <c r="C335" s="4">
        <f>_xll.ciqfunctions.udf.CIQ(InputTicker, "IQ_PREF_CONVERT",Input!E$2,Date,,,Ccy,Conv)</f>
        <v>0</v>
      </c>
      <c r="D335" s="4">
        <f>_xll.ciqfunctions.udf.CIQ(InputTicker, "IQ_PREF_CONVERT",Input!F$2,Date,,,Ccy,Conv)</f>
        <v>0</v>
      </c>
      <c r="E335" s="4">
        <f>_xll.ciqfunctions.udf.CIQ(InputTicker, "IQ_PREF_CONVERT",Input!G$2,Date,,,Ccy,Conv)</f>
        <v>0</v>
      </c>
      <c r="F335" s="4">
        <f>_xll.ciqfunctions.udf.CIQ(InputTicker, "IQ_PREF_CONVERT",Input!H$2,Date,,,Ccy,Conv)</f>
        <v>0</v>
      </c>
      <c r="G335" s="4">
        <f>_xll.ciqfunctions.udf.CIQ(InputTicker, "IQ_PREF_CONVERT",Input!I$2,Date,,,Ccy,Conv)</f>
        <v>0</v>
      </c>
      <c r="H335" s="4">
        <f>_xll.ciqfunctions.udf.CIQ(InputTicker, "IQ_PREF_CONVERT",Input!J$2,Date,,,Ccy,Conv)</f>
        <v>0</v>
      </c>
      <c r="I335" s="4">
        <f>_xll.ciqfunctions.udf.CIQ(InputTicker, "IQ_PREF_CONVERT",Input!K$2,Date,,,Ccy,Conv)</f>
        <v>0</v>
      </c>
      <c r="J335" s="4">
        <f>_xll.ciqfunctions.udf.CIQ(InputTicker, "IQ_PREF_CONVERT",Input!L$2,Date,,,Ccy,Conv)</f>
        <v>0</v>
      </c>
      <c r="K335" s="4">
        <f>_xll.ciqfunctions.udf.CIQ(InputTicker, "IQ_PREF_CONVERT",Input!M$2,Date,,,Ccy,Conv)</f>
        <v>0</v>
      </c>
      <c r="L335" s="4">
        <f>_xll.ciqfunctions.udf.CIQ(InputTicker, "IQ_PREF_CONVERT",Input!N$2,Date,,,Ccy,Conv)</f>
        <v>0</v>
      </c>
      <c r="M335" s="4">
        <f>_xll.ciqfunctions.udf.CIQ(InputTicker, "IQ_PREF_CONVERT",Input!O$2,Date,,,Ccy,Conv)</f>
        <v>0</v>
      </c>
      <c r="N335" s="42"/>
      <c r="T335" s="51"/>
      <c r="U335" s="51"/>
      <c r="V335" s="42"/>
      <c r="W335" s="42"/>
      <c r="X335" s="42"/>
      <c r="Y335" s="42"/>
      <c r="Z335" s="42"/>
      <c r="AA335" s="42"/>
      <c r="AB335" s="42"/>
      <c r="AC335" s="42"/>
      <c r="AD335" s="42"/>
      <c r="AE335" s="42"/>
      <c r="AF335" s="42"/>
      <c r="AG335" s="42"/>
      <c r="AH335" s="42"/>
      <c r="AI335" s="42"/>
      <c r="AJ335" s="42"/>
      <c r="AK335" s="42"/>
      <c r="AL335" s="42"/>
      <c r="AM335" s="42"/>
      <c r="AN335" s="42"/>
      <c r="AO335" s="42"/>
      <c r="AP335" s="42"/>
      <c r="AQ335" s="42"/>
      <c r="AR335" s="42"/>
      <c r="AS335" s="42"/>
      <c r="AT335" s="42"/>
      <c r="AU335" s="42"/>
      <c r="AV335" s="42"/>
      <c r="AW335" s="42"/>
      <c r="AX335" s="42"/>
      <c r="AY335" s="42"/>
      <c r="AZ335" s="42"/>
      <c r="BA335" s="42"/>
      <c r="BB335" s="42"/>
      <c r="BC335" s="42"/>
      <c r="BD335" s="42"/>
      <c r="BE335" s="42"/>
      <c r="BF335" s="42"/>
      <c r="BG335" s="42"/>
      <c r="BH335" s="42"/>
      <c r="BI335" s="42"/>
      <c r="BJ335" s="42"/>
      <c r="BK335" s="42"/>
      <c r="BL335" s="42"/>
      <c r="BM335" s="42"/>
      <c r="BN335" s="42"/>
    </row>
    <row r="336" spans="1:66" ht="12.75" customHeight="1" x14ac:dyDescent="0.2">
      <c r="A336" s="1" t="s">
        <v>196</v>
      </c>
      <c r="B336" s="4">
        <f>_xll.ciqfunctions.udf.CIQ(InputTicker, "IQ_PREF_OTHER",Input!D$2,Date,,,Ccy,Conv)</f>
        <v>0</v>
      </c>
      <c r="C336" s="4">
        <f>_xll.ciqfunctions.udf.CIQ(InputTicker, "IQ_PREF_OTHER",Input!E$2,Date,,,Ccy,Conv)</f>
        <v>0</v>
      </c>
      <c r="D336" s="4">
        <f>_xll.ciqfunctions.udf.CIQ(InputTicker, "IQ_PREF_OTHER",Input!F$2,Date,,,Ccy,Conv)</f>
        <v>0</v>
      </c>
      <c r="E336" s="4">
        <f>_xll.ciqfunctions.udf.CIQ(InputTicker, "IQ_PREF_OTHER",Input!G$2,Date,,,Ccy,Conv)</f>
        <v>0</v>
      </c>
      <c r="F336" s="4">
        <f>_xll.ciqfunctions.udf.CIQ(InputTicker, "IQ_PREF_OTHER",Input!H$2,Date,,,Ccy,Conv)</f>
        <v>0</v>
      </c>
      <c r="G336" s="4">
        <f>_xll.ciqfunctions.udf.CIQ(InputTicker, "IQ_PREF_OTHER",Input!I$2,Date,,,Ccy,Conv)</f>
        <v>0</v>
      </c>
      <c r="H336" s="4">
        <f>_xll.ciqfunctions.udf.CIQ(InputTicker, "IQ_PREF_OTHER",Input!J$2,Date,,,Ccy,Conv)</f>
        <v>0</v>
      </c>
      <c r="I336" s="4">
        <f>_xll.ciqfunctions.udf.CIQ(InputTicker, "IQ_PREF_OTHER",Input!K$2,Date,,,Ccy,Conv)</f>
        <v>0</v>
      </c>
      <c r="J336" s="4">
        <f>_xll.ciqfunctions.udf.CIQ(InputTicker, "IQ_PREF_OTHER",Input!L$2,Date,,,Ccy,Conv)</f>
        <v>0</v>
      </c>
      <c r="K336" s="4">
        <f>_xll.ciqfunctions.udf.CIQ(InputTicker, "IQ_PREF_OTHER",Input!M$2,Date,,,Ccy,Conv)</f>
        <v>0</v>
      </c>
      <c r="L336" s="4">
        <f>_xll.ciqfunctions.udf.CIQ(InputTicker, "IQ_PREF_OTHER",Input!N$2,Date,,,Ccy,Conv)</f>
        <v>0</v>
      </c>
      <c r="M336" s="4">
        <f>_xll.ciqfunctions.udf.CIQ(InputTicker, "IQ_PREF_OTHER",Input!O$2,Date,,,Ccy,Conv)</f>
        <v>0</v>
      </c>
      <c r="N336" s="42"/>
      <c r="T336" s="42"/>
      <c r="U336" s="42"/>
      <c r="V336" s="42"/>
      <c r="W336" s="42"/>
      <c r="X336" s="42"/>
      <c r="Y336" s="42"/>
      <c r="Z336" s="42"/>
      <c r="AA336" s="42"/>
      <c r="AB336" s="42"/>
      <c r="AC336" s="42"/>
      <c r="AD336" s="42"/>
      <c r="AE336" s="42"/>
      <c r="AF336" s="42"/>
      <c r="AG336" s="42"/>
      <c r="AH336" s="42"/>
      <c r="AI336" s="42"/>
      <c r="AJ336" s="42"/>
      <c r="AK336" s="42"/>
      <c r="AL336" s="42"/>
      <c r="AM336" s="42"/>
      <c r="AN336" s="42"/>
      <c r="AO336" s="42"/>
      <c r="AP336" s="42"/>
      <c r="AQ336" s="42"/>
      <c r="AR336" s="42"/>
      <c r="AS336" s="42"/>
      <c r="AT336" s="42"/>
      <c r="AU336" s="42"/>
      <c r="AV336" s="42"/>
      <c r="AW336" s="42"/>
      <c r="AX336" s="42"/>
      <c r="AY336" s="42"/>
      <c r="AZ336" s="42"/>
      <c r="BA336" s="42"/>
      <c r="BB336" s="42"/>
      <c r="BC336" s="42"/>
      <c r="BD336" s="42"/>
      <c r="BE336" s="42"/>
      <c r="BF336" s="42"/>
      <c r="BG336" s="42"/>
      <c r="BH336" s="42"/>
      <c r="BI336" s="42"/>
      <c r="BJ336" s="42"/>
      <c r="BK336" s="42"/>
      <c r="BL336" s="42"/>
      <c r="BM336" s="42"/>
      <c r="BN336" s="42"/>
    </row>
    <row r="337" spans="1:66" ht="12.75" customHeight="1" x14ac:dyDescent="0.2">
      <c r="A337" s="5" t="s">
        <v>511</v>
      </c>
      <c r="B337" s="10">
        <f>_xll.ciqfunctions.udf.CIQ(InputTicker, "IQ_PREF_EQUITY",Input!D$2,Date,,,Ccy,Conv)</f>
        <v>0</v>
      </c>
      <c r="C337" s="10">
        <f>_xll.ciqfunctions.udf.CIQ(InputTicker, "IQ_PREF_EQUITY",Input!E$2,Date,,,Ccy,Conv)</f>
        <v>0</v>
      </c>
      <c r="D337" s="10">
        <f>_xll.ciqfunctions.udf.CIQ(InputTicker, "IQ_PREF_EQUITY",Input!F$2,Date,,,Ccy,Conv)</f>
        <v>0</v>
      </c>
      <c r="E337" s="10">
        <f>_xll.ciqfunctions.udf.CIQ(InputTicker, "IQ_PREF_EQUITY",Input!G$2,Date,,,Ccy,Conv)</f>
        <v>0</v>
      </c>
      <c r="F337" s="10">
        <f>_xll.ciqfunctions.udf.CIQ(InputTicker, "IQ_PREF_EQUITY",Input!H$2,Date,,,Ccy,Conv)</f>
        <v>0</v>
      </c>
      <c r="G337" s="10">
        <f>_xll.ciqfunctions.udf.CIQ(InputTicker, "IQ_PREF_EQUITY",Input!I$2,Date,,,Ccy,Conv)</f>
        <v>0</v>
      </c>
      <c r="H337" s="10">
        <f>_xll.ciqfunctions.udf.CIQ(InputTicker, "IQ_PREF_EQUITY",Input!J$2,Date,,,Ccy,Conv)</f>
        <v>0</v>
      </c>
      <c r="I337" s="10">
        <f>_xll.ciqfunctions.udf.CIQ(InputTicker, "IQ_PREF_EQUITY",Input!K$2,Date,,,Ccy,Conv)</f>
        <v>0</v>
      </c>
      <c r="J337" s="10">
        <f>_xll.ciqfunctions.udf.CIQ(InputTicker, "IQ_PREF_EQUITY",Input!L$2,Date,,,Ccy,Conv)</f>
        <v>0</v>
      </c>
      <c r="K337" s="10">
        <f>_xll.ciqfunctions.udf.CIQ(InputTicker, "IQ_PREF_EQUITY",Input!M$2,Date,,,Ccy,Conv)</f>
        <v>0</v>
      </c>
      <c r="L337" s="10">
        <f>_xll.ciqfunctions.udf.CIQ(InputTicker, "IQ_PREF_EQUITY",Input!N$2,Date,,,Ccy,Conv)</f>
        <v>0</v>
      </c>
      <c r="M337" s="10">
        <f>_xll.ciqfunctions.udf.CIQ(InputTicker, "IQ_PREF_EQUITY",Input!O$2,Date,,,Ccy,Conv)</f>
        <v>0</v>
      </c>
      <c r="N337" s="42"/>
      <c r="T337" s="42"/>
      <c r="U337" s="42"/>
      <c r="V337" s="42"/>
      <c r="W337" s="42"/>
      <c r="X337" s="42"/>
      <c r="Y337" s="42"/>
      <c r="Z337" s="42"/>
      <c r="AA337" s="42"/>
      <c r="AB337" s="42"/>
      <c r="AC337" s="42"/>
      <c r="AD337" s="42"/>
      <c r="AE337" s="42"/>
      <c r="AF337" s="42"/>
      <c r="AG337" s="42"/>
      <c r="AH337" s="42"/>
      <c r="AI337" s="42"/>
      <c r="AJ337" s="42"/>
      <c r="AK337" s="42"/>
      <c r="AL337" s="42"/>
      <c r="AM337" s="42"/>
      <c r="AN337" s="42"/>
      <c r="AO337" s="42"/>
      <c r="AP337" s="42"/>
      <c r="AQ337" s="42"/>
      <c r="AR337" s="42"/>
      <c r="AS337" s="42"/>
      <c r="AT337" s="42"/>
      <c r="AU337" s="42"/>
      <c r="AV337" s="42"/>
      <c r="AW337" s="42"/>
      <c r="AX337" s="42"/>
      <c r="AY337" s="42"/>
      <c r="AZ337" s="42"/>
      <c r="BA337" s="42"/>
      <c r="BB337" s="42"/>
      <c r="BC337" s="42"/>
      <c r="BD337" s="42"/>
      <c r="BE337" s="42"/>
      <c r="BF337" s="42"/>
      <c r="BG337" s="42"/>
      <c r="BH337" s="42"/>
      <c r="BI337" s="42"/>
      <c r="BJ337" s="42"/>
      <c r="BK337" s="42"/>
      <c r="BL337" s="42"/>
      <c r="BM337" s="42"/>
      <c r="BN337" s="42"/>
    </row>
    <row r="338" spans="1:66" ht="12.75" customHeight="1" x14ac:dyDescent="0.2">
      <c r="A338" s="1" t="s">
        <v>47</v>
      </c>
      <c r="B338" s="4">
        <f>_xll.ciqfunctions.udf.CIQ(InputTicker, "IQ_COMMON",Input!D$2,Date,,,Ccy,Conv)</f>
        <v>68178</v>
      </c>
      <c r="C338" s="4">
        <f>_xll.ciqfunctions.udf.CIQ(InputTicker, "IQ_COMMON",Input!E$2,Date,,,Ccy,Conv)</f>
        <v>69315</v>
      </c>
      <c r="D338" s="4">
        <f>_xll.ciqfunctions.udf.CIQ(InputTicker, "IQ_COMMON",Input!F$2,Date,,,Ccy,Conv)</f>
        <v>71223</v>
      </c>
      <c r="E338" s="4">
        <f>_xll.ciqfunctions.udf.CIQ(InputTicker, "IQ_COMMON",Input!G$2,Date,,,Ccy,Conv)</f>
        <v>78520</v>
      </c>
      <c r="F338" s="4">
        <f>_xll.ciqfunctions.udf.CIQ(InputTicker, "IQ_COMMON",Input!H$2,Date,,,Ccy,Conv)</f>
        <v>80552</v>
      </c>
      <c r="G338" s="4">
        <f>_xll.ciqfunctions.udf.CIQ(InputTicker, "IQ_COMMON",Input!I$2,Date,,,Ccy,Conv)</f>
        <v>83111</v>
      </c>
      <c r="H338" s="4">
        <f>_xll.ciqfunctions.udf.CIQ(InputTicker, "IQ_COMMON",Input!J$2,Date,,,Ccy,Conv)</f>
        <v>86939</v>
      </c>
      <c r="I338" s="4">
        <f>_xll.ciqfunctions.udf.CIQ(InputTicker, "IQ_COMMON",Input!K$2,Date,,,Ccy,Conv)</f>
        <v>93718</v>
      </c>
      <c r="J338" s="4">
        <f>_xll.ciqfunctions.udf.CIQ(InputTicker, "IQ_COMMON",Input!L$2,Date,,,Ccy,Conv)</f>
        <v>100923</v>
      </c>
      <c r="K338" s="4">
        <f>_xll.ciqfunctions.udf.CIQ(InputTicker, "IQ_COMMON",Input!M$2,Date,,,Ccy,Conv)</f>
        <v>109095</v>
      </c>
      <c r="L338" s="4">
        <f>_xll.ciqfunctions.udf.CIQ(InputTicker, "IQ_COMMON",Input!N$2,Date,,,Ccy,Conv)</f>
        <v>117406</v>
      </c>
      <c r="M338" s="4">
        <f>_xll.ciqfunctions.udf.CIQ(InputTicker, "IQ_COMMON",Input!O$2,Date,,,Ccy,Conv)</f>
        <v>117406</v>
      </c>
      <c r="N338" s="46"/>
      <c r="T338" s="42"/>
      <c r="U338" s="42"/>
      <c r="V338" s="42"/>
      <c r="W338" s="42"/>
      <c r="X338" s="42"/>
      <c r="Y338" s="42"/>
      <c r="Z338" s="42"/>
      <c r="AA338" s="42"/>
      <c r="AB338" s="42"/>
      <c r="AC338" s="42"/>
      <c r="AD338" s="42"/>
      <c r="AE338" s="42"/>
      <c r="AF338" s="42"/>
      <c r="AG338" s="42"/>
      <c r="AH338" s="42"/>
      <c r="AI338" s="42"/>
      <c r="AJ338" s="42"/>
      <c r="AK338" s="42"/>
      <c r="AL338" s="42"/>
      <c r="AM338" s="42"/>
      <c r="AN338" s="42"/>
      <c r="AO338" s="42"/>
      <c r="AP338" s="42"/>
      <c r="AQ338" s="42"/>
      <c r="AR338" s="42"/>
      <c r="AS338" s="42"/>
      <c r="AT338" s="42"/>
      <c r="AU338" s="42"/>
      <c r="AV338" s="42"/>
      <c r="AW338" s="42"/>
      <c r="AX338" s="42"/>
      <c r="AY338" s="42"/>
      <c r="AZ338" s="42"/>
      <c r="BA338" s="42"/>
      <c r="BB338" s="42"/>
      <c r="BC338" s="42"/>
      <c r="BD338" s="42"/>
      <c r="BE338" s="42"/>
      <c r="BF338" s="42"/>
      <c r="BG338" s="42"/>
      <c r="BH338" s="42"/>
      <c r="BI338" s="42"/>
      <c r="BJ338" s="42"/>
      <c r="BK338" s="42"/>
      <c r="BL338" s="42"/>
      <c r="BM338" s="42"/>
      <c r="BN338" s="42"/>
    </row>
    <row r="339" spans="1:66" ht="12.75" customHeight="1" x14ac:dyDescent="0.2">
      <c r="A339" s="1" t="s">
        <v>139</v>
      </c>
      <c r="B339" s="4">
        <f>_xll.ciqfunctions.udf.CIQ(InputTicker, "IQ_APIC",Input!D$2,Date,,,Ccy,Conv)</f>
        <v>0</v>
      </c>
      <c r="C339" s="4">
        <f>_xll.ciqfunctions.udf.CIQ(InputTicker, "IQ_APIC",Input!E$2,Date,,,Ccy,Conv)</f>
        <v>0</v>
      </c>
      <c r="D339" s="4">
        <f>_xll.ciqfunctions.udf.CIQ(InputTicker, "IQ_APIC",Input!F$2,Date,,,Ccy,Conv)</f>
        <v>0</v>
      </c>
      <c r="E339" s="4">
        <f>_xll.ciqfunctions.udf.CIQ(InputTicker, "IQ_APIC",Input!G$2,Date,,,Ccy,Conv)</f>
        <v>0</v>
      </c>
      <c r="F339" s="4">
        <f>_xll.ciqfunctions.udf.CIQ(InputTicker, "IQ_APIC",Input!H$2,Date,,,Ccy,Conv)</f>
        <v>0</v>
      </c>
      <c r="G339" s="4">
        <f>_xll.ciqfunctions.udf.CIQ(InputTicker, "IQ_APIC",Input!I$2,Date,,,Ccy,Conv)</f>
        <v>0</v>
      </c>
      <c r="H339" s="4">
        <f>_xll.ciqfunctions.udf.CIQ(InputTicker, "IQ_APIC",Input!J$2,Date,,,Ccy,Conv)</f>
        <v>0</v>
      </c>
      <c r="I339" s="4">
        <f>_xll.ciqfunctions.udf.CIQ(InputTicker, "IQ_APIC",Input!K$2,Date,,,Ccy,Conv)</f>
        <v>0</v>
      </c>
      <c r="J339" s="4">
        <f>_xll.ciqfunctions.udf.CIQ(InputTicker, "IQ_APIC",Input!L$2,Date,,,Ccy,Conv)</f>
        <v>0</v>
      </c>
      <c r="K339" s="4">
        <f>_xll.ciqfunctions.udf.CIQ(InputTicker, "IQ_APIC",Input!M$2,Date,,,Ccy,Conv)</f>
        <v>0</v>
      </c>
      <c r="L339" s="4">
        <f>_xll.ciqfunctions.udf.CIQ(InputTicker, "IQ_APIC",Input!N$2,Date,,,Ccy,Conv)</f>
        <v>0</v>
      </c>
      <c r="M339" s="4">
        <f>_xll.ciqfunctions.udf.CIQ(InputTicker, "IQ_APIC",Input!O$2,Date,,,Ccy,Conv)</f>
        <v>0</v>
      </c>
      <c r="N339" s="42"/>
      <c r="S339" s="46"/>
      <c r="T339" s="42"/>
      <c r="U339" s="42"/>
      <c r="V339" s="42"/>
      <c r="W339" s="42"/>
      <c r="X339" s="42"/>
      <c r="Y339" s="42"/>
      <c r="Z339" s="42"/>
      <c r="AA339" s="42"/>
      <c r="AB339" s="42"/>
      <c r="AC339" s="42"/>
      <c r="AD339" s="42"/>
      <c r="AE339" s="42"/>
      <c r="AF339" s="42"/>
      <c r="AG339" s="42"/>
      <c r="AH339" s="42"/>
      <c r="AI339" s="42"/>
      <c r="AJ339" s="42"/>
      <c r="AK339" s="42"/>
      <c r="AL339" s="42"/>
      <c r="AM339" s="42"/>
      <c r="AN339" s="42"/>
      <c r="AO339" s="42"/>
      <c r="AP339" s="42"/>
      <c r="AQ339" s="42"/>
      <c r="AR339" s="42"/>
      <c r="AS339" s="42"/>
      <c r="AT339" s="42"/>
      <c r="AU339" s="42"/>
      <c r="AV339" s="42"/>
      <c r="AW339" s="42"/>
      <c r="AX339" s="42"/>
      <c r="AY339" s="42"/>
      <c r="AZ339" s="42"/>
      <c r="BA339" s="42"/>
      <c r="BB339" s="42"/>
      <c r="BC339" s="42"/>
      <c r="BD339" s="42"/>
      <c r="BE339" s="42"/>
      <c r="BF339" s="42"/>
      <c r="BG339" s="42"/>
      <c r="BH339" s="42"/>
      <c r="BI339" s="42"/>
      <c r="BJ339" s="42"/>
      <c r="BK339" s="42"/>
      <c r="BL339" s="42"/>
      <c r="BM339" s="42"/>
      <c r="BN339" s="42"/>
    </row>
    <row r="340" spans="1:66" ht="12.75" customHeight="1" x14ac:dyDescent="0.2">
      <c r="A340" s="1" t="s">
        <v>98</v>
      </c>
      <c r="B340" s="4">
        <f>_xll.ciqfunctions.udf.CIQ(InputTicker, "IQ_RE",Input!D$2,Date,,,Ccy,Conv)</f>
        <v>2282</v>
      </c>
      <c r="C340" s="4">
        <f>_xll.ciqfunctions.udf.CIQ(InputTicker, "IQ_RE",Input!E$2,Date,,,Ccy,Conv)</f>
        <v>17769</v>
      </c>
      <c r="D340" s="4">
        <f>_xll.ciqfunctions.udf.CIQ(InputTicker, "IQ_RE",Input!F$2,Date,,,Ccy,Conv)</f>
        <v>13682</v>
      </c>
      <c r="E340" s="4">
        <f>_xll.ciqfunctions.udf.CIQ(InputTicker, "IQ_RE",Input!G$2,Date,,,Ccy,Conv)</f>
        <v>24150</v>
      </c>
      <c r="F340" s="4">
        <f>_xll.ciqfunctions.udf.CIQ(InputTicker, "IQ_RE",Input!H$2,Date,,,Ccy,Conv)</f>
        <v>34566</v>
      </c>
      <c r="G340" s="4">
        <f>_xll.ciqfunctions.udf.CIQ(InputTicker, "IQ_RE",Input!I$2,Date,,,Ccy,Conv)</f>
        <v>57055</v>
      </c>
      <c r="H340" s="4">
        <f>_xll.ciqfunctions.udf.CIQ(InputTicker, "IQ_RE",Input!J$2,Date,,,Ccy,Conv)</f>
        <v>84281</v>
      </c>
      <c r="I340" s="4">
        <f>_xll.ciqfunctions.udf.CIQ(InputTicker, "IQ_RE",Input!K$2,Date,,,Ccy,Conv)</f>
        <v>118848</v>
      </c>
      <c r="J340" s="4">
        <f>_xll.ciqfunctions.udf.CIQ(InputTicker, "IQ_RE",Input!L$2,Date,,,Ccy,Conv)</f>
        <v>173144</v>
      </c>
      <c r="K340" s="4">
        <f>_xll.ciqfunctions.udf.CIQ(InputTicker, "IQ_RE",Input!M$2,Date,,,Ccy,Conv)</f>
        <v>237731</v>
      </c>
      <c r="L340" s="4">
        <f>_xll.ciqfunctions.udf.CIQ(InputTicker, "IQ_RE",Input!N$2,Date,,,Ccy,Conv)</f>
        <v>328265</v>
      </c>
      <c r="M340" s="4">
        <f>_xll.ciqfunctions.udf.CIQ(InputTicker, "IQ_RE",Input!O$2,Date,,,Ccy,Conv)</f>
        <v>328265</v>
      </c>
      <c r="N340" s="46"/>
      <c r="T340" s="42"/>
      <c r="U340" s="42"/>
      <c r="V340" s="42"/>
      <c r="W340" s="42"/>
      <c r="X340" s="42"/>
      <c r="Y340" s="42"/>
      <c r="Z340" s="42"/>
      <c r="AA340" s="42"/>
      <c r="AB340" s="42"/>
      <c r="AC340" s="42"/>
      <c r="AD340" s="42"/>
      <c r="AE340" s="42"/>
      <c r="AF340" s="42"/>
      <c r="AG340" s="42"/>
      <c r="AH340" s="42"/>
      <c r="AI340" s="42"/>
      <c r="AJ340" s="42"/>
      <c r="AK340" s="42"/>
      <c r="AL340" s="42"/>
      <c r="AM340" s="42"/>
      <c r="AN340" s="42"/>
      <c r="AO340" s="42"/>
      <c r="AP340" s="42"/>
      <c r="AQ340" s="42"/>
      <c r="AR340" s="42"/>
      <c r="AS340" s="42"/>
      <c r="AT340" s="42"/>
      <c r="AU340" s="42"/>
      <c r="AV340" s="42"/>
      <c r="AW340" s="42"/>
      <c r="AX340" s="42"/>
      <c r="AY340" s="42"/>
      <c r="AZ340" s="42"/>
      <c r="BA340" s="42"/>
      <c r="BB340" s="42"/>
      <c r="BC340" s="42"/>
      <c r="BD340" s="42"/>
      <c r="BE340" s="42"/>
      <c r="BF340" s="42"/>
      <c r="BG340" s="42"/>
      <c r="BH340" s="42"/>
      <c r="BI340" s="42"/>
      <c r="BJ340" s="42"/>
      <c r="BK340" s="42"/>
      <c r="BL340" s="42"/>
      <c r="BM340" s="42"/>
      <c r="BN340" s="42"/>
    </row>
    <row r="341" spans="1:66" ht="12.75" customHeight="1" x14ac:dyDescent="0.2">
      <c r="A341" s="1" t="s">
        <v>54</v>
      </c>
      <c r="B341" s="4">
        <f>_xll.ciqfunctions.udf.CIQ(InputTicker, "IQ_TREASURY",Input!D$2,Date,,,Ccy,Conv)</f>
        <v>0</v>
      </c>
      <c r="C341" s="4">
        <f>_xll.ciqfunctions.udf.CIQ(InputTicker, "IQ_TREASURY",Input!E$2,Date,,,Ccy,Conv)</f>
        <v>0</v>
      </c>
      <c r="D341" s="4">
        <f>_xll.ciqfunctions.udf.CIQ(InputTicker, "IQ_TREASURY",Input!F$2,Date,,,Ccy,Conv)</f>
        <v>0</v>
      </c>
      <c r="E341" s="4">
        <f>_xll.ciqfunctions.udf.CIQ(InputTicker, "IQ_TREASURY",Input!G$2,Date,,,Ccy,Conv)</f>
        <v>0</v>
      </c>
      <c r="F341" s="4">
        <f>_xll.ciqfunctions.udf.CIQ(InputTicker, "IQ_TREASURY",Input!H$2,Date,,,Ccy,Conv)</f>
        <v>0</v>
      </c>
      <c r="G341" s="4">
        <f>_xll.ciqfunctions.udf.CIQ(InputTicker, "IQ_TREASURY",Input!I$2,Date,,,Ccy,Conv)</f>
        <v>0</v>
      </c>
      <c r="H341" s="4">
        <f>_xll.ciqfunctions.udf.CIQ(InputTicker, "IQ_TREASURY",Input!J$2,Date,,,Ccy,Conv)</f>
        <v>0</v>
      </c>
      <c r="I341" s="4">
        <f>_xll.ciqfunctions.udf.CIQ(InputTicker, "IQ_TREASURY",Input!K$2,Date,,,Ccy,Conv)</f>
        <v>0</v>
      </c>
      <c r="J341" s="4">
        <f>_xll.ciqfunctions.udf.CIQ(InputTicker, "IQ_TREASURY",Input!L$2,Date,,,Ccy,Conv)</f>
        <v>0</v>
      </c>
      <c r="K341" s="4">
        <f>_xll.ciqfunctions.udf.CIQ(InputTicker, "IQ_TREASURY",Input!M$2,Date,,,Ccy,Conv)</f>
        <v>0</v>
      </c>
      <c r="L341" s="4">
        <f>_xll.ciqfunctions.udf.CIQ(InputTicker, "IQ_TREASURY",Input!N$2,Date,,,Ccy,Conv)</f>
        <v>0</v>
      </c>
      <c r="M341" s="4">
        <f>_xll.ciqfunctions.udf.CIQ(InputTicker, "IQ_TREASURY",Input!O$2,Date,,,Ccy,Conv)</f>
        <v>0</v>
      </c>
      <c r="N341" s="46"/>
      <c r="T341" s="42"/>
      <c r="U341" s="42"/>
      <c r="V341" s="42"/>
      <c r="W341" s="42"/>
      <c r="X341" s="42"/>
      <c r="Y341" s="42"/>
      <c r="Z341" s="42"/>
      <c r="AA341" s="42"/>
      <c r="AB341" s="42"/>
      <c r="AC341" s="42"/>
      <c r="AD341" s="42"/>
      <c r="AE341" s="42"/>
      <c r="AF341" s="42"/>
      <c r="AG341" s="42"/>
      <c r="AH341" s="42"/>
      <c r="AI341" s="42"/>
      <c r="AJ341" s="42"/>
      <c r="AK341" s="42"/>
      <c r="AL341" s="42"/>
      <c r="AM341" s="42"/>
      <c r="AN341" s="42"/>
      <c r="AO341" s="42"/>
      <c r="AP341" s="42"/>
      <c r="AQ341" s="42"/>
      <c r="AR341" s="42"/>
      <c r="AS341" s="42"/>
      <c r="AT341" s="42"/>
      <c r="AU341" s="42"/>
      <c r="AV341" s="42"/>
      <c r="AW341" s="42"/>
      <c r="AX341" s="42"/>
      <c r="AY341" s="42"/>
      <c r="AZ341" s="42"/>
      <c r="BA341" s="42"/>
      <c r="BB341" s="42"/>
      <c r="BC341" s="42"/>
      <c r="BD341" s="42"/>
      <c r="BE341" s="42"/>
      <c r="BF341" s="42"/>
      <c r="BG341" s="42"/>
      <c r="BH341" s="42"/>
      <c r="BI341" s="42"/>
      <c r="BJ341" s="42"/>
      <c r="BK341" s="42"/>
      <c r="BL341" s="42"/>
      <c r="BM341" s="42"/>
      <c r="BN341" s="42"/>
    </row>
    <row r="342" spans="1:66" ht="12.75" customHeight="1" x14ac:dyDescent="0.2">
      <c r="A342" s="1" t="s">
        <v>140</v>
      </c>
      <c r="B342" s="4">
        <f>_xll.ciqfunctions.udf.CIQ(InputTicker, "IQ_OTHER_EQUITY",Input!D$2,Date,,,Ccy,Conv)</f>
        <v>1537</v>
      </c>
      <c r="C342" s="4">
        <f>_xll.ciqfunctions.udf.CIQ(InputTicker, "IQ_OTHER_EQUITY",Input!E$2,Date,,,Ccy,Conv)</f>
        <v>627</v>
      </c>
      <c r="D342" s="4">
        <f>_xll.ciqfunctions.udf.CIQ(InputTicker, "IQ_OTHER_EQUITY",Input!F$2,Date,,,Ccy,Conv)</f>
        <v>-2187</v>
      </c>
      <c r="E342" s="4">
        <f>_xll.ciqfunctions.udf.CIQ(InputTicker, "IQ_OTHER_EQUITY",Input!G$2,Date,,,Ccy,Conv)</f>
        <v>-340</v>
      </c>
      <c r="F342" s="4">
        <f>_xll.ciqfunctions.udf.CIQ(InputTicker, "IQ_OTHER_EQUITY",Input!H$2,Date,,,Ccy,Conv)</f>
        <v>3186</v>
      </c>
      <c r="G342" s="4">
        <f>_xll.ciqfunctions.udf.CIQ(InputTicker, "IQ_OTHER_EQUITY",Input!I$2,Date,,,Ccy,Conv)</f>
        <v>1822</v>
      </c>
      <c r="H342" s="4">
        <f>_xll.ciqfunctions.udf.CIQ(InputTicker, "IQ_OTHER_EQUITY",Input!J$2,Date,,,Ccy,Conv)</f>
        <v>-4678</v>
      </c>
      <c r="I342" s="4">
        <f>_xll.ciqfunctions.udf.CIQ(InputTicker, "IQ_OTHER_EQUITY",Input!K$2,Date,,,Ccy,Conv)</f>
        <v>-6343</v>
      </c>
      <c r="J342" s="4">
        <f>_xll.ciqfunctions.udf.CIQ(InputTicker, "IQ_OTHER_EQUITY",Input!L$2,Date,,,Ccy,Conv)</f>
        <v>-5590</v>
      </c>
      <c r="K342" s="4">
        <f>_xll.ciqfunctions.udf.CIQ(InputTicker, "IQ_OTHER_EQUITY",Input!M$2,Date,,,Ccy,Conv)</f>
        <v>-3347</v>
      </c>
      <c r="L342" s="4">
        <f>_xll.ciqfunctions.udf.CIQ(InputTicker, "IQ_OTHER_EQUITY",Input!N$2,Date,,,Ccy,Conv)</f>
        <v>-3284</v>
      </c>
      <c r="M342" s="4">
        <f>_xll.ciqfunctions.udf.CIQ(InputTicker, "IQ_OTHER_EQUITY",Input!O$2,Date,,,Ccy,Conv)</f>
        <v>-3284</v>
      </c>
      <c r="N342" s="46"/>
      <c r="T342" s="42"/>
      <c r="U342" s="42"/>
      <c r="V342" s="42"/>
      <c r="W342" s="42"/>
      <c r="X342" s="42"/>
      <c r="Y342" s="42"/>
      <c r="Z342" s="42"/>
      <c r="AA342" s="42"/>
      <c r="AB342" s="42"/>
      <c r="AC342" s="42"/>
      <c r="AD342" s="42"/>
      <c r="AE342" s="42"/>
      <c r="AF342" s="42"/>
      <c r="AG342" s="42"/>
      <c r="AH342" s="42"/>
      <c r="AI342" s="42"/>
      <c r="AJ342" s="42"/>
      <c r="AK342" s="42"/>
      <c r="AL342" s="42"/>
      <c r="AM342" s="42"/>
      <c r="AN342" s="42"/>
      <c r="AO342" s="42"/>
      <c r="AP342" s="42"/>
      <c r="AQ342" s="42"/>
      <c r="AR342" s="42"/>
      <c r="AS342" s="42"/>
      <c r="AT342" s="42"/>
      <c r="AU342" s="42"/>
      <c r="AV342" s="42"/>
      <c r="AW342" s="42"/>
      <c r="AX342" s="42"/>
      <c r="AY342" s="42"/>
      <c r="AZ342" s="42"/>
      <c r="BA342" s="42"/>
      <c r="BB342" s="42"/>
      <c r="BC342" s="42"/>
      <c r="BD342" s="42"/>
      <c r="BE342" s="42"/>
      <c r="BF342" s="42"/>
      <c r="BG342" s="42"/>
      <c r="BH342" s="42"/>
      <c r="BI342" s="42"/>
      <c r="BJ342" s="42"/>
      <c r="BK342" s="42"/>
      <c r="BL342" s="42"/>
      <c r="BM342" s="42"/>
      <c r="BN342" s="42"/>
    </row>
    <row r="343" spans="1:66" ht="12.75" customHeight="1" x14ac:dyDescent="0.2">
      <c r="A343" s="5" t="s">
        <v>99</v>
      </c>
      <c r="B343" s="6">
        <f>_xll.ciqfunctions.udf.CIQ(InputTicker, "IQ_TOTAL_COMMON_EQUITY",Input!D$2,Date,,,Ccy,Conv)</f>
        <v>71997</v>
      </c>
      <c r="C343" s="6">
        <f>_xll.ciqfunctions.udf.CIQ(InputTicker, "IQ_TOTAL_COMMON_EQUITY",Input!E$2,Date,,,Ccy,Conv)</f>
        <v>87711</v>
      </c>
      <c r="D343" s="6">
        <f>_xll.ciqfunctions.udf.CIQ(InputTicker, "IQ_TOTAL_COMMON_EQUITY",Input!F$2,Date,,,Ccy,Conv)</f>
        <v>82718</v>
      </c>
      <c r="E343" s="6">
        <f>_xll.ciqfunctions.udf.CIQ(InputTicker, "IQ_TOTAL_COMMON_EQUITY",Input!G$2,Date,,,Ccy,Conv)</f>
        <v>102330</v>
      </c>
      <c r="F343" s="6">
        <f>_xll.ciqfunctions.udf.CIQ(InputTicker, "IQ_TOTAL_COMMON_EQUITY",Input!H$2,Date,,,Ccy,Conv)</f>
        <v>118304</v>
      </c>
      <c r="G343" s="6">
        <f>_xll.ciqfunctions.udf.CIQ(InputTicker, "IQ_TOTAL_COMMON_EQUITY",Input!I$2,Date,,,Ccy,Conv)</f>
        <v>141988</v>
      </c>
      <c r="H343" s="6">
        <f>_xll.ciqfunctions.udf.CIQ(InputTicker, "IQ_TOTAL_COMMON_EQUITY",Input!J$2,Date,,,Ccy,Conv)</f>
        <v>166542</v>
      </c>
      <c r="I343" s="6">
        <f>_xll.ciqfunctions.udf.CIQ(InputTicker, "IQ_TOTAL_COMMON_EQUITY",Input!K$2,Date,,,Ccy,Conv)</f>
        <v>206223</v>
      </c>
      <c r="J343" s="6">
        <f>_xll.ciqfunctions.udf.CIQ(InputTicker, "IQ_TOTAL_COMMON_EQUITY",Input!L$2,Date,,,Ccy,Conv)</f>
        <v>268477</v>
      </c>
      <c r="K343" s="6">
        <f>_xll.ciqfunctions.udf.CIQ(InputTicker, "IQ_TOTAL_COMMON_EQUITY",Input!M$2,Date,,,Ccy,Conv)</f>
        <v>343479</v>
      </c>
      <c r="L343" s="6">
        <f>_xll.ciqfunctions.udf.CIQ(InputTicker, "IQ_TOTAL_COMMON_EQUITY",Input!N$2,Date,,,Ccy,Conv)</f>
        <v>442387</v>
      </c>
      <c r="M343" s="6">
        <f>_xll.ciqfunctions.udf.CIQ(InputTicker, "IQ_TOTAL_COMMON_EQUITY",Input!O$2,Date,,,Ccy,Conv)</f>
        <v>442387</v>
      </c>
      <c r="N343" s="42"/>
      <c r="P343" s="51"/>
      <c r="Q343" s="51"/>
      <c r="R343" s="51"/>
      <c r="T343" s="42"/>
      <c r="U343" s="42"/>
      <c r="V343" s="51"/>
      <c r="W343" s="42"/>
      <c r="X343" s="42"/>
      <c r="Y343" s="42"/>
      <c r="Z343" s="42"/>
      <c r="AA343" s="42"/>
      <c r="AB343" s="42"/>
      <c r="AC343" s="42"/>
      <c r="AD343" s="42"/>
      <c r="AE343" s="42"/>
      <c r="AF343" s="42"/>
      <c r="AG343" s="42"/>
      <c r="AH343" s="42"/>
      <c r="AI343" s="42"/>
      <c r="AJ343" s="42"/>
      <c r="AK343" s="42"/>
      <c r="AL343" s="42"/>
      <c r="AM343" s="42"/>
      <c r="AN343" s="42"/>
      <c r="AO343" s="42"/>
      <c r="AP343" s="42"/>
      <c r="AQ343" s="42"/>
      <c r="AR343" s="42"/>
      <c r="AS343" s="42"/>
      <c r="AT343" s="42"/>
      <c r="AU343" s="42"/>
      <c r="AV343" s="42"/>
      <c r="AW343" s="42"/>
      <c r="AX343" s="42"/>
      <c r="AY343" s="42"/>
      <c r="AZ343" s="42"/>
      <c r="BA343" s="42"/>
      <c r="BB343" s="42"/>
      <c r="BC343" s="42"/>
      <c r="BD343" s="42"/>
      <c r="BE343" s="42"/>
      <c r="BF343" s="42"/>
      <c r="BG343" s="42"/>
      <c r="BH343" s="42"/>
      <c r="BI343" s="42"/>
      <c r="BJ343" s="42"/>
      <c r="BK343" s="42"/>
      <c r="BL343" s="42"/>
      <c r="BM343" s="42"/>
      <c r="BN343" s="42"/>
    </row>
    <row r="344" spans="1:66" ht="12.75" customHeight="1" x14ac:dyDescent="0.2">
      <c r="A344" s="1" t="s">
        <v>188</v>
      </c>
      <c r="B344" s="4">
        <f>_xll.ciqfunctions.udf.CIQ(InputTicker, "IQ_MINORITY_INTEREST",Input!D$2,Date,,,Ccy,Conv)</f>
        <v>0</v>
      </c>
      <c r="C344" s="4">
        <f>_xll.ciqfunctions.udf.CIQ(InputTicker, "IQ_MINORITY_INTEREST",Input!E$2,Date,,,Ccy,Conv)</f>
        <v>0</v>
      </c>
      <c r="D344" s="4">
        <f>_xll.ciqfunctions.udf.CIQ(InputTicker, "IQ_MINORITY_INTEREST",Input!F$2,Date,,,Ccy,Conv)</f>
        <v>0</v>
      </c>
      <c r="E344" s="4">
        <f>_xll.ciqfunctions.udf.CIQ(InputTicker, "IQ_MINORITY_INTEREST",Input!G$2,Date,,,Ccy,Conv)</f>
        <v>0</v>
      </c>
      <c r="F344" s="4">
        <f>_xll.ciqfunctions.udf.CIQ(InputTicker, "IQ_MINORITY_INTEREST",Input!H$2,Date,,,Ccy,Conv)</f>
        <v>0</v>
      </c>
      <c r="G344" s="4">
        <f>_xll.ciqfunctions.udf.CIQ(InputTicker, "IQ_MINORITY_INTEREST",Input!I$2,Date,,,Ccy,Conv)</f>
        <v>0</v>
      </c>
      <c r="H344" s="4">
        <f>_xll.ciqfunctions.udf.CIQ(InputTicker, "IQ_MINORITY_INTEREST",Input!J$2,Date,,,Ccy,Conv)</f>
        <v>0</v>
      </c>
      <c r="I344" s="4">
        <f>_xll.ciqfunctions.udf.CIQ(InputTicker, "IQ_MINORITY_INTEREST",Input!K$2,Date,,,Ccy,Conv)</f>
        <v>0</v>
      </c>
      <c r="J344" s="4">
        <f>_xll.ciqfunctions.udf.CIQ(InputTicker, "IQ_MINORITY_INTEREST",Input!L$2,Date,,,Ccy,Conv)</f>
        <v>0</v>
      </c>
      <c r="K344" s="4">
        <f>_xll.ciqfunctions.udf.CIQ(InputTicker, "IQ_MINORITY_INTEREST",Input!M$2,Date,,,Ccy,Conv)</f>
        <v>0</v>
      </c>
      <c r="L344" s="4">
        <f>_xll.ciqfunctions.udf.CIQ(InputTicker, "IQ_MINORITY_INTEREST",Input!N$2,Date,,,Ccy,Conv)</f>
        <v>0</v>
      </c>
      <c r="M344" s="4">
        <f>_xll.ciqfunctions.udf.CIQ(InputTicker, "IQ_MINORITY_INTEREST",Input!O$2,Date,,,Ccy,Conv)</f>
        <v>0</v>
      </c>
      <c r="N344" s="42"/>
      <c r="T344" s="42"/>
      <c r="U344" s="42"/>
      <c r="V344" s="42"/>
      <c r="W344" s="42"/>
      <c r="X344" s="42"/>
      <c r="Y344" s="42"/>
      <c r="Z344" s="42"/>
      <c r="AA344" s="42"/>
      <c r="AB344" s="42"/>
      <c r="AC344" s="42"/>
      <c r="AD344" s="42"/>
      <c r="AE344" s="42"/>
      <c r="AF344" s="42"/>
      <c r="AG344" s="42"/>
      <c r="AH344" s="42"/>
      <c r="AI344" s="42"/>
      <c r="AJ344" s="42"/>
      <c r="AK344" s="42"/>
      <c r="AL344" s="42"/>
      <c r="AM344" s="42"/>
      <c r="AN344" s="42"/>
      <c r="AO344" s="42"/>
      <c r="AP344" s="42"/>
      <c r="AQ344" s="42"/>
      <c r="AR344" s="42"/>
      <c r="AS344" s="42"/>
      <c r="AT344" s="42"/>
      <c r="AU344" s="42"/>
      <c r="AV344" s="42"/>
      <c r="AW344" s="42"/>
      <c r="AX344" s="42"/>
      <c r="AY344" s="42"/>
      <c r="AZ344" s="42"/>
      <c r="BA344" s="42"/>
      <c r="BB344" s="42"/>
      <c r="BC344" s="42"/>
      <c r="BD344" s="42"/>
      <c r="BE344" s="42"/>
      <c r="BF344" s="42"/>
      <c r="BG344" s="42"/>
      <c r="BH344" s="42"/>
      <c r="BI344" s="42"/>
      <c r="BJ344" s="42"/>
      <c r="BK344" s="42"/>
      <c r="BL344" s="42"/>
      <c r="BM344" s="42"/>
      <c r="BN344" s="42"/>
    </row>
    <row r="345" spans="1:66" ht="12.75" customHeight="1" x14ac:dyDescent="0.2">
      <c r="A345" s="5" t="s">
        <v>46</v>
      </c>
      <c r="B345" s="6">
        <f>_xll.ciqfunctions.udf.CIQ(InputTicker, "IQ_TOTAL_EQUITY",Input!D$2,Date,,,Ccy,Conv)</f>
        <v>71997</v>
      </c>
      <c r="C345" s="6">
        <f>_xll.ciqfunctions.udf.CIQ(InputTicker, "IQ_TOTAL_EQUITY",Input!E$2,Date,,,Ccy,Conv)</f>
        <v>87711</v>
      </c>
      <c r="D345" s="6">
        <f>_xll.ciqfunctions.udf.CIQ(InputTicker, "IQ_TOTAL_EQUITY",Input!F$2,Date,,,Ccy,Conv)</f>
        <v>82718</v>
      </c>
      <c r="E345" s="6">
        <f>_xll.ciqfunctions.udf.CIQ(InputTicker, "IQ_TOTAL_EQUITY",Input!G$2,Date,,,Ccy,Conv)</f>
        <v>102330</v>
      </c>
      <c r="F345" s="6">
        <f>_xll.ciqfunctions.udf.CIQ(InputTicker, "IQ_TOTAL_EQUITY",Input!H$2,Date,,,Ccy,Conv)</f>
        <v>118304</v>
      </c>
      <c r="G345" s="6">
        <f>_xll.ciqfunctions.udf.CIQ(InputTicker, "IQ_TOTAL_EQUITY",Input!I$2,Date,,,Ccy,Conv)</f>
        <v>141988</v>
      </c>
      <c r="H345" s="6">
        <f>_xll.ciqfunctions.udf.CIQ(InputTicker, "IQ_TOTAL_EQUITY",Input!J$2,Date,,,Ccy,Conv)</f>
        <v>166542</v>
      </c>
      <c r="I345" s="6">
        <f>_xll.ciqfunctions.udf.CIQ(InputTicker, "IQ_TOTAL_EQUITY",Input!K$2,Date,,,Ccy,Conv)</f>
        <v>206223</v>
      </c>
      <c r="J345" s="6">
        <f>_xll.ciqfunctions.udf.CIQ(InputTicker, "IQ_TOTAL_EQUITY",Input!L$2,Date,,,Ccy,Conv)</f>
        <v>268477</v>
      </c>
      <c r="K345" s="6">
        <f>_xll.ciqfunctions.udf.CIQ(InputTicker, "IQ_TOTAL_EQUITY",Input!M$2,Date,,,Ccy,Conv)</f>
        <v>343479</v>
      </c>
      <c r="L345" s="6">
        <f>_xll.ciqfunctions.udf.CIQ(InputTicker, "IQ_TOTAL_EQUITY",Input!N$2,Date,,,Ccy,Conv)</f>
        <v>442387</v>
      </c>
      <c r="M345" s="6">
        <f>_xll.ciqfunctions.udf.CIQ(InputTicker, "IQ_TOTAL_EQUITY",Input!O$2,Date,,,Ccy,Conv)</f>
        <v>442387</v>
      </c>
      <c r="N345" s="42"/>
      <c r="T345" s="42"/>
      <c r="U345" s="42"/>
      <c r="V345" s="42"/>
      <c r="W345" s="42"/>
      <c r="X345" s="42"/>
      <c r="Y345" s="42"/>
      <c r="Z345" s="42"/>
      <c r="AA345" s="42"/>
      <c r="AB345" s="42"/>
      <c r="AC345" s="42"/>
      <c r="AD345" s="42"/>
      <c r="AE345" s="42"/>
      <c r="AF345" s="42"/>
      <c r="AG345" s="42"/>
      <c r="AH345" s="42"/>
      <c r="AI345" s="42"/>
      <c r="AJ345" s="42"/>
      <c r="AK345" s="42"/>
      <c r="AL345" s="42"/>
      <c r="AM345" s="42"/>
      <c r="AN345" s="42"/>
      <c r="AO345" s="42"/>
      <c r="AP345" s="42"/>
      <c r="AQ345" s="42"/>
      <c r="AR345" s="42"/>
      <c r="AS345" s="42"/>
      <c r="AT345" s="42"/>
      <c r="AU345" s="42"/>
      <c r="AV345" s="42"/>
      <c r="AW345" s="42"/>
      <c r="AX345" s="42"/>
      <c r="AY345" s="42"/>
      <c r="AZ345" s="42"/>
      <c r="BA345" s="42"/>
      <c r="BB345" s="42"/>
      <c r="BC345" s="42"/>
      <c r="BD345" s="42"/>
      <c r="BE345" s="42"/>
      <c r="BF345" s="42"/>
      <c r="BG345" s="42"/>
      <c r="BH345" s="42"/>
      <c r="BI345" s="42"/>
      <c r="BJ345" s="42"/>
      <c r="BK345" s="42"/>
      <c r="BL345" s="42"/>
      <c r="BM345" s="42"/>
      <c r="BN345" s="42"/>
    </row>
    <row r="346" spans="1:66" ht="12.75" customHeight="1" thickBot="1" x14ac:dyDescent="0.25">
      <c r="A346" s="5" t="s">
        <v>100</v>
      </c>
      <c r="B346" s="9">
        <f>_xll.ciqfunctions.udf.CIQ(InputTicker, "IQ_TOTAL_LIAB_EQUITY",Input!D$2,Date,,,Ccy,Conv)</f>
        <v>193468</v>
      </c>
      <c r="C346" s="9">
        <f>_xll.ciqfunctions.udf.CIQ(InputTicker, "IQ_TOTAL_LIAB_EQUITY",Input!E$2,Date,,,Ccy,Conv)</f>
        <v>250312</v>
      </c>
      <c r="D346" s="9">
        <f>_xll.ciqfunctions.udf.CIQ(InputTicker, "IQ_TOTAL_LIAB_EQUITY",Input!F$2,Date,,,Ccy,Conv)</f>
        <v>258848</v>
      </c>
      <c r="E346" s="9">
        <f>_xll.ciqfunctions.udf.CIQ(InputTicker, "IQ_TOTAL_LIAB_EQUITY",Input!G$2,Date,,,Ccy,Conv)</f>
        <v>286556</v>
      </c>
      <c r="F346" s="9">
        <f>_xll.ciqfunctions.udf.CIQ(InputTicker, "IQ_TOTAL_LIAB_EQUITY",Input!H$2,Date,,,Ccy,Conv)</f>
        <v>301311</v>
      </c>
      <c r="G346" s="9">
        <f>_xll.ciqfunctions.udf.CIQ(InputTicker, "IQ_TOTAL_LIAB_EQUITY",Input!I$2,Date,,,Ccy,Conv)</f>
        <v>333779</v>
      </c>
      <c r="H346" s="9">
        <f>_xll.ciqfunctions.udf.CIQ(InputTicker, "IQ_TOTAL_LIAB_EQUITY",Input!J$2,Date,,,Ccy,Conv)</f>
        <v>364840</v>
      </c>
      <c r="I346" s="9">
        <f>_xll.ciqfunctions.udf.CIQ(InputTicker, "IQ_TOTAL_LIAB_EQUITY",Input!K$2,Date,,,Ccy,Conv)</f>
        <v>411976</v>
      </c>
      <c r="J346" s="9">
        <f>_xll.ciqfunctions.udf.CIQ(InputTicker, "IQ_TOTAL_LIAB_EQUITY",Input!L$2,Date,,,Ccy,Conv)</f>
        <v>512163</v>
      </c>
      <c r="K346" s="9">
        <f>_xll.ciqfunctions.udf.CIQ(InputTicker, "IQ_TOTAL_LIAB_EQUITY",Input!M$2,Date,,,Ccy,Conv)</f>
        <v>619003</v>
      </c>
      <c r="L346" s="9">
        <f>_xll.ciqfunctions.udf.CIQ(InputTicker, "IQ_TOTAL_LIAB_EQUITY",Input!N$2,Date,,,Ccy,Conv)</f>
        <v>758376</v>
      </c>
      <c r="M346" s="9">
        <f>_xll.ciqfunctions.udf.CIQ(InputTicker, "IQ_TOTAL_LIAB_EQUITY",Input!O$2,Date,,,Ccy,Conv)</f>
        <v>758376</v>
      </c>
      <c r="N346" s="42"/>
      <c r="T346" s="42"/>
      <c r="U346" s="42"/>
      <c r="V346" s="42"/>
      <c r="W346" s="42"/>
      <c r="X346" s="42"/>
      <c r="Y346" s="42"/>
      <c r="Z346" s="42"/>
      <c r="AA346" s="42"/>
      <c r="AB346" s="42"/>
      <c r="AC346" s="42"/>
      <c r="AD346" s="42"/>
      <c r="AE346" s="42"/>
      <c r="AF346" s="42"/>
      <c r="AG346" s="42"/>
      <c r="AH346" s="42"/>
      <c r="AI346" s="42"/>
      <c r="AJ346" s="42"/>
      <c r="AK346" s="42"/>
      <c r="AL346" s="42"/>
      <c r="AM346" s="42"/>
      <c r="AN346" s="42"/>
      <c r="AO346" s="42"/>
      <c r="AP346" s="42"/>
      <c r="AQ346" s="42"/>
      <c r="AR346" s="42"/>
      <c r="AS346" s="42"/>
      <c r="AT346" s="42"/>
      <c r="AU346" s="42"/>
      <c r="AV346" s="42"/>
      <c r="AW346" s="42"/>
      <c r="AX346" s="42"/>
      <c r="AY346" s="42"/>
      <c r="AZ346" s="42"/>
      <c r="BA346" s="42"/>
      <c r="BB346" s="42"/>
      <c r="BC346" s="42"/>
      <c r="BD346" s="42"/>
      <c r="BE346" s="42"/>
      <c r="BF346" s="42"/>
      <c r="BG346" s="42"/>
      <c r="BH346" s="42"/>
      <c r="BI346" s="42"/>
      <c r="BJ346" s="42"/>
      <c r="BK346" s="42"/>
      <c r="BL346" s="42"/>
      <c r="BM346" s="42"/>
      <c r="BN346" s="42"/>
    </row>
    <row r="347" spans="1:66" ht="12.75" customHeight="1" thickTop="1" x14ac:dyDescent="0.2">
      <c r="A347" s="1" t="s">
        <v>449</v>
      </c>
      <c r="B347" s="4">
        <f>_xll.ciqfunctions.udf.CIQ(InputTicker, "IQ_RUA_GROSS",Input!D$2,Date,,,Ccy,Conv)</f>
        <v>0</v>
      </c>
      <c r="C347" s="4">
        <f>_xll.ciqfunctions.udf.CIQ(InputTicker, "IQ_RUA_GROSS",Input!E$2,Date,,,Ccy,Conv)</f>
        <v>0</v>
      </c>
      <c r="D347" s="4">
        <f>_xll.ciqfunctions.udf.CIQ(InputTicker, "IQ_RUA_GROSS",Input!F$2,Date,,,Ccy,Conv)</f>
        <v>0</v>
      </c>
      <c r="E347" s="4">
        <f>_xll.ciqfunctions.udf.CIQ(InputTicker, "IQ_RUA_GROSS",Input!G$2,Date,,,Ccy,Conv)</f>
        <v>0</v>
      </c>
      <c r="F347" s="4">
        <f>_xll.ciqfunctions.udf.CIQ(InputTicker, "IQ_RUA_GROSS",Input!H$2,Date,,,Ccy,Conv)</f>
        <v>0</v>
      </c>
      <c r="G347" s="4">
        <f>_xll.ciqfunctions.udf.CIQ(InputTicker, "IQ_RUA_GROSS",Input!I$2,Date,,,Ccy,Conv)</f>
        <v>0</v>
      </c>
      <c r="H347" s="4">
        <f>_xll.ciqfunctions.udf.CIQ(InputTicker, "IQ_RUA_GROSS",Input!J$2,Date,,,Ccy,Conv)</f>
        <v>0</v>
      </c>
      <c r="I347" s="4">
        <f>_xll.ciqfunctions.udf.CIQ(InputTicker, "IQ_RUA_GROSS",Input!K$2,Date,,,Ccy,Conv)</f>
        <v>0</v>
      </c>
      <c r="J347" s="4">
        <f>_xll.ciqfunctions.udf.CIQ(InputTicker, "IQ_RUA_GROSS",Input!L$2,Date,,,Ccy,Conv)</f>
        <v>0</v>
      </c>
      <c r="K347" s="4">
        <f>_xll.ciqfunctions.udf.CIQ(InputTicker, "IQ_RUA_GROSS",Input!M$2,Date,,,Ccy,Conv)</f>
        <v>0</v>
      </c>
      <c r="L347" s="4">
        <f>_xll.ciqfunctions.udf.CIQ(InputTicker, "IQ_RUA_GROSS",Input!N$2,Date,,,Ccy,Conv)</f>
        <v>0</v>
      </c>
      <c r="M347" s="4">
        <f>_xll.ciqfunctions.udf.CIQ(InputTicker, "IQ_RUA_GROSS",Input!O$2,Date,,,Ccy,Conv)</f>
        <v>0</v>
      </c>
      <c r="N347" s="42"/>
      <c r="T347" s="42"/>
      <c r="U347" s="42"/>
      <c r="V347" s="42"/>
      <c r="W347" s="42"/>
      <c r="X347" s="42"/>
      <c r="Y347" s="42"/>
      <c r="Z347" s="42"/>
      <c r="AA347" s="42"/>
      <c r="AB347" s="42"/>
      <c r="AC347" s="42"/>
      <c r="AD347" s="42"/>
      <c r="AE347" s="42"/>
      <c r="AF347" s="42"/>
      <c r="AG347" s="42"/>
      <c r="AH347" s="42"/>
      <c r="AI347" s="42"/>
      <c r="AJ347" s="42"/>
      <c r="AK347" s="42"/>
      <c r="AL347" s="42"/>
      <c r="AM347" s="42"/>
      <c r="AN347" s="42"/>
      <c r="AO347" s="42"/>
      <c r="AP347" s="42"/>
      <c r="AQ347" s="42"/>
      <c r="AR347" s="42"/>
      <c r="AS347" s="42"/>
      <c r="AT347" s="42"/>
      <c r="AU347" s="42"/>
      <c r="AV347" s="42"/>
      <c r="AW347" s="42"/>
      <c r="AX347" s="42"/>
      <c r="AY347" s="42"/>
      <c r="AZ347" s="42"/>
      <c r="BA347" s="42"/>
      <c r="BB347" s="42"/>
      <c r="BC347" s="42"/>
      <c r="BD347" s="42"/>
      <c r="BE347" s="42"/>
      <c r="BF347" s="42"/>
      <c r="BG347" s="42"/>
      <c r="BH347" s="42"/>
      <c r="BI347" s="42"/>
      <c r="BJ347" s="42"/>
      <c r="BK347" s="42"/>
      <c r="BL347" s="42"/>
      <c r="BM347" s="42"/>
      <c r="BN347" s="42"/>
    </row>
    <row r="348" spans="1:66" ht="12.75" customHeight="1" x14ac:dyDescent="0.2">
      <c r="A348" s="1" t="s">
        <v>450</v>
      </c>
      <c r="B348" s="4">
        <f>_xll.ciqfunctions.udf.CIQ(InputTicker, "IQ_RUA_ACCUM_DEP",Input!D$2,Date,,,Ccy,Conv)</f>
        <v>0</v>
      </c>
      <c r="C348" s="4">
        <f>_xll.ciqfunctions.udf.CIQ(InputTicker, "IQ_RUA_ACCUM_DEP",Input!E$2,Date,,,Ccy,Conv)</f>
        <v>0</v>
      </c>
      <c r="D348" s="4">
        <f>_xll.ciqfunctions.udf.CIQ(InputTicker, "IQ_RUA_ACCUM_DEP",Input!F$2,Date,,,Ccy,Conv)</f>
        <v>0</v>
      </c>
      <c r="E348" s="4">
        <f>_xll.ciqfunctions.udf.CIQ(InputTicker, "IQ_RUA_ACCUM_DEP",Input!G$2,Date,,,Ccy,Conv)</f>
        <v>0</v>
      </c>
      <c r="F348" s="4">
        <f>_xll.ciqfunctions.udf.CIQ(InputTicker, "IQ_RUA_ACCUM_DEP",Input!H$2,Date,,,Ccy,Conv)</f>
        <v>0</v>
      </c>
      <c r="G348" s="4">
        <f>_xll.ciqfunctions.udf.CIQ(InputTicker, "IQ_RUA_ACCUM_DEP",Input!I$2,Date,,,Ccy,Conv)</f>
        <v>0</v>
      </c>
      <c r="H348" s="4">
        <f>_xll.ciqfunctions.udf.CIQ(InputTicker, "IQ_RUA_ACCUM_DEP",Input!J$2,Date,,,Ccy,Conv)</f>
        <v>0</v>
      </c>
      <c r="I348" s="4">
        <f>_xll.ciqfunctions.udf.CIQ(InputTicker, "IQ_RUA_ACCUM_DEP",Input!K$2,Date,,,Ccy,Conv)</f>
        <v>0</v>
      </c>
      <c r="J348" s="4">
        <f>_xll.ciqfunctions.udf.CIQ(InputTicker, "IQ_RUA_ACCUM_DEP",Input!L$2,Date,,,Ccy,Conv)</f>
        <v>0</v>
      </c>
      <c r="K348" s="4">
        <f>_xll.ciqfunctions.udf.CIQ(InputTicker, "IQ_RUA_ACCUM_DEP",Input!M$2,Date,,,Ccy,Conv)</f>
        <v>0</v>
      </c>
      <c r="L348" s="4">
        <f>_xll.ciqfunctions.udf.CIQ(InputTicker, "IQ_RUA_ACCUM_DEP",Input!N$2,Date,,,Ccy,Conv)</f>
        <v>0</v>
      </c>
      <c r="M348" s="4">
        <f>_xll.ciqfunctions.udf.CIQ(InputTicker, "IQ_RUA_ACCUM_DEP",Input!O$2,Date,,,Ccy,Conv)</f>
        <v>0</v>
      </c>
      <c r="N348" s="42"/>
      <c r="T348" s="42"/>
      <c r="U348" s="42"/>
      <c r="V348" s="42"/>
      <c r="W348" s="42"/>
      <c r="X348" s="42"/>
      <c r="Y348" s="42"/>
      <c r="Z348" s="42"/>
      <c r="AA348" s="42"/>
      <c r="AB348" s="42"/>
      <c r="AC348" s="42"/>
      <c r="AD348" s="42"/>
      <c r="AE348" s="42"/>
      <c r="AF348" s="42"/>
      <c r="AG348" s="42"/>
      <c r="AH348" s="42"/>
      <c r="AI348" s="42"/>
      <c r="AJ348" s="42"/>
      <c r="AK348" s="42"/>
      <c r="AL348" s="42"/>
      <c r="AM348" s="42"/>
      <c r="AN348" s="42"/>
      <c r="AO348" s="42"/>
      <c r="AP348" s="42"/>
      <c r="AQ348" s="42"/>
      <c r="AR348" s="42"/>
      <c r="AS348" s="42"/>
      <c r="AT348" s="42"/>
      <c r="AU348" s="42"/>
      <c r="AV348" s="42"/>
      <c r="AW348" s="42"/>
      <c r="AX348" s="42"/>
      <c r="AY348" s="42"/>
      <c r="AZ348" s="42"/>
      <c r="BA348" s="42"/>
      <c r="BB348" s="42"/>
      <c r="BC348" s="42"/>
      <c r="BD348" s="42"/>
      <c r="BE348" s="42"/>
      <c r="BF348" s="42"/>
      <c r="BG348" s="42"/>
      <c r="BH348" s="42"/>
      <c r="BI348" s="42"/>
      <c r="BJ348" s="42"/>
      <c r="BK348" s="42"/>
      <c r="BL348" s="42"/>
      <c r="BM348" s="42"/>
      <c r="BN348" s="42"/>
    </row>
    <row r="349" spans="1:66" ht="12.75" customHeight="1" x14ac:dyDescent="0.2">
      <c r="A349" s="1" t="s">
        <v>451</v>
      </c>
      <c r="B349" s="4">
        <f>_xll.ciqfunctions.udf.CIQ(InputTicker, "IQ_RUA_NET",Input!D$2,Date,,,Ccy,Conv)</f>
        <v>0</v>
      </c>
      <c r="C349" s="4">
        <f>_xll.ciqfunctions.udf.CIQ(InputTicker, "IQ_RUA_NET",Input!E$2,Date,,,Ccy,Conv)</f>
        <v>0</v>
      </c>
      <c r="D349" s="4">
        <f>_xll.ciqfunctions.udf.CIQ(InputTicker, "IQ_RUA_NET",Input!F$2,Date,,,Ccy,Conv)</f>
        <v>0</v>
      </c>
      <c r="E349" s="4">
        <f>_xll.ciqfunctions.udf.CIQ(InputTicker, "IQ_RUA_NET",Input!G$2,Date,,,Ccy,Conv)</f>
        <v>0</v>
      </c>
      <c r="F349" s="4">
        <f>_xll.ciqfunctions.udf.CIQ(InputTicker, "IQ_RUA_NET",Input!H$2,Date,,,Ccy,Conv)</f>
        <v>0</v>
      </c>
      <c r="G349" s="4">
        <f>_xll.ciqfunctions.udf.CIQ(InputTicker, "IQ_RUA_NET",Input!I$2,Date,,,Ccy,Conv)</f>
        <v>0</v>
      </c>
      <c r="H349" s="4">
        <f>_xll.ciqfunctions.udf.CIQ(InputTicker, "IQ_RUA_NET",Input!J$2,Date,,,Ccy,Conv)</f>
        <v>0</v>
      </c>
      <c r="I349" s="4">
        <f>_xll.ciqfunctions.udf.CIQ(InputTicker, "IQ_RUA_NET",Input!K$2,Date,,,Ccy,Conv)</f>
        <v>0</v>
      </c>
      <c r="J349" s="4">
        <f>_xll.ciqfunctions.udf.CIQ(InputTicker, "IQ_RUA_NET",Input!L$2,Date,,,Ccy,Conv)</f>
        <v>0</v>
      </c>
      <c r="K349" s="4">
        <f>_xll.ciqfunctions.udf.CIQ(InputTicker, "IQ_RUA_NET",Input!M$2,Date,,,Ccy,Conv)</f>
        <v>0</v>
      </c>
      <c r="L349" s="4">
        <f>_xll.ciqfunctions.udf.CIQ(InputTicker, "IQ_RUA_NET",Input!N$2,Date,,,Ccy,Conv)</f>
        <v>0</v>
      </c>
      <c r="M349" s="4">
        <f>_xll.ciqfunctions.udf.CIQ(InputTicker, "IQ_RUA_NET",Input!O$2,Date,,,Ccy,Conv)</f>
        <v>0</v>
      </c>
      <c r="N349" s="42"/>
      <c r="T349" s="42"/>
      <c r="U349" s="42"/>
      <c r="V349" s="42"/>
      <c r="W349" s="42"/>
      <c r="X349" s="42"/>
      <c r="Y349" s="42"/>
      <c r="Z349" s="42"/>
      <c r="AA349" s="42"/>
      <c r="AB349" s="42"/>
      <c r="AC349" s="42"/>
      <c r="AD349" s="42"/>
      <c r="AE349" s="42"/>
      <c r="AF349" s="42"/>
      <c r="AG349" s="42"/>
      <c r="AH349" s="42"/>
      <c r="AI349" s="42"/>
      <c r="AJ349" s="42"/>
      <c r="AK349" s="42"/>
      <c r="AL349" s="42"/>
      <c r="AM349" s="42"/>
      <c r="AN349" s="42"/>
      <c r="AO349" s="42"/>
      <c r="AP349" s="42"/>
      <c r="AQ349" s="42"/>
      <c r="AR349" s="42"/>
      <c r="AS349" s="42"/>
      <c r="AT349" s="42"/>
      <c r="AU349" s="42"/>
      <c r="AV349" s="42"/>
      <c r="AW349" s="42"/>
      <c r="AX349" s="42"/>
      <c r="AY349" s="42"/>
      <c r="AZ349" s="42"/>
      <c r="BA349" s="42"/>
      <c r="BB349" s="42"/>
      <c r="BC349" s="42"/>
      <c r="BD349" s="42"/>
      <c r="BE349" s="42"/>
      <c r="BF349" s="42"/>
      <c r="BG349" s="42"/>
      <c r="BH349" s="42"/>
      <c r="BI349" s="42"/>
      <c r="BJ349" s="42"/>
      <c r="BK349" s="42"/>
      <c r="BL349" s="42"/>
      <c r="BM349" s="42"/>
      <c r="BN349" s="42"/>
    </row>
    <row r="350" spans="1:66" ht="12.75" customHeight="1" x14ac:dyDescent="0.2">
      <c r="A350" s="1" t="s">
        <v>452</v>
      </c>
      <c r="B350" s="4">
        <f>_xll.ciqfunctions.udf.CIQ(InputTicker, "IQ_RUA_CAPITAL_LEASE_GROSS",Input!D$2,Date,,,Ccy,Conv)</f>
        <v>0</v>
      </c>
      <c r="C350" s="4">
        <f>_xll.ciqfunctions.udf.CIQ(InputTicker, "IQ_RUA_CAPITAL_LEASE_GROSS",Input!E$2,Date,,,Ccy,Conv)</f>
        <v>0</v>
      </c>
      <c r="D350" s="4">
        <f>_xll.ciqfunctions.udf.CIQ(InputTicker, "IQ_RUA_CAPITAL_LEASE_GROSS",Input!F$2,Date,,,Ccy,Conv)</f>
        <v>0</v>
      </c>
      <c r="E350" s="4">
        <f>_xll.ciqfunctions.udf.CIQ(InputTicker, "IQ_RUA_CAPITAL_LEASE_GROSS",Input!G$2,Date,,,Ccy,Conv)</f>
        <v>0</v>
      </c>
      <c r="F350" s="4">
        <f>_xll.ciqfunctions.udf.CIQ(InputTicker, "IQ_RUA_CAPITAL_LEASE_GROSS",Input!H$2,Date,,,Ccy,Conv)</f>
        <v>0</v>
      </c>
      <c r="G350" s="4">
        <f>_xll.ciqfunctions.udf.CIQ(InputTicker, "IQ_RUA_CAPITAL_LEASE_GROSS",Input!I$2,Date,,,Ccy,Conv)</f>
        <v>0</v>
      </c>
      <c r="H350" s="4">
        <f>_xll.ciqfunctions.udf.CIQ(InputTicker, "IQ_RUA_CAPITAL_LEASE_GROSS",Input!J$2,Date,,,Ccy,Conv)</f>
        <v>0</v>
      </c>
      <c r="I350" s="4">
        <f>_xll.ciqfunctions.udf.CIQ(InputTicker, "IQ_RUA_CAPITAL_LEASE_GROSS",Input!K$2,Date,,,Ccy,Conv)</f>
        <v>0</v>
      </c>
      <c r="J350" s="4">
        <f>_xll.ciqfunctions.udf.CIQ(InputTicker, "IQ_RUA_CAPITAL_LEASE_GROSS",Input!L$2,Date,,,Ccy,Conv)</f>
        <v>0</v>
      </c>
      <c r="K350" s="4">
        <f>_xll.ciqfunctions.udf.CIQ(InputTicker, "IQ_RUA_CAPITAL_LEASE_GROSS",Input!M$2,Date,,,Ccy,Conv)</f>
        <v>0</v>
      </c>
      <c r="L350" s="4">
        <f>_xll.ciqfunctions.udf.CIQ(InputTicker, "IQ_RUA_CAPITAL_LEASE_GROSS",Input!N$2,Date,,,Ccy,Conv)</f>
        <v>0</v>
      </c>
      <c r="M350" s="4">
        <f>_xll.ciqfunctions.udf.CIQ(InputTicker, "IQ_RUA_CAPITAL_LEASE_GROSS",Input!O$2,Date,,,Ccy,Conv)</f>
        <v>0</v>
      </c>
      <c r="N350" s="42"/>
      <c r="T350" s="42"/>
      <c r="U350" s="42"/>
      <c r="V350" s="42"/>
      <c r="W350" s="42"/>
      <c r="X350" s="42"/>
      <c r="Y350" s="42"/>
      <c r="Z350" s="42"/>
      <c r="AA350" s="42"/>
      <c r="AB350" s="42"/>
      <c r="AC350" s="42"/>
      <c r="AD350" s="42"/>
      <c r="AE350" s="42"/>
      <c r="AF350" s="42"/>
      <c r="AG350" s="42"/>
      <c r="AH350" s="42"/>
      <c r="AI350" s="42"/>
      <c r="AJ350" s="42"/>
      <c r="AK350" s="42"/>
      <c r="AL350" s="42"/>
      <c r="AM350" s="42"/>
      <c r="AN350" s="42"/>
      <c r="AO350" s="42"/>
      <c r="AP350" s="42"/>
      <c r="AQ350" s="42"/>
      <c r="AR350" s="42"/>
      <c r="AS350" s="42"/>
      <c r="AT350" s="42"/>
      <c r="AU350" s="42"/>
      <c r="AV350" s="42"/>
      <c r="AW350" s="42"/>
      <c r="AX350" s="42"/>
      <c r="AY350" s="42"/>
      <c r="AZ350" s="42"/>
      <c r="BA350" s="42"/>
      <c r="BB350" s="42"/>
      <c r="BC350" s="42"/>
      <c r="BD350" s="42"/>
      <c r="BE350" s="42"/>
      <c r="BF350" s="42"/>
      <c r="BG350" s="42"/>
      <c r="BH350" s="42"/>
      <c r="BI350" s="42"/>
      <c r="BJ350" s="42"/>
      <c r="BK350" s="42"/>
      <c r="BL350" s="42"/>
      <c r="BM350" s="42"/>
      <c r="BN350" s="42"/>
    </row>
    <row r="351" spans="1:66" ht="12.75" customHeight="1" x14ac:dyDescent="0.2">
      <c r="A351" s="1" t="s">
        <v>453</v>
      </c>
      <c r="B351" s="4">
        <f>_xll.ciqfunctions.udf.CIQ(InputTicker, "IQ_RUA_CAPITAL_LEASE_ACCUM_DEP",Input!D$2,Date,,,Ccy,Conv)</f>
        <v>0</v>
      </c>
      <c r="C351" s="4">
        <f>_xll.ciqfunctions.udf.CIQ(InputTicker, "IQ_RUA_CAPITAL_LEASE_ACCUM_DEP",Input!E$2,Date,,,Ccy,Conv)</f>
        <v>0</v>
      </c>
      <c r="D351" s="4">
        <f>_xll.ciqfunctions.udf.CIQ(InputTicker, "IQ_RUA_CAPITAL_LEASE_ACCUM_DEP",Input!F$2,Date,,,Ccy,Conv)</f>
        <v>0</v>
      </c>
      <c r="E351" s="4">
        <f>_xll.ciqfunctions.udf.CIQ(InputTicker, "IQ_RUA_CAPITAL_LEASE_ACCUM_DEP",Input!G$2,Date,,,Ccy,Conv)</f>
        <v>0</v>
      </c>
      <c r="F351" s="4">
        <f>_xll.ciqfunctions.udf.CIQ(InputTicker, "IQ_RUA_CAPITAL_LEASE_ACCUM_DEP",Input!H$2,Date,,,Ccy,Conv)</f>
        <v>0</v>
      </c>
      <c r="G351" s="4">
        <f>_xll.ciqfunctions.udf.CIQ(InputTicker, "IQ_RUA_CAPITAL_LEASE_ACCUM_DEP",Input!I$2,Date,,,Ccy,Conv)</f>
        <v>0</v>
      </c>
      <c r="H351" s="4">
        <f>_xll.ciqfunctions.udf.CIQ(InputTicker, "IQ_RUA_CAPITAL_LEASE_ACCUM_DEP",Input!J$2,Date,,,Ccy,Conv)</f>
        <v>0</v>
      </c>
      <c r="I351" s="4">
        <f>_xll.ciqfunctions.udf.CIQ(InputTicker, "IQ_RUA_CAPITAL_LEASE_ACCUM_DEP",Input!K$2,Date,,,Ccy,Conv)</f>
        <v>0</v>
      </c>
      <c r="J351" s="4">
        <f>_xll.ciqfunctions.udf.CIQ(InputTicker, "IQ_RUA_CAPITAL_LEASE_ACCUM_DEP",Input!L$2,Date,,,Ccy,Conv)</f>
        <v>0</v>
      </c>
      <c r="K351" s="4">
        <f>_xll.ciqfunctions.udf.CIQ(InputTicker, "IQ_RUA_CAPITAL_LEASE_ACCUM_DEP",Input!M$2,Date,,,Ccy,Conv)</f>
        <v>0</v>
      </c>
      <c r="L351" s="4">
        <f>_xll.ciqfunctions.udf.CIQ(InputTicker, "IQ_RUA_CAPITAL_LEASE_ACCUM_DEP",Input!N$2,Date,,,Ccy,Conv)</f>
        <v>0</v>
      </c>
      <c r="M351" s="4">
        <f>_xll.ciqfunctions.udf.CIQ(InputTicker, "IQ_RUA_CAPITAL_LEASE_ACCUM_DEP",Input!O$2,Date,,,Ccy,Conv)</f>
        <v>0</v>
      </c>
      <c r="N351" s="42"/>
      <c r="T351" s="42"/>
      <c r="U351" s="42"/>
      <c r="V351" s="42"/>
      <c r="W351" s="42"/>
      <c r="X351" s="42"/>
      <c r="Y351" s="42"/>
      <c r="Z351" s="42"/>
      <c r="AA351" s="42"/>
      <c r="AB351" s="42"/>
      <c r="AC351" s="42"/>
      <c r="AD351" s="42"/>
      <c r="AE351" s="42"/>
      <c r="AF351" s="42"/>
      <c r="AG351" s="42"/>
      <c r="AH351" s="42"/>
      <c r="AI351" s="42"/>
      <c r="AJ351" s="42"/>
      <c r="AK351" s="42"/>
      <c r="AL351" s="42"/>
      <c r="AM351" s="42"/>
      <c r="AN351" s="42"/>
      <c r="AO351" s="42"/>
      <c r="AP351" s="42"/>
      <c r="AQ351" s="42"/>
      <c r="AR351" s="42"/>
      <c r="AS351" s="42"/>
      <c r="AT351" s="42"/>
      <c r="AU351" s="42"/>
      <c r="AV351" s="42"/>
      <c r="AW351" s="42"/>
      <c r="AX351" s="42"/>
      <c r="AY351" s="42"/>
      <c r="AZ351" s="42"/>
      <c r="BA351" s="42"/>
      <c r="BB351" s="42"/>
      <c r="BC351" s="42"/>
      <c r="BD351" s="42"/>
      <c r="BE351" s="42"/>
      <c r="BF351" s="42"/>
      <c r="BG351" s="42"/>
      <c r="BH351" s="42"/>
      <c r="BI351" s="42"/>
      <c r="BJ351" s="42"/>
      <c r="BK351" s="42"/>
      <c r="BL351" s="42"/>
      <c r="BM351" s="42"/>
      <c r="BN351" s="42"/>
    </row>
    <row r="352" spans="1:66" ht="12.75" customHeight="1" x14ac:dyDescent="0.2">
      <c r="A352" s="1" t="s">
        <v>454</v>
      </c>
      <c r="B352" s="4">
        <f>_xll.ciqfunctions.udf.CIQ(InputTicker, "IQ_RUA_CAPITAL_LEASE_NET",Input!D$2,Date,,,Ccy,Conv)</f>
        <v>0</v>
      </c>
      <c r="C352" s="4">
        <f>_xll.ciqfunctions.udf.CIQ(InputTicker, "IQ_RUA_CAPITAL_LEASE_NET",Input!E$2,Date,,,Ccy,Conv)</f>
        <v>0</v>
      </c>
      <c r="D352" s="4">
        <f>_xll.ciqfunctions.udf.CIQ(InputTicker, "IQ_RUA_CAPITAL_LEASE_NET",Input!F$2,Date,,,Ccy,Conv)</f>
        <v>0</v>
      </c>
      <c r="E352" s="4">
        <f>_xll.ciqfunctions.udf.CIQ(InputTicker, "IQ_RUA_CAPITAL_LEASE_NET",Input!G$2,Date,,,Ccy,Conv)</f>
        <v>0</v>
      </c>
      <c r="F352" s="4">
        <f>_xll.ciqfunctions.udf.CIQ(InputTicker, "IQ_RUA_CAPITAL_LEASE_NET",Input!H$2,Date,,,Ccy,Conv)</f>
        <v>0</v>
      </c>
      <c r="G352" s="4">
        <f>_xll.ciqfunctions.udf.CIQ(InputTicker, "IQ_RUA_CAPITAL_LEASE_NET",Input!I$2,Date,,,Ccy,Conv)</f>
        <v>0</v>
      </c>
      <c r="H352" s="4">
        <f>_xll.ciqfunctions.udf.CIQ(InputTicker, "IQ_RUA_CAPITAL_LEASE_NET",Input!J$2,Date,,,Ccy,Conv)</f>
        <v>0</v>
      </c>
      <c r="I352" s="4">
        <f>_xll.ciqfunctions.udf.CIQ(InputTicker, "IQ_RUA_CAPITAL_LEASE_NET",Input!K$2,Date,,,Ccy,Conv)</f>
        <v>0</v>
      </c>
      <c r="J352" s="4">
        <f>_xll.ciqfunctions.udf.CIQ(InputTicker, "IQ_RUA_CAPITAL_LEASE_NET",Input!L$2,Date,,,Ccy,Conv)</f>
        <v>0</v>
      </c>
      <c r="K352" s="4">
        <f>_xll.ciqfunctions.udf.CIQ(InputTicker, "IQ_RUA_CAPITAL_LEASE_NET",Input!M$2,Date,,,Ccy,Conv)</f>
        <v>0</v>
      </c>
      <c r="L352" s="4">
        <f>_xll.ciqfunctions.udf.CIQ(InputTicker, "IQ_RUA_CAPITAL_LEASE_NET",Input!N$2,Date,,,Ccy,Conv)</f>
        <v>0</v>
      </c>
      <c r="M352" s="4">
        <f>_xll.ciqfunctions.udf.CIQ(InputTicker, "IQ_RUA_CAPITAL_LEASE_NET",Input!O$2,Date,,,Ccy,Conv)</f>
        <v>0</v>
      </c>
      <c r="N352" s="42"/>
      <c r="T352" s="42"/>
      <c r="U352" s="42"/>
      <c r="V352" s="42"/>
      <c r="W352" s="42"/>
      <c r="X352" s="42"/>
      <c r="Y352" s="42"/>
      <c r="Z352" s="42"/>
      <c r="AA352" s="42"/>
      <c r="AB352" s="42"/>
      <c r="AC352" s="42"/>
      <c r="AD352" s="42"/>
      <c r="AE352" s="42"/>
      <c r="AF352" s="42"/>
      <c r="AG352" s="42"/>
      <c r="AH352" s="42"/>
      <c r="AI352" s="42"/>
      <c r="AJ352" s="42"/>
      <c r="AK352" s="42"/>
      <c r="AL352" s="42"/>
      <c r="AM352" s="42"/>
      <c r="AN352" s="42"/>
      <c r="AO352" s="42"/>
      <c r="AP352" s="42"/>
      <c r="AQ352" s="42"/>
      <c r="AR352" s="42"/>
      <c r="AS352" s="42"/>
      <c r="AT352" s="42"/>
      <c r="AU352" s="42"/>
      <c r="AV352" s="42"/>
      <c r="AW352" s="42"/>
      <c r="AX352" s="42"/>
      <c r="AY352" s="42"/>
      <c r="AZ352" s="42"/>
      <c r="BA352" s="42"/>
      <c r="BB352" s="42"/>
      <c r="BC352" s="42"/>
      <c r="BD352" s="42"/>
      <c r="BE352" s="42"/>
      <c r="BF352" s="42"/>
      <c r="BG352" s="42"/>
      <c r="BH352" s="42"/>
      <c r="BI352" s="42"/>
      <c r="BJ352" s="42"/>
      <c r="BK352" s="42"/>
      <c r="BL352" s="42"/>
      <c r="BM352" s="42"/>
      <c r="BN352" s="42"/>
    </row>
    <row r="353" spans="1:66" ht="12.75" customHeight="1" x14ac:dyDescent="0.2">
      <c r="A353" s="1" t="s">
        <v>455</v>
      </c>
      <c r="B353" s="4">
        <f>_xll.ciqfunctions.udf.CIQ(InputTicker, "IQ_RUA_OPERATING_LEASE_GROSS",Input!D$2,Date,,,Ccy,Conv)</f>
        <v>0</v>
      </c>
      <c r="C353" s="4">
        <f>_xll.ciqfunctions.udf.CIQ(InputTicker, "IQ_RUA_OPERATING_LEASE_GROSS",Input!E$2,Date,,,Ccy,Conv)</f>
        <v>6555</v>
      </c>
      <c r="D353" s="4">
        <f>_xll.ciqfunctions.udf.CIQ(InputTicker, "IQ_RUA_OPERATING_LEASE_GROSS",Input!F$2,Date,,,Ccy,Conv)</f>
        <v>6686</v>
      </c>
      <c r="E353" s="4">
        <f>_xll.ciqfunctions.udf.CIQ(InputTicker, "IQ_RUA_OPERATING_LEASE_GROSS",Input!G$2,Date,,,Ccy,Conv)</f>
        <v>7379</v>
      </c>
      <c r="F353" s="4">
        <f>_xll.ciqfunctions.udf.CIQ(InputTicker, "IQ_RUA_OPERATING_LEASE_GROSS",Input!H$2,Date,,,Ccy,Conv)</f>
        <v>8753</v>
      </c>
      <c r="G353" s="4">
        <f>_xll.ciqfunctions.udf.CIQ(InputTicker, "IQ_RUA_OPERATING_LEASE_GROSS",Input!I$2,Date,,,Ccy,Conv)</f>
        <v>11088</v>
      </c>
      <c r="H353" s="4">
        <f>_xll.ciqfunctions.udf.CIQ(InputTicker, "IQ_RUA_OPERATING_LEASE_GROSS",Input!J$2,Date,,,Ccy,Conv)</f>
        <v>13148</v>
      </c>
      <c r="I353" s="4">
        <f>_xll.ciqfunctions.udf.CIQ(InputTicker, "IQ_RUA_OPERATING_LEASE_GROSS",Input!K$2,Date,,,Ccy,Conv)</f>
        <v>14346</v>
      </c>
      <c r="J353" s="4">
        <f>_xll.ciqfunctions.udf.CIQ(InputTicker, "IQ_RUA_OPERATING_LEASE_GROSS",Input!L$2,Date,,,Ccy,Conv)</f>
        <v>18961</v>
      </c>
      <c r="K353" s="4">
        <f>_xll.ciqfunctions.udf.CIQ(InputTicker, "IQ_RUA_OPERATING_LEASE_GROSS",Input!M$2,Date,,,Ccy,Conv)</f>
        <v>24823</v>
      </c>
      <c r="L353" s="4">
        <f>_xll.ciqfunctions.udf.CIQ(InputTicker, "IQ_RUA_OPERATING_LEASE_GROSS",Input!N$2,Date,,,Ccy,Conv)</f>
        <v>24177</v>
      </c>
      <c r="M353" s="4">
        <f>_xll.ciqfunctions.udf.CIQ(InputTicker, "IQ_RUA_OPERATING_LEASE_GROSS",Input!O$2,Date,,,Ccy,Conv)</f>
        <v>24177</v>
      </c>
      <c r="N353" s="42"/>
      <c r="T353" s="42"/>
      <c r="U353" s="42"/>
      <c r="V353" s="42"/>
      <c r="W353" s="42"/>
      <c r="X353" s="42"/>
      <c r="Y353" s="42"/>
      <c r="Z353" s="42"/>
      <c r="AA353" s="42"/>
      <c r="AB353" s="42"/>
      <c r="AC353" s="42"/>
      <c r="AD353" s="42"/>
      <c r="AE353" s="42"/>
      <c r="AF353" s="42"/>
      <c r="AG353" s="42"/>
      <c r="AH353" s="42"/>
      <c r="AI353" s="42"/>
      <c r="AJ353" s="42"/>
      <c r="AK353" s="42"/>
      <c r="AL353" s="42"/>
      <c r="AM353" s="42"/>
      <c r="AN353" s="42"/>
      <c r="AO353" s="42"/>
      <c r="AP353" s="42"/>
      <c r="AQ353" s="42"/>
      <c r="AR353" s="42"/>
      <c r="AS353" s="42"/>
      <c r="AT353" s="42"/>
      <c r="AU353" s="42"/>
      <c r="AV353" s="42"/>
      <c r="AW353" s="42"/>
      <c r="AX353" s="42"/>
      <c r="AY353" s="42"/>
      <c r="AZ353" s="42"/>
      <c r="BA353" s="42"/>
      <c r="BB353" s="42"/>
      <c r="BC353" s="42"/>
      <c r="BD353" s="42"/>
      <c r="BE353" s="42"/>
      <c r="BF353" s="42"/>
      <c r="BG353" s="42"/>
      <c r="BH353" s="42"/>
      <c r="BI353" s="42"/>
      <c r="BJ353" s="42"/>
      <c r="BK353" s="42"/>
      <c r="BL353" s="42"/>
      <c r="BM353" s="42"/>
      <c r="BN353" s="42"/>
    </row>
    <row r="354" spans="1:66" ht="12.75" customHeight="1" x14ac:dyDescent="0.2">
      <c r="A354" s="1" t="s">
        <v>456</v>
      </c>
      <c r="B354" s="4">
        <f>_xll.ciqfunctions.udf.CIQ(InputTicker, "IQ_RUA_OPERATING_LEASE_ACCUM_DEP",Input!D$2,Date,,,Ccy,Conv)</f>
        <v>0</v>
      </c>
      <c r="C354" s="4">
        <f>_xll.ciqfunctions.udf.CIQ(InputTicker, "IQ_RUA_OPERATING_LEASE_ACCUM_DEP",Input!E$2,Date,,,Ccy,Conv)</f>
        <v>0</v>
      </c>
      <c r="D354" s="4">
        <f>_xll.ciqfunctions.udf.CIQ(InputTicker, "IQ_RUA_OPERATING_LEASE_ACCUM_DEP",Input!F$2,Date,,,Ccy,Conv)</f>
        <v>0</v>
      </c>
      <c r="E354" s="4">
        <f>_xll.ciqfunctions.udf.CIQ(InputTicker, "IQ_RUA_OPERATING_LEASE_ACCUM_DEP",Input!G$2,Date,,,Ccy,Conv)</f>
        <v>0</v>
      </c>
      <c r="F354" s="4">
        <f>_xll.ciqfunctions.udf.CIQ(InputTicker, "IQ_RUA_OPERATING_LEASE_ACCUM_DEP",Input!H$2,Date,,,Ccy,Conv)</f>
        <v>0</v>
      </c>
      <c r="G354" s="4">
        <f>_xll.ciqfunctions.udf.CIQ(InputTicker, "IQ_RUA_OPERATING_LEASE_ACCUM_DEP",Input!I$2,Date,,,Ccy,Conv)</f>
        <v>0</v>
      </c>
      <c r="H354" s="4">
        <f>_xll.ciqfunctions.udf.CIQ(InputTicker, "IQ_RUA_OPERATING_LEASE_ACCUM_DEP",Input!J$2,Date,,,Ccy,Conv)</f>
        <v>0</v>
      </c>
      <c r="I354" s="4">
        <f>_xll.ciqfunctions.udf.CIQ(InputTicker, "IQ_RUA_OPERATING_LEASE_ACCUM_DEP",Input!K$2,Date,,,Ccy,Conv)</f>
        <v>0</v>
      </c>
      <c r="J354" s="4">
        <f>_xll.ciqfunctions.udf.CIQ(InputTicker, "IQ_RUA_OPERATING_LEASE_ACCUM_DEP",Input!L$2,Date,,,Ccy,Conv)</f>
        <v>0</v>
      </c>
      <c r="K354" s="4">
        <f>_xll.ciqfunctions.udf.CIQ(InputTicker, "IQ_RUA_OPERATING_LEASE_ACCUM_DEP",Input!M$2,Date,,,Ccy,Conv)</f>
        <v>0</v>
      </c>
      <c r="L354" s="4">
        <f>_xll.ciqfunctions.udf.CIQ(InputTicker, "IQ_RUA_OPERATING_LEASE_ACCUM_DEP",Input!N$2,Date,,,Ccy,Conv)</f>
        <v>0</v>
      </c>
      <c r="M354" s="4">
        <f>_xll.ciqfunctions.udf.CIQ(InputTicker, "IQ_RUA_OPERATING_LEASE_ACCUM_DEP",Input!O$2,Date,,,Ccy,Conv)</f>
        <v>0</v>
      </c>
      <c r="N354" s="42"/>
      <c r="T354" s="42"/>
      <c r="U354" s="42"/>
      <c r="V354" s="42"/>
      <c r="W354" s="42"/>
      <c r="X354" s="42"/>
      <c r="Y354" s="42"/>
      <c r="Z354" s="42"/>
      <c r="AA354" s="42"/>
      <c r="AB354" s="42"/>
      <c r="AC354" s="42"/>
      <c r="AD354" s="42"/>
      <c r="AE354" s="42"/>
      <c r="AF354" s="42"/>
      <c r="AG354" s="42"/>
      <c r="AH354" s="42"/>
      <c r="AI354" s="42"/>
      <c r="AJ354" s="42"/>
      <c r="AK354" s="42"/>
      <c r="AL354" s="42"/>
      <c r="AM354" s="42"/>
      <c r="AN354" s="42"/>
      <c r="AO354" s="42"/>
      <c r="AP354" s="42"/>
      <c r="AQ354" s="42"/>
      <c r="AR354" s="42"/>
      <c r="AS354" s="42"/>
      <c r="AT354" s="42"/>
      <c r="AU354" s="42"/>
      <c r="AV354" s="42"/>
      <c r="AW354" s="42"/>
      <c r="AX354" s="42"/>
      <c r="AY354" s="42"/>
      <c r="AZ354" s="42"/>
      <c r="BA354" s="42"/>
      <c r="BB354" s="42"/>
      <c r="BC354" s="42"/>
      <c r="BD354" s="42"/>
      <c r="BE354" s="42"/>
      <c r="BF354" s="42"/>
      <c r="BG354" s="42"/>
      <c r="BH354" s="42"/>
      <c r="BI354" s="42"/>
      <c r="BJ354" s="42"/>
      <c r="BK354" s="42"/>
      <c r="BL354" s="42"/>
      <c r="BM354" s="42"/>
      <c r="BN354" s="42"/>
    </row>
    <row r="355" spans="1:66" ht="12.75" customHeight="1" x14ac:dyDescent="0.2">
      <c r="A355" s="1" t="s">
        <v>457</v>
      </c>
      <c r="B355" s="4">
        <f>_xll.ciqfunctions.udf.CIQ(InputTicker, "IQ_RUA_OPERATING_LEASE_NET",Input!D$2,Date,,,Ccy,Conv)</f>
        <v>0</v>
      </c>
      <c r="C355" s="4">
        <f>_xll.ciqfunctions.udf.CIQ(InputTicker, "IQ_RUA_OPERATING_LEASE_NET",Input!E$2,Date,,,Ccy,Conv)</f>
        <v>0</v>
      </c>
      <c r="D355" s="4">
        <f>_xll.ciqfunctions.udf.CIQ(InputTicker, "IQ_RUA_OPERATING_LEASE_NET",Input!F$2,Date,,,Ccy,Conv)</f>
        <v>0</v>
      </c>
      <c r="E355" s="4">
        <f>_xll.ciqfunctions.udf.CIQ(InputTicker, "IQ_RUA_OPERATING_LEASE_NET",Input!G$2,Date,,,Ccy,Conv)</f>
        <v>0</v>
      </c>
      <c r="F355" s="4">
        <f>_xll.ciqfunctions.udf.CIQ(InputTicker, "IQ_RUA_OPERATING_LEASE_NET",Input!H$2,Date,,,Ccy,Conv)</f>
        <v>0</v>
      </c>
      <c r="G355" s="4">
        <f>_xll.ciqfunctions.udf.CIQ(InputTicker, "IQ_RUA_OPERATING_LEASE_NET",Input!I$2,Date,,,Ccy,Conv)</f>
        <v>0</v>
      </c>
      <c r="H355" s="4">
        <f>_xll.ciqfunctions.udf.CIQ(InputTicker, "IQ_RUA_OPERATING_LEASE_NET",Input!J$2,Date,,,Ccy,Conv)</f>
        <v>0</v>
      </c>
      <c r="I355" s="4">
        <f>_xll.ciqfunctions.udf.CIQ(InputTicker, "IQ_RUA_OPERATING_LEASE_NET",Input!K$2,Date,,,Ccy,Conv)</f>
        <v>0</v>
      </c>
      <c r="J355" s="4">
        <f>_xll.ciqfunctions.udf.CIQ(InputTicker, "IQ_RUA_OPERATING_LEASE_NET",Input!L$2,Date,,,Ccy,Conv)</f>
        <v>0</v>
      </c>
      <c r="K355" s="4">
        <f>_xll.ciqfunctions.udf.CIQ(InputTicker, "IQ_RUA_OPERATING_LEASE_NET",Input!M$2,Date,,,Ccy,Conv)</f>
        <v>0</v>
      </c>
      <c r="L355" s="4">
        <f>_xll.ciqfunctions.udf.CIQ(InputTicker, "IQ_RUA_OPERATING_LEASE_NET",Input!N$2,Date,,,Ccy,Conv)</f>
        <v>0</v>
      </c>
      <c r="M355" s="4">
        <f>_xll.ciqfunctions.udf.CIQ(InputTicker, "IQ_RUA_OPERATING_LEASE_NET",Input!O$2,Date,,,Ccy,Conv)</f>
        <v>0</v>
      </c>
      <c r="N355" s="42"/>
      <c r="T355" s="42"/>
      <c r="U355" s="42"/>
      <c r="V355" s="42"/>
      <c r="W355" s="42"/>
      <c r="X355" s="42"/>
      <c r="Y355" s="42"/>
      <c r="Z355" s="42"/>
      <c r="AA355" s="42"/>
      <c r="AB355" s="42"/>
      <c r="AC355" s="42"/>
      <c r="AD355" s="42"/>
      <c r="AE355" s="42"/>
      <c r="AF355" s="42"/>
      <c r="AG355" s="42"/>
      <c r="AH355" s="42"/>
      <c r="AI355" s="42"/>
      <c r="AJ355" s="42"/>
      <c r="AK355" s="42"/>
      <c r="AL355" s="42"/>
      <c r="AM355" s="42"/>
      <c r="AN355" s="42"/>
      <c r="AO355" s="42"/>
      <c r="AP355" s="42"/>
      <c r="AQ355" s="42"/>
      <c r="AR355" s="42"/>
      <c r="AS355" s="42"/>
      <c r="AT355" s="42"/>
      <c r="AU355" s="42"/>
      <c r="AV355" s="42"/>
      <c r="AW355" s="42"/>
      <c r="AX355" s="42"/>
      <c r="AY355" s="42"/>
      <c r="AZ355" s="42"/>
      <c r="BA355" s="42"/>
      <c r="BB355" s="42"/>
      <c r="BC355" s="42"/>
      <c r="BD355" s="42"/>
      <c r="BE355" s="42"/>
      <c r="BF355" s="42"/>
      <c r="BG355" s="42"/>
      <c r="BH355" s="42"/>
      <c r="BI355" s="42"/>
      <c r="BJ355" s="42"/>
      <c r="BK355" s="42"/>
      <c r="BL355" s="42"/>
      <c r="BM355" s="42"/>
      <c r="BN355" s="42"/>
    </row>
    <row r="356" spans="1:66" ht="12.75" customHeight="1" x14ac:dyDescent="0.2">
      <c r="A356" s="1" t="s">
        <v>473</v>
      </c>
      <c r="B356" s="4">
        <f>_xll.ciqfunctions.udf.CIQ(InputTicker, "IQ_GPPE_EXCL_OPER_LEASES",Input!D$2,Date,,,Ccy,Conv)</f>
        <v>38156</v>
      </c>
      <c r="C356" s="4">
        <f>_xll.ciqfunctions.udf.CIQ(InputTicker, "IQ_GPPE_EXCL_OPER_LEASES",Input!E$2,Date,,,Ccy,Conv)</f>
        <v>47913</v>
      </c>
      <c r="D356" s="4">
        <f>_xll.ciqfunctions.udf.CIQ(InputTicker, "IQ_GPPE_EXCL_OPER_LEASES",Input!F$2,Date,,,Ccy,Conv)</f>
        <v>58683</v>
      </c>
      <c r="E356" s="4">
        <f>_xll.ciqfunctions.udf.CIQ(InputTicker, "IQ_GPPE_EXCL_OPER_LEASES",Input!G$2,Date,,,Ccy,Conv)</f>
        <v>71807</v>
      </c>
      <c r="F356" s="4">
        <f>_xll.ciqfunctions.udf.CIQ(InputTicker, "IQ_GPPE_EXCL_OPER_LEASES",Input!H$2,Date,,,Ccy,Conv)</f>
        <v>87348</v>
      </c>
      <c r="G356" s="4">
        <f>_xll.ciqfunctions.udf.CIQ(InputTicker, "IQ_GPPE_EXCL_OPER_LEASES",Input!I$2,Date,,,Ccy,Conv)</f>
        <v>111066</v>
      </c>
      <c r="H356" s="4">
        <f>_xll.ciqfunctions.udf.CIQ(InputTicker, "IQ_GPPE_EXCL_OPER_LEASES",Input!J$2,Date,,,Ccy,Conv)</f>
        <v>134058</v>
      </c>
      <c r="I356" s="4">
        <f>_xll.ciqfunctions.udf.CIQ(InputTicker, "IQ_GPPE_EXCL_OPER_LEASES",Input!K$2,Date,,,Ccy,Conv)</f>
        <v>163892</v>
      </c>
      <c r="J356" s="4">
        <f>_xll.ciqfunctions.udf.CIQ(InputTicker, "IQ_GPPE_EXCL_OPER_LEASES",Input!L$2,Date,,,Ccy,Conv)</f>
        <v>212012</v>
      </c>
      <c r="K356" s="4">
        <f>_xll.ciqfunctions.udf.CIQ(InputTicker, "IQ_GPPE_EXCL_OPER_LEASES",Input!M$2,Date,,,Ccy,Conv)</f>
        <v>298619</v>
      </c>
      <c r="L356" s="4">
        <f>_xll.ciqfunctions.udf.CIQ(InputTicker, "IQ_GPPE_EXCL_OPER_LEASES",Input!N$2,Date,,,Ccy,Conv)</f>
        <v>431767</v>
      </c>
      <c r="M356" s="4">
        <f>_xll.ciqfunctions.udf.CIQ(InputTicker, "IQ_GPPE_EXCL_OPER_LEASES",Input!O$2,Date,,,Ccy,Conv)</f>
        <v>431767</v>
      </c>
      <c r="N356" s="42"/>
      <c r="T356" s="42"/>
      <c r="U356" s="42"/>
      <c r="V356" s="42"/>
      <c r="W356" s="42"/>
      <c r="X356" s="42"/>
      <c r="Y356" s="42"/>
      <c r="Z356" s="42"/>
      <c r="AA356" s="42"/>
      <c r="AB356" s="42"/>
      <c r="AC356" s="42"/>
      <c r="AD356" s="42"/>
      <c r="AE356" s="42"/>
      <c r="AF356" s="42"/>
      <c r="AG356" s="42"/>
      <c r="AH356" s="42"/>
      <c r="AI356" s="42"/>
      <c r="AJ356" s="42"/>
      <c r="AK356" s="42"/>
      <c r="AL356" s="42"/>
      <c r="AM356" s="42"/>
      <c r="AN356" s="42"/>
      <c r="AO356" s="42"/>
      <c r="AP356" s="42"/>
      <c r="AQ356" s="42"/>
      <c r="AR356" s="42"/>
      <c r="AS356" s="42"/>
      <c r="AT356" s="42"/>
      <c r="AU356" s="42"/>
      <c r="AV356" s="42"/>
      <c r="AW356" s="42"/>
      <c r="AX356" s="42"/>
      <c r="AY356" s="42"/>
      <c r="AZ356" s="42"/>
      <c r="BA356" s="42"/>
      <c r="BB356" s="42"/>
      <c r="BC356" s="42"/>
      <c r="BD356" s="42"/>
      <c r="BE356" s="42"/>
      <c r="BF356" s="42"/>
      <c r="BG356" s="42"/>
      <c r="BH356" s="42"/>
      <c r="BI356" s="42"/>
      <c r="BJ356" s="42"/>
      <c r="BK356" s="42"/>
      <c r="BL356" s="42"/>
      <c r="BM356" s="42"/>
      <c r="BN356" s="42"/>
    </row>
    <row r="357" spans="1:66" ht="12.75" customHeight="1" x14ac:dyDescent="0.2">
      <c r="A357" s="1" t="s">
        <v>474</v>
      </c>
      <c r="B357" s="4">
        <f>_xll.ciqfunctions.udf.CIQ(InputTicker, "IQ_AD_EXCL_OPER_LEASES",Input!D$2,Date,,,Ccy,Conv)</f>
        <v>-19800</v>
      </c>
      <c r="C357" s="4">
        <f>_xll.ciqfunctions.udf.CIQ(InputTicker, "IQ_AD_EXCL_OPER_LEASES",Input!E$2,Date,,,Ccy,Conv)</f>
        <v>-24179</v>
      </c>
      <c r="D357" s="4">
        <f>_xll.ciqfunctions.udf.CIQ(InputTicker, "IQ_AD_EXCL_OPER_LEASES",Input!F$2,Date,,,Ccy,Conv)</f>
        <v>-29223</v>
      </c>
      <c r="E357" s="4">
        <f>_xll.ciqfunctions.udf.CIQ(InputTicker, "IQ_AD_EXCL_OPER_LEASES",Input!G$2,Date,,,Ccy,Conv)</f>
        <v>-35330</v>
      </c>
      <c r="F357" s="4">
        <f>_xll.ciqfunctions.udf.CIQ(InputTicker, "IQ_AD_EXCL_OPER_LEASES",Input!H$2,Date,,,Ccy,Conv)</f>
        <v>-43197</v>
      </c>
      <c r="G357" s="4">
        <f>_xll.ciqfunctions.udf.CIQ(InputTicker, "IQ_AD_EXCL_OPER_LEASES",Input!I$2,Date,,,Ccy,Conv)</f>
        <v>-51351</v>
      </c>
      <c r="H357" s="4">
        <f>_xll.ciqfunctions.udf.CIQ(InputTicker, "IQ_AD_EXCL_OPER_LEASES",Input!J$2,Date,,,Ccy,Conv)</f>
        <v>-59660</v>
      </c>
      <c r="I357" s="4">
        <f>_xll.ciqfunctions.udf.CIQ(InputTicker, "IQ_AD_EXCL_OPER_LEASES",Input!K$2,Date,,,Ccy,Conv)</f>
        <v>-68251</v>
      </c>
      <c r="J357" s="4">
        <f>_xll.ciqfunctions.udf.CIQ(InputTicker, "IQ_AD_EXCL_OPER_LEASES",Input!L$2,Date,,,Ccy,Conv)</f>
        <v>-76421</v>
      </c>
      <c r="K357" s="4">
        <f>_xll.ciqfunctions.udf.CIQ(InputTicker, "IQ_AD_EXCL_OPER_LEASES",Input!M$2,Date,,,Ccy,Conv)</f>
        <v>-93653</v>
      </c>
      <c r="L357" s="4">
        <f>_xll.ciqfunctions.udf.CIQ(InputTicker, "IQ_AD_EXCL_OPER_LEASES",Input!N$2,Date,,,Ccy,Conv)</f>
        <v>-118691</v>
      </c>
      <c r="M357" s="4">
        <f>_xll.ciqfunctions.udf.CIQ(InputTicker, "IQ_AD_EXCL_OPER_LEASES",Input!O$2,Date,,,Ccy,Conv)</f>
        <v>-118691</v>
      </c>
      <c r="N357" s="42"/>
      <c r="T357" s="42"/>
      <c r="U357" s="42"/>
      <c r="V357" s="42"/>
      <c r="W357" s="42"/>
      <c r="X357" s="42"/>
      <c r="Y357" s="42"/>
      <c r="Z357" s="42"/>
      <c r="AA357" s="42"/>
      <c r="AB357" s="42"/>
      <c r="AC357" s="42"/>
      <c r="AD357" s="42"/>
      <c r="AE357" s="42"/>
      <c r="AF357" s="42"/>
      <c r="AG357" s="42"/>
      <c r="AH357" s="42"/>
      <c r="AI357" s="42"/>
      <c r="AJ357" s="42"/>
      <c r="AK357" s="42"/>
      <c r="AL357" s="42"/>
      <c r="AM357" s="42"/>
      <c r="AN357" s="42"/>
      <c r="AO357" s="42"/>
      <c r="AP357" s="42"/>
      <c r="AQ357" s="42"/>
      <c r="AR357" s="42"/>
      <c r="AS357" s="42"/>
      <c r="AT357" s="42"/>
      <c r="AU357" s="42"/>
      <c r="AV357" s="42"/>
      <c r="AW357" s="42"/>
      <c r="AX357" s="42"/>
      <c r="AY357" s="42"/>
      <c r="AZ357" s="42"/>
      <c r="BA357" s="42"/>
      <c r="BB357" s="42"/>
      <c r="BC357" s="42"/>
      <c r="BD357" s="42"/>
      <c r="BE357" s="42"/>
      <c r="BF357" s="42"/>
      <c r="BG357" s="42"/>
      <c r="BH357" s="42"/>
      <c r="BI357" s="42"/>
      <c r="BJ357" s="42"/>
      <c r="BK357" s="42"/>
      <c r="BL357" s="42"/>
      <c r="BM357" s="42"/>
      <c r="BN357" s="42"/>
    </row>
    <row r="358" spans="1:66" ht="12.75" customHeight="1" x14ac:dyDescent="0.2">
      <c r="A358" s="1" t="s">
        <v>475</v>
      </c>
      <c r="B358" s="4">
        <f>_xll.ciqfunctions.udf.CIQ(InputTicker, "IQ_NPPE_EXCL_OPER_LEASES",Input!D$2,Date,,,Ccy,Conv)</f>
        <v>18356</v>
      </c>
      <c r="C358" s="4">
        <f>_xll.ciqfunctions.udf.CIQ(InputTicker, "IQ_NPPE_EXCL_OPER_LEASES",Input!E$2,Date,,,Ccy,Conv)</f>
        <v>23734</v>
      </c>
      <c r="D358" s="4">
        <f>_xll.ciqfunctions.udf.CIQ(InputTicker, "IQ_NPPE_EXCL_OPER_LEASES",Input!F$2,Date,,,Ccy,Conv)</f>
        <v>29460</v>
      </c>
      <c r="E358" s="4">
        <f>_xll.ciqfunctions.udf.CIQ(InputTicker, "IQ_NPPE_EXCL_OPER_LEASES",Input!G$2,Date,,,Ccy,Conv)</f>
        <v>36477</v>
      </c>
      <c r="F358" s="4">
        <f>_xll.ciqfunctions.udf.CIQ(InputTicker, "IQ_NPPE_EXCL_OPER_LEASES",Input!H$2,Date,,,Ccy,Conv)</f>
        <v>44151</v>
      </c>
      <c r="G358" s="4">
        <f>_xll.ciqfunctions.udf.CIQ(InputTicker, "IQ_NPPE_EXCL_OPER_LEASES",Input!I$2,Date,,,Ccy,Conv)</f>
        <v>59715</v>
      </c>
      <c r="H358" s="4">
        <f>_xll.ciqfunctions.udf.CIQ(InputTicker, "IQ_NPPE_EXCL_OPER_LEASES",Input!J$2,Date,,,Ccy,Conv)</f>
        <v>74398</v>
      </c>
      <c r="I358" s="4">
        <f>_xll.ciqfunctions.udf.CIQ(InputTicker, "IQ_NPPE_EXCL_OPER_LEASES",Input!K$2,Date,,,Ccy,Conv)</f>
        <v>95641</v>
      </c>
      <c r="J358" s="4">
        <f>_xll.ciqfunctions.udf.CIQ(InputTicker, "IQ_NPPE_EXCL_OPER_LEASES",Input!L$2,Date,,,Ccy,Conv)</f>
        <v>135591</v>
      </c>
      <c r="K358" s="4">
        <f>_xll.ciqfunctions.udf.CIQ(InputTicker, "IQ_NPPE_EXCL_OPER_LEASES",Input!M$2,Date,,,Ccy,Conv)</f>
        <v>204966</v>
      </c>
      <c r="L358" s="4">
        <f>_xll.ciqfunctions.udf.CIQ(InputTicker, "IQ_NPPE_EXCL_OPER_LEASES",Input!N$2,Date,,,Ccy,Conv)</f>
        <v>313076</v>
      </c>
      <c r="M358" s="4">
        <f>_xll.ciqfunctions.udf.CIQ(InputTicker, "IQ_NPPE_EXCL_OPER_LEASES",Input!O$2,Date,,,Ccy,Conv)</f>
        <v>313076</v>
      </c>
      <c r="N358" s="42"/>
      <c r="T358" s="42"/>
      <c r="U358" s="42"/>
      <c r="V358" s="42"/>
      <c r="W358" s="42"/>
      <c r="X358" s="42"/>
      <c r="Y358" s="42"/>
      <c r="Z358" s="42"/>
      <c r="AA358" s="42"/>
      <c r="AB358" s="42"/>
      <c r="AC358" s="42"/>
      <c r="AD358" s="42"/>
      <c r="AE358" s="42"/>
      <c r="AF358" s="42"/>
      <c r="AG358" s="42"/>
      <c r="AH358" s="42"/>
      <c r="AI358" s="42"/>
      <c r="AJ358" s="42"/>
      <c r="AK358" s="42"/>
      <c r="AL358" s="42"/>
      <c r="AM358" s="42"/>
      <c r="AN358" s="42"/>
      <c r="AO358" s="42"/>
      <c r="AP358" s="42"/>
      <c r="AQ358" s="42"/>
      <c r="AR358" s="42"/>
      <c r="AS358" s="42"/>
      <c r="AT358" s="42"/>
      <c r="AU358" s="42"/>
      <c r="AV358" s="42"/>
      <c r="AW358" s="42"/>
      <c r="AX358" s="42"/>
      <c r="AY358" s="42"/>
      <c r="AZ358" s="42"/>
      <c r="BA358" s="42"/>
      <c r="BB358" s="42"/>
      <c r="BC358" s="42"/>
      <c r="BD358" s="42"/>
      <c r="BE358" s="42"/>
      <c r="BF358" s="42"/>
      <c r="BG358" s="42"/>
      <c r="BH358" s="42"/>
      <c r="BI358" s="42"/>
      <c r="BJ358" s="42"/>
      <c r="BK358" s="42"/>
      <c r="BL358" s="42"/>
      <c r="BM358" s="42"/>
      <c r="BN358" s="42"/>
    </row>
    <row r="359" spans="1:66" ht="12.75" customHeight="1" x14ac:dyDescent="0.2">
      <c r="A359" s="1" t="s">
        <v>476</v>
      </c>
      <c r="B359" s="4">
        <f>_xll.ciqfunctions.udf.CIQ(InputTicker, "IQ_FINANCE_LEASES_CURRENT",Input!D$2,Date,,,Ccy,Conv)</f>
        <v>25</v>
      </c>
      <c r="C359" s="4">
        <f>_xll.ciqfunctions.udf.CIQ(InputTicker, "IQ_FINANCE_LEASES_CURRENT",Input!E$2,Date,,,Ccy,Conv)</f>
        <v>113</v>
      </c>
      <c r="D359" s="4">
        <f>_xll.ciqfunctions.udf.CIQ(InputTicker, "IQ_FINANCE_LEASES_CURRENT",Input!F$2,Date,,,Ccy,Conv)</f>
        <v>176</v>
      </c>
      <c r="E359" s="4">
        <f>_xll.ciqfunctions.udf.CIQ(InputTicker, "IQ_FINANCE_LEASES_CURRENT",Input!G$2,Date,,,Ccy,Conv)</f>
        <v>317</v>
      </c>
      <c r="F359" s="4">
        <f>_xll.ciqfunctions.udf.CIQ(InputTicker, "IQ_FINANCE_LEASES_CURRENT",Input!H$2,Date,,,Ccy,Conv)</f>
        <v>540</v>
      </c>
      <c r="G359" s="4">
        <f>_xll.ciqfunctions.udf.CIQ(InputTicker, "IQ_FINANCE_LEASES_CURRENT",Input!I$2,Date,,,Ccy,Conv)</f>
        <v>791</v>
      </c>
      <c r="H359" s="4">
        <f>_xll.ciqfunctions.udf.CIQ(InputTicker, "IQ_FINANCE_LEASES_CURRENT",Input!J$2,Date,,,Ccy,Conv)</f>
        <v>1060</v>
      </c>
      <c r="I359" s="4">
        <f>_xll.ciqfunctions.udf.CIQ(InputTicker, "IQ_FINANCE_LEASES_CURRENT",Input!K$2,Date,,,Ccy,Conv)</f>
        <v>1197</v>
      </c>
      <c r="J359" s="4">
        <f>_xll.ciqfunctions.udf.CIQ(InputTicker, "IQ_FINANCE_LEASES_CURRENT",Input!L$2,Date,,,Ccy,Conv)</f>
        <v>2349</v>
      </c>
      <c r="K359" s="4">
        <f>_xll.ciqfunctions.udf.CIQ(InputTicker, "IQ_FINANCE_LEASES_CURRENT",Input!M$2,Date,,,Ccy,Conv)</f>
        <v>3172</v>
      </c>
      <c r="L359" s="4">
        <f>_xll.ciqfunctions.udf.CIQ(InputTicker, "IQ_FINANCE_LEASES_CURRENT",Input!N$2,Date,,,Ccy,Conv)</f>
        <v>4290</v>
      </c>
      <c r="M359" s="4">
        <f>_xll.ciqfunctions.udf.CIQ(InputTicker, "IQ_FINANCE_LEASES_CURRENT",Input!O$2,Date,,,Ccy,Conv)</f>
        <v>4290</v>
      </c>
      <c r="N359" s="42"/>
      <c r="T359" s="42"/>
      <c r="U359" s="42"/>
      <c r="V359" s="42"/>
      <c r="W359" s="42"/>
      <c r="X359" s="42"/>
      <c r="Y359" s="42"/>
      <c r="Z359" s="42"/>
      <c r="AA359" s="42"/>
      <c r="AB359" s="42"/>
      <c r="AC359" s="42"/>
      <c r="AD359" s="42"/>
      <c r="AE359" s="42"/>
      <c r="AF359" s="42"/>
      <c r="AG359" s="42"/>
      <c r="AH359" s="42"/>
      <c r="AI359" s="42"/>
      <c r="AJ359" s="42"/>
      <c r="AK359" s="42"/>
      <c r="AL359" s="42"/>
      <c r="AM359" s="42"/>
      <c r="AN359" s="42"/>
      <c r="AO359" s="42"/>
      <c r="AP359" s="42"/>
      <c r="AQ359" s="42"/>
      <c r="AR359" s="42"/>
      <c r="AS359" s="42"/>
      <c r="AT359" s="42"/>
      <c r="AU359" s="42"/>
      <c r="AV359" s="42"/>
      <c r="AW359" s="42"/>
      <c r="AX359" s="42"/>
      <c r="AY359" s="42"/>
      <c r="AZ359" s="42"/>
      <c r="BA359" s="42"/>
      <c r="BB359" s="42"/>
      <c r="BC359" s="42"/>
      <c r="BD359" s="42"/>
      <c r="BE359" s="42"/>
      <c r="BF359" s="42"/>
      <c r="BG359" s="42"/>
      <c r="BH359" s="42"/>
      <c r="BI359" s="42"/>
      <c r="BJ359" s="42"/>
      <c r="BK359" s="42"/>
      <c r="BL359" s="42"/>
      <c r="BM359" s="42"/>
      <c r="BN359" s="42"/>
    </row>
    <row r="360" spans="1:66" ht="12.75" customHeight="1" x14ac:dyDescent="0.2">
      <c r="A360" s="1" t="s">
        <v>477</v>
      </c>
      <c r="B360" s="4">
        <f>_xll.ciqfunctions.udf.CIQ(InputTicker, "IQ_FINANCE_LEASES_LONG_TERM",Input!D$2,Date,,,Ccy,Conv)</f>
        <v>761</v>
      </c>
      <c r="C360" s="4">
        <f>_xll.ciqfunctions.udf.CIQ(InputTicker, "IQ_FINANCE_LEASES_LONG_TERM",Input!E$2,Date,,,Ccy,Conv)</f>
        <v>2425</v>
      </c>
      <c r="D360" s="4">
        <f>_xll.ciqfunctions.udf.CIQ(InputTicker, "IQ_FINANCE_LEASES_LONG_TERM",Input!F$2,Date,,,Ccy,Conv)</f>
        <v>4125</v>
      </c>
      <c r="E360" s="4">
        <f>_xll.ciqfunctions.udf.CIQ(InputTicker, "IQ_FINANCE_LEASES_LONG_TERM",Input!G$2,Date,,,Ccy,Conv)</f>
        <v>6257</v>
      </c>
      <c r="F360" s="4">
        <f>_xll.ciqfunctions.udf.CIQ(InputTicker, "IQ_FINANCE_LEASES_LONG_TERM",Input!H$2,Date,,,Ccy,Conv)</f>
        <v>8956</v>
      </c>
      <c r="G360" s="4">
        <f>_xll.ciqfunctions.udf.CIQ(InputTicker, "IQ_FINANCE_LEASES_LONG_TERM",Input!I$2,Date,,,Ccy,Conv)</f>
        <v>11750</v>
      </c>
      <c r="H360" s="4">
        <f>_xll.ciqfunctions.udf.CIQ(InputTicker, "IQ_FINANCE_LEASES_LONG_TERM",Input!J$2,Date,,,Ccy,Conv)</f>
        <v>13842</v>
      </c>
      <c r="I360" s="4">
        <f>_xll.ciqfunctions.udf.CIQ(InputTicker, "IQ_FINANCE_LEASES_LONG_TERM",Input!K$2,Date,,,Ccy,Conv)</f>
        <v>15870</v>
      </c>
      <c r="J360" s="4">
        <f>_xll.ciqfunctions.udf.CIQ(InputTicker, "IQ_FINANCE_LEASES_LONG_TERM",Input!L$2,Date,,,Ccy,Conv)</f>
        <v>24796</v>
      </c>
      <c r="K360" s="4">
        <f>_xll.ciqfunctions.udf.CIQ(InputTicker, "IQ_FINANCE_LEASES_LONG_TERM",Input!M$2,Date,,,Ccy,Conv)</f>
        <v>43000</v>
      </c>
      <c r="L360" s="4">
        <f>_xll.ciqfunctions.udf.CIQ(InputTicker, "IQ_FINANCE_LEASES_LONG_TERM",Input!N$2,Date,,,Ccy,Conv)</f>
        <v>62304</v>
      </c>
      <c r="M360" s="4">
        <f>_xll.ciqfunctions.udf.CIQ(InputTicker, "IQ_FINANCE_LEASES_LONG_TERM",Input!O$2,Date,,,Ccy,Conv)</f>
        <v>62304</v>
      </c>
      <c r="N360" s="42"/>
      <c r="T360" s="42"/>
      <c r="U360" s="42"/>
      <c r="V360" s="42"/>
      <c r="W360" s="42"/>
      <c r="X360" s="42"/>
      <c r="Y360" s="42"/>
      <c r="Z360" s="42"/>
      <c r="AA360" s="42"/>
      <c r="AB360" s="42"/>
      <c r="AC360" s="42"/>
      <c r="AD360" s="42"/>
      <c r="AE360" s="42"/>
      <c r="AF360" s="42"/>
      <c r="AG360" s="42"/>
      <c r="AH360" s="42"/>
      <c r="AI360" s="42"/>
      <c r="AJ360" s="42"/>
      <c r="AK360" s="42"/>
      <c r="AL360" s="42"/>
      <c r="AM360" s="42"/>
      <c r="AN360" s="42"/>
      <c r="AO360" s="42"/>
      <c r="AP360" s="42"/>
      <c r="AQ360" s="42"/>
      <c r="AR360" s="42"/>
      <c r="AS360" s="42"/>
      <c r="AT360" s="42"/>
      <c r="AU360" s="42"/>
      <c r="AV360" s="42"/>
      <c r="AW360" s="42"/>
      <c r="AX360" s="42"/>
      <c r="AY360" s="42"/>
      <c r="AZ360" s="42"/>
      <c r="BA360" s="42"/>
      <c r="BB360" s="42"/>
      <c r="BC360" s="42"/>
      <c r="BD360" s="42"/>
      <c r="BE360" s="42"/>
      <c r="BF360" s="42"/>
      <c r="BG360" s="42"/>
      <c r="BH360" s="42"/>
      <c r="BI360" s="42"/>
      <c r="BJ360" s="42"/>
      <c r="BK360" s="42"/>
      <c r="BL360" s="42"/>
      <c r="BM360" s="42"/>
      <c r="BN360" s="42"/>
    </row>
    <row r="361" spans="1:66" ht="12.75" customHeight="1" x14ac:dyDescent="0.2">
      <c r="A361" s="1" t="s">
        <v>478</v>
      </c>
      <c r="B361" s="4">
        <f>_xll.ciqfunctions.udf.CIQ(InputTicker, "IQ_TOTAL_FINANCE_LEASES",Input!D$2,Date,,,Ccy,Conv)</f>
        <v>786</v>
      </c>
      <c r="C361" s="4">
        <f>_xll.ciqfunctions.udf.CIQ(InputTicker, "IQ_TOTAL_FINANCE_LEASES",Input!E$2,Date,,,Ccy,Conv)</f>
        <v>2538</v>
      </c>
      <c r="D361" s="4">
        <f>_xll.ciqfunctions.udf.CIQ(InputTicker, "IQ_TOTAL_FINANCE_LEASES",Input!F$2,Date,,,Ccy,Conv)</f>
        <v>4301</v>
      </c>
      <c r="E361" s="4">
        <f>_xll.ciqfunctions.udf.CIQ(InputTicker, "IQ_TOTAL_FINANCE_LEASES",Input!G$2,Date,,,Ccy,Conv)</f>
        <v>6574</v>
      </c>
      <c r="F361" s="4">
        <f>_xll.ciqfunctions.udf.CIQ(InputTicker, "IQ_TOTAL_FINANCE_LEASES",Input!H$2,Date,,,Ccy,Conv)</f>
        <v>9496</v>
      </c>
      <c r="G361" s="4">
        <f>_xll.ciqfunctions.udf.CIQ(InputTicker, "IQ_TOTAL_FINANCE_LEASES",Input!I$2,Date,,,Ccy,Conv)</f>
        <v>12541</v>
      </c>
      <c r="H361" s="4">
        <f>_xll.ciqfunctions.udf.CIQ(InputTicker, "IQ_TOTAL_FINANCE_LEASES",Input!J$2,Date,,,Ccy,Conv)</f>
        <v>14902</v>
      </c>
      <c r="I361" s="4">
        <f>_xll.ciqfunctions.udf.CIQ(InputTicker, "IQ_TOTAL_FINANCE_LEASES",Input!K$2,Date,,,Ccy,Conv)</f>
        <v>17067</v>
      </c>
      <c r="J361" s="4">
        <f>_xll.ciqfunctions.udf.CIQ(InputTicker, "IQ_TOTAL_FINANCE_LEASES",Input!L$2,Date,,,Ccy,Conv)</f>
        <v>27145</v>
      </c>
      <c r="K361" s="4">
        <f>_xll.ciqfunctions.udf.CIQ(InputTicker, "IQ_TOTAL_FINANCE_LEASES",Input!M$2,Date,,,Ccy,Conv)</f>
        <v>46172</v>
      </c>
      <c r="L361" s="4">
        <f>_xll.ciqfunctions.udf.CIQ(InputTicker, "IQ_TOTAL_FINANCE_LEASES",Input!N$2,Date,,,Ccy,Conv)</f>
        <v>66594</v>
      </c>
      <c r="M361" s="4">
        <f>_xll.ciqfunctions.udf.CIQ(InputTicker, "IQ_TOTAL_FINANCE_LEASES",Input!O$2,Date,,,Ccy,Conv)</f>
        <v>66594</v>
      </c>
      <c r="N361" s="42"/>
      <c r="T361" s="42"/>
      <c r="U361" s="42"/>
      <c r="V361" s="42"/>
      <c r="W361" s="42"/>
      <c r="X361" s="42"/>
      <c r="Y361" s="42"/>
      <c r="Z361" s="42"/>
      <c r="AA361" s="42"/>
      <c r="AB361" s="42"/>
      <c r="AC361" s="42"/>
      <c r="AD361" s="42"/>
      <c r="AE361" s="42"/>
      <c r="AF361" s="42"/>
      <c r="AG361" s="42"/>
      <c r="AH361" s="42"/>
      <c r="AI361" s="42"/>
      <c r="AJ361" s="42"/>
      <c r="AK361" s="42"/>
      <c r="AL361" s="42"/>
      <c r="AM361" s="42"/>
      <c r="AN361" s="42"/>
      <c r="AO361" s="42"/>
      <c r="AP361" s="42"/>
      <c r="AQ361" s="42"/>
      <c r="AR361" s="42"/>
      <c r="AS361" s="42"/>
      <c r="AT361" s="42"/>
      <c r="AU361" s="42"/>
      <c r="AV361" s="42"/>
      <c r="AW361" s="42"/>
      <c r="AX361" s="42"/>
      <c r="AY361" s="42"/>
      <c r="AZ361" s="42"/>
      <c r="BA361" s="42"/>
      <c r="BB361" s="42"/>
      <c r="BC361" s="42"/>
      <c r="BD361" s="42"/>
      <c r="BE361" s="42"/>
      <c r="BF361" s="42"/>
      <c r="BG361" s="42"/>
      <c r="BH361" s="42"/>
      <c r="BI361" s="42"/>
      <c r="BJ361" s="42"/>
      <c r="BK361" s="42"/>
      <c r="BL361" s="42"/>
      <c r="BM361" s="42"/>
      <c r="BN361" s="42"/>
    </row>
    <row r="362" spans="1:66" ht="12.75" customHeight="1" x14ac:dyDescent="0.2">
      <c r="A362" s="1" t="s">
        <v>479</v>
      </c>
      <c r="B362" s="4">
        <f>_xll.ciqfunctions.udf.CIQ(InputTicker, "IQ_CURRENT_PORTION_OPER_LEASE_LIABILITIES",Input!D$2,Date,,,Ccy,Conv)</f>
        <v>0</v>
      </c>
      <c r="C362" s="4">
        <f>_xll.ciqfunctions.udf.CIQ(InputTicker, "IQ_CURRENT_PORTION_OPER_LEASE_LIABILITIES",Input!E$2,Date,,,Ccy,Conv)</f>
        <v>1423</v>
      </c>
      <c r="D362" s="4">
        <f>_xll.ciqfunctions.udf.CIQ(InputTicker, "IQ_CURRENT_PORTION_OPER_LEASE_LIABILITIES",Input!F$2,Date,,,Ccy,Conv)</f>
        <v>1399</v>
      </c>
      <c r="E362" s="4">
        <f>_xll.ciqfunctions.udf.CIQ(InputTicker, "IQ_CURRENT_PORTION_OPER_LEASE_LIABILITIES",Input!G$2,Date,,,Ccy,Conv)</f>
        <v>1515</v>
      </c>
      <c r="F362" s="4">
        <f>_xll.ciqfunctions.udf.CIQ(InputTicker, "IQ_CURRENT_PORTION_OPER_LEASE_LIABILITIES",Input!H$2,Date,,,Ccy,Conv)</f>
        <v>1616</v>
      </c>
      <c r="G362" s="4">
        <f>_xll.ciqfunctions.udf.CIQ(InputTicker, "IQ_CURRENT_PORTION_OPER_LEASE_LIABILITIES",Input!I$2,Date,,,Ccy,Conv)</f>
        <v>1962</v>
      </c>
      <c r="H362" s="4">
        <f>_xll.ciqfunctions.udf.CIQ(InputTicker, "IQ_CURRENT_PORTION_OPER_LEASE_LIABILITIES",Input!J$2,Date,,,Ccy,Conv)</f>
        <v>2228</v>
      </c>
      <c r="I362" s="4">
        <f>_xll.ciqfunctions.udf.CIQ(InputTicker, "IQ_CURRENT_PORTION_OPER_LEASE_LIABILITIES",Input!K$2,Date,,,Ccy,Conv)</f>
        <v>2409</v>
      </c>
      <c r="J362" s="4">
        <f>_xll.ciqfunctions.udf.CIQ(InputTicker, "IQ_CURRENT_PORTION_OPER_LEASE_LIABILITIES",Input!L$2,Date,,,Ccy,Conv)</f>
        <v>3580</v>
      </c>
      <c r="K362" s="4">
        <f>_xll.ciqfunctions.udf.CIQ(InputTicker, "IQ_CURRENT_PORTION_OPER_LEASE_LIABILITIES",Input!M$2,Date,,,Ccy,Conv)</f>
        <v>5424</v>
      </c>
      <c r="L362" s="4">
        <f>_xll.ciqfunctions.udf.CIQ(InputTicker, "IQ_CURRENT_PORTION_OPER_LEASE_LIABILITIES",Input!N$2,Date,,,Ccy,Conv)</f>
        <v>5393</v>
      </c>
      <c r="M362" s="4">
        <f>_xll.ciqfunctions.udf.CIQ(InputTicker, "IQ_CURRENT_PORTION_OPER_LEASE_LIABILITIES",Input!O$2,Date,,,Ccy,Conv)</f>
        <v>5393</v>
      </c>
      <c r="N362" s="42"/>
      <c r="T362" s="42"/>
      <c r="U362" s="42"/>
      <c r="V362" s="42"/>
      <c r="W362" s="42"/>
      <c r="X362" s="42"/>
      <c r="Y362" s="42"/>
      <c r="Z362" s="42"/>
      <c r="AA362" s="42"/>
      <c r="AB362" s="42"/>
      <c r="AC362" s="42"/>
      <c r="AD362" s="42"/>
      <c r="AE362" s="42"/>
      <c r="AF362" s="42"/>
      <c r="AG362" s="42"/>
      <c r="AH362" s="42"/>
      <c r="AI362" s="42"/>
      <c r="AJ362" s="42"/>
      <c r="AK362" s="42"/>
      <c r="AL362" s="42"/>
      <c r="AM362" s="42"/>
      <c r="AN362" s="42"/>
      <c r="AO362" s="42"/>
      <c r="AP362" s="42"/>
      <c r="AQ362" s="42"/>
      <c r="AR362" s="42"/>
      <c r="AS362" s="42"/>
      <c r="AT362" s="42"/>
      <c r="AU362" s="42"/>
      <c r="AV362" s="42"/>
      <c r="AW362" s="42"/>
      <c r="AX362" s="42"/>
      <c r="AY362" s="42"/>
      <c r="AZ362" s="42"/>
      <c r="BA362" s="42"/>
      <c r="BB362" s="42"/>
      <c r="BC362" s="42"/>
      <c r="BD362" s="42"/>
      <c r="BE362" s="42"/>
      <c r="BF362" s="42"/>
      <c r="BG362" s="42"/>
      <c r="BH362" s="42"/>
      <c r="BI362" s="42"/>
      <c r="BJ362" s="42"/>
      <c r="BK362" s="42"/>
      <c r="BL362" s="42"/>
      <c r="BM362" s="42"/>
      <c r="BN362" s="42"/>
    </row>
    <row r="363" spans="1:66" ht="12.75" customHeight="1" x14ac:dyDescent="0.2">
      <c r="A363" s="1" t="s">
        <v>480</v>
      </c>
      <c r="B363" s="4">
        <f>_xll.ciqfunctions.udf.CIQ(InputTicker, "IQ_LT_PORTION_OPER_LEASE_LIABILITIES",Input!D$2,Date,,,Ccy,Conv)</f>
        <v>0</v>
      </c>
      <c r="C363" s="4">
        <f>_xll.ciqfunctions.udf.CIQ(InputTicker, "IQ_LT_PORTION_OPER_LEASE_LIABILITIES",Input!E$2,Date,,,Ccy,Conv)</f>
        <v>5372</v>
      </c>
      <c r="D363" s="4">
        <f>_xll.ciqfunctions.udf.CIQ(InputTicker, "IQ_LT_PORTION_OPER_LEASE_LIABILITIES",Input!F$2,Date,,,Ccy,Conv)</f>
        <v>5568</v>
      </c>
      <c r="E363" s="4">
        <f>_xll.ciqfunctions.udf.CIQ(InputTicker, "IQ_LT_PORTION_OPER_LEASE_LIABILITIES",Input!G$2,Date,,,Ccy,Conv)</f>
        <v>6188</v>
      </c>
      <c r="F363" s="4">
        <f>_xll.ciqfunctions.udf.CIQ(InputTicker, "IQ_LT_PORTION_OPER_LEASE_LIABILITIES",Input!H$2,Date,,,Ccy,Conv)</f>
        <v>7671</v>
      </c>
      <c r="G363" s="4">
        <f>_xll.ciqfunctions.udf.CIQ(InputTicker, "IQ_LT_PORTION_OPER_LEASE_LIABILITIES",Input!I$2,Date,,,Ccy,Conv)</f>
        <v>9629</v>
      </c>
      <c r="H363" s="4">
        <f>_xll.ciqfunctions.udf.CIQ(InputTicker, "IQ_LT_PORTION_OPER_LEASE_LIABILITIES",Input!J$2,Date,,,Ccy,Conv)</f>
        <v>11489</v>
      </c>
      <c r="I363" s="4">
        <f>_xll.ciqfunctions.udf.CIQ(InputTicker, "IQ_LT_PORTION_OPER_LEASE_LIABILITIES",Input!K$2,Date,,,Ccy,Conv)</f>
        <v>12728</v>
      </c>
      <c r="J363" s="4">
        <f>_xll.ciqfunctions.udf.CIQ(InputTicker, "IQ_LT_PORTION_OPER_LEASE_LIABILITIES",Input!L$2,Date,,,Ccy,Conv)</f>
        <v>15497</v>
      </c>
      <c r="K363" s="4">
        <f>_xll.ciqfunctions.udf.CIQ(InputTicker, "IQ_LT_PORTION_OPER_LEASE_LIABILITIES",Input!M$2,Date,,,Ccy,Conv)</f>
        <v>17437</v>
      </c>
      <c r="L363" s="4">
        <f>_xll.ciqfunctions.udf.CIQ(InputTicker, "IQ_LT_PORTION_OPER_LEASE_LIABILITIES",Input!N$2,Date,,,Ccy,Conv)</f>
        <v>16532</v>
      </c>
      <c r="M363" s="4">
        <f>_xll.ciqfunctions.udf.CIQ(InputTicker, "IQ_LT_PORTION_OPER_LEASE_LIABILITIES",Input!O$2,Date,,,Ccy,Conv)</f>
        <v>16532</v>
      </c>
      <c r="N363" s="42"/>
      <c r="T363" s="42"/>
      <c r="U363" s="42"/>
      <c r="V363" s="42"/>
      <c r="W363" s="42"/>
      <c r="X363" s="42"/>
      <c r="Y363" s="42"/>
      <c r="Z363" s="42"/>
      <c r="AA363" s="42"/>
      <c r="AB363" s="42"/>
      <c r="AC363" s="42"/>
      <c r="AD363" s="42"/>
      <c r="AE363" s="42"/>
      <c r="AF363" s="42"/>
      <c r="AG363" s="42"/>
      <c r="AH363" s="42"/>
      <c r="AI363" s="42"/>
      <c r="AJ363" s="42"/>
      <c r="AK363" s="42"/>
      <c r="AL363" s="42"/>
      <c r="AM363" s="42"/>
      <c r="AN363" s="42"/>
      <c r="AO363" s="42"/>
      <c r="AP363" s="42"/>
      <c r="AQ363" s="42"/>
      <c r="AR363" s="42"/>
      <c r="AS363" s="42"/>
      <c r="AT363" s="42"/>
      <c r="AU363" s="42"/>
      <c r="AV363" s="42"/>
      <c r="AW363" s="42"/>
      <c r="AX363" s="42"/>
      <c r="AY363" s="42"/>
      <c r="AZ363" s="42"/>
      <c r="BA363" s="42"/>
      <c r="BB363" s="42"/>
      <c r="BC363" s="42"/>
      <c r="BD363" s="42"/>
      <c r="BE363" s="42"/>
      <c r="BF363" s="42"/>
      <c r="BG363" s="42"/>
      <c r="BH363" s="42"/>
      <c r="BI363" s="42"/>
      <c r="BJ363" s="42"/>
      <c r="BK363" s="42"/>
      <c r="BL363" s="42"/>
      <c r="BM363" s="42"/>
      <c r="BN363" s="42"/>
    </row>
    <row r="364" spans="1:66" ht="12.75" customHeight="1" x14ac:dyDescent="0.2">
      <c r="A364" s="1" t="s">
        <v>481</v>
      </c>
      <c r="B364" s="4">
        <f>_xll.ciqfunctions.udf.CIQ(InputTicker, "IQ_TOTAL_OPER_LEASES",Input!D$2,Date,,,Ccy,Conv)</f>
        <v>0</v>
      </c>
      <c r="C364" s="4">
        <f>_xll.ciqfunctions.udf.CIQ(InputTicker, "IQ_TOTAL_OPER_LEASES",Input!E$2,Date,,,Ccy,Conv)</f>
        <v>6795</v>
      </c>
      <c r="D364" s="4">
        <f>_xll.ciqfunctions.udf.CIQ(InputTicker, "IQ_TOTAL_OPER_LEASES",Input!F$2,Date,,,Ccy,Conv)</f>
        <v>6967</v>
      </c>
      <c r="E364" s="4">
        <f>_xll.ciqfunctions.udf.CIQ(InputTicker, "IQ_TOTAL_OPER_LEASES",Input!G$2,Date,,,Ccy,Conv)</f>
        <v>7703</v>
      </c>
      <c r="F364" s="4">
        <f>_xll.ciqfunctions.udf.CIQ(InputTicker, "IQ_TOTAL_OPER_LEASES",Input!H$2,Date,,,Ccy,Conv)</f>
        <v>9287</v>
      </c>
      <c r="G364" s="4">
        <f>_xll.ciqfunctions.udf.CIQ(InputTicker, "IQ_TOTAL_OPER_LEASES",Input!I$2,Date,,,Ccy,Conv)</f>
        <v>11591</v>
      </c>
      <c r="H364" s="4">
        <f>_xll.ciqfunctions.udf.CIQ(InputTicker, "IQ_TOTAL_OPER_LEASES",Input!J$2,Date,,,Ccy,Conv)</f>
        <v>13717</v>
      </c>
      <c r="I364" s="4">
        <f>_xll.ciqfunctions.udf.CIQ(InputTicker, "IQ_TOTAL_OPER_LEASES",Input!K$2,Date,,,Ccy,Conv)</f>
        <v>15137</v>
      </c>
      <c r="J364" s="4">
        <f>_xll.ciqfunctions.udf.CIQ(InputTicker, "IQ_TOTAL_OPER_LEASES",Input!L$2,Date,,,Ccy,Conv)</f>
        <v>19077</v>
      </c>
      <c r="K364" s="4">
        <f>_xll.ciqfunctions.udf.CIQ(InputTicker, "IQ_TOTAL_OPER_LEASES",Input!M$2,Date,,,Ccy,Conv)</f>
        <v>22861</v>
      </c>
      <c r="L364" s="4">
        <f>_xll.ciqfunctions.udf.CIQ(InputTicker, "IQ_TOTAL_OPER_LEASES",Input!N$2,Date,,,Ccy,Conv)</f>
        <v>21925</v>
      </c>
      <c r="M364" s="4">
        <f>_xll.ciqfunctions.udf.CIQ(InputTicker, "IQ_TOTAL_OPER_LEASES",Input!O$2,Date,,,Ccy,Conv)</f>
        <v>21925</v>
      </c>
      <c r="N364" s="42"/>
      <c r="T364" s="42"/>
      <c r="U364" s="42"/>
      <c r="V364" s="42"/>
      <c r="W364" s="42"/>
      <c r="X364" s="42"/>
      <c r="Y364" s="42"/>
      <c r="Z364" s="42"/>
      <c r="AA364" s="42"/>
      <c r="AB364" s="42"/>
      <c r="AC364" s="42"/>
      <c r="AD364" s="42"/>
      <c r="AE364" s="42"/>
      <c r="AF364" s="42"/>
      <c r="AG364" s="42"/>
      <c r="AH364" s="42"/>
      <c r="AI364" s="42"/>
      <c r="AJ364" s="42"/>
      <c r="AK364" s="42"/>
      <c r="AL364" s="42"/>
      <c r="AM364" s="42"/>
      <c r="AN364" s="42"/>
      <c r="AO364" s="42"/>
      <c r="AP364" s="42"/>
      <c r="AQ364" s="42"/>
      <c r="AR364" s="42"/>
      <c r="AS364" s="42"/>
      <c r="AT364" s="42"/>
      <c r="AU364" s="42"/>
      <c r="AV364" s="42"/>
      <c r="AW364" s="42"/>
      <c r="AX364" s="42"/>
      <c r="AY364" s="42"/>
      <c r="AZ364" s="42"/>
      <c r="BA364" s="42"/>
      <c r="BB364" s="42"/>
      <c r="BC364" s="42"/>
      <c r="BD364" s="42"/>
      <c r="BE364" s="42"/>
      <c r="BF364" s="42"/>
      <c r="BG364" s="42"/>
      <c r="BH364" s="42"/>
      <c r="BI364" s="42"/>
      <c r="BJ364" s="42"/>
      <c r="BK364" s="42"/>
      <c r="BL364" s="42"/>
      <c r="BM364" s="42"/>
      <c r="BN364" s="42"/>
    </row>
    <row r="365" spans="1:66" ht="12.75" customHeight="1" x14ac:dyDescent="0.2">
      <c r="A365" s="1" t="s">
        <v>482</v>
      </c>
      <c r="B365" s="4">
        <f>_xll.ciqfunctions.udf.CIQ(InputTicker, "IQ_TOTAL_LEASES",Input!D$2,Date,,,Ccy,Conv)</f>
        <v>786</v>
      </c>
      <c r="C365" s="4">
        <f>_xll.ciqfunctions.udf.CIQ(InputTicker, "IQ_TOTAL_LEASES",Input!E$2,Date,,,Ccy,Conv)</f>
        <v>9333</v>
      </c>
      <c r="D365" s="4">
        <f>_xll.ciqfunctions.udf.CIQ(InputTicker, "IQ_TOTAL_LEASES",Input!F$2,Date,,,Ccy,Conv)</f>
        <v>11268</v>
      </c>
      <c r="E365" s="4">
        <f>_xll.ciqfunctions.udf.CIQ(InputTicker, "IQ_TOTAL_LEASES",Input!G$2,Date,,,Ccy,Conv)</f>
        <v>14277</v>
      </c>
      <c r="F365" s="4">
        <f>_xll.ciqfunctions.udf.CIQ(InputTicker, "IQ_TOTAL_LEASES",Input!H$2,Date,,,Ccy,Conv)</f>
        <v>18783</v>
      </c>
      <c r="G365" s="4">
        <f>_xll.ciqfunctions.udf.CIQ(InputTicker, "IQ_TOTAL_LEASES",Input!I$2,Date,,,Ccy,Conv)</f>
        <v>24132</v>
      </c>
      <c r="H365" s="4">
        <f>_xll.ciqfunctions.udf.CIQ(InputTicker, "IQ_TOTAL_LEASES",Input!J$2,Date,,,Ccy,Conv)</f>
        <v>28619</v>
      </c>
      <c r="I365" s="4">
        <f>_xll.ciqfunctions.udf.CIQ(InputTicker, "IQ_TOTAL_LEASES",Input!K$2,Date,,,Ccy,Conv)</f>
        <v>32204</v>
      </c>
      <c r="J365" s="4">
        <f>_xll.ciqfunctions.udf.CIQ(InputTicker, "IQ_TOTAL_LEASES",Input!L$2,Date,,,Ccy,Conv)</f>
        <v>46222</v>
      </c>
      <c r="K365" s="4">
        <f>_xll.ciqfunctions.udf.CIQ(InputTicker, "IQ_TOTAL_LEASES",Input!M$2,Date,,,Ccy,Conv)</f>
        <v>69033</v>
      </c>
      <c r="L365" s="4">
        <f>_xll.ciqfunctions.udf.CIQ(InputTicker, "IQ_TOTAL_LEASES",Input!N$2,Date,,,Ccy,Conv)</f>
        <v>88519</v>
      </c>
      <c r="M365" s="4">
        <f>_xll.ciqfunctions.udf.CIQ(InputTicker, "IQ_TOTAL_LEASES",Input!O$2,Date,,,Ccy,Conv)</f>
        <v>88519</v>
      </c>
      <c r="N365" s="42"/>
      <c r="T365" s="42"/>
      <c r="U365" s="42"/>
      <c r="V365" s="42"/>
      <c r="W365" s="42"/>
      <c r="X365" s="42"/>
      <c r="Y365" s="42"/>
      <c r="Z365" s="42"/>
      <c r="AA365" s="42"/>
      <c r="AB365" s="42"/>
      <c r="AC365" s="42"/>
      <c r="AD365" s="42"/>
      <c r="AE365" s="42"/>
      <c r="AF365" s="42"/>
      <c r="AG365" s="42"/>
      <c r="AH365" s="42"/>
      <c r="AI365" s="42"/>
      <c r="AJ365" s="42"/>
      <c r="AK365" s="42"/>
      <c r="AL365" s="42"/>
      <c r="AM365" s="42"/>
      <c r="AN365" s="42"/>
      <c r="AO365" s="42"/>
      <c r="AP365" s="42"/>
      <c r="AQ365" s="42"/>
      <c r="AR365" s="42"/>
      <c r="AS365" s="42"/>
      <c r="AT365" s="42"/>
      <c r="AU365" s="42"/>
      <c r="AV365" s="42"/>
      <c r="AW365" s="42"/>
      <c r="AX365" s="42"/>
      <c r="AY365" s="42"/>
      <c r="AZ365" s="42"/>
      <c r="BA365" s="42"/>
      <c r="BB365" s="42"/>
      <c r="BC365" s="42"/>
      <c r="BD365" s="42"/>
      <c r="BE365" s="42"/>
      <c r="BF365" s="42"/>
      <c r="BG365" s="42"/>
      <c r="BH365" s="42"/>
      <c r="BI365" s="42"/>
      <c r="BJ365" s="42"/>
      <c r="BK365" s="42"/>
      <c r="BL365" s="42"/>
      <c r="BM365" s="42"/>
      <c r="BN365" s="42"/>
    </row>
    <row r="366" spans="1:66" ht="12.75" customHeight="1" x14ac:dyDescent="0.2">
      <c r="A366" s="1" t="s">
        <v>483</v>
      </c>
      <c r="B366" s="4">
        <f>_xll.ciqfunctions.udf.CIQ(InputTicker, "IQ_FINANCING_OBLIG_CURRENT_EXCL_OPER_LEASES",Input!D$2,Date,,,Ccy,Conv)</f>
        <v>13223</v>
      </c>
      <c r="C366" s="4">
        <f>_xll.ciqfunctions.udf.CIQ(InputTicker, "IQ_FINANCING_OBLIG_CURRENT_EXCL_OPER_LEASES",Input!E$2,Date,,,Ccy,Conv)</f>
        <v>10234</v>
      </c>
      <c r="D366" s="4">
        <f>_xll.ciqfunctions.udf.CIQ(InputTicker, "IQ_FINANCING_OBLIG_CURRENT_EXCL_OPER_LEASES",Input!F$2,Date,,,Ccy,Conv)</f>
        <v>4174</v>
      </c>
      <c r="E366" s="4">
        <f>_xll.ciqfunctions.udf.CIQ(InputTicker, "IQ_FINANCING_OBLIG_CURRENT_EXCL_OPER_LEASES",Input!G$2,Date,,,Ccy,Conv)</f>
        <v>5833</v>
      </c>
      <c r="F366" s="4">
        <f>_xll.ciqfunctions.udf.CIQ(InputTicker, "IQ_FINANCING_OBLIG_CURRENT_EXCL_OPER_LEASES",Input!H$2,Date,,,Ccy,Conv)</f>
        <v>4289</v>
      </c>
      <c r="G366" s="4">
        <f>_xll.ciqfunctions.udf.CIQ(InputTicker, "IQ_FINANCING_OBLIG_CURRENT_EXCL_OPER_LEASES",Input!I$2,Date,,,Ccy,Conv)</f>
        <v>8863</v>
      </c>
      <c r="H366" s="4">
        <f>_xll.ciqfunctions.udf.CIQ(InputTicker, "IQ_FINANCING_OBLIG_CURRENT_EXCL_OPER_LEASES",Input!J$2,Date,,,Ccy,Conv)</f>
        <v>3809</v>
      </c>
      <c r="I366" s="4">
        <f>_xll.ciqfunctions.udf.CIQ(InputTicker, "IQ_FINANCING_OBLIG_CURRENT_EXCL_OPER_LEASES",Input!K$2,Date,,,Ccy,Conv)</f>
        <v>6444</v>
      </c>
      <c r="J366" s="4">
        <f>_xll.ciqfunctions.udf.CIQ(InputTicker, "IQ_FINANCING_OBLIG_CURRENT_EXCL_OPER_LEASES",Input!L$2,Date,,,Ccy,Conv)</f>
        <v>11291</v>
      </c>
      <c r="K366" s="4">
        <f>_xll.ciqfunctions.udf.CIQ(InputTicker, "IQ_FINANCING_OBLIG_CURRENT_EXCL_OPER_LEASES",Input!M$2,Date,,,Ccy,Conv)</f>
        <v>6171</v>
      </c>
      <c r="L366" s="4">
        <f>_xll.ciqfunctions.udf.CIQ(InputTicker, "IQ_FINANCING_OBLIG_CURRENT_EXCL_OPER_LEASES",Input!N$2,Date,,,Ccy,Conv)</f>
        <v>13517</v>
      </c>
      <c r="M366" s="4">
        <f>_xll.ciqfunctions.udf.CIQ(InputTicker, "IQ_FINANCING_OBLIG_CURRENT_EXCL_OPER_LEASES",Input!O$2,Date,,,Ccy,Conv)</f>
        <v>13517</v>
      </c>
      <c r="N366" s="42"/>
      <c r="T366" s="42"/>
      <c r="U366" s="42"/>
      <c r="V366" s="42"/>
      <c r="W366" s="42"/>
      <c r="X366" s="42"/>
      <c r="Y366" s="42"/>
      <c r="Z366" s="42"/>
      <c r="AA366" s="42"/>
      <c r="AB366" s="42"/>
      <c r="AC366" s="42"/>
      <c r="AD366" s="42"/>
      <c r="AE366" s="42"/>
      <c r="AF366" s="42"/>
      <c r="AG366" s="42"/>
      <c r="AH366" s="42"/>
      <c r="AI366" s="42"/>
      <c r="AJ366" s="42"/>
      <c r="AK366" s="42"/>
      <c r="AL366" s="42"/>
      <c r="AM366" s="42"/>
      <c r="AN366" s="42"/>
      <c r="AO366" s="42"/>
      <c r="AP366" s="42"/>
      <c r="AQ366" s="42"/>
      <c r="AR366" s="42"/>
      <c r="AS366" s="42"/>
      <c r="AT366" s="42"/>
      <c r="AU366" s="42"/>
      <c r="AV366" s="42"/>
      <c r="AW366" s="42"/>
      <c r="AX366" s="42"/>
      <c r="AY366" s="42"/>
      <c r="AZ366" s="42"/>
      <c r="BA366" s="42"/>
      <c r="BB366" s="42"/>
      <c r="BC366" s="42"/>
      <c r="BD366" s="42"/>
      <c r="BE366" s="42"/>
      <c r="BF366" s="42"/>
      <c r="BG366" s="42"/>
      <c r="BH366" s="42"/>
      <c r="BI366" s="42"/>
      <c r="BJ366" s="42"/>
      <c r="BK366" s="42"/>
      <c r="BL366" s="42"/>
      <c r="BM366" s="42"/>
      <c r="BN366" s="42"/>
    </row>
    <row r="367" spans="1:66" ht="12.75" customHeight="1" x14ac:dyDescent="0.2">
      <c r="A367" s="1" t="s">
        <v>484</v>
      </c>
      <c r="B367" s="4">
        <f>_xll.ciqfunctions.udf.CIQ(InputTicker, "IQ_FINANCING_OBLIG_NON_CURRENT_EXCL_OPER_LEASES",Input!D$2,Date,,,Ccy,Conv)</f>
        <v>41318</v>
      </c>
      <c r="C367" s="4">
        <f>_xll.ciqfunctions.udf.CIQ(InputTicker, "IQ_FINANCING_OBLIG_NON_CURRENT_EXCL_OPER_LEASES",Input!E$2,Date,,,Ccy,Conv)</f>
        <v>78498</v>
      </c>
      <c r="D367" s="4">
        <f>_xll.ciqfunctions.udf.CIQ(InputTicker, "IQ_FINANCING_OBLIG_NON_CURRENT_EXCL_OPER_LEASES",Input!F$2,Date,,,Ccy,Conv)</f>
        <v>76367</v>
      </c>
      <c r="E367" s="4">
        <f>_xll.ciqfunctions.udf.CIQ(InputTicker, "IQ_FINANCING_OBLIG_NON_CURRENT_EXCL_OPER_LEASES",Input!G$2,Date,,,Ccy,Conv)</f>
        <v>72919</v>
      </c>
      <c r="F367" s="4">
        <f>_xll.ciqfunctions.udf.CIQ(InputTicker, "IQ_FINANCING_OBLIG_NON_CURRENT_EXCL_OPER_LEASES",Input!H$2,Date,,,Ccy,Conv)</f>
        <v>68534</v>
      </c>
      <c r="G367" s="4">
        <f>_xll.ciqfunctions.udf.CIQ(InputTicker, "IQ_FINANCING_OBLIG_NON_CURRENT_EXCL_OPER_LEASES",Input!I$2,Date,,,Ccy,Conv)</f>
        <v>61824</v>
      </c>
      <c r="H367" s="4">
        <f>_xll.ciqfunctions.udf.CIQ(InputTicker, "IQ_FINANCING_OBLIG_NON_CURRENT_EXCL_OPER_LEASES",Input!J$2,Date,,,Ccy,Conv)</f>
        <v>60874</v>
      </c>
      <c r="I367" s="4">
        <f>_xll.ciqfunctions.udf.CIQ(InputTicker, "IQ_FINANCING_OBLIG_NON_CURRENT_EXCL_OPER_LEASES",Input!K$2,Date,,,Ccy,Conv)</f>
        <v>57860</v>
      </c>
      <c r="J367" s="4">
        <f>_xll.ciqfunctions.udf.CIQ(InputTicker, "IQ_FINANCING_OBLIG_NON_CURRENT_EXCL_OPER_LEASES",Input!L$2,Date,,,Ccy,Conv)</f>
        <v>67484</v>
      </c>
      <c r="K367" s="4">
        <f>_xll.ciqfunctions.udf.CIQ(InputTicker, "IQ_FINANCING_OBLIG_NON_CURRENT_EXCL_OPER_LEASES",Input!M$2,Date,,,Ccy,Conv)</f>
        <v>83152</v>
      </c>
      <c r="L367" s="4">
        <f>_xll.ciqfunctions.udf.CIQ(InputTicker, "IQ_FINANCING_OBLIG_NON_CURRENT_EXCL_OPER_LEASES",Input!N$2,Date,,,Ccy,Conv)</f>
        <v>93371</v>
      </c>
      <c r="M367" s="4">
        <f>_xll.ciqfunctions.udf.CIQ(InputTicker, "IQ_FINANCING_OBLIG_NON_CURRENT_EXCL_OPER_LEASES",Input!O$2,Date,,,Ccy,Conv)</f>
        <v>93371</v>
      </c>
      <c r="N367" s="42"/>
      <c r="T367" s="42"/>
      <c r="U367" s="42"/>
      <c r="V367" s="42"/>
      <c r="W367" s="42"/>
      <c r="X367" s="42"/>
      <c r="Y367" s="42"/>
      <c r="Z367" s="42"/>
      <c r="AA367" s="42"/>
      <c r="AB367" s="42"/>
      <c r="AC367" s="42"/>
      <c r="AD367" s="42"/>
      <c r="AE367" s="42"/>
      <c r="AF367" s="42"/>
      <c r="AG367" s="42"/>
      <c r="AH367" s="42"/>
      <c r="AI367" s="42"/>
      <c r="AJ367" s="42"/>
      <c r="AK367" s="42"/>
      <c r="AL367" s="42"/>
      <c r="AM367" s="42"/>
      <c r="AN367" s="42"/>
      <c r="AO367" s="42"/>
      <c r="AP367" s="42"/>
      <c r="AQ367" s="42"/>
      <c r="AR367" s="42"/>
      <c r="AS367" s="42"/>
      <c r="AT367" s="42"/>
      <c r="AU367" s="42"/>
      <c r="AV367" s="42"/>
      <c r="AW367" s="42"/>
      <c r="AX367" s="42"/>
      <c r="AY367" s="42"/>
      <c r="AZ367" s="42"/>
      <c r="BA367" s="42"/>
      <c r="BB367" s="42"/>
      <c r="BC367" s="42"/>
      <c r="BD367" s="42"/>
      <c r="BE367" s="42"/>
      <c r="BF367" s="42"/>
      <c r="BG367" s="42"/>
      <c r="BH367" s="42"/>
      <c r="BI367" s="42"/>
      <c r="BJ367" s="42"/>
      <c r="BK367" s="42"/>
      <c r="BL367" s="42"/>
      <c r="BM367" s="42"/>
      <c r="BN367" s="42"/>
    </row>
    <row r="368" spans="1:66" ht="12.75" customHeight="1" x14ac:dyDescent="0.2">
      <c r="A368" s="1" t="s">
        <v>485</v>
      </c>
      <c r="B368" s="4">
        <f>_xll.ciqfunctions.udf.CIQ(InputTicker, "IQ_TOTAL_DEBT_EXCL_OPER_LEASES",Input!D$2,Date,,,Ccy,Conv)</f>
        <v>54541</v>
      </c>
      <c r="C368" s="4">
        <f>_xll.ciqfunctions.udf.CIQ(InputTicker, "IQ_TOTAL_DEBT_EXCL_OPER_LEASES",Input!E$2,Date,,,Ccy,Conv)</f>
        <v>88732</v>
      </c>
      <c r="D368" s="4">
        <f>_xll.ciqfunctions.udf.CIQ(InputTicker, "IQ_TOTAL_DEBT_EXCL_OPER_LEASES",Input!F$2,Date,,,Ccy,Conv)</f>
        <v>80541</v>
      </c>
      <c r="E368" s="4">
        <f>_xll.ciqfunctions.udf.CIQ(InputTicker, "IQ_TOTAL_DEBT_EXCL_OPER_LEASES",Input!G$2,Date,,,Ccy,Conv)</f>
        <v>78752</v>
      </c>
      <c r="F368" s="4">
        <f>_xll.ciqfunctions.udf.CIQ(InputTicker, "IQ_TOTAL_DEBT_EXCL_OPER_LEASES",Input!H$2,Date,,,Ccy,Conv)</f>
        <v>72823</v>
      </c>
      <c r="G368" s="4">
        <f>_xll.ciqfunctions.udf.CIQ(InputTicker, "IQ_TOTAL_DEBT_EXCL_OPER_LEASES",Input!I$2,Date,,,Ccy,Conv)</f>
        <v>70687</v>
      </c>
      <c r="H368" s="4">
        <f>_xll.ciqfunctions.udf.CIQ(InputTicker, "IQ_TOTAL_DEBT_EXCL_OPER_LEASES",Input!J$2,Date,,,Ccy,Conv)</f>
        <v>64683</v>
      </c>
      <c r="I368" s="4">
        <f>_xll.ciqfunctions.udf.CIQ(InputTicker, "IQ_TOTAL_DEBT_EXCL_OPER_LEASES",Input!K$2,Date,,,Ccy,Conv)</f>
        <v>64304</v>
      </c>
      <c r="J368" s="4">
        <f>_xll.ciqfunctions.udf.CIQ(InputTicker, "IQ_TOTAL_DEBT_EXCL_OPER_LEASES",Input!L$2,Date,,,Ccy,Conv)</f>
        <v>78775</v>
      </c>
      <c r="K368" s="4">
        <f>_xll.ciqfunctions.udf.CIQ(InputTicker, "IQ_TOTAL_DEBT_EXCL_OPER_LEASES",Input!M$2,Date,,,Ccy,Conv)</f>
        <v>89323</v>
      </c>
      <c r="L368" s="4">
        <f>_xll.ciqfunctions.udf.CIQ(InputTicker, "IQ_TOTAL_DEBT_EXCL_OPER_LEASES",Input!N$2,Date,,,Ccy,Conv)</f>
        <v>106888</v>
      </c>
      <c r="M368" s="4">
        <f>_xll.ciqfunctions.udf.CIQ(InputTicker, "IQ_TOTAL_DEBT_EXCL_OPER_LEASES",Input!O$2,Date,,,Ccy,Conv)</f>
        <v>106888</v>
      </c>
      <c r="N368" s="42"/>
      <c r="T368" s="42"/>
      <c r="U368" s="42"/>
      <c r="V368" s="42"/>
      <c r="W368" s="42"/>
      <c r="X368" s="42"/>
      <c r="Y368" s="42"/>
      <c r="Z368" s="42"/>
      <c r="AA368" s="42"/>
      <c r="AB368" s="42"/>
      <c r="AC368" s="42"/>
      <c r="AD368" s="42"/>
      <c r="AE368" s="42"/>
      <c r="AF368" s="42"/>
      <c r="AG368" s="42"/>
      <c r="AH368" s="42"/>
      <c r="AI368" s="42"/>
      <c r="AJ368" s="42"/>
      <c r="AK368" s="42"/>
      <c r="AL368" s="42"/>
      <c r="AM368" s="42"/>
      <c r="AN368" s="42"/>
      <c r="AO368" s="42"/>
      <c r="AP368" s="42"/>
      <c r="AQ368" s="42"/>
      <c r="AR368" s="42"/>
      <c r="AS368" s="42"/>
      <c r="AT368" s="42"/>
      <c r="AU368" s="42"/>
      <c r="AV368" s="42"/>
      <c r="AW368" s="42"/>
      <c r="AX368" s="42"/>
      <c r="AY368" s="42"/>
      <c r="AZ368" s="42"/>
      <c r="BA368" s="42"/>
      <c r="BB368" s="42"/>
      <c r="BC368" s="42"/>
      <c r="BD368" s="42"/>
      <c r="BE368" s="42"/>
      <c r="BF368" s="42"/>
      <c r="BG368" s="42"/>
      <c r="BH368" s="42"/>
      <c r="BI368" s="42"/>
      <c r="BJ368" s="42"/>
      <c r="BK368" s="42"/>
      <c r="BL368" s="42"/>
      <c r="BM368" s="42"/>
      <c r="BN368" s="42"/>
    </row>
    <row r="369" spans="1:66" ht="12.75" customHeight="1" x14ac:dyDescent="0.2">
      <c r="A369" s="1" t="s">
        <v>486</v>
      </c>
      <c r="B369" s="4">
        <f>_xll.ciqfunctions.udf.CIQ(InputTicker, "IQ_TOTAL_DEBT_EXCL_LEASES",Input!D$2,Date,,,Ccy,Conv)</f>
        <v>53755</v>
      </c>
      <c r="C369" s="4">
        <f>_xll.ciqfunctions.udf.CIQ(InputTicker, "IQ_TOTAL_DEBT_EXCL_LEASES",Input!E$2,Date,,,Ccy,Conv)</f>
        <v>86194</v>
      </c>
      <c r="D369" s="4">
        <f>_xll.ciqfunctions.udf.CIQ(InputTicker, "IQ_TOTAL_DEBT_EXCL_LEASES",Input!F$2,Date,,,Ccy,Conv)</f>
        <v>76240</v>
      </c>
      <c r="E369" s="4">
        <f>_xll.ciqfunctions.udf.CIQ(InputTicker, "IQ_TOTAL_DEBT_EXCL_LEASES",Input!G$2,Date,,,Ccy,Conv)</f>
        <v>72178</v>
      </c>
      <c r="F369" s="4">
        <f>_xll.ciqfunctions.udf.CIQ(InputTicker, "IQ_TOTAL_DEBT_EXCL_LEASES",Input!H$2,Date,,,Ccy,Conv)</f>
        <v>63327</v>
      </c>
      <c r="G369" s="4">
        <f>_xll.ciqfunctions.udf.CIQ(InputTicker, "IQ_TOTAL_DEBT_EXCL_LEASES",Input!I$2,Date,,,Ccy,Conv)</f>
        <v>58146</v>
      </c>
      <c r="H369" s="4">
        <f>_xll.ciqfunctions.udf.CIQ(InputTicker, "IQ_TOTAL_DEBT_EXCL_LEASES",Input!J$2,Date,,,Ccy,Conv)</f>
        <v>49781</v>
      </c>
      <c r="I369" s="4">
        <f>_xll.ciqfunctions.udf.CIQ(InputTicker, "IQ_TOTAL_DEBT_EXCL_LEASES",Input!K$2,Date,,,Ccy,Conv)</f>
        <v>47237</v>
      </c>
      <c r="J369" s="4">
        <f>_xll.ciqfunctions.udf.CIQ(InputTicker, "IQ_TOTAL_DEBT_EXCL_LEASES",Input!L$2,Date,,,Ccy,Conv)</f>
        <v>51630</v>
      </c>
      <c r="K369" s="4">
        <f>_xll.ciqfunctions.udf.CIQ(InputTicker, "IQ_TOTAL_DEBT_EXCL_LEASES",Input!M$2,Date,,,Ccy,Conv)</f>
        <v>43151</v>
      </c>
      <c r="L369" s="4">
        <f>_xll.ciqfunctions.udf.CIQ(InputTicker, "IQ_TOTAL_DEBT_EXCL_LEASES",Input!N$2,Date,,,Ccy,Conv)</f>
        <v>40294</v>
      </c>
      <c r="M369" s="4">
        <f>_xll.ciqfunctions.udf.CIQ(InputTicker, "IQ_TOTAL_DEBT_EXCL_LEASES",Input!O$2,Date,,,Ccy,Conv)</f>
        <v>40294</v>
      </c>
      <c r="N369" s="42"/>
      <c r="T369" s="42"/>
      <c r="U369" s="42"/>
      <c r="V369" s="42"/>
      <c r="W369" s="42"/>
      <c r="X369" s="42"/>
      <c r="Y369" s="42"/>
      <c r="Z369" s="42"/>
      <c r="AA369" s="42"/>
      <c r="AB369" s="42"/>
      <c r="AC369" s="42"/>
      <c r="AD369" s="42"/>
      <c r="AE369" s="42"/>
      <c r="AF369" s="42"/>
      <c r="AG369" s="42"/>
      <c r="AH369" s="42"/>
      <c r="AI369" s="42"/>
      <c r="AJ369" s="42"/>
      <c r="AK369" s="42"/>
      <c r="AL369" s="42"/>
      <c r="AM369" s="42"/>
      <c r="AN369" s="42"/>
      <c r="AO369" s="42"/>
      <c r="AP369" s="42"/>
      <c r="AQ369" s="42"/>
      <c r="AR369" s="42"/>
      <c r="AS369" s="42"/>
      <c r="AT369" s="42"/>
      <c r="AU369" s="42"/>
      <c r="AV369" s="42"/>
      <c r="AW369" s="42"/>
      <c r="AX369" s="42"/>
      <c r="AY369" s="42"/>
      <c r="AZ369" s="42"/>
      <c r="BA369" s="42"/>
      <c r="BB369" s="42"/>
      <c r="BC369" s="42"/>
      <c r="BD369" s="42"/>
      <c r="BE369" s="42"/>
      <c r="BF369" s="42"/>
      <c r="BG369" s="42"/>
      <c r="BH369" s="42"/>
      <c r="BI369" s="42"/>
      <c r="BJ369" s="42"/>
      <c r="BK369" s="42"/>
      <c r="BL369" s="42"/>
      <c r="BM369" s="42"/>
      <c r="BN369" s="42"/>
    </row>
    <row r="370" spans="1:66" ht="12.75" customHeight="1" x14ac:dyDescent="0.2">
      <c r="A370" s="1" t="s">
        <v>419</v>
      </c>
      <c r="B370" s="12">
        <f>_xll.ciqfunctions.udf.CIQ(InputTicker, "IQ_TOTAL_OUTSTANDING_FILING_DATE",Input!D$2,Date)</f>
        <v>7792.5155699999996</v>
      </c>
      <c r="C370" s="12">
        <f>_xll.ciqfunctions.udf.CIQ(InputTicker, "IQ_TOTAL_OUTSTANDING_FILING_DATE",Input!E$2,Date)</f>
        <v>7702.2439800000002</v>
      </c>
      <c r="D370" s="12">
        <f>_xll.ciqfunctions.udf.CIQ(InputTicker, "IQ_TOTAL_OUTSTANDING_FILING_DATE",Input!F$2,Date)</f>
        <v>7668.2173199999997</v>
      </c>
      <c r="E370" s="12">
        <f>_xll.ciqfunctions.udf.CIQ(InputTicker, "IQ_TOTAL_OUTSTANDING_FILING_DATE",Input!G$2,Date)</f>
        <v>7635.4093999999996</v>
      </c>
      <c r="F370" s="12">
        <f>_xll.ciqfunctions.udf.CIQ(InputTicker, "IQ_TOTAL_OUTSTANDING_FILING_DATE",Input!H$2,Date)</f>
        <v>7567.6529399999999</v>
      </c>
      <c r="G370" s="12">
        <f>_xll.ciqfunctions.udf.CIQ(InputTicker, "IQ_TOTAL_OUTSTANDING_FILING_DATE",Input!I$2,Date)</f>
        <v>7514.8912499999997</v>
      </c>
      <c r="H370" s="12">
        <f>_xll.ciqfunctions.udf.CIQ(InputTicker, "IQ_TOTAL_OUTSTANDING_FILING_DATE",Input!J$2,Date)</f>
        <v>7457.8918700000004</v>
      </c>
      <c r="I370" s="12">
        <f>_xll.ciqfunctions.udf.CIQ(InputTicker, "IQ_TOTAL_OUTSTANDING_FILING_DATE",Input!K$2,Date)</f>
        <v>7429.7637199999999</v>
      </c>
      <c r="J370" s="12">
        <f>_xll.ciqfunctions.udf.CIQ(InputTicker, "IQ_TOTAL_OUTSTANDING_FILING_DATE",Input!L$2,Date)</f>
        <v>7433.03838</v>
      </c>
      <c r="K370" s="12">
        <f>_xll.ciqfunctions.udf.CIQ(InputTicker, "IQ_TOTAL_OUTSTANDING_FILING_DATE",Input!M$2,Date)</f>
        <v>7433.1663799999997</v>
      </c>
      <c r="L370" s="12">
        <f>_xll.ciqfunctions.udf.CIQ(InputTicker, "IQ_TOTAL_OUTSTANDING_FILING_DATE",Input!N$2,Date)</f>
        <v>7425.5454900000004</v>
      </c>
      <c r="M370" s="12">
        <f>_xll.ciqfunctions.udf.CIQ(InputTicker, "IQ_TOTAL_OUTSTANDING_FILING_DATE",Input!O$2,Date)</f>
        <v>7425.5454900000004</v>
      </c>
      <c r="N370" s="53"/>
      <c r="T370" s="42"/>
      <c r="U370" s="42"/>
      <c r="V370" s="42"/>
      <c r="W370" s="42"/>
      <c r="X370" s="42"/>
      <c r="Y370" s="42"/>
      <c r="Z370" s="42"/>
      <c r="AA370" s="42"/>
      <c r="AB370" s="42"/>
      <c r="AC370" s="42"/>
      <c r="AD370" s="42"/>
      <c r="AE370" s="42"/>
      <c r="AF370" s="42"/>
      <c r="AG370" s="42"/>
      <c r="AH370" s="42"/>
      <c r="AI370" s="42"/>
      <c r="AJ370" s="42"/>
      <c r="AK370" s="42"/>
      <c r="AL370" s="42"/>
      <c r="AM370" s="42"/>
      <c r="AN370" s="42"/>
      <c r="AO370" s="42"/>
      <c r="AP370" s="42"/>
      <c r="AQ370" s="42"/>
      <c r="AR370" s="42"/>
      <c r="AS370" s="42"/>
      <c r="AT370" s="42"/>
      <c r="AU370" s="42"/>
      <c r="AV370" s="42"/>
      <c r="AW370" s="42"/>
      <c r="AX370" s="42"/>
      <c r="AY370" s="42"/>
      <c r="AZ370" s="42"/>
      <c r="BA370" s="42"/>
      <c r="BB370" s="42"/>
      <c r="BC370" s="42"/>
      <c r="BD370" s="42"/>
      <c r="BE370" s="42"/>
      <c r="BF370" s="42"/>
      <c r="BG370" s="42"/>
      <c r="BH370" s="42"/>
      <c r="BI370" s="42"/>
      <c r="BJ370" s="42"/>
      <c r="BK370" s="42"/>
      <c r="BL370" s="42"/>
      <c r="BM370" s="42"/>
      <c r="BN370" s="42"/>
    </row>
    <row r="371" spans="1:66" ht="12.75" customHeight="1" x14ac:dyDescent="0.2">
      <c r="A371" s="1" t="s">
        <v>285</v>
      </c>
      <c r="B371" s="12">
        <f>_xll.ciqfunctions.udf.CIQ(InputTicker,"IQ_TOTAL_OUTSTANDING_BS_DATE",Input!D$2,Date)</f>
        <v>7808</v>
      </c>
      <c r="C371" s="12">
        <f>_xll.ciqfunctions.udf.CIQ(InputTicker,"IQ_TOTAL_OUTSTANDING_BS_DATE",Input!E$2,Date)</f>
        <v>7708</v>
      </c>
      <c r="D371" s="12">
        <f>_xll.ciqfunctions.udf.CIQ(InputTicker,"IQ_TOTAL_OUTSTANDING_BS_DATE",Input!F$2,Date)</f>
        <v>7677</v>
      </c>
      <c r="E371" s="12">
        <f>_xll.ciqfunctions.udf.CIQ(InputTicker,"IQ_TOTAL_OUTSTANDING_BS_DATE",Input!G$2,Date)</f>
        <v>7643</v>
      </c>
      <c r="F371" s="12">
        <f>_xll.ciqfunctions.udf.CIQ(InputTicker,"IQ_TOTAL_OUTSTANDING_BS_DATE",Input!H$2,Date)</f>
        <v>7571</v>
      </c>
      <c r="G371" s="12">
        <f>_xll.ciqfunctions.udf.CIQ(InputTicker,"IQ_TOTAL_OUTSTANDING_BS_DATE",Input!I$2,Date)</f>
        <v>7519</v>
      </c>
      <c r="H371" s="12">
        <f>_xll.ciqfunctions.udf.CIQ(InputTicker,"IQ_TOTAL_OUTSTANDING_BS_DATE",Input!J$2,Date)</f>
        <v>7464</v>
      </c>
      <c r="I371" s="12">
        <f>_xll.ciqfunctions.udf.CIQ(InputTicker,"IQ_TOTAL_OUTSTANDING_BS_DATE",Input!K$2,Date)</f>
        <v>7432</v>
      </c>
      <c r="J371" s="12">
        <f>_xll.ciqfunctions.udf.CIQ(InputTicker,"IQ_TOTAL_OUTSTANDING_BS_DATE",Input!L$2,Date)</f>
        <v>7434</v>
      </c>
      <c r="K371" s="12">
        <f>_xll.ciqfunctions.udf.CIQ(InputTicker,"IQ_TOTAL_OUTSTANDING_BS_DATE",Input!M$2,Date)</f>
        <v>7434</v>
      </c>
      <c r="L371" s="12">
        <f>_xll.ciqfunctions.udf.CIQ(InputTicker,"IQ_TOTAL_OUTSTANDING_BS_DATE",Input!N$2,Date)</f>
        <v>7427</v>
      </c>
      <c r="M371" s="12">
        <f>_xll.ciqfunctions.udf.CIQ(InputTicker,"IQ_TOTAL_OUTSTANDING_BS_DATE",Input!O$2,Date)</f>
        <v>7427</v>
      </c>
      <c r="N371" s="53"/>
      <c r="T371" s="42"/>
      <c r="U371" s="42"/>
      <c r="V371" s="42"/>
      <c r="W371" s="42"/>
      <c r="X371" s="42"/>
      <c r="Y371" s="42"/>
      <c r="Z371" s="42"/>
      <c r="AA371" s="42"/>
      <c r="AB371" s="42"/>
      <c r="AC371" s="42"/>
      <c r="AD371" s="42"/>
      <c r="AE371" s="42"/>
      <c r="AF371" s="42"/>
      <c r="AG371" s="42"/>
      <c r="AH371" s="42"/>
      <c r="AI371" s="42"/>
      <c r="AJ371" s="42"/>
      <c r="AK371" s="42"/>
      <c r="AL371" s="42"/>
      <c r="AM371" s="42"/>
      <c r="AN371" s="42"/>
      <c r="AO371" s="42"/>
      <c r="AP371" s="42"/>
      <c r="AQ371" s="42"/>
      <c r="AR371" s="42"/>
      <c r="AS371" s="42"/>
      <c r="AT371" s="42"/>
      <c r="AU371" s="42"/>
      <c r="AV371" s="42"/>
      <c r="AW371" s="42"/>
      <c r="AX371" s="42"/>
      <c r="AY371" s="42"/>
      <c r="AZ371" s="42"/>
      <c r="BA371" s="42"/>
      <c r="BB371" s="42"/>
      <c r="BC371" s="42"/>
      <c r="BD371" s="42"/>
      <c r="BE371" s="42"/>
      <c r="BF371" s="42"/>
      <c r="BG371" s="42"/>
      <c r="BH371" s="42"/>
      <c r="BI371" s="42"/>
      <c r="BJ371" s="42"/>
      <c r="BK371" s="42"/>
      <c r="BL371" s="42"/>
      <c r="BM371" s="42"/>
      <c r="BN371" s="42"/>
    </row>
    <row r="372" spans="1:66" ht="12.75" customHeight="1" x14ac:dyDescent="0.2">
      <c r="A372" s="1" t="s">
        <v>101</v>
      </c>
      <c r="B372" s="11">
        <f>_xll.ciqfunctions.udf.CIQ(InputTicker,"IQ_BV_SHARE",Input!D$2,Date,,,Ccy,Conv)</f>
        <v>9.2209299999999992</v>
      </c>
      <c r="C372" s="11">
        <f>_xll.ciqfunctions.udf.CIQ(InputTicker,"IQ_BV_SHARE",Input!E$2,Date,,,Ccy,Conv)</f>
        <v>11.37922</v>
      </c>
      <c r="D372" s="11">
        <f>_xll.ciqfunctions.udf.CIQ(InputTicker,"IQ_BV_SHARE",Input!F$2,Date,,,Ccy,Conv)</f>
        <v>10.77478</v>
      </c>
      <c r="E372" s="11">
        <f>_xll.ciqfunctions.udf.CIQ(InputTicker,"IQ_BV_SHARE",Input!G$2,Date,,,Ccy,Conv)</f>
        <v>13.388719999999999</v>
      </c>
      <c r="F372" s="11">
        <f>_xll.ciqfunctions.udf.CIQ(InputTicker,"IQ_BV_SHARE",Input!H$2,Date,,,Ccy,Conv)</f>
        <v>15.62594</v>
      </c>
      <c r="G372" s="11">
        <f>_xll.ciqfunctions.udf.CIQ(InputTicker,"IQ_BV_SHARE",Input!I$2,Date,,,Ccy,Conv)</f>
        <v>18.883890000000001</v>
      </c>
      <c r="H372" s="11">
        <f>_xll.ciqfunctions.udf.CIQ(InputTicker,"IQ_BV_SHARE",Input!J$2,Date,,,Ccy,Conv)</f>
        <v>22.3127</v>
      </c>
      <c r="I372" s="11">
        <f>_xll.ciqfunctions.udf.CIQ(InputTicker,"IQ_BV_SHARE",Input!K$2,Date,,,Ccy,Conv)</f>
        <v>27.747979999999998</v>
      </c>
      <c r="J372" s="11">
        <f>_xll.ciqfunctions.udf.CIQ(InputTicker,"IQ_BV_SHARE",Input!L$2,Date,,,Ccy,Conv)</f>
        <v>36.114739999999998</v>
      </c>
      <c r="K372" s="11">
        <f>_xll.ciqfunctions.udf.CIQ(InputTicker,"IQ_BV_SHARE",Input!M$2,Date,,,Ccy,Conv)</f>
        <v>46.203789999999998</v>
      </c>
      <c r="L372" s="11">
        <f>_xll.ciqfunctions.udf.CIQ(InputTicker,"IQ_BV_SHARE",Input!N$2,Date,,,Ccy,Conv)</f>
        <v>59.564700000000002</v>
      </c>
      <c r="M372" s="11">
        <f>_xll.ciqfunctions.udf.CIQ(InputTicker,"IQ_BV_SHARE",Input!O$2,Date,,,Ccy,Conv)</f>
        <v>59.564700000000002</v>
      </c>
      <c r="N372" s="53"/>
      <c r="T372" s="42"/>
      <c r="U372" s="42"/>
      <c r="V372" s="42"/>
      <c r="W372" s="42"/>
      <c r="X372" s="42"/>
      <c r="Y372" s="42"/>
      <c r="Z372" s="42"/>
      <c r="AA372" s="42"/>
      <c r="AB372" s="42"/>
      <c r="AC372" s="42"/>
      <c r="AD372" s="42"/>
      <c r="AE372" s="42"/>
      <c r="AF372" s="42"/>
      <c r="AG372" s="42"/>
      <c r="AH372" s="42"/>
      <c r="AI372" s="42"/>
      <c r="AJ372" s="42"/>
      <c r="AK372" s="42"/>
      <c r="AL372" s="42"/>
      <c r="AM372" s="42"/>
      <c r="AN372" s="42"/>
      <c r="AO372" s="42"/>
      <c r="AP372" s="42"/>
      <c r="AQ372" s="42"/>
      <c r="AR372" s="42"/>
      <c r="AS372" s="42"/>
      <c r="AT372" s="42"/>
      <c r="AU372" s="42"/>
      <c r="AV372" s="42"/>
      <c r="AW372" s="42"/>
      <c r="AX372" s="42"/>
      <c r="AY372" s="42"/>
      <c r="AZ372" s="42"/>
      <c r="BA372" s="42"/>
      <c r="BB372" s="42"/>
      <c r="BC372" s="42"/>
      <c r="BD372" s="42"/>
      <c r="BE372" s="42"/>
      <c r="BF372" s="42"/>
      <c r="BG372" s="42"/>
      <c r="BH372" s="42"/>
      <c r="BI372" s="42"/>
      <c r="BJ372" s="42"/>
      <c r="BK372" s="42"/>
      <c r="BL372" s="42"/>
      <c r="BM372" s="42"/>
      <c r="BN372" s="42"/>
    </row>
    <row r="373" spans="1:66" ht="12.75" customHeight="1" x14ac:dyDescent="0.2">
      <c r="A373" s="1" t="s">
        <v>42</v>
      </c>
      <c r="B373" s="11">
        <f>_xll.ciqfunctions.udf.CIQ(InputTicker,"IQ_BV_SHARE_REPORTED",Input!D$2,Date,,,Ccy,Conv)</f>
        <v>0</v>
      </c>
      <c r="C373" s="11">
        <f>_xll.ciqfunctions.udf.CIQ(InputTicker,"IQ_BV_SHARE_REPORTED",Input!E$2,Date,,,Ccy,Conv)</f>
        <v>0</v>
      </c>
      <c r="D373" s="11">
        <f>_xll.ciqfunctions.udf.CIQ(InputTicker,"IQ_BV_SHARE_REPORTED",Input!F$2,Date,,,Ccy,Conv)</f>
        <v>0</v>
      </c>
      <c r="E373" s="11">
        <f>_xll.ciqfunctions.udf.CIQ(InputTicker,"IQ_BV_SHARE_REPORTED",Input!G$2,Date,,,Ccy,Conv)</f>
        <v>0</v>
      </c>
      <c r="F373" s="11">
        <f>_xll.ciqfunctions.udf.CIQ(InputTicker,"IQ_BV_SHARE_REPORTED",Input!H$2,Date,,,Ccy,Conv)</f>
        <v>0</v>
      </c>
      <c r="G373" s="11">
        <f>_xll.ciqfunctions.udf.CIQ(InputTicker,"IQ_BV_SHARE_REPORTED",Input!I$2,Date,,,Ccy,Conv)</f>
        <v>0</v>
      </c>
      <c r="H373" s="11">
        <f>_xll.ciqfunctions.udf.CIQ(InputTicker,"IQ_BV_SHARE_REPORTED",Input!J$2,Date,,,Ccy,Conv)</f>
        <v>0</v>
      </c>
      <c r="I373" s="11">
        <f>_xll.ciqfunctions.udf.CIQ(InputTicker,"IQ_BV_SHARE_REPORTED",Input!K$2,Date,,,Ccy,Conv)</f>
        <v>0</v>
      </c>
      <c r="J373" s="11">
        <f>_xll.ciqfunctions.udf.CIQ(InputTicker,"IQ_BV_SHARE_REPORTED",Input!L$2,Date,,,Ccy,Conv)</f>
        <v>0</v>
      </c>
      <c r="K373" s="11">
        <f>_xll.ciqfunctions.udf.CIQ(InputTicker,"IQ_BV_SHARE_REPORTED",Input!M$2,Date,,,Ccy,Conv)</f>
        <v>0</v>
      </c>
      <c r="L373" s="11">
        <f>_xll.ciqfunctions.udf.CIQ(InputTicker,"IQ_BV_SHARE_REPORTED",Input!N$2,Date,,,Ccy,Conv)</f>
        <v>0</v>
      </c>
      <c r="M373" s="11">
        <f>_xll.ciqfunctions.udf.CIQ(InputTicker,"IQ_BV_SHARE_REPORTED",Input!O$2,Date,,,Ccy,Conv)</f>
        <v>0</v>
      </c>
      <c r="N373" s="42"/>
      <c r="T373" s="42"/>
      <c r="U373" s="42"/>
      <c r="V373" s="42"/>
      <c r="W373" s="42"/>
      <c r="X373" s="42"/>
      <c r="Y373" s="42"/>
      <c r="Z373" s="42"/>
      <c r="AA373" s="42"/>
      <c r="AB373" s="42"/>
      <c r="AC373" s="42"/>
      <c r="AD373" s="42"/>
      <c r="AE373" s="42"/>
      <c r="AF373" s="42"/>
      <c r="AG373" s="42"/>
      <c r="AH373" s="42"/>
      <c r="AI373" s="42"/>
      <c r="AJ373" s="42"/>
      <c r="AK373" s="42"/>
      <c r="AL373" s="42"/>
      <c r="AM373" s="42"/>
      <c r="AN373" s="42"/>
      <c r="AO373" s="42"/>
      <c r="AP373" s="42"/>
      <c r="AQ373" s="42"/>
      <c r="AR373" s="42"/>
      <c r="AS373" s="42"/>
      <c r="AT373" s="42"/>
      <c r="AU373" s="42"/>
      <c r="AV373" s="42"/>
      <c r="AW373" s="42"/>
      <c r="AX373" s="42"/>
      <c r="AY373" s="42"/>
      <c r="AZ373" s="42"/>
      <c r="BA373" s="42"/>
      <c r="BB373" s="42"/>
      <c r="BC373" s="42"/>
      <c r="BD373" s="42"/>
      <c r="BE373" s="42"/>
      <c r="BF373" s="42"/>
      <c r="BG373" s="42"/>
      <c r="BH373" s="42"/>
      <c r="BI373" s="42"/>
      <c r="BJ373" s="42"/>
      <c r="BK373" s="42"/>
      <c r="BL373" s="42"/>
      <c r="BM373" s="42"/>
      <c r="BN373" s="42"/>
    </row>
    <row r="374" spans="1:66" ht="12.75" customHeight="1" x14ac:dyDescent="0.2">
      <c r="A374" s="1" t="s">
        <v>217</v>
      </c>
      <c r="B374" s="11">
        <f>_xll.ciqfunctions.udf.CIQ(InputTicker, "IQ_TBV_SHARE",Input!D$2,Date,,,Ccy,Conv)</f>
        <v>6.4538900000000003</v>
      </c>
      <c r="C374" s="11">
        <f>_xll.ciqfunctions.udf.CIQ(InputTicker, "IQ_TBV_SHARE",Input!E$2,Date,,,Ccy,Conv)</f>
        <v>5.5115499999999997</v>
      </c>
      <c r="D374" s="11">
        <f>_xll.ciqfunctions.udf.CIQ(InputTicker, "IQ_TBV_SHARE",Input!F$2,Date,,,Ccy,Conv)</f>
        <v>5.0777599999999996</v>
      </c>
      <c r="E374" s="11">
        <f>_xll.ciqfunctions.udf.CIQ(InputTicker, "IQ_TBV_SHARE",Input!G$2,Date,,,Ccy,Conv)</f>
        <v>6.8761000000000001</v>
      </c>
      <c r="F374" s="11">
        <f>_xll.ciqfunctions.udf.CIQ(InputTicker, "IQ_TBV_SHARE",Input!H$2,Date,,,Ccy,Conv)</f>
        <v>8.9704099999999993</v>
      </c>
      <c r="G374" s="11">
        <f>_xll.ciqfunctions.udf.CIQ(InputTicker, "IQ_TBV_SHARE",Input!I$2,Date,,,Ccy,Conv)</f>
        <v>11.235139999999999</v>
      </c>
      <c r="H374" s="11">
        <f>_xll.ciqfunctions.udf.CIQ(InputTicker, "IQ_TBV_SHARE",Input!J$2,Date,,,Ccy,Conv)</f>
        <v>11.752409999999999</v>
      </c>
      <c r="I374" s="11">
        <f>_xll.ciqfunctions.udf.CIQ(InputTicker, "IQ_TBV_SHARE",Input!K$2,Date,,,Ccy,Conv)</f>
        <v>17.353470000000002</v>
      </c>
      <c r="J374" s="11">
        <f>_xll.ciqfunctions.udf.CIQ(InputTicker, "IQ_TBV_SHARE",Input!L$2,Date,,,Ccy,Conv)</f>
        <v>16.365349999999999</v>
      </c>
      <c r="K374" s="11">
        <f>_xll.ciqfunctions.udf.CIQ(InputTicker, "IQ_TBV_SHARE",Input!M$2,Date,,,Ccy,Conv)</f>
        <v>27.08717</v>
      </c>
      <c r="L374" s="11">
        <f>_xll.ciqfunctions.udf.CIQ(InputTicker, "IQ_TBV_SHARE",Input!N$2,Date,,,Ccy,Conv)</f>
        <v>40.948839999999997</v>
      </c>
      <c r="M374" s="11">
        <f>_xll.ciqfunctions.udf.CIQ(InputTicker, "IQ_TBV_SHARE",Input!O$2,Date,,,Ccy,Conv)</f>
        <v>40.948839999999997</v>
      </c>
      <c r="N374" s="42"/>
      <c r="T374" s="42"/>
      <c r="U374" s="42"/>
      <c r="V374" s="42"/>
      <c r="W374" s="42"/>
      <c r="X374" s="42"/>
      <c r="Y374" s="42"/>
      <c r="Z374" s="42"/>
      <c r="AA374" s="42"/>
      <c r="AB374" s="42"/>
      <c r="AC374" s="42"/>
      <c r="AD374" s="42"/>
      <c r="AE374" s="42"/>
      <c r="AF374" s="42"/>
      <c r="AG374" s="42"/>
      <c r="AH374" s="42"/>
      <c r="AI374" s="42"/>
      <c r="AJ374" s="42"/>
      <c r="AK374" s="42"/>
      <c r="AL374" s="42"/>
      <c r="AM374" s="42"/>
      <c r="AN374" s="42"/>
      <c r="AO374" s="42"/>
      <c r="AP374" s="42"/>
      <c r="AQ374" s="42"/>
      <c r="AR374" s="42"/>
      <c r="AS374" s="42"/>
      <c r="AT374" s="42"/>
      <c r="AU374" s="42"/>
      <c r="AV374" s="42"/>
      <c r="AW374" s="42"/>
      <c r="AX374" s="42"/>
      <c r="AY374" s="42"/>
      <c r="AZ374" s="42"/>
      <c r="BA374" s="42"/>
      <c r="BB374" s="42"/>
      <c r="BC374" s="42"/>
      <c r="BD374" s="42"/>
      <c r="BE374" s="42"/>
      <c r="BF374" s="42"/>
      <c r="BG374" s="42"/>
      <c r="BH374" s="42"/>
      <c r="BI374" s="42"/>
      <c r="BJ374" s="42"/>
      <c r="BK374" s="42"/>
      <c r="BL374" s="42"/>
      <c r="BM374" s="42"/>
      <c r="BN374" s="42"/>
    </row>
    <row r="375" spans="1:66" ht="12.75" customHeight="1" x14ac:dyDescent="0.2">
      <c r="A375" s="1" t="s">
        <v>431</v>
      </c>
      <c r="B375" s="11">
        <f>_xll.ciqfunctions.udf.CIQ(InputTicker, "IQ_TBV_SHARE_REPORTED",Input!D$2,Date,,,Ccy,Conv)</f>
        <v>0</v>
      </c>
      <c r="C375" s="11">
        <f>_xll.ciqfunctions.udf.CIQ(InputTicker, "IQ_TBV_SHARE_REPORTED",Input!E$2,Date,,,Ccy,Conv)</f>
        <v>0</v>
      </c>
      <c r="D375" s="11">
        <f>_xll.ciqfunctions.udf.CIQ(InputTicker, "IQ_TBV_SHARE_REPORTED",Input!F$2,Date,,,Ccy,Conv)</f>
        <v>0</v>
      </c>
      <c r="E375" s="11">
        <f>_xll.ciqfunctions.udf.CIQ(InputTicker, "IQ_TBV_SHARE_REPORTED",Input!G$2,Date,,,Ccy,Conv)</f>
        <v>0</v>
      </c>
      <c r="F375" s="11">
        <f>_xll.ciqfunctions.udf.CIQ(InputTicker, "IQ_TBV_SHARE_REPORTED",Input!H$2,Date,,,Ccy,Conv)</f>
        <v>0</v>
      </c>
      <c r="G375" s="11">
        <f>_xll.ciqfunctions.udf.CIQ(InputTicker, "IQ_TBV_SHARE_REPORTED",Input!I$2,Date,,,Ccy,Conv)</f>
        <v>0</v>
      </c>
      <c r="H375" s="11">
        <f>_xll.ciqfunctions.udf.CIQ(InputTicker, "IQ_TBV_SHARE_REPORTED",Input!J$2,Date,,,Ccy,Conv)</f>
        <v>0</v>
      </c>
      <c r="I375" s="11">
        <f>_xll.ciqfunctions.udf.CIQ(InputTicker, "IQ_TBV_SHARE_REPORTED",Input!K$2,Date,,,Ccy,Conv)</f>
        <v>0</v>
      </c>
      <c r="J375" s="11">
        <f>_xll.ciqfunctions.udf.CIQ(InputTicker, "IQ_TBV_SHARE_REPORTED",Input!L$2,Date,,,Ccy,Conv)</f>
        <v>0</v>
      </c>
      <c r="K375" s="11">
        <f>_xll.ciqfunctions.udf.CIQ(InputTicker, "IQ_TBV_SHARE_REPORTED",Input!M$2,Date,,,Ccy,Conv)</f>
        <v>0</v>
      </c>
      <c r="L375" s="11">
        <f>_xll.ciqfunctions.udf.CIQ(InputTicker, "IQ_TBV_SHARE_REPORTED",Input!N$2,Date,,,Ccy,Conv)</f>
        <v>0</v>
      </c>
      <c r="M375" s="11">
        <f>_xll.ciqfunctions.udf.CIQ(InputTicker, "IQ_TBV_SHARE_REPORTED",Input!O$2,Date,,,Ccy,Conv)</f>
        <v>0</v>
      </c>
      <c r="N375" s="42"/>
      <c r="T375" s="42"/>
      <c r="U375" s="42"/>
      <c r="V375" s="42"/>
      <c r="W375" s="42"/>
      <c r="X375" s="42"/>
      <c r="Y375" s="42"/>
      <c r="Z375" s="42"/>
      <c r="AA375" s="42"/>
      <c r="AB375" s="42"/>
      <c r="AC375" s="42"/>
      <c r="AD375" s="42"/>
      <c r="AE375" s="42"/>
      <c r="AF375" s="42"/>
      <c r="AG375" s="42"/>
      <c r="AH375" s="42"/>
      <c r="AI375" s="42"/>
      <c r="AJ375" s="42"/>
      <c r="AK375" s="42"/>
      <c r="AL375" s="42"/>
      <c r="AM375" s="42"/>
      <c r="AN375" s="42"/>
      <c r="AO375" s="42"/>
      <c r="AP375" s="42"/>
      <c r="AQ375" s="42"/>
      <c r="AR375" s="42"/>
      <c r="AS375" s="42"/>
      <c r="AT375" s="42"/>
      <c r="AU375" s="42"/>
      <c r="AV375" s="42"/>
      <c r="AW375" s="42"/>
      <c r="AX375" s="42"/>
      <c r="AY375" s="42"/>
      <c r="AZ375" s="42"/>
      <c r="BA375" s="42"/>
      <c r="BB375" s="42"/>
      <c r="BC375" s="42"/>
      <c r="BD375" s="42"/>
      <c r="BE375" s="42"/>
      <c r="BF375" s="42"/>
      <c r="BG375" s="42"/>
      <c r="BH375" s="42"/>
      <c r="BI375" s="42"/>
      <c r="BJ375" s="42"/>
      <c r="BK375" s="42"/>
      <c r="BL375" s="42"/>
      <c r="BM375" s="42"/>
      <c r="BN375" s="42"/>
    </row>
    <row r="376" spans="1:66" ht="12.75" customHeight="1" x14ac:dyDescent="0.2">
      <c r="A376" s="1" t="s">
        <v>284</v>
      </c>
      <c r="B376" s="4">
        <f>_xll.ciqfunctions.udf.CIQ(InputTicker, "IQ_TBV",Input!D$2,Date,,,Ccy,Conv)</f>
        <v>50392</v>
      </c>
      <c r="C376" s="4">
        <f>_xll.ciqfunctions.udf.CIQ(InputTicker, "IQ_TBV",Input!E$2,Date,,,Ccy,Conv)</f>
        <v>42483</v>
      </c>
      <c r="D376" s="4">
        <f>_xll.ciqfunctions.udf.CIQ(InputTicker, "IQ_TBV",Input!F$2,Date,,,Ccy,Conv)</f>
        <v>38982</v>
      </c>
      <c r="E376" s="4">
        <f>_xll.ciqfunctions.udf.CIQ(InputTicker, "IQ_TBV",Input!G$2,Date,,,Ccy,Conv)</f>
        <v>52554</v>
      </c>
      <c r="F376" s="4">
        <f>_xll.ciqfunctions.udf.CIQ(InputTicker, "IQ_TBV",Input!H$2,Date,,,Ccy,Conv)</f>
        <v>67915</v>
      </c>
      <c r="G376" s="4">
        <f>_xll.ciqfunctions.udf.CIQ(InputTicker, "IQ_TBV",Input!I$2,Date,,,Ccy,Conv)</f>
        <v>84477</v>
      </c>
      <c r="H376" s="4">
        <f>_xll.ciqfunctions.udf.CIQ(InputTicker, "IQ_TBV",Input!J$2,Date,,,Ccy,Conv)</f>
        <v>87720</v>
      </c>
      <c r="I376" s="4">
        <f>_xll.ciqfunctions.udf.CIQ(InputTicker, "IQ_TBV",Input!K$2,Date,,,Ccy,Conv)</f>
        <v>128971</v>
      </c>
      <c r="J376" s="4">
        <f>_xll.ciqfunctions.udf.CIQ(InputTicker, "IQ_TBV",Input!L$2,Date,,,Ccy,Conv)</f>
        <v>121660</v>
      </c>
      <c r="K376" s="4">
        <f>_xll.ciqfunctions.udf.CIQ(InputTicker, "IQ_TBV",Input!M$2,Date,,,Ccy,Conv)</f>
        <v>201366</v>
      </c>
      <c r="L376" s="4">
        <f>_xll.ciqfunctions.udf.CIQ(InputTicker, "IQ_TBV",Input!N$2,Date,,,Ccy,Conv)</f>
        <v>304127</v>
      </c>
      <c r="M376" s="4">
        <f>_xll.ciqfunctions.udf.CIQ(InputTicker, "IQ_TBV",Input!O$2,Date,,,Ccy,Conv)</f>
        <v>304127</v>
      </c>
      <c r="N376" s="42"/>
      <c r="T376" s="42"/>
      <c r="U376" s="42"/>
      <c r="V376" s="42"/>
      <c r="W376" s="42"/>
      <c r="X376" s="42"/>
      <c r="Y376" s="42"/>
      <c r="Z376" s="42"/>
      <c r="AA376" s="42"/>
      <c r="AB376" s="42"/>
      <c r="AC376" s="42"/>
      <c r="AD376" s="42"/>
      <c r="AE376" s="42"/>
      <c r="AF376" s="42"/>
      <c r="AG376" s="42"/>
      <c r="AH376" s="42"/>
      <c r="AI376" s="42"/>
      <c r="AJ376" s="42"/>
      <c r="AK376" s="42"/>
      <c r="AL376" s="42"/>
      <c r="AM376" s="42"/>
      <c r="AN376" s="42"/>
      <c r="AO376" s="42"/>
      <c r="AP376" s="42"/>
      <c r="AQ376" s="42"/>
      <c r="AR376" s="42"/>
      <c r="AS376" s="42"/>
      <c r="AT376" s="42"/>
      <c r="AU376" s="42"/>
      <c r="AV376" s="42"/>
      <c r="AW376" s="42"/>
      <c r="AX376" s="42"/>
      <c r="AY376" s="42"/>
      <c r="AZ376" s="42"/>
      <c r="BA376" s="42"/>
      <c r="BB376" s="42"/>
      <c r="BC376" s="42"/>
      <c r="BD376" s="42"/>
      <c r="BE376" s="42"/>
      <c r="BF376" s="42"/>
      <c r="BG376" s="42"/>
      <c r="BH376" s="42"/>
      <c r="BI376" s="42"/>
      <c r="BJ376" s="42"/>
      <c r="BK376" s="42"/>
      <c r="BL376" s="42"/>
      <c r="BM376" s="42"/>
      <c r="BN376" s="42"/>
    </row>
    <row r="377" spans="1:66" ht="12.75" customHeight="1" x14ac:dyDescent="0.2">
      <c r="A377" s="1" t="s">
        <v>435</v>
      </c>
      <c r="B377" s="11">
        <f>_xll.ciqfunctions.udf.CIQ(InputTicker, "IQ_GW_INTAN",Input!D$2,Date,,,Ccy,Conv)</f>
        <v>21605</v>
      </c>
      <c r="C377" s="11">
        <f>_xll.ciqfunctions.udf.CIQ(InputTicker, "IQ_GW_INTAN",Input!E$2,Date,,,Ccy,Conv)</f>
        <v>45228</v>
      </c>
      <c r="D377" s="11">
        <f>_xll.ciqfunctions.udf.CIQ(InputTicker, "IQ_GW_INTAN",Input!F$2,Date,,,Ccy,Conv)</f>
        <v>43736</v>
      </c>
      <c r="E377" s="11">
        <f>_xll.ciqfunctions.udf.CIQ(InputTicker, "IQ_GW_INTAN",Input!G$2,Date,,,Ccy,Conv)</f>
        <v>49776</v>
      </c>
      <c r="F377" s="11">
        <f>_xll.ciqfunctions.udf.CIQ(InputTicker, "IQ_GW_INTAN",Input!H$2,Date,,,Ccy,Conv)</f>
        <v>50389</v>
      </c>
      <c r="G377" s="11">
        <f>_xll.ciqfunctions.udf.CIQ(InputTicker, "IQ_GW_INTAN",Input!I$2,Date,,,Ccy,Conv)</f>
        <v>57511</v>
      </c>
      <c r="H377" s="11">
        <f>_xll.ciqfunctions.udf.CIQ(InputTicker, "IQ_GW_INTAN",Input!J$2,Date,,,Ccy,Conv)</f>
        <v>78822</v>
      </c>
      <c r="I377" s="11">
        <f>_xll.ciqfunctions.udf.CIQ(InputTicker, "IQ_GW_INTAN",Input!K$2,Date,,,Ccy,Conv)</f>
        <v>77252</v>
      </c>
      <c r="J377" s="11">
        <f>_xll.ciqfunctions.udf.CIQ(InputTicker, "IQ_GW_INTAN",Input!L$2,Date,,,Ccy,Conv)</f>
        <v>146817</v>
      </c>
      <c r="K377" s="11">
        <f>_xll.ciqfunctions.udf.CIQ(InputTicker, "IQ_GW_INTAN",Input!M$2,Date,,,Ccy,Conv)</f>
        <v>142113</v>
      </c>
      <c r="L377" s="11">
        <f>_xll.ciqfunctions.udf.CIQ(InputTicker, "IQ_GW_INTAN",Input!N$2,Date,,,Ccy,Conv)</f>
        <v>138260</v>
      </c>
      <c r="M377" s="11">
        <f>_xll.ciqfunctions.udf.CIQ(InputTicker, "IQ_GW_INTAN",Input!O$2,Date,,,Ccy,Conv)</f>
        <v>138260</v>
      </c>
      <c r="N377" s="42"/>
      <c r="T377" s="42"/>
      <c r="U377" s="42"/>
      <c r="V377" s="42"/>
      <c r="W377" s="42"/>
      <c r="X377" s="42"/>
      <c r="Y377" s="42"/>
      <c r="Z377" s="42"/>
      <c r="AA377" s="42"/>
      <c r="AB377" s="42"/>
      <c r="AC377" s="42"/>
      <c r="AD377" s="42"/>
      <c r="AE377" s="42"/>
      <c r="AF377" s="42"/>
      <c r="AG377" s="42"/>
      <c r="AH377" s="42"/>
      <c r="AI377" s="42"/>
      <c r="AJ377" s="42"/>
      <c r="AK377" s="42"/>
      <c r="AL377" s="42"/>
      <c r="AM377" s="42"/>
      <c r="AN377" s="42"/>
      <c r="AO377" s="42"/>
      <c r="AP377" s="42"/>
      <c r="AQ377" s="42"/>
      <c r="AR377" s="42"/>
      <c r="AS377" s="42"/>
      <c r="AT377" s="42"/>
      <c r="AU377" s="42"/>
      <c r="AV377" s="42"/>
      <c r="AW377" s="42"/>
      <c r="AX377" s="42"/>
      <c r="AY377" s="42"/>
      <c r="AZ377" s="42"/>
      <c r="BA377" s="42"/>
      <c r="BB377" s="42"/>
      <c r="BC377" s="42"/>
      <c r="BD377" s="42"/>
      <c r="BE377" s="42"/>
      <c r="BF377" s="42"/>
      <c r="BG377" s="42"/>
      <c r="BH377" s="42"/>
      <c r="BI377" s="42"/>
      <c r="BJ377" s="42"/>
      <c r="BK377" s="42"/>
      <c r="BL377" s="42"/>
      <c r="BM377" s="42"/>
      <c r="BN377" s="42"/>
    </row>
    <row r="378" spans="1:66" ht="12.75" customHeight="1" x14ac:dyDescent="0.2">
      <c r="A378" s="1" t="s">
        <v>352</v>
      </c>
      <c r="B378" s="11">
        <f>_xll.ciqfunctions.udf.CIQ(InputTicker, "IQ_CASH_SHARE",Input!D$2,Date,,,Ccy,Conv)</f>
        <v>0.83375999999999995</v>
      </c>
      <c r="C378" s="11">
        <f>_xll.ciqfunctions.udf.CIQ(InputTicker, "IQ_CASH_SHARE",Input!E$2,Date,,,Ccy,Conv)</f>
        <v>0.99416000000000004</v>
      </c>
      <c r="D378" s="11">
        <f>_xll.ciqfunctions.udf.CIQ(InputTicker, "IQ_CASH_SHARE",Input!F$2,Date,,,Ccy,Conv)</f>
        <v>1.5560799999999999</v>
      </c>
      <c r="E378" s="11">
        <f>_xll.ciqfunctions.udf.CIQ(InputTicker, "IQ_CASH_SHARE",Input!G$2,Date,,,Ccy,Conv)</f>
        <v>1.4858</v>
      </c>
      <c r="F378" s="11">
        <f>_xll.ciqfunctions.udf.CIQ(InputTicker, "IQ_CASH_SHARE",Input!H$2,Date,,,Ccy,Conv)</f>
        <v>1.7931600000000001</v>
      </c>
      <c r="G378" s="11">
        <f>_xll.ciqfunctions.udf.CIQ(InputTicker, "IQ_CASH_SHARE",Input!I$2,Date,,,Ccy,Conv)</f>
        <v>1.89174</v>
      </c>
      <c r="H378" s="11">
        <f>_xll.ciqfunctions.udf.CIQ(InputTicker, "IQ_CASH_SHARE",Input!J$2,Date,,,Ccy,Conv)</f>
        <v>1.86643</v>
      </c>
      <c r="I378" s="11">
        <f>_xll.ciqfunctions.udf.CIQ(InputTicker, "IQ_CASH_SHARE",Input!K$2,Date,,,Ccy,Conv)</f>
        <v>4.6695399999999996</v>
      </c>
      <c r="J378" s="11">
        <f>_xll.ciqfunctions.udf.CIQ(InputTicker, "IQ_CASH_SHARE",Input!L$2,Date,,,Ccy,Conv)</f>
        <v>2.4636800000000001</v>
      </c>
      <c r="K378" s="11">
        <f>_xll.ciqfunctions.udf.CIQ(InputTicker, "IQ_CASH_SHARE",Input!M$2,Date,,,Ccy,Conv)</f>
        <v>4.0680699999999996</v>
      </c>
      <c r="L378" s="11">
        <f>_xll.ciqfunctions.udf.CIQ(InputTicker, "IQ_CASH_SHARE",Input!N$2,Date,,,Ccy,Conv)</f>
        <v>2.8187700000000002</v>
      </c>
      <c r="M378" s="11">
        <f>_xll.ciqfunctions.udf.CIQ(InputTicker, "IQ_CASH_SHARE",Input!O$2,Date,,,Ccy,Conv)</f>
        <v>2.8187700000000002</v>
      </c>
      <c r="N378" s="42"/>
      <c r="T378" s="42"/>
      <c r="U378" s="42"/>
      <c r="V378" s="42"/>
      <c r="W378" s="42"/>
      <c r="X378" s="42"/>
      <c r="Y378" s="42"/>
      <c r="Z378" s="42"/>
      <c r="AA378" s="42"/>
      <c r="AB378" s="42"/>
      <c r="AC378" s="42"/>
      <c r="AD378" s="42"/>
      <c r="AE378" s="42"/>
      <c r="AF378" s="42"/>
      <c r="AG378" s="42"/>
      <c r="AH378" s="42"/>
      <c r="AI378" s="42"/>
      <c r="AJ378" s="42"/>
      <c r="AK378" s="42"/>
      <c r="AL378" s="42"/>
      <c r="AM378" s="42"/>
      <c r="AN378" s="42"/>
      <c r="AO378" s="42"/>
      <c r="AP378" s="42"/>
      <c r="AQ378" s="42"/>
      <c r="AR378" s="42"/>
      <c r="AS378" s="42"/>
      <c r="AT378" s="42"/>
      <c r="AU378" s="42"/>
      <c r="AV378" s="42"/>
      <c r="AW378" s="42"/>
      <c r="AX378" s="42"/>
      <c r="AY378" s="42"/>
      <c r="AZ378" s="42"/>
      <c r="BA378" s="42"/>
      <c r="BB378" s="42"/>
      <c r="BC378" s="42"/>
      <c r="BD378" s="42"/>
      <c r="BE378" s="42"/>
      <c r="BF378" s="42"/>
      <c r="BG378" s="42"/>
      <c r="BH378" s="42"/>
      <c r="BI378" s="42"/>
      <c r="BJ378" s="42"/>
      <c r="BK378" s="42"/>
      <c r="BL378" s="42"/>
      <c r="BM378" s="42"/>
      <c r="BN378" s="42"/>
    </row>
    <row r="379" spans="1:66" ht="12.75" customHeight="1" x14ac:dyDescent="0.2">
      <c r="A379" s="1" t="s">
        <v>51</v>
      </c>
      <c r="B379" s="4">
        <f>_xll.ciqfunctions.udf.CIQ(InputTicker, "IQ_TOTAL_DEBT",Input!D$2,Date,,,Ccy,Conv)</f>
        <v>54541</v>
      </c>
      <c r="C379" s="4">
        <f>_xll.ciqfunctions.udf.CIQ(InputTicker, "IQ_TOTAL_DEBT",Input!E$2,Date,,,Ccy,Conv)</f>
        <v>95527</v>
      </c>
      <c r="D379" s="4">
        <f>_xll.ciqfunctions.udf.CIQ(InputTicker, "IQ_TOTAL_DEBT",Input!F$2,Date,,,Ccy,Conv)</f>
        <v>87508</v>
      </c>
      <c r="E379" s="4">
        <f>_xll.ciqfunctions.udf.CIQ(InputTicker, "IQ_TOTAL_DEBT",Input!G$2,Date,,,Ccy,Conv)</f>
        <v>86455</v>
      </c>
      <c r="F379" s="4">
        <f>_xll.ciqfunctions.udf.CIQ(InputTicker, "IQ_TOTAL_DEBT",Input!H$2,Date,,,Ccy,Conv)</f>
        <v>82110</v>
      </c>
      <c r="G379" s="4">
        <f>_xll.ciqfunctions.udf.CIQ(InputTicker, "IQ_TOTAL_DEBT",Input!I$2,Date,,,Ccy,Conv)</f>
        <v>82278</v>
      </c>
      <c r="H379" s="4">
        <f>_xll.ciqfunctions.udf.CIQ(InputTicker, "IQ_TOTAL_DEBT",Input!J$2,Date,,,Ccy,Conv)</f>
        <v>78400</v>
      </c>
      <c r="I379" s="4">
        <f>_xll.ciqfunctions.udf.CIQ(InputTicker, "IQ_TOTAL_DEBT",Input!K$2,Date,,,Ccy,Conv)</f>
        <v>79441</v>
      </c>
      <c r="J379" s="4">
        <f>_xll.ciqfunctions.udf.CIQ(InputTicker, "IQ_TOTAL_DEBT",Input!L$2,Date,,,Ccy,Conv)</f>
        <v>97852</v>
      </c>
      <c r="K379" s="4">
        <f>_xll.ciqfunctions.udf.CIQ(InputTicker, "IQ_TOTAL_DEBT",Input!M$2,Date,,,Ccy,Conv)</f>
        <v>112184</v>
      </c>
      <c r="L379" s="4">
        <f>_xll.ciqfunctions.udf.CIQ(InputTicker, "IQ_TOTAL_DEBT",Input!N$2,Date,,,Ccy,Conv)</f>
        <v>128813</v>
      </c>
      <c r="M379" s="4">
        <f>_xll.ciqfunctions.udf.CIQ(InputTicker, "IQ_TOTAL_DEBT",Input!O$2,Date,,,Ccy,Conv)</f>
        <v>128813</v>
      </c>
      <c r="N379" s="53"/>
      <c r="T379" s="42"/>
      <c r="U379" s="42"/>
      <c r="V379" s="42"/>
      <c r="W379" s="42"/>
      <c r="X379" s="42"/>
      <c r="Y379" s="42"/>
      <c r="Z379" s="42"/>
      <c r="AA379" s="42"/>
      <c r="AB379" s="42"/>
      <c r="AC379" s="42"/>
      <c r="AD379" s="42"/>
      <c r="AE379" s="42"/>
      <c r="AF379" s="42"/>
      <c r="AG379" s="42"/>
      <c r="AH379" s="42"/>
      <c r="AI379" s="42"/>
      <c r="AJ379" s="42"/>
      <c r="AK379" s="42"/>
      <c r="AL379" s="42"/>
      <c r="AM379" s="42"/>
      <c r="AN379" s="42"/>
      <c r="AO379" s="42"/>
      <c r="AP379" s="42"/>
      <c r="AQ379" s="42"/>
      <c r="AR379" s="42"/>
      <c r="AS379" s="42"/>
      <c r="AT379" s="42"/>
      <c r="AU379" s="42"/>
      <c r="AV379" s="42"/>
      <c r="AW379" s="42"/>
      <c r="AX379" s="42"/>
      <c r="AY379" s="42"/>
      <c r="AZ379" s="42"/>
      <c r="BA379" s="42"/>
      <c r="BB379" s="42"/>
      <c r="BC379" s="42"/>
      <c r="BD379" s="42"/>
      <c r="BE379" s="42"/>
      <c r="BF379" s="42"/>
      <c r="BG379" s="42"/>
      <c r="BH379" s="42"/>
      <c r="BI379" s="42"/>
      <c r="BJ379" s="42"/>
      <c r="BK379" s="42"/>
      <c r="BL379" s="42"/>
      <c r="BM379" s="42"/>
      <c r="BN379" s="42"/>
    </row>
    <row r="380" spans="1:66" ht="12.75" customHeight="1" x14ac:dyDescent="0.2">
      <c r="A380" s="1" t="s">
        <v>377</v>
      </c>
      <c r="B380" s="4">
        <f>_xll.ciqfunctions.udf.CIQ(InputTicker, "IQ_TOTAL_DEBT_CURRENT",Input!D$2,Date,,,Ccy,Conv)</f>
        <v>13223</v>
      </c>
      <c r="C380" s="4">
        <f>_xll.ciqfunctions.udf.CIQ(InputTicker, "IQ_TOTAL_DEBT_CURRENT",Input!E$2,Date,,,Ccy,Conv)</f>
        <v>11657</v>
      </c>
      <c r="D380" s="4">
        <f>_xll.ciqfunctions.udf.CIQ(InputTicker, "IQ_TOTAL_DEBT_CURRENT",Input!F$2,Date,,,Ccy,Conv)</f>
        <v>5573</v>
      </c>
      <c r="E380" s="4">
        <f>_xll.ciqfunctions.udf.CIQ(InputTicker, "IQ_TOTAL_DEBT_CURRENT",Input!G$2,Date,,,Ccy,Conv)</f>
        <v>7348</v>
      </c>
      <c r="F380" s="4">
        <f>_xll.ciqfunctions.udf.CIQ(InputTicker, "IQ_TOTAL_DEBT_CURRENT",Input!H$2,Date,,,Ccy,Conv)</f>
        <v>5905</v>
      </c>
      <c r="G380" s="4">
        <f>_xll.ciqfunctions.udf.CIQ(InputTicker, "IQ_TOTAL_DEBT_CURRENT",Input!I$2,Date,,,Ccy,Conv)</f>
        <v>10825</v>
      </c>
      <c r="H380" s="4">
        <f>_xll.ciqfunctions.udf.CIQ(InputTicker, "IQ_TOTAL_DEBT_CURRENT",Input!J$2,Date,,,Ccy,Conv)</f>
        <v>6037</v>
      </c>
      <c r="I380" s="4">
        <f>_xll.ciqfunctions.udf.CIQ(InputTicker, "IQ_TOTAL_DEBT_CURRENT",Input!K$2,Date,,,Ccy,Conv)</f>
        <v>8853</v>
      </c>
      <c r="J380" s="4">
        <f>_xll.ciqfunctions.udf.CIQ(InputTicker, "IQ_TOTAL_DEBT_CURRENT",Input!L$2,Date,,,Ccy,Conv)</f>
        <v>14871</v>
      </c>
      <c r="K380" s="4">
        <f>_xll.ciqfunctions.udf.CIQ(InputTicker, "IQ_TOTAL_DEBT_CURRENT",Input!M$2,Date,,,Ccy,Conv)</f>
        <v>11595</v>
      </c>
      <c r="L380" s="4">
        <f>_xll.ciqfunctions.udf.CIQ(InputTicker, "IQ_TOTAL_DEBT_CURRENT",Input!N$2,Date,,,Ccy,Conv)</f>
        <v>18910</v>
      </c>
      <c r="M380" s="4">
        <f>_xll.ciqfunctions.udf.CIQ(InputTicker, "IQ_TOTAL_DEBT_CURRENT",Input!O$2,Date,,,Ccy,Conv)</f>
        <v>18910</v>
      </c>
      <c r="N380" s="53"/>
      <c r="T380" s="42"/>
      <c r="U380" s="42"/>
      <c r="V380" s="42"/>
      <c r="W380" s="42"/>
      <c r="X380" s="42"/>
      <c r="Y380" s="42"/>
      <c r="Z380" s="42"/>
      <c r="AA380" s="42"/>
      <c r="AB380" s="42"/>
      <c r="AC380" s="42"/>
      <c r="AD380" s="42"/>
      <c r="AE380" s="42"/>
      <c r="AF380" s="42"/>
      <c r="AG380" s="42"/>
      <c r="AH380" s="42"/>
      <c r="AI380" s="42"/>
      <c r="AJ380" s="42"/>
      <c r="AK380" s="42"/>
      <c r="AL380" s="42"/>
      <c r="AM380" s="42"/>
      <c r="AN380" s="42"/>
      <c r="AO380" s="42"/>
      <c r="AP380" s="42"/>
      <c r="AQ380" s="42"/>
      <c r="AR380" s="42"/>
      <c r="AS380" s="42"/>
      <c r="AT380" s="42"/>
      <c r="AU380" s="42"/>
      <c r="AV380" s="42"/>
      <c r="AW380" s="42"/>
      <c r="AX380" s="42"/>
      <c r="AY380" s="42"/>
      <c r="AZ380" s="42"/>
      <c r="BA380" s="42"/>
      <c r="BB380" s="42"/>
      <c r="BC380" s="42"/>
      <c r="BD380" s="42"/>
      <c r="BE380" s="42"/>
      <c r="BF380" s="42"/>
      <c r="BG380" s="42"/>
      <c r="BH380" s="42"/>
      <c r="BI380" s="42"/>
      <c r="BJ380" s="42"/>
      <c r="BK380" s="42"/>
      <c r="BL380" s="42"/>
      <c r="BM380" s="42"/>
      <c r="BN380" s="42"/>
    </row>
    <row r="381" spans="1:66" ht="12.75" customHeight="1" x14ac:dyDescent="0.2">
      <c r="A381" s="1" t="s">
        <v>512</v>
      </c>
      <c r="B381" s="4">
        <f>_xll.ciqfunctions.udf.CIQ(InputTicker, "IQ_TOTAL_DEBT_NON_CURRENT",Input!D$2,Date,,,Ccy,Conv)</f>
        <v>41318</v>
      </c>
      <c r="C381" s="4">
        <f>_xll.ciqfunctions.udf.CIQ(InputTicker, "IQ_TOTAL_DEBT_NON_CURRENT",Input!E$2,Date,,,Ccy,Conv)</f>
        <v>83870</v>
      </c>
      <c r="D381" s="4">
        <f>_xll.ciqfunctions.udf.CIQ(InputTicker, "IQ_TOTAL_DEBT_NON_CURRENT",Input!F$2,Date,,,Ccy,Conv)</f>
        <v>81935</v>
      </c>
      <c r="E381" s="4">
        <f>_xll.ciqfunctions.udf.CIQ(InputTicker, "IQ_TOTAL_DEBT_NON_CURRENT",Input!G$2,Date,,,Ccy,Conv)</f>
        <v>79107</v>
      </c>
      <c r="F381" s="4">
        <f>_xll.ciqfunctions.udf.CIQ(InputTicker, "IQ_TOTAL_DEBT_NON_CURRENT",Input!H$2,Date,,,Ccy,Conv)</f>
        <v>76205</v>
      </c>
      <c r="G381" s="4">
        <f>_xll.ciqfunctions.udf.CIQ(InputTicker, "IQ_TOTAL_DEBT_NON_CURRENT",Input!I$2,Date,,,Ccy,Conv)</f>
        <v>71453</v>
      </c>
      <c r="H381" s="4">
        <f>_xll.ciqfunctions.udf.CIQ(InputTicker, "IQ_TOTAL_DEBT_NON_CURRENT",Input!J$2,Date,,,Ccy,Conv)</f>
        <v>72363</v>
      </c>
      <c r="I381" s="4">
        <f>_xll.ciqfunctions.udf.CIQ(InputTicker, "IQ_TOTAL_DEBT_NON_CURRENT",Input!K$2,Date,,,Ccy,Conv)</f>
        <v>70588</v>
      </c>
      <c r="J381" s="4">
        <f>_xll.ciqfunctions.udf.CIQ(InputTicker, "IQ_TOTAL_DEBT_NON_CURRENT",Input!L$2,Date,,,Ccy,Conv)</f>
        <v>82981</v>
      </c>
      <c r="K381" s="4">
        <f>_xll.ciqfunctions.udf.CIQ(InputTicker, "IQ_TOTAL_DEBT_NON_CURRENT",Input!M$2,Date,,,Ccy,Conv)</f>
        <v>100589</v>
      </c>
      <c r="L381" s="4">
        <f>_xll.ciqfunctions.udf.CIQ(InputTicker, "IQ_TOTAL_DEBT_NON_CURRENT",Input!N$2,Date,,,Ccy,Conv)</f>
        <v>109903</v>
      </c>
      <c r="M381" s="4">
        <f>_xll.ciqfunctions.udf.CIQ(InputTicker, "IQ_TOTAL_DEBT_NON_CURRENT",Input!O$2,Date,,,Ccy,Conv)</f>
        <v>109903</v>
      </c>
      <c r="N381" s="53"/>
      <c r="T381" s="42"/>
      <c r="U381" s="42"/>
      <c r="V381" s="42"/>
      <c r="W381" s="42"/>
      <c r="X381" s="42"/>
      <c r="Y381" s="42"/>
      <c r="Z381" s="42"/>
      <c r="AA381" s="42"/>
      <c r="AB381" s="42"/>
      <c r="AC381" s="42"/>
      <c r="AD381" s="42"/>
      <c r="AE381" s="42"/>
      <c r="AF381" s="42"/>
      <c r="AG381" s="42"/>
      <c r="AH381" s="42"/>
      <c r="AI381" s="42"/>
      <c r="AJ381" s="42"/>
      <c r="AK381" s="42"/>
      <c r="AL381" s="42"/>
      <c r="AM381" s="42"/>
      <c r="AN381" s="42"/>
      <c r="AO381" s="42"/>
      <c r="AP381" s="42"/>
      <c r="AQ381" s="42"/>
      <c r="AR381" s="42"/>
      <c r="AS381" s="42"/>
      <c r="AT381" s="42"/>
      <c r="AU381" s="42"/>
      <c r="AV381" s="42"/>
      <c r="AW381" s="42"/>
      <c r="AX381" s="42"/>
      <c r="AY381" s="42"/>
      <c r="AZ381" s="42"/>
      <c r="BA381" s="42"/>
      <c r="BB381" s="42"/>
      <c r="BC381" s="42"/>
      <c r="BD381" s="42"/>
      <c r="BE381" s="42"/>
      <c r="BF381" s="42"/>
      <c r="BG381" s="42"/>
      <c r="BH381" s="42"/>
      <c r="BI381" s="42"/>
      <c r="BJ381" s="42"/>
      <c r="BK381" s="42"/>
      <c r="BL381" s="42"/>
      <c r="BM381" s="42"/>
      <c r="BN381" s="42"/>
    </row>
    <row r="382" spans="1:66" ht="12.75" customHeight="1" x14ac:dyDescent="0.2">
      <c r="A382" s="1" t="s">
        <v>102</v>
      </c>
      <c r="B382" s="4">
        <f>_xll.ciqfunctions.udf.CIQ(InputTicker, "IQ_NET_DEBT",Input!D$2,Date,,,Ccy,Conv)</f>
        <v>-58500</v>
      </c>
      <c r="C382" s="4">
        <f>_xll.ciqfunctions.udf.CIQ(InputTicker, "IQ_NET_DEBT",Input!E$2,Date,,,Ccy,Conv)</f>
        <v>-37374</v>
      </c>
      <c r="D382" s="4">
        <f>_xll.ciqfunctions.udf.CIQ(InputTicker, "IQ_NET_DEBT",Input!F$2,Date,,,Ccy,Conv)</f>
        <v>-46156</v>
      </c>
      <c r="E382" s="4">
        <f>_xll.ciqfunctions.udf.CIQ(InputTicker, "IQ_NET_DEBT",Input!G$2,Date,,,Ccy,Conv)</f>
        <v>-47377</v>
      </c>
      <c r="F382" s="4">
        <f>_xll.ciqfunctions.udf.CIQ(InputTicker, "IQ_NET_DEBT",Input!H$2,Date,,,Ccy,Conv)</f>
        <v>-54382</v>
      </c>
      <c r="G382" s="4">
        <f>_xll.ciqfunctions.udf.CIQ(InputTicker, "IQ_NET_DEBT",Input!I$2,Date,,,Ccy,Conv)</f>
        <v>-47978</v>
      </c>
      <c r="H382" s="4">
        <f>_xll.ciqfunctions.udf.CIQ(InputTicker, "IQ_NET_DEBT",Input!J$2,Date,,,Ccy,Conv)</f>
        <v>-26349</v>
      </c>
      <c r="I382" s="4">
        <f>_xll.ciqfunctions.udf.CIQ(InputTicker, "IQ_NET_DEBT",Input!K$2,Date,,,Ccy,Conv)</f>
        <v>-31815</v>
      </c>
      <c r="J382" s="4">
        <f>_xll.ciqfunctions.udf.CIQ(InputTicker, "IQ_NET_DEBT",Input!L$2,Date,,,Ccy,Conv)</f>
        <v>22321</v>
      </c>
      <c r="K382" s="4">
        <f>_xll.ciqfunctions.udf.CIQ(InputTicker, "IQ_NET_DEBT",Input!M$2,Date,,,Ccy,Conv)</f>
        <v>17629</v>
      </c>
      <c r="L382" s="4">
        <f>_xll.ciqfunctions.udf.CIQ(InputTicker, "IQ_NET_DEBT",Input!N$2,Date,,,Ccy,Conv)</f>
        <v>52162</v>
      </c>
      <c r="M382" s="4">
        <f>_xll.ciqfunctions.udf.CIQ(InputTicker, "IQ_NET_DEBT",Input!O$2,Date,,,Ccy,Conv)</f>
        <v>52162</v>
      </c>
      <c r="N382" s="53"/>
      <c r="T382" s="42"/>
      <c r="U382" s="42"/>
      <c r="V382" s="42"/>
      <c r="W382" s="42"/>
      <c r="X382" s="42"/>
      <c r="Y382" s="42"/>
      <c r="Z382" s="42"/>
      <c r="AA382" s="42"/>
      <c r="AB382" s="42"/>
      <c r="AC382" s="42"/>
      <c r="AD382" s="42"/>
      <c r="AE382" s="42"/>
      <c r="AF382" s="42"/>
      <c r="AG382" s="42"/>
      <c r="AH382" s="42"/>
      <c r="AI382" s="42"/>
      <c r="AJ382" s="42"/>
      <c r="AK382" s="42"/>
      <c r="AL382" s="42"/>
      <c r="AM382" s="42"/>
      <c r="AN382" s="42"/>
      <c r="AO382" s="42"/>
      <c r="AP382" s="42"/>
      <c r="AQ382" s="42"/>
      <c r="AR382" s="42"/>
      <c r="AS382" s="42"/>
      <c r="AT382" s="42"/>
      <c r="AU382" s="42"/>
      <c r="AV382" s="42"/>
      <c r="AW382" s="42"/>
      <c r="AX382" s="42"/>
      <c r="AY382" s="42"/>
      <c r="AZ382" s="42"/>
      <c r="BA382" s="42"/>
      <c r="BB382" s="42"/>
      <c r="BC382" s="42"/>
      <c r="BD382" s="42"/>
      <c r="BE382" s="42"/>
      <c r="BF382" s="42"/>
      <c r="BG382" s="42"/>
      <c r="BH382" s="42"/>
      <c r="BI382" s="42"/>
      <c r="BJ382" s="42"/>
      <c r="BK382" s="42"/>
      <c r="BL382" s="42"/>
      <c r="BM382" s="42"/>
      <c r="BN382" s="42"/>
    </row>
    <row r="383" spans="1:66" ht="12.75" customHeight="1" x14ac:dyDescent="0.2">
      <c r="A383" s="1" t="s">
        <v>368</v>
      </c>
      <c r="B383" s="4">
        <f>_xll.ciqfunctions.udf.CIQ(InputTicker, "IQ_MINORITY_INTEREST_TOTAL",Input!D$2,Date,,,Ccy,Conv)</f>
        <v>0</v>
      </c>
      <c r="C383" s="4">
        <f>_xll.ciqfunctions.udf.CIQ(InputTicker, "IQ_MINORITY_INTEREST_TOTAL",Input!E$2,Date,,,Ccy,Conv)</f>
        <v>0</v>
      </c>
      <c r="D383" s="4">
        <f>_xll.ciqfunctions.udf.CIQ(InputTicker, "IQ_MINORITY_INTEREST_TOTAL",Input!F$2,Date,,,Ccy,Conv)</f>
        <v>0</v>
      </c>
      <c r="E383" s="4">
        <f>_xll.ciqfunctions.udf.CIQ(InputTicker, "IQ_MINORITY_INTEREST_TOTAL",Input!G$2,Date,,,Ccy,Conv)</f>
        <v>0</v>
      </c>
      <c r="F383" s="4">
        <f>_xll.ciqfunctions.udf.CIQ(InputTicker, "IQ_MINORITY_INTEREST_TOTAL",Input!H$2,Date,,,Ccy,Conv)</f>
        <v>0</v>
      </c>
      <c r="G383" s="4">
        <f>_xll.ciqfunctions.udf.CIQ(InputTicker, "IQ_MINORITY_INTEREST_TOTAL",Input!I$2,Date,,,Ccy,Conv)</f>
        <v>0</v>
      </c>
      <c r="H383" s="4">
        <f>_xll.ciqfunctions.udf.CIQ(InputTicker, "IQ_MINORITY_INTEREST_TOTAL",Input!J$2,Date,,,Ccy,Conv)</f>
        <v>0</v>
      </c>
      <c r="I383" s="4">
        <f>_xll.ciqfunctions.udf.CIQ(InputTicker, "IQ_MINORITY_INTEREST_TOTAL",Input!K$2,Date,,,Ccy,Conv)</f>
        <v>0</v>
      </c>
      <c r="J383" s="4">
        <f>_xll.ciqfunctions.udf.CIQ(InputTicker, "IQ_MINORITY_INTEREST_TOTAL",Input!L$2,Date,,,Ccy,Conv)</f>
        <v>0</v>
      </c>
      <c r="K383" s="4">
        <f>_xll.ciqfunctions.udf.CIQ(InputTicker, "IQ_MINORITY_INTEREST_TOTAL",Input!M$2,Date,,,Ccy,Conv)</f>
        <v>0</v>
      </c>
      <c r="L383" s="4">
        <f>_xll.ciqfunctions.udf.CIQ(InputTicker, "IQ_MINORITY_INTEREST_TOTAL",Input!N$2,Date,,,Ccy,Conv)</f>
        <v>0</v>
      </c>
      <c r="M383" s="4">
        <f>_xll.ciqfunctions.udf.CIQ(InputTicker, "IQ_MINORITY_INTEREST_TOTAL",Input!O$2,Date,,,Ccy,Conv)</f>
        <v>0</v>
      </c>
      <c r="N383" s="53"/>
      <c r="T383" s="42"/>
      <c r="U383" s="42"/>
      <c r="V383" s="42"/>
      <c r="W383" s="42"/>
      <c r="X383" s="42"/>
      <c r="Y383" s="42"/>
      <c r="Z383" s="42"/>
      <c r="AA383" s="42"/>
      <c r="AB383" s="42"/>
      <c r="AC383" s="42"/>
      <c r="AD383" s="42"/>
      <c r="AE383" s="42"/>
      <c r="AF383" s="42"/>
      <c r="AG383" s="42"/>
      <c r="AH383" s="42"/>
      <c r="AI383" s="42"/>
      <c r="AJ383" s="42"/>
      <c r="AK383" s="42"/>
      <c r="AL383" s="42"/>
      <c r="AM383" s="42"/>
      <c r="AN383" s="42"/>
      <c r="AO383" s="42"/>
      <c r="AP383" s="42"/>
      <c r="AQ383" s="42"/>
      <c r="AR383" s="42"/>
      <c r="AS383" s="42"/>
      <c r="AT383" s="42"/>
      <c r="AU383" s="42"/>
      <c r="AV383" s="42"/>
      <c r="AW383" s="42"/>
      <c r="AX383" s="42"/>
      <c r="AY383" s="42"/>
      <c r="AZ383" s="42"/>
      <c r="BA383" s="42"/>
      <c r="BB383" s="42"/>
      <c r="BC383" s="42"/>
      <c r="BD383" s="42"/>
      <c r="BE383" s="42"/>
      <c r="BF383" s="42"/>
      <c r="BG383" s="42"/>
      <c r="BH383" s="42"/>
      <c r="BI383" s="42"/>
      <c r="BJ383" s="42"/>
      <c r="BK383" s="42"/>
      <c r="BL383" s="42"/>
      <c r="BM383" s="42"/>
      <c r="BN383" s="42"/>
    </row>
    <row r="384" spans="1:66" ht="12.75" customHeight="1" x14ac:dyDescent="0.2">
      <c r="A384" s="1" t="s">
        <v>218</v>
      </c>
      <c r="B384" s="4">
        <f>_xll.ciqfunctions.udf.CIQ(InputTicker, "IQ_TOTAL_CAP",Input!D$2,Date,,,Ccy,Conv)</f>
        <v>126538</v>
      </c>
      <c r="C384" s="4">
        <f>_xll.ciqfunctions.udf.CIQ(InputTicker, "IQ_TOTAL_CAP",Input!E$2,Date,,,Ccy,Conv)</f>
        <v>183238</v>
      </c>
      <c r="D384" s="4">
        <f>_xll.ciqfunctions.udf.CIQ(InputTicker, "IQ_TOTAL_CAP",Input!F$2,Date,,,Ccy,Conv)</f>
        <v>170226</v>
      </c>
      <c r="E384" s="4">
        <f>_xll.ciqfunctions.udf.CIQ(InputTicker, "IQ_TOTAL_CAP",Input!G$2,Date,,,Ccy,Conv)</f>
        <v>188785</v>
      </c>
      <c r="F384" s="4">
        <f>_xll.ciqfunctions.udf.CIQ(InputTicker, "IQ_TOTAL_CAP",Input!H$2,Date,,,Ccy,Conv)</f>
        <v>200414</v>
      </c>
      <c r="G384" s="4">
        <f>_xll.ciqfunctions.udf.CIQ(InputTicker, "IQ_TOTAL_CAP",Input!I$2,Date,,,Ccy,Conv)</f>
        <v>224266</v>
      </c>
      <c r="H384" s="4">
        <f>_xll.ciqfunctions.udf.CIQ(InputTicker, "IQ_TOTAL_CAP",Input!J$2,Date,,,Ccy,Conv)</f>
        <v>244942</v>
      </c>
      <c r="I384" s="4">
        <f>_xll.ciqfunctions.udf.CIQ(InputTicker, "IQ_TOTAL_CAP",Input!K$2,Date,,,Ccy,Conv)</f>
        <v>285664</v>
      </c>
      <c r="J384" s="4">
        <f>_xll.ciqfunctions.udf.CIQ(InputTicker, "IQ_TOTAL_CAP",Input!L$2,Date,,,Ccy,Conv)</f>
        <v>366329</v>
      </c>
      <c r="K384" s="4">
        <f>_xll.ciqfunctions.udf.CIQ(InputTicker, "IQ_TOTAL_CAP",Input!M$2,Date,,,Ccy,Conv)</f>
        <v>455663</v>
      </c>
      <c r="L384" s="4">
        <f>_xll.ciqfunctions.udf.CIQ(InputTicker, "IQ_TOTAL_CAP",Input!N$2,Date,,,Ccy,Conv)</f>
        <v>571200</v>
      </c>
      <c r="M384" s="4">
        <f>_xll.ciqfunctions.udf.CIQ(InputTicker, "IQ_TOTAL_CAP",Input!O$2,Date,,,Ccy,Conv)</f>
        <v>571200</v>
      </c>
      <c r="N384" s="53"/>
      <c r="T384" s="42"/>
      <c r="U384" s="42"/>
      <c r="V384" s="42"/>
      <c r="W384" s="42"/>
      <c r="X384" s="42"/>
      <c r="Y384" s="42"/>
      <c r="Z384" s="42"/>
      <c r="AA384" s="42"/>
      <c r="AB384" s="42"/>
      <c r="AC384" s="42"/>
      <c r="AD384" s="42"/>
      <c r="AE384" s="42"/>
      <c r="AF384" s="42"/>
      <c r="AG384" s="42"/>
      <c r="AH384" s="42"/>
      <c r="AI384" s="42"/>
      <c r="AJ384" s="42"/>
      <c r="AK384" s="42"/>
      <c r="AL384" s="42"/>
      <c r="AM384" s="42"/>
      <c r="AN384" s="42"/>
      <c r="AO384" s="42"/>
      <c r="AP384" s="42"/>
      <c r="AQ384" s="42"/>
      <c r="AR384" s="42"/>
      <c r="AS384" s="42"/>
      <c r="AT384" s="42"/>
      <c r="AU384" s="42"/>
      <c r="AV384" s="42"/>
      <c r="AW384" s="42"/>
      <c r="AX384" s="42"/>
      <c r="AY384" s="42"/>
      <c r="AZ384" s="42"/>
      <c r="BA384" s="42"/>
      <c r="BB384" s="42"/>
      <c r="BC384" s="42"/>
      <c r="BD384" s="42"/>
      <c r="BE384" s="42"/>
      <c r="BF384" s="42"/>
      <c r="BG384" s="42"/>
      <c r="BH384" s="42"/>
      <c r="BI384" s="42"/>
      <c r="BJ384" s="42"/>
      <c r="BK384" s="42"/>
      <c r="BL384" s="42"/>
      <c r="BM384" s="42"/>
      <c r="BN384" s="42"/>
    </row>
    <row r="385" spans="1:66" ht="12.75" customHeight="1" x14ac:dyDescent="0.2">
      <c r="A385" s="1" t="s">
        <v>353</v>
      </c>
      <c r="B385" s="4">
        <f>_xll.ciqfunctions.udf.CIQ(InputTicker, "IQ_WORKING_CAP",Input!D$2,Date,,,Ccy,Conv)</f>
        <v>80303</v>
      </c>
      <c r="C385" s="4">
        <f>_xll.ciqfunctions.udf.CIQ(InputTicker, "IQ_WORKING_CAP",Input!E$2,Date,,,Ccy,Conv)</f>
        <v>106951</v>
      </c>
      <c r="D385" s="4">
        <f>_xll.ciqfunctions.udf.CIQ(InputTicker, "IQ_WORKING_CAP",Input!F$2,Date,,,Ccy,Conv)</f>
        <v>111174</v>
      </c>
      <c r="E385" s="4">
        <f>_xll.ciqfunctions.udf.CIQ(InputTicker, "IQ_WORKING_CAP",Input!G$2,Date,,,Ccy,Conv)</f>
        <v>106132</v>
      </c>
      <c r="F385" s="4">
        <f>_xll.ciqfunctions.udf.CIQ(InputTicker, "IQ_WORKING_CAP",Input!H$2,Date,,,Ccy,Conv)</f>
        <v>109605</v>
      </c>
      <c r="G385" s="4">
        <f>_xll.ciqfunctions.udf.CIQ(InputTicker, "IQ_WORKING_CAP",Input!I$2,Date,,,Ccy,Conv)</f>
        <v>95749</v>
      </c>
      <c r="H385" s="4">
        <f>_xll.ciqfunctions.udf.CIQ(InputTicker, "IQ_WORKING_CAP",Input!J$2,Date,,,Ccy,Conv)</f>
        <v>74602</v>
      </c>
      <c r="I385" s="4">
        <f>_xll.ciqfunctions.udf.CIQ(InputTicker, "IQ_WORKING_CAP",Input!K$2,Date,,,Ccy,Conv)</f>
        <v>80108</v>
      </c>
      <c r="J385" s="4">
        <f>_xll.ciqfunctions.udf.CIQ(InputTicker, "IQ_WORKING_CAP",Input!L$2,Date,,,Ccy,Conv)</f>
        <v>34448</v>
      </c>
      <c r="K385" s="4">
        <f>_xll.ciqfunctions.udf.CIQ(InputTicker, "IQ_WORKING_CAP",Input!M$2,Date,,,Ccy,Conv)</f>
        <v>49913</v>
      </c>
      <c r="L385" s="4">
        <f>_xll.ciqfunctions.udf.CIQ(InputTicker, "IQ_WORKING_CAP",Input!N$2,Date,,,Ccy,Conv)</f>
        <v>38885</v>
      </c>
      <c r="M385" s="4">
        <f>_xll.ciqfunctions.udf.CIQ(InputTicker, "IQ_WORKING_CAP",Input!O$2,Date,,,Ccy,Conv)</f>
        <v>38885</v>
      </c>
      <c r="N385" s="42"/>
      <c r="T385" s="42"/>
      <c r="U385" s="42"/>
      <c r="V385" s="42"/>
      <c r="W385" s="42"/>
      <c r="X385" s="42"/>
      <c r="Y385" s="42"/>
      <c r="Z385" s="42"/>
      <c r="AA385" s="42"/>
      <c r="AB385" s="42"/>
      <c r="AC385" s="42"/>
      <c r="AD385" s="42"/>
      <c r="AE385" s="42"/>
      <c r="AF385" s="42"/>
      <c r="AG385" s="42"/>
      <c r="AH385" s="42"/>
      <c r="AI385" s="42"/>
      <c r="AJ385" s="42"/>
      <c r="AK385" s="42"/>
      <c r="AL385" s="42"/>
      <c r="AM385" s="42"/>
      <c r="AN385" s="42"/>
      <c r="AO385" s="42"/>
      <c r="AP385" s="42"/>
      <c r="AQ385" s="42"/>
      <c r="AR385" s="42"/>
      <c r="AS385" s="42"/>
      <c r="AT385" s="42"/>
      <c r="AU385" s="42"/>
      <c r="AV385" s="42"/>
      <c r="AW385" s="42"/>
      <c r="AX385" s="42"/>
      <c r="AY385" s="42"/>
      <c r="AZ385" s="42"/>
      <c r="BA385" s="42"/>
      <c r="BB385" s="42"/>
      <c r="BC385" s="42"/>
      <c r="BD385" s="42"/>
      <c r="BE385" s="42"/>
      <c r="BF385" s="42"/>
      <c r="BG385" s="42"/>
      <c r="BH385" s="42"/>
      <c r="BI385" s="42"/>
      <c r="BJ385" s="42"/>
      <c r="BK385" s="42"/>
      <c r="BL385" s="42"/>
      <c r="BM385" s="42"/>
      <c r="BN385" s="42"/>
    </row>
    <row r="386" spans="1:66" ht="12.75" customHeight="1" x14ac:dyDescent="0.2">
      <c r="A386" s="1" t="s">
        <v>354</v>
      </c>
      <c r="B386" s="4">
        <f>_xll.ciqfunctions.udf.CIQ(InputTicker, "IQ_NET_WORKING_CAP",Input!D$2,Date,,,Ccy,Conv)</f>
        <v>-19515</v>
      </c>
      <c r="C386" s="4">
        <f>_xll.ciqfunctions.udf.CIQ(InputTicker, "IQ_NET_WORKING_CAP",Input!E$2,Date,,,Ccy,Conv)</f>
        <v>-14293</v>
      </c>
      <c r="D386" s="4">
        <f>_xll.ciqfunctions.udf.CIQ(InputTicker, "IQ_NET_WORKING_CAP",Input!F$2,Date,,,Ccy,Conv)</f>
        <v>-16917</v>
      </c>
      <c r="E386" s="4">
        <f>_xll.ciqfunctions.udf.CIQ(InputTicker, "IQ_NET_WORKING_CAP",Input!G$2,Date,,,Ccy,Conv)</f>
        <v>-20352</v>
      </c>
      <c r="F386" s="4">
        <f>_xll.ciqfunctions.udf.CIQ(InputTicker, "IQ_NET_WORKING_CAP",Input!H$2,Date,,,Ccy,Conv)</f>
        <v>-20982</v>
      </c>
      <c r="G386" s="4">
        <f>_xll.ciqfunctions.udf.CIQ(InputTicker, "IQ_NET_WORKING_CAP",Input!I$2,Date,,,Ccy,Conv)</f>
        <v>-23682</v>
      </c>
      <c r="H386" s="4">
        <f>_xll.ciqfunctions.udf.CIQ(InputTicker, "IQ_NET_WORKING_CAP",Input!J$2,Date,,,Ccy,Conv)</f>
        <v>-24110</v>
      </c>
      <c r="I386" s="4">
        <f>_xll.ciqfunctions.udf.CIQ(InputTicker, "IQ_NET_WORKING_CAP",Input!K$2,Date,,,Ccy,Conv)</f>
        <v>-22295</v>
      </c>
      <c r="J386" s="4">
        <f>_xll.ciqfunctions.udf.CIQ(InputTicker, "IQ_NET_WORKING_CAP",Input!L$2,Date,,,Ccy,Conv)</f>
        <v>-26212</v>
      </c>
      <c r="K386" s="4">
        <f>_xll.ciqfunctions.udf.CIQ(InputTicker, "IQ_NET_WORKING_CAP",Input!M$2,Date,,,Ccy,Conv)</f>
        <v>-33047</v>
      </c>
      <c r="L386" s="4">
        <f>_xll.ciqfunctions.udf.CIQ(InputTicker, "IQ_NET_WORKING_CAP",Input!N$2,Date,,,Ccy,Conv)</f>
        <v>-18856</v>
      </c>
      <c r="M386" s="4">
        <f>_xll.ciqfunctions.udf.CIQ(InputTicker, "IQ_NET_WORKING_CAP",Input!O$2,Date,,,Ccy,Conv)</f>
        <v>-18856</v>
      </c>
      <c r="N386" s="42"/>
      <c r="T386" s="42"/>
      <c r="U386" s="42"/>
      <c r="V386" s="42"/>
      <c r="W386" s="42"/>
      <c r="X386" s="42"/>
      <c r="Y386" s="42"/>
      <c r="Z386" s="42"/>
      <c r="AA386" s="42"/>
      <c r="AB386" s="42"/>
      <c r="AC386" s="42"/>
      <c r="AD386" s="42"/>
      <c r="AE386" s="42"/>
      <c r="AF386" s="42"/>
      <c r="AG386" s="42"/>
      <c r="AH386" s="42"/>
      <c r="AI386" s="42"/>
      <c r="AJ386" s="42"/>
      <c r="AK386" s="42"/>
      <c r="AL386" s="42"/>
      <c r="AM386" s="42"/>
      <c r="AN386" s="42"/>
      <c r="AO386" s="42"/>
      <c r="AP386" s="42"/>
      <c r="AQ386" s="42"/>
      <c r="AR386" s="42"/>
      <c r="AS386" s="42"/>
      <c r="AT386" s="42"/>
      <c r="AU386" s="42"/>
      <c r="AV386" s="42"/>
      <c r="AW386" s="42"/>
      <c r="AX386" s="42"/>
      <c r="AY386" s="42"/>
      <c r="AZ386" s="42"/>
      <c r="BA386" s="42"/>
      <c r="BB386" s="42"/>
      <c r="BC386" s="42"/>
      <c r="BD386" s="42"/>
      <c r="BE386" s="42"/>
      <c r="BF386" s="42"/>
      <c r="BG386" s="42"/>
      <c r="BH386" s="42"/>
      <c r="BI386" s="42"/>
      <c r="BJ386" s="42"/>
      <c r="BK386" s="42"/>
      <c r="BL386" s="42"/>
      <c r="BM386" s="42"/>
      <c r="BN386" s="42"/>
    </row>
    <row r="387" spans="1:66" ht="12.75" customHeight="1" x14ac:dyDescent="0.2">
      <c r="A387" s="1" t="s">
        <v>367</v>
      </c>
      <c r="B387" s="4">
        <f>_xll.ciqfunctions.udf.CIQ(InputTicker, "IQ_ALLOW_DOUBT_ACCT",Input!D$2,Date,,,Ccy,Conv)</f>
        <v>426</v>
      </c>
      <c r="C387" s="4">
        <f>_xll.ciqfunctions.udf.CIQ(InputTicker, "IQ_ALLOW_DOUBT_ACCT",Input!E$2,Date,,,Ccy,Conv)</f>
        <v>345</v>
      </c>
      <c r="D387" s="4">
        <f>_xll.ciqfunctions.udf.CIQ(InputTicker, "IQ_ALLOW_DOUBT_ACCT",Input!F$2,Date,,,Ccy,Conv)</f>
        <v>377</v>
      </c>
      <c r="E387" s="4">
        <f>_xll.ciqfunctions.udf.CIQ(InputTicker, "IQ_ALLOW_DOUBT_ACCT",Input!G$2,Date,,,Ccy,Conv)</f>
        <v>411</v>
      </c>
      <c r="F387" s="4">
        <f>_xll.ciqfunctions.udf.CIQ(InputTicker, "IQ_ALLOW_DOUBT_ACCT",Input!H$2,Date,,,Ccy,Conv)</f>
        <v>788</v>
      </c>
      <c r="G387" s="4">
        <f>_xll.ciqfunctions.udf.CIQ(InputTicker, "IQ_ALLOW_DOUBT_ACCT",Input!I$2,Date,,,Ccy,Conv)</f>
        <v>751</v>
      </c>
      <c r="H387" s="4">
        <f>_xll.ciqfunctions.udf.CIQ(InputTicker, "IQ_ALLOW_DOUBT_ACCT",Input!J$2,Date,,,Ccy,Conv)</f>
        <v>633</v>
      </c>
      <c r="I387" s="4">
        <f>_xll.ciqfunctions.udf.CIQ(InputTicker, "IQ_ALLOW_DOUBT_ACCT",Input!K$2,Date,,,Ccy,Conv)</f>
        <v>650</v>
      </c>
      <c r="J387" s="4">
        <f>_xll.ciqfunctions.udf.CIQ(InputTicker, "IQ_ALLOW_DOUBT_ACCT",Input!L$2,Date,,,Ccy,Conv)</f>
        <v>830</v>
      </c>
      <c r="K387" s="4">
        <f>_xll.ciqfunctions.udf.CIQ(InputTicker, "IQ_ALLOW_DOUBT_ACCT",Input!M$2,Date,,,Ccy,Conv)</f>
        <v>944</v>
      </c>
      <c r="L387" s="4">
        <f>_xll.ciqfunctions.udf.CIQ(InputTicker, "IQ_ALLOW_DOUBT_ACCT",Input!N$2,Date,,,Ccy,Conv)</f>
        <v>1040</v>
      </c>
      <c r="M387" s="4">
        <f>_xll.ciqfunctions.udf.CIQ(InputTicker, "IQ_ALLOW_DOUBT_ACCT",Input!O$2,Date,,,Ccy,Conv)</f>
        <v>1040</v>
      </c>
      <c r="N387" s="42"/>
      <c r="T387" s="42"/>
      <c r="U387" s="42"/>
      <c r="V387" s="42"/>
      <c r="W387" s="42"/>
      <c r="X387" s="42"/>
      <c r="Y387" s="42"/>
      <c r="Z387" s="42"/>
      <c r="AA387" s="42"/>
      <c r="AB387" s="42"/>
      <c r="AC387" s="42"/>
      <c r="AD387" s="42"/>
      <c r="AE387" s="42"/>
      <c r="AF387" s="42"/>
      <c r="AG387" s="42"/>
      <c r="AH387" s="42"/>
      <c r="AI387" s="42"/>
      <c r="AJ387" s="42"/>
      <c r="AK387" s="42"/>
      <c r="AL387" s="42"/>
      <c r="AM387" s="42"/>
      <c r="AN387" s="42"/>
      <c r="AO387" s="42"/>
      <c r="AP387" s="42"/>
      <c r="AQ387" s="42"/>
      <c r="AR387" s="42"/>
      <c r="AS387" s="42"/>
      <c r="AT387" s="42"/>
      <c r="AU387" s="42"/>
      <c r="AV387" s="42"/>
      <c r="AW387" s="42"/>
      <c r="AX387" s="42"/>
      <c r="AY387" s="42"/>
      <c r="AZ387" s="42"/>
      <c r="BA387" s="42"/>
      <c r="BB387" s="42"/>
      <c r="BC387" s="42"/>
      <c r="BD387" s="42"/>
      <c r="BE387" s="42"/>
      <c r="BF387" s="42"/>
      <c r="BG387" s="42"/>
      <c r="BH387" s="42"/>
      <c r="BI387" s="42"/>
      <c r="BJ387" s="42"/>
      <c r="BK387" s="42"/>
      <c r="BL387" s="42"/>
      <c r="BM387" s="42"/>
      <c r="BN387" s="42"/>
    </row>
    <row r="388" spans="1:66" ht="12.75" customHeight="1" x14ac:dyDescent="0.2">
      <c r="A388" s="1" t="s">
        <v>355</v>
      </c>
      <c r="B388" s="4">
        <f>_xll.ciqfunctions.udf.CIQ(InputTicker, "IQ_EQUITY_METHOD",Input!D$2,Date,,,Ccy,Conv)</f>
        <v>0</v>
      </c>
      <c r="C388" s="4">
        <f>_xll.ciqfunctions.udf.CIQ(InputTicker, "IQ_EQUITY_METHOD",Input!E$2,Date,,,Ccy,Conv)</f>
        <v>0</v>
      </c>
      <c r="D388" s="4">
        <f>_xll.ciqfunctions.udf.CIQ(InputTicker, "IQ_EQUITY_METHOD",Input!F$2,Date,,,Ccy,Conv)</f>
        <v>0</v>
      </c>
      <c r="E388" s="4">
        <f>_xll.ciqfunctions.udf.CIQ(InputTicker, "IQ_EQUITY_METHOD",Input!G$2,Date,,,Ccy,Conv)</f>
        <v>0</v>
      </c>
      <c r="F388" s="4">
        <f>_xll.ciqfunctions.udf.CIQ(InputTicker, "IQ_EQUITY_METHOD",Input!H$2,Date,,,Ccy,Conv)</f>
        <v>0</v>
      </c>
      <c r="G388" s="4">
        <f>_xll.ciqfunctions.udf.CIQ(InputTicker, "IQ_EQUITY_METHOD",Input!I$2,Date,,,Ccy,Conv)</f>
        <v>0</v>
      </c>
      <c r="H388" s="4">
        <f>_xll.ciqfunctions.udf.CIQ(InputTicker, "IQ_EQUITY_METHOD",Input!J$2,Date,,,Ccy,Conv)</f>
        <v>0</v>
      </c>
      <c r="I388" s="4">
        <f>_xll.ciqfunctions.udf.CIQ(InputTicker, "IQ_EQUITY_METHOD",Input!K$2,Date,,,Ccy,Conv)</f>
        <v>0</v>
      </c>
      <c r="J388" s="4">
        <f>_xll.ciqfunctions.udf.CIQ(InputTicker, "IQ_EQUITY_METHOD",Input!L$2,Date,,,Ccy,Conv)</f>
        <v>0</v>
      </c>
      <c r="K388" s="4">
        <f>_xll.ciqfunctions.udf.CIQ(InputTicker, "IQ_EQUITY_METHOD",Input!M$2,Date,,,Ccy,Conv)</f>
        <v>0</v>
      </c>
      <c r="L388" s="4">
        <f>_xll.ciqfunctions.udf.CIQ(InputTicker, "IQ_EQUITY_METHOD",Input!N$2,Date,,,Ccy,Conv)</f>
        <v>0</v>
      </c>
      <c r="M388" s="4">
        <f>_xll.ciqfunctions.udf.CIQ(InputTicker, "IQ_EQUITY_METHOD",Input!O$2,Date,,,Ccy,Conv)</f>
        <v>0</v>
      </c>
      <c r="N388" s="42"/>
      <c r="T388" s="42"/>
      <c r="U388" s="42"/>
      <c r="V388" s="42"/>
      <c r="W388" s="42"/>
      <c r="X388" s="42"/>
      <c r="Y388" s="42"/>
      <c r="Z388" s="42"/>
      <c r="AA388" s="42"/>
      <c r="AB388" s="42"/>
      <c r="AC388" s="42"/>
      <c r="AD388" s="42"/>
      <c r="AE388" s="42"/>
      <c r="AF388" s="42"/>
      <c r="AG388" s="42"/>
      <c r="AH388" s="42"/>
      <c r="AI388" s="42"/>
      <c r="AJ388" s="42"/>
      <c r="AK388" s="42"/>
      <c r="AL388" s="42"/>
      <c r="AM388" s="42"/>
      <c r="AN388" s="42"/>
      <c r="AO388" s="42"/>
      <c r="AP388" s="42"/>
      <c r="AQ388" s="42"/>
      <c r="AR388" s="42"/>
      <c r="AS388" s="42"/>
      <c r="AT388" s="42"/>
      <c r="AU388" s="42"/>
      <c r="AV388" s="42"/>
      <c r="AW388" s="42"/>
      <c r="AX388" s="42"/>
      <c r="AY388" s="42"/>
      <c r="AZ388" s="42"/>
      <c r="BA388" s="42"/>
      <c r="BB388" s="42"/>
      <c r="BC388" s="42"/>
      <c r="BD388" s="42"/>
      <c r="BE388" s="42"/>
      <c r="BF388" s="42"/>
      <c r="BG388" s="42"/>
      <c r="BH388" s="42"/>
      <c r="BI388" s="42"/>
      <c r="BJ388" s="42"/>
      <c r="BK388" s="42"/>
      <c r="BL388" s="42"/>
      <c r="BM388" s="42"/>
      <c r="BN388" s="42"/>
    </row>
    <row r="389" spans="1:66" ht="12.75" customHeight="1" x14ac:dyDescent="0.2">
      <c r="A389" s="1" t="s">
        <v>43</v>
      </c>
      <c r="B389" s="4">
        <f>_xll.ciqfunctions.udf.CIQ(InputTicker, "IQ_AR_UNBILLED",Input!D$2,Date,,,Ccy,Conv)</f>
        <v>0</v>
      </c>
      <c r="C389" s="4">
        <f>_xll.ciqfunctions.udf.CIQ(InputTicker, "IQ_AR_UNBILLED",Input!E$2,Date,,,Ccy,Conv)</f>
        <v>0</v>
      </c>
      <c r="D389" s="4">
        <f>_xll.ciqfunctions.udf.CIQ(InputTicker, "IQ_AR_UNBILLED",Input!F$2,Date,,,Ccy,Conv)</f>
        <v>0</v>
      </c>
      <c r="E389" s="4">
        <f>_xll.ciqfunctions.udf.CIQ(InputTicker, "IQ_AR_UNBILLED",Input!G$2,Date,,,Ccy,Conv)</f>
        <v>0</v>
      </c>
      <c r="F389" s="4">
        <f>_xll.ciqfunctions.udf.CIQ(InputTicker, "IQ_AR_UNBILLED",Input!H$2,Date,,,Ccy,Conv)</f>
        <v>0</v>
      </c>
      <c r="G389" s="4">
        <f>_xll.ciqfunctions.udf.CIQ(InputTicker, "IQ_AR_UNBILLED",Input!I$2,Date,,,Ccy,Conv)</f>
        <v>0</v>
      </c>
      <c r="H389" s="4">
        <f>_xll.ciqfunctions.udf.CIQ(InputTicker, "IQ_AR_UNBILLED",Input!J$2,Date,,,Ccy,Conv)</f>
        <v>0</v>
      </c>
      <c r="I389" s="4">
        <f>_xll.ciqfunctions.udf.CIQ(InputTicker, "IQ_AR_UNBILLED",Input!K$2,Date,,,Ccy,Conv)</f>
        <v>0</v>
      </c>
      <c r="J389" s="4">
        <f>_xll.ciqfunctions.udf.CIQ(InputTicker, "IQ_AR_UNBILLED",Input!L$2,Date,,,Ccy,Conv)</f>
        <v>0</v>
      </c>
      <c r="K389" s="4">
        <f>_xll.ciqfunctions.udf.CIQ(InputTicker, "IQ_AR_UNBILLED",Input!M$2,Date,,,Ccy,Conv)</f>
        <v>0</v>
      </c>
      <c r="L389" s="4">
        <f>_xll.ciqfunctions.udf.CIQ(InputTicker, "IQ_AR_UNBILLED",Input!N$2,Date,,,Ccy,Conv)</f>
        <v>0</v>
      </c>
      <c r="M389" s="4">
        <f>_xll.ciqfunctions.udf.CIQ(InputTicker, "IQ_AR_UNBILLED",Input!O$2,Date,,,Ccy,Conv)</f>
        <v>0</v>
      </c>
      <c r="N389" s="42"/>
      <c r="T389" s="42"/>
      <c r="U389" s="42"/>
      <c r="V389" s="42"/>
      <c r="W389" s="42"/>
      <c r="X389" s="42"/>
      <c r="Y389" s="42"/>
      <c r="Z389" s="42"/>
      <c r="AA389" s="42"/>
      <c r="AB389" s="42"/>
      <c r="AC389" s="42"/>
      <c r="AD389" s="42"/>
      <c r="AE389" s="42"/>
      <c r="AF389" s="42"/>
      <c r="AG389" s="42"/>
      <c r="AH389" s="42"/>
      <c r="AI389" s="42"/>
      <c r="AJ389" s="42"/>
      <c r="AK389" s="42"/>
      <c r="AL389" s="42"/>
      <c r="AM389" s="42"/>
      <c r="AN389" s="42"/>
      <c r="AO389" s="42"/>
      <c r="AP389" s="42"/>
      <c r="AQ389" s="42"/>
      <c r="AR389" s="42"/>
      <c r="AS389" s="42"/>
      <c r="AT389" s="42"/>
      <c r="AU389" s="42"/>
      <c r="AV389" s="42"/>
      <c r="AW389" s="42"/>
      <c r="AX389" s="42"/>
      <c r="AY389" s="42"/>
      <c r="AZ389" s="42"/>
      <c r="BA389" s="42"/>
      <c r="BB389" s="42"/>
      <c r="BC389" s="42"/>
      <c r="BD389" s="42"/>
      <c r="BE389" s="42"/>
      <c r="BF389" s="42"/>
      <c r="BG389" s="42"/>
      <c r="BH389" s="42"/>
      <c r="BI389" s="42"/>
      <c r="BJ389" s="42"/>
      <c r="BK389" s="42"/>
      <c r="BL389" s="42"/>
      <c r="BM389" s="42"/>
      <c r="BN389" s="42"/>
    </row>
    <row r="390" spans="1:66" ht="12.75" customHeight="1" x14ac:dyDescent="0.2">
      <c r="A390" s="1" t="s">
        <v>356</v>
      </c>
      <c r="B390" s="4" t="str">
        <f>_xll.ciqfunctions.udf.CIQ(InputTicker, "IQ_INV_METHOD",Input!D$2,Date)</f>
        <v>Avg Cost</v>
      </c>
      <c r="C390" s="4" t="str">
        <f>_xll.ciqfunctions.udf.CIQ(InputTicker, "IQ_INV_METHOD",Input!E$2,Date)</f>
        <v>Avg Cost</v>
      </c>
      <c r="D390" s="4" t="str">
        <f>_xll.ciqfunctions.udf.CIQ(InputTicker, "IQ_INV_METHOD",Input!F$2,Date)</f>
        <v>Avg Cost</v>
      </c>
      <c r="E390" s="4" t="str">
        <f>_xll.ciqfunctions.udf.CIQ(InputTicker, "IQ_INV_METHOD",Input!G$2,Date)</f>
        <v>Avg Cost</v>
      </c>
      <c r="F390" s="4" t="str">
        <f>_xll.ciqfunctions.udf.CIQ(InputTicker, "IQ_INV_METHOD",Input!H$2,Date)</f>
        <v>Avg Cost</v>
      </c>
      <c r="G390" s="4" t="str">
        <f>_xll.ciqfunctions.udf.CIQ(InputTicker, "IQ_INV_METHOD",Input!I$2,Date)</f>
        <v>Avg Cost</v>
      </c>
      <c r="H390" s="4" t="str">
        <f>_xll.ciqfunctions.udf.CIQ(InputTicker, "IQ_INV_METHOD",Input!J$2,Date)</f>
        <v>Avg Cost</v>
      </c>
      <c r="I390" s="4" t="str">
        <f>_xll.ciqfunctions.udf.CIQ(InputTicker, "IQ_INV_METHOD",Input!K$2,Date)</f>
        <v>Avg Cost</v>
      </c>
      <c r="J390" s="4" t="str">
        <f>_xll.ciqfunctions.udf.CIQ(InputTicker, "IQ_INV_METHOD",Input!L$2,Date)</f>
        <v>Avg Cost</v>
      </c>
      <c r="K390" s="4" t="str">
        <f>_xll.ciqfunctions.udf.CIQ(InputTicker, "IQ_INV_METHOD",Input!M$2,Date)</f>
        <v>NA</v>
      </c>
      <c r="L390" s="4" t="str">
        <f>_xll.ciqfunctions.udf.CIQ(InputTicker, "IQ_INV_METHOD",Input!N$2,Date)</f>
        <v>NA</v>
      </c>
      <c r="M390" s="4" t="str">
        <f>_xll.ciqfunctions.udf.CIQ(InputTicker, "IQ_INV_METHOD",Input!O$2,Date)</f>
        <v>NA</v>
      </c>
      <c r="N390" s="42"/>
      <c r="T390" s="42"/>
      <c r="U390" s="42"/>
      <c r="V390" s="42"/>
      <c r="W390" s="42"/>
      <c r="X390" s="42"/>
      <c r="Y390" s="42"/>
      <c r="Z390" s="42"/>
      <c r="AA390" s="42"/>
      <c r="AB390" s="42"/>
      <c r="AC390" s="42"/>
      <c r="AD390" s="42"/>
      <c r="AE390" s="42"/>
      <c r="AF390" s="42"/>
      <c r="AG390" s="42"/>
      <c r="AH390" s="42"/>
      <c r="AI390" s="42"/>
      <c r="AJ390" s="42"/>
      <c r="AK390" s="42"/>
      <c r="AL390" s="42"/>
      <c r="AM390" s="42"/>
      <c r="AN390" s="42"/>
      <c r="AO390" s="42"/>
      <c r="AP390" s="42"/>
      <c r="AQ390" s="42"/>
      <c r="AR390" s="42"/>
      <c r="AS390" s="42"/>
      <c r="AT390" s="42"/>
      <c r="AU390" s="42"/>
      <c r="AV390" s="42"/>
      <c r="AW390" s="42"/>
      <c r="AX390" s="42"/>
      <c r="AY390" s="42"/>
      <c r="AZ390" s="42"/>
      <c r="BA390" s="42"/>
      <c r="BB390" s="42"/>
      <c r="BC390" s="42"/>
      <c r="BD390" s="42"/>
      <c r="BE390" s="42"/>
      <c r="BF390" s="42"/>
      <c r="BG390" s="42"/>
      <c r="BH390" s="42"/>
      <c r="BI390" s="42"/>
      <c r="BJ390" s="42"/>
      <c r="BK390" s="42"/>
      <c r="BL390" s="42"/>
      <c r="BM390" s="42"/>
      <c r="BN390" s="42"/>
    </row>
    <row r="391" spans="1:66" ht="12.75" customHeight="1" x14ac:dyDescent="0.2">
      <c r="A391" s="1" t="s">
        <v>219</v>
      </c>
      <c r="B391" s="4">
        <f>_xll.ciqfunctions.udf.CIQ(InputTicker, "IQ_LIFOR",Input!D$2,Date,,,Ccy,Conv)</f>
        <v>0</v>
      </c>
      <c r="C391" s="4">
        <f>_xll.ciqfunctions.udf.CIQ(InputTicker, "IQ_LIFOR",Input!E$2,Date,,,Ccy,Conv)</f>
        <v>0</v>
      </c>
      <c r="D391" s="4">
        <f>_xll.ciqfunctions.udf.CIQ(InputTicker, "IQ_LIFOR",Input!F$2,Date,,,Ccy,Conv)</f>
        <v>0</v>
      </c>
      <c r="E391" s="4">
        <f>_xll.ciqfunctions.udf.CIQ(InputTicker, "IQ_LIFOR",Input!G$2,Date,,,Ccy,Conv)</f>
        <v>0</v>
      </c>
      <c r="F391" s="4">
        <f>_xll.ciqfunctions.udf.CIQ(InputTicker, "IQ_LIFOR",Input!H$2,Date,,,Ccy,Conv)</f>
        <v>0</v>
      </c>
      <c r="G391" s="4">
        <f>_xll.ciqfunctions.udf.CIQ(InputTicker, "IQ_LIFOR",Input!I$2,Date,,,Ccy,Conv)</f>
        <v>0</v>
      </c>
      <c r="H391" s="4">
        <f>_xll.ciqfunctions.udf.CIQ(InputTicker, "IQ_LIFOR",Input!J$2,Date,,,Ccy,Conv)</f>
        <v>0</v>
      </c>
      <c r="I391" s="4">
        <f>_xll.ciqfunctions.udf.CIQ(InputTicker, "IQ_LIFOR",Input!K$2,Date,,,Ccy,Conv)</f>
        <v>0</v>
      </c>
      <c r="J391" s="4">
        <f>_xll.ciqfunctions.udf.CIQ(InputTicker, "IQ_LIFOR",Input!L$2,Date,,,Ccy,Conv)</f>
        <v>0</v>
      </c>
      <c r="K391" s="4">
        <f>_xll.ciqfunctions.udf.CIQ(InputTicker, "IQ_LIFOR",Input!M$2,Date,,,Ccy,Conv)</f>
        <v>0</v>
      </c>
      <c r="L391" s="4">
        <f>_xll.ciqfunctions.udf.CIQ(InputTicker, "IQ_LIFOR",Input!N$2,Date,,,Ccy,Conv)</f>
        <v>0</v>
      </c>
      <c r="M391" s="4">
        <f>_xll.ciqfunctions.udf.CIQ(InputTicker, "IQ_LIFOR",Input!O$2,Date,,,Ccy,Conv)</f>
        <v>0</v>
      </c>
      <c r="N391" s="42"/>
      <c r="T391" s="42"/>
      <c r="U391" s="42"/>
      <c r="V391" s="42"/>
      <c r="W391" s="42"/>
      <c r="X391" s="42"/>
      <c r="Y391" s="42"/>
      <c r="Z391" s="42"/>
      <c r="AA391" s="42"/>
      <c r="AB391" s="42"/>
      <c r="AC391" s="42"/>
      <c r="AD391" s="42"/>
      <c r="AE391" s="42"/>
      <c r="AF391" s="42"/>
      <c r="AG391" s="42"/>
      <c r="AH391" s="42"/>
      <c r="AI391" s="42"/>
      <c r="AJ391" s="42"/>
      <c r="AK391" s="42"/>
      <c r="AL391" s="42"/>
      <c r="AM391" s="42"/>
      <c r="AN391" s="42"/>
      <c r="AO391" s="42"/>
      <c r="AP391" s="42"/>
      <c r="AQ391" s="42"/>
      <c r="AR391" s="42"/>
      <c r="AS391" s="42"/>
      <c r="AT391" s="42"/>
      <c r="AU391" s="42"/>
      <c r="AV391" s="42"/>
      <c r="AW391" s="42"/>
      <c r="AX391" s="42"/>
      <c r="AY391" s="42"/>
      <c r="AZ391" s="42"/>
      <c r="BA391" s="42"/>
      <c r="BB391" s="42"/>
      <c r="BC391" s="42"/>
      <c r="BD391" s="42"/>
      <c r="BE391" s="42"/>
      <c r="BF391" s="42"/>
      <c r="BG391" s="42"/>
      <c r="BH391" s="42"/>
      <c r="BI391" s="42"/>
      <c r="BJ391" s="42"/>
      <c r="BK391" s="42"/>
      <c r="BL391" s="42"/>
      <c r="BM391" s="42"/>
      <c r="BN391" s="42"/>
    </row>
    <row r="392" spans="1:66" ht="12.75" customHeight="1" x14ac:dyDescent="0.2">
      <c r="A392" s="1" t="s">
        <v>220</v>
      </c>
      <c r="B392" s="4">
        <f>_xll.ciqfunctions.udf.CIQ(InputTicker,"IQ_RAW_INV",Input!D$2,Date,,,Ccy,Conv)</f>
        <v>612</v>
      </c>
      <c r="C392" s="4">
        <f>_xll.ciqfunctions.udf.CIQ(InputTicker,"IQ_RAW_INV",Input!E$2,Date,,,Ccy,Conv)</f>
        <v>797</v>
      </c>
      <c r="D392" s="4">
        <f>_xll.ciqfunctions.udf.CIQ(InputTicker,"IQ_RAW_INV",Input!F$2,Date,,,Ccy,Conv)</f>
        <v>655</v>
      </c>
      <c r="E392" s="4">
        <f>_xll.ciqfunctions.udf.CIQ(InputTicker,"IQ_RAW_INV",Input!G$2,Date,,,Ccy,Conv)</f>
        <v>399</v>
      </c>
      <c r="F392" s="4">
        <f>_xll.ciqfunctions.udf.CIQ(InputTicker,"IQ_RAW_INV",Input!H$2,Date,,,Ccy,Conv)</f>
        <v>700</v>
      </c>
      <c r="G392" s="4">
        <f>_xll.ciqfunctions.udf.CIQ(InputTicker,"IQ_RAW_INV",Input!I$2,Date,,,Ccy,Conv)</f>
        <v>1190</v>
      </c>
      <c r="H392" s="4">
        <f>_xll.ciqfunctions.udf.CIQ(InputTicker,"IQ_RAW_INV",Input!J$2,Date,,,Ccy,Conv)</f>
        <v>1144</v>
      </c>
      <c r="I392" s="4">
        <f>_xll.ciqfunctions.udf.CIQ(InputTicker,"IQ_RAW_INV",Input!K$2,Date,,,Ccy,Conv)</f>
        <v>709</v>
      </c>
      <c r="J392" s="4">
        <f>_xll.ciqfunctions.udf.CIQ(InputTicker,"IQ_RAW_INV",Input!L$2,Date,,,Ccy,Conv)</f>
        <v>0</v>
      </c>
      <c r="K392" s="4">
        <f>_xll.ciqfunctions.udf.CIQ(InputTicker,"IQ_RAW_INV",Input!M$2,Date,,,Ccy,Conv)</f>
        <v>0</v>
      </c>
      <c r="L392" s="4">
        <f>_xll.ciqfunctions.udf.CIQ(InputTicker,"IQ_RAW_INV",Input!N$2,Date,,,Ccy,Conv)</f>
        <v>0</v>
      </c>
      <c r="M392" s="4">
        <f>_xll.ciqfunctions.udf.CIQ(InputTicker,"IQ_RAW_INV",Input!O$2,Date,,,Ccy,Conv)</f>
        <v>0</v>
      </c>
      <c r="N392" s="42"/>
      <c r="T392" s="42"/>
      <c r="U392" s="42"/>
      <c r="V392" s="42"/>
      <c r="W392" s="42"/>
      <c r="X392" s="42"/>
      <c r="Y392" s="42"/>
      <c r="Z392" s="42"/>
      <c r="AA392" s="42"/>
      <c r="AB392" s="42"/>
      <c r="AC392" s="42"/>
      <c r="AD392" s="42"/>
      <c r="AE392" s="42"/>
      <c r="AF392" s="42"/>
      <c r="AG392" s="42"/>
      <c r="AH392" s="42"/>
      <c r="AI392" s="42"/>
      <c r="AJ392" s="42"/>
      <c r="AK392" s="42"/>
      <c r="AL392" s="42"/>
      <c r="AM392" s="42"/>
      <c r="AN392" s="42"/>
      <c r="AO392" s="42"/>
      <c r="AP392" s="42"/>
      <c r="AQ392" s="42"/>
      <c r="AR392" s="42"/>
      <c r="AS392" s="42"/>
      <c r="AT392" s="42"/>
      <c r="AU392" s="42"/>
      <c r="AV392" s="42"/>
      <c r="AW392" s="42"/>
      <c r="AX392" s="42"/>
      <c r="AY392" s="42"/>
      <c r="AZ392" s="42"/>
      <c r="BA392" s="42"/>
      <c r="BB392" s="42"/>
      <c r="BC392" s="42"/>
      <c r="BD392" s="42"/>
      <c r="BE392" s="42"/>
      <c r="BF392" s="42"/>
      <c r="BG392" s="42"/>
      <c r="BH392" s="42"/>
      <c r="BI392" s="42"/>
      <c r="BJ392" s="42"/>
      <c r="BK392" s="42"/>
      <c r="BL392" s="42"/>
      <c r="BM392" s="42"/>
      <c r="BN392" s="42"/>
    </row>
    <row r="393" spans="1:66" ht="12.75" customHeight="1" x14ac:dyDescent="0.2">
      <c r="A393" s="1" t="s">
        <v>221</v>
      </c>
      <c r="B393" s="4">
        <f>_xll.ciqfunctions.udf.CIQ(InputTicker, "IQ_WIP_INV",Input!D$2,Date,,,Ccy,Conv)</f>
        <v>158</v>
      </c>
      <c r="C393" s="4">
        <f>_xll.ciqfunctions.udf.CIQ(InputTicker, "IQ_WIP_INV",Input!E$2,Date,,,Ccy,Conv)</f>
        <v>145</v>
      </c>
      <c r="D393" s="4">
        <f>_xll.ciqfunctions.udf.CIQ(InputTicker, "IQ_WIP_INV",Input!F$2,Date,,,Ccy,Conv)</f>
        <v>54</v>
      </c>
      <c r="E393" s="4">
        <f>_xll.ciqfunctions.udf.CIQ(InputTicker, "IQ_WIP_INV",Input!G$2,Date,,,Ccy,Conv)</f>
        <v>53</v>
      </c>
      <c r="F393" s="4">
        <f>_xll.ciqfunctions.udf.CIQ(InputTicker, "IQ_WIP_INV",Input!H$2,Date,,,Ccy,Conv)</f>
        <v>83</v>
      </c>
      <c r="G393" s="4">
        <f>_xll.ciqfunctions.udf.CIQ(InputTicker, "IQ_WIP_INV",Input!I$2,Date,,,Ccy,Conv)</f>
        <v>79</v>
      </c>
      <c r="H393" s="4">
        <f>_xll.ciqfunctions.udf.CIQ(InputTicker, "IQ_WIP_INV",Input!J$2,Date,,,Ccy,Conv)</f>
        <v>82</v>
      </c>
      <c r="I393" s="4">
        <f>_xll.ciqfunctions.udf.CIQ(InputTicker, "IQ_WIP_INV",Input!K$2,Date,,,Ccy,Conv)</f>
        <v>23</v>
      </c>
      <c r="J393" s="4">
        <f>_xll.ciqfunctions.udf.CIQ(InputTicker, "IQ_WIP_INV",Input!L$2,Date,,,Ccy,Conv)</f>
        <v>0</v>
      </c>
      <c r="K393" s="4">
        <f>_xll.ciqfunctions.udf.CIQ(InputTicker, "IQ_WIP_INV",Input!M$2,Date,,,Ccy,Conv)</f>
        <v>0</v>
      </c>
      <c r="L393" s="4">
        <f>_xll.ciqfunctions.udf.CIQ(InputTicker, "IQ_WIP_INV",Input!N$2,Date,,,Ccy,Conv)</f>
        <v>0</v>
      </c>
      <c r="M393" s="4">
        <f>_xll.ciqfunctions.udf.CIQ(InputTicker, "IQ_WIP_INV",Input!O$2,Date,,,Ccy,Conv)</f>
        <v>0</v>
      </c>
      <c r="N393" s="42"/>
      <c r="T393" s="42"/>
      <c r="U393" s="42"/>
      <c r="V393" s="42"/>
      <c r="W393" s="42"/>
      <c r="X393" s="42"/>
      <c r="Y393" s="42"/>
      <c r="Z393" s="42"/>
      <c r="AA393" s="42"/>
      <c r="AB393" s="42"/>
      <c r="AC393" s="42"/>
      <c r="AD393" s="42"/>
      <c r="AE393" s="42"/>
      <c r="AF393" s="42"/>
      <c r="AG393" s="42"/>
      <c r="AH393" s="42"/>
      <c r="AI393" s="42"/>
      <c r="AJ393" s="42"/>
      <c r="AK393" s="42"/>
      <c r="AL393" s="42"/>
      <c r="AM393" s="42"/>
      <c r="AN393" s="42"/>
      <c r="AO393" s="42"/>
      <c r="AP393" s="42"/>
      <c r="AQ393" s="42"/>
      <c r="AR393" s="42"/>
      <c r="AS393" s="42"/>
      <c r="AT393" s="42"/>
      <c r="AU393" s="42"/>
      <c r="AV393" s="42"/>
      <c r="AW393" s="42"/>
      <c r="AX393" s="42"/>
      <c r="AY393" s="42"/>
      <c r="AZ393" s="42"/>
      <c r="BA393" s="42"/>
      <c r="BB393" s="42"/>
      <c r="BC393" s="42"/>
      <c r="BD393" s="42"/>
      <c r="BE393" s="42"/>
      <c r="BF393" s="42"/>
      <c r="BG393" s="42"/>
      <c r="BH393" s="42"/>
      <c r="BI393" s="42"/>
      <c r="BJ393" s="42"/>
      <c r="BK393" s="42"/>
      <c r="BL393" s="42"/>
      <c r="BM393" s="42"/>
      <c r="BN393" s="42"/>
    </row>
    <row r="394" spans="1:66" ht="12.75" customHeight="1" x14ac:dyDescent="0.2">
      <c r="A394" s="1" t="s">
        <v>222</v>
      </c>
      <c r="B394" s="4">
        <f>_xll.ciqfunctions.udf.CIQ(InputTicker, "IQ_FINISHED_INV",Input!D$2,Date,,,Ccy,Conv)</f>
        <v>1481</v>
      </c>
      <c r="C394" s="4">
        <f>_xll.ciqfunctions.udf.CIQ(InputTicker, "IQ_FINISHED_INV",Input!E$2,Date,,,Ccy,Conv)</f>
        <v>1239</v>
      </c>
      <c r="D394" s="4">
        <f>_xll.ciqfunctions.udf.CIQ(InputTicker, "IQ_FINISHED_INV",Input!F$2,Date,,,Ccy,Conv)</f>
        <v>1953</v>
      </c>
      <c r="E394" s="4">
        <f>_xll.ciqfunctions.udf.CIQ(InputTicker, "IQ_FINISHED_INV",Input!G$2,Date,,,Ccy,Conv)</f>
        <v>1611</v>
      </c>
      <c r="F394" s="4">
        <f>_xll.ciqfunctions.udf.CIQ(InputTicker, "IQ_FINISHED_INV",Input!H$2,Date,,,Ccy,Conv)</f>
        <v>1112</v>
      </c>
      <c r="G394" s="4">
        <f>_xll.ciqfunctions.udf.CIQ(InputTicker, "IQ_FINISHED_INV",Input!I$2,Date,,,Ccy,Conv)</f>
        <v>1367</v>
      </c>
      <c r="H394" s="4">
        <f>_xll.ciqfunctions.udf.CIQ(InputTicker, "IQ_FINISHED_INV",Input!J$2,Date,,,Ccy,Conv)</f>
        <v>2516</v>
      </c>
      <c r="I394" s="4">
        <f>_xll.ciqfunctions.udf.CIQ(InputTicker, "IQ_FINISHED_INV",Input!K$2,Date,,,Ccy,Conv)</f>
        <v>1768</v>
      </c>
      <c r="J394" s="4">
        <f>_xll.ciqfunctions.udf.CIQ(InputTicker, "IQ_FINISHED_INV",Input!L$2,Date,,,Ccy,Conv)</f>
        <v>0</v>
      </c>
      <c r="K394" s="4">
        <f>_xll.ciqfunctions.udf.CIQ(InputTicker, "IQ_FINISHED_INV",Input!M$2,Date,,,Ccy,Conv)</f>
        <v>0</v>
      </c>
      <c r="L394" s="4">
        <f>_xll.ciqfunctions.udf.CIQ(InputTicker, "IQ_FINISHED_INV",Input!N$2,Date,,,Ccy,Conv)</f>
        <v>0</v>
      </c>
      <c r="M394" s="4">
        <f>_xll.ciqfunctions.udf.CIQ(InputTicker, "IQ_FINISHED_INV",Input!O$2,Date,,,Ccy,Conv)</f>
        <v>0</v>
      </c>
      <c r="N394" s="53"/>
      <c r="T394" s="42"/>
      <c r="U394" s="42"/>
      <c r="V394" s="42"/>
      <c r="W394" s="42"/>
      <c r="X394" s="42"/>
      <c r="Y394" s="42"/>
      <c r="Z394" s="42"/>
      <c r="AA394" s="42"/>
      <c r="AB394" s="42"/>
      <c r="AC394" s="42"/>
      <c r="AD394" s="42"/>
      <c r="AE394" s="42"/>
      <c r="AF394" s="42"/>
      <c r="AG394" s="42"/>
      <c r="AH394" s="42"/>
      <c r="AI394" s="42"/>
      <c r="AJ394" s="42"/>
      <c r="AK394" s="42"/>
      <c r="AL394" s="42"/>
      <c r="AM394" s="42"/>
      <c r="AN394" s="42"/>
      <c r="AO394" s="42"/>
      <c r="AP394" s="42"/>
      <c r="AQ394" s="42"/>
      <c r="AR394" s="42"/>
      <c r="AS394" s="42"/>
      <c r="AT394" s="42"/>
      <c r="AU394" s="42"/>
      <c r="AV394" s="42"/>
      <c r="AW394" s="42"/>
      <c r="AX394" s="42"/>
      <c r="AY394" s="42"/>
      <c r="AZ394" s="42"/>
      <c r="BA394" s="42"/>
      <c r="BB394" s="42"/>
      <c r="BC394" s="42"/>
      <c r="BD394" s="42"/>
      <c r="BE394" s="42"/>
      <c r="BF394" s="42"/>
      <c r="BG394" s="42"/>
      <c r="BH394" s="42"/>
      <c r="BI394" s="42"/>
      <c r="BJ394" s="42"/>
      <c r="BK394" s="42"/>
      <c r="BL394" s="42"/>
      <c r="BM394" s="42"/>
      <c r="BN394" s="42"/>
    </row>
    <row r="395" spans="1:66" ht="12.75" customHeight="1" x14ac:dyDescent="0.2">
      <c r="A395" s="1" t="s">
        <v>223</v>
      </c>
      <c r="B395" s="4">
        <f>_xll.ciqfunctions.udf.CIQ(InputTicker, "IQ_OTHER_INV",Input!D$2,Date,,,Ccy,Conv)</f>
        <v>0</v>
      </c>
      <c r="C395" s="4">
        <f>_xll.ciqfunctions.udf.CIQ(InputTicker, "IQ_OTHER_INV",Input!E$2,Date,,,Ccy,Conv)</f>
        <v>0</v>
      </c>
      <c r="D395" s="4">
        <f>_xll.ciqfunctions.udf.CIQ(InputTicker, "IQ_OTHER_INV",Input!F$2,Date,,,Ccy,Conv)</f>
        <v>0</v>
      </c>
      <c r="E395" s="4">
        <f>_xll.ciqfunctions.udf.CIQ(InputTicker, "IQ_OTHER_INV",Input!G$2,Date,,,Ccy,Conv)</f>
        <v>0</v>
      </c>
      <c r="F395" s="4">
        <f>_xll.ciqfunctions.udf.CIQ(InputTicker, "IQ_OTHER_INV",Input!H$2,Date,,,Ccy,Conv)</f>
        <v>0</v>
      </c>
      <c r="G395" s="4">
        <f>_xll.ciqfunctions.udf.CIQ(InputTicker, "IQ_OTHER_INV",Input!I$2,Date,,,Ccy,Conv)</f>
        <v>0</v>
      </c>
      <c r="H395" s="4">
        <f>_xll.ciqfunctions.udf.CIQ(InputTicker, "IQ_OTHER_INV",Input!J$2,Date,,,Ccy,Conv)</f>
        <v>0</v>
      </c>
      <c r="I395" s="4">
        <f>_xll.ciqfunctions.udf.CIQ(InputTicker, "IQ_OTHER_INV",Input!K$2,Date,,,Ccy,Conv)</f>
        <v>0</v>
      </c>
      <c r="J395" s="4">
        <f>_xll.ciqfunctions.udf.CIQ(InputTicker, "IQ_OTHER_INV",Input!L$2,Date,,,Ccy,Conv)</f>
        <v>0</v>
      </c>
      <c r="K395" s="4">
        <f>_xll.ciqfunctions.udf.CIQ(InputTicker, "IQ_OTHER_INV",Input!M$2,Date,,,Ccy,Conv)</f>
        <v>0</v>
      </c>
      <c r="L395" s="4">
        <f>_xll.ciqfunctions.udf.CIQ(InputTicker, "IQ_OTHER_INV",Input!N$2,Date,,,Ccy,Conv)</f>
        <v>0</v>
      </c>
      <c r="M395" s="4">
        <f>_xll.ciqfunctions.udf.CIQ(InputTicker, "IQ_OTHER_INV",Input!O$2,Date,,,Ccy,Conv)</f>
        <v>0</v>
      </c>
      <c r="N395" s="53"/>
      <c r="T395" s="42"/>
      <c r="U395" s="42"/>
      <c r="V395" s="42"/>
      <c r="W395" s="42"/>
      <c r="X395" s="42"/>
      <c r="Y395" s="42"/>
      <c r="Z395" s="42"/>
      <c r="AA395" s="42"/>
      <c r="AB395" s="42"/>
      <c r="AC395" s="42"/>
      <c r="AD395" s="42"/>
      <c r="AE395" s="42"/>
      <c r="AF395" s="42"/>
      <c r="AG395" s="42"/>
      <c r="AH395" s="42"/>
      <c r="AI395" s="42"/>
      <c r="AJ395" s="42"/>
      <c r="AK395" s="42"/>
      <c r="AL395" s="42"/>
      <c r="AM395" s="42"/>
      <c r="AN395" s="42"/>
      <c r="AO395" s="42"/>
      <c r="AP395" s="42"/>
      <c r="AQ395" s="42"/>
      <c r="AR395" s="42"/>
      <c r="AS395" s="42"/>
      <c r="AT395" s="42"/>
      <c r="AU395" s="42"/>
      <c r="AV395" s="42"/>
      <c r="AW395" s="42"/>
      <c r="AX395" s="42"/>
      <c r="AY395" s="42"/>
      <c r="AZ395" s="42"/>
      <c r="BA395" s="42"/>
      <c r="BB395" s="42"/>
      <c r="BC395" s="42"/>
      <c r="BD395" s="42"/>
      <c r="BE395" s="42"/>
      <c r="BF395" s="42"/>
      <c r="BG395" s="42"/>
      <c r="BH395" s="42"/>
      <c r="BI395" s="42"/>
      <c r="BJ395" s="42"/>
      <c r="BK395" s="42"/>
      <c r="BL395" s="42"/>
      <c r="BM395" s="42"/>
      <c r="BN395" s="42"/>
    </row>
    <row r="396" spans="1:66" ht="12.75" customHeight="1" x14ac:dyDescent="0.2">
      <c r="A396" s="1" t="s">
        <v>224</v>
      </c>
      <c r="B396" s="4">
        <f>_xll.ciqfunctions.udf.CIQ(InputTicker, "IQ_LAND",Input!D$2,Date,,,Ccy,Conv)</f>
        <v>824</v>
      </c>
      <c r="C396" s="4">
        <f>_xll.ciqfunctions.udf.CIQ(InputTicker, "IQ_LAND",Input!E$2,Date,,,Ccy,Conv)</f>
        <v>1107</v>
      </c>
      <c r="D396" s="4">
        <f>_xll.ciqfunctions.udf.CIQ(InputTicker, "IQ_LAND",Input!F$2,Date,,,Ccy,Conv)</f>
        <v>1254</v>
      </c>
      <c r="E396" s="4">
        <f>_xll.ciqfunctions.udf.CIQ(InputTicker, "IQ_LAND",Input!G$2,Date,,,Ccy,Conv)</f>
        <v>1540</v>
      </c>
      <c r="F396" s="4">
        <f>_xll.ciqfunctions.udf.CIQ(InputTicker, "IQ_LAND",Input!H$2,Date,,,Ccy,Conv)</f>
        <v>1823</v>
      </c>
      <c r="G396" s="4">
        <f>_xll.ciqfunctions.udf.CIQ(InputTicker, "IQ_LAND",Input!I$2,Date,,,Ccy,Conv)</f>
        <v>3660</v>
      </c>
      <c r="H396" s="4">
        <f>_xll.ciqfunctions.udf.CIQ(InputTicker, "IQ_LAND",Input!J$2,Date,,,Ccy,Conv)</f>
        <v>4734</v>
      </c>
      <c r="I396" s="4">
        <f>_xll.ciqfunctions.udf.CIQ(InputTicker, "IQ_LAND",Input!K$2,Date,,,Ccy,Conv)</f>
        <v>5683</v>
      </c>
      <c r="J396" s="4">
        <f>_xll.ciqfunctions.udf.CIQ(InputTicker, "IQ_LAND",Input!L$2,Date,,,Ccy,Conv)</f>
        <v>8163</v>
      </c>
      <c r="K396" s="4">
        <f>_xll.ciqfunctions.udf.CIQ(InputTicker, "IQ_LAND",Input!M$2,Date,,,Ccy,Conv)</f>
        <v>9338</v>
      </c>
      <c r="L396" s="4">
        <f>_xll.ciqfunctions.udf.CIQ(InputTicker, "IQ_LAND",Input!N$2,Date,,,Ccy,Conv)</f>
        <v>10546</v>
      </c>
      <c r="M396" s="4">
        <f>_xll.ciqfunctions.udf.CIQ(InputTicker, "IQ_LAND",Input!O$2,Date,,,Ccy,Conv)</f>
        <v>10546</v>
      </c>
      <c r="N396" s="53"/>
      <c r="T396" s="42"/>
      <c r="U396" s="42"/>
      <c r="V396" s="42"/>
      <c r="W396" s="42"/>
      <c r="X396" s="42"/>
      <c r="Y396" s="42"/>
      <c r="Z396" s="42"/>
      <c r="AA396" s="42"/>
      <c r="AB396" s="42"/>
      <c r="AC396" s="42"/>
      <c r="AD396" s="42"/>
      <c r="AE396" s="42"/>
      <c r="AF396" s="42"/>
      <c r="AG396" s="42"/>
      <c r="AH396" s="42"/>
      <c r="AI396" s="42"/>
      <c r="AJ396" s="42"/>
      <c r="AK396" s="42"/>
      <c r="AL396" s="42"/>
      <c r="AM396" s="42"/>
      <c r="AN396" s="42"/>
      <c r="AO396" s="42"/>
      <c r="AP396" s="42"/>
      <c r="AQ396" s="42"/>
      <c r="AR396" s="42"/>
      <c r="AS396" s="42"/>
      <c r="AT396" s="42"/>
      <c r="AU396" s="42"/>
      <c r="AV396" s="42"/>
      <c r="AW396" s="42"/>
      <c r="AX396" s="42"/>
      <c r="AY396" s="42"/>
      <c r="AZ396" s="42"/>
      <c r="BA396" s="42"/>
      <c r="BB396" s="42"/>
      <c r="BC396" s="42"/>
      <c r="BD396" s="42"/>
      <c r="BE396" s="42"/>
      <c r="BF396" s="42"/>
      <c r="BG396" s="42"/>
      <c r="BH396" s="42"/>
      <c r="BI396" s="42"/>
      <c r="BJ396" s="42"/>
      <c r="BK396" s="42"/>
      <c r="BL396" s="42"/>
      <c r="BM396" s="42"/>
      <c r="BN396" s="42"/>
    </row>
    <row r="397" spans="1:66" ht="12.75" customHeight="1" x14ac:dyDescent="0.2">
      <c r="A397" s="1" t="s">
        <v>225</v>
      </c>
      <c r="B397" s="4">
        <f>_xll.ciqfunctions.udf.CIQ(InputTicker, "IQ_BUILDINGS",Input!D$2,Date,,,Ccy,Conv)</f>
        <v>12393</v>
      </c>
      <c r="C397" s="4">
        <f>_xll.ciqfunctions.udf.CIQ(InputTicker, "IQ_BUILDINGS",Input!E$2,Date,,,Ccy,Conv)</f>
        <v>16284</v>
      </c>
      <c r="D397" s="4">
        <f>_xll.ciqfunctions.udf.CIQ(InputTicker, "IQ_BUILDINGS",Input!F$2,Date,,,Ccy,Conv)</f>
        <v>20604</v>
      </c>
      <c r="E397" s="4">
        <f>_xll.ciqfunctions.udf.CIQ(InputTicker, "IQ_BUILDINGS",Input!G$2,Date,,,Ccy,Conv)</f>
        <v>26288</v>
      </c>
      <c r="F397" s="4">
        <f>_xll.ciqfunctions.udf.CIQ(InputTicker, "IQ_BUILDINGS",Input!H$2,Date,,,Ccy,Conv)</f>
        <v>33995</v>
      </c>
      <c r="G397" s="4">
        <f>_xll.ciqfunctions.udf.CIQ(InputTicker, "IQ_BUILDINGS",Input!I$2,Date,,,Ccy,Conv)</f>
        <v>43928</v>
      </c>
      <c r="H397" s="4">
        <f>_xll.ciqfunctions.udf.CIQ(InputTicker, "IQ_BUILDINGS",Input!J$2,Date,,,Ccy,Conv)</f>
        <v>55014</v>
      </c>
      <c r="I397" s="4">
        <f>_xll.ciqfunctions.udf.CIQ(InputTicker, "IQ_BUILDINGS",Input!K$2,Date,,,Ccy,Conv)</f>
        <v>68465</v>
      </c>
      <c r="J397" s="4">
        <f>_xll.ciqfunctions.udf.CIQ(InputTicker, "IQ_BUILDINGS",Input!L$2,Date,,,Ccy,Conv)</f>
        <v>93943</v>
      </c>
      <c r="K397" s="4">
        <f>_xll.ciqfunctions.udf.CIQ(InputTicker, "IQ_BUILDINGS",Input!M$2,Date,,,Ccy,Conv)</f>
        <v>137921</v>
      </c>
      <c r="L397" s="4">
        <f>_xll.ciqfunctions.udf.CIQ(InputTicker, "IQ_BUILDINGS",Input!N$2,Date,,,Ccy,Conv)</f>
        <v>182749</v>
      </c>
      <c r="M397" s="4">
        <f>_xll.ciqfunctions.udf.CIQ(InputTicker, "IQ_BUILDINGS",Input!O$2,Date,,,Ccy,Conv)</f>
        <v>182749</v>
      </c>
      <c r="N397" s="53"/>
      <c r="T397" s="42"/>
      <c r="U397" s="42"/>
      <c r="V397" s="42"/>
      <c r="W397" s="42"/>
      <c r="X397" s="42"/>
      <c r="Y397" s="42"/>
      <c r="Z397" s="42"/>
      <c r="AA397" s="42"/>
      <c r="AB397" s="42"/>
      <c r="AC397" s="42"/>
      <c r="AD397" s="42"/>
      <c r="AE397" s="42"/>
      <c r="AF397" s="42"/>
      <c r="AG397" s="42"/>
      <c r="AH397" s="42"/>
      <c r="AI397" s="42"/>
      <c r="AJ397" s="42"/>
      <c r="AK397" s="42"/>
      <c r="AL397" s="42"/>
      <c r="AM397" s="42"/>
      <c r="AN397" s="42"/>
      <c r="AO397" s="42"/>
      <c r="AP397" s="42"/>
      <c r="AQ397" s="42"/>
      <c r="AR397" s="42"/>
      <c r="AS397" s="42"/>
      <c r="AT397" s="42"/>
      <c r="AU397" s="42"/>
      <c r="AV397" s="42"/>
      <c r="AW397" s="42"/>
      <c r="AX397" s="42"/>
      <c r="AY397" s="42"/>
      <c r="AZ397" s="42"/>
      <c r="BA397" s="42"/>
      <c r="BB397" s="42"/>
      <c r="BC397" s="42"/>
      <c r="BD397" s="42"/>
      <c r="BE397" s="42"/>
      <c r="BF397" s="42"/>
      <c r="BG397" s="42"/>
      <c r="BH397" s="42"/>
      <c r="BI397" s="42"/>
      <c r="BJ397" s="42"/>
      <c r="BK397" s="42"/>
      <c r="BL397" s="42"/>
      <c r="BM397" s="42"/>
      <c r="BN397" s="42"/>
    </row>
    <row r="398" spans="1:66" ht="12.75" customHeight="1" x14ac:dyDescent="0.2">
      <c r="A398" s="1" t="s">
        <v>226</v>
      </c>
      <c r="B398" s="4">
        <f>_xll.ciqfunctions.udf.CIQ(InputTicker, "IQ_MACHINERY",Input!D$2,Date,,,Ccy,Conv)</f>
        <v>21280</v>
      </c>
      <c r="C398" s="4">
        <f>_xll.ciqfunctions.udf.CIQ(InputTicker, "IQ_MACHINERY",Input!E$2,Date,,,Ccy,Conv)</f>
        <v>25458</v>
      </c>
      <c r="D398" s="4">
        <f>_xll.ciqfunctions.udf.CIQ(InputTicker, "IQ_MACHINERY",Input!F$2,Date,,,Ccy,Conv)</f>
        <v>32090</v>
      </c>
      <c r="E398" s="4">
        <f>_xll.ciqfunctions.udf.CIQ(InputTicker, "IQ_MACHINERY",Input!G$2,Date,,,Ccy,Conv)</f>
        <v>38663</v>
      </c>
      <c r="F398" s="4">
        <f>_xll.ciqfunctions.udf.CIQ(InputTicker, "IQ_MACHINERY",Input!H$2,Date,,,Ccy,Conv)</f>
        <v>46043</v>
      </c>
      <c r="G398" s="4">
        <f>_xll.ciqfunctions.udf.CIQ(InputTicker, "IQ_MACHINERY",Input!I$2,Date,,,Ccy,Conv)</f>
        <v>56594</v>
      </c>
      <c r="H398" s="4">
        <f>_xll.ciqfunctions.udf.CIQ(InputTicker, "IQ_MACHINERY",Input!J$2,Date,,,Ccy,Conv)</f>
        <v>66491</v>
      </c>
      <c r="I398" s="4">
        <f>_xll.ciqfunctions.udf.CIQ(InputTicker, "IQ_MACHINERY",Input!K$2,Date,,,Ccy,Conv)</f>
        <v>81207</v>
      </c>
      <c r="J398" s="4">
        <f>_xll.ciqfunctions.udf.CIQ(InputTicker, "IQ_MACHINERY",Input!L$2,Date,,,Ccy,Conv)</f>
        <v>100312</v>
      </c>
      <c r="K398" s="4">
        <f>_xll.ciqfunctions.udf.CIQ(InputTicker, "IQ_MACHINERY",Input!M$2,Date,,,Ccy,Conv)</f>
        <v>139243</v>
      </c>
      <c r="L398" s="4">
        <f>_xll.ciqfunctions.udf.CIQ(InputTicker, "IQ_MACHINERY",Input!N$2,Date,,,Ccy,Conv)</f>
        <v>222124</v>
      </c>
      <c r="M398" s="4">
        <f>_xll.ciqfunctions.udf.CIQ(InputTicker, "IQ_MACHINERY",Input!O$2,Date,,,Ccy,Conv)</f>
        <v>222124</v>
      </c>
      <c r="N398" s="53"/>
      <c r="T398" s="42"/>
      <c r="U398" s="42"/>
      <c r="V398" s="42"/>
      <c r="W398" s="42"/>
      <c r="X398" s="42"/>
      <c r="Y398" s="42"/>
      <c r="Z398" s="42"/>
      <c r="AA398" s="42"/>
      <c r="AB398" s="42"/>
      <c r="AC398" s="42"/>
      <c r="AD398" s="42"/>
      <c r="AE398" s="42"/>
      <c r="AF398" s="42"/>
      <c r="AG398" s="42"/>
      <c r="AH398" s="42"/>
      <c r="AI398" s="42"/>
      <c r="AJ398" s="42"/>
      <c r="AK398" s="42"/>
      <c r="AL398" s="42"/>
      <c r="AM398" s="42"/>
      <c r="AN398" s="42"/>
      <c r="AO398" s="42"/>
      <c r="AP398" s="42"/>
      <c r="AQ398" s="42"/>
      <c r="AR398" s="42"/>
      <c r="AS398" s="42"/>
      <c r="AT398" s="42"/>
      <c r="AU398" s="42"/>
      <c r="AV398" s="42"/>
      <c r="AW398" s="42"/>
      <c r="AX398" s="42"/>
      <c r="AY398" s="42"/>
      <c r="AZ398" s="42"/>
      <c r="BA398" s="42"/>
      <c r="BB398" s="42"/>
      <c r="BC398" s="42"/>
      <c r="BD398" s="42"/>
      <c r="BE398" s="42"/>
      <c r="BF398" s="42"/>
      <c r="BG398" s="42"/>
      <c r="BH398" s="42"/>
      <c r="BI398" s="42"/>
      <c r="BJ398" s="42"/>
      <c r="BK398" s="42"/>
      <c r="BL398" s="42"/>
      <c r="BM398" s="42"/>
      <c r="BN398" s="42"/>
    </row>
    <row r="399" spans="1:66" ht="12.75" customHeight="1" x14ac:dyDescent="0.2">
      <c r="A399" s="1" t="s">
        <v>28</v>
      </c>
      <c r="B399" s="4">
        <f>_xll.ciqfunctions.udf.CIQ(InputTicker, "IQ_SOFTWARE",Input!D$2,Date,,,Ccy,Conv)</f>
        <v>0</v>
      </c>
      <c r="C399" s="4">
        <f>_xll.ciqfunctions.udf.CIQ(InputTicker, "IQ_SOFTWARE",Input!E$2,Date,,,Ccy,Conv)</f>
        <v>0</v>
      </c>
      <c r="D399" s="4">
        <f>_xll.ciqfunctions.udf.CIQ(InputTicker, "IQ_SOFTWARE",Input!F$2,Date,,,Ccy,Conv)</f>
        <v>0</v>
      </c>
      <c r="E399" s="4">
        <f>_xll.ciqfunctions.udf.CIQ(InputTicker, "IQ_SOFTWARE",Input!G$2,Date,,,Ccy,Conv)</f>
        <v>0</v>
      </c>
      <c r="F399" s="4">
        <f>_xll.ciqfunctions.udf.CIQ(InputTicker, "IQ_SOFTWARE",Input!H$2,Date,,,Ccy,Conv)</f>
        <v>0</v>
      </c>
      <c r="G399" s="4">
        <f>_xll.ciqfunctions.udf.CIQ(InputTicker, "IQ_SOFTWARE",Input!I$2,Date,,,Ccy,Conv)</f>
        <v>0</v>
      </c>
      <c r="H399" s="4">
        <f>_xll.ciqfunctions.udf.CIQ(InputTicker, "IQ_SOFTWARE",Input!J$2,Date,,,Ccy,Conv)</f>
        <v>0</v>
      </c>
      <c r="I399" s="4">
        <f>_xll.ciqfunctions.udf.CIQ(InputTicker, "IQ_SOFTWARE",Input!K$2,Date,,,Ccy,Conv)</f>
        <v>0</v>
      </c>
      <c r="J399" s="4">
        <f>_xll.ciqfunctions.udf.CIQ(InputTicker, "IQ_SOFTWARE",Input!L$2,Date,,,Ccy,Conv)</f>
        <v>0</v>
      </c>
      <c r="K399" s="4">
        <f>_xll.ciqfunctions.udf.CIQ(InputTicker, "IQ_SOFTWARE",Input!M$2,Date,,,Ccy,Conv)</f>
        <v>0</v>
      </c>
      <c r="L399" s="4">
        <f>_xll.ciqfunctions.udf.CIQ(InputTicker, "IQ_SOFTWARE",Input!N$2,Date,,,Ccy,Conv)</f>
        <v>0</v>
      </c>
      <c r="M399" s="4">
        <f>_xll.ciqfunctions.udf.CIQ(InputTicker, "IQ_SOFTWARE",Input!O$2,Date,,,Ccy,Conv)</f>
        <v>0</v>
      </c>
      <c r="N399" s="53"/>
      <c r="T399" s="42"/>
      <c r="U399" s="42"/>
      <c r="V399" s="42"/>
      <c r="W399" s="42"/>
      <c r="X399" s="42"/>
      <c r="Y399" s="42"/>
      <c r="Z399" s="42"/>
      <c r="AA399" s="42"/>
      <c r="AB399" s="42"/>
      <c r="AC399" s="42"/>
      <c r="AD399" s="42"/>
      <c r="AE399" s="42"/>
      <c r="AF399" s="42"/>
      <c r="AG399" s="42"/>
      <c r="AH399" s="42"/>
      <c r="AI399" s="42"/>
      <c r="AJ399" s="42"/>
      <c r="AK399" s="42"/>
      <c r="AL399" s="42"/>
      <c r="AM399" s="42"/>
      <c r="AN399" s="42"/>
      <c r="AO399" s="42"/>
      <c r="AP399" s="42"/>
      <c r="AQ399" s="42"/>
      <c r="AR399" s="42"/>
      <c r="AS399" s="42"/>
      <c r="AT399" s="42"/>
      <c r="AU399" s="42"/>
      <c r="AV399" s="42"/>
      <c r="AW399" s="42"/>
      <c r="AX399" s="42"/>
      <c r="AY399" s="42"/>
      <c r="AZ399" s="42"/>
      <c r="BA399" s="42"/>
      <c r="BB399" s="42"/>
      <c r="BC399" s="42"/>
      <c r="BD399" s="42"/>
      <c r="BE399" s="42"/>
      <c r="BF399" s="42"/>
      <c r="BG399" s="42"/>
      <c r="BH399" s="42"/>
      <c r="BI399" s="42"/>
      <c r="BJ399" s="42"/>
      <c r="BK399" s="42"/>
      <c r="BL399" s="42"/>
      <c r="BM399" s="42"/>
      <c r="BN399" s="42"/>
    </row>
    <row r="400" spans="1:66" ht="12.75" customHeight="1" x14ac:dyDescent="0.2">
      <c r="A400" s="1" t="s">
        <v>501</v>
      </c>
      <c r="B400" s="4">
        <f>_xll.ciqfunctions.udf.CIQ(InputTicker, "IQ_NATURAL_RESOURCES_COST",Input!D$2,Date,,,Ccy,Conv)</f>
        <v>0</v>
      </c>
      <c r="C400" s="4">
        <f>_xll.ciqfunctions.udf.CIQ(InputTicker, "IQ_NATURAL_RESOURCES_COST",Input!E$2,Date,,,Ccy,Conv)</f>
        <v>0</v>
      </c>
      <c r="D400" s="4">
        <f>_xll.ciqfunctions.udf.CIQ(InputTicker, "IQ_NATURAL_RESOURCES_COST",Input!F$2,Date,,,Ccy,Conv)</f>
        <v>0</v>
      </c>
      <c r="E400" s="4">
        <f>_xll.ciqfunctions.udf.CIQ(InputTicker, "IQ_NATURAL_RESOURCES_COST",Input!G$2,Date,,,Ccy,Conv)</f>
        <v>0</v>
      </c>
      <c r="F400" s="4">
        <f>_xll.ciqfunctions.udf.CIQ(InputTicker, "IQ_NATURAL_RESOURCES_COST",Input!H$2,Date,,,Ccy,Conv)</f>
        <v>0</v>
      </c>
      <c r="G400" s="4">
        <f>_xll.ciqfunctions.udf.CIQ(InputTicker, "IQ_NATURAL_RESOURCES_COST",Input!I$2,Date,,,Ccy,Conv)</f>
        <v>0</v>
      </c>
      <c r="H400" s="4">
        <f>_xll.ciqfunctions.udf.CIQ(InputTicker, "IQ_NATURAL_RESOURCES_COST",Input!J$2,Date,,,Ccy,Conv)</f>
        <v>0</v>
      </c>
      <c r="I400" s="4">
        <f>_xll.ciqfunctions.udf.CIQ(InputTicker, "IQ_NATURAL_RESOURCES_COST",Input!K$2,Date,,,Ccy,Conv)</f>
        <v>0</v>
      </c>
      <c r="J400" s="4">
        <f>_xll.ciqfunctions.udf.CIQ(InputTicker, "IQ_NATURAL_RESOURCES_COST",Input!L$2,Date,,,Ccy,Conv)</f>
        <v>0</v>
      </c>
      <c r="K400" s="4">
        <f>_xll.ciqfunctions.udf.CIQ(InputTicker, "IQ_NATURAL_RESOURCES_COST",Input!M$2,Date,,,Ccy,Conv)</f>
        <v>0</v>
      </c>
      <c r="L400" s="4">
        <f>_xll.ciqfunctions.udf.CIQ(InputTicker, "IQ_NATURAL_RESOURCES_COST",Input!N$2,Date,,,Ccy,Conv)</f>
        <v>0</v>
      </c>
      <c r="M400" s="4">
        <f>_xll.ciqfunctions.udf.CIQ(InputTicker, "IQ_NATURAL_RESOURCES_COST",Input!O$2,Date,,,Ccy,Conv)</f>
        <v>0</v>
      </c>
      <c r="N400" s="53"/>
      <c r="T400" s="42"/>
      <c r="U400" s="42"/>
      <c r="V400" s="42"/>
      <c r="W400" s="42"/>
      <c r="X400" s="42"/>
      <c r="Y400" s="42"/>
      <c r="Z400" s="42"/>
      <c r="AA400" s="42"/>
      <c r="AB400" s="42"/>
      <c r="AC400" s="42"/>
      <c r="AD400" s="42"/>
      <c r="AE400" s="42"/>
      <c r="AF400" s="42"/>
      <c r="AG400" s="42"/>
      <c r="AH400" s="42"/>
      <c r="AI400" s="42"/>
      <c r="AJ400" s="42"/>
      <c r="AK400" s="42"/>
      <c r="AL400" s="42"/>
      <c r="AM400" s="42"/>
      <c r="AN400" s="42"/>
      <c r="AO400" s="42"/>
      <c r="AP400" s="42"/>
      <c r="AQ400" s="42"/>
      <c r="AR400" s="42"/>
      <c r="AS400" s="42"/>
      <c r="AT400" s="42"/>
      <c r="AU400" s="42"/>
      <c r="AV400" s="42"/>
      <c r="AW400" s="42"/>
      <c r="AX400" s="42"/>
      <c r="AY400" s="42"/>
      <c r="AZ400" s="42"/>
      <c r="BA400" s="42"/>
      <c r="BB400" s="42"/>
      <c r="BC400" s="42"/>
      <c r="BD400" s="42"/>
      <c r="BE400" s="42"/>
      <c r="BF400" s="42"/>
      <c r="BG400" s="42"/>
      <c r="BH400" s="42"/>
      <c r="BI400" s="42"/>
      <c r="BJ400" s="42"/>
      <c r="BK400" s="42"/>
      <c r="BL400" s="42"/>
      <c r="BM400" s="42"/>
      <c r="BN400" s="42"/>
    </row>
    <row r="401" spans="1:66" ht="12.75" customHeight="1" x14ac:dyDescent="0.2">
      <c r="A401" s="1" t="s">
        <v>437</v>
      </c>
      <c r="B401" s="4">
        <f>_xll.ciqfunctions.udf.CIQ(InputTicker, "IQ_CIP",Input!D$2,Date,,,Ccy,Conv)</f>
        <v>0</v>
      </c>
      <c r="C401" s="4">
        <f>_xll.ciqfunctions.udf.CIQ(InputTicker, "IQ_CIP",Input!E$2,Date,,,Ccy,Conv)</f>
        <v>0</v>
      </c>
      <c r="D401" s="4">
        <f>_xll.ciqfunctions.udf.CIQ(InputTicker, "IQ_CIP",Input!F$2,Date,,,Ccy,Conv)</f>
        <v>0</v>
      </c>
      <c r="E401" s="4">
        <f>_xll.ciqfunctions.udf.CIQ(InputTicker, "IQ_CIP",Input!G$2,Date,,,Ccy,Conv)</f>
        <v>0</v>
      </c>
      <c r="F401" s="4">
        <f>_xll.ciqfunctions.udf.CIQ(InputTicker, "IQ_CIP",Input!H$2,Date,,,Ccy,Conv)</f>
        <v>0</v>
      </c>
      <c r="G401" s="4">
        <f>_xll.ciqfunctions.udf.CIQ(InputTicker, "IQ_CIP",Input!I$2,Date,,,Ccy,Conv)</f>
        <v>0</v>
      </c>
      <c r="H401" s="4">
        <f>_xll.ciqfunctions.udf.CIQ(InputTicker, "IQ_CIP",Input!J$2,Date,,,Ccy,Conv)</f>
        <v>0</v>
      </c>
      <c r="I401" s="4">
        <f>_xll.ciqfunctions.udf.CIQ(InputTicker, "IQ_CIP",Input!K$2,Date,,,Ccy,Conv)</f>
        <v>0</v>
      </c>
      <c r="J401" s="4">
        <f>_xll.ciqfunctions.udf.CIQ(InputTicker, "IQ_CIP",Input!L$2,Date,,,Ccy,Conv)</f>
        <v>0</v>
      </c>
      <c r="K401" s="4">
        <f>_xll.ciqfunctions.udf.CIQ(InputTicker, "IQ_CIP",Input!M$2,Date,,,Ccy,Conv)</f>
        <v>0</v>
      </c>
      <c r="L401" s="4">
        <f>_xll.ciqfunctions.udf.CIQ(InputTicker, "IQ_CIP",Input!N$2,Date,,,Ccy,Conv)</f>
        <v>0</v>
      </c>
      <c r="M401" s="4">
        <f>_xll.ciqfunctions.udf.CIQ(InputTicker, "IQ_CIP",Input!O$2,Date,,,Ccy,Conv)</f>
        <v>0</v>
      </c>
      <c r="N401" s="53"/>
      <c r="T401" s="42"/>
      <c r="U401" s="42"/>
      <c r="V401" s="42"/>
      <c r="W401" s="42"/>
      <c r="X401" s="42"/>
      <c r="Y401" s="42"/>
      <c r="Z401" s="42"/>
      <c r="AA401" s="42"/>
      <c r="AB401" s="42"/>
      <c r="AC401" s="42"/>
      <c r="AD401" s="42"/>
      <c r="AE401" s="42"/>
      <c r="AF401" s="42"/>
      <c r="AG401" s="42"/>
      <c r="AH401" s="42"/>
      <c r="AI401" s="42"/>
      <c r="AJ401" s="42"/>
      <c r="AK401" s="42"/>
      <c r="AL401" s="42"/>
      <c r="AM401" s="42"/>
      <c r="AN401" s="42"/>
      <c r="AO401" s="42"/>
      <c r="AP401" s="42"/>
      <c r="AQ401" s="42"/>
      <c r="AR401" s="42"/>
      <c r="AS401" s="42"/>
      <c r="AT401" s="42"/>
      <c r="AU401" s="42"/>
      <c r="AV401" s="42"/>
      <c r="AW401" s="42"/>
      <c r="AX401" s="42"/>
      <c r="AY401" s="42"/>
      <c r="AZ401" s="42"/>
      <c r="BA401" s="42"/>
      <c r="BB401" s="42"/>
      <c r="BC401" s="42"/>
      <c r="BD401" s="42"/>
      <c r="BE401" s="42"/>
      <c r="BF401" s="42"/>
      <c r="BG401" s="42"/>
      <c r="BH401" s="42"/>
      <c r="BI401" s="42"/>
      <c r="BJ401" s="42"/>
      <c r="BK401" s="42"/>
      <c r="BL401" s="42"/>
      <c r="BM401" s="42"/>
      <c r="BN401" s="42"/>
    </row>
    <row r="402" spans="1:66" ht="12.75" customHeight="1" x14ac:dyDescent="0.2">
      <c r="A402" s="1" t="s">
        <v>438</v>
      </c>
      <c r="B402" s="4">
        <f>_xll.ciqfunctions.udf.CIQ(InputTicker, "IQ_LEASEHOLD_IMPROVEMENT",Input!D$2,Date,,,Ccy,Conv)</f>
        <v>3659</v>
      </c>
      <c r="C402" s="4">
        <f>_xll.ciqfunctions.udf.CIQ(InputTicker, "IQ_LEASEHOLD_IMPROVEMENT",Input!E$2,Date,,,Ccy,Conv)</f>
        <v>5064</v>
      </c>
      <c r="D402" s="4">
        <f>_xll.ciqfunctions.udf.CIQ(InputTicker, "IQ_LEASEHOLD_IMPROVEMENT",Input!F$2,Date,,,Ccy,Conv)</f>
        <v>4735</v>
      </c>
      <c r="E402" s="4">
        <f>_xll.ciqfunctions.udf.CIQ(InputTicker, "IQ_LEASEHOLD_IMPROVEMENT",Input!G$2,Date,,,Ccy,Conv)</f>
        <v>5316</v>
      </c>
      <c r="F402" s="4">
        <f>_xll.ciqfunctions.udf.CIQ(InputTicker, "IQ_LEASEHOLD_IMPROVEMENT",Input!H$2,Date,,,Ccy,Conv)</f>
        <v>5487</v>
      </c>
      <c r="G402" s="4">
        <f>_xll.ciqfunctions.udf.CIQ(InputTicker, "IQ_LEASEHOLD_IMPROVEMENT",Input!I$2,Date,,,Ccy,Conv)</f>
        <v>6884</v>
      </c>
      <c r="H402" s="4">
        <f>_xll.ciqfunctions.udf.CIQ(InputTicker, "IQ_LEASEHOLD_IMPROVEMENT",Input!J$2,Date,,,Ccy,Conv)</f>
        <v>7819</v>
      </c>
      <c r="I402" s="4">
        <f>_xll.ciqfunctions.udf.CIQ(InputTicker, "IQ_LEASEHOLD_IMPROVEMENT",Input!K$2,Date,,,Ccy,Conv)</f>
        <v>8537</v>
      </c>
      <c r="J402" s="4">
        <f>_xll.ciqfunctions.udf.CIQ(InputTicker, "IQ_LEASEHOLD_IMPROVEMENT",Input!L$2,Date,,,Ccy,Conv)</f>
        <v>9594</v>
      </c>
      <c r="K402" s="4">
        <f>_xll.ciqfunctions.udf.CIQ(InputTicker, "IQ_LEASEHOLD_IMPROVEMENT",Input!M$2,Date,,,Ccy,Conv)</f>
        <v>12117</v>
      </c>
      <c r="L402" s="4">
        <f>_xll.ciqfunctions.udf.CIQ(InputTicker, "IQ_LEASEHOLD_IMPROVEMENT",Input!N$2,Date,,,Ccy,Conv)</f>
        <v>16348</v>
      </c>
      <c r="M402" s="4">
        <f>_xll.ciqfunctions.udf.CIQ(InputTicker, "IQ_LEASEHOLD_IMPROVEMENT",Input!O$2,Date,,,Ccy,Conv)</f>
        <v>16348</v>
      </c>
      <c r="N402" s="53"/>
      <c r="T402" s="42"/>
      <c r="U402" s="42"/>
      <c r="V402" s="42"/>
      <c r="W402" s="42"/>
      <c r="X402" s="42"/>
      <c r="Y402" s="42"/>
      <c r="Z402" s="42"/>
      <c r="AA402" s="42"/>
      <c r="AB402" s="42"/>
      <c r="AC402" s="42"/>
      <c r="AD402" s="42"/>
      <c r="AE402" s="42"/>
      <c r="AF402" s="42"/>
      <c r="AG402" s="42"/>
      <c r="AH402" s="42"/>
      <c r="AI402" s="42"/>
      <c r="AJ402" s="42"/>
      <c r="AK402" s="42"/>
      <c r="AL402" s="42"/>
      <c r="AM402" s="42"/>
      <c r="AN402" s="42"/>
      <c r="AO402" s="42"/>
      <c r="AP402" s="42"/>
      <c r="AQ402" s="42"/>
      <c r="AR402" s="42"/>
      <c r="AS402" s="42"/>
      <c r="AT402" s="42"/>
      <c r="AU402" s="42"/>
      <c r="AV402" s="42"/>
      <c r="AW402" s="42"/>
      <c r="AX402" s="42"/>
      <c r="AY402" s="42"/>
      <c r="AZ402" s="42"/>
      <c r="BA402" s="42"/>
      <c r="BB402" s="42"/>
      <c r="BC402" s="42"/>
      <c r="BD402" s="42"/>
      <c r="BE402" s="42"/>
      <c r="BF402" s="42"/>
      <c r="BG402" s="42"/>
      <c r="BH402" s="42"/>
      <c r="BI402" s="42"/>
      <c r="BJ402" s="42"/>
      <c r="BK402" s="42"/>
      <c r="BL402" s="42"/>
      <c r="BM402" s="42"/>
      <c r="BN402" s="42"/>
    </row>
    <row r="403" spans="1:66" ht="12.75" customHeight="1" x14ac:dyDescent="0.2">
      <c r="A403" s="1" t="s">
        <v>24</v>
      </c>
      <c r="B403" s="4">
        <f>_xll.ciqfunctions.udf.CIQ(InputTicker, "IQ_MINORITY_INT_REDEEM",Input!D$2,Date,,,Ccy,Conv)</f>
        <v>0</v>
      </c>
      <c r="C403" s="4">
        <f>_xll.ciqfunctions.udf.CIQ(InputTicker, "IQ_MINORITY_INT_REDEEM",Input!E$2,Date,,,Ccy,Conv)</f>
        <v>0</v>
      </c>
      <c r="D403" s="4">
        <f>_xll.ciqfunctions.udf.CIQ(InputTicker, "IQ_MINORITY_INT_REDEEM",Input!F$2,Date,,,Ccy,Conv)</f>
        <v>0</v>
      </c>
      <c r="E403" s="4">
        <f>_xll.ciqfunctions.udf.CIQ(InputTicker, "IQ_MINORITY_INT_REDEEM",Input!G$2,Date,,,Ccy,Conv)</f>
        <v>0</v>
      </c>
      <c r="F403" s="4">
        <f>_xll.ciqfunctions.udf.CIQ(InputTicker, "IQ_MINORITY_INT_REDEEM",Input!H$2,Date,,,Ccy,Conv)</f>
        <v>0</v>
      </c>
      <c r="G403" s="4">
        <f>_xll.ciqfunctions.udf.CIQ(InputTicker, "IQ_MINORITY_INT_REDEEM",Input!I$2,Date,,,Ccy,Conv)</f>
        <v>0</v>
      </c>
      <c r="H403" s="4">
        <f>_xll.ciqfunctions.udf.CIQ(InputTicker, "IQ_MINORITY_INT_REDEEM",Input!J$2,Date,,,Ccy,Conv)</f>
        <v>0</v>
      </c>
      <c r="I403" s="4">
        <f>_xll.ciqfunctions.udf.CIQ(InputTicker, "IQ_MINORITY_INT_REDEEM",Input!K$2,Date,,,Ccy,Conv)</f>
        <v>0</v>
      </c>
      <c r="J403" s="4">
        <f>_xll.ciqfunctions.udf.CIQ(InputTicker, "IQ_MINORITY_INT_REDEEM",Input!L$2,Date,,,Ccy,Conv)</f>
        <v>0</v>
      </c>
      <c r="K403" s="4">
        <f>_xll.ciqfunctions.udf.CIQ(InputTicker, "IQ_MINORITY_INT_REDEEM",Input!M$2,Date,,,Ccy,Conv)</f>
        <v>0</v>
      </c>
      <c r="L403" s="4">
        <f>_xll.ciqfunctions.udf.CIQ(InputTicker, "IQ_MINORITY_INT_REDEEM",Input!N$2,Date,,,Ccy,Conv)</f>
        <v>0</v>
      </c>
      <c r="M403" s="4">
        <f>_xll.ciqfunctions.udf.CIQ(InputTicker, "IQ_MINORITY_INT_REDEEM",Input!O$2,Date,,,Ccy,Conv)</f>
        <v>0</v>
      </c>
      <c r="N403" s="53"/>
      <c r="T403" s="42"/>
      <c r="U403" s="42"/>
      <c r="V403" s="42"/>
      <c r="W403" s="42"/>
      <c r="X403" s="42"/>
      <c r="Y403" s="42"/>
      <c r="Z403" s="42"/>
      <c r="AA403" s="42"/>
      <c r="AB403" s="42"/>
      <c r="AC403" s="42"/>
      <c r="AD403" s="42"/>
      <c r="AE403" s="42"/>
      <c r="AF403" s="42"/>
      <c r="AG403" s="42"/>
      <c r="AH403" s="42"/>
      <c r="AI403" s="42"/>
      <c r="AJ403" s="42"/>
      <c r="AK403" s="42"/>
      <c r="AL403" s="42"/>
      <c r="AM403" s="42"/>
      <c r="AN403" s="42"/>
      <c r="AO403" s="42"/>
      <c r="AP403" s="42"/>
      <c r="AQ403" s="42"/>
      <c r="AR403" s="42"/>
      <c r="AS403" s="42"/>
      <c r="AT403" s="42"/>
      <c r="AU403" s="42"/>
      <c r="AV403" s="42"/>
      <c r="AW403" s="42"/>
      <c r="AX403" s="42"/>
      <c r="AY403" s="42"/>
      <c r="AZ403" s="42"/>
      <c r="BA403" s="42"/>
      <c r="BB403" s="42"/>
      <c r="BC403" s="42"/>
      <c r="BD403" s="42"/>
      <c r="BE403" s="42"/>
      <c r="BF403" s="42"/>
      <c r="BG403" s="42"/>
      <c r="BH403" s="42"/>
      <c r="BI403" s="42"/>
      <c r="BJ403" s="42"/>
      <c r="BK403" s="42"/>
      <c r="BL403" s="42"/>
      <c r="BM403" s="42"/>
      <c r="BN403" s="42"/>
    </row>
    <row r="404" spans="1:66" ht="12.75" customHeight="1" x14ac:dyDescent="0.2">
      <c r="A404" s="1" t="s">
        <v>25</v>
      </c>
      <c r="B404" s="4">
        <f>_xll.ciqfunctions.udf.CIQ(InputTicker, "IQ_FIN_DIV_MINORITY_INT_REDEEM",Input!D$2,Date,,,Ccy,Conv)</f>
        <v>0</v>
      </c>
      <c r="C404" s="4">
        <f>_xll.ciqfunctions.udf.CIQ(InputTicker, "IQ_FIN_DIV_MINORITY_INT_REDEEM",Input!E$2,Date,,,Ccy,Conv)</f>
        <v>0</v>
      </c>
      <c r="D404" s="4">
        <f>_xll.ciqfunctions.udf.CIQ(InputTicker, "IQ_FIN_DIV_MINORITY_INT_REDEEM",Input!F$2,Date,,,Ccy,Conv)</f>
        <v>0</v>
      </c>
      <c r="E404" s="4">
        <f>_xll.ciqfunctions.udf.CIQ(InputTicker, "IQ_FIN_DIV_MINORITY_INT_REDEEM",Input!G$2,Date,,,Ccy,Conv)</f>
        <v>0</v>
      </c>
      <c r="F404" s="4">
        <f>_xll.ciqfunctions.udf.CIQ(InputTicker, "IQ_FIN_DIV_MINORITY_INT_REDEEM",Input!H$2,Date,,,Ccy,Conv)</f>
        <v>0</v>
      </c>
      <c r="G404" s="4">
        <f>_xll.ciqfunctions.udf.CIQ(InputTicker, "IQ_FIN_DIV_MINORITY_INT_REDEEM",Input!I$2,Date,,,Ccy,Conv)</f>
        <v>0</v>
      </c>
      <c r="H404" s="4">
        <f>_xll.ciqfunctions.udf.CIQ(InputTicker, "IQ_FIN_DIV_MINORITY_INT_REDEEM",Input!J$2,Date,,,Ccy,Conv)</f>
        <v>0</v>
      </c>
      <c r="I404" s="4">
        <f>_xll.ciqfunctions.udf.CIQ(InputTicker, "IQ_FIN_DIV_MINORITY_INT_REDEEM",Input!K$2,Date,,,Ccy,Conv)</f>
        <v>0</v>
      </c>
      <c r="J404" s="4">
        <f>_xll.ciqfunctions.udf.CIQ(InputTicker, "IQ_FIN_DIV_MINORITY_INT_REDEEM",Input!L$2,Date,,,Ccy,Conv)</f>
        <v>0</v>
      </c>
      <c r="K404" s="4">
        <f>_xll.ciqfunctions.udf.CIQ(InputTicker, "IQ_FIN_DIV_MINORITY_INT_REDEEM",Input!M$2,Date,,,Ccy,Conv)</f>
        <v>0</v>
      </c>
      <c r="L404" s="4">
        <f>_xll.ciqfunctions.udf.CIQ(InputTicker, "IQ_FIN_DIV_MINORITY_INT_REDEEM",Input!N$2,Date,,,Ccy,Conv)</f>
        <v>0</v>
      </c>
      <c r="M404" s="4">
        <f>_xll.ciqfunctions.udf.CIQ(InputTicker, "IQ_FIN_DIV_MINORITY_INT_REDEEM",Input!O$2,Date,,,Ccy,Conv)</f>
        <v>0</v>
      </c>
      <c r="N404" s="53"/>
      <c r="T404" s="42"/>
      <c r="U404" s="42"/>
      <c r="V404" s="42"/>
      <c r="W404" s="42"/>
      <c r="X404" s="42"/>
      <c r="Y404" s="42"/>
      <c r="Z404" s="42"/>
      <c r="AA404" s="42"/>
      <c r="AB404" s="42"/>
      <c r="AC404" s="42"/>
      <c r="AD404" s="42"/>
      <c r="AE404" s="42"/>
      <c r="AF404" s="42"/>
      <c r="AG404" s="42"/>
      <c r="AH404" s="42"/>
      <c r="AI404" s="42"/>
      <c r="AJ404" s="42"/>
      <c r="AK404" s="42"/>
      <c r="AL404" s="42"/>
      <c r="AM404" s="42"/>
      <c r="AN404" s="42"/>
      <c r="AO404" s="42"/>
      <c r="AP404" s="42"/>
      <c r="AQ404" s="42"/>
      <c r="AR404" s="42"/>
      <c r="AS404" s="42"/>
      <c r="AT404" s="42"/>
      <c r="AU404" s="42"/>
      <c r="AV404" s="42"/>
      <c r="AW404" s="42"/>
      <c r="AX404" s="42"/>
      <c r="AY404" s="42"/>
      <c r="AZ404" s="42"/>
      <c r="BA404" s="42"/>
      <c r="BB404" s="42"/>
      <c r="BC404" s="42"/>
      <c r="BD404" s="42"/>
      <c r="BE404" s="42"/>
      <c r="BF404" s="42"/>
      <c r="BG404" s="42"/>
      <c r="BH404" s="42"/>
      <c r="BI404" s="42"/>
      <c r="BJ404" s="42"/>
      <c r="BK404" s="42"/>
      <c r="BL404" s="42"/>
      <c r="BM404" s="42"/>
      <c r="BN404" s="42"/>
    </row>
    <row r="405" spans="1:66" ht="12.75" customHeight="1" x14ac:dyDescent="0.2">
      <c r="A405" s="1" t="s">
        <v>26</v>
      </c>
      <c r="B405" s="4">
        <f>_xll.ciqfunctions.udf.CIQ(InputTicker, "IQ_MINORITY_INT_REDEEM_TOT",Input!D$2,Date,,,Ccy,Conv)</f>
        <v>0</v>
      </c>
      <c r="C405" s="4">
        <f>_xll.ciqfunctions.udf.CIQ(InputTicker, "IQ_MINORITY_INT_REDEEM_TOT",Input!E$2,Date,,,Ccy,Conv)</f>
        <v>0</v>
      </c>
      <c r="D405" s="4">
        <f>_xll.ciqfunctions.udf.CIQ(InputTicker, "IQ_MINORITY_INT_REDEEM_TOT",Input!F$2,Date,,,Ccy,Conv)</f>
        <v>0</v>
      </c>
      <c r="E405" s="4">
        <f>_xll.ciqfunctions.udf.CIQ(InputTicker, "IQ_MINORITY_INT_REDEEM_TOT",Input!G$2,Date,,,Ccy,Conv)</f>
        <v>0</v>
      </c>
      <c r="F405" s="4">
        <f>_xll.ciqfunctions.udf.CIQ(InputTicker, "IQ_MINORITY_INT_REDEEM_TOT",Input!H$2,Date,,,Ccy,Conv)</f>
        <v>0</v>
      </c>
      <c r="G405" s="4">
        <f>_xll.ciqfunctions.udf.CIQ(InputTicker, "IQ_MINORITY_INT_REDEEM_TOT",Input!I$2,Date,,,Ccy,Conv)</f>
        <v>0</v>
      </c>
      <c r="H405" s="4">
        <f>_xll.ciqfunctions.udf.CIQ(InputTicker, "IQ_MINORITY_INT_REDEEM_TOT",Input!J$2,Date,,,Ccy,Conv)</f>
        <v>0</v>
      </c>
      <c r="I405" s="4">
        <f>_xll.ciqfunctions.udf.CIQ(InputTicker, "IQ_MINORITY_INT_REDEEM_TOT",Input!K$2,Date,,,Ccy,Conv)</f>
        <v>0</v>
      </c>
      <c r="J405" s="4">
        <f>_xll.ciqfunctions.udf.CIQ(InputTicker, "IQ_MINORITY_INT_REDEEM_TOT",Input!L$2,Date,,,Ccy,Conv)</f>
        <v>0</v>
      </c>
      <c r="K405" s="4">
        <f>_xll.ciqfunctions.udf.CIQ(InputTicker, "IQ_MINORITY_INT_REDEEM_TOT",Input!M$2,Date,,,Ccy,Conv)</f>
        <v>0</v>
      </c>
      <c r="L405" s="4">
        <f>_xll.ciqfunctions.udf.CIQ(InputTicker, "IQ_MINORITY_INT_REDEEM_TOT",Input!N$2,Date,,,Ccy,Conv)</f>
        <v>0</v>
      </c>
      <c r="M405" s="4">
        <f>_xll.ciqfunctions.udf.CIQ(InputTicker, "IQ_MINORITY_INT_REDEEM_TOT",Input!O$2,Date,,,Ccy,Conv)</f>
        <v>0</v>
      </c>
      <c r="N405" s="53"/>
      <c r="T405" s="42"/>
      <c r="U405" s="42"/>
      <c r="V405" s="42"/>
      <c r="W405" s="42"/>
      <c r="X405" s="42"/>
      <c r="Y405" s="42"/>
      <c r="Z405" s="42"/>
      <c r="AA405" s="42"/>
      <c r="AB405" s="42"/>
      <c r="AC405" s="42"/>
      <c r="AD405" s="42"/>
      <c r="AE405" s="42"/>
      <c r="AF405" s="42"/>
      <c r="AG405" s="42"/>
      <c r="AH405" s="42"/>
      <c r="AI405" s="42"/>
      <c r="AJ405" s="42"/>
      <c r="AK405" s="42"/>
      <c r="AL405" s="42"/>
      <c r="AM405" s="42"/>
      <c r="AN405" s="42"/>
      <c r="AO405" s="42"/>
      <c r="AP405" s="42"/>
      <c r="AQ405" s="42"/>
      <c r="AR405" s="42"/>
      <c r="AS405" s="42"/>
      <c r="AT405" s="42"/>
      <c r="AU405" s="42"/>
      <c r="AV405" s="42"/>
      <c r="AW405" s="42"/>
      <c r="AX405" s="42"/>
      <c r="AY405" s="42"/>
      <c r="AZ405" s="42"/>
      <c r="BA405" s="42"/>
      <c r="BB405" s="42"/>
      <c r="BC405" s="42"/>
      <c r="BD405" s="42"/>
      <c r="BE405" s="42"/>
      <c r="BF405" s="42"/>
      <c r="BG405" s="42"/>
      <c r="BH405" s="42"/>
      <c r="BI405" s="42"/>
      <c r="BJ405" s="42"/>
      <c r="BK405" s="42"/>
      <c r="BL405" s="42"/>
      <c r="BM405" s="42"/>
      <c r="BN405" s="42"/>
    </row>
    <row r="406" spans="1:66" ht="12.75" customHeight="1" x14ac:dyDescent="0.2">
      <c r="A406" s="1" t="s">
        <v>27</v>
      </c>
      <c r="B406" s="4">
        <f>_xll.ciqfunctions.udf.CIQ(InputTicker, "IQ_FIN_DIV_MINORITY_INTEREST",Input!D$2,Date,,,Ccy,Conv)</f>
        <v>0</v>
      </c>
      <c r="C406" s="4">
        <f>_xll.ciqfunctions.udf.CIQ(InputTicker, "IQ_FIN_DIV_MINORITY_INTEREST",Input!E$2,Date,,,Ccy,Conv)</f>
        <v>0</v>
      </c>
      <c r="D406" s="4">
        <f>_xll.ciqfunctions.udf.CIQ(InputTicker, "IQ_FIN_DIV_MINORITY_INTEREST",Input!F$2,Date,,,Ccy,Conv)</f>
        <v>0</v>
      </c>
      <c r="E406" s="4">
        <f>_xll.ciqfunctions.udf.CIQ(InputTicker, "IQ_FIN_DIV_MINORITY_INTEREST",Input!G$2,Date,,,Ccy,Conv)</f>
        <v>0</v>
      </c>
      <c r="F406" s="4">
        <f>_xll.ciqfunctions.udf.CIQ(InputTicker, "IQ_FIN_DIV_MINORITY_INTEREST",Input!H$2,Date,,,Ccy,Conv)</f>
        <v>0</v>
      </c>
      <c r="G406" s="4">
        <f>_xll.ciqfunctions.udf.CIQ(InputTicker, "IQ_FIN_DIV_MINORITY_INTEREST",Input!I$2,Date,,,Ccy,Conv)</f>
        <v>0</v>
      </c>
      <c r="H406" s="4">
        <f>_xll.ciqfunctions.udf.CIQ(InputTicker, "IQ_FIN_DIV_MINORITY_INTEREST",Input!J$2,Date,,,Ccy,Conv)</f>
        <v>0</v>
      </c>
      <c r="I406" s="4">
        <f>_xll.ciqfunctions.udf.CIQ(InputTicker, "IQ_FIN_DIV_MINORITY_INTEREST",Input!K$2,Date,,,Ccy,Conv)</f>
        <v>0</v>
      </c>
      <c r="J406" s="4">
        <f>_xll.ciqfunctions.udf.CIQ(InputTicker, "IQ_FIN_DIV_MINORITY_INTEREST",Input!L$2,Date,,,Ccy,Conv)</f>
        <v>0</v>
      </c>
      <c r="K406" s="4">
        <f>_xll.ciqfunctions.udf.CIQ(InputTicker, "IQ_FIN_DIV_MINORITY_INTEREST",Input!M$2,Date,,,Ccy,Conv)</f>
        <v>0</v>
      </c>
      <c r="L406" s="4">
        <f>_xll.ciqfunctions.udf.CIQ(InputTicker, "IQ_FIN_DIV_MINORITY_INTEREST",Input!N$2,Date,,,Ccy,Conv)</f>
        <v>0</v>
      </c>
      <c r="M406" s="4">
        <f>_xll.ciqfunctions.udf.CIQ(InputTicker, "IQ_FIN_DIV_MINORITY_INTEREST",Input!O$2,Date,,,Ccy,Conv)</f>
        <v>0</v>
      </c>
      <c r="N406" s="53"/>
      <c r="T406" s="42"/>
      <c r="U406" s="42"/>
      <c r="V406" s="42"/>
      <c r="W406" s="42"/>
      <c r="X406" s="42"/>
      <c r="Y406" s="42"/>
      <c r="Z406" s="42"/>
      <c r="AA406" s="42"/>
      <c r="AB406" s="42"/>
      <c r="AC406" s="42"/>
      <c r="AD406" s="42"/>
      <c r="AE406" s="42"/>
      <c r="AF406" s="42"/>
      <c r="AG406" s="42"/>
      <c r="AH406" s="42"/>
      <c r="AI406" s="42"/>
      <c r="AJ406" s="42"/>
      <c r="AK406" s="42"/>
      <c r="AL406" s="42"/>
      <c r="AM406" s="42"/>
      <c r="AN406" s="42"/>
      <c r="AO406" s="42"/>
      <c r="AP406" s="42"/>
      <c r="AQ406" s="42"/>
      <c r="AR406" s="42"/>
      <c r="AS406" s="42"/>
      <c r="AT406" s="42"/>
      <c r="AU406" s="42"/>
      <c r="AV406" s="42"/>
      <c r="AW406" s="42"/>
      <c r="AX406" s="42"/>
      <c r="AY406" s="42"/>
      <c r="AZ406" s="42"/>
      <c r="BA406" s="42"/>
      <c r="BB406" s="42"/>
      <c r="BC406" s="42"/>
      <c r="BD406" s="42"/>
      <c r="BE406" s="42"/>
      <c r="BF406" s="42"/>
      <c r="BG406" s="42"/>
      <c r="BH406" s="42"/>
      <c r="BI406" s="42"/>
      <c r="BJ406" s="42"/>
      <c r="BK406" s="42"/>
      <c r="BL406" s="42"/>
      <c r="BM406" s="42"/>
      <c r="BN406" s="42"/>
    </row>
    <row r="407" spans="1:66" ht="12.75" customHeight="1" x14ac:dyDescent="0.2">
      <c r="A407" s="1" t="s">
        <v>441</v>
      </c>
      <c r="B407" s="4">
        <f>_xll.ciqfunctions.udf.CIQ(InputTicker, "IQ_DEF_TAX_VALUATION_ALLOWANCE",Input!D$2,Date,,,Ccy,Conv)</f>
        <v>4729</v>
      </c>
      <c r="C407" s="4">
        <f>_xll.ciqfunctions.udf.CIQ(InputTicker, "IQ_DEF_TAX_VALUATION_ALLOWANCE",Input!E$2,Date,,,Ccy,Conv)</f>
        <v>3310</v>
      </c>
      <c r="D407" s="4">
        <f>_xll.ciqfunctions.udf.CIQ(InputTicker, "IQ_DEF_TAX_VALUATION_ALLOWANCE",Input!F$2,Date,,,Ccy,Conv)</f>
        <v>3186</v>
      </c>
      <c r="E407" s="4">
        <f>_xll.ciqfunctions.udf.CIQ(InputTicker, "IQ_DEF_TAX_VALUATION_ALLOWANCE",Input!G$2,Date,,,Ccy,Conv)</f>
        <v>3214</v>
      </c>
      <c r="F407" s="4">
        <f>_xll.ciqfunctions.udf.CIQ(InputTicker, "IQ_DEF_TAX_VALUATION_ALLOWANCE",Input!H$2,Date,,,Ccy,Conv)</f>
        <v>755</v>
      </c>
      <c r="G407" s="4">
        <f>_xll.ciqfunctions.udf.CIQ(InputTicker, "IQ_DEF_TAX_VALUATION_ALLOWANCE",Input!I$2,Date,,,Ccy,Conv)</f>
        <v>769</v>
      </c>
      <c r="H407" s="4">
        <f>_xll.ciqfunctions.udf.CIQ(InputTicker, "IQ_DEF_TAX_VALUATION_ALLOWANCE",Input!J$2,Date,,,Ccy,Conv)</f>
        <v>1012</v>
      </c>
      <c r="I407" s="4">
        <f>_xll.ciqfunctions.udf.CIQ(InputTicker, "IQ_DEF_TAX_VALUATION_ALLOWANCE",Input!K$2,Date,,,Ccy,Conv)</f>
        <v>939</v>
      </c>
      <c r="J407" s="4">
        <f>_xll.ciqfunctions.udf.CIQ(InputTicker, "IQ_DEF_TAX_VALUATION_ALLOWANCE",Input!L$2,Date,,,Ccy,Conv)</f>
        <v>1045</v>
      </c>
      <c r="K407" s="4">
        <f>_xll.ciqfunctions.udf.CIQ(InputTicker, "IQ_DEF_TAX_VALUATION_ALLOWANCE",Input!M$2,Date,,,Ccy,Conv)</f>
        <v>1169</v>
      </c>
      <c r="L407" s="4">
        <f>_xll.ciqfunctions.udf.CIQ(InputTicker, "IQ_DEF_TAX_VALUATION_ALLOWANCE",Input!N$2,Date,,,Ccy,Conv)</f>
        <v>1332</v>
      </c>
      <c r="M407" s="4">
        <f>_xll.ciqfunctions.udf.CIQ(InputTicker, "IQ_DEF_TAX_VALUATION_ALLOWANCE",Input!O$2,Date,,,Ccy,Conv)</f>
        <v>1332</v>
      </c>
      <c r="N407" s="53"/>
      <c r="T407" s="42"/>
      <c r="U407" s="42"/>
      <c r="V407" s="42"/>
      <c r="W407" s="42"/>
      <c r="X407" s="42"/>
      <c r="Y407" s="42"/>
      <c r="Z407" s="42"/>
      <c r="AA407" s="42"/>
      <c r="AB407" s="42"/>
      <c r="AC407" s="42"/>
      <c r="AD407" s="42"/>
      <c r="AE407" s="42"/>
      <c r="AF407" s="42"/>
      <c r="AG407" s="42"/>
      <c r="AH407" s="42"/>
      <c r="AI407" s="42"/>
      <c r="AJ407" s="42"/>
      <c r="AK407" s="42"/>
      <c r="AL407" s="42"/>
      <c r="AM407" s="42"/>
      <c r="AN407" s="42"/>
      <c r="AO407" s="42"/>
      <c r="AP407" s="42"/>
      <c r="AQ407" s="42"/>
      <c r="AR407" s="42"/>
      <c r="AS407" s="42"/>
      <c r="AT407" s="42"/>
      <c r="AU407" s="42"/>
      <c r="AV407" s="42"/>
      <c r="AW407" s="42"/>
      <c r="AX407" s="42"/>
      <c r="AY407" s="42"/>
      <c r="AZ407" s="42"/>
      <c r="BA407" s="42"/>
      <c r="BB407" s="42"/>
      <c r="BC407" s="42"/>
      <c r="BD407" s="42"/>
      <c r="BE407" s="42"/>
      <c r="BF407" s="42"/>
      <c r="BG407" s="42"/>
      <c r="BH407" s="42"/>
      <c r="BI407" s="42"/>
      <c r="BJ407" s="42"/>
      <c r="BK407" s="42"/>
      <c r="BL407" s="42"/>
      <c r="BM407" s="42"/>
      <c r="BN407" s="42"/>
    </row>
    <row r="408" spans="1:66" ht="12.75" customHeight="1" x14ac:dyDescent="0.2">
      <c r="A408" s="1" t="s">
        <v>1</v>
      </c>
      <c r="B408" s="4">
        <f>_xll.ciqfunctions.udf.CIQ(InputTicker, "IQ_GENERAL_PARTNER_COMMON_EQUITY",Input!D$2,Date,,,Ccy,Conv)</f>
        <v>0</v>
      </c>
      <c r="C408" s="4">
        <f>_xll.ciqfunctions.udf.CIQ(InputTicker, "IQ_GENERAL_PARTNER_COMMON_EQUITY",Input!E$2,Date,,,Ccy,Conv)</f>
        <v>0</v>
      </c>
      <c r="D408" s="4">
        <f>_xll.ciqfunctions.udf.CIQ(InputTicker, "IQ_GENERAL_PARTNER_COMMON_EQUITY",Input!F$2,Date,,,Ccy,Conv)</f>
        <v>0</v>
      </c>
      <c r="E408" s="4">
        <f>_xll.ciqfunctions.udf.CIQ(InputTicker, "IQ_GENERAL_PARTNER_COMMON_EQUITY",Input!G$2,Date,,,Ccy,Conv)</f>
        <v>0</v>
      </c>
      <c r="F408" s="4">
        <f>_xll.ciqfunctions.udf.CIQ(InputTicker, "IQ_GENERAL_PARTNER_COMMON_EQUITY",Input!H$2,Date,,,Ccy,Conv)</f>
        <v>0</v>
      </c>
      <c r="G408" s="4">
        <f>_xll.ciqfunctions.udf.CIQ(InputTicker, "IQ_GENERAL_PARTNER_COMMON_EQUITY",Input!I$2,Date,,,Ccy,Conv)</f>
        <v>0</v>
      </c>
      <c r="H408" s="4">
        <f>_xll.ciqfunctions.udf.CIQ(InputTicker, "IQ_GENERAL_PARTNER_COMMON_EQUITY",Input!J$2,Date,,,Ccy,Conv)</f>
        <v>0</v>
      </c>
      <c r="I408" s="4">
        <f>_xll.ciqfunctions.udf.CIQ(InputTicker, "IQ_GENERAL_PARTNER_COMMON_EQUITY",Input!K$2,Date,,,Ccy,Conv)</f>
        <v>0</v>
      </c>
      <c r="J408" s="4">
        <f>_xll.ciqfunctions.udf.CIQ(InputTicker, "IQ_GENERAL_PARTNER_COMMON_EQUITY",Input!L$2,Date,,,Ccy,Conv)</f>
        <v>0</v>
      </c>
      <c r="K408" s="4">
        <f>_xll.ciqfunctions.udf.CIQ(InputTicker, "IQ_GENERAL_PARTNER_COMMON_EQUITY",Input!M$2,Date,,,Ccy,Conv)</f>
        <v>0</v>
      </c>
      <c r="L408" s="4">
        <f>_xll.ciqfunctions.udf.CIQ(InputTicker, "IQ_GENERAL_PARTNER_COMMON_EQUITY",Input!N$2,Date,,,Ccy,Conv)</f>
        <v>0</v>
      </c>
      <c r="M408" s="4">
        <f>_xll.ciqfunctions.udf.CIQ(InputTicker, "IQ_GENERAL_PARTNER_COMMON_EQUITY",Input!O$2,Date,,,Ccy,Conv)</f>
        <v>0</v>
      </c>
      <c r="N408" s="53"/>
      <c r="T408" s="42"/>
      <c r="U408" s="42"/>
      <c r="V408" s="42"/>
      <c r="W408" s="42"/>
      <c r="X408" s="42"/>
      <c r="Y408" s="42"/>
      <c r="Z408" s="42"/>
      <c r="AA408" s="42"/>
      <c r="AB408" s="42"/>
      <c r="AC408" s="42"/>
      <c r="AD408" s="42"/>
      <c r="AE408" s="42"/>
      <c r="AF408" s="42"/>
      <c r="AG408" s="42"/>
      <c r="AH408" s="42"/>
      <c r="AI408" s="42"/>
      <c r="AJ408" s="42"/>
      <c r="AK408" s="42"/>
      <c r="AL408" s="42"/>
      <c r="AM408" s="42"/>
      <c r="AN408" s="42"/>
      <c r="AO408" s="42"/>
      <c r="AP408" s="42"/>
      <c r="AQ408" s="42"/>
      <c r="AR408" s="42"/>
      <c r="AS408" s="42"/>
      <c r="AT408" s="42"/>
      <c r="AU408" s="42"/>
      <c r="AV408" s="42"/>
      <c r="AW408" s="42"/>
      <c r="AX408" s="42"/>
      <c r="AY408" s="42"/>
      <c r="AZ408" s="42"/>
      <c r="BA408" s="42"/>
      <c r="BB408" s="42"/>
      <c r="BC408" s="42"/>
      <c r="BD408" s="42"/>
      <c r="BE408" s="42"/>
      <c r="BF408" s="42"/>
      <c r="BG408" s="42"/>
      <c r="BH408" s="42"/>
      <c r="BI408" s="42"/>
      <c r="BJ408" s="42"/>
      <c r="BK408" s="42"/>
      <c r="BL408" s="42"/>
      <c r="BM408" s="42"/>
      <c r="BN408" s="42"/>
    </row>
    <row r="409" spans="1:66" ht="12.75" customHeight="1" x14ac:dyDescent="0.2">
      <c r="A409" s="1" t="s">
        <v>2</v>
      </c>
      <c r="B409" s="4">
        <f>_xll.ciqfunctions.udf.CIQ(InputTicker, "IQ_GENERAL_PARTNER_PREF_EQUITY",Input!D$2,Date,,,Ccy,Conv)</f>
        <v>0</v>
      </c>
      <c r="C409" s="4">
        <f>_xll.ciqfunctions.udf.CIQ(InputTicker, "IQ_GENERAL_PARTNER_PREF_EQUITY",Input!E$2,Date,,,Ccy,Conv)</f>
        <v>0</v>
      </c>
      <c r="D409" s="4">
        <f>_xll.ciqfunctions.udf.CIQ(InputTicker, "IQ_GENERAL_PARTNER_PREF_EQUITY",Input!F$2,Date,,,Ccy,Conv)</f>
        <v>0</v>
      </c>
      <c r="E409" s="4">
        <f>_xll.ciqfunctions.udf.CIQ(InputTicker, "IQ_GENERAL_PARTNER_PREF_EQUITY",Input!G$2,Date,,,Ccy,Conv)</f>
        <v>0</v>
      </c>
      <c r="F409" s="4">
        <f>_xll.ciqfunctions.udf.CIQ(InputTicker, "IQ_GENERAL_PARTNER_PREF_EQUITY",Input!H$2,Date,,,Ccy,Conv)</f>
        <v>0</v>
      </c>
      <c r="G409" s="4">
        <f>_xll.ciqfunctions.udf.CIQ(InputTicker, "IQ_GENERAL_PARTNER_PREF_EQUITY",Input!I$2,Date,,,Ccy,Conv)</f>
        <v>0</v>
      </c>
      <c r="H409" s="4">
        <f>_xll.ciqfunctions.udf.CIQ(InputTicker, "IQ_GENERAL_PARTNER_PREF_EQUITY",Input!J$2,Date,,,Ccy,Conv)</f>
        <v>0</v>
      </c>
      <c r="I409" s="4">
        <f>_xll.ciqfunctions.udf.CIQ(InputTicker, "IQ_GENERAL_PARTNER_PREF_EQUITY",Input!K$2,Date,,,Ccy,Conv)</f>
        <v>0</v>
      </c>
      <c r="J409" s="4">
        <f>_xll.ciqfunctions.udf.CIQ(InputTicker, "IQ_GENERAL_PARTNER_PREF_EQUITY",Input!L$2,Date,,,Ccy,Conv)</f>
        <v>0</v>
      </c>
      <c r="K409" s="4">
        <f>_xll.ciqfunctions.udf.CIQ(InputTicker, "IQ_GENERAL_PARTNER_PREF_EQUITY",Input!M$2,Date,,,Ccy,Conv)</f>
        <v>0</v>
      </c>
      <c r="L409" s="4">
        <f>_xll.ciqfunctions.udf.CIQ(InputTicker, "IQ_GENERAL_PARTNER_PREF_EQUITY",Input!N$2,Date,,,Ccy,Conv)</f>
        <v>0</v>
      </c>
      <c r="M409" s="4">
        <f>_xll.ciqfunctions.udf.CIQ(InputTicker, "IQ_GENERAL_PARTNER_PREF_EQUITY",Input!O$2,Date,,,Ccy,Conv)</f>
        <v>0</v>
      </c>
      <c r="N409" s="53"/>
      <c r="T409" s="42"/>
      <c r="U409" s="42"/>
      <c r="V409" s="42"/>
      <c r="W409" s="42"/>
      <c r="X409" s="42"/>
      <c r="Y409" s="42"/>
      <c r="Z409" s="42"/>
      <c r="AA409" s="42"/>
      <c r="AB409" s="42"/>
      <c r="AC409" s="42"/>
      <c r="AD409" s="42"/>
      <c r="AE409" s="42"/>
      <c r="AF409" s="42"/>
      <c r="AG409" s="42"/>
      <c r="AH409" s="42"/>
      <c r="AI409" s="42"/>
      <c r="AJ409" s="42"/>
      <c r="AK409" s="42"/>
      <c r="AL409" s="42"/>
      <c r="AM409" s="42"/>
      <c r="AN409" s="42"/>
      <c r="AO409" s="42"/>
      <c r="AP409" s="42"/>
      <c r="AQ409" s="42"/>
      <c r="AR409" s="42"/>
      <c r="AS409" s="42"/>
      <c r="AT409" s="42"/>
      <c r="AU409" s="42"/>
      <c r="AV409" s="42"/>
      <c r="AW409" s="42"/>
      <c r="AX409" s="42"/>
      <c r="AY409" s="42"/>
      <c r="AZ409" s="42"/>
      <c r="BA409" s="42"/>
      <c r="BB409" s="42"/>
      <c r="BC409" s="42"/>
      <c r="BD409" s="42"/>
      <c r="BE409" s="42"/>
      <c r="BF409" s="42"/>
      <c r="BG409" s="42"/>
      <c r="BH409" s="42"/>
      <c r="BI409" s="42"/>
      <c r="BJ409" s="42"/>
      <c r="BK409" s="42"/>
      <c r="BL409" s="42"/>
      <c r="BM409" s="42"/>
      <c r="BN409" s="42"/>
    </row>
    <row r="410" spans="1:66" ht="12.75" customHeight="1" x14ac:dyDescent="0.2">
      <c r="A410" s="1" t="s">
        <v>3</v>
      </c>
      <c r="B410" s="4">
        <f>_xll.ciqfunctions.udf.CIQ(InputTicker, "IQ_GENERAL_PARTNER_MINORITY_INTEREST",Input!D$2,Date,,,Ccy,Conv)</f>
        <v>0</v>
      </c>
      <c r="C410" s="4">
        <f>_xll.ciqfunctions.udf.CIQ(InputTicker, "IQ_GENERAL_PARTNER_MINORITY_INTEREST",Input!E$2,Date,,,Ccy,Conv)</f>
        <v>0</v>
      </c>
      <c r="D410" s="4">
        <f>_xll.ciqfunctions.udf.CIQ(InputTicker, "IQ_GENERAL_PARTNER_MINORITY_INTEREST",Input!F$2,Date,,,Ccy,Conv)</f>
        <v>0</v>
      </c>
      <c r="E410" s="4">
        <f>_xll.ciqfunctions.udf.CIQ(InputTicker, "IQ_GENERAL_PARTNER_MINORITY_INTEREST",Input!G$2,Date,,,Ccy,Conv)</f>
        <v>0</v>
      </c>
      <c r="F410" s="4">
        <f>_xll.ciqfunctions.udf.CIQ(InputTicker, "IQ_GENERAL_PARTNER_MINORITY_INTEREST",Input!H$2,Date,,,Ccy,Conv)</f>
        <v>0</v>
      </c>
      <c r="G410" s="4">
        <f>_xll.ciqfunctions.udf.CIQ(InputTicker, "IQ_GENERAL_PARTNER_MINORITY_INTEREST",Input!I$2,Date,,,Ccy,Conv)</f>
        <v>0</v>
      </c>
      <c r="H410" s="4">
        <f>_xll.ciqfunctions.udf.CIQ(InputTicker, "IQ_GENERAL_PARTNER_MINORITY_INTEREST",Input!J$2,Date,,,Ccy,Conv)</f>
        <v>0</v>
      </c>
      <c r="I410" s="4">
        <f>_xll.ciqfunctions.udf.CIQ(InputTicker, "IQ_GENERAL_PARTNER_MINORITY_INTEREST",Input!K$2,Date,,,Ccy,Conv)</f>
        <v>0</v>
      </c>
      <c r="J410" s="4">
        <f>_xll.ciqfunctions.udf.CIQ(InputTicker, "IQ_GENERAL_PARTNER_MINORITY_INTEREST",Input!L$2,Date,,,Ccy,Conv)</f>
        <v>0</v>
      </c>
      <c r="K410" s="4">
        <f>_xll.ciqfunctions.udf.CIQ(InputTicker, "IQ_GENERAL_PARTNER_MINORITY_INTEREST",Input!M$2,Date,,,Ccy,Conv)</f>
        <v>0</v>
      </c>
      <c r="L410" s="4">
        <f>_xll.ciqfunctions.udf.CIQ(InputTicker, "IQ_GENERAL_PARTNER_MINORITY_INTEREST",Input!N$2,Date,,,Ccy,Conv)</f>
        <v>0</v>
      </c>
      <c r="M410" s="4">
        <f>_xll.ciqfunctions.udf.CIQ(InputTicker, "IQ_GENERAL_PARTNER_MINORITY_INTEREST",Input!O$2,Date,,,Ccy,Conv)</f>
        <v>0</v>
      </c>
      <c r="N410" s="53"/>
      <c r="T410" s="42"/>
      <c r="U410" s="42"/>
      <c r="V410" s="42"/>
      <c r="W410" s="42"/>
      <c r="X410" s="42"/>
      <c r="Y410" s="42"/>
      <c r="Z410" s="42"/>
      <c r="AA410" s="42"/>
      <c r="AB410" s="42"/>
      <c r="AC410" s="42"/>
      <c r="AD410" s="42"/>
      <c r="AE410" s="42"/>
      <c r="AF410" s="42"/>
      <c r="AG410" s="42"/>
      <c r="AH410" s="42"/>
      <c r="AI410" s="42"/>
      <c r="AJ410" s="42"/>
      <c r="AK410" s="42"/>
      <c r="AL410" s="42"/>
      <c r="AM410" s="42"/>
      <c r="AN410" s="42"/>
      <c r="AO410" s="42"/>
      <c r="AP410" s="42"/>
      <c r="AQ410" s="42"/>
      <c r="AR410" s="42"/>
      <c r="AS410" s="42"/>
      <c r="AT410" s="42"/>
      <c r="AU410" s="42"/>
      <c r="AV410" s="42"/>
      <c r="AW410" s="42"/>
      <c r="AX410" s="42"/>
      <c r="AY410" s="42"/>
      <c r="AZ410" s="42"/>
      <c r="BA410" s="42"/>
      <c r="BB410" s="42"/>
      <c r="BC410" s="42"/>
      <c r="BD410" s="42"/>
      <c r="BE410" s="42"/>
      <c r="BF410" s="42"/>
      <c r="BG410" s="42"/>
      <c r="BH410" s="42"/>
      <c r="BI410" s="42"/>
      <c r="BJ410" s="42"/>
      <c r="BK410" s="42"/>
      <c r="BL410" s="42"/>
      <c r="BM410" s="42"/>
      <c r="BN410" s="42"/>
    </row>
    <row r="411" spans="1:66" ht="12.75" customHeight="1" x14ac:dyDescent="0.2">
      <c r="A411" s="1" t="s">
        <v>4</v>
      </c>
      <c r="B411" s="4">
        <f>_xll.ciqfunctions.udf.CIQ(InputTicker, "IQ_TOTAL_GENERAL_PARTNER_INTEREST",Input!D$2,Date,,,Ccy,Conv)</f>
        <v>0</v>
      </c>
      <c r="C411" s="4">
        <f>_xll.ciqfunctions.udf.CIQ(InputTicker, "IQ_TOTAL_GENERAL_PARTNER_INTEREST",Input!E$2,Date,,,Ccy,Conv)</f>
        <v>0</v>
      </c>
      <c r="D411" s="4">
        <f>_xll.ciqfunctions.udf.CIQ(InputTicker, "IQ_TOTAL_GENERAL_PARTNER_INTEREST",Input!F$2,Date,,,Ccy,Conv)</f>
        <v>0</v>
      </c>
      <c r="E411" s="4">
        <f>_xll.ciqfunctions.udf.CIQ(InputTicker, "IQ_TOTAL_GENERAL_PARTNER_INTEREST",Input!G$2,Date,,,Ccy,Conv)</f>
        <v>0</v>
      </c>
      <c r="F411" s="4">
        <f>_xll.ciqfunctions.udf.CIQ(InputTicker, "IQ_TOTAL_GENERAL_PARTNER_INTEREST",Input!H$2,Date,,,Ccy,Conv)</f>
        <v>0</v>
      </c>
      <c r="G411" s="4">
        <f>_xll.ciqfunctions.udf.CIQ(InputTicker, "IQ_TOTAL_GENERAL_PARTNER_INTEREST",Input!I$2,Date,,,Ccy,Conv)</f>
        <v>0</v>
      </c>
      <c r="H411" s="4">
        <f>_xll.ciqfunctions.udf.CIQ(InputTicker, "IQ_TOTAL_GENERAL_PARTNER_INTEREST",Input!J$2,Date,,,Ccy,Conv)</f>
        <v>0</v>
      </c>
      <c r="I411" s="4">
        <f>_xll.ciqfunctions.udf.CIQ(InputTicker, "IQ_TOTAL_GENERAL_PARTNER_INTEREST",Input!K$2,Date,,,Ccy,Conv)</f>
        <v>0</v>
      </c>
      <c r="J411" s="4">
        <f>_xll.ciqfunctions.udf.CIQ(InputTicker, "IQ_TOTAL_GENERAL_PARTNER_INTEREST",Input!L$2,Date,,,Ccy,Conv)</f>
        <v>0</v>
      </c>
      <c r="K411" s="4">
        <f>_xll.ciqfunctions.udf.CIQ(InputTicker, "IQ_TOTAL_GENERAL_PARTNER_INTEREST",Input!M$2,Date,,,Ccy,Conv)</f>
        <v>0</v>
      </c>
      <c r="L411" s="4">
        <f>_xll.ciqfunctions.udf.CIQ(InputTicker, "IQ_TOTAL_GENERAL_PARTNER_INTEREST",Input!N$2,Date,,,Ccy,Conv)</f>
        <v>0</v>
      </c>
      <c r="M411" s="4">
        <f>_xll.ciqfunctions.udf.CIQ(InputTicker, "IQ_TOTAL_GENERAL_PARTNER_INTEREST",Input!O$2,Date,,,Ccy,Conv)</f>
        <v>0</v>
      </c>
      <c r="N411" s="53"/>
      <c r="T411" s="42"/>
      <c r="U411" s="42"/>
      <c r="V411" s="42"/>
      <c r="W411" s="42"/>
      <c r="X411" s="42"/>
      <c r="Y411" s="42"/>
      <c r="Z411" s="42"/>
      <c r="AA411" s="42"/>
      <c r="AB411" s="42"/>
      <c r="AC411" s="42"/>
      <c r="AD411" s="42"/>
      <c r="AE411" s="42"/>
      <c r="AF411" s="42"/>
      <c r="AG411" s="42"/>
      <c r="AH411" s="42"/>
      <c r="AI411" s="42"/>
      <c r="AJ411" s="42"/>
      <c r="AK411" s="42"/>
      <c r="AL411" s="42"/>
      <c r="AM411" s="42"/>
      <c r="AN411" s="42"/>
      <c r="AO411" s="42"/>
      <c r="AP411" s="42"/>
      <c r="AQ411" s="42"/>
      <c r="AR411" s="42"/>
      <c r="AS411" s="42"/>
      <c r="AT411" s="42"/>
      <c r="AU411" s="42"/>
      <c r="AV411" s="42"/>
      <c r="AW411" s="42"/>
      <c r="AX411" s="42"/>
      <c r="AY411" s="42"/>
      <c r="AZ411" s="42"/>
      <c r="BA411" s="42"/>
      <c r="BB411" s="42"/>
      <c r="BC411" s="42"/>
      <c r="BD411" s="42"/>
      <c r="BE411" s="42"/>
      <c r="BF411" s="42"/>
      <c r="BG411" s="42"/>
      <c r="BH411" s="42"/>
      <c r="BI411" s="42"/>
      <c r="BJ411" s="42"/>
      <c r="BK411" s="42"/>
      <c r="BL411" s="42"/>
      <c r="BM411" s="42"/>
      <c r="BN411" s="42"/>
    </row>
    <row r="412" spans="1:66" ht="12.75" customHeight="1" x14ac:dyDescent="0.2">
      <c r="A412" s="1" t="s">
        <v>396</v>
      </c>
      <c r="B412" s="4">
        <f>_xll.ciqfunctions.udf.CIQ(InputTicker, "IQ_LIQUIDATION_VALUE_PREFERRED_CONVERT",Input!D$2,Date,,,Ccy,Conv)</f>
        <v>0</v>
      </c>
      <c r="C412" s="4">
        <f>_xll.ciqfunctions.udf.CIQ(InputTicker, "IQ_LIQUIDATION_VALUE_PREFERRED_CONVERT",Input!E$2,Date,,,Ccy,Conv)</f>
        <v>0</v>
      </c>
      <c r="D412" s="4">
        <f>_xll.ciqfunctions.udf.CIQ(InputTicker, "IQ_LIQUIDATION_VALUE_PREFERRED_CONVERT",Input!F$2,Date,,,Ccy,Conv)</f>
        <v>0</v>
      </c>
      <c r="E412" s="4">
        <f>_xll.ciqfunctions.udf.CIQ(InputTicker, "IQ_LIQUIDATION_VALUE_PREFERRED_CONVERT",Input!G$2,Date,,,Ccy,Conv)</f>
        <v>0</v>
      </c>
      <c r="F412" s="4">
        <f>_xll.ciqfunctions.udf.CIQ(InputTicker, "IQ_LIQUIDATION_VALUE_PREFERRED_CONVERT",Input!H$2,Date,,,Ccy,Conv)</f>
        <v>0</v>
      </c>
      <c r="G412" s="4">
        <f>_xll.ciqfunctions.udf.CIQ(InputTicker, "IQ_LIQUIDATION_VALUE_PREFERRED_CONVERT",Input!I$2,Date,,,Ccy,Conv)</f>
        <v>0</v>
      </c>
      <c r="H412" s="4">
        <f>_xll.ciqfunctions.udf.CIQ(InputTicker, "IQ_LIQUIDATION_VALUE_PREFERRED_CONVERT",Input!J$2,Date,,,Ccy,Conv)</f>
        <v>0</v>
      </c>
      <c r="I412" s="4">
        <f>_xll.ciqfunctions.udf.CIQ(InputTicker, "IQ_LIQUIDATION_VALUE_PREFERRED_CONVERT",Input!K$2,Date,,,Ccy,Conv)</f>
        <v>0</v>
      </c>
      <c r="J412" s="4">
        <f>_xll.ciqfunctions.udf.CIQ(InputTicker, "IQ_LIQUIDATION_VALUE_PREFERRED_CONVERT",Input!L$2,Date,,,Ccy,Conv)</f>
        <v>0</v>
      </c>
      <c r="K412" s="4">
        <f>_xll.ciqfunctions.udf.CIQ(InputTicker, "IQ_LIQUIDATION_VALUE_PREFERRED_CONVERT",Input!M$2,Date,,,Ccy,Conv)</f>
        <v>0</v>
      </c>
      <c r="L412" s="4">
        <f>_xll.ciqfunctions.udf.CIQ(InputTicker, "IQ_LIQUIDATION_VALUE_PREFERRED_CONVERT",Input!N$2,Date,,,Ccy,Conv)</f>
        <v>0</v>
      </c>
      <c r="M412" s="4">
        <f>_xll.ciqfunctions.udf.CIQ(InputTicker, "IQ_LIQUIDATION_VALUE_PREFERRED_CONVERT",Input!O$2,Date,,,Ccy,Conv)</f>
        <v>0</v>
      </c>
      <c r="N412" s="53"/>
      <c r="T412" s="42"/>
      <c r="U412" s="42"/>
      <c r="V412" s="42"/>
      <c r="W412" s="42"/>
      <c r="X412" s="42"/>
      <c r="Y412" s="42"/>
      <c r="Z412" s="42"/>
      <c r="AA412" s="42"/>
      <c r="AB412" s="42"/>
      <c r="AC412" s="42"/>
      <c r="AD412" s="42"/>
      <c r="AE412" s="42"/>
      <c r="AF412" s="42"/>
      <c r="AG412" s="42"/>
      <c r="AH412" s="42"/>
      <c r="AI412" s="42"/>
      <c r="AJ412" s="42"/>
      <c r="AK412" s="42"/>
      <c r="AL412" s="42"/>
      <c r="AM412" s="42"/>
      <c r="AN412" s="42"/>
      <c r="AO412" s="42"/>
      <c r="AP412" s="42"/>
      <c r="AQ412" s="42"/>
      <c r="AR412" s="42"/>
      <c r="AS412" s="42"/>
      <c r="AT412" s="42"/>
      <c r="AU412" s="42"/>
      <c r="AV412" s="42"/>
      <c r="AW412" s="42"/>
      <c r="AX412" s="42"/>
      <c r="AY412" s="42"/>
      <c r="AZ412" s="42"/>
      <c r="BA412" s="42"/>
      <c r="BB412" s="42"/>
      <c r="BC412" s="42"/>
      <c r="BD412" s="42"/>
      <c r="BE412" s="42"/>
      <c r="BF412" s="42"/>
      <c r="BG412" s="42"/>
      <c r="BH412" s="42"/>
      <c r="BI412" s="42"/>
      <c r="BJ412" s="42"/>
      <c r="BK412" s="42"/>
      <c r="BL412" s="42"/>
      <c r="BM412" s="42"/>
      <c r="BN412" s="42"/>
    </row>
    <row r="413" spans="1:66" ht="12.75" customHeight="1" x14ac:dyDescent="0.2">
      <c r="A413" s="1" t="s">
        <v>397</v>
      </c>
      <c r="B413" s="4">
        <f>_xll.ciqfunctions.udf.CIQ(InputTicker, "IQ_LIQUIDATION_VALUE_PREFERRED_NON_REDEEM",Input!D$2,Date,,,Ccy,Conv)</f>
        <v>0</v>
      </c>
      <c r="C413" s="4">
        <f>_xll.ciqfunctions.udf.CIQ(InputTicker, "IQ_LIQUIDATION_VALUE_PREFERRED_NON_REDEEM",Input!E$2,Date,,,Ccy,Conv)</f>
        <v>0</v>
      </c>
      <c r="D413" s="4">
        <f>_xll.ciqfunctions.udf.CIQ(InputTicker, "IQ_LIQUIDATION_VALUE_PREFERRED_NON_REDEEM",Input!F$2,Date,,,Ccy,Conv)</f>
        <v>0</v>
      </c>
      <c r="E413" s="4">
        <f>_xll.ciqfunctions.udf.CIQ(InputTicker, "IQ_LIQUIDATION_VALUE_PREFERRED_NON_REDEEM",Input!G$2,Date,,,Ccy,Conv)</f>
        <v>0</v>
      </c>
      <c r="F413" s="4">
        <f>_xll.ciqfunctions.udf.CIQ(InputTicker, "IQ_LIQUIDATION_VALUE_PREFERRED_NON_REDEEM",Input!H$2,Date,,,Ccy,Conv)</f>
        <v>0</v>
      </c>
      <c r="G413" s="4">
        <f>_xll.ciqfunctions.udf.CIQ(InputTicker, "IQ_LIQUIDATION_VALUE_PREFERRED_NON_REDEEM",Input!I$2,Date,,,Ccy,Conv)</f>
        <v>0</v>
      </c>
      <c r="H413" s="4">
        <f>_xll.ciqfunctions.udf.CIQ(InputTicker, "IQ_LIQUIDATION_VALUE_PREFERRED_NON_REDEEM",Input!J$2,Date,,,Ccy,Conv)</f>
        <v>0</v>
      </c>
      <c r="I413" s="4">
        <f>_xll.ciqfunctions.udf.CIQ(InputTicker, "IQ_LIQUIDATION_VALUE_PREFERRED_NON_REDEEM",Input!K$2,Date,,,Ccy,Conv)</f>
        <v>0</v>
      </c>
      <c r="J413" s="4">
        <f>_xll.ciqfunctions.udf.CIQ(InputTicker, "IQ_LIQUIDATION_VALUE_PREFERRED_NON_REDEEM",Input!L$2,Date,,,Ccy,Conv)</f>
        <v>0</v>
      </c>
      <c r="K413" s="4">
        <f>_xll.ciqfunctions.udf.CIQ(InputTicker, "IQ_LIQUIDATION_VALUE_PREFERRED_NON_REDEEM",Input!M$2,Date,,,Ccy,Conv)</f>
        <v>0</v>
      </c>
      <c r="L413" s="4">
        <f>_xll.ciqfunctions.udf.CIQ(InputTicker, "IQ_LIQUIDATION_VALUE_PREFERRED_NON_REDEEM",Input!N$2,Date,,,Ccy,Conv)</f>
        <v>0</v>
      </c>
      <c r="M413" s="4">
        <f>_xll.ciqfunctions.udf.CIQ(InputTicker, "IQ_LIQUIDATION_VALUE_PREFERRED_NON_REDEEM",Input!O$2,Date,,,Ccy,Conv)</f>
        <v>0</v>
      </c>
      <c r="N413" s="53"/>
      <c r="T413" s="42"/>
      <c r="U413" s="42"/>
      <c r="V413" s="42"/>
      <c r="W413" s="42"/>
      <c r="X413" s="42"/>
      <c r="Y413" s="42"/>
      <c r="Z413" s="42"/>
      <c r="AA413" s="42"/>
      <c r="AB413" s="42"/>
      <c r="AC413" s="42"/>
      <c r="AD413" s="42"/>
      <c r="AE413" s="42"/>
      <c r="AF413" s="42"/>
      <c r="AG413" s="42"/>
      <c r="AH413" s="42"/>
      <c r="AI413" s="42"/>
      <c r="AJ413" s="42"/>
      <c r="AK413" s="42"/>
      <c r="AL413" s="42"/>
      <c r="AM413" s="42"/>
      <c r="AN413" s="42"/>
      <c r="AO413" s="42"/>
      <c r="AP413" s="42"/>
      <c r="AQ413" s="42"/>
      <c r="AR413" s="42"/>
      <c r="AS413" s="42"/>
      <c r="AT413" s="42"/>
      <c r="AU413" s="42"/>
      <c r="AV413" s="42"/>
      <c r="AW413" s="42"/>
      <c r="AX413" s="42"/>
      <c r="AY413" s="42"/>
      <c r="AZ413" s="42"/>
      <c r="BA413" s="42"/>
      <c r="BB413" s="42"/>
      <c r="BC413" s="42"/>
      <c r="BD413" s="42"/>
      <c r="BE413" s="42"/>
      <c r="BF413" s="42"/>
      <c r="BG413" s="42"/>
      <c r="BH413" s="42"/>
      <c r="BI413" s="42"/>
      <c r="BJ413" s="42"/>
      <c r="BK413" s="42"/>
      <c r="BL413" s="42"/>
      <c r="BM413" s="42"/>
      <c r="BN413" s="42"/>
    </row>
    <row r="414" spans="1:66" ht="12.75" customHeight="1" x14ac:dyDescent="0.2">
      <c r="A414" s="1" t="s">
        <v>398</v>
      </c>
      <c r="B414" s="4">
        <f>_xll.ciqfunctions.udf.CIQ(InputTicker, "IQ_LIQUIDATION_VALUE_PREFERRED_REDEEM",Input!D$2,Date,,,Ccy,Conv)</f>
        <v>0</v>
      </c>
      <c r="C414" s="4">
        <f>_xll.ciqfunctions.udf.CIQ(InputTicker, "IQ_LIQUIDATION_VALUE_PREFERRED_REDEEM",Input!E$2,Date,,,Ccy,Conv)</f>
        <v>0</v>
      </c>
      <c r="D414" s="4">
        <f>_xll.ciqfunctions.udf.CIQ(InputTicker, "IQ_LIQUIDATION_VALUE_PREFERRED_REDEEM",Input!F$2,Date,,,Ccy,Conv)</f>
        <v>0</v>
      </c>
      <c r="E414" s="4">
        <f>_xll.ciqfunctions.udf.CIQ(InputTicker, "IQ_LIQUIDATION_VALUE_PREFERRED_REDEEM",Input!G$2,Date,,,Ccy,Conv)</f>
        <v>0</v>
      </c>
      <c r="F414" s="4">
        <f>_xll.ciqfunctions.udf.CIQ(InputTicker, "IQ_LIQUIDATION_VALUE_PREFERRED_REDEEM",Input!H$2,Date,,,Ccy,Conv)</f>
        <v>0</v>
      </c>
      <c r="G414" s="4">
        <f>_xll.ciqfunctions.udf.CIQ(InputTicker, "IQ_LIQUIDATION_VALUE_PREFERRED_REDEEM",Input!I$2,Date,,,Ccy,Conv)</f>
        <v>0</v>
      </c>
      <c r="H414" s="4">
        <f>_xll.ciqfunctions.udf.CIQ(InputTicker, "IQ_LIQUIDATION_VALUE_PREFERRED_REDEEM",Input!J$2,Date,,,Ccy,Conv)</f>
        <v>0</v>
      </c>
      <c r="I414" s="4">
        <f>_xll.ciqfunctions.udf.CIQ(InputTicker, "IQ_LIQUIDATION_VALUE_PREFERRED_REDEEM",Input!K$2,Date,,,Ccy,Conv)</f>
        <v>0</v>
      </c>
      <c r="J414" s="4">
        <f>_xll.ciqfunctions.udf.CIQ(InputTicker, "IQ_LIQUIDATION_VALUE_PREFERRED_REDEEM",Input!L$2,Date,,,Ccy,Conv)</f>
        <v>0</v>
      </c>
      <c r="K414" s="4">
        <f>_xll.ciqfunctions.udf.CIQ(InputTicker, "IQ_LIQUIDATION_VALUE_PREFERRED_REDEEM",Input!M$2,Date,,,Ccy,Conv)</f>
        <v>0</v>
      </c>
      <c r="L414" s="4">
        <f>_xll.ciqfunctions.udf.CIQ(InputTicker, "IQ_LIQUIDATION_VALUE_PREFERRED_REDEEM",Input!N$2,Date,,,Ccy,Conv)</f>
        <v>0</v>
      </c>
      <c r="M414" s="4">
        <f>_xll.ciqfunctions.udf.CIQ(InputTicker, "IQ_LIQUIDATION_VALUE_PREFERRED_REDEEM",Input!O$2,Date,,,Ccy,Conv)</f>
        <v>0</v>
      </c>
      <c r="N414" s="53"/>
      <c r="T414" s="42"/>
      <c r="U414" s="42"/>
      <c r="V414" s="42"/>
      <c r="W414" s="42"/>
      <c r="X414" s="42"/>
      <c r="Y414" s="42"/>
      <c r="Z414" s="42"/>
      <c r="AA414" s="42"/>
      <c r="AB414" s="42"/>
      <c r="AC414" s="42"/>
      <c r="AD414" s="42"/>
      <c r="AE414" s="42"/>
      <c r="AF414" s="42"/>
      <c r="AG414" s="42"/>
      <c r="AH414" s="42"/>
      <c r="AI414" s="42"/>
      <c r="AJ414" s="42"/>
      <c r="AK414" s="42"/>
      <c r="AL414" s="42"/>
      <c r="AM414" s="42"/>
      <c r="AN414" s="42"/>
      <c r="AO414" s="42"/>
      <c r="AP414" s="42"/>
      <c r="AQ414" s="42"/>
      <c r="AR414" s="42"/>
      <c r="AS414" s="42"/>
      <c r="AT414" s="42"/>
      <c r="AU414" s="42"/>
      <c r="AV414" s="42"/>
      <c r="AW414" s="42"/>
      <c r="AX414" s="42"/>
      <c r="AY414" s="42"/>
      <c r="AZ414" s="42"/>
      <c r="BA414" s="42"/>
      <c r="BB414" s="42"/>
      <c r="BC414" s="42"/>
      <c r="BD414" s="42"/>
      <c r="BE414" s="42"/>
      <c r="BF414" s="42"/>
      <c r="BG414" s="42"/>
      <c r="BH414" s="42"/>
      <c r="BI414" s="42"/>
      <c r="BJ414" s="42"/>
      <c r="BK414" s="42"/>
      <c r="BL414" s="42"/>
      <c r="BM414" s="42"/>
      <c r="BN414" s="42"/>
    </row>
    <row r="415" spans="1:66" ht="12.75" customHeight="1" x14ac:dyDescent="0.2">
      <c r="A415" s="1" t="s">
        <v>399</v>
      </c>
      <c r="B415" s="4">
        <f>_xll.ciqfunctions.udf.CIQ(InputTicker, "IQ_ASSETS_LEVEL_1",Input!D$2,Date,,,Ccy,Conv)</f>
        <v>94438</v>
      </c>
      <c r="C415" s="4">
        <f>_xll.ciqfunctions.udf.CIQ(InputTicker, "IQ_ASSETS_LEVEL_1",Input!E$2,Date,,,Ccy,Conv)</f>
        <v>113121</v>
      </c>
      <c r="D415" s="4">
        <f>_xll.ciqfunctions.udf.CIQ(InputTicker, "IQ_ASSETS_LEVEL_1",Input!F$2,Date,,,Ccy,Conv)</f>
        <v>107571</v>
      </c>
      <c r="E415" s="4">
        <f>_xll.ciqfunctions.udf.CIQ(InputTicker, "IQ_ASSETS_LEVEL_1",Input!G$2,Date,,,Ccy,Conv)</f>
        <v>107648</v>
      </c>
      <c r="F415" s="4">
        <f>_xll.ciqfunctions.udf.CIQ(InputTicker, "IQ_ASSETS_LEVEL_1",Input!H$2,Date,,,Ccy,Conv)</f>
        <v>99760</v>
      </c>
      <c r="G415" s="4">
        <f>_xll.ciqfunctions.udf.CIQ(InputTicker, "IQ_ASSETS_LEVEL_1",Input!I$2,Date,,,Ccy,Conv)</f>
        <v>95967</v>
      </c>
      <c r="H415" s="4">
        <f>_xll.ciqfunctions.udf.CIQ(InputTicker, "IQ_ASSETS_LEVEL_1",Input!J$2,Date,,,Ccy,Conv)</f>
        <v>79138</v>
      </c>
      <c r="I415" s="4">
        <f>_xll.ciqfunctions.udf.CIQ(InputTicker, "IQ_ASSETS_LEVEL_1",Input!K$2,Date,,,Ccy,Conv)</f>
        <v>71507</v>
      </c>
      <c r="J415" s="4">
        <f>_xll.ciqfunctions.udf.CIQ(InputTicker, "IQ_ASSETS_LEVEL_1",Input!L$2,Date,,,Ccy,Conv)</f>
        <v>50206</v>
      </c>
      <c r="K415" s="4">
        <f>_xll.ciqfunctions.udf.CIQ(InputTicker, "IQ_ASSETS_LEVEL_1",Input!M$2,Date,,,Ccy,Conv)</f>
        <v>56065</v>
      </c>
      <c r="L415" s="4">
        <f>_xll.ciqfunctions.udf.CIQ(InputTicker, "IQ_ASSETS_LEVEL_1",Input!N$2,Date,,,Ccy,Conv)</f>
        <v>52851</v>
      </c>
      <c r="M415" s="4">
        <f>_xll.ciqfunctions.udf.CIQ(InputTicker, "IQ_ASSETS_LEVEL_1",Input!O$2,Date,,,Ccy,Conv)</f>
        <v>52851</v>
      </c>
      <c r="N415" s="53"/>
      <c r="T415" s="42"/>
      <c r="U415" s="42"/>
      <c r="V415" s="42"/>
      <c r="W415" s="42"/>
      <c r="X415" s="42"/>
      <c r="Y415" s="42"/>
      <c r="Z415" s="42"/>
      <c r="AA415" s="42"/>
      <c r="AB415" s="42"/>
      <c r="AC415" s="42"/>
      <c r="AD415" s="42"/>
      <c r="AE415" s="42"/>
      <c r="AF415" s="42"/>
      <c r="AG415" s="42"/>
      <c r="AH415" s="42"/>
      <c r="AI415" s="42"/>
      <c r="AJ415" s="42"/>
      <c r="AK415" s="42"/>
      <c r="AL415" s="42"/>
      <c r="AM415" s="42"/>
      <c r="AN415" s="42"/>
      <c r="AO415" s="42"/>
      <c r="AP415" s="42"/>
      <c r="AQ415" s="42"/>
      <c r="AR415" s="42"/>
      <c r="AS415" s="42"/>
      <c r="AT415" s="42"/>
      <c r="AU415" s="42"/>
      <c r="AV415" s="42"/>
      <c r="AW415" s="42"/>
      <c r="AX415" s="42"/>
      <c r="AY415" s="42"/>
      <c r="AZ415" s="42"/>
      <c r="BA415" s="42"/>
      <c r="BB415" s="42"/>
      <c r="BC415" s="42"/>
      <c r="BD415" s="42"/>
      <c r="BE415" s="42"/>
      <c r="BF415" s="42"/>
      <c r="BG415" s="42"/>
      <c r="BH415" s="42"/>
      <c r="BI415" s="42"/>
      <c r="BJ415" s="42"/>
      <c r="BK415" s="42"/>
      <c r="BL415" s="42"/>
      <c r="BM415" s="42"/>
      <c r="BN415" s="42"/>
    </row>
    <row r="416" spans="1:66" ht="12.75" customHeight="1" x14ac:dyDescent="0.2">
      <c r="A416" s="1" t="s">
        <v>420</v>
      </c>
      <c r="B416" s="4">
        <f>_xll.ciqfunctions.udf.CIQ(InputTicker, "IQ_ASSETS_LEVEL_2",Input!D$2,Date,,,Ccy,Conv)</f>
        <v>24963</v>
      </c>
      <c r="C416" s="4">
        <f>_xll.ciqfunctions.udf.CIQ(InputTicker, "IQ_ASSETS_LEVEL_2",Input!E$2,Date,,,Ccy,Conv)</f>
        <v>21072</v>
      </c>
      <c r="D416" s="4">
        <f>_xll.ciqfunctions.udf.CIQ(InputTicker, "IQ_ASSETS_LEVEL_2",Input!F$2,Date,,,Ccy,Conv)</f>
        <v>22958</v>
      </c>
      <c r="E416" s="4">
        <f>_xll.ciqfunctions.udf.CIQ(InputTicker, "IQ_ASSETS_LEVEL_2",Input!G$2,Date,,,Ccy,Conv)</f>
        <v>23202</v>
      </c>
      <c r="F416" s="4">
        <f>_xll.ciqfunctions.udf.CIQ(InputTicker, "IQ_ASSETS_LEVEL_2",Input!H$2,Date,,,Ccy,Conv)</f>
        <v>31486</v>
      </c>
      <c r="G416" s="4">
        <f>_xll.ciqfunctions.udf.CIQ(InputTicker, "IQ_ASSETS_LEVEL_2",Input!I$2,Date,,,Ccy,Conv)</f>
        <v>27868</v>
      </c>
      <c r="H416" s="4">
        <f>_xll.ciqfunctions.udf.CIQ(InputTicker, "IQ_ASSETS_LEVEL_2",Input!J$2,Date,,,Ccy,Conv)</f>
        <v>17995</v>
      </c>
      <c r="I416" s="4">
        <f>_xll.ciqfunctions.udf.CIQ(InputTicker, "IQ_ASSETS_LEVEL_2",Input!K$2,Date,,,Ccy,Conv)</f>
        <v>34218</v>
      </c>
      <c r="J416" s="4">
        <f>_xll.ciqfunctions.udf.CIQ(InputTicker, "IQ_ASSETS_LEVEL_2",Input!L$2,Date,,,Ccy,Conv)</f>
        <v>16840</v>
      </c>
      <c r="K416" s="4">
        <f>_xll.ciqfunctions.udf.CIQ(InputTicker, "IQ_ASSETS_LEVEL_2",Input!M$2,Date,,,Ccy,Conv)</f>
        <v>30585</v>
      </c>
      <c r="L416" s="4">
        <f>_xll.ciqfunctions.udf.CIQ(InputTicker, "IQ_ASSETS_LEVEL_2",Input!N$2,Date,,,Ccy,Conv)</f>
        <v>22861</v>
      </c>
      <c r="M416" s="4">
        <f>_xll.ciqfunctions.udf.CIQ(InputTicker, "IQ_ASSETS_LEVEL_2",Input!O$2,Date,,,Ccy,Conv)</f>
        <v>22861</v>
      </c>
      <c r="N416" s="53"/>
      <c r="T416" s="42"/>
      <c r="U416" s="42"/>
      <c r="V416" s="42"/>
      <c r="W416" s="42"/>
      <c r="X416" s="42"/>
      <c r="Y416" s="42"/>
      <c r="Z416" s="42"/>
      <c r="AA416" s="42"/>
      <c r="AB416" s="42"/>
      <c r="AC416" s="42"/>
      <c r="AD416" s="42"/>
      <c r="AE416" s="42"/>
      <c r="AF416" s="42"/>
      <c r="AG416" s="42"/>
      <c r="AH416" s="42"/>
      <c r="AI416" s="42"/>
      <c r="AJ416" s="42"/>
      <c r="AK416" s="42"/>
      <c r="AL416" s="42"/>
      <c r="AM416" s="42"/>
      <c r="AN416" s="42"/>
      <c r="AO416" s="42"/>
      <c r="AP416" s="42"/>
      <c r="AQ416" s="42"/>
      <c r="AR416" s="42"/>
      <c r="AS416" s="42"/>
      <c r="AT416" s="42"/>
      <c r="AU416" s="42"/>
      <c r="AV416" s="42"/>
      <c r="AW416" s="42"/>
      <c r="AX416" s="42"/>
      <c r="AY416" s="42"/>
      <c r="AZ416" s="42"/>
      <c r="BA416" s="42"/>
      <c r="BB416" s="42"/>
      <c r="BC416" s="42"/>
      <c r="BD416" s="42"/>
      <c r="BE416" s="42"/>
      <c r="BF416" s="42"/>
      <c r="BG416" s="42"/>
      <c r="BH416" s="42"/>
      <c r="BI416" s="42"/>
      <c r="BJ416" s="42"/>
      <c r="BK416" s="42"/>
      <c r="BL416" s="42"/>
      <c r="BM416" s="42"/>
      <c r="BN416" s="42"/>
    </row>
    <row r="417" spans="1:66" ht="12.75" customHeight="1" x14ac:dyDescent="0.2">
      <c r="A417" s="1" t="s">
        <v>421</v>
      </c>
      <c r="B417" s="4">
        <f>_xll.ciqfunctions.udf.CIQ(InputTicker, "IQ_ASSETS_LEVEL_3",Input!D$2,Date,,,Ccy,Conv)</f>
        <v>19</v>
      </c>
      <c r="C417" s="4">
        <f>_xll.ciqfunctions.udf.CIQ(InputTicker, "IQ_ASSETS_LEVEL_3",Input!E$2,Date,,,Ccy,Conv)</f>
        <v>19</v>
      </c>
      <c r="D417" s="4">
        <f>_xll.ciqfunctions.udf.CIQ(InputTicker, "IQ_ASSETS_LEVEL_3",Input!F$2,Date,,,Ccy,Conv)</f>
        <v>35</v>
      </c>
      <c r="E417" s="4">
        <f>_xll.ciqfunctions.udf.CIQ(InputTicker, "IQ_ASSETS_LEVEL_3",Input!G$2,Date,,,Ccy,Conv)</f>
        <v>25</v>
      </c>
      <c r="F417" s="4">
        <f>_xll.ciqfunctions.udf.CIQ(InputTicker, "IQ_ASSETS_LEVEL_3",Input!H$2,Date,,,Ccy,Conv)</f>
        <v>150</v>
      </c>
      <c r="G417" s="4">
        <f>_xll.ciqfunctions.udf.CIQ(InputTicker, "IQ_ASSETS_LEVEL_3",Input!I$2,Date,,,Ccy,Conv)</f>
        <v>154</v>
      </c>
      <c r="H417" s="4">
        <f>_xll.ciqfunctions.udf.CIQ(InputTicker, "IQ_ASSETS_LEVEL_3",Input!J$2,Date,,,Ccy,Conv)</f>
        <v>170</v>
      </c>
      <c r="I417" s="4">
        <f>_xll.ciqfunctions.udf.CIQ(InputTicker, "IQ_ASSETS_LEVEL_3",Input!K$2,Date,,,Ccy,Conv)</f>
        <v>214</v>
      </c>
      <c r="J417" s="4">
        <f>_xll.ciqfunctions.udf.CIQ(InputTicker, "IQ_ASSETS_LEVEL_3",Input!L$2,Date,,,Ccy,Conv)</f>
        <v>1731</v>
      </c>
      <c r="K417" s="4">
        <f>_xll.ciqfunctions.udf.CIQ(InputTicker, "IQ_ASSETS_LEVEL_3",Input!M$2,Date,,,Ccy,Conv)</f>
        <v>2944</v>
      </c>
      <c r="L417" s="4">
        <f>_xll.ciqfunctions.udf.CIQ(InputTicker, "IQ_ASSETS_LEVEL_3",Input!N$2,Date,,,Ccy,Conv)</f>
        <v>1837</v>
      </c>
      <c r="M417" s="4">
        <f>_xll.ciqfunctions.udf.CIQ(InputTicker, "IQ_ASSETS_LEVEL_3",Input!O$2,Date,,,Ccy,Conv)</f>
        <v>1837</v>
      </c>
      <c r="N417" s="53"/>
      <c r="T417" s="42"/>
      <c r="U417" s="42"/>
      <c r="V417" s="42"/>
      <c r="W417" s="42"/>
      <c r="X417" s="42"/>
      <c r="Y417" s="42"/>
      <c r="Z417" s="42"/>
      <c r="AA417" s="42"/>
      <c r="AB417" s="42"/>
      <c r="AC417" s="42"/>
      <c r="AD417" s="42"/>
      <c r="AE417" s="42"/>
      <c r="AF417" s="42"/>
      <c r="AG417" s="42"/>
      <c r="AH417" s="42"/>
      <c r="AI417" s="42"/>
      <c r="AJ417" s="42"/>
      <c r="AK417" s="42"/>
      <c r="AL417" s="42"/>
      <c r="AM417" s="42"/>
      <c r="AN417" s="42"/>
      <c r="AO417" s="42"/>
      <c r="AP417" s="42"/>
      <c r="AQ417" s="42"/>
      <c r="AR417" s="42"/>
      <c r="AS417" s="42"/>
      <c r="AT417" s="42"/>
      <c r="AU417" s="42"/>
      <c r="AV417" s="42"/>
      <c r="AW417" s="42"/>
      <c r="AX417" s="42"/>
      <c r="AY417" s="42"/>
      <c r="AZ417" s="42"/>
      <c r="BA417" s="42"/>
      <c r="BB417" s="42"/>
      <c r="BC417" s="42"/>
      <c r="BD417" s="42"/>
      <c r="BE417" s="42"/>
      <c r="BF417" s="42"/>
      <c r="BG417" s="42"/>
      <c r="BH417" s="42"/>
      <c r="BI417" s="42"/>
      <c r="BJ417" s="42"/>
      <c r="BK417" s="42"/>
      <c r="BL417" s="42"/>
      <c r="BM417" s="42"/>
      <c r="BN417" s="42"/>
    </row>
    <row r="418" spans="1:66" ht="12.75" customHeight="1" x14ac:dyDescent="0.2">
      <c r="A418" s="1" t="s">
        <v>400</v>
      </c>
      <c r="B418" s="4">
        <f>_xll.ciqfunctions.udf.CIQ(InputTicker, "IQ_ASSETS_NETTING_OTHER_ADJUSTMENTS",Input!D$2,Date,,,Ccy,Conv)</f>
        <v>-401</v>
      </c>
      <c r="C418" s="4">
        <f>_xll.ciqfunctions.udf.CIQ(InputTicker, "IQ_ASSETS_NETTING_OTHER_ADJUSTMENTS",Input!E$2,Date,,,Ccy,Conv)</f>
        <v>-227</v>
      </c>
      <c r="D418" s="4">
        <f>_xll.ciqfunctions.udf.CIQ(InputTicker, "IQ_ASSETS_NETTING_OTHER_ADJUSTMENTS",Input!F$2,Date,,,Ccy,Conv)</f>
        <v>0</v>
      </c>
      <c r="E418" s="4">
        <f>_xll.ciqfunctions.udf.CIQ(InputTicker, "IQ_ASSETS_NETTING_OTHER_ADJUSTMENTS",Input!G$2,Date,,,Ccy,Conv)</f>
        <v>0</v>
      </c>
      <c r="F418" s="4">
        <f>_xll.ciqfunctions.udf.CIQ(InputTicker, "IQ_ASSETS_NETTING_OTHER_ADJUSTMENTS",Input!H$2,Date,,,Ccy,Conv)</f>
        <v>0</v>
      </c>
      <c r="G418" s="4">
        <f>_xll.ciqfunctions.udf.CIQ(InputTicker, "IQ_ASSETS_NETTING_OTHER_ADJUSTMENTS",Input!I$2,Date,,,Ccy,Conv)</f>
        <v>0</v>
      </c>
      <c r="H418" s="4">
        <f>_xll.ciqfunctions.udf.CIQ(InputTicker, "IQ_ASSETS_NETTING_OTHER_ADJUSTMENTS",Input!J$2,Date,,,Ccy,Conv)</f>
        <v>0</v>
      </c>
      <c r="I418" s="4">
        <f>_xll.ciqfunctions.udf.CIQ(InputTicker, "IQ_ASSETS_NETTING_OTHER_ADJUSTMENTS",Input!K$2,Date,,,Ccy,Conv)</f>
        <v>0</v>
      </c>
      <c r="J418" s="4">
        <f>_xll.ciqfunctions.udf.CIQ(InputTicker, "IQ_ASSETS_NETTING_OTHER_ADJUSTMENTS",Input!L$2,Date,,,Ccy,Conv)</f>
        <v>0</v>
      </c>
      <c r="K418" s="4">
        <f>_xll.ciqfunctions.udf.CIQ(InputTicker, "IQ_ASSETS_NETTING_OTHER_ADJUSTMENTS",Input!M$2,Date,,,Ccy,Conv)</f>
        <v>0</v>
      </c>
      <c r="L418" s="4">
        <f>_xll.ciqfunctions.udf.CIQ(InputTicker, "IQ_ASSETS_NETTING_OTHER_ADJUSTMENTS",Input!N$2,Date,,,Ccy,Conv)</f>
        <v>0</v>
      </c>
      <c r="M418" s="4">
        <f>_xll.ciqfunctions.udf.CIQ(InputTicker, "IQ_ASSETS_NETTING_OTHER_ADJUSTMENTS",Input!O$2,Date,,,Ccy,Conv)</f>
        <v>0</v>
      </c>
      <c r="N418" s="53"/>
      <c r="T418" s="42"/>
      <c r="U418" s="42"/>
      <c r="V418" s="42"/>
      <c r="W418" s="42"/>
      <c r="X418" s="42"/>
      <c r="Y418" s="42"/>
      <c r="Z418" s="42"/>
      <c r="AA418" s="42"/>
      <c r="AB418" s="42"/>
      <c r="AC418" s="42"/>
      <c r="AD418" s="42"/>
      <c r="AE418" s="42"/>
      <c r="AF418" s="42"/>
      <c r="AG418" s="42"/>
      <c r="AH418" s="42"/>
      <c r="AI418" s="42"/>
      <c r="AJ418" s="42"/>
      <c r="AK418" s="42"/>
      <c r="AL418" s="42"/>
      <c r="AM418" s="42"/>
      <c r="AN418" s="42"/>
      <c r="AO418" s="42"/>
      <c r="AP418" s="42"/>
      <c r="AQ418" s="42"/>
      <c r="AR418" s="42"/>
      <c r="AS418" s="42"/>
      <c r="AT418" s="42"/>
      <c r="AU418" s="42"/>
      <c r="AV418" s="42"/>
      <c r="AW418" s="42"/>
      <c r="AX418" s="42"/>
      <c r="AY418" s="42"/>
      <c r="AZ418" s="42"/>
      <c r="BA418" s="42"/>
      <c r="BB418" s="42"/>
      <c r="BC418" s="42"/>
      <c r="BD418" s="42"/>
      <c r="BE418" s="42"/>
      <c r="BF418" s="42"/>
      <c r="BG418" s="42"/>
      <c r="BH418" s="42"/>
      <c r="BI418" s="42"/>
      <c r="BJ418" s="42"/>
      <c r="BK418" s="42"/>
      <c r="BL418" s="42"/>
      <c r="BM418" s="42"/>
      <c r="BN418" s="42"/>
    </row>
    <row r="419" spans="1:66" ht="12.75" customHeight="1" x14ac:dyDescent="0.2">
      <c r="A419" s="1" t="s">
        <v>401</v>
      </c>
      <c r="B419" s="4">
        <f>_xll.ciqfunctions.udf.CIQ(InputTicker, "IQ_ASSETS_FAIR_VALUE",Input!D$2,Date,,,Ccy,Conv)</f>
        <v>119019</v>
      </c>
      <c r="C419" s="4">
        <f>_xll.ciqfunctions.udf.CIQ(InputTicker, "IQ_ASSETS_FAIR_VALUE",Input!E$2,Date,,,Ccy,Conv)</f>
        <v>133985</v>
      </c>
      <c r="D419" s="4">
        <f>_xll.ciqfunctions.udf.CIQ(InputTicker, "IQ_ASSETS_FAIR_VALUE",Input!F$2,Date,,,Ccy,Conv)</f>
        <v>130564</v>
      </c>
      <c r="E419" s="4">
        <f>_xll.ciqfunctions.udf.CIQ(InputTicker, "IQ_ASSETS_FAIR_VALUE",Input!G$2,Date,,,Ccy,Conv)</f>
        <v>130875</v>
      </c>
      <c r="F419" s="4">
        <f>_xll.ciqfunctions.udf.CIQ(InputTicker, "IQ_ASSETS_FAIR_VALUE",Input!H$2,Date,,,Ccy,Conv)</f>
        <v>131396</v>
      </c>
      <c r="G419" s="4">
        <f>_xll.ciqfunctions.udf.CIQ(InputTicker, "IQ_ASSETS_FAIR_VALUE",Input!I$2,Date,,,Ccy,Conv)</f>
        <v>123989</v>
      </c>
      <c r="H419" s="4">
        <f>_xll.ciqfunctions.udf.CIQ(InputTicker, "IQ_ASSETS_FAIR_VALUE",Input!J$2,Date,,,Ccy,Conv)</f>
        <v>97303</v>
      </c>
      <c r="I419" s="4">
        <f>_xll.ciqfunctions.udf.CIQ(InputTicker, "IQ_ASSETS_FAIR_VALUE",Input!K$2,Date,,,Ccy,Conv)</f>
        <v>105939</v>
      </c>
      <c r="J419" s="4">
        <f>_xll.ciqfunctions.udf.CIQ(InputTicker, "IQ_ASSETS_FAIR_VALUE",Input!L$2,Date,,,Ccy,Conv)</f>
        <v>68777</v>
      </c>
      <c r="K419" s="4">
        <f>_xll.ciqfunctions.udf.CIQ(InputTicker, "IQ_ASSETS_FAIR_VALUE",Input!M$2,Date,,,Ccy,Conv)</f>
        <v>89594</v>
      </c>
      <c r="L419" s="4">
        <f>_xll.ciqfunctions.udf.CIQ(InputTicker, "IQ_ASSETS_FAIR_VALUE",Input!N$2,Date,,,Ccy,Conv)</f>
        <v>77549</v>
      </c>
      <c r="M419" s="4">
        <f>_xll.ciqfunctions.udf.CIQ(InputTicker, "IQ_ASSETS_FAIR_VALUE",Input!O$2,Date,,,Ccy,Conv)</f>
        <v>77549</v>
      </c>
      <c r="N419" s="53"/>
      <c r="T419" s="42"/>
      <c r="U419" s="42"/>
      <c r="V419" s="42"/>
      <c r="W419" s="42"/>
      <c r="X419" s="42"/>
      <c r="Y419" s="42"/>
      <c r="Z419" s="42"/>
      <c r="AA419" s="42"/>
      <c r="AB419" s="42"/>
      <c r="AC419" s="42"/>
      <c r="AD419" s="42"/>
      <c r="AE419" s="42"/>
      <c r="AF419" s="42"/>
      <c r="AG419" s="42"/>
      <c r="AH419" s="42"/>
      <c r="AI419" s="42"/>
      <c r="AJ419" s="42"/>
      <c r="AK419" s="42"/>
      <c r="AL419" s="42"/>
      <c r="AM419" s="42"/>
      <c r="AN419" s="42"/>
      <c r="AO419" s="42"/>
      <c r="AP419" s="42"/>
      <c r="AQ419" s="42"/>
      <c r="AR419" s="42"/>
      <c r="AS419" s="42"/>
      <c r="AT419" s="42"/>
      <c r="AU419" s="42"/>
      <c r="AV419" s="42"/>
      <c r="AW419" s="42"/>
      <c r="AX419" s="42"/>
      <c r="AY419" s="42"/>
      <c r="AZ419" s="42"/>
      <c r="BA419" s="42"/>
      <c r="BB419" s="42"/>
      <c r="BC419" s="42"/>
      <c r="BD419" s="42"/>
      <c r="BE419" s="42"/>
      <c r="BF419" s="42"/>
      <c r="BG419" s="42"/>
      <c r="BH419" s="42"/>
      <c r="BI419" s="42"/>
      <c r="BJ419" s="42"/>
      <c r="BK419" s="42"/>
      <c r="BL419" s="42"/>
      <c r="BM419" s="42"/>
      <c r="BN419" s="42"/>
    </row>
    <row r="420" spans="1:66" ht="12.75" customHeight="1" x14ac:dyDescent="0.2">
      <c r="A420" s="1" t="s">
        <v>402</v>
      </c>
      <c r="B420" s="4">
        <f>_xll.ciqfunctions.udf.CIQ(InputTicker, "IQ_LIABILITIES_LEVEL_1",Input!D$2,Date,,,Ccy,Conv)</f>
        <v>17</v>
      </c>
      <c r="C420" s="4">
        <f>_xll.ciqfunctions.udf.CIQ(InputTicker, "IQ_LIABILITIES_LEVEL_1",Input!E$2,Date,,,Ccy,Conv)</f>
        <v>0</v>
      </c>
      <c r="D420" s="4">
        <f>_xll.ciqfunctions.udf.CIQ(InputTicker, "IQ_LIABILITIES_LEVEL_1",Input!F$2,Date,,,Ccy,Conv)</f>
        <v>1</v>
      </c>
      <c r="E420" s="4">
        <f>_xll.ciqfunctions.udf.CIQ(InputTicker, "IQ_LIABILITIES_LEVEL_1",Input!G$2,Date,,,Ccy,Conv)</f>
        <v>0</v>
      </c>
      <c r="F420" s="4">
        <f>_xll.ciqfunctions.udf.CIQ(InputTicker, "IQ_LIABILITIES_LEVEL_1",Input!H$2,Date,,,Ccy,Conv)</f>
        <v>0</v>
      </c>
      <c r="G420" s="4">
        <f>_xll.ciqfunctions.udf.CIQ(InputTicker, "IQ_LIABILITIES_LEVEL_1",Input!I$2,Date,,,Ccy,Conv)</f>
        <v>0</v>
      </c>
      <c r="H420" s="4">
        <f>_xll.ciqfunctions.udf.CIQ(InputTicker, "IQ_LIABILITIES_LEVEL_1",Input!J$2,Date,,,Ccy,Conv)</f>
        <v>0</v>
      </c>
      <c r="I420" s="4">
        <f>_xll.ciqfunctions.udf.CIQ(InputTicker, "IQ_LIABILITIES_LEVEL_1",Input!K$2,Date,,,Ccy,Conv)</f>
        <v>0</v>
      </c>
      <c r="J420" s="4">
        <f>_xll.ciqfunctions.udf.CIQ(InputTicker, "IQ_LIABILITIES_LEVEL_1",Input!L$2,Date,,,Ccy,Conv)</f>
        <v>1</v>
      </c>
      <c r="K420" s="4">
        <f>_xll.ciqfunctions.udf.CIQ(InputTicker, "IQ_LIABILITIES_LEVEL_1",Input!M$2,Date,,,Ccy,Conv)</f>
        <v>0</v>
      </c>
      <c r="L420" s="4">
        <f>_xll.ciqfunctions.udf.CIQ(InputTicker, "IQ_LIABILITIES_LEVEL_1",Input!N$2,Date,,,Ccy,Conv)</f>
        <v>0</v>
      </c>
      <c r="M420" s="4">
        <f>_xll.ciqfunctions.udf.CIQ(InputTicker, "IQ_LIABILITIES_LEVEL_1",Input!O$2,Date,,,Ccy,Conv)</f>
        <v>0</v>
      </c>
      <c r="N420" s="53"/>
      <c r="T420" s="42"/>
      <c r="U420" s="42"/>
      <c r="V420" s="42"/>
      <c r="W420" s="42"/>
      <c r="X420" s="42"/>
      <c r="Y420" s="42"/>
      <c r="Z420" s="42"/>
      <c r="AA420" s="42"/>
      <c r="AB420" s="42"/>
      <c r="AC420" s="42"/>
      <c r="AD420" s="42"/>
      <c r="AE420" s="42"/>
      <c r="AF420" s="42"/>
      <c r="AG420" s="42"/>
      <c r="AH420" s="42"/>
      <c r="AI420" s="42"/>
      <c r="AJ420" s="42"/>
      <c r="AK420" s="42"/>
      <c r="AL420" s="42"/>
      <c r="AM420" s="42"/>
      <c r="AN420" s="42"/>
      <c r="AO420" s="42"/>
      <c r="AP420" s="42"/>
      <c r="AQ420" s="42"/>
      <c r="AR420" s="42"/>
      <c r="AS420" s="42"/>
      <c r="AT420" s="42"/>
      <c r="AU420" s="42"/>
      <c r="AV420" s="42"/>
      <c r="AW420" s="42"/>
      <c r="AX420" s="42"/>
      <c r="AY420" s="42"/>
      <c r="AZ420" s="42"/>
      <c r="BA420" s="42"/>
      <c r="BB420" s="42"/>
      <c r="BC420" s="42"/>
      <c r="BD420" s="42"/>
      <c r="BE420" s="42"/>
      <c r="BF420" s="42"/>
      <c r="BG420" s="42"/>
      <c r="BH420" s="42"/>
      <c r="BI420" s="42"/>
      <c r="BJ420" s="42"/>
      <c r="BK420" s="42"/>
      <c r="BL420" s="42"/>
      <c r="BM420" s="42"/>
      <c r="BN420" s="42"/>
    </row>
    <row r="421" spans="1:66" ht="12.75" customHeight="1" x14ac:dyDescent="0.2">
      <c r="A421" s="1" t="s">
        <v>422</v>
      </c>
      <c r="B421" s="4">
        <f>_xll.ciqfunctions.udf.CIQ(InputTicker, "IQ_LIABILITIES_LEVEL_2",Input!D$2,Date,,,Ccy,Conv)</f>
        <v>44613</v>
      </c>
      <c r="C421" s="4">
        <f>_xll.ciqfunctions.udf.CIQ(InputTicker, "IQ_LIABILITIES_LEVEL_2",Input!E$2,Date,,,Ccy,Conv)</f>
        <v>80645</v>
      </c>
      <c r="D421" s="4">
        <f>_xll.ciqfunctions.udf.CIQ(InputTicker, "IQ_LIABILITIES_LEVEL_2",Input!F$2,Date,,,Ccy,Conv)</f>
        <v>77706</v>
      </c>
      <c r="E421" s="4">
        <f>_xll.ciqfunctions.udf.CIQ(InputTicker, "IQ_LIABILITIES_LEVEL_2",Input!G$2,Date,,,Ccy,Conv)</f>
        <v>79172</v>
      </c>
      <c r="F421" s="4">
        <f>_xll.ciqfunctions.udf.CIQ(InputTicker, "IQ_LIABILITIES_LEVEL_2",Input!H$2,Date,,,Ccy,Conv)</f>
        <v>77499</v>
      </c>
      <c r="G421" s="4">
        <f>_xll.ciqfunctions.udf.CIQ(InputTicker, "IQ_LIABILITIES_LEVEL_2",Input!I$2,Date,,,Ccy,Conv)</f>
        <v>70335</v>
      </c>
      <c r="H421" s="4">
        <f>_xll.ciqfunctions.udf.CIQ(InputTicker, "IQ_LIABILITIES_LEVEL_2",Input!J$2,Date,,,Ccy,Conv)</f>
        <v>51451</v>
      </c>
      <c r="I421" s="4">
        <f>_xll.ciqfunctions.udf.CIQ(InputTicker, "IQ_LIABILITIES_LEVEL_2",Input!K$2,Date,,,Ccy,Conv)</f>
        <v>47005</v>
      </c>
      <c r="J421" s="4">
        <f>_xll.ciqfunctions.udf.CIQ(InputTicker, "IQ_LIABILITIES_LEVEL_2",Input!L$2,Date,,,Ccy,Conv)</f>
        <v>43099</v>
      </c>
      <c r="K421" s="4">
        <f>_xll.ciqfunctions.udf.CIQ(InputTicker, "IQ_LIABILITIES_LEVEL_2",Input!M$2,Date,,,Ccy,Conv)</f>
        <v>42232</v>
      </c>
      <c r="L421" s="4">
        <f>_xll.ciqfunctions.udf.CIQ(InputTicker, "IQ_LIABILITIES_LEVEL_2",Input!N$2,Date,,,Ccy,Conv)</f>
        <v>37930</v>
      </c>
      <c r="M421" s="4">
        <f>_xll.ciqfunctions.udf.CIQ(InputTicker, "IQ_LIABILITIES_LEVEL_2",Input!O$2,Date,,,Ccy,Conv)</f>
        <v>37930</v>
      </c>
      <c r="N421" s="53"/>
      <c r="T421" s="42"/>
      <c r="U421" s="42"/>
      <c r="V421" s="42"/>
      <c r="W421" s="42"/>
      <c r="X421" s="42"/>
      <c r="Y421" s="42"/>
      <c r="Z421" s="42"/>
      <c r="AA421" s="42"/>
      <c r="AB421" s="42"/>
      <c r="AC421" s="42"/>
      <c r="AD421" s="42"/>
      <c r="AE421" s="42"/>
      <c r="AF421" s="42"/>
      <c r="AG421" s="42"/>
      <c r="AH421" s="42"/>
      <c r="AI421" s="42"/>
      <c r="AJ421" s="42"/>
      <c r="AK421" s="42"/>
      <c r="AL421" s="42"/>
      <c r="AM421" s="42"/>
      <c r="AN421" s="42"/>
      <c r="AO421" s="42"/>
      <c r="AP421" s="42"/>
      <c r="AQ421" s="42"/>
      <c r="AR421" s="42"/>
      <c r="AS421" s="42"/>
      <c r="AT421" s="42"/>
      <c r="AU421" s="42"/>
      <c r="AV421" s="42"/>
      <c r="AW421" s="42"/>
      <c r="AX421" s="42"/>
      <c r="AY421" s="42"/>
      <c r="AZ421" s="42"/>
      <c r="BA421" s="42"/>
      <c r="BB421" s="42"/>
      <c r="BC421" s="42"/>
      <c r="BD421" s="42"/>
      <c r="BE421" s="42"/>
      <c r="BF421" s="42"/>
      <c r="BG421" s="42"/>
      <c r="BH421" s="42"/>
      <c r="BI421" s="42"/>
      <c r="BJ421" s="42"/>
      <c r="BK421" s="42"/>
      <c r="BL421" s="42"/>
      <c r="BM421" s="42"/>
      <c r="BN421" s="42"/>
    </row>
    <row r="422" spans="1:66" ht="12.75" customHeight="1" x14ac:dyDescent="0.2">
      <c r="A422" s="1" t="s">
        <v>423</v>
      </c>
      <c r="B422" s="4">
        <f>_xll.ciqfunctions.udf.CIQ(InputTicker, "IQ_LIABILITIES_LEVEL_3",Input!D$2,Date,,,Ccy,Conv)</f>
        <v>0</v>
      </c>
      <c r="C422" s="4">
        <f>_xll.ciqfunctions.udf.CIQ(InputTicker, "IQ_LIABILITIES_LEVEL_3",Input!E$2,Date,,,Ccy,Conv)</f>
        <v>39</v>
      </c>
      <c r="D422" s="4">
        <f>_xll.ciqfunctions.udf.CIQ(InputTicker, "IQ_LIABILITIES_LEVEL_3",Input!F$2,Date,,,Ccy,Conv)</f>
        <v>0</v>
      </c>
      <c r="E422" s="4">
        <f>_xll.ciqfunctions.udf.CIQ(InputTicker, "IQ_LIABILITIES_LEVEL_3",Input!G$2,Date,,,Ccy,Conv)</f>
        <v>0</v>
      </c>
      <c r="F422" s="4">
        <f>_xll.ciqfunctions.udf.CIQ(InputTicker, "IQ_LIABILITIES_LEVEL_3",Input!H$2,Date,,,Ccy,Conv)</f>
        <v>0</v>
      </c>
      <c r="G422" s="4">
        <f>_xll.ciqfunctions.udf.CIQ(InputTicker, "IQ_LIABILITIES_LEVEL_3",Input!I$2,Date,,,Ccy,Conv)</f>
        <v>0</v>
      </c>
      <c r="H422" s="4">
        <f>_xll.ciqfunctions.udf.CIQ(InputTicker, "IQ_LIABILITIES_LEVEL_3",Input!J$2,Date,,,Ccy,Conv)</f>
        <v>0</v>
      </c>
      <c r="I422" s="4">
        <f>_xll.ciqfunctions.udf.CIQ(InputTicker, "IQ_LIABILITIES_LEVEL_3",Input!K$2,Date,,,Ccy,Conv)</f>
        <v>0</v>
      </c>
      <c r="J422" s="4">
        <f>_xll.ciqfunctions.udf.CIQ(InputTicker, "IQ_LIABILITIES_LEVEL_3",Input!L$2,Date,,,Ccy,Conv)</f>
        <v>0</v>
      </c>
      <c r="K422" s="4">
        <f>_xll.ciqfunctions.udf.CIQ(InputTicker, "IQ_LIABILITIES_LEVEL_3",Input!M$2,Date,,,Ccy,Conv)</f>
        <v>5</v>
      </c>
      <c r="L422" s="4">
        <f>_xll.ciqfunctions.udf.CIQ(InputTicker, "IQ_LIABILITIES_LEVEL_3",Input!N$2,Date,,,Ccy,Conv)</f>
        <v>0</v>
      </c>
      <c r="M422" s="4">
        <f>_xll.ciqfunctions.udf.CIQ(InputTicker, "IQ_LIABILITIES_LEVEL_3",Input!O$2,Date,,,Ccy,Conv)</f>
        <v>0</v>
      </c>
      <c r="N422" s="53"/>
      <c r="T422" s="42"/>
      <c r="U422" s="42"/>
      <c r="V422" s="42"/>
      <c r="W422" s="42"/>
      <c r="X422" s="42"/>
      <c r="Y422" s="42"/>
      <c r="Z422" s="42"/>
      <c r="AA422" s="42"/>
      <c r="AB422" s="42"/>
      <c r="AC422" s="42"/>
      <c r="AD422" s="42"/>
      <c r="AE422" s="42"/>
      <c r="AF422" s="42"/>
      <c r="AG422" s="42"/>
      <c r="AH422" s="42"/>
      <c r="AI422" s="42"/>
      <c r="AJ422" s="42"/>
      <c r="AK422" s="42"/>
      <c r="AL422" s="42"/>
      <c r="AM422" s="42"/>
      <c r="AN422" s="42"/>
      <c r="AO422" s="42"/>
      <c r="AP422" s="42"/>
      <c r="AQ422" s="42"/>
      <c r="AR422" s="42"/>
      <c r="AS422" s="42"/>
      <c r="AT422" s="42"/>
      <c r="AU422" s="42"/>
      <c r="AV422" s="42"/>
      <c r="AW422" s="42"/>
      <c r="AX422" s="42"/>
      <c r="AY422" s="42"/>
      <c r="AZ422" s="42"/>
      <c r="BA422" s="42"/>
      <c r="BB422" s="42"/>
      <c r="BC422" s="42"/>
      <c r="BD422" s="42"/>
      <c r="BE422" s="42"/>
      <c r="BF422" s="42"/>
      <c r="BG422" s="42"/>
      <c r="BH422" s="42"/>
      <c r="BI422" s="42"/>
      <c r="BJ422" s="42"/>
      <c r="BK422" s="42"/>
      <c r="BL422" s="42"/>
      <c r="BM422" s="42"/>
      <c r="BN422" s="42"/>
    </row>
    <row r="423" spans="1:66" ht="12.75" customHeight="1" x14ac:dyDescent="0.2">
      <c r="A423" s="1" t="s">
        <v>403</v>
      </c>
      <c r="B423" s="4">
        <f>_xll.ciqfunctions.udf.CIQ(InputTicker, "IQ_LIABILITIES_NETTING_OTHER_ADJUSTMENTS",Input!D$2,Date,,,Ccy,Conv)</f>
        <v>-398</v>
      </c>
      <c r="C423" s="4">
        <f>_xll.ciqfunctions.udf.CIQ(InputTicker, "IQ_LIABILITIES_NETTING_OTHER_ADJUSTMENTS",Input!E$2,Date,,,Ccy,Conv)</f>
        <v>-228</v>
      </c>
      <c r="D423" s="4">
        <f>_xll.ciqfunctions.udf.CIQ(InputTicker, "IQ_LIABILITIES_NETTING_OTHER_ADJUSTMENTS",Input!F$2,Date,,,Ccy,Conv)</f>
        <v>0</v>
      </c>
      <c r="E423" s="4">
        <f>_xll.ciqfunctions.udf.CIQ(InputTicker, "IQ_LIABILITIES_NETTING_OTHER_ADJUSTMENTS",Input!G$2,Date,,,Ccy,Conv)</f>
        <v>0</v>
      </c>
      <c r="F423" s="4">
        <f>_xll.ciqfunctions.udf.CIQ(InputTicker, "IQ_LIABILITIES_NETTING_OTHER_ADJUSTMENTS",Input!H$2,Date,,,Ccy,Conv)</f>
        <v>0</v>
      </c>
      <c r="G423" s="4">
        <f>_xll.ciqfunctions.udf.CIQ(InputTicker, "IQ_LIABILITIES_NETTING_OTHER_ADJUSTMENTS",Input!I$2,Date,,,Ccy,Conv)</f>
        <v>0</v>
      </c>
      <c r="H423" s="4">
        <f>_xll.ciqfunctions.udf.CIQ(InputTicker, "IQ_LIABILITIES_NETTING_OTHER_ADJUSTMENTS",Input!J$2,Date,,,Ccy,Conv)</f>
        <v>0</v>
      </c>
      <c r="I423" s="4">
        <f>_xll.ciqfunctions.udf.CIQ(InputTicker, "IQ_LIABILITIES_NETTING_OTHER_ADJUSTMENTS",Input!K$2,Date,,,Ccy,Conv)</f>
        <v>0</v>
      </c>
      <c r="J423" s="4">
        <f>_xll.ciqfunctions.udf.CIQ(InputTicker, "IQ_LIABILITIES_NETTING_OTHER_ADJUSTMENTS",Input!L$2,Date,,,Ccy,Conv)</f>
        <v>0</v>
      </c>
      <c r="K423" s="4">
        <f>_xll.ciqfunctions.udf.CIQ(InputTicker, "IQ_LIABILITIES_NETTING_OTHER_ADJUSTMENTS",Input!M$2,Date,,,Ccy,Conv)</f>
        <v>0</v>
      </c>
      <c r="L423" s="4">
        <f>_xll.ciqfunctions.udf.CIQ(InputTicker, "IQ_LIABILITIES_NETTING_OTHER_ADJUSTMENTS",Input!N$2,Date,,,Ccy,Conv)</f>
        <v>0</v>
      </c>
      <c r="M423" s="4">
        <f>_xll.ciqfunctions.udf.CIQ(InputTicker, "IQ_LIABILITIES_NETTING_OTHER_ADJUSTMENTS",Input!O$2,Date,,,Ccy,Conv)</f>
        <v>0</v>
      </c>
      <c r="N423" s="53"/>
      <c r="T423" s="42"/>
      <c r="U423" s="42"/>
      <c r="V423" s="42"/>
      <c r="W423" s="42"/>
      <c r="X423" s="42"/>
      <c r="Y423" s="42"/>
      <c r="Z423" s="42"/>
      <c r="AA423" s="42"/>
      <c r="AB423" s="42"/>
      <c r="AC423" s="42"/>
      <c r="AD423" s="42"/>
      <c r="AE423" s="42"/>
      <c r="AF423" s="42"/>
      <c r="AG423" s="42"/>
      <c r="AH423" s="42"/>
      <c r="AI423" s="42"/>
      <c r="AJ423" s="42"/>
      <c r="AK423" s="42"/>
      <c r="AL423" s="42"/>
      <c r="AM423" s="42"/>
      <c r="AN423" s="42"/>
      <c r="AO423" s="42"/>
      <c r="AP423" s="42"/>
      <c r="AQ423" s="42"/>
      <c r="AR423" s="42"/>
      <c r="AS423" s="42"/>
      <c r="AT423" s="42"/>
      <c r="AU423" s="42"/>
      <c r="AV423" s="42"/>
      <c r="AW423" s="42"/>
      <c r="AX423" s="42"/>
      <c r="AY423" s="42"/>
      <c r="AZ423" s="42"/>
      <c r="BA423" s="42"/>
      <c r="BB423" s="42"/>
      <c r="BC423" s="42"/>
      <c r="BD423" s="42"/>
      <c r="BE423" s="42"/>
      <c r="BF423" s="42"/>
      <c r="BG423" s="42"/>
      <c r="BH423" s="42"/>
      <c r="BI423" s="42"/>
      <c r="BJ423" s="42"/>
      <c r="BK423" s="42"/>
      <c r="BL423" s="42"/>
      <c r="BM423" s="42"/>
      <c r="BN423" s="42"/>
    </row>
    <row r="424" spans="1:66" ht="12.75" customHeight="1" x14ac:dyDescent="0.2">
      <c r="A424" s="1" t="s">
        <v>404</v>
      </c>
      <c r="B424" s="4">
        <f>_xll.ciqfunctions.udf.CIQ(InputTicker, "IQ_LIABILITIES_FAIR_VALUE",Input!D$2,Date,,,Ccy,Conv)</f>
        <v>44232</v>
      </c>
      <c r="C424" s="4">
        <f>_xll.ciqfunctions.udf.CIQ(InputTicker, "IQ_LIABILITIES_FAIR_VALUE",Input!E$2,Date,,,Ccy,Conv)</f>
        <v>80456</v>
      </c>
      <c r="D424" s="4">
        <f>_xll.ciqfunctions.udf.CIQ(InputTicker, "IQ_LIABILITIES_FAIR_VALUE",Input!F$2,Date,,,Ccy,Conv)</f>
        <v>77707</v>
      </c>
      <c r="E424" s="4">
        <f>_xll.ciqfunctions.udf.CIQ(InputTicker, "IQ_LIABILITIES_FAIR_VALUE",Input!G$2,Date,,,Ccy,Conv)</f>
        <v>79172</v>
      </c>
      <c r="F424" s="4">
        <f>_xll.ciqfunctions.udf.CIQ(InputTicker, "IQ_LIABILITIES_FAIR_VALUE",Input!H$2,Date,,,Ccy,Conv)</f>
        <v>77499</v>
      </c>
      <c r="G424" s="4">
        <f>_xll.ciqfunctions.udf.CIQ(InputTicker, "IQ_LIABILITIES_FAIR_VALUE",Input!I$2,Date,,,Ccy,Conv)</f>
        <v>70335</v>
      </c>
      <c r="H424" s="4">
        <f>_xll.ciqfunctions.udf.CIQ(InputTicker, "IQ_LIABILITIES_FAIR_VALUE",Input!J$2,Date,,,Ccy,Conv)</f>
        <v>51451</v>
      </c>
      <c r="I424" s="4">
        <f>_xll.ciqfunctions.udf.CIQ(InputTicker, "IQ_LIABILITIES_FAIR_VALUE",Input!K$2,Date,,,Ccy,Conv)</f>
        <v>47005</v>
      </c>
      <c r="J424" s="4">
        <f>_xll.ciqfunctions.udf.CIQ(InputTicker, "IQ_LIABILITIES_FAIR_VALUE",Input!L$2,Date,,,Ccy,Conv)</f>
        <v>43100</v>
      </c>
      <c r="K424" s="4">
        <f>_xll.ciqfunctions.udf.CIQ(InputTicker, "IQ_LIABILITIES_FAIR_VALUE",Input!M$2,Date,,,Ccy,Conv)</f>
        <v>42237</v>
      </c>
      <c r="L424" s="4">
        <f>_xll.ciqfunctions.udf.CIQ(InputTicker, "IQ_LIABILITIES_FAIR_VALUE",Input!N$2,Date,,,Ccy,Conv)</f>
        <v>37930</v>
      </c>
      <c r="M424" s="4">
        <f>_xll.ciqfunctions.udf.CIQ(InputTicker, "IQ_LIABILITIES_FAIR_VALUE",Input!O$2,Date,,,Ccy,Conv)</f>
        <v>37930</v>
      </c>
      <c r="N424" s="54"/>
      <c r="T424" s="42"/>
      <c r="U424" s="42"/>
      <c r="V424" s="42"/>
      <c r="W424" s="42"/>
      <c r="X424" s="42"/>
      <c r="Y424" s="42"/>
      <c r="Z424" s="42"/>
      <c r="AA424" s="42"/>
      <c r="AB424" s="42"/>
      <c r="AC424" s="42"/>
      <c r="AD424" s="42"/>
      <c r="AE424" s="42"/>
      <c r="AF424" s="42"/>
      <c r="AG424" s="42"/>
      <c r="AH424" s="42"/>
      <c r="AI424" s="42"/>
      <c r="AJ424" s="42"/>
      <c r="AK424" s="42"/>
      <c r="AL424" s="42"/>
      <c r="AM424" s="42"/>
      <c r="AN424" s="42"/>
      <c r="AO424" s="42"/>
      <c r="AP424" s="42"/>
      <c r="AQ424" s="42"/>
      <c r="AR424" s="42"/>
      <c r="AS424" s="42"/>
      <c r="AT424" s="42"/>
      <c r="AU424" s="42"/>
      <c r="AV424" s="42"/>
      <c r="AW424" s="42"/>
      <c r="AX424" s="42"/>
      <c r="AY424" s="42"/>
      <c r="AZ424" s="42"/>
      <c r="BA424" s="42"/>
      <c r="BB424" s="42"/>
      <c r="BC424" s="42"/>
      <c r="BD424" s="42"/>
      <c r="BE424" s="42"/>
      <c r="BF424" s="42"/>
      <c r="BG424" s="42"/>
      <c r="BH424" s="42"/>
      <c r="BI424" s="42"/>
      <c r="BJ424" s="42"/>
      <c r="BK424" s="42"/>
      <c r="BL424" s="42"/>
      <c r="BM424" s="42"/>
      <c r="BN424" s="42"/>
    </row>
    <row r="425" spans="1:66" ht="12.75" customHeight="1" x14ac:dyDescent="0.2">
      <c r="A425" s="1" t="s">
        <v>405</v>
      </c>
      <c r="B425" s="4">
        <f>_xll.ciqfunctions.udf.CIQ(InputTicker, "IQ_FAIR_VALUE_CHANGE_INCL_EARNINGS",Input!D$2,Date,,,Ccy,Conv)</f>
        <v>0</v>
      </c>
      <c r="C425" s="4">
        <f>_xll.ciqfunctions.udf.CIQ(InputTicker, "IQ_FAIR_VALUE_CHANGE_INCL_EARNINGS",Input!E$2,Date,,,Ccy,Conv)</f>
        <v>0</v>
      </c>
      <c r="D425" s="4">
        <f>_xll.ciqfunctions.udf.CIQ(InputTicker, "IQ_FAIR_VALUE_CHANGE_INCL_EARNINGS",Input!F$2,Date,,,Ccy,Conv)</f>
        <v>0</v>
      </c>
      <c r="E425" s="4">
        <f>_xll.ciqfunctions.udf.CIQ(InputTicker, "IQ_FAIR_VALUE_CHANGE_INCL_EARNINGS",Input!G$2,Date,,,Ccy,Conv)</f>
        <v>0</v>
      </c>
      <c r="F425" s="4">
        <f>_xll.ciqfunctions.udf.CIQ(InputTicker, "IQ_FAIR_VALUE_CHANGE_INCL_EARNINGS",Input!H$2,Date,,,Ccy,Conv)</f>
        <v>0</v>
      </c>
      <c r="G425" s="4">
        <f>_xll.ciqfunctions.udf.CIQ(InputTicker, "IQ_FAIR_VALUE_CHANGE_INCL_EARNINGS",Input!I$2,Date,,,Ccy,Conv)</f>
        <v>0</v>
      </c>
      <c r="H425" s="4">
        <f>_xll.ciqfunctions.udf.CIQ(InputTicker, "IQ_FAIR_VALUE_CHANGE_INCL_EARNINGS",Input!J$2,Date,,,Ccy,Conv)</f>
        <v>0</v>
      </c>
      <c r="I425" s="4">
        <f>_xll.ciqfunctions.udf.CIQ(InputTicker, "IQ_FAIR_VALUE_CHANGE_INCL_EARNINGS",Input!K$2,Date,,,Ccy,Conv)</f>
        <v>0</v>
      </c>
      <c r="J425" s="4">
        <f>_xll.ciqfunctions.udf.CIQ(InputTicker, "IQ_FAIR_VALUE_CHANGE_INCL_EARNINGS",Input!L$2,Date,,,Ccy,Conv)</f>
        <v>0</v>
      </c>
      <c r="K425" s="4">
        <f>_xll.ciqfunctions.udf.CIQ(InputTicker, "IQ_FAIR_VALUE_CHANGE_INCL_EARNINGS",Input!M$2,Date,,,Ccy,Conv)</f>
        <v>0</v>
      </c>
      <c r="L425" s="4">
        <f>_xll.ciqfunctions.udf.CIQ(InputTicker, "IQ_FAIR_VALUE_CHANGE_INCL_EARNINGS",Input!N$2,Date,,,Ccy,Conv)</f>
        <v>0</v>
      </c>
      <c r="M425" s="4">
        <f>_xll.ciqfunctions.udf.CIQ(InputTicker, "IQ_FAIR_VALUE_CHANGE_INCL_EARNINGS",Input!O$2,Date,,,Ccy,Conv)</f>
        <v>0</v>
      </c>
      <c r="N425" s="54"/>
      <c r="T425" s="42"/>
      <c r="U425" s="42"/>
      <c r="V425" s="42"/>
      <c r="W425" s="42"/>
      <c r="X425" s="42"/>
      <c r="Y425" s="42"/>
      <c r="Z425" s="42"/>
      <c r="AA425" s="42"/>
      <c r="AB425" s="42"/>
      <c r="AC425" s="42"/>
      <c r="AD425" s="42"/>
      <c r="AE425" s="42"/>
      <c r="AF425" s="42"/>
      <c r="AG425" s="42"/>
      <c r="AH425" s="42"/>
      <c r="AI425" s="42"/>
      <c r="AJ425" s="42"/>
      <c r="AK425" s="42"/>
      <c r="AL425" s="42"/>
      <c r="AM425" s="42"/>
      <c r="AN425" s="42"/>
      <c r="AO425" s="42"/>
      <c r="AP425" s="42"/>
      <c r="AQ425" s="42"/>
      <c r="AR425" s="42"/>
      <c r="AS425" s="42"/>
      <c r="AT425" s="42"/>
      <c r="AU425" s="42"/>
      <c r="AV425" s="42"/>
      <c r="AW425" s="42"/>
      <c r="AX425" s="42"/>
      <c r="AY425" s="42"/>
      <c r="AZ425" s="42"/>
      <c r="BA425" s="42"/>
      <c r="BB425" s="42"/>
      <c r="BC425" s="42"/>
      <c r="BD425" s="42"/>
      <c r="BE425" s="42"/>
      <c r="BF425" s="42"/>
      <c r="BG425" s="42"/>
      <c r="BH425" s="42"/>
      <c r="BI425" s="42"/>
      <c r="BJ425" s="42"/>
      <c r="BK425" s="42"/>
      <c r="BL425" s="42"/>
      <c r="BM425" s="42"/>
      <c r="BN425" s="42"/>
    </row>
    <row r="426" spans="1:66" ht="12.75" customHeight="1" x14ac:dyDescent="0.2">
      <c r="A426" s="1" t="s">
        <v>357</v>
      </c>
      <c r="B426" s="18">
        <f>_xll.ciqfunctions.udf.CIQ(InputTicker, "IQ_FULL_TIME",Input!D$2,Date)</f>
        <v>114000</v>
      </c>
      <c r="C426" s="18">
        <f>_xll.ciqfunctions.udf.CIQ(InputTicker, "IQ_FULL_TIME",Input!E$2,Date)</f>
        <v>124000</v>
      </c>
      <c r="D426" s="18">
        <f>_xll.ciqfunctions.udf.CIQ(InputTicker, "IQ_FULL_TIME",Input!F$2,Date)</f>
        <v>131000</v>
      </c>
      <c r="E426" s="18">
        <f>_xll.ciqfunctions.udf.CIQ(InputTicker, "IQ_FULL_TIME",Input!G$2,Date)</f>
        <v>144000</v>
      </c>
      <c r="F426" s="18">
        <f>_xll.ciqfunctions.udf.CIQ(InputTicker, "IQ_FULL_TIME",Input!H$2,Date)</f>
        <v>163000</v>
      </c>
      <c r="G426" s="18">
        <f>_xll.ciqfunctions.udf.CIQ(InputTicker, "IQ_FULL_TIME",Input!I$2,Date)</f>
        <v>181000</v>
      </c>
      <c r="H426" s="18">
        <f>_xll.ciqfunctions.udf.CIQ(InputTicker, "IQ_FULL_TIME",Input!J$2,Date)</f>
        <v>221000</v>
      </c>
      <c r="I426" s="18">
        <f>_xll.ciqfunctions.udf.CIQ(InputTicker, "IQ_FULL_TIME",Input!K$2,Date)</f>
        <v>221000</v>
      </c>
      <c r="J426" s="18">
        <f>_xll.ciqfunctions.udf.CIQ(InputTicker, "IQ_FULL_TIME",Input!L$2,Date)</f>
        <v>228000</v>
      </c>
      <c r="K426" s="18">
        <f>_xll.ciqfunctions.udf.CIQ(InputTicker, "IQ_FULL_TIME",Input!M$2,Date)</f>
        <v>228000</v>
      </c>
      <c r="L426" s="18">
        <f>_xll.ciqfunctions.udf.CIQ(InputTicker, "IQ_FULL_TIME",Input!N$2,Date)</f>
        <v>223000</v>
      </c>
      <c r="M426" s="18">
        <f>_xll.ciqfunctions.udf.CIQ(InputTicker, "IQ_FULL_TIME",Input!O$2,Date)</f>
        <v>223000</v>
      </c>
      <c r="N426" s="53"/>
      <c r="T426" s="42"/>
      <c r="U426" s="42"/>
      <c r="V426" s="42"/>
      <c r="W426" s="42"/>
      <c r="X426" s="42"/>
      <c r="Y426" s="42"/>
      <c r="Z426" s="42"/>
      <c r="AA426" s="42"/>
      <c r="AB426" s="42"/>
      <c r="AC426" s="42"/>
      <c r="AD426" s="42"/>
      <c r="AE426" s="42"/>
      <c r="AF426" s="42"/>
      <c r="AG426" s="42"/>
      <c r="AH426" s="42"/>
      <c r="AI426" s="42"/>
      <c r="AJ426" s="42"/>
      <c r="AK426" s="42"/>
      <c r="AL426" s="42"/>
      <c r="AM426" s="42"/>
      <c r="AN426" s="42"/>
      <c r="AO426" s="42"/>
      <c r="AP426" s="42"/>
      <c r="AQ426" s="42"/>
      <c r="AR426" s="42"/>
      <c r="AS426" s="42"/>
      <c r="AT426" s="42"/>
      <c r="AU426" s="42"/>
      <c r="AV426" s="42"/>
      <c r="AW426" s="42"/>
      <c r="AX426" s="42"/>
      <c r="AY426" s="42"/>
      <c r="AZ426" s="42"/>
      <c r="BA426" s="42"/>
      <c r="BB426" s="42"/>
      <c r="BC426" s="42"/>
      <c r="BD426" s="42"/>
      <c r="BE426" s="42"/>
      <c r="BF426" s="42"/>
      <c r="BG426" s="42"/>
      <c r="BH426" s="42"/>
      <c r="BI426" s="42"/>
      <c r="BJ426" s="42"/>
      <c r="BK426" s="42"/>
      <c r="BL426" s="42"/>
      <c r="BM426" s="42"/>
      <c r="BN426" s="42"/>
    </row>
    <row r="427" spans="1:66" ht="12.75" customHeight="1" x14ac:dyDescent="0.2">
      <c r="A427" s="1" t="s">
        <v>358</v>
      </c>
      <c r="B427" s="18">
        <f>_xll.ciqfunctions.udf.CIQ(InputTicker, "IQ_PART_TIME",Input!D$2,Date)</f>
        <v>0</v>
      </c>
      <c r="C427" s="18">
        <f>_xll.ciqfunctions.udf.CIQ(InputTicker, "IQ_PART_TIME",Input!E$2,Date)</f>
        <v>0</v>
      </c>
      <c r="D427" s="18">
        <f>_xll.ciqfunctions.udf.CIQ(InputTicker, "IQ_PART_TIME",Input!F$2,Date)</f>
        <v>0</v>
      </c>
      <c r="E427" s="18">
        <f>_xll.ciqfunctions.udf.CIQ(InputTicker, "IQ_PART_TIME",Input!G$2,Date)</f>
        <v>0</v>
      </c>
      <c r="F427" s="18">
        <f>_xll.ciqfunctions.udf.CIQ(InputTicker, "IQ_PART_TIME",Input!H$2,Date)</f>
        <v>0</v>
      </c>
      <c r="G427" s="18">
        <f>_xll.ciqfunctions.udf.CIQ(InputTicker, "IQ_PART_TIME",Input!I$2,Date)</f>
        <v>0</v>
      </c>
      <c r="H427" s="18">
        <f>_xll.ciqfunctions.udf.CIQ(InputTicker, "IQ_PART_TIME",Input!J$2,Date)</f>
        <v>0</v>
      </c>
      <c r="I427" s="18">
        <f>_xll.ciqfunctions.udf.CIQ(InputTicker, "IQ_PART_TIME",Input!K$2,Date)</f>
        <v>0</v>
      </c>
      <c r="J427" s="18">
        <f>_xll.ciqfunctions.udf.CIQ(InputTicker, "IQ_PART_TIME",Input!L$2,Date)</f>
        <v>0</v>
      </c>
      <c r="K427" s="18">
        <f>_xll.ciqfunctions.udf.CIQ(InputTicker, "IQ_PART_TIME",Input!M$2,Date)</f>
        <v>0</v>
      </c>
      <c r="L427" s="18">
        <f>_xll.ciqfunctions.udf.CIQ(InputTicker, "IQ_PART_TIME",Input!N$2,Date)</f>
        <v>0</v>
      </c>
      <c r="M427" s="18">
        <f>_xll.ciqfunctions.udf.CIQ(InputTicker, "IQ_PART_TIME",Input!O$2,Date)</f>
        <v>0</v>
      </c>
      <c r="N427" s="53"/>
      <c r="T427" s="42"/>
      <c r="U427" s="42"/>
      <c r="V427" s="42"/>
      <c r="W427" s="42"/>
      <c r="X427" s="42"/>
      <c r="Y427" s="42"/>
      <c r="Z427" s="42"/>
      <c r="AA427" s="42"/>
      <c r="AB427" s="42"/>
      <c r="AC427" s="42"/>
      <c r="AD427" s="42"/>
      <c r="AE427" s="42"/>
      <c r="AF427" s="42"/>
      <c r="AG427" s="42"/>
      <c r="AH427" s="42"/>
      <c r="AI427" s="42"/>
      <c r="AJ427" s="42"/>
      <c r="AK427" s="42"/>
      <c r="AL427" s="42"/>
      <c r="AM427" s="42"/>
      <c r="AN427" s="42"/>
      <c r="AO427" s="42"/>
      <c r="AP427" s="42"/>
      <c r="AQ427" s="42"/>
      <c r="AR427" s="42"/>
      <c r="AS427" s="42"/>
      <c r="AT427" s="42"/>
      <c r="AU427" s="42"/>
      <c r="AV427" s="42"/>
      <c r="AW427" s="42"/>
      <c r="AX427" s="42"/>
      <c r="AY427" s="42"/>
      <c r="AZ427" s="42"/>
      <c r="BA427" s="42"/>
      <c r="BB427" s="42"/>
      <c r="BC427" s="42"/>
      <c r="BD427" s="42"/>
      <c r="BE427" s="42"/>
      <c r="BF427" s="42"/>
      <c r="BG427" s="42"/>
      <c r="BH427" s="42"/>
      <c r="BI427" s="42"/>
      <c r="BJ427" s="42"/>
      <c r="BK427" s="42"/>
      <c r="BL427" s="42"/>
      <c r="BM427" s="42"/>
      <c r="BN427" s="42"/>
    </row>
    <row r="428" spans="1:66" ht="12.75" customHeight="1" x14ac:dyDescent="0.2">
      <c r="A428" s="1" t="s">
        <v>359</v>
      </c>
      <c r="B428" s="18">
        <f>_xll.ciqfunctions.udf.CIQ(InputTicker, "IQ_TOTAL_EMPLOYEES",Input!D$2,Date)</f>
        <v>114000</v>
      </c>
      <c r="C428" s="18">
        <f>_xll.ciqfunctions.udf.CIQ(InputTicker, "IQ_TOTAL_EMPLOYEES",Input!E$2,Date)</f>
        <v>124000</v>
      </c>
      <c r="D428" s="18">
        <f>_xll.ciqfunctions.udf.CIQ(InputTicker, "IQ_TOTAL_EMPLOYEES",Input!F$2,Date)</f>
        <v>131000</v>
      </c>
      <c r="E428" s="18">
        <f>_xll.ciqfunctions.udf.CIQ(InputTicker, "IQ_TOTAL_EMPLOYEES",Input!G$2,Date)</f>
        <v>144000</v>
      </c>
      <c r="F428" s="18">
        <f>_xll.ciqfunctions.udf.CIQ(InputTicker, "IQ_TOTAL_EMPLOYEES",Input!H$2,Date)</f>
        <v>163000</v>
      </c>
      <c r="G428" s="18">
        <f>_xll.ciqfunctions.udf.CIQ(InputTicker, "IQ_TOTAL_EMPLOYEES",Input!I$2,Date)</f>
        <v>181000</v>
      </c>
      <c r="H428" s="18">
        <f>_xll.ciqfunctions.udf.CIQ(InputTicker, "IQ_TOTAL_EMPLOYEES",Input!J$2,Date)</f>
        <v>221000</v>
      </c>
      <c r="I428" s="18">
        <f>_xll.ciqfunctions.udf.CIQ(InputTicker, "IQ_TOTAL_EMPLOYEES",Input!K$2,Date)</f>
        <v>221000</v>
      </c>
      <c r="J428" s="18">
        <f>_xll.ciqfunctions.udf.CIQ(InputTicker, "IQ_TOTAL_EMPLOYEES",Input!L$2,Date)</f>
        <v>228000</v>
      </c>
      <c r="K428" s="18">
        <f>_xll.ciqfunctions.udf.CIQ(InputTicker, "IQ_TOTAL_EMPLOYEES",Input!M$2,Date)</f>
        <v>228000</v>
      </c>
      <c r="L428" s="18">
        <f>_xll.ciqfunctions.udf.CIQ(InputTicker, "IQ_TOTAL_EMPLOYEES",Input!N$2,Date)</f>
        <v>223000</v>
      </c>
      <c r="M428" s="18">
        <f>_xll.ciqfunctions.udf.CIQ(InputTicker, "IQ_TOTAL_EMPLOYEES",Input!O$2,Date)</f>
        <v>223000</v>
      </c>
      <c r="N428" s="53"/>
      <c r="T428" s="42"/>
      <c r="U428" s="42"/>
      <c r="V428" s="42"/>
      <c r="W428" s="42"/>
      <c r="X428" s="42"/>
      <c r="Y428" s="42"/>
      <c r="Z428" s="42"/>
      <c r="AA428" s="42"/>
      <c r="AB428" s="42"/>
      <c r="AC428" s="42"/>
      <c r="AD428" s="42"/>
      <c r="AE428" s="42"/>
      <c r="AF428" s="42"/>
      <c r="AG428" s="42"/>
      <c r="AH428" s="42"/>
      <c r="AI428" s="42"/>
      <c r="AJ428" s="42"/>
      <c r="AK428" s="42"/>
      <c r="AL428" s="42"/>
      <c r="AM428" s="42"/>
      <c r="AN428" s="42"/>
      <c r="AO428" s="42"/>
      <c r="AP428" s="42"/>
      <c r="AQ428" s="42"/>
      <c r="AR428" s="42"/>
      <c r="AS428" s="42"/>
      <c r="AT428" s="42"/>
      <c r="AU428" s="42"/>
      <c r="AV428" s="42"/>
      <c r="AW428" s="42"/>
      <c r="AX428" s="42"/>
      <c r="AY428" s="42"/>
      <c r="AZ428" s="42"/>
      <c r="BA428" s="42"/>
      <c r="BB428" s="42"/>
      <c r="BC428" s="42"/>
      <c r="BD428" s="42"/>
      <c r="BE428" s="42"/>
      <c r="BF428" s="42"/>
      <c r="BG428" s="42"/>
      <c r="BH428" s="42"/>
      <c r="BI428" s="42"/>
      <c r="BJ428" s="42"/>
      <c r="BK428" s="42"/>
      <c r="BL428" s="42"/>
      <c r="BM428" s="42"/>
      <c r="BN428" s="42"/>
    </row>
    <row r="429" spans="1:66" ht="12.75" customHeight="1" x14ac:dyDescent="0.2">
      <c r="A429" s="1" t="s">
        <v>394</v>
      </c>
      <c r="B429" s="18">
        <f>_xll.ciqfunctions.udf.CIQ(InputTicker, "IQ_EMPLOYEES_UNDER_UNION_CONTRACTS",Input!D$2,Date)</f>
        <v>0</v>
      </c>
      <c r="C429" s="18">
        <f>_xll.ciqfunctions.udf.CIQ(InputTicker, "IQ_EMPLOYEES_UNDER_UNION_CONTRACTS",Input!E$2,Date)</f>
        <v>0</v>
      </c>
      <c r="D429" s="18">
        <f>_xll.ciqfunctions.udf.CIQ(InputTicker, "IQ_EMPLOYEES_UNDER_UNION_CONTRACTS",Input!F$2,Date)</f>
        <v>0</v>
      </c>
      <c r="E429" s="18">
        <f>_xll.ciqfunctions.udf.CIQ(InputTicker, "IQ_EMPLOYEES_UNDER_UNION_CONTRACTS",Input!G$2,Date)</f>
        <v>0</v>
      </c>
      <c r="F429" s="18">
        <f>_xll.ciqfunctions.udf.CIQ(InputTicker, "IQ_EMPLOYEES_UNDER_UNION_CONTRACTS",Input!H$2,Date)</f>
        <v>0</v>
      </c>
      <c r="G429" s="18">
        <f>_xll.ciqfunctions.udf.CIQ(InputTicker, "IQ_EMPLOYEES_UNDER_UNION_CONTRACTS",Input!I$2,Date)</f>
        <v>0</v>
      </c>
      <c r="H429" s="18">
        <f>_xll.ciqfunctions.udf.CIQ(InputTicker, "IQ_EMPLOYEES_UNDER_UNION_CONTRACTS",Input!J$2,Date)</f>
        <v>0</v>
      </c>
      <c r="I429" s="18">
        <f>_xll.ciqfunctions.udf.CIQ(InputTicker, "IQ_EMPLOYEES_UNDER_UNION_CONTRACTS",Input!K$2,Date)</f>
        <v>0</v>
      </c>
      <c r="J429" s="18">
        <f>_xll.ciqfunctions.udf.CIQ(InputTicker, "IQ_EMPLOYEES_UNDER_UNION_CONTRACTS",Input!L$2,Date)</f>
        <v>0</v>
      </c>
      <c r="K429" s="18">
        <f>_xll.ciqfunctions.udf.CIQ(InputTicker, "IQ_EMPLOYEES_UNDER_UNION_CONTRACTS",Input!M$2,Date)</f>
        <v>0</v>
      </c>
      <c r="L429" s="18">
        <f>_xll.ciqfunctions.udf.CIQ(InputTicker, "IQ_EMPLOYEES_UNDER_UNION_CONTRACTS",Input!N$2,Date)</f>
        <v>0</v>
      </c>
      <c r="M429" s="18">
        <f>_xll.ciqfunctions.udf.CIQ(InputTicker, "IQ_EMPLOYEES_UNDER_UNION_CONTRACTS",Input!O$2,Date)</f>
        <v>0</v>
      </c>
      <c r="N429" s="53"/>
      <c r="T429" s="42"/>
      <c r="U429" s="42"/>
      <c r="V429" s="42"/>
      <c r="W429" s="42"/>
      <c r="X429" s="42"/>
      <c r="Y429" s="42"/>
      <c r="Z429" s="42"/>
      <c r="AA429" s="42"/>
      <c r="AB429" s="42"/>
      <c r="AC429" s="42"/>
      <c r="AD429" s="42"/>
      <c r="AE429" s="42"/>
      <c r="AF429" s="42"/>
      <c r="AG429" s="42"/>
      <c r="AH429" s="42"/>
      <c r="AI429" s="42"/>
      <c r="AJ429" s="42"/>
      <c r="AK429" s="42"/>
      <c r="AL429" s="42"/>
      <c r="AM429" s="42"/>
      <c r="AN429" s="42"/>
      <c r="AO429" s="42"/>
      <c r="AP429" s="42"/>
      <c r="AQ429" s="42"/>
      <c r="AR429" s="42"/>
      <c r="AS429" s="42"/>
      <c r="AT429" s="42"/>
      <c r="AU429" s="42"/>
      <c r="AV429" s="42"/>
      <c r="AW429" s="42"/>
      <c r="AX429" s="42"/>
      <c r="AY429" s="42"/>
      <c r="AZ429" s="42"/>
      <c r="BA429" s="42"/>
      <c r="BB429" s="42"/>
      <c r="BC429" s="42"/>
      <c r="BD429" s="42"/>
      <c r="BE429" s="42"/>
      <c r="BF429" s="42"/>
      <c r="BG429" s="42"/>
      <c r="BH429" s="42"/>
      <c r="BI429" s="42"/>
      <c r="BJ429" s="42"/>
      <c r="BK429" s="42"/>
      <c r="BL429" s="42"/>
      <c r="BM429" s="42"/>
      <c r="BN429" s="42"/>
    </row>
    <row r="430" spans="1:66" ht="12.75" customHeight="1" x14ac:dyDescent="0.2">
      <c r="A430" s="1" t="s">
        <v>371</v>
      </c>
      <c r="B430" s="18">
        <f>_xll.ciqfunctions.udf.CIQ(InputTicker, "IQ_AVG_EMPLOYEES",Input!D$2,Date)</f>
        <v>0</v>
      </c>
      <c r="C430" s="18">
        <f>_xll.ciqfunctions.udf.CIQ(InputTicker, "IQ_AVG_EMPLOYEES",Input!E$2,Date)</f>
        <v>0</v>
      </c>
      <c r="D430" s="18">
        <f>_xll.ciqfunctions.udf.CIQ(InputTicker, "IQ_AVG_EMPLOYEES",Input!F$2,Date)</f>
        <v>0</v>
      </c>
      <c r="E430" s="18">
        <f>_xll.ciqfunctions.udf.CIQ(InputTicker, "IQ_AVG_EMPLOYEES",Input!G$2,Date)</f>
        <v>0</v>
      </c>
      <c r="F430" s="18">
        <f>_xll.ciqfunctions.udf.CIQ(InputTicker, "IQ_AVG_EMPLOYEES",Input!H$2,Date)</f>
        <v>0</v>
      </c>
      <c r="G430" s="18">
        <f>_xll.ciqfunctions.udf.CIQ(InputTicker, "IQ_AVG_EMPLOYEES",Input!I$2,Date)</f>
        <v>0</v>
      </c>
      <c r="H430" s="18">
        <f>_xll.ciqfunctions.udf.CIQ(InputTicker, "IQ_AVG_EMPLOYEES",Input!J$2,Date)</f>
        <v>0</v>
      </c>
      <c r="I430" s="18">
        <f>_xll.ciqfunctions.udf.CIQ(InputTicker, "IQ_AVG_EMPLOYEES",Input!K$2,Date)</f>
        <v>0</v>
      </c>
      <c r="J430" s="18">
        <f>_xll.ciqfunctions.udf.CIQ(InputTicker, "IQ_AVG_EMPLOYEES",Input!L$2,Date)</f>
        <v>0</v>
      </c>
      <c r="K430" s="18">
        <f>_xll.ciqfunctions.udf.CIQ(InputTicker, "IQ_AVG_EMPLOYEES",Input!M$2,Date)</f>
        <v>0</v>
      </c>
      <c r="L430" s="18">
        <f>_xll.ciqfunctions.udf.CIQ(InputTicker, "IQ_AVG_EMPLOYEES",Input!N$2,Date)</f>
        <v>0</v>
      </c>
      <c r="M430" s="18">
        <f>_xll.ciqfunctions.udf.CIQ(InputTicker, "IQ_AVG_EMPLOYEES",Input!O$2,Date)</f>
        <v>0</v>
      </c>
      <c r="N430" s="53"/>
      <c r="T430" s="42"/>
      <c r="U430" s="42"/>
      <c r="V430" s="42"/>
      <c r="W430" s="42"/>
      <c r="X430" s="42"/>
      <c r="Y430" s="42"/>
      <c r="Z430" s="42"/>
      <c r="AA430" s="42"/>
      <c r="AB430" s="42"/>
      <c r="AC430" s="42"/>
      <c r="AD430" s="42"/>
      <c r="AE430" s="42"/>
      <c r="AF430" s="42"/>
      <c r="AG430" s="42"/>
      <c r="AH430" s="42"/>
      <c r="AI430" s="42"/>
      <c r="AJ430" s="42"/>
      <c r="AK430" s="42"/>
      <c r="AL430" s="42"/>
      <c r="AM430" s="42"/>
      <c r="AN430" s="42"/>
      <c r="AO430" s="42"/>
      <c r="AP430" s="42"/>
      <c r="AQ430" s="42"/>
      <c r="AR430" s="42"/>
      <c r="AS430" s="42"/>
      <c r="AT430" s="42"/>
      <c r="AU430" s="42"/>
      <c r="AV430" s="42"/>
      <c r="AW430" s="42"/>
      <c r="AX430" s="42"/>
      <c r="AY430" s="42"/>
      <c r="AZ430" s="42"/>
      <c r="BA430" s="42"/>
      <c r="BB430" s="42"/>
      <c r="BC430" s="42"/>
      <c r="BD430" s="42"/>
      <c r="BE430" s="42"/>
      <c r="BF430" s="42"/>
      <c r="BG430" s="42"/>
      <c r="BH430" s="42"/>
      <c r="BI430" s="42"/>
      <c r="BJ430" s="42"/>
      <c r="BK430" s="42"/>
      <c r="BL430" s="42"/>
      <c r="BM430" s="42"/>
      <c r="BN430" s="42"/>
    </row>
    <row r="431" spans="1:66" ht="12.75" customHeight="1" x14ac:dyDescent="0.2">
      <c r="A431" s="1" t="s">
        <v>372</v>
      </c>
      <c r="B431" s="18">
        <f>_xll.ciqfunctions.udf.CIQ(InputTicker, "IQ_AVG_TEMP_EMPLOYEES",Input!D$2,Date)</f>
        <v>0</v>
      </c>
      <c r="C431" s="18">
        <f>_xll.ciqfunctions.udf.CIQ(InputTicker, "IQ_AVG_TEMP_EMPLOYEES",Input!E$2,Date)</f>
        <v>0</v>
      </c>
      <c r="D431" s="18">
        <f>_xll.ciqfunctions.udf.CIQ(InputTicker, "IQ_AVG_TEMP_EMPLOYEES",Input!F$2,Date)</f>
        <v>0</v>
      </c>
      <c r="E431" s="18">
        <f>_xll.ciqfunctions.udf.CIQ(InputTicker, "IQ_AVG_TEMP_EMPLOYEES",Input!G$2,Date)</f>
        <v>0</v>
      </c>
      <c r="F431" s="18">
        <f>_xll.ciqfunctions.udf.CIQ(InputTicker, "IQ_AVG_TEMP_EMPLOYEES",Input!H$2,Date)</f>
        <v>0</v>
      </c>
      <c r="G431" s="18">
        <f>_xll.ciqfunctions.udf.CIQ(InputTicker, "IQ_AVG_TEMP_EMPLOYEES",Input!I$2,Date)</f>
        <v>0</v>
      </c>
      <c r="H431" s="18">
        <f>_xll.ciqfunctions.udf.CIQ(InputTicker, "IQ_AVG_TEMP_EMPLOYEES",Input!J$2,Date)</f>
        <v>0</v>
      </c>
      <c r="I431" s="18">
        <f>_xll.ciqfunctions.udf.CIQ(InputTicker, "IQ_AVG_TEMP_EMPLOYEES",Input!K$2,Date)</f>
        <v>0</v>
      </c>
      <c r="J431" s="18">
        <f>_xll.ciqfunctions.udf.CIQ(InputTicker, "IQ_AVG_TEMP_EMPLOYEES",Input!L$2,Date)</f>
        <v>0</v>
      </c>
      <c r="K431" s="18">
        <f>_xll.ciqfunctions.udf.CIQ(InputTicker, "IQ_AVG_TEMP_EMPLOYEES",Input!M$2,Date)</f>
        <v>0</v>
      </c>
      <c r="L431" s="18">
        <f>_xll.ciqfunctions.udf.CIQ(InputTicker, "IQ_AVG_TEMP_EMPLOYEES",Input!N$2,Date)</f>
        <v>0</v>
      </c>
      <c r="M431" s="18">
        <f>_xll.ciqfunctions.udf.CIQ(InputTicker, "IQ_AVG_TEMP_EMPLOYEES",Input!O$2,Date)</f>
        <v>0</v>
      </c>
      <c r="N431" s="53"/>
      <c r="T431" s="42"/>
      <c r="U431" s="42"/>
      <c r="V431" s="42"/>
      <c r="W431" s="42"/>
      <c r="X431" s="42"/>
      <c r="Y431" s="42"/>
      <c r="Z431" s="42"/>
      <c r="AA431" s="42"/>
      <c r="AB431" s="42"/>
      <c r="AC431" s="42"/>
      <c r="AD431" s="42"/>
      <c r="AE431" s="42"/>
      <c r="AF431" s="42"/>
      <c r="AG431" s="42"/>
      <c r="AH431" s="42"/>
      <c r="AI431" s="42"/>
      <c r="AJ431" s="42"/>
      <c r="AK431" s="42"/>
      <c r="AL431" s="42"/>
      <c r="AM431" s="42"/>
      <c r="AN431" s="42"/>
      <c r="AO431" s="42"/>
      <c r="AP431" s="42"/>
      <c r="AQ431" s="42"/>
      <c r="AR431" s="42"/>
      <c r="AS431" s="42"/>
      <c r="AT431" s="42"/>
      <c r="AU431" s="42"/>
      <c r="AV431" s="42"/>
      <c r="AW431" s="42"/>
      <c r="AX431" s="42"/>
      <c r="AY431" s="42"/>
      <c r="AZ431" s="42"/>
      <c r="BA431" s="42"/>
      <c r="BB431" s="42"/>
      <c r="BC431" s="42"/>
      <c r="BD431" s="42"/>
      <c r="BE431" s="42"/>
      <c r="BF431" s="42"/>
      <c r="BG431" s="42"/>
      <c r="BH431" s="42"/>
      <c r="BI431" s="42"/>
      <c r="BJ431" s="42"/>
      <c r="BK431" s="42"/>
      <c r="BL431" s="42"/>
      <c r="BM431" s="42"/>
      <c r="BN431" s="42"/>
    </row>
    <row r="432" spans="1:66" ht="12.75" customHeight="1" x14ac:dyDescent="0.2">
      <c r="A432" s="1" t="s">
        <v>502</v>
      </c>
      <c r="B432" s="18">
        <f>_xll.ciqfunctions.udf.CIQ(InputTicker, "IQ_NUMBER_ADRHOLDERS",Input!D$2,Date)</f>
        <v>0</v>
      </c>
      <c r="C432" s="18">
        <f>_xll.ciqfunctions.udf.CIQ(InputTicker, "IQ_NUMBER_ADRHOLDERS",Input!E$2,Date)</f>
        <v>0</v>
      </c>
      <c r="D432" s="18">
        <f>_xll.ciqfunctions.udf.CIQ(InputTicker, "IQ_NUMBER_ADRHOLDERS",Input!F$2,Date)</f>
        <v>0</v>
      </c>
      <c r="E432" s="18">
        <f>_xll.ciqfunctions.udf.CIQ(InputTicker, "IQ_NUMBER_ADRHOLDERS",Input!G$2,Date)</f>
        <v>0</v>
      </c>
      <c r="F432" s="18">
        <f>_xll.ciqfunctions.udf.CIQ(InputTicker, "IQ_NUMBER_ADRHOLDERS",Input!H$2,Date)</f>
        <v>0</v>
      </c>
      <c r="G432" s="18">
        <f>_xll.ciqfunctions.udf.CIQ(InputTicker, "IQ_NUMBER_ADRHOLDERS",Input!I$2,Date)</f>
        <v>0</v>
      </c>
      <c r="H432" s="18">
        <f>_xll.ciqfunctions.udf.CIQ(InputTicker, "IQ_NUMBER_ADRHOLDERS",Input!J$2,Date)</f>
        <v>0</v>
      </c>
      <c r="I432" s="18">
        <f>_xll.ciqfunctions.udf.CIQ(InputTicker, "IQ_NUMBER_ADRHOLDERS",Input!K$2,Date)</f>
        <v>0</v>
      </c>
      <c r="J432" s="18">
        <f>_xll.ciqfunctions.udf.CIQ(InputTicker, "IQ_NUMBER_ADRHOLDERS",Input!L$2,Date)</f>
        <v>0</v>
      </c>
      <c r="K432" s="18">
        <f>_xll.ciqfunctions.udf.CIQ(InputTicker, "IQ_NUMBER_ADRHOLDERS",Input!M$2,Date)</f>
        <v>0</v>
      </c>
      <c r="L432" s="18">
        <f>_xll.ciqfunctions.udf.CIQ(InputTicker, "IQ_NUMBER_ADRHOLDERS",Input!N$2,Date)</f>
        <v>0</v>
      </c>
      <c r="M432" s="18">
        <f>_xll.ciqfunctions.udf.CIQ(InputTicker, "IQ_NUMBER_ADRHOLDERS",Input!O$2,Date)</f>
        <v>0</v>
      </c>
      <c r="N432" s="53"/>
      <c r="T432" s="42"/>
      <c r="U432" s="42"/>
      <c r="V432" s="42"/>
      <c r="W432" s="42"/>
      <c r="X432" s="42"/>
      <c r="Y432" s="42"/>
      <c r="Z432" s="42"/>
      <c r="AA432" s="42"/>
      <c r="AB432" s="42"/>
      <c r="AC432" s="42"/>
      <c r="AD432" s="42"/>
      <c r="AE432" s="42"/>
      <c r="AF432" s="42"/>
      <c r="AG432" s="42"/>
      <c r="AH432" s="42"/>
      <c r="AI432" s="42"/>
      <c r="AJ432" s="42"/>
      <c r="AK432" s="42"/>
      <c r="AL432" s="42"/>
      <c r="AM432" s="42"/>
      <c r="AN432" s="42"/>
      <c r="AO432" s="42"/>
      <c r="AP432" s="42"/>
      <c r="AQ432" s="42"/>
      <c r="AR432" s="42"/>
      <c r="AS432" s="42"/>
      <c r="AT432" s="42"/>
      <c r="AU432" s="42"/>
      <c r="AV432" s="42"/>
      <c r="AW432" s="42"/>
      <c r="AX432" s="42"/>
      <c r="AY432" s="42"/>
      <c r="AZ432" s="42"/>
      <c r="BA432" s="42"/>
      <c r="BB432" s="42"/>
      <c r="BC432" s="42"/>
      <c r="BD432" s="42"/>
      <c r="BE432" s="42"/>
      <c r="BF432" s="42"/>
      <c r="BG432" s="42"/>
      <c r="BH432" s="42"/>
      <c r="BI432" s="42"/>
      <c r="BJ432" s="42"/>
      <c r="BK432" s="42"/>
      <c r="BL432" s="42"/>
      <c r="BM432" s="42"/>
      <c r="BN432" s="42"/>
    </row>
    <row r="433" spans="1:66" ht="12.75" customHeight="1" x14ac:dyDescent="0.2">
      <c r="A433" s="1" t="s">
        <v>360</v>
      </c>
      <c r="B433" s="4">
        <f>_xll.ciqfunctions.udf.CIQ(InputTicker, "IQ_FIN_DIV_LT_DEBT_TOTAL",Input!D$2,Date,,,Ccy,Conv)</f>
        <v>0</v>
      </c>
      <c r="C433" s="4">
        <f>_xll.ciqfunctions.udf.CIQ(InputTicker, "IQ_FIN_DIV_LT_DEBT_TOTAL",Input!E$2,Date,,,Ccy,Conv)</f>
        <v>0</v>
      </c>
      <c r="D433" s="4">
        <f>_xll.ciqfunctions.udf.CIQ(InputTicker, "IQ_FIN_DIV_LT_DEBT_TOTAL",Input!F$2,Date,,,Ccy,Conv)</f>
        <v>0</v>
      </c>
      <c r="E433" s="4">
        <f>_xll.ciqfunctions.udf.CIQ(InputTicker, "IQ_FIN_DIV_LT_DEBT_TOTAL",Input!G$2,Date,,,Ccy,Conv)</f>
        <v>0</v>
      </c>
      <c r="F433" s="4">
        <f>_xll.ciqfunctions.udf.CIQ(InputTicker, "IQ_FIN_DIV_LT_DEBT_TOTAL",Input!H$2,Date,,,Ccy,Conv)</f>
        <v>0</v>
      </c>
      <c r="G433" s="4">
        <f>_xll.ciqfunctions.udf.CIQ(InputTicker, "IQ_FIN_DIV_LT_DEBT_TOTAL",Input!I$2,Date,,,Ccy,Conv)</f>
        <v>0</v>
      </c>
      <c r="H433" s="4">
        <f>_xll.ciqfunctions.udf.CIQ(InputTicker, "IQ_FIN_DIV_LT_DEBT_TOTAL",Input!J$2,Date,,,Ccy,Conv)</f>
        <v>0</v>
      </c>
      <c r="I433" s="4">
        <f>_xll.ciqfunctions.udf.CIQ(InputTicker, "IQ_FIN_DIV_LT_DEBT_TOTAL",Input!K$2,Date,,,Ccy,Conv)</f>
        <v>0</v>
      </c>
      <c r="J433" s="4">
        <f>_xll.ciqfunctions.udf.CIQ(InputTicker, "IQ_FIN_DIV_LT_DEBT_TOTAL",Input!L$2,Date,,,Ccy,Conv)</f>
        <v>0</v>
      </c>
      <c r="K433" s="4">
        <f>_xll.ciqfunctions.udf.CIQ(InputTicker, "IQ_FIN_DIV_LT_DEBT_TOTAL",Input!M$2,Date,,,Ccy,Conv)</f>
        <v>0</v>
      </c>
      <c r="L433" s="4">
        <f>_xll.ciqfunctions.udf.CIQ(InputTicker, "IQ_FIN_DIV_LT_DEBT_TOTAL",Input!N$2,Date,,,Ccy,Conv)</f>
        <v>0</v>
      </c>
      <c r="M433" s="4">
        <f>_xll.ciqfunctions.udf.CIQ(InputTicker, "IQ_FIN_DIV_LT_DEBT_TOTAL",Input!O$2,Date,,,Ccy,Conv)</f>
        <v>0</v>
      </c>
      <c r="N433" s="53"/>
      <c r="T433" s="42"/>
      <c r="U433" s="42"/>
      <c r="V433" s="42"/>
      <c r="W433" s="42"/>
      <c r="X433" s="42"/>
      <c r="Y433" s="42"/>
      <c r="Z433" s="42"/>
      <c r="AA433" s="42"/>
      <c r="AB433" s="42"/>
      <c r="AC433" s="42"/>
      <c r="AD433" s="42"/>
      <c r="AE433" s="42"/>
      <c r="AF433" s="42"/>
      <c r="AG433" s="42"/>
      <c r="AH433" s="42"/>
      <c r="AI433" s="42"/>
      <c r="AJ433" s="42"/>
      <c r="AK433" s="42"/>
      <c r="AL433" s="42"/>
      <c r="AM433" s="42"/>
      <c r="AN433" s="42"/>
      <c r="AO433" s="42"/>
      <c r="AP433" s="42"/>
      <c r="AQ433" s="42"/>
      <c r="AR433" s="42"/>
      <c r="AS433" s="42"/>
      <c r="AT433" s="42"/>
      <c r="AU433" s="42"/>
      <c r="AV433" s="42"/>
      <c r="AW433" s="42"/>
      <c r="AX433" s="42"/>
      <c r="AY433" s="42"/>
      <c r="AZ433" s="42"/>
      <c r="BA433" s="42"/>
      <c r="BB433" s="42"/>
      <c r="BC433" s="42"/>
      <c r="BD433" s="42"/>
      <c r="BE433" s="42"/>
      <c r="BF433" s="42"/>
      <c r="BG433" s="42"/>
      <c r="BH433" s="42"/>
      <c r="BI433" s="42"/>
      <c r="BJ433" s="42"/>
      <c r="BK433" s="42"/>
      <c r="BL433" s="42"/>
      <c r="BM433" s="42"/>
      <c r="BN433" s="42"/>
    </row>
    <row r="434" spans="1:66" ht="12.75" customHeight="1" x14ac:dyDescent="0.2">
      <c r="A434" s="1" t="s">
        <v>361</v>
      </c>
      <c r="B434" s="4">
        <f>_xll.ciqfunctions.udf.CIQ(InputTicker,"IQ_FIN_DIV_ST_DEBT_TOTAL",Input!D$2,Date,,,Ccy,Conv)</f>
        <v>0</v>
      </c>
      <c r="C434" s="4">
        <f>_xll.ciqfunctions.udf.CIQ(InputTicker,"IQ_FIN_DIV_ST_DEBT_TOTAL",Input!E$2,Date,,,Ccy,Conv)</f>
        <v>0</v>
      </c>
      <c r="D434" s="4">
        <f>_xll.ciqfunctions.udf.CIQ(InputTicker,"IQ_FIN_DIV_ST_DEBT_TOTAL",Input!F$2,Date,,,Ccy,Conv)</f>
        <v>0</v>
      </c>
      <c r="E434" s="4">
        <f>_xll.ciqfunctions.udf.CIQ(InputTicker,"IQ_FIN_DIV_ST_DEBT_TOTAL",Input!G$2,Date,,,Ccy,Conv)</f>
        <v>0</v>
      </c>
      <c r="F434" s="4">
        <f>_xll.ciqfunctions.udf.CIQ(InputTicker,"IQ_FIN_DIV_ST_DEBT_TOTAL",Input!H$2,Date,,,Ccy,Conv)</f>
        <v>0</v>
      </c>
      <c r="G434" s="4">
        <f>_xll.ciqfunctions.udf.CIQ(InputTicker,"IQ_FIN_DIV_ST_DEBT_TOTAL",Input!I$2,Date,,,Ccy,Conv)</f>
        <v>0</v>
      </c>
      <c r="H434" s="4">
        <f>_xll.ciqfunctions.udf.CIQ(InputTicker,"IQ_FIN_DIV_ST_DEBT_TOTAL",Input!J$2,Date,,,Ccy,Conv)</f>
        <v>0</v>
      </c>
      <c r="I434" s="4">
        <f>_xll.ciqfunctions.udf.CIQ(InputTicker,"IQ_FIN_DIV_ST_DEBT_TOTAL",Input!K$2,Date,,,Ccy,Conv)</f>
        <v>0</v>
      </c>
      <c r="J434" s="4">
        <f>_xll.ciqfunctions.udf.CIQ(InputTicker,"IQ_FIN_DIV_ST_DEBT_TOTAL",Input!L$2,Date,,,Ccy,Conv)</f>
        <v>0</v>
      </c>
      <c r="K434" s="4">
        <f>_xll.ciqfunctions.udf.CIQ(InputTicker,"IQ_FIN_DIV_ST_DEBT_TOTAL",Input!M$2,Date,,,Ccy,Conv)</f>
        <v>0</v>
      </c>
      <c r="L434" s="4">
        <f>_xll.ciqfunctions.udf.CIQ(InputTicker,"IQ_FIN_DIV_ST_DEBT_TOTAL",Input!N$2,Date,,,Ccy,Conv)</f>
        <v>0</v>
      </c>
      <c r="M434" s="4">
        <f>_xll.ciqfunctions.udf.CIQ(InputTicker,"IQ_FIN_DIV_ST_DEBT_TOTAL",Input!O$2,Date,,,Ccy,Conv)</f>
        <v>0</v>
      </c>
      <c r="N434" s="53"/>
      <c r="T434" s="42"/>
      <c r="U434" s="42"/>
      <c r="V434" s="42"/>
      <c r="W434" s="42"/>
      <c r="X434" s="42"/>
      <c r="Y434" s="42"/>
      <c r="Z434" s="42"/>
      <c r="AA434" s="42"/>
      <c r="AB434" s="42"/>
      <c r="AC434" s="42"/>
      <c r="AD434" s="42"/>
      <c r="AE434" s="42"/>
      <c r="AF434" s="42"/>
      <c r="AG434" s="42"/>
      <c r="AH434" s="42"/>
      <c r="AI434" s="42"/>
      <c r="AJ434" s="42"/>
      <c r="AK434" s="42"/>
      <c r="AL434" s="42"/>
      <c r="AM434" s="42"/>
      <c r="AN434" s="42"/>
      <c r="AO434" s="42"/>
      <c r="AP434" s="42"/>
      <c r="AQ434" s="42"/>
      <c r="AR434" s="42"/>
      <c r="AS434" s="42"/>
      <c r="AT434" s="42"/>
      <c r="AU434" s="42"/>
      <c r="AV434" s="42"/>
      <c r="AW434" s="42"/>
      <c r="AX434" s="42"/>
      <c r="AY434" s="42"/>
      <c r="AZ434" s="42"/>
      <c r="BA434" s="42"/>
      <c r="BB434" s="42"/>
      <c r="BC434" s="42"/>
      <c r="BD434" s="42"/>
      <c r="BE434" s="42"/>
      <c r="BF434" s="42"/>
      <c r="BG434" s="42"/>
      <c r="BH434" s="42"/>
      <c r="BI434" s="42"/>
      <c r="BJ434" s="42"/>
      <c r="BK434" s="42"/>
      <c r="BL434" s="42"/>
      <c r="BM434" s="42"/>
      <c r="BN434" s="42"/>
    </row>
    <row r="435" spans="1:66" ht="12.75" customHeight="1" x14ac:dyDescent="0.2">
      <c r="A435" s="1" t="s">
        <v>375</v>
      </c>
      <c r="B435" s="4">
        <f>_xll.ciqfunctions.udf.CIQ(InputTicker,"IQ_FIN_DIV_DEBT_TOTAL",Input!D$2,Date,,,Ccy,Conv)</f>
        <v>0</v>
      </c>
      <c r="C435" s="4">
        <f>_xll.ciqfunctions.udf.CIQ(InputTicker,"IQ_FIN_DIV_DEBT_TOTAL",Input!E$2,Date,,,Ccy,Conv)</f>
        <v>0</v>
      </c>
      <c r="D435" s="4">
        <f>_xll.ciqfunctions.udf.CIQ(InputTicker,"IQ_FIN_DIV_DEBT_TOTAL",Input!F$2,Date,,,Ccy,Conv)</f>
        <v>0</v>
      </c>
      <c r="E435" s="4">
        <f>_xll.ciqfunctions.udf.CIQ(InputTicker,"IQ_FIN_DIV_DEBT_TOTAL",Input!G$2,Date,,,Ccy,Conv)</f>
        <v>0</v>
      </c>
      <c r="F435" s="4">
        <f>_xll.ciqfunctions.udf.CIQ(InputTicker,"IQ_FIN_DIV_DEBT_TOTAL",Input!H$2,Date,,,Ccy,Conv)</f>
        <v>0</v>
      </c>
      <c r="G435" s="4">
        <f>_xll.ciqfunctions.udf.CIQ(InputTicker,"IQ_FIN_DIV_DEBT_TOTAL",Input!I$2,Date,,,Ccy,Conv)</f>
        <v>0</v>
      </c>
      <c r="H435" s="4">
        <f>_xll.ciqfunctions.udf.CIQ(InputTicker,"IQ_FIN_DIV_DEBT_TOTAL",Input!J$2,Date,,,Ccy,Conv)</f>
        <v>0</v>
      </c>
      <c r="I435" s="4">
        <f>_xll.ciqfunctions.udf.CIQ(InputTicker,"IQ_FIN_DIV_DEBT_TOTAL",Input!K$2,Date,,,Ccy,Conv)</f>
        <v>0</v>
      </c>
      <c r="J435" s="4">
        <f>_xll.ciqfunctions.udf.CIQ(InputTicker,"IQ_FIN_DIV_DEBT_TOTAL",Input!L$2,Date,,,Ccy,Conv)</f>
        <v>0</v>
      </c>
      <c r="K435" s="4">
        <f>_xll.ciqfunctions.udf.CIQ(InputTicker,"IQ_FIN_DIV_DEBT_TOTAL",Input!M$2,Date,,,Ccy,Conv)</f>
        <v>0</v>
      </c>
      <c r="L435" s="4">
        <f>_xll.ciqfunctions.udf.CIQ(InputTicker,"IQ_FIN_DIV_DEBT_TOTAL",Input!N$2,Date,,,Ccy,Conv)</f>
        <v>0</v>
      </c>
      <c r="M435" s="4">
        <f>_xll.ciqfunctions.udf.CIQ(InputTicker,"IQ_FIN_DIV_DEBT_TOTAL",Input!O$2,Date,,,Ccy,Conv)</f>
        <v>0</v>
      </c>
      <c r="N435" s="53"/>
      <c r="T435" s="42"/>
      <c r="U435" s="42"/>
      <c r="V435" s="42"/>
      <c r="W435" s="42"/>
      <c r="X435" s="42"/>
      <c r="Y435" s="42"/>
      <c r="Z435" s="42"/>
      <c r="AA435" s="42"/>
      <c r="AB435" s="42"/>
      <c r="AC435" s="42"/>
      <c r="AD435" s="42"/>
      <c r="AE435" s="42"/>
      <c r="AF435" s="42"/>
      <c r="AG435" s="42"/>
      <c r="AH435" s="42"/>
      <c r="AI435" s="42"/>
      <c r="AJ435" s="42"/>
      <c r="AK435" s="42"/>
      <c r="AL435" s="42"/>
      <c r="AM435" s="42"/>
      <c r="AN435" s="42"/>
      <c r="AO435" s="42"/>
      <c r="AP435" s="42"/>
      <c r="AQ435" s="42"/>
      <c r="AR435" s="42"/>
      <c r="AS435" s="42"/>
      <c r="AT435" s="42"/>
      <c r="AU435" s="42"/>
      <c r="AV435" s="42"/>
      <c r="AW435" s="42"/>
      <c r="AX435" s="42"/>
      <c r="AY435" s="42"/>
      <c r="AZ435" s="42"/>
      <c r="BA435" s="42"/>
      <c r="BB435" s="42"/>
      <c r="BC435" s="42"/>
      <c r="BD435" s="42"/>
      <c r="BE435" s="42"/>
      <c r="BF435" s="42"/>
      <c r="BG435" s="42"/>
      <c r="BH435" s="42"/>
      <c r="BI435" s="42"/>
      <c r="BJ435" s="42"/>
      <c r="BK435" s="42"/>
      <c r="BL435" s="42"/>
      <c r="BM435" s="42"/>
      <c r="BN435" s="42"/>
    </row>
    <row r="436" spans="1:66" ht="12.75" customHeight="1" x14ac:dyDescent="0.2">
      <c r="A436" s="1" t="s">
        <v>379</v>
      </c>
      <c r="B436" s="4">
        <f>_xll.ciqfunctions.udf.CIQ(InputTicker, "IQ_FIN_DIV_CASH_EQUIV",Input!D$2,Date,,,Ccy,Conv)</f>
        <v>0</v>
      </c>
      <c r="C436" s="4">
        <f>_xll.ciqfunctions.udf.CIQ(InputTicker, "IQ_FIN_DIV_CASH_EQUIV",Input!E$2,Date,,,Ccy,Conv)</f>
        <v>0</v>
      </c>
      <c r="D436" s="4">
        <f>_xll.ciqfunctions.udf.CIQ(InputTicker, "IQ_FIN_DIV_CASH_EQUIV",Input!F$2,Date,,,Ccy,Conv)</f>
        <v>0</v>
      </c>
      <c r="E436" s="4">
        <f>_xll.ciqfunctions.udf.CIQ(InputTicker, "IQ_FIN_DIV_CASH_EQUIV",Input!G$2,Date,,,Ccy,Conv)</f>
        <v>0</v>
      </c>
      <c r="F436" s="4">
        <f>_xll.ciqfunctions.udf.CIQ(InputTicker, "IQ_FIN_DIV_CASH_EQUIV",Input!H$2,Date,,,Ccy,Conv)</f>
        <v>0</v>
      </c>
      <c r="G436" s="4">
        <f>_xll.ciqfunctions.udf.CIQ(InputTicker, "IQ_FIN_DIV_CASH_EQUIV",Input!I$2,Date,,,Ccy,Conv)</f>
        <v>0</v>
      </c>
      <c r="H436" s="4">
        <f>_xll.ciqfunctions.udf.CIQ(InputTicker, "IQ_FIN_DIV_CASH_EQUIV",Input!J$2,Date,,,Ccy,Conv)</f>
        <v>0</v>
      </c>
      <c r="I436" s="4">
        <f>_xll.ciqfunctions.udf.CIQ(InputTicker, "IQ_FIN_DIV_CASH_EQUIV",Input!K$2,Date,,,Ccy,Conv)</f>
        <v>0</v>
      </c>
      <c r="J436" s="4">
        <f>_xll.ciqfunctions.udf.CIQ(InputTicker, "IQ_FIN_DIV_CASH_EQUIV",Input!L$2,Date,,,Ccy,Conv)</f>
        <v>0</v>
      </c>
      <c r="K436" s="4">
        <f>_xll.ciqfunctions.udf.CIQ(InputTicker, "IQ_FIN_DIV_CASH_EQUIV",Input!M$2,Date,,,Ccy,Conv)</f>
        <v>0</v>
      </c>
      <c r="L436" s="4">
        <f>_xll.ciqfunctions.udf.CIQ(InputTicker, "IQ_FIN_DIV_CASH_EQUIV",Input!N$2,Date,,,Ccy,Conv)</f>
        <v>0</v>
      </c>
      <c r="M436" s="4">
        <f>_xll.ciqfunctions.udf.CIQ(InputTicker, "IQ_FIN_DIV_CASH_EQUIV",Input!O$2,Date,,,Ccy,Conv)</f>
        <v>0</v>
      </c>
      <c r="N436" s="53"/>
      <c r="T436" s="42"/>
      <c r="U436" s="42"/>
      <c r="V436" s="42"/>
      <c r="W436" s="42"/>
      <c r="X436" s="42"/>
      <c r="Y436" s="42"/>
      <c r="Z436" s="42"/>
      <c r="AA436" s="42"/>
      <c r="AB436" s="42"/>
      <c r="AC436" s="42"/>
      <c r="AD436" s="42"/>
      <c r="AE436" s="42"/>
      <c r="AF436" s="42"/>
      <c r="AG436" s="42"/>
      <c r="AH436" s="42"/>
      <c r="AI436" s="42"/>
      <c r="AJ436" s="42"/>
      <c r="AK436" s="42"/>
      <c r="AL436" s="42"/>
      <c r="AM436" s="42"/>
      <c r="AN436" s="42"/>
      <c r="AO436" s="42"/>
      <c r="AP436" s="42"/>
      <c r="AQ436" s="42"/>
      <c r="AR436" s="42"/>
      <c r="AS436" s="42"/>
      <c r="AT436" s="42"/>
      <c r="AU436" s="42"/>
      <c r="AV436" s="42"/>
      <c r="AW436" s="42"/>
      <c r="AX436" s="42"/>
      <c r="AY436" s="42"/>
      <c r="AZ436" s="42"/>
      <c r="BA436" s="42"/>
      <c r="BB436" s="42"/>
      <c r="BC436" s="42"/>
      <c r="BD436" s="42"/>
      <c r="BE436" s="42"/>
      <c r="BF436" s="42"/>
      <c r="BG436" s="42"/>
      <c r="BH436" s="42"/>
      <c r="BI436" s="42"/>
      <c r="BJ436" s="42"/>
      <c r="BK436" s="42"/>
      <c r="BL436" s="42"/>
      <c r="BM436" s="42"/>
      <c r="BN436" s="42"/>
    </row>
    <row r="437" spans="1:66" ht="12.75" customHeight="1" x14ac:dyDescent="0.2">
      <c r="A437" s="1" t="s">
        <v>380</v>
      </c>
      <c r="B437" s="4">
        <f>_xll.ciqfunctions.udf.CIQ(InputTicker, "IQ_FIN_DIV_ST_INVEST",Input!D$2,Date,,,Ccy,Conv)</f>
        <v>0</v>
      </c>
      <c r="C437" s="4">
        <f>_xll.ciqfunctions.udf.CIQ(InputTicker, "IQ_FIN_DIV_ST_INVEST",Input!E$2,Date,,,Ccy,Conv)</f>
        <v>0</v>
      </c>
      <c r="D437" s="4">
        <f>_xll.ciqfunctions.udf.CIQ(InputTicker, "IQ_FIN_DIV_ST_INVEST",Input!F$2,Date,,,Ccy,Conv)</f>
        <v>0</v>
      </c>
      <c r="E437" s="4">
        <f>_xll.ciqfunctions.udf.CIQ(InputTicker, "IQ_FIN_DIV_ST_INVEST",Input!G$2,Date,,,Ccy,Conv)</f>
        <v>0</v>
      </c>
      <c r="F437" s="4">
        <f>_xll.ciqfunctions.udf.CIQ(InputTicker, "IQ_FIN_DIV_ST_INVEST",Input!H$2,Date,,,Ccy,Conv)</f>
        <v>0</v>
      </c>
      <c r="G437" s="4">
        <f>_xll.ciqfunctions.udf.CIQ(InputTicker, "IQ_FIN_DIV_ST_INVEST",Input!I$2,Date,,,Ccy,Conv)</f>
        <v>0</v>
      </c>
      <c r="H437" s="4">
        <f>_xll.ciqfunctions.udf.CIQ(InputTicker, "IQ_FIN_DIV_ST_INVEST",Input!J$2,Date,,,Ccy,Conv)</f>
        <v>0</v>
      </c>
      <c r="I437" s="4">
        <f>_xll.ciqfunctions.udf.CIQ(InputTicker, "IQ_FIN_DIV_ST_INVEST",Input!K$2,Date,,,Ccy,Conv)</f>
        <v>0</v>
      </c>
      <c r="J437" s="4">
        <f>_xll.ciqfunctions.udf.CIQ(InputTicker, "IQ_FIN_DIV_ST_INVEST",Input!L$2,Date,,,Ccy,Conv)</f>
        <v>0</v>
      </c>
      <c r="K437" s="4">
        <f>_xll.ciqfunctions.udf.CIQ(InputTicker, "IQ_FIN_DIV_ST_INVEST",Input!M$2,Date,,,Ccy,Conv)</f>
        <v>0</v>
      </c>
      <c r="L437" s="4">
        <f>_xll.ciqfunctions.udf.CIQ(InputTicker, "IQ_FIN_DIV_ST_INVEST",Input!N$2,Date,,,Ccy,Conv)</f>
        <v>0</v>
      </c>
      <c r="M437" s="4">
        <f>_xll.ciqfunctions.udf.CIQ(InputTicker, "IQ_FIN_DIV_ST_INVEST",Input!O$2,Date,,,Ccy,Conv)</f>
        <v>0</v>
      </c>
      <c r="N437" s="53"/>
      <c r="T437" s="42"/>
      <c r="U437" s="42"/>
      <c r="V437" s="42"/>
      <c r="W437" s="42"/>
      <c r="X437" s="42"/>
      <c r="Y437" s="42"/>
      <c r="Z437" s="42"/>
      <c r="AA437" s="42"/>
      <c r="AB437" s="42"/>
      <c r="AC437" s="42"/>
      <c r="AD437" s="42"/>
      <c r="AE437" s="42"/>
      <c r="AF437" s="42"/>
      <c r="AG437" s="42"/>
      <c r="AH437" s="42"/>
      <c r="AI437" s="42"/>
      <c r="AJ437" s="42"/>
      <c r="AK437" s="42"/>
      <c r="AL437" s="42"/>
      <c r="AM437" s="42"/>
      <c r="AN437" s="42"/>
      <c r="AO437" s="42"/>
      <c r="AP437" s="42"/>
      <c r="AQ437" s="42"/>
      <c r="AR437" s="42"/>
      <c r="AS437" s="42"/>
      <c r="AT437" s="42"/>
      <c r="AU437" s="42"/>
      <c r="AV437" s="42"/>
      <c r="AW437" s="42"/>
      <c r="AX437" s="42"/>
      <c r="AY437" s="42"/>
      <c r="AZ437" s="42"/>
      <c r="BA437" s="42"/>
      <c r="BB437" s="42"/>
      <c r="BC437" s="42"/>
      <c r="BD437" s="42"/>
      <c r="BE437" s="42"/>
      <c r="BF437" s="42"/>
      <c r="BG437" s="42"/>
      <c r="BH437" s="42"/>
      <c r="BI437" s="42"/>
      <c r="BJ437" s="42"/>
      <c r="BK437" s="42"/>
      <c r="BL437" s="42"/>
      <c r="BM437" s="42"/>
      <c r="BN437" s="42"/>
    </row>
    <row r="438" spans="1:66" ht="12.75" customHeight="1" x14ac:dyDescent="0.2">
      <c r="A438" s="1" t="s">
        <v>503</v>
      </c>
      <c r="B438" s="4">
        <f>_xll.ciqfunctions.udf.CIQ(InputTicker, "IQ_DEBT_EQUIV_NET_PBO",Input!D$2,Date,,,Ccy,Conv)</f>
        <v>0</v>
      </c>
      <c r="C438" s="4">
        <f>_xll.ciqfunctions.udf.CIQ(InputTicker, "IQ_DEBT_EQUIV_NET_PBO",Input!E$2,Date,,,Ccy,Conv)</f>
        <v>0</v>
      </c>
      <c r="D438" s="4">
        <f>_xll.ciqfunctions.udf.CIQ(InputTicker, "IQ_DEBT_EQUIV_NET_PBO",Input!F$2,Date,,,Ccy,Conv)</f>
        <v>0</v>
      </c>
      <c r="E438" s="4">
        <f>_xll.ciqfunctions.udf.CIQ(InputTicker, "IQ_DEBT_EQUIV_NET_PBO",Input!G$2,Date,,,Ccy,Conv)</f>
        <v>0</v>
      </c>
      <c r="F438" s="4">
        <f>_xll.ciqfunctions.udf.CIQ(InputTicker, "IQ_DEBT_EQUIV_NET_PBO",Input!H$2,Date,,,Ccy,Conv)</f>
        <v>0</v>
      </c>
      <c r="G438" s="4">
        <f>_xll.ciqfunctions.udf.CIQ(InputTicker, "IQ_DEBT_EQUIV_NET_PBO",Input!I$2,Date,,,Ccy,Conv)</f>
        <v>0</v>
      </c>
      <c r="H438" s="4">
        <f>_xll.ciqfunctions.udf.CIQ(InputTicker, "IQ_DEBT_EQUIV_NET_PBO",Input!J$2,Date,,,Ccy,Conv)</f>
        <v>0</v>
      </c>
      <c r="I438" s="4">
        <f>_xll.ciqfunctions.udf.CIQ(InputTicker, "IQ_DEBT_EQUIV_NET_PBO",Input!K$2,Date,,,Ccy,Conv)</f>
        <v>0</v>
      </c>
      <c r="J438" s="4">
        <f>_xll.ciqfunctions.udf.CIQ(InputTicker, "IQ_DEBT_EQUIV_NET_PBO",Input!L$2,Date,,,Ccy,Conv)</f>
        <v>0</v>
      </c>
      <c r="K438" s="4">
        <f>_xll.ciqfunctions.udf.CIQ(InputTicker, "IQ_DEBT_EQUIV_NET_PBO",Input!M$2,Date,,,Ccy,Conv)</f>
        <v>0</v>
      </c>
      <c r="L438" s="4">
        <f>_xll.ciqfunctions.udf.CIQ(InputTicker, "IQ_DEBT_EQUIV_NET_PBO",Input!N$2,Date,,,Ccy,Conv)</f>
        <v>0</v>
      </c>
      <c r="M438" s="4">
        <f>_xll.ciqfunctions.udf.CIQ(InputTicker, "IQ_DEBT_EQUIV_NET_PBO",Input!O$2,Date,,,Ccy,Conv)</f>
        <v>0</v>
      </c>
      <c r="N438" s="53"/>
      <c r="T438" s="42"/>
      <c r="U438" s="42"/>
      <c r="V438" s="42"/>
      <c r="W438" s="42"/>
      <c r="X438" s="42"/>
      <c r="Y438" s="42"/>
      <c r="Z438" s="42"/>
      <c r="AA438" s="42"/>
      <c r="AB438" s="42"/>
      <c r="AC438" s="42"/>
      <c r="AD438" s="42"/>
      <c r="AE438" s="42"/>
      <c r="AF438" s="42"/>
      <c r="AG438" s="42"/>
      <c r="AH438" s="42"/>
      <c r="AI438" s="42"/>
      <c r="AJ438" s="42"/>
      <c r="AK438" s="42"/>
      <c r="AL438" s="42"/>
      <c r="AM438" s="42"/>
      <c r="AN438" s="42"/>
      <c r="AO438" s="42"/>
      <c r="AP438" s="42"/>
      <c r="AQ438" s="42"/>
      <c r="AR438" s="42"/>
      <c r="AS438" s="42"/>
      <c r="AT438" s="42"/>
      <c r="AU438" s="42"/>
      <c r="AV438" s="42"/>
      <c r="AW438" s="42"/>
      <c r="AX438" s="42"/>
      <c r="AY438" s="42"/>
      <c r="AZ438" s="42"/>
      <c r="BA438" s="42"/>
      <c r="BB438" s="42"/>
      <c r="BC438" s="42"/>
      <c r="BD438" s="42"/>
      <c r="BE438" s="42"/>
      <c r="BF438" s="42"/>
      <c r="BG438" s="42"/>
      <c r="BH438" s="42"/>
      <c r="BI438" s="42"/>
      <c r="BJ438" s="42"/>
      <c r="BK438" s="42"/>
      <c r="BL438" s="42"/>
      <c r="BM438" s="42"/>
      <c r="BN438" s="42"/>
    </row>
    <row r="439" spans="1:66" ht="12.75" customHeight="1" x14ac:dyDescent="0.2">
      <c r="A439" s="1" t="s">
        <v>504</v>
      </c>
      <c r="B439" s="4">
        <f>_xll.ciqfunctions.udf.CIQ(InputTicker, "IQ_DEBT_EQUIV_OPER_LEASE",Input!D$2,Date,,,Ccy,Conv)</f>
        <v>7488</v>
      </c>
      <c r="C439" s="4">
        <f>_xll.ciqfunctions.udf.CIQ(InputTicker, "IQ_DEBT_EQUIV_OPER_LEASE",Input!E$2,Date,,,Ccy,Conv)</f>
        <v>11296</v>
      </c>
      <c r="D439" s="4">
        <f>_xll.ciqfunctions.udf.CIQ(InputTicker, "IQ_DEBT_EQUIV_OPER_LEASE",Input!F$2,Date,,,Ccy,Conv)</f>
        <v>12680</v>
      </c>
      <c r="E439" s="4">
        <f>_xll.ciqfunctions.udf.CIQ(InputTicker, "IQ_DEBT_EQUIV_OPER_LEASE",Input!G$2,Date,,,Ccy,Conv)</f>
        <v>13656</v>
      </c>
      <c r="F439" s="4">
        <f>_xll.ciqfunctions.udf.CIQ(InputTicker, "IQ_DEBT_EQUIV_OPER_LEASE",Input!H$2,Date,,,Ccy,Conv)</f>
        <v>16344</v>
      </c>
      <c r="G439" s="4">
        <f>_xll.ciqfunctions.udf.CIQ(InputTicker, "IQ_DEBT_EQUIV_OPER_LEASE",Input!I$2,Date,,,Ccy,Conv)</f>
        <v>17016</v>
      </c>
      <c r="H439" s="4">
        <f>_xll.ciqfunctions.udf.CIQ(InputTicker, "IQ_DEBT_EQUIV_OPER_LEASE",Input!J$2,Date,,,Ccy,Conv)</f>
        <v>19688</v>
      </c>
      <c r="I439" s="4">
        <f>_xll.ciqfunctions.udf.CIQ(InputTicker, "IQ_DEBT_EQUIV_OPER_LEASE",Input!K$2,Date,,,Ccy,Conv)</f>
        <v>23000</v>
      </c>
      <c r="J439" s="4">
        <f>_xll.ciqfunctions.udf.CIQ(InputTicker, "IQ_DEBT_EQUIV_OPER_LEASE",Input!L$2,Date,,,Ccy,Conv)</f>
        <v>28440</v>
      </c>
      <c r="K439" s="4">
        <f>_xll.ciqfunctions.udf.CIQ(InputTicker, "IQ_DEBT_EQUIV_OPER_LEASE",Input!M$2,Date,,,Ccy,Conv)</f>
        <v>44192</v>
      </c>
      <c r="L439" s="4">
        <f>_xll.ciqfunctions.udf.CIQ(InputTicker, "IQ_DEBT_EQUIV_OPER_LEASE",Input!N$2,Date,,,Ccy,Conv)</f>
        <v>55744</v>
      </c>
      <c r="M439" s="4">
        <f>_xll.ciqfunctions.udf.CIQ(InputTicker, "IQ_DEBT_EQUIV_OPER_LEASE",Input!O$2,Date,,,Ccy,Conv)</f>
        <v>55744</v>
      </c>
      <c r="N439" s="53"/>
      <c r="T439" s="42"/>
      <c r="U439" s="42"/>
      <c r="V439" s="42"/>
      <c r="W439" s="42"/>
      <c r="X439" s="42"/>
      <c r="Y439" s="42"/>
      <c r="Z439" s="42"/>
      <c r="AA439" s="42"/>
      <c r="AB439" s="42"/>
      <c r="AC439" s="42"/>
      <c r="AD439" s="42"/>
      <c r="AE439" s="42"/>
      <c r="AF439" s="42"/>
      <c r="AG439" s="42"/>
      <c r="AH439" s="42"/>
      <c r="AI439" s="42"/>
      <c r="AJ439" s="42"/>
      <c r="AK439" s="42"/>
      <c r="AL439" s="42"/>
      <c r="AM439" s="42"/>
      <c r="AN439" s="42"/>
      <c r="AO439" s="42"/>
      <c r="AP439" s="42"/>
      <c r="AQ439" s="42"/>
      <c r="AR439" s="42"/>
      <c r="AS439" s="42"/>
      <c r="AT439" s="42"/>
      <c r="AU439" s="42"/>
      <c r="AV439" s="42"/>
      <c r="AW439" s="42"/>
      <c r="AX439" s="42"/>
      <c r="AY439" s="42"/>
      <c r="AZ439" s="42"/>
      <c r="BA439" s="42"/>
      <c r="BB439" s="42"/>
      <c r="BC439" s="42"/>
      <c r="BD439" s="42"/>
      <c r="BE439" s="42"/>
      <c r="BF439" s="42"/>
      <c r="BG439" s="42"/>
      <c r="BH439" s="42"/>
      <c r="BI439" s="42"/>
      <c r="BJ439" s="42"/>
      <c r="BK439" s="42"/>
      <c r="BL439" s="42"/>
      <c r="BM439" s="42"/>
      <c r="BN439" s="42"/>
    </row>
    <row r="440" spans="1:66" ht="12.75" customHeight="1" x14ac:dyDescent="0.2">
      <c r="A440" s="1" t="s">
        <v>362</v>
      </c>
      <c r="B440" s="4">
        <f>_xll.ciqfunctions.udf.CIQ(InputTicker,"IQ_COST_BORROWING",Input!D$2,Date)</f>
        <v>2.8935</v>
      </c>
      <c r="C440" s="4">
        <f>_xll.ciqfunctions.udf.CIQ(InputTicker,"IQ_COST_BORROWING",Input!E$2,Date)</f>
        <v>2.9613</v>
      </c>
      <c r="D440" s="4">
        <f>_xll.ciqfunctions.udf.CIQ(InputTicker,"IQ_COST_BORROWING",Input!F$2,Date)</f>
        <v>2.9863</v>
      </c>
      <c r="E440" s="4">
        <f>_xll.ciqfunctions.udf.CIQ(InputTicker,"IQ_COST_BORROWING",Input!G$2,Date)</f>
        <v>3.0880000000000001</v>
      </c>
      <c r="F440" s="4">
        <f>_xll.ciqfunctions.udf.CIQ(InputTicker,"IQ_COST_BORROWING",Input!H$2,Date)</f>
        <v>3.0741000000000001</v>
      </c>
      <c r="G440" s="4">
        <f>_xll.ciqfunctions.udf.CIQ(InputTicker,"IQ_COST_BORROWING",Input!I$2,Date)</f>
        <v>2.8347000000000002</v>
      </c>
      <c r="H440" s="4">
        <f>_xll.ciqfunctions.udf.CIQ(InputTicker,"IQ_COST_BORROWING",Input!J$2,Date)</f>
        <v>2.5478999999999998</v>
      </c>
      <c r="I440" s="4">
        <f>_xll.ciqfunctions.udf.CIQ(InputTicker,"IQ_COST_BORROWING",Input!K$2,Date)</f>
        <v>2.5278</v>
      </c>
      <c r="J440" s="4">
        <f>_xll.ciqfunctions.udf.CIQ(InputTicker,"IQ_COST_BORROWING",Input!L$2,Date)</f>
        <v>3.3650000000000002</v>
      </c>
      <c r="K440" s="4">
        <f>_xll.ciqfunctions.udf.CIQ(InputTicker,"IQ_COST_BORROWING",Input!M$2,Date)</f>
        <v>2.3090999999999999</v>
      </c>
      <c r="L440" s="4">
        <f>_xll.ciqfunctions.udf.CIQ(InputTicker,"IQ_COST_BORROWING",Input!N$2,Date)</f>
        <v>2.5568</v>
      </c>
      <c r="M440" s="4">
        <f>_xll.ciqfunctions.udf.CIQ(InputTicker,"IQ_COST_BORROWING",Input!O$2,Date)</f>
        <v>2.5568</v>
      </c>
      <c r="N440" s="53"/>
      <c r="T440" s="42"/>
      <c r="U440" s="42"/>
      <c r="V440" s="42"/>
      <c r="W440" s="42"/>
      <c r="X440" s="42"/>
      <c r="Y440" s="42"/>
      <c r="Z440" s="42"/>
      <c r="AA440" s="42"/>
      <c r="AB440" s="42"/>
      <c r="AC440" s="42"/>
      <c r="AD440" s="42"/>
      <c r="AE440" s="42"/>
      <c r="AF440" s="42"/>
      <c r="AG440" s="42"/>
      <c r="AH440" s="42"/>
      <c r="AI440" s="42"/>
      <c r="AJ440" s="42"/>
      <c r="AK440" s="42"/>
      <c r="AL440" s="42"/>
      <c r="AM440" s="42"/>
      <c r="AN440" s="42"/>
      <c r="AO440" s="42"/>
      <c r="AP440" s="42"/>
      <c r="AQ440" s="42"/>
      <c r="AR440" s="42"/>
      <c r="AS440" s="42"/>
      <c r="AT440" s="42"/>
      <c r="AU440" s="42"/>
      <c r="AV440" s="42"/>
      <c r="AW440" s="42"/>
      <c r="AX440" s="42"/>
      <c r="AY440" s="42"/>
      <c r="AZ440" s="42"/>
      <c r="BA440" s="42"/>
      <c r="BB440" s="42"/>
      <c r="BC440" s="42"/>
      <c r="BD440" s="42"/>
      <c r="BE440" s="42"/>
      <c r="BF440" s="42"/>
      <c r="BG440" s="42"/>
      <c r="BH440" s="42"/>
      <c r="BI440" s="42"/>
      <c r="BJ440" s="42"/>
      <c r="BK440" s="42"/>
      <c r="BL440" s="42"/>
      <c r="BM440" s="42"/>
      <c r="BN440" s="42"/>
    </row>
    <row r="441" spans="1:66" ht="12.75" customHeight="1" x14ac:dyDescent="0.2">
      <c r="A441" s="1" t="s">
        <v>378</v>
      </c>
      <c r="B441" s="4">
        <f>_xll.ciqfunctions.udf.CIQ(InputTicker,"IQ_RESTRICTED_CASH_NON_CURRENT",Input!D$2,Date,,,Ccy,Conv)</f>
        <v>0</v>
      </c>
      <c r="C441" s="4">
        <f>_xll.ciqfunctions.udf.CIQ(InputTicker,"IQ_RESTRICTED_CASH_NON_CURRENT",Input!E$2,Date,,,Ccy,Conv)</f>
        <v>0</v>
      </c>
      <c r="D441" s="4">
        <f>_xll.ciqfunctions.udf.CIQ(InputTicker,"IQ_RESTRICTED_CASH_NON_CURRENT",Input!F$2,Date,,,Ccy,Conv)</f>
        <v>0</v>
      </c>
      <c r="E441" s="4">
        <f>_xll.ciqfunctions.udf.CIQ(InputTicker,"IQ_RESTRICTED_CASH_NON_CURRENT",Input!G$2,Date,,,Ccy,Conv)</f>
        <v>0</v>
      </c>
      <c r="F441" s="4">
        <f>_xll.ciqfunctions.udf.CIQ(InputTicker,"IQ_RESTRICTED_CASH_NON_CURRENT",Input!H$2,Date,,,Ccy,Conv)</f>
        <v>0</v>
      </c>
      <c r="G441" s="4">
        <f>_xll.ciqfunctions.udf.CIQ(InputTicker,"IQ_RESTRICTED_CASH_NON_CURRENT",Input!I$2,Date,,,Ccy,Conv)</f>
        <v>0</v>
      </c>
      <c r="H441" s="4">
        <f>_xll.ciqfunctions.udf.CIQ(InputTicker,"IQ_RESTRICTED_CASH_NON_CURRENT",Input!J$2,Date,,,Ccy,Conv)</f>
        <v>0</v>
      </c>
      <c r="I441" s="4">
        <f>_xll.ciqfunctions.udf.CIQ(InputTicker,"IQ_RESTRICTED_CASH_NON_CURRENT",Input!K$2,Date,,,Ccy,Conv)</f>
        <v>0</v>
      </c>
      <c r="J441" s="4">
        <f>_xll.ciqfunctions.udf.CIQ(InputTicker,"IQ_RESTRICTED_CASH_NON_CURRENT",Input!L$2,Date,,,Ccy,Conv)</f>
        <v>0</v>
      </c>
      <c r="K441" s="4">
        <f>_xll.ciqfunctions.udf.CIQ(InputTicker,"IQ_RESTRICTED_CASH_NON_CURRENT",Input!M$2,Date,,,Ccy,Conv)</f>
        <v>0</v>
      </c>
      <c r="L441" s="4">
        <f>_xll.ciqfunctions.udf.CIQ(InputTicker,"IQ_RESTRICTED_CASH_NON_CURRENT",Input!N$2,Date,,,Ccy,Conv)</f>
        <v>0</v>
      </c>
      <c r="M441" s="4">
        <f>_xll.ciqfunctions.udf.CIQ(InputTicker,"IQ_RESTRICTED_CASH_NON_CURRENT",Input!O$2,Date,,,Ccy,Conv)</f>
        <v>0</v>
      </c>
      <c r="N441" s="53"/>
      <c r="T441" s="42"/>
      <c r="U441" s="42"/>
      <c r="V441" s="42"/>
      <c r="W441" s="42"/>
      <c r="X441" s="42"/>
      <c r="Y441" s="42"/>
      <c r="Z441" s="42"/>
      <c r="AA441" s="42"/>
      <c r="AB441" s="42"/>
      <c r="AC441" s="42"/>
      <c r="AD441" s="42"/>
      <c r="AE441" s="42"/>
      <c r="AF441" s="42"/>
      <c r="AG441" s="42"/>
      <c r="AH441" s="42"/>
      <c r="AI441" s="42"/>
      <c r="AJ441" s="42"/>
      <c r="AK441" s="42"/>
      <c r="AL441" s="42"/>
      <c r="AM441" s="42"/>
      <c r="AN441" s="42"/>
      <c r="AO441" s="42"/>
      <c r="AP441" s="42"/>
      <c r="AQ441" s="42"/>
      <c r="AR441" s="42"/>
      <c r="AS441" s="42"/>
      <c r="AT441" s="42"/>
      <c r="AU441" s="42"/>
      <c r="AV441" s="42"/>
      <c r="AW441" s="42"/>
      <c r="AX441" s="42"/>
      <c r="AY441" s="42"/>
      <c r="AZ441" s="42"/>
      <c r="BA441" s="42"/>
      <c r="BB441" s="42"/>
      <c r="BC441" s="42"/>
      <c r="BD441" s="42"/>
      <c r="BE441" s="42"/>
      <c r="BF441" s="42"/>
      <c r="BG441" s="42"/>
      <c r="BH441" s="42"/>
      <c r="BI441" s="42"/>
      <c r="BJ441" s="42"/>
      <c r="BK441" s="42"/>
      <c r="BL441" s="42"/>
      <c r="BM441" s="42"/>
      <c r="BN441" s="42"/>
    </row>
    <row r="442" spans="1:66" ht="12.75" customHeight="1" x14ac:dyDescent="0.2">
      <c r="A442" s="1" t="s">
        <v>505</v>
      </c>
      <c r="B442" s="4">
        <f>_xll.ciqfunctions.udf.CIQ(InputTicker,"IQ_RESTRICTED_CASH_TOTAL",Input!D$2,Date,,,Ccy,Conv)</f>
        <v>0</v>
      </c>
      <c r="C442" s="4">
        <f>_xll.ciqfunctions.udf.CIQ(InputTicker,"IQ_RESTRICTED_CASH_TOTAL",Input!E$2,Date,,,Ccy,Conv)</f>
        <v>0</v>
      </c>
      <c r="D442" s="4">
        <f>_xll.ciqfunctions.udf.CIQ(InputTicker,"IQ_RESTRICTED_CASH_TOTAL",Input!F$2,Date,,,Ccy,Conv)</f>
        <v>0</v>
      </c>
      <c r="E442" s="4">
        <f>_xll.ciqfunctions.udf.CIQ(InputTicker,"IQ_RESTRICTED_CASH_TOTAL",Input!G$2,Date,,,Ccy,Conv)</f>
        <v>0</v>
      </c>
      <c r="F442" s="4">
        <f>_xll.ciqfunctions.udf.CIQ(InputTicker,"IQ_RESTRICTED_CASH_TOTAL",Input!H$2,Date,,,Ccy,Conv)</f>
        <v>0</v>
      </c>
      <c r="G442" s="4">
        <f>_xll.ciqfunctions.udf.CIQ(InputTicker,"IQ_RESTRICTED_CASH_TOTAL",Input!I$2,Date,,,Ccy,Conv)</f>
        <v>0</v>
      </c>
      <c r="H442" s="4">
        <f>_xll.ciqfunctions.udf.CIQ(InputTicker,"IQ_RESTRICTED_CASH_TOTAL",Input!J$2,Date,,,Ccy,Conv)</f>
        <v>0</v>
      </c>
      <c r="I442" s="4">
        <f>_xll.ciqfunctions.udf.CIQ(InputTicker,"IQ_RESTRICTED_CASH_TOTAL",Input!K$2,Date,,,Ccy,Conv)</f>
        <v>0</v>
      </c>
      <c r="J442" s="4">
        <f>_xll.ciqfunctions.udf.CIQ(InputTicker,"IQ_RESTRICTED_CASH_TOTAL",Input!L$2,Date,,,Ccy,Conv)</f>
        <v>0</v>
      </c>
      <c r="K442" s="4">
        <f>_xll.ciqfunctions.udf.CIQ(InputTicker,"IQ_RESTRICTED_CASH_TOTAL",Input!M$2,Date,,,Ccy,Conv)</f>
        <v>0</v>
      </c>
      <c r="L442" s="4">
        <f>_xll.ciqfunctions.udf.CIQ(InputTicker,"IQ_RESTRICTED_CASH_TOTAL",Input!N$2,Date,,,Ccy,Conv)</f>
        <v>0</v>
      </c>
      <c r="M442" s="4">
        <f>_xll.ciqfunctions.udf.CIQ(InputTicker,"IQ_RESTRICTED_CASH_TOTAL",Input!O$2,Date,,,Ccy,Conv)</f>
        <v>0</v>
      </c>
      <c r="N442" s="53"/>
      <c r="T442" s="42"/>
      <c r="U442" s="42"/>
      <c r="V442" s="42"/>
      <c r="W442" s="42"/>
      <c r="X442" s="42"/>
      <c r="Y442" s="42"/>
      <c r="Z442" s="42"/>
      <c r="AA442" s="42"/>
      <c r="AB442" s="42"/>
      <c r="AC442" s="42"/>
      <c r="AD442" s="42"/>
      <c r="AE442" s="42"/>
      <c r="AF442" s="42"/>
      <c r="AG442" s="42"/>
      <c r="AH442" s="42"/>
      <c r="AI442" s="42"/>
      <c r="AJ442" s="42"/>
      <c r="AK442" s="42"/>
      <c r="AL442" s="42"/>
      <c r="AM442" s="42"/>
      <c r="AN442" s="42"/>
      <c r="AO442" s="42"/>
      <c r="AP442" s="42"/>
      <c r="AQ442" s="42"/>
      <c r="AR442" s="42"/>
      <c r="AS442" s="42"/>
      <c r="AT442" s="42"/>
      <c r="AU442" s="42"/>
      <c r="AV442" s="42"/>
      <c r="AW442" s="42"/>
      <c r="AX442" s="42"/>
      <c r="AY442" s="42"/>
      <c r="AZ442" s="42"/>
      <c r="BA442" s="42"/>
      <c r="BB442" s="42"/>
      <c r="BC442" s="42"/>
      <c r="BD442" s="42"/>
      <c r="BE442" s="42"/>
      <c r="BF442" s="42"/>
      <c r="BG442" s="42"/>
      <c r="BH442" s="42"/>
      <c r="BI442" s="42"/>
      <c r="BJ442" s="42"/>
      <c r="BK442" s="42"/>
      <c r="BL442" s="42"/>
      <c r="BM442" s="42"/>
      <c r="BN442" s="42"/>
    </row>
    <row r="443" spans="1:66" ht="12.75" customHeight="1" x14ac:dyDescent="0.2">
      <c r="A443" s="1" t="s">
        <v>363</v>
      </c>
      <c r="B443" s="4">
        <f>_xll.ciqfunctions.udf.CIQ(InputTicker,"IQ_TOTAL_DEBT_EXCL_FIN",Input!D$2,Date,,,Ccy,Conv)</f>
        <v>54541</v>
      </c>
      <c r="C443" s="4">
        <f>_xll.ciqfunctions.udf.CIQ(InputTicker,"IQ_TOTAL_DEBT_EXCL_FIN",Input!E$2,Date,,,Ccy,Conv)</f>
        <v>95527</v>
      </c>
      <c r="D443" s="4">
        <f>_xll.ciqfunctions.udf.CIQ(InputTicker,"IQ_TOTAL_DEBT_EXCL_FIN",Input!F$2,Date,,,Ccy,Conv)</f>
        <v>87508</v>
      </c>
      <c r="E443" s="4">
        <f>_xll.ciqfunctions.udf.CIQ(InputTicker,"IQ_TOTAL_DEBT_EXCL_FIN",Input!G$2,Date,,,Ccy,Conv)</f>
        <v>86455</v>
      </c>
      <c r="F443" s="4">
        <f>_xll.ciqfunctions.udf.CIQ(InputTicker,"IQ_TOTAL_DEBT_EXCL_FIN",Input!H$2,Date,,,Ccy,Conv)</f>
        <v>82110</v>
      </c>
      <c r="G443" s="4">
        <f>_xll.ciqfunctions.udf.CIQ(InputTicker,"IQ_TOTAL_DEBT_EXCL_FIN",Input!I$2,Date,,,Ccy,Conv)</f>
        <v>82278</v>
      </c>
      <c r="H443" s="4">
        <f>_xll.ciqfunctions.udf.CIQ(InputTicker,"IQ_TOTAL_DEBT_EXCL_FIN",Input!J$2,Date,,,Ccy,Conv)</f>
        <v>78400</v>
      </c>
      <c r="I443" s="4">
        <f>_xll.ciqfunctions.udf.CIQ(InputTicker,"IQ_TOTAL_DEBT_EXCL_FIN",Input!K$2,Date,,,Ccy,Conv)</f>
        <v>79441</v>
      </c>
      <c r="J443" s="4">
        <f>_xll.ciqfunctions.udf.CIQ(InputTicker,"IQ_TOTAL_DEBT_EXCL_FIN",Input!L$2,Date,,,Ccy,Conv)</f>
        <v>97852</v>
      </c>
      <c r="K443" s="4">
        <f>_xll.ciqfunctions.udf.CIQ(InputTicker,"IQ_TOTAL_DEBT_EXCL_FIN",Input!M$2,Date,,,Ccy,Conv)</f>
        <v>112184</v>
      </c>
      <c r="L443" s="4">
        <f>_xll.ciqfunctions.udf.CIQ(InputTicker,"IQ_TOTAL_DEBT_EXCL_FIN",Input!N$2,Date,,,Ccy,Conv)</f>
        <v>128813</v>
      </c>
      <c r="M443" s="4">
        <f>_xll.ciqfunctions.udf.CIQ(InputTicker,"IQ_TOTAL_DEBT_EXCL_FIN",Input!O$2,Date,,,Ccy,Conv)</f>
        <v>128813</v>
      </c>
      <c r="N443" s="53"/>
      <c r="T443" s="42"/>
      <c r="U443" s="42"/>
      <c r="V443" s="42"/>
      <c r="W443" s="42"/>
      <c r="X443" s="42"/>
      <c r="Y443" s="42"/>
      <c r="Z443" s="42"/>
      <c r="AA443" s="42"/>
      <c r="AB443" s="42"/>
      <c r="AC443" s="42"/>
      <c r="AD443" s="42"/>
      <c r="AE443" s="42"/>
      <c r="AF443" s="42"/>
      <c r="AG443" s="42"/>
      <c r="AH443" s="42"/>
      <c r="AI443" s="42"/>
      <c r="AJ443" s="42"/>
      <c r="AK443" s="42"/>
      <c r="AL443" s="42"/>
      <c r="AM443" s="42"/>
      <c r="AN443" s="42"/>
      <c r="AO443" s="42"/>
      <c r="AP443" s="42"/>
      <c r="AQ443" s="42"/>
      <c r="AR443" s="42"/>
      <c r="AS443" s="42"/>
      <c r="AT443" s="42"/>
      <c r="AU443" s="42"/>
      <c r="AV443" s="42"/>
      <c r="AW443" s="42"/>
      <c r="AX443" s="42"/>
      <c r="AY443" s="42"/>
      <c r="AZ443" s="42"/>
      <c r="BA443" s="42"/>
      <c r="BB443" s="42"/>
      <c r="BC443" s="42"/>
      <c r="BD443" s="42"/>
      <c r="BE443" s="42"/>
      <c r="BF443" s="42"/>
      <c r="BG443" s="42"/>
      <c r="BH443" s="42"/>
      <c r="BI443" s="42"/>
      <c r="BJ443" s="42"/>
      <c r="BK443" s="42"/>
      <c r="BL443" s="42"/>
      <c r="BM443" s="42"/>
      <c r="BN443" s="42"/>
    </row>
    <row r="444" spans="1:66" ht="12.75" customHeight="1" x14ac:dyDescent="0.2">
      <c r="A444" s="1" t="s">
        <v>364</v>
      </c>
      <c r="B444" s="4">
        <f>_xll.ciqfunctions.udf.CIQ(InputTicker,"IQ_ORDER_BACKLOG",Input!D$2,Date,,,Ccy,Conv)</f>
        <v>0</v>
      </c>
      <c r="C444" s="4">
        <f>_xll.ciqfunctions.udf.CIQ(InputTicker,"IQ_ORDER_BACKLOG",Input!E$2,Date,,,Ccy,Conv)</f>
        <v>0</v>
      </c>
      <c r="D444" s="4">
        <f>_xll.ciqfunctions.udf.CIQ(InputTicker,"IQ_ORDER_BACKLOG",Input!F$2,Date,,,Ccy,Conv)</f>
        <v>0</v>
      </c>
      <c r="E444" s="4">
        <f>_xll.ciqfunctions.udf.CIQ(InputTicker,"IQ_ORDER_BACKLOG",Input!G$2,Date,,,Ccy,Conv)</f>
        <v>0</v>
      </c>
      <c r="F444" s="4">
        <f>_xll.ciqfunctions.udf.CIQ(InputTicker,"IQ_ORDER_BACKLOG",Input!H$2,Date,,,Ccy,Conv)</f>
        <v>0</v>
      </c>
      <c r="G444" s="4">
        <f>_xll.ciqfunctions.udf.CIQ(InputTicker,"IQ_ORDER_BACKLOG",Input!I$2,Date,,,Ccy,Conv)</f>
        <v>0</v>
      </c>
      <c r="H444" s="4">
        <f>_xll.ciqfunctions.udf.CIQ(InputTicker,"IQ_ORDER_BACKLOG",Input!J$2,Date,,,Ccy,Conv)</f>
        <v>0</v>
      </c>
      <c r="I444" s="4">
        <f>_xll.ciqfunctions.udf.CIQ(InputTicker,"IQ_ORDER_BACKLOG",Input!K$2,Date,,,Ccy,Conv)</f>
        <v>0</v>
      </c>
      <c r="J444" s="4">
        <f>_xll.ciqfunctions.udf.CIQ(InputTicker,"IQ_ORDER_BACKLOG",Input!L$2,Date,,,Ccy,Conv)</f>
        <v>0</v>
      </c>
      <c r="K444" s="4">
        <f>_xll.ciqfunctions.udf.CIQ(InputTicker,"IQ_ORDER_BACKLOG",Input!M$2,Date,,,Ccy,Conv)</f>
        <v>0</v>
      </c>
      <c r="L444" s="4">
        <f>_xll.ciqfunctions.udf.CIQ(InputTicker,"IQ_ORDER_BACKLOG",Input!N$2,Date,,,Ccy,Conv)</f>
        <v>0</v>
      </c>
      <c r="M444" s="4">
        <f>_xll.ciqfunctions.udf.CIQ(InputTicker,"IQ_ORDER_BACKLOG",Input!O$2,Date,,,Ccy,Conv)</f>
        <v>0</v>
      </c>
      <c r="N444" s="53"/>
      <c r="T444" s="42"/>
      <c r="U444" s="42"/>
      <c r="V444" s="42"/>
      <c r="W444" s="42"/>
      <c r="X444" s="42"/>
      <c r="Y444" s="42"/>
      <c r="Z444" s="42"/>
      <c r="AA444" s="42"/>
      <c r="AB444" s="42"/>
      <c r="AC444" s="42"/>
      <c r="AD444" s="42"/>
      <c r="AE444" s="42"/>
      <c r="AF444" s="42"/>
      <c r="AG444" s="42"/>
      <c r="AH444" s="42"/>
      <c r="AI444" s="42"/>
      <c r="AJ444" s="42"/>
      <c r="AK444" s="42"/>
      <c r="AL444" s="42"/>
      <c r="AM444" s="42"/>
      <c r="AN444" s="42"/>
      <c r="AO444" s="42"/>
      <c r="AP444" s="42"/>
      <c r="AQ444" s="42"/>
      <c r="AR444" s="42"/>
      <c r="AS444" s="42"/>
      <c r="AT444" s="42"/>
      <c r="AU444" s="42"/>
      <c r="AV444" s="42"/>
      <c r="AW444" s="42"/>
      <c r="AX444" s="42"/>
      <c r="AY444" s="42"/>
      <c r="AZ444" s="42"/>
      <c r="BA444" s="42"/>
      <c r="BB444" s="42"/>
      <c r="BC444" s="42"/>
      <c r="BD444" s="42"/>
      <c r="BE444" s="42"/>
      <c r="BF444" s="42"/>
      <c r="BG444" s="42"/>
      <c r="BH444" s="42"/>
      <c r="BI444" s="42"/>
      <c r="BJ444" s="42"/>
      <c r="BK444" s="42"/>
      <c r="BL444" s="42"/>
      <c r="BM444" s="42"/>
      <c r="BN444" s="42"/>
    </row>
    <row r="445" spans="1:66" ht="12.75" customHeight="1" x14ac:dyDescent="0.2">
      <c r="A445" s="1" t="s">
        <v>395</v>
      </c>
      <c r="B445" s="4">
        <f>_xll.ciqfunctions.udf.CIQ(InputTicker,"IQ_CONTINGENT_LIABILITIES",Input!D$2,Date,,,Ccy,Conv)</f>
        <v>0</v>
      </c>
      <c r="C445" s="4">
        <f>_xll.ciqfunctions.udf.CIQ(InputTicker,"IQ_CONTINGENT_LIABILITIES",Input!E$2,Date,,,Ccy,Conv)</f>
        <v>0</v>
      </c>
      <c r="D445" s="4">
        <f>_xll.ciqfunctions.udf.CIQ(InputTicker,"IQ_CONTINGENT_LIABILITIES",Input!F$2,Date,,,Ccy,Conv)</f>
        <v>0</v>
      </c>
      <c r="E445" s="4">
        <f>_xll.ciqfunctions.udf.CIQ(InputTicker,"IQ_CONTINGENT_LIABILITIES",Input!G$2,Date,,,Ccy,Conv)</f>
        <v>0</v>
      </c>
      <c r="F445" s="4">
        <f>_xll.ciqfunctions.udf.CIQ(InputTicker,"IQ_CONTINGENT_LIABILITIES",Input!H$2,Date,,,Ccy,Conv)</f>
        <v>0</v>
      </c>
      <c r="G445" s="4">
        <f>_xll.ciqfunctions.udf.CIQ(InputTicker,"IQ_CONTINGENT_LIABILITIES",Input!I$2,Date,,,Ccy,Conv)</f>
        <v>0</v>
      </c>
      <c r="H445" s="4">
        <f>_xll.ciqfunctions.udf.CIQ(InputTicker,"IQ_CONTINGENT_LIABILITIES",Input!J$2,Date,,,Ccy,Conv)</f>
        <v>0</v>
      </c>
      <c r="I445" s="4">
        <f>_xll.ciqfunctions.udf.CIQ(InputTicker,"IQ_CONTINGENT_LIABILITIES",Input!K$2,Date,,,Ccy,Conv)</f>
        <v>0</v>
      </c>
      <c r="J445" s="4">
        <f>_xll.ciqfunctions.udf.CIQ(InputTicker,"IQ_CONTINGENT_LIABILITIES",Input!L$2,Date,,,Ccy,Conv)</f>
        <v>0</v>
      </c>
      <c r="K445" s="4">
        <f>_xll.ciqfunctions.udf.CIQ(InputTicker,"IQ_CONTINGENT_LIABILITIES",Input!M$2,Date,,,Ccy,Conv)</f>
        <v>0</v>
      </c>
      <c r="L445" s="4">
        <f>_xll.ciqfunctions.udf.CIQ(InputTicker,"IQ_CONTINGENT_LIABILITIES",Input!N$2,Date,,,Ccy,Conv)</f>
        <v>0</v>
      </c>
      <c r="M445" s="4">
        <f>_xll.ciqfunctions.udf.CIQ(InputTicker,"IQ_CONTINGENT_LIABILITIES",Input!O$2,Date,,,Ccy,Conv)</f>
        <v>0</v>
      </c>
      <c r="N445" s="53"/>
      <c r="T445" s="42"/>
      <c r="U445" s="42"/>
      <c r="V445" s="42"/>
      <c r="W445" s="42"/>
      <c r="X445" s="42"/>
      <c r="Y445" s="42"/>
      <c r="Z445" s="42"/>
      <c r="AA445" s="42"/>
      <c r="AB445" s="42"/>
      <c r="AC445" s="42"/>
      <c r="AD445" s="42"/>
      <c r="AE445" s="42"/>
      <c r="AF445" s="42"/>
      <c r="AG445" s="42"/>
      <c r="AH445" s="42"/>
      <c r="AI445" s="42"/>
      <c r="AJ445" s="42"/>
      <c r="AK445" s="42"/>
      <c r="AL445" s="42"/>
      <c r="AM445" s="42"/>
      <c r="AN445" s="42"/>
      <c r="AO445" s="42"/>
      <c r="AP445" s="42"/>
      <c r="AQ445" s="42"/>
      <c r="AR445" s="42"/>
      <c r="AS445" s="42"/>
      <c r="AT445" s="42"/>
      <c r="AU445" s="42"/>
      <c r="AV445" s="42"/>
      <c r="AW445" s="42"/>
      <c r="AX445" s="42"/>
      <c r="AY445" s="42"/>
      <c r="AZ445" s="42"/>
      <c r="BA445" s="42"/>
      <c r="BB445" s="42"/>
      <c r="BC445" s="42"/>
      <c r="BD445" s="42"/>
      <c r="BE445" s="42"/>
      <c r="BF445" s="42"/>
      <c r="BG445" s="42"/>
      <c r="BH445" s="42"/>
      <c r="BI445" s="42"/>
      <c r="BJ445" s="42"/>
      <c r="BK445" s="42"/>
      <c r="BL445" s="42"/>
      <c r="BM445" s="42"/>
      <c r="BN445" s="42"/>
    </row>
    <row r="446" spans="1:66" ht="12.75" customHeight="1" x14ac:dyDescent="0.2">
      <c r="A446" s="1" t="s">
        <v>443</v>
      </c>
      <c r="B446" s="4">
        <f>_xll.ciqfunctions.udf.CIQ(InputTicker,"IQ_WARRANTY_LIABILITIES",Input!D$2,Date,,,Ccy,Conv)</f>
        <v>0</v>
      </c>
      <c r="C446" s="4">
        <f>_xll.ciqfunctions.udf.CIQ(InputTicker,"IQ_WARRANTY_LIABILITIES",Input!E$2,Date,,,Ccy,Conv)</f>
        <v>0</v>
      </c>
      <c r="D446" s="4">
        <f>_xll.ciqfunctions.udf.CIQ(InputTicker,"IQ_WARRANTY_LIABILITIES",Input!F$2,Date,,,Ccy,Conv)</f>
        <v>0</v>
      </c>
      <c r="E446" s="4">
        <f>_xll.ciqfunctions.udf.CIQ(InputTicker,"IQ_WARRANTY_LIABILITIES",Input!G$2,Date,,,Ccy,Conv)</f>
        <v>0</v>
      </c>
      <c r="F446" s="4">
        <f>_xll.ciqfunctions.udf.CIQ(InputTicker,"IQ_WARRANTY_LIABILITIES",Input!H$2,Date,,,Ccy,Conv)</f>
        <v>0</v>
      </c>
      <c r="G446" s="4">
        <f>_xll.ciqfunctions.udf.CIQ(InputTicker,"IQ_WARRANTY_LIABILITIES",Input!I$2,Date,,,Ccy,Conv)</f>
        <v>0</v>
      </c>
      <c r="H446" s="4">
        <f>_xll.ciqfunctions.udf.CIQ(InputTicker,"IQ_WARRANTY_LIABILITIES",Input!J$2,Date,,,Ccy,Conv)</f>
        <v>0</v>
      </c>
      <c r="I446" s="4">
        <f>_xll.ciqfunctions.udf.CIQ(InputTicker,"IQ_WARRANTY_LIABILITIES",Input!K$2,Date,,,Ccy,Conv)</f>
        <v>0</v>
      </c>
      <c r="J446" s="4">
        <f>_xll.ciqfunctions.udf.CIQ(InputTicker,"IQ_WARRANTY_LIABILITIES",Input!L$2,Date,,,Ccy,Conv)</f>
        <v>0</v>
      </c>
      <c r="K446" s="4">
        <f>_xll.ciqfunctions.udf.CIQ(InputTicker,"IQ_WARRANTY_LIABILITIES",Input!M$2,Date,,,Ccy,Conv)</f>
        <v>0</v>
      </c>
      <c r="L446" s="4">
        <f>_xll.ciqfunctions.udf.CIQ(InputTicker,"IQ_WARRANTY_LIABILITIES",Input!N$2,Date,,,Ccy,Conv)</f>
        <v>0</v>
      </c>
      <c r="M446" s="4">
        <f>_xll.ciqfunctions.udf.CIQ(InputTicker,"IQ_WARRANTY_LIABILITIES",Input!O$2,Date,,,Ccy,Conv)</f>
        <v>0</v>
      </c>
      <c r="N446" s="53"/>
      <c r="T446" s="42"/>
      <c r="U446" s="42"/>
      <c r="V446" s="42"/>
      <c r="W446" s="42"/>
      <c r="X446" s="42"/>
      <c r="Y446" s="42"/>
      <c r="Z446" s="42"/>
      <c r="AA446" s="42"/>
      <c r="AB446" s="42"/>
      <c r="AC446" s="42"/>
      <c r="AD446" s="42"/>
      <c r="AE446" s="42"/>
      <c r="AF446" s="42"/>
      <c r="AG446" s="42"/>
      <c r="AH446" s="42"/>
      <c r="AI446" s="42"/>
      <c r="AJ446" s="42"/>
      <c r="AK446" s="42"/>
      <c r="AL446" s="42"/>
      <c r="AM446" s="42"/>
      <c r="AN446" s="42"/>
      <c r="AO446" s="42"/>
      <c r="AP446" s="42"/>
      <c r="AQ446" s="42"/>
      <c r="AR446" s="42"/>
      <c r="AS446" s="42"/>
      <c r="AT446" s="42"/>
      <c r="AU446" s="42"/>
      <c r="AV446" s="42"/>
      <c r="AW446" s="42"/>
      <c r="AX446" s="42"/>
      <c r="AY446" s="42"/>
      <c r="AZ446" s="42"/>
      <c r="BA446" s="42"/>
      <c r="BB446" s="42"/>
      <c r="BC446" s="42"/>
      <c r="BD446" s="42"/>
      <c r="BE446" s="42"/>
      <c r="BF446" s="42"/>
      <c r="BG446" s="42"/>
      <c r="BH446" s="42"/>
      <c r="BI446" s="42"/>
      <c r="BJ446" s="42"/>
      <c r="BK446" s="42"/>
      <c r="BL446" s="42"/>
      <c r="BM446" s="42"/>
      <c r="BN446" s="42"/>
    </row>
    <row r="447" spans="1:66" ht="12.75" customHeight="1" x14ac:dyDescent="0.2">
      <c r="A447" s="1" t="s">
        <v>8</v>
      </c>
      <c r="B447" s="4">
        <f>_xll.ciqfunctions.udf.CIQ(InputTicker,"IQ_ST_DEBT_DERIVATIVES",Input!D$2,Date,,,Ccy,Conv)</f>
        <v>0</v>
      </c>
      <c r="C447" s="4">
        <f>_xll.ciqfunctions.udf.CIQ(InputTicker,"IQ_ST_DEBT_DERIVATIVES",Input!E$2,Date,,,Ccy,Conv)</f>
        <v>0</v>
      </c>
      <c r="D447" s="4">
        <f>_xll.ciqfunctions.udf.CIQ(InputTicker,"IQ_ST_DEBT_DERIVATIVES",Input!F$2,Date,,,Ccy,Conv)</f>
        <v>0</v>
      </c>
      <c r="E447" s="4">
        <f>_xll.ciqfunctions.udf.CIQ(InputTicker,"IQ_ST_DEBT_DERIVATIVES",Input!G$2,Date,,,Ccy,Conv)</f>
        <v>0</v>
      </c>
      <c r="F447" s="4">
        <f>_xll.ciqfunctions.udf.CIQ(InputTicker,"IQ_ST_DEBT_DERIVATIVES",Input!H$2,Date,,,Ccy,Conv)</f>
        <v>0</v>
      </c>
      <c r="G447" s="4">
        <f>_xll.ciqfunctions.udf.CIQ(InputTicker,"IQ_ST_DEBT_DERIVATIVES",Input!I$2,Date,,,Ccy,Conv)</f>
        <v>0</v>
      </c>
      <c r="H447" s="4">
        <f>_xll.ciqfunctions.udf.CIQ(InputTicker,"IQ_ST_DEBT_DERIVATIVES",Input!J$2,Date,,,Ccy,Conv)</f>
        <v>0</v>
      </c>
      <c r="I447" s="4">
        <f>_xll.ciqfunctions.udf.CIQ(InputTicker,"IQ_ST_DEBT_DERIVATIVES",Input!K$2,Date,,,Ccy,Conv)</f>
        <v>0</v>
      </c>
      <c r="J447" s="4">
        <f>_xll.ciqfunctions.udf.CIQ(InputTicker,"IQ_ST_DEBT_DERIVATIVES",Input!L$2,Date,,,Ccy,Conv)</f>
        <v>0</v>
      </c>
      <c r="K447" s="4">
        <f>_xll.ciqfunctions.udf.CIQ(InputTicker,"IQ_ST_DEBT_DERIVATIVES",Input!M$2,Date,,,Ccy,Conv)</f>
        <v>0</v>
      </c>
      <c r="L447" s="4">
        <f>_xll.ciqfunctions.udf.CIQ(InputTicker,"IQ_ST_DEBT_DERIVATIVES",Input!N$2,Date,,,Ccy,Conv)</f>
        <v>0</v>
      </c>
      <c r="M447" s="4">
        <f>_xll.ciqfunctions.udf.CIQ(InputTicker,"IQ_ST_DEBT_DERIVATIVES",Input!O$2,Date,,,Ccy,Conv)</f>
        <v>0</v>
      </c>
      <c r="N447" s="53"/>
      <c r="T447" s="42"/>
      <c r="U447" s="42"/>
      <c r="V447" s="42"/>
      <c r="W447" s="42"/>
      <c r="X447" s="42"/>
      <c r="Y447" s="42"/>
      <c r="Z447" s="42"/>
      <c r="AA447" s="42"/>
      <c r="AB447" s="42"/>
      <c r="AC447" s="42"/>
      <c r="AD447" s="42"/>
      <c r="AE447" s="42"/>
      <c r="AF447" s="42"/>
      <c r="AG447" s="42"/>
      <c r="AH447" s="42"/>
      <c r="AI447" s="42"/>
      <c r="AJ447" s="42"/>
      <c r="AK447" s="42"/>
      <c r="AL447" s="42"/>
      <c r="AM447" s="42"/>
      <c r="AN447" s="42"/>
      <c r="AO447" s="42"/>
      <c r="AP447" s="42"/>
      <c r="AQ447" s="42"/>
      <c r="AR447" s="42"/>
      <c r="AS447" s="42"/>
      <c r="AT447" s="42"/>
      <c r="AU447" s="42"/>
      <c r="AV447" s="42"/>
      <c r="AW447" s="42"/>
      <c r="AX447" s="42"/>
      <c r="AY447" s="42"/>
      <c r="AZ447" s="42"/>
      <c r="BA447" s="42"/>
      <c r="BB447" s="42"/>
      <c r="BC447" s="42"/>
      <c r="BD447" s="42"/>
      <c r="BE447" s="42"/>
      <c r="BF447" s="42"/>
      <c r="BG447" s="42"/>
      <c r="BH447" s="42"/>
      <c r="BI447" s="42"/>
      <c r="BJ447" s="42"/>
      <c r="BK447" s="42"/>
      <c r="BL447" s="42"/>
      <c r="BM447" s="42"/>
      <c r="BN447" s="42"/>
    </row>
    <row r="448" spans="1:66" ht="12.75" customHeight="1" x14ac:dyDescent="0.2">
      <c r="A448" s="1" t="s">
        <v>9</v>
      </c>
      <c r="B448" s="4">
        <f>_xll.ciqfunctions.udf.CIQ(InputTicker,"IQ_CURRENT_PORT_DEBT_DERIVATIVES",Input!D$2,Date,,,Ccy,Conv)</f>
        <v>0</v>
      </c>
      <c r="C448" s="4">
        <f>_xll.ciqfunctions.udf.CIQ(InputTicker,"IQ_CURRENT_PORT_DEBT_DERIVATIVES",Input!E$2,Date,,,Ccy,Conv)</f>
        <v>0</v>
      </c>
      <c r="D448" s="4">
        <f>_xll.ciqfunctions.udf.CIQ(InputTicker,"IQ_CURRENT_PORT_DEBT_DERIVATIVES",Input!F$2,Date,,,Ccy,Conv)</f>
        <v>0</v>
      </c>
      <c r="E448" s="4">
        <f>_xll.ciqfunctions.udf.CIQ(InputTicker,"IQ_CURRENT_PORT_DEBT_DERIVATIVES",Input!G$2,Date,,,Ccy,Conv)</f>
        <v>0</v>
      </c>
      <c r="F448" s="4">
        <f>_xll.ciqfunctions.udf.CIQ(InputTicker,"IQ_CURRENT_PORT_DEBT_DERIVATIVES",Input!H$2,Date,,,Ccy,Conv)</f>
        <v>0</v>
      </c>
      <c r="G448" s="4">
        <f>_xll.ciqfunctions.udf.CIQ(InputTicker,"IQ_CURRENT_PORT_DEBT_DERIVATIVES",Input!I$2,Date,,,Ccy,Conv)</f>
        <v>0</v>
      </c>
      <c r="H448" s="4">
        <f>_xll.ciqfunctions.udf.CIQ(InputTicker,"IQ_CURRENT_PORT_DEBT_DERIVATIVES",Input!J$2,Date,,,Ccy,Conv)</f>
        <v>0</v>
      </c>
      <c r="I448" s="4">
        <f>_xll.ciqfunctions.udf.CIQ(InputTicker,"IQ_CURRENT_PORT_DEBT_DERIVATIVES",Input!K$2,Date,,,Ccy,Conv)</f>
        <v>0</v>
      </c>
      <c r="J448" s="4">
        <f>_xll.ciqfunctions.udf.CIQ(InputTicker,"IQ_CURRENT_PORT_DEBT_DERIVATIVES",Input!L$2,Date,,,Ccy,Conv)</f>
        <v>0</v>
      </c>
      <c r="K448" s="4">
        <f>_xll.ciqfunctions.udf.CIQ(InputTicker,"IQ_CURRENT_PORT_DEBT_DERIVATIVES",Input!M$2,Date,,,Ccy,Conv)</f>
        <v>0</v>
      </c>
      <c r="L448" s="4">
        <f>_xll.ciqfunctions.udf.CIQ(InputTicker,"IQ_CURRENT_PORT_DEBT_DERIVATIVES",Input!N$2,Date,,,Ccy,Conv)</f>
        <v>0</v>
      </c>
      <c r="M448" s="4">
        <f>_xll.ciqfunctions.udf.CIQ(InputTicker,"IQ_CURRENT_PORT_DEBT_DERIVATIVES",Input!O$2,Date,,,Ccy,Conv)</f>
        <v>0</v>
      </c>
      <c r="N448" s="53"/>
      <c r="T448" s="42"/>
      <c r="U448" s="42"/>
      <c r="V448" s="42"/>
      <c r="W448" s="42"/>
      <c r="X448" s="42"/>
      <c r="Y448" s="42"/>
      <c r="Z448" s="42"/>
      <c r="AA448" s="42"/>
      <c r="AB448" s="42"/>
      <c r="AC448" s="42"/>
      <c r="AD448" s="42"/>
      <c r="AE448" s="42"/>
      <c r="AF448" s="42"/>
      <c r="AG448" s="42"/>
      <c r="AH448" s="42"/>
      <c r="AI448" s="42"/>
      <c r="AJ448" s="42"/>
      <c r="AK448" s="42"/>
      <c r="AL448" s="42"/>
      <c r="AM448" s="42"/>
      <c r="AN448" s="42"/>
      <c r="AO448" s="42"/>
      <c r="AP448" s="42"/>
      <c r="AQ448" s="42"/>
      <c r="AR448" s="42"/>
      <c r="AS448" s="42"/>
      <c r="AT448" s="42"/>
      <c r="AU448" s="42"/>
      <c r="AV448" s="42"/>
      <c r="AW448" s="42"/>
      <c r="AX448" s="42"/>
      <c r="AY448" s="42"/>
      <c r="AZ448" s="42"/>
      <c r="BA448" s="42"/>
      <c r="BB448" s="42"/>
      <c r="BC448" s="42"/>
      <c r="BD448" s="42"/>
      <c r="BE448" s="42"/>
      <c r="BF448" s="42"/>
      <c r="BG448" s="42"/>
      <c r="BH448" s="42"/>
      <c r="BI448" s="42"/>
      <c r="BJ448" s="42"/>
      <c r="BK448" s="42"/>
      <c r="BL448" s="42"/>
      <c r="BM448" s="42"/>
      <c r="BN448" s="42"/>
    </row>
    <row r="449" spans="1:66" ht="12.75" customHeight="1" x14ac:dyDescent="0.2">
      <c r="A449" s="1" t="s">
        <v>10</v>
      </c>
      <c r="B449" s="4">
        <f>_xll.ciqfunctions.udf.CIQ(InputTicker,"IQ_LT_DEBT_DERIVATIVES",Input!D$2,Date,,,Ccy,Conv)</f>
        <v>0</v>
      </c>
      <c r="C449" s="4">
        <f>_xll.ciqfunctions.udf.CIQ(InputTicker,"IQ_LT_DEBT_DERIVATIVES",Input!E$2,Date,,,Ccy,Conv)</f>
        <v>0</v>
      </c>
      <c r="D449" s="4">
        <f>_xll.ciqfunctions.udf.CIQ(InputTicker,"IQ_LT_DEBT_DERIVATIVES",Input!F$2,Date,,,Ccy,Conv)</f>
        <v>0</v>
      </c>
      <c r="E449" s="4">
        <f>_xll.ciqfunctions.udf.CIQ(InputTicker,"IQ_LT_DEBT_DERIVATIVES",Input!G$2,Date,,,Ccy,Conv)</f>
        <v>0</v>
      </c>
      <c r="F449" s="4">
        <f>_xll.ciqfunctions.udf.CIQ(InputTicker,"IQ_LT_DEBT_DERIVATIVES",Input!H$2,Date,,,Ccy,Conv)</f>
        <v>0</v>
      </c>
      <c r="G449" s="4">
        <f>_xll.ciqfunctions.udf.CIQ(InputTicker,"IQ_LT_DEBT_DERIVATIVES",Input!I$2,Date,,,Ccy,Conv)</f>
        <v>0</v>
      </c>
      <c r="H449" s="4">
        <f>_xll.ciqfunctions.udf.CIQ(InputTicker,"IQ_LT_DEBT_DERIVATIVES",Input!J$2,Date,,,Ccy,Conv)</f>
        <v>0</v>
      </c>
      <c r="I449" s="4">
        <f>_xll.ciqfunctions.udf.CIQ(InputTicker,"IQ_LT_DEBT_DERIVATIVES",Input!K$2,Date,,,Ccy,Conv)</f>
        <v>0</v>
      </c>
      <c r="J449" s="4">
        <f>_xll.ciqfunctions.udf.CIQ(InputTicker,"IQ_LT_DEBT_DERIVATIVES",Input!L$2,Date,,,Ccy,Conv)</f>
        <v>0</v>
      </c>
      <c r="K449" s="4">
        <f>_xll.ciqfunctions.udf.CIQ(InputTicker,"IQ_LT_DEBT_DERIVATIVES",Input!M$2,Date,,,Ccy,Conv)</f>
        <v>0</v>
      </c>
      <c r="L449" s="4">
        <f>_xll.ciqfunctions.udf.CIQ(InputTicker,"IQ_LT_DEBT_DERIVATIVES",Input!N$2,Date,,,Ccy,Conv)</f>
        <v>0</v>
      </c>
      <c r="M449" s="4">
        <f>_xll.ciqfunctions.udf.CIQ(InputTicker,"IQ_LT_DEBT_DERIVATIVES",Input!O$2,Date,,,Ccy,Conv)</f>
        <v>0</v>
      </c>
      <c r="N449" s="53"/>
      <c r="T449" s="42"/>
      <c r="U449" s="42"/>
      <c r="V449" s="42"/>
      <c r="W449" s="42"/>
      <c r="X449" s="42"/>
      <c r="Y449" s="42"/>
      <c r="Z449" s="42"/>
      <c r="AA449" s="42"/>
      <c r="AB449" s="42"/>
      <c r="AC449" s="42"/>
      <c r="AD449" s="42"/>
      <c r="AE449" s="42"/>
      <c r="AF449" s="42"/>
      <c r="AG449" s="42"/>
      <c r="AH449" s="42"/>
      <c r="AI449" s="42"/>
      <c r="AJ449" s="42"/>
      <c r="AK449" s="42"/>
      <c r="AL449" s="42"/>
      <c r="AM449" s="42"/>
      <c r="AN449" s="42"/>
      <c r="AO449" s="42"/>
      <c r="AP449" s="42"/>
      <c r="AQ449" s="42"/>
      <c r="AR449" s="42"/>
      <c r="AS449" s="42"/>
      <c r="AT449" s="42"/>
      <c r="AU449" s="42"/>
      <c r="AV449" s="42"/>
      <c r="AW449" s="42"/>
      <c r="AX449" s="42"/>
      <c r="AY449" s="42"/>
      <c r="AZ449" s="42"/>
      <c r="BA449" s="42"/>
      <c r="BB449" s="42"/>
      <c r="BC449" s="42"/>
      <c r="BD449" s="42"/>
      <c r="BE449" s="42"/>
      <c r="BF449" s="42"/>
      <c r="BG449" s="42"/>
      <c r="BH449" s="42"/>
      <c r="BI449" s="42"/>
      <c r="BJ449" s="42"/>
      <c r="BK449" s="42"/>
      <c r="BL449" s="42"/>
      <c r="BM449" s="42"/>
      <c r="BN449" s="42"/>
    </row>
    <row r="450" spans="1:66" ht="12.75" customHeight="1" x14ac:dyDescent="0.2">
      <c r="A450" s="1" t="s">
        <v>18</v>
      </c>
      <c r="B450" s="4">
        <f>_xll.ciqfunctions.udf.CIQ(InputTicker,"IQ_DERIVATIVE_LIAB_CURRENT",Input!D$2,Date,,,Ccy,Conv)</f>
        <v>232</v>
      </c>
      <c r="C450" s="4">
        <f>_xll.ciqfunctions.udf.CIQ(InputTicker,"IQ_DERIVATIVE_LIAB_CURRENT",Input!E$2,Date,,,Ccy,Conv)</f>
        <v>113</v>
      </c>
      <c r="D450" s="4">
        <f>_xll.ciqfunctions.udf.CIQ(InputTicker,"IQ_DERIVATIVE_LIAB_CURRENT",Input!F$2,Date,,,Ccy,Conv)</f>
        <v>288</v>
      </c>
      <c r="E450" s="4">
        <f>_xll.ciqfunctions.udf.CIQ(InputTicker,"IQ_DERIVATIVE_LIAB_CURRENT",Input!G$2,Date,,,Ccy,Conv)</f>
        <v>221</v>
      </c>
      <c r="F450" s="4">
        <f>_xll.ciqfunctions.udf.CIQ(InputTicker,"IQ_DERIVATIVE_LIAB_CURRENT",Input!H$2,Date,,,Ccy,Conv)</f>
        <v>334</v>
      </c>
      <c r="G450" s="4">
        <f>_xll.ciqfunctions.udf.CIQ(InputTicker,"IQ_DERIVATIVE_LIAB_CURRENT",Input!I$2,Date,,,Ccy,Conv)</f>
        <v>182</v>
      </c>
      <c r="H450" s="4">
        <f>_xll.ciqfunctions.udf.CIQ(InputTicker,"IQ_DERIVATIVE_LIAB_CURRENT",Input!J$2,Date,,,Ccy,Conv)</f>
        <v>298</v>
      </c>
      <c r="I450" s="4">
        <f>_xll.ciqfunctions.udf.CIQ(InputTicker,"IQ_DERIVATIVE_LIAB_CURRENT",Input!K$2,Date,,,Ccy,Conv)</f>
        <v>341</v>
      </c>
      <c r="J450" s="4">
        <f>_xll.ciqfunctions.udf.CIQ(InputTicker,"IQ_DERIVATIVE_LIAB_CURRENT",Input!L$2,Date,,,Ccy,Conv)</f>
        <v>401</v>
      </c>
      <c r="K450" s="4">
        <f>_xll.ciqfunctions.udf.CIQ(InputTicker,"IQ_DERIVATIVE_LIAB_CURRENT",Input!M$2,Date,,,Ccy,Conv)</f>
        <v>1639</v>
      </c>
      <c r="L450" s="4">
        <f>_xll.ciqfunctions.udf.CIQ(InputTicker,"IQ_DERIVATIVE_LIAB_CURRENT",Input!N$2,Date,,,Ccy,Conv)</f>
        <v>379</v>
      </c>
      <c r="M450" s="4">
        <f>_xll.ciqfunctions.udf.CIQ(InputTicker,"IQ_DERIVATIVE_LIAB_CURRENT",Input!O$2,Date,,,Ccy,Conv)</f>
        <v>379</v>
      </c>
      <c r="N450" s="53"/>
      <c r="T450" s="42"/>
      <c r="U450" s="42"/>
      <c r="V450" s="42"/>
      <c r="W450" s="42"/>
      <c r="X450" s="42"/>
      <c r="Y450" s="42"/>
      <c r="Z450" s="42"/>
      <c r="AA450" s="42"/>
      <c r="AB450" s="42"/>
      <c r="AC450" s="42"/>
      <c r="AD450" s="42"/>
      <c r="AE450" s="42"/>
      <c r="AF450" s="42"/>
      <c r="AG450" s="42"/>
      <c r="AH450" s="42"/>
      <c r="AI450" s="42"/>
      <c r="AJ450" s="42"/>
      <c r="AK450" s="42"/>
      <c r="AL450" s="42"/>
      <c r="AM450" s="42"/>
      <c r="AN450" s="42"/>
      <c r="AO450" s="42"/>
      <c r="AP450" s="42"/>
      <c r="AQ450" s="42"/>
      <c r="AR450" s="42"/>
      <c r="AS450" s="42"/>
      <c r="AT450" s="42"/>
      <c r="AU450" s="42"/>
      <c r="AV450" s="42"/>
      <c r="AW450" s="42"/>
      <c r="AX450" s="42"/>
      <c r="AY450" s="42"/>
      <c r="AZ450" s="42"/>
      <c r="BA450" s="42"/>
      <c r="BB450" s="42"/>
      <c r="BC450" s="42"/>
      <c r="BD450" s="42"/>
      <c r="BE450" s="42"/>
      <c r="BF450" s="42"/>
      <c r="BG450" s="42"/>
      <c r="BH450" s="42"/>
      <c r="BI450" s="42"/>
      <c r="BJ450" s="42"/>
      <c r="BK450" s="42"/>
      <c r="BL450" s="42"/>
      <c r="BM450" s="42"/>
      <c r="BN450" s="42"/>
    </row>
    <row r="451" spans="1:66" ht="12.75" customHeight="1" x14ac:dyDescent="0.2">
      <c r="A451" s="1" t="s">
        <v>19</v>
      </c>
      <c r="B451" s="4">
        <f>_xll.ciqfunctions.udf.CIQ(InputTicker,"IQ_DERIVATIVE_LIAB_NON_CURRENT",Input!D$2,Date,,,Ccy,Conv)</f>
        <v>0</v>
      </c>
      <c r="C451" s="4">
        <f>_xll.ciqfunctions.udf.CIQ(InputTicker,"IQ_DERIVATIVE_LIAB_NON_CURRENT",Input!E$2,Date,,,Ccy,Conv)</f>
        <v>1</v>
      </c>
      <c r="D451" s="4">
        <f>_xll.ciqfunctions.udf.CIQ(InputTicker,"IQ_DERIVATIVE_LIAB_NON_CURRENT",Input!F$2,Date,,,Ccy,Conv)</f>
        <v>1</v>
      </c>
      <c r="E451" s="4">
        <f>_xll.ciqfunctions.udf.CIQ(InputTicker,"IQ_DERIVATIVE_LIAB_NON_CURRENT",Input!G$2,Date,,,Ccy,Conv)</f>
        <v>15</v>
      </c>
      <c r="F451" s="4">
        <f>_xll.ciqfunctions.udf.CIQ(InputTicker,"IQ_DERIVATIVE_LIAB_NON_CURRENT",Input!H$2,Date,,,Ccy,Conv)</f>
        <v>61</v>
      </c>
      <c r="G451" s="4">
        <f>_xll.ciqfunctions.udf.CIQ(InputTicker,"IQ_DERIVATIVE_LIAB_NON_CURRENT",Input!I$2,Date,,,Ccy,Conv)</f>
        <v>53</v>
      </c>
      <c r="H451" s="4">
        <f>_xll.ciqfunctions.udf.CIQ(InputTicker,"IQ_DERIVATIVE_LIAB_NON_CURRENT",Input!J$2,Date,,,Ccy,Conv)</f>
        <v>195</v>
      </c>
      <c r="I451" s="4">
        <f>_xll.ciqfunctions.udf.CIQ(InputTicker,"IQ_DERIVATIVE_LIAB_NON_CURRENT",Input!K$2,Date,,,Ccy,Conv)</f>
        <v>383</v>
      </c>
      <c r="J451" s="4">
        <f>_xll.ciqfunctions.udf.CIQ(InputTicker,"IQ_DERIVATIVE_LIAB_NON_CURRENT",Input!L$2,Date,,,Ccy,Conv)</f>
        <v>351</v>
      </c>
      <c r="K451" s="4">
        <f>_xll.ciqfunctions.udf.CIQ(InputTicker,"IQ_DERIVATIVE_LIAB_NON_CURRENT",Input!M$2,Date,,,Ccy,Conv)</f>
        <v>37</v>
      </c>
      <c r="L451" s="4">
        <f>_xll.ciqfunctions.udf.CIQ(InputTicker,"IQ_DERIVATIVE_LIAB_NON_CURRENT",Input!N$2,Date,,,Ccy,Conv)</f>
        <v>116</v>
      </c>
      <c r="M451" s="4">
        <f>_xll.ciqfunctions.udf.CIQ(InputTicker,"IQ_DERIVATIVE_LIAB_NON_CURRENT",Input!O$2,Date,,,Ccy,Conv)</f>
        <v>116</v>
      </c>
      <c r="N451" s="53"/>
      <c r="T451" s="42"/>
      <c r="U451" s="42"/>
      <c r="V451" s="42"/>
      <c r="W451" s="42"/>
      <c r="X451" s="42"/>
      <c r="Y451" s="42"/>
      <c r="Z451" s="42"/>
      <c r="AA451" s="42"/>
      <c r="AB451" s="42"/>
      <c r="AC451" s="42"/>
      <c r="AD451" s="42"/>
      <c r="AE451" s="42"/>
      <c r="AF451" s="42"/>
      <c r="AG451" s="42"/>
      <c r="AH451" s="42"/>
      <c r="AI451" s="42"/>
      <c r="AJ451" s="42"/>
      <c r="AK451" s="42"/>
      <c r="AL451" s="42"/>
      <c r="AM451" s="42"/>
      <c r="AN451" s="42"/>
      <c r="AO451" s="42"/>
      <c r="AP451" s="42"/>
      <c r="AQ451" s="42"/>
      <c r="AR451" s="42"/>
      <c r="AS451" s="42"/>
      <c r="AT451" s="42"/>
      <c r="AU451" s="42"/>
      <c r="AV451" s="42"/>
      <c r="AW451" s="42"/>
      <c r="AX451" s="42"/>
      <c r="AY451" s="42"/>
      <c r="AZ451" s="42"/>
      <c r="BA451" s="42"/>
      <c r="BB451" s="42"/>
      <c r="BC451" s="42"/>
      <c r="BD451" s="42"/>
      <c r="BE451" s="42"/>
      <c r="BF451" s="42"/>
      <c r="BG451" s="42"/>
      <c r="BH451" s="42"/>
      <c r="BI451" s="42"/>
      <c r="BJ451" s="42"/>
      <c r="BK451" s="42"/>
      <c r="BL451" s="42"/>
      <c r="BM451" s="42"/>
      <c r="BN451" s="42"/>
    </row>
    <row r="452" spans="1:66" ht="12.75" customHeight="1" x14ac:dyDescent="0.2">
      <c r="A452" s="1" t="s">
        <v>20</v>
      </c>
      <c r="B452" s="4">
        <f>_xll.ciqfunctions.udf.CIQ(InputTicker,"IQ_DERIVATIVE_TRADING_ASSETS",Input!D$2,Date,,,Ccy,Conv)</f>
        <v>0</v>
      </c>
      <c r="C452" s="4">
        <f>_xll.ciqfunctions.udf.CIQ(InputTicker,"IQ_DERIVATIVE_TRADING_ASSETS",Input!E$2,Date,,,Ccy,Conv)</f>
        <v>0</v>
      </c>
      <c r="D452" s="4">
        <f>_xll.ciqfunctions.udf.CIQ(InputTicker,"IQ_DERIVATIVE_TRADING_ASSETS",Input!F$2,Date,,,Ccy,Conv)</f>
        <v>0</v>
      </c>
      <c r="E452" s="4">
        <f>_xll.ciqfunctions.udf.CIQ(InputTicker,"IQ_DERIVATIVE_TRADING_ASSETS",Input!G$2,Date,,,Ccy,Conv)</f>
        <v>0</v>
      </c>
      <c r="F452" s="4">
        <f>_xll.ciqfunctions.udf.CIQ(InputTicker,"IQ_DERIVATIVE_TRADING_ASSETS",Input!H$2,Date,,,Ccy,Conv)</f>
        <v>0</v>
      </c>
      <c r="G452" s="4">
        <f>_xll.ciqfunctions.udf.CIQ(InputTicker,"IQ_DERIVATIVE_TRADING_ASSETS",Input!I$2,Date,,,Ccy,Conv)</f>
        <v>0</v>
      </c>
      <c r="H452" s="4">
        <f>_xll.ciqfunctions.udf.CIQ(InputTicker,"IQ_DERIVATIVE_TRADING_ASSETS",Input!J$2,Date,,,Ccy,Conv)</f>
        <v>0</v>
      </c>
      <c r="I452" s="4">
        <f>_xll.ciqfunctions.udf.CIQ(InputTicker,"IQ_DERIVATIVE_TRADING_ASSETS",Input!K$2,Date,,,Ccy,Conv)</f>
        <v>0</v>
      </c>
      <c r="J452" s="4">
        <f>_xll.ciqfunctions.udf.CIQ(InputTicker,"IQ_DERIVATIVE_TRADING_ASSETS",Input!L$2,Date,,,Ccy,Conv)</f>
        <v>0</v>
      </c>
      <c r="K452" s="4">
        <f>_xll.ciqfunctions.udf.CIQ(InputTicker,"IQ_DERIVATIVE_TRADING_ASSETS",Input!M$2,Date,,,Ccy,Conv)</f>
        <v>0</v>
      </c>
      <c r="L452" s="4">
        <f>_xll.ciqfunctions.udf.CIQ(InputTicker,"IQ_DERIVATIVE_TRADING_ASSETS",Input!N$2,Date,,,Ccy,Conv)</f>
        <v>0</v>
      </c>
      <c r="M452" s="4">
        <f>_xll.ciqfunctions.udf.CIQ(InputTicker,"IQ_DERIVATIVE_TRADING_ASSETS",Input!O$2,Date,,,Ccy,Conv)</f>
        <v>0</v>
      </c>
      <c r="N452" s="53"/>
      <c r="T452" s="42"/>
      <c r="U452" s="42"/>
      <c r="V452" s="42"/>
      <c r="W452" s="42"/>
      <c r="X452" s="42"/>
      <c r="Y452" s="42"/>
      <c r="Z452" s="42"/>
      <c r="AA452" s="42"/>
      <c r="AB452" s="42"/>
      <c r="AC452" s="42"/>
      <c r="AD452" s="42"/>
      <c r="AE452" s="42"/>
      <c r="AF452" s="42"/>
      <c r="AG452" s="42"/>
      <c r="AH452" s="42"/>
      <c r="AI452" s="42"/>
      <c r="AJ452" s="42"/>
      <c r="AK452" s="42"/>
      <c r="AL452" s="42"/>
      <c r="AM452" s="42"/>
      <c r="AN452" s="42"/>
      <c r="AO452" s="42"/>
      <c r="AP452" s="42"/>
      <c r="AQ452" s="42"/>
      <c r="AR452" s="42"/>
      <c r="AS452" s="42"/>
      <c r="AT452" s="42"/>
      <c r="AU452" s="42"/>
      <c r="AV452" s="42"/>
      <c r="AW452" s="42"/>
      <c r="AX452" s="42"/>
      <c r="AY452" s="42"/>
      <c r="AZ452" s="42"/>
      <c r="BA452" s="42"/>
      <c r="BB452" s="42"/>
      <c r="BC452" s="42"/>
      <c r="BD452" s="42"/>
      <c r="BE452" s="42"/>
      <c r="BF452" s="42"/>
      <c r="BG452" s="42"/>
      <c r="BH452" s="42"/>
      <c r="BI452" s="42"/>
      <c r="BJ452" s="42"/>
      <c r="BK452" s="42"/>
      <c r="BL452" s="42"/>
      <c r="BM452" s="42"/>
      <c r="BN452" s="42"/>
    </row>
    <row r="453" spans="1:66" ht="12.75" customHeight="1" x14ac:dyDescent="0.2">
      <c r="A453" s="1" t="s">
        <v>11</v>
      </c>
      <c r="B453" s="4">
        <f>_xll.ciqfunctions.udf.CIQ(InputTicker,"IQ_DERIVATIVE_ASSETS_CURRENT",Input!D$2,Date,,,Ccy,Conv)</f>
        <v>241</v>
      </c>
      <c r="C453" s="4">
        <f>_xll.ciqfunctions.udf.CIQ(InputTicker,"IQ_DERIVATIVE_ASSETS_CURRENT",Input!E$2,Date,,,Ccy,Conv)</f>
        <v>284</v>
      </c>
      <c r="D453" s="4">
        <f>_xll.ciqfunctions.udf.CIQ(InputTicker,"IQ_DERIVATIVE_ASSETS_CURRENT",Input!F$2,Date,,,Ccy,Conv)</f>
        <v>364</v>
      </c>
      <c r="E453" s="4">
        <f>_xll.ciqfunctions.udf.CIQ(InputTicker,"IQ_DERIVATIVE_ASSETS_CURRENT",Input!G$2,Date,,,Ccy,Conv)</f>
        <v>133</v>
      </c>
      <c r="F453" s="4">
        <f>_xll.ciqfunctions.udf.CIQ(InputTicker,"IQ_DERIVATIVE_ASSETS_CURRENT",Input!H$2,Date,,,Ccy,Conv)</f>
        <v>234</v>
      </c>
      <c r="G453" s="4">
        <f>_xll.ciqfunctions.udf.CIQ(InputTicker,"IQ_DERIVATIVE_ASSETS_CURRENT",Input!I$2,Date,,,Ccy,Conv)</f>
        <v>215</v>
      </c>
      <c r="H453" s="4">
        <f>_xll.ciqfunctions.udf.CIQ(InputTicker,"IQ_DERIVATIVE_ASSETS_CURRENT",Input!J$2,Date,,,Ccy,Conv)</f>
        <v>226</v>
      </c>
      <c r="I453" s="4">
        <f>_xll.ciqfunctions.udf.CIQ(InputTicker,"IQ_DERIVATIVE_ASSETS_CURRENT",Input!K$2,Date,,,Ccy,Conv)</f>
        <v>251</v>
      </c>
      <c r="J453" s="4">
        <f>_xll.ciqfunctions.udf.CIQ(InputTicker,"IQ_DERIVATIVE_ASSETS_CURRENT",Input!L$2,Date,,,Ccy,Conv)</f>
        <v>161</v>
      </c>
      <c r="K453" s="4">
        <f>_xll.ciqfunctions.udf.CIQ(InputTicker,"IQ_DERIVATIVE_ASSETS_CURRENT",Input!M$2,Date,,,Ccy,Conv)</f>
        <v>211</v>
      </c>
      <c r="L453" s="4">
        <f>_xll.ciqfunctions.udf.CIQ(InputTicker,"IQ_DERIVATIVE_ASSETS_CURRENT",Input!N$2,Date,,,Ccy,Conv)</f>
        <v>873</v>
      </c>
      <c r="M453" s="4">
        <f>_xll.ciqfunctions.udf.CIQ(InputTicker,"IQ_DERIVATIVE_ASSETS_CURRENT",Input!O$2,Date,,,Ccy,Conv)</f>
        <v>873</v>
      </c>
      <c r="N453" s="53"/>
      <c r="T453" s="42"/>
      <c r="U453" s="42"/>
      <c r="V453" s="42"/>
      <c r="W453" s="42"/>
      <c r="X453" s="42"/>
      <c r="Y453" s="42"/>
      <c r="Z453" s="42"/>
      <c r="AA453" s="42"/>
      <c r="AB453" s="42"/>
      <c r="AC453" s="42"/>
      <c r="AD453" s="42"/>
      <c r="AE453" s="42"/>
      <c r="AF453" s="42"/>
      <c r="AG453" s="42"/>
      <c r="AH453" s="42"/>
      <c r="AI453" s="42"/>
      <c r="AJ453" s="42"/>
      <c r="AK453" s="42"/>
      <c r="AL453" s="42"/>
      <c r="AM453" s="42"/>
      <c r="AN453" s="42"/>
      <c r="AO453" s="42"/>
      <c r="AP453" s="42"/>
      <c r="AQ453" s="42"/>
      <c r="AR453" s="42"/>
      <c r="AS453" s="42"/>
      <c r="AT453" s="42"/>
      <c r="AU453" s="42"/>
      <c r="AV453" s="42"/>
      <c r="AW453" s="42"/>
      <c r="AX453" s="42"/>
      <c r="AY453" s="42"/>
      <c r="AZ453" s="42"/>
      <c r="BA453" s="42"/>
      <c r="BB453" s="42"/>
      <c r="BC453" s="42"/>
      <c r="BD453" s="42"/>
      <c r="BE453" s="42"/>
      <c r="BF453" s="42"/>
      <c r="BG453" s="42"/>
      <c r="BH453" s="42"/>
      <c r="BI453" s="42"/>
      <c r="BJ453" s="42"/>
      <c r="BK453" s="42"/>
      <c r="BL453" s="42"/>
      <c r="BM453" s="42"/>
      <c r="BN453" s="42"/>
    </row>
    <row r="454" spans="1:66" ht="12.75" customHeight="1" x14ac:dyDescent="0.2">
      <c r="A454" s="1" t="s">
        <v>12</v>
      </c>
      <c r="B454" s="4">
        <f>_xll.ciqfunctions.udf.CIQ(InputTicker,"IQ_DERIVATIVE_ASSETS_LT",Input!D$2,Date,,,Ccy,Conv)</f>
        <v>-7</v>
      </c>
      <c r="C454" s="4">
        <f>_xll.ciqfunctions.udf.CIQ(InputTicker,"IQ_DERIVATIVE_ASSETS_LT",Input!E$2,Date,,,Ccy,Conv)</f>
        <v>-2</v>
      </c>
      <c r="D454" s="4">
        <f>_xll.ciqfunctions.udf.CIQ(InputTicker,"IQ_DERIVATIVE_ASSETS_LT",Input!F$2,Date,,,Ccy,Conv)</f>
        <v>22</v>
      </c>
      <c r="E454" s="4">
        <f>_xll.ciqfunctions.udf.CIQ(InputTicker,"IQ_DERIVATIVE_ASSETS_LT",Input!G$2,Date,,,Ccy,Conv)</f>
        <v>4</v>
      </c>
      <c r="F454" s="4">
        <f>_xll.ciqfunctions.udf.CIQ(InputTicker,"IQ_DERIVATIVE_ASSETS_LT",Input!H$2,Date,,,Ccy,Conv)</f>
        <v>12</v>
      </c>
      <c r="G454" s="4">
        <f>_xll.ciqfunctions.udf.CIQ(InputTicker,"IQ_DERIVATIVE_ASSETS_LT",Input!I$2,Date,,,Ccy,Conv)</f>
        <v>43</v>
      </c>
      <c r="H454" s="4">
        <f>_xll.ciqfunctions.udf.CIQ(InputTicker,"IQ_DERIVATIVE_ASSETS_LT",Input!J$2,Date,,,Ccy,Conv)</f>
        <v>0</v>
      </c>
      <c r="I454" s="4">
        <f>_xll.ciqfunctions.udf.CIQ(InputTicker,"IQ_DERIVATIVE_ASSETS_LT",Input!K$2,Date,,,Ccy,Conv)</f>
        <v>16</v>
      </c>
      <c r="J454" s="4">
        <f>_xll.ciqfunctions.udf.CIQ(InputTicker,"IQ_DERIVATIVE_ASSETS_LT",Input!L$2,Date,,,Ccy,Conv)</f>
        <v>19</v>
      </c>
      <c r="K454" s="4">
        <f>_xll.ciqfunctions.udf.CIQ(InputTicker,"IQ_DERIVATIVE_ASSETS_LT",Input!M$2,Date,,,Ccy,Conv)</f>
        <v>17</v>
      </c>
      <c r="L454" s="4">
        <f>_xll.ciqfunctions.udf.CIQ(InputTicker,"IQ_DERIVATIVE_ASSETS_LT",Input!N$2,Date,,,Ccy,Conv)</f>
        <v>3</v>
      </c>
      <c r="M454" s="4">
        <f>_xll.ciqfunctions.udf.CIQ(InputTicker,"IQ_DERIVATIVE_ASSETS_LT",Input!O$2,Date,,,Ccy,Conv)</f>
        <v>3</v>
      </c>
      <c r="N454" s="53"/>
      <c r="T454" s="42"/>
      <c r="U454" s="42"/>
      <c r="V454" s="42"/>
      <c r="W454" s="42"/>
      <c r="X454" s="42"/>
      <c r="Y454" s="42"/>
      <c r="Z454" s="42"/>
      <c r="AA454" s="42"/>
      <c r="AB454" s="42"/>
      <c r="AC454" s="42"/>
      <c r="AD454" s="42"/>
      <c r="AE454" s="42"/>
      <c r="AF454" s="42"/>
      <c r="AG454" s="42"/>
      <c r="AH454" s="42"/>
      <c r="AI454" s="42"/>
      <c r="AJ454" s="42"/>
      <c r="AK454" s="42"/>
      <c r="AL454" s="42"/>
      <c r="AM454" s="42"/>
      <c r="AN454" s="42"/>
      <c r="AO454" s="42"/>
      <c r="AP454" s="42"/>
      <c r="AQ454" s="42"/>
      <c r="AR454" s="42"/>
      <c r="AS454" s="42"/>
      <c r="AT454" s="42"/>
      <c r="AU454" s="42"/>
      <c r="AV454" s="42"/>
      <c r="AW454" s="42"/>
      <c r="AX454" s="42"/>
      <c r="AY454" s="42"/>
      <c r="AZ454" s="42"/>
      <c r="BA454" s="42"/>
      <c r="BB454" s="42"/>
      <c r="BC454" s="42"/>
      <c r="BD454" s="42"/>
      <c r="BE454" s="42"/>
      <c r="BF454" s="42"/>
      <c r="BG454" s="42"/>
      <c r="BH454" s="42"/>
      <c r="BI454" s="42"/>
      <c r="BJ454" s="42"/>
      <c r="BK454" s="42"/>
      <c r="BL454" s="42"/>
      <c r="BM454" s="42"/>
      <c r="BN454" s="42"/>
    </row>
    <row r="455" spans="1:66" ht="12.75" customHeight="1" x14ac:dyDescent="0.2">
      <c r="A455" s="1" t="s">
        <v>13</v>
      </c>
      <c r="B455" s="4">
        <f>_xll.ciqfunctions.udf.CIQ(InputTicker,"IQ_GROSS_INTAN_ASSETS",Input!D$2,Date,,,Ccy,Conv)</f>
        <v>9100</v>
      </c>
      <c r="C455" s="4">
        <f>_xll.ciqfunctions.udf.CIQ(InputTicker,"IQ_GROSS_INTAN_ASSETS",Input!E$2,Date,,,Ccy,Conv)</f>
        <v>16667</v>
      </c>
      <c r="D455" s="4">
        <f>_xll.ciqfunctions.udf.CIQ(InputTicker,"IQ_GROSS_INTAN_ASSETS",Input!F$2,Date,,,Ccy,Conv)</f>
        <v>15936</v>
      </c>
      <c r="E455" s="4">
        <f>_xll.ciqfunctions.udf.CIQ(InputTicker,"IQ_GROSS_INTAN_ASSETS",Input!G$2,Date,,,Ccy,Conv)</f>
        <v>17139</v>
      </c>
      <c r="F455" s="4">
        <f>_xll.ciqfunctions.udf.CIQ(InputTicker,"IQ_GROSS_INTAN_ASSETS",Input!H$2,Date,,,Ccy,Conv)</f>
        <v>17759</v>
      </c>
      <c r="G455" s="4">
        <f>_xll.ciqfunctions.udf.CIQ(InputTicker,"IQ_GROSS_INTAN_ASSETS",Input!I$2,Date,,,Ccy,Conv)</f>
        <v>19975</v>
      </c>
      <c r="H455" s="4">
        <f>_xll.ciqfunctions.udf.CIQ(InputTicker,"IQ_GROSS_INTAN_ASSETS",Input!J$2,Date,,,Ccy,Conv)</f>
        <v>23577</v>
      </c>
      <c r="I455" s="4">
        <f>_xll.ciqfunctions.udf.CIQ(InputTicker,"IQ_GROSS_INTAN_ASSETS",Input!K$2,Date,,,Ccy,Conv)</f>
        <v>23490</v>
      </c>
      <c r="J455" s="4">
        <f>_xll.ciqfunctions.udf.CIQ(InputTicker,"IQ_GROSS_INTAN_ASSETS",Input!L$2,Date,,,Ccy,Conv)</f>
        <v>44509</v>
      </c>
      <c r="K455" s="4">
        <f>_xll.ciqfunctions.udf.CIQ(InputTicker,"IQ_GROSS_INTAN_ASSETS",Input!M$2,Date,,,Ccy,Conv)</f>
        <v>43557</v>
      </c>
      <c r="L455" s="4">
        <f>_xll.ciqfunctions.udf.CIQ(InputTicker,"IQ_GROSS_INTAN_ASSETS",Input!N$2,Date,,,Ccy,Conv)</f>
        <v>44079</v>
      </c>
      <c r="M455" s="4">
        <f>_xll.ciqfunctions.udf.CIQ(InputTicker,"IQ_GROSS_INTAN_ASSETS",Input!O$2,Date,,,Ccy,Conv)</f>
        <v>44079</v>
      </c>
      <c r="N455" s="53"/>
      <c r="T455" s="42"/>
      <c r="U455" s="42"/>
      <c r="V455" s="42"/>
      <c r="W455" s="42"/>
      <c r="X455" s="42"/>
      <c r="Y455" s="42"/>
      <c r="Z455" s="42"/>
      <c r="AA455" s="42"/>
      <c r="AB455" s="42"/>
      <c r="AC455" s="42"/>
      <c r="AD455" s="42"/>
      <c r="AE455" s="42"/>
      <c r="AF455" s="42"/>
      <c r="AG455" s="42"/>
      <c r="AH455" s="42"/>
      <c r="AI455" s="42"/>
      <c r="AJ455" s="42"/>
      <c r="AK455" s="42"/>
      <c r="AL455" s="42"/>
      <c r="AM455" s="42"/>
      <c r="AN455" s="42"/>
      <c r="AO455" s="42"/>
      <c r="AP455" s="42"/>
      <c r="AQ455" s="42"/>
      <c r="AR455" s="42"/>
      <c r="AS455" s="42"/>
      <c r="AT455" s="42"/>
      <c r="AU455" s="42"/>
      <c r="AV455" s="42"/>
      <c r="AW455" s="42"/>
      <c r="AX455" s="42"/>
      <c r="AY455" s="42"/>
      <c r="AZ455" s="42"/>
      <c r="BA455" s="42"/>
      <c r="BB455" s="42"/>
      <c r="BC455" s="42"/>
      <c r="BD455" s="42"/>
      <c r="BE455" s="42"/>
      <c r="BF455" s="42"/>
      <c r="BG455" s="42"/>
      <c r="BH455" s="42"/>
      <c r="BI455" s="42"/>
      <c r="BJ455" s="42"/>
      <c r="BK455" s="42"/>
      <c r="BL455" s="42"/>
      <c r="BM455" s="42"/>
      <c r="BN455" s="42"/>
    </row>
    <row r="456" spans="1:66" ht="12.75" customHeight="1" x14ac:dyDescent="0.2">
      <c r="A456" s="1" t="s">
        <v>14</v>
      </c>
      <c r="B456" s="4">
        <f>_xll.ciqfunctions.udf.CIQ(InputTicker,"IQ_ACCUM_AMORT_INTAN_ASSETS",Input!D$2,Date,,,Ccy,Conv)</f>
        <v>-5367</v>
      </c>
      <c r="C456" s="4">
        <f>_xll.ciqfunctions.udf.CIQ(InputTicker,"IQ_ACCUM_AMORT_INTAN_ASSETS",Input!E$2,Date,,,Ccy,Conv)</f>
        <v>-6561</v>
      </c>
      <c r="D456" s="4">
        <f>_xll.ciqfunctions.udf.CIQ(InputTicker,"IQ_ACCUM_AMORT_INTAN_ASSETS",Input!F$2,Date,,,Ccy,Conv)</f>
        <v>-7883</v>
      </c>
      <c r="E456" s="4">
        <f>_xll.ciqfunctions.udf.CIQ(InputTicker,"IQ_ACCUM_AMORT_INTAN_ASSETS",Input!G$2,Date,,,Ccy,Conv)</f>
        <v>-9389</v>
      </c>
      <c r="F456" s="4">
        <f>_xll.ciqfunctions.udf.CIQ(InputTicker,"IQ_ACCUM_AMORT_INTAN_ASSETS",Input!H$2,Date,,,Ccy,Conv)</f>
        <v>-10721</v>
      </c>
      <c r="G456" s="4">
        <f>_xll.ciqfunctions.udf.CIQ(InputTicker,"IQ_ACCUM_AMORT_INTAN_ASSETS",Input!I$2,Date,,,Ccy,Conv)</f>
        <v>-12175</v>
      </c>
      <c r="H456" s="4">
        <f>_xll.ciqfunctions.udf.CIQ(InputTicker,"IQ_ACCUM_AMORT_INTAN_ASSETS",Input!J$2,Date,,,Ccy,Conv)</f>
        <v>-12279</v>
      </c>
      <c r="I456" s="4">
        <f>_xll.ciqfunctions.udf.CIQ(InputTicker,"IQ_ACCUM_AMORT_INTAN_ASSETS",Input!K$2,Date,,,Ccy,Conv)</f>
        <v>-14124</v>
      </c>
      <c r="J456" s="4">
        <f>_xll.ciqfunctions.udf.CIQ(InputTicker,"IQ_ACCUM_AMORT_INTAN_ASSETS",Input!L$2,Date,,,Ccy,Conv)</f>
        <v>-16912</v>
      </c>
      <c r="K456" s="4">
        <f>_xll.ciqfunctions.udf.CIQ(InputTicker,"IQ_ACCUM_AMORT_INTAN_ASSETS",Input!M$2,Date,,,Ccy,Conv)</f>
        <v>-20953</v>
      </c>
      <c r="L456" s="4">
        <f>_xll.ciqfunctions.udf.CIQ(InputTicker,"IQ_ACCUM_AMORT_INTAN_ASSETS",Input!N$2,Date,,,Ccy,Conv)</f>
        <v>-25470</v>
      </c>
      <c r="M456" s="4">
        <f>_xll.ciqfunctions.udf.CIQ(InputTicker,"IQ_ACCUM_AMORT_INTAN_ASSETS",Input!O$2,Date,,,Ccy,Conv)</f>
        <v>-25470</v>
      </c>
      <c r="N456" s="53"/>
      <c r="T456" s="42"/>
      <c r="U456" s="42"/>
      <c r="V456" s="42"/>
      <c r="W456" s="42"/>
      <c r="X456" s="42"/>
      <c r="Y456" s="42"/>
      <c r="Z456" s="42"/>
      <c r="AA456" s="42"/>
      <c r="AB456" s="42"/>
      <c r="AC456" s="42"/>
      <c r="AD456" s="42"/>
      <c r="AE456" s="42"/>
      <c r="AF456" s="42"/>
      <c r="AG456" s="42"/>
      <c r="AH456" s="42"/>
      <c r="AI456" s="42"/>
      <c r="AJ456" s="42"/>
      <c r="AK456" s="42"/>
      <c r="AL456" s="42"/>
      <c r="AM456" s="42"/>
      <c r="AN456" s="42"/>
      <c r="AO456" s="42"/>
      <c r="AP456" s="42"/>
      <c r="AQ456" s="42"/>
      <c r="AR456" s="42"/>
      <c r="AS456" s="42"/>
      <c r="AT456" s="42"/>
      <c r="AU456" s="42"/>
      <c r="AV456" s="42"/>
      <c r="AW456" s="42"/>
      <c r="AX456" s="42"/>
      <c r="AY456" s="42"/>
      <c r="AZ456" s="42"/>
      <c r="BA456" s="42"/>
      <c r="BB456" s="42"/>
      <c r="BC456" s="42"/>
      <c r="BD456" s="42"/>
      <c r="BE456" s="42"/>
      <c r="BF456" s="42"/>
      <c r="BG456" s="42"/>
      <c r="BH456" s="42"/>
      <c r="BI456" s="42"/>
      <c r="BJ456" s="42"/>
      <c r="BK456" s="42"/>
      <c r="BL456" s="42"/>
      <c r="BM456" s="42"/>
      <c r="BN456" s="42"/>
    </row>
    <row r="457" spans="1:66" ht="12.75" customHeight="1" x14ac:dyDescent="0.2">
      <c r="A457" s="1" t="s">
        <v>15</v>
      </c>
      <c r="B457" s="4">
        <f>_xll.ciqfunctions.udf.CIQ(InputTicker,"IQ_GROSS_GW",Input!D$2,Date,,,Ccy,Conv)</f>
        <v>0</v>
      </c>
      <c r="C457" s="4">
        <f>_xll.ciqfunctions.udf.CIQ(InputTicker,"IQ_GROSS_GW",Input!E$2,Date,,,Ccy,Conv)</f>
        <v>0</v>
      </c>
      <c r="D457" s="4">
        <f>_xll.ciqfunctions.udf.CIQ(InputTicker,"IQ_GROSS_GW",Input!F$2,Date,,,Ccy,Conv)</f>
        <v>0</v>
      </c>
      <c r="E457" s="4">
        <f>_xll.ciqfunctions.udf.CIQ(InputTicker,"IQ_GROSS_GW",Input!G$2,Date,,,Ccy,Conv)</f>
        <v>0</v>
      </c>
      <c r="F457" s="4">
        <f>_xll.ciqfunctions.udf.CIQ(InputTicker,"IQ_GROSS_GW",Input!H$2,Date,,,Ccy,Conv)</f>
        <v>0</v>
      </c>
      <c r="G457" s="4">
        <f>_xll.ciqfunctions.udf.CIQ(InputTicker,"IQ_GROSS_GW",Input!I$2,Date,,,Ccy,Conv)</f>
        <v>0</v>
      </c>
      <c r="H457" s="4">
        <f>_xll.ciqfunctions.udf.CIQ(InputTicker,"IQ_GROSS_GW",Input!J$2,Date,,,Ccy,Conv)</f>
        <v>0</v>
      </c>
      <c r="I457" s="4">
        <f>_xll.ciqfunctions.udf.CIQ(InputTicker,"IQ_GROSS_GW",Input!K$2,Date,,,Ccy,Conv)</f>
        <v>0</v>
      </c>
      <c r="J457" s="4">
        <f>_xll.ciqfunctions.udf.CIQ(InputTicker,"IQ_GROSS_GW",Input!L$2,Date,,,Ccy,Conv)</f>
        <v>0</v>
      </c>
      <c r="K457" s="4">
        <f>_xll.ciqfunctions.udf.CIQ(InputTicker,"IQ_GROSS_GW",Input!M$2,Date,,,Ccy,Conv)</f>
        <v>0</v>
      </c>
      <c r="L457" s="4">
        <f>_xll.ciqfunctions.udf.CIQ(InputTicker,"IQ_GROSS_GW",Input!N$2,Date,,,Ccy,Conv)</f>
        <v>0</v>
      </c>
      <c r="M457" s="4">
        <f>_xll.ciqfunctions.udf.CIQ(InputTicker,"IQ_GROSS_GW",Input!O$2,Date,,,Ccy,Conv)</f>
        <v>0</v>
      </c>
      <c r="N457" s="55"/>
      <c r="T457" s="42"/>
      <c r="U457" s="42"/>
      <c r="V457" s="42"/>
      <c r="W457" s="42"/>
      <c r="X457" s="42"/>
      <c r="Y457" s="42"/>
      <c r="Z457" s="42"/>
      <c r="AA457" s="42"/>
      <c r="AB457" s="42"/>
      <c r="AC457" s="42"/>
      <c r="AD457" s="42"/>
      <c r="AE457" s="42"/>
      <c r="AF457" s="42"/>
      <c r="AG457" s="42"/>
      <c r="AH457" s="42"/>
      <c r="AI457" s="42"/>
      <c r="AJ457" s="42"/>
      <c r="AK457" s="42"/>
      <c r="AL457" s="42"/>
      <c r="AM457" s="42"/>
      <c r="AN457" s="42"/>
      <c r="AO457" s="42"/>
      <c r="AP457" s="42"/>
      <c r="AQ457" s="42"/>
      <c r="AR457" s="42"/>
      <c r="AS457" s="42"/>
      <c r="AT457" s="42"/>
      <c r="AU457" s="42"/>
      <c r="AV457" s="42"/>
      <c r="AW457" s="42"/>
      <c r="AX457" s="42"/>
      <c r="AY457" s="42"/>
      <c r="AZ457" s="42"/>
      <c r="BA457" s="42"/>
      <c r="BB457" s="42"/>
      <c r="BC457" s="42"/>
      <c r="BD457" s="42"/>
      <c r="BE457" s="42"/>
      <c r="BF457" s="42"/>
      <c r="BG457" s="42"/>
      <c r="BH457" s="42"/>
      <c r="BI457" s="42"/>
      <c r="BJ457" s="42"/>
      <c r="BK457" s="42"/>
      <c r="BL457" s="42"/>
      <c r="BM457" s="42"/>
      <c r="BN457" s="42"/>
    </row>
    <row r="458" spans="1:66" ht="12.75" customHeight="1" x14ac:dyDescent="0.2">
      <c r="A458" s="1" t="s">
        <v>16</v>
      </c>
      <c r="B458" s="4">
        <f>_xll.ciqfunctions.udf.CIQ(InputTicker,"IQ_ACCUM_AMORT_GW",Input!D$2,Date,,,Ccy,Conv)</f>
        <v>0</v>
      </c>
      <c r="C458" s="4">
        <f>_xll.ciqfunctions.udf.CIQ(InputTicker,"IQ_ACCUM_AMORT_GW",Input!E$2,Date,,,Ccy,Conv)</f>
        <v>0</v>
      </c>
      <c r="D458" s="4">
        <f>_xll.ciqfunctions.udf.CIQ(InputTicker,"IQ_ACCUM_AMORT_GW",Input!F$2,Date,,,Ccy,Conv)</f>
        <v>0</v>
      </c>
      <c r="E458" s="4">
        <f>_xll.ciqfunctions.udf.CIQ(InputTicker,"IQ_ACCUM_AMORT_GW",Input!G$2,Date,,,Ccy,Conv)</f>
        <v>0</v>
      </c>
      <c r="F458" s="4">
        <f>_xll.ciqfunctions.udf.CIQ(InputTicker,"IQ_ACCUM_AMORT_GW",Input!H$2,Date,,,Ccy,Conv)</f>
        <v>0</v>
      </c>
      <c r="G458" s="4">
        <f>_xll.ciqfunctions.udf.CIQ(InputTicker,"IQ_ACCUM_AMORT_GW",Input!I$2,Date,,,Ccy,Conv)</f>
        <v>0</v>
      </c>
      <c r="H458" s="4">
        <f>_xll.ciqfunctions.udf.CIQ(InputTicker,"IQ_ACCUM_AMORT_GW",Input!J$2,Date,,,Ccy,Conv)</f>
        <v>0</v>
      </c>
      <c r="I458" s="4">
        <f>_xll.ciqfunctions.udf.CIQ(InputTicker,"IQ_ACCUM_AMORT_GW",Input!K$2,Date,,,Ccy,Conv)</f>
        <v>0</v>
      </c>
      <c r="J458" s="4">
        <f>_xll.ciqfunctions.udf.CIQ(InputTicker,"IQ_ACCUM_AMORT_GW",Input!L$2,Date,,,Ccy,Conv)</f>
        <v>0</v>
      </c>
      <c r="K458" s="4">
        <f>_xll.ciqfunctions.udf.CIQ(InputTicker,"IQ_ACCUM_AMORT_GW",Input!M$2,Date,,,Ccy,Conv)</f>
        <v>0</v>
      </c>
      <c r="L458" s="4">
        <f>_xll.ciqfunctions.udf.CIQ(InputTicker,"IQ_ACCUM_AMORT_GW",Input!N$2,Date,,,Ccy,Conv)</f>
        <v>0</v>
      </c>
      <c r="M458" s="4">
        <f>_xll.ciqfunctions.udf.CIQ(InputTicker,"IQ_ACCUM_AMORT_GW",Input!O$2,Date,,,Ccy,Conv)</f>
        <v>0</v>
      </c>
      <c r="N458" s="55"/>
      <c r="T458" s="42"/>
      <c r="U458" s="42"/>
      <c r="V458" s="42"/>
      <c r="W458" s="42"/>
      <c r="X458" s="42"/>
      <c r="Y458" s="42"/>
      <c r="Z458" s="42"/>
      <c r="AA458" s="42"/>
      <c r="AB458" s="42"/>
      <c r="AC458" s="42"/>
      <c r="AD458" s="42"/>
      <c r="AE458" s="42"/>
      <c r="AF458" s="42"/>
      <c r="AG458" s="42"/>
      <c r="AH458" s="42"/>
      <c r="AI458" s="42"/>
      <c r="AJ458" s="42"/>
      <c r="AK458" s="42"/>
      <c r="AL458" s="42"/>
      <c r="AM458" s="42"/>
      <c r="AN458" s="42"/>
      <c r="AO458" s="42"/>
      <c r="AP458" s="42"/>
      <c r="AQ458" s="42"/>
      <c r="AR458" s="42"/>
      <c r="AS458" s="42"/>
      <c r="AT458" s="42"/>
      <c r="AU458" s="42"/>
      <c r="AV458" s="42"/>
      <c r="AW458" s="42"/>
      <c r="AX458" s="42"/>
      <c r="AY458" s="42"/>
      <c r="AZ458" s="42"/>
      <c r="BA458" s="42"/>
      <c r="BB458" s="42"/>
      <c r="BC458" s="42"/>
      <c r="BD458" s="42"/>
      <c r="BE458" s="42"/>
      <c r="BF458" s="42"/>
      <c r="BG458" s="42"/>
      <c r="BH458" s="42"/>
      <c r="BI458" s="42"/>
      <c r="BJ458" s="42"/>
      <c r="BK458" s="42"/>
      <c r="BL458" s="42"/>
      <c r="BM458" s="42"/>
      <c r="BN458" s="42"/>
    </row>
    <row r="459" spans="1:66" ht="12.75" customHeight="1" x14ac:dyDescent="0.2">
      <c r="A459" s="1" t="s">
        <v>487</v>
      </c>
      <c r="B459" s="4">
        <f>_xll.ciqfunctions.udf.CIQ(InputTicker,"IQ_LT_MARK_SECURITIES",Input!D$2,Date,,,Ccy,Conv)</f>
        <v>0</v>
      </c>
      <c r="C459" s="4">
        <f>_xll.ciqfunctions.udf.CIQ(InputTicker,"IQ_LT_MARK_SECURITIES",Input!E$2,Date,,,Ccy,Conv)</f>
        <v>0</v>
      </c>
      <c r="D459" s="4">
        <f>_xll.ciqfunctions.udf.CIQ(InputTicker,"IQ_LT_MARK_SECURITIES",Input!F$2,Date,,,Ccy,Conv)</f>
        <v>0</v>
      </c>
      <c r="E459" s="4">
        <f>_xll.ciqfunctions.udf.CIQ(InputTicker,"IQ_LT_MARK_SECURITIES",Input!G$2,Date,,,Ccy,Conv)</f>
        <v>0</v>
      </c>
      <c r="F459" s="4">
        <f>_xll.ciqfunctions.udf.CIQ(InputTicker,"IQ_LT_MARK_SECURITIES",Input!H$2,Date,,,Ccy,Conv)</f>
        <v>0</v>
      </c>
      <c r="G459" s="4">
        <f>_xll.ciqfunctions.udf.CIQ(InputTicker,"IQ_LT_MARK_SECURITIES",Input!I$2,Date,,,Ccy,Conv)</f>
        <v>0</v>
      </c>
      <c r="H459" s="4">
        <f>_xll.ciqfunctions.udf.CIQ(InputTicker,"IQ_LT_MARK_SECURITIES",Input!J$2,Date,,,Ccy,Conv)</f>
        <v>0</v>
      </c>
      <c r="I459" s="4">
        <f>_xll.ciqfunctions.udf.CIQ(InputTicker,"IQ_LT_MARK_SECURITIES",Input!K$2,Date,,,Ccy,Conv)</f>
        <v>0</v>
      </c>
      <c r="J459" s="4">
        <f>_xll.ciqfunctions.udf.CIQ(InputTicker,"IQ_LT_MARK_SECURITIES",Input!L$2,Date,,,Ccy,Conv)</f>
        <v>0</v>
      </c>
      <c r="K459" s="4">
        <f>_xll.ciqfunctions.udf.CIQ(InputTicker,"IQ_LT_MARK_SECURITIES",Input!M$2,Date,,,Ccy,Conv)</f>
        <v>0</v>
      </c>
      <c r="L459" s="4">
        <f>_xll.ciqfunctions.udf.CIQ(InputTicker,"IQ_LT_MARK_SECURITIES",Input!N$2,Date,,,Ccy,Conv)</f>
        <v>0</v>
      </c>
      <c r="M459" s="4">
        <f>_xll.ciqfunctions.udf.CIQ(InputTicker,"IQ_LT_MARK_SECURITIES",Input!O$2,Date,,,Ccy,Conv)</f>
        <v>0</v>
      </c>
      <c r="N459" s="42"/>
      <c r="T459" s="42"/>
      <c r="U459" s="42"/>
      <c r="V459" s="42"/>
      <c r="W459" s="42"/>
      <c r="X459" s="42"/>
      <c r="Y459" s="42"/>
      <c r="Z459" s="42"/>
      <c r="AA459" s="42"/>
      <c r="AB459" s="42"/>
      <c r="AC459" s="42"/>
      <c r="AD459" s="42"/>
      <c r="AE459" s="42"/>
      <c r="AF459" s="42"/>
      <c r="AG459" s="42"/>
      <c r="AH459" s="42"/>
      <c r="AI459" s="42"/>
      <c r="AJ459" s="42"/>
      <c r="AK459" s="42"/>
      <c r="AL459" s="42"/>
      <c r="AM459" s="42"/>
      <c r="AN459" s="42"/>
      <c r="AO459" s="42"/>
      <c r="AP459" s="42"/>
      <c r="AQ459" s="42"/>
      <c r="AR459" s="42"/>
      <c r="AS459" s="42"/>
      <c r="AT459" s="42"/>
      <c r="AU459" s="42"/>
      <c r="AV459" s="42"/>
      <c r="AW459" s="42"/>
      <c r="AX459" s="42"/>
      <c r="AY459" s="42"/>
      <c r="AZ459" s="42"/>
      <c r="BA459" s="42"/>
      <c r="BB459" s="42"/>
      <c r="BC459" s="42"/>
      <c r="BD459" s="42"/>
      <c r="BE459" s="42"/>
      <c r="BF459" s="42"/>
      <c r="BG459" s="42"/>
      <c r="BH459" s="42"/>
      <c r="BI459" s="42"/>
      <c r="BJ459" s="42"/>
      <c r="BK459" s="42"/>
      <c r="BL459" s="42"/>
      <c r="BM459" s="42"/>
      <c r="BN459" s="42"/>
    </row>
    <row r="460" spans="1:66" ht="12.75" customHeight="1" x14ac:dyDescent="0.2">
      <c r="A460" s="1" t="s">
        <v>488</v>
      </c>
      <c r="B460" s="4">
        <f>_xll.ciqfunctions.udf.CIQ(InputTicker,"IQ_ADVANCES_FOR_SUPPLIES",Input!D$2,Date,,,Ccy,Conv)</f>
        <v>0</v>
      </c>
      <c r="C460" s="4">
        <f>_xll.ciqfunctions.udf.CIQ(InputTicker,"IQ_ADVANCES_FOR_SUPPLIES",Input!E$2,Date,,,Ccy,Conv)</f>
        <v>0</v>
      </c>
      <c r="D460" s="4">
        <f>_xll.ciqfunctions.udf.CIQ(InputTicker,"IQ_ADVANCES_FOR_SUPPLIES",Input!F$2,Date,,,Ccy,Conv)</f>
        <v>0</v>
      </c>
      <c r="E460" s="4">
        <f>_xll.ciqfunctions.udf.CIQ(InputTicker,"IQ_ADVANCES_FOR_SUPPLIES",Input!G$2,Date,,,Ccy,Conv)</f>
        <v>0</v>
      </c>
      <c r="F460" s="4">
        <f>_xll.ciqfunctions.udf.CIQ(InputTicker,"IQ_ADVANCES_FOR_SUPPLIES",Input!H$2,Date,,,Ccy,Conv)</f>
        <v>0</v>
      </c>
      <c r="G460" s="4">
        <f>_xll.ciqfunctions.udf.CIQ(InputTicker,"IQ_ADVANCES_FOR_SUPPLIES",Input!I$2,Date,,,Ccy,Conv)</f>
        <v>0</v>
      </c>
      <c r="H460" s="4">
        <f>_xll.ciqfunctions.udf.CIQ(InputTicker,"IQ_ADVANCES_FOR_SUPPLIES",Input!J$2,Date,,,Ccy,Conv)</f>
        <v>0</v>
      </c>
      <c r="I460" s="4">
        <f>_xll.ciqfunctions.udf.CIQ(InputTicker,"IQ_ADVANCES_FOR_SUPPLIES",Input!K$2,Date,,,Ccy,Conv)</f>
        <v>0</v>
      </c>
      <c r="J460" s="4">
        <f>_xll.ciqfunctions.udf.CIQ(InputTicker,"IQ_ADVANCES_FOR_SUPPLIES",Input!L$2,Date,,,Ccy,Conv)</f>
        <v>0</v>
      </c>
      <c r="K460" s="4">
        <f>_xll.ciqfunctions.udf.CIQ(InputTicker,"IQ_ADVANCES_FOR_SUPPLIES",Input!M$2,Date,,,Ccy,Conv)</f>
        <v>0</v>
      </c>
      <c r="L460" s="4">
        <f>_xll.ciqfunctions.udf.CIQ(InputTicker,"IQ_ADVANCES_FOR_SUPPLIES",Input!N$2,Date,,,Ccy,Conv)</f>
        <v>0</v>
      </c>
      <c r="M460" s="4">
        <f>_xll.ciqfunctions.udf.CIQ(InputTicker,"IQ_ADVANCES_FOR_SUPPLIES",Input!O$2,Date,,,Ccy,Conv)</f>
        <v>0</v>
      </c>
      <c r="N460" s="42"/>
      <c r="T460" s="42"/>
      <c r="U460" s="42"/>
      <c r="V460" s="42"/>
      <c r="W460" s="42"/>
      <c r="X460" s="42"/>
      <c r="Y460" s="42"/>
      <c r="Z460" s="42"/>
      <c r="AA460" s="42"/>
      <c r="AB460" s="42"/>
      <c r="AC460" s="42"/>
      <c r="AD460" s="42"/>
      <c r="AE460" s="42"/>
      <c r="AF460" s="42"/>
      <c r="AG460" s="42"/>
      <c r="AH460" s="42"/>
      <c r="AI460" s="42"/>
      <c r="AJ460" s="42"/>
      <c r="AK460" s="42"/>
      <c r="AL460" s="42"/>
      <c r="AM460" s="42"/>
      <c r="AN460" s="42"/>
      <c r="AO460" s="42"/>
      <c r="AP460" s="42"/>
      <c r="AQ460" s="42"/>
      <c r="AR460" s="42"/>
      <c r="AS460" s="42"/>
      <c r="AT460" s="42"/>
      <c r="AU460" s="42"/>
      <c r="AV460" s="42"/>
      <c r="AW460" s="42"/>
      <c r="AX460" s="42"/>
      <c r="AY460" s="42"/>
      <c r="AZ460" s="42"/>
      <c r="BA460" s="42"/>
      <c r="BB460" s="42"/>
      <c r="BC460" s="42"/>
      <c r="BD460" s="42"/>
      <c r="BE460" s="42"/>
      <c r="BF460" s="42"/>
      <c r="BG460" s="42"/>
      <c r="BH460" s="42"/>
      <c r="BI460" s="42"/>
      <c r="BJ460" s="42"/>
      <c r="BK460" s="42"/>
      <c r="BL460" s="42"/>
      <c r="BM460" s="42"/>
      <c r="BN460" s="42"/>
    </row>
    <row r="461" spans="1:66" ht="12.75" customHeight="1" x14ac:dyDescent="0.2">
      <c r="A461" s="1" t="s">
        <v>489</v>
      </c>
      <c r="B461" s="4">
        <f>_xll.ciqfunctions.udf.CIQ(InputTicker,"IQ_GW_INTAN_NET",Input!D$2,Date,,,Ccy,Conv)</f>
        <v>0</v>
      </c>
      <c r="C461" s="4">
        <f>_xll.ciqfunctions.udf.CIQ(InputTicker,"IQ_GW_INTAN_NET",Input!E$2,Date,,,Ccy,Conv)</f>
        <v>0</v>
      </c>
      <c r="D461" s="4">
        <f>_xll.ciqfunctions.udf.CIQ(InputTicker,"IQ_GW_INTAN_NET",Input!F$2,Date,,,Ccy,Conv)</f>
        <v>0</v>
      </c>
      <c r="E461" s="4">
        <f>_xll.ciqfunctions.udf.CIQ(InputTicker,"IQ_GW_INTAN_NET",Input!G$2,Date,,,Ccy,Conv)</f>
        <v>0</v>
      </c>
      <c r="F461" s="4">
        <f>_xll.ciqfunctions.udf.CIQ(InputTicker,"IQ_GW_INTAN_NET",Input!H$2,Date,,,Ccy,Conv)</f>
        <v>0</v>
      </c>
      <c r="G461" s="4">
        <f>_xll.ciqfunctions.udf.CIQ(InputTicker,"IQ_GW_INTAN_NET",Input!I$2,Date,,,Ccy,Conv)</f>
        <v>0</v>
      </c>
      <c r="H461" s="4">
        <f>_xll.ciqfunctions.udf.CIQ(InputTicker,"IQ_GW_INTAN_NET",Input!J$2,Date,,,Ccy,Conv)</f>
        <v>0</v>
      </c>
      <c r="I461" s="4">
        <f>_xll.ciqfunctions.udf.CIQ(InputTicker,"IQ_GW_INTAN_NET",Input!K$2,Date,,,Ccy,Conv)</f>
        <v>0</v>
      </c>
      <c r="J461" s="4">
        <f>_xll.ciqfunctions.udf.CIQ(InputTicker,"IQ_GW_INTAN_NET",Input!L$2,Date,,,Ccy,Conv)</f>
        <v>0</v>
      </c>
      <c r="K461" s="4">
        <f>_xll.ciqfunctions.udf.CIQ(InputTicker,"IQ_GW_INTAN_NET",Input!M$2,Date,,,Ccy,Conv)</f>
        <v>0</v>
      </c>
      <c r="L461" s="4">
        <f>_xll.ciqfunctions.udf.CIQ(InputTicker,"IQ_GW_INTAN_NET",Input!N$2,Date,,,Ccy,Conv)</f>
        <v>0</v>
      </c>
      <c r="M461" s="4">
        <f>_xll.ciqfunctions.udf.CIQ(InputTicker,"IQ_GW_INTAN_NET",Input!O$2,Date,,,Ccy,Conv)</f>
        <v>0</v>
      </c>
      <c r="N461" s="42"/>
      <c r="T461" s="42"/>
      <c r="U461" s="42"/>
      <c r="V461" s="42"/>
      <c r="W461" s="42"/>
      <c r="X461" s="42"/>
      <c r="Y461" s="42"/>
      <c r="Z461" s="42"/>
      <c r="AA461" s="42"/>
      <c r="AB461" s="42"/>
      <c r="AC461" s="42"/>
      <c r="AD461" s="42"/>
      <c r="AE461" s="42"/>
      <c r="AF461" s="42"/>
      <c r="AG461" s="42"/>
      <c r="AH461" s="42"/>
      <c r="AI461" s="42"/>
      <c r="AJ461" s="42"/>
      <c r="AK461" s="42"/>
      <c r="AL461" s="42"/>
      <c r="AM461" s="42"/>
      <c r="AN461" s="42"/>
      <c r="AO461" s="42"/>
      <c r="AP461" s="42"/>
      <c r="AQ461" s="42"/>
      <c r="AR461" s="42"/>
      <c r="AS461" s="42"/>
      <c r="AT461" s="42"/>
      <c r="AU461" s="42"/>
      <c r="AV461" s="42"/>
      <c r="AW461" s="42"/>
      <c r="AX461" s="42"/>
      <c r="AY461" s="42"/>
      <c r="AZ461" s="42"/>
      <c r="BA461" s="42"/>
      <c r="BB461" s="42"/>
      <c r="BC461" s="42"/>
      <c r="BD461" s="42"/>
      <c r="BE461" s="42"/>
      <c r="BF461" s="42"/>
      <c r="BG461" s="42"/>
      <c r="BH461" s="42"/>
      <c r="BI461" s="42"/>
      <c r="BJ461" s="42"/>
      <c r="BK461" s="42"/>
      <c r="BL461" s="42"/>
      <c r="BM461" s="42"/>
      <c r="BN461" s="42"/>
    </row>
    <row r="462" spans="1:66" ht="12.75" customHeight="1" x14ac:dyDescent="0.2">
      <c r="A462" s="1" t="s">
        <v>490</v>
      </c>
      <c r="B462" s="4">
        <f>_xll.ciqfunctions.udf.CIQ(InputTicker,"IQ_GW_NET",Input!D$2,Date,,,Ccy,Conv)</f>
        <v>0</v>
      </c>
      <c r="C462" s="4">
        <f>_xll.ciqfunctions.udf.CIQ(InputTicker,"IQ_GW_NET",Input!E$2,Date,,,Ccy,Conv)</f>
        <v>0</v>
      </c>
      <c r="D462" s="4">
        <f>_xll.ciqfunctions.udf.CIQ(InputTicker,"IQ_GW_NET",Input!F$2,Date,,,Ccy,Conv)</f>
        <v>0</v>
      </c>
      <c r="E462" s="4">
        <f>_xll.ciqfunctions.udf.CIQ(InputTicker,"IQ_GW_NET",Input!G$2,Date,,,Ccy,Conv)</f>
        <v>42026</v>
      </c>
      <c r="F462" s="4">
        <f>_xll.ciqfunctions.udf.CIQ(InputTicker,"IQ_GW_NET",Input!H$2,Date,,,Ccy,Conv)</f>
        <v>43351</v>
      </c>
      <c r="G462" s="4">
        <f>_xll.ciqfunctions.udf.CIQ(InputTicker,"IQ_GW_NET",Input!I$2,Date,,,Ccy,Conv)</f>
        <v>49711</v>
      </c>
      <c r="H462" s="4">
        <f>_xll.ciqfunctions.udf.CIQ(InputTicker,"IQ_GW_NET",Input!J$2,Date,,,Ccy,Conv)</f>
        <v>67524</v>
      </c>
      <c r="I462" s="4">
        <f>_xll.ciqfunctions.udf.CIQ(InputTicker,"IQ_GW_NET",Input!K$2,Date,,,Ccy,Conv)</f>
        <v>67886</v>
      </c>
      <c r="J462" s="4">
        <f>_xll.ciqfunctions.udf.CIQ(InputTicker,"IQ_GW_NET",Input!L$2,Date,,,Ccy,Conv)</f>
        <v>119220</v>
      </c>
      <c r="K462" s="4">
        <f>_xll.ciqfunctions.udf.CIQ(InputTicker,"IQ_GW_NET",Input!M$2,Date,,,Ccy,Conv)</f>
        <v>119509</v>
      </c>
      <c r="L462" s="4">
        <f>_xll.ciqfunctions.udf.CIQ(InputTicker,"IQ_GW_NET",Input!N$2,Date,,,Ccy,Conv)</f>
        <v>119651</v>
      </c>
      <c r="M462" s="4">
        <f>_xll.ciqfunctions.udf.CIQ(InputTicker,"IQ_GW_NET",Input!O$2,Date,,,Ccy,Conv)</f>
        <v>119651</v>
      </c>
      <c r="N462" s="42"/>
      <c r="T462" s="42"/>
      <c r="U462" s="42"/>
      <c r="V462" s="42"/>
      <c r="W462" s="42"/>
      <c r="X462" s="42"/>
      <c r="Y462" s="42"/>
      <c r="Z462" s="42"/>
      <c r="AA462" s="42"/>
      <c r="AB462" s="42"/>
      <c r="AC462" s="42"/>
      <c r="AD462" s="42"/>
      <c r="AE462" s="42"/>
      <c r="AF462" s="42"/>
      <c r="AG462" s="42"/>
      <c r="AH462" s="42"/>
      <c r="AI462" s="42"/>
      <c r="AJ462" s="42"/>
      <c r="AK462" s="42"/>
      <c r="AL462" s="42"/>
      <c r="AM462" s="42"/>
      <c r="AN462" s="42"/>
      <c r="AO462" s="42"/>
      <c r="AP462" s="42"/>
      <c r="AQ462" s="42"/>
      <c r="AR462" s="42"/>
      <c r="AS462" s="42"/>
      <c r="AT462" s="42"/>
      <c r="AU462" s="42"/>
      <c r="AV462" s="42"/>
      <c r="AW462" s="42"/>
      <c r="AX462" s="42"/>
      <c r="AY462" s="42"/>
      <c r="AZ462" s="42"/>
      <c r="BA462" s="42"/>
      <c r="BB462" s="42"/>
      <c r="BC462" s="42"/>
      <c r="BD462" s="42"/>
      <c r="BE462" s="42"/>
      <c r="BF462" s="42"/>
      <c r="BG462" s="42"/>
      <c r="BH462" s="42"/>
      <c r="BI462" s="42"/>
      <c r="BJ462" s="42"/>
      <c r="BK462" s="42"/>
      <c r="BL462" s="42"/>
      <c r="BM462" s="42"/>
      <c r="BN462" s="42"/>
    </row>
    <row r="463" spans="1:66" ht="12.75" customHeight="1" x14ac:dyDescent="0.2">
      <c r="A463" s="1" t="s">
        <v>491</v>
      </c>
      <c r="B463" s="4">
        <f>_xll.ciqfunctions.udf.CIQ(InputTicker,"IQ_INTAN_NET",Input!D$2,Date,,,Ccy,Conv)</f>
        <v>0</v>
      </c>
      <c r="C463" s="4">
        <f>_xll.ciqfunctions.udf.CIQ(InputTicker,"IQ_INTAN_NET",Input!E$2,Date,,,Ccy,Conv)</f>
        <v>0</v>
      </c>
      <c r="D463" s="4">
        <f>_xll.ciqfunctions.udf.CIQ(InputTicker,"IQ_INTAN_NET",Input!F$2,Date,,,Ccy,Conv)</f>
        <v>0</v>
      </c>
      <c r="E463" s="4">
        <f>_xll.ciqfunctions.udf.CIQ(InputTicker,"IQ_INTAN_NET",Input!G$2,Date,,,Ccy,Conv)</f>
        <v>7750</v>
      </c>
      <c r="F463" s="4">
        <f>_xll.ciqfunctions.udf.CIQ(InputTicker,"IQ_INTAN_NET",Input!H$2,Date,,,Ccy,Conv)</f>
        <v>7038</v>
      </c>
      <c r="G463" s="4">
        <f>_xll.ciqfunctions.udf.CIQ(InputTicker,"IQ_INTAN_NET",Input!I$2,Date,,,Ccy,Conv)</f>
        <v>7800</v>
      </c>
      <c r="H463" s="4">
        <f>_xll.ciqfunctions.udf.CIQ(InputTicker,"IQ_INTAN_NET",Input!J$2,Date,,,Ccy,Conv)</f>
        <v>11298</v>
      </c>
      <c r="I463" s="4">
        <f>_xll.ciqfunctions.udf.CIQ(InputTicker,"IQ_INTAN_NET",Input!K$2,Date,,,Ccy,Conv)</f>
        <v>9366</v>
      </c>
      <c r="J463" s="4">
        <f>_xll.ciqfunctions.udf.CIQ(InputTicker,"IQ_INTAN_NET",Input!L$2,Date,,,Ccy,Conv)</f>
        <v>27597</v>
      </c>
      <c r="K463" s="4">
        <f>_xll.ciqfunctions.udf.CIQ(InputTicker,"IQ_INTAN_NET",Input!M$2,Date,,,Ccy,Conv)</f>
        <v>22604</v>
      </c>
      <c r="L463" s="4">
        <f>_xll.ciqfunctions.udf.CIQ(InputTicker,"IQ_INTAN_NET",Input!N$2,Date,,,Ccy,Conv)</f>
        <v>18609</v>
      </c>
      <c r="M463" s="4">
        <f>_xll.ciqfunctions.udf.CIQ(InputTicker,"IQ_INTAN_NET",Input!O$2,Date,,,Ccy,Conv)</f>
        <v>18609</v>
      </c>
      <c r="N463" s="42"/>
      <c r="T463" s="42"/>
      <c r="U463" s="42"/>
      <c r="V463" s="42"/>
      <c r="W463" s="42"/>
      <c r="X463" s="42"/>
      <c r="Y463" s="42"/>
      <c r="Z463" s="42"/>
      <c r="AA463" s="42"/>
      <c r="AB463" s="42"/>
      <c r="AC463" s="42"/>
      <c r="AD463" s="42"/>
      <c r="AE463" s="42"/>
      <c r="AF463" s="42"/>
      <c r="AG463" s="42"/>
      <c r="AH463" s="42"/>
      <c r="AI463" s="42"/>
      <c r="AJ463" s="42"/>
      <c r="AK463" s="42"/>
      <c r="AL463" s="42"/>
      <c r="AM463" s="42"/>
      <c r="AN463" s="42"/>
      <c r="AO463" s="42"/>
      <c r="AP463" s="42"/>
      <c r="AQ463" s="42"/>
      <c r="AR463" s="42"/>
      <c r="AS463" s="42"/>
      <c r="AT463" s="42"/>
      <c r="AU463" s="42"/>
      <c r="AV463" s="42"/>
      <c r="AW463" s="42"/>
      <c r="AX463" s="42"/>
      <c r="AY463" s="42"/>
      <c r="AZ463" s="42"/>
      <c r="BA463" s="42"/>
      <c r="BB463" s="42"/>
      <c r="BC463" s="42"/>
      <c r="BD463" s="42"/>
      <c r="BE463" s="42"/>
      <c r="BF463" s="42"/>
      <c r="BG463" s="42"/>
      <c r="BH463" s="42"/>
      <c r="BI463" s="42"/>
      <c r="BJ463" s="42"/>
      <c r="BK463" s="42"/>
      <c r="BL463" s="42"/>
      <c r="BM463" s="42"/>
      <c r="BN463" s="42"/>
    </row>
    <row r="464" spans="1:66" ht="12.75" customHeight="1" x14ac:dyDescent="0.2">
      <c r="A464" s="1" t="s">
        <v>506</v>
      </c>
      <c r="B464" s="4">
        <f>_xll.ciqfunctions.udf.CIQ(InputTicker,"IQ_INTERCOMPANY_CA",Input!D$2,Date,,,Ccy,Conv)</f>
        <v>0</v>
      </c>
      <c r="C464" s="4">
        <f>_xll.ciqfunctions.udf.CIQ(InputTicker,"IQ_INTERCOMPANY_CA",Input!E$2,Date,,,Ccy,Conv)</f>
        <v>0</v>
      </c>
      <c r="D464" s="4">
        <f>_xll.ciqfunctions.udf.CIQ(InputTicker,"IQ_INTERCOMPANY_CA",Input!F$2,Date,,,Ccy,Conv)</f>
        <v>0</v>
      </c>
      <c r="E464" s="4">
        <f>_xll.ciqfunctions.udf.CIQ(InputTicker,"IQ_INTERCOMPANY_CA",Input!G$2,Date,,,Ccy,Conv)</f>
        <v>0</v>
      </c>
      <c r="F464" s="4">
        <f>_xll.ciqfunctions.udf.CIQ(InputTicker,"IQ_INTERCOMPANY_CA",Input!H$2,Date,,,Ccy,Conv)</f>
        <v>0</v>
      </c>
      <c r="G464" s="4">
        <f>_xll.ciqfunctions.udf.CIQ(InputTicker,"IQ_INTERCOMPANY_CA",Input!I$2,Date,,,Ccy,Conv)</f>
        <v>0</v>
      </c>
      <c r="H464" s="4">
        <f>_xll.ciqfunctions.udf.CIQ(InputTicker,"IQ_INTERCOMPANY_CA",Input!J$2,Date,,,Ccy,Conv)</f>
        <v>0</v>
      </c>
      <c r="I464" s="4">
        <f>_xll.ciqfunctions.udf.CIQ(InputTicker,"IQ_INTERCOMPANY_CA",Input!K$2,Date,,,Ccy,Conv)</f>
        <v>0</v>
      </c>
      <c r="J464" s="4">
        <f>_xll.ciqfunctions.udf.CIQ(InputTicker,"IQ_INTERCOMPANY_CA",Input!L$2,Date,,,Ccy,Conv)</f>
        <v>0</v>
      </c>
      <c r="K464" s="4">
        <f>_xll.ciqfunctions.udf.CIQ(InputTicker,"IQ_INTERCOMPANY_CA",Input!M$2,Date,,,Ccy,Conv)</f>
        <v>0</v>
      </c>
      <c r="L464" s="4">
        <f>_xll.ciqfunctions.udf.CIQ(InputTicker,"IQ_INTERCOMPANY_CA",Input!N$2,Date,,,Ccy,Conv)</f>
        <v>0</v>
      </c>
      <c r="M464" s="4">
        <f>_xll.ciqfunctions.udf.CIQ(InputTicker,"IQ_INTERCOMPANY_CA",Input!O$2,Date,,,Ccy,Conv)</f>
        <v>0</v>
      </c>
      <c r="N464" s="42"/>
      <c r="T464" s="42"/>
      <c r="U464" s="42"/>
      <c r="V464" s="42"/>
      <c r="W464" s="42"/>
      <c r="X464" s="42"/>
      <c r="Y464" s="42"/>
      <c r="Z464" s="42"/>
      <c r="AA464" s="42"/>
      <c r="AB464" s="42"/>
      <c r="AC464" s="42"/>
      <c r="AD464" s="42"/>
      <c r="AE464" s="42"/>
      <c r="AF464" s="42"/>
      <c r="AG464" s="42"/>
      <c r="AH464" s="42"/>
      <c r="AI464" s="42"/>
      <c r="AJ464" s="42"/>
      <c r="AK464" s="42"/>
      <c r="AL464" s="42"/>
      <c r="AM464" s="42"/>
      <c r="AN464" s="42"/>
      <c r="AO464" s="42"/>
      <c r="AP464" s="42"/>
      <c r="AQ464" s="42"/>
      <c r="AR464" s="42"/>
      <c r="AS464" s="42"/>
      <c r="AT464" s="42"/>
      <c r="AU464" s="42"/>
      <c r="AV464" s="42"/>
      <c r="AW464" s="42"/>
      <c r="AX464" s="42"/>
      <c r="AY464" s="42"/>
      <c r="AZ464" s="42"/>
      <c r="BA464" s="42"/>
      <c r="BB464" s="42"/>
      <c r="BC464" s="42"/>
      <c r="BD464" s="42"/>
      <c r="BE464" s="42"/>
      <c r="BF464" s="42"/>
      <c r="BG464" s="42"/>
      <c r="BH464" s="42"/>
      <c r="BI464" s="42"/>
      <c r="BJ464" s="42"/>
      <c r="BK464" s="42"/>
      <c r="BL464" s="42"/>
      <c r="BM464" s="42"/>
      <c r="BN464" s="42"/>
    </row>
    <row r="465" spans="1:66" ht="12.75" customHeight="1" x14ac:dyDescent="0.2">
      <c r="A465" s="1" t="s">
        <v>492</v>
      </c>
      <c r="B465" s="4">
        <f>_xll.ciqfunctions.udf.CIQ(InputTicker,"IQ_INTERCOMPANY_NON_CA",Input!D$2,Date,,,Ccy,Conv)</f>
        <v>0</v>
      </c>
      <c r="C465" s="4">
        <f>_xll.ciqfunctions.udf.CIQ(InputTicker,"IQ_INTERCOMPANY_NON_CA",Input!E$2,Date,,,Ccy,Conv)</f>
        <v>0</v>
      </c>
      <c r="D465" s="4">
        <f>_xll.ciqfunctions.udf.CIQ(InputTicker,"IQ_INTERCOMPANY_NON_CA",Input!F$2,Date,,,Ccy,Conv)</f>
        <v>0</v>
      </c>
      <c r="E465" s="4">
        <f>_xll.ciqfunctions.udf.CIQ(InputTicker,"IQ_INTERCOMPANY_NON_CA",Input!G$2,Date,,,Ccy,Conv)</f>
        <v>0</v>
      </c>
      <c r="F465" s="4">
        <f>_xll.ciqfunctions.udf.CIQ(InputTicker,"IQ_INTERCOMPANY_NON_CA",Input!H$2,Date,,,Ccy,Conv)</f>
        <v>0</v>
      </c>
      <c r="G465" s="4">
        <f>_xll.ciqfunctions.udf.CIQ(InputTicker,"IQ_INTERCOMPANY_NON_CA",Input!I$2,Date,,,Ccy,Conv)</f>
        <v>0</v>
      </c>
      <c r="H465" s="4">
        <f>_xll.ciqfunctions.udf.CIQ(InputTicker,"IQ_INTERCOMPANY_NON_CA",Input!J$2,Date,,,Ccy,Conv)</f>
        <v>0</v>
      </c>
      <c r="I465" s="4">
        <f>_xll.ciqfunctions.udf.CIQ(InputTicker,"IQ_INTERCOMPANY_NON_CA",Input!K$2,Date,,,Ccy,Conv)</f>
        <v>0</v>
      </c>
      <c r="J465" s="4">
        <f>_xll.ciqfunctions.udf.CIQ(InputTicker,"IQ_INTERCOMPANY_NON_CA",Input!L$2,Date,,,Ccy,Conv)</f>
        <v>0</v>
      </c>
      <c r="K465" s="4">
        <f>_xll.ciqfunctions.udf.CIQ(InputTicker,"IQ_INTERCOMPANY_NON_CA",Input!M$2,Date,,,Ccy,Conv)</f>
        <v>0</v>
      </c>
      <c r="L465" s="4">
        <f>_xll.ciqfunctions.udf.CIQ(InputTicker,"IQ_INTERCOMPANY_NON_CA",Input!N$2,Date,,,Ccy,Conv)</f>
        <v>0</v>
      </c>
      <c r="M465" s="4">
        <f>_xll.ciqfunctions.udf.CIQ(InputTicker,"IQ_INTERCOMPANY_NON_CA",Input!O$2,Date,,,Ccy,Conv)</f>
        <v>0</v>
      </c>
      <c r="N465" s="42"/>
      <c r="T465" s="42"/>
      <c r="U465" s="42"/>
      <c r="V465" s="42"/>
      <c r="W465" s="42"/>
      <c r="X465" s="42"/>
      <c r="Y465" s="42"/>
      <c r="Z465" s="42"/>
      <c r="AA465" s="42"/>
      <c r="AB465" s="42"/>
      <c r="AC465" s="42"/>
      <c r="AD465" s="42"/>
      <c r="AE465" s="42"/>
      <c r="AF465" s="42"/>
      <c r="AG465" s="42"/>
      <c r="AH465" s="42"/>
      <c r="AI465" s="42"/>
      <c r="AJ465" s="42"/>
      <c r="AK465" s="42"/>
      <c r="AL465" s="42"/>
      <c r="AM465" s="42"/>
      <c r="AN465" s="42"/>
      <c r="AO465" s="42"/>
      <c r="AP465" s="42"/>
      <c r="AQ465" s="42"/>
      <c r="AR465" s="42"/>
      <c r="AS465" s="42"/>
      <c r="AT465" s="42"/>
      <c r="AU465" s="42"/>
      <c r="AV465" s="42"/>
      <c r="AW465" s="42"/>
      <c r="AX465" s="42"/>
      <c r="AY465" s="42"/>
      <c r="AZ465" s="42"/>
      <c r="BA465" s="42"/>
      <c r="BB465" s="42"/>
      <c r="BC465" s="42"/>
      <c r="BD465" s="42"/>
      <c r="BE465" s="42"/>
      <c r="BF465" s="42"/>
      <c r="BG465" s="42"/>
      <c r="BH465" s="42"/>
      <c r="BI465" s="42"/>
      <c r="BJ465" s="42"/>
      <c r="BK465" s="42"/>
      <c r="BL465" s="42"/>
      <c r="BM465" s="42"/>
      <c r="BN465" s="42"/>
    </row>
    <row r="466" spans="1:66" ht="12.75" customHeight="1" x14ac:dyDescent="0.2">
      <c r="A466" s="1" t="s">
        <v>493</v>
      </c>
      <c r="B466" s="4">
        <f>_xll.ciqfunctions.udf.CIQ(InputTicker,"IQ_INTERCOMPANY_CL",Input!D$2,Date,,,Ccy,Conv)</f>
        <v>0</v>
      </c>
      <c r="C466" s="4">
        <f>_xll.ciqfunctions.udf.CIQ(InputTicker,"IQ_INTERCOMPANY_CL",Input!E$2,Date,,,Ccy,Conv)</f>
        <v>0</v>
      </c>
      <c r="D466" s="4">
        <f>_xll.ciqfunctions.udf.CIQ(InputTicker,"IQ_INTERCOMPANY_CL",Input!F$2,Date,,,Ccy,Conv)</f>
        <v>0</v>
      </c>
      <c r="E466" s="4">
        <f>_xll.ciqfunctions.udf.CIQ(InputTicker,"IQ_INTERCOMPANY_CL",Input!G$2,Date,,,Ccy,Conv)</f>
        <v>0</v>
      </c>
      <c r="F466" s="4">
        <f>_xll.ciqfunctions.udf.CIQ(InputTicker,"IQ_INTERCOMPANY_CL",Input!H$2,Date,,,Ccy,Conv)</f>
        <v>0</v>
      </c>
      <c r="G466" s="4">
        <f>_xll.ciqfunctions.udf.CIQ(InputTicker,"IQ_INTERCOMPANY_CL",Input!I$2,Date,,,Ccy,Conv)</f>
        <v>0</v>
      </c>
      <c r="H466" s="4">
        <f>_xll.ciqfunctions.udf.CIQ(InputTicker,"IQ_INTERCOMPANY_CL",Input!J$2,Date,,,Ccy,Conv)</f>
        <v>0</v>
      </c>
      <c r="I466" s="4">
        <f>_xll.ciqfunctions.udf.CIQ(InputTicker,"IQ_INTERCOMPANY_CL",Input!K$2,Date,,,Ccy,Conv)</f>
        <v>0</v>
      </c>
      <c r="J466" s="4">
        <f>_xll.ciqfunctions.udf.CIQ(InputTicker,"IQ_INTERCOMPANY_CL",Input!L$2,Date,,,Ccy,Conv)</f>
        <v>0</v>
      </c>
      <c r="K466" s="4">
        <f>_xll.ciqfunctions.udf.CIQ(InputTicker,"IQ_INTERCOMPANY_CL",Input!M$2,Date,,,Ccy,Conv)</f>
        <v>0</v>
      </c>
      <c r="L466" s="4">
        <f>_xll.ciqfunctions.udf.CIQ(InputTicker,"IQ_INTERCOMPANY_CL",Input!N$2,Date,,,Ccy,Conv)</f>
        <v>0</v>
      </c>
      <c r="M466" s="4">
        <f>_xll.ciqfunctions.udf.CIQ(InputTicker,"IQ_INTERCOMPANY_CL",Input!O$2,Date,,,Ccy,Conv)</f>
        <v>0</v>
      </c>
      <c r="N466" s="42"/>
      <c r="T466" s="42"/>
      <c r="U466" s="42"/>
      <c r="V466" s="42"/>
      <c r="W466" s="42"/>
      <c r="X466" s="42"/>
      <c r="Y466" s="42"/>
      <c r="Z466" s="42"/>
      <c r="AA466" s="42"/>
      <c r="AB466" s="42"/>
      <c r="AC466" s="42"/>
      <c r="AD466" s="42"/>
      <c r="AE466" s="42"/>
      <c r="AF466" s="42"/>
      <c r="AG466" s="42"/>
      <c r="AH466" s="42"/>
      <c r="AI466" s="42"/>
      <c r="AJ466" s="42"/>
      <c r="AK466" s="42"/>
      <c r="AL466" s="42"/>
      <c r="AM466" s="42"/>
      <c r="AN466" s="42"/>
      <c r="AO466" s="42"/>
      <c r="AP466" s="42"/>
      <c r="AQ466" s="42"/>
      <c r="AR466" s="42"/>
      <c r="AS466" s="42"/>
      <c r="AT466" s="42"/>
      <c r="AU466" s="42"/>
      <c r="AV466" s="42"/>
      <c r="AW466" s="42"/>
      <c r="AX466" s="42"/>
      <c r="AY466" s="42"/>
      <c r="AZ466" s="42"/>
      <c r="BA466" s="42"/>
      <c r="BB466" s="42"/>
      <c r="BC466" s="42"/>
      <c r="BD466" s="42"/>
      <c r="BE466" s="42"/>
      <c r="BF466" s="42"/>
      <c r="BG466" s="42"/>
      <c r="BH466" s="42"/>
      <c r="BI466" s="42"/>
      <c r="BJ466" s="42"/>
      <c r="BK466" s="42"/>
      <c r="BL466" s="42"/>
      <c r="BM466" s="42"/>
      <c r="BN466" s="42"/>
    </row>
    <row r="467" spans="1:66" ht="12.75" customHeight="1" x14ac:dyDescent="0.2">
      <c r="A467" s="1" t="s">
        <v>494</v>
      </c>
      <c r="B467" s="4">
        <f>_xll.ciqfunctions.udf.CIQ(InputTicker,"IQ_INTERCOMPANY_NON_CL",Input!D$2,Date,,,Ccy,Conv)</f>
        <v>0</v>
      </c>
      <c r="C467" s="4">
        <f>_xll.ciqfunctions.udf.CIQ(InputTicker,"IQ_INTERCOMPANY_NON_CL",Input!E$2,Date,,,Ccy,Conv)</f>
        <v>0</v>
      </c>
      <c r="D467" s="4">
        <f>_xll.ciqfunctions.udf.CIQ(InputTicker,"IQ_INTERCOMPANY_NON_CL",Input!F$2,Date,,,Ccy,Conv)</f>
        <v>0</v>
      </c>
      <c r="E467" s="4">
        <f>_xll.ciqfunctions.udf.CIQ(InputTicker,"IQ_INTERCOMPANY_NON_CL",Input!G$2,Date,,,Ccy,Conv)</f>
        <v>0</v>
      </c>
      <c r="F467" s="4">
        <f>_xll.ciqfunctions.udf.CIQ(InputTicker,"IQ_INTERCOMPANY_NON_CL",Input!H$2,Date,,,Ccy,Conv)</f>
        <v>0</v>
      </c>
      <c r="G467" s="4">
        <f>_xll.ciqfunctions.udf.CIQ(InputTicker,"IQ_INTERCOMPANY_NON_CL",Input!I$2,Date,,,Ccy,Conv)</f>
        <v>0</v>
      </c>
      <c r="H467" s="4">
        <f>_xll.ciqfunctions.udf.CIQ(InputTicker,"IQ_INTERCOMPANY_NON_CL",Input!J$2,Date,,,Ccy,Conv)</f>
        <v>0</v>
      </c>
      <c r="I467" s="4">
        <f>_xll.ciqfunctions.udf.CIQ(InputTicker,"IQ_INTERCOMPANY_NON_CL",Input!K$2,Date,,,Ccy,Conv)</f>
        <v>0</v>
      </c>
      <c r="J467" s="4">
        <f>_xll.ciqfunctions.udf.CIQ(InputTicker,"IQ_INTERCOMPANY_NON_CL",Input!L$2,Date,,,Ccy,Conv)</f>
        <v>0</v>
      </c>
      <c r="K467" s="4">
        <f>_xll.ciqfunctions.udf.CIQ(InputTicker,"IQ_INTERCOMPANY_NON_CL",Input!M$2,Date,,,Ccy,Conv)</f>
        <v>0</v>
      </c>
      <c r="L467" s="4">
        <f>_xll.ciqfunctions.udf.CIQ(InputTicker,"IQ_INTERCOMPANY_NON_CL",Input!N$2,Date,,,Ccy,Conv)</f>
        <v>0</v>
      </c>
      <c r="M467" s="4">
        <f>_xll.ciqfunctions.udf.CIQ(InputTicker,"IQ_INTERCOMPANY_NON_CL",Input!O$2,Date,,,Ccy,Conv)</f>
        <v>0</v>
      </c>
      <c r="N467" s="42"/>
      <c r="T467" s="42"/>
      <c r="U467" s="42"/>
      <c r="V467" s="42"/>
      <c r="W467" s="42"/>
      <c r="X467" s="42"/>
      <c r="Y467" s="42"/>
      <c r="Z467" s="42"/>
      <c r="AA467" s="42"/>
      <c r="AB467" s="42"/>
      <c r="AC467" s="42"/>
      <c r="AD467" s="42"/>
      <c r="AE467" s="42"/>
      <c r="AF467" s="42"/>
      <c r="AG467" s="42"/>
      <c r="AH467" s="42"/>
      <c r="AI467" s="42"/>
      <c r="AJ467" s="42"/>
      <c r="AK467" s="42"/>
      <c r="AL467" s="42"/>
      <c r="AM467" s="42"/>
      <c r="AN467" s="42"/>
      <c r="AO467" s="42"/>
      <c r="AP467" s="42"/>
      <c r="AQ467" s="42"/>
      <c r="AR467" s="42"/>
      <c r="AS467" s="42"/>
      <c r="AT467" s="42"/>
      <c r="AU467" s="42"/>
      <c r="AV467" s="42"/>
      <c r="AW467" s="42"/>
      <c r="AX467" s="42"/>
      <c r="AY467" s="42"/>
      <c r="AZ467" s="42"/>
      <c r="BA467" s="42"/>
      <c r="BB467" s="42"/>
      <c r="BC467" s="42"/>
      <c r="BD467" s="42"/>
      <c r="BE467" s="42"/>
      <c r="BF467" s="42"/>
      <c r="BG467" s="42"/>
      <c r="BH467" s="42"/>
      <c r="BI467" s="42"/>
      <c r="BJ467" s="42"/>
      <c r="BK467" s="42"/>
      <c r="BL467" s="42"/>
      <c r="BM467" s="42"/>
      <c r="BN467" s="42"/>
    </row>
    <row r="468" spans="1:66" ht="12.75" customHeight="1" x14ac:dyDescent="0.2">
      <c r="A468" s="1" t="s">
        <v>347</v>
      </c>
      <c r="B468" s="15" t="str">
        <f>_xll.ciqfunctions.udf.CIQ(InputTicker, "IQ_FILING_CURRENCY",Input!D$2,Date)</f>
        <v>USD</v>
      </c>
      <c r="C468" s="15" t="str">
        <f>_xll.ciqfunctions.udf.CIQ(InputTicker, "IQ_FILING_CURRENCY",Input!E$2,Date)</f>
        <v>USD</v>
      </c>
      <c r="D468" s="15" t="str">
        <f>_xll.ciqfunctions.udf.CIQ(InputTicker, "IQ_FILING_CURRENCY",Input!F$2,Date)</f>
        <v>USD</v>
      </c>
      <c r="E468" s="15" t="str">
        <f>_xll.ciqfunctions.udf.CIQ(InputTicker, "IQ_FILING_CURRENCY",Input!G$2,Date)</f>
        <v>USD</v>
      </c>
      <c r="F468" s="15" t="str">
        <f>_xll.ciqfunctions.udf.CIQ(InputTicker, "IQ_FILING_CURRENCY",Input!H$2,Date)</f>
        <v>USD</v>
      </c>
      <c r="G468" s="15" t="str">
        <f>_xll.ciqfunctions.udf.CIQ(InputTicker, "IQ_FILING_CURRENCY",Input!I$2,Date)</f>
        <v>USD</v>
      </c>
      <c r="H468" s="15" t="str">
        <f>_xll.ciqfunctions.udf.CIQ(InputTicker, "IQ_FILING_CURRENCY",Input!J$2,Date)</f>
        <v>USD</v>
      </c>
      <c r="I468" s="15" t="str">
        <f>_xll.ciqfunctions.udf.CIQ(InputTicker, "IQ_FILING_CURRENCY",Input!K$2,Date)</f>
        <v>USD</v>
      </c>
      <c r="J468" s="15" t="str">
        <f>_xll.ciqfunctions.udf.CIQ(InputTicker, "IQ_FILING_CURRENCY",Input!L$2,Date)</f>
        <v>USD</v>
      </c>
      <c r="K468" s="15" t="str">
        <f>_xll.ciqfunctions.udf.CIQ(InputTicker, "IQ_FILING_CURRENCY",Input!M$2,Date)</f>
        <v>USD</v>
      </c>
      <c r="L468" s="15" t="str">
        <f>_xll.ciqfunctions.udf.CIQ(InputTicker, "IQ_FILING_CURRENCY",Input!N$2,Date)</f>
        <v>USD</v>
      </c>
      <c r="M468" s="15" t="str">
        <f>_xll.ciqfunctions.udf.CIQ(InputTicker, "IQ_FILING_CURRENCY",Input!O$2,Date)</f>
        <v>USD</v>
      </c>
      <c r="N468" s="42"/>
      <c r="T468" s="42"/>
      <c r="U468" s="42"/>
      <c r="V468" s="42"/>
      <c r="W468" s="42"/>
      <c r="X468" s="42"/>
      <c r="Y468" s="42"/>
      <c r="Z468" s="42"/>
      <c r="AA468" s="42"/>
      <c r="AB468" s="42"/>
      <c r="AC468" s="42"/>
      <c r="AD468" s="42"/>
      <c r="AE468" s="42"/>
      <c r="AF468" s="42"/>
      <c r="AG468" s="42"/>
      <c r="AH468" s="42"/>
      <c r="AI468" s="42"/>
      <c r="AJ468" s="42"/>
      <c r="AK468" s="42"/>
      <c r="AL468" s="42"/>
      <c r="AM468" s="42"/>
      <c r="AN468" s="42"/>
      <c r="AO468" s="42"/>
      <c r="AP468" s="42"/>
      <c r="AQ468" s="42"/>
      <c r="AR468" s="42"/>
      <c r="AS468" s="42"/>
      <c r="AT468" s="42"/>
      <c r="AU468" s="42"/>
      <c r="AV468" s="42"/>
      <c r="AW468" s="42"/>
      <c r="AX468" s="42"/>
      <c r="AY468" s="42"/>
      <c r="AZ468" s="42"/>
      <c r="BA468" s="42"/>
      <c r="BB468" s="42"/>
      <c r="BC468" s="42"/>
      <c r="BD468" s="42"/>
      <c r="BE468" s="42"/>
      <c r="BF468" s="42"/>
      <c r="BG468" s="42"/>
      <c r="BH468" s="42"/>
      <c r="BI468" s="42"/>
      <c r="BJ468" s="42"/>
      <c r="BK468" s="42"/>
      <c r="BL468" s="42"/>
      <c r="BM468" s="42"/>
      <c r="BN468" s="42"/>
    </row>
    <row r="469" spans="1:66" ht="12.75" customHeight="1" x14ac:dyDescent="0.2">
      <c r="A469" s="1" t="s">
        <v>345</v>
      </c>
      <c r="B469" s="15" t="str">
        <f>_xll.ciqfunctions.udf.CIQ(InputTicker, "IQ_RESTATEMENT_BS",Input!D$2,Date)</f>
        <v>RS</v>
      </c>
      <c r="C469" s="15" t="str">
        <f>_xll.ciqfunctions.udf.CIQ(InputTicker, "IQ_RESTATEMENT_BS",Input!E$2,Date)</f>
        <v>RS</v>
      </c>
      <c r="D469" s="15" t="str">
        <f>_xll.ciqfunctions.udf.CIQ(InputTicker, "IQ_RESTATEMENT_BS",Input!F$2,Date)</f>
        <v>NC</v>
      </c>
      <c r="E469" s="15" t="str">
        <f>_xll.ciqfunctions.udf.CIQ(InputTicker, "IQ_RESTATEMENT_BS",Input!G$2,Date)</f>
        <v>NC</v>
      </c>
      <c r="F469" s="15" t="str">
        <f>_xll.ciqfunctions.udf.CIQ(InputTicker, "IQ_RESTATEMENT_BS",Input!H$2,Date)</f>
        <v>NC</v>
      </c>
      <c r="G469" s="15" t="str">
        <f>_xll.ciqfunctions.udf.CIQ(InputTicker, "IQ_RESTATEMENT_BS",Input!I$2,Date)</f>
        <v>NC</v>
      </c>
      <c r="H469" s="15" t="str">
        <f>_xll.ciqfunctions.udf.CIQ(InputTicker, "IQ_RESTATEMENT_BS",Input!J$2,Date)</f>
        <v>NC</v>
      </c>
      <c r="I469" s="15" t="str">
        <f>_xll.ciqfunctions.udf.CIQ(InputTicker, "IQ_RESTATEMENT_BS",Input!K$2,Date)</f>
        <v>NC</v>
      </c>
      <c r="J469" s="15" t="str">
        <f>_xll.ciqfunctions.udf.CIQ(InputTicker, "IQ_RESTATEMENT_BS",Input!L$2,Date)</f>
        <v>NC</v>
      </c>
      <c r="K469" s="15" t="str">
        <f>_xll.ciqfunctions.udf.CIQ(InputTicker, "IQ_RESTATEMENT_BS",Input!M$2,Date)</f>
        <v>NC</v>
      </c>
      <c r="L469" s="15" t="str">
        <f>_xll.ciqfunctions.udf.CIQ(InputTicker, "IQ_RESTATEMENT_BS",Input!N$2,Date)</f>
        <v>O</v>
      </c>
      <c r="M469" s="15" t="str">
        <f>_xll.ciqfunctions.udf.CIQ(InputTicker, "IQ_RESTATEMENT_BS",Input!O$2,Date)</f>
        <v>O</v>
      </c>
      <c r="N469" s="42"/>
      <c r="T469" s="42"/>
      <c r="U469" s="42"/>
      <c r="V469" s="42"/>
      <c r="W469" s="42"/>
      <c r="X469" s="42"/>
      <c r="Y469" s="42"/>
      <c r="Z469" s="42"/>
      <c r="AA469" s="42"/>
      <c r="AB469" s="42"/>
      <c r="AC469" s="42"/>
      <c r="AD469" s="42"/>
      <c r="AE469" s="42"/>
      <c r="AF469" s="42"/>
      <c r="AG469" s="42"/>
      <c r="AH469" s="42"/>
      <c r="AI469" s="42"/>
      <c r="AJ469" s="42"/>
      <c r="AK469" s="42"/>
      <c r="AL469" s="42"/>
      <c r="AM469" s="42"/>
      <c r="AN469" s="42"/>
      <c r="AO469" s="42"/>
      <c r="AP469" s="42"/>
      <c r="AQ469" s="42"/>
      <c r="AR469" s="42"/>
      <c r="AS469" s="42"/>
      <c r="AT469" s="42"/>
      <c r="AU469" s="42"/>
      <c r="AV469" s="42"/>
      <c r="AW469" s="42"/>
      <c r="AX469" s="42"/>
      <c r="AY469" s="42"/>
      <c r="AZ469" s="42"/>
      <c r="BA469" s="42"/>
      <c r="BB469" s="42"/>
      <c r="BC469" s="42"/>
      <c r="BD469" s="42"/>
      <c r="BE469" s="42"/>
      <c r="BF469" s="42"/>
      <c r="BG469" s="42"/>
      <c r="BH469" s="42"/>
      <c r="BI469" s="42"/>
      <c r="BJ469" s="42"/>
      <c r="BK469" s="42"/>
      <c r="BL469" s="42"/>
      <c r="BM469" s="42"/>
      <c r="BN469" s="42"/>
    </row>
    <row r="470" spans="1:66" ht="12.75" customHeight="1" x14ac:dyDescent="0.2">
      <c r="A470" s="1" t="s">
        <v>346</v>
      </c>
      <c r="B470" s="15" t="str">
        <f>_xll.ciqfunctions.udf.CIQ(InputTicker, "IQ_CALC_TYPE_BS",Input!D$2,Date)</f>
        <v>RUP</v>
      </c>
      <c r="C470" s="15" t="str">
        <f>_xll.ciqfunctions.udf.CIQ(InputTicker, "IQ_CALC_TYPE_BS",Input!E$2,Date)</f>
        <v>RUP</v>
      </c>
      <c r="D470" s="15" t="str">
        <f>_xll.ciqfunctions.udf.CIQ(InputTicker, "IQ_CALC_TYPE_BS",Input!F$2,Date)</f>
        <v>RUP</v>
      </c>
      <c r="E470" s="15" t="str">
        <f>_xll.ciqfunctions.udf.CIQ(InputTicker, "IQ_CALC_TYPE_BS",Input!G$2,Date)</f>
        <v>RUP</v>
      </c>
      <c r="F470" s="15" t="str">
        <f>_xll.ciqfunctions.udf.CIQ(InputTicker, "IQ_CALC_TYPE_BS",Input!H$2,Date)</f>
        <v>RUP</v>
      </c>
      <c r="G470" s="15" t="str">
        <f>_xll.ciqfunctions.udf.CIQ(InputTicker, "IQ_CALC_TYPE_BS",Input!I$2,Date)</f>
        <v>RUP</v>
      </c>
      <c r="H470" s="15" t="str">
        <f>_xll.ciqfunctions.udf.CIQ(InputTicker, "IQ_CALC_TYPE_BS",Input!J$2,Date)</f>
        <v>RUP</v>
      </c>
      <c r="I470" s="15" t="str">
        <f>_xll.ciqfunctions.udf.CIQ(InputTicker, "IQ_CALC_TYPE_BS",Input!K$2,Date)</f>
        <v>RUP</v>
      </c>
      <c r="J470" s="15" t="str">
        <f>_xll.ciqfunctions.udf.CIQ(InputTicker, "IQ_CALC_TYPE_BS",Input!L$2,Date)</f>
        <v>RUP</v>
      </c>
      <c r="K470" s="15" t="str">
        <f>_xll.ciqfunctions.udf.CIQ(InputTicker, "IQ_CALC_TYPE_BS",Input!M$2,Date)</f>
        <v>REP</v>
      </c>
      <c r="L470" s="15" t="str">
        <f>_xll.ciqfunctions.udf.CIQ(InputTicker, "IQ_CALC_TYPE_BS",Input!N$2,Date)</f>
        <v>REP</v>
      </c>
      <c r="M470" s="15" t="str">
        <f>_xll.ciqfunctions.udf.CIQ(InputTicker, "IQ_CALC_TYPE_BS",Input!O$2,Date)</f>
        <v>REP</v>
      </c>
      <c r="N470" s="42"/>
      <c r="T470" s="42"/>
      <c r="U470" s="42"/>
      <c r="V470" s="42"/>
      <c r="W470" s="42"/>
      <c r="X470" s="42"/>
      <c r="Y470" s="42"/>
      <c r="Z470" s="42"/>
      <c r="AA470" s="42"/>
      <c r="AB470" s="42"/>
      <c r="AC470" s="42"/>
      <c r="AD470" s="42"/>
      <c r="AE470" s="42"/>
      <c r="AF470" s="42"/>
      <c r="AG470" s="42"/>
      <c r="AH470" s="42"/>
      <c r="AI470" s="42"/>
      <c r="AJ470" s="42"/>
      <c r="AK470" s="42"/>
      <c r="AL470" s="42"/>
      <c r="AM470" s="42"/>
      <c r="AN470" s="42"/>
      <c r="AO470" s="42"/>
      <c r="AP470" s="42"/>
      <c r="AQ470" s="42"/>
      <c r="AR470" s="42"/>
      <c r="AS470" s="42"/>
      <c r="AT470" s="42"/>
      <c r="AU470" s="42"/>
      <c r="AV470" s="42"/>
      <c r="AW470" s="42"/>
      <c r="AX470" s="42"/>
      <c r="AY470" s="42"/>
      <c r="AZ470" s="42"/>
      <c r="BA470" s="42"/>
      <c r="BB470" s="42"/>
      <c r="BC470" s="42"/>
      <c r="BD470" s="42"/>
      <c r="BE470" s="42"/>
      <c r="BF470" s="42"/>
      <c r="BG470" s="42"/>
      <c r="BH470" s="42"/>
      <c r="BI470" s="42"/>
      <c r="BJ470" s="42"/>
      <c r="BK470" s="42"/>
      <c r="BL470" s="42"/>
      <c r="BM470" s="42"/>
      <c r="BN470" s="42"/>
    </row>
    <row r="471" spans="1:66" ht="12.75" customHeight="1" x14ac:dyDescent="0.2">
      <c r="A471" s="1" t="s">
        <v>376</v>
      </c>
      <c r="B471" s="15" t="str">
        <f>_xll.ciqfunctions.udf.CIQ(InputTicker, "IQ_GAAP_BS",Input!D$2,Date)</f>
        <v>US GAAP</v>
      </c>
      <c r="C471" s="15" t="str">
        <f>_xll.ciqfunctions.udf.CIQ(InputTicker, "IQ_GAAP_BS",Input!E$2,Date)</f>
        <v>US GAAP</v>
      </c>
      <c r="D471" s="15" t="str">
        <f>_xll.ciqfunctions.udf.CIQ(InputTicker, "IQ_GAAP_BS",Input!F$2,Date)</f>
        <v>US GAAP</v>
      </c>
      <c r="E471" s="15" t="str">
        <f>_xll.ciqfunctions.udf.CIQ(InputTicker, "IQ_GAAP_BS",Input!G$2,Date)</f>
        <v>US GAAP</v>
      </c>
      <c r="F471" s="15" t="str">
        <f>_xll.ciqfunctions.udf.CIQ(InputTicker, "IQ_GAAP_BS",Input!H$2,Date)</f>
        <v>US GAAP</v>
      </c>
      <c r="G471" s="15" t="str">
        <f>_xll.ciqfunctions.udf.CIQ(InputTicker, "IQ_GAAP_BS",Input!I$2,Date)</f>
        <v>US GAAP</v>
      </c>
      <c r="H471" s="15" t="str">
        <f>_xll.ciqfunctions.udf.CIQ(InputTicker, "IQ_GAAP_BS",Input!J$2,Date)</f>
        <v>US GAAP</v>
      </c>
      <c r="I471" s="15" t="str">
        <f>_xll.ciqfunctions.udf.CIQ(InputTicker, "IQ_GAAP_BS",Input!K$2,Date)</f>
        <v>US GAAP</v>
      </c>
      <c r="J471" s="15" t="str">
        <f>_xll.ciqfunctions.udf.CIQ(InputTicker, "IQ_GAAP_BS",Input!L$2,Date)</f>
        <v>US GAAP</v>
      </c>
      <c r="K471" s="15" t="str">
        <f>_xll.ciqfunctions.udf.CIQ(InputTicker, "IQ_GAAP_BS",Input!M$2,Date)</f>
        <v>US GAAP</v>
      </c>
      <c r="L471" s="15" t="str">
        <f>_xll.ciqfunctions.udf.CIQ(InputTicker, "IQ_GAAP_BS",Input!N$2,Date)</f>
        <v>US GAAP</v>
      </c>
      <c r="M471" s="15" t="str">
        <f>_xll.ciqfunctions.udf.CIQ(InputTicker, "IQ_GAAP_BS",Input!O$2,Date)</f>
        <v>US GAAP</v>
      </c>
      <c r="N471" s="42"/>
      <c r="T471" s="42"/>
      <c r="U471" s="42"/>
      <c r="V471" s="42"/>
      <c r="W471" s="42"/>
      <c r="X471" s="42"/>
      <c r="Y471" s="42"/>
      <c r="Z471" s="42"/>
      <c r="AA471" s="42"/>
      <c r="AB471" s="42"/>
      <c r="AC471" s="42"/>
      <c r="AD471" s="42"/>
      <c r="AE471" s="42"/>
      <c r="AF471" s="42"/>
      <c r="AG471" s="42"/>
      <c r="AH471" s="42"/>
      <c r="AI471" s="42"/>
      <c r="AJ471" s="42"/>
      <c r="AK471" s="42"/>
      <c r="AL471" s="42"/>
      <c r="AM471" s="42"/>
      <c r="AN471" s="42"/>
      <c r="AO471" s="42"/>
      <c r="AP471" s="42"/>
      <c r="AQ471" s="42"/>
      <c r="AR471" s="42"/>
      <c r="AS471" s="42"/>
      <c r="AT471" s="42"/>
      <c r="AU471" s="42"/>
      <c r="AV471" s="42"/>
      <c r="AW471" s="42"/>
      <c r="AX471" s="42"/>
      <c r="AY471" s="42"/>
      <c r="AZ471" s="42"/>
      <c r="BA471" s="42"/>
      <c r="BB471" s="42"/>
      <c r="BC471" s="42"/>
      <c r="BD471" s="42"/>
      <c r="BE471" s="42"/>
      <c r="BF471" s="42"/>
      <c r="BG471" s="42"/>
      <c r="BH471" s="42"/>
      <c r="BI471" s="42"/>
      <c r="BJ471" s="42"/>
      <c r="BK471" s="42"/>
      <c r="BL471" s="42"/>
      <c r="BM471" s="42"/>
      <c r="BN471" s="42"/>
    </row>
    <row r="472" spans="1:66" ht="12.75" customHeight="1" x14ac:dyDescent="0.2">
      <c r="A472" s="42" t="s">
        <v>602</v>
      </c>
      <c r="B472" s="13">
        <f>_xll.ciqfunctions.udf.CIQ(InputTicker, "IQ_PERIODDATE",Input!D$2-1,Date)</f>
        <v>42185</v>
      </c>
      <c r="C472" s="13">
        <f>_xll.ciqfunctions.udf.CIQ(InputTicker, "IQ_PERIODDATE",Input!E$2-1,Date)</f>
        <v>42551</v>
      </c>
      <c r="D472" s="13">
        <f>_xll.ciqfunctions.udf.CIQ(InputTicker, "IQ_PERIODDATE",Input!F$2-1,Date)</f>
        <v>42916</v>
      </c>
      <c r="E472" s="13">
        <f>_xll.ciqfunctions.udf.CIQ(InputTicker, "IQ_PERIODDATE",Input!G$2-1,Date)</f>
        <v>43281</v>
      </c>
      <c r="F472" s="13">
        <f>_xll.ciqfunctions.udf.CIQ(InputTicker, "IQ_PERIODDATE",Input!H$2-1,Date)</f>
        <v>43646</v>
      </c>
      <c r="G472" s="13">
        <f>_xll.ciqfunctions.udf.CIQ(InputTicker, "IQ_PERIODDATE",Input!I$2-1,Date)</f>
        <v>44012</v>
      </c>
      <c r="H472" s="13">
        <f>_xll.ciqfunctions.udf.CIQ(InputTicker, "IQ_PERIODDATE",Input!J$2-1,Date)</f>
        <v>44377</v>
      </c>
      <c r="I472" s="13">
        <f>_xll.ciqfunctions.udf.CIQ(InputTicker, "IQ_PERIODDATE",Input!K$2-1,Date)</f>
        <v>44742</v>
      </c>
      <c r="J472" s="13">
        <f>_xll.ciqfunctions.udf.CIQ(InputTicker, "IQ_PERIODDATE",Input!L$2-1,Date)</f>
        <v>45107</v>
      </c>
      <c r="K472" s="13">
        <f>_xll.ciqfunctions.udf.CIQ(InputTicker, "IQ_PERIODDATE",Input!M$2-1,Date)</f>
        <v>45473</v>
      </c>
      <c r="L472" s="13">
        <f>_xll.ciqfunctions.udf.CIQ(InputTicker, "IQ_PERIODDATE",Input!N$2-1,Date)</f>
        <v>45838</v>
      </c>
      <c r="M472" s="13">
        <f>_xll.ciqfunctions.udf.CIQ(InputTicker, "IQ_PERIODDATE",Input!O$2-1,Date)</f>
        <v>46112</v>
      </c>
      <c r="N472" s="42"/>
      <c r="T472" s="42"/>
      <c r="U472" s="42"/>
      <c r="V472" s="42"/>
      <c r="W472" s="42"/>
      <c r="X472" s="42"/>
      <c r="Y472" s="42"/>
      <c r="Z472" s="42"/>
      <c r="AA472" s="42"/>
      <c r="AB472" s="42"/>
      <c r="AC472" s="42"/>
      <c r="AD472" s="42"/>
      <c r="AE472" s="42"/>
      <c r="AF472" s="42"/>
      <c r="AG472" s="42"/>
      <c r="AH472" s="42"/>
      <c r="AI472" s="42"/>
      <c r="AJ472" s="42"/>
      <c r="AK472" s="42"/>
      <c r="AL472" s="42"/>
      <c r="AM472" s="42"/>
      <c r="AN472" s="42"/>
      <c r="AO472" s="42"/>
      <c r="AP472" s="42"/>
      <c r="AQ472" s="42"/>
      <c r="AR472" s="42"/>
      <c r="AS472" s="42"/>
      <c r="AT472" s="42"/>
      <c r="AU472" s="42"/>
      <c r="AV472" s="42"/>
      <c r="AW472" s="42"/>
      <c r="AX472" s="42"/>
      <c r="AY472" s="42"/>
      <c r="AZ472" s="42"/>
      <c r="BA472" s="42"/>
      <c r="BB472" s="42"/>
      <c r="BC472" s="42"/>
      <c r="BD472" s="42"/>
      <c r="BE472" s="42"/>
      <c r="BF472" s="42"/>
      <c r="BG472" s="42"/>
      <c r="BH472" s="42"/>
      <c r="BI472" s="42"/>
      <c r="BJ472" s="42"/>
      <c r="BK472" s="42"/>
      <c r="BL472" s="42"/>
      <c r="BM472" s="42"/>
      <c r="BN472" s="42"/>
    </row>
    <row r="473" spans="1:66" ht="12.75" customHeight="1" x14ac:dyDescent="0.2">
      <c r="A473" s="19" t="s">
        <v>268</v>
      </c>
      <c r="B473" s="20">
        <f>_xll.ciqfunctions.udf.CIQAVG(InputTicker, "IQ_TEV_TOTAL_REV",[0]!IQ_LTM,B$472,B$2)</f>
        <v>3.7873700000000001</v>
      </c>
      <c r="C473" s="20">
        <f>_xll.ciqfunctions.udf.CIQAVG(InputTicker, "IQ_TEV_TOTAL_REV",[0]!IQ_LTM,C$472,C$2)</f>
        <v>5.0552700000000002</v>
      </c>
      <c r="D473" s="20">
        <f>_xll.ciqfunctions.udf.CIQAVG(InputTicker, "IQ_TEV_TOTAL_REV",[0]!IQ_LTM,D$472,D$2)</f>
        <v>6.6238799999999998</v>
      </c>
      <c r="E473" s="20">
        <f>_xll.ciqfunctions.udf.CIQAVG(InputTicker, "IQ_TEV_TOTAL_REV",[0]!IQ_LTM,E$472,E$2)</f>
        <v>7.1398000000000001</v>
      </c>
      <c r="F473" s="20">
        <f>_xll.ciqfunctions.udf.CIQAVG(InputTicker, "IQ_TEV_TOTAL_REV",[0]!IQ_LTM,F$472,F$2)</f>
        <v>8.7541200000000003</v>
      </c>
      <c r="G473" s="20">
        <f>_xll.ciqfunctions.udf.CIQAVG(InputTicker, "IQ_TEV_TOTAL_REV",[0]!IQ_LTM,G$472,G$2)</f>
        <v>11.14716</v>
      </c>
      <c r="H473" s="20">
        <f>_xll.ciqfunctions.udf.CIQAVG(InputTicker, "IQ_TEV_TOTAL_REV",[0]!IQ_LTM,H$472,H$2)</f>
        <v>12.313829999999999</v>
      </c>
      <c r="I473" s="20">
        <f>_xll.ciqfunctions.udf.CIQAVG(InputTicker, "IQ_TEV_TOTAL_REV",[0]!IQ_LTM,I$472,I$2)</f>
        <v>9.73569</v>
      </c>
      <c r="J473" s="20">
        <f>_xll.ciqfunctions.udf.CIQAVG(InputTicker, "IQ_TEV_TOTAL_REV",[0]!IQ_LTM,J$472,J$2)</f>
        <v>12.61425</v>
      </c>
      <c r="K473" s="20">
        <f>_xll.ciqfunctions.udf.CIQAVG(InputTicker, "IQ_TEV_TOTAL_REV",[0]!IQ_LTM,K$472,K$2)</f>
        <v>12.474970000000001</v>
      </c>
      <c r="L473" s="20">
        <f>_xll.ciqfunctions.udf.CIQAVG(InputTicker, "IQ_TEV_TOTAL_REV",[0]!IQ_LTM,L$472,L$2)</f>
        <v>11.72077</v>
      </c>
      <c r="M473" s="20">
        <f>_xll.ciqfunctions.udf.CIQAVG(InputTicker, "IQ_TEV_TOTAL_REV",[0]!IQ_LTM,M$472,M$2)</f>
        <v>9.6898199999999992</v>
      </c>
      <c r="N473" s="49"/>
      <c r="T473" s="42"/>
      <c r="U473" s="42"/>
      <c r="V473" s="42"/>
      <c r="W473" s="42"/>
      <c r="X473" s="42"/>
      <c r="Y473" s="42"/>
      <c r="Z473" s="42"/>
      <c r="AA473" s="42"/>
      <c r="AB473" s="42"/>
      <c r="AC473" s="42"/>
      <c r="AD473" s="42"/>
      <c r="AE473" s="42"/>
      <c r="AF473" s="42"/>
      <c r="AG473" s="42"/>
      <c r="AH473" s="42"/>
      <c r="AI473" s="42"/>
      <c r="AJ473" s="42"/>
      <c r="AK473" s="42"/>
      <c r="AL473" s="42"/>
      <c r="AM473" s="42"/>
      <c r="AN473" s="42"/>
      <c r="AO473" s="42"/>
      <c r="AP473" s="42"/>
      <c r="AQ473" s="42"/>
      <c r="AR473" s="42"/>
      <c r="AS473" s="42"/>
      <c r="AT473" s="42"/>
      <c r="AU473" s="42"/>
      <c r="AV473" s="42"/>
      <c r="AW473" s="42"/>
      <c r="AX473" s="42"/>
      <c r="AY473" s="42"/>
      <c r="AZ473" s="42"/>
      <c r="BA473" s="42"/>
      <c r="BB473" s="42"/>
      <c r="BC473" s="42"/>
      <c r="BD473" s="42"/>
      <c r="BE473" s="42"/>
      <c r="BF473" s="42"/>
      <c r="BG473" s="42"/>
      <c r="BH473" s="42"/>
      <c r="BI473" s="42"/>
      <c r="BJ473" s="42"/>
      <c r="BK473" s="42"/>
      <c r="BL473" s="42"/>
      <c r="BM473" s="42"/>
      <c r="BN473" s="42"/>
    </row>
    <row r="474" spans="1:66" ht="12.75" customHeight="1" x14ac:dyDescent="0.2">
      <c r="A474" s="19" t="s">
        <v>269</v>
      </c>
      <c r="B474" s="20">
        <f>_xll.ciqfunctions.udf.CIQAVG(InputTicker, "IQ_TEV_EBITDA",[0]!IQ_LTM,B$472,B$2)</f>
        <v>10.81587</v>
      </c>
      <c r="C474" s="20">
        <f>_xll.ciqfunctions.udf.CIQAVG(InputTicker, "IQ_TEV_EBITDA",[0]!IQ_LTM,C$472,C$2)</f>
        <v>15.68268</v>
      </c>
      <c r="D474" s="20">
        <f>_xll.ciqfunctions.udf.CIQAVG(InputTicker, "IQ_TEV_EBITDA",[0]!IQ_LTM,D$472,D$2)</f>
        <v>18.553660000000001</v>
      </c>
      <c r="E474" s="20">
        <f>_xll.ciqfunctions.udf.CIQAVG(InputTicker, "IQ_TEV_EBITDA",[0]!IQ_LTM,E$472,E$2)</f>
        <v>16.76754</v>
      </c>
      <c r="F474" s="20">
        <f>_xll.ciqfunctions.udf.CIQAVG(InputTicker, "IQ_TEV_EBITDA",[0]!IQ_LTM,F$472,F$2)</f>
        <v>19.02281</v>
      </c>
      <c r="G474" s="20">
        <f>_xll.ciqfunctions.udf.CIQAVG(InputTicker, "IQ_TEV_EBITDA",[0]!IQ_LTM,G$472,G$2)</f>
        <v>23.314340000000001</v>
      </c>
      <c r="H474" s="20">
        <f>_xll.ciqfunctions.udf.CIQAVG(InputTicker, "IQ_TEV_EBITDA",[0]!IQ_LTM,H$472,H$2)</f>
        <v>24.702870000000001</v>
      </c>
      <c r="I474" s="20">
        <f>_xll.ciqfunctions.udf.CIQAVG(InputTicker, "IQ_TEV_EBITDA",[0]!IQ_LTM,I$472,I$2)</f>
        <v>19.505579999999998</v>
      </c>
      <c r="J474" s="20">
        <f>_xll.ciqfunctions.udf.CIQAVG(InputTicker, "IQ_TEV_EBITDA",[0]!IQ_LTM,J$472,J$2)</f>
        <v>24.243089999999999</v>
      </c>
      <c r="K474" s="20">
        <f>_xll.ciqfunctions.udf.CIQAVG(InputTicker, "IQ_TEV_EBITDA",[0]!IQ_LTM,K$472,K$2)</f>
        <v>22.84226</v>
      </c>
      <c r="L474" s="20">
        <f>_xll.ciqfunctions.udf.CIQAVG(InputTicker, "IQ_TEV_EBITDA",[0]!IQ_LTM,L$472,L$2)</f>
        <v>19.959620000000001</v>
      </c>
      <c r="M474" s="20">
        <f>_xll.ciqfunctions.udf.CIQAVG(InputTicker, "IQ_TEV_EBITDA",[0]!IQ_LTM,M$472,M$2)</f>
        <v>15.613200000000001</v>
      </c>
      <c r="N474" s="56"/>
      <c r="T474" s="42"/>
      <c r="U474" s="42"/>
      <c r="V474" s="42"/>
      <c r="W474" s="42"/>
      <c r="X474" s="42"/>
      <c r="Y474" s="42"/>
      <c r="Z474" s="42"/>
      <c r="AA474" s="42"/>
      <c r="AB474" s="42"/>
      <c r="AC474" s="42"/>
      <c r="AD474" s="42"/>
      <c r="AE474" s="42"/>
      <c r="AF474" s="42"/>
      <c r="AG474" s="42"/>
      <c r="AH474" s="42"/>
      <c r="AI474" s="42"/>
      <c r="AJ474" s="42"/>
      <c r="AK474" s="42"/>
      <c r="AL474" s="42"/>
      <c r="AM474" s="42"/>
      <c r="AN474" s="42"/>
      <c r="AO474" s="42"/>
      <c r="AP474" s="42"/>
      <c r="AQ474" s="42"/>
      <c r="AR474" s="42"/>
      <c r="AS474" s="42"/>
      <c r="AT474" s="42"/>
      <c r="AU474" s="42"/>
      <c r="AV474" s="42"/>
      <c r="AW474" s="42"/>
      <c r="AX474" s="42"/>
      <c r="AY474" s="42"/>
      <c r="AZ474" s="42"/>
      <c r="BA474" s="42"/>
      <c r="BB474" s="42"/>
      <c r="BC474" s="42"/>
      <c r="BD474" s="42"/>
      <c r="BE474" s="42"/>
      <c r="BF474" s="42"/>
      <c r="BG474" s="42"/>
      <c r="BH474" s="42"/>
      <c r="BI474" s="42"/>
      <c r="BJ474" s="42"/>
      <c r="BK474" s="42"/>
      <c r="BL474" s="42"/>
      <c r="BM474" s="42"/>
      <c r="BN474" s="42"/>
    </row>
    <row r="475" spans="1:66" ht="12.75" customHeight="1" x14ac:dyDescent="0.2">
      <c r="A475" s="19" t="s">
        <v>270</v>
      </c>
      <c r="B475" s="20">
        <f>_xll.ciqfunctions.udf.CIQAVG(InputTicker, "IQ_TEV_EBIT",[0]!IQ_LTM,B$472,B$2)</f>
        <v>13.112399999999999</v>
      </c>
      <c r="C475" s="20">
        <f>_xll.ciqfunctions.udf.CIQAVG(InputTicker, "IQ_TEV_EBIT",[0]!IQ_LTM,C$472,C$2)</f>
        <v>20.590900000000001</v>
      </c>
      <c r="D475" s="20">
        <f>_xll.ciqfunctions.udf.CIQAVG(InputTicker, "IQ_TEV_EBIT",[0]!IQ_LTM,D$472,D$2)</f>
        <v>25.98265</v>
      </c>
      <c r="E475" s="20">
        <f>_xll.ciqfunctions.udf.CIQAVG(InputTicker, "IQ_TEV_EBIT",[0]!IQ_LTM,E$472,E$2)</f>
        <v>22.200119999999998</v>
      </c>
      <c r="F475" s="20">
        <f>_xll.ciqfunctions.udf.CIQAVG(InputTicker, "IQ_TEV_EBIT",[0]!IQ_LTM,F$472,F$2)</f>
        <v>24.55443</v>
      </c>
      <c r="G475" s="20">
        <f>_xll.ciqfunctions.udf.CIQAVG(InputTicker, "IQ_TEV_EBIT",[0]!IQ_LTM,G$472,G$2)</f>
        <v>28.99053</v>
      </c>
      <c r="H475" s="20">
        <f>_xll.ciqfunctions.udf.CIQAVG(InputTicker, "IQ_TEV_EBIT",[0]!IQ_LTM,H$472,H$2)</f>
        <v>29.32499</v>
      </c>
      <c r="I475" s="20">
        <f>_xll.ciqfunctions.udf.CIQAVG(InputTicker, "IQ_TEV_EBIT",[0]!IQ_LTM,I$472,I$2)</f>
        <v>23.407109999999999</v>
      </c>
      <c r="J475" s="20">
        <f>_xll.ciqfunctions.udf.CIQAVG(InputTicker, "IQ_TEV_EBIT",[0]!IQ_LTM,J$472,J$2)</f>
        <v>28.942170000000001</v>
      </c>
      <c r="K475" s="20">
        <f>_xll.ciqfunctions.udf.CIQAVG(InputTicker, "IQ_TEV_EBIT",[0]!IQ_LTM,K$472,K$2)</f>
        <v>28.334479999999999</v>
      </c>
      <c r="L475" s="20">
        <f>_xll.ciqfunctions.udf.CIQAVG(InputTicker, "IQ_TEV_EBIT",[0]!IQ_LTM,L$472,L$2)</f>
        <v>25.305569999999999</v>
      </c>
      <c r="M475" s="20">
        <f>_xll.ciqfunctions.udf.CIQAVG(InputTicker, "IQ_TEV_EBIT",[0]!IQ_LTM,M$472,M$2)</f>
        <v>19.80348</v>
      </c>
      <c r="N475" s="56"/>
      <c r="T475" s="42"/>
      <c r="U475" s="42"/>
      <c r="V475" s="42"/>
      <c r="W475" s="42"/>
      <c r="X475" s="42"/>
      <c r="Y475" s="42"/>
      <c r="Z475" s="42"/>
      <c r="AA475" s="42"/>
      <c r="AB475" s="42"/>
      <c r="AC475" s="42"/>
      <c r="AD475" s="42"/>
      <c r="AE475" s="42"/>
      <c r="AF475" s="42"/>
      <c r="AG475" s="42"/>
      <c r="AH475" s="42"/>
      <c r="AI475" s="42"/>
      <c r="AJ475" s="42"/>
      <c r="AK475" s="42"/>
      <c r="AL475" s="42"/>
      <c r="AM475" s="42"/>
      <c r="AN475" s="42"/>
      <c r="AO475" s="42"/>
      <c r="AP475" s="42"/>
      <c r="AQ475" s="42"/>
      <c r="AR475" s="42"/>
      <c r="AS475" s="42"/>
      <c r="AT475" s="42"/>
      <c r="AU475" s="42"/>
      <c r="AV475" s="42"/>
      <c r="AW475" s="42"/>
      <c r="AX475" s="42"/>
      <c r="AY475" s="42"/>
      <c r="AZ475" s="42"/>
      <c r="BA475" s="42"/>
      <c r="BB475" s="42"/>
      <c r="BC475" s="42"/>
      <c r="BD475" s="42"/>
      <c r="BE475" s="42"/>
      <c r="BF475" s="42"/>
      <c r="BG475" s="42"/>
      <c r="BH475" s="42"/>
      <c r="BI475" s="42"/>
      <c r="BJ475" s="42"/>
      <c r="BK475" s="42"/>
      <c r="BL475" s="42"/>
      <c r="BM475" s="42"/>
      <c r="BN475" s="42"/>
    </row>
    <row r="476" spans="1:66" ht="12.75" customHeight="1" x14ac:dyDescent="0.2">
      <c r="A476" s="19" t="s">
        <v>271</v>
      </c>
      <c r="B476" s="20">
        <f>_xll.ciqfunctions.udf.CIQAVG(InputTicker, "IQ_PE_EXCL",[0]!IQ_LTM,B$472,B$2)</f>
        <v>34.622700000000002</v>
      </c>
      <c r="C476" s="20">
        <f>_xll.ciqfunctions.udf.CIQAVG(InputTicker, "IQ_PE_EXCL",[0]!IQ_LTM,C$472,C$2)</f>
        <v>29.891179999999999</v>
      </c>
      <c r="D476" s="20">
        <f>_xll.ciqfunctions.udf.CIQAVG(InputTicker, "IQ_PE_EXCL",[0]!IQ_LTM,D$472,D$2)</f>
        <v>46.706809999999997</v>
      </c>
      <c r="E476" s="20">
        <f>_xll.ciqfunctions.udf.CIQAVG(InputTicker, "IQ_PE_EXCL",[0]!IQ_LTM,E$472,E$2)</f>
        <v>40.174390000000002</v>
      </c>
      <c r="F476" s="20">
        <f>_xll.ciqfunctions.udf.CIQAVG(InputTicker, "IQ_PE_EXCL",[0]!IQ_LTM,F$472,F$2)</f>
        <v>28.938279999999999</v>
      </c>
      <c r="G476" s="20">
        <f>_xll.ciqfunctions.udf.CIQAVG(InputTicker, "IQ_PE_EXCL",[0]!IQ_LTM,G$472,G$2)</f>
        <v>35.583590000000001</v>
      </c>
      <c r="H476" s="20">
        <f>_xll.ciqfunctions.udf.CIQAVG(InputTicker, "IQ_PE_EXCL",[0]!IQ_LTM,H$472,H$2)</f>
        <v>33.872039999999998</v>
      </c>
      <c r="I476" s="20">
        <f>_xll.ciqfunctions.udf.CIQAVG(InputTicker, "IQ_PE_EXCL",[0]!IQ_LTM,I$472,I$2)</f>
        <v>28.799009999999999</v>
      </c>
      <c r="J476" s="20">
        <f>_xll.ciqfunctions.udf.CIQAVG(InputTicker, "IQ_PE_EXCL",[0]!IQ_LTM,J$472,J$2)</f>
        <v>35.991990000000001</v>
      </c>
      <c r="K476" s="20">
        <f>_xll.ciqfunctions.udf.CIQAVG(InputTicker, "IQ_PE_EXCL",[0]!IQ_LTM,K$472,K$2)</f>
        <v>34.788829999999997</v>
      </c>
      <c r="L476" s="20">
        <f>_xll.ciqfunctions.udf.CIQAVG(InputTicker, "IQ_PE_EXCL",[0]!IQ_LTM,L$472,L$2)</f>
        <v>31.58006</v>
      </c>
      <c r="M476" s="20">
        <f>_xll.ciqfunctions.udf.CIQAVG(InputTicker, "IQ_PE_EXCL",[0]!IQ_LTM,M$472,M$2)</f>
        <v>24.447430000000001</v>
      </c>
      <c r="N476" s="42"/>
      <c r="T476" s="42"/>
      <c r="U476" s="42"/>
      <c r="V476" s="42"/>
      <c r="W476" s="42"/>
      <c r="X476" s="42"/>
      <c r="Y476" s="42"/>
      <c r="Z476" s="42"/>
      <c r="AA476" s="42"/>
      <c r="AB476" s="42"/>
      <c r="AC476" s="42"/>
      <c r="AD476" s="42"/>
      <c r="AE476" s="42"/>
      <c r="AF476" s="42"/>
      <c r="AG476" s="42"/>
      <c r="AH476" s="42"/>
      <c r="AI476" s="42"/>
      <c r="AJ476" s="42"/>
      <c r="AK476" s="42"/>
      <c r="AL476" s="42"/>
      <c r="AM476" s="42"/>
      <c r="AN476" s="42"/>
      <c r="AO476" s="42"/>
      <c r="AP476" s="42"/>
      <c r="AQ476" s="42"/>
      <c r="AR476" s="42"/>
      <c r="AS476" s="42"/>
      <c r="AT476" s="42"/>
      <c r="AU476" s="42"/>
      <c r="AV476" s="42"/>
      <c r="AW476" s="42"/>
      <c r="AX476" s="42"/>
      <c r="AY476" s="42"/>
      <c r="AZ476" s="42"/>
      <c r="BA476" s="42"/>
      <c r="BB476" s="42"/>
      <c r="BC476" s="42"/>
      <c r="BD476" s="42"/>
      <c r="BE476" s="42"/>
      <c r="BF476" s="42"/>
      <c r="BG476" s="42"/>
      <c r="BH476" s="42"/>
      <c r="BI476" s="42"/>
      <c r="BJ476" s="42"/>
      <c r="BK476" s="42"/>
      <c r="BL476" s="42"/>
      <c r="BM476" s="42"/>
      <c r="BN476" s="42"/>
    </row>
    <row r="477" spans="1:66" ht="12.75" customHeight="1" x14ac:dyDescent="0.2">
      <c r="A477" s="19" t="s">
        <v>272</v>
      </c>
      <c r="B477" s="20">
        <f>_xll.ciqfunctions.udf.CIQAVG(InputTicker, "IQ_PBV",[0]!IQ_LTM,B$472,B$2)</f>
        <v>5.1559100000000004</v>
      </c>
      <c r="C477" s="20">
        <f>_xll.ciqfunctions.udf.CIQAVG(InputTicker, "IQ_PBV",[0]!IQ_LTM,C$472,C$2)</f>
        <v>6.8704700000000001</v>
      </c>
      <c r="D477" s="20">
        <f>_xll.ciqfunctions.udf.CIQAVG(InputTicker, "IQ_PBV",[0]!IQ_LTM,D$472,D$2)</f>
        <v>8.3539399999999997</v>
      </c>
      <c r="E477" s="20">
        <f>_xll.ciqfunctions.udf.CIQAVG(InputTicker, "IQ_PBV",[0]!IQ_LTM,E$472,E$2)</f>
        <v>9.8663500000000006</v>
      </c>
      <c r="F477" s="20">
        <f>_xll.ciqfunctions.udf.CIQAVG(InputTicker, "IQ_PBV",[0]!IQ_LTM,F$472,F$2)</f>
        <v>11.187329999999999</v>
      </c>
      <c r="G477" s="20">
        <f>_xll.ciqfunctions.udf.CIQAVG(InputTicker, "IQ_PBV",[0]!IQ_LTM,G$472,G$2)</f>
        <v>13.718769999999999</v>
      </c>
      <c r="H477" s="20">
        <f>_xll.ciqfunctions.udf.CIQAVG(InputTicker, "IQ_PBV",[0]!IQ_LTM,H$472,H$2)</f>
        <v>14.71264</v>
      </c>
      <c r="I477" s="20">
        <f>_xll.ciqfunctions.udf.CIQAVG(InputTicker, "IQ_PBV",[0]!IQ_LTM,I$472,I$2)</f>
        <v>11.24577</v>
      </c>
      <c r="J477" s="20">
        <f>_xll.ciqfunctions.udf.CIQAVG(InputTicker, "IQ_PBV",[0]!IQ_LTM,J$472,J$2)</f>
        <v>12.450839999999999</v>
      </c>
      <c r="K477" s="20">
        <f>_xll.ciqfunctions.udf.CIQAVG(InputTicker, "IQ_PBV",[0]!IQ_LTM,K$472,K$2)</f>
        <v>10.945650000000001</v>
      </c>
      <c r="L477" s="20">
        <f>_xll.ciqfunctions.udf.CIQAVG(InputTicker, "IQ_PBV",[0]!IQ_LTM,L$472,L$2)</f>
        <v>9.3505400000000005</v>
      </c>
      <c r="M477" s="20">
        <f>_xll.ciqfunctions.udf.CIQAVG(InputTicker, "IQ_PBV",[0]!IQ_LTM,M$472,M$2)</f>
        <v>7.38056</v>
      </c>
      <c r="N477" s="42"/>
      <c r="T477" s="42"/>
      <c r="U477" s="42"/>
      <c r="V477" s="42"/>
      <c r="W477" s="42"/>
      <c r="X477" s="42"/>
      <c r="Y477" s="42"/>
      <c r="Z477" s="42"/>
      <c r="AA477" s="42"/>
      <c r="AB477" s="42"/>
      <c r="AC477" s="42"/>
      <c r="AD477" s="42"/>
      <c r="AE477" s="42"/>
      <c r="AF477" s="42"/>
      <c r="AG477" s="42"/>
      <c r="AH477" s="42"/>
      <c r="AI477" s="42"/>
      <c r="AJ477" s="42"/>
      <c r="AK477" s="42"/>
      <c r="AL477" s="42"/>
      <c r="AM477" s="42"/>
      <c r="AN477" s="42"/>
      <c r="AO477" s="42"/>
      <c r="AP477" s="42"/>
      <c r="AQ477" s="42"/>
      <c r="AR477" s="42"/>
      <c r="AS477" s="42"/>
      <c r="AT477" s="42"/>
      <c r="AU477" s="42"/>
      <c r="AV477" s="42"/>
      <c r="AW477" s="42"/>
      <c r="AX477" s="42"/>
      <c r="AY477" s="42"/>
      <c r="AZ477" s="42"/>
      <c r="BA477" s="42"/>
      <c r="BB477" s="42"/>
      <c r="BC477" s="42"/>
      <c r="BD477" s="42"/>
      <c r="BE477" s="42"/>
      <c r="BF477" s="42"/>
      <c r="BG477" s="42"/>
      <c r="BH477" s="42"/>
      <c r="BI477" s="42"/>
      <c r="BJ477" s="42"/>
      <c r="BK477" s="42"/>
      <c r="BL477" s="42"/>
      <c r="BM477" s="42"/>
      <c r="BN477" s="42"/>
    </row>
    <row r="478" spans="1:66" ht="12.75" customHeight="1" x14ac:dyDescent="0.2">
      <c r="A478" s="19" t="s">
        <v>273</v>
      </c>
      <c r="B478" s="20">
        <f>_xll.ciqfunctions.udf.CIQAVG(InputTicker, "IQ_PTBV",[0]!IQ_LTM,B$472,B$2)</f>
        <v>7.2261899999999999</v>
      </c>
      <c r="C478" s="20">
        <f>_xll.ciqfunctions.udf.CIQAVG(InputTicker, "IQ_PTBV",[0]!IQ_LTM,C$472,C$2)</f>
        <v>14.58994</v>
      </c>
      <c r="D478" s="20">
        <f>_xll.ciqfunctions.udf.CIQAVG(InputTicker, "IQ_PTBV",[0]!IQ_LTM,D$472,D$2)</f>
        <v>19.606639999999999</v>
      </c>
      <c r="E478" s="20">
        <f>_xll.ciqfunctions.udf.CIQAVG(InputTicker, "IQ_PTBV",[0]!IQ_LTM,E$472,E$2)</f>
        <v>20.885850000000001</v>
      </c>
      <c r="F478" s="20">
        <f>_xll.ciqfunctions.udf.CIQAVG(InputTicker, "IQ_PTBV",[0]!IQ_LTM,F$472,F$2)</f>
        <v>20.856770000000001</v>
      </c>
      <c r="G478" s="20">
        <f>_xll.ciqfunctions.udf.CIQAVG(InputTicker, "IQ_PTBV",[0]!IQ_LTM,G$472,G$2)</f>
        <v>23.439489999999999</v>
      </c>
      <c r="H478" s="20">
        <f>_xll.ciqfunctions.udf.CIQAVG(InputTicker, "IQ_PTBV",[0]!IQ_LTM,H$472,H$2)</f>
        <v>24.769349999999999</v>
      </c>
      <c r="I478" s="20">
        <f>_xll.ciqfunctions.udf.CIQAVG(InputTicker, "IQ_PTBV",[0]!IQ_LTM,I$472,I$2)</f>
        <v>20.240100000000002</v>
      </c>
      <c r="J478" s="20">
        <f>_xll.ciqfunctions.udf.CIQAVG(InputTicker, "IQ_PTBV",[0]!IQ_LTM,J$472,J$2)</f>
        <v>24.836649999999999</v>
      </c>
      <c r="K478" s="20">
        <f>_xll.ciqfunctions.udf.CIQAVG(InputTicker, "IQ_PTBV",[0]!IQ_LTM,K$472,K$2)</f>
        <v>22.466380000000001</v>
      </c>
      <c r="L478" s="20">
        <f>_xll.ciqfunctions.udf.CIQAVG(InputTicker, "IQ_PTBV",[0]!IQ_LTM,L$472,L$2)</f>
        <v>15.336690000000001</v>
      </c>
      <c r="M478" s="20">
        <f>_xll.ciqfunctions.udf.CIQAVG(InputTicker, "IQ_PTBV",[0]!IQ_LTM,M$472,M$2)</f>
        <v>11.232609999999999</v>
      </c>
      <c r="N478" s="42"/>
      <c r="T478" s="42"/>
      <c r="U478" s="42"/>
      <c r="V478" s="42"/>
      <c r="W478" s="42"/>
      <c r="X478" s="42"/>
      <c r="Y478" s="42"/>
      <c r="Z478" s="42"/>
      <c r="AA478" s="42"/>
      <c r="AB478" s="42"/>
      <c r="AC478" s="42"/>
      <c r="AD478" s="42"/>
      <c r="AE478" s="42"/>
      <c r="AF478" s="42"/>
      <c r="AG478" s="42"/>
      <c r="AH478" s="42"/>
      <c r="AI478" s="42"/>
      <c r="AJ478" s="42"/>
      <c r="AK478" s="42"/>
      <c r="AL478" s="42"/>
      <c r="AM478" s="42"/>
      <c r="AN478" s="42"/>
      <c r="AO478" s="42"/>
      <c r="AP478" s="42"/>
      <c r="AQ478" s="42"/>
      <c r="AR478" s="42"/>
      <c r="AS478" s="42"/>
      <c r="AT478" s="42"/>
      <c r="AU478" s="42"/>
      <c r="AV478" s="42"/>
      <c r="AW478" s="42"/>
      <c r="AX478" s="42"/>
      <c r="AY478" s="42"/>
      <c r="AZ478" s="42"/>
      <c r="BA478" s="42"/>
      <c r="BB478" s="42"/>
      <c r="BC478" s="42"/>
      <c r="BD478" s="42"/>
      <c r="BE478" s="42"/>
      <c r="BF478" s="42"/>
      <c r="BG478" s="42"/>
      <c r="BH478" s="42"/>
      <c r="BI478" s="42"/>
      <c r="BJ478" s="42"/>
      <c r="BK478" s="42"/>
      <c r="BL478" s="42"/>
      <c r="BM478" s="42"/>
      <c r="BN478" s="42"/>
    </row>
    <row r="479" spans="1:66" ht="12.75" customHeight="1" x14ac:dyDescent="0.2">
      <c r="A479" s="19" t="s">
        <v>227</v>
      </c>
      <c r="B479" s="4">
        <f>_xll.ciqfunctions.udf.CIQ(InputTicker, "IQ_RETURN_ASSETS",Input!D$2,Date)</f>
        <v>9.2364999999999995</v>
      </c>
      <c r="C479" s="4">
        <f>_xll.ciqfunctions.udf.CIQ(InputTicker, "IQ_RETURN_ASSETS",Input!E$2,Date)</f>
        <v>8.2615999999999996</v>
      </c>
      <c r="D479" s="4">
        <f>_xll.ciqfunctions.udf.CIQ(InputTicker, "IQ_RETURN_ASSETS",Input!F$2,Date)</f>
        <v>8.6067999999999998</v>
      </c>
      <c r="E479" s="4">
        <f>_xll.ciqfunctions.udf.CIQ(InputTicker, "IQ_RETURN_ASSETS",Input!G$2,Date)</f>
        <v>9.8455999999999992</v>
      </c>
      <c r="F479" s="4">
        <f>_xll.ciqfunctions.udf.CIQ(InputTicker, "IQ_RETURN_ASSETS",Input!H$2,Date)</f>
        <v>11.2608</v>
      </c>
      <c r="G479" s="4">
        <f>_xll.ciqfunctions.udf.CIQ(InputTicker, "IQ_RETURN_ASSETS",Input!I$2,Date)</f>
        <v>13.760999999999999</v>
      </c>
      <c r="H479" s="4">
        <f>_xll.ciqfunctions.udf.CIQ(InputTicker, "IQ_RETURN_ASSETS",Input!J$2,Date)</f>
        <v>14.9192</v>
      </c>
      <c r="I479" s="4">
        <f>_xll.ciqfunctions.udf.CIQ(InputTicker, "IQ_RETURN_ASSETS",Input!K$2,Date)</f>
        <v>14.2445</v>
      </c>
      <c r="J479" s="4">
        <f>_xll.ciqfunctions.udf.CIQ(InputTicker, "IQ_RETURN_ASSETS",Input!L$2,Date)</f>
        <v>14.802</v>
      </c>
      <c r="K479" s="4">
        <f>_xll.ciqfunctions.udf.CIQ(InputTicker, "IQ_RETURN_ASSETS",Input!M$2,Date)</f>
        <v>14.202999999999999</v>
      </c>
      <c r="L479" s="4">
        <f>_xll.ciqfunctions.udf.CIQ(InputTicker, "IQ_RETURN_ASSETS",Input!N$2,Date)</f>
        <v>14.087999999999999</v>
      </c>
      <c r="M479" s="4">
        <f>_xll.ciqfunctions.udf.CIQ(InputTicker, "IQ_RETURN_ASSETS",Input!O$2,Date)</f>
        <v>14.087999999999999</v>
      </c>
      <c r="N479" s="42"/>
      <c r="T479" s="42"/>
      <c r="U479" s="42"/>
      <c r="V479" s="42"/>
      <c r="W479" s="42"/>
      <c r="X479" s="42"/>
      <c r="Y479" s="42"/>
      <c r="Z479" s="42"/>
      <c r="AA479" s="42"/>
      <c r="AB479" s="42"/>
      <c r="AC479" s="42"/>
      <c r="AD479" s="42"/>
      <c r="AE479" s="42"/>
      <c r="AF479" s="42"/>
      <c r="AG479" s="42"/>
      <c r="AH479" s="42"/>
      <c r="AI479" s="42"/>
      <c r="AJ479" s="42"/>
      <c r="AK479" s="42"/>
      <c r="AL479" s="42"/>
      <c r="AM479" s="42"/>
      <c r="AN479" s="42"/>
      <c r="AO479" s="42"/>
      <c r="AP479" s="42"/>
      <c r="AQ479" s="42"/>
      <c r="AR479" s="42"/>
      <c r="AS479" s="42"/>
      <c r="AT479" s="42"/>
      <c r="AU479" s="42"/>
      <c r="AV479" s="42"/>
      <c r="AW479" s="42"/>
      <c r="AX479" s="42"/>
      <c r="AY479" s="42"/>
      <c r="AZ479" s="42"/>
      <c r="BA479" s="42"/>
      <c r="BB479" s="42"/>
      <c r="BC479" s="42"/>
      <c r="BD479" s="42"/>
      <c r="BE479" s="42"/>
      <c r="BF479" s="42"/>
      <c r="BG479" s="42"/>
      <c r="BH479" s="42"/>
      <c r="BI479" s="42"/>
      <c r="BJ479" s="42"/>
      <c r="BK479" s="42"/>
      <c r="BL479" s="42"/>
      <c r="BM479" s="42"/>
      <c r="BN479" s="42"/>
    </row>
    <row r="480" spans="1:66" ht="12.75" customHeight="1" x14ac:dyDescent="0.2">
      <c r="A480" s="19" t="s">
        <v>228</v>
      </c>
      <c r="B480" s="4">
        <f>_xll.ciqfunctions.udf.CIQ(InputTicker, "IQ_RETURN_CAPITAL",Input!D$2,Date)</f>
        <v>14.042999999999999</v>
      </c>
      <c r="C480" s="4">
        <f>_xll.ciqfunctions.udf.CIQ(InputTicker, "IQ_RETURN_CAPITAL",Input!E$2,Date)</f>
        <v>11.8355</v>
      </c>
      <c r="D480" s="4">
        <f>_xll.ciqfunctions.udf.CIQ(InputTicker, "IQ_RETURN_CAPITAL",Input!F$2,Date)</f>
        <v>12.398</v>
      </c>
      <c r="E480" s="4">
        <f>_xll.ciqfunctions.udf.CIQ(InputTicker, "IQ_RETURN_CAPITAL",Input!G$2,Date)</f>
        <v>14.9574</v>
      </c>
      <c r="F480" s="4">
        <f>_xll.ciqfunctions.udf.CIQ(InputTicker, "IQ_RETURN_CAPITAL",Input!H$2,Date)</f>
        <v>17.008900000000001</v>
      </c>
      <c r="G480" s="4">
        <f>_xll.ciqfunctions.udf.CIQ(InputTicker, "IQ_RETURN_CAPITAL",Input!I$2,Date)</f>
        <v>20.579000000000001</v>
      </c>
      <c r="H480" s="4">
        <f>_xll.ciqfunctions.udf.CIQ(InputTicker, "IQ_RETURN_CAPITAL",Input!J$2,Date)</f>
        <v>22.213699999999999</v>
      </c>
      <c r="I480" s="4">
        <f>_xll.ciqfunctions.udf.CIQ(InputTicker, "IQ_RETURN_CAPITAL",Input!K$2,Date)</f>
        <v>20.854199999999999</v>
      </c>
      <c r="J480" s="4">
        <f>_xll.ciqfunctions.udf.CIQ(InputTicker, "IQ_RETURN_CAPITAL",Input!L$2,Date)</f>
        <v>20.980399999999999</v>
      </c>
      <c r="K480" s="4">
        <f>_xll.ciqfunctions.udf.CIQ(InputTicker, "IQ_RETURN_CAPITAL",Input!M$2,Date)</f>
        <v>19.545200000000001</v>
      </c>
      <c r="L480" s="4">
        <f>_xll.ciqfunctions.udf.CIQ(InputTicker, "IQ_RETURN_CAPITAL",Input!N$2,Date)</f>
        <v>18.896899999999999</v>
      </c>
      <c r="M480" s="4">
        <f>_xll.ciqfunctions.udf.CIQ(InputTicker, "IQ_RETURN_CAPITAL",Input!O$2,Date)</f>
        <v>18.896899999999999</v>
      </c>
      <c r="N480" s="42"/>
      <c r="T480" s="42"/>
      <c r="U480" s="42"/>
      <c r="V480" s="42"/>
      <c r="W480" s="42"/>
      <c r="X480" s="42"/>
      <c r="Y480" s="42"/>
      <c r="Z480" s="42"/>
      <c r="AA480" s="42"/>
      <c r="AB480" s="42"/>
      <c r="AC480" s="42"/>
      <c r="AD480" s="42"/>
      <c r="AE480" s="42"/>
      <c r="AF480" s="42"/>
      <c r="AG480" s="42"/>
      <c r="AH480" s="42"/>
      <c r="AI480" s="42"/>
      <c r="AJ480" s="42"/>
      <c r="AK480" s="42"/>
      <c r="AL480" s="42"/>
      <c r="AM480" s="42"/>
      <c r="AN480" s="42"/>
      <c r="AO480" s="42"/>
      <c r="AP480" s="42"/>
      <c r="AQ480" s="42"/>
      <c r="AR480" s="42"/>
      <c r="AS480" s="42"/>
      <c r="AT480" s="42"/>
      <c r="AU480" s="42"/>
      <c r="AV480" s="42"/>
      <c r="AW480" s="42"/>
      <c r="AX480" s="42"/>
      <c r="AY480" s="42"/>
      <c r="AZ480" s="42"/>
      <c r="BA480" s="42"/>
      <c r="BB480" s="42"/>
      <c r="BC480" s="42"/>
      <c r="BD480" s="42"/>
      <c r="BE480" s="42"/>
      <c r="BF480" s="42"/>
      <c r="BG480" s="42"/>
      <c r="BH480" s="42"/>
      <c r="BI480" s="42"/>
      <c r="BJ480" s="42"/>
      <c r="BK480" s="42"/>
      <c r="BL480" s="42"/>
      <c r="BM480" s="42"/>
      <c r="BN480" s="42"/>
    </row>
    <row r="481" spans="1:66" ht="12.75" customHeight="1" x14ac:dyDescent="0.2">
      <c r="A481" s="19" t="s">
        <v>229</v>
      </c>
      <c r="B481" s="4">
        <f>_xll.ciqfunctions.udf.CIQ(InputTicker,  "IQ_RETURN_EQUITY",Input!D$2,Date)</f>
        <v>27.0107</v>
      </c>
      <c r="C481" s="4">
        <f>_xll.ciqfunctions.udf.CIQ(InputTicker,  "IQ_RETURN_EQUITY",Input!E$2,Date)</f>
        <v>31.919499999999999</v>
      </c>
      <c r="D481" s="4">
        <f>_xll.ciqfunctions.udf.CIQ(InputTicker,  "IQ_RETURN_EQUITY",Input!F$2,Date)</f>
        <v>19.446200000000001</v>
      </c>
      <c r="E481" s="4">
        <f>_xll.ciqfunctions.udf.CIQ(InputTicker,  "IQ_RETURN_EQUITY",Input!G$2,Date)</f>
        <v>42.410600000000002</v>
      </c>
      <c r="F481" s="4">
        <f>_xll.ciqfunctions.udf.CIQ(InputTicker,  "IQ_RETURN_EQUITY",Input!H$2,Date)</f>
        <v>40.139699999999998</v>
      </c>
      <c r="G481" s="4">
        <f>_xll.ciqfunctions.udf.CIQ(InputTicker,  "IQ_RETURN_EQUITY",Input!I$2,Date)</f>
        <v>47.078600000000002</v>
      </c>
      <c r="H481" s="4">
        <f>_xll.ciqfunctions.udf.CIQ(InputTicker,  "IQ_RETURN_EQUITY",Input!J$2,Date)</f>
        <v>47.151299999999999</v>
      </c>
      <c r="I481" s="4">
        <f>_xll.ciqfunctions.udf.CIQ(InputTicker,  "IQ_RETURN_EQUITY",Input!K$2,Date)</f>
        <v>38.823900000000002</v>
      </c>
      <c r="J481" s="4">
        <f>_xll.ciqfunctions.udf.CIQ(InputTicker,  "IQ_RETURN_EQUITY",Input!L$2,Date)</f>
        <v>37.133299999999998</v>
      </c>
      <c r="K481" s="4">
        <f>_xll.ciqfunctions.udf.CIQ(InputTicker,  "IQ_RETURN_EQUITY",Input!M$2,Date)</f>
        <v>33.280799999999999</v>
      </c>
      <c r="L481" s="4">
        <f>_xll.ciqfunctions.udf.CIQ(InputTicker,  "IQ_RETURN_EQUITY",Input!N$2,Date)</f>
        <v>34.038600000000002</v>
      </c>
      <c r="M481" s="4">
        <f>_xll.ciqfunctions.udf.CIQ(InputTicker,  "IQ_RETURN_EQUITY",Input!O$2,Date)</f>
        <v>34.038600000000002</v>
      </c>
      <c r="N481" s="42"/>
      <c r="T481" s="42"/>
      <c r="U481" s="42"/>
      <c r="V481" s="42"/>
      <c r="W481" s="42"/>
      <c r="X481" s="42"/>
      <c r="Y481" s="42"/>
      <c r="Z481" s="42"/>
      <c r="AA481" s="42"/>
      <c r="AB481" s="42"/>
      <c r="AC481" s="42"/>
      <c r="AD481" s="42"/>
      <c r="AE481" s="42"/>
      <c r="AF481" s="42"/>
      <c r="AG481" s="42"/>
      <c r="AH481" s="42"/>
      <c r="AI481" s="42"/>
      <c r="AJ481" s="42"/>
      <c r="AK481" s="42"/>
      <c r="AL481" s="42"/>
      <c r="AM481" s="42"/>
      <c r="AN481" s="42"/>
      <c r="AO481" s="42"/>
      <c r="AP481" s="42"/>
      <c r="AQ481" s="42"/>
      <c r="AR481" s="42"/>
      <c r="AS481" s="42"/>
      <c r="AT481" s="42"/>
      <c r="AU481" s="42"/>
      <c r="AV481" s="42"/>
      <c r="AW481" s="42"/>
      <c r="AX481" s="42"/>
      <c r="AY481" s="42"/>
      <c r="AZ481" s="42"/>
      <c r="BA481" s="42"/>
      <c r="BB481" s="42"/>
      <c r="BC481" s="42"/>
      <c r="BD481" s="42"/>
      <c r="BE481" s="42"/>
      <c r="BF481" s="42"/>
      <c r="BG481" s="42"/>
      <c r="BH481" s="42"/>
      <c r="BI481" s="42"/>
      <c r="BJ481" s="42"/>
      <c r="BK481" s="42"/>
      <c r="BL481" s="42"/>
      <c r="BM481" s="42"/>
      <c r="BN481" s="42"/>
    </row>
    <row r="482" spans="1:66" ht="12.75" customHeight="1" x14ac:dyDescent="0.2">
      <c r="A482" s="19" t="s">
        <v>425</v>
      </c>
      <c r="B482" s="4">
        <f>_xll.ciqfunctions.udf.CIQ(InputTicker,  "IQ_RETURN_COMMON_EQUITY",Input!D$2,Date)</f>
        <v>27.0107</v>
      </c>
      <c r="C482" s="4">
        <f>_xll.ciqfunctions.udf.CIQ(InputTicker,  "IQ_RETURN_COMMON_EQUITY",Input!E$2,Date)</f>
        <v>31.919499999999999</v>
      </c>
      <c r="D482" s="4">
        <f>_xll.ciqfunctions.udf.CIQ(InputTicker,  "IQ_RETURN_COMMON_EQUITY",Input!F$2,Date)</f>
        <v>19.446200000000001</v>
      </c>
      <c r="E482" s="4">
        <f>_xll.ciqfunctions.udf.CIQ(InputTicker,  "IQ_RETURN_COMMON_EQUITY",Input!G$2,Date)</f>
        <v>42.410600000000002</v>
      </c>
      <c r="F482" s="4">
        <f>_xll.ciqfunctions.udf.CIQ(InputTicker,  "IQ_RETURN_COMMON_EQUITY",Input!H$2,Date)</f>
        <v>40.139699999999998</v>
      </c>
      <c r="G482" s="4">
        <f>_xll.ciqfunctions.udf.CIQ(InputTicker,  "IQ_RETURN_COMMON_EQUITY",Input!I$2,Date)</f>
        <v>47.078600000000002</v>
      </c>
      <c r="H482" s="4">
        <f>_xll.ciqfunctions.udf.CIQ(InputTicker,  "IQ_RETURN_COMMON_EQUITY",Input!J$2,Date)</f>
        <v>47.151299999999999</v>
      </c>
      <c r="I482" s="4">
        <f>_xll.ciqfunctions.udf.CIQ(InputTicker,  "IQ_RETURN_COMMON_EQUITY",Input!K$2,Date)</f>
        <v>38.823900000000002</v>
      </c>
      <c r="J482" s="4">
        <f>_xll.ciqfunctions.udf.CIQ(InputTicker,  "IQ_RETURN_COMMON_EQUITY",Input!L$2,Date)</f>
        <v>37.133299999999998</v>
      </c>
      <c r="K482" s="4">
        <f>_xll.ciqfunctions.udf.CIQ(InputTicker,  "IQ_RETURN_COMMON_EQUITY",Input!M$2,Date)</f>
        <v>33.280799999999999</v>
      </c>
      <c r="L482" s="4">
        <f>_xll.ciqfunctions.udf.CIQ(InputTicker,  "IQ_RETURN_COMMON_EQUITY",Input!N$2,Date)</f>
        <v>34.038600000000002</v>
      </c>
      <c r="M482" s="4">
        <f>_xll.ciqfunctions.udf.CIQ(InputTicker,  "IQ_RETURN_COMMON_EQUITY",Input!O$2,Date)</f>
        <v>34.038600000000002</v>
      </c>
      <c r="N482" s="42"/>
      <c r="T482" s="42"/>
      <c r="U482" s="42"/>
      <c r="V482" s="42"/>
      <c r="W482" s="42"/>
      <c r="X482" s="42"/>
      <c r="Y482" s="42"/>
      <c r="Z482" s="42"/>
      <c r="AA482" s="42"/>
      <c r="AB482" s="42"/>
      <c r="AC482" s="42"/>
      <c r="AD482" s="42"/>
      <c r="AE482" s="42"/>
      <c r="AF482" s="42"/>
      <c r="AG482" s="42"/>
      <c r="AH482" s="42"/>
      <c r="AI482" s="42"/>
      <c r="AJ482" s="42"/>
      <c r="AK482" s="42"/>
      <c r="AL482" s="42"/>
      <c r="AM482" s="42"/>
      <c r="AN482" s="42"/>
      <c r="AO482" s="42"/>
      <c r="AP482" s="42"/>
      <c r="AQ482" s="42"/>
      <c r="AR482" s="42"/>
      <c r="AS482" s="42"/>
      <c r="AT482" s="42"/>
      <c r="AU482" s="42"/>
      <c r="AV482" s="42"/>
      <c r="AW482" s="42"/>
      <c r="AX482" s="42"/>
      <c r="AY482" s="42"/>
      <c r="AZ482" s="42"/>
      <c r="BA482" s="42"/>
      <c r="BB482" s="42"/>
      <c r="BC482" s="42"/>
      <c r="BD482" s="42"/>
      <c r="BE482" s="42"/>
      <c r="BF482" s="42"/>
      <c r="BG482" s="42"/>
      <c r="BH482" s="42"/>
      <c r="BI482" s="42"/>
      <c r="BJ482" s="42"/>
      <c r="BK482" s="42"/>
      <c r="BL482" s="42"/>
      <c r="BM482" s="42"/>
      <c r="BN482" s="42"/>
    </row>
    <row r="483" spans="1:66" ht="12.75" customHeight="1" x14ac:dyDescent="0.2">
      <c r="A483" s="19" t="s">
        <v>230</v>
      </c>
      <c r="B483" s="4">
        <f>_xll.ciqfunctions.udf.CIQ(InputTicker, "IQ_GROSS_MARGIN",Input!D$2,Date)</f>
        <v>64.038799999999995</v>
      </c>
      <c r="C483" s="4">
        <f>_xll.ciqfunctions.udf.CIQ(InputTicker, "IQ_GROSS_MARGIN",Input!E$2,Date)</f>
        <v>64.522400000000005</v>
      </c>
      <c r="D483" s="4">
        <f>_xll.ciqfunctions.udf.CIQ(InputTicker, "IQ_GROSS_MARGIN",Input!F$2,Date)</f>
        <v>65.247299999999996</v>
      </c>
      <c r="E483" s="4">
        <f>_xll.ciqfunctions.udf.CIQ(InputTicker, "IQ_GROSS_MARGIN",Input!G$2,Date)</f>
        <v>65.901899999999998</v>
      </c>
      <c r="F483" s="4">
        <f>_xll.ciqfunctions.udf.CIQ(InputTicker, "IQ_GROSS_MARGIN",Input!H$2,Date)</f>
        <v>67.781000000000006</v>
      </c>
      <c r="G483" s="4">
        <f>_xll.ciqfunctions.udf.CIQ(InputTicker, "IQ_GROSS_MARGIN",Input!I$2,Date)</f>
        <v>68.925799999999995</v>
      </c>
      <c r="H483" s="4">
        <f>_xll.ciqfunctions.udf.CIQ(InputTicker, "IQ_GROSS_MARGIN",Input!J$2,Date)</f>
        <v>68.401600000000002</v>
      </c>
      <c r="I483" s="4">
        <f>_xll.ciqfunctions.udf.CIQ(InputTicker, "IQ_GROSS_MARGIN",Input!K$2,Date)</f>
        <v>68.92</v>
      </c>
      <c r="J483" s="4">
        <f>_xll.ciqfunctions.udf.CIQ(InputTicker, "IQ_GROSS_MARGIN",Input!L$2,Date)</f>
        <v>69.764399999999995</v>
      </c>
      <c r="K483" s="4">
        <f>_xll.ciqfunctions.udf.CIQ(InputTicker, "IQ_GROSS_MARGIN",Input!M$2,Date)</f>
        <v>68.823700000000002</v>
      </c>
      <c r="L483" s="4">
        <f>_xll.ciqfunctions.udf.CIQ(InputTicker, "IQ_GROSS_MARGIN",Input!N$2,Date)</f>
        <v>67.944000000000003</v>
      </c>
      <c r="M483" s="4">
        <f>_xll.ciqfunctions.udf.CIQ(InputTicker, "IQ_GROSS_MARGIN",Input!O$2,Date)</f>
        <v>67.944000000000003</v>
      </c>
      <c r="N483" s="42"/>
      <c r="T483" s="42"/>
      <c r="U483" s="42"/>
      <c r="V483" s="42"/>
      <c r="W483" s="42"/>
      <c r="X483" s="42"/>
      <c r="Y483" s="42"/>
      <c r="Z483" s="42"/>
      <c r="AA483" s="42"/>
      <c r="AB483" s="42"/>
      <c r="AC483" s="42"/>
      <c r="AD483" s="42"/>
      <c r="AE483" s="42"/>
      <c r="AF483" s="42"/>
      <c r="AG483" s="42"/>
      <c r="AH483" s="42"/>
      <c r="AI483" s="42"/>
      <c r="AJ483" s="42"/>
      <c r="AK483" s="42"/>
      <c r="AL483" s="42"/>
      <c r="AM483" s="42"/>
      <c r="AN483" s="42"/>
      <c r="AO483" s="42"/>
      <c r="AP483" s="42"/>
      <c r="AQ483" s="42"/>
      <c r="AR483" s="42"/>
      <c r="AS483" s="42"/>
      <c r="AT483" s="42"/>
      <c r="AU483" s="42"/>
      <c r="AV483" s="42"/>
      <c r="AW483" s="42"/>
      <c r="AX483" s="42"/>
      <c r="AY483" s="42"/>
      <c r="AZ483" s="42"/>
      <c r="BA483" s="42"/>
      <c r="BB483" s="42"/>
      <c r="BC483" s="42"/>
      <c r="BD483" s="42"/>
      <c r="BE483" s="42"/>
      <c r="BF483" s="42"/>
      <c r="BG483" s="42"/>
      <c r="BH483" s="42"/>
      <c r="BI483" s="42"/>
      <c r="BJ483" s="42"/>
      <c r="BK483" s="42"/>
      <c r="BL483" s="42"/>
      <c r="BM483" s="42"/>
      <c r="BN483" s="42"/>
    </row>
    <row r="484" spans="1:66" ht="12.75" customHeight="1" x14ac:dyDescent="0.2">
      <c r="A484" s="19" t="s">
        <v>231</v>
      </c>
      <c r="B484" s="4">
        <f>_xll.ciqfunctions.udf.CIQ(InputTicker,  "IQ_EBITDA_MARGIN",Input!D$2,Date)</f>
        <v>36.274799999999999</v>
      </c>
      <c r="C484" s="4">
        <f>_xll.ciqfunctions.udf.CIQ(InputTicker,  "IQ_EBITDA_MARGIN",Input!E$2,Date)</f>
        <v>38.449399999999997</v>
      </c>
      <c r="D484" s="4">
        <f>_xll.ciqfunctions.udf.CIQ(InputTicker,  "IQ_EBITDA_MARGIN",Input!F$2,Date)</f>
        <v>40.737499999999997</v>
      </c>
      <c r="E484" s="4">
        <f>_xll.ciqfunctions.udf.CIQ(InputTicker,  "IQ_EBITDA_MARGIN",Input!G$2,Date)</f>
        <v>43.354799999999997</v>
      </c>
      <c r="F484" s="4">
        <f>_xll.ciqfunctions.udf.CIQ(InputTicker,  "IQ_EBITDA_MARGIN",Input!H$2,Date)</f>
        <v>45.630800000000001</v>
      </c>
      <c r="G484" s="4">
        <f>_xll.ciqfunctions.udf.CIQ(InputTicker,  "IQ_EBITDA_MARGIN",Input!I$2,Date)</f>
        <v>48.079500000000003</v>
      </c>
      <c r="H484" s="4">
        <f>_xll.ciqfunctions.udf.CIQ(InputTicker,  "IQ_EBITDA_MARGIN",Input!J$2,Date)</f>
        <v>49.418900000000001</v>
      </c>
      <c r="I484" s="4">
        <f>_xll.ciqfunctions.udf.CIQ(InputTicker,  "IQ_EBITDA_MARGIN",Input!K$2,Date)</f>
        <v>48.143300000000004</v>
      </c>
      <c r="J484" s="4">
        <f>_xll.ciqfunctions.udf.CIQ(InputTicker,  "IQ_EBITDA_MARGIN",Input!L$2,Date)</f>
        <v>52.8035</v>
      </c>
      <c r="K484" s="4">
        <f>_xll.ciqfunctions.udf.CIQ(InputTicker,  "IQ_EBITDA_MARGIN",Input!M$2,Date)</f>
        <v>55.560699999999997</v>
      </c>
      <c r="L484" s="4">
        <f>_xll.ciqfunctions.udf.CIQ(InputTicker,  "IQ_EBITDA_MARGIN",Input!N$2,Date)</f>
        <v>58.533499999999997</v>
      </c>
      <c r="M484" s="4">
        <f>_xll.ciqfunctions.udf.CIQ(InputTicker,  "IQ_EBITDA_MARGIN",Input!O$2,Date)</f>
        <v>58.533499999999997</v>
      </c>
      <c r="N484" s="42"/>
      <c r="T484" s="42"/>
      <c r="U484" s="42"/>
      <c r="V484" s="42"/>
      <c r="W484" s="42"/>
      <c r="X484" s="42"/>
      <c r="Y484" s="42"/>
      <c r="Z484" s="42"/>
      <c r="AA484" s="42"/>
      <c r="AB484" s="42"/>
      <c r="AC484" s="42"/>
      <c r="AD484" s="42"/>
      <c r="AE484" s="42"/>
      <c r="AF484" s="42"/>
      <c r="AG484" s="42"/>
      <c r="AH484" s="42"/>
      <c r="AI484" s="42"/>
      <c r="AJ484" s="42"/>
      <c r="AK484" s="42"/>
      <c r="AL484" s="42"/>
      <c r="AM484" s="42"/>
      <c r="AN484" s="42"/>
      <c r="AO484" s="42"/>
      <c r="AP484" s="42"/>
      <c r="AQ484" s="42"/>
      <c r="AR484" s="42"/>
      <c r="AS484" s="42"/>
      <c r="AT484" s="42"/>
      <c r="AU484" s="42"/>
      <c r="AV484" s="42"/>
      <c r="AW484" s="42"/>
      <c r="AX484" s="42"/>
      <c r="AY484" s="42"/>
      <c r="AZ484" s="42"/>
      <c r="BA484" s="42"/>
      <c r="BB484" s="42"/>
      <c r="BC484" s="42"/>
      <c r="BD484" s="42"/>
      <c r="BE484" s="42"/>
      <c r="BF484" s="42"/>
      <c r="BG484" s="42"/>
      <c r="BH484" s="42"/>
      <c r="BI484" s="42"/>
      <c r="BJ484" s="42"/>
      <c r="BK484" s="42"/>
      <c r="BL484" s="42"/>
      <c r="BM484" s="42"/>
      <c r="BN484" s="42"/>
    </row>
    <row r="485" spans="1:66" ht="12.75" customHeight="1" x14ac:dyDescent="0.2">
      <c r="A485" s="19" t="s">
        <v>232</v>
      </c>
      <c r="B485" s="4">
        <f>_xll.ciqfunctions.udf.CIQ(InputTicker, "IQ_EBIT_MARGIN",Input!D$2,Date)</f>
        <v>29.8264</v>
      </c>
      <c r="C485" s="4">
        <f>_xll.ciqfunctions.udf.CIQ(InputTicker, "IQ_EBIT_MARGIN",Input!E$2,Date)</f>
        <v>30.372399999999999</v>
      </c>
      <c r="D485" s="4">
        <f>_xll.ciqfunctions.udf.CIQ(InputTicker, "IQ_EBIT_MARGIN",Input!F$2,Date)</f>
        <v>31.7669</v>
      </c>
      <c r="E485" s="4">
        <f>_xll.ciqfunctions.udf.CIQ(InputTicker, "IQ_EBIT_MARGIN",Input!G$2,Date)</f>
        <v>34.136899999999997</v>
      </c>
      <c r="F485" s="4">
        <f>_xll.ciqfunctions.udf.CIQ(InputTicker, "IQ_EBIT_MARGIN",Input!H$2,Date)</f>
        <v>37.030299999999997</v>
      </c>
      <c r="G485" s="4">
        <f>_xll.ciqfunctions.udf.CIQ(InputTicker, "IQ_EBIT_MARGIN",Input!I$2,Date)</f>
        <v>41.594799999999999</v>
      </c>
      <c r="H485" s="4">
        <f>_xll.ciqfunctions.udf.CIQ(InputTicker, "IQ_EBIT_MARGIN",Input!J$2,Date)</f>
        <v>42.055199999999999</v>
      </c>
      <c r="I485" s="4">
        <f>_xll.ciqfunctions.udf.CIQ(InputTicker, "IQ_EBIT_MARGIN",Input!K$2,Date)</f>
        <v>41.772799999999997</v>
      </c>
      <c r="J485" s="4">
        <f>_xll.ciqfunctions.udf.CIQ(InputTicker, "IQ_EBIT_MARGIN",Input!L$2,Date)</f>
        <v>44.644199999999998</v>
      </c>
      <c r="K485" s="4">
        <f>_xll.ciqfunctions.udf.CIQ(InputTicker, "IQ_EBIT_MARGIN",Input!M$2,Date)</f>
        <v>45.621899999999997</v>
      </c>
      <c r="L485" s="4">
        <f>_xll.ciqfunctions.udf.CIQ(InputTicker, "IQ_EBIT_MARGIN",Input!N$2,Date)</f>
        <v>46.780799999999999</v>
      </c>
      <c r="M485" s="4">
        <f>_xll.ciqfunctions.udf.CIQ(InputTicker, "IQ_EBIT_MARGIN",Input!O$2,Date)</f>
        <v>46.780799999999999</v>
      </c>
      <c r="N485" s="42"/>
      <c r="T485" s="42"/>
      <c r="U485" s="42"/>
      <c r="V485" s="42"/>
      <c r="W485" s="42"/>
      <c r="X485" s="42"/>
      <c r="Y485" s="42"/>
      <c r="Z485" s="42"/>
      <c r="AA485" s="42"/>
      <c r="AB485" s="42"/>
      <c r="AC485" s="42"/>
      <c r="AD485" s="42"/>
      <c r="AE485" s="42"/>
      <c r="AF485" s="42"/>
      <c r="AG485" s="42"/>
      <c r="AH485" s="42"/>
      <c r="AI485" s="42"/>
      <c r="AJ485" s="42"/>
      <c r="AK485" s="42"/>
      <c r="AL485" s="42"/>
      <c r="AM485" s="42"/>
      <c r="AN485" s="42"/>
      <c r="AO485" s="42"/>
      <c r="AP485" s="42"/>
      <c r="AQ485" s="42"/>
      <c r="AR485" s="42"/>
      <c r="AS485" s="42"/>
      <c r="AT485" s="42"/>
      <c r="AU485" s="42"/>
      <c r="AV485" s="42"/>
      <c r="AW485" s="42"/>
      <c r="AX485" s="42"/>
      <c r="AY485" s="42"/>
      <c r="AZ485" s="42"/>
      <c r="BA485" s="42"/>
      <c r="BB485" s="42"/>
      <c r="BC485" s="42"/>
      <c r="BD485" s="42"/>
      <c r="BE485" s="42"/>
      <c r="BF485" s="42"/>
      <c r="BG485" s="42"/>
      <c r="BH485" s="42"/>
      <c r="BI485" s="42"/>
      <c r="BJ485" s="42"/>
      <c r="BK485" s="42"/>
      <c r="BL485" s="42"/>
      <c r="BM485" s="42"/>
      <c r="BN485" s="42"/>
    </row>
    <row r="486" spans="1:66" ht="12.75" customHeight="1" x14ac:dyDescent="0.2">
      <c r="A486" s="19" t="s">
        <v>233</v>
      </c>
      <c r="B486" s="4">
        <f>_xll.ciqfunctions.udf.CIQ(InputTicker, "IQ_NI_MARGIN",Input!D$2,Date)</f>
        <v>22.5321</v>
      </c>
      <c r="C486" s="4">
        <f>_xll.ciqfunctions.udf.CIQ(InputTicker, "IQ_NI_MARGIN",Input!E$2,Date)</f>
        <v>26.393999999999998</v>
      </c>
      <c r="D486" s="4">
        <f>_xll.ciqfunctions.udf.CIQ(InputTicker, "IQ_NI_MARGIN",Input!F$2,Date)</f>
        <v>15.0154</v>
      </c>
      <c r="E486" s="4">
        <f>_xll.ciqfunctions.udf.CIQ(InputTicker, "IQ_NI_MARGIN",Input!G$2,Date)</f>
        <v>31.181699999999999</v>
      </c>
      <c r="F486" s="4">
        <f>_xll.ciqfunctions.udf.CIQ(InputTicker, "IQ_NI_MARGIN",Input!H$2,Date)</f>
        <v>30.962399999999999</v>
      </c>
      <c r="G486" s="4">
        <f>_xll.ciqfunctions.udf.CIQ(InputTicker, "IQ_NI_MARGIN",Input!I$2,Date)</f>
        <v>36.451700000000002</v>
      </c>
      <c r="H486" s="4">
        <f>_xll.ciqfunctions.udf.CIQ(InputTicker, "IQ_NI_MARGIN",Input!J$2,Date)</f>
        <v>36.686300000000003</v>
      </c>
      <c r="I486" s="4">
        <f>_xll.ciqfunctions.udf.CIQ(InputTicker, "IQ_NI_MARGIN",Input!K$2,Date)</f>
        <v>34.1462</v>
      </c>
      <c r="J486" s="4">
        <f>_xll.ciqfunctions.udf.CIQ(InputTicker, "IQ_NI_MARGIN",Input!L$2,Date)</f>
        <v>35.9559</v>
      </c>
      <c r="K486" s="4">
        <f>_xll.ciqfunctions.udf.CIQ(InputTicker, "IQ_NI_MARGIN",Input!M$2,Date)</f>
        <v>36.146000000000001</v>
      </c>
      <c r="L486" s="4">
        <f>_xll.ciqfunctions.udf.CIQ(InputTicker, "IQ_NI_MARGIN",Input!N$2,Date)</f>
        <v>40.305300000000003</v>
      </c>
      <c r="M486" s="4">
        <f>_xll.ciqfunctions.udf.CIQ(InputTicker, "IQ_NI_MARGIN",Input!O$2,Date)</f>
        <v>40.305300000000003</v>
      </c>
      <c r="N486" s="42"/>
      <c r="T486" s="42"/>
      <c r="U486" s="42"/>
      <c r="V486" s="42"/>
      <c r="W486" s="42"/>
      <c r="X486" s="42"/>
      <c r="Y486" s="42"/>
      <c r="Z486" s="42"/>
      <c r="AA486" s="42"/>
      <c r="AB486" s="42"/>
      <c r="AC486" s="42"/>
      <c r="AD486" s="42"/>
      <c r="AE486" s="42"/>
      <c r="AF486" s="42"/>
      <c r="AG486" s="42"/>
      <c r="AH486" s="42"/>
      <c r="AI486" s="42"/>
      <c r="AJ486" s="42"/>
      <c r="AK486" s="42"/>
      <c r="AL486" s="42"/>
      <c r="AM486" s="42"/>
      <c r="AN486" s="42"/>
      <c r="AO486" s="42"/>
      <c r="AP486" s="42"/>
      <c r="AQ486" s="42"/>
      <c r="AR486" s="42"/>
      <c r="AS486" s="42"/>
      <c r="AT486" s="42"/>
      <c r="AU486" s="42"/>
      <c r="AV486" s="42"/>
      <c r="AW486" s="42"/>
      <c r="AX486" s="42"/>
      <c r="AY486" s="42"/>
      <c r="AZ486" s="42"/>
      <c r="BA486" s="42"/>
      <c r="BB486" s="42"/>
      <c r="BC486" s="42"/>
      <c r="BD486" s="42"/>
      <c r="BE486" s="42"/>
      <c r="BF486" s="42"/>
      <c r="BG486" s="42"/>
      <c r="BH486" s="42"/>
      <c r="BI486" s="42"/>
      <c r="BJ486" s="42"/>
      <c r="BK486" s="42"/>
      <c r="BL486" s="42"/>
      <c r="BM486" s="42"/>
      <c r="BN486" s="42"/>
    </row>
    <row r="487" spans="1:66" ht="12.75" customHeight="1" x14ac:dyDescent="0.2">
      <c r="A487" s="19" t="s">
        <v>434</v>
      </c>
      <c r="B487" s="21">
        <f>_xll.ciqfunctions.udf.CIQ(InputTicker, "IQ_CAPEX_PCT_REV",Input!D$2,Date)</f>
        <v>9.1525999999999996</v>
      </c>
      <c r="C487" s="21">
        <f>_xll.ciqfunctions.udf.CIQ(InputTicker, "IQ_CAPEX_PCT_REV",Input!E$2,Date)</f>
        <v>8.4176000000000002</v>
      </c>
      <c r="D487" s="21">
        <f>_xll.ciqfunctions.udf.CIQ(InputTicker, "IQ_CAPEX_PCT_REV",Input!F$2,Date)</f>
        <v>10.54</v>
      </c>
      <c r="E487" s="21">
        <f>_xll.ciqfunctions.udf.CIQ(InputTicker, "IQ_CAPEX_PCT_REV",Input!G$2,Date)</f>
        <v>11.065300000000001</v>
      </c>
      <c r="F487" s="21">
        <f>_xll.ciqfunctions.udf.CIQ(InputTicker, "IQ_CAPEX_PCT_REV",Input!H$2,Date)</f>
        <v>10.7967</v>
      </c>
      <c r="G487" s="21">
        <f>_xll.ciqfunctions.udf.CIQ(InputTicker, "IQ_CAPEX_PCT_REV",Input!I$2,Date)</f>
        <v>12.2685</v>
      </c>
      <c r="H487" s="21">
        <f>_xll.ciqfunctions.udf.CIQ(InputTicker, "IQ_CAPEX_PCT_REV",Input!J$2,Date)</f>
        <v>12.0472</v>
      </c>
      <c r="I487" s="21">
        <f>_xll.ciqfunctions.udf.CIQ(InputTicker, "IQ_CAPEX_PCT_REV",Input!K$2,Date)</f>
        <v>13.263299999999999</v>
      </c>
      <c r="J487" s="21">
        <f>_xll.ciqfunctions.udf.CIQ(InputTicker, "IQ_CAPEX_PCT_REV",Input!L$2,Date)</f>
        <v>18.1448</v>
      </c>
      <c r="K487" s="21">
        <f>_xll.ciqfunctions.udf.CIQ(InputTicker, "IQ_CAPEX_PCT_REV",Input!M$2,Date)</f>
        <v>22.912800000000001</v>
      </c>
      <c r="L487" s="21">
        <f>_xll.ciqfunctions.udf.CIQ(InputTicker, "IQ_CAPEX_PCT_REV",Input!N$2,Date)</f>
        <v>34.941000000000003</v>
      </c>
      <c r="M487" s="21">
        <f>_xll.ciqfunctions.udf.CIQ(InputTicker, "IQ_CAPEX_PCT_REV",Input!O$2,Date)</f>
        <v>34.941000000000003</v>
      </c>
      <c r="N487" s="42"/>
      <c r="T487" s="42"/>
      <c r="U487" s="42"/>
      <c r="V487" s="42"/>
      <c r="W487" s="42"/>
      <c r="X487" s="42"/>
      <c r="Y487" s="42"/>
      <c r="Z487" s="42"/>
      <c r="AA487" s="42"/>
      <c r="AB487" s="42"/>
      <c r="AC487" s="42"/>
      <c r="AD487" s="42"/>
      <c r="AE487" s="42"/>
      <c r="AF487" s="42"/>
      <c r="AG487" s="42"/>
      <c r="AH487" s="42"/>
      <c r="AI487" s="42"/>
      <c r="AJ487" s="42"/>
      <c r="AK487" s="42"/>
      <c r="AL487" s="42"/>
      <c r="AM487" s="42"/>
      <c r="AN487" s="42"/>
      <c r="AO487" s="42"/>
      <c r="AP487" s="42"/>
      <c r="AQ487" s="42"/>
      <c r="AR487" s="42"/>
      <c r="AS487" s="42"/>
      <c r="AT487" s="42"/>
      <c r="AU487" s="42"/>
      <c r="AV487" s="42"/>
      <c r="AW487" s="42"/>
      <c r="AX487" s="42"/>
      <c r="AY487" s="42"/>
      <c r="AZ487" s="42"/>
      <c r="BA487" s="42"/>
      <c r="BB487" s="42"/>
      <c r="BC487" s="42"/>
      <c r="BD487" s="42"/>
      <c r="BE487" s="42"/>
      <c r="BF487" s="42"/>
      <c r="BG487" s="42"/>
      <c r="BH487" s="42"/>
      <c r="BI487" s="42"/>
      <c r="BJ487" s="42"/>
      <c r="BK487" s="42"/>
      <c r="BL487" s="42"/>
      <c r="BM487" s="42"/>
      <c r="BN487" s="42"/>
    </row>
    <row r="488" spans="1:66" ht="12.75" customHeight="1" x14ac:dyDescent="0.2">
      <c r="A488" s="19" t="s">
        <v>234</v>
      </c>
      <c r="B488" s="20">
        <f>_xll.ciqfunctions.udf.CIQ(InputTicker, "IQ_ASSET_TURNS",Input!D$2,Date)</f>
        <v>0.49547999999999998</v>
      </c>
      <c r="C488" s="20">
        <f>_xll.ciqfunctions.udf.CIQ(InputTicker, "IQ_ASSET_TURNS",Input!E$2,Date)</f>
        <v>0.43522</v>
      </c>
      <c r="D488" s="20">
        <f>_xll.ciqfunctions.udf.CIQ(InputTicker, "IQ_ASSET_TURNS",Input!F$2,Date)</f>
        <v>0.4335</v>
      </c>
      <c r="E488" s="20">
        <f>_xll.ciqfunctions.udf.CIQ(InputTicker, "IQ_ASSET_TURNS",Input!G$2,Date)</f>
        <v>0.46146999999999999</v>
      </c>
      <c r="F488" s="20">
        <f>_xll.ciqfunctions.udf.CIQ(InputTicker, "IQ_ASSET_TURNS",Input!H$2,Date)</f>
        <v>0.48655999999999999</v>
      </c>
      <c r="G488" s="20">
        <f>_xll.ciqfunctions.udf.CIQ(InputTicker, "IQ_ASSET_TURNS",Input!I$2,Date)</f>
        <v>0.52934000000000003</v>
      </c>
      <c r="H488" s="20">
        <f>_xll.ciqfunctions.udf.CIQ(InputTicker, "IQ_ASSET_TURNS",Input!J$2,Date)</f>
        <v>0.56760999999999995</v>
      </c>
      <c r="I488" s="20">
        <f>_xll.ciqfunctions.udf.CIQ(InputTicker, "IQ_ASSET_TURNS",Input!K$2,Date)</f>
        <v>0.54559999999999997</v>
      </c>
      <c r="J488" s="20">
        <f>_xll.ciqfunctions.udf.CIQ(InputTicker, "IQ_ASSET_TURNS",Input!L$2,Date)</f>
        <v>0.53049000000000002</v>
      </c>
      <c r="K488" s="20">
        <f>_xll.ciqfunctions.udf.CIQ(InputTicker, "IQ_ASSET_TURNS",Input!M$2,Date)</f>
        <v>0.49811</v>
      </c>
      <c r="L488" s="20">
        <f>_xll.ciqfunctions.udf.CIQ(InputTicker, "IQ_ASSET_TURNS",Input!N$2,Date)</f>
        <v>0.48183999999999999</v>
      </c>
      <c r="M488" s="20">
        <f>_xll.ciqfunctions.udf.CIQ(InputTicker, "IQ_ASSET_TURNS",Input!O$2,Date)</f>
        <v>0.48183999999999999</v>
      </c>
      <c r="N488" s="42"/>
      <c r="T488" s="42"/>
      <c r="U488" s="42"/>
      <c r="V488" s="42"/>
      <c r="W488" s="42"/>
      <c r="X488" s="42"/>
      <c r="Y488" s="42"/>
      <c r="Z488" s="42"/>
      <c r="AA488" s="42"/>
      <c r="AB488" s="42"/>
      <c r="AC488" s="42"/>
      <c r="AD488" s="42"/>
      <c r="AE488" s="42"/>
      <c r="AF488" s="42"/>
      <c r="AG488" s="42"/>
      <c r="AH488" s="42"/>
      <c r="AI488" s="42"/>
      <c r="AJ488" s="42"/>
      <c r="AK488" s="42"/>
      <c r="AL488" s="42"/>
      <c r="AM488" s="42"/>
      <c r="AN488" s="42"/>
      <c r="AO488" s="42"/>
      <c r="AP488" s="42"/>
      <c r="AQ488" s="42"/>
      <c r="AR488" s="42"/>
      <c r="AS488" s="42"/>
      <c r="AT488" s="42"/>
      <c r="AU488" s="42"/>
      <c r="AV488" s="42"/>
      <c r="AW488" s="42"/>
      <c r="AX488" s="42"/>
      <c r="AY488" s="42"/>
      <c r="AZ488" s="42"/>
      <c r="BA488" s="42"/>
      <c r="BB488" s="42"/>
      <c r="BC488" s="42"/>
      <c r="BD488" s="42"/>
      <c r="BE488" s="42"/>
      <c r="BF488" s="42"/>
      <c r="BG488" s="42"/>
      <c r="BH488" s="42"/>
      <c r="BI488" s="42"/>
      <c r="BJ488" s="42"/>
      <c r="BK488" s="42"/>
      <c r="BL488" s="42"/>
      <c r="BM488" s="42"/>
      <c r="BN488" s="42"/>
    </row>
    <row r="489" spans="1:66" ht="12.75" customHeight="1" x14ac:dyDescent="0.2">
      <c r="A489" s="19" t="s">
        <v>235</v>
      </c>
      <c r="B489" s="20">
        <f>_xll.ciqfunctions.udf.CIQ(InputTicker,  "IQ_FIXED_ASSET_TURNS",Input!D$2,Date)</f>
        <v>5.5099600000000004</v>
      </c>
      <c r="C489" s="20">
        <f>_xll.ciqfunctions.udf.CIQ(InputTicker,  "IQ_FIXED_ASSET_TURNS",Input!E$2,Date)</f>
        <v>3.97044</v>
      </c>
      <c r="D489" s="20">
        <f>_xll.ciqfunctions.udf.CIQ(InputTicker,  "IQ_FIXED_ASSET_TURNS",Input!F$2,Date)</f>
        <v>3.3223500000000001</v>
      </c>
      <c r="E489" s="20">
        <f>_xll.ciqfunctions.udf.CIQ(InputTicker,  "IQ_FIXED_ASSET_TURNS",Input!G$2,Date)</f>
        <v>3.1459999999999999</v>
      </c>
      <c r="F489" s="20">
        <f>_xll.ciqfunctions.udf.CIQ(InputTicker,  "IQ_FIXED_ASSET_TURNS",Input!H$2,Date)</f>
        <v>2.95608</v>
      </c>
      <c r="G489" s="20">
        <f>_xll.ciqfunctions.udf.CIQ(InputTicker,  "IQ_FIXED_ASSET_TURNS",Input!I$2,Date)</f>
        <v>2.7175199999999999</v>
      </c>
      <c r="H489" s="20">
        <f>_xll.ciqfunctions.udf.CIQ(InputTicker,  "IQ_FIXED_ASSET_TURNS",Input!J$2,Date)</f>
        <v>2.5042200000000001</v>
      </c>
      <c r="I489" s="20">
        <f>_xll.ciqfunctions.udf.CIQ(InputTicker,  "IQ_FIXED_ASSET_TURNS",Input!K$2,Date)</f>
        <v>2.1456200000000001</v>
      </c>
      <c r="J489" s="20">
        <f>_xll.ciqfunctions.udf.CIQ(InputTicker,  "IQ_FIXED_ASSET_TURNS",Input!L$2,Date)</f>
        <v>1.8532</v>
      </c>
      <c r="K489" s="20">
        <f>_xll.ciqfunctions.udf.CIQ(InputTicker,  "IQ_FIXED_ASSET_TURNS",Input!M$2,Date)</f>
        <v>1.46601</v>
      </c>
      <c r="L489" s="20">
        <f>_xll.ciqfunctions.udf.CIQ(InputTicker,  "IQ_FIXED_ASSET_TURNS",Input!N$2,Date)</f>
        <v>1.17042</v>
      </c>
      <c r="M489" s="20">
        <f>_xll.ciqfunctions.udf.CIQ(InputTicker,  "IQ_FIXED_ASSET_TURNS",Input!O$2,Date)</f>
        <v>1.17042</v>
      </c>
      <c r="N489" s="42"/>
      <c r="T489" s="42"/>
      <c r="U489" s="42"/>
      <c r="V489" s="42"/>
      <c r="W489" s="42"/>
      <c r="X489" s="42"/>
      <c r="Y489" s="42"/>
      <c r="Z489" s="42"/>
      <c r="AA489" s="42"/>
      <c r="AB489" s="42"/>
      <c r="AC489" s="42"/>
      <c r="AD489" s="42"/>
      <c r="AE489" s="42"/>
      <c r="AF489" s="42"/>
      <c r="AG489" s="42"/>
      <c r="AH489" s="42"/>
      <c r="AI489" s="42"/>
      <c r="AJ489" s="42"/>
      <c r="AK489" s="42"/>
      <c r="AL489" s="42"/>
      <c r="AM489" s="42"/>
      <c r="AN489" s="42"/>
      <c r="AO489" s="42"/>
      <c r="AP489" s="42"/>
      <c r="AQ489" s="42"/>
      <c r="AR489" s="42"/>
      <c r="AS489" s="42"/>
      <c r="AT489" s="42"/>
      <c r="AU489" s="42"/>
      <c r="AV489" s="42"/>
      <c r="AW489" s="42"/>
      <c r="AX489" s="42"/>
      <c r="AY489" s="42"/>
      <c r="AZ489" s="42"/>
      <c r="BA489" s="42"/>
      <c r="BB489" s="42"/>
      <c r="BC489" s="42"/>
      <c r="BD489" s="42"/>
      <c r="BE489" s="42"/>
      <c r="BF489" s="42"/>
      <c r="BG489" s="42"/>
      <c r="BH489" s="42"/>
      <c r="BI489" s="42"/>
      <c r="BJ489" s="42"/>
      <c r="BK489" s="42"/>
      <c r="BL489" s="42"/>
      <c r="BM489" s="42"/>
      <c r="BN489" s="42"/>
    </row>
    <row r="490" spans="1:66" ht="12.75" customHeight="1" x14ac:dyDescent="0.2">
      <c r="A490" s="19" t="s">
        <v>236</v>
      </c>
      <c r="B490" s="20">
        <f>_xll.ciqfunctions.udf.CIQ(InputTicker, "IQ_AR_TURNS",Input!D$2,Date)</f>
        <v>5.0382199999999999</v>
      </c>
      <c r="C490" s="20">
        <f>_xll.ciqfunctions.udf.CIQ(InputTicker, "IQ_AR_TURNS",Input!E$2,Date)</f>
        <v>4.7445700000000004</v>
      </c>
      <c r="D490" s="20">
        <f>_xll.ciqfunctions.udf.CIQ(InputTicker, "IQ_AR_TURNS",Input!F$2,Date)</f>
        <v>4.5125900000000003</v>
      </c>
      <c r="E490" s="20">
        <f>_xll.ciqfunctions.udf.CIQ(InputTicker, "IQ_AR_TURNS",Input!G$2,Date)</f>
        <v>4.4939900000000002</v>
      </c>
      <c r="F490" s="20">
        <f>_xll.ciqfunctions.udf.CIQ(InputTicker, "IQ_AR_TURNS",Input!H$2,Date)</f>
        <v>4.64825</v>
      </c>
      <c r="G490" s="20">
        <f>_xll.ciqfunctions.udf.CIQ(InputTicker, "IQ_AR_TURNS",Input!I$2,Date)</f>
        <v>4.7988099999999996</v>
      </c>
      <c r="H490" s="20">
        <f>_xll.ciqfunctions.udf.CIQ(InputTicker, "IQ_AR_TURNS",Input!J$2,Date)</f>
        <v>4.81799</v>
      </c>
      <c r="I490" s="20">
        <f>_xll.ciqfunctions.udf.CIQ(InputTicker, "IQ_AR_TURNS",Input!K$2,Date)</f>
        <v>4.5598099999999997</v>
      </c>
      <c r="J490" s="20">
        <f>_xll.ciqfunctions.udf.CIQ(InputTicker, "IQ_AR_TURNS",Input!L$2,Date)</f>
        <v>4.6419300000000003</v>
      </c>
      <c r="K490" s="20">
        <f>_xll.ciqfunctions.udf.CIQ(InputTicker, "IQ_AR_TURNS",Input!M$2,Date)</f>
        <v>4.4425800000000004</v>
      </c>
      <c r="L490" s="20">
        <f>_xll.ciqfunctions.udf.CIQ(InputTicker, "IQ_AR_TURNS",Input!N$2,Date)</f>
        <v>4.4016000000000002</v>
      </c>
      <c r="M490" s="20">
        <f>_xll.ciqfunctions.udf.CIQ(InputTicker, "IQ_AR_TURNS",Input!O$2,Date)</f>
        <v>4.4016000000000002</v>
      </c>
      <c r="N490" s="42"/>
      <c r="T490" s="42"/>
      <c r="U490" s="42"/>
      <c r="V490" s="42"/>
      <c r="W490" s="42"/>
      <c r="X490" s="42"/>
      <c r="Y490" s="42"/>
      <c r="Z490" s="42"/>
      <c r="AA490" s="42"/>
      <c r="AB490" s="42"/>
      <c r="AC490" s="42"/>
      <c r="AD490" s="42"/>
      <c r="AE490" s="42"/>
      <c r="AF490" s="42"/>
      <c r="AG490" s="42"/>
      <c r="AH490" s="42"/>
      <c r="AI490" s="42"/>
      <c r="AJ490" s="42"/>
      <c r="AK490" s="42"/>
      <c r="AL490" s="42"/>
      <c r="AM490" s="42"/>
      <c r="AN490" s="42"/>
      <c r="AO490" s="42"/>
      <c r="AP490" s="42"/>
      <c r="AQ490" s="42"/>
      <c r="AR490" s="42"/>
      <c r="AS490" s="42"/>
      <c r="AT490" s="42"/>
      <c r="AU490" s="42"/>
      <c r="AV490" s="42"/>
      <c r="AW490" s="42"/>
      <c r="AX490" s="42"/>
      <c r="AY490" s="42"/>
      <c r="AZ490" s="42"/>
      <c r="BA490" s="42"/>
      <c r="BB490" s="42"/>
      <c r="BC490" s="42"/>
      <c r="BD490" s="42"/>
      <c r="BE490" s="42"/>
      <c r="BF490" s="42"/>
      <c r="BG490" s="42"/>
      <c r="BH490" s="42"/>
      <c r="BI490" s="42"/>
      <c r="BJ490" s="42"/>
      <c r="BK490" s="42"/>
      <c r="BL490" s="42"/>
      <c r="BM490" s="42"/>
      <c r="BN490" s="42"/>
    </row>
    <row r="491" spans="1:66" ht="12.75" customHeight="1" x14ac:dyDescent="0.2">
      <c r="A491" s="19" t="s">
        <v>237</v>
      </c>
      <c r="B491" s="20">
        <f>_xll.ciqfunctions.udf.CIQ(InputTicker,"IQ_INVENTORY_TURNS",Input!D$2,Date)</f>
        <v>12.72269</v>
      </c>
      <c r="C491" s="20">
        <f>_xll.ciqfunctions.udf.CIQ(InputTicker,"IQ_INVENTORY_TURNS",Input!E$2,Date)</f>
        <v>15.460739999999999</v>
      </c>
      <c r="D491" s="20">
        <f>_xll.ciqfunctions.udf.CIQ(InputTicker,"IQ_INVENTORY_TURNS",Input!F$2,Date)</f>
        <v>15.83853</v>
      </c>
      <c r="E491" s="20">
        <f>_xll.ciqfunctions.udf.CIQ(InputTicker,"IQ_INVENTORY_TURNS",Input!G$2,Date)</f>
        <v>18.162960000000002</v>
      </c>
      <c r="F491" s="20">
        <f>_xll.ciqfunctions.udf.CIQ(InputTicker,"IQ_INVENTORY_TURNS",Input!H$2,Date)</f>
        <v>23.283480000000001</v>
      </c>
      <c r="G491" s="20">
        <f>_xll.ciqfunctions.udf.CIQ(InputTicker,"IQ_INVENTORY_TURNS",Input!I$2,Date)</f>
        <v>23.055399999999999</v>
      </c>
      <c r="H491" s="20">
        <f>_xll.ciqfunctions.udf.CIQ(InputTicker,"IQ_INVENTORY_TURNS",Input!J$2,Date)</f>
        <v>19.645659999999999</v>
      </c>
      <c r="I491" s="20">
        <f>_xll.ciqfunctions.udf.CIQ(InputTicker,"IQ_INVENTORY_TURNS",Input!K$2,Date)</f>
        <v>21.103169999999999</v>
      </c>
      <c r="J491" s="20">
        <f>_xll.ciqfunctions.udf.CIQ(InputTicker,"IQ_INVENTORY_TURNS",Input!L$2,Date)</f>
        <v>39.569670000000002</v>
      </c>
      <c r="K491" s="20">
        <f>_xll.ciqfunctions.udf.CIQ(InputTicker,"IQ_INVENTORY_TURNS",Input!M$2,Date)</f>
        <v>80.431319999999999</v>
      </c>
      <c r="L491" s="20">
        <f>_xll.ciqfunctions.udf.CIQ(InputTicker,"IQ_INVENTORY_TURNS",Input!N$2,Date)</f>
        <v>91.112629999999996</v>
      </c>
      <c r="M491" s="20">
        <f>_xll.ciqfunctions.udf.CIQ(InputTicker,"IQ_INVENTORY_TURNS",Input!O$2,Date)</f>
        <v>91.112629999999996</v>
      </c>
      <c r="N491" s="42"/>
      <c r="T491" s="42"/>
      <c r="U491" s="42"/>
      <c r="V491" s="42"/>
      <c r="W491" s="42"/>
      <c r="X491" s="42"/>
      <c r="Y491" s="42"/>
      <c r="Z491" s="42"/>
      <c r="AA491" s="42"/>
      <c r="AB491" s="42"/>
      <c r="AC491" s="42"/>
      <c r="AD491" s="42"/>
      <c r="AE491" s="42"/>
      <c r="AF491" s="42"/>
      <c r="AG491" s="42"/>
      <c r="AH491" s="42"/>
      <c r="AI491" s="42"/>
      <c r="AJ491" s="42"/>
      <c r="AK491" s="42"/>
      <c r="AL491" s="42"/>
      <c r="AM491" s="42"/>
      <c r="AN491" s="42"/>
      <c r="AO491" s="42"/>
      <c r="AP491" s="42"/>
      <c r="AQ491" s="42"/>
      <c r="AR491" s="42"/>
      <c r="AS491" s="42"/>
      <c r="AT491" s="42"/>
      <c r="AU491" s="42"/>
      <c r="AV491" s="42"/>
      <c r="AW491" s="42"/>
      <c r="AX491" s="42"/>
      <c r="AY491" s="42"/>
      <c r="AZ491" s="42"/>
      <c r="BA491" s="42"/>
      <c r="BB491" s="42"/>
      <c r="BC491" s="42"/>
      <c r="BD491" s="42"/>
      <c r="BE491" s="42"/>
      <c r="BF491" s="42"/>
      <c r="BG491" s="42"/>
      <c r="BH491" s="42"/>
      <c r="BI491" s="42"/>
      <c r="BJ491" s="42"/>
      <c r="BK491" s="42"/>
      <c r="BL491" s="42"/>
      <c r="BM491" s="42"/>
      <c r="BN491" s="42"/>
    </row>
    <row r="492" spans="1:66" ht="12.75" customHeight="1" x14ac:dyDescent="0.2">
      <c r="A492" s="19" t="s">
        <v>238</v>
      </c>
      <c r="B492" s="20">
        <f>_xll.ciqfunctions.udf.CIQ(InputTicker, "IQ_CURRENT_RATIO",Input!D$2,Date)</f>
        <v>2.3528799999999999</v>
      </c>
      <c r="C492" s="20">
        <f>_xll.ciqfunctions.udf.CIQ(InputTicker, "IQ_CURRENT_RATIO",Input!E$2,Date)</f>
        <v>2.91858</v>
      </c>
      <c r="D492" s="20">
        <f>_xll.ciqfunctions.udf.CIQ(InputTicker, "IQ_CURRENT_RATIO",Input!F$2,Date)</f>
        <v>2.9007999999999998</v>
      </c>
      <c r="E492" s="20">
        <f>_xll.ciqfunctions.udf.CIQ(InputTicker, "IQ_CURRENT_RATIO",Input!G$2,Date)</f>
        <v>2.5288400000000002</v>
      </c>
      <c r="F492" s="20">
        <f>_xll.ciqfunctions.udf.CIQ(InputTicker, "IQ_CURRENT_RATIO",Input!H$2,Date)</f>
        <v>2.5157699999999998</v>
      </c>
      <c r="G492" s="20">
        <f>_xll.ciqfunctions.udf.CIQ(InputTicker, "IQ_CURRENT_RATIO",Input!I$2,Date)</f>
        <v>2.07999</v>
      </c>
      <c r="H492" s="20">
        <f>_xll.ciqfunctions.udf.CIQ(InputTicker, "IQ_CURRENT_RATIO",Input!J$2,Date)</f>
        <v>1.78461</v>
      </c>
      <c r="I492" s="20">
        <f>_xll.ciqfunctions.udf.CIQ(InputTicker, "IQ_CURRENT_RATIO",Input!K$2,Date)</f>
        <v>1.7691699999999999</v>
      </c>
      <c r="J492" s="20">
        <f>_xll.ciqfunctions.udf.CIQ(InputTicker, "IQ_CURRENT_RATIO",Input!L$2,Date)</f>
        <v>1.27495</v>
      </c>
      <c r="K492" s="20">
        <f>_xll.ciqfunctions.udf.CIQ(InputTicker, "IQ_CURRENT_RATIO",Input!M$2,Date)</f>
        <v>1.35345</v>
      </c>
      <c r="L492" s="20">
        <f>_xll.ciqfunctions.udf.CIQ(InputTicker, "IQ_CURRENT_RATIO",Input!N$2,Date)</f>
        <v>1.2303299999999999</v>
      </c>
      <c r="M492" s="20">
        <f>_xll.ciqfunctions.udf.CIQ(InputTicker, "IQ_CURRENT_RATIO",Input!O$2,Date)</f>
        <v>1.2303299999999999</v>
      </c>
      <c r="N492" s="42"/>
      <c r="T492" s="42"/>
      <c r="U492" s="42"/>
      <c r="V492" s="42"/>
      <c r="W492" s="42"/>
      <c r="X492" s="42"/>
      <c r="Y492" s="42"/>
      <c r="Z492" s="42"/>
      <c r="AA492" s="42"/>
      <c r="AB492" s="42"/>
      <c r="AC492" s="42"/>
      <c r="AD492" s="42"/>
      <c r="AE492" s="42"/>
      <c r="AF492" s="42"/>
      <c r="AG492" s="42"/>
      <c r="AH492" s="42"/>
      <c r="AI492" s="42"/>
      <c r="AJ492" s="42"/>
      <c r="AK492" s="42"/>
      <c r="AL492" s="42"/>
      <c r="AM492" s="42"/>
      <c r="AN492" s="42"/>
      <c r="AO492" s="42"/>
      <c r="AP492" s="42"/>
      <c r="AQ492" s="42"/>
      <c r="AR492" s="42"/>
      <c r="AS492" s="42"/>
      <c r="AT492" s="42"/>
      <c r="AU492" s="42"/>
      <c r="AV492" s="42"/>
      <c r="AW492" s="42"/>
      <c r="AX492" s="42"/>
      <c r="AY492" s="42"/>
      <c r="AZ492" s="42"/>
      <c r="BA492" s="42"/>
      <c r="BB492" s="42"/>
      <c r="BC492" s="42"/>
      <c r="BD492" s="42"/>
      <c r="BE492" s="42"/>
      <c r="BF492" s="42"/>
      <c r="BG492" s="42"/>
      <c r="BH492" s="42"/>
      <c r="BI492" s="42"/>
      <c r="BJ492" s="42"/>
      <c r="BK492" s="42"/>
      <c r="BL492" s="42"/>
      <c r="BM492" s="42"/>
      <c r="BN492" s="42"/>
    </row>
    <row r="493" spans="1:66" ht="12.75" customHeight="1" x14ac:dyDescent="0.2">
      <c r="A493" s="19" t="s">
        <v>239</v>
      </c>
      <c r="B493" s="20">
        <f>_xll.ciqfunctions.udf.CIQ(InputTicker, "IQ_QUICK_RATIO",Input!D$2,Date)</f>
        <v>2.2123400000000002</v>
      </c>
      <c r="C493" s="20">
        <f>_xll.ciqfunctions.udf.CIQ(InputTicker, "IQ_QUICK_RATIO",Input!E$2,Date)</f>
        <v>2.78647</v>
      </c>
      <c r="D493" s="20">
        <f>_xll.ciqfunctions.udf.CIQ(InputTicker, "IQ_QUICK_RATIO",Input!F$2,Date)</f>
        <v>2.7380800000000001</v>
      </c>
      <c r="E493" s="20">
        <f>_xll.ciqfunctions.udf.CIQ(InputTicker, "IQ_QUICK_RATIO",Input!G$2,Date)</f>
        <v>2.3531499999999999</v>
      </c>
      <c r="F493" s="20">
        <f>_xll.ciqfunctions.udf.CIQ(InputTicker, "IQ_QUICK_RATIO",Input!H$2,Date)</f>
        <v>2.3302900000000002</v>
      </c>
      <c r="G493" s="20">
        <f>_xll.ciqfunctions.udf.CIQ(InputTicker, "IQ_QUICK_RATIO",Input!I$2,Date)</f>
        <v>1.89832</v>
      </c>
      <c r="H493" s="20">
        <f>_xll.ciqfunctions.udf.CIQ(InputTicker, "IQ_QUICK_RATIO",Input!J$2,Date)</f>
        <v>1.6313299999999999</v>
      </c>
      <c r="I493" s="20">
        <f>_xll.ciqfunctions.udf.CIQ(InputTicker, "IQ_QUICK_RATIO",Input!K$2,Date)</f>
        <v>1.6240600000000001</v>
      </c>
      <c r="J493" s="20">
        <f>_xll.ciqfunctions.udf.CIQ(InputTicker, "IQ_QUICK_RATIO",Input!L$2,Date)</f>
        <v>1.14103</v>
      </c>
      <c r="K493" s="20">
        <f>_xll.ciqfunctions.udf.CIQ(InputTicker, "IQ_QUICK_RATIO",Input!M$2,Date)</f>
        <v>1.22265</v>
      </c>
      <c r="L493" s="20">
        <f>_xll.ciqfunctions.udf.CIQ(InputTicker, "IQ_QUICK_RATIO",Input!N$2,Date)</f>
        <v>1.09775</v>
      </c>
      <c r="M493" s="20">
        <f>_xll.ciqfunctions.udf.CIQ(InputTicker, "IQ_QUICK_RATIO",Input!O$2,Date)</f>
        <v>1.09775</v>
      </c>
      <c r="N493" s="42"/>
      <c r="T493" s="42"/>
      <c r="U493" s="42"/>
      <c r="V493" s="42"/>
      <c r="W493" s="42"/>
      <c r="X493" s="42"/>
      <c r="Y493" s="42"/>
      <c r="Z493" s="42"/>
      <c r="AA493" s="42"/>
      <c r="AB493" s="42"/>
      <c r="AC493" s="42"/>
      <c r="AD493" s="42"/>
      <c r="AE493" s="42"/>
      <c r="AF493" s="42"/>
      <c r="AG493" s="42"/>
      <c r="AH493" s="42"/>
      <c r="AI493" s="42"/>
      <c r="AJ493" s="42"/>
      <c r="AK493" s="42"/>
      <c r="AL493" s="42"/>
      <c r="AM493" s="42"/>
      <c r="AN493" s="42"/>
      <c r="AO493" s="42"/>
      <c r="AP493" s="42"/>
      <c r="AQ493" s="42"/>
      <c r="AR493" s="42"/>
      <c r="AS493" s="42"/>
      <c r="AT493" s="42"/>
      <c r="AU493" s="42"/>
      <c r="AV493" s="42"/>
      <c r="AW493" s="42"/>
      <c r="AX493" s="42"/>
      <c r="AY493" s="42"/>
      <c r="AZ493" s="42"/>
      <c r="BA493" s="42"/>
      <c r="BB493" s="42"/>
      <c r="BC493" s="42"/>
      <c r="BD493" s="42"/>
      <c r="BE493" s="42"/>
      <c r="BF493" s="42"/>
      <c r="BG493" s="42"/>
      <c r="BH493" s="42"/>
      <c r="BI493" s="42"/>
      <c r="BJ493" s="42"/>
      <c r="BK493" s="42"/>
      <c r="BL493" s="42"/>
      <c r="BM493" s="42"/>
      <c r="BN493" s="42"/>
    </row>
    <row r="494" spans="1:66" ht="12.75" customHeight="1" x14ac:dyDescent="0.2">
      <c r="A494" s="19" t="s">
        <v>250</v>
      </c>
      <c r="B494" s="20">
        <f>_xll.ciqfunctions.udf.CIQ(InputTicker,"IQ_CFO_CURRENT_LIAB",Input!D$2,Date)</f>
        <v>0.56142999999999998</v>
      </c>
      <c r="C494" s="20">
        <f>_xll.ciqfunctions.udf.CIQ(InputTicker,"IQ_CFO_CURRENT_LIAB",Input!E$2,Date)</f>
        <v>0.70870999999999995</v>
      </c>
      <c r="D494" s="20">
        <f>_xll.ciqfunctions.udf.CIQ(InputTicker,"IQ_CFO_CURRENT_LIAB",Input!F$2,Date)</f>
        <v>0.75031000000000003</v>
      </c>
      <c r="E494" s="20">
        <f>_xll.ciqfunctions.udf.CIQ(InputTicker,"IQ_CFO_CURRENT_LIAB",Input!G$2,Date)</f>
        <v>0.75173000000000001</v>
      </c>
      <c r="F494" s="20">
        <f>_xll.ciqfunctions.udf.CIQ(InputTicker,"IQ_CFO_CURRENT_LIAB",Input!H$2,Date)</f>
        <v>0.83909999999999996</v>
      </c>
      <c r="G494" s="20">
        <f>_xll.ciqfunctions.udf.CIQ(InputTicker,"IQ_CFO_CURRENT_LIAB",Input!I$2,Date)</f>
        <v>0.86558000000000002</v>
      </c>
      <c r="H494" s="20">
        <f>_xll.ciqfunctions.udf.CIQ(InputTicker,"IQ_CFO_CURRENT_LIAB",Input!J$2,Date)</f>
        <v>0.93640000000000001</v>
      </c>
      <c r="I494" s="20">
        <f>_xll.ciqfunctions.udf.CIQ(InputTicker,"IQ_CFO_CURRENT_LIAB",Input!K$2,Date)</f>
        <v>0.84092999999999996</v>
      </c>
      <c r="J494" s="20">
        <f>_xll.ciqfunctions.udf.CIQ(InputTicker,"IQ_CFO_CURRENT_LIAB",Input!L$2,Date)</f>
        <v>0.94621999999999995</v>
      </c>
      <c r="K494" s="20">
        <f>_xll.ciqfunctions.udf.CIQ(InputTicker,"IQ_CFO_CURRENT_LIAB",Input!M$2,Date)</f>
        <v>0.96419999999999995</v>
      </c>
      <c r="L494" s="20">
        <f>_xll.ciqfunctions.udf.CIQ(InputTicker,"IQ_CFO_CURRENT_LIAB",Input!N$2,Date)</f>
        <v>1.08358</v>
      </c>
      <c r="M494" s="20">
        <f>_xll.ciqfunctions.udf.CIQ(InputTicker,"IQ_CFO_CURRENT_LIAB",Input!O$2,Date)</f>
        <v>1.08358</v>
      </c>
      <c r="N494" s="42"/>
      <c r="T494" s="42"/>
      <c r="U494" s="42"/>
      <c r="V494" s="42"/>
      <c r="W494" s="42"/>
      <c r="X494" s="42"/>
      <c r="Y494" s="42"/>
      <c r="Z494" s="42"/>
      <c r="AA494" s="42"/>
      <c r="AB494" s="42"/>
      <c r="AC494" s="42"/>
      <c r="AD494" s="42"/>
      <c r="AE494" s="42"/>
      <c r="AF494" s="42"/>
      <c r="AG494" s="42"/>
      <c r="AH494" s="42"/>
      <c r="AI494" s="42"/>
      <c r="AJ494" s="42"/>
      <c r="AK494" s="42"/>
      <c r="AL494" s="42"/>
      <c r="AM494" s="42"/>
      <c r="AN494" s="42"/>
      <c r="AO494" s="42"/>
      <c r="AP494" s="42"/>
      <c r="AQ494" s="42"/>
      <c r="AR494" s="42"/>
      <c r="AS494" s="42"/>
      <c r="AT494" s="42"/>
      <c r="AU494" s="42"/>
      <c r="AV494" s="42"/>
      <c r="AW494" s="42"/>
      <c r="AX494" s="42"/>
      <c r="AY494" s="42"/>
      <c r="AZ494" s="42"/>
      <c r="BA494" s="42"/>
      <c r="BB494" s="42"/>
      <c r="BC494" s="42"/>
      <c r="BD494" s="42"/>
      <c r="BE494" s="42"/>
      <c r="BF494" s="42"/>
      <c r="BG494" s="42"/>
      <c r="BH494" s="42"/>
      <c r="BI494" s="42"/>
      <c r="BJ494" s="42"/>
      <c r="BK494" s="42"/>
      <c r="BL494" s="42"/>
      <c r="BM494" s="42"/>
      <c r="BN494" s="42"/>
    </row>
    <row r="495" spans="1:66" ht="12.75" customHeight="1" x14ac:dyDescent="0.2">
      <c r="A495" s="19" t="s">
        <v>247</v>
      </c>
      <c r="B495" s="4">
        <f>_xll.ciqfunctions.udf.CIQ(InputTicker, "IQ_DAYS_SALES_OUT",Input!D$2,Date)</f>
        <v>72.644409999999993</v>
      </c>
      <c r="C495" s="4">
        <f>_xll.ciqfunctions.udf.CIQ(InputTicker, "IQ_DAYS_SALES_OUT",Input!E$2,Date)</f>
        <v>76.929959999999994</v>
      </c>
      <c r="D495" s="4">
        <f>_xll.ciqfunctions.udf.CIQ(InputTicker, "IQ_DAYS_SALES_OUT",Input!F$2,Date)</f>
        <v>80.884730000000005</v>
      </c>
      <c r="E495" s="4">
        <f>_xll.ciqfunctions.udf.CIQ(InputTicker, "IQ_DAYS_SALES_OUT",Input!G$2,Date)</f>
        <v>81.219440000000006</v>
      </c>
      <c r="F495" s="4">
        <f>_xll.ciqfunctions.udf.CIQ(InputTicker, "IQ_DAYS_SALES_OUT",Input!H$2,Date)</f>
        <v>78.739040000000003</v>
      </c>
      <c r="G495" s="4">
        <f>_xll.ciqfunctions.udf.CIQ(InputTicker, "IQ_DAYS_SALES_OUT",Input!I$2,Date)</f>
        <v>76.060159999999996</v>
      </c>
      <c r="H495" s="4">
        <f>_xll.ciqfunctions.udf.CIQ(InputTicker, "IQ_DAYS_SALES_OUT",Input!J$2,Date)</f>
        <v>75.757580000000004</v>
      </c>
      <c r="I495" s="4">
        <f>_xll.ciqfunctions.udf.CIQ(InputTicker, "IQ_DAYS_SALES_OUT",Input!K$2,Date)</f>
        <v>80.047060000000002</v>
      </c>
      <c r="J495" s="4">
        <f>_xll.ciqfunctions.udf.CIQ(InputTicker, "IQ_DAYS_SALES_OUT",Input!L$2,Date)</f>
        <v>78.846279999999993</v>
      </c>
      <c r="K495" s="4">
        <f>_xll.ciqfunctions.udf.CIQ(InputTicker, "IQ_DAYS_SALES_OUT",Input!M$2,Date)</f>
        <v>82.159310000000005</v>
      </c>
      <c r="L495" s="4">
        <f>_xll.ciqfunctions.udf.CIQ(InputTicker, "IQ_DAYS_SALES_OUT",Input!N$2,Date)</f>
        <v>82.923990000000003</v>
      </c>
      <c r="M495" s="4">
        <f>_xll.ciqfunctions.udf.CIQ(InputTicker, "IQ_DAYS_SALES_OUT",Input!O$2,Date)</f>
        <v>82.923990000000003</v>
      </c>
      <c r="N495" s="57"/>
      <c r="T495" s="42"/>
      <c r="U495" s="42"/>
      <c r="V495" s="42"/>
      <c r="W495" s="42"/>
      <c r="X495" s="42"/>
      <c r="Y495" s="42"/>
      <c r="Z495" s="42"/>
      <c r="AA495" s="42"/>
      <c r="AB495" s="42"/>
      <c r="AC495" s="42"/>
      <c r="AD495" s="42"/>
      <c r="AE495" s="42"/>
      <c r="AF495" s="42"/>
      <c r="AG495" s="42"/>
      <c r="AH495" s="42"/>
      <c r="AI495" s="42"/>
      <c r="AJ495" s="42"/>
      <c r="AK495" s="42"/>
      <c r="AL495" s="42"/>
      <c r="AM495" s="42"/>
      <c r="AN495" s="42"/>
      <c r="AO495" s="42"/>
      <c r="AP495" s="42"/>
      <c r="AQ495" s="42"/>
      <c r="AR495" s="42"/>
      <c r="AS495" s="42"/>
      <c r="AT495" s="42"/>
      <c r="AU495" s="42"/>
      <c r="AV495" s="42"/>
      <c r="AW495" s="42"/>
      <c r="AX495" s="42"/>
      <c r="AY495" s="42"/>
      <c r="AZ495" s="42"/>
      <c r="BA495" s="42"/>
      <c r="BB495" s="42"/>
      <c r="BC495" s="42"/>
      <c r="BD495" s="42"/>
      <c r="BE495" s="42"/>
      <c r="BF495" s="42"/>
      <c r="BG495" s="42"/>
      <c r="BH495" s="42"/>
      <c r="BI495" s="42"/>
      <c r="BJ495" s="42"/>
      <c r="BK495" s="42"/>
      <c r="BL495" s="42"/>
      <c r="BM495" s="42"/>
      <c r="BN495" s="42"/>
    </row>
    <row r="496" spans="1:66" ht="12.75" customHeight="1" x14ac:dyDescent="0.2">
      <c r="A496" s="19" t="s">
        <v>248</v>
      </c>
      <c r="B496" s="4">
        <f>_xll.ciqfunctions.udf.CIQ(InputTicker, "IQ_DAYS_INVENTORY_OUT",Input!D$2,Date)</f>
        <v>28.767230000000001</v>
      </c>
      <c r="C496" s="4">
        <f>_xll.ciqfunctions.udf.CIQ(InputTicker, "IQ_DAYS_INVENTORY_OUT",Input!E$2,Date)</f>
        <v>23.607839999999999</v>
      </c>
      <c r="D496" s="4">
        <f>_xll.ciqfunctions.udf.CIQ(InputTicker, "IQ_DAYS_INVENTORY_OUT",Input!F$2,Date)</f>
        <v>23.045010000000001</v>
      </c>
      <c r="E496" s="4">
        <f>_xll.ciqfunctions.udf.CIQ(InputTicker, "IQ_DAYS_INVENTORY_OUT",Input!G$2,Date)</f>
        <v>20.09581</v>
      </c>
      <c r="F496" s="4">
        <f>_xll.ciqfunctions.udf.CIQ(InputTicker, "IQ_DAYS_INVENTORY_OUT",Input!H$2,Date)</f>
        <v>15.718970000000001</v>
      </c>
      <c r="G496" s="4">
        <f>_xll.ciqfunctions.udf.CIQ(InputTicker, "IQ_DAYS_INVENTORY_OUT",Input!I$2,Date)</f>
        <v>15.831149999999999</v>
      </c>
      <c r="H496" s="4">
        <f>_xll.ciqfunctions.udf.CIQ(InputTicker, "IQ_DAYS_INVENTORY_OUT",Input!J$2,Date)</f>
        <v>18.578869999999998</v>
      </c>
      <c r="I496" s="4">
        <f>_xll.ciqfunctions.udf.CIQ(InputTicker, "IQ_DAYS_INVENTORY_OUT",Input!K$2,Date)</f>
        <v>17.29589</v>
      </c>
      <c r="J496" s="4">
        <f>_xll.ciqfunctions.udf.CIQ(InputTicker, "IQ_DAYS_INVENTORY_OUT",Input!L$2,Date)</f>
        <v>9.2491900000000005</v>
      </c>
      <c r="K496" s="4">
        <f>_xll.ciqfunctions.udf.CIQ(InputTicker, "IQ_DAYS_INVENTORY_OUT",Input!M$2,Date)</f>
        <v>4.5376799999999999</v>
      </c>
      <c r="L496" s="4">
        <f>_xll.ciqfunctions.udf.CIQ(InputTicker, "IQ_DAYS_INVENTORY_OUT",Input!N$2,Date)</f>
        <v>4.0058800000000003</v>
      </c>
      <c r="M496" s="4">
        <f>_xll.ciqfunctions.udf.CIQ(InputTicker, "IQ_DAYS_INVENTORY_OUT",Input!O$2,Date)</f>
        <v>4.0058800000000003</v>
      </c>
      <c r="N496" s="57"/>
      <c r="T496" s="42"/>
      <c r="U496" s="42"/>
      <c r="V496" s="42"/>
      <c r="W496" s="42"/>
      <c r="X496" s="42"/>
      <c r="Y496" s="42"/>
      <c r="Z496" s="42"/>
      <c r="AA496" s="42"/>
      <c r="AB496" s="42"/>
      <c r="AC496" s="42"/>
      <c r="AD496" s="42"/>
      <c r="AE496" s="42"/>
      <c r="AF496" s="42"/>
      <c r="AG496" s="42"/>
      <c r="AH496" s="42"/>
      <c r="AI496" s="42"/>
      <c r="AJ496" s="42"/>
      <c r="AK496" s="42"/>
      <c r="AL496" s="42"/>
      <c r="AM496" s="42"/>
      <c r="AN496" s="42"/>
      <c r="AO496" s="42"/>
      <c r="AP496" s="42"/>
      <c r="AQ496" s="42"/>
      <c r="AR496" s="42"/>
      <c r="AS496" s="42"/>
      <c r="AT496" s="42"/>
      <c r="AU496" s="42"/>
      <c r="AV496" s="42"/>
      <c r="AW496" s="42"/>
      <c r="AX496" s="42"/>
      <c r="AY496" s="42"/>
      <c r="AZ496" s="42"/>
      <c r="BA496" s="42"/>
      <c r="BB496" s="42"/>
      <c r="BC496" s="42"/>
      <c r="BD496" s="42"/>
      <c r="BE496" s="42"/>
      <c r="BF496" s="42"/>
      <c r="BG496" s="42"/>
      <c r="BH496" s="42"/>
      <c r="BI496" s="42"/>
      <c r="BJ496" s="42"/>
      <c r="BK496" s="42"/>
      <c r="BL496" s="42"/>
      <c r="BM496" s="42"/>
      <c r="BN496" s="42"/>
    </row>
    <row r="497" spans="1:66" ht="12.75" customHeight="1" x14ac:dyDescent="0.2">
      <c r="A497" s="19" t="s">
        <v>249</v>
      </c>
      <c r="B497" s="4">
        <f>_xll.ciqfunctions.udf.CIQ(InputTicker,  "IQ_DAYS_PAYABLE_OUT",Input!D$2,Date)</f>
        <v>76.830349999999996</v>
      </c>
      <c r="C497" s="4">
        <f>_xll.ciqfunctions.udf.CIQ(InputTicker,  "IQ_DAYS_PAYABLE_OUT",Input!E$2,Date)</f>
        <v>76.264200000000002</v>
      </c>
      <c r="D497" s="4">
        <f>_xll.ciqfunctions.udf.CIQ(InputTicker,  "IQ_DAYS_PAYABLE_OUT",Input!F$2,Date)</f>
        <v>75.224680000000006</v>
      </c>
      <c r="E497" s="4">
        <f>_xll.ciqfunctions.udf.CIQ(InputTicker,  "IQ_DAYS_PAYABLE_OUT",Input!G$2,Date)</f>
        <v>77.634770000000003</v>
      </c>
      <c r="F497" s="4">
        <f>_xll.ciqfunctions.udf.CIQ(InputTicker,  "IQ_DAYS_PAYABLE_OUT",Input!H$2,Date)</f>
        <v>87.342240000000004</v>
      </c>
      <c r="G497" s="4">
        <f>_xll.ciqfunctions.udf.CIQ(InputTicker,  "IQ_DAYS_PAYABLE_OUT",Input!I$2,Date)</f>
        <v>95.406260000000003</v>
      </c>
      <c r="H497" s="4">
        <f>_xll.ciqfunctions.udf.CIQ(InputTicker,  "IQ_DAYS_PAYABLE_OUT",Input!J$2,Date)</f>
        <v>97.790440000000004</v>
      </c>
      <c r="I497" s="4">
        <f>_xll.ciqfunctions.udf.CIQ(InputTicker,  "IQ_DAYS_PAYABLE_OUT",Input!K$2,Date)</f>
        <v>104.76194</v>
      </c>
      <c r="J497" s="4">
        <f>_xll.ciqfunctions.udf.CIQ(InputTicker,  "IQ_DAYS_PAYABLE_OUT",Input!L$2,Date)</f>
        <v>100.69502</v>
      </c>
      <c r="K497" s="4">
        <f>_xll.ciqfunctions.udf.CIQ(InputTicker,  "IQ_DAYS_PAYABLE_OUT",Input!M$2,Date)</f>
        <v>103.67424</v>
      </c>
      <c r="L497" s="4">
        <f>_xll.ciqfunctions.udf.CIQ(InputTicker,  "IQ_DAYS_PAYABLE_OUT",Input!N$2,Date)</f>
        <v>119.81819</v>
      </c>
      <c r="M497" s="4">
        <f>_xll.ciqfunctions.udf.CIQ(InputTicker,  "IQ_DAYS_PAYABLE_OUT",Input!O$2,Date)</f>
        <v>119.81819</v>
      </c>
      <c r="N497" s="57"/>
      <c r="T497" s="42"/>
      <c r="U497" s="42"/>
      <c r="V497" s="42"/>
      <c r="W497" s="42"/>
      <c r="X497" s="42"/>
      <c r="Y497" s="42"/>
      <c r="Z497" s="42"/>
      <c r="AA497" s="42"/>
      <c r="AB497" s="42"/>
      <c r="AC497" s="42"/>
      <c r="AD497" s="42"/>
      <c r="AE497" s="42"/>
      <c r="AF497" s="42"/>
      <c r="AG497" s="42"/>
      <c r="AH497" s="42"/>
      <c r="AI497" s="42"/>
      <c r="AJ497" s="42"/>
      <c r="AK497" s="42"/>
      <c r="AL497" s="42"/>
      <c r="AM497" s="42"/>
      <c r="AN497" s="42"/>
      <c r="AO497" s="42"/>
      <c r="AP497" s="42"/>
      <c r="AQ497" s="42"/>
      <c r="AR497" s="42"/>
      <c r="AS497" s="42"/>
      <c r="AT497" s="42"/>
      <c r="AU497" s="42"/>
      <c r="AV497" s="42"/>
      <c r="AW497" s="42"/>
      <c r="AX497" s="42"/>
      <c r="AY497" s="42"/>
      <c r="AZ497" s="42"/>
      <c r="BA497" s="42"/>
      <c r="BB497" s="42"/>
      <c r="BC497" s="42"/>
      <c r="BD497" s="42"/>
      <c r="BE497" s="42"/>
      <c r="BF497" s="42"/>
      <c r="BG497" s="42"/>
      <c r="BH497" s="42"/>
      <c r="BI497" s="42"/>
      <c r="BJ497" s="42"/>
      <c r="BK497" s="42"/>
      <c r="BL497" s="42"/>
      <c r="BM497" s="42"/>
      <c r="BN497" s="42"/>
    </row>
    <row r="498" spans="1:66" ht="12.75" customHeight="1" x14ac:dyDescent="0.2">
      <c r="A498" s="19" t="s">
        <v>240</v>
      </c>
      <c r="B498" s="4">
        <f>_xll.ciqfunctions.udf.CIQ(InputTicker, "IQ_CASH_CONVERSION",Input!D$2,Date)</f>
        <v>24.581289999999999</v>
      </c>
      <c r="C498" s="4">
        <f>_xll.ciqfunctions.udf.CIQ(InputTicker, "IQ_CASH_CONVERSION",Input!E$2,Date)</f>
        <v>24.273599999999998</v>
      </c>
      <c r="D498" s="4">
        <f>_xll.ciqfunctions.udf.CIQ(InputTicker, "IQ_CASH_CONVERSION",Input!F$2,Date)</f>
        <v>28.70506</v>
      </c>
      <c r="E498" s="4">
        <f>_xll.ciqfunctions.udf.CIQ(InputTicker, "IQ_CASH_CONVERSION",Input!G$2,Date)</f>
        <v>23.68047</v>
      </c>
      <c r="F498" s="4">
        <f>_xll.ciqfunctions.udf.CIQ(InputTicker, "IQ_CASH_CONVERSION",Input!H$2,Date)</f>
        <v>7.1157700000000004</v>
      </c>
      <c r="G498" s="4">
        <f>_xll.ciqfunctions.udf.CIQ(InputTicker, "IQ_CASH_CONVERSION",Input!I$2,Date)</f>
        <v>-3.5149499999999998</v>
      </c>
      <c r="H498" s="4">
        <f>_xll.ciqfunctions.udf.CIQ(InputTicker, "IQ_CASH_CONVERSION",Input!J$2,Date)</f>
        <v>-3.4540000000000002</v>
      </c>
      <c r="I498" s="4">
        <f>_xll.ciqfunctions.udf.CIQ(InputTicker, "IQ_CASH_CONVERSION",Input!K$2,Date)</f>
        <v>-7.41899</v>
      </c>
      <c r="J498" s="4">
        <f>_xll.ciqfunctions.udf.CIQ(InputTicker, "IQ_CASH_CONVERSION",Input!L$2,Date)</f>
        <v>-12.599550000000001</v>
      </c>
      <c r="K498" s="4">
        <f>_xll.ciqfunctions.udf.CIQ(InputTicker, "IQ_CASH_CONVERSION",Input!M$2,Date)</f>
        <v>-16.977250000000002</v>
      </c>
      <c r="L498" s="4">
        <f>_xll.ciqfunctions.udf.CIQ(InputTicker, "IQ_CASH_CONVERSION",Input!N$2,Date)</f>
        <v>-32.888330000000003</v>
      </c>
      <c r="M498" s="4">
        <f>_xll.ciqfunctions.udf.CIQ(InputTicker, "IQ_CASH_CONVERSION",Input!O$2,Date)</f>
        <v>-32.888330000000003</v>
      </c>
      <c r="N498" s="57"/>
      <c r="T498" s="42"/>
      <c r="U498" s="42"/>
      <c r="V498" s="42"/>
      <c r="W498" s="42"/>
      <c r="X498" s="42"/>
      <c r="Y498" s="42"/>
      <c r="Z498" s="42"/>
      <c r="AA498" s="42"/>
      <c r="AB498" s="42"/>
      <c r="AC498" s="42"/>
      <c r="AD498" s="42"/>
      <c r="AE498" s="42"/>
      <c r="AF498" s="42"/>
      <c r="AG498" s="42"/>
      <c r="AH498" s="42"/>
      <c r="AI498" s="42"/>
      <c r="AJ498" s="42"/>
      <c r="AK498" s="42"/>
      <c r="AL498" s="42"/>
      <c r="AM498" s="42"/>
      <c r="AN498" s="42"/>
      <c r="AO498" s="42"/>
      <c r="AP498" s="42"/>
      <c r="AQ498" s="42"/>
      <c r="AR498" s="42"/>
      <c r="AS498" s="42"/>
      <c r="AT498" s="42"/>
      <c r="AU498" s="42"/>
      <c r="AV498" s="42"/>
      <c r="AW498" s="42"/>
      <c r="AX498" s="42"/>
      <c r="AY498" s="42"/>
      <c r="AZ498" s="42"/>
      <c r="BA498" s="42"/>
      <c r="BB498" s="42"/>
      <c r="BC498" s="42"/>
      <c r="BD498" s="42"/>
      <c r="BE498" s="42"/>
      <c r="BF498" s="42"/>
      <c r="BG498" s="42"/>
      <c r="BH498" s="42"/>
      <c r="BI498" s="42"/>
      <c r="BJ498" s="42"/>
      <c r="BK498" s="42"/>
      <c r="BL498" s="42"/>
      <c r="BM498" s="42"/>
      <c r="BN498" s="42"/>
    </row>
    <row r="499" spans="1:66" ht="12.75" customHeight="1" x14ac:dyDescent="0.2">
      <c r="A499" s="19" t="s">
        <v>251</v>
      </c>
      <c r="B499" s="4">
        <f>_xll.ciqfunctions.udf.CIQ(InputTicker, "IQ_TOTAL_DEBT_EQUITY",Input!D$2,Date)</f>
        <v>75.754499999999993</v>
      </c>
      <c r="C499" s="4">
        <f>_xll.ciqfunctions.udf.CIQ(InputTicker, "IQ_TOTAL_DEBT_EQUITY",Input!E$2,Date)</f>
        <v>108.911</v>
      </c>
      <c r="D499" s="4">
        <f>_xll.ciqfunctions.udf.CIQ(InputTicker, "IQ_TOTAL_DEBT_EQUITY",Input!F$2,Date)</f>
        <v>105.7907</v>
      </c>
      <c r="E499" s="4">
        <f>_xll.ciqfunctions.udf.CIQ(InputTicker, "IQ_TOTAL_DEBT_EQUITY",Input!G$2,Date)</f>
        <v>84.486400000000003</v>
      </c>
      <c r="F499" s="4">
        <f>_xll.ciqfunctions.udf.CIQ(InputTicker, "IQ_TOTAL_DEBT_EQUITY",Input!H$2,Date)</f>
        <v>69.405900000000003</v>
      </c>
      <c r="G499" s="4">
        <f>_xll.ciqfunctions.udf.CIQ(InputTicker, "IQ_TOTAL_DEBT_EQUITY",Input!I$2,Date)</f>
        <v>57.947099999999999</v>
      </c>
      <c r="H499" s="4">
        <f>_xll.ciqfunctions.udf.CIQ(InputTicker, "IQ_TOTAL_DEBT_EQUITY",Input!J$2,Date)</f>
        <v>47.075200000000002</v>
      </c>
      <c r="I499" s="4">
        <f>_xll.ciqfunctions.udf.CIQ(InputTicker, "IQ_TOTAL_DEBT_EQUITY",Input!K$2,Date)</f>
        <v>38.521799999999999</v>
      </c>
      <c r="J499" s="4">
        <f>_xll.ciqfunctions.udf.CIQ(InputTicker, "IQ_TOTAL_DEBT_EQUITY",Input!L$2,Date)</f>
        <v>36.447000000000003</v>
      </c>
      <c r="K499" s="4">
        <f>_xll.ciqfunctions.udf.CIQ(InputTicker, "IQ_TOTAL_DEBT_EQUITY",Input!M$2,Date)</f>
        <v>32.661000000000001</v>
      </c>
      <c r="L499" s="4">
        <f>_xll.ciqfunctions.udf.CIQ(InputTicker, "IQ_TOTAL_DEBT_EQUITY",Input!N$2,Date)</f>
        <v>29.117699999999999</v>
      </c>
      <c r="M499" s="4">
        <f>_xll.ciqfunctions.udf.CIQ(InputTicker, "IQ_TOTAL_DEBT_EQUITY",Input!O$2,Date)</f>
        <v>29.117699999999999</v>
      </c>
      <c r="N499" s="42"/>
      <c r="T499" s="42"/>
      <c r="U499" s="42"/>
      <c r="V499" s="42"/>
      <c r="W499" s="42"/>
      <c r="X499" s="42"/>
      <c r="Y499" s="42"/>
      <c r="Z499" s="42"/>
      <c r="AA499" s="42"/>
      <c r="AB499" s="42"/>
      <c r="AC499" s="42"/>
      <c r="AD499" s="42"/>
      <c r="AE499" s="42"/>
      <c r="AF499" s="42"/>
      <c r="AG499" s="42"/>
      <c r="AH499" s="42"/>
      <c r="AI499" s="42"/>
      <c r="AJ499" s="42"/>
      <c r="AK499" s="42"/>
      <c r="AL499" s="42"/>
      <c r="AM499" s="42"/>
      <c r="AN499" s="42"/>
      <c r="AO499" s="42"/>
      <c r="AP499" s="42"/>
      <c r="AQ499" s="42"/>
      <c r="AR499" s="42"/>
      <c r="AS499" s="42"/>
      <c r="AT499" s="42"/>
      <c r="AU499" s="42"/>
      <c r="AV499" s="42"/>
      <c r="AW499" s="42"/>
      <c r="AX499" s="42"/>
      <c r="AY499" s="42"/>
      <c r="AZ499" s="42"/>
      <c r="BA499" s="42"/>
      <c r="BB499" s="42"/>
      <c r="BC499" s="42"/>
      <c r="BD499" s="42"/>
      <c r="BE499" s="42"/>
      <c r="BF499" s="42"/>
      <c r="BG499" s="42"/>
      <c r="BH499" s="42"/>
      <c r="BI499" s="42"/>
      <c r="BJ499" s="42"/>
      <c r="BK499" s="42"/>
      <c r="BL499" s="42"/>
      <c r="BM499" s="42"/>
      <c r="BN499" s="42"/>
    </row>
    <row r="500" spans="1:66" ht="12.75" customHeight="1" x14ac:dyDescent="0.2">
      <c r="A500" s="19" t="s">
        <v>252</v>
      </c>
      <c r="B500" s="4">
        <f>_xll.ciqfunctions.udf.CIQ(InputTicker, "IQ_TOTAL_DEBT_CAPITAL",Input!D$2,Date)</f>
        <v>43.102400000000003</v>
      </c>
      <c r="C500" s="4">
        <f>_xll.ciqfunctions.udf.CIQ(InputTicker, "IQ_TOTAL_DEBT_CAPITAL",Input!E$2,Date)</f>
        <v>52.1327</v>
      </c>
      <c r="D500" s="4">
        <f>_xll.ciqfunctions.udf.CIQ(InputTicker, "IQ_TOTAL_DEBT_CAPITAL",Input!F$2,Date)</f>
        <v>51.4069</v>
      </c>
      <c r="E500" s="4">
        <f>_xll.ciqfunctions.udf.CIQ(InputTicker, "IQ_TOTAL_DEBT_CAPITAL",Input!G$2,Date)</f>
        <v>45.795400000000001</v>
      </c>
      <c r="F500" s="4">
        <f>_xll.ciqfunctions.udf.CIQ(InputTicker, "IQ_TOTAL_DEBT_CAPITAL",Input!H$2,Date)</f>
        <v>40.970100000000002</v>
      </c>
      <c r="G500" s="4">
        <f>_xll.ciqfunctions.udf.CIQ(InputTicker, "IQ_TOTAL_DEBT_CAPITAL",Input!I$2,Date)</f>
        <v>36.687600000000003</v>
      </c>
      <c r="H500" s="4">
        <f>_xll.ciqfunctions.udf.CIQ(InputTicker, "IQ_TOTAL_DEBT_CAPITAL",Input!J$2,Date)</f>
        <v>32.0075</v>
      </c>
      <c r="I500" s="4">
        <f>_xll.ciqfunctions.udf.CIQ(InputTicker, "IQ_TOTAL_DEBT_CAPITAL",Input!K$2,Date)</f>
        <v>27.809200000000001</v>
      </c>
      <c r="J500" s="4">
        <f>_xll.ciqfunctions.udf.CIQ(InputTicker, "IQ_TOTAL_DEBT_CAPITAL",Input!L$2,Date)</f>
        <v>26.711500000000001</v>
      </c>
      <c r="K500" s="4">
        <f>_xll.ciqfunctions.udf.CIQ(InputTicker, "IQ_TOTAL_DEBT_CAPITAL",Input!M$2,Date)</f>
        <v>24.619900000000001</v>
      </c>
      <c r="L500" s="4">
        <f>_xll.ciqfunctions.udf.CIQ(InputTicker, "IQ_TOTAL_DEBT_CAPITAL",Input!N$2,Date)</f>
        <v>22.551200000000001</v>
      </c>
      <c r="M500" s="4">
        <f>_xll.ciqfunctions.udf.CIQ(InputTicker, "IQ_TOTAL_DEBT_CAPITAL",Input!O$2,Date)</f>
        <v>22.551200000000001</v>
      </c>
      <c r="N500" s="42"/>
      <c r="T500" s="42"/>
      <c r="U500" s="42"/>
      <c r="V500" s="42"/>
      <c r="W500" s="42"/>
      <c r="X500" s="42"/>
      <c r="Y500" s="42"/>
      <c r="Z500" s="42"/>
      <c r="AA500" s="42"/>
      <c r="AB500" s="42"/>
      <c r="AC500" s="42"/>
      <c r="AD500" s="42"/>
      <c r="AE500" s="42"/>
      <c r="AF500" s="42"/>
      <c r="AG500" s="42"/>
      <c r="AH500" s="42"/>
      <c r="AI500" s="42"/>
      <c r="AJ500" s="42"/>
      <c r="AK500" s="42"/>
      <c r="AL500" s="42"/>
      <c r="AM500" s="42"/>
      <c r="AN500" s="42"/>
      <c r="AO500" s="42"/>
      <c r="AP500" s="42"/>
      <c r="AQ500" s="42"/>
      <c r="AR500" s="42"/>
      <c r="AS500" s="42"/>
      <c r="AT500" s="42"/>
      <c r="AU500" s="42"/>
      <c r="AV500" s="42"/>
      <c r="AW500" s="42"/>
      <c r="AX500" s="42"/>
      <c r="AY500" s="42"/>
      <c r="AZ500" s="42"/>
      <c r="BA500" s="42"/>
      <c r="BB500" s="42"/>
      <c r="BC500" s="42"/>
      <c r="BD500" s="42"/>
      <c r="BE500" s="42"/>
      <c r="BF500" s="42"/>
      <c r="BG500" s="42"/>
      <c r="BH500" s="42"/>
      <c r="BI500" s="42"/>
      <c r="BJ500" s="42"/>
      <c r="BK500" s="42"/>
      <c r="BL500" s="42"/>
      <c r="BM500" s="42"/>
      <c r="BN500" s="42"/>
    </row>
    <row r="501" spans="1:66" ht="12.75" customHeight="1" x14ac:dyDescent="0.2">
      <c r="A501" s="19" t="s">
        <v>253</v>
      </c>
      <c r="B501" s="4">
        <f>_xll.ciqfunctions.udf.CIQ(InputTicker,  "IQ_LT_DEBT_EQUITY",Input!D$2,Date)</f>
        <v>57.388500000000001</v>
      </c>
      <c r="C501" s="4">
        <f>_xll.ciqfunctions.udf.CIQ(InputTicker,  "IQ_LT_DEBT_EQUITY",Input!E$2,Date)</f>
        <v>95.620800000000003</v>
      </c>
      <c r="D501" s="4">
        <f>_xll.ciqfunctions.udf.CIQ(InputTicker,  "IQ_LT_DEBT_EQUITY",Input!F$2,Date)</f>
        <v>99.053399999999996</v>
      </c>
      <c r="E501" s="4">
        <f>_xll.ciqfunctions.udf.CIQ(InputTicker,  "IQ_LT_DEBT_EQUITY",Input!G$2,Date)</f>
        <v>77.305700000000002</v>
      </c>
      <c r="F501" s="4">
        <f>_xll.ciqfunctions.udf.CIQ(InputTicker,  "IQ_LT_DEBT_EQUITY",Input!H$2,Date)</f>
        <v>64.414500000000004</v>
      </c>
      <c r="G501" s="4">
        <f>_xll.ciqfunctions.udf.CIQ(InputTicker,  "IQ_LT_DEBT_EQUITY",Input!I$2,Date)</f>
        <v>50.3232</v>
      </c>
      <c r="H501" s="4">
        <f>_xll.ciqfunctions.udf.CIQ(InputTicker,  "IQ_LT_DEBT_EQUITY",Input!J$2,Date)</f>
        <v>43.450299999999999</v>
      </c>
      <c r="I501" s="4">
        <f>_xll.ciqfunctions.udf.CIQ(InputTicker,  "IQ_LT_DEBT_EQUITY",Input!K$2,Date)</f>
        <v>34.228900000000003</v>
      </c>
      <c r="J501" s="4">
        <f>_xll.ciqfunctions.udf.CIQ(InputTicker,  "IQ_LT_DEBT_EQUITY",Input!L$2,Date)</f>
        <v>30.908000000000001</v>
      </c>
      <c r="K501" s="4">
        <f>_xll.ciqfunctions.udf.CIQ(InputTicker,  "IQ_LT_DEBT_EQUITY",Input!M$2,Date)</f>
        <v>29.285299999999999</v>
      </c>
      <c r="L501" s="4">
        <f>_xll.ciqfunctions.udf.CIQ(InputTicker,  "IQ_LT_DEBT_EQUITY",Input!N$2,Date)</f>
        <v>24.8431</v>
      </c>
      <c r="M501" s="4">
        <f>_xll.ciqfunctions.udf.CIQ(InputTicker,  "IQ_LT_DEBT_EQUITY",Input!O$2,Date)</f>
        <v>24.8431</v>
      </c>
      <c r="N501" s="42"/>
      <c r="T501" s="42"/>
      <c r="U501" s="42"/>
      <c r="V501" s="42"/>
      <c r="W501" s="42"/>
      <c r="X501" s="42"/>
      <c r="Y501" s="42"/>
      <c r="Z501" s="42"/>
      <c r="AA501" s="42"/>
      <c r="AB501" s="42"/>
      <c r="AC501" s="42"/>
      <c r="AD501" s="42"/>
      <c r="AE501" s="42"/>
      <c r="AF501" s="42"/>
      <c r="AG501" s="42"/>
      <c r="AH501" s="42"/>
      <c r="AI501" s="42"/>
      <c r="AJ501" s="42"/>
      <c r="AK501" s="42"/>
      <c r="AL501" s="42"/>
      <c r="AM501" s="42"/>
      <c r="AN501" s="42"/>
      <c r="AO501" s="42"/>
      <c r="AP501" s="42"/>
      <c r="AQ501" s="42"/>
      <c r="AR501" s="42"/>
      <c r="AS501" s="42"/>
      <c r="AT501" s="42"/>
      <c r="AU501" s="42"/>
      <c r="AV501" s="42"/>
      <c r="AW501" s="42"/>
      <c r="AX501" s="42"/>
      <c r="AY501" s="42"/>
      <c r="AZ501" s="42"/>
      <c r="BA501" s="42"/>
      <c r="BB501" s="42"/>
      <c r="BC501" s="42"/>
      <c r="BD501" s="42"/>
      <c r="BE501" s="42"/>
      <c r="BF501" s="42"/>
      <c r="BG501" s="42"/>
      <c r="BH501" s="42"/>
      <c r="BI501" s="42"/>
      <c r="BJ501" s="42"/>
      <c r="BK501" s="42"/>
      <c r="BL501" s="42"/>
      <c r="BM501" s="42"/>
      <c r="BN501" s="42"/>
    </row>
    <row r="502" spans="1:66" ht="12.75" customHeight="1" x14ac:dyDescent="0.2">
      <c r="A502" s="19" t="s">
        <v>254</v>
      </c>
      <c r="B502" s="4">
        <f>_xll.ciqfunctions.udf.CIQ(InputTicker, "IQ_LT_DEBT_CAPITAL",Input!D$2,Date)</f>
        <v>32.6526</v>
      </c>
      <c r="C502" s="4">
        <f>_xll.ciqfunctions.udf.CIQ(InputTicker, "IQ_LT_DEBT_CAPITAL",Input!E$2,Date)</f>
        <v>45.771000000000001</v>
      </c>
      <c r="D502" s="4">
        <f>_xll.ciqfunctions.udf.CIQ(InputTicker, "IQ_LT_DEBT_CAPITAL",Input!F$2,Date)</f>
        <v>48.133000000000003</v>
      </c>
      <c r="E502" s="4">
        <f>_xll.ciqfunctions.udf.CIQ(InputTicker, "IQ_LT_DEBT_CAPITAL",Input!G$2,Date)</f>
        <v>41.903199999999998</v>
      </c>
      <c r="F502" s="4">
        <f>_xll.ciqfunctions.udf.CIQ(InputTicker, "IQ_LT_DEBT_CAPITAL",Input!H$2,Date)</f>
        <v>38.023699999999998</v>
      </c>
      <c r="G502" s="4">
        <f>_xll.ciqfunctions.udf.CIQ(InputTicker, "IQ_LT_DEBT_CAPITAL",Input!I$2,Date)</f>
        <v>31.860800000000001</v>
      </c>
      <c r="H502" s="4">
        <f>_xll.ciqfunctions.udf.CIQ(InputTicker, "IQ_LT_DEBT_CAPITAL",Input!J$2,Date)</f>
        <v>29.542899999999999</v>
      </c>
      <c r="I502" s="4">
        <f>_xll.ciqfunctions.udf.CIQ(InputTicker, "IQ_LT_DEBT_CAPITAL",Input!K$2,Date)</f>
        <v>24.710100000000001</v>
      </c>
      <c r="J502" s="4">
        <f>_xll.ciqfunctions.udf.CIQ(InputTicker, "IQ_LT_DEBT_CAPITAL",Input!L$2,Date)</f>
        <v>22.652000000000001</v>
      </c>
      <c r="K502" s="4">
        <f>_xll.ciqfunctions.udf.CIQ(InputTicker, "IQ_LT_DEBT_CAPITAL",Input!M$2,Date)</f>
        <v>22.075299999999999</v>
      </c>
      <c r="L502" s="4">
        <f>_xll.ciqfunctions.udf.CIQ(InputTicker, "IQ_LT_DEBT_CAPITAL",Input!N$2,Date)</f>
        <v>19.2407</v>
      </c>
      <c r="M502" s="4">
        <f>_xll.ciqfunctions.udf.CIQ(InputTicker, "IQ_LT_DEBT_CAPITAL",Input!O$2,Date)</f>
        <v>19.2407</v>
      </c>
      <c r="N502" s="42"/>
      <c r="T502" s="42"/>
      <c r="U502" s="42"/>
      <c r="V502" s="42"/>
      <c r="W502" s="42"/>
      <c r="X502" s="42"/>
      <c r="Y502" s="42"/>
      <c r="Z502" s="42"/>
      <c r="AA502" s="42"/>
      <c r="AB502" s="42"/>
      <c r="AC502" s="42"/>
      <c r="AD502" s="42"/>
      <c r="AE502" s="42"/>
      <c r="AF502" s="42"/>
      <c r="AG502" s="42"/>
      <c r="AH502" s="42"/>
      <c r="AI502" s="42"/>
      <c r="AJ502" s="42"/>
      <c r="AK502" s="42"/>
      <c r="AL502" s="42"/>
      <c r="AM502" s="42"/>
      <c r="AN502" s="42"/>
      <c r="AO502" s="42"/>
      <c r="AP502" s="42"/>
      <c r="AQ502" s="42"/>
      <c r="AR502" s="42"/>
      <c r="AS502" s="42"/>
      <c r="AT502" s="42"/>
      <c r="AU502" s="42"/>
      <c r="AV502" s="42"/>
      <c r="AW502" s="42"/>
      <c r="AX502" s="42"/>
      <c r="AY502" s="42"/>
      <c r="AZ502" s="42"/>
      <c r="BA502" s="42"/>
      <c r="BB502" s="42"/>
      <c r="BC502" s="42"/>
      <c r="BD502" s="42"/>
      <c r="BE502" s="42"/>
      <c r="BF502" s="42"/>
      <c r="BG502" s="42"/>
      <c r="BH502" s="42"/>
      <c r="BI502" s="42"/>
      <c r="BJ502" s="42"/>
      <c r="BK502" s="42"/>
      <c r="BL502" s="42"/>
      <c r="BM502" s="42"/>
      <c r="BN502" s="42"/>
    </row>
    <row r="503" spans="1:66" ht="12.75" customHeight="1" x14ac:dyDescent="0.2">
      <c r="A503" s="19" t="s">
        <v>255</v>
      </c>
      <c r="B503" s="4">
        <f>_xll.ciqfunctions.udf.CIQ(InputTicker, "IQ_TOTAL_LIAB_TOTAL_ASSETS",Input!D$2,Date)</f>
        <v>62.786000000000001</v>
      </c>
      <c r="C503" s="4">
        <f>_xll.ciqfunctions.udf.CIQ(InputTicker, "IQ_TOTAL_LIAB_TOTAL_ASSETS",Input!E$2,Date)</f>
        <v>64.959299999999999</v>
      </c>
      <c r="D503" s="4">
        <f>_xll.ciqfunctions.udf.CIQ(InputTicker, "IQ_TOTAL_LIAB_TOTAL_ASSETS",Input!F$2,Date)</f>
        <v>68.043700000000001</v>
      </c>
      <c r="E503" s="4">
        <f>_xll.ciqfunctions.udf.CIQ(InputTicker, "IQ_TOTAL_LIAB_TOTAL_ASSETS",Input!G$2,Date)</f>
        <v>64.289699999999996</v>
      </c>
      <c r="F503" s="4">
        <f>_xll.ciqfunctions.udf.CIQ(InputTicker, "IQ_TOTAL_LIAB_TOTAL_ASSETS",Input!H$2,Date)</f>
        <v>60.736899999999999</v>
      </c>
      <c r="G503" s="4">
        <f>_xll.ciqfunctions.udf.CIQ(InputTicker, "IQ_TOTAL_LIAB_TOTAL_ASSETS",Input!I$2,Date)</f>
        <v>57.4604</v>
      </c>
      <c r="H503" s="4">
        <f>_xll.ciqfunctions.udf.CIQ(InputTicker, "IQ_TOTAL_LIAB_TOTAL_ASSETS",Input!J$2,Date)</f>
        <v>54.351999999999997</v>
      </c>
      <c r="I503" s="4">
        <f>_xll.ciqfunctions.udf.CIQ(InputTicker, "IQ_TOTAL_LIAB_TOTAL_ASSETS",Input!K$2,Date)</f>
        <v>49.942900000000002</v>
      </c>
      <c r="J503" s="4">
        <f>_xll.ciqfunctions.udf.CIQ(InputTicker, "IQ_TOTAL_LIAB_TOTAL_ASSETS",Input!L$2,Date)</f>
        <v>47.579700000000003</v>
      </c>
      <c r="K503" s="4">
        <f>_xll.ciqfunctions.udf.CIQ(InputTicker, "IQ_TOTAL_LIAB_TOTAL_ASSETS",Input!M$2,Date)</f>
        <v>44.510899999999999</v>
      </c>
      <c r="L503" s="4">
        <f>_xll.ciqfunctions.udf.CIQ(InputTicker, "IQ_TOTAL_LIAB_TOTAL_ASSETS",Input!N$2,Date)</f>
        <v>41.666499999999999</v>
      </c>
      <c r="M503" s="4">
        <f>_xll.ciqfunctions.udf.CIQ(InputTicker, "IQ_TOTAL_LIAB_TOTAL_ASSETS",Input!O$2,Date)</f>
        <v>41.666499999999999</v>
      </c>
      <c r="N503" s="42"/>
      <c r="T503" s="42"/>
      <c r="U503" s="42"/>
      <c r="V503" s="42"/>
      <c r="W503" s="42"/>
      <c r="X503" s="42"/>
      <c r="Y503" s="42"/>
      <c r="Z503" s="42"/>
      <c r="AA503" s="42"/>
      <c r="AB503" s="42"/>
      <c r="AC503" s="42"/>
      <c r="AD503" s="42"/>
      <c r="AE503" s="42"/>
      <c r="AF503" s="42"/>
      <c r="AG503" s="42"/>
      <c r="AH503" s="42"/>
      <c r="AI503" s="42"/>
      <c r="AJ503" s="42"/>
      <c r="AK503" s="42"/>
      <c r="AL503" s="42"/>
      <c r="AM503" s="42"/>
      <c r="AN503" s="42"/>
      <c r="AO503" s="42"/>
      <c r="AP503" s="42"/>
      <c r="AQ503" s="42"/>
      <c r="AR503" s="42"/>
      <c r="AS503" s="42"/>
      <c r="AT503" s="42"/>
      <c r="AU503" s="42"/>
      <c r="AV503" s="42"/>
      <c r="AW503" s="42"/>
      <c r="AX503" s="42"/>
      <c r="AY503" s="42"/>
      <c r="AZ503" s="42"/>
      <c r="BA503" s="42"/>
      <c r="BB503" s="42"/>
      <c r="BC503" s="42"/>
      <c r="BD503" s="42"/>
      <c r="BE503" s="42"/>
      <c r="BF503" s="42"/>
      <c r="BG503" s="42"/>
      <c r="BH503" s="42"/>
      <c r="BI503" s="42"/>
      <c r="BJ503" s="42"/>
      <c r="BK503" s="42"/>
      <c r="BL503" s="42"/>
      <c r="BM503" s="42"/>
      <c r="BN503" s="42"/>
    </row>
    <row r="504" spans="1:66" ht="12.75" customHeight="1" x14ac:dyDescent="0.2">
      <c r="A504" s="19" t="s">
        <v>241</v>
      </c>
      <c r="B504" s="20">
        <f>_xll.ciqfunctions.udf.CIQ(InputTicker, "IQ_EBIT_INT",Input!D$2,Date)</f>
        <v>21.872890000000002</v>
      </c>
      <c r="C504" s="20">
        <f>_xll.ciqfunctions.udf.CIQ(InputTicker, "IQ_EBIT_INT",Input!E$2,Date)</f>
        <v>13.20027</v>
      </c>
      <c r="D504" s="20">
        <f>_xll.ciqfunctions.udf.CIQ(InputTicker, "IQ_EBIT_INT",Input!F$2,Date)</f>
        <v>12.82766</v>
      </c>
      <c r="E504" s="20">
        <f>_xll.ciqfunctions.udf.CIQ(InputTicker, "IQ_EBIT_INT",Input!G$2,Date)</f>
        <v>15.99367</v>
      </c>
      <c r="F504" s="20">
        <f>_xll.ciqfunctions.udf.CIQ(InputTicker, "IQ_EBIT_INT",Input!H$2,Date)</f>
        <v>20.439599999999999</v>
      </c>
      <c r="G504" s="20">
        <f>_xll.ciqfunctions.udf.CIQ(InputTicker, "IQ_EBIT_INT",Input!I$2,Date)</f>
        <v>30.006869999999999</v>
      </c>
      <c r="H504" s="20">
        <f>_xll.ciqfunctions.udf.CIQ(InputTicker, "IQ_EBIT_INT",Input!J$2,Date)</f>
        <v>40.734250000000003</v>
      </c>
      <c r="I504" s="20">
        <f>_xll.ciqfunctions.udf.CIQ(InputTicker, "IQ_EBIT_INT",Input!K$2,Date)</f>
        <v>44.372430000000001</v>
      </c>
      <c r="J504" s="20">
        <f>_xll.ciqfunctions.udf.CIQ(InputTicker, "IQ_EBIT_INT",Input!L$2,Date)</f>
        <v>36.685549999999999</v>
      </c>
      <c r="K504" s="20">
        <f>_xll.ciqfunctions.udf.CIQ(InputTicker, "IQ_EBIT_INT",Input!M$2,Date)</f>
        <v>53.001240000000003</v>
      </c>
      <c r="L504" s="20">
        <f>_xll.ciqfunctions.udf.CIQ(InputTicker, "IQ_EBIT_INT",Input!N$2,Date)</f>
        <v>50.385260000000002</v>
      </c>
      <c r="M504" s="20">
        <f>_xll.ciqfunctions.udf.CIQ(InputTicker, "IQ_EBIT_INT",Input!O$2,Date)</f>
        <v>50.385260000000002</v>
      </c>
      <c r="N504" s="42"/>
      <c r="T504" s="42"/>
      <c r="U504" s="42"/>
      <c r="V504" s="42"/>
      <c r="W504" s="42"/>
      <c r="X504" s="42"/>
      <c r="Y504" s="42"/>
      <c r="Z504" s="42"/>
      <c r="AA504" s="42"/>
      <c r="AB504" s="42"/>
      <c r="AC504" s="42"/>
      <c r="AD504" s="42"/>
      <c r="AE504" s="42"/>
      <c r="AF504" s="42"/>
      <c r="AG504" s="42"/>
      <c r="AH504" s="42"/>
      <c r="AI504" s="42"/>
      <c r="AJ504" s="42"/>
      <c r="AK504" s="42"/>
      <c r="AL504" s="42"/>
      <c r="AM504" s="42"/>
      <c r="AN504" s="42"/>
      <c r="AO504" s="42"/>
      <c r="AP504" s="42"/>
      <c r="AQ504" s="42"/>
      <c r="AR504" s="42"/>
      <c r="AS504" s="42"/>
      <c r="AT504" s="42"/>
      <c r="AU504" s="42"/>
      <c r="AV504" s="42"/>
      <c r="AW504" s="42"/>
      <c r="AX504" s="42"/>
      <c r="AY504" s="42"/>
      <c r="AZ504" s="42"/>
      <c r="BA504" s="42"/>
      <c r="BB504" s="42"/>
      <c r="BC504" s="42"/>
      <c r="BD504" s="42"/>
      <c r="BE504" s="42"/>
      <c r="BF504" s="42"/>
      <c r="BG504" s="42"/>
      <c r="BH504" s="42"/>
      <c r="BI504" s="42"/>
      <c r="BJ504" s="42"/>
      <c r="BK504" s="42"/>
      <c r="BL504" s="42"/>
      <c r="BM504" s="42"/>
      <c r="BN504" s="42"/>
    </row>
    <row r="505" spans="1:66" ht="12.75" customHeight="1" x14ac:dyDescent="0.2">
      <c r="A505" s="19" t="s">
        <v>245</v>
      </c>
      <c r="B505" s="20">
        <f>_xll.ciqfunctions.udf.CIQ(InputTicker,  "IQ_EBITDA_INT",Input!D$2,Date)</f>
        <v>26.601769999999998</v>
      </c>
      <c r="C505" s="20">
        <f>_xll.ciqfunctions.udf.CIQ(InputTicker,  "IQ_EBITDA_INT",Input!E$2,Date)</f>
        <v>17.346080000000001</v>
      </c>
      <c r="D505" s="20">
        <f>_xll.ciqfunctions.udf.CIQ(InputTicker,  "IQ_EBITDA_INT",Input!F$2,Date)</f>
        <v>17.03</v>
      </c>
      <c r="E505" s="20">
        <f>_xll.ciqfunctions.udf.CIQ(InputTicker,  "IQ_EBITDA_INT",Input!G$2,Date)</f>
        <v>20.947880000000001</v>
      </c>
      <c r="F505" s="20">
        <f>_xll.ciqfunctions.udf.CIQ(InputTicker,  "IQ_EBITDA_INT",Input!H$2,Date)</f>
        <v>25.975300000000001</v>
      </c>
      <c r="G505" s="20">
        <f>_xll.ciqfunctions.udf.CIQ(InputTicker,  "IQ_EBITDA_INT",Input!I$2,Date)</f>
        <v>35.597850000000001</v>
      </c>
      <c r="H505" s="20">
        <f>_xll.ciqfunctions.udf.CIQ(InputTicker,  "IQ_EBITDA_INT",Input!J$2,Date)</f>
        <v>49.06888</v>
      </c>
      <c r="I505" s="20">
        <f>_xll.ciqfunctions.udf.CIQ(InputTicker,  "IQ_EBITDA_INT",Input!K$2,Date)</f>
        <v>52.580449999999999</v>
      </c>
      <c r="J505" s="20">
        <f>_xll.ciqfunctions.udf.CIQ(InputTicker,  "IQ_EBITDA_INT",Input!L$2,Date)</f>
        <v>44.581960000000002</v>
      </c>
      <c r="K505" s="20">
        <f>_xll.ciqfunctions.udf.CIQ(InputTicker,  "IQ_EBITDA_INT",Input!M$2,Date)</f>
        <v>66.825569999999999</v>
      </c>
      <c r="L505" s="20">
        <f>_xll.ciqfunctions.udf.CIQ(InputTicker,  "IQ_EBITDA_INT",Input!N$2,Date)</f>
        <v>65.305099999999996</v>
      </c>
      <c r="M505" s="20">
        <f>_xll.ciqfunctions.udf.CIQ(InputTicker,  "IQ_EBITDA_INT",Input!O$2,Date)</f>
        <v>65.305099999999996</v>
      </c>
      <c r="N505" s="42"/>
      <c r="T505" s="42"/>
      <c r="U505" s="42"/>
      <c r="V505" s="42"/>
      <c r="W505" s="42"/>
      <c r="X505" s="42"/>
      <c r="Y505" s="42"/>
      <c r="Z505" s="42"/>
      <c r="AA505" s="42"/>
      <c r="AB505" s="42"/>
      <c r="AC505" s="42"/>
      <c r="AD505" s="42"/>
      <c r="AE505" s="42"/>
      <c r="AF505" s="42"/>
      <c r="AG505" s="42"/>
      <c r="AH505" s="42"/>
      <c r="AI505" s="42"/>
      <c r="AJ505" s="42"/>
      <c r="AK505" s="42"/>
      <c r="AL505" s="42"/>
      <c r="AM505" s="42"/>
      <c r="AN505" s="42"/>
      <c r="AO505" s="42"/>
      <c r="AP505" s="42"/>
      <c r="AQ505" s="42"/>
      <c r="AR505" s="42"/>
      <c r="AS505" s="42"/>
      <c r="AT505" s="42"/>
      <c r="AU505" s="42"/>
      <c r="AV505" s="42"/>
      <c r="AW505" s="42"/>
      <c r="AX505" s="42"/>
      <c r="AY505" s="42"/>
      <c r="AZ505" s="42"/>
      <c r="BA505" s="42"/>
      <c r="BB505" s="42"/>
      <c r="BC505" s="42"/>
      <c r="BD505" s="42"/>
      <c r="BE505" s="42"/>
      <c r="BF505" s="42"/>
      <c r="BG505" s="42"/>
      <c r="BH505" s="42"/>
      <c r="BI505" s="42"/>
      <c r="BJ505" s="42"/>
      <c r="BK505" s="42"/>
      <c r="BL505" s="42"/>
      <c r="BM505" s="42"/>
      <c r="BN505" s="42"/>
    </row>
    <row r="506" spans="1:66" ht="12.75" customHeight="1" x14ac:dyDescent="0.2">
      <c r="A506" s="43" t="s">
        <v>495</v>
      </c>
      <c r="B506" s="20">
        <f>_xll.ciqfunctions.udf.CIQ(InputTicker,  "IQ_EBITDA_EXCL_OPER_LEASES_INT",Input!D$2,Date)</f>
        <v>26.601769999999998</v>
      </c>
      <c r="C506" s="20">
        <f>_xll.ciqfunctions.udf.CIQ(InputTicker,  "IQ_EBITDA_EXCL_OPER_LEASES_INT",Input!E$2,Date)</f>
        <v>16.710619999999999</v>
      </c>
      <c r="D506" s="20">
        <f>_xll.ciqfunctions.udf.CIQ(InputTicker,  "IQ_EBITDA_EXCL_OPER_LEASES_INT",Input!F$2,Date)</f>
        <v>16.450050000000001</v>
      </c>
      <c r="E506" s="20">
        <f>_xll.ciqfunctions.udf.CIQ(InputTicker,  "IQ_EBITDA_EXCL_OPER_LEASES_INT",Input!G$2,Date)</f>
        <v>20.312360000000002</v>
      </c>
      <c r="F506" s="20">
        <f>_xll.ciqfunctions.udf.CIQ(InputTicker,  "IQ_EBITDA_EXCL_OPER_LEASES_INT",Input!H$2,Date)</f>
        <v>25.186800000000002</v>
      </c>
      <c r="G506" s="20">
        <f>_xll.ciqfunctions.udf.CIQ(InputTicker,  "IQ_EBITDA_EXCL_OPER_LEASES_INT",Input!I$2,Date)</f>
        <v>34.684980000000003</v>
      </c>
      <c r="H506" s="20">
        <f>_xll.ciqfunctions.udf.CIQ(InputTicker,  "IQ_EBITDA_EXCL_OPER_LEASES_INT",Input!J$2,Date)</f>
        <v>47.866630000000001</v>
      </c>
      <c r="I506" s="20">
        <f>_xll.ciqfunctions.udf.CIQ(InputTicker,  "IQ_EBITDA_EXCL_OPER_LEASES_INT",Input!K$2,Date)</f>
        <v>51.13935</v>
      </c>
      <c r="J506" s="20">
        <f>_xll.ciqfunctions.udf.CIQ(InputTicker,  "IQ_EBITDA_EXCL_OPER_LEASES_INT",Input!L$2,Date)</f>
        <v>43.390210000000003</v>
      </c>
      <c r="K506" s="20">
        <f>_xll.ciqfunctions.udf.CIQ(InputTicker,  "IQ_EBITDA_EXCL_OPER_LEASES_INT",Input!M$2,Date)</f>
        <v>64.547629999999998</v>
      </c>
      <c r="L506" s="20">
        <f>_xll.ciqfunctions.udf.CIQ(InputTicker,  "IQ_EBITDA_EXCL_OPER_LEASES_INT",Input!N$2,Date)</f>
        <v>63.043489999999998</v>
      </c>
      <c r="M506" s="20">
        <f>_xll.ciqfunctions.udf.CIQ(InputTicker,  "IQ_EBITDA_EXCL_OPER_LEASES_INT",Input!O$2,Date)</f>
        <v>63.043489999999998</v>
      </c>
      <c r="N506" s="42"/>
      <c r="T506" s="42"/>
      <c r="U506" s="42"/>
      <c r="V506" s="42"/>
      <c r="W506" s="42"/>
      <c r="X506" s="42"/>
      <c r="Y506" s="42"/>
      <c r="Z506" s="42"/>
      <c r="AA506" s="42"/>
      <c r="AB506" s="42"/>
      <c r="AC506" s="42"/>
      <c r="AD506" s="42"/>
      <c r="AE506" s="42"/>
      <c r="AF506" s="42"/>
      <c r="AG506" s="42"/>
      <c r="AH506" s="42"/>
      <c r="AI506" s="42"/>
      <c r="AJ506" s="42"/>
      <c r="AK506" s="42"/>
      <c r="AL506" s="42"/>
      <c r="AM506" s="42"/>
      <c r="AN506" s="42"/>
      <c r="AO506" s="42"/>
      <c r="AP506" s="42"/>
      <c r="AQ506" s="42"/>
      <c r="AR506" s="42"/>
      <c r="AS506" s="42"/>
      <c r="AT506" s="42"/>
      <c r="AU506" s="42"/>
      <c r="AV506" s="42"/>
      <c r="AW506" s="42"/>
      <c r="AX506" s="42"/>
      <c r="AY506" s="42"/>
      <c r="AZ506" s="42"/>
      <c r="BA506" s="42"/>
      <c r="BB506" s="42"/>
      <c r="BC506" s="42"/>
      <c r="BD506" s="42"/>
      <c r="BE506" s="42"/>
      <c r="BF506" s="42"/>
      <c r="BG506" s="42"/>
      <c r="BH506" s="42"/>
      <c r="BI506" s="42"/>
      <c r="BJ506" s="42"/>
      <c r="BK506" s="42"/>
      <c r="BL506" s="42"/>
      <c r="BM506" s="42"/>
      <c r="BN506" s="42"/>
    </row>
    <row r="507" spans="1:66" ht="12.75" customHeight="1" x14ac:dyDescent="0.2">
      <c r="A507" s="19" t="s">
        <v>246</v>
      </c>
      <c r="B507" s="20">
        <f>_xll.ciqfunctions.udf.CIQ(InputTicker, "IQ_EBITDA_CAPEX_INT",Input!D$2,Date)</f>
        <v>19.889779999999998</v>
      </c>
      <c r="C507" s="20">
        <f>_xll.ciqfunctions.udf.CIQ(InputTicker, "IQ_EBITDA_CAPEX_INT",Input!E$2,Date)</f>
        <v>13.687670000000001</v>
      </c>
      <c r="D507" s="20">
        <f>_xll.ciqfunctions.udf.CIQ(InputTicker, "IQ_EBITDA_CAPEX_INT",Input!F$2,Date)</f>
        <v>12.773870000000001</v>
      </c>
      <c r="E507" s="20">
        <f>_xll.ciqfunctions.udf.CIQ(InputTicker, "IQ_EBITDA_CAPEX_INT",Input!G$2,Date)</f>
        <v>15.763590000000001</v>
      </c>
      <c r="F507" s="20">
        <f>_xll.ciqfunctions.udf.CIQ(InputTicker, "IQ_EBITDA_CAPEX_INT",Input!H$2,Date)</f>
        <v>20.015820000000001</v>
      </c>
      <c r="G507" s="20">
        <f>_xll.ciqfunctions.udf.CIQ(InputTicker, "IQ_EBITDA_CAPEX_INT",Input!I$2,Date)</f>
        <v>26.747209999999999</v>
      </c>
      <c r="H507" s="20">
        <f>_xll.ciqfunctions.udf.CIQ(InputTicker, "IQ_EBITDA_CAPEX_INT",Input!J$2,Date)</f>
        <v>37.400100000000002</v>
      </c>
      <c r="I507" s="20">
        <f>_xll.ciqfunctions.udf.CIQ(InputTicker, "IQ_EBITDA_CAPEX_INT",Input!K$2,Date)</f>
        <v>38.491729999999997</v>
      </c>
      <c r="J507" s="20">
        <f>_xll.ciqfunctions.udf.CIQ(InputTicker, "IQ_EBITDA_CAPEX_INT",Input!L$2,Date)</f>
        <v>29.671810000000001</v>
      </c>
      <c r="K507" s="20">
        <f>_xll.ciqfunctions.udf.CIQ(InputTicker, "IQ_EBITDA_CAPEX_INT",Input!M$2,Date)</f>
        <v>40.206600000000002</v>
      </c>
      <c r="L507" s="20">
        <f>_xll.ciqfunctions.udf.CIQ(InputTicker, "IQ_EBITDA_CAPEX_INT",Input!N$2,Date)</f>
        <v>27.671859999999999</v>
      </c>
      <c r="M507" s="20">
        <f>_xll.ciqfunctions.udf.CIQ(InputTicker, "IQ_EBITDA_CAPEX_INT",Input!O$2,Date)</f>
        <v>27.671859999999999</v>
      </c>
      <c r="N507" s="42"/>
      <c r="T507" s="42"/>
      <c r="U507" s="42"/>
      <c r="V507" s="42"/>
      <c r="W507" s="42"/>
      <c r="X507" s="42"/>
      <c r="Y507" s="42"/>
      <c r="Z507" s="42"/>
      <c r="AA507" s="42"/>
      <c r="AB507" s="42"/>
      <c r="AC507" s="42"/>
      <c r="AD507" s="42"/>
      <c r="AE507" s="42"/>
      <c r="AF507" s="42"/>
      <c r="AG507" s="42"/>
      <c r="AH507" s="42"/>
      <c r="AI507" s="42"/>
      <c r="AJ507" s="42"/>
      <c r="AK507" s="42"/>
      <c r="AL507" s="42"/>
      <c r="AM507" s="42"/>
      <c r="AN507" s="42"/>
      <c r="AO507" s="42"/>
      <c r="AP507" s="42"/>
      <c r="AQ507" s="42"/>
      <c r="AR507" s="42"/>
      <c r="AS507" s="42"/>
      <c r="AT507" s="42"/>
      <c r="AU507" s="42"/>
      <c r="AV507" s="42"/>
      <c r="AW507" s="42"/>
      <c r="AX507" s="42"/>
      <c r="AY507" s="42"/>
      <c r="AZ507" s="42"/>
      <c r="BA507" s="42"/>
      <c r="BB507" s="42"/>
      <c r="BC507" s="42"/>
      <c r="BD507" s="42"/>
      <c r="BE507" s="42"/>
      <c r="BF507" s="42"/>
      <c r="BG507" s="42"/>
      <c r="BH507" s="42"/>
      <c r="BI507" s="42"/>
      <c r="BJ507" s="42"/>
      <c r="BK507" s="42"/>
      <c r="BL507" s="42"/>
      <c r="BM507" s="42"/>
      <c r="BN507" s="42"/>
    </row>
    <row r="508" spans="1:66" ht="12.75" customHeight="1" x14ac:dyDescent="0.2">
      <c r="A508" s="43" t="s">
        <v>496</v>
      </c>
      <c r="B508" s="20">
        <f>_xll.ciqfunctions.udf.CIQ(InputTicker,  "IQ_EBITDA_EXCL_OPER_LEASES_CAPEX_INT",Input!D$2,Date)</f>
        <v>19.889779999999998</v>
      </c>
      <c r="C508" s="20">
        <f>_xll.ciqfunctions.udf.CIQ(InputTicker,  "IQ_EBITDA_EXCL_OPER_LEASES_CAPEX_INT",Input!E$2,Date)</f>
        <v>13.052210000000001</v>
      </c>
      <c r="D508" s="20">
        <f>_xll.ciqfunctions.udf.CIQ(InputTicker,  "IQ_EBITDA_EXCL_OPER_LEASES_CAPEX_INT",Input!F$2,Date)</f>
        <v>12.19393</v>
      </c>
      <c r="E508" s="20">
        <f>_xll.ciqfunctions.udf.CIQ(InputTicker,  "IQ_EBITDA_EXCL_OPER_LEASES_CAPEX_INT",Input!G$2,Date)</f>
        <v>15.128069999999999</v>
      </c>
      <c r="F508" s="20">
        <f>_xll.ciqfunctions.udf.CIQ(InputTicker,  "IQ_EBITDA_EXCL_OPER_LEASES_CAPEX_INT",Input!H$2,Date)</f>
        <v>19.227329999999998</v>
      </c>
      <c r="G508" s="20">
        <f>_xll.ciqfunctions.udf.CIQ(InputTicker,  "IQ_EBITDA_EXCL_OPER_LEASES_CAPEX_INT",Input!I$2,Date)</f>
        <v>25.834330000000001</v>
      </c>
      <c r="H508" s="20">
        <f>_xll.ciqfunctions.udf.CIQ(InputTicker,  "IQ_EBITDA_EXCL_OPER_LEASES_CAPEX_INT",Input!J$2,Date)</f>
        <v>36.197850000000003</v>
      </c>
      <c r="I508" s="20">
        <f>_xll.ciqfunctions.udf.CIQ(InputTicker,  "IQ_EBITDA_EXCL_OPER_LEASES_CAPEX_INT",Input!K$2,Date)</f>
        <v>37.050629999999998</v>
      </c>
      <c r="J508" s="20">
        <f>_xll.ciqfunctions.udf.CIQ(InputTicker,  "IQ_EBITDA_EXCL_OPER_LEASES_CAPEX_INT",Input!L$2,Date)</f>
        <v>28.480049999999999</v>
      </c>
      <c r="K508" s="20">
        <f>_xll.ciqfunctions.udf.CIQ(InputTicker,  "IQ_EBITDA_EXCL_OPER_LEASES_CAPEX_INT",Input!M$2,Date)</f>
        <v>37.928660000000001</v>
      </c>
      <c r="L508" s="20">
        <f>_xll.ciqfunctions.udf.CIQ(InputTicker,  "IQ_EBITDA_EXCL_OPER_LEASES_CAPEX_INT",Input!N$2,Date)</f>
        <v>25.410260000000001</v>
      </c>
      <c r="M508" s="20">
        <f>_xll.ciqfunctions.udf.CIQ(InputTicker,  "IQ_EBITDA_EXCL_OPER_LEASES_CAPEX_INT",Input!O$2,Date)</f>
        <v>25.410260000000001</v>
      </c>
      <c r="N508" s="42"/>
      <c r="T508" s="42"/>
      <c r="U508" s="42"/>
      <c r="V508" s="42"/>
      <c r="W508" s="42"/>
      <c r="X508" s="42"/>
      <c r="Y508" s="42"/>
      <c r="Z508" s="42"/>
      <c r="AA508" s="42"/>
      <c r="AB508" s="42"/>
      <c r="AC508" s="42"/>
      <c r="AD508" s="42"/>
      <c r="AE508" s="42"/>
      <c r="AF508" s="42"/>
      <c r="AG508" s="42"/>
      <c r="AH508" s="42"/>
      <c r="AI508" s="42"/>
      <c r="AJ508" s="42"/>
      <c r="AK508" s="42"/>
      <c r="AL508" s="42"/>
      <c r="AM508" s="42"/>
      <c r="AN508" s="42"/>
      <c r="AO508" s="42"/>
      <c r="AP508" s="42"/>
      <c r="AQ508" s="42"/>
      <c r="AR508" s="42"/>
      <c r="AS508" s="42"/>
      <c r="AT508" s="42"/>
      <c r="AU508" s="42"/>
      <c r="AV508" s="42"/>
      <c r="AW508" s="42"/>
      <c r="AX508" s="42"/>
      <c r="AY508" s="42"/>
      <c r="AZ508" s="42"/>
      <c r="BA508" s="42"/>
      <c r="BB508" s="42"/>
      <c r="BC508" s="42"/>
      <c r="BD508" s="42"/>
      <c r="BE508" s="42"/>
      <c r="BF508" s="42"/>
      <c r="BG508" s="42"/>
      <c r="BH508" s="42"/>
      <c r="BI508" s="42"/>
      <c r="BJ508" s="42"/>
      <c r="BK508" s="42"/>
      <c r="BL508" s="42"/>
      <c r="BM508" s="42"/>
      <c r="BN508" s="42"/>
    </row>
    <row r="509" spans="1:66" ht="12.75" customHeight="1" x14ac:dyDescent="0.2">
      <c r="A509" s="19" t="s">
        <v>242</v>
      </c>
      <c r="B509" s="20">
        <f>_xll.ciqfunctions.udf.CIQ(InputTicker, "IQ_TOTAL_DEBT_EBITDA",Input!D$2,Date)</f>
        <v>1.6494599999999999</v>
      </c>
      <c r="C509" s="20">
        <f>_xll.ciqfunctions.udf.CIQ(InputTicker, "IQ_TOTAL_DEBT_EBITDA",Input!E$2,Date)</f>
        <v>2.47845</v>
      </c>
      <c r="D509" s="20">
        <f>_xll.ciqfunctions.udf.CIQ(InputTicker, "IQ_TOTAL_DEBT_EBITDA",Input!F$2,Date)</f>
        <v>1.88015</v>
      </c>
      <c r="E509" s="20">
        <f>_xll.ciqfunctions.udf.CIQ(InputTicker, "IQ_TOTAL_DEBT_EBITDA",Input!G$2,Date)</f>
        <v>1.53654</v>
      </c>
      <c r="F509" s="20">
        <f>_xll.ciqfunctions.udf.CIQ(InputTicker, "IQ_TOTAL_DEBT_EBITDA",Input!H$2,Date)</f>
        <v>1.2200200000000001</v>
      </c>
      <c r="G509" s="20">
        <f>_xll.ciqfunctions.udf.CIQ(InputTicker, "IQ_TOTAL_DEBT_EBITDA",Input!I$2,Date)</f>
        <v>0.99197999999999997</v>
      </c>
      <c r="H509" s="20">
        <f>_xll.ciqfunctions.udf.CIQ(InputTicker, "IQ_TOTAL_DEBT_EBITDA",Input!J$2,Date)</f>
        <v>0.78052999999999995</v>
      </c>
      <c r="I509" s="20">
        <f>_xll.ciqfunctions.udf.CIQ(InputTicker, "IQ_TOTAL_DEBT_EBITDA",Input!K$2,Date)</f>
        <v>0.75731999999999999</v>
      </c>
      <c r="J509" s="20">
        <f>_xll.ciqfunctions.udf.CIQ(InputTicker, "IQ_TOTAL_DEBT_EBITDA",Input!L$2,Date)</f>
        <v>0.73580000000000001</v>
      </c>
      <c r="K509" s="20">
        <f>_xll.ciqfunctions.udf.CIQ(InputTicker, "IQ_TOTAL_DEBT_EBITDA",Input!M$2,Date)</f>
        <v>0.69227000000000005</v>
      </c>
      <c r="L509" s="20">
        <f>_xll.ciqfunctions.udf.CIQ(InputTicker, "IQ_TOTAL_DEBT_EBITDA",Input!N$2,Date)</f>
        <v>0.64020999999999995</v>
      </c>
      <c r="M509" s="20">
        <f>_xll.ciqfunctions.udf.CIQ(InputTicker, "IQ_TOTAL_DEBT_EBITDA",Input!O$2,Date)</f>
        <v>0.64020999999999995</v>
      </c>
      <c r="N509" s="42"/>
      <c r="T509" s="42"/>
      <c r="U509" s="42"/>
      <c r="V509" s="42"/>
      <c r="W509" s="42"/>
      <c r="X509" s="42"/>
      <c r="Y509" s="42"/>
      <c r="Z509" s="42"/>
      <c r="AA509" s="42"/>
      <c r="AB509" s="42"/>
      <c r="AC509" s="42"/>
      <c r="AD509" s="42"/>
      <c r="AE509" s="42"/>
      <c r="AF509" s="42"/>
      <c r="AG509" s="42"/>
      <c r="AH509" s="42"/>
      <c r="AI509" s="42"/>
      <c r="AJ509" s="42"/>
      <c r="AK509" s="42"/>
      <c r="AL509" s="42"/>
      <c r="AM509" s="42"/>
      <c r="AN509" s="42"/>
      <c r="AO509" s="42"/>
      <c r="AP509" s="42"/>
      <c r="AQ509" s="42"/>
      <c r="AR509" s="42"/>
      <c r="AS509" s="42"/>
      <c r="AT509" s="42"/>
      <c r="AU509" s="42"/>
      <c r="AV509" s="42"/>
      <c r="AW509" s="42"/>
      <c r="AX509" s="42"/>
      <c r="AY509" s="42"/>
      <c r="AZ509" s="42"/>
      <c r="BA509" s="42"/>
      <c r="BB509" s="42"/>
      <c r="BC509" s="42"/>
      <c r="BD509" s="42"/>
      <c r="BE509" s="42"/>
      <c r="BF509" s="42"/>
      <c r="BG509" s="42"/>
      <c r="BH509" s="42"/>
      <c r="BI509" s="42"/>
      <c r="BJ509" s="42"/>
      <c r="BK509" s="42"/>
      <c r="BL509" s="42"/>
      <c r="BM509" s="42"/>
      <c r="BN509" s="42"/>
    </row>
    <row r="510" spans="1:66" ht="12.75" customHeight="1" x14ac:dyDescent="0.2">
      <c r="A510" s="43" t="s">
        <v>497</v>
      </c>
      <c r="B510" s="20">
        <f>_xll.ciqfunctions.udf.CIQ(InputTicker,  "IQ_TOTAL_DEBT_EBITDA_EXCL_OPER_LEASES",Input!D$2,Date)</f>
        <v>1.6494599999999999</v>
      </c>
      <c r="C510" s="20">
        <f>_xll.ciqfunctions.udf.CIQ(InputTicker,  "IQ_TOTAL_DEBT_EBITDA_EXCL_OPER_LEASES",Input!E$2,Date)</f>
        <v>2.5727000000000002</v>
      </c>
      <c r="D510" s="20">
        <f>_xll.ciqfunctions.udf.CIQ(InputTicker,  "IQ_TOTAL_DEBT_EBITDA_EXCL_OPER_LEASES",Input!F$2,Date)</f>
        <v>1.9464399999999999</v>
      </c>
      <c r="E510" s="20">
        <f>_xll.ciqfunctions.udf.CIQ(InputTicker,  "IQ_TOTAL_DEBT_EBITDA_EXCL_OPER_LEASES",Input!G$2,Date)</f>
        <v>1.5846100000000001</v>
      </c>
      <c r="F510" s="20">
        <f>_xll.ciqfunctions.udf.CIQ(InputTicker,  "IQ_TOTAL_DEBT_EBITDA_EXCL_OPER_LEASES",Input!H$2,Date)</f>
        <v>1.2582199999999999</v>
      </c>
      <c r="G510" s="20">
        <f>_xll.ciqfunctions.udf.CIQ(InputTicker,  "IQ_TOTAL_DEBT_EBITDA_EXCL_OPER_LEASES",Input!I$2,Date)</f>
        <v>1.0180899999999999</v>
      </c>
      <c r="H510" s="20">
        <f>_xll.ciqfunctions.udf.CIQ(InputTicker,  "IQ_TOTAL_DEBT_EBITDA_EXCL_OPER_LEASES",Input!J$2,Date)</f>
        <v>0.80013999999999996</v>
      </c>
      <c r="I510" s="20">
        <f>_xll.ciqfunctions.udf.CIQ(InputTicker,  "IQ_TOTAL_DEBT_EBITDA_EXCL_OPER_LEASES",Input!K$2,Date)</f>
        <v>0.77866000000000002</v>
      </c>
      <c r="J510" s="20">
        <f>_xll.ciqfunctions.udf.CIQ(InputTicker,  "IQ_TOTAL_DEBT_EBITDA_EXCL_OPER_LEASES",Input!L$2,Date)</f>
        <v>0.75600999999999996</v>
      </c>
      <c r="K510" s="20">
        <f>_xll.ciqfunctions.udf.CIQ(InputTicker,  "IQ_TOTAL_DEBT_EBITDA_EXCL_OPER_LEASES",Input!M$2,Date)</f>
        <v>0.7167</v>
      </c>
      <c r="L510" s="20">
        <f>_xll.ciqfunctions.udf.CIQ(InputTicker,  "IQ_TOTAL_DEBT_EBITDA_EXCL_OPER_LEASES",Input!N$2,Date)</f>
        <v>0.66317000000000004</v>
      </c>
      <c r="M510" s="20">
        <f>_xll.ciqfunctions.udf.CIQ(InputTicker,  "IQ_TOTAL_DEBT_EBITDA_EXCL_OPER_LEASES",Input!O$2,Date)</f>
        <v>0.66317000000000004</v>
      </c>
      <c r="N510" s="42"/>
      <c r="T510" s="42"/>
      <c r="U510" s="42"/>
      <c r="V510" s="42"/>
      <c r="W510" s="42"/>
      <c r="X510" s="42"/>
      <c r="Y510" s="42"/>
      <c r="Z510" s="42"/>
      <c r="AA510" s="42"/>
      <c r="AB510" s="42"/>
      <c r="AC510" s="42"/>
      <c r="AD510" s="42"/>
      <c r="AE510" s="42"/>
      <c r="AF510" s="42"/>
      <c r="AG510" s="42"/>
      <c r="AH510" s="42"/>
      <c r="AI510" s="42"/>
      <c r="AJ510" s="42"/>
      <c r="AK510" s="42"/>
      <c r="AL510" s="42"/>
      <c r="AM510" s="42"/>
      <c r="AN510" s="42"/>
      <c r="AO510" s="42"/>
      <c r="AP510" s="42"/>
      <c r="AQ510" s="42"/>
      <c r="AR510" s="42"/>
      <c r="AS510" s="42"/>
      <c r="AT510" s="42"/>
      <c r="AU510" s="42"/>
      <c r="AV510" s="42"/>
      <c r="AW510" s="42"/>
      <c r="AX510" s="42"/>
      <c r="AY510" s="42"/>
      <c r="AZ510" s="42"/>
      <c r="BA510" s="42"/>
      <c r="BB510" s="42"/>
      <c r="BC510" s="42"/>
      <c r="BD510" s="42"/>
      <c r="BE510" s="42"/>
      <c r="BF510" s="42"/>
      <c r="BG510" s="42"/>
      <c r="BH510" s="42"/>
      <c r="BI510" s="42"/>
      <c r="BJ510" s="42"/>
      <c r="BK510" s="42"/>
      <c r="BL510" s="42"/>
      <c r="BM510" s="42"/>
      <c r="BN510" s="42"/>
    </row>
    <row r="511" spans="1:66" ht="12.75" customHeight="1" x14ac:dyDescent="0.2">
      <c r="A511" s="19" t="s">
        <v>243</v>
      </c>
      <c r="B511" s="20" t="str">
        <f>_xll.ciqfunctions.udf.CIQ(InputTicker,"IQ_NET_DEBT_EBITDA",Input!D$2,Date)</f>
        <v>NM</v>
      </c>
      <c r="C511" s="20" t="str">
        <f>_xll.ciqfunctions.udf.CIQ(InputTicker,"IQ_NET_DEBT_EBITDA",Input!E$2,Date)</f>
        <v>NM</v>
      </c>
      <c r="D511" s="20" t="str">
        <f>_xll.ciqfunctions.udf.CIQ(InputTicker,"IQ_NET_DEBT_EBITDA",Input!F$2,Date)</f>
        <v>NM</v>
      </c>
      <c r="E511" s="20" t="str">
        <f>_xll.ciqfunctions.udf.CIQ(InputTicker,"IQ_NET_DEBT_EBITDA",Input!G$2,Date)</f>
        <v>NM</v>
      </c>
      <c r="F511" s="20" t="str">
        <f>_xll.ciqfunctions.udf.CIQ(InputTicker,"IQ_NET_DEBT_EBITDA",Input!H$2,Date)</f>
        <v>NM</v>
      </c>
      <c r="G511" s="20" t="str">
        <f>_xll.ciqfunctions.udf.CIQ(InputTicker,"IQ_NET_DEBT_EBITDA",Input!I$2,Date)</f>
        <v>NM</v>
      </c>
      <c r="H511" s="20" t="str">
        <f>_xll.ciqfunctions.udf.CIQ(InputTicker,"IQ_NET_DEBT_EBITDA",Input!J$2,Date)</f>
        <v>NM</v>
      </c>
      <c r="I511" s="20" t="str">
        <f>_xll.ciqfunctions.udf.CIQ(InputTicker,"IQ_NET_DEBT_EBITDA",Input!K$2,Date)</f>
        <v>NM</v>
      </c>
      <c r="J511" s="20">
        <f>_xll.ciqfunctions.udf.CIQ(InputTicker,"IQ_NET_DEBT_EBITDA",Input!L$2,Date)</f>
        <v>0.16783999999999999</v>
      </c>
      <c r="K511" s="20">
        <f>_xll.ciqfunctions.udf.CIQ(InputTicker,"IQ_NET_DEBT_EBITDA",Input!M$2,Date)</f>
        <v>0.10879</v>
      </c>
      <c r="L511" s="20">
        <f>_xll.ciqfunctions.udf.CIQ(InputTicker,"IQ_NET_DEBT_EBITDA",Input!N$2,Date)</f>
        <v>0.25924999999999998</v>
      </c>
      <c r="M511" s="20">
        <f>_xll.ciqfunctions.udf.CIQ(InputTicker,"IQ_NET_DEBT_EBITDA",Input!O$2,Date)</f>
        <v>0.25924999999999998</v>
      </c>
      <c r="N511" s="42"/>
      <c r="T511" s="42"/>
      <c r="U511" s="42"/>
      <c r="V511" s="42"/>
      <c r="W511" s="42"/>
      <c r="X511" s="42"/>
      <c r="Y511" s="42"/>
      <c r="Z511" s="42"/>
      <c r="AA511" s="42"/>
      <c r="AB511" s="42"/>
      <c r="AC511" s="42"/>
      <c r="AD511" s="42"/>
      <c r="AE511" s="42"/>
      <c r="AF511" s="42"/>
      <c r="AG511" s="42"/>
      <c r="AH511" s="42"/>
      <c r="AI511" s="42"/>
      <c r="AJ511" s="42"/>
      <c r="AK511" s="42"/>
      <c r="AL511" s="42"/>
      <c r="AM511" s="42"/>
      <c r="AN511" s="42"/>
      <c r="AO511" s="42"/>
      <c r="AP511" s="42"/>
      <c r="AQ511" s="42"/>
      <c r="AR511" s="42"/>
      <c r="AS511" s="42"/>
      <c r="AT511" s="42"/>
      <c r="AU511" s="42"/>
      <c r="AV511" s="42"/>
      <c r="AW511" s="42"/>
      <c r="AX511" s="42"/>
      <c r="AY511" s="42"/>
      <c r="AZ511" s="42"/>
      <c r="BA511" s="42"/>
      <c r="BB511" s="42"/>
      <c r="BC511" s="42"/>
      <c r="BD511" s="42"/>
      <c r="BE511" s="42"/>
      <c r="BF511" s="42"/>
      <c r="BG511" s="42"/>
      <c r="BH511" s="42"/>
      <c r="BI511" s="42"/>
      <c r="BJ511" s="42"/>
      <c r="BK511" s="42"/>
      <c r="BL511" s="42"/>
      <c r="BM511" s="42"/>
      <c r="BN511" s="42"/>
    </row>
    <row r="512" spans="1:66" ht="12.75" customHeight="1" x14ac:dyDescent="0.2">
      <c r="A512" s="43" t="s">
        <v>498</v>
      </c>
      <c r="B512" s="20" t="str">
        <f>_xll.ciqfunctions.udf.CIQ(InputTicker,  "IQ_NET_DEBT_EBITDA_EXCL_OPER_LEASES",Input!D$2,Date)</f>
        <v>NM</v>
      </c>
      <c r="C512" s="20" t="str">
        <f>_xll.ciqfunctions.udf.CIQ(InputTicker,  "IQ_NET_DEBT_EBITDA_EXCL_OPER_LEASES",Input!E$2,Date)</f>
        <v>NM</v>
      </c>
      <c r="D512" s="20" t="str">
        <f>_xll.ciqfunctions.udf.CIQ(InputTicker,  "IQ_NET_DEBT_EBITDA_EXCL_OPER_LEASES",Input!F$2,Date)</f>
        <v>NM</v>
      </c>
      <c r="E512" s="20" t="str">
        <f>_xll.ciqfunctions.udf.CIQ(InputTicker,  "IQ_NET_DEBT_EBITDA_EXCL_OPER_LEASES",Input!G$2,Date)</f>
        <v>NM</v>
      </c>
      <c r="F512" s="20" t="str">
        <f>_xll.ciqfunctions.udf.CIQ(InputTicker,  "IQ_NET_DEBT_EBITDA_EXCL_OPER_LEASES",Input!H$2,Date)</f>
        <v>NM</v>
      </c>
      <c r="G512" s="20" t="str">
        <f>_xll.ciqfunctions.udf.CIQ(InputTicker,  "IQ_NET_DEBT_EBITDA_EXCL_OPER_LEASES",Input!I$2,Date)</f>
        <v>NM</v>
      </c>
      <c r="H512" s="20" t="str">
        <f>_xll.ciqfunctions.udf.CIQ(InputTicker,  "IQ_NET_DEBT_EBITDA_EXCL_OPER_LEASES",Input!J$2,Date)</f>
        <v>NM</v>
      </c>
      <c r="I512" s="20" t="str">
        <f>_xll.ciqfunctions.udf.CIQ(InputTicker,  "IQ_NET_DEBT_EBITDA_EXCL_OPER_LEASES",Input!K$2,Date)</f>
        <v>NM</v>
      </c>
      <c r="J512" s="20">
        <f>_xll.ciqfunctions.udf.CIQ(InputTicker,  "IQ_NET_DEBT_EBITDA_EXCL_OPER_LEASES",Input!L$2,Date)</f>
        <v>0.17244999999999999</v>
      </c>
      <c r="K512" s="20">
        <f>_xll.ciqfunctions.udf.CIQ(InputTicker,  "IQ_NET_DEBT_EBITDA_EXCL_OPER_LEASES",Input!M$2,Date)</f>
        <v>0.11262999999999999</v>
      </c>
      <c r="L512" s="20">
        <f>_xll.ciqfunctions.udf.CIQ(InputTicker,  "IQ_NET_DEBT_EBITDA_EXCL_OPER_LEASES",Input!N$2,Date)</f>
        <v>0.26855000000000001</v>
      </c>
      <c r="M512" s="20">
        <f>_xll.ciqfunctions.udf.CIQ(InputTicker,  "IQ_NET_DEBT_EBITDA_EXCL_OPER_LEASES",Input!O$2,Date)</f>
        <v>0.26855000000000001</v>
      </c>
      <c r="N512" s="42"/>
      <c r="T512" s="42"/>
      <c r="U512" s="42"/>
      <c r="V512" s="42"/>
      <c r="W512" s="42"/>
      <c r="X512" s="42"/>
      <c r="Y512" s="42"/>
      <c r="Z512" s="42"/>
      <c r="AA512" s="42"/>
      <c r="AB512" s="42"/>
      <c r="AC512" s="42"/>
      <c r="AD512" s="42"/>
      <c r="AE512" s="42"/>
      <c r="AF512" s="42"/>
      <c r="AG512" s="42"/>
      <c r="AH512" s="42"/>
      <c r="AI512" s="42"/>
      <c r="AJ512" s="42"/>
      <c r="AK512" s="42"/>
      <c r="AL512" s="42"/>
      <c r="AM512" s="42"/>
      <c r="AN512" s="42"/>
      <c r="AO512" s="42"/>
      <c r="AP512" s="42"/>
      <c r="AQ512" s="42"/>
      <c r="AR512" s="42"/>
      <c r="AS512" s="42"/>
      <c r="AT512" s="42"/>
      <c r="AU512" s="42"/>
      <c r="AV512" s="42"/>
      <c r="AW512" s="42"/>
      <c r="AX512" s="42"/>
      <c r="AY512" s="42"/>
      <c r="AZ512" s="42"/>
      <c r="BA512" s="42"/>
      <c r="BB512" s="42"/>
      <c r="BC512" s="42"/>
      <c r="BD512" s="42"/>
      <c r="BE512" s="42"/>
      <c r="BF512" s="42"/>
      <c r="BG512" s="42"/>
      <c r="BH512" s="42"/>
      <c r="BI512" s="42"/>
      <c r="BJ512" s="42"/>
      <c r="BK512" s="42"/>
      <c r="BL512" s="42"/>
      <c r="BM512" s="42"/>
      <c r="BN512" s="42"/>
    </row>
    <row r="513" spans="1:66" ht="12.75" customHeight="1" x14ac:dyDescent="0.2">
      <c r="A513" s="19" t="s">
        <v>426</v>
      </c>
      <c r="B513" s="20">
        <f>_xll.ciqfunctions.udf.CIQ(InputTicker, "IQ_TOTAL_DEBT_EBITDA_CAPEX",Input!D$2,Date)</f>
        <v>2.20608</v>
      </c>
      <c r="C513" s="20">
        <f>_xll.ciqfunctions.udf.CIQ(InputTicker, "IQ_TOTAL_DEBT_EBITDA_CAPEX",Input!E$2,Date)</f>
        <v>3.1408900000000002</v>
      </c>
      <c r="D513" s="20">
        <f>_xll.ciqfunctions.udf.CIQ(InputTicker, "IQ_TOTAL_DEBT_EBITDA_CAPEX",Input!F$2,Date)</f>
        <v>2.5066000000000002</v>
      </c>
      <c r="E513" s="20">
        <f>_xll.ciqfunctions.udf.CIQ(InputTicker, "IQ_TOTAL_DEBT_EBITDA_CAPEX",Input!G$2,Date)</f>
        <v>2.0418699999999999</v>
      </c>
      <c r="F513" s="20">
        <f>_xll.ciqfunctions.udf.CIQ(InputTicker, "IQ_TOTAL_DEBT_EBITDA_CAPEX",Input!H$2,Date)</f>
        <v>1.58327</v>
      </c>
      <c r="G513" s="20">
        <f>_xll.ciqfunctions.udf.CIQ(InputTicker, "IQ_TOTAL_DEBT_EBITDA_CAPEX",Input!I$2,Date)</f>
        <v>1.32023</v>
      </c>
      <c r="H513" s="20">
        <f>_xll.ciqfunctions.udf.CIQ(InputTicker, "IQ_TOTAL_DEBT_EBITDA_CAPEX",Input!J$2,Date)</f>
        <v>1.02406</v>
      </c>
      <c r="I513" s="20">
        <f>_xll.ciqfunctions.udf.CIQ(InputTicker, "IQ_TOTAL_DEBT_EBITDA_CAPEX",Input!K$2,Date)</f>
        <v>1.03451</v>
      </c>
      <c r="J513" s="20">
        <f>_xll.ciqfunctions.udf.CIQ(InputTicker, "IQ_TOTAL_DEBT_EBITDA_CAPEX",Input!L$2,Date)</f>
        <v>1.1055299999999999</v>
      </c>
      <c r="K513" s="20">
        <f>_xll.ciqfunctions.udf.CIQ(InputTicker, "IQ_TOTAL_DEBT_EBITDA_CAPEX",Input!M$2,Date)</f>
        <v>1.15059</v>
      </c>
      <c r="L513" s="20">
        <f>_xll.ciqfunctions.udf.CIQ(InputTicker, "IQ_TOTAL_DEBT_EBITDA_CAPEX",Input!N$2,Date)</f>
        <v>1.51088</v>
      </c>
      <c r="M513" s="20">
        <f>_xll.ciqfunctions.udf.CIQ(InputTicker, "IQ_TOTAL_DEBT_EBITDA_CAPEX",Input!O$2,Date)</f>
        <v>1.51088</v>
      </c>
      <c r="N513" s="42"/>
      <c r="T513" s="42"/>
      <c r="U513" s="42"/>
      <c r="V513" s="42"/>
      <c r="W513" s="42"/>
      <c r="X513" s="42"/>
      <c r="Y513" s="42"/>
      <c r="Z513" s="42"/>
      <c r="AA513" s="42"/>
      <c r="AB513" s="42"/>
      <c r="AC513" s="42"/>
      <c r="AD513" s="42"/>
      <c r="AE513" s="42"/>
      <c r="AF513" s="42"/>
      <c r="AG513" s="42"/>
      <c r="AH513" s="42"/>
      <c r="AI513" s="42"/>
      <c r="AJ513" s="42"/>
      <c r="AK513" s="42"/>
      <c r="AL513" s="42"/>
      <c r="AM513" s="42"/>
      <c r="AN513" s="42"/>
      <c r="AO513" s="42"/>
      <c r="AP513" s="42"/>
      <c r="AQ513" s="42"/>
      <c r="AR513" s="42"/>
      <c r="AS513" s="42"/>
      <c r="AT513" s="42"/>
      <c r="AU513" s="42"/>
      <c r="AV513" s="42"/>
      <c r="AW513" s="42"/>
      <c r="AX513" s="42"/>
      <c r="AY513" s="42"/>
      <c r="AZ513" s="42"/>
      <c r="BA513" s="42"/>
      <c r="BB513" s="42"/>
      <c r="BC513" s="42"/>
      <c r="BD513" s="42"/>
      <c r="BE513" s="42"/>
      <c r="BF513" s="42"/>
      <c r="BG513" s="42"/>
      <c r="BH513" s="42"/>
      <c r="BI513" s="42"/>
      <c r="BJ513" s="42"/>
      <c r="BK513" s="42"/>
      <c r="BL513" s="42"/>
      <c r="BM513" s="42"/>
      <c r="BN513" s="42"/>
    </row>
    <row r="514" spans="1:66" ht="12.75" customHeight="1" x14ac:dyDescent="0.2">
      <c r="A514" s="43" t="s">
        <v>499</v>
      </c>
      <c r="B514" s="20">
        <f>_xll.ciqfunctions.udf.CIQ(InputTicker,  "IQ_TOTAL_DEBT_EBITDA_EXCL_OPER_LEASES_CAPEX",Input!D$2,Date)</f>
        <v>2.20608</v>
      </c>
      <c r="C514" s="20">
        <f>_xll.ciqfunctions.udf.CIQ(InputTicker,  "IQ_TOTAL_DEBT_EBITDA_EXCL_OPER_LEASES_CAPEX",Input!E$2,Date)</f>
        <v>3.2938100000000001</v>
      </c>
      <c r="D514" s="20">
        <f>_xll.ciqfunctions.udf.CIQ(InputTicker,  "IQ_TOTAL_DEBT_EBITDA_EXCL_OPER_LEASES_CAPEX",Input!F$2,Date)</f>
        <v>2.62582</v>
      </c>
      <c r="E514" s="20">
        <f>_xll.ciqfunctions.udf.CIQ(InputTicker,  "IQ_TOTAL_DEBT_EBITDA_EXCL_OPER_LEASES_CAPEX",Input!G$2,Date)</f>
        <v>2.12765</v>
      </c>
      <c r="F514" s="20">
        <f>_xll.ciqfunctions.udf.CIQ(InputTicker,  "IQ_TOTAL_DEBT_EBITDA_EXCL_OPER_LEASES_CAPEX",Input!H$2,Date)</f>
        <v>1.6482000000000001</v>
      </c>
      <c r="G514" s="20">
        <f>_xll.ciqfunctions.udf.CIQ(InputTicker,  "IQ_TOTAL_DEBT_EBITDA_EXCL_OPER_LEASES_CAPEX",Input!I$2,Date)</f>
        <v>1.3668800000000001</v>
      </c>
      <c r="H514" s="20">
        <f>_xll.ciqfunctions.udf.CIQ(InputTicker,  "IQ_TOTAL_DEBT_EBITDA_EXCL_OPER_LEASES_CAPEX",Input!J$2,Date)</f>
        <v>1.0580700000000001</v>
      </c>
      <c r="I514" s="20">
        <f>_xll.ciqfunctions.udf.CIQ(InputTicker,  "IQ_TOTAL_DEBT_EBITDA_EXCL_OPER_LEASES_CAPEX",Input!K$2,Date)</f>
        <v>1.0747500000000001</v>
      </c>
      <c r="J514" s="20">
        <f>_xll.ciqfunctions.udf.CIQ(InputTicker,  "IQ_TOTAL_DEBT_EBITDA_EXCL_OPER_LEASES_CAPEX",Input!L$2,Date)</f>
        <v>1.1517999999999999</v>
      </c>
      <c r="K514" s="20">
        <f>_xll.ciqfunctions.udf.CIQ(InputTicker,  "IQ_TOTAL_DEBT_EBITDA_EXCL_OPER_LEASES_CAPEX",Input!M$2,Date)</f>
        <v>1.2197</v>
      </c>
      <c r="L514" s="20">
        <f>_xll.ciqfunctions.udf.CIQ(InputTicker,  "IQ_TOTAL_DEBT_EBITDA_EXCL_OPER_LEASES_CAPEX",Input!N$2,Date)</f>
        <v>1.6453500000000001</v>
      </c>
      <c r="M514" s="20">
        <f>_xll.ciqfunctions.udf.CIQ(InputTicker,  "IQ_TOTAL_DEBT_EBITDA_EXCL_OPER_LEASES_CAPEX",Input!O$2,Date)</f>
        <v>1.6453500000000001</v>
      </c>
      <c r="N514" s="42"/>
      <c r="T514" s="42"/>
      <c r="U514" s="42"/>
      <c r="V514" s="42"/>
      <c r="W514" s="42"/>
      <c r="X514" s="42"/>
      <c r="Y514" s="42"/>
      <c r="Z514" s="42"/>
      <c r="AA514" s="42"/>
      <c r="AB514" s="42"/>
      <c r="AC514" s="42"/>
      <c r="AD514" s="42"/>
      <c r="AE514" s="42"/>
      <c r="AF514" s="42"/>
      <c r="AG514" s="42"/>
      <c r="AH514" s="42"/>
      <c r="AI514" s="42"/>
      <c r="AJ514" s="42"/>
      <c r="AK514" s="42"/>
      <c r="AL514" s="42"/>
      <c r="AM514" s="42"/>
      <c r="AN514" s="42"/>
      <c r="AO514" s="42"/>
      <c r="AP514" s="42"/>
      <c r="AQ514" s="42"/>
      <c r="AR514" s="42"/>
      <c r="AS514" s="42"/>
      <c r="AT514" s="42"/>
      <c r="AU514" s="42"/>
      <c r="AV514" s="42"/>
      <c r="AW514" s="42"/>
      <c r="AX514" s="42"/>
      <c r="AY514" s="42"/>
      <c r="AZ514" s="42"/>
      <c r="BA514" s="42"/>
      <c r="BB514" s="42"/>
      <c r="BC514" s="42"/>
      <c r="BD514" s="42"/>
      <c r="BE514" s="42"/>
      <c r="BF514" s="42"/>
      <c r="BG514" s="42"/>
      <c r="BH514" s="42"/>
      <c r="BI514" s="42"/>
      <c r="BJ514" s="42"/>
      <c r="BK514" s="42"/>
      <c r="BL514" s="42"/>
      <c r="BM514" s="42"/>
      <c r="BN514" s="42"/>
    </row>
    <row r="515" spans="1:66" ht="12.75" customHeight="1" x14ac:dyDescent="0.2">
      <c r="A515" s="43" t="s">
        <v>427</v>
      </c>
      <c r="B515" s="20" t="str">
        <f>_xll.ciqfunctions.udf.CIQ(InputTicker, "IQ_NET_DEBT_EBITDA_CAPEX",Input!D$2,Date)</f>
        <v>NM</v>
      </c>
      <c r="C515" s="20" t="str">
        <f>_xll.ciqfunctions.udf.CIQ(InputTicker, "IQ_NET_DEBT_EBITDA_CAPEX",Input!E$2,Date)</f>
        <v>NM</v>
      </c>
      <c r="D515" s="20" t="str">
        <f>_xll.ciqfunctions.udf.CIQ(InputTicker, "IQ_NET_DEBT_EBITDA_CAPEX",Input!F$2,Date)</f>
        <v>NM</v>
      </c>
      <c r="E515" s="20" t="str">
        <f>_xll.ciqfunctions.udf.CIQ(InputTicker, "IQ_NET_DEBT_EBITDA_CAPEX",Input!G$2,Date)</f>
        <v>NM</v>
      </c>
      <c r="F515" s="20" t="str">
        <f>_xll.ciqfunctions.udf.CIQ(InputTicker, "IQ_NET_DEBT_EBITDA_CAPEX",Input!H$2,Date)</f>
        <v>NM</v>
      </c>
      <c r="G515" s="20" t="str">
        <f>_xll.ciqfunctions.udf.CIQ(InputTicker, "IQ_NET_DEBT_EBITDA_CAPEX",Input!I$2,Date)</f>
        <v>NM</v>
      </c>
      <c r="H515" s="20" t="str">
        <f>_xll.ciqfunctions.udf.CIQ(InputTicker, "IQ_NET_DEBT_EBITDA_CAPEX",Input!J$2,Date)</f>
        <v>NM</v>
      </c>
      <c r="I515" s="20" t="str">
        <f>_xll.ciqfunctions.udf.CIQ(InputTicker, "IQ_NET_DEBT_EBITDA_CAPEX",Input!K$2,Date)</f>
        <v>NM</v>
      </c>
      <c r="J515" s="20">
        <f>_xll.ciqfunctions.udf.CIQ(InputTicker, "IQ_NET_DEBT_EBITDA_CAPEX",Input!L$2,Date)</f>
        <v>0.25218000000000002</v>
      </c>
      <c r="K515" s="20">
        <f>_xll.ciqfunctions.udf.CIQ(InputTicker, "IQ_NET_DEBT_EBITDA_CAPEX",Input!M$2,Date)</f>
        <v>0.18081</v>
      </c>
      <c r="L515" s="20">
        <f>_xll.ciqfunctions.udf.CIQ(InputTicker, "IQ_NET_DEBT_EBITDA_CAPEX",Input!N$2,Date)</f>
        <v>0.61182000000000003</v>
      </c>
      <c r="M515" s="20">
        <f>_xll.ciqfunctions.udf.CIQ(InputTicker, "IQ_NET_DEBT_EBITDA_CAPEX",Input!O$2,Date)</f>
        <v>0.61182000000000003</v>
      </c>
      <c r="N515" s="42"/>
      <c r="T515" s="42"/>
      <c r="U515" s="42"/>
      <c r="V515" s="42"/>
      <c r="W515" s="42"/>
      <c r="X515" s="42"/>
      <c r="Y515" s="42"/>
      <c r="Z515" s="42"/>
      <c r="AA515" s="42"/>
      <c r="AB515" s="42"/>
      <c r="AC515" s="42"/>
      <c r="AD515" s="42"/>
      <c r="AE515" s="42"/>
      <c r="AF515" s="42"/>
      <c r="AG515" s="42"/>
      <c r="AH515" s="42"/>
      <c r="AI515" s="42"/>
      <c r="AJ515" s="42"/>
      <c r="AK515" s="42"/>
      <c r="AL515" s="42"/>
      <c r="AM515" s="42"/>
      <c r="AN515" s="42"/>
      <c r="AO515" s="42"/>
      <c r="AP515" s="42"/>
      <c r="AQ515" s="42"/>
      <c r="AR515" s="42"/>
      <c r="AS515" s="42"/>
      <c r="AT515" s="42"/>
      <c r="AU515" s="42"/>
      <c r="AV515" s="42"/>
      <c r="AW515" s="42"/>
      <c r="AX515" s="42"/>
      <c r="AY515" s="42"/>
      <c r="AZ515" s="42"/>
      <c r="BA515" s="42"/>
      <c r="BB515" s="42"/>
      <c r="BC515" s="42"/>
      <c r="BD515" s="42"/>
      <c r="BE515" s="42"/>
      <c r="BF515" s="42"/>
      <c r="BG515" s="42"/>
      <c r="BH515" s="42"/>
      <c r="BI515" s="42"/>
      <c r="BJ515" s="42"/>
      <c r="BK515" s="42"/>
      <c r="BL515" s="42"/>
      <c r="BM515" s="42"/>
      <c r="BN515" s="42"/>
    </row>
    <row r="516" spans="1:66" ht="12.75" customHeight="1" x14ac:dyDescent="0.2">
      <c r="A516" s="43" t="s">
        <v>500</v>
      </c>
      <c r="B516" s="20" t="str">
        <f>_xll.ciqfunctions.udf.CIQ(InputTicker,  "IQ_NET_DEBT_EBITDA_EXCL_OPER_LEASES_CAPEX",Input!D$2,Date)</f>
        <v>NM</v>
      </c>
      <c r="C516" s="20" t="str">
        <f>_xll.ciqfunctions.udf.CIQ(InputTicker,  "IQ_NET_DEBT_EBITDA_EXCL_OPER_LEASES_CAPEX",Input!E$2,Date)</f>
        <v>NM</v>
      </c>
      <c r="D516" s="20" t="str">
        <f>_xll.ciqfunctions.udf.CIQ(InputTicker,  "IQ_NET_DEBT_EBITDA_EXCL_OPER_LEASES_CAPEX",Input!F$2,Date)</f>
        <v>NM</v>
      </c>
      <c r="E516" s="20" t="str">
        <f>_xll.ciqfunctions.udf.CIQ(InputTicker,  "IQ_NET_DEBT_EBITDA_EXCL_OPER_LEASES_CAPEX",Input!G$2,Date)</f>
        <v>NM</v>
      </c>
      <c r="F516" s="20" t="str">
        <f>_xll.ciqfunctions.udf.CIQ(InputTicker,  "IQ_NET_DEBT_EBITDA_EXCL_OPER_LEASES_CAPEX",Input!H$2,Date)</f>
        <v>NM</v>
      </c>
      <c r="G516" s="20" t="str">
        <f>_xll.ciqfunctions.udf.CIQ(InputTicker,  "IQ_NET_DEBT_EBITDA_EXCL_OPER_LEASES_CAPEX",Input!I$2,Date)</f>
        <v>NM</v>
      </c>
      <c r="H516" s="20" t="str">
        <f>_xll.ciqfunctions.udf.CIQ(InputTicker,  "IQ_NET_DEBT_EBITDA_EXCL_OPER_LEASES_CAPEX",Input!J$2,Date)</f>
        <v>NM</v>
      </c>
      <c r="I516" s="20" t="str">
        <f>_xll.ciqfunctions.udf.CIQ(InputTicker,  "IQ_NET_DEBT_EBITDA_EXCL_OPER_LEASES_CAPEX",Input!K$2,Date)</f>
        <v>NM</v>
      </c>
      <c r="J516" s="20">
        <f>_xll.ciqfunctions.udf.CIQ(InputTicker,  "IQ_NET_DEBT_EBITDA_EXCL_OPER_LEASES_CAPEX",Input!L$2,Date)</f>
        <v>0.26273999999999997</v>
      </c>
      <c r="K516" s="20">
        <f>_xll.ciqfunctions.udf.CIQ(InputTicker,  "IQ_NET_DEBT_EBITDA_EXCL_OPER_LEASES_CAPEX",Input!M$2,Date)</f>
        <v>0.19167000000000001</v>
      </c>
      <c r="L516" s="20">
        <f>_xll.ciqfunctions.udf.CIQ(InputTicker,  "IQ_NET_DEBT_EBITDA_EXCL_OPER_LEASES_CAPEX",Input!N$2,Date)</f>
        <v>0.66627000000000003</v>
      </c>
      <c r="M516" s="20">
        <f>_xll.ciqfunctions.udf.CIQ(InputTicker,  "IQ_NET_DEBT_EBITDA_EXCL_OPER_LEASES_CAPEX",Input!O$2,Date)</f>
        <v>0.66627000000000003</v>
      </c>
      <c r="N516" s="42"/>
      <c r="T516" s="42"/>
      <c r="U516" s="42"/>
      <c r="V516" s="42"/>
      <c r="W516" s="42"/>
      <c r="X516" s="42"/>
      <c r="Y516" s="42"/>
      <c r="Z516" s="42"/>
      <c r="AA516" s="42"/>
      <c r="AB516" s="42"/>
      <c r="AC516" s="42"/>
      <c r="AD516" s="42"/>
      <c r="AE516" s="42"/>
      <c r="AF516" s="42"/>
      <c r="AG516" s="42"/>
      <c r="AH516" s="42"/>
      <c r="AI516" s="42"/>
      <c r="AJ516" s="42"/>
      <c r="AK516" s="42"/>
      <c r="AL516" s="42"/>
      <c r="AM516" s="42"/>
      <c r="AN516" s="42"/>
      <c r="AO516" s="42"/>
      <c r="AP516" s="42"/>
      <c r="AQ516" s="42"/>
      <c r="AR516" s="42"/>
      <c r="AS516" s="42"/>
      <c r="AT516" s="42"/>
      <c r="AU516" s="42"/>
      <c r="AV516" s="42"/>
      <c r="AW516" s="42"/>
      <c r="AX516" s="42"/>
      <c r="AY516" s="42"/>
      <c r="AZ516" s="42"/>
      <c r="BA516" s="42"/>
      <c r="BB516" s="42"/>
      <c r="BC516" s="42"/>
      <c r="BD516" s="42"/>
      <c r="BE516" s="42"/>
      <c r="BF516" s="42"/>
      <c r="BG516" s="42"/>
      <c r="BH516" s="42"/>
      <c r="BI516" s="42"/>
      <c r="BJ516" s="42"/>
      <c r="BK516" s="42"/>
      <c r="BL516" s="42"/>
      <c r="BM516" s="42"/>
      <c r="BN516" s="42"/>
    </row>
    <row r="517" spans="1:66" ht="12.75" customHeight="1" x14ac:dyDescent="0.2">
      <c r="A517" s="19" t="s">
        <v>428</v>
      </c>
      <c r="B517" s="21">
        <f>_xll.ciqfunctions.udf.CIQ(InputTicker, "IQ_TOTAL_REV_EMPLOYEE",Input!D$2,Date,,,Ccy,Conv)</f>
        <v>799.596</v>
      </c>
      <c r="C517" s="21">
        <f>_xll.ciqfunctions.udf.CIQ(InputTicker, "IQ_TOTAL_REV_EMPLOYEE",Input!E$2,Date,,,Ccy,Conv)</f>
        <v>778.798</v>
      </c>
      <c r="D517" s="21">
        <f>_xll.ciqfunctions.udf.CIQ(InputTicker, "IQ_TOTAL_REV_EMPLOYEE",Input!F$2,Date,,,Ccy,Conv)</f>
        <v>842.44200000000001</v>
      </c>
      <c r="E517" s="21">
        <f>_xll.ciqfunctions.udf.CIQ(InputTicker, "IQ_TOTAL_REV_EMPLOYEE",Input!G$2,Date,,,Ccy,Conv)</f>
        <v>873.90899999999999</v>
      </c>
      <c r="F517" s="21">
        <f>_xll.ciqfunctions.udf.CIQ(InputTicker, "IQ_TOTAL_REV_EMPLOYEE",Input!H$2,Date,,,Ccy,Conv)</f>
        <v>877.39200000000005</v>
      </c>
      <c r="G517" s="21">
        <f>_xll.ciqfunctions.udf.CIQ(InputTicker, "IQ_TOTAL_REV_EMPLOYEE",Input!I$2,Date,,,Ccy,Conv)</f>
        <v>928.66200000000003</v>
      </c>
      <c r="H517" s="21">
        <f>_xll.ciqfunctions.udf.CIQ(InputTicker, "IQ_TOTAL_REV_EMPLOYEE",Input!J$2,Date,,,Ccy,Conv)</f>
        <v>897.149</v>
      </c>
      <c r="I517" s="21">
        <f>_xll.ciqfunctions.udf.CIQ(InputTicker, "IQ_TOTAL_REV_EMPLOYEE",Input!K$2,Date,,,Ccy,Conv)</f>
        <v>958.89099999999996</v>
      </c>
      <c r="J517" s="21">
        <f>_xll.ciqfunctions.udf.CIQ(InputTicker, "IQ_TOTAL_REV_EMPLOYEE",Input!L$2,Date,,,Ccy,Conv)</f>
        <v>1075.096</v>
      </c>
      <c r="K517" s="21">
        <f>_xll.ciqfunctions.udf.CIQ(InputTicker, "IQ_TOTAL_REV_EMPLOYEE",Input!M$2,Date,,,Ccy,Conv)</f>
        <v>1235.6310000000001</v>
      </c>
      <c r="L517" s="21">
        <f>_xll.ciqfunctions.udf.CIQ(InputTicker, "IQ_TOTAL_REV_EMPLOYEE",Input!N$2,Date,,,Ccy,Conv)</f>
        <v>1488.067</v>
      </c>
      <c r="M517" s="21">
        <f>_xll.ciqfunctions.udf.CIQ(InputTicker, "IQ_TOTAL_REV_EMPLOYEE",Input!O$2,Date,,,Ccy,Conv)</f>
        <v>1488.067</v>
      </c>
      <c r="N517" s="42"/>
      <c r="T517" s="42"/>
      <c r="U517" s="42"/>
      <c r="V517" s="42"/>
      <c r="W517" s="42"/>
      <c r="X517" s="42"/>
      <c r="Y517" s="42"/>
      <c r="Z517" s="42"/>
      <c r="AA517" s="42"/>
      <c r="AB517" s="42"/>
      <c r="AC517" s="42"/>
      <c r="AD517" s="42"/>
      <c r="AE517" s="42"/>
      <c r="AF517" s="42"/>
      <c r="AG517" s="42"/>
      <c r="AH517" s="42"/>
      <c r="AI517" s="42"/>
      <c r="AJ517" s="42"/>
      <c r="AK517" s="42"/>
      <c r="AL517" s="42"/>
      <c r="AM517" s="42"/>
      <c r="AN517" s="42"/>
      <c r="AO517" s="42"/>
      <c r="AP517" s="42"/>
      <c r="AQ517" s="42"/>
      <c r="AR517" s="42"/>
      <c r="AS517" s="42"/>
      <c r="AT517" s="42"/>
      <c r="AU517" s="42"/>
      <c r="AV517" s="42"/>
      <c r="AW517" s="42"/>
      <c r="AX517" s="42"/>
      <c r="AY517" s="42"/>
      <c r="AZ517" s="42"/>
      <c r="BA517" s="42"/>
      <c r="BB517" s="42"/>
      <c r="BC517" s="42"/>
      <c r="BD517" s="42"/>
      <c r="BE517" s="42"/>
      <c r="BF517" s="42"/>
      <c r="BG517" s="42"/>
      <c r="BH517" s="42"/>
      <c r="BI517" s="42"/>
      <c r="BJ517" s="42"/>
      <c r="BK517" s="42"/>
      <c r="BL517" s="42"/>
      <c r="BM517" s="42"/>
      <c r="BN517" s="42"/>
    </row>
    <row r="518" spans="1:66" ht="12.75" customHeight="1" x14ac:dyDescent="0.2">
      <c r="A518" s="19" t="s">
        <v>244</v>
      </c>
      <c r="B518" s="4">
        <f>_xll.ciqfunctions.udf.CIQ(InputTicker,"IQ_Z_SCORE",Input!D$2,Date)</f>
        <v>3.4311099999999999</v>
      </c>
      <c r="C518" s="4">
        <f>_xll.ciqfunctions.udf.CIQ(InputTicker,"IQ_Z_SCORE",Input!E$2,Date)</f>
        <v>3.1683300000000001</v>
      </c>
      <c r="D518" s="4">
        <f>_xll.ciqfunctions.udf.CIQ(InputTicker,"IQ_Z_SCORE",Input!F$2,Date)</f>
        <v>3.71549</v>
      </c>
      <c r="E518" s="4">
        <f>_xll.ciqfunctions.udf.CIQ(InputTicker,"IQ_Z_SCORE",Input!G$2,Date)</f>
        <v>4.3220700000000001</v>
      </c>
      <c r="F518" s="4">
        <f>_xll.ciqfunctions.udf.CIQ(InputTicker,"IQ_Z_SCORE",Input!H$2,Date)</f>
        <v>5.5840899999999998</v>
      </c>
      <c r="G518" s="4">
        <f>_xll.ciqfunctions.udf.CIQ(InputTicker,"IQ_Z_SCORE",Input!I$2,Date)</f>
        <v>7.1575300000000004</v>
      </c>
      <c r="H518" s="4">
        <f>_xll.ciqfunctions.udf.CIQ(InputTicker,"IQ_Z_SCORE",Input!J$2,Date)</f>
        <v>8.6100399999999997</v>
      </c>
      <c r="I518" s="4">
        <f>_xll.ciqfunctions.udf.CIQ(InputTicker,"IQ_Z_SCORE",Input!K$2,Date)</f>
        <v>7.6827899999999998</v>
      </c>
      <c r="J518" s="4">
        <f>_xll.ciqfunctions.udf.CIQ(InputTicker,"IQ_Z_SCORE",Input!L$2,Date)</f>
        <v>8.6572300000000002</v>
      </c>
      <c r="K518" s="4">
        <f>_xll.ciqfunctions.udf.CIQ(InputTicker,"IQ_Z_SCORE",Input!M$2,Date)</f>
        <v>8.6387800000000006</v>
      </c>
      <c r="L518" s="4">
        <f>_xll.ciqfunctions.udf.CIQ(InputTicker,"IQ_Z_SCORE",Input!N$2,Date)</f>
        <v>8.2635000000000005</v>
      </c>
      <c r="M518" s="4">
        <f>_xll.ciqfunctions.udf.CIQ(InputTicker,"IQ_Z_SCORE",Input!O$2,Date)</f>
        <v>8.2635000000000005</v>
      </c>
      <c r="N518" s="42"/>
      <c r="T518" s="42"/>
      <c r="U518" s="42"/>
      <c r="V518" s="42"/>
      <c r="W518" s="42"/>
      <c r="X518" s="42"/>
      <c r="Y518" s="42"/>
      <c r="Z518" s="42"/>
      <c r="AA518" s="42"/>
      <c r="AB518" s="42"/>
      <c r="AC518" s="42"/>
      <c r="AD518" s="42"/>
      <c r="AE518" s="42"/>
      <c r="AF518" s="42"/>
      <c r="AG518" s="42"/>
      <c r="AH518" s="42"/>
      <c r="AI518" s="42"/>
      <c r="AJ518" s="42"/>
      <c r="AK518" s="42"/>
      <c r="AL518" s="42"/>
      <c r="AM518" s="42"/>
      <c r="AN518" s="42"/>
      <c r="AO518" s="42"/>
      <c r="AP518" s="42"/>
      <c r="AQ518" s="42"/>
      <c r="AR518" s="42"/>
      <c r="AS518" s="42"/>
      <c r="AT518" s="42"/>
      <c r="AU518" s="42"/>
      <c r="AV518" s="42"/>
      <c r="AW518" s="42"/>
      <c r="AX518" s="42"/>
      <c r="AY518" s="42"/>
      <c r="AZ518" s="42"/>
      <c r="BA518" s="42"/>
      <c r="BB518" s="42"/>
      <c r="BC518" s="42"/>
      <c r="BD518" s="42"/>
      <c r="BE518" s="42"/>
      <c r="BF518" s="42"/>
      <c r="BG518" s="42"/>
      <c r="BH518" s="42"/>
      <c r="BI518" s="42"/>
      <c r="BJ518" s="42"/>
      <c r="BK518" s="42"/>
      <c r="BL518" s="42"/>
      <c r="BM518" s="42"/>
      <c r="BN518" s="42"/>
    </row>
    <row r="519" spans="1:66" ht="12.75" customHeight="1" x14ac:dyDescent="0.2">
      <c r="A519" s="19" t="s">
        <v>584</v>
      </c>
      <c r="B519" s="4">
        <f>_xll.ciqfunctions.udf.CIQ(InputTicker, "IQ_TOTAL_REV_1YR_ANN_GROWTH",Input!D$2,Date)</f>
        <v>-2.5924999999999998</v>
      </c>
      <c r="C519" s="4">
        <f>_xll.ciqfunctions.udf.CIQ(InputTicker, "IQ_TOTAL_REV_1YR_ANN_GROWTH",Input!E$2,Date)</f>
        <v>5.9425999999999997</v>
      </c>
      <c r="D519" s="4">
        <f>_xll.ciqfunctions.udf.CIQ(InputTicker, "IQ_TOTAL_REV_1YR_ANN_GROWTH",Input!F$2,Date)</f>
        <v>14.278600000000001</v>
      </c>
      <c r="E519" s="4">
        <f>_xll.ciqfunctions.udf.CIQ(InputTicker, "IQ_TOTAL_REV_1YR_ANN_GROWTH",Input!G$2,Date)</f>
        <v>14.029500000000001</v>
      </c>
      <c r="F519" s="4">
        <f>_xll.ciqfunctions.udf.CIQ(InputTicker, "IQ_TOTAL_REV_1YR_ANN_GROWTH",Input!H$2,Date)</f>
        <v>13.6455</v>
      </c>
      <c r="G519" s="4">
        <f>_xll.ciqfunctions.udf.CIQ(InputTicker, "IQ_TOTAL_REV_1YR_ANN_GROWTH",Input!I$2,Date)</f>
        <v>17.531700000000001</v>
      </c>
      <c r="H519" s="4">
        <f>_xll.ciqfunctions.udf.CIQ(InputTicker, "IQ_TOTAL_REV_1YR_ANN_GROWTH",Input!J$2,Date)</f>
        <v>17.956</v>
      </c>
      <c r="I519" s="4">
        <f>_xll.ciqfunctions.udf.CIQ(InputTicker, "IQ_TOTAL_REV_1YR_ANN_GROWTH",Input!K$2,Date)</f>
        <v>6.8819999999999997</v>
      </c>
      <c r="J519" s="4">
        <f>_xll.ciqfunctions.udf.CIQ(InputTicker, "IQ_TOTAL_REV_1YR_ANN_GROWTH",Input!L$2,Date)</f>
        <v>15.6699</v>
      </c>
      <c r="K519" s="4">
        <f>_xll.ciqfunctions.udf.CIQ(InputTicker, "IQ_TOTAL_REV_1YR_ANN_GROWTH",Input!M$2,Date)</f>
        <v>14.9321</v>
      </c>
      <c r="L519" s="4">
        <f>_xll.ciqfunctions.udf.CIQ(InputTicker, "IQ_TOTAL_REV_1YR_ANN_GROWTH",Input!N$2,Date)</f>
        <v>17.788599999999999</v>
      </c>
      <c r="M519" s="4">
        <f>_xll.ciqfunctions.udf.CIQ(InputTicker, "IQ_TOTAL_REV_1YR_ANN_GROWTH",Input!O$2,Date)</f>
        <v>17.788599999999999</v>
      </c>
      <c r="N519" s="42"/>
      <c r="T519" s="42"/>
      <c r="U519" s="42"/>
      <c r="V519" s="42"/>
      <c r="W519" s="42"/>
      <c r="X519" s="42"/>
      <c r="Y519" s="42"/>
      <c r="Z519" s="42"/>
      <c r="AA519" s="42"/>
      <c r="AB519" s="42"/>
      <c r="AC519" s="42"/>
      <c r="AD519" s="42"/>
      <c r="AE519" s="42"/>
      <c r="AF519" s="42"/>
      <c r="AG519" s="42"/>
      <c r="AH519" s="42"/>
      <c r="AI519" s="42"/>
      <c r="AJ519" s="42"/>
      <c r="AK519" s="42"/>
      <c r="AL519" s="42"/>
      <c r="AM519" s="42"/>
      <c r="AN519" s="42"/>
      <c r="AO519" s="42"/>
      <c r="AP519" s="42"/>
      <c r="AQ519" s="42"/>
      <c r="AR519" s="42"/>
      <c r="AS519" s="42"/>
      <c r="AT519" s="42"/>
      <c r="AU519" s="42"/>
      <c r="AV519" s="42"/>
      <c r="AW519" s="42"/>
      <c r="AX519" s="42"/>
      <c r="AY519" s="42"/>
      <c r="AZ519" s="42"/>
      <c r="BA519" s="42"/>
      <c r="BB519" s="42"/>
      <c r="BC519" s="42"/>
      <c r="BD519" s="42"/>
      <c r="BE519" s="42"/>
      <c r="BF519" s="42"/>
      <c r="BG519" s="42"/>
      <c r="BH519" s="42"/>
      <c r="BI519" s="42"/>
      <c r="BJ519" s="42"/>
      <c r="BK519" s="42"/>
      <c r="BL519" s="42"/>
      <c r="BM519" s="42"/>
      <c r="BN519" s="42"/>
    </row>
    <row r="520" spans="1:66" ht="12.75" customHeight="1" x14ac:dyDescent="0.2">
      <c r="A520" s="19" t="s">
        <v>585</v>
      </c>
      <c r="B520" s="4">
        <f>_xll.ciqfunctions.udf.CIQ(InputTicker, "IQ_GP_1YR_ANN_GROWTH",Input!D$2,Date)</f>
        <v>-3.581</v>
      </c>
      <c r="C520" s="4">
        <f>_xll.ciqfunctions.udf.CIQ(InputTicker, "IQ_GP_1YR_ANN_GROWTH",Input!E$2,Date)</f>
        <v>6.7427000000000001</v>
      </c>
      <c r="D520" s="4">
        <f>_xll.ciqfunctions.udf.CIQ(InputTicker, "IQ_GP_1YR_ANN_GROWTH",Input!F$2,Date)</f>
        <v>15.5625</v>
      </c>
      <c r="E520" s="4">
        <f>_xll.ciqfunctions.udf.CIQ(InputTicker, "IQ_GP_1YR_ANN_GROWTH",Input!G$2,Date)</f>
        <v>15.173500000000001</v>
      </c>
      <c r="F520" s="4">
        <f>_xll.ciqfunctions.udf.CIQ(InputTicker, "IQ_GP_1YR_ANN_GROWTH",Input!H$2,Date)</f>
        <v>16.885899999999999</v>
      </c>
      <c r="G520" s="4">
        <f>_xll.ciqfunctions.udf.CIQ(InputTicker, "IQ_GP_1YR_ANN_GROWTH",Input!I$2,Date)</f>
        <v>19.5167</v>
      </c>
      <c r="H520" s="4">
        <f>_xll.ciqfunctions.udf.CIQ(InputTicker, "IQ_GP_1YR_ANN_GROWTH",Input!J$2,Date)</f>
        <v>17.059100000000001</v>
      </c>
      <c r="I520" s="4">
        <f>_xll.ciqfunctions.udf.CIQ(InputTicker, "IQ_GP_1YR_ANN_GROWTH",Input!K$2,Date)</f>
        <v>7.6920000000000002</v>
      </c>
      <c r="J520" s="4">
        <f>_xll.ciqfunctions.udf.CIQ(InputTicker, "IQ_GP_1YR_ANN_GROWTH",Input!L$2,Date)</f>
        <v>17.087</v>
      </c>
      <c r="K520" s="4">
        <f>_xll.ciqfunctions.udf.CIQ(InputTicker, "IQ_GP_1YR_ANN_GROWTH",Input!M$2,Date)</f>
        <v>13.382400000000001</v>
      </c>
      <c r="L520" s="4">
        <f>_xll.ciqfunctions.udf.CIQ(InputTicker, "IQ_GP_1YR_ANN_GROWTH",Input!N$2,Date)</f>
        <v>16.283200000000001</v>
      </c>
      <c r="M520" s="4">
        <f>_xll.ciqfunctions.udf.CIQ(InputTicker, "IQ_GP_1YR_ANN_GROWTH",Input!O$2,Date)</f>
        <v>16.283200000000001</v>
      </c>
      <c r="N520" s="42"/>
      <c r="T520" s="42"/>
      <c r="U520" s="42"/>
      <c r="V520" s="42"/>
      <c r="W520" s="42"/>
      <c r="X520" s="42"/>
      <c r="Y520" s="42"/>
      <c r="Z520" s="42"/>
      <c r="AA520" s="42"/>
      <c r="AB520" s="42"/>
      <c r="AC520" s="42"/>
      <c r="AD520" s="42"/>
      <c r="AE520" s="42"/>
      <c r="AF520" s="42"/>
      <c r="AG520" s="42"/>
      <c r="AH520" s="42"/>
      <c r="AI520" s="42"/>
      <c r="AJ520" s="42"/>
      <c r="AK520" s="42"/>
      <c r="AL520" s="42"/>
      <c r="AM520" s="42"/>
      <c r="AN520" s="42"/>
      <c r="AO520" s="42"/>
      <c r="AP520" s="42"/>
      <c r="AQ520" s="42"/>
      <c r="AR520" s="42"/>
      <c r="AS520" s="42"/>
      <c r="AT520" s="42"/>
      <c r="AU520" s="42"/>
      <c r="AV520" s="42"/>
      <c r="AW520" s="42"/>
      <c r="AX520" s="42"/>
      <c r="AY520" s="42"/>
      <c r="AZ520" s="42"/>
      <c r="BA520" s="42"/>
      <c r="BB520" s="42"/>
      <c r="BC520" s="42"/>
      <c r="BD520" s="42"/>
      <c r="BE520" s="42"/>
      <c r="BF520" s="42"/>
      <c r="BG520" s="42"/>
      <c r="BH520" s="42"/>
      <c r="BI520" s="42"/>
      <c r="BJ520" s="42"/>
      <c r="BK520" s="42"/>
      <c r="BL520" s="42"/>
      <c r="BM520" s="42"/>
      <c r="BN520" s="42"/>
    </row>
    <row r="521" spans="1:66" ht="12.75" customHeight="1" x14ac:dyDescent="0.2">
      <c r="A521" s="19" t="s">
        <v>586</v>
      </c>
      <c r="B521" s="4">
        <f>_xll.ciqfunctions.udf.CIQ(InputTicker,  "IQ_EBITDA_1YR_ANN_GROWTH",Input!D$2,Date)</f>
        <v>-1.5073000000000001</v>
      </c>
      <c r="C521" s="4">
        <f>_xll.ciqfunctions.udf.CIQ(InputTicker,  "IQ_EBITDA_1YR_ANN_GROWTH",Input!E$2,Date)</f>
        <v>12.2935</v>
      </c>
      <c r="D521" s="4">
        <f>_xll.ciqfunctions.udf.CIQ(InputTicker,  "IQ_EBITDA_1YR_ANN_GROWTH",Input!F$2,Date)</f>
        <v>21.0794</v>
      </c>
      <c r="E521" s="4">
        <f>_xll.ciqfunctions.udf.CIQ(InputTicker,  "IQ_EBITDA_1YR_ANN_GROWTH",Input!G$2,Date)</f>
        <v>21.355399999999999</v>
      </c>
      <c r="F521" s="4">
        <f>_xll.ciqfunctions.udf.CIQ(InputTicker,  "IQ_EBITDA_1YR_ANN_GROWTH",Input!H$2,Date)</f>
        <v>19.611699999999999</v>
      </c>
      <c r="G521" s="4">
        <f>_xll.ciqfunctions.udf.CIQ(InputTicker,  "IQ_EBITDA_1YR_ANN_GROWTH",Input!I$2,Date)</f>
        <v>23.838799999999999</v>
      </c>
      <c r="H521" s="4">
        <f>_xll.ciqfunctions.udf.CIQ(InputTicker,  "IQ_EBITDA_1YR_ANN_GROWTH",Input!J$2,Date)</f>
        <v>21.242000000000001</v>
      </c>
      <c r="I521" s="4">
        <f>_xll.ciqfunctions.udf.CIQ(InputTicker,  "IQ_EBITDA_1YR_ANN_GROWTH",Input!K$2,Date)</f>
        <v>4.1231</v>
      </c>
      <c r="J521" s="4">
        <f>_xll.ciqfunctions.udf.CIQ(InputTicker,  "IQ_EBITDA_1YR_ANN_GROWTH",Input!L$2,Date)</f>
        <v>26.866399999999999</v>
      </c>
      <c r="K521" s="4">
        <f>_xll.ciqfunctions.udf.CIQ(InputTicker,  "IQ_EBITDA_1YR_ANN_GROWTH",Input!M$2,Date)</f>
        <v>20.933599999999998</v>
      </c>
      <c r="L521" s="4">
        <f>_xll.ciqfunctions.udf.CIQ(InputTicker,  "IQ_EBITDA_1YR_ANN_GROWTH",Input!N$2,Date)</f>
        <v>24.090800000000002</v>
      </c>
      <c r="M521" s="4">
        <f>_xll.ciqfunctions.udf.CIQ(InputTicker,  "IQ_EBITDA_1YR_ANN_GROWTH",Input!O$2,Date)</f>
        <v>24.090800000000002</v>
      </c>
      <c r="N521" s="42"/>
      <c r="T521" s="42"/>
      <c r="U521" s="42"/>
      <c r="V521" s="42"/>
      <c r="W521" s="42"/>
      <c r="X521" s="42"/>
      <c r="Y521" s="42"/>
      <c r="Z521" s="42"/>
      <c r="AA521" s="42"/>
      <c r="AB521" s="42"/>
      <c r="AC521" s="42"/>
      <c r="AD521" s="42"/>
      <c r="AE521" s="42"/>
      <c r="AF521" s="42"/>
      <c r="AG521" s="42"/>
      <c r="AH521" s="42"/>
      <c r="AI521" s="42"/>
      <c r="AJ521" s="42"/>
      <c r="AK521" s="42"/>
      <c r="AL521" s="42"/>
      <c r="AM521" s="42"/>
      <c r="AN521" s="42"/>
      <c r="AO521" s="42"/>
      <c r="AP521" s="42"/>
      <c r="AQ521" s="42"/>
      <c r="AR521" s="42"/>
      <c r="AS521" s="42"/>
      <c r="AT521" s="42"/>
      <c r="AU521" s="42"/>
      <c r="AV521" s="42"/>
      <c r="AW521" s="42"/>
      <c r="AX521" s="42"/>
      <c r="AY521" s="42"/>
      <c r="AZ521" s="42"/>
      <c r="BA521" s="42"/>
      <c r="BB521" s="42"/>
      <c r="BC521" s="42"/>
      <c r="BD521" s="42"/>
      <c r="BE521" s="42"/>
      <c r="BF521" s="42"/>
      <c r="BG521" s="42"/>
      <c r="BH521" s="42"/>
      <c r="BI521" s="42"/>
      <c r="BJ521" s="42"/>
      <c r="BK521" s="42"/>
      <c r="BL521" s="42"/>
      <c r="BM521" s="42"/>
      <c r="BN521" s="42"/>
    </row>
    <row r="522" spans="1:66" ht="12.75" customHeight="1" x14ac:dyDescent="0.2">
      <c r="A522" s="19" t="s">
        <v>587</v>
      </c>
      <c r="B522" s="4">
        <f>_xll.ciqfunctions.udf.CIQ(InputTicker, "IQ_EBIT_1YR_ANN_GROWTH",Input!D$2,Date)</f>
        <v>-3.4929000000000001</v>
      </c>
      <c r="C522" s="4">
        <f>_xll.ciqfunctions.udf.CIQ(InputTicker, "IQ_EBIT_1YR_ANN_GROWTH",Input!E$2,Date)</f>
        <v>7.8821000000000003</v>
      </c>
      <c r="D522" s="4">
        <f>_xll.ciqfunctions.udf.CIQ(InputTicker, "IQ_EBIT_1YR_ANN_GROWTH",Input!F$2,Date)</f>
        <v>19.525400000000001</v>
      </c>
      <c r="E522" s="4">
        <f>_xll.ciqfunctions.udf.CIQ(InputTicker, "IQ_EBIT_1YR_ANN_GROWTH",Input!G$2,Date)</f>
        <v>22.536899999999999</v>
      </c>
      <c r="F522" s="4">
        <f>_xll.ciqfunctions.udf.CIQ(InputTicker, "IQ_EBIT_1YR_ANN_GROWTH",Input!H$2,Date)</f>
        <v>23.277999999999999</v>
      </c>
      <c r="G522" s="4">
        <f>_xll.ciqfunctions.udf.CIQ(InputTicker, "IQ_EBIT_1YR_ANN_GROWTH",Input!I$2,Date)</f>
        <v>32.019100000000002</v>
      </c>
      <c r="H522" s="4">
        <f>_xll.ciqfunctions.udf.CIQ(InputTicker, "IQ_EBIT_1YR_ANN_GROWTH",Input!J$2,Date)</f>
        <v>19.261600000000001</v>
      </c>
      <c r="I522" s="4">
        <f>_xll.ciqfunctions.udf.CIQ(InputTicker, "IQ_EBIT_1YR_ANN_GROWTH",Input!K$2,Date)</f>
        <v>6.1642999999999999</v>
      </c>
      <c r="J522" s="4">
        <f>_xll.ciqfunctions.udf.CIQ(InputTicker, "IQ_EBIT_1YR_ANN_GROWTH",Input!L$2,Date)</f>
        <v>23.620899999999999</v>
      </c>
      <c r="K522" s="4">
        <f>_xll.ciqfunctions.udf.CIQ(InputTicker, "IQ_EBIT_1YR_ANN_GROWTH",Input!M$2,Date)</f>
        <v>17.449000000000002</v>
      </c>
      <c r="L522" s="4">
        <f>_xll.ciqfunctions.udf.CIQ(InputTicker, "IQ_EBIT_1YR_ANN_GROWTH",Input!N$2,Date)</f>
        <v>20.7806</v>
      </c>
      <c r="M522" s="4">
        <f>_xll.ciqfunctions.udf.CIQ(InputTicker, "IQ_EBIT_1YR_ANN_GROWTH",Input!O$2,Date)</f>
        <v>20.7806</v>
      </c>
      <c r="N522" s="42"/>
      <c r="T522" s="42"/>
      <c r="U522" s="42"/>
      <c r="V522" s="42"/>
      <c r="W522" s="42"/>
      <c r="X522" s="42"/>
      <c r="Y522" s="42"/>
      <c r="Z522" s="42"/>
      <c r="AA522" s="42"/>
      <c r="AB522" s="42"/>
      <c r="AC522" s="42"/>
      <c r="AD522" s="42"/>
      <c r="AE522" s="42"/>
      <c r="AF522" s="42"/>
      <c r="AG522" s="42"/>
      <c r="AH522" s="42"/>
      <c r="AI522" s="42"/>
      <c r="AJ522" s="42"/>
      <c r="AK522" s="42"/>
      <c r="AL522" s="42"/>
      <c r="AM522" s="42"/>
      <c r="AN522" s="42"/>
      <c r="AO522" s="42"/>
      <c r="AP522" s="42"/>
      <c r="AQ522" s="42"/>
      <c r="AR522" s="42"/>
      <c r="AS522" s="42"/>
      <c r="AT522" s="42"/>
      <c r="AU522" s="42"/>
      <c r="AV522" s="42"/>
      <c r="AW522" s="42"/>
      <c r="AX522" s="42"/>
      <c r="AY522" s="42"/>
      <c r="AZ522" s="42"/>
      <c r="BA522" s="42"/>
      <c r="BB522" s="42"/>
      <c r="BC522" s="42"/>
      <c r="BD522" s="42"/>
      <c r="BE522" s="42"/>
      <c r="BF522" s="42"/>
      <c r="BG522" s="42"/>
      <c r="BH522" s="42"/>
      <c r="BI522" s="42"/>
      <c r="BJ522" s="42"/>
      <c r="BK522" s="42"/>
      <c r="BL522" s="42"/>
      <c r="BM522" s="42"/>
      <c r="BN522" s="42"/>
    </row>
    <row r="523" spans="1:66" ht="12.75" customHeight="1" x14ac:dyDescent="0.2">
      <c r="A523" s="19" t="s">
        <v>588</v>
      </c>
      <c r="B523" s="4">
        <f>_xll.ciqfunctions.udf.CIQ(InputTicker,  "IQ_NI_1YR_ANN_GROWTH",Input!D$2,Date)</f>
        <v>68.449100000000001</v>
      </c>
      <c r="C523" s="4">
        <f>_xll.ciqfunctions.udf.CIQ(InputTicker,  "IQ_NI_1YR_ANN_GROWTH",Input!E$2,Date)</f>
        <v>24.1004</v>
      </c>
      <c r="D523" s="4">
        <f>_xll.ciqfunctions.udf.CIQ(InputTicker,  "IQ_NI_1YR_ANN_GROWTH",Input!F$2,Date)</f>
        <v>-34.987699999999997</v>
      </c>
      <c r="E523" s="4">
        <f>_xll.ciqfunctions.udf.CIQ(InputTicker,  "IQ_NI_1YR_ANN_GROWTH",Input!G$2,Date)</f>
        <v>136.79920000000001</v>
      </c>
      <c r="F523" s="4">
        <f>_xll.ciqfunctions.udf.CIQ(InputTicker,  "IQ_NI_1YR_ANN_GROWTH",Input!H$2,Date)</f>
        <v>12.846500000000001</v>
      </c>
      <c r="G523" s="4">
        <f>_xll.ciqfunctions.udf.CIQ(InputTicker,  "IQ_NI_1YR_ANN_GROWTH",Input!I$2,Date)</f>
        <v>38.368600000000001</v>
      </c>
      <c r="H523" s="4">
        <f>_xll.ciqfunctions.udf.CIQ(InputTicker,  "IQ_NI_1YR_ANN_GROWTH",Input!J$2,Date)</f>
        <v>18.715199999999999</v>
      </c>
      <c r="I523" s="4">
        <f>_xll.ciqfunctions.udf.CIQ(InputTicker,  "IQ_NI_1YR_ANN_GROWTH",Input!K$2,Date)</f>
        <v>-0.51829999999999998</v>
      </c>
      <c r="J523" s="4">
        <f>_xll.ciqfunctions.udf.CIQ(InputTicker,  "IQ_NI_1YR_ANN_GROWTH",Input!L$2,Date)</f>
        <v>21.8004</v>
      </c>
      <c r="K523" s="4">
        <f>_xll.ciqfunctions.udf.CIQ(InputTicker,  "IQ_NI_1YR_ANN_GROWTH",Input!M$2,Date)</f>
        <v>15.5396</v>
      </c>
      <c r="L523" s="4">
        <f>_xll.ciqfunctions.udf.CIQ(InputTicker,  "IQ_NI_1YR_ANN_GROWTH",Input!N$2,Date)</f>
        <v>31.342700000000001</v>
      </c>
      <c r="M523" s="4">
        <f>_xll.ciqfunctions.udf.CIQ(InputTicker,  "IQ_NI_1YR_ANN_GROWTH",Input!O$2,Date)</f>
        <v>31.342700000000001</v>
      </c>
      <c r="N523" s="42"/>
      <c r="T523" s="42"/>
      <c r="U523" s="42"/>
      <c r="V523" s="42"/>
      <c r="W523" s="42"/>
      <c r="X523" s="42"/>
      <c r="Y523" s="42"/>
      <c r="Z523" s="42"/>
      <c r="AA523" s="42"/>
      <c r="AB523" s="42"/>
      <c r="AC523" s="42"/>
      <c r="AD523" s="42"/>
      <c r="AE523" s="42"/>
      <c r="AF523" s="42"/>
      <c r="AG523" s="42"/>
      <c r="AH523" s="42"/>
      <c r="AI523" s="42"/>
      <c r="AJ523" s="42"/>
      <c r="AK523" s="42"/>
      <c r="AL523" s="42"/>
      <c r="AM523" s="42"/>
      <c r="AN523" s="42"/>
      <c r="AO523" s="42"/>
      <c r="AP523" s="42"/>
      <c r="AQ523" s="42"/>
      <c r="AR523" s="42"/>
      <c r="AS523" s="42"/>
      <c r="AT523" s="42"/>
      <c r="AU523" s="42"/>
      <c r="AV523" s="42"/>
      <c r="AW523" s="42"/>
      <c r="AX523" s="42"/>
      <c r="AY523" s="42"/>
      <c r="AZ523" s="42"/>
      <c r="BA523" s="42"/>
      <c r="BB523" s="42"/>
      <c r="BC523" s="42"/>
      <c r="BD523" s="42"/>
      <c r="BE523" s="42"/>
      <c r="BF523" s="42"/>
      <c r="BG523" s="42"/>
      <c r="BH523" s="42"/>
      <c r="BI523" s="42"/>
      <c r="BJ523" s="42"/>
      <c r="BK523" s="42"/>
      <c r="BL523" s="42"/>
      <c r="BM523" s="42"/>
      <c r="BN523" s="42"/>
    </row>
    <row r="524" spans="1:66" ht="12.75" customHeight="1" x14ac:dyDescent="0.2">
      <c r="A524" s="19" t="s">
        <v>589</v>
      </c>
      <c r="B524" s="4">
        <f>_xll.ciqfunctions.udf.CIQ(InputTicker, "IQ_EPS_1YR_ANN_GROWTH",Input!D$2,Date)</f>
        <v>72.972899999999996</v>
      </c>
      <c r="C524" s="4">
        <f>_xll.ciqfunctions.udf.CIQ(InputTicker, "IQ_EPS_1YR_ANN_GROWTH",Input!E$2,Date)</f>
        <v>26.953099999999999</v>
      </c>
      <c r="D524" s="4">
        <f>_xll.ciqfunctions.udf.CIQ(InputTicker, "IQ_EPS_1YR_ANN_GROWTH",Input!F$2,Date)</f>
        <v>-34.461599999999997</v>
      </c>
      <c r="E524" s="4">
        <f>_xll.ciqfunctions.udf.CIQ(InputTicker, "IQ_EPS_1YR_ANN_GROWTH",Input!G$2,Date)</f>
        <v>137.55860000000001</v>
      </c>
      <c r="F524" s="4">
        <f>_xll.ciqfunctions.udf.CIQ(InputTicker, "IQ_EPS_1YR_ANN_GROWTH",Input!H$2,Date)</f>
        <v>13.8339</v>
      </c>
      <c r="G524" s="4">
        <f>_xll.ciqfunctions.udf.CIQ(InputTicker, "IQ_EPS_1YR_ANN_GROWTH",Input!I$2,Date)</f>
        <v>39.756900000000002</v>
      </c>
      <c r="H524" s="4">
        <f>_xll.ciqfunctions.udf.CIQ(InputTicker, "IQ_EPS_1YR_ANN_GROWTH",Input!J$2,Date)</f>
        <v>19.875699999999998</v>
      </c>
      <c r="I524" s="4">
        <f>_xll.ciqfunctions.udf.CIQ(InputTicker, "IQ_EPS_1YR_ANN_GROWTH",Input!K$2,Date)</f>
        <v>0.31080000000000002</v>
      </c>
      <c r="J524" s="4">
        <f>_xll.ciqfunctions.udf.CIQ(InputTicker, "IQ_EPS_1YR_ANN_GROWTH",Input!L$2,Date)</f>
        <v>21.9008</v>
      </c>
      <c r="K524" s="4">
        <f>_xll.ciqfunctions.udf.CIQ(InputTicker, "IQ_EPS_1YR_ANN_GROWTH",Input!M$2,Date)</f>
        <v>15.5932</v>
      </c>
      <c r="L524" s="4">
        <f>_xll.ciqfunctions.udf.CIQ(InputTicker, "IQ_EPS_1YR_ANN_GROWTH",Input!N$2,Date)</f>
        <v>31.598199999999999</v>
      </c>
      <c r="M524" s="4">
        <f>_xll.ciqfunctions.udf.CIQ(InputTicker, "IQ_EPS_1YR_ANN_GROWTH",Input!O$2,Date)</f>
        <v>31.598199999999999</v>
      </c>
      <c r="N524" s="42"/>
      <c r="T524" s="42"/>
      <c r="U524" s="42"/>
      <c r="V524" s="42"/>
      <c r="W524" s="42"/>
      <c r="X524" s="42"/>
      <c r="Y524" s="42"/>
      <c r="Z524" s="42"/>
      <c r="AA524" s="42"/>
      <c r="AB524" s="42"/>
      <c r="AC524" s="42"/>
      <c r="AD524" s="42"/>
      <c r="AE524" s="42"/>
      <c r="AF524" s="42"/>
      <c r="AG524" s="42"/>
      <c r="AH524" s="42"/>
      <c r="AI524" s="42"/>
      <c r="AJ524" s="42"/>
      <c r="AK524" s="42"/>
      <c r="AL524" s="42"/>
      <c r="AM524" s="42"/>
      <c r="AN524" s="42"/>
      <c r="AO524" s="42"/>
      <c r="AP524" s="42"/>
      <c r="AQ524" s="42"/>
      <c r="AR524" s="42"/>
      <c r="AS524" s="42"/>
      <c r="AT524" s="42"/>
      <c r="AU524" s="42"/>
      <c r="AV524" s="42"/>
      <c r="AW524" s="42"/>
      <c r="AX524" s="42"/>
      <c r="AY524" s="42"/>
      <c r="AZ524" s="42"/>
      <c r="BA524" s="42"/>
      <c r="BB524" s="42"/>
      <c r="BC524" s="42"/>
      <c r="BD524" s="42"/>
      <c r="BE524" s="42"/>
      <c r="BF524" s="42"/>
      <c r="BG524" s="42"/>
      <c r="BH524" s="42"/>
      <c r="BI524" s="42"/>
      <c r="BJ524" s="42"/>
      <c r="BK524" s="42"/>
      <c r="BL524" s="42"/>
      <c r="BM524" s="42"/>
      <c r="BN524" s="42"/>
    </row>
    <row r="525" spans="1:66" ht="12.75" customHeight="1" x14ac:dyDescent="0.2">
      <c r="A525" s="19" t="s">
        <v>590</v>
      </c>
      <c r="B525" s="4">
        <f>_xll.ciqfunctions.udf.CIQ(InputTicker, "IQ_TOTAL_REV_3YR_ANN_CAGR",Input!D$2,Date)</f>
        <v>5.4</v>
      </c>
      <c r="C525" s="4">
        <f>_xll.ciqfunctions.udf.CIQ(InputTicker, "IQ_TOTAL_REV_3YR_ANN_CAGR",Input!E$2,Date)</f>
        <v>3.6065999999999998</v>
      </c>
      <c r="D525" s="4">
        <f>_xll.ciqfunctions.udf.CIQ(InputTicker, "IQ_TOTAL_REV_3YR_ANN_CAGR",Input!F$2,Date)</f>
        <v>5.6516000000000002</v>
      </c>
      <c r="E525" s="4">
        <f>_xll.ciqfunctions.udf.CIQ(InputTicker, "IQ_TOTAL_REV_3YR_ANN_CAGR",Input!G$2,Date)</f>
        <v>11.3485</v>
      </c>
      <c r="F525" s="4">
        <f>_xll.ciqfunctions.udf.CIQ(InputTicker, "IQ_TOTAL_REV_3YR_ANN_CAGR",Input!H$2,Date)</f>
        <v>13.984299999999999</v>
      </c>
      <c r="G525" s="4">
        <f>_xll.ciqfunctions.udf.CIQ(InputTicker, "IQ_TOTAL_REV_3YR_ANN_CAGR",Input!I$2,Date)</f>
        <v>15.0558</v>
      </c>
      <c r="H525" s="4">
        <f>_xll.ciqfunctions.udf.CIQ(InputTicker, "IQ_TOTAL_REV_3YR_ANN_CAGR",Input!J$2,Date)</f>
        <v>16.361499999999999</v>
      </c>
      <c r="I525" s="4">
        <f>_xll.ciqfunctions.udf.CIQ(InputTicker, "IQ_TOTAL_REV_3YR_ANN_CAGR",Input!K$2,Date)</f>
        <v>14.005699999999999</v>
      </c>
      <c r="J525" s="4">
        <f>_xll.ciqfunctions.udf.CIQ(InputTicker, "IQ_TOTAL_REV_3YR_ANN_CAGR",Input!L$2,Date)</f>
        <v>13.400499999999999</v>
      </c>
      <c r="K525" s="4">
        <f>_xll.ciqfunctions.udf.CIQ(InputTicker, "IQ_TOTAL_REV_3YR_ANN_CAGR",Input!M$2,Date)</f>
        <v>12.4231</v>
      </c>
      <c r="L525" s="4">
        <f>_xll.ciqfunctions.udf.CIQ(InputTicker, "IQ_TOTAL_REV_3YR_ANN_CAGR",Input!N$2,Date)</f>
        <v>16.123999999999999</v>
      </c>
      <c r="M525" s="4">
        <f>_xll.ciqfunctions.udf.CIQ(InputTicker, "IQ_TOTAL_REV_3YR_ANN_CAGR",Input!O$2,Date)</f>
        <v>16.123999999999999</v>
      </c>
      <c r="N525" s="42"/>
      <c r="T525" s="42"/>
      <c r="U525" s="42"/>
      <c r="V525" s="42"/>
      <c r="W525" s="42"/>
      <c r="X525" s="42"/>
      <c r="Y525" s="42"/>
      <c r="Z525" s="42"/>
      <c r="AA525" s="42"/>
      <c r="AB525" s="42"/>
      <c r="AC525" s="42"/>
      <c r="AD525" s="42"/>
      <c r="AE525" s="42"/>
      <c r="AF525" s="42"/>
      <c r="AG525" s="42"/>
      <c r="AH525" s="42"/>
      <c r="AI525" s="42"/>
      <c r="AJ525" s="42"/>
      <c r="AK525" s="42"/>
      <c r="AL525" s="42"/>
      <c r="AM525" s="42"/>
      <c r="AN525" s="42"/>
      <c r="AO525" s="42"/>
      <c r="AP525" s="42"/>
      <c r="AQ525" s="42"/>
      <c r="AR525" s="42"/>
      <c r="AS525" s="42"/>
      <c r="AT525" s="42"/>
      <c r="AU525" s="42"/>
      <c r="AV525" s="42"/>
      <c r="AW525" s="42"/>
      <c r="AX525" s="42"/>
      <c r="AY525" s="42"/>
      <c r="AZ525" s="42"/>
      <c r="BA525" s="42"/>
      <c r="BB525" s="42"/>
      <c r="BC525" s="42"/>
      <c r="BD525" s="42"/>
      <c r="BE525" s="42"/>
      <c r="BF525" s="42"/>
      <c r="BG525" s="42"/>
      <c r="BH525" s="42"/>
      <c r="BI525" s="42"/>
      <c r="BJ525" s="42"/>
      <c r="BK525" s="42"/>
      <c r="BL525" s="42"/>
      <c r="BM525" s="42"/>
      <c r="BN525" s="42"/>
    </row>
    <row r="526" spans="1:66" ht="12.75" customHeight="1" x14ac:dyDescent="0.2">
      <c r="A526" s="19" t="s">
        <v>591</v>
      </c>
      <c r="B526" s="4">
        <f>_xll.ciqfunctions.udf.CIQ(InputTicker, "IQ_GP_3YR_ANN_CAGR",Input!D$2,Date)</f>
        <v>0.52510000000000001</v>
      </c>
      <c r="C526" s="4">
        <f>_xll.ciqfunctions.udf.CIQ(InputTicker, "IQ_GP_3YR_ANN_CAGR",Input!E$2,Date)</f>
        <v>1.4054</v>
      </c>
      <c r="D526" s="4">
        <f>_xll.ciqfunctions.udf.CIQ(InputTicker, "IQ_GP_3YR_ANN_CAGR",Input!F$2,Date)</f>
        <v>5.9512</v>
      </c>
      <c r="E526" s="4">
        <f>_xll.ciqfunctions.udf.CIQ(InputTicker, "IQ_GP_3YR_ANN_CAGR",Input!G$2,Date)</f>
        <v>12.417999999999999</v>
      </c>
      <c r="F526" s="4">
        <f>_xll.ciqfunctions.udf.CIQ(InputTicker, "IQ_GP_3YR_ANN_CAGR",Input!H$2,Date)</f>
        <v>15.871700000000001</v>
      </c>
      <c r="G526" s="4">
        <f>_xll.ciqfunctions.udf.CIQ(InputTicker, "IQ_GP_3YR_ANN_CAGR",Input!I$2,Date)</f>
        <v>17.1785</v>
      </c>
      <c r="H526" s="4">
        <f>_xll.ciqfunctions.udf.CIQ(InputTicker, "IQ_GP_3YR_ANN_CAGR",Input!J$2,Date)</f>
        <v>17.814499999999999</v>
      </c>
      <c r="I526" s="4">
        <f>_xll.ciqfunctions.udf.CIQ(InputTicker, "IQ_GP_3YR_ANN_CAGR",Input!K$2,Date)</f>
        <v>14.6408</v>
      </c>
      <c r="J526" s="4">
        <f>_xll.ciqfunctions.udf.CIQ(InputTicker, "IQ_GP_3YR_ANN_CAGR",Input!L$2,Date)</f>
        <v>13.858599999999999</v>
      </c>
      <c r="K526" s="4">
        <f>_xll.ciqfunctions.udf.CIQ(InputTicker, "IQ_GP_3YR_ANN_CAGR",Input!M$2,Date)</f>
        <v>12.6539</v>
      </c>
      <c r="L526" s="4">
        <f>_xll.ciqfunctions.udf.CIQ(InputTicker, "IQ_GP_3YR_ANN_CAGR",Input!N$2,Date)</f>
        <v>15.5732</v>
      </c>
      <c r="M526" s="4">
        <f>_xll.ciqfunctions.udf.CIQ(InputTicker, "IQ_GP_3YR_ANN_CAGR",Input!O$2,Date)</f>
        <v>15.5732</v>
      </c>
      <c r="N526" s="42"/>
      <c r="T526" s="42"/>
      <c r="U526" s="42"/>
      <c r="V526" s="42"/>
      <c r="W526" s="42"/>
      <c r="X526" s="42"/>
      <c r="Y526" s="42"/>
      <c r="Z526" s="42"/>
      <c r="AA526" s="42"/>
      <c r="AB526" s="42"/>
      <c r="AC526" s="42"/>
      <c r="AD526" s="42"/>
      <c r="AE526" s="42"/>
      <c r="AF526" s="42"/>
      <c r="AG526" s="42"/>
      <c r="AH526" s="42"/>
      <c r="AI526" s="42"/>
      <c r="AJ526" s="42"/>
      <c r="AK526" s="42"/>
      <c r="AL526" s="42"/>
      <c r="AM526" s="42"/>
      <c r="AN526" s="42"/>
      <c r="AO526" s="42"/>
      <c r="AP526" s="42"/>
      <c r="AQ526" s="42"/>
      <c r="AR526" s="42"/>
      <c r="AS526" s="42"/>
      <c r="AT526" s="42"/>
      <c r="AU526" s="42"/>
      <c r="AV526" s="42"/>
      <c r="AW526" s="42"/>
      <c r="AX526" s="42"/>
      <c r="AY526" s="42"/>
      <c r="AZ526" s="42"/>
      <c r="BA526" s="42"/>
      <c r="BB526" s="42"/>
      <c r="BC526" s="42"/>
      <c r="BD526" s="42"/>
      <c r="BE526" s="42"/>
      <c r="BF526" s="42"/>
      <c r="BG526" s="42"/>
      <c r="BH526" s="42"/>
      <c r="BI526" s="42"/>
      <c r="BJ526" s="42"/>
      <c r="BK526" s="42"/>
      <c r="BL526" s="42"/>
      <c r="BM526" s="42"/>
      <c r="BN526" s="42"/>
    </row>
    <row r="527" spans="1:66" ht="12.75" customHeight="1" x14ac:dyDescent="0.2">
      <c r="A527" s="19" t="s">
        <v>592</v>
      </c>
      <c r="B527" s="4">
        <f>_xll.ciqfunctions.udf.CIQ(InputTicker,  "IQ_EBITDA_3YR_ANN_CAGR",Input!D$2,Date)</f>
        <v>2.3546999999999998</v>
      </c>
      <c r="C527" s="4">
        <f>_xll.ciqfunctions.udf.CIQ(InputTicker,  "IQ_EBITDA_3YR_ANN_CAGR",Input!E$2,Date)</f>
        <v>4.9390999999999998</v>
      </c>
      <c r="D527" s="4">
        <f>_xll.ciqfunctions.udf.CIQ(InputTicker,  "IQ_EBITDA_3YR_ANN_CAGR",Input!F$2,Date)</f>
        <v>10.2241</v>
      </c>
      <c r="E527" s="4">
        <f>_xll.ciqfunctions.udf.CIQ(InputTicker,  "IQ_EBITDA_3YR_ANN_CAGR",Input!G$2,Date)</f>
        <v>18.166599999999999</v>
      </c>
      <c r="F527" s="4">
        <f>_xll.ciqfunctions.udf.CIQ(InputTicker,  "IQ_EBITDA_3YR_ANN_CAGR",Input!H$2,Date)</f>
        <v>20.6798</v>
      </c>
      <c r="G527" s="4">
        <f>_xll.ciqfunctions.udf.CIQ(InputTicker,  "IQ_EBITDA_3YR_ANN_CAGR",Input!I$2,Date)</f>
        <v>21.589700000000001</v>
      </c>
      <c r="H527" s="4">
        <f>_xll.ciqfunctions.udf.CIQ(InputTicker,  "IQ_EBITDA_3YR_ANN_CAGR",Input!J$2,Date)</f>
        <v>21.5518</v>
      </c>
      <c r="I527" s="4">
        <f>_xll.ciqfunctions.udf.CIQ(InputTicker,  "IQ_EBITDA_3YR_ANN_CAGR",Input!K$2,Date)</f>
        <v>16.0609</v>
      </c>
      <c r="J527" s="4">
        <f>_xll.ciqfunctions.udf.CIQ(InputTicker,  "IQ_EBITDA_3YR_ANN_CAGR",Input!L$2,Date)</f>
        <v>16.999099999999999</v>
      </c>
      <c r="K527" s="4">
        <f>_xll.ciqfunctions.udf.CIQ(InputTicker,  "IQ_EBITDA_3YR_ANN_CAGR",Input!M$2,Date)</f>
        <v>16.899799999999999</v>
      </c>
      <c r="L527" s="4">
        <f>_xll.ciqfunctions.udf.CIQ(InputTicker,  "IQ_EBITDA_3YR_ANN_CAGR",Input!N$2,Date)</f>
        <v>23.939900000000002</v>
      </c>
      <c r="M527" s="4">
        <f>_xll.ciqfunctions.udf.CIQ(InputTicker,  "IQ_EBITDA_3YR_ANN_CAGR",Input!O$2,Date)</f>
        <v>23.939900000000002</v>
      </c>
      <c r="N527" s="42"/>
      <c r="T527" s="42"/>
      <c r="U527" s="42"/>
      <c r="V527" s="42"/>
      <c r="W527" s="42"/>
      <c r="X527" s="42"/>
      <c r="Y527" s="42"/>
      <c r="Z527" s="42"/>
      <c r="AA527" s="42"/>
      <c r="AB527" s="42"/>
      <c r="AC527" s="42"/>
      <c r="AD527" s="42"/>
      <c r="AE527" s="42"/>
      <c r="AF527" s="42"/>
      <c r="AG527" s="42"/>
      <c r="AH527" s="42"/>
      <c r="AI527" s="42"/>
      <c r="AJ527" s="42"/>
      <c r="AK527" s="42"/>
      <c r="AL527" s="42"/>
      <c r="AM527" s="42"/>
      <c r="AN527" s="42"/>
      <c r="AO527" s="42"/>
      <c r="AP527" s="42"/>
      <c r="AQ527" s="42"/>
      <c r="AR527" s="42"/>
      <c r="AS527" s="42"/>
      <c r="AT527" s="42"/>
      <c r="AU527" s="42"/>
      <c r="AV527" s="42"/>
      <c r="AW527" s="42"/>
      <c r="AX527" s="42"/>
      <c r="AY527" s="42"/>
      <c r="AZ527" s="42"/>
      <c r="BA527" s="42"/>
      <c r="BB527" s="42"/>
      <c r="BC527" s="42"/>
      <c r="BD527" s="42"/>
      <c r="BE527" s="42"/>
      <c r="BF527" s="42"/>
      <c r="BG527" s="42"/>
      <c r="BH527" s="42"/>
      <c r="BI527" s="42"/>
      <c r="BJ527" s="42"/>
      <c r="BK527" s="42"/>
      <c r="BL527" s="42"/>
      <c r="BM527" s="42"/>
      <c r="BN527" s="42"/>
    </row>
    <row r="528" spans="1:66" ht="12.75" customHeight="1" x14ac:dyDescent="0.2">
      <c r="A528" s="19" t="s">
        <v>593</v>
      </c>
      <c r="B528" s="4">
        <f>_xll.ciqfunctions.udf.CIQ(InputTicker, "IQ_EBIT_3YR_ANN_CAGR",Input!D$2,Date)</f>
        <v>-0.376</v>
      </c>
      <c r="C528" s="4">
        <f>_xll.ciqfunctions.udf.CIQ(InputTicker, "IQ_EBIT_3YR_ANN_CAGR",Input!E$2,Date)</f>
        <v>1.6982999999999999</v>
      </c>
      <c r="D528" s="4">
        <f>_xll.ciqfunctions.udf.CIQ(InputTicker, "IQ_EBIT_3YR_ANN_CAGR",Input!F$2,Date)</f>
        <v>7.5613999999999999</v>
      </c>
      <c r="E528" s="4">
        <f>_xll.ciqfunctions.udf.CIQ(InputTicker, "IQ_EBIT_3YR_ANN_CAGR",Input!G$2,Date)</f>
        <v>16.473099999999999</v>
      </c>
      <c r="F528" s="4">
        <f>_xll.ciqfunctions.udf.CIQ(InputTicker, "IQ_EBIT_3YR_ANN_CAGR",Input!H$2,Date)</f>
        <v>21.769200000000001</v>
      </c>
      <c r="G528" s="4">
        <f>_xll.ciqfunctions.udf.CIQ(InputTicker, "IQ_EBIT_3YR_ANN_CAGR",Input!I$2,Date)</f>
        <v>25.872199999999999</v>
      </c>
      <c r="H528" s="4">
        <f>_xll.ciqfunctions.udf.CIQ(InputTicker, "IQ_EBIT_3YR_ANN_CAGR",Input!J$2,Date)</f>
        <v>24.740600000000001</v>
      </c>
      <c r="I528" s="4">
        <f>_xll.ciqfunctions.udf.CIQ(InputTicker, "IQ_EBIT_3YR_ANN_CAGR",Input!K$2,Date)</f>
        <v>18.6785</v>
      </c>
      <c r="J528" s="4">
        <f>_xll.ciqfunctions.udf.CIQ(InputTicker, "IQ_EBIT_3YR_ANN_CAGR",Input!L$2,Date)</f>
        <v>16.1067</v>
      </c>
      <c r="K528" s="4">
        <f>_xll.ciqfunctions.udf.CIQ(InputTicker, "IQ_EBIT_3YR_ANN_CAGR",Input!M$2,Date)</f>
        <v>15.5154</v>
      </c>
      <c r="L528" s="4">
        <f>_xll.ciqfunctions.udf.CIQ(InputTicker, "IQ_EBIT_3YR_ANN_CAGR",Input!N$2,Date)</f>
        <v>20.590499999999999</v>
      </c>
      <c r="M528" s="4">
        <f>_xll.ciqfunctions.udf.CIQ(InputTicker, "IQ_EBIT_3YR_ANN_CAGR",Input!O$2,Date)</f>
        <v>20.590499999999999</v>
      </c>
      <c r="N528" s="42"/>
      <c r="T528" s="42"/>
      <c r="U528" s="42"/>
      <c r="V528" s="42"/>
      <c r="W528" s="42"/>
      <c r="X528" s="42"/>
      <c r="Y528" s="42"/>
      <c r="Z528" s="42"/>
      <c r="AA528" s="42"/>
      <c r="AB528" s="42"/>
      <c r="AC528" s="42"/>
      <c r="AD528" s="42"/>
      <c r="AE528" s="42"/>
      <c r="AF528" s="42"/>
      <c r="AG528" s="42"/>
      <c r="AH528" s="42"/>
      <c r="AI528" s="42"/>
      <c r="AJ528" s="42"/>
      <c r="AK528" s="42"/>
      <c r="AL528" s="42"/>
      <c r="AM528" s="42"/>
      <c r="AN528" s="42"/>
      <c r="AO528" s="42"/>
      <c r="AP528" s="42"/>
      <c r="AQ528" s="42"/>
      <c r="AR528" s="42"/>
      <c r="AS528" s="42"/>
      <c r="AT528" s="42"/>
      <c r="AU528" s="42"/>
      <c r="AV528" s="42"/>
      <c r="AW528" s="42"/>
      <c r="AX528" s="42"/>
      <c r="AY528" s="42"/>
      <c r="AZ528" s="42"/>
      <c r="BA528" s="42"/>
      <c r="BB528" s="42"/>
      <c r="BC528" s="42"/>
      <c r="BD528" s="42"/>
      <c r="BE528" s="42"/>
      <c r="BF528" s="42"/>
      <c r="BG528" s="42"/>
      <c r="BH528" s="42"/>
      <c r="BI528" s="42"/>
      <c r="BJ528" s="42"/>
      <c r="BK528" s="42"/>
      <c r="BL528" s="42"/>
      <c r="BM528" s="42"/>
      <c r="BN528" s="42"/>
    </row>
    <row r="529" spans="1:66" ht="12.75" customHeight="1" x14ac:dyDescent="0.2">
      <c r="A529" s="19" t="s">
        <v>594</v>
      </c>
      <c r="B529" s="4">
        <f>_xll.ciqfunctions.udf.CIQ(InputTicker,  "IQ_NI_3YR_ANN_CAGR",Input!D$2,Date)</f>
        <v>-2.0608</v>
      </c>
      <c r="C529" s="4">
        <f>_xll.ciqfunctions.udf.CIQ(InputTicker,  "IQ_NI_3YR_ANN_CAGR",Input!E$2,Date)</f>
        <v>4.9116999999999997</v>
      </c>
      <c r="D529" s="4">
        <f>_xll.ciqfunctions.udf.CIQ(InputTicker,  "IQ_NI_3YR_ANN_CAGR",Input!F$2,Date)</f>
        <v>10.7676</v>
      </c>
      <c r="E529" s="4">
        <f>_xll.ciqfunctions.udf.CIQ(InputTicker,  "IQ_NI_3YR_ANN_CAGR",Input!G$2,Date)</f>
        <v>24.084199999999999</v>
      </c>
      <c r="F529" s="4">
        <f>_xll.ciqfunctions.udf.CIQ(InputTicker,  "IQ_NI_3YR_ANN_CAGR",Input!H$2,Date)</f>
        <v>20.213899999999999</v>
      </c>
      <c r="G529" s="4">
        <f>_xll.ciqfunctions.udf.CIQ(InputTicker,  "IQ_NI_3YR_ANN_CAGR",Input!I$2,Date)</f>
        <v>54.633000000000003</v>
      </c>
      <c r="H529" s="4">
        <f>_xll.ciqfunctions.udf.CIQ(InputTicker,  "IQ_NI_3YR_ANN_CAGR",Input!J$2,Date)</f>
        <v>22.841200000000001</v>
      </c>
      <c r="I529" s="4">
        <f>_xll.ciqfunctions.udf.CIQ(InputTicker,  "IQ_NI_3YR_ANN_CAGR",Input!K$2,Date)</f>
        <v>17.7866</v>
      </c>
      <c r="J529" s="4">
        <f>_xll.ciqfunctions.udf.CIQ(InputTicker,  "IQ_NI_3YR_ANN_CAGR",Input!L$2,Date)</f>
        <v>12.8841</v>
      </c>
      <c r="K529" s="4">
        <f>_xll.ciqfunctions.udf.CIQ(InputTicker,  "IQ_NI_3YR_ANN_CAGR",Input!M$2,Date)</f>
        <v>11.868399999999999</v>
      </c>
      <c r="L529" s="4">
        <f>_xll.ciqfunctions.udf.CIQ(InputTicker,  "IQ_NI_3YR_ANN_CAGR",Input!N$2,Date)</f>
        <v>22.723800000000001</v>
      </c>
      <c r="M529" s="4">
        <f>_xll.ciqfunctions.udf.CIQ(InputTicker,  "IQ_NI_3YR_ANN_CAGR",Input!O$2,Date)</f>
        <v>22.723800000000001</v>
      </c>
      <c r="N529" s="42"/>
      <c r="T529" s="42"/>
      <c r="U529" s="42"/>
      <c r="V529" s="42"/>
      <c r="W529" s="42"/>
      <c r="X529" s="42"/>
      <c r="Y529" s="42"/>
      <c r="Z529" s="42"/>
      <c r="AA529" s="42"/>
      <c r="AB529" s="42"/>
      <c r="AC529" s="42"/>
      <c r="AD529" s="42"/>
      <c r="AE529" s="42"/>
      <c r="AF529" s="42"/>
      <c r="AG529" s="42"/>
      <c r="AH529" s="42"/>
      <c r="AI529" s="42"/>
      <c r="AJ529" s="42"/>
      <c r="AK529" s="42"/>
      <c r="AL529" s="42"/>
      <c r="AM529" s="42"/>
      <c r="AN529" s="42"/>
      <c r="AO529" s="42"/>
      <c r="AP529" s="42"/>
      <c r="AQ529" s="42"/>
      <c r="AR529" s="42"/>
      <c r="AS529" s="42"/>
      <c r="AT529" s="42"/>
      <c r="AU529" s="42"/>
      <c r="AV529" s="42"/>
      <c r="AW529" s="42"/>
      <c r="AX529" s="42"/>
      <c r="AY529" s="42"/>
      <c r="AZ529" s="42"/>
      <c r="BA529" s="42"/>
      <c r="BB529" s="42"/>
      <c r="BC529" s="42"/>
      <c r="BD529" s="42"/>
      <c r="BE529" s="42"/>
      <c r="BF529" s="42"/>
      <c r="BG529" s="42"/>
      <c r="BH529" s="42"/>
      <c r="BI529" s="42"/>
      <c r="BJ529" s="42"/>
      <c r="BK529" s="42"/>
      <c r="BL529" s="42"/>
      <c r="BM529" s="42"/>
      <c r="BN529" s="42"/>
    </row>
    <row r="530" spans="1:66" ht="12.75" customHeight="1" x14ac:dyDescent="0.2">
      <c r="A530" s="19" t="s">
        <v>595</v>
      </c>
      <c r="B530" s="4">
        <f>_xll.ciqfunctions.udf.CIQ(InputTicker, "IQ_EPS_3YR_ANN_CAGR",Input!D$2,Date)</f>
        <v>-0.2591</v>
      </c>
      <c r="C530" s="4">
        <f>_xll.ciqfunctions.udf.CIQ(InputTicker, "IQ_EPS_3YR_ANN_CAGR",Input!E$2,Date)</f>
        <v>7.3106</v>
      </c>
      <c r="D530" s="4">
        <f>_xll.ciqfunctions.udf.CIQ(InputTicker, "IQ_EPS_3YR_ANN_CAGR",Input!F$2,Date)</f>
        <v>12.9031</v>
      </c>
      <c r="E530" s="4">
        <f>_xll.ciqfunctions.udf.CIQ(InputTicker, "IQ_EPS_3YR_ANN_CAGR",Input!G$2,Date)</f>
        <v>25.498000000000001</v>
      </c>
      <c r="F530" s="4">
        <f>_xll.ciqfunctions.udf.CIQ(InputTicker, "IQ_EPS_3YR_ANN_CAGR",Input!H$2,Date)</f>
        <v>21.016999999999999</v>
      </c>
      <c r="G530" s="4">
        <f>_xll.ciqfunctions.udf.CIQ(InputTicker, "IQ_EPS_3YR_ANN_CAGR",Input!I$2,Date)</f>
        <v>55.765799999999999</v>
      </c>
      <c r="H530" s="4">
        <f>_xll.ciqfunctions.udf.CIQ(InputTicker, "IQ_EPS_3YR_ANN_CAGR",Input!J$2,Date)</f>
        <v>24.0106</v>
      </c>
      <c r="I530" s="4">
        <f>_xll.ciqfunctions.udf.CIQ(InputTicker, "IQ_EPS_3YR_ANN_CAGR",Input!K$2,Date)</f>
        <v>18.891500000000001</v>
      </c>
      <c r="J530" s="4">
        <f>_xll.ciqfunctions.udf.CIQ(InputTicker, "IQ_EPS_3YR_ANN_CAGR",Input!L$2,Date)</f>
        <v>13.595700000000001</v>
      </c>
      <c r="K530" s="4">
        <f>_xll.ciqfunctions.udf.CIQ(InputTicker, "IQ_EPS_3YR_ANN_CAGR",Input!M$2,Date)</f>
        <v>12.226599999999999</v>
      </c>
      <c r="L530" s="4">
        <f>_xll.ciqfunctions.udf.CIQ(InputTicker, "IQ_EPS_3YR_ANN_CAGR",Input!N$2,Date)</f>
        <v>22.856000000000002</v>
      </c>
      <c r="M530" s="4">
        <f>_xll.ciqfunctions.udf.CIQ(InputTicker, "IQ_EPS_3YR_ANN_CAGR",Input!O$2,Date)</f>
        <v>22.856000000000002</v>
      </c>
      <c r="N530" s="42"/>
      <c r="T530" s="42"/>
      <c r="U530" s="42"/>
      <c r="V530" s="42"/>
      <c r="W530" s="42"/>
      <c r="X530" s="42"/>
      <c r="Y530" s="42"/>
      <c r="Z530" s="42"/>
      <c r="AA530" s="42"/>
      <c r="AB530" s="42"/>
      <c r="AC530" s="42"/>
      <c r="AD530" s="42"/>
      <c r="AE530" s="42"/>
      <c r="AF530" s="42"/>
      <c r="AG530" s="42"/>
      <c r="AH530" s="42"/>
      <c r="AI530" s="42"/>
      <c r="AJ530" s="42"/>
      <c r="AK530" s="42"/>
      <c r="AL530" s="42"/>
      <c r="AM530" s="42"/>
      <c r="AN530" s="42"/>
      <c r="AO530" s="42"/>
      <c r="AP530" s="42"/>
      <c r="AQ530" s="42"/>
      <c r="AR530" s="42"/>
      <c r="AS530" s="42"/>
      <c r="AT530" s="42"/>
      <c r="AU530" s="42"/>
      <c r="AV530" s="42"/>
      <c r="AW530" s="42"/>
      <c r="AX530" s="42"/>
      <c r="AY530" s="42"/>
      <c r="AZ530" s="42"/>
      <c r="BA530" s="42"/>
      <c r="BB530" s="42"/>
      <c r="BC530" s="42"/>
      <c r="BD530" s="42"/>
      <c r="BE530" s="42"/>
      <c r="BF530" s="42"/>
      <c r="BG530" s="42"/>
      <c r="BH530" s="42"/>
      <c r="BI530" s="42"/>
      <c r="BJ530" s="42"/>
      <c r="BK530" s="42"/>
      <c r="BL530" s="42"/>
      <c r="BM530" s="42"/>
      <c r="BN530" s="42"/>
    </row>
    <row r="531" spans="1:66" ht="12.75" customHeight="1" x14ac:dyDescent="0.2">
      <c r="A531" s="19" t="s">
        <v>596</v>
      </c>
      <c r="B531" s="4">
        <f>_xll.ciqfunctions.udf.CIQ(InputTicker, "IQ_TOTAL_REV_5YR_ANN_CAGR",Input!D$2,Date)</f>
        <v>5.4401999999999999</v>
      </c>
      <c r="C531" s="4">
        <f>_xll.ciqfunctions.udf.CIQ(InputTicker, "IQ_TOTAL_REV_5YR_ANN_CAGR",Input!E$2,Date)</f>
        <v>5.5476999999999999</v>
      </c>
      <c r="D531" s="4">
        <f>_xll.ciqfunctions.udf.CIQ(InputTicker, "IQ_TOTAL_REV_5YR_ANN_CAGR",Input!F$2,Date)</f>
        <v>7.2289000000000003</v>
      </c>
      <c r="E531" s="4">
        <f>_xll.ciqfunctions.udf.CIQ(InputTicker, "IQ_TOTAL_REV_5YR_ANN_CAGR",Input!G$2,Date)</f>
        <v>7.7032999999999996</v>
      </c>
      <c r="F531" s="4">
        <f>_xll.ciqfunctions.udf.CIQ(InputTicker, "IQ_TOTAL_REV_5YR_ANN_CAGR",Input!H$2,Date)</f>
        <v>8.8528000000000002</v>
      </c>
      <c r="G531" s="4">
        <f>_xll.ciqfunctions.udf.CIQ(InputTicker, "IQ_TOTAL_REV_5YR_ANN_CAGR",Input!I$2,Date)</f>
        <v>13.0192</v>
      </c>
      <c r="H531" s="4">
        <f>_xll.ciqfunctions.udf.CIQ(InputTicker, "IQ_TOTAL_REV_5YR_ANN_CAGR",Input!J$2,Date)</f>
        <v>15.4734</v>
      </c>
      <c r="I531" s="4">
        <f>_xll.ciqfunctions.udf.CIQ(InputTicker, "IQ_TOTAL_REV_5YR_ANN_CAGR",Input!K$2,Date)</f>
        <v>13.9384</v>
      </c>
      <c r="J531" s="4">
        <f>_xll.ciqfunctions.udf.CIQ(InputTicker, "IQ_TOTAL_REV_5YR_ANN_CAGR",Input!L$2,Date)</f>
        <v>14.2643</v>
      </c>
      <c r="K531" s="4">
        <f>_xll.ciqfunctions.udf.CIQ(InputTicker, "IQ_TOTAL_REV_5YR_ANN_CAGR",Input!M$2,Date)</f>
        <v>14.5219</v>
      </c>
      <c r="L531" s="4">
        <f>_xll.ciqfunctions.udf.CIQ(InputTicker, "IQ_TOTAL_REV_5YR_ANN_CAGR",Input!N$2,Date)</f>
        <v>14.571899999999999</v>
      </c>
      <c r="M531" s="4">
        <f>_xll.ciqfunctions.udf.CIQ(InputTicker, "IQ_TOTAL_REV_5YR_ANN_CAGR",Input!O$2,Date)</f>
        <v>14.571899999999999</v>
      </c>
      <c r="N531" s="42"/>
      <c r="T531" s="42"/>
      <c r="U531" s="42"/>
      <c r="V531" s="42"/>
      <c r="W531" s="42"/>
      <c r="X531" s="42"/>
      <c r="Y531" s="42"/>
      <c r="Z531" s="42"/>
      <c r="AA531" s="42"/>
      <c r="AB531" s="42"/>
      <c r="AC531" s="42"/>
      <c r="AD531" s="42"/>
      <c r="AE531" s="42"/>
      <c r="AF531" s="42"/>
      <c r="AG531" s="42"/>
      <c r="AH531" s="42"/>
      <c r="AI531" s="42"/>
      <c r="AJ531" s="42"/>
      <c r="AK531" s="42"/>
      <c r="AL531" s="42"/>
      <c r="AM531" s="42"/>
      <c r="AN531" s="42"/>
      <c r="AO531" s="42"/>
      <c r="AP531" s="42"/>
      <c r="AQ531" s="42"/>
      <c r="AR531" s="42"/>
      <c r="AS531" s="42"/>
      <c r="AT531" s="42"/>
      <c r="AU531" s="42"/>
      <c r="AV531" s="42"/>
      <c r="AW531" s="42"/>
      <c r="AX531" s="42"/>
      <c r="AY531" s="42"/>
      <c r="AZ531" s="42"/>
      <c r="BA531" s="42"/>
      <c r="BB531" s="42"/>
      <c r="BC531" s="42"/>
      <c r="BD531" s="42"/>
      <c r="BE531" s="42"/>
      <c r="BF531" s="42"/>
      <c r="BG531" s="42"/>
      <c r="BH531" s="42"/>
      <c r="BI531" s="42"/>
      <c r="BJ531" s="42"/>
      <c r="BK531" s="42"/>
      <c r="BL531" s="42"/>
      <c r="BM531" s="42"/>
      <c r="BN531" s="42"/>
    </row>
    <row r="532" spans="1:66" ht="12.75" customHeight="1" x14ac:dyDescent="0.2">
      <c r="A532" s="19" t="s">
        <v>597</v>
      </c>
      <c r="B532" s="4">
        <f>_xll.ciqfunctions.udf.CIQ(InputTicker, "IQ_GP_5YR_ANN_CAGR",Input!D$2,Date)</f>
        <v>1.4328000000000001</v>
      </c>
      <c r="C532" s="4">
        <f>_xll.ciqfunctions.udf.CIQ(InputTicker, "IQ_GP_5YR_ANN_CAGR",Input!E$2,Date)</f>
        <v>2.0880999999999998</v>
      </c>
      <c r="D532" s="4">
        <f>_xll.ciqfunctions.udf.CIQ(InputTicker, "IQ_GP_5YR_ANN_CAGR",Input!F$2,Date)</f>
        <v>4.6154000000000002</v>
      </c>
      <c r="E532" s="4">
        <f>_xll.ciqfunctions.udf.CIQ(InputTicker, "IQ_GP_5YR_ANN_CAGR",Input!G$2,Date)</f>
        <v>6.7751999999999999</v>
      </c>
      <c r="F532" s="4">
        <f>_xll.ciqfunctions.udf.CIQ(InputTicker, "IQ_GP_5YR_ANN_CAGR",Input!H$2,Date)</f>
        <v>9.8719000000000001</v>
      </c>
      <c r="G532" s="4">
        <f>_xll.ciqfunctions.udf.CIQ(InputTicker, "IQ_GP_5YR_ANN_CAGR",Input!I$2,Date)</f>
        <v>14.6938</v>
      </c>
      <c r="H532" s="4">
        <f>_xll.ciqfunctions.udf.CIQ(InputTicker, "IQ_GP_5YR_ANN_CAGR",Input!J$2,Date)</f>
        <v>16.829699999999999</v>
      </c>
      <c r="I532" s="4">
        <f>_xll.ciqfunctions.udf.CIQ(InputTicker, "IQ_GP_5YR_ANN_CAGR",Input!K$2,Date)</f>
        <v>15.193099999999999</v>
      </c>
      <c r="J532" s="4">
        <f>_xll.ciqfunctions.udf.CIQ(InputTicker, "IQ_GP_5YR_ANN_CAGR",Input!L$2,Date)</f>
        <v>15.573399999999999</v>
      </c>
      <c r="K532" s="4">
        <f>_xll.ciqfunctions.udf.CIQ(InputTicker, "IQ_GP_5YR_ANN_CAGR",Input!M$2,Date)</f>
        <v>14.8721</v>
      </c>
      <c r="L532" s="4">
        <f>_xll.ciqfunctions.udf.CIQ(InputTicker, "IQ_GP_5YR_ANN_CAGR",Input!N$2,Date)</f>
        <v>14.2437</v>
      </c>
      <c r="M532" s="4">
        <f>_xll.ciqfunctions.udf.CIQ(InputTicker, "IQ_GP_5YR_ANN_CAGR",Input!O$2,Date)</f>
        <v>14.2437</v>
      </c>
      <c r="N532" s="42"/>
      <c r="T532" s="42"/>
      <c r="U532" s="42"/>
      <c r="V532" s="42"/>
      <c r="W532" s="42"/>
      <c r="X532" s="42"/>
      <c r="Y532" s="42"/>
      <c r="Z532" s="42"/>
      <c r="AA532" s="42"/>
      <c r="AB532" s="42"/>
      <c r="AC532" s="42"/>
      <c r="AD532" s="42"/>
      <c r="AE532" s="42"/>
      <c r="AF532" s="42"/>
      <c r="AG532" s="42"/>
      <c r="AH532" s="42"/>
      <c r="AI532" s="42"/>
      <c r="AJ532" s="42"/>
      <c r="AK532" s="42"/>
      <c r="AL532" s="42"/>
      <c r="AM532" s="42"/>
      <c r="AN532" s="42"/>
      <c r="AO532" s="42"/>
      <c r="AP532" s="42"/>
      <c r="AQ532" s="42"/>
      <c r="AR532" s="42"/>
      <c r="AS532" s="42"/>
      <c r="AT532" s="42"/>
      <c r="AU532" s="42"/>
      <c r="AV532" s="42"/>
      <c r="AW532" s="42"/>
      <c r="AX532" s="42"/>
      <c r="AY532" s="42"/>
      <c r="AZ532" s="42"/>
      <c r="BA532" s="42"/>
      <c r="BB532" s="42"/>
      <c r="BC532" s="42"/>
      <c r="BD532" s="42"/>
      <c r="BE532" s="42"/>
      <c r="BF532" s="42"/>
      <c r="BG532" s="42"/>
      <c r="BH532" s="42"/>
      <c r="BI532" s="42"/>
      <c r="BJ532" s="42"/>
      <c r="BK532" s="42"/>
      <c r="BL532" s="42"/>
      <c r="BM532" s="42"/>
      <c r="BN532" s="42"/>
    </row>
    <row r="533" spans="1:66" ht="12.75" customHeight="1" x14ac:dyDescent="0.2">
      <c r="A533" s="19" t="s">
        <v>598</v>
      </c>
      <c r="B533" s="4">
        <f>_xll.ciqfunctions.udf.CIQ(InputTicker,  "IQ_EBITDA_5YR_ANN_CAGR",Input!D$2,Date)</f>
        <v>2.1718000000000002</v>
      </c>
      <c r="C533" s="4">
        <f>_xll.ciqfunctions.udf.CIQ(InputTicker,  "IQ_EBITDA_5YR_ANN_CAGR",Input!E$2,Date)</f>
        <v>3.8675999999999999</v>
      </c>
      <c r="D533" s="4">
        <f>_xll.ciqfunctions.udf.CIQ(InputTicker,  "IQ_EBITDA_5YR_ANN_CAGR",Input!F$2,Date)</f>
        <v>7.8324999999999996</v>
      </c>
      <c r="E533" s="4">
        <f>_xll.ciqfunctions.udf.CIQ(InputTicker,  "IQ_EBITDA_5YR_ANN_CAGR",Input!G$2,Date)</f>
        <v>11.170199999999999</v>
      </c>
      <c r="F533" s="4">
        <f>_xll.ciqfunctions.udf.CIQ(InputTicker,  "IQ_EBITDA_5YR_ANN_CAGR",Input!H$2,Date)</f>
        <v>14.217499999999999</v>
      </c>
      <c r="G533" s="4">
        <f>_xll.ciqfunctions.udf.CIQ(InputTicker,  "IQ_EBITDA_5YR_ANN_CAGR",Input!I$2,Date)</f>
        <v>19.5702</v>
      </c>
      <c r="H533" s="4">
        <f>_xll.ciqfunctions.udf.CIQ(InputTicker,  "IQ_EBITDA_5YR_ANN_CAGR",Input!J$2,Date)</f>
        <v>21.417899999999999</v>
      </c>
      <c r="I533" s="4">
        <f>_xll.ciqfunctions.udf.CIQ(InputTicker,  "IQ_EBITDA_5YR_ANN_CAGR",Input!K$2,Date)</f>
        <v>17.808900000000001</v>
      </c>
      <c r="J533" s="4">
        <f>_xll.ciqfunctions.udf.CIQ(InputTicker,  "IQ_EBITDA_5YR_ANN_CAGR",Input!L$2,Date)</f>
        <v>18.86</v>
      </c>
      <c r="K533" s="4">
        <f>_xll.ciqfunctions.udf.CIQ(InputTicker,  "IQ_EBITDA_5YR_ANN_CAGR",Input!M$2,Date)</f>
        <v>19.121500000000001</v>
      </c>
      <c r="L533" s="4">
        <f>_xll.ciqfunctions.udf.CIQ(InputTicker,  "IQ_EBITDA_5YR_ANN_CAGR",Input!N$2,Date)</f>
        <v>19.170000000000002</v>
      </c>
      <c r="M533" s="4">
        <f>_xll.ciqfunctions.udf.CIQ(InputTicker,  "IQ_EBITDA_5YR_ANN_CAGR",Input!O$2,Date)</f>
        <v>19.170000000000002</v>
      </c>
      <c r="N533" s="42"/>
      <c r="T533" s="42"/>
      <c r="U533" s="42"/>
      <c r="V533" s="42"/>
      <c r="W533" s="42"/>
      <c r="X533" s="42"/>
      <c r="Y533" s="42"/>
      <c r="Z533" s="42"/>
      <c r="AA533" s="42"/>
      <c r="AB533" s="42"/>
      <c r="AC533" s="42"/>
      <c r="AD533" s="42"/>
      <c r="AE533" s="42"/>
      <c r="AF533" s="42"/>
      <c r="AG533" s="42"/>
      <c r="AH533" s="42"/>
      <c r="AI533" s="42"/>
      <c r="AJ533" s="42"/>
      <c r="AK533" s="42"/>
      <c r="AL533" s="42"/>
      <c r="AM533" s="42"/>
      <c r="AN533" s="42"/>
      <c r="AO533" s="42"/>
      <c r="AP533" s="42"/>
      <c r="AQ533" s="42"/>
      <c r="AR533" s="42"/>
      <c r="AS533" s="42"/>
      <c r="AT533" s="42"/>
      <c r="AU533" s="42"/>
      <c r="AV533" s="42"/>
      <c r="AW533" s="42"/>
      <c r="AX533" s="42"/>
      <c r="AY533" s="42"/>
      <c r="AZ533" s="42"/>
      <c r="BA533" s="42"/>
      <c r="BB533" s="42"/>
      <c r="BC533" s="42"/>
      <c r="BD533" s="42"/>
      <c r="BE533" s="42"/>
      <c r="BF533" s="42"/>
      <c r="BG533" s="42"/>
      <c r="BH533" s="42"/>
      <c r="BI533" s="42"/>
      <c r="BJ533" s="42"/>
      <c r="BK533" s="42"/>
      <c r="BL533" s="42"/>
      <c r="BM533" s="42"/>
      <c r="BN533" s="42"/>
    </row>
    <row r="534" spans="1:66" ht="12.75" customHeight="1" x14ac:dyDescent="0.2">
      <c r="A534" s="19" t="s">
        <v>599</v>
      </c>
      <c r="B534" s="4">
        <f>_xll.ciqfunctions.udf.CIQ(InputTicker, "IQ_EBIT_5YR_ANN_CAGR",Input!D$2,Date)</f>
        <v>1.9900000000000001E-2</v>
      </c>
      <c r="C534" s="4">
        <f>_xll.ciqfunctions.udf.CIQ(InputTicker, "IQ_EBIT_5YR_ANN_CAGR",Input!E$2,Date)</f>
        <v>0.96489999999999998</v>
      </c>
      <c r="D534" s="4">
        <f>_xll.ciqfunctions.udf.CIQ(InputTicker, "IQ_EBIT_5YR_ANN_CAGR",Input!F$2,Date)</f>
        <v>4.9785000000000004</v>
      </c>
      <c r="E534" s="4">
        <f>_xll.ciqfunctions.udf.CIQ(InputTicker, "IQ_EBIT_5YR_ANN_CAGR",Input!G$2,Date)</f>
        <v>9.0268999999999995</v>
      </c>
      <c r="F534" s="4">
        <f>_xll.ciqfunctions.udf.CIQ(InputTicker, "IQ_EBIT_5YR_ANN_CAGR",Input!H$2,Date)</f>
        <v>13.4552</v>
      </c>
      <c r="G534" s="4">
        <f>_xll.ciqfunctions.udf.CIQ(InputTicker, "IQ_EBIT_5YR_ANN_CAGR",Input!I$2,Date)</f>
        <v>20.7925</v>
      </c>
      <c r="H534" s="4">
        <f>_xll.ciqfunctions.udf.CIQ(InputTicker, "IQ_EBIT_5YR_ANN_CAGR",Input!J$2,Date)</f>
        <v>23.239599999999999</v>
      </c>
      <c r="I534" s="4">
        <f>_xll.ciqfunctions.udf.CIQ(InputTicker, "IQ_EBIT_5YR_ANN_CAGR",Input!K$2,Date)</f>
        <v>20.3521</v>
      </c>
      <c r="J534" s="4">
        <f>_xll.ciqfunctions.udf.CIQ(InputTicker, "IQ_EBIT_5YR_ANN_CAGR",Input!L$2,Date)</f>
        <v>20.564299999999999</v>
      </c>
      <c r="K534" s="4">
        <f>_xll.ciqfunctions.udf.CIQ(InputTicker, "IQ_EBIT_5YR_ANN_CAGR",Input!M$2,Date)</f>
        <v>19.402000000000001</v>
      </c>
      <c r="L534" s="4">
        <f>_xll.ciqfunctions.udf.CIQ(InputTicker, "IQ_EBIT_5YR_ANN_CAGR",Input!N$2,Date)</f>
        <v>17.296099999999999</v>
      </c>
      <c r="M534" s="4">
        <f>_xll.ciqfunctions.udf.CIQ(InputTicker, "IQ_EBIT_5YR_ANN_CAGR",Input!O$2,Date)</f>
        <v>17.296099999999999</v>
      </c>
      <c r="N534" s="42"/>
      <c r="T534" s="42"/>
      <c r="U534" s="42"/>
      <c r="V534" s="42"/>
      <c r="W534" s="42"/>
      <c r="X534" s="42"/>
      <c r="Y534" s="42"/>
      <c r="Z534" s="42"/>
      <c r="AA534" s="42"/>
      <c r="AB534" s="42"/>
      <c r="AC534" s="42"/>
      <c r="AD534" s="42"/>
      <c r="AE534" s="42"/>
      <c r="AF534" s="42"/>
      <c r="AG534" s="42"/>
      <c r="AH534" s="42"/>
      <c r="AI534" s="42"/>
      <c r="AJ534" s="42"/>
      <c r="AK534" s="42"/>
      <c r="AL534" s="42"/>
      <c r="AM534" s="42"/>
      <c r="AN534" s="42"/>
      <c r="AO534" s="42"/>
      <c r="AP534" s="42"/>
      <c r="AQ534" s="42"/>
      <c r="AR534" s="42"/>
      <c r="AS534" s="42"/>
      <c r="AT534" s="42"/>
      <c r="AU534" s="42"/>
      <c r="AV534" s="42"/>
      <c r="AW534" s="42"/>
      <c r="AX534" s="42"/>
      <c r="AY534" s="42"/>
      <c r="AZ534" s="42"/>
      <c r="BA534" s="42"/>
      <c r="BB534" s="42"/>
      <c r="BC534" s="42"/>
      <c r="BD534" s="42"/>
      <c r="BE534" s="42"/>
      <c r="BF534" s="42"/>
      <c r="BG534" s="42"/>
      <c r="BH534" s="42"/>
      <c r="BI534" s="42"/>
      <c r="BJ534" s="42"/>
      <c r="BK534" s="42"/>
      <c r="BL534" s="42"/>
      <c r="BM534" s="42"/>
      <c r="BN534" s="42"/>
    </row>
    <row r="535" spans="1:66" ht="12.75" customHeight="1" x14ac:dyDescent="0.2">
      <c r="A535" s="19" t="s">
        <v>600</v>
      </c>
      <c r="B535" s="4">
        <f>_xll.ciqfunctions.udf.CIQ(InputTicker,  "IQ_NI_5YR_ANN_CAGR",Input!D$2,Date)</f>
        <v>-2.3650000000000002</v>
      </c>
      <c r="C535" s="4">
        <f>_xll.ciqfunctions.udf.CIQ(InputTicker,  "IQ_NI_5YR_ANN_CAGR",Input!E$2,Date)</f>
        <v>8.4658999999999995</v>
      </c>
      <c r="D535" s="4">
        <f>_xll.ciqfunctions.udf.CIQ(InputTicker,  "IQ_NI_5YR_ANN_CAGR",Input!F$2,Date)</f>
        <v>-5.3920000000000003</v>
      </c>
      <c r="E535" s="4">
        <f>_xll.ciqfunctions.udf.CIQ(InputTicker,  "IQ_NI_5YR_ANN_CAGR",Input!G$2,Date)</f>
        <v>12.194000000000001</v>
      </c>
      <c r="F535" s="4">
        <f>_xll.ciqfunctions.udf.CIQ(InputTicker,  "IQ_NI_5YR_ANN_CAGR",Input!H$2,Date)</f>
        <v>29.425899999999999</v>
      </c>
      <c r="G535" s="4">
        <f>_xll.ciqfunctions.udf.CIQ(InputTicker,  "IQ_NI_5YR_ANN_CAGR",Input!I$2,Date)</f>
        <v>24.4329</v>
      </c>
      <c r="H535" s="4">
        <f>_xll.ciqfunctions.udf.CIQ(InputTicker,  "IQ_NI_5YR_ANN_CAGR",Input!J$2,Date)</f>
        <v>23.3337</v>
      </c>
      <c r="I535" s="4">
        <f>_xll.ciqfunctions.udf.CIQ(InputTicker,  "IQ_NI_5YR_ANN_CAGR",Input!K$2,Date)</f>
        <v>34.286099999999998</v>
      </c>
      <c r="J535" s="4">
        <f>_xll.ciqfunctions.udf.CIQ(InputTicker,  "IQ_NI_5YR_ANN_CAGR",Input!L$2,Date)</f>
        <v>17.566800000000001</v>
      </c>
      <c r="K535" s="4">
        <f>_xll.ciqfunctions.udf.CIQ(InputTicker,  "IQ_NI_5YR_ANN_CAGR",Input!M$2,Date)</f>
        <v>18.122699999999998</v>
      </c>
      <c r="L535" s="4">
        <f>_xll.ciqfunctions.udf.CIQ(InputTicker,  "IQ_NI_5YR_ANN_CAGR",Input!N$2,Date)</f>
        <v>16.898</v>
      </c>
      <c r="M535" s="4">
        <f>_xll.ciqfunctions.udf.CIQ(InputTicker,  "IQ_NI_5YR_ANN_CAGR",Input!O$2,Date)</f>
        <v>16.898</v>
      </c>
      <c r="N535" s="42"/>
      <c r="T535" s="42"/>
      <c r="U535" s="42"/>
      <c r="V535" s="42"/>
      <c r="W535" s="42"/>
      <c r="X535" s="42"/>
      <c r="Y535" s="42"/>
      <c r="Z535" s="42"/>
      <c r="AA535" s="42"/>
      <c r="AB535" s="42"/>
      <c r="AC535" s="42"/>
      <c r="AD535" s="42"/>
      <c r="AE535" s="42"/>
      <c r="AF535" s="42"/>
      <c r="AG535" s="42"/>
      <c r="AH535" s="42"/>
      <c r="AI535" s="42"/>
      <c r="AJ535" s="42"/>
      <c r="AK535" s="42"/>
      <c r="AL535" s="42"/>
      <c r="AM535" s="42"/>
      <c r="AN535" s="42"/>
      <c r="AO535" s="42"/>
      <c r="AP535" s="42"/>
      <c r="AQ535" s="42"/>
      <c r="AR535" s="42"/>
      <c r="AS535" s="42"/>
      <c r="AT535" s="42"/>
      <c r="AU535" s="42"/>
      <c r="AV535" s="42"/>
      <c r="AW535" s="42"/>
      <c r="AX535" s="42"/>
      <c r="AY535" s="42"/>
      <c r="AZ535" s="42"/>
      <c r="BA535" s="42"/>
      <c r="BB535" s="42"/>
      <c r="BC535" s="42"/>
      <c r="BD535" s="42"/>
      <c r="BE535" s="42"/>
      <c r="BF535" s="42"/>
      <c r="BG535" s="42"/>
      <c r="BH535" s="42"/>
      <c r="BI535" s="42"/>
      <c r="BJ535" s="42"/>
      <c r="BK535" s="42"/>
      <c r="BL535" s="42"/>
      <c r="BM535" s="42"/>
      <c r="BN535" s="42"/>
    </row>
    <row r="536" spans="1:66" ht="12.75" customHeight="1" x14ac:dyDescent="0.2">
      <c r="A536" s="19" t="s">
        <v>601</v>
      </c>
      <c r="B536" s="4">
        <f>_xll.ciqfunctions.udf.CIQ(InputTicker, "IQ_EPS_5YR_ANN_CAGR",Input!D$2,Date)</f>
        <v>-0.98580000000000001</v>
      </c>
      <c r="C536" s="4">
        <f>_xll.ciqfunctions.udf.CIQ(InputTicker, "IQ_EPS_5YR_ANN_CAGR",Input!E$2,Date)</f>
        <v>10.1972</v>
      </c>
      <c r="D536" s="4">
        <f>_xll.ciqfunctions.udf.CIQ(InputTicker, "IQ_EPS_5YR_ANN_CAGR",Input!F$2,Date)</f>
        <v>-3.7608000000000001</v>
      </c>
      <c r="E536" s="4">
        <f>_xll.ciqfunctions.udf.CIQ(InputTicker, "IQ_EPS_5YR_ANN_CAGR",Input!G$2,Date)</f>
        <v>13.982699999999999</v>
      </c>
      <c r="F536" s="4">
        <f>_xll.ciqfunctions.udf.CIQ(InputTicker, "IQ_EPS_5YR_ANN_CAGR",Input!H$2,Date)</f>
        <v>31.229700000000001</v>
      </c>
      <c r="G536" s="4">
        <f>_xll.ciqfunctions.udf.CIQ(InputTicker, "IQ_EPS_5YR_ANN_CAGR",Input!I$2,Date)</f>
        <v>25.750900000000001</v>
      </c>
      <c r="H536" s="4">
        <f>_xll.ciqfunctions.udf.CIQ(InputTicker, "IQ_EPS_5YR_ANN_CAGR",Input!J$2,Date)</f>
        <v>24.316500000000001</v>
      </c>
      <c r="I536" s="4">
        <f>_xll.ciqfunctions.udf.CIQ(InputTicker, "IQ_EPS_5YR_ANN_CAGR",Input!K$2,Date)</f>
        <v>35.362699999999997</v>
      </c>
      <c r="J536" s="4">
        <f>_xll.ciqfunctions.udf.CIQ(InputTicker, "IQ_EPS_5YR_ANN_CAGR",Input!L$2,Date)</f>
        <v>18.453099999999999</v>
      </c>
      <c r="K536" s="4">
        <f>_xll.ciqfunctions.udf.CIQ(InputTicker, "IQ_EPS_5YR_ANN_CAGR",Input!M$2,Date)</f>
        <v>18.8169</v>
      </c>
      <c r="L536" s="4">
        <f>_xll.ciqfunctions.udf.CIQ(InputTicker, "IQ_EPS_5YR_ANN_CAGR",Input!N$2,Date)</f>
        <v>17.396100000000001</v>
      </c>
      <c r="M536" s="4">
        <f>_xll.ciqfunctions.udf.CIQ(InputTicker, "IQ_EPS_5YR_ANN_CAGR",Input!O$2,Date)</f>
        <v>17.396100000000001</v>
      </c>
      <c r="N536" s="42"/>
      <c r="T536" s="42"/>
      <c r="U536" s="42"/>
      <c r="V536" s="42"/>
      <c r="W536" s="42"/>
      <c r="X536" s="42"/>
      <c r="Y536" s="42"/>
      <c r="Z536" s="42"/>
      <c r="AA536" s="42"/>
      <c r="AB536" s="42"/>
      <c r="AC536" s="42"/>
      <c r="AD536" s="42"/>
      <c r="AE536" s="42"/>
      <c r="AF536" s="42"/>
      <c r="AG536" s="42"/>
      <c r="AH536" s="42"/>
      <c r="AI536" s="42"/>
      <c r="AJ536" s="42"/>
      <c r="AK536" s="42"/>
      <c r="AL536" s="42"/>
      <c r="AM536" s="42"/>
      <c r="AN536" s="42"/>
      <c r="AO536" s="42"/>
      <c r="AP536" s="42"/>
      <c r="AQ536" s="42"/>
      <c r="AR536" s="42"/>
      <c r="AS536" s="42"/>
      <c r="AT536" s="42"/>
      <c r="AU536" s="42"/>
      <c r="AV536" s="42"/>
      <c r="AW536" s="42"/>
      <c r="AX536" s="42"/>
      <c r="AY536" s="42"/>
      <c r="AZ536" s="42"/>
      <c r="BA536" s="42"/>
      <c r="BB536" s="42"/>
      <c r="BC536" s="42"/>
      <c r="BD536" s="42"/>
      <c r="BE536" s="42"/>
      <c r="BF536" s="42"/>
      <c r="BG536" s="42"/>
      <c r="BH536" s="42"/>
      <c r="BI536" s="42"/>
      <c r="BJ536" s="42"/>
      <c r="BK536" s="42"/>
      <c r="BL536" s="42"/>
      <c r="BM536" s="42"/>
      <c r="BN536" s="42"/>
    </row>
    <row r="537" spans="1:66" x14ac:dyDescent="0.2">
      <c r="A537" s="1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14"/>
      <c r="N537" s="42"/>
      <c r="T537" s="42"/>
      <c r="U537" s="42"/>
      <c r="V537" s="42"/>
      <c r="W537" s="42"/>
      <c r="X537" s="42"/>
      <c r="Y537" s="42"/>
      <c r="Z537" s="42"/>
      <c r="AA537" s="42"/>
      <c r="AB537" s="42"/>
      <c r="AC537" s="42"/>
      <c r="AD537" s="42"/>
      <c r="AE537" s="42"/>
      <c r="AF537" s="42"/>
      <c r="AG537" s="42"/>
      <c r="AH537" s="42"/>
      <c r="AI537" s="42"/>
      <c r="AJ537" s="42"/>
      <c r="AK537" s="42"/>
      <c r="AL537" s="42"/>
      <c r="AM537" s="42"/>
      <c r="AN537" s="42"/>
      <c r="AO537" s="42"/>
      <c r="AP537" s="42"/>
      <c r="AQ537" s="42"/>
      <c r="AR537" s="42"/>
      <c r="AS537" s="42"/>
      <c r="AT537" s="42"/>
      <c r="AU537" s="42"/>
      <c r="AV537" s="42"/>
      <c r="AW537" s="42"/>
      <c r="AX537" s="42"/>
      <c r="AY537" s="42"/>
      <c r="AZ537" s="42"/>
      <c r="BA537" s="42"/>
      <c r="BB537" s="42"/>
      <c r="BC537" s="42"/>
      <c r="BD537" s="42"/>
      <c r="BE537" s="42"/>
      <c r="BF537" s="42"/>
      <c r="BG537" s="42"/>
      <c r="BH537" s="42"/>
      <c r="BI537" s="42"/>
      <c r="BJ537" s="42"/>
      <c r="BK537" s="42"/>
      <c r="BL537" s="42"/>
      <c r="BM537" s="42"/>
      <c r="BN537" s="42"/>
    </row>
  </sheetData>
  <phoneticPr fontId="3" type="noConversion"/>
  <printOptions horizontalCentered="1"/>
  <pageMargins left="0.25" right="0.25" top="0.25" bottom="0.25" header="0.25" footer="0.25"/>
  <pageSetup scale="22" orientation="landscape" r:id="rId1"/>
  <headerFooter alignWithMargins="0"/>
  <customProperties>
    <customPr name="Guid" r:id="rId2"/>
  </customPropertie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fitToPage="1"/>
  </sheetPr>
  <dimension ref="A1:U122"/>
  <sheetViews>
    <sheetView showGridLines="0" zoomScale="85" zoomScaleNormal="100" zoomScaleSheetLayoutView="85" workbookViewId="0">
      <pane xSplit="1" ySplit="2" topLeftCell="B64" activePane="bottomRight" state="frozen"/>
      <selection pane="topRight" activeCell="D1" sqref="D1"/>
      <selection pane="bottomLeft" activeCell="A8" sqref="A8"/>
      <selection pane="bottomRight" activeCell="K1" sqref="K1"/>
    </sheetView>
  </sheetViews>
  <sheetFormatPr defaultRowHeight="12.75" customHeight="1" x14ac:dyDescent="0.2"/>
  <cols>
    <col min="1" max="1" width="34.5703125" bestFit="1" customWidth="1"/>
    <col min="2" max="13" width="13.28515625" customWidth="1"/>
  </cols>
  <sheetData>
    <row r="1" spans="1:21" s="42" customFormat="1" x14ac:dyDescent="0.2">
      <c r="A1" s="3" t="s">
        <v>604</v>
      </c>
      <c r="B1" s="32" t="str">
        <f>"FY"&amp;RIGHT(YEAR(B2),2)</f>
        <v>FY16</v>
      </c>
      <c r="C1" s="32" t="str">
        <f t="shared" ref="C1:L1" si="0">"FY"&amp;RIGHT(YEAR(C2),2)</f>
        <v>FY17</v>
      </c>
      <c r="D1" s="32" t="str">
        <f t="shared" si="0"/>
        <v>FY18</v>
      </c>
      <c r="E1" s="32" t="str">
        <f t="shared" si="0"/>
        <v>FY19</v>
      </c>
      <c r="F1" s="32" t="str">
        <f t="shared" si="0"/>
        <v>FY20</v>
      </c>
      <c r="G1" s="32" t="str">
        <f t="shared" si="0"/>
        <v>FY21</v>
      </c>
      <c r="H1" s="32" t="str">
        <f t="shared" si="0"/>
        <v>FY22</v>
      </c>
      <c r="I1" s="32" t="str">
        <f t="shared" si="0"/>
        <v>FY23</v>
      </c>
      <c r="J1" s="32" t="str">
        <f t="shared" si="0"/>
        <v>FY24</v>
      </c>
      <c r="K1" s="32" t="str">
        <f t="shared" si="0"/>
        <v>FY25</v>
      </c>
      <c r="L1" s="32" t="str">
        <f t="shared" si="0"/>
        <v>FY26</v>
      </c>
      <c r="M1" s="32" t="s">
        <v>266</v>
      </c>
      <c r="S1" s="3"/>
      <c r="T1" s="2"/>
      <c r="U1" s="3"/>
    </row>
    <row r="2" spans="1:21" ht="12.75" customHeight="1" x14ac:dyDescent="0.2">
      <c r="A2" s="3" t="s">
        <v>408</v>
      </c>
      <c r="B2" s="24">
        <f>'Financial Statements'!B$2</f>
        <v>42551</v>
      </c>
      <c r="C2" s="24">
        <f>'Financial Statements'!C$2</f>
        <v>42916</v>
      </c>
      <c r="D2" s="24">
        <f>'Financial Statements'!D$2</f>
        <v>43281</v>
      </c>
      <c r="E2" s="24">
        <f>'Financial Statements'!E$2</f>
        <v>43646</v>
      </c>
      <c r="F2" s="24">
        <f>'Financial Statements'!F$2</f>
        <v>44012</v>
      </c>
      <c r="G2" s="24">
        <f>'Financial Statements'!G$2</f>
        <v>44377</v>
      </c>
      <c r="H2" s="24">
        <f>'Financial Statements'!H$2</f>
        <v>44742</v>
      </c>
      <c r="I2" s="24">
        <f>'Financial Statements'!I$2</f>
        <v>45107</v>
      </c>
      <c r="J2" s="24">
        <f>'Financial Statements'!J$2</f>
        <v>45473</v>
      </c>
      <c r="K2" s="24">
        <f>'Financial Statements'!K$2</f>
        <v>45838</v>
      </c>
      <c r="L2" s="24">
        <f>'Financial Statements'!L$2</f>
        <v>46203</v>
      </c>
      <c r="M2" s="24">
        <f>'Financial Statements'!M$2</f>
        <v>46203</v>
      </c>
    </row>
    <row r="3" spans="1:21" ht="12.75" customHeight="1" x14ac:dyDescent="0.2">
      <c r="A3" s="1" t="s">
        <v>57</v>
      </c>
      <c r="B3" s="25">
        <f>'Financial Statements'!B3/'Financial Statements'!B$10</f>
        <v>1</v>
      </c>
      <c r="C3" s="25">
        <f>'Financial Statements'!C3/'Financial Statements'!C$10</f>
        <v>1</v>
      </c>
      <c r="D3" s="25">
        <f>'Financial Statements'!D3/'Financial Statements'!D$10</f>
        <v>1</v>
      </c>
      <c r="E3" s="25">
        <f>'Financial Statements'!E3/'Financial Statements'!E$10</f>
        <v>1</v>
      </c>
      <c r="F3" s="25">
        <f>'Financial Statements'!F3/'Financial Statements'!F$10</f>
        <v>1</v>
      </c>
      <c r="G3" s="25">
        <f>'Financial Statements'!G3/'Financial Statements'!G$10</f>
        <v>1</v>
      </c>
      <c r="H3" s="25">
        <f>'Financial Statements'!H3/'Financial Statements'!H$10</f>
        <v>1</v>
      </c>
      <c r="I3" s="25">
        <f>'Financial Statements'!I3/'Financial Statements'!I$10</f>
        <v>1</v>
      </c>
      <c r="J3" s="25">
        <f>'Financial Statements'!J3/'Financial Statements'!J$10</f>
        <v>1</v>
      </c>
      <c r="K3" s="25">
        <f>'Financial Statements'!K3/'Financial Statements'!K$10</f>
        <v>1</v>
      </c>
      <c r="L3" s="25">
        <f>'Financial Statements'!L3/'Financial Statements'!L$10</f>
        <v>1</v>
      </c>
      <c r="M3" s="25">
        <f>'Financial Statements'!M3/'Financial Statements'!M$10</f>
        <v>1</v>
      </c>
    </row>
    <row r="4" spans="1:21" ht="12.75" customHeight="1" x14ac:dyDescent="0.2">
      <c r="A4" s="1" t="s">
        <v>157</v>
      </c>
      <c r="B4" s="25">
        <f>'Financial Statements'!B4/'Financial Statements'!B$10</f>
        <v>0</v>
      </c>
      <c r="C4" s="25">
        <f>'Financial Statements'!C4/'Financial Statements'!C$10</f>
        <v>0</v>
      </c>
      <c r="D4" s="25">
        <f>'Financial Statements'!D4/'Financial Statements'!D$10</f>
        <v>0</v>
      </c>
      <c r="E4" s="25">
        <f>'Financial Statements'!E4/'Financial Statements'!E$10</f>
        <v>0</v>
      </c>
      <c r="F4" s="25">
        <f>'Financial Statements'!F4/'Financial Statements'!F$10</f>
        <v>0</v>
      </c>
      <c r="G4" s="25">
        <f>'Financial Statements'!G4/'Financial Statements'!G$10</f>
        <v>0</v>
      </c>
      <c r="H4" s="25">
        <f>'Financial Statements'!H4/'Financial Statements'!H$10</f>
        <v>0</v>
      </c>
      <c r="I4" s="25">
        <f>'Financial Statements'!I4/'Financial Statements'!I$10</f>
        <v>0</v>
      </c>
      <c r="J4" s="25">
        <f>'Financial Statements'!J4/'Financial Statements'!J$10</f>
        <v>0</v>
      </c>
      <c r="K4" s="25">
        <f>'Financial Statements'!K4/'Financial Statements'!K$10</f>
        <v>0</v>
      </c>
      <c r="L4" s="25">
        <f>'Financial Statements'!L4/'Financial Statements'!L$10</f>
        <v>0</v>
      </c>
      <c r="M4" s="25">
        <f>'Financial Statements'!M4/'Financial Statements'!M$10</f>
        <v>0</v>
      </c>
    </row>
    <row r="5" spans="1:21" ht="12.75" customHeight="1" x14ac:dyDescent="0.2">
      <c r="A5" s="1" t="s">
        <v>158</v>
      </c>
      <c r="B5" s="25">
        <f>'Financial Statements'!B5/'Financial Statements'!B$10</f>
        <v>0</v>
      </c>
      <c r="C5" s="25">
        <f>'Financial Statements'!C5/'Financial Statements'!C$10</f>
        <v>0</v>
      </c>
      <c r="D5" s="25">
        <f>'Financial Statements'!D5/'Financial Statements'!D$10</f>
        <v>0</v>
      </c>
      <c r="E5" s="25">
        <f>'Financial Statements'!E5/'Financial Statements'!E$10</f>
        <v>0</v>
      </c>
      <c r="F5" s="25">
        <f>'Financial Statements'!F5/'Financial Statements'!F$10</f>
        <v>0</v>
      </c>
      <c r="G5" s="25">
        <f>'Financial Statements'!G5/'Financial Statements'!G$10</f>
        <v>0</v>
      </c>
      <c r="H5" s="25">
        <f>'Financial Statements'!H5/'Financial Statements'!H$10</f>
        <v>0</v>
      </c>
      <c r="I5" s="25">
        <f>'Financial Statements'!I5/'Financial Statements'!I$10</f>
        <v>0</v>
      </c>
      <c r="J5" s="25">
        <f>'Financial Statements'!J5/'Financial Statements'!J$10</f>
        <v>0</v>
      </c>
      <c r="K5" s="25">
        <f>'Financial Statements'!K5/'Financial Statements'!K$10</f>
        <v>0</v>
      </c>
      <c r="L5" s="25">
        <f>'Financial Statements'!L5/'Financial Statements'!L$10</f>
        <v>0</v>
      </c>
      <c r="M5" s="25">
        <f>'Financial Statements'!M5/'Financial Statements'!M$10</f>
        <v>0</v>
      </c>
    </row>
    <row r="6" spans="1:21" ht="12.75" customHeight="1" x14ac:dyDescent="0.2">
      <c r="A6" s="1" t="s">
        <v>276</v>
      </c>
      <c r="B6" s="25">
        <f>'Financial Statements'!B6/'Financial Statements'!B$10</f>
        <v>0</v>
      </c>
      <c r="C6" s="25">
        <f>'Financial Statements'!C6/'Financial Statements'!C$10</f>
        <v>0</v>
      </c>
      <c r="D6" s="25">
        <f>'Financial Statements'!D6/'Financial Statements'!D$10</f>
        <v>0</v>
      </c>
      <c r="E6" s="25">
        <f>'Financial Statements'!E6/'Financial Statements'!E$10</f>
        <v>0</v>
      </c>
      <c r="F6" s="25">
        <f>'Financial Statements'!F6/'Financial Statements'!F$10</f>
        <v>0</v>
      </c>
      <c r="G6" s="25">
        <f>'Financial Statements'!G6/'Financial Statements'!G$10</f>
        <v>0</v>
      </c>
      <c r="H6" s="25">
        <f>'Financial Statements'!H6/'Financial Statements'!H$10</f>
        <v>0</v>
      </c>
      <c r="I6" s="25">
        <f>'Financial Statements'!I6/'Financial Statements'!I$10</f>
        <v>0</v>
      </c>
      <c r="J6" s="25">
        <f>'Financial Statements'!J6/'Financial Statements'!J$10</f>
        <v>0</v>
      </c>
      <c r="K6" s="25">
        <f>'Financial Statements'!K6/'Financial Statements'!K$10</f>
        <v>0</v>
      </c>
      <c r="L6" s="25">
        <f>'Financial Statements'!L6/'Financial Statements'!L$10</f>
        <v>0</v>
      </c>
      <c r="M6" s="25">
        <f>'Financial Statements'!M6/'Financial Statements'!M$10</f>
        <v>0</v>
      </c>
    </row>
    <row r="7" spans="1:21" ht="12.75" customHeight="1" x14ac:dyDescent="0.2">
      <c r="A7" s="1" t="s">
        <v>277</v>
      </c>
      <c r="B7" s="25">
        <f>'Financial Statements'!B7/'Financial Statements'!B$10</f>
        <v>0</v>
      </c>
      <c r="C7" s="25">
        <f>'Financial Statements'!C7/'Financial Statements'!C$10</f>
        <v>0</v>
      </c>
      <c r="D7" s="25">
        <f>'Financial Statements'!D7/'Financial Statements'!D$10</f>
        <v>0</v>
      </c>
      <c r="E7" s="25">
        <f>'Financial Statements'!E7/'Financial Statements'!E$10</f>
        <v>0</v>
      </c>
      <c r="F7" s="25">
        <f>'Financial Statements'!F7/'Financial Statements'!F$10</f>
        <v>0</v>
      </c>
      <c r="G7" s="25">
        <f>'Financial Statements'!G7/'Financial Statements'!G$10</f>
        <v>0</v>
      </c>
      <c r="H7" s="25">
        <f>'Financial Statements'!H7/'Financial Statements'!H$10</f>
        <v>0</v>
      </c>
      <c r="I7" s="25">
        <f>'Financial Statements'!I7/'Financial Statements'!I$10</f>
        <v>0</v>
      </c>
      <c r="J7" s="25">
        <f>'Financial Statements'!J7/'Financial Statements'!J$10</f>
        <v>0</v>
      </c>
      <c r="K7" s="25">
        <f>'Financial Statements'!K7/'Financial Statements'!K$10</f>
        <v>0</v>
      </c>
      <c r="L7" s="25">
        <f>'Financial Statements'!L7/'Financial Statements'!L$10</f>
        <v>0</v>
      </c>
      <c r="M7" s="25">
        <f>'Financial Statements'!M7/'Financial Statements'!M$10</f>
        <v>0</v>
      </c>
    </row>
    <row r="8" spans="1:21" ht="12.75" customHeight="1" x14ac:dyDescent="0.2">
      <c r="A8" s="1" t="s">
        <v>159</v>
      </c>
      <c r="B8" s="25">
        <f>'Financial Statements'!B8/'Financial Statements'!B$10</f>
        <v>0</v>
      </c>
      <c r="C8" s="25">
        <f>'Financial Statements'!C8/'Financial Statements'!C$10</f>
        <v>0</v>
      </c>
      <c r="D8" s="25">
        <f>'Financial Statements'!D8/'Financial Statements'!D$10</f>
        <v>0</v>
      </c>
      <c r="E8" s="25">
        <f>'Financial Statements'!E8/'Financial Statements'!E$10</f>
        <v>0</v>
      </c>
      <c r="F8" s="25">
        <f>'Financial Statements'!F8/'Financial Statements'!F$10</f>
        <v>0</v>
      </c>
      <c r="G8" s="25">
        <f>'Financial Statements'!G8/'Financial Statements'!G$10</f>
        <v>0</v>
      </c>
      <c r="H8" s="25">
        <f>'Financial Statements'!H8/'Financial Statements'!H$10</f>
        <v>0</v>
      </c>
      <c r="I8" s="25">
        <f>'Financial Statements'!I8/'Financial Statements'!I$10</f>
        <v>0</v>
      </c>
      <c r="J8" s="25">
        <f>'Financial Statements'!J8/'Financial Statements'!J$10</f>
        <v>0</v>
      </c>
      <c r="K8" s="25">
        <f>'Financial Statements'!K8/'Financial Statements'!K$10</f>
        <v>0</v>
      </c>
      <c r="L8" s="25">
        <f>'Financial Statements'!L8/'Financial Statements'!L$10</f>
        <v>0</v>
      </c>
      <c r="M8" s="25">
        <f>'Financial Statements'!M8/'Financial Statements'!M$10</f>
        <v>0</v>
      </c>
    </row>
    <row r="9" spans="1:21" ht="12.75" customHeight="1" x14ac:dyDescent="0.2">
      <c r="A9" s="1" t="s">
        <v>123</v>
      </c>
      <c r="B9" s="25">
        <f>'Financial Statements'!B9/'Financial Statements'!B$10</f>
        <v>0</v>
      </c>
      <c r="C9" s="25">
        <f>'Financial Statements'!C9/'Financial Statements'!C$10</f>
        <v>0</v>
      </c>
      <c r="D9" s="25">
        <f>'Financial Statements'!D9/'Financial Statements'!D$10</f>
        <v>0</v>
      </c>
      <c r="E9" s="25">
        <f>'Financial Statements'!E9/'Financial Statements'!E$10</f>
        <v>0</v>
      </c>
      <c r="F9" s="25">
        <f>'Financial Statements'!F9/'Financial Statements'!F$10</f>
        <v>0</v>
      </c>
      <c r="G9" s="25">
        <f>'Financial Statements'!G9/'Financial Statements'!G$10</f>
        <v>0</v>
      </c>
      <c r="H9" s="25">
        <f>'Financial Statements'!H9/'Financial Statements'!H$10</f>
        <v>0</v>
      </c>
      <c r="I9" s="25">
        <f>'Financial Statements'!I9/'Financial Statements'!I$10</f>
        <v>0</v>
      </c>
      <c r="J9" s="25">
        <f>'Financial Statements'!J9/'Financial Statements'!J$10</f>
        <v>0</v>
      </c>
      <c r="K9" s="25">
        <f>'Financial Statements'!K9/'Financial Statements'!K$10</f>
        <v>0</v>
      </c>
      <c r="L9" s="25">
        <f>'Financial Statements'!L9/'Financial Statements'!L$10</f>
        <v>0</v>
      </c>
      <c r="M9" s="25">
        <f>'Financial Statements'!M9/'Financial Statements'!M$10</f>
        <v>0</v>
      </c>
    </row>
    <row r="10" spans="1:21" ht="12.75" customHeight="1" x14ac:dyDescent="0.2">
      <c r="A10" s="5" t="s">
        <v>58</v>
      </c>
      <c r="B10" s="26">
        <f>'Financial Statements'!B10/'Financial Statements'!B$10</f>
        <v>1</v>
      </c>
      <c r="C10" s="26">
        <f>'Financial Statements'!C10/'Financial Statements'!C$10</f>
        <v>1</v>
      </c>
      <c r="D10" s="26">
        <f>'Financial Statements'!D10/'Financial Statements'!D$10</f>
        <v>1</v>
      </c>
      <c r="E10" s="26">
        <f>'Financial Statements'!E10/'Financial Statements'!E$10</f>
        <v>1</v>
      </c>
      <c r="F10" s="26">
        <f>'Financial Statements'!F10/'Financial Statements'!F$10</f>
        <v>1</v>
      </c>
      <c r="G10" s="26">
        <f>'Financial Statements'!G10/'Financial Statements'!G$10</f>
        <v>1</v>
      </c>
      <c r="H10" s="26">
        <f>'Financial Statements'!H10/'Financial Statements'!H$10</f>
        <v>1</v>
      </c>
      <c r="I10" s="26">
        <f>'Financial Statements'!I10/'Financial Statements'!I$10</f>
        <v>1</v>
      </c>
      <c r="J10" s="26">
        <f>'Financial Statements'!J10/'Financial Statements'!J$10</f>
        <v>1</v>
      </c>
      <c r="K10" s="26">
        <f>'Financial Statements'!K10/'Financial Statements'!K$10</f>
        <v>1</v>
      </c>
      <c r="L10" s="26">
        <f>'Financial Statements'!L10/'Financial Statements'!L$10</f>
        <v>1</v>
      </c>
      <c r="M10" s="26">
        <f>'Financial Statements'!M10/'Financial Statements'!M$10</f>
        <v>1</v>
      </c>
    </row>
    <row r="11" spans="1:21" ht="12.75" customHeight="1" x14ac:dyDescent="0.2">
      <c r="A11" s="1" t="s">
        <v>124</v>
      </c>
      <c r="B11" s="25">
        <f>'Financial Statements'!B11/'Financial Statements'!B$10</f>
        <v>0.35961120740724489</v>
      </c>
      <c r="C11" s="25">
        <f>'Financial Statements'!C11/'Financial Statements'!C$10</f>
        <v>0.35477524308539832</v>
      </c>
      <c r="D11" s="25">
        <f>'Financial Statements'!D11/'Financial Statements'!D$10</f>
        <v>0.34752627763682492</v>
      </c>
      <c r="E11" s="25">
        <f>'Financial Statements'!E11/'Financial Statements'!E$10</f>
        <v>0.34098042799361111</v>
      </c>
      <c r="F11" s="25">
        <f>'Financial Statements'!F11/'Financial Statements'!F$10</f>
        <v>0.32218998007202043</v>
      </c>
      <c r="G11" s="25">
        <f>'Financial Statements'!G11/'Financial Statements'!G$10</f>
        <v>0.31074199228975297</v>
      </c>
      <c r="H11" s="25">
        <f>'Financial Statements'!H11/'Financial Statements'!H$10</f>
        <v>0.31598325515710901</v>
      </c>
      <c r="I11" s="25">
        <f>'Financial Statements'!I11/'Financial Statements'!I$10</f>
        <v>0.31079914116508978</v>
      </c>
      <c r="J11" s="25">
        <f>'Financial Statements'!J11/'Financial Statements'!J$10</f>
        <v>0.30235556172028621</v>
      </c>
      <c r="K11" s="25">
        <f>'Financial Statements'!K11/'Financial Statements'!K$10</f>
        <v>0.31176257613834818</v>
      </c>
      <c r="L11" s="25">
        <f>'Financial Statements'!L11/'Financial Statements'!L$10</f>
        <v>0.32055906629419689</v>
      </c>
      <c r="M11" s="25">
        <f>'Financial Statements'!M11/'Financial Statements'!M$10</f>
        <v>0.32055906629419689</v>
      </c>
    </row>
    <row r="12" spans="1:21" ht="12.75" customHeight="1" x14ac:dyDescent="0.2">
      <c r="A12" s="1" t="s">
        <v>160</v>
      </c>
      <c r="B12" s="25">
        <f>'Financial Statements'!B12/'Financial Statements'!B$10</f>
        <v>0</v>
      </c>
      <c r="C12" s="25">
        <f>'Financial Statements'!C12/'Financial Statements'!C$10</f>
        <v>0</v>
      </c>
      <c r="D12" s="25">
        <f>'Financial Statements'!D12/'Financial Statements'!D$10</f>
        <v>0</v>
      </c>
      <c r="E12" s="25">
        <f>'Financial Statements'!E12/'Financial Statements'!E$10</f>
        <v>0</v>
      </c>
      <c r="F12" s="25">
        <f>'Financial Statements'!F12/'Financial Statements'!F$10</f>
        <v>0</v>
      </c>
      <c r="G12" s="25">
        <f>'Financial Statements'!G12/'Financial Statements'!G$10</f>
        <v>0</v>
      </c>
      <c r="H12" s="25">
        <f>'Financial Statements'!H12/'Financial Statements'!H$10</f>
        <v>0</v>
      </c>
      <c r="I12" s="25">
        <f>'Financial Statements'!I12/'Financial Statements'!I$10</f>
        <v>0</v>
      </c>
      <c r="J12" s="25">
        <f>'Financial Statements'!J12/'Financial Statements'!J$10</f>
        <v>0</v>
      </c>
      <c r="K12" s="25">
        <f>'Financial Statements'!K12/'Financial Statements'!K$10</f>
        <v>0</v>
      </c>
      <c r="L12" s="25">
        <f>'Financial Statements'!L12/'Financial Statements'!L$10</f>
        <v>0</v>
      </c>
      <c r="M12" s="25">
        <f>'Financial Statements'!M12/'Financial Statements'!M$10</f>
        <v>0</v>
      </c>
    </row>
    <row r="13" spans="1:21" ht="12.75" customHeight="1" x14ac:dyDescent="0.2">
      <c r="A13" s="1" t="s">
        <v>161</v>
      </c>
      <c r="B13" s="25">
        <f>'Financial Statements'!B13/'Financial Statements'!B$10</f>
        <v>0</v>
      </c>
      <c r="C13" s="25">
        <f>'Financial Statements'!C13/'Financial Statements'!C$10</f>
        <v>0</v>
      </c>
      <c r="D13" s="25">
        <f>'Financial Statements'!D13/'Financial Statements'!D$10</f>
        <v>0</v>
      </c>
      <c r="E13" s="25">
        <f>'Financial Statements'!E13/'Financial Statements'!E$10</f>
        <v>0</v>
      </c>
      <c r="F13" s="25">
        <f>'Financial Statements'!F13/'Financial Statements'!F$10</f>
        <v>0</v>
      </c>
      <c r="G13" s="25">
        <f>'Financial Statements'!G13/'Financial Statements'!G$10</f>
        <v>0</v>
      </c>
      <c r="H13" s="25">
        <f>'Financial Statements'!H13/'Financial Statements'!H$10</f>
        <v>0</v>
      </c>
      <c r="I13" s="25">
        <f>'Financial Statements'!I13/'Financial Statements'!I$10</f>
        <v>0</v>
      </c>
      <c r="J13" s="25">
        <f>'Financial Statements'!J13/'Financial Statements'!J$10</f>
        <v>0</v>
      </c>
      <c r="K13" s="25">
        <f>'Financial Statements'!K13/'Financial Statements'!K$10</f>
        <v>0</v>
      </c>
      <c r="L13" s="25">
        <f>'Financial Statements'!L13/'Financial Statements'!L$10</f>
        <v>0</v>
      </c>
      <c r="M13" s="25">
        <f>'Financial Statements'!M13/'Financial Statements'!M$10</f>
        <v>0</v>
      </c>
    </row>
    <row r="14" spans="1:21" ht="12.75" customHeight="1" x14ac:dyDescent="0.2">
      <c r="A14" s="1" t="s">
        <v>162</v>
      </c>
      <c r="B14" s="25">
        <f>'Financial Statements'!B14/'Financial Statements'!B$10</f>
        <v>0</v>
      </c>
      <c r="C14" s="25">
        <f>'Financial Statements'!C14/'Financial Statements'!C$10</f>
        <v>0</v>
      </c>
      <c r="D14" s="25">
        <f>'Financial Statements'!D14/'Financial Statements'!D$10</f>
        <v>0</v>
      </c>
      <c r="E14" s="25">
        <f>'Financial Statements'!E14/'Financial Statements'!E$10</f>
        <v>0</v>
      </c>
      <c r="F14" s="25">
        <f>'Financial Statements'!F14/'Financial Statements'!F$10</f>
        <v>0</v>
      </c>
      <c r="G14" s="25">
        <f>'Financial Statements'!G14/'Financial Statements'!G$10</f>
        <v>0</v>
      </c>
      <c r="H14" s="25">
        <f>'Financial Statements'!H14/'Financial Statements'!H$10</f>
        <v>0</v>
      </c>
      <c r="I14" s="25">
        <f>'Financial Statements'!I14/'Financial Statements'!I$10</f>
        <v>0</v>
      </c>
      <c r="J14" s="25">
        <f>'Financial Statements'!J14/'Financial Statements'!J$10</f>
        <v>0</v>
      </c>
      <c r="K14" s="25">
        <f>'Financial Statements'!K14/'Financial Statements'!K$10</f>
        <v>0</v>
      </c>
      <c r="L14" s="25">
        <f>'Financial Statements'!L14/'Financial Statements'!L$10</f>
        <v>0</v>
      </c>
      <c r="M14" s="25">
        <f>'Financial Statements'!M14/'Financial Statements'!M$10</f>
        <v>0</v>
      </c>
    </row>
    <row r="15" spans="1:21" ht="12.75" customHeight="1" x14ac:dyDescent="0.2">
      <c r="A15" s="5" t="s">
        <v>53</v>
      </c>
      <c r="B15" s="26">
        <f>'Financial Statements'!B15/'Financial Statements'!B$10</f>
        <v>0.64038879259275516</v>
      </c>
      <c r="C15" s="26">
        <f>'Financial Statements'!C15/'Financial Statements'!C$10</f>
        <v>0.64522475691460168</v>
      </c>
      <c r="D15" s="26">
        <f>'Financial Statements'!D15/'Financial Statements'!D$10</f>
        <v>0.65247372236317502</v>
      </c>
      <c r="E15" s="26">
        <f>'Financial Statements'!E15/'Financial Statements'!E$10</f>
        <v>0.65901957200638894</v>
      </c>
      <c r="F15" s="26">
        <f>'Financial Statements'!F15/'Financial Statements'!F$10</f>
        <v>0.67781001992797962</v>
      </c>
      <c r="G15" s="26">
        <f>'Financial Statements'!G15/'Financial Statements'!G$10</f>
        <v>0.68925800771024703</v>
      </c>
      <c r="H15" s="26">
        <f>'Financial Statements'!H15/'Financial Statements'!H$10</f>
        <v>0.68401674484289099</v>
      </c>
      <c r="I15" s="26">
        <f>'Financial Statements'!I15/'Financial Statements'!I$10</f>
        <v>0.68920085883491022</v>
      </c>
      <c r="J15" s="26">
        <f>'Financial Statements'!J15/'Financial Statements'!J$10</f>
        <v>0.69764443827971379</v>
      </c>
      <c r="K15" s="26">
        <f>'Financial Statements'!K15/'Financial Statements'!K$10</f>
        <v>0.68823742386165188</v>
      </c>
      <c r="L15" s="26">
        <f>'Financial Statements'!L15/'Financial Statements'!L$10</f>
        <v>0.67944093370580316</v>
      </c>
      <c r="M15" s="26">
        <f>'Financial Statements'!M15/'Financial Statements'!M$10</f>
        <v>0.67944093370580316</v>
      </c>
    </row>
    <row r="16" spans="1:21" ht="12.75" customHeight="1" x14ac:dyDescent="0.2">
      <c r="A16" s="1" t="s">
        <v>125</v>
      </c>
      <c r="B16" s="25">
        <f>'Financial Statements'!B16/'Financial Statements'!B$10</f>
        <v>0.21061061500318143</v>
      </c>
      <c r="C16" s="25">
        <f>'Financial Statements'!C16/'Financial Statements'!C$10</f>
        <v>0.2065009164241853</v>
      </c>
      <c r="D16" s="25">
        <f>'Financial Statements'!D16/'Financial Statements'!D$10</f>
        <v>0.20136824936571221</v>
      </c>
      <c r="E16" s="25">
        <f>'Financial Statements'!E16/'Financial Statements'!E$10</f>
        <v>0.18354616466549589</v>
      </c>
      <c r="F16" s="25">
        <f>'Financial Statements'!F16/'Financial Statements'!F$10</f>
        <v>0.17277208684403733</v>
      </c>
      <c r="G16" s="25">
        <f>'Financial Statements'!G16/'Financial Statements'!G$10</f>
        <v>0.15006425205844556</v>
      </c>
      <c r="H16" s="25">
        <f>'Financial Statements'!H16/'Financial Statements'!H$10</f>
        <v>0.13983456902204064</v>
      </c>
      <c r="I16" s="25">
        <f>'Financial Statements'!I16/'Financial Statements'!I$10</f>
        <v>0.14314229761932851</v>
      </c>
      <c r="J16" s="25">
        <f>'Financial Statements'!J16/'Financial Statements'!J$10</f>
        <v>0.13081241177862452</v>
      </c>
      <c r="K16" s="25">
        <f>'Financial Statements'!K16/'Financial Statements'!K$10</f>
        <v>0.11669932274140649</v>
      </c>
      <c r="L16" s="25">
        <f>'Financial Statements'!L16/'Financial Statements'!L$10</f>
        <v>0.10446632252387453</v>
      </c>
      <c r="M16" s="25">
        <f>'Financial Statements'!M16/'Financial Statements'!M$10</f>
        <v>0.10446632252387453</v>
      </c>
    </row>
    <row r="17" spans="1:13" ht="12.75" customHeight="1" x14ac:dyDescent="0.2">
      <c r="A17" s="1" t="s">
        <v>209</v>
      </c>
      <c r="B17" s="25">
        <f>'Financial Statements'!B17/'Financial Statements'!B$10</f>
        <v>0</v>
      </c>
      <c r="C17" s="25">
        <f>'Financial Statements'!C17/'Financial Statements'!C$10</f>
        <v>0</v>
      </c>
      <c r="D17" s="25">
        <f>'Financial Statements'!D17/'Financial Statements'!D$10</f>
        <v>0</v>
      </c>
      <c r="E17" s="25">
        <f>'Financial Statements'!E17/'Financial Statements'!E$10</f>
        <v>0</v>
      </c>
      <c r="F17" s="25">
        <f>'Financial Statements'!F17/'Financial Statements'!F$10</f>
        <v>0</v>
      </c>
      <c r="G17" s="25">
        <f>'Financial Statements'!G17/'Financial Statements'!G$10</f>
        <v>0</v>
      </c>
      <c r="H17" s="25">
        <f>'Financial Statements'!H17/'Financial Statements'!H$10</f>
        <v>0</v>
      </c>
      <c r="I17" s="25">
        <f>'Financial Statements'!I17/'Financial Statements'!I$10</f>
        <v>0</v>
      </c>
      <c r="J17" s="25">
        <f>'Financial Statements'!J17/'Financial Statements'!J$10</f>
        <v>0</v>
      </c>
      <c r="K17" s="25">
        <f>'Financial Statements'!K17/'Financial Statements'!K$10</f>
        <v>0</v>
      </c>
      <c r="L17" s="25">
        <f>'Financial Statements'!L17/'Financial Statements'!L$10</f>
        <v>0</v>
      </c>
      <c r="M17" s="25">
        <f>'Financial Statements'!M17/'Financial Statements'!M$10</f>
        <v>0</v>
      </c>
    </row>
    <row r="18" spans="1:13" ht="12.75" customHeight="1" x14ac:dyDescent="0.2">
      <c r="A18" s="1" t="s">
        <v>210</v>
      </c>
      <c r="B18" s="25">
        <f>'Financial Statements'!B18/'Financial Statements'!B$10</f>
        <v>0</v>
      </c>
      <c r="C18" s="25">
        <f>'Financial Statements'!C18/'Financial Statements'!C$10</f>
        <v>0</v>
      </c>
      <c r="D18" s="25">
        <f>'Financial Statements'!D18/'Financial Statements'!D$10</f>
        <v>0</v>
      </c>
      <c r="E18" s="25">
        <f>'Financial Statements'!E18/'Financial Statements'!E$10</f>
        <v>0</v>
      </c>
      <c r="F18" s="25">
        <f>'Financial Statements'!F18/'Financial Statements'!F$10</f>
        <v>0</v>
      </c>
      <c r="G18" s="25">
        <f>'Financial Statements'!G18/'Financial Statements'!G$10</f>
        <v>0</v>
      </c>
      <c r="H18" s="25">
        <f>'Financial Statements'!H18/'Financial Statements'!H$10</f>
        <v>0</v>
      </c>
      <c r="I18" s="25">
        <f>'Financial Statements'!I18/'Financial Statements'!I$10</f>
        <v>0</v>
      </c>
      <c r="J18" s="25">
        <f>'Financial Statements'!J18/'Financial Statements'!J$10</f>
        <v>0</v>
      </c>
      <c r="K18" s="25">
        <f>'Financial Statements'!K18/'Financial Statements'!K$10</f>
        <v>0</v>
      </c>
      <c r="L18" s="25">
        <f>'Financial Statements'!L18/'Financial Statements'!L$10</f>
        <v>0</v>
      </c>
      <c r="M18" s="25">
        <f>'Financial Statements'!M18/'Financial Statements'!M$10</f>
        <v>0</v>
      </c>
    </row>
    <row r="19" spans="1:13" ht="12.75" customHeight="1" x14ac:dyDescent="0.2">
      <c r="A19" s="1" t="s">
        <v>203</v>
      </c>
      <c r="B19" s="25">
        <f>'Financial Statements'!B19/'Financial Statements'!B$10</f>
        <v>0</v>
      </c>
      <c r="C19" s="25">
        <f>'Financial Statements'!C19/'Financial Statements'!C$10</f>
        <v>0</v>
      </c>
      <c r="D19" s="25">
        <f>'Financial Statements'!D19/'Financial Statements'!D$10</f>
        <v>0</v>
      </c>
      <c r="E19" s="25">
        <f>'Financial Statements'!E19/'Financial Statements'!E$10</f>
        <v>0</v>
      </c>
      <c r="F19" s="25">
        <f>'Financial Statements'!F19/'Financial Statements'!F$10</f>
        <v>0</v>
      </c>
      <c r="G19" s="25">
        <f>'Financial Statements'!G19/'Financial Statements'!G$10</f>
        <v>0</v>
      </c>
      <c r="H19" s="25">
        <f>'Financial Statements'!H19/'Financial Statements'!H$10</f>
        <v>0</v>
      </c>
      <c r="I19" s="25">
        <f>'Financial Statements'!I19/'Financial Statements'!I$10</f>
        <v>0</v>
      </c>
      <c r="J19" s="25">
        <f>'Financial Statements'!J19/'Financial Statements'!J$10</f>
        <v>0</v>
      </c>
      <c r="K19" s="25">
        <f>'Financial Statements'!K19/'Financial Statements'!K$10</f>
        <v>0</v>
      </c>
      <c r="L19" s="25">
        <f>'Financial Statements'!L19/'Financial Statements'!L$10</f>
        <v>0</v>
      </c>
      <c r="M19" s="25">
        <f>'Financial Statements'!M19/'Financial Statements'!M$10</f>
        <v>0</v>
      </c>
    </row>
    <row r="20" spans="1:13" ht="12.75" customHeight="1" x14ac:dyDescent="0.2">
      <c r="A20" s="1" t="s">
        <v>211</v>
      </c>
      <c r="B20" s="25">
        <f>'Financial Statements'!B20/'Financial Statements'!B$10</f>
        <v>0</v>
      </c>
      <c r="C20" s="25">
        <f>'Financial Statements'!C20/'Financial Statements'!C$10</f>
        <v>0</v>
      </c>
      <c r="D20" s="25">
        <f>'Financial Statements'!D20/'Financial Statements'!D$10</f>
        <v>0</v>
      </c>
      <c r="E20" s="25">
        <f>'Financial Statements'!E20/'Financial Statements'!E$10</f>
        <v>0</v>
      </c>
      <c r="F20" s="25">
        <f>'Financial Statements'!F20/'Financial Statements'!F$10</f>
        <v>0</v>
      </c>
      <c r="G20" s="25">
        <f>'Financial Statements'!G20/'Financial Statements'!G$10</f>
        <v>0</v>
      </c>
      <c r="H20" s="25">
        <f>'Financial Statements'!H20/'Financial Statements'!H$10</f>
        <v>0</v>
      </c>
      <c r="I20" s="25">
        <f>'Financial Statements'!I20/'Financial Statements'!I$10</f>
        <v>0</v>
      </c>
      <c r="J20" s="25">
        <f>'Financial Statements'!J20/'Financial Statements'!J$10</f>
        <v>0</v>
      </c>
      <c r="K20" s="25">
        <f>'Financial Statements'!K20/'Financial Statements'!K$10</f>
        <v>0</v>
      </c>
      <c r="L20" s="25">
        <f>'Financial Statements'!L20/'Financial Statements'!L$10</f>
        <v>0</v>
      </c>
      <c r="M20" s="25">
        <f>'Financial Statements'!M20/'Financial Statements'!M$10</f>
        <v>0</v>
      </c>
    </row>
    <row r="21" spans="1:13" ht="12.75" customHeight="1" x14ac:dyDescent="0.2">
      <c r="A21" s="1" t="s">
        <v>59</v>
      </c>
      <c r="B21" s="25">
        <f>'Financial Statements'!B21/'Financial Statements'!B$10</f>
        <v>0.13151370208657875</v>
      </c>
      <c r="C21" s="25">
        <f>'Financial Statements'!C21/'Financial Statements'!C$10</f>
        <v>0.13499911981857907</v>
      </c>
      <c r="D21" s="25">
        <f>'Financial Statements'!D21/'Financial Statements'!D$10</f>
        <v>0.13343602754621239</v>
      </c>
      <c r="E21" s="25">
        <f>'Financial Statements'!E21/'Financial Statements'!E$10</f>
        <v>0.13410360528595155</v>
      </c>
      <c r="F21" s="25">
        <f>'Financial Statements'!F21/'Financial Statements'!F$10</f>
        <v>0.1347341187987274</v>
      </c>
      <c r="G21" s="25">
        <f>'Financial Statements'!G21/'Financial Statements'!G$10</f>
        <v>0.12324496692208843</v>
      </c>
      <c r="H21" s="25">
        <f>'Financial Statements'!H21/'Financial Statements'!H$10</f>
        <v>0.12362939426035205</v>
      </c>
      <c r="I21" s="25">
        <f>'Financial Statements'!I21/'Financial Statements'!I$10</f>
        <v>0.12832975485454073</v>
      </c>
      <c r="J21" s="25">
        <f>'Financial Statements'!J21/'Financial Statements'!J$10</f>
        <v>0.12038903076835208</v>
      </c>
      <c r="K21" s="25">
        <f>'Financial Statements'!K21/'Financial Statements'!K$10</f>
        <v>0.11531853871164686</v>
      </c>
      <c r="L21" s="25">
        <f>'Financial Statements'!L21/'Financial Statements'!L$10</f>
        <v>0.10716642709265638</v>
      </c>
      <c r="M21" s="25">
        <f>'Financial Statements'!M21/'Financial Statements'!M$10</f>
        <v>0.10716642709265638</v>
      </c>
    </row>
    <row r="22" spans="1:13" ht="12.75" customHeight="1" x14ac:dyDescent="0.2">
      <c r="A22" s="1" t="s">
        <v>126</v>
      </c>
      <c r="B22" s="25">
        <f>'Financial Statements'!B22/'Financial Statements'!B$10</f>
        <v>0</v>
      </c>
      <c r="C22" s="25">
        <f>'Financial Statements'!C22/'Financial Statements'!C$10</f>
        <v>0</v>
      </c>
      <c r="D22" s="25">
        <f>'Financial Statements'!D22/'Financial Statements'!D$10</f>
        <v>0</v>
      </c>
      <c r="E22" s="25">
        <f>'Financial Statements'!E22/'Financial Statements'!E$10</f>
        <v>0</v>
      </c>
      <c r="F22" s="25">
        <f>'Financial Statements'!F22/'Financial Statements'!F$10</f>
        <v>0</v>
      </c>
      <c r="G22" s="25">
        <f>'Financial Statements'!G22/'Financial Statements'!G$10</f>
        <v>0</v>
      </c>
      <c r="H22" s="25">
        <f>'Financial Statements'!H22/'Financial Statements'!H$10</f>
        <v>0</v>
      </c>
      <c r="I22" s="25">
        <f>'Financial Statements'!I22/'Financial Statements'!I$10</f>
        <v>0</v>
      </c>
      <c r="J22" s="25">
        <f>'Financial Statements'!J22/'Financial Statements'!J$10</f>
        <v>0</v>
      </c>
      <c r="K22" s="25">
        <f>'Financial Statements'!K22/'Financial Statements'!K$10</f>
        <v>0</v>
      </c>
      <c r="L22" s="25">
        <f>'Financial Statements'!L22/'Financial Statements'!L$10</f>
        <v>0</v>
      </c>
      <c r="M22" s="25">
        <f>'Financial Statements'!M22/'Financial Statements'!M$10</f>
        <v>0</v>
      </c>
    </row>
    <row r="23" spans="1:13" ht="12.75" customHeight="1" x14ac:dyDescent="0.2">
      <c r="A23" s="1" t="s">
        <v>141</v>
      </c>
      <c r="B23" s="25">
        <f>'Financial Statements'!B23/'Financial Statements'!B$10</f>
        <v>0</v>
      </c>
      <c r="C23" s="25">
        <f>'Financial Statements'!C23/'Financial Statements'!C$10</f>
        <v>0</v>
      </c>
      <c r="D23" s="25">
        <f>'Financial Statements'!D23/'Financial Statements'!D$10</f>
        <v>0</v>
      </c>
      <c r="E23" s="25">
        <f>'Financial Statements'!E23/'Financial Statements'!E$10</f>
        <v>0</v>
      </c>
      <c r="F23" s="25">
        <f>'Financial Statements'!F23/'Financial Statements'!F$10</f>
        <v>0</v>
      </c>
      <c r="G23" s="25">
        <f>'Financial Statements'!G23/'Financial Statements'!G$10</f>
        <v>0</v>
      </c>
      <c r="H23" s="25">
        <f>'Financial Statements'!H23/'Financial Statements'!H$10</f>
        <v>0</v>
      </c>
      <c r="I23" s="25">
        <f>'Financial Statements'!I23/'Financial Statements'!I$10</f>
        <v>0</v>
      </c>
      <c r="J23" s="25">
        <f>'Financial Statements'!J23/'Financial Statements'!J$10</f>
        <v>0</v>
      </c>
      <c r="K23" s="25">
        <f>'Financial Statements'!K23/'Financial Statements'!K$10</f>
        <v>0</v>
      </c>
      <c r="L23" s="25">
        <f>'Financial Statements'!L23/'Financial Statements'!L$10</f>
        <v>0</v>
      </c>
      <c r="M23" s="25">
        <f>'Financial Statements'!M23/'Financial Statements'!M$10</f>
        <v>0</v>
      </c>
    </row>
    <row r="24" spans="1:13" ht="12.75" customHeight="1" x14ac:dyDescent="0.2">
      <c r="A24" s="1" t="s">
        <v>197</v>
      </c>
      <c r="B24" s="25">
        <f>'Financial Statements'!B24/'Financial Statements'!B$10</f>
        <v>0</v>
      </c>
      <c r="C24" s="25">
        <f>'Financial Statements'!C24/'Financial Statements'!C$10</f>
        <v>0</v>
      </c>
      <c r="D24" s="25">
        <f>'Financial Statements'!D24/'Financial Statements'!D$10</f>
        <v>0</v>
      </c>
      <c r="E24" s="25">
        <f>'Financial Statements'!E24/'Financial Statements'!E$10</f>
        <v>0</v>
      </c>
      <c r="F24" s="25">
        <f>'Financial Statements'!F24/'Financial Statements'!F$10</f>
        <v>0</v>
      </c>
      <c r="G24" s="25">
        <f>'Financial Statements'!G24/'Financial Statements'!G$10</f>
        <v>0</v>
      </c>
      <c r="H24" s="25">
        <f>'Financial Statements'!H24/'Financial Statements'!H$10</f>
        <v>0</v>
      </c>
      <c r="I24" s="25">
        <f>'Financial Statements'!I24/'Financial Statements'!I$10</f>
        <v>0</v>
      </c>
      <c r="J24" s="25">
        <f>'Financial Statements'!J24/'Financial Statements'!J$10</f>
        <v>0</v>
      </c>
      <c r="K24" s="25">
        <f>'Financial Statements'!K24/'Financial Statements'!K$10</f>
        <v>0</v>
      </c>
      <c r="L24" s="25">
        <f>'Financial Statements'!L24/'Financial Statements'!L$10</f>
        <v>0</v>
      </c>
      <c r="M24" s="25">
        <f>'Financial Statements'!M24/'Financial Statements'!M$10</f>
        <v>0</v>
      </c>
    </row>
    <row r="25" spans="1:13" ht="12.75" customHeight="1" x14ac:dyDescent="0.2">
      <c r="A25" s="1" t="s">
        <v>61</v>
      </c>
      <c r="B25" s="27">
        <f>'Financial Statements'!B25/'Financial Statements'!B$10</f>
        <v>0</v>
      </c>
      <c r="C25" s="27">
        <f>'Financial Statements'!C25/'Financial Statements'!C$10</f>
        <v>0</v>
      </c>
      <c r="D25" s="27">
        <f>'Financial Statements'!D25/'Financial Statements'!D$10</f>
        <v>0</v>
      </c>
      <c r="E25" s="27">
        <f>'Financial Statements'!E25/'Financial Statements'!E$10</f>
        <v>0</v>
      </c>
      <c r="F25" s="27">
        <f>'Financial Statements'!F25/'Financial Statements'!F$10</f>
        <v>0</v>
      </c>
      <c r="G25" s="27">
        <f>'Financial Statements'!G25/'Financial Statements'!G$10</f>
        <v>0</v>
      </c>
      <c r="H25" s="27">
        <f>'Financial Statements'!H25/'Financial Statements'!H$10</f>
        <v>0</v>
      </c>
      <c r="I25" s="27">
        <f>'Financial Statements'!I25/'Financial Statements'!I$10</f>
        <v>0</v>
      </c>
      <c r="J25" s="27">
        <f>'Financial Statements'!J25/'Financial Statements'!J$10</f>
        <v>0</v>
      </c>
      <c r="K25" s="27">
        <f>'Financial Statements'!K25/'Financial Statements'!K$10</f>
        <v>0</v>
      </c>
      <c r="L25" s="27">
        <f>'Financial Statements'!L25/'Financial Statements'!L$10</f>
        <v>0</v>
      </c>
      <c r="M25" s="27">
        <f>'Financial Statements'!M25/'Financial Statements'!M$10</f>
        <v>0</v>
      </c>
    </row>
    <row r="26" spans="1:13" ht="12.75" customHeight="1" x14ac:dyDescent="0.2">
      <c r="A26" s="5" t="s">
        <v>62</v>
      </c>
      <c r="B26" s="28">
        <f>'Financial Statements'!B26/'Financial Statements'!B$10</f>
        <v>0.34212431708976021</v>
      </c>
      <c r="C26" s="28">
        <f>'Financial Statements'!C26/'Financial Statements'!C$10</f>
        <v>0.34150003624276437</v>
      </c>
      <c r="D26" s="28">
        <f>'Financial Statements'!D26/'Financial Statements'!D$10</f>
        <v>0.3348042769119246</v>
      </c>
      <c r="E26" s="28">
        <f>'Financial Statements'!E26/'Financial Statements'!E$10</f>
        <v>0.31764976995144745</v>
      </c>
      <c r="F26" s="28">
        <f>'Financial Statements'!F26/'Financial Statements'!F$10</f>
        <v>0.30750620564276476</v>
      </c>
      <c r="G26" s="28">
        <f>'Financial Statements'!G26/'Financial Statements'!G$10</f>
        <v>0.27330921898053401</v>
      </c>
      <c r="H26" s="28">
        <f>'Financial Statements'!H26/'Financial Statements'!H$10</f>
        <v>0.26346396328239269</v>
      </c>
      <c r="I26" s="28">
        <f>'Financial Statements'!I26/'Financial Statements'!I$10</f>
        <v>0.27147205247386924</v>
      </c>
      <c r="J26" s="28">
        <f>'Financial Statements'!J26/'Financial Statements'!J$10</f>
        <v>0.25120144254697663</v>
      </c>
      <c r="K26" s="28">
        <f>'Financial Statements'!K26/'Financial Statements'!K$10</f>
        <v>0.23201786145305334</v>
      </c>
      <c r="L26" s="28">
        <f>'Financial Statements'!L26/'Financial Statements'!L$10</f>
        <v>0.21163274961653092</v>
      </c>
      <c r="M26" s="28">
        <f>'Financial Statements'!M26/'Financial Statements'!M$10</f>
        <v>0.21163274961653092</v>
      </c>
    </row>
    <row r="27" spans="1:13" ht="12.75" customHeight="1" thickBot="1" x14ac:dyDescent="0.25">
      <c r="A27" s="5" t="s">
        <v>63</v>
      </c>
      <c r="B27" s="29">
        <f>'Financial Statements'!B27/'Financial Statements'!B$10</f>
        <v>0.29826447550299495</v>
      </c>
      <c r="C27" s="29">
        <f>'Financial Statements'!C27/'Financial Statements'!C$10</f>
        <v>0.30372472067183731</v>
      </c>
      <c r="D27" s="29">
        <f>'Financial Statements'!D27/'Financial Statements'!D$10</f>
        <v>0.31766944545125048</v>
      </c>
      <c r="E27" s="29">
        <f>'Financial Statements'!E27/'Financial Statements'!E$10</f>
        <v>0.3413698020549415</v>
      </c>
      <c r="F27" s="29">
        <f>'Financial Statements'!F27/'Financial Statements'!F$10</f>
        <v>0.37030381428521486</v>
      </c>
      <c r="G27" s="29">
        <f>'Financial Statements'!G27/'Financial Statements'!G$10</f>
        <v>0.41594878872971303</v>
      </c>
      <c r="H27" s="29">
        <f>'Financial Statements'!H27/'Financial Statements'!H$10</f>
        <v>0.4205527815604983</v>
      </c>
      <c r="I27" s="29">
        <f>'Financial Statements'!I27/'Financial Statements'!I$10</f>
        <v>0.41772880636104098</v>
      </c>
      <c r="J27" s="29">
        <f>'Financial Statements'!J27/'Financial Statements'!J$10</f>
        <v>0.44644299573273716</v>
      </c>
      <c r="K27" s="29">
        <f>'Financial Statements'!K27/'Financial Statements'!K$10</f>
        <v>0.45621956240859851</v>
      </c>
      <c r="L27" s="29">
        <f>'Financial Statements'!L27/'Financial Statements'!L$10</f>
        <v>0.46780818408927222</v>
      </c>
      <c r="M27" s="29">
        <f>'Financial Statements'!M27/'Financial Statements'!M$10</f>
        <v>0.46780818408927222</v>
      </c>
    </row>
    <row r="28" spans="1:13" ht="12.75" customHeight="1" thickTop="1" x14ac:dyDescent="0.2">
      <c r="A28" s="1" t="s">
        <v>52</v>
      </c>
      <c r="B28" s="25">
        <f>'Financial Statements'!B28/'Financial Statements'!B$10</f>
        <v>-1.3636263905039823E-2</v>
      </c>
      <c r="C28" s="25">
        <f>'Financial Statements'!C28/'Financial Statements'!C$10</f>
        <v>-2.3008977850493419E-2</v>
      </c>
      <c r="D28" s="25">
        <f>'Financial Statements'!D28/'Financial Statements'!D$10</f>
        <v>-2.4764407393983327E-2</v>
      </c>
      <c r="E28" s="25">
        <f>'Financial Statements'!E28/'Financial Statements'!E$10</f>
        <v>-2.1344055688437179E-2</v>
      </c>
      <c r="F28" s="25">
        <f>'Financial Statements'!F28/'Financial Statements'!F$10</f>
        <v>-1.8116980736286405E-2</v>
      </c>
      <c r="G28" s="25">
        <f>'Financial Statements'!G28/'Financial Statements'!G$10</f>
        <v>-1.3861786683165961E-2</v>
      </c>
      <c r="H28" s="25">
        <f>'Financial Statements'!H28/'Financial Statements'!H$10</f>
        <v>-1.0324305240328844E-2</v>
      </c>
      <c r="I28" s="25">
        <f>'Financial Statements'!I28/'Financial Statements'!I$10</f>
        <v>-9.4141519005261545E-3</v>
      </c>
      <c r="J28" s="25">
        <f>'Financial Statements'!J28/'Financial Statements'!J$10</f>
        <v>-1.216945031453725E-2</v>
      </c>
      <c r="K28" s="25">
        <f>'Financial Statements'!K28/'Financial Statements'!K$10</f>
        <v>-8.6077153526146165E-3</v>
      </c>
      <c r="L28" s="25">
        <f>'Financial Statements'!L28/'Financial Statements'!L$10</f>
        <v>-9.2846229647509781E-3</v>
      </c>
      <c r="M28" s="25">
        <f>'Financial Statements'!M28/'Financial Statements'!M$10</f>
        <v>-9.2846229647509781E-3</v>
      </c>
    </row>
    <row r="29" spans="1:13" ht="12.75" customHeight="1" x14ac:dyDescent="0.2">
      <c r="A29" s="1" t="s">
        <v>64</v>
      </c>
      <c r="B29" s="25">
        <f>'Financial Statements'!B29/'Financial Statements'!B$10</f>
        <v>9.9063123944094604E-3</v>
      </c>
      <c r="C29" s="25">
        <f>'Financial Statements'!C29/'Financial Statements'!C$10</f>
        <v>1.4362489774362905E-2</v>
      </c>
      <c r="D29" s="25">
        <f>'Financial Statements'!D29/'Financial Statements'!D$10</f>
        <v>2.0061616527727439E-2</v>
      </c>
      <c r="E29" s="25">
        <f>'Financial Statements'!E29/'Financial Statements'!E$10</f>
        <v>2.1947982803970027E-2</v>
      </c>
      <c r="F29" s="25">
        <f>'Financial Statements'!F29/'Financial Statements'!F$10</f>
        <v>1.8739293081145334E-2</v>
      </c>
      <c r="G29" s="25">
        <f>'Financial Statements'!G29/'Financial Statements'!G$10</f>
        <v>1.2677883013659512E-2</v>
      </c>
      <c r="H29" s="25">
        <f>'Financial Statements'!H29/'Financial Statements'!H$10</f>
        <v>1.0561355727038887E-2</v>
      </c>
      <c r="I29" s="25">
        <f>'Financial Statements'!I29/'Financial Statements'!I$10</f>
        <v>1.4128306160488876E-2</v>
      </c>
      <c r="J29" s="25">
        <f>'Financial Statements'!J29/'Financial Statements'!J$10</f>
        <v>1.2879300919542105E-2</v>
      </c>
      <c r="K29" s="25">
        <f>'Financial Statements'!K29/'Financial Statements'!K$10</f>
        <v>9.3957206343797482E-3</v>
      </c>
      <c r="L29" s="25">
        <f>'Financial Statements'!L29/'Financial Statements'!L$10</f>
        <v>9.9475950686929507E-3</v>
      </c>
      <c r="M29" s="25">
        <f>'Financial Statements'!M29/'Financial Statements'!M$10</f>
        <v>9.9475950686929507E-3</v>
      </c>
    </row>
    <row r="30" spans="1:13" ht="12.75" customHeight="1" x14ac:dyDescent="0.2">
      <c r="A30" s="5" t="s">
        <v>65</v>
      </c>
      <c r="B30" s="26">
        <f>'Financial Statements'!B30/'Financial Statements'!B$10</f>
        <v>-3.7299515106303618E-3</v>
      </c>
      <c r="C30" s="26">
        <f>'Financial Statements'!C30/'Financial Statements'!C$10</f>
        <v>-8.6464880761305159E-3</v>
      </c>
      <c r="D30" s="26">
        <f>'Financial Statements'!D30/'Financial Statements'!D$10</f>
        <v>-4.70279086625589E-3</v>
      </c>
      <c r="E30" s="26">
        <f>'Financial Statements'!E30/'Financial Statements'!E$10</f>
        <v>6.0392711553284651E-4</v>
      </c>
      <c r="F30" s="26">
        <f>'Financial Statements'!F30/'Financial Statements'!F$10</f>
        <v>6.2231234485893088E-4</v>
      </c>
      <c r="G30" s="26">
        <f>'Financial Statements'!G30/'Financial Statements'!G$10</f>
        <v>-1.183903669506449E-3</v>
      </c>
      <c r="H30" s="26">
        <f>'Financial Statements'!H30/'Financial Statements'!H$10</f>
        <v>2.3705048671004186E-4</v>
      </c>
      <c r="I30" s="26">
        <f>'Financial Statements'!I30/'Financial Statements'!I$10</f>
        <v>4.7141542599627205E-3</v>
      </c>
      <c r="J30" s="26">
        <f>'Financial Statements'!J30/'Financial Statements'!J$10</f>
        <v>7.0985060500485474E-4</v>
      </c>
      <c r="K30" s="26">
        <f>'Financial Statements'!K30/'Financial Statements'!K$10</f>
        <v>7.8800528176513189E-4</v>
      </c>
      <c r="L30" s="26">
        <f>'Financial Statements'!L30/'Financial Statements'!L$10</f>
        <v>6.6297210394197185E-4</v>
      </c>
      <c r="M30" s="26">
        <f>'Financial Statements'!M30/'Financial Statements'!M$10</f>
        <v>6.6297210394197185E-4</v>
      </c>
    </row>
    <row r="31" spans="1:13" ht="12.75" customHeight="1" x14ac:dyDescent="0.2">
      <c r="A31" s="1" t="s">
        <v>163</v>
      </c>
      <c r="B31" s="25">
        <f>'Financial Statements'!B31/'Financial Statements'!B$10</f>
        <v>0</v>
      </c>
      <c r="C31" s="25">
        <f>'Financial Statements'!C31/'Financial Statements'!C$10</f>
        <v>0</v>
      </c>
      <c r="D31" s="25">
        <f>'Financial Statements'!D31/'Financial Statements'!D$10</f>
        <v>0</v>
      </c>
      <c r="E31" s="25">
        <f>'Financial Statements'!E31/'Financial Statements'!E$10</f>
        <v>0</v>
      </c>
      <c r="F31" s="25">
        <f>'Financial Statements'!F31/'Financial Statements'!F$10</f>
        <v>0</v>
      </c>
      <c r="G31" s="25">
        <f>'Financial Statements'!G31/'Financial Statements'!G$10</f>
        <v>0</v>
      </c>
      <c r="H31" s="25">
        <f>'Financial Statements'!H31/'Financial Statements'!H$10</f>
        <v>-1.6139607605790085E-4</v>
      </c>
      <c r="I31" s="25">
        <f>'Financial Statements'!I31/'Financial Statements'!I$10</f>
        <v>0</v>
      </c>
      <c r="J31" s="25">
        <f>'Financial Statements'!J31/'Financial Statements'!J$10</f>
        <v>-5.3809939540310535E-3</v>
      </c>
      <c r="K31" s="25">
        <f>'Financial Statements'!K31/'Financial Statements'!K$10</f>
        <v>-1.6771734037568684E-2</v>
      </c>
      <c r="L31" s="25">
        <f>'Financial Statements'!L31/'Financial Statements'!L$10</f>
        <v>1.4229792158245415E-2</v>
      </c>
      <c r="M31" s="25">
        <f>'Financial Statements'!M31/'Financial Statements'!M$10</f>
        <v>1.4229792158245415E-2</v>
      </c>
    </row>
    <row r="32" spans="1:13" ht="12.75" customHeight="1" x14ac:dyDescent="0.2">
      <c r="A32" s="1" t="s">
        <v>164</v>
      </c>
      <c r="B32" s="25">
        <f>'Financial Statements'!B32/'Financial Statements'!B$10</f>
        <v>-5.452311472892029E-3</v>
      </c>
      <c r="C32" s="25">
        <f>'Financial Statements'!C32/'Financial Statements'!C$10</f>
        <v>-5.8195524536351489E-3</v>
      </c>
      <c r="D32" s="25">
        <f>'Financial Statements'!D32/'Financial Statements'!D$10</f>
        <v>-1.3410656034795216E-3</v>
      </c>
      <c r="E32" s="25">
        <f>'Financial Statements'!E32/'Financial Statements'!E$10</f>
        <v>-8.741050356396462E-5</v>
      </c>
      <c r="F32" s="25">
        <f>'Financial Statements'!F32/'Financial Statements'!F$10</f>
        <v>-1.1956787749536762E-3</v>
      </c>
      <c r="G32" s="25">
        <f>'Financial Statements'!G32/'Financial Statements'!G$10</f>
        <v>7.9125220122792819E-4</v>
      </c>
      <c r="H32" s="25">
        <f>'Financial Statements'!H32/'Financial Statements'!H$10</f>
        <v>1.170121551419781E-3</v>
      </c>
      <c r="I32" s="25">
        <f>'Financial Statements'!I32/'Financial Statements'!I$10</f>
        <v>5.0963829837434821E-4</v>
      </c>
      <c r="J32" s="25">
        <f>'Financial Statements'!J32/'Financial Statements'!J$10</f>
        <v>5.0179094491722487E-4</v>
      </c>
      <c r="K32" s="25">
        <f>'Financial Statements'!K32/'Financial Statements'!K$10</f>
        <v>-2.7225227527651178E-3</v>
      </c>
      <c r="L32" s="25">
        <f>'Financial Statements'!L32/'Financial Statements'!L$10</f>
        <v>1.9587812161921895E-4</v>
      </c>
      <c r="M32" s="25">
        <f>'Financial Statements'!M32/'Financial Statements'!M$10</f>
        <v>1.9587812161921895E-4</v>
      </c>
    </row>
    <row r="33" spans="1:13" ht="12.75" customHeight="1" x14ac:dyDescent="0.2">
      <c r="A33" s="1" t="s">
        <v>127</v>
      </c>
      <c r="B33" s="25">
        <f>'Financial Statements'!B33/'Financial Statements'!B$10</f>
        <v>-2.6219365030607541E-3</v>
      </c>
      <c r="C33" s="25">
        <f>'Financial Statements'!C33/'Financial Statements'!C$10</f>
        <v>-1.2011887626720238E-3</v>
      </c>
      <c r="D33" s="25">
        <f>'Financial Statements'!D33/'Financial Statements'!D$10</f>
        <v>-3.5882566147154766E-3</v>
      </c>
      <c r="E33" s="25">
        <f>'Financial Statements'!E33/'Financial Statements'!E$10</f>
        <v>1.2714255063849399E-4</v>
      </c>
      <c r="F33" s="25">
        <f>'Financial Statements'!F33/'Financial Statements'!F$10</f>
        <v>8.8801873929308115E-4</v>
      </c>
      <c r="G33" s="25">
        <f>'Financial Statements'!G33/'Financial Statements'!G$10</f>
        <v>1.1898529341773356E-4</v>
      </c>
      <c r="H33" s="25">
        <f>'Financial Statements'!H33/'Financial Statements'!H$10</f>
        <v>-1.9569274222020479E-3</v>
      </c>
      <c r="I33" s="25">
        <f>'Financial Statements'!I33/'Financial Statements'!I$10</f>
        <v>3.0200788051813228E-4</v>
      </c>
      <c r="J33" s="25">
        <f>'Financial Statements'!J33/'Financial Statements'!J$10</f>
        <v>-1.342188787624122E-3</v>
      </c>
      <c r="K33" s="25">
        <f>'Financial Statements'!K33/'Financial Statements'!K$10</f>
        <v>3.4927801678238278E-3</v>
      </c>
      <c r="L33" s="25">
        <f>'Financial Statements'!L33/'Financial Statements'!L$10</f>
        <v>-1.684551845925283E-3</v>
      </c>
      <c r="M33" s="25">
        <f>'Financial Statements'!M33/'Financial Statements'!M$10</f>
        <v>-1.684551845925283E-3</v>
      </c>
    </row>
    <row r="34" spans="1:13" ht="12.75" customHeight="1" x14ac:dyDescent="0.2">
      <c r="A34" s="5" t="s">
        <v>66</v>
      </c>
      <c r="B34" s="26">
        <f>'Financial Statements'!B34/'Financial Statements'!B$10</f>
        <v>0.28646027601641177</v>
      </c>
      <c r="C34" s="26">
        <f>'Financial Statements'!C34/'Financial Statements'!C$10</f>
        <v>0.28805749137939962</v>
      </c>
      <c r="D34" s="26">
        <f>'Financial Statements'!D34/'Financial Statements'!D$10</f>
        <v>0.30803733236679959</v>
      </c>
      <c r="E34" s="26">
        <f>'Financial Statements'!E34/'Financial Statements'!E$10</f>
        <v>0.34201346121754883</v>
      </c>
      <c r="F34" s="26">
        <f>'Financial Statements'!F34/'Financial Statements'!F$10</f>
        <v>0.37061846659441317</v>
      </c>
      <c r="G34" s="26">
        <f>'Financial Statements'!G34/'Financial Statements'!G$10</f>
        <v>0.41567512255485223</v>
      </c>
      <c r="H34" s="26">
        <f>'Financial Statements'!H34/'Financial Statements'!H$10</f>
        <v>0.41984163010036818</v>
      </c>
      <c r="I34" s="26">
        <f>'Financial Statements'!I34/'Financial Statements'!I$10</f>
        <v>0.42325460679989618</v>
      </c>
      <c r="J34" s="26">
        <f>'Financial Statements'!J34/'Financial Statements'!J$10</f>
        <v>0.44093145454100408</v>
      </c>
      <c r="K34" s="26">
        <f>'Financial Statements'!K34/'Financial Statements'!K$10</f>
        <v>0.44100609106785366</v>
      </c>
      <c r="L34" s="26">
        <f>'Financial Statements'!L34/'Financial Statements'!L$10</f>
        <v>0.48121227462715355</v>
      </c>
      <c r="M34" s="26">
        <f>'Financial Statements'!M34/'Financial Statements'!M$10</f>
        <v>0.48121227462715355</v>
      </c>
    </row>
    <row r="35" spans="1:13" ht="12.75" customHeight="1" x14ac:dyDescent="0.2">
      <c r="A35" s="1" t="s">
        <v>165</v>
      </c>
      <c r="B35" s="25">
        <f>'Financial Statements'!B35/'Financial Statements'!B$10</f>
        <v>-5.2658138973605108E-3</v>
      </c>
      <c r="C35" s="25">
        <f>'Financial Statements'!C35/'Financial Statements'!C$10</f>
        <v>-3.1686531153244761E-3</v>
      </c>
      <c r="D35" s="25">
        <f>'Financial Statements'!D35/'Financial Statements'!D$10</f>
        <v>0</v>
      </c>
      <c r="E35" s="25">
        <f>'Financial Statements'!E35/'Financial Statements'!E$10</f>
        <v>0</v>
      </c>
      <c r="F35" s="25">
        <f>'Financial Statements'!F35/'Financial Statements'!F$10</f>
        <v>0</v>
      </c>
      <c r="G35" s="25">
        <f>'Financial Statements'!G35/'Financial Statements'!G$10</f>
        <v>0</v>
      </c>
      <c r="H35" s="25">
        <f>'Financial Statements'!H35/'Financial Statements'!H$10</f>
        <v>0</v>
      </c>
      <c r="I35" s="25">
        <f>'Financial Statements'!I35/'Financial Statements'!I$10</f>
        <v>0</v>
      </c>
      <c r="J35" s="25">
        <f>'Financial Statements'!J35/'Financial Statements'!J$10</f>
        <v>0</v>
      </c>
      <c r="K35" s="25">
        <f>'Financial Statements'!K35/'Financial Statements'!K$10</f>
        <v>0</v>
      </c>
      <c r="L35" s="25">
        <f>'Financial Statements'!L35/'Financial Statements'!L$10</f>
        <v>0</v>
      </c>
      <c r="M35" s="25">
        <f>'Financial Statements'!M35/'Financial Statements'!M$10</f>
        <v>0</v>
      </c>
    </row>
    <row r="36" spans="1:13" ht="12.75" customHeight="1" x14ac:dyDescent="0.2">
      <c r="A36" s="1" t="s">
        <v>128</v>
      </c>
      <c r="B36" s="25">
        <f>'Financial Statements'!B36/'Financial Statements'!B$10</f>
        <v>0</v>
      </c>
      <c r="C36" s="25">
        <f>'Financial Statements'!C36/'Financial Statements'!C$10</f>
        <v>0</v>
      </c>
      <c r="D36" s="25">
        <f>'Financial Statements'!D36/'Financial Statements'!D$10</f>
        <v>0</v>
      </c>
      <c r="E36" s="25">
        <f>'Financial Statements'!E36/'Financial Statements'!E$10</f>
        <v>0</v>
      </c>
      <c r="F36" s="25">
        <f>'Financial Statements'!F36/'Financial Statements'!F$10</f>
        <v>0</v>
      </c>
      <c r="G36" s="25">
        <f>'Financial Statements'!G36/'Financial Statements'!G$10</f>
        <v>0</v>
      </c>
      <c r="H36" s="25">
        <f>'Financial Statements'!H36/'Financial Statements'!H$10</f>
        <v>0</v>
      </c>
      <c r="I36" s="25">
        <f>'Financial Statements'!I36/'Financial Statements'!I$10</f>
        <v>0</v>
      </c>
      <c r="J36" s="25">
        <f>'Financial Statements'!J36/'Financial Statements'!J$10</f>
        <v>0</v>
      </c>
      <c r="K36" s="25">
        <f>'Financial Statements'!K36/'Financial Statements'!K$10</f>
        <v>0</v>
      </c>
      <c r="L36" s="25">
        <f>'Financial Statements'!L36/'Financial Statements'!L$10</f>
        <v>0</v>
      </c>
      <c r="M36" s="25">
        <f>'Financial Statements'!M36/'Financial Statements'!M$10</f>
        <v>0</v>
      </c>
    </row>
    <row r="37" spans="1:13" ht="12.75" customHeight="1" x14ac:dyDescent="0.2">
      <c r="A37" s="1" t="s">
        <v>67</v>
      </c>
      <c r="B37" s="25">
        <f>'Financial Statements'!B37/'Financial Statements'!B$10</f>
        <v>0</v>
      </c>
      <c r="C37" s="25">
        <f>'Financial Statements'!C37/'Financial Statements'!C$10</f>
        <v>0</v>
      </c>
      <c r="D37" s="25">
        <f>'Financial Statements'!D37/'Financial Statements'!D$10</f>
        <v>0</v>
      </c>
      <c r="E37" s="25">
        <f>'Financial Statements'!E37/'Financial Statements'!E$10</f>
        <v>0</v>
      </c>
      <c r="F37" s="25">
        <f>'Financial Statements'!F37/'Financial Statements'!F$10</f>
        <v>0</v>
      </c>
      <c r="G37" s="25">
        <f>'Financial Statements'!G37/'Financial Statements'!G$10</f>
        <v>0</v>
      </c>
      <c r="H37" s="25">
        <f>'Financial Statements'!H37/'Financial Statements'!H$10</f>
        <v>0</v>
      </c>
      <c r="I37" s="25">
        <f>'Financial Statements'!I37/'Financial Statements'!I$10</f>
        <v>0</v>
      </c>
      <c r="J37" s="25">
        <f>'Financial Statements'!J37/'Financial Statements'!J$10</f>
        <v>0</v>
      </c>
      <c r="K37" s="25">
        <f>'Financial Statements'!K37/'Financial Statements'!K$10</f>
        <v>0</v>
      </c>
      <c r="L37" s="25">
        <f>'Financial Statements'!L37/'Financial Statements'!L$10</f>
        <v>0</v>
      </c>
      <c r="M37" s="25">
        <f>'Financial Statements'!M37/'Financial Statements'!M$10</f>
        <v>0</v>
      </c>
    </row>
    <row r="38" spans="1:13" ht="12.75" customHeight="1" x14ac:dyDescent="0.2">
      <c r="A38" s="1" t="s">
        <v>68</v>
      </c>
      <c r="B38" s="25">
        <f>'Financial Statements'!B38/'Financial Statements'!B$10</f>
        <v>6.9881738596221776E-3</v>
      </c>
      <c r="C38" s="25">
        <f>'Financial Statements'!C38/'Financial Statements'!C$10</f>
        <v>2.4738275465719523E-2</v>
      </c>
      <c r="D38" s="25">
        <f>'Financial Statements'!D38/'Financial Statements'!D$10</f>
        <v>2.2462848858281988E-2</v>
      </c>
      <c r="E38" s="25">
        <f>'Financial Statements'!E38/'Financial Statements'!E$10</f>
        <v>5.1492733008590072E-3</v>
      </c>
      <c r="F38" s="25">
        <f>'Financial Statements'!F38/'Financial Statements'!F$10</f>
        <v>2.2375275320770548E-4</v>
      </c>
      <c r="G38" s="25">
        <f>'Financial Statements'!G38/'Financial Statements'!G$10</f>
        <v>7.3294940745323878E-3</v>
      </c>
      <c r="H38" s="25">
        <f>'Financial Statements'!H38/'Financial Statements'!H$10</f>
        <v>2.3906793766076562E-3</v>
      </c>
      <c r="I38" s="25">
        <f>'Financial Statements'!I38/'Financial Statements'!I$10</f>
        <v>-1.8073284099756979E-3</v>
      </c>
      <c r="J38" s="25">
        <f>'Financial Statements'!J38/'Financial Statements'!J$10</f>
        <v>-1.203482347565702E-3</v>
      </c>
      <c r="K38" s="25">
        <f>'Financial Statements'!K38/'Financial Statements'!K$10</f>
        <v>-2.182987604889892E-3</v>
      </c>
      <c r="L38" s="25">
        <f>'Financial Statements'!L38/'Financial Statements'!L$10</f>
        <v>1.8831421261515373E-2</v>
      </c>
      <c r="M38" s="25">
        <f>'Financial Statements'!M38/'Financial Statements'!M$10</f>
        <v>1.8831421261515373E-2</v>
      </c>
    </row>
    <row r="39" spans="1:13" ht="12.75" customHeight="1" x14ac:dyDescent="0.2">
      <c r="A39" s="1" t="s">
        <v>69</v>
      </c>
      <c r="B39" s="25">
        <f>'Financial Statements'!B39/'Financial Statements'!B$10</f>
        <v>0</v>
      </c>
      <c r="C39" s="25">
        <f>'Financial Statements'!C39/'Financial Statements'!C$10</f>
        <v>0</v>
      </c>
      <c r="D39" s="25">
        <f>'Financial Statements'!D39/'Financial Statements'!D$10</f>
        <v>0</v>
      </c>
      <c r="E39" s="25">
        <f>'Financial Statements'!E39/'Financial Statements'!E$10</f>
        <v>0</v>
      </c>
      <c r="F39" s="25">
        <f>'Financial Statements'!F39/'Financial Statements'!F$10</f>
        <v>0</v>
      </c>
      <c r="G39" s="25">
        <f>'Financial Statements'!G39/'Financial Statements'!G$10</f>
        <v>0</v>
      </c>
      <c r="H39" s="25">
        <f>'Financial Statements'!H39/'Financial Statements'!H$10</f>
        <v>0</v>
      </c>
      <c r="I39" s="25">
        <f>'Financial Statements'!I39/'Financial Statements'!I$10</f>
        <v>0</v>
      </c>
      <c r="J39" s="25">
        <f>'Financial Statements'!J39/'Financial Statements'!J$10</f>
        <v>0</v>
      </c>
      <c r="K39" s="25">
        <f>'Financial Statements'!K39/'Financial Statements'!K$10</f>
        <v>0</v>
      </c>
      <c r="L39" s="25">
        <f>'Financial Statements'!L39/'Financial Statements'!L$10</f>
        <v>0</v>
      </c>
      <c r="M39" s="25">
        <f>'Financial Statements'!M39/'Financial Statements'!M$10</f>
        <v>0</v>
      </c>
    </row>
    <row r="40" spans="1:13" ht="12.75" customHeight="1" x14ac:dyDescent="0.2">
      <c r="A40" s="1" t="s">
        <v>166</v>
      </c>
      <c r="B40" s="25">
        <f>'Financial Statements'!B40/'Financial Statements'!B$10</f>
        <v>-6.9113807402856704E-3</v>
      </c>
      <c r="C40" s="25">
        <f>'Financial Statements'!C40/'Financial Statements'!C$10</f>
        <v>0</v>
      </c>
      <c r="D40" s="25">
        <f>'Financial Statements'!D40/'Financial Statements'!D$10</f>
        <v>0</v>
      </c>
      <c r="E40" s="25">
        <f>'Financial Statements'!E40/'Financial Statements'!E$10</f>
        <v>0</v>
      </c>
      <c r="F40" s="25">
        <f>'Financial Statements'!F40/'Financial Statements'!F$10</f>
        <v>0</v>
      </c>
      <c r="G40" s="25">
        <f>'Financial Statements'!G40/'Financial Statements'!G$10</f>
        <v>0</v>
      </c>
      <c r="H40" s="25">
        <f>'Financial Statements'!H40/'Financial Statements'!H$10</f>
        <v>0</v>
      </c>
      <c r="I40" s="25">
        <f>'Financial Statements'!I40/'Financial Statements'!I$10</f>
        <v>0</v>
      </c>
      <c r="J40" s="25">
        <f>'Financial Statements'!J40/'Financial Statements'!J$10</f>
        <v>0</v>
      </c>
      <c r="K40" s="25">
        <f>'Financial Statements'!K40/'Financial Statements'!K$10</f>
        <v>0</v>
      </c>
      <c r="L40" s="25">
        <f>'Financial Statements'!L40/'Financial Statements'!L$10</f>
        <v>0</v>
      </c>
      <c r="M40" s="25">
        <f>'Financial Statements'!M40/'Financial Statements'!M$10</f>
        <v>0</v>
      </c>
    </row>
    <row r="41" spans="1:13" ht="12.75" customHeight="1" x14ac:dyDescent="0.2">
      <c r="A41" s="1" t="s">
        <v>278</v>
      </c>
      <c r="B41" s="25">
        <f>'Financial Statements'!B41/'Financial Statements'!B$10</f>
        <v>0</v>
      </c>
      <c r="C41" s="25">
        <f>'Financial Statements'!C41/'Financial Statements'!C$10</f>
        <v>0</v>
      </c>
      <c r="D41" s="25">
        <f>'Financial Statements'!D41/'Financial Statements'!D$10</f>
        <v>0</v>
      </c>
      <c r="E41" s="25">
        <f>'Financial Statements'!E41/'Financial Statements'!E$10</f>
        <v>0</v>
      </c>
      <c r="F41" s="25">
        <f>'Financial Statements'!F41/'Financial Statements'!F$10</f>
        <v>0</v>
      </c>
      <c r="G41" s="25">
        <f>'Financial Statements'!G41/'Financial Statements'!G$10</f>
        <v>0</v>
      </c>
      <c r="H41" s="25">
        <f>'Financial Statements'!H41/'Financial Statements'!H$10</f>
        <v>0</v>
      </c>
      <c r="I41" s="25">
        <f>'Financial Statements'!I41/'Financial Statements'!I$10</f>
        <v>0</v>
      </c>
      <c r="J41" s="25">
        <f>'Financial Statements'!J41/'Financial Statements'!J$10</f>
        <v>0</v>
      </c>
      <c r="K41" s="25">
        <f>'Financial Statements'!K41/'Financial Statements'!K$10</f>
        <v>0</v>
      </c>
      <c r="L41" s="25">
        <f>'Financial Statements'!L41/'Financial Statements'!L$10</f>
        <v>0</v>
      </c>
      <c r="M41" s="25">
        <f>'Financial Statements'!M41/'Financial Statements'!M$10</f>
        <v>0</v>
      </c>
    </row>
    <row r="42" spans="1:13" ht="12.75" customHeight="1" x14ac:dyDescent="0.2">
      <c r="A42" s="1" t="s">
        <v>167</v>
      </c>
      <c r="B42" s="25">
        <f>'Financial Statements'!B42/'Financial Statements'!B$10</f>
        <v>0</v>
      </c>
      <c r="C42" s="25">
        <f>'Financial Statements'!C42/'Financial Statements'!C$10</f>
        <v>0</v>
      </c>
      <c r="D42" s="25">
        <f>'Financial Statements'!D42/'Financial Statements'!D$10</f>
        <v>0</v>
      </c>
      <c r="E42" s="25">
        <f>'Financial Statements'!E42/'Financial Statements'!E$10</f>
        <v>0</v>
      </c>
      <c r="F42" s="25">
        <f>'Financial Statements'!F42/'Financial Statements'!F$10</f>
        <v>0</v>
      </c>
      <c r="G42" s="25">
        <f>'Financial Statements'!G42/'Financial Statements'!G$10</f>
        <v>0</v>
      </c>
      <c r="H42" s="25">
        <f>'Financial Statements'!H42/'Financial Statements'!H$10</f>
        <v>0</v>
      </c>
      <c r="I42" s="25">
        <f>'Financial Statements'!I42/'Financial Statements'!I$10</f>
        <v>0</v>
      </c>
      <c r="J42" s="25">
        <f>'Financial Statements'!J42/'Financial Statements'!J$10</f>
        <v>0</v>
      </c>
      <c r="K42" s="25">
        <f>'Financial Statements'!K42/'Financial Statements'!K$10</f>
        <v>0</v>
      </c>
      <c r="L42" s="25">
        <f>'Financial Statements'!L42/'Financial Statements'!L$10</f>
        <v>0</v>
      </c>
      <c r="M42" s="25">
        <f>'Financial Statements'!M42/'Financial Statements'!M$10</f>
        <v>0</v>
      </c>
    </row>
    <row r="43" spans="1:13" ht="12.75" customHeight="1" x14ac:dyDescent="0.2">
      <c r="A43" s="1" t="s">
        <v>168</v>
      </c>
      <c r="B43" s="25">
        <f>'Financial Statements'!B43/'Financial Statements'!B$10</f>
        <v>0</v>
      </c>
      <c r="C43" s="25">
        <f>'Financial Statements'!C43/'Financial Statements'!C$10</f>
        <v>0</v>
      </c>
      <c r="D43" s="25">
        <f>'Financial Statements'!D43/'Financial Statements'!D$10</f>
        <v>0</v>
      </c>
      <c r="E43" s="25">
        <f>'Financial Statements'!E43/'Financial Statements'!E$10</f>
        <v>0</v>
      </c>
      <c r="F43" s="25">
        <f>'Financial Statements'!F43/'Financial Statements'!F$10</f>
        <v>0</v>
      </c>
      <c r="G43" s="25">
        <f>'Financial Statements'!G43/'Financial Statements'!G$10</f>
        <v>0</v>
      </c>
      <c r="H43" s="25">
        <f>'Financial Statements'!H43/'Financial Statements'!H$10</f>
        <v>0</v>
      </c>
      <c r="I43" s="25">
        <f>'Financial Statements'!I43/'Financial Statements'!I$10</f>
        <v>0</v>
      </c>
      <c r="J43" s="25">
        <f>'Financial Statements'!J43/'Financial Statements'!J$10</f>
        <v>0</v>
      </c>
      <c r="K43" s="25">
        <f>'Financial Statements'!K43/'Financial Statements'!K$10</f>
        <v>0</v>
      </c>
      <c r="L43" s="25">
        <f>'Financial Statements'!L43/'Financial Statements'!L$10</f>
        <v>0</v>
      </c>
      <c r="M43" s="25">
        <f>'Financial Statements'!M43/'Financial Statements'!M$10</f>
        <v>0</v>
      </c>
    </row>
    <row r="44" spans="1:13" ht="12.75" customHeight="1" x14ac:dyDescent="0.2">
      <c r="A44" s="1" t="s">
        <v>129</v>
      </c>
      <c r="B44" s="27">
        <f>'Financial Statements'!B44/'Financial Statements'!B$10</f>
        <v>0</v>
      </c>
      <c r="C44" s="27">
        <f>'Financial Statements'!C44/'Financial Statements'!C$10</f>
        <v>0</v>
      </c>
      <c r="D44" s="27">
        <f>'Financial Statements'!D44/'Financial Statements'!D$10</f>
        <v>0</v>
      </c>
      <c r="E44" s="27">
        <f>'Financial Statements'!E44/'Financial Statements'!E$10</f>
        <v>0</v>
      </c>
      <c r="F44" s="27">
        <f>'Financial Statements'!F44/'Financial Statements'!F$10</f>
        <v>0</v>
      </c>
      <c r="G44" s="27">
        <f>'Financial Statements'!G44/'Financial Statements'!G$10</f>
        <v>0</v>
      </c>
      <c r="H44" s="27">
        <f>'Financial Statements'!H44/'Financial Statements'!H$10</f>
        <v>0</v>
      </c>
      <c r="I44" s="27">
        <f>'Financial Statements'!I44/'Financial Statements'!I$10</f>
        <v>0</v>
      </c>
      <c r="J44" s="27">
        <f>'Financial Statements'!J44/'Financial Statements'!J$10</f>
        <v>0</v>
      </c>
      <c r="K44" s="27">
        <f>'Financial Statements'!K44/'Financial Statements'!K$10</f>
        <v>0</v>
      </c>
      <c r="L44" s="27">
        <f>'Financial Statements'!L44/'Financial Statements'!L$10</f>
        <v>0</v>
      </c>
      <c r="M44" s="27">
        <f>'Financial Statements'!M44/'Financial Statements'!M$10</f>
        <v>0</v>
      </c>
    </row>
    <row r="45" spans="1:13" ht="12.75" customHeight="1" x14ac:dyDescent="0.2">
      <c r="A45" s="5" t="s">
        <v>70</v>
      </c>
      <c r="B45" s="26">
        <f>'Financial Statements'!B45/'Financial Statements'!B$10</f>
        <v>0.28127125523838781</v>
      </c>
      <c r="C45" s="26">
        <f>'Financial Statements'!C45/'Financial Statements'!C$10</f>
        <v>0.30962711372979468</v>
      </c>
      <c r="D45" s="26">
        <f>'Financial Statements'!D45/'Financial Statements'!D$10</f>
        <v>0.33050018122508157</v>
      </c>
      <c r="E45" s="26">
        <f>'Financial Statements'!E45/'Financial Statements'!E$10</f>
        <v>0.34716273451840785</v>
      </c>
      <c r="F45" s="26">
        <f>'Financial Statements'!F45/'Financial Statements'!F$10</f>
        <v>0.37084221934762091</v>
      </c>
      <c r="G45" s="26">
        <f>'Financial Statements'!G45/'Financial Statements'!G$10</f>
        <v>0.4230046166293846</v>
      </c>
      <c r="H45" s="26">
        <f>'Financial Statements'!H45/'Financial Statements'!H$10</f>
        <v>0.42223230947697582</v>
      </c>
      <c r="I45" s="26">
        <f>'Financial Statements'!I45/'Financial Statements'!I$10</f>
        <v>0.42144727838992047</v>
      </c>
      <c r="J45" s="26">
        <f>'Financial Statements'!J45/'Financial Statements'!J$10</f>
        <v>0.43972797219343834</v>
      </c>
      <c r="K45" s="26">
        <f>'Financial Statements'!K45/'Financial Statements'!K$10</f>
        <v>0.43882310346296377</v>
      </c>
      <c r="L45" s="26">
        <f>'Financial Statements'!L45/'Financial Statements'!L$10</f>
        <v>0.50004369588866893</v>
      </c>
      <c r="M45" s="26">
        <f>'Financial Statements'!M45/'Financial Statements'!M$10</f>
        <v>0.50004369588866893</v>
      </c>
    </row>
    <row r="46" spans="1:13" ht="12.75" customHeight="1" x14ac:dyDescent="0.2">
      <c r="A46" s="1" t="s">
        <v>71</v>
      </c>
      <c r="B46" s="25">
        <f>'Financial Statements'!B46/'Financial Statements'!B$10</f>
        <v>5.5949272659455429E-2</v>
      </c>
      <c r="C46" s="25">
        <f>'Financial Statements'!C46/'Financial Statements'!C$10</f>
        <v>4.5686593283698007E-2</v>
      </c>
      <c r="D46" s="25">
        <f>'Financial Statements'!D46/'Financial Statements'!D$10</f>
        <v>0.18034613990576295</v>
      </c>
      <c r="E46" s="25">
        <f>'Financial Statements'!E46/'Financial Statements'!E$10</f>
        <v>3.5345629077501328E-2</v>
      </c>
      <c r="F46" s="25">
        <f>'Financial Statements'!F46/'Financial Statements'!F$10</f>
        <v>6.1217354822920671E-2</v>
      </c>
      <c r="G46" s="25">
        <f>'Financial Statements'!G46/'Financial Statements'!G$10</f>
        <v>5.8487220979486935E-2</v>
      </c>
      <c r="H46" s="25">
        <f>'Financial Statements'!H46/'Financial Statements'!H$10</f>
        <v>5.5368941342613609E-2</v>
      </c>
      <c r="I46" s="25">
        <f>'Financial Statements'!I46/'Financial Statements'!I$10</f>
        <v>7.9984899605974089E-2</v>
      </c>
      <c r="J46" s="25">
        <f>'Financial Statements'!J46/'Financial Statements'!J$10</f>
        <v>8.0168242752588506E-2</v>
      </c>
      <c r="K46" s="25">
        <f>'Financial Statements'!K46/'Financial Statements'!K$10</f>
        <v>7.7362950973293015E-2</v>
      </c>
      <c r="L46" s="25">
        <f>'Financial Statements'!L46/'Financial Statements'!L$10</f>
        <v>9.6989805297147111E-2</v>
      </c>
      <c r="M46" s="25">
        <f>'Financial Statements'!M46/'Financial Statements'!M$10</f>
        <v>9.6989805297147111E-2</v>
      </c>
    </row>
    <row r="47" spans="1:13" ht="12.75" customHeight="1" x14ac:dyDescent="0.2">
      <c r="A47" s="5" t="s">
        <v>72</v>
      </c>
      <c r="B47" s="26">
        <f>'Financial Statements'!B47/'Financial Statements'!B$10</f>
        <v>0.22532198257893235</v>
      </c>
      <c r="C47" s="26">
        <f>'Financial Statements'!C47/'Financial Statements'!C$10</f>
        <v>0.26394052044609667</v>
      </c>
      <c r="D47" s="26">
        <f>'Financial Statements'!D47/'Financial Statements'!D$10</f>
        <v>0.15015404131931859</v>
      </c>
      <c r="E47" s="26">
        <f>'Financial Statements'!E47/'Financial Statements'!E$10</f>
        <v>0.31181710544090652</v>
      </c>
      <c r="F47" s="26">
        <f>'Financial Statements'!F47/'Financial Statements'!F$10</f>
        <v>0.30962486452470023</v>
      </c>
      <c r="G47" s="26">
        <f>'Financial Statements'!G47/'Financial Statements'!G$10</f>
        <v>0.36451739564989766</v>
      </c>
      <c r="H47" s="26">
        <f>'Financial Statements'!H47/'Financial Statements'!H$10</f>
        <v>0.36686336813436221</v>
      </c>
      <c r="I47" s="26">
        <f>'Financial Statements'!I47/'Financial Statements'!I$10</f>
        <v>0.34146237878394642</v>
      </c>
      <c r="J47" s="26">
        <f>'Financial Statements'!J47/'Financial Statements'!J$10</f>
        <v>0.35955972944084985</v>
      </c>
      <c r="K47" s="26">
        <f>'Financial Statements'!K47/'Financial Statements'!K$10</f>
        <v>0.36146015248967073</v>
      </c>
      <c r="L47" s="26">
        <f>'Financial Statements'!L47/'Financial Statements'!L$10</f>
        <v>0.4030538905915218</v>
      </c>
      <c r="M47" s="26">
        <f>'Financial Statements'!M47/'Financial Statements'!M$10</f>
        <v>0.4030538905915218</v>
      </c>
    </row>
    <row r="48" spans="1:13" ht="12.75" customHeight="1" x14ac:dyDescent="0.2">
      <c r="A48" s="1" t="s">
        <v>73</v>
      </c>
      <c r="B48" s="25">
        <f>'Financial Statements'!B48/'Financial Statements'!B$10</f>
        <v>0</v>
      </c>
      <c r="C48" s="25">
        <f>'Financial Statements'!C48/'Financial Statements'!C$10</f>
        <v>0</v>
      </c>
      <c r="D48" s="25">
        <f>'Financial Statements'!D48/'Financial Statements'!D$10</f>
        <v>0</v>
      </c>
      <c r="E48" s="25">
        <f>'Financial Statements'!E48/'Financial Statements'!E$10</f>
        <v>0</v>
      </c>
      <c r="F48" s="25">
        <f>'Financial Statements'!F48/'Financial Statements'!F$10</f>
        <v>0</v>
      </c>
      <c r="G48" s="25">
        <f>'Financial Statements'!G48/'Financial Statements'!G$10</f>
        <v>0</v>
      </c>
      <c r="H48" s="25">
        <f>'Financial Statements'!H48/'Financial Statements'!H$10</f>
        <v>0</v>
      </c>
      <c r="I48" s="25">
        <f>'Financial Statements'!I48/'Financial Statements'!I$10</f>
        <v>0</v>
      </c>
      <c r="J48" s="25">
        <f>'Financial Statements'!J48/'Financial Statements'!J$10</f>
        <v>0</v>
      </c>
      <c r="K48" s="25">
        <f>'Financial Statements'!K48/'Financial Statements'!K$10</f>
        <v>0</v>
      </c>
      <c r="L48" s="25">
        <f>'Financial Statements'!L48/'Financial Statements'!L$10</f>
        <v>0</v>
      </c>
      <c r="M48" s="25">
        <f>'Financial Statements'!M48/'Financial Statements'!M$10</f>
        <v>0</v>
      </c>
    </row>
    <row r="49" spans="1:13" ht="12.75" customHeight="1" x14ac:dyDescent="0.2">
      <c r="A49" s="1" t="s">
        <v>74</v>
      </c>
      <c r="B49" s="25">
        <f>'Financial Statements'!B49/'Financial Statements'!B$10</f>
        <v>0</v>
      </c>
      <c r="C49" s="25">
        <f>'Financial Statements'!C49/'Financial Statements'!C$10</f>
        <v>0</v>
      </c>
      <c r="D49" s="25">
        <f>'Financial Statements'!D49/'Financial Statements'!D$10</f>
        <v>0</v>
      </c>
      <c r="E49" s="25">
        <f>'Financial Statements'!E49/'Financial Statements'!E$10</f>
        <v>0</v>
      </c>
      <c r="F49" s="25">
        <f>'Financial Statements'!F49/'Financial Statements'!F$10</f>
        <v>0</v>
      </c>
      <c r="G49" s="25">
        <f>'Financial Statements'!G49/'Financial Statements'!G$10</f>
        <v>0</v>
      </c>
      <c r="H49" s="25">
        <f>'Financial Statements'!H49/'Financial Statements'!H$10</f>
        <v>0</v>
      </c>
      <c r="I49" s="25">
        <f>'Financial Statements'!I49/'Financial Statements'!I$10</f>
        <v>0</v>
      </c>
      <c r="J49" s="25">
        <f>'Financial Statements'!J49/'Financial Statements'!J$10</f>
        <v>0</v>
      </c>
      <c r="K49" s="25">
        <f>'Financial Statements'!K49/'Financial Statements'!K$10</f>
        <v>0</v>
      </c>
      <c r="L49" s="25">
        <f>'Financial Statements'!L49/'Financial Statements'!L$10</f>
        <v>0</v>
      </c>
      <c r="M49" s="25">
        <f>'Financial Statements'!M49/'Financial Statements'!M$10</f>
        <v>0</v>
      </c>
    </row>
    <row r="50" spans="1:13" ht="12.75" customHeight="1" x14ac:dyDescent="0.2">
      <c r="A50" s="5" t="s">
        <v>21</v>
      </c>
      <c r="B50" s="30">
        <f>'Financial Statements'!B50/'Financial Statements'!B$10</f>
        <v>0.22532198257893235</v>
      </c>
      <c r="C50" s="30">
        <f>'Financial Statements'!C50/'Financial Statements'!C$10</f>
        <v>0.26394052044609667</v>
      </c>
      <c r="D50" s="30">
        <f>'Financial Statements'!D50/'Financial Statements'!D$10</f>
        <v>0.15015404131931859</v>
      </c>
      <c r="E50" s="30">
        <f>'Financial Statements'!E50/'Financial Statements'!E$10</f>
        <v>0.31181710544090652</v>
      </c>
      <c r="F50" s="30">
        <f>'Financial Statements'!F50/'Financial Statements'!F$10</f>
        <v>0.30962486452470023</v>
      </c>
      <c r="G50" s="30">
        <f>'Financial Statements'!G50/'Financial Statements'!G$10</f>
        <v>0.36451739564989766</v>
      </c>
      <c r="H50" s="30">
        <f>'Financial Statements'!H50/'Financial Statements'!H$10</f>
        <v>0.36686336813436221</v>
      </c>
      <c r="I50" s="30">
        <f>'Financial Statements'!I50/'Financial Statements'!I$10</f>
        <v>0.34146237878394642</v>
      </c>
      <c r="J50" s="30">
        <f>'Financial Statements'!J50/'Financial Statements'!J$10</f>
        <v>0.35955972944084985</v>
      </c>
      <c r="K50" s="30">
        <f>'Financial Statements'!K50/'Financial Statements'!K$10</f>
        <v>0.36146015248967073</v>
      </c>
      <c r="L50" s="30">
        <f>'Financial Statements'!L50/'Financial Statements'!L$10</f>
        <v>0.4030538905915218</v>
      </c>
      <c r="M50" s="30">
        <f>'Financial Statements'!M50/'Financial Statements'!M$10</f>
        <v>0.4030538905915218</v>
      </c>
    </row>
    <row r="51" spans="1:13" ht="12.75" customHeight="1" x14ac:dyDescent="0.2">
      <c r="A51" s="1" t="s">
        <v>169</v>
      </c>
      <c r="B51" s="25">
        <f>'Financial Statements'!B51/'Financial Statements'!B$10</f>
        <v>0</v>
      </c>
      <c r="C51" s="25">
        <f>'Financial Statements'!C51/'Financial Statements'!C$10</f>
        <v>0</v>
      </c>
      <c r="D51" s="25">
        <f>'Financial Statements'!D51/'Financial Statements'!D$10</f>
        <v>0</v>
      </c>
      <c r="E51" s="25">
        <f>'Financial Statements'!E51/'Financial Statements'!E$10</f>
        <v>0</v>
      </c>
      <c r="F51" s="25">
        <f>'Financial Statements'!F51/'Financial Statements'!F$10</f>
        <v>0</v>
      </c>
      <c r="G51" s="25">
        <f>'Financial Statements'!G51/'Financial Statements'!G$10</f>
        <v>0</v>
      </c>
      <c r="H51" s="25">
        <f>'Financial Statements'!H51/'Financial Statements'!H$10</f>
        <v>0</v>
      </c>
      <c r="I51" s="25">
        <f>'Financial Statements'!I51/'Financial Statements'!I$10</f>
        <v>0</v>
      </c>
      <c r="J51" s="25">
        <f>'Financial Statements'!J51/'Financial Statements'!J$10</f>
        <v>0</v>
      </c>
      <c r="K51" s="25">
        <f>'Financial Statements'!K51/'Financial Statements'!K$10</f>
        <v>0</v>
      </c>
      <c r="L51" s="25">
        <f>'Financial Statements'!L51/'Financial Statements'!L$10</f>
        <v>0</v>
      </c>
      <c r="M51" s="25">
        <f>'Financial Statements'!M51/'Financial Statements'!M$10</f>
        <v>0</v>
      </c>
    </row>
    <row r="52" spans="1:13" ht="12.75" customHeight="1" thickBot="1" x14ac:dyDescent="0.25">
      <c r="A52" s="5" t="s">
        <v>22</v>
      </c>
      <c r="B52" s="29">
        <f>'Financial Statements'!B52/'Financial Statements'!B$10</f>
        <v>0.22532198257893235</v>
      </c>
      <c r="C52" s="29">
        <f>'Financial Statements'!C52/'Financial Statements'!C$10</f>
        <v>0.26394052044609667</v>
      </c>
      <c r="D52" s="29">
        <f>'Financial Statements'!D52/'Financial Statements'!D$10</f>
        <v>0.15015404131931859</v>
      </c>
      <c r="E52" s="29">
        <f>'Financial Statements'!E52/'Financial Statements'!E$10</f>
        <v>0.31181710544090652</v>
      </c>
      <c r="F52" s="29">
        <f>'Financial Statements'!F52/'Financial Statements'!F$10</f>
        <v>0.30962486452470023</v>
      </c>
      <c r="G52" s="29">
        <f>'Financial Statements'!G52/'Financial Statements'!G$10</f>
        <v>0.36451739564989766</v>
      </c>
      <c r="H52" s="29">
        <f>'Financial Statements'!H52/'Financial Statements'!H$10</f>
        <v>0.36686336813436221</v>
      </c>
      <c r="I52" s="29">
        <f>'Financial Statements'!I52/'Financial Statements'!I$10</f>
        <v>0.34146237878394642</v>
      </c>
      <c r="J52" s="29">
        <f>'Financial Statements'!J52/'Financial Statements'!J$10</f>
        <v>0.35955972944084985</v>
      </c>
      <c r="K52" s="29">
        <f>'Financial Statements'!K52/'Financial Statements'!K$10</f>
        <v>0.36146015248967073</v>
      </c>
      <c r="L52" s="29">
        <f>'Financial Statements'!L52/'Financial Statements'!L$10</f>
        <v>0.4030538905915218</v>
      </c>
      <c r="M52" s="29">
        <f>'Financial Statements'!M52/'Financial Statements'!M$10</f>
        <v>0.4030538905915218</v>
      </c>
    </row>
    <row r="53" spans="1:13" ht="12.75" customHeight="1" thickTop="1" x14ac:dyDescent="0.2">
      <c r="A53" s="1" t="s">
        <v>75</v>
      </c>
      <c r="B53" s="25">
        <f>'Financial Statements'!B53/'Financial Statements'!B$10</f>
        <v>0</v>
      </c>
      <c r="C53" s="25">
        <f>'Financial Statements'!C53/'Financial Statements'!C$10</f>
        <v>0</v>
      </c>
      <c r="D53" s="25">
        <f>'Financial Statements'!D53/'Financial Statements'!D$10</f>
        <v>0</v>
      </c>
      <c r="E53" s="25">
        <f>'Financial Statements'!E53/'Financial Statements'!E$10</f>
        <v>0</v>
      </c>
      <c r="F53" s="25">
        <f>'Financial Statements'!F53/'Financial Statements'!F$10</f>
        <v>0</v>
      </c>
      <c r="G53" s="25">
        <f>'Financial Statements'!G53/'Financial Statements'!G$10</f>
        <v>0</v>
      </c>
      <c r="H53" s="25">
        <f>'Financial Statements'!H53/'Financial Statements'!H$10</f>
        <v>0</v>
      </c>
      <c r="I53" s="25">
        <f>'Financial Statements'!I53/'Financial Statements'!I$10</f>
        <v>0</v>
      </c>
      <c r="J53" s="25">
        <f>'Financial Statements'!J53/'Financial Statements'!J$10</f>
        <v>0</v>
      </c>
      <c r="K53" s="25">
        <f>'Financial Statements'!K53/'Financial Statements'!K$10</f>
        <v>0</v>
      </c>
      <c r="L53" s="25">
        <f>'Financial Statements'!L53/'Financial Statements'!L$10</f>
        <v>0</v>
      </c>
      <c r="M53" s="25">
        <f>'Financial Statements'!M53/'Financial Statements'!M$10</f>
        <v>0</v>
      </c>
    </row>
    <row r="54" spans="1:13" ht="12.75" customHeight="1" x14ac:dyDescent="0.2">
      <c r="A54" s="5" t="s">
        <v>76</v>
      </c>
      <c r="B54" s="28">
        <f>'Financial Statements'!B54/'Financial Statements'!B$10</f>
        <v>0.22532198257893235</v>
      </c>
      <c r="C54" s="28">
        <f>'Financial Statements'!C54/'Financial Statements'!C$10</f>
        <v>0.26394052044609667</v>
      </c>
      <c r="D54" s="28">
        <f>'Financial Statements'!D54/'Financial Statements'!D$10</f>
        <v>0.15015404131931859</v>
      </c>
      <c r="E54" s="28">
        <f>'Financial Statements'!E54/'Financial Statements'!E$10</f>
        <v>0.31181710544090652</v>
      </c>
      <c r="F54" s="28">
        <f>'Financial Statements'!F54/'Financial Statements'!F$10</f>
        <v>0.30962486452470023</v>
      </c>
      <c r="G54" s="28">
        <f>'Financial Statements'!G54/'Financial Statements'!G$10</f>
        <v>0.36451739564989766</v>
      </c>
      <c r="H54" s="28">
        <f>'Financial Statements'!H54/'Financial Statements'!H$10</f>
        <v>0.36686336813436221</v>
      </c>
      <c r="I54" s="28">
        <f>'Financial Statements'!I54/'Financial Statements'!I$10</f>
        <v>0.34146237878394642</v>
      </c>
      <c r="J54" s="28">
        <f>'Financial Statements'!J54/'Financial Statements'!J$10</f>
        <v>0.35955972944084985</v>
      </c>
      <c r="K54" s="28">
        <f>'Financial Statements'!K54/'Financial Statements'!K$10</f>
        <v>0.36146015248967073</v>
      </c>
      <c r="L54" s="28">
        <f>'Financial Statements'!L54/'Financial Statements'!L$10</f>
        <v>0.4030538905915218</v>
      </c>
      <c r="M54" s="28">
        <f>'Financial Statements'!M54/'Financial Statements'!M$10</f>
        <v>0.4030538905915218</v>
      </c>
    </row>
    <row r="55" spans="1:13" ht="12.75" customHeight="1" x14ac:dyDescent="0.2">
      <c r="A55" s="5" t="s">
        <v>77</v>
      </c>
      <c r="B55" s="28">
        <f>'Financial Statements'!B55/'Financial Statements'!B$10</f>
        <v>0.22532198257893235</v>
      </c>
      <c r="C55" s="28">
        <f>'Financial Statements'!C55/'Financial Statements'!C$10</f>
        <v>0.26394052044609667</v>
      </c>
      <c r="D55" s="28">
        <f>'Financial Statements'!D55/'Financial Statements'!D$10</f>
        <v>0.15015404131931859</v>
      </c>
      <c r="E55" s="28">
        <f>'Financial Statements'!E55/'Financial Statements'!E$10</f>
        <v>0.31181710544090652</v>
      </c>
      <c r="F55" s="28">
        <f>'Financial Statements'!F55/'Financial Statements'!F$10</f>
        <v>0.30962486452470023</v>
      </c>
      <c r="G55" s="28">
        <f>'Financial Statements'!G55/'Financial Statements'!G$10</f>
        <v>0.36451739564989766</v>
      </c>
      <c r="H55" s="28">
        <f>'Financial Statements'!H55/'Financial Statements'!H$10</f>
        <v>0.36686336813436221</v>
      </c>
      <c r="I55" s="28">
        <f>'Financial Statements'!I55/'Financial Statements'!I$10</f>
        <v>0.34146237878394642</v>
      </c>
      <c r="J55" s="28">
        <f>'Financial Statements'!J55/'Financial Statements'!J$10</f>
        <v>0.35955972944084985</v>
      </c>
      <c r="K55" s="28">
        <f>'Financial Statements'!K55/'Financial Statements'!K$10</f>
        <v>0.36146015248967073</v>
      </c>
      <c r="L55" s="28">
        <f>'Financial Statements'!L55/'Financial Statements'!L$10</f>
        <v>0.4030538905915218</v>
      </c>
      <c r="M55" s="28">
        <f>'Financial Statements'!M55/'Financial Statements'!M$10</f>
        <v>0.4030538905915218</v>
      </c>
    </row>
    <row r="56" spans="1:13" ht="12.75" customHeight="1" x14ac:dyDescent="0.2">
      <c r="A56" s="1" t="s">
        <v>85</v>
      </c>
      <c r="B56" s="25">
        <f>'Financial Statements'!B281/'Financial Statements'!B$311</f>
        <v>3.3648975541174769E-2</v>
      </c>
      <c r="C56" s="25">
        <f>'Financial Statements'!C281/'Financial Statements'!C$311</f>
        <v>3.0613793985106587E-2</v>
      </c>
      <c r="D56" s="25">
        <f>'Financial Statements'!D281/'Financial Statements'!D$311</f>
        <v>4.6150636667078748E-2</v>
      </c>
      <c r="E56" s="25">
        <f>'Financial Statements'!E281/'Financial Statements'!E$311</f>
        <v>3.9629252222951189E-2</v>
      </c>
      <c r="F56" s="25">
        <f>'Financial Statements'!F281/'Financial Statements'!F$311</f>
        <v>4.5056436704932777E-2</v>
      </c>
      <c r="G56" s="25">
        <f>'Financial Statements'!G281/'Financial Statements'!G$311</f>
        <v>4.2615023713295327E-2</v>
      </c>
      <c r="H56" s="25">
        <f>'Financial Statements'!H281/'Financial Statements'!H$311</f>
        <v>3.8183861418704092E-2</v>
      </c>
      <c r="I56" s="25">
        <f>'Financial Statements'!I281/'Financial Statements'!I$311</f>
        <v>8.4237916771850788E-2</v>
      </c>
      <c r="J56" s="25">
        <f>'Financial Statements'!J281/'Financial Statements'!J$311</f>
        <v>3.5760099811973922E-2</v>
      </c>
      <c r="K56" s="25">
        <f>'Financial Statements'!K281/'Financial Statements'!K$311</f>
        <v>4.8855982927384842E-2</v>
      </c>
      <c r="L56" s="25">
        <f>'Financial Statements'!L281/'Financial Statements'!L$311</f>
        <v>2.7605040243889576E-2</v>
      </c>
      <c r="M56" s="25">
        <f>'Financial Statements'!M281/'Financial Statements'!M$311</f>
        <v>2.7605040243889576E-2</v>
      </c>
    </row>
    <row r="57" spans="1:13" ht="12.75" customHeight="1" x14ac:dyDescent="0.2">
      <c r="A57" s="1" t="s">
        <v>86</v>
      </c>
      <c r="B57" s="25">
        <f>'Financial Statements'!B282/'Financial Statements'!B$311</f>
        <v>0.55063886534207207</v>
      </c>
      <c r="C57" s="25">
        <f>'Financial Statements'!C282/'Financial Statements'!C$311</f>
        <v>0.50032759116622461</v>
      </c>
      <c r="D57" s="25">
        <f>'Financial Statements'!D282/'Financial Statements'!D$311</f>
        <v>0.47022963283471381</v>
      </c>
      <c r="E57" s="25">
        <f>'Financial Statements'!E282/'Financial Statements'!E$311</f>
        <v>0.4274068593922305</v>
      </c>
      <c r="F57" s="25">
        <f>'Financial Statements'!F282/'Financial Statements'!F$311</f>
        <v>0.40793731393809052</v>
      </c>
      <c r="G57" s="25">
        <f>'Financial Statements'!G282/'Financial Statements'!G$311</f>
        <v>0.34763121706278705</v>
      </c>
      <c r="H57" s="25">
        <f>'Financial Statements'!H282/'Financial Statements'!H$311</f>
        <v>0.24892555640828856</v>
      </c>
      <c r="I57" s="25">
        <f>'Financial Statements'!I282/'Financial Statements'!I$311</f>
        <v>0.18581664951356389</v>
      </c>
      <c r="J57" s="25">
        <f>'Financial Statements'!J282/'Financial Statements'!J$311</f>
        <v>0.1117144346624024</v>
      </c>
      <c r="K57" s="25">
        <f>'Financial Statements'!K282/'Financial Statements'!K$311</f>
        <v>0.10389771939715962</v>
      </c>
      <c r="L57" s="25">
        <f>'Financial Statements'!L282/'Financial Statements'!L$311</f>
        <v>7.3467514794771982E-2</v>
      </c>
      <c r="M57" s="25">
        <f>'Financial Statements'!M282/'Financial Statements'!M$311</f>
        <v>7.3467514794771982E-2</v>
      </c>
    </row>
    <row r="58" spans="1:13" ht="12.75" customHeight="1" x14ac:dyDescent="0.2">
      <c r="A58" s="1" t="s">
        <v>170</v>
      </c>
      <c r="B58" s="25">
        <f>'Financial Statements'!B283/'Financial Statements'!B$311</f>
        <v>0</v>
      </c>
      <c r="C58" s="25">
        <f>'Financial Statements'!C283/'Financial Statements'!C$311</f>
        <v>0</v>
      </c>
      <c r="D58" s="25">
        <f>'Financial Statements'!D283/'Financial Statements'!D$311</f>
        <v>0</v>
      </c>
      <c r="E58" s="25">
        <f>'Financial Statements'!E283/'Financial Statements'!E$311</f>
        <v>0</v>
      </c>
      <c r="F58" s="25">
        <f>'Financial Statements'!F283/'Financial Statements'!F$311</f>
        <v>0</v>
      </c>
      <c r="G58" s="25">
        <f>'Financial Statements'!G283/'Financial Statements'!G$311</f>
        <v>0</v>
      </c>
      <c r="H58" s="25">
        <f>'Financial Statements'!H283/'Financial Statements'!H$311</f>
        <v>0</v>
      </c>
      <c r="I58" s="25">
        <f>'Financial Statements'!I283/'Financial Statements'!I$311</f>
        <v>0</v>
      </c>
      <c r="J58" s="25">
        <f>'Financial Statements'!J283/'Financial Statements'!J$311</f>
        <v>0</v>
      </c>
      <c r="K58" s="25">
        <f>'Financial Statements'!K283/'Financial Statements'!K$311</f>
        <v>0</v>
      </c>
      <c r="L58" s="25">
        <f>'Financial Statements'!L283/'Financial Statements'!L$311</f>
        <v>0</v>
      </c>
      <c r="M58" s="25">
        <f>'Financial Statements'!M283/'Financial Statements'!M$311</f>
        <v>0</v>
      </c>
    </row>
    <row r="59" spans="1:13" ht="12.75" customHeight="1" x14ac:dyDescent="0.2">
      <c r="A59" s="5" t="s">
        <v>87</v>
      </c>
      <c r="B59" s="26">
        <f>'Financial Statements'!B284/'Financial Statements'!B$311</f>
        <v>0.58428784088324681</v>
      </c>
      <c r="C59" s="26">
        <f>'Financial Statements'!C284/'Financial Statements'!C$311</f>
        <v>0.53094138515133116</v>
      </c>
      <c r="D59" s="26">
        <f>'Financial Statements'!D284/'Financial Statements'!D$311</f>
        <v>0.51638026950179261</v>
      </c>
      <c r="E59" s="26">
        <f>'Financial Statements'!E284/'Financial Statements'!E$311</f>
        <v>0.46703611161518166</v>
      </c>
      <c r="F59" s="26">
        <f>'Financial Statements'!F284/'Financial Statements'!F$311</f>
        <v>0.45299375064302333</v>
      </c>
      <c r="G59" s="26">
        <f>'Financial Statements'!G284/'Financial Statements'!G$311</f>
        <v>0.39024624077608239</v>
      </c>
      <c r="H59" s="26">
        <f>'Financial Statements'!H284/'Financial Statements'!H$311</f>
        <v>0.28710941782699267</v>
      </c>
      <c r="I59" s="26">
        <f>'Financial Statements'!I284/'Financial Statements'!I$311</f>
        <v>0.27005456628541469</v>
      </c>
      <c r="J59" s="26">
        <f>'Financial Statements'!J284/'Financial Statements'!J$311</f>
        <v>0.14747453447437633</v>
      </c>
      <c r="K59" s="26">
        <f>'Financial Statements'!K284/'Financial Statements'!K$311</f>
        <v>0.15275370232454447</v>
      </c>
      <c r="L59" s="26">
        <f>'Financial Statements'!L284/'Financial Statements'!L$311</f>
        <v>0.10107255503866155</v>
      </c>
      <c r="M59" s="26">
        <f>'Financial Statements'!M284/'Financial Statements'!M$311</f>
        <v>0.10107255503866155</v>
      </c>
    </row>
    <row r="60" spans="1:13" ht="12.75" customHeight="1" x14ac:dyDescent="0.2">
      <c r="A60" s="1" t="s">
        <v>55</v>
      </c>
      <c r="B60" s="25">
        <f>'Financial Statements'!B285/'Financial Statements'!B$311</f>
        <v>9.4470403374201414E-2</v>
      </c>
      <c r="C60" s="25">
        <f>'Financial Statements'!C285/'Financial Statements'!C$311</f>
        <v>8.9612164019303914E-2</v>
      </c>
      <c r="D60" s="25">
        <f>'Financial Statements'!D285/'Financial Statements'!D$311</f>
        <v>0.10230328223513413</v>
      </c>
      <c r="E60" s="25">
        <f>'Financial Statements'!E285/'Financial Statements'!E$311</f>
        <v>0.10303047222881391</v>
      </c>
      <c r="F60" s="25">
        <f>'Financial Statements'!F285/'Financial Statements'!F$311</f>
        <v>0.10623906860353588</v>
      </c>
      <c r="G60" s="25">
        <f>'Financial Statements'!G285/'Financial Statements'!G$311</f>
        <v>0.11397661326806061</v>
      </c>
      <c r="H60" s="25">
        <f>'Financial Statements'!H285/'Financial Statements'!H$311</f>
        <v>0.12131619339984651</v>
      </c>
      <c r="I60" s="25">
        <f>'Financial Statements'!I285/'Financial Statements'!I$311</f>
        <v>0.1181816416490281</v>
      </c>
      <c r="J60" s="25">
        <f>'Financial Statements'!J285/'Financial Statements'!J$311</f>
        <v>0.11114430366894915</v>
      </c>
      <c r="K60" s="25">
        <f>'Financial Statements'!K285/'Financial Statements'!K$311</f>
        <v>0.11293160130080145</v>
      </c>
      <c r="L60" s="25">
        <f>'Financial Statements'!L285/'Financial Statements'!L$311</f>
        <v>0.10664367015833834</v>
      </c>
      <c r="M60" s="25">
        <f>'Financial Statements'!M285/'Financial Statements'!M$311</f>
        <v>0.10664367015833834</v>
      </c>
    </row>
    <row r="61" spans="1:13" ht="12.75" customHeight="1" x14ac:dyDescent="0.2">
      <c r="A61" s="1" t="s">
        <v>171</v>
      </c>
      <c r="B61" s="25">
        <f>'Financial Statements'!B286/'Financial Statements'!B$311</f>
        <v>0</v>
      </c>
      <c r="C61" s="25">
        <f>'Financial Statements'!C286/'Financial Statements'!C$311</f>
        <v>0</v>
      </c>
      <c r="D61" s="25">
        <f>'Financial Statements'!D286/'Financial Statements'!D$311</f>
        <v>0</v>
      </c>
      <c r="E61" s="25">
        <f>'Financial Statements'!E286/'Financial Statements'!E$311</f>
        <v>0</v>
      </c>
      <c r="F61" s="25">
        <f>'Financial Statements'!F286/'Financial Statements'!F$311</f>
        <v>0</v>
      </c>
      <c r="G61" s="25">
        <f>'Financial Statements'!G286/'Financial Statements'!G$311</f>
        <v>0</v>
      </c>
      <c r="H61" s="25">
        <f>'Financial Statements'!H286/'Financial Statements'!H$311</f>
        <v>1.671965793224427E-2</v>
      </c>
      <c r="I61" s="25">
        <f>'Financial Statements'!I286/'Financial Statements'!I$311</f>
        <v>2.2331397945511387E-2</v>
      </c>
      <c r="J61" s="25">
        <f>'Financial Statements'!J286/'Financial Statements'!J$311</f>
        <v>2.0501285723490373E-2</v>
      </c>
      <c r="K61" s="25">
        <f>'Financial Statements'!K286/'Financial Statements'!K$311</f>
        <v>1.3247108656985508E-2</v>
      </c>
      <c r="L61" s="25">
        <f>'Financial Statements'!L286/'Financial Statements'!L$311</f>
        <v>3.6657278183908772E-2</v>
      </c>
      <c r="M61" s="25">
        <f>'Financial Statements'!M286/'Financial Statements'!M$311</f>
        <v>3.6657278183908772E-2</v>
      </c>
    </row>
    <row r="62" spans="1:13" ht="12.75" customHeight="1" x14ac:dyDescent="0.2">
      <c r="A62" s="1" t="s">
        <v>88</v>
      </c>
      <c r="B62" s="25">
        <f>'Financial Statements'!B287/'Financial Statements'!B$311</f>
        <v>0</v>
      </c>
      <c r="C62" s="25">
        <f>'Financial Statements'!C287/'Financial Statements'!C$311</f>
        <v>0</v>
      </c>
      <c r="D62" s="25">
        <f>'Financial Statements'!D287/'Financial Statements'!D$311</f>
        <v>0</v>
      </c>
      <c r="E62" s="25">
        <f>'Financial Statements'!E287/'Financial Statements'!E$311</f>
        <v>0</v>
      </c>
      <c r="F62" s="25">
        <f>'Financial Statements'!F287/'Financial Statements'!F$311</f>
        <v>0</v>
      </c>
      <c r="G62" s="25">
        <f>'Financial Statements'!G287/'Financial Statements'!G$311</f>
        <v>0</v>
      </c>
      <c r="H62" s="25">
        <f>'Financial Statements'!H287/'Financial Statements'!H$311</f>
        <v>0</v>
      </c>
      <c r="I62" s="25">
        <f>'Financial Statements'!I287/'Financial Statements'!I$311</f>
        <v>0</v>
      </c>
      <c r="J62" s="25">
        <f>'Financial Statements'!J287/'Financial Statements'!J$311</f>
        <v>0</v>
      </c>
      <c r="K62" s="25">
        <f>'Financial Statements'!K287/'Financial Statements'!K$311</f>
        <v>0</v>
      </c>
      <c r="L62" s="25">
        <f>'Financial Statements'!L287/'Financial Statements'!L$311</f>
        <v>0</v>
      </c>
      <c r="M62" s="25">
        <f>'Financial Statements'!M287/'Financial Statements'!M$311</f>
        <v>0</v>
      </c>
    </row>
    <row r="63" spans="1:13" ht="12.75" customHeight="1" x14ac:dyDescent="0.2">
      <c r="A63" s="5" t="s">
        <v>89</v>
      </c>
      <c r="B63" s="26">
        <f>'Financial Statements'!B288/'Financial Statements'!B$311</f>
        <v>9.4470403374201414E-2</v>
      </c>
      <c r="C63" s="26">
        <f>'Financial Statements'!C288/'Financial Statements'!C$311</f>
        <v>8.9612164019303914E-2</v>
      </c>
      <c r="D63" s="26">
        <f>'Financial Statements'!D288/'Financial Statements'!D$311</f>
        <v>0.10230328223513413</v>
      </c>
      <c r="E63" s="26">
        <f>'Financial Statements'!E288/'Financial Statements'!E$311</f>
        <v>0.10303047222881391</v>
      </c>
      <c r="F63" s="26">
        <f>'Financial Statements'!F288/'Financial Statements'!F$311</f>
        <v>0.10623906860353588</v>
      </c>
      <c r="G63" s="26">
        <f>'Financial Statements'!G288/'Financial Statements'!G$311</f>
        <v>0.11397661326806061</v>
      </c>
      <c r="H63" s="26">
        <f>'Financial Statements'!H288/'Financial Statements'!H$311</f>
        <v>0.13803585133209079</v>
      </c>
      <c r="I63" s="26">
        <f>'Financial Statements'!I288/'Financial Statements'!I$311</f>
        <v>0.14051303959453948</v>
      </c>
      <c r="J63" s="26">
        <f>'Financial Statements'!J288/'Financial Statements'!J$311</f>
        <v>0.1316455893924395</v>
      </c>
      <c r="K63" s="26">
        <f>'Financial Statements'!K288/'Financial Statements'!K$311</f>
        <v>0.12617870995778696</v>
      </c>
      <c r="L63" s="26">
        <f>'Financial Statements'!L288/'Financial Statements'!L$311</f>
        <v>0.14330094834224713</v>
      </c>
      <c r="M63" s="26">
        <f>'Financial Statements'!M288/'Financial Statements'!M$311</f>
        <v>0.14330094834224713</v>
      </c>
    </row>
    <row r="64" spans="1:13" ht="12.75" customHeight="1" x14ac:dyDescent="0.2">
      <c r="A64" s="1" t="s">
        <v>90</v>
      </c>
      <c r="B64" s="25">
        <f>'Financial Statements'!B289/'Financial Statements'!B$311</f>
        <v>1.1634999069613579E-2</v>
      </c>
      <c r="C64" s="25">
        <f>'Financial Statements'!C289/'Financial Statements'!C$311</f>
        <v>8.7131260187286261E-3</v>
      </c>
      <c r="D64" s="25">
        <f>'Financial Statements'!D289/'Financial Statements'!D$311</f>
        <v>1.0284027691927308E-2</v>
      </c>
      <c r="E64" s="25">
        <f>'Financial Statements'!E289/'Financial Statements'!E$311</f>
        <v>7.1992908890408857E-3</v>
      </c>
      <c r="F64" s="25">
        <f>'Financial Statements'!F289/'Financial Statements'!F$311</f>
        <v>6.2891829372309672E-3</v>
      </c>
      <c r="G64" s="25">
        <f>'Financial Statements'!G289/'Financial Statements'!G$311</f>
        <v>7.8974411212209272E-3</v>
      </c>
      <c r="H64" s="25">
        <f>'Financial Statements'!H289/'Financial Statements'!H$311</f>
        <v>1.0256550816796405E-2</v>
      </c>
      <c r="I64" s="25">
        <f>'Financial Statements'!I289/'Financial Statements'!I$311</f>
        <v>6.0683146591063554E-3</v>
      </c>
      <c r="J64" s="25">
        <f>'Financial Statements'!J289/'Financial Statements'!J$311</f>
        <v>2.4328192391875241E-3</v>
      </c>
      <c r="K64" s="25">
        <f>'Financial Statements'!K289/'Financial Statements'!K$311</f>
        <v>1.5153399902746837E-3</v>
      </c>
      <c r="L64" s="25">
        <f>'Financial Statements'!L289/'Financial Statements'!L$311</f>
        <v>1.8420941590978617E-3</v>
      </c>
      <c r="M64" s="25">
        <f>'Financial Statements'!M289/'Financial Statements'!M$311</f>
        <v>1.8420941590978617E-3</v>
      </c>
    </row>
    <row r="65" spans="1:13" ht="12.75" customHeight="1" x14ac:dyDescent="0.2">
      <c r="A65" s="1" t="s">
        <v>91</v>
      </c>
      <c r="B65" s="25">
        <f>'Financial Statements'!B290/'Financial Statements'!B$311</f>
        <v>0</v>
      </c>
      <c r="C65" s="25">
        <f>'Financial Statements'!C290/'Financial Statements'!C$311</f>
        <v>0</v>
      </c>
      <c r="D65" s="25">
        <f>'Financial Statements'!D290/'Financial Statements'!D$311</f>
        <v>0</v>
      </c>
      <c r="E65" s="25">
        <f>'Financial Statements'!E290/'Financial Statements'!E$311</f>
        <v>0</v>
      </c>
      <c r="F65" s="25">
        <f>'Financial Statements'!F290/'Financial Statements'!F$311</f>
        <v>0</v>
      </c>
      <c r="G65" s="25">
        <f>'Financial Statements'!G290/'Financial Statements'!G$311</f>
        <v>0</v>
      </c>
      <c r="H65" s="25">
        <f>'Financial Statements'!H290/'Financial Statements'!H$311</f>
        <v>0</v>
      </c>
      <c r="I65" s="25">
        <f>'Financial Statements'!I290/'Financial Statements'!I$311</f>
        <v>0</v>
      </c>
      <c r="J65" s="25">
        <f>'Financial Statements'!J290/'Financial Statements'!J$311</f>
        <v>0</v>
      </c>
      <c r="K65" s="25">
        <f>'Financial Statements'!K290/'Financial Statements'!K$311</f>
        <v>0</v>
      </c>
      <c r="L65" s="25">
        <f>'Financial Statements'!L290/'Financial Statements'!L$311</f>
        <v>0</v>
      </c>
      <c r="M65" s="25">
        <f>'Financial Statements'!M290/'Financial Statements'!M$311</f>
        <v>0</v>
      </c>
    </row>
    <row r="66" spans="1:13" ht="12.75" customHeight="1" x14ac:dyDescent="0.2">
      <c r="A66" s="1" t="s">
        <v>172</v>
      </c>
      <c r="B66" s="25">
        <f>'Financial Statements'!B291/'Financial Statements'!B$311</f>
        <v>0</v>
      </c>
      <c r="C66" s="25">
        <f>'Financial Statements'!C291/'Financial Statements'!C$311</f>
        <v>0</v>
      </c>
      <c r="D66" s="25">
        <f>'Financial Statements'!D291/'Financial Statements'!D$311</f>
        <v>0</v>
      </c>
      <c r="E66" s="25">
        <f>'Financial Statements'!E291/'Financial Statements'!E$311</f>
        <v>0</v>
      </c>
      <c r="F66" s="25">
        <f>'Financial Statements'!F291/'Financial Statements'!F$311</f>
        <v>0</v>
      </c>
      <c r="G66" s="25">
        <f>'Financial Statements'!G291/'Financial Statements'!G$311</f>
        <v>0</v>
      </c>
      <c r="H66" s="25">
        <f>'Financial Statements'!H291/'Financial Statements'!H$311</f>
        <v>0</v>
      </c>
      <c r="I66" s="25">
        <f>'Financial Statements'!I291/'Financial Statements'!I$311</f>
        <v>0</v>
      </c>
      <c r="J66" s="25">
        <f>'Financial Statements'!J291/'Financial Statements'!J$311</f>
        <v>0</v>
      </c>
      <c r="K66" s="25">
        <f>'Financial Statements'!K291/'Financial Statements'!K$311</f>
        <v>0</v>
      </c>
      <c r="L66" s="25">
        <f>'Financial Statements'!L291/'Financial Statements'!L$311</f>
        <v>0</v>
      </c>
      <c r="M66" s="25">
        <f>'Financial Statements'!M291/'Financial Statements'!M$311</f>
        <v>0</v>
      </c>
    </row>
    <row r="67" spans="1:13" ht="12.75" customHeight="1" x14ac:dyDescent="0.2">
      <c r="A67" s="1" t="s">
        <v>173</v>
      </c>
      <c r="B67" s="25">
        <f>'Financial Statements'!B292/'Financial Statements'!B$311</f>
        <v>0</v>
      </c>
      <c r="C67" s="25">
        <f>'Financial Statements'!C292/'Financial Statements'!C$311</f>
        <v>0</v>
      </c>
      <c r="D67" s="25">
        <f>'Financial Statements'!D292/'Financial Statements'!D$311</f>
        <v>0</v>
      </c>
      <c r="E67" s="25">
        <f>'Financial Statements'!E292/'Financial Statements'!E$311</f>
        <v>0</v>
      </c>
      <c r="F67" s="25">
        <f>'Financial Statements'!F292/'Financial Statements'!F$311</f>
        <v>0</v>
      </c>
      <c r="G67" s="25">
        <f>'Financial Statements'!G292/'Financial Statements'!G$311</f>
        <v>0</v>
      </c>
      <c r="H67" s="25">
        <f>'Financial Statements'!H292/'Financial Statements'!H$311</f>
        <v>0</v>
      </c>
      <c r="I67" s="25">
        <f>'Financial Statements'!I292/'Financial Statements'!I$311</f>
        <v>0</v>
      </c>
      <c r="J67" s="25">
        <f>'Financial Statements'!J292/'Financial Statements'!J$311</f>
        <v>0</v>
      </c>
      <c r="K67" s="25">
        <f>'Financial Statements'!K292/'Financial Statements'!K$311</f>
        <v>0</v>
      </c>
      <c r="L67" s="25">
        <f>'Financial Statements'!L292/'Financial Statements'!L$311</f>
        <v>0</v>
      </c>
      <c r="M67" s="25">
        <f>'Financial Statements'!M292/'Financial Statements'!M$311</f>
        <v>0</v>
      </c>
    </row>
    <row r="68" spans="1:13" ht="12.75" customHeight="1" x14ac:dyDescent="0.2">
      <c r="A68" s="1" t="s">
        <v>174</v>
      </c>
      <c r="B68" s="25">
        <f>'Financial Statements'!B293/'Financial Statements'!B$311</f>
        <v>0</v>
      </c>
      <c r="C68" s="25">
        <f>'Financial Statements'!C293/'Financial Statements'!C$311</f>
        <v>0</v>
      </c>
      <c r="D68" s="25">
        <f>'Financial Statements'!D293/'Financial Statements'!D$311</f>
        <v>0</v>
      </c>
      <c r="E68" s="25">
        <f>'Financial Statements'!E293/'Financial Statements'!E$311</f>
        <v>0</v>
      </c>
      <c r="F68" s="25">
        <f>'Financial Statements'!F293/'Financial Statements'!F$311</f>
        <v>0</v>
      </c>
      <c r="G68" s="25">
        <f>'Financial Statements'!G293/'Financial Statements'!G$311</f>
        <v>0</v>
      </c>
      <c r="H68" s="25">
        <f>'Financial Statements'!H293/'Financial Statements'!H$311</f>
        <v>0</v>
      </c>
      <c r="I68" s="25">
        <f>'Financial Statements'!I293/'Financial Statements'!I$311</f>
        <v>0</v>
      </c>
      <c r="J68" s="25">
        <f>'Financial Statements'!J293/'Financial Statements'!J$311</f>
        <v>0</v>
      </c>
      <c r="K68" s="25">
        <f>'Financial Statements'!K293/'Financial Statements'!K$311</f>
        <v>0</v>
      </c>
      <c r="L68" s="25">
        <f>'Financial Statements'!L293/'Financial Statements'!L$311</f>
        <v>0</v>
      </c>
      <c r="M68" s="25">
        <f>'Financial Statements'!M293/'Financial Statements'!M$311</f>
        <v>0</v>
      </c>
    </row>
    <row r="69" spans="1:13" ht="12.75" customHeight="1" x14ac:dyDescent="0.2">
      <c r="A69" s="1" t="s">
        <v>130</v>
      </c>
      <c r="B69" s="25">
        <f>'Financial Statements'!B294/'Financial Statements'!B$311</f>
        <v>0</v>
      </c>
      <c r="C69" s="25">
        <f>'Financial Statements'!C294/'Financial Statements'!C$311</f>
        <v>0</v>
      </c>
      <c r="D69" s="25">
        <f>'Financial Statements'!D294/'Financial Statements'!D$311</f>
        <v>0</v>
      </c>
      <c r="E69" s="25">
        <f>'Financial Statements'!E294/'Financial Statements'!E$311</f>
        <v>0</v>
      </c>
      <c r="F69" s="25">
        <f>'Financial Statements'!F294/'Financial Statements'!F$311</f>
        <v>0</v>
      </c>
      <c r="G69" s="25">
        <f>'Financial Statements'!G294/'Financial Statements'!G$311</f>
        <v>0</v>
      </c>
      <c r="H69" s="25">
        <f>'Financial Statements'!H294/'Financial Statements'!H$311</f>
        <v>0</v>
      </c>
      <c r="I69" s="25">
        <f>'Financial Statements'!I294/'Financial Statements'!I$311</f>
        <v>0</v>
      </c>
      <c r="J69" s="25">
        <f>'Financial Statements'!J294/'Financial Statements'!J$311</f>
        <v>0</v>
      </c>
      <c r="K69" s="25">
        <f>'Financial Statements'!K294/'Financial Statements'!K$311</f>
        <v>0</v>
      </c>
      <c r="L69" s="25">
        <f>'Financial Statements'!L294/'Financial Statements'!L$311</f>
        <v>0</v>
      </c>
      <c r="M69" s="25">
        <f>'Financial Statements'!M294/'Financial Statements'!M$311</f>
        <v>0</v>
      </c>
    </row>
    <row r="70" spans="1:13" ht="12.75" customHeight="1" x14ac:dyDescent="0.2">
      <c r="A70" s="1" t="s">
        <v>175</v>
      </c>
      <c r="B70" s="25">
        <f>'Financial Statements'!B295/'Financial Statements'!B$311</f>
        <v>0</v>
      </c>
      <c r="C70" s="25">
        <f>'Financial Statements'!C295/'Financial Statements'!C$311</f>
        <v>0</v>
      </c>
      <c r="D70" s="25">
        <f>'Financial Statements'!D295/'Financial Statements'!D$311</f>
        <v>0</v>
      </c>
      <c r="E70" s="25">
        <f>'Financial Statements'!E295/'Financial Statements'!E$311</f>
        <v>0</v>
      </c>
      <c r="F70" s="25">
        <f>'Financial Statements'!F295/'Financial Statements'!F$311</f>
        <v>0</v>
      </c>
      <c r="G70" s="25">
        <f>'Financial Statements'!G295/'Financial Statements'!G$311</f>
        <v>0</v>
      </c>
      <c r="H70" s="25">
        <f>'Financial Statements'!H295/'Financial Statements'!H$311</f>
        <v>0</v>
      </c>
      <c r="I70" s="25">
        <f>'Financial Statements'!I295/'Financial Statements'!I$311</f>
        <v>0</v>
      </c>
      <c r="J70" s="25">
        <f>'Financial Statements'!J295/'Financial Statements'!J$311</f>
        <v>0</v>
      </c>
      <c r="K70" s="25">
        <f>'Financial Statements'!K295/'Financial Statements'!K$311</f>
        <v>0</v>
      </c>
      <c r="L70" s="25">
        <f>'Financial Statements'!L295/'Financial Statements'!L$311</f>
        <v>0</v>
      </c>
      <c r="M70" s="25">
        <f>'Financial Statements'!M295/'Financial Statements'!M$311</f>
        <v>0</v>
      </c>
    </row>
    <row r="71" spans="1:13" ht="12.75" customHeight="1" x14ac:dyDescent="0.2">
      <c r="A71" s="1" t="s">
        <v>131</v>
      </c>
      <c r="B71" s="25">
        <f>'Financial Statements'!B296/'Financial Statements'!B$311</f>
        <v>3.1483242706804228E-2</v>
      </c>
      <c r="C71" s="25">
        <f>'Financial Statements'!C296/'Financial Statements'!C$311</f>
        <v>2.0706158713925022E-2</v>
      </c>
      <c r="D71" s="25">
        <f>'Financial Statements'!D296/'Financial Statements'!D$311</f>
        <v>2.648272345160094E-2</v>
      </c>
      <c r="E71" s="25">
        <f>'Financial Statements'!E296/'Financial Statements'!E$311</f>
        <v>3.5361325534973967E-2</v>
      </c>
      <c r="F71" s="25">
        <f>'Financial Statements'!F296/'Financial Statements'!F$311</f>
        <v>3.8222965640152533E-2</v>
      </c>
      <c r="G71" s="25">
        <f>'Financial Statements'!G296/'Financial Statements'!G$311</f>
        <v>4.035903996356871E-2</v>
      </c>
      <c r="H71" s="25">
        <f>'Financial Statements'!H296/'Financial Statements'!H$311</f>
        <v>2.9689727003618025E-2</v>
      </c>
      <c r="I71" s="25">
        <f>'Financial Statements'!I296/'Financial Statements'!I$311</f>
        <v>3.0615861118123387E-2</v>
      </c>
      <c r="J71" s="25">
        <f>'Financial Statements'!J296/'Financial Statements'!J$311</f>
        <v>3.0328235346950092E-2</v>
      </c>
      <c r="K71" s="25">
        <f>'Financial Statements'!K296/'Financial Statements'!K$311</f>
        <v>2.8324580010113037E-2</v>
      </c>
      <c r="L71" s="25">
        <f>'Financial Statements'!L296/'Financial Statements'!L$311</f>
        <v>2.7672289207464371E-2</v>
      </c>
      <c r="M71" s="25">
        <f>'Financial Statements'!M296/'Financial Statements'!M$311</f>
        <v>2.7672289207464371E-2</v>
      </c>
    </row>
    <row r="72" spans="1:13" ht="12.75" customHeight="1" x14ac:dyDescent="0.2">
      <c r="A72" s="5" t="s">
        <v>45</v>
      </c>
      <c r="B72" s="26">
        <f>'Financial Statements'!B297/'Financial Statements'!B$311</f>
        <v>0.72187648603386612</v>
      </c>
      <c r="C72" s="26">
        <f>'Financial Statements'!C297/'Financial Statements'!C$311</f>
        <v>0.64997283390328875</v>
      </c>
      <c r="D72" s="26">
        <f>'Financial Statements'!D297/'Financial Statements'!D$311</f>
        <v>0.65545030288045492</v>
      </c>
      <c r="E72" s="26">
        <f>'Financial Statements'!E297/'Financial Statements'!E$311</f>
        <v>0.61262720026801043</v>
      </c>
      <c r="F72" s="26">
        <f>'Financial Statements'!F297/'Financial Statements'!F$311</f>
        <v>0.60374496782394271</v>
      </c>
      <c r="G72" s="26">
        <f>'Financial Statements'!G297/'Financial Statements'!G$311</f>
        <v>0.55247933512893266</v>
      </c>
      <c r="H72" s="26">
        <f>'Financial Statements'!H297/'Financial Statements'!H$311</f>
        <v>0.46509154697949784</v>
      </c>
      <c r="I72" s="26">
        <f>'Financial Statements'!I297/'Financial Statements'!I$311</f>
        <v>0.44725178165718393</v>
      </c>
      <c r="J72" s="26">
        <f>'Financial Statements'!J297/'Financial Statements'!J$311</f>
        <v>0.31188117845295343</v>
      </c>
      <c r="K72" s="26">
        <f>'Financial Statements'!K297/'Financial Statements'!K$311</f>
        <v>0.30877233228271916</v>
      </c>
      <c r="L72" s="26">
        <f>'Financial Statements'!L297/'Financial Statements'!L$311</f>
        <v>0.27388788674747089</v>
      </c>
      <c r="M72" s="26">
        <f>'Financial Statements'!M297/'Financial Statements'!M$311</f>
        <v>0.27388788674747089</v>
      </c>
    </row>
    <row r="73" spans="1:13" ht="12.75" customHeight="1" x14ac:dyDescent="0.2">
      <c r="A73" s="1" t="s">
        <v>92</v>
      </c>
      <c r="B73" s="25">
        <f>'Financial Statements'!B298/'Financial Statements'!B$311</f>
        <v>0.19722124589079332</v>
      </c>
      <c r="C73" s="25">
        <f>'Financial Statements'!C298/'Financial Statements'!C$311</f>
        <v>0.21760043465754739</v>
      </c>
      <c r="D73" s="25">
        <f>'Financial Statements'!D298/'Financial Statements'!D$311</f>
        <v>0.25253816911855609</v>
      </c>
      <c r="E73" s="25">
        <f>'Financial Statements'!E298/'Financial Statements'!E$311</f>
        <v>0.27633691145884226</v>
      </c>
      <c r="F73" s="25">
        <f>'Financial Statements'!F298/'Financial Statements'!F$311</f>
        <v>0.31894288625373785</v>
      </c>
      <c r="G73" s="25">
        <f>'Financial Statements'!G298/'Financial Statements'!G$311</f>
        <v>0.36597269450744357</v>
      </c>
      <c r="H73" s="25">
        <f>'Financial Statements'!H298/'Financial Statements'!H$311</f>
        <v>0.40348097796294263</v>
      </c>
      <c r="I73" s="25">
        <f>'Financial Statements'!I298/'Financial Statements'!I$311</f>
        <v>0.43264170728391943</v>
      </c>
      <c r="J73" s="25">
        <f>'Financial Statements'!J298/'Financial Statements'!J$311</f>
        <v>0.4509755683249278</v>
      </c>
      <c r="K73" s="25">
        <f>'Financial Statements'!K298/'Financial Statements'!K$311</f>
        <v>0.52252089246740319</v>
      </c>
      <c r="L73" s="25">
        <f>'Financial Statements'!L298/'Financial Statements'!L$311</f>
        <v>0.60121100878719791</v>
      </c>
      <c r="M73" s="25">
        <f>'Financial Statements'!M298/'Financial Statements'!M$311</f>
        <v>0.60121100878719791</v>
      </c>
    </row>
    <row r="74" spans="1:13" ht="12.75" customHeight="1" x14ac:dyDescent="0.2">
      <c r="A74" s="1" t="s">
        <v>93</v>
      </c>
      <c r="B74" s="25">
        <f>'Financial Statements'!B299/'Financial Statements'!B$311</f>
        <v>-0.10234250625426428</v>
      </c>
      <c r="C74" s="25">
        <f>'Financial Statements'!C299/'Financial Statements'!C$311</f>
        <v>-9.6595448879798013E-2</v>
      </c>
      <c r="D74" s="25">
        <f>'Financial Statements'!D299/'Financial Statements'!D$311</f>
        <v>-0.11289637161577451</v>
      </c>
      <c r="E74" s="25">
        <f>'Financial Statements'!E299/'Financial Statements'!E$311</f>
        <v>-0.12329178240902301</v>
      </c>
      <c r="F74" s="25">
        <f>'Financial Statements'!F299/'Financial Statements'!F$311</f>
        <v>-0.14336350149845176</v>
      </c>
      <c r="G74" s="25">
        <f>'Financial Statements'!G299/'Financial Statements'!G$311</f>
        <v>-0.15384730615167522</v>
      </c>
      <c r="H74" s="25">
        <f>'Financial Statements'!H299/'Financial Statements'!H$311</f>
        <v>-0.16352373643240872</v>
      </c>
      <c r="I74" s="25">
        <f>'Financial Statements'!I299/'Financial Statements'!I$311</f>
        <v>-0.16566741751946715</v>
      </c>
      <c r="J74" s="25">
        <f>'Financial Statements'!J299/'Financial Statements'!J$311</f>
        <v>-0.14921226250236741</v>
      </c>
      <c r="K74" s="25">
        <f>'Financial Statements'!K299/'Financial Statements'!K$311</f>
        <v>-0.15129652037227606</v>
      </c>
      <c r="L74" s="25">
        <f>'Financial Statements'!L299/'Financial Statements'!L$311</f>
        <v>-0.15650679873835671</v>
      </c>
      <c r="M74" s="25">
        <f>'Financial Statements'!M299/'Financial Statements'!M$311</f>
        <v>-0.15650679873835671</v>
      </c>
    </row>
    <row r="75" spans="1:13" ht="12.75" customHeight="1" x14ac:dyDescent="0.2">
      <c r="A75" s="5" t="s">
        <v>94</v>
      </c>
      <c r="B75" s="26">
        <f>'Financial Statements'!B300/'Financial Statements'!B$311</f>
        <v>9.4878739636529041E-2</v>
      </c>
      <c r="C75" s="26">
        <f>'Financial Statements'!C300/'Financial Statements'!C$311</f>
        <v>0.12100498577774937</v>
      </c>
      <c r="D75" s="26">
        <f>'Financial Statements'!D300/'Financial Statements'!D$311</f>
        <v>0.13964179750278155</v>
      </c>
      <c r="E75" s="26">
        <f>'Financial Statements'!E300/'Financial Statements'!E$311</f>
        <v>0.15304512904981923</v>
      </c>
      <c r="F75" s="26">
        <f>'Financial Statements'!F300/'Financial Statements'!F$311</f>
        <v>0.17557938475528606</v>
      </c>
      <c r="G75" s="26">
        <f>'Financial Statements'!G300/'Financial Statements'!G$311</f>
        <v>0.21212538835576833</v>
      </c>
      <c r="H75" s="26">
        <f>'Financial Statements'!H300/'Financial Statements'!H$311</f>
        <v>0.23995724153053394</v>
      </c>
      <c r="I75" s="26">
        <f>'Financial Statements'!I300/'Financial Statements'!I$311</f>
        <v>0.26697428976445231</v>
      </c>
      <c r="J75" s="26">
        <f>'Financial Statements'!J300/'Financial Statements'!J$311</f>
        <v>0.30176330582256039</v>
      </c>
      <c r="K75" s="26">
        <f>'Financial Statements'!K300/'Financial Statements'!K$311</f>
        <v>0.37122437209512715</v>
      </c>
      <c r="L75" s="26">
        <f>'Financial Statements'!L300/'Financial Statements'!L$311</f>
        <v>0.4447042100488412</v>
      </c>
      <c r="M75" s="26">
        <f>'Financial Statements'!M300/'Financial Statements'!M$311</f>
        <v>0.4447042100488412</v>
      </c>
    </row>
    <row r="76" spans="1:13" ht="12.75" customHeight="1" x14ac:dyDescent="0.2">
      <c r="A76" s="1" t="s">
        <v>176</v>
      </c>
      <c r="B76" s="25">
        <f>'Financial Statements'!B301/'Financial Statements'!B$311</f>
        <v>5.3952074761717699E-2</v>
      </c>
      <c r="C76" s="25">
        <f>'Financial Statements'!C301/'Financial Statements'!C$311</f>
        <v>2.406197066061555E-2</v>
      </c>
      <c r="D76" s="25">
        <f>'Financial Statements'!D301/'Financial Statements'!D$311</f>
        <v>7.1934108047966372E-3</v>
      </c>
      <c r="E76" s="25">
        <f>'Financial Statements'!E301/'Financial Statements'!E$311</f>
        <v>9.2442663912114913E-3</v>
      </c>
      <c r="F76" s="25">
        <f>'Financial Statements'!F301/'Financial Statements'!F$311</f>
        <v>9.8403310864853925E-3</v>
      </c>
      <c r="G76" s="25">
        <f>'Financial Statements'!G301/'Financial Statements'!G$311</f>
        <v>1.792803022359106E-2</v>
      </c>
      <c r="H76" s="25">
        <f>'Financial Statements'!H301/'Financial Statements'!H$311</f>
        <v>1.8887731608376274E-2</v>
      </c>
      <c r="I76" s="25">
        <f>'Financial Statements'!I301/'Financial Statements'!I$311</f>
        <v>2.3979552206924677E-2</v>
      </c>
      <c r="J76" s="25">
        <f>'Financial Statements'!J301/'Financial Statements'!J$311</f>
        <v>2.8506549672662803E-2</v>
      </c>
      <c r="K76" s="25">
        <f>'Financial Statements'!K301/'Financial Statements'!K$311</f>
        <v>2.4886793763519724E-2</v>
      </c>
      <c r="L76" s="25">
        <f>'Financial Statements'!L301/'Financial Statements'!L$311</f>
        <v>4.7928731921896263E-2</v>
      </c>
      <c r="M76" s="25">
        <f>'Financial Statements'!M301/'Financial Statements'!M$311</f>
        <v>4.7928731921896263E-2</v>
      </c>
    </row>
    <row r="77" spans="1:13" ht="12.75" customHeight="1" x14ac:dyDescent="0.2">
      <c r="A77" s="1" t="s">
        <v>56</v>
      </c>
      <c r="B77" s="25">
        <f>'Financial Statements'!B302/'Financial Statements'!B$311</f>
        <v>9.2377033928091462E-2</v>
      </c>
      <c r="C77" s="25">
        <f>'Financial Statements'!C302/'Financial Statements'!C$311</f>
        <v>0.14031288951388668</v>
      </c>
      <c r="D77" s="25">
        <f>'Financial Statements'!D302/'Financial Statements'!D$311</f>
        <v>0.13785310297935469</v>
      </c>
      <c r="E77" s="25">
        <f>'Financial Statements'!E302/'Financial Statements'!E$311</f>
        <v>0.14665894275464481</v>
      </c>
      <c r="F77" s="25">
        <f>'Financial Statements'!F302/'Financial Statements'!F$311</f>
        <v>0.14387460132554072</v>
      </c>
      <c r="G77" s="25">
        <f>'Financial Statements'!G302/'Financial Statements'!G$311</f>
        <v>0.14893387540857872</v>
      </c>
      <c r="H77" s="25">
        <f>'Financial Statements'!H302/'Financial Statements'!H$311</f>
        <v>0.18507839052735445</v>
      </c>
      <c r="I77" s="25">
        <f>'Financial Statements'!I302/'Financial Statements'!I$311</f>
        <v>0.16478144357923763</v>
      </c>
      <c r="J77" s="25">
        <f>'Financial Statements'!J302/'Financial Statements'!J$311</f>
        <v>0.23277745561471641</v>
      </c>
      <c r="K77" s="25">
        <f>'Financial Statements'!K302/'Financial Statements'!K$311</f>
        <v>0.1930669156692294</v>
      </c>
      <c r="L77" s="25">
        <f>'Financial Statements'!L302/'Financial Statements'!L$311</f>
        <v>0.15777266158211758</v>
      </c>
      <c r="M77" s="25">
        <f>'Financial Statements'!M302/'Financial Statements'!M$311</f>
        <v>0.15777266158211758</v>
      </c>
    </row>
    <row r="78" spans="1:13" ht="12.75" customHeight="1" x14ac:dyDescent="0.2">
      <c r="A78" s="1" t="s">
        <v>95</v>
      </c>
      <c r="B78" s="25">
        <f>'Financial Statements'!B303/'Financial Statements'!B$311</f>
        <v>1.9295180598341843E-2</v>
      </c>
      <c r="C78" s="25">
        <f>'Financial Statements'!C303/'Financial Statements'!C$311</f>
        <v>4.0373613730064879E-2</v>
      </c>
      <c r="D78" s="25">
        <f>'Financial Statements'!D303/'Financial Statements'!D$311</f>
        <v>3.1110922240079119E-2</v>
      </c>
      <c r="E78" s="25">
        <f>'Financial Statements'!E303/'Financial Statements'!E$311</f>
        <v>2.7045324474099304E-2</v>
      </c>
      <c r="F78" s="25">
        <f>'Financial Statements'!F303/'Financial Statements'!F$311</f>
        <v>2.3357925863974432E-2</v>
      </c>
      <c r="G78" s="25">
        <f>'Financial Statements'!G303/'Financial Statements'!G$311</f>
        <v>2.3368755973263745E-2</v>
      </c>
      <c r="H78" s="25">
        <f>'Financial Statements'!H303/'Financial Statements'!H$311</f>
        <v>3.0966999232540291E-2</v>
      </c>
      <c r="I78" s="25">
        <f>'Financial Statements'!I303/'Financial Statements'!I$311</f>
        <v>2.273433403887605E-2</v>
      </c>
      <c r="J78" s="25">
        <f>'Financial Statements'!J303/'Financial Statements'!J$311</f>
        <v>5.3883236391539413E-2</v>
      </c>
      <c r="K78" s="25">
        <f>'Financial Statements'!K303/'Financial Statements'!K$311</f>
        <v>3.6516785863719564E-2</v>
      </c>
      <c r="L78" s="25">
        <f>'Financial Statements'!L303/'Financial Statements'!L$311</f>
        <v>2.453796006202728E-2</v>
      </c>
      <c r="M78" s="25">
        <f>'Financial Statements'!M303/'Financial Statements'!M$311</f>
        <v>2.453796006202728E-2</v>
      </c>
    </row>
    <row r="79" spans="1:13" ht="12.75" customHeight="1" x14ac:dyDescent="0.2">
      <c r="A79" s="1" t="s">
        <v>177</v>
      </c>
      <c r="B79" s="25">
        <f>'Financial Statements'!B304/'Financial Statements'!B$311</f>
        <v>0</v>
      </c>
      <c r="C79" s="25">
        <f>'Financial Statements'!C304/'Financial Statements'!C$311</f>
        <v>0</v>
      </c>
      <c r="D79" s="25">
        <f>'Financial Statements'!D304/'Financial Statements'!D$311</f>
        <v>0</v>
      </c>
      <c r="E79" s="25">
        <f>'Financial Statements'!E304/'Financial Statements'!E$311</f>
        <v>0</v>
      </c>
      <c r="F79" s="25">
        <f>'Financial Statements'!F304/'Financial Statements'!F$311</f>
        <v>0</v>
      </c>
      <c r="G79" s="25">
        <f>'Financial Statements'!G304/'Financial Statements'!G$311</f>
        <v>0</v>
      </c>
      <c r="H79" s="25">
        <f>'Financial Statements'!H304/'Financial Statements'!H$311</f>
        <v>0</v>
      </c>
      <c r="I79" s="25">
        <f>'Financial Statements'!I304/'Financial Statements'!I$311</f>
        <v>0</v>
      </c>
      <c r="J79" s="25">
        <f>'Financial Statements'!J304/'Financial Statements'!J$311</f>
        <v>0</v>
      </c>
      <c r="K79" s="25">
        <f>'Financial Statements'!K304/'Financial Statements'!K$311</f>
        <v>0</v>
      </c>
      <c r="L79" s="25">
        <f>'Financial Statements'!L304/'Financial Statements'!L$311</f>
        <v>0</v>
      </c>
      <c r="M79" s="25">
        <f>'Financial Statements'!M304/'Financial Statements'!M$311</f>
        <v>0</v>
      </c>
    </row>
    <row r="80" spans="1:13" ht="12.75" customHeight="1" x14ac:dyDescent="0.2">
      <c r="A80" s="1" t="s">
        <v>178</v>
      </c>
      <c r="B80" s="25">
        <f>'Financial Statements'!B305/'Financial Statements'!B$311</f>
        <v>0</v>
      </c>
      <c r="C80" s="25">
        <f>'Financial Statements'!C305/'Financial Statements'!C$311</f>
        <v>0</v>
      </c>
      <c r="D80" s="25">
        <f>'Financial Statements'!D305/'Financial Statements'!D$311</f>
        <v>0</v>
      </c>
      <c r="E80" s="25">
        <f>'Financial Statements'!E305/'Financial Statements'!E$311</f>
        <v>0</v>
      </c>
      <c r="F80" s="25">
        <f>'Financial Statements'!F305/'Financial Statements'!F$311</f>
        <v>0</v>
      </c>
      <c r="G80" s="25">
        <f>'Financial Statements'!G305/'Financial Statements'!G$311</f>
        <v>0</v>
      </c>
      <c r="H80" s="25">
        <f>'Financial Statements'!H305/'Financial Statements'!H$311</f>
        <v>0</v>
      </c>
      <c r="I80" s="25">
        <f>'Financial Statements'!I305/'Financial Statements'!I$311</f>
        <v>0</v>
      </c>
      <c r="J80" s="25">
        <f>'Financial Statements'!J305/'Financial Statements'!J$311</f>
        <v>0</v>
      </c>
      <c r="K80" s="25">
        <f>'Financial Statements'!K305/'Financial Statements'!K$311</f>
        <v>0</v>
      </c>
      <c r="L80" s="25">
        <f>'Financial Statements'!L305/'Financial Statements'!L$311</f>
        <v>0</v>
      </c>
      <c r="M80" s="25">
        <f>'Financial Statements'!M305/'Financial Statements'!M$311</f>
        <v>0</v>
      </c>
    </row>
    <row r="81" spans="1:13" ht="12.75" customHeight="1" x14ac:dyDescent="0.2">
      <c r="A81" s="1" t="s">
        <v>179</v>
      </c>
      <c r="B81" s="25">
        <f>'Financial Statements'!B306/'Financial Statements'!B$311</f>
        <v>0</v>
      </c>
      <c r="C81" s="25">
        <f>'Financial Statements'!C306/'Financial Statements'!C$311</f>
        <v>6.7915241778260735E-3</v>
      </c>
      <c r="D81" s="25">
        <f>'Financial Statements'!D306/'Financial Statements'!D$311</f>
        <v>6.95388799604401E-3</v>
      </c>
      <c r="E81" s="25">
        <f>'Financial Statements'!E306/'Financial Statements'!E$311</f>
        <v>7.6773824313572216E-3</v>
      </c>
      <c r="F81" s="25">
        <f>'Financial Statements'!F306/'Financial Statements'!F$311</f>
        <v>8.9608411242868662E-3</v>
      </c>
      <c r="G81" s="25">
        <f>'Financial Statements'!G306/'Financial Statements'!G$311</f>
        <v>1.0186380808858557E-2</v>
      </c>
      <c r="H81" s="25">
        <f>'Financial Statements'!H306/'Financial Statements'!H$311</f>
        <v>1.0415524613529218E-2</v>
      </c>
      <c r="I81" s="25">
        <f>'Financial Statements'!I306/'Financial Statements'!I$311</f>
        <v>1.0922966386391441E-2</v>
      </c>
      <c r="J81" s="25">
        <f>'Financial Statements'!J306/'Financial Statements'!J$311</f>
        <v>9.5672666709621743E-3</v>
      </c>
      <c r="K81" s="25">
        <f>'Financial Statements'!K306/'Financial Statements'!K$311</f>
        <v>8.4006054897956869E-3</v>
      </c>
      <c r="L81" s="25">
        <f>'Financial Statements'!L306/'Financial Statements'!L$311</f>
        <v>7.2523392090467001E-3</v>
      </c>
      <c r="M81" s="25">
        <f>'Financial Statements'!M306/'Financial Statements'!M$311</f>
        <v>7.2523392090467001E-3</v>
      </c>
    </row>
    <row r="82" spans="1:13" ht="12.75" customHeight="1" x14ac:dyDescent="0.2">
      <c r="A82" s="1" t="s">
        <v>132</v>
      </c>
      <c r="B82" s="25">
        <f>'Financial Statements'!B307/'Financial Statements'!B$311</f>
        <v>0</v>
      </c>
      <c r="C82" s="25">
        <f>'Financial Statements'!C307/'Financial Statements'!C$311</f>
        <v>0</v>
      </c>
      <c r="D82" s="25">
        <f>'Financial Statements'!D307/'Financial Statements'!D$311</f>
        <v>0</v>
      </c>
      <c r="E82" s="25">
        <f>'Financial Statements'!E307/'Financial Statements'!E$311</f>
        <v>0</v>
      </c>
      <c r="F82" s="25">
        <f>'Financial Statements'!F307/'Financial Statements'!F$311</f>
        <v>0</v>
      </c>
      <c r="G82" s="25">
        <f>'Financial Statements'!G307/'Financial Statements'!G$311</f>
        <v>0</v>
      </c>
      <c r="H82" s="25">
        <f>'Financial Statements'!H307/'Financial Statements'!H$311</f>
        <v>0</v>
      </c>
      <c r="I82" s="25">
        <f>'Financial Statements'!I307/'Financial Statements'!I$311</f>
        <v>0</v>
      </c>
      <c r="J82" s="25">
        <f>'Financial Statements'!J307/'Financial Statements'!J$311</f>
        <v>0</v>
      </c>
      <c r="K82" s="25">
        <f>'Financial Statements'!K307/'Financial Statements'!K$311</f>
        <v>0</v>
      </c>
      <c r="L82" s="25">
        <f>'Financial Statements'!L307/'Financial Statements'!L$311</f>
        <v>0</v>
      </c>
      <c r="M82" s="25">
        <f>'Financial Statements'!M307/'Financial Statements'!M$311</f>
        <v>0</v>
      </c>
    </row>
    <row r="83" spans="1:13" ht="12.75" customHeight="1" x14ac:dyDescent="0.2">
      <c r="A83" s="1" t="s">
        <v>133</v>
      </c>
      <c r="B83" s="25">
        <f>'Financial Statements'!B308/'Financial Statements'!B$311</f>
        <v>1.1319701449335291E-3</v>
      </c>
      <c r="C83" s="25">
        <f>'Financial Statements'!C308/'Financial Statements'!C$311</f>
        <v>9.9076352711815661E-4</v>
      </c>
      <c r="D83" s="25">
        <f>'Financial Statements'!D308/'Financial Statements'!D$311</f>
        <v>5.2888181481023609E-3</v>
      </c>
      <c r="E83" s="25">
        <f>'Financial Statements'!E308/'Financial Statements'!E$311</f>
        <v>2.6298524546685464E-2</v>
      </c>
      <c r="F83" s="25">
        <f>'Financial Statements'!F308/'Financial Statements'!F$311</f>
        <v>2.1257106444836065E-2</v>
      </c>
      <c r="G83" s="25">
        <f>'Financial Statements'!G308/'Financial Statements'!G$311</f>
        <v>2.1514235467180381E-2</v>
      </c>
      <c r="H83" s="25">
        <f>'Financial Statements'!H308/'Financial Statements'!H$311</f>
        <v>3.7043635566275629E-2</v>
      </c>
      <c r="I83" s="25">
        <f>'Financial Statements'!I308/'Financial Statements'!I$311</f>
        <v>4.8942171388624583E-2</v>
      </c>
      <c r="J83" s="25">
        <f>'Financial Statements'!J308/'Financial Statements'!J$311</f>
        <v>4.3482250767821966E-2</v>
      </c>
      <c r="K83" s="25">
        <f>'Financial Statements'!K308/'Financial Statements'!K$311</f>
        <v>4.7024004730187093E-2</v>
      </c>
      <c r="L83" s="25">
        <f>'Financial Statements'!L308/'Financial Statements'!L$311</f>
        <v>1.9929428146460332E-2</v>
      </c>
      <c r="M83" s="25">
        <f>'Financial Statements'!M308/'Financial Statements'!M$311</f>
        <v>1.9929428146460332E-2</v>
      </c>
    </row>
    <row r="84" spans="1:13" ht="12.75" customHeight="1" x14ac:dyDescent="0.2">
      <c r="A84" s="1" t="s">
        <v>180</v>
      </c>
      <c r="B84" s="25">
        <f>'Financial Statements'!B309/'Financial Statements'!B$311</f>
        <v>0</v>
      </c>
      <c r="C84" s="25">
        <f>'Financial Statements'!C309/'Financial Statements'!C$311</f>
        <v>0</v>
      </c>
      <c r="D84" s="25">
        <f>'Financial Statements'!D309/'Financial Statements'!D$311</f>
        <v>0</v>
      </c>
      <c r="E84" s="25">
        <f>'Financial Statements'!E309/'Financial Statements'!E$311</f>
        <v>0</v>
      </c>
      <c r="F84" s="25">
        <f>'Financial Statements'!F309/'Financial Statements'!F$311</f>
        <v>0</v>
      </c>
      <c r="G84" s="25">
        <f>'Financial Statements'!G309/'Financial Statements'!G$311</f>
        <v>0</v>
      </c>
      <c r="H84" s="25">
        <f>'Financial Statements'!H309/'Financial Statements'!H$311</f>
        <v>0</v>
      </c>
      <c r="I84" s="25">
        <f>'Financial Statements'!I309/'Financial Statements'!I$311</f>
        <v>0</v>
      </c>
      <c r="J84" s="25">
        <f>'Financial Statements'!J309/'Financial Statements'!J$311</f>
        <v>0</v>
      </c>
      <c r="K84" s="25">
        <f>'Financial Statements'!K309/'Financial Statements'!K$311</f>
        <v>0</v>
      </c>
      <c r="L84" s="25">
        <f>'Financial Statements'!L309/'Financial Statements'!L$311</f>
        <v>0</v>
      </c>
      <c r="M84" s="25">
        <f>'Financial Statements'!M309/'Financial Statements'!M$311</f>
        <v>0</v>
      </c>
    </row>
    <row r="85" spans="1:13" ht="12.75" customHeight="1" x14ac:dyDescent="0.2">
      <c r="A85" s="1" t="s">
        <v>134</v>
      </c>
      <c r="B85" s="25">
        <f>'Financial Statements'!B310/'Financial Statements'!B$311</f>
        <v>1.6488514896520354E-2</v>
      </c>
      <c r="C85" s="25">
        <f>'Financial Statements'!C310/'Financial Statements'!C$311</f>
        <v>1.6491418709450607E-2</v>
      </c>
      <c r="D85" s="25">
        <f>'Financial Statements'!D310/'Financial Statements'!D$311</f>
        <v>1.6507757448386697E-2</v>
      </c>
      <c r="E85" s="25">
        <f>'Financial Statements'!E310/'Financial Statements'!E$311</f>
        <v>1.7403230084172029E-2</v>
      </c>
      <c r="F85" s="25">
        <f>'Financial Statements'!F310/'Financial Statements'!F$311</f>
        <v>1.3384841575647753E-2</v>
      </c>
      <c r="G85" s="25">
        <f>'Financial Statements'!G310/'Financial Statements'!G$311</f>
        <v>1.3463998633826574E-2</v>
      </c>
      <c r="H85" s="25">
        <f>'Financial Statements'!H310/'Financial Statements'!H$311</f>
        <v>1.2558929941892337E-2</v>
      </c>
      <c r="I85" s="25">
        <f>'Financial Statements'!I310/'Financial Statements'!I$311</f>
        <v>1.4413460978309416E-2</v>
      </c>
      <c r="J85" s="25">
        <f>'Financial Statements'!J310/'Financial Statements'!J$311</f>
        <v>1.8138756606783386E-2</v>
      </c>
      <c r="K85" s="25">
        <f>'Financial Statements'!K310/'Financial Statements'!K$311</f>
        <v>1.0108190105702235E-2</v>
      </c>
      <c r="L85" s="25">
        <f>'Financial Statements'!L310/'Financial Statements'!L$311</f>
        <v>2.398678228213973E-2</v>
      </c>
      <c r="M85" s="25">
        <f>'Financial Statements'!M310/'Financial Statements'!M$311</f>
        <v>2.398678228213973E-2</v>
      </c>
    </row>
    <row r="86" spans="1:13" ht="12.75" customHeight="1" thickBot="1" x14ac:dyDescent="0.25">
      <c r="A86" s="58" t="s">
        <v>267</v>
      </c>
      <c r="B86" s="29">
        <f>'Financial Statements'!B311/'Financial Statements'!B$311</f>
        <v>1</v>
      </c>
      <c r="C86" s="29">
        <f>'Financial Statements'!C311/'Financial Statements'!C$311</f>
        <v>1</v>
      </c>
      <c r="D86" s="29">
        <f>'Financial Statements'!D311/'Financial Statements'!D$311</f>
        <v>1</v>
      </c>
      <c r="E86" s="29">
        <f>'Financial Statements'!E311/'Financial Statements'!E$311</f>
        <v>1</v>
      </c>
      <c r="F86" s="29">
        <f>'Financial Statements'!F311/'Financial Statements'!F$311</f>
        <v>1</v>
      </c>
      <c r="G86" s="29">
        <f>'Financial Statements'!G311/'Financial Statements'!G$311</f>
        <v>1</v>
      </c>
      <c r="H86" s="29">
        <f>'Financial Statements'!H311/'Financial Statements'!H$311</f>
        <v>1</v>
      </c>
      <c r="I86" s="29">
        <f>'Financial Statements'!I311/'Financial Statements'!I$311</f>
        <v>1</v>
      </c>
      <c r="J86" s="29">
        <f>'Financial Statements'!J311/'Financial Statements'!J$311</f>
        <v>1</v>
      </c>
      <c r="K86" s="29">
        <f>'Financial Statements'!K311/'Financial Statements'!K$311</f>
        <v>1</v>
      </c>
      <c r="L86" s="29">
        <f>'Financial Statements'!L311/'Financial Statements'!L$311</f>
        <v>1</v>
      </c>
      <c r="M86" s="29">
        <f>'Financial Statements'!M311/'Financial Statements'!M$311</f>
        <v>1</v>
      </c>
    </row>
    <row r="87" spans="1:13" ht="12.75" customHeight="1" thickTop="1" x14ac:dyDescent="0.2">
      <c r="A87" s="1" t="s">
        <v>50</v>
      </c>
      <c r="B87" s="25">
        <f>'Financial Statements'!B312/'Financial Statements'!B$346</f>
        <v>3.5654475158682572E-2</v>
      </c>
      <c r="C87" s="25">
        <f>'Financial Statements'!C312/'Financial Statements'!C$346</f>
        <v>2.9523155102432166E-2</v>
      </c>
      <c r="D87" s="25">
        <f>'Financial Statements'!D312/'Financial Statements'!D$346</f>
        <v>3.3289807145506244E-2</v>
      </c>
      <c r="E87" s="25">
        <f>'Financial Statements'!E312/'Financial Statements'!E$346</f>
        <v>3.2740546350451573E-2</v>
      </c>
      <c r="F87" s="25">
        <f>'Financial Statements'!F312/'Financial Statements'!F$346</f>
        <v>4.1584940476783128E-2</v>
      </c>
      <c r="G87" s="25">
        <f>'Financial Statements'!G312/'Financial Statements'!G$346</f>
        <v>4.5428262413153613E-2</v>
      </c>
      <c r="H87" s="25">
        <f>'Financial Statements'!H312/'Financial Statements'!H$346</f>
        <v>5.2077623067646094E-2</v>
      </c>
      <c r="I87" s="25">
        <f>'Financial Statements'!I312/'Financial Statements'!I$346</f>
        <v>4.3922461502611802E-2</v>
      </c>
      <c r="J87" s="25">
        <f>'Financial Statements'!J312/'Financial Statements'!J$346</f>
        <v>4.2947264835608977E-2</v>
      </c>
      <c r="K87" s="25">
        <f>'Financial Statements'!K312/'Financial Statements'!K$346</f>
        <v>4.4788151269056851E-2</v>
      </c>
      <c r="L87" s="25">
        <f>'Financial Statements'!L312/'Financial Statements'!L$346</f>
        <v>5.5930039980168149E-2</v>
      </c>
      <c r="M87" s="25">
        <f>'Financial Statements'!M312/'Financial Statements'!M$346</f>
        <v>5.5930039980168149E-2</v>
      </c>
    </row>
    <row r="88" spans="1:13" ht="12.75" customHeight="1" x14ac:dyDescent="0.2">
      <c r="A88" s="1" t="s">
        <v>96</v>
      </c>
      <c r="B88" s="25">
        <f>'Financial Statements'!B313/'Financial Statements'!B$346</f>
        <v>2.7208633985982177E-2</v>
      </c>
      <c r="C88" s="25">
        <f>'Financial Statements'!C313/'Financial Statements'!C$346</f>
        <v>2.3246987759276423E-2</v>
      </c>
      <c r="D88" s="25">
        <f>'Financial Statements'!D313/'Financial Statements'!D$346</f>
        <v>2.3577543577698108E-2</v>
      </c>
      <c r="E88" s="25">
        <f>'Financial Statements'!E313/'Financial Statements'!E$346</f>
        <v>2.3834782730077192E-2</v>
      </c>
      <c r="F88" s="25">
        <f>'Financial Statements'!F313/'Financial Statements'!F$346</f>
        <v>2.6132467782457328E-2</v>
      </c>
      <c r="G88" s="25">
        <f>'Financial Statements'!G313/'Financial Statements'!G$346</f>
        <v>3.0130715233732501E-2</v>
      </c>
      <c r="H88" s="25">
        <f>'Financial Statements'!H313/'Financial Statements'!H$346</f>
        <v>2.9221028396009211E-2</v>
      </c>
      <c r="I88" s="25">
        <f>'Financial Statements'!I313/'Financial Statements'!I$346</f>
        <v>2.6722430432840748E-2</v>
      </c>
      <c r="J88" s="25">
        <f>'Financial Statements'!J313/'Financial Statements'!J$346</f>
        <v>2.4531252745707909E-2</v>
      </c>
      <c r="K88" s="25">
        <f>'Financial Statements'!K313/'Financial Statements'!K$346</f>
        <v>2.2146903973001748E-2</v>
      </c>
      <c r="L88" s="25">
        <f>'Financial Statements'!L313/'Financial Statements'!L$346</f>
        <v>1.9706583541673258E-2</v>
      </c>
      <c r="M88" s="25">
        <f>'Financial Statements'!M313/'Financial Statements'!M$346</f>
        <v>1.9706583541673258E-2</v>
      </c>
    </row>
    <row r="89" spans="1:13" ht="12.75" customHeight="1" x14ac:dyDescent="0.2">
      <c r="A89" s="1" t="s">
        <v>181</v>
      </c>
      <c r="B89" s="25">
        <f>'Financial Statements'!B314/'Financial Statements'!B$346</f>
        <v>6.8217999875948482E-2</v>
      </c>
      <c r="C89" s="25">
        <f>'Financial Statements'!C314/'Financial Statements'!C$346</f>
        <v>3.6242769024257729E-2</v>
      </c>
      <c r="D89" s="25">
        <f>'Financial Statements'!D314/'Financial Statements'!D$346</f>
        <v>0</v>
      </c>
      <c r="E89" s="25">
        <f>'Financial Statements'!E314/'Financial Statements'!E$346</f>
        <v>0</v>
      </c>
      <c r="F89" s="25">
        <f>'Financial Statements'!F314/'Financial Statements'!F$346</f>
        <v>0</v>
      </c>
      <c r="G89" s="25">
        <f>'Financial Statements'!G314/'Financial Statements'!G$346</f>
        <v>0</v>
      </c>
      <c r="H89" s="25">
        <f>'Financial Statements'!H314/'Financial Statements'!H$346</f>
        <v>0</v>
      </c>
      <c r="I89" s="25">
        <f>'Financial Statements'!I314/'Financial Statements'!I$346</f>
        <v>0</v>
      </c>
      <c r="J89" s="25">
        <f>'Financial Statements'!J314/'Financial Statements'!J$346</f>
        <v>1.3068105271173434E-2</v>
      </c>
      <c r="K89" s="25">
        <f>'Financial Statements'!K314/'Financial Statements'!K$346</f>
        <v>0</v>
      </c>
      <c r="L89" s="25">
        <f>'Financial Statements'!L314/'Financial Statements'!L$346</f>
        <v>0</v>
      </c>
      <c r="M89" s="25">
        <f>'Financial Statements'!M314/'Financial Statements'!M$346</f>
        <v>0</v>
      </c>
    </row>
    <row r="90" spans="1:13" ht="12.75" customHeight="1" x14ac:dyDescent="0.2">
      <c r="A90" s="1" t="s">
        <v>182</v>
      </c>
      <c r="B90" s="25">
        <f>'Financial Statements'!B315/'Financial Statements'!B$346</f>
        <v>0</v>
      </c>
      <c r="C90" s="25">
        <f>'Financial Statements'!C315/'Financial Statements'!C$346</f>
        <v>4.1907699191409123E-3</v>
      </c>
      <c r="D90" s="25">
        <f>'Financial Statements'!D315/'Financial Statements'!D$346</f>
        <v>1.544535789343553E-2</v>
      </c>
      <c r="E90" s="25">
        <f>'Financial Statements'!E315/'Financial Statements'!E$346</f>
        <v>1.9249291586984744E-2</v>
      </c>
      <c r="F90" s="25">
        <f>'Financial Statements'!F315/'Financial Statements'!F$346</f>
        <v>1.2442293842574616E-2</v>
      </c>
      <c r="G90" s="25">
        <f>'Financial Statements'!G315/'Financial Statements'!G$346</f>
        <v>2.4183666437972432E-2</v>
      </c>
      <c r="H90" s="25">
        <f>'Financial Statements'!H315/'Financial Statements'!H$346</f>
        <v>7.5348097796294269E-3</v>
      </c>
      <c r="I90" s="25">
        <f>'Financial Statements'!I315/'Financial Statements'!I$346</f>
        <v>1.273617880653242E-2</v>
      </c>
      <c r="J90" s="25">
        <f>'Financial Statements'!J315/'Financial Statements'!J$346</f>
        <v>4.3911801516314146E-3</v>
      </c>
      <c r="K90" s="25">
        <f>'Financial Statements'!K315/'Financial Statements'!K$346</f>
        <v>4.8448876661340897E-3</v>
      </c>
      <c r="L90" s="25">
        <f>'Financial Statements'!L315/'Financial Statements'!L$346</f>
        <v>1.2166787978522527E-2</v>
      </c>
      <c r="M90" s="25">
        <f>'Financial Statements'!M315/'Financial Statements'!M$346</f>
        <v>1.2166787978522527E-2</v>
      </c>
    </row>
    <row r="91" spans="1:13" ht="12.75" customHeight="1" x14ac:dyDescent="0.2">
      <c r="A91" s="1" t="s">
        <v>471</v>
      </c>
      <c r="B91" s="25">
        <f>'Financial Statements'!B316/'Financial Statements'!B$346</f>
        <v>1.292203361796266E-4</v>
      </c>
      <c r="C91" s="25">
        <f>'Financial Statements'!C316/'Financial Statements'!C$346</f>
        <v>6.1363418453769698E-3</v>
      </c>
      <c r="D91" s="25">
        <f>'Financial Statements'!D316/'Financial Statements'!D$346</f>
        <v>6.0846519965385088E-3</v>
      </c>
      <c r="E91" s="25">
        <f>'Financial Statements'!E316/'Financial Statements'!E$346</f>
        <v>6.3931657337483773E-3</v>
      </c>
      <c r="F91" s="25">
        <f>'Financial Statements'!F316/'Financial Statements'!F$346</f>
        <v>7.1553975792453643E-3</v>
      </c>
      <c r="G91" s="25">
        <f>'Financial Statements'!G316/'Financial Statements'!G$346</f>
        <v>8.2479724608198832E-3</v>
      </c>
      <c r="H91" s="25">
        <f>'Financial Statements'!H316/'Financial Statements'!H$346</f>
        <v>9.0121697182326491E-3</v>
      </c>
      <c r="I91" s="25">
        <f>'Financial Statements'!I316/'Financial Statements'!I$346</f>
        <v>8.7529370642950074E-3</v>
      </c>
      <c r="J91" s="25">
        <f>'Financial Statements'!J316/'Financial Statements'!J$346</f>
        <v>1.1576392671864231E-2</v>
      </c>
      <c r="K91" s="25">
        <f>'Financial Statements'!K316/'Financial Statements'!K$346</f>
        <v>1.3886847075054564E-2</v>
      </c>
      <c r="L91" s="25">
        <f>'Financial Statements'!L316/'Financial Statements'!L$346</f>
        <v>1.2768072829308945E-2</v>
      </c>
      <c r="M91" s="25">
        <f>'Financial Statements'!M316/'Financial Statements'!M$346</f>
        <v>1.2768072829308945E-2</v>
      </c>
    </row>
    <row r="92" spans="1:13" ht="12.75" customHeight="1" x14ac:dyDescent="0.2">
      <c r="A92" s="1" t="s">
        <v>183</v>
      </c>
      <c r="B92" s="25">
        <f>'Financial Statements'!B317/'Financial Statements'!B$346</f>
        <v>0</v>
      </c>
      <c r="C92" s="25">
        <f>'Financial Statements'!C317/'Financial Statements'!C$346</f>
        <v>0</v>
      </c>
      <c r="D92" s="25">
        <f>'Financial Statements'!D317/'Financial Statements'!D$346</f>
        <v>0</v>
      </c>
      <c r="E92" s="25">
        <f>'Financial Statements'!E317/'Financial Statements'!E$346</f>
        <v>0</v>
      </c>
      <c r="F92" s="25">
        <f>'Financial Statements'!F317/'Financial Statements'!F$346</f>
        <v>0</v>
      </c>
      <c r="G92" s="25">
        <f>'Financial Statements'!G317/'Financial Statements'!G$346</f>
        <v>0</v>
      </c>
      <c r="H92" s="25">
        <f>'Financial Statements'!H317/'Financial Statements'!H$346</f>
        <v>0</v>
      </c>
      <c r="I92" s="25">
        <f>'Financial Statements'!I317/'Financial Statements'!I$346</f>
        <v>0</v>
      </c>
      <c r="J92" s="25">
        <f>'Financial Statements'!J317/'Financial Statements'!J$346</f>
        <v>0</v>
      </c>
      <c r="K92" s="25">
        <f>'Financial Statements'!K317/'Financial Statements'!K$346</f>
        <v>0</v>
      </c>
      <c r="L92" s="25">
        <f>'Financial Statements'!L317/'Financial Statements'!L$346</f>
        <v>0</v>
      </c>
      <c r="M92" s="25">
        <f>'Financial Statements'!M317/'Financial Statements'!M$346</f>
        <v>0</v>
      </c>
    </row>
    <row r="93" spans="1:13" ht="12.75" customHeight="1" x14ac:dyDescent="0.2">
      <c r="A93" s="1" t="s">
        <v>184</v>
      </c>
      <c r="B93" s="25">
        <f>'Financial Statements'!B318/'Financial Statements'!B$346</f>
        <v>0</v>
      </c>
      <c r="C93" s="25">
        <f>'Financial Statements'!C318/'Financial Statements'!C$346</f>
        <v>0</v>
      </c>
      <c r="D93" s="25">
        <f>'Financial Statements'!D318/'Financial Statements'!D$346</f>
        <v>0</v>
      </c>
      <c r="E93" s="25">
        <f>'Financial Statements'!E318/'Financial Statements'!E$346</f>
        <v>0</v>
      </c>
      <c r="F93" s="25">
        <f>'Financial Statements'!F318/'Financial Statements'!F$346</f>
        <v>0</v>
      </c>
      <c r="G93" s="25">
        <f>'Financial Statements'!G318/'Financial Statements'!G$346</f>
        <v>0</v>
      </c>
      <c r="H93" s="25">
        <f>'Financial Statements'!H318/'Financial Statements'!H$346</f>
        <v>0</v>
      </c>
      <c r="I93" s="25">
        <f>'Financial Statements'!I318/'Financial Statements'!I$346</f>
        <v>0</v>
      </c>
      <c r="J93" s="25">
        <f>'Financial Statements'!J318/'Financial Statements'!J$346</f>
        <v>0</v>
      </c>
      <c r="K93" s="25">
        <f>'Financial Statements'!K318/'Financial Statements'!K$346</f>
        <v>0</v>
      </c>
      <c r="L93" s="25">
        <f>'Financial Statements'!L318/'Financial Statements'!L$346</f>
        <v>0</v>
      </c>
      <c r="M93" s="25">
        <f>'Financial Statements'!M318/'Financial Statements'!M$346</f>
        <v>0</v>
      </c>
    </row>
    <row r="94" spans="1:13" ht="12.75" customHeight="1" x14ac:dyDescent="0.2">
      <c r="A94" s="1" t="s">
        <v>185</v>
      </c>
      <c r="B94" s="25">
        <f>'Financial Statements'!B319/'Financial Statements'!B$346</f>
        <v>2.9979117993673373E-3</v>
      </c>
      <c r="C94" s="25">
        <f>'Financial Statements'!C319/'Financial Statements'!C$346</f>
        <v>2.8684202115759534E-3</v>
      </c>
      <c r="D94" s="25">
        <f>'Financial Statements'!D319/'Financial Statements'!D$346</f>
        <v>8.193998022005192E-3</v>
      </c>
      <c r="E94" s="25">
        <f>'Financial Statements'!E319/'Financial Statements'!E$346</f>
        <v>1.9769259760744846E-2</v>
      </c>
      <c r="F94" s="25">
        <f>'Financial Statements'!F319/'Financial Statements'!F$346</f>
        <v>7.0691079980485282E-3</v>
      </c>
      <c r="G94" s="25">
        <f>'Financial Statements'!G319/'Financial Statements'!G$346</f>
        <v>6.5132917289583824E-3</v>
      </c>
      <c r="H94" s="25">
        <f>'Financial Statements'!H319/'Financial Statements'!H$346</f>
        <v>1.1147352264006139E-2</v>
      </c>
      <c r="I94" s="25">
        <f>'Financial Statements'!I319/'Financial Statements'!I$346</f>
        <v>1.0078256985843836E-2</v>
      </c>
      <c r="J94" s="25">
        <f>'Financial Statements'!J319/'Financial Statements'!J$346</f>
        <v>9.7957095690239249E-3</v>
      </c>
      <c r="K94" s="25">
        <f>'Financial Statements'!K319/'Financial Statements'!K$346</f>
        <v>1.1649378112868597E-2</v>
      </c>
      <c r="L94" s="25">
        <f>'Financial Statements'!L319/'Financial Statements'!L$346</f>
        <v>3.3413504646771521E-3</v>
      </c>
      <c r="M94" s="25">
        <f>'Financial Statements'!M319/'Financial Statements'!M$346</f>
        <v>3.3413504646771521E-3</v>
      </c>
    </row>
    <row r="95" spans="1:13" ht="12.75" customHeight="1" x14ac:dyDescent="0.2">
      <c r="A95" s="1" t="s">
        <v>135</v>
      </c>
      <c r="B95" s="25">
        <f>'Financial Statements'!B320/'Financial Statements'!B$346</f>
        <v>0.14197696776727933</v>
      </c>
      <c r="C95" s="25">
        <f>'Financial Statements'!C320/'Financial Statements'!C$346</f>
        <v>9.5932276518904402E-2</v>
      </c>
      <c r="D95" s="25">
        <f>'Financial Statements'!D320/'Financial Statements'!D$346</f>
        <v>0.11166785140314006</v>
      </c>
      <c r="E95" s="25">
        <f>'Financial Statements'!E320/'Financial Statements'!E$346</f>
        <v>0.11403006742137663</v>
      </c>
      <c r="F95" s="25">
        <f>'Financial Statements'!F320/'Financial Statements'!F$346</f>
        <v>0.11947788165715822</v>
      </c>
      <c r="G95" s="25">
        <f>'Financial Statements'!G320/'Financial Statements'!G$346</f>
        <v>0.12440866561407399</v>
      </c>
      <c r="H95" s="25">
        <f>'Financial Statements'!H320/'Financial Statements'!H$346</f>
        <v>0.1248163578554983</v>
      </c>
      <c r="I95" s="25">
        <f>'Financial Statements'!I320/'Financial Statements'!I$346</f>
        <v>0.12355331378526904</v>
      </c>
      <c r="J95" s="25">
        <f>'Financial Statements'!J320/'Financial Statements'!J$346</f>
        <v>0.1124290509076212</v>
      </c>
      <c r="K95" s="25">
        <f>'Financial Statements'!K320/'Financial Statements'!K$346</f>
        <v>0.10428867065264627</v>
      </c>
      <c r="L95" s="25">
        <f>'Financial Statements'!L320/'Financial Statements'!L$346</f>
        <v>9.621216916147135E-2</v>
      </c>
      <c r="M95" s="25">
        <f>'Financial Statements'!M320/'Financial Statements'!M$346</f>
        <v>9.621216916147135E-2</v>
      </c>
    </row>
    <row r="96" spans="1:13" ht="12.75" customHeight="1" x14ac:dyDescent="0.2">
      <c r="A96" s="1" t="s">
        <v>186</v>
      </c>
      <c r="B96" s="25">
        <f>'Financial Statements'!B321/'Financial Statements'!B$346</f>
        <v>0</v>
      </c>
      <c r="C96" s="25">
        <f>'Financial Statements'!C321/'Financial Statements'!C$346</f>
        <v>0</v>
      </c>
      <c r="D96" s="25">
        <f>'Financial Statements'!D321/'Financial Statements'!D$346</f>
        <v>0</v>
      </c>
      <c r="E96" s="25">
        <f>'Financial Statements'!E321/'Financial Statements'!E$346</f>
        <v>0</v>
      </c>
      <c r="F96" s="25">
        <f>'Financial Statements'!F321/'Financial Statements'!F$346</f>
        <v>0</v>
      </c>
      <c r="G96" s="25">
        <f>'Financial Statements'!G321/'Financial Statements'!G$346</f>
        <v>0</v>
      </c>
      <c r="H96" s="25">
        <f>'Financial Statements'!H321/'Financial Statements'!H$346</f>
        <v>0</v>
      </c>
      <c r="I96" s="25">
        <f>'Financial Statements'!I321/'Financial Statements'!I$346</f>
        <v>0</v>
      </c>
      <c r="J96" s="25">
        <f>'Financial Statements'!J321/'Financial Statements'!J$346</f>
        <v>0</v>
      </c>
      <c r="K96" s="25">
        <f>'Financial Statements'!K321/'Financial Statements'!K$346</f>
        <v>0</v>
      </c>
      <c r="L96" s="25">
        <f>'Financial Statements'!L321/'Financial Statements'!L$346</f>
        <v>0</v>
      </c>
      <c r="M96" s="25">
        <f>'Financial Statements'!M321/'Financial Statements'!M$346</f>
        <v>0</v>
      </c>
    </row>
    <row r="97" spans="1:13" ht="12.75" customHeight="1" x14ac:dyDescent="0.2">
      <c r="A97" s="1" t="s">
        <v>136</v>
      </c>
      <c r="B97" s="25">
        <f>'Financial Statements'!B322/'Financial Statements'!B$346</f>
        <v>3.0620050861124321E-2</v>
      </c>
      <c r="C97" s="25">
        <f>'Financial Statements'!C322/'Financial Statements'!C$346</f>
        <v>2.4561347438396882E-2</v>
      </c>
      <c r="D97" s="25">
        <f>'Financial Statements'!D322/'Financial Statements'!D$346</f>
        <v>2.7695790579799727E-2</v>
      </c>
      <c r="E97" s="25">
        <f>'Financial Statements'!E322/'Financial Statements'!E$346</f>
        <v>2.6239199318806795E-2</v>
      </c>
      <c r="F97" s="25">
        <f>'Financial Statements'!F322/'Financial Statements'!F$346</f>
        <v>2.6122511292319232E-2</v>
      </c>
      <c r="G97" s="25">
        <f>'Financial Statements'!G322/'Financial Statements'!G$346</f>
        <v>2.670329769098715E-2</v>
      </c>
      <c r="H97" s="25">
        <f>'Financial Statements'!H322/'Financial Statements'!H$346</f>
        <v>2.6803530314658479E-2</v>
      </c>
      <c r="I97" s="25">
        <f>'Financial Statements'!I322/'Financial Statements'!I$346</f>
        <v>2.7037982795114279E-2</v>
      </c>
      <c r="J97" s="25">
        <f>'Financial Statements'!J322/'Financial Statements'!J$346</f>
        <v>2.5882385100056037E-2</v>
      </c>
      <c r="K97" s="25">
        <f>'Financial Statements'!K322/'Financial Statements'!K$346</f>
        <v>2.6532989339308533E-2</v>
      </c>
      <c r="L97" s="25">
        <f>'Financial Statements'!L322/'Financial Statements'!L$346</f>
        <v>2.2488844583689358E-2</v>
      </c>
      <c r="M97" s="25">
        <f>'Financial Statements'!M322/'Financial Statements'!M$346</f>
        <v>2.2488844583689358E-2</v>
      </c>
    </row>
    <row r="98" spans="1:13" ht="12.75" customHeight="1" x14ac:dyDescent="0.2">
      <c r="A98" s="5" t="s">
        <v>97</v>
      </c>
      <c r="B98" s="26">
        <f>'Financial Statements'!B323/'Financial Statements'!B$346</f>
        <v>0.30680525978456386</v>
      </c>
      <c r="C98" s="26">
        <f>'Financial Statements'!C323/'Financial Statements'!C$346</f>
        <v>0.22270206781936144</v>
      </c>
      <c r="D98" s="26">
        <f>'Financial Statements'!D323/'Financial Statements'!D$346</f>
        <v>0.22595500061812338</v>
      </c>
      <c r="E98" s="26">
        <f>'Financial Statements'!E323/'Financial Statements'!E$346</f>
        <v>0.24225631290219016</v>
      </c>
      <c r="F98" s="26">
        <f>'Financial Statements'!F323/'Financial Statements'!F$346</f>
        <v>0.2399846006285864</v>
      </c>
      <c r="G98" s="26">
        <f>'Financial Statements'!G323/'Financial Statements'!G$346</f>
        <v>0.26561587157969796</v>
      </c>
      <c r="H98" s="26">
        <f>'Financial Statements'!H323/'Financial Statements'!H$346</f>
        <v>0.26061287139568029</v>
      </c>
      <c r="I98" s="26">
        <f>'Financial Statements'!I323/'Financial Statements'!I$346</f>
        <v>0.25280356137250715</v>
      </c>
      <c r="J98" s="26">
        <f>'Financial Statements'!J323/'Financial Statements'!J$346</f>
        <v>0.24462134125268714</v>
      </c>
      <c r="K98" s="26">
        <f>'Financial Statements'!K323/'Financial Statements'!K$346</f>
        <v>0.22813782808807065</v>
      </c>
      <c r="L98" s="26">
        <f>'Financial Statements'!L323/'Financial Statements'!L$346</f>
        <v>0.22261384853951074</v>
      </c>
      <c r="M98" s="26">
        <f>'Financial Statements'!M323/'Financial Statements'!M$346</f>
        <v>0.22261384853951074</v>
      </c>
    </row>
    <row r="99" spans="1:13" ht="12.75" customHeight="1" x14ac:dyDescent="0.2">
      <c r="A99" s="1" t="s">
        <v>187</v>
      </c>
      <c r="B99" s="25">
        <f>'Financial Statements'!B324/'Financial Statements'!B$346</f>
        <v>0.20963156697748464</v>
      </c>
      <c r="C99" s="25">
        <f>'Financial Statements'!C324/'Financial Statements'!C$346</f>
        <v>0.30391271692927224</v>
      </c>
      <c r="D99" s="25">
        <f>'Financial Statements'!D324/'Financial Statements'!D$346</f>
        <v>0.27909043145011747</v>
      </c>
      <c r="E99" s="25">
        <f>'Financial Statements'!E324/'Financial Statements'!E$346</f>
        <v>0.23263166710869779</v>
      </c>
      <c r="F99" s="25">
        <f>'Financial Statements'!F324/'Financial Statements'!F$346</f>
        <v>0.19772925648250478</v>
      </c>
      <c r="G99" s="25">
        <f>'Financial Statements'!G324/'Financial Statements'!G$346</f>
        <v>0.15002142135964217</v>
      </c>
      <c r="H99" s="25">
        <f>'Financial Statements'!H324/'Financial Statements'!H$346</f>
        <v>0.1289113035851332</v>
      </c>
      <c r="I99" s="25">
        <f>'Financial Statements'!I324/'Financial Statements'!I$346</f>
        <v>0.10192341301435034</v>
      </c>
      <c r="J99" s="25">
        <f>'Financial Statements'!J324/'Financial Statements'!J$346</f>
        <v>8.3348465234700672E-2</v>
      </c>
      <c r="K99" s="25">
        <f>'Financial Statements'!K324/'Financial Statements'!K$346</f>
        <v>6.4865598389668544E-2</v>
      </c>
      <c r="L99" s="25">
        <f>'Financial Statements'!L324/'Financial Statements'!L$346</f>
        <v>4.0965167674082516E-2</v>
      </c>
      <c r="M99" s="25">
        <f>'Financial Statements'!M324/'Financial Statements'!M$346</f>
        <v>4.0965167674082516E-2</v>
      </c>
    </row>
    <row r="100" spans="1:13" ht="12.75" customHeight="1" x14ac:dyDescent="0.2">
      <c r="A100" s="1" t="s">
        <v>472</v>
      </c>
      <c r="B100" s="25">
        <f>'Financial Statements'!B325/'Financial Statements'!B$346</f>
        <v>3.9334670333078334E-3</v>
      </c>
      <c r="C100" s="25">
        <f>'Financial Statements'!C325/'Financial Statements'!C$346</f>
        <v>3.1149125890888172E-2</v>
      </c>
      <c r="D100" s="25">
        <f>'Financial Statements'!D325/'Financial Statements'!D$346</f>
        <v>3.7446686858696995E-2</v>
      </c>
      <c r="E100" s="25">
        <f>'Financial Statements'!E325/'Financial Statements'!E$346</f>
        <v>4.3429556526473012E-2</v>
      </c>
      <c r="F100" s="25">
        <f>'Financial Statements'!F325/'Financial Statements'!F$346</f>
        <v>5.5182187175376936E-2</v>
      </c>
      <c r="G100" s="25">
        <f>'Financial Statements'!G325/'Financial Statements'!G$346</f>
        <v>6.4051363327231492E-2</v>
      </c>
      <c r="H100" s="25">
        <f>'Financial Statements'!H325/'Financial Statements'!H$346</f>
        <v>6.943043525929174E-2</v>
      </c>
      <c r="I100" s="25">
        <f>'Financial Statements'!I325/'Financial Statements'!I$346</f>
        <v>6.9416665048449427E-2</v>
      </c>
      <c r="J100" s="25">
        <f>'Financial Statements'!J325/'Financial Statements'!J$346</f>
        <v>7.8672219586342629E-2</v>
      </c>
      <c r="K100" s="25">
        <f>'Financial Statements'!K325/'Financial Statements'!K$346</f>
        <v>9.7636037305150372E-2</v>
      </c>
      <c r="L100" s="25">
        <f>'Financial Statements'!L325/'Financial Statements'!L$346</f>
        <v>0.10395371161534647</v>
      </c>
      <c r="M100" s="25">
        <f>'Financial Statements'!M325/'Financial Statements'!M$346</f>
        <v>0.10395371161534647</v>
      </c>
    </row>
    <row r="101" spans="1:13" ht="12.75" customHeight="1" x14ac:dyDescent="0.2">
      <c r="A101" s="1" t="s">
        <v>189</v>
      </c>
      <c r="B101" s="25">
        <f>'Financial Statements'!B326/'Financial Statements'!B$346</f>
        <v>0</v>
      </c>
      <c r="C101" s="25">
        <f>'Financial Statements'!C326/'Financial Statements'!C$346</f>
        <v>0</v>
      </c>
      <c r="D101" s="25">
        <f>'Financial Statements'!D326/'Financial Statements'!D$346</f>
        <v>0</v>
      </c>
      <c r="E101" s="25">
        <f>'Financial Statements'!E326/'Financial Statements'!E$346</f>
        <v>0</v>
      </c>
      <c r="F101" s="25">
        <f>'Financial Statements'!F326/'Financial Statements'!F$346</f>
        <v>0</v>
      </c>
      <c r="G101" s="25">
        <f>'Financial Statements'!G326/'Financial Statements'!G$346</f>
        <v>0</v>
      </c>
      <c r="H101" s="25">
        <f>'Financial Statements'!H326/'Financial Statements'!H$346</f>
        <v>0</v>
      </c>
      <c r="I101" s="25">
        <f>'Financial Statements'!I326/'Financial Statements'!I$346</f>
        <v>0</v>
      </c>
      <c r="J101" s="25">
        <f>'Financial Statements'!J326/'Financial Statements'!J$346</f>
        <v>0</v>
      </c>
      <c r="K101" s="25">
        <f>'Financial Statements'!K326/'Financial Statements'!K$346</f>
        <v>0</v>
      </c>
      <c r="L101" s="25">
        <f>'Financial Statements'!L326/'Financial Statements'!L$346</f>
        <v>0</v>
      </c>
      <c r="M101" s="25">
        <f>'Financial Statements'!M326/'Financial Statements'!M$346</f>
        <v>0</v>
      </c>
    </row>
    <row r="102" spans="1:13" ht="12.75" customHeight="1" x14ac:dyDescent="0.2">
      <c r="A102" s="1" t="s">
        <v>190</v>
      </c>
      <c r="B102" s="25">
        <f>'Financial Statements'!B327/'Financial Statements'!B$346</f>
        <v>0</v>
      </c>
      <c r="C102" s="25">
        <f>'Financial Statements'!C327/'Financial Statements'!C$346</f>
        <v>0</v>
      </c>
      <c r="D102" s="25">
        <f>'Financial Statements'!D327/'Financial Statements'!D$346</f>
        <v>0</v>
      </c>
      <c r="E102" s="25">
        <f>'Financial Statements'!E327/'Financial Statements'!E$346</f>
        <v>0</v>
      </c>
      <c r="F102" s="25">
        <f>'Financial Statements'!F327/'Financial Statements'!F$346</f>
        <v>0</v>
      </c>
      <c r="G102" s="25">
        <f>'Financial Statements'!G327/'Financial Statements'!G$346</f>
        <v>0</v>
      </c>
      <c r="H102" s="25">
        <f>'Financial Statements'!H327/'Financial Statements'!H$346</f>
        <v>0</v>
      </c>
      <c r="I102" s="25">
        <f>'Financial Statements'!I327/'Financial Statements'!I$346</f>
        <v>0</v>
      </c>
      <c r="J102" s="25">
        <f>'Financial Statements'!J327/'Financial Statements'!J$346</f>
        <v>0</v>
      </c>
      <c r="K102" s="25">
        <f>'Financial Statements'!K327/'Financial Statements'!K$346</f>
        <v>0</v>
      </c>
      <c r="L102" s="25">
        <f>'Financial Statements'!L327/'Financial Statements'!L$346</f>
        <v>0</v>
      </c>
      <c r="M102" s="25">
        <f>'Financial Statements'!M327/'Financial Statements'!M$346</f>
        <v>0</v>
      </c>
    </row>
    <row r="103" spans="1:13" ht="12.75" customHeight="1" x14ac:dyDescent="0.2">
      <c r="A103" s="1" t="s">
        <v>191</v>
      </c>
      <c r="B103" s="25">
        <f>'Financial Statements'!B328/'Financial Statements'!B$346</f>
        <v>3.3292327413319001E-2</v>
      </c>
      <c r="C103" s="25">
        <f>'Financial Statements'!C328/'Financial Statements'!C$346</f>
        <v>1.0558822589408419E-2</v>
      </c>
      <c r="D103" s="25">
        <f>'Financial Statements'!D328/'Financial Statements'!D$346</f>
        <v>1.4738379280504388E-2</v>
      </c>
      <c r="E103" s="25">
        <f>'Financial Statements'!E328/'Financial Statements'!E$346</f>
        <v>1.5808428370021915E-2</v>
      </c>
      <c r="F103" s="25">
        <f>'Financial Statements'!F328/'Financial Statements'!F$346</f>
        <v>1.055387954638231E-2</v>
      </c>
      <c r="G103" s="25">
        <f>'Financial Statements'!G328/'Financial Statements'!G$346</f>
        <v>7.8375212341099953E-3</v>
      </c>
      <c r="H103" s="25">
        <f>'Financial Statements'!H328/'Financial Statements'!H$346</f>
        <v>7.866462010744436E-3</v>
      </c>
      <c r="I103" s="25">
        <f>'Financial Statements'!I328/'Financial Statements'!I$346</f>
        <v>7.0683729149270827E-3</v>
      </c>
      <c r="J103" s="25">
        <f>'Financial Statements'!J328/'Financial Statements'!J$346</f>
        <v>5.0804138526211384E-3</v>
      </c>
      <c r="K103" s="25">
        <f>'Financial Statements'!K328/'Financial Statements'!K$346</f>
        <v>4.3780078610281374E-3</v>
      </c>
      <c r="L103" s="25">
        <f>'Financial Statements'!L328/'Financial Statements'!L$346</f>
        <v>3.6222137831365972E-3</v>
      </c>
      <c r="M103" s="25">
        <f>'Financial Statements'!M328/'Financial Statements'!M$346</f>
        <v>3.6222137831365972E-3</v>
      </c>
    </row>
    <row r="104" spans="1:13" ht="12.75" customHeight="1" x14ac:dyDescent="0.2">
      <c r="A104" s="1" t="s">
        <v>192</v>
      </c>
      <c r="B104" s="25">
        <f>'Financial Statements'!B329/'Financial Statements'!B$346</f>
        <v>0</v>
      </c>
      <c r="C104" s="25">
        <f>'Financial Statements'!C329/'Financial Statements'!C$346</f>
        <v>0</v>
      </c>
      <c r="D104" s="25">
        <f>'Financial Statements'!D329/'Financial Statements'!D$346</f>
        <v>0</v>
      </c>
      <c r="E104" s="25">
        <f>'Financial Statements'!E329/'Financial Statements'!E$346</f>
        <v>0</v>
      </c>
      <c r="F104" s="25">
        <f>'Financial Statements'!F329/'Financial Statements'!F$346</f>
        <v>0</v>
      </c>
      <c r="G104" s="25">
        <f>'Financial Statements'!G329/'Financial Statements'!G$346</f>
        <v>0</v>
      </c>
      <c r="H104" s="25">
        <f>'Financial Statements'!H329/'Financial Statements'!H$346</f>
        <v>0</v>
      </c>
      <c r="I104" s="25">
        <f>'Financial Statements'!I329/'Financial Statements'!I$346</f>
        <v>0</v>
      </c>
      <c r="J104" s="25">
        <f>'Financial Statements'!J329/'Financial Statements'!J$346</f>
        <v>0</v>
      </c>
      <c r="K104" s="25">
        <f>'Financial Statements'!K329/'Financial Statements'!K$346</f>
        <v>0</v>
      </c>
      <c r="L104" s="25">
        <f>'Financial Statements'!L329/'Financial Statements'!L$346</f>
        <v>0</v>
      </c>
      <c r="M104" s="25">
        <f>'Financial Statements'!M329/'Financial Statements'!M$346</f>
        <v>0</v>
      </c>
    </row>
    <row r="105" spans="1:13" ht="12.75" customHeight="1" x14ac:dyDescent="0.2">
      <c r="A105" s="1" t="s">
        <v>137</v>
      </c>
      <c r="B105" s="25">
        <f>'Financial Statements'!B330/'Financial Statements'!B$346</f>
        <v>7.6291686480451544E-3</v>
      </c>
      <c r="C105" s="25">
        <f>'Financial Statements'!C330/'Financial Statements'!C$346</f>
        <v>2.2907411550385118E-2</v>
      </c>
      <c r="D105" s="25">
        <f>'Financial Statements'!D330/'Financial Statements'!D$346</f>
        <v>2.0900296699221167E-3</v>
      </c>
      <c r="E105" s="25">
        <f>'Financial Statements'!E330/'Financial Statements'!E$346</f>
        <v>8.1310459386646939E-4</v>
      </c>
      <c r="F105" s="25">
        <f>'Financial Statements'!F330/'Financial Statements'!F$346</f>
        <v>6.7704132939056319E-4</v>
      </c>
      <c r="G105" s="25">
        <f>'Financial Statements'!G330/'Financial Statements'!G$346</f>
        <v>5.9320688239823357E-4</v>
      </c>
      <c r="H105" s="25">
        <f>'Financial Statements'!H330/'Financial Statements'!H$346</f>
        <v>6.3041333187150534E-4</v>
      </c>
      <c r="I105" s="25">
        <f>'Financial Statements'!I330/'Financial Statements'!I$346</f>
        <v>1.0510320989572208E-3</v>
      </c>
      <c r="J105" s="25">
        <f>'Financial Statements'!J330/'Financial Statements'!J$346</f>
        <v>5.1116539070569329E-3</v>
      </c>
      <c r="K105" s="25">
        <f>'Financial Statements'!K330/'Financial Statements'!K$346</f>
        <v>4.5799454929943799E-3</v>
      </c>
      <c r="L105" s="25">
        <f>'Financial Statements'!L330/'Financial Statements'!L$346</f>
        <v>4.0270261717142951E-3</v>
      </c>
      <c r="M105" s="25">
        <f>'Financial Statements'!M330/'Financial Statements'!M$346</f>
        <v>4.0270261717142951E-3</v>
      </c>
    </row>
    <row r="106" spans="1:13" ht="12.75" customHeight="1" x14ac:dyDescent="0.2">
      <c r="A106" s="1" t="s">
        <v>138</v>
      </c>
      <c r="B106" s="25">
        <f>'Financial Statements'!B331/'Financial Statements'!B$346</f>
        <v>6.6569148386296448E-2</v>
      </c>
      <c r="C106" s="25">
        <f>'Financial Statements'!C331/'Financial Statements'!C$346</f>
        <v>5.8363162772859474E-2</v>
      </c>
      <c r="D106" s="25">
        <f>'Financial Statements'!D331/'Financial Statements'!D$346</f>
        <v>0.12111741253554209</v>
      </c>
      <c r="E106" s="25">
        <f>'Financial Statements'!E331/'Financial Statements'!E$346</f>
        <v>0.10795795586203046</v>
      </c>
      <c r="F106" s="25">
        <f>'Financial Statements'!F331/'Financial Statements'!F$346</f>
        <v>0.10324216507196883</v>
      </c>
      <c r="G106" s="25">
        <f>'Financial Statements'!G331/'Financial Statements'!G$346</f>
        <v>8.648536906156469E-2</v>
      </c>
      <c r="H106" s="25">
        <f>'Financial Statements'!H331/'Financial Statements'!H$346</f>
        <v>7.6068961736651688E-2</v>
      </c>
      <c r="I106" s="25">
        <f>'Financial Statements'!I331/'Financial Statements'!I$346</f>
        <v>6.7166533972852785E-2</v>
      </c>
      <c r="J106" s="25">
        <f>'Financial Statements'!J331/'Financial Statements'!J$346</f>
        <v>5.8963650244160552E-2</v>
      </c>
      <c r="K106" s="25">
        <f>'Financial Statements'!K331/'Financial Statements'!K$346</f>
        <v>4.551189574202387E-2</v>
      </c>
      <c r="L106" s="25">
        <f>'Financial Statements'!L331/'Financial Statements'!L$346</f>
        <v>4.148338027574712E-2</v>
      </c>
      <c r="M106" s="25">
        <f>'Financial Statements'!M331/'Financial Statements'!M$346</f>
        <v>4.148338027574712E-2</v>
      </c>
    </row>
    <row r="107" spans="1:13" ht="12.75" customHeight="1" thickBot="1" x14ac:dyDescent="0.25">
      <c r="A107" s="5" t="s">
        <v>510</v>
      </c>
      <c r="B107" s="29">
        <f>'Financial Statements'!B332/'Financial Statements'!B$346</f>
        <v>0.62786093824301692</v>
      </c>
      <c r="C107" s="29">
        <f>'Financial Statements'!C332/'Financial Statements'!C$346</f>
        <v>0.64959330755217493</v>
      </c>
      <c r="D107" s="29">
        <f>'Financial Statements'!D332/'Financial Statements'!D$346</f>
        <v>0.68043794041290639</v>
      </c>
      <c r="E107" s="29">
        <f>'Financial Statements'!E332/'Financial Statements'!E$346</f>
        <v>0.64289702536327975</v>
      </c>
      <c r="F107" s="29">
        <f>'Financial Statements'!F332/'Financial Statements'!F$346</f>
        <v>0.6073691302342098</v>
      </c>
      <c r="G107" s="29">
        <f>'Financial Statements'!G332/'Financial Statements'!G$346</f>
        <v>0.57460475344464446</v>
      </c>
      <c r="H107" s="29">
        <f>'Financial Statements'!H332/'Financial Statements'!H$346</f>
        <v>0.54352044731937288</v>
      </c>
      <c r="I107" s="29">
        <f>'Financial Statements'!I332/'Financial Statements'!I$346</f>
        <v>0.499429578422044</v>
      </c>
      <c r="J107" s="29">
        <f>'Financial Statements'!J332/'Financial Statements'!J$346</f>
        <v>0.47579774407756903</v>
      </c>
      <c r="K107" s="29">
        <f>'Financial Statements'!K332/'Financial Statements'!K$346</f>
        <v>0.44510931287893596</v>
      </c>
      <c r="L107" s="29">
        <f>'Financial Statements'!L332/'Financial Statements'!L$346</f>
        <v>0.41666534805953775</v>
      </c>
      <c r="M107" s="29">
        <f>'Financial Statements'!M332/'Financial Statements'!M$346</f>
        <v>0.41666534805953775</v>
      </c>
    </row>
    <row r="108" spans="1:13" ht="12.75" customHeight="1" thickTop="1" x14ac:dyDescent="0.2">
      <c r="A108" s="1" t="s">
        <v>193</v>
      </c>
      <c r="B108" s="25">
        <f>'Financial Statements'!B333/'Financial Statements'!B$346</f>
        <v>0</v>
      </c>
      <c r="C108" s="25">
        <f>'Financial Statements'!C333/'Financial Statements'!C$346</f>
        <v>0</v>
      </c>
      <c r="D108" s="25">
        <f>'Financial Statements'!D333/'Financial Statements'!D$346</f>
        <v>0</v>
      </c>
      <c r="E108" s="25">
        <f>'Financial Statements'!E333/'Financial Statements'!E$346</f>
        <v>0</v>
      </c>
      <c r="F108" s="25">
        <f>'Financial Statements'!F333/'Financial Statements'!F$346</f>
        <v>0</v>
      </c>
      <c r="G108" s="25">
        <f>'Financial Statements'!G333/'Financial Statements'!G$346</f>
        <v>0</v>
      </c>
      <c r="H108" s="25">
        <f>'Financial Statements'!H333/'Financial Statements'!H$346</f>
        <v>0</v>
      </c>
      <c r="I108" s="25">
        <f>'Financial Statements'!I333/'Financial Statements'!I$346</f>
        <v>0</v>
      </c>
      <c r="J108" s="25">
        <f>'Financial Statements'!J333/'Financial Statements'!J$346</f>
        <v>0</v>
      </c>
      <c r="K108" s="25">
        <f>'Financial Statements'!K333/'Financial Statements'!K$346</f>
        <v>0</v>
      </c>
      <c r="L108" s="25">
        <f>'Financial Statements'!L333/'Financial Statements'!L$346</f>
        <v>0</v>
      </c>
      <c r="M108" s="25">
        <f>'Financial Statements'!M333/'Financial Statements'!M$346</f>
        <v>0</v>
      </c>
    </row>
    <row r="109" spans="1:13" ht="12.75" customHeight="1" x14ac:dyDescent="0.2">
      <c r="A109" s="1" t="s">
        <v>194</v>
      </c>
      <c r="B109" s="25">
        <f>'Financial Statements'!B334/'Financial Statements'!B$346</f>
        <v>0</v>
      </c>
      <c r="C109" s="25">
        <f>'Financial Statements'!C334/'Financial Statements'!C$346</f>
        <v>0</v>
      </c>
      <c r="D109" s="25">
        <f>'Financial Statements'!D334/'Financial Statements'!D$346</f>
        <v>0</v>
      </c>
      <c r="E109" s="25">
        <f>'Financial Statements'!E334/'Financial Statements'!E$346</f>
        <v>0</v>
      </c>
      <c r="F109" s="25">
        <f>'Financial Statements'!F334/'Financial Statements'!F$346</f>
        <v>0</v>
      </c>
      <c r="G109" s="25">
        <f>'Financial Statements'!G334/'Financial Statements'!G$346</f>
        <v>0</v>
      </c>
      <c r="H109" s="25">
        <f>'Financial Statements'!H334/'Financial Statements'!H$346</f>
        <v>0</v>
      </c>
      <c r="I109" s="25">
        <f>'Financial Statements'!I334/'Financial Statements'!I$346</f>
        <v>0</v>
      </c>
      <c r="J109" s="25">
        <f>'Financial Statements'!J334/'Financial Statements'!J$346</f>
        <v>0</v>
      </c>
      <c r="K109" s="25">
        <f>'Financial Statements'!K334/'Financial Statements'!K$346</f>
        <v>0</v>
      </c>
      <c r="L109" s="25">
        <f>'Financial Statements'!L334/'Financial Statements'!L$346</f>
        <v>0</v>
      </c>
      <c r="M109" s="25">
        <f>'Financial Statements'!M334/'Financial Statements'!M$346</f>
        <v>0</v>
      </c>
    </row>
    <row r="110" spans="1:13" ht="12.75" customHeight="1" x14ac:dyDescent="0.2">
      <c r="A110" s="1" t="s">
        <v>195</v>
      </c>
      <c r="B110" s="25">
        <f>'Financial Statements'!B335/'Financial Statements'!B$346</f>
        <v>0</v>
      </c>
      <c r="C110" s="25">
        <f>'Financial Statements'!C335/'Financial Statements'!C$346</f>
        <v>0</v>
      </c>
      <c r="D110" s="25">
        <f>'Financial Statements'!D335/'Financial Statements'!D$346</f>
        <v>0</v>
      </c>
      <c r="E110" s="25">
        <f>'Financial Statements'!E335/'Financial Statements'!E$346</f>
        <v>0</v>
      </c>
      <c r="F110" s="25">
        <f>'Financial Statements'!F335/'Financial Statements'!F$346</f>
        <v>0</v>
      </c>
      <c r="G110" s="25">
        <f>'Financial Statements'!G335/'Financial Statements'!G$346</f>
        <v>0</v>
      </c>
      <c r="H110" s="25">
        <f>'Financial Statements'!H335/'Financial Statements'!H$346</f>
        <v>0</v>
      </c>
      <c r="I110" s="25">
        <f>'Financial Statements'!I335/'Financial Statements'!I$346</f>
        <v>0</v>
      </c>
      <c r="J110" s="25">
        <f>'Financial Statements'!J335/'Financial Statements'!J$346</f>
        <v>0</v>
      </c>
      <c r="K110" s="25">
        <f>'Financial Statements'!K335/'Financial Statements'!K$346</f>
        <v>0</v>
      </c>
      <c r="L110" s="25">
        <f>'Financial Statements'!L335/'Financial Statements'!L$346</f>
        <v>0</v>
      </c>
      <c r="M110" s="25">
        <f>'Financial Statements'!M335/'Financial Statements'!M$346</f>
        <v>0</v>
      </c>
    </row>
    <row r="111" spans="1:13" ht="12.75" customHeight="1" x14ac:dyDescent="0.2">
      <c r="A111" s="1" t="s">
        <v>196</v>
      </c>
      <c r="B111" s="25">
        <f>'Financial Statements'!B336/'Financial Statements'!B$346</f>
        <v>0</v>
      </c>
      <c r="C111" s="25">
        <f>'Financial Statements'!C336/'Financial Statements'!C$346</f>
        <v>0</v>
      </c>
      <c r="D111" s="25">
        <f>'Financial Statements'!D336/'Financial Statements'!D$346</f>
        <v>0</v>
      </c>
      <c r="E111" s="25">
        <f>'Financial Statements'!E336/'Financial Statements'!E$346</f>
        <v>0</v>
      </c>
      <c r="F111" s="25">
        <f>'Financial Statements'!F336/'Financial Statements'!F$346</f>
        <v>0</v>
      </c>
      <c r="G111" s="25">
        <f>'Financial Statements'!G336/'Financial Statements'!G$346</f>
        <v>0</v>
      </c>
      <c r="H111" s="25">
        <f>'Financial Statements'!H336/'Financial Statements'!H$346</f>
        <v>0</v>
      </c>
      <c r="I111" s="25">
        <f>'Financial Statements'!I336/'Financial Statements'!I$346</f>
        <v>0</v>
      </c>
      <c r="J111" s="25">
        <f>'Financial Statements'!J336/'Financial Statements'!J$346</f>
        <v>0</v>
      </c>
      <c r="K111" s="25">
        <f>'Financial Statements'!K336/'Financial Statements'!K$346</f>
        <v>0</v>
      </c>
      <c r="L111" s="25">
        <f>'Financial Statements'!L336/'Financial Statements'!L$346</f>
        <v>0</v>
      </c>
      <c r="M111" s="25">
        <f>'Financial Statements'!M336/'Financial Statements'!M$346</f>
        <v>0</v>
      </c>
    </row>
    <row r="112" spans="1:13" ht="12.75" customHeight="1" x14ac:dyDescent="0.2">
      <c r="A112" s="5" t="s">
        <v>511</v>
      </c>
      <c r="B112" s="30">
        <f>'Financial Statements'!B337/'Financial Statements'!B$346</f>
        <v>0</v>
      </c>
      <c r="C112" s="30">
        <f>'Financial Statements'!C337/'Financial Statements'!C$346</f>
        <v>0</v>
      </c>
      <c r="D112" s="30">
        <f>'Financial Statements'!D337/'Financial Statements'!D$346</f>
        <v>0</v>
      </c>
      <c r="E112" s="30">
        <f>'Financial Statements'!E337/'Financial Statements'!E$346</f>
        <v>0</v>
      </c>
      <c r="F112" s="30">
        <f>'Financial Statements'!F337/'Financial Statements'!F$346</f>
        <v>0</v>
      </c>
      <c r="G112" s="30">
        <f>'Financial Statements'!G337/'Financial Statements'!G$346</f>
        <v>0</v>
      </c>
      <c r="H112" s="30">
        <f>'Financial Statements'!H337/'Financial Statements'!H$346</f>
        <v>0</v>
      </c>
      <c r="I112" s="30">
        <f>'Financial Statements'!I337/'Financial Statements'!I$346</f>
        <v>0</v>
      </c>
      <c r="J112" s="30">
        <f>'Financial Statements'!J337/'Financial Statements'!J$346</f>
        <v>0</v>
      </c>
      <c r="K112" s="30">
        <f>'Financial Statements'!K337/'Financial Statements'!K$346</f>
        <v>0</v>
      </c>
      <c r="L112" s="30">
        <f>'Financial Statements'!L337/'Financial Statements'!L$346</f>
        <v>0</v>
      </c>
      <c r="M112" s="30">
        <f>'Financial Statements'!M337/'Financial Statements'!M$346</f>
        <v>0</v>
      </c>
    </row>
    <row r="113" spans="1:13" ht="12.75" customHeight="1" x14ac:dyDescent="0.2">
      <c r="A113" s="1" t="s">
        <v>47</v>
      </c>
      <c r="B113" s="25">
        <f>'Financial Statements'!B338/'Financial Statements'!B$346</f>
        <v>0.35239936320218329</v>
      </c>
      <c r="C113" s="25">
        <f>'Financial Statements'!C338/'Financial Statements'!C$346</f>
        <v>0.27691441081530249</v>
      </c>
      <c r="D113" s="25">
        <f>'Financial Statements'!D338/'Financial Statements'!D$346</f>
        <v>0.27515375819013477</v>
      </c>
      <c r="E113" s="25">
        <f>'Financial Statements'!E338/'Financial Statements'!E$346</f>
        <v>0.2740127584137132</v>
      </c>
      <c r="F113" s="25">
        <f>'Financial Statements'!F338/'Financial Statements'!F$346</f>
        <v>0.26733839786798358</v>
      </c>
      <c r="G113" s="25">
        <f>'Financial Statements'!G338/'Financial Statements'!G$346</f>
        <v>0.24900008688383632</v>
      </c>
      <c r="H113" s="25">
        <f>'Financial Statements'!H338/'Financial Statements'!H$346</f>
        <v>0.23829349851989914</v>
      </c>
      <c r="I113" s="25">
        <f>'Financial Statements'!I338/'Financial Statements'!I$346</f>
        <v>0.22748412528885179</v>
      </c>
      <c r="J113" s="25">
        <f>'Financial Statements'!J338/'Financial Statements'!J$346</f>
        <v>0.19705250086398277</v>
      </c>
      <c r="K113" s="25">
        <f>'Financial Statements'!K338/'Financial Statements'!K$346</f>
        <v>0.1762430876748578</v>
      </c>
      <c r="L113" s="25">
        <f>'Financial Statements'!L338/'Financial Statements'!L$346</f>
        <v>0.15481238857769761</v>
      </c>
      <c r="M113" s="25">
        <f>'Financial Statements'!M338/'Financial Statements'!M$346</f>
        <v>0.15481238857769761</v>
      </c>
    </row>
    <row r="114" spans="1:13" ht="12.75" customHeight="1" x14ac:dyDescent="0.2">
      <c r="A114" s="1" t="s">
        <v>139</v>
      </c>
      <c r="B114" s="25">
        <f>'Financial Statements'!B339/'Financial Statements'!B$346</f>
        <v>0</v>
      </c>
      <c r="C114" s="25">
        <f>'Financial Statements'!C339/'Financial Statements'!C$346</f>
        <v>0</v>
      </c>
      <c r="D114" s="25">
        <f>'Financial Statements'!D339/'Financial Statements'!D$346</f>
        <v>0</v>
      </c>
      <c r="E114" s="25">
        <f>'Financial Statements'!E339/'Financial Statements'!E$346</f>
        <v>0</v>
      </c>
      <c r="F114" s="25">
        <f>'Financial Statements'!F339/'Financial Statements'!F$346</f>
        <v>0</v>
      </c>
      <c r="G114" s="25">
        <f>'Financial Statements'!G339/'Financial Statements'!G$346</f>
        <v>0</v>
      </c>
      <c r="H114" s="25">
        <f>'Financial Statements'!H339/'Financial Statements'!H$346</f>
        <v>0</v>
      </c>
      <c r="I114" s="25">
        <f>'Financial Statements'!I339/'Financial Statements'!I$346</f>
        <v>0</v>
      </c>
      <c r="J114" s="25">
        <f>'Financial Statements'!J339/'Financial Statements'!J$346</f>
        <v>0</v>
      </c>
      <c r="K114" s="25">
        <f>'Financial Statements'!K339/'Financial Statements'!K$346</f>
        <v>0</v>
      </c>
      <c r="L114" s="25">
        <f>'Financial Statements'!L339/'Financial Statements'!L$346</f>
        <v>0</v>
      </c>
      <c r="M114" s="25">
        <f>'Financial Statements'!M339/'Financial Statements'!M$346</f>
        <v>0</v>
      </c>
    </row>
    <row r="115" spans="1:13" ht="12.75" customHeight="1" x14ac:dyDescent="0.2">
      <c r="A115" s="1" t="s">
        <v>98</v>
      </c>
      <c r="B115" s="25">
        <f>'Financial Statements'!B340/'Financial Statements'!B$346</f>
        <v>1.1795232286476316E-2</v>
      </c>
      <c r="C115" s="25">
        <f>'Financial Statements'!C340/'Financial Statements'!C$346</f>
        <v>7.0987407715171466E-2</v>
      </c>
      <c r="D115" s="25">
        <f>'Financial Statements'!D340/'Financial Statements'!D$346</f>
        <v>5.2857275312152306E-2</v>
      </c>
      <c r="E115" s="25">
        <f>'Financial Statements'!E340/'Financial Statements'!E$346</f>
        <v>8.4276720780580405E-2</v>
      </c>
      <c r="F115" s="25">
        <f>'Financial Statements'!F340/'Financial Statements'!F$346</f>
        <v>0.11471867937114809</v>
      </c>
      <c r="G115" s="25">
        <f>'Financial Statements'!G340/'Financial Statements'!G$346</f>
        <v>0.17093645795571322</v>
      </c>
      <c r="H115" s="25">
        <f>'Financial Statements'!H340/'Financial Statements'!H$346</f>
        <v>0.23100811314548844</v>
      </c>
      <c r="I115" s="25">
        <f>'Financial Statements'!I340/'Financial Statements'!I$346</f>
        <v>0.28848282424218885</v>
      </c>
      <c r="J115" s="25">
        <f>'Financial Statements'!J340/'Financial Statements'!J$346</f>
        <v>0.33806424907695404</v>
      </c>
      <c r="K115" s="25">
        <f>'Financial Statements'!K340/'Financial Statements'!K$346</f>
        <v>0.38405468147973437</v>
      </c>
      <c r="L115" s="25">
        <f>'Financial Statements'!L340/'Financial Statements'!L$346</f>
        <v>0.43285256917413001</v>
      </c>
      <c r="M115" s="25">
        <f>'Financial Statements'!M340/'Financial Statements'!M$346</f>
        <v>0.43285256917413001</v>
      </c>
    </row>
    <row r="116" spans="1:13" ht="12.75" customHeight="1" x14ac:dyDescent="0.2">
      <c r="A116" s="1" t="s">
        <v>54</v>
      </c>
      <c r="B116" s="25">
        <f>'Financial Statements'!B341/'Financial Statements'!B$346</f>
        <v>0</v>
      </c>
      <c r="C116" s="25">
        <f>'Financial Statements'!C341/'Financial Statements'!C$346</f>
        <v>0</v>
      </c>
      <c r="D116" s="25">
        <f>'Financial Statements'!D341/'Financial Statements'!D$346</f>
        <v>0</v>
      </c>
      <c r="E116" s="25">
        <f>'Financial Statements'!E341/'Financial Statements'!E$346</f>
        <v>0</v>
      </c>
      <c r="F116" s="25">
        <f>'Financial Statements'!F341/'Financial Statements'!F$346</f>
        <v>0</v>
      </c>
      <c r="G116" s="25">
        <f>'Financial Statements'!G341/'Financial Statements'!G$346</f>
        <v>0</v>
      </c>
      <c r="H116" s="25">
        <f>'Financial Statements'!H341/'Financial Statements'!H$346</f>
        <v>0</v>
      </c>
      <c r="I116" s="25">
        <f>'Financial Statements'!I341/'Financial Statements'!I$346</f>
        <v>0</v>
      </c>
      <c r="J116" s="25">
        <f>'Financial Statements'!J341/'Financial Statements'!J$346</f>
        <v>0</v>
      </c>
      <c r="K116" s="25">
        <f>'Financial Statements'!K341/'Financial Statements'!K$346</f>
        <v>0</v>
      </c>
      <c r="L116" s="25">
        <f>'Financial Statements'!L341/'Financial Statements'!L$346</f>
        <v>0</v>
      </c>
      <c r="M116" s="25">
        <f>'Financial Statements'!M341/'Financial Statements'!M$346</f>
        <v>0</v>
      </c>
    </row>
    <row r="117" spans="1:13" ht="12.75" customHeight="1" x14ac:dyDescent="0.2">
      <c r="A117" s="1" t="s">
        <v>140</v>
      </c>
      <c r="B117" s="25">
        <f>'Financial Statements'!B342/'Financial Statements'!B$346</f>
        <v>7.944466268323444E-3</v>
      </c>
      <c r="C117" s="25">
        <f>'Financial Statements'!C342/'Financial Statements'!C$346</f>
        <v>2.5048739173511459E-3</v>
      </c>
      <c r="D117" s="25">
        <f>'Financial Statements'!D342/'Financial Statements'!D$346</f>
        <v>-8.4489739151934733E-3</v>
      </c>
      <c r="E117" s="25">
        <f>'Financial Statements'!E342/'Financial Statements'!E$346</f>
        <v>-1.1865045575733888E-3</v>
      </c>
      <c r="F117" s="25">
        <f>'Financial Statements'!F342/'Financial Statements'!F$346</f>
        <v>1.0573792526658502E-2</v>
      </c>
      <c r="G117" s="25">
        <f>'Financial Statements'!G342/'Financial Statements'!G$346</f>
        <v>5.4587017158059673E-3</v>
      </c>
      <c r="H117" s="25">
        <f>'Financial Statements'!H342/'Financial Statements'!H$346</f>
        <v>-1.2822058984760442E-2</v>
      </c>
      <c r="I117" s="25">
        <f>'Financial Statements'!I342/'Financial Statements'!I$346</f>
        <v>-1.5396527953084646E-2</v>
      </c>
      <c r="J117" s="25">
        <f>'Financial Statements'!J342/'Financial Statements'!J$346</f>
        <v>-1.0914494018505827E-2</v>
      </c>
      <c r="K117" s="25">
        <f>'Financial Statements'!K342/'Financial Statements'!K$346</f>
        <v>-5.4070820335281088E-3</v>
      </c>
      <c r="L117" s="25">
        <f>'Financial Statements'!L342/'Financial Statements'!L$346</f>
        <v>-4.3303058113653382E-3</v>
      </c>
      <c r="M117" s="25">
        <f>'Financial Statements'!M342/'Financial Statements'!M$346</f>
        <v>-4.3303058113653382E-3</v>
      </c>
    </row>
    <row r="118" spans="1:13" ht="12.75" customHeight="1" x14ac:dyDescent="0.2">
      <c r="A118" s="5" t="s">
        <v>99</v>
      </c>
      <c r="B118" s="26">
        <f>'Financial Statements'!B343/'Financial Statements'!B$346</f>
        <v>0.37213906175698308</v>
      </c>
      <c r="C118" s="26">
        <f>'Financial Statements'!C343/'Financial Statements'!C$346</f>
        <v>0.35040669244782513</v>
      </c>
      <c r="D118" s="26">
        <f>'Financial Statements'!D343/'Financial Statements'!D$346</f>
        <v>0.31956205958709361</v>
      </c>
      <c r="E118" s="26">
        <f>'Financial Statements'!E343/'Financial Statements'!E$346</f>
        <v>0.35710297463672025</v>
      </c>
      <c r="F118" s="26">
        <f>'Financial Statements'!F343/'Financial Statements'!F$346</f>
        <v>0.39263086976579015</v>
      </c>
      <c r="G118" s="26">
        <f>'Financial Statements'!G343/'Financial Statements'!G$346</f>
        <v>0.42539524655535549</v>
      </c>
      <c r="H118" s="26">
        <f>'Financial Statements'!H343/'Financial Statements'!H$346</f>
        <v>0.45647955268062712</v>
      </c>
      <c r="I118" s="26">
        <f>'Financial Statements'!I343/'Financial Statements'!I$346</f>
        <v>0.50057042157795595</v>
      </c>
      <c r="J118" s="26">
        <f>'Financial Statements'!J343/'Financial Statements'!J$346</f>
        <v>0.52420225592243097</v>
      </c>
      <c r="K118" s="26">
        <f>'Financial Statements'!K343/'Financial Statements'!K$346</f>
        <v>0.55489068712106404</v>
      </c>
      <c r="L118" s="26">
        <f>'Financial Statements'!L343/'Financial Statements'!L$346</f>
        <v>0.5833346519404623</v>
      </c>
      <c r="M118" s="26">
        <f>'Financial Statements'!M343/'Financial Statements'!M$346</f>
        <v>0.5833346519404623</v>
      </c>
    </row>
    <row r="119" spans="1:13" ht="12.75" customHeight="1" x14ac:dyDescent="0.2">
      <c r="A119" s="1" t="s">
        <v>188</v>
      </c>
      <c r="B119" s="25">
        <f>'Financial Statements'!B344/'Financial Statements'!B$346</f>
        <v>0</v>
      </c>
      <c r="C119" s="25">
        <f>'Financial Statements'!C344/'Financial Statements'!C$346</f>
        <v>0</v>
      </c>
      <c r="D119" s="25">
        <f>'Financial Statements'!D344/'Financial Statements'!D$346</f>
        <v>0</v>
      </c>
      <c r="E119" s="25">
        <f>'Financial Statements'!E344/'Financial Statements'!E$346</f>
        <v>0</v>
      </c>
      <c r="F119" s="25">
        <f>'Financial Statements'!F344/'Financial Statements'!F$346</f>
        <v>0</v>
      </c>
      <c r="G119" s="25">
        <f>'Financial Statements'!G344/'Financial Statements'!G$346</f>
        <v>0</v>
      </c>
      <c r="H119" s="25">
        <f>'Financial Statements'!H344/'Financial Statements'!H$346</f>
        <v>0</v>
      </c>
      <c r="I119" s="25">
        <f>'Financial Statements'!I344/'Financial Statements'!I$346</f>
        <v>0</v>
      </c>
      <c r="J119" s="25">
        <f>'Financial Statements'!J344/'Financial Statements'!J$346</f>
        <v>0</v>
      </c>
      <c r="K119" s="25">
        <f>'Financial Statements'!K344/'Financial Statements'!K$346</f>
        <v>0</v>
      </c>
      <c r="L119" s="25">
        <f>'Financial Statements'!L344/'Financial Statements'!L$346</f>
        <v>0</v>
      </c>
      <c r="M119" s="25">
        <f>'Financial Statements'!M344/'Financial Statements'!M$346</f>
        <v>0</v>
      </c>
    </row>
    <row r="120" spans="1:13" ht="12.75" customHeight="1" x14ac:dyDescent="0.2">
      <c r="A120" s="3" t="s">
        <v>46</v>
      </c>
      <c r="B120" s="26">
        <f>'Financial Statements'!B345/'Financial Statements'!B$346</f>
        <v>0.37213906175698308</v>
      </c>
      <c r="C120" s="26">
        <f>'Financial Statements'!C345/'Financial Statements'!C$346</f>
        <v>0.35040669244782513</v>
      </c>
      <c r="D120" s="26">
        <f>'Financial Statements'!D345/'Financial Statements'!D$346</f>
        <v>0.31956205958709361</v>
      </c>
      <c r="E120" s="26">
        <f>'Financial Statements'!E345/'Financial Statements'!E$346</f>
        <v>0.35710297463672025</v>
      </c>
      <c r="F120" s="26">
        <f>'Financial Statements'!F345/'Financial Statements'!F$346</f>
        <v>0.39263086976579015</v>
      </c>
      <c r="G120" s="26">
        <f>'Financial Statements'!G345/'Financial Statements'!G$346</f>
        <v>0.42539524655535549</v>
      </c>
      <c r="H120" s="26">
        <f>'Financial Statements'!H345/'Financial Statements'!H$346</f>
        <v>0.45647955268062712</v>
      </c>
      <c r="I120" s="26">
        <f>'Financial Statements'!I345/'Financial Statements'!I$346</f>
        <v>0.50057042157795595</v>
      </c>
      <c r="J120" s="26">
        <f>'Financial Statements'!J345/'Financial Statements'!J$346</f>
        <v>0.52420225592243097</v>
      </c>
      <c r="K120" s="26">
        <f>'Financial Statements'!K345/'Financial Statements'!K$346</f>
        <v>0.55489068712106404</v>
      </c>
      <c r="L120" s="26">
        <f>'Financial Statements'!L345/'Financial Statements'!L$346</f>
        <v>0.5833346519404623</v>
      </c>
      <c r="M120" s="26">
        <f>'Financial Statements'!M345/'Financial Statements'!M$346</f>
        <v>0.5833346519404623</v>
      </c>
    </row>
    <row r="121" spans="1:13" ht="12.75" customHeight="1" thickBot="1" x14ac:dyDescent="0.25">
      <c r="A121" s="16" t="s">
        <v>100</v>
      </c>
      <c r="B121" s="29">
        <f>'Financial Statements'!B346/'Financial Statements'!B$346</f>
        <v>1</v>
      </c>
      <c r="C121" s="29">
        <f>'Financial Statements'!C346/'Financial Statements'!C$346</f>
        <v>1</v>
      </c>
      <c r="D121" s="29">
        <f>'Financial Statements'!D346/'Financial Statements'!D$346</f>
        <v>1</v>
      </c>
      <c r="E121" s="29">
        <f>'Financial Statements'!E346/'Financial Statements'!E$346</f>
        <v>1</v>
      </c>
      <c r="F121" s="29">
        <f>'Financial Statements'!F346/'Financial Statements'!F$346</f>
        <v>1</v>
      </c>
      <c r="G121" s="29">
        <f>'Financial Statements'!G346/'Financial Statements'!G$346</f>
        <v>1</v>
      </c>
      <c r="H121" s="29">
        <f>'Financial Statements'!H346/'Financial Statements'!H$346</f>
        <v>1</v>
      </c>
      <c r="I121" s="29">
        <f>'Financial Statements'!I346/'Financial Statements'!I$346</f>
        <v>1</v>
      </c>
      <c r="J121" s="29">
        <f>'Financial Statements'!J346/'Financial Statements'!J$346</f>
        <v>1</v>
      </c>
      <c r="K121" s="29">
        <f>'Financial Statements'!K346/'Financial Statements'!K$346</f>
        <v>1</v>
      </c>
      <c r="L121" s="29">
        <f>'Financial Statements'!L346/'Financial Statements'!L$346</f>
        <v>1</v>
      </c>
      <c r="M121" s="29">
        <f>'Financial Statements'!M346/'Financial Statements'!M$346</f>
        <v>1</v>
      </c>
    </row>
    <row r="122" spans="1:13" ht="12.75" customHeight="1" thickTop="1" x14ac:dyDescent="0.2"/>
  </sheetData>
  <phoneticPr fontId="3" type="noConversion"/>
  <printOptions horizontalCentered="1"/>
  <pageMargins left="0" right="0" top="0" bottom="0" header="0.5" footer="0.5"/>
  <pageSetup scale="55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FL10"/>
  <sheetViews>
    <sheetView showGridLines="0" zoomScaleNormal="100" zoomScaleSheetLayoutView="85" workbookViewId="0">
      <selection activeCell="N11" sqref="N11"/>
    </sheetView>
  </sheetViews>
  <sheetFormatPr defaultRowHeight="12.75" x14ac:dyDescent="0.2"/>
  <cols>
    <col min="1" max="1" width="15.7109375" bestFit="1" customWidth="1"/>
    <col min="2" max="2" width="42.5703125" bestFit="1" customWidth="1"/>
    <col min="3" max="4" width="10.140625" bestFit="1" customWidth="1"/>
    <col min="5" max="5" width="11.28515625" bestFit="1" customWidth="1"/>
    <col min="6" max="6" width="9.5703125" bestFit="1" customWidth="1"/>
    <col min="7" max="7" width="9.28515625" bestFit="1" customWidth="1"/>
    <col min="8" max="8" width="14" bestFit="1" customWidth="1"/>
    <col min="9" max="9" width="13.7109375" bestFit="1" customWidth="1"/>
    <col min="10" max="10" width="11" bestFit="1" customWidth="1"/>
    <col min="11" max="11" width="11.28515625" bestFit="1" customWidth="1"/>
    <col min="12" max="12" width="8.7109375" bestFit="1" customWidth="1"/>
    <col min="13" max="13" width="10.28515625" bestFit="1" customWidth="1"/>
    <col min="14" max="14" width="10.85546875" bestFit="1" customWidth="1"/>
    <col min="15" max="15" width="11.7109375" bestFit="1" customWidth="1"/>
    <col min="16" max="16" width="11.28515625" bestFit="1" customWidth="1"/>
    <col min="17" max="17" width="18.42578125" bestFit="1" customWidth="1"/>
    <col min="18" max="18" width="20" bestFit="1" customWidth="1"/>
    <col min="19" max="20" width="20.7109375" bestFit="1" customWidth="1"/>
    <col min="21" max="21" width="11.7109375" bestFit="1" customWidth="1"/>
    <col min="22" max="22" width="13.42578125" bestFit="1" customWidth="1"/>
    <col min="23" max="24" width="14.140625" bestFit="1" customWidth="1"/>
    <col min="25" max="25" width="15.85546875" bestFit="1" customWidth="1"/>
    <col min="26" max="26" width="17.5703125" bestFit="1" customWidth="1"/>
    <col min="27" max="28" width="18.28515625" bestFit="1" customWidth="1"/>
    <col min="29" max="29" width="22.7109375" bestFit="1" customWidth="1"/>
    <col min="30" max="30" width="24.28515625" bestFit="1" customWidth="1"/>
    <col min="31" max="32" width="25" bestFit="1" customWidth="1"/>
    <col min="33" max="33" width="16" bestFit="1" customWidth="1"/>
    <col min="34" max="34" width="17.7109375" bestFit="1" customWidth="1"/>
    <col min="35" max="36" width="18.42578125" bestFit="1" customWidth="1"/>
    <col min="37" max="37" width="7.42578125" bestFit="1" customWidth="1"/>
    <col min="38" max="38" width="9" bestFit="1" customWidth="1"/>
    <col min="39" max="40" width="9.7109375" bestFit="1" customWidth="1"/>
    <col min="41" max="41" width="11.140625" bestFit="1" customWidth="1"/>
    <col min="42" max="42" width="20" bestFit="1" customWidth="1"/>
    <col min="43" max="44" width="18.7109375" bestFit="1" customWidth="1"/>
    <col min="45" max="45" width="17" bestFit="1" customWidth="1"/>
    <col min="46" max="48" width="18.7109375" bestFit="1" customWidth="1"/>
    <col min="49" max="49" width="17" bestFit="1" customWidth="1"/>
    <col min="50" max="50" width="18.7109375" bestFit="1" customWidth="1"/>
    <col min="51" max="52" width="24.140625" bestFit="1" customWidth="1"/>
    <col min="53" max="53" width="22.5703125" bestFit="1" customWidth="1"/>
    <col min="54" max="54" width="24.140625" bestFit="1" customWidth="1"/>
    <col min="55" max="56" width="25.7109375" bestFit="1" customWidth="1"/>
    <col min="57" max="57" width="18.42578125" bestFit="1" customWidth="1"/>
    <col min="58" max="58" width="20" bestFit="1" customWidth="1"/>
    <col min="59" max="60" width="19" bestFit="1" customWidth="1"/>
    <col min="61" max="61" width="11.7109375" bestFit="1" customWidth="1"/>
    <col min="62" max="62" width="13.42578125" bestFit="1" customWidth="1"/>
    <col min="63" max="64" width="15.85546875" bestFit="1" customWidth="1"/>
    <col min="65" max="65" width="8.7109375" bestFit="1" customWidth="1"/>
    <col min="66" max="66" width="10.28515625" bestFit="1" customWidth="1"/>
    <col min="67" max="67" width="22.42578125" bestFit="1" customWidth="1"/>
    <col min="68" max="68" width="20.7109375" bestFit="1" customWidth="1"/>
    <col min="69" max="69" width="23.28515625" bestFit="1" customWidth="1"/>
    <col min="70" max="70" width="15.140625" bestFit="1" customWidth="1"/>
    <col min="71" max="71" width="23" bestFit="1" customWidth="1"/>
    <col min="72" max="72" width="25.140625" bestFit="1" customWidth="1"/>
    <col min="73" max="73" width="23.7109375" bestFit="1" customWidth="1"/>
    <col min="74" max="74" width="14.85546875" bestFit="1" customWidth="1"/>
    <col min="75" max="75" width="15" bestFit="1" customWidth="1"/>
    <col min="76" max="76" width="15.5703125" bestFit="1" customWidth="1"/>
    <col min="77" max="77" width="13.140625" bestFit="1" customWidth="1"/>
    <col min="78" max="78" width="11.42578125" bestFit="1" customWidth="1"/>
    <col min="79" max="79" width="20" bestFit="1" customWidth="1"/>
    <col min="80" max="80" width="18.28515625" bestFit="1" customWidth="1"/>
    <col min="81" max="81" width="22.5703125" bestFit="1" customWidth="1"/>
    <col min="82" max="82" width="21.7109375" bestFit="1" customWidth="1"/>
    <col min="83" max="83" width="16.42578125" bestFit="1" customWidth="1"/>
    <col min="84" max="84" width="17" bestFit="1" customWidth="1"/>
    <col min="85" max="85" width="8.7109375" bestFit="1" customWidth="1"/>
    <col min="86" max="86" width="14.140625" bestFit="1" customWidth="1"/>
  </cols>
  <sheetData>
    <row r="1" spans="1:168" s="3" customFormat="1" x14ac:dyDescent="0.2">
      <c r="A1" s="40" t="s">
        <v>214</v>
      </c>
      <c r="B1" s="40" t="s">
        <v>257</v>
      </c>
      <c r="C1" s="32" t="s">
        <v>258</v>
      </c>
      <c r="D1" s="32" t="s">
        <v>266</v>
      </c>
      <c r="E1" s="33" t="s">
        <v>256</v>
      </c>
      <c r="F1" s="32" t="s">
        <v>259</v>
      </c>
      <c r="G1" s="32" t="s">
        <v>260</v>
      </c>
      <c r="H1" s="32" t="s">
        <v>514</v>
      </c>
      <c r="I1" s="32" t="s">
        <v>515</v>
      </c>
      <c r="J1" s="32" t="s">
        <v>261</v>
      </c>
      <c r="K1" s="32" t="s">
        <v>262</v>
      </c>
      <c r="L1" s="32" t="s">
        <v>263</v>
      </c>
      <c r="M1" s="32" t="s">
        <v>51</v>
      </c>
      <c r="N1" s="32" t="s">
        <v>264</v>
      </c>
      <c r="O1" s="32" t="s">
        <v>265</v>
      </c>
      <c r="P1" s="32" t="s">
        <v>275</v>
      </c>
      <c r="Q1" s="34" t="s">
        <v>516</v>
      </c>
      <c r="R1" s="34" t="s">
        <v>517</v>
      </c>
      <c r="S1" s="34" t="s">
        <v>518</v>
      </c>
      <c r="T1" s="34" t="s">
        <v>519</v>
      </c>
      <c r="U1" s="34" t="s">
        <v>520</v>
      </c>
      <c r="V1" s="34" t="s">
        <v>521</v>
      </c>
      <c r="W1" s="34" t="s">
        <v>522</v>
      </c>
      <c r="X1" s="34" t="s">
        <v>523</v>
      </c>
      <c r="Y1" s="32" t="s">
        <v>524</v>
      </c>
      <c r="Z1" s="32" t="s">
        <v>525</v>
      </c>
      <c r="AA1" s="32" t="s">
        <v>526</v>
      </c>
      <c r="AB1" s="32" t="s">
        <v>527</v>
      </c>
      <c r="AC1" s="32" t="s">
        <v>528</v>
      </c>
      <c r="AD1" s="32" t="s">
        <v>529</v>
      </c>
      <c r="AE1" s="32" t="s">
        <v>530</v>
      </c>
      <c r="AF1" s="32" t="s">
        <v>531</v>
      </c>
      <c r="AG1" s="32" t="s">
        <v>532</v>
      </c>
      <c r="AH1" s="32" t="s">
        <v>533</v>
      </c>
      <c r="AI1" s="32" t="s">
        <v>534</v>
      </c>
      <c r="AJ1" s="32" t="s">
        <v>535</v>
      </c>
      <c r="AK1" s="32" t="s">
        <v>536</v>
      </c>
      <c r="AL1" s="32" t="s">
        <v>537</v>
      </c>
      <c r="AM1" s="32" t="s">
        <v>538</v>
      </c>
      <c r="AN1" s="32" t="s">
        <v>539</v>
      </c>
      <c r="AO1" s="35" t="s">
        <v>540</v>
      </c>
      <c r="AP1" s="31" t="s">
        <v>541</v>
      </c>
      <c r="AQ1" s="34" t="s">
        <v>542</v>
      </c>
      <c r="AR1" s="34" t="s">
        <v>543</v>
      </c>
      <c r="AS1" s="34" t="s">
        <v>544</v>
      </c>
      <c r="AT1" s="34" t="s">
        <v>545</v>
      </c>
      <c r="AU1" s="32" t="s">
        <v>542</v>
      </c>
      <c r="AV1" s="32" t="s">
        <v>543</v>
      </c>
      <c r="AW1" s="32" t="s">
        <v>544</v>
      </c>
      <c r="AX1" s="32" t="s">
        <v>545</v>
      </c>
      <c r="AY1" s="32" t="s">
        <v>546</v>
      </c>
      <c r="AZ1" s="32" t="s">
        <v>547</v>
      </c>
      <c r="BA1" s="32" t="s">
        <v>548</v>
      </c>
      <c r="BB1" s="32" t="s">
        <v>549</v>
      </c>
      <c r="BC1" s="32" t="s">
        <v>550</v>
      </c>
      <c r="BD1" s="32" t="s">
        <v>551</v>
      </c>
      <c r="BE1" s="32" t="s">
        <v>516</v>
      </c>
      <c r="BF1" s="32" t="s">
        <v>517</v>
      </c>
      <c r="BG1" s="32" t="s">
        <v>552</v>
      </c>
      <c r="BH1" s="32" t="s">
        <v>553</v>
      </c>
      <c r="BI1" s="32" t="s">
        <v>520</v>
      </c>
      <c r="BJ1" s="32" t="s">
        <v>521</v>
      </c>
      <c r="BK1" s="32" t="s">
        <v>554</v>
      </c>
      <c r="BL1" s="32" t="s">
        <v>555</v>
      </c>
      <c r="BM1" s="32" t="s">
        <v>556</v>
      </c>
      <c r="BN1" s="32" t="s">
        <v>557</v>
      </c>
      <c r="BO1" s="32" t="s">
        <v>558</v>
      </c>
      <c r="BP1" s="32" t="s">
        <v>559</v>
      </c>
      <c r="BQ1" s="32" t="s">
        <v>560</v>
      </c>
      <c r="BR1" s="32" t="s">
        <v>561</v>
      </c>
      <c r="BS1" s="32" t="s">
        <v>562</v>
      </c>
      <c r="BT1" s="32" t="s">
        <v>563</v>
      </c>
      <c r="BU1" s="32" t="s">
        <v>564</v>
      </c>
      <c r="BV1" s="32" t="s">
        <v>565</v>
      </c>
      <c r="BW1" s="32" t="s">
        <v>566</v>
      </c>
      <c r="BX1" s="32" t="s">
        <v>567</v>
      </c>
      <c r="BY1" s="32" t="s">
        <v>238</v>
      </c>
      <c r="BZ1" s="32" t="s">
        <v>239</v>
      </c>
      <c r="CA1" s="32" t="s">
        <v>568</v>
      </c>
      <c r="CB1" s="32" t="s">
        <v>569</v>
      </c>
      <c r="CC1" s="32" t="s">
        <v>570</v>
      </c>
      <c r="CD1" s="32" t="s">
        <v>571</v>
      </c>
      <c r="CE1" s="32" t="s">
        <v>572</v>
      </c>
      <c r="CF1" s="32" t="s">
        <v>573</v>
      </c>
      <c r="CG1" s="32" t="s">
        <v>574</v>
      </c>
      <c r="CH1" s="32" t="s">
        <v>575</v>
      </c>
      <c r="CI1"/>
      <c r="CJ1"/>
      <c r="CK1"/>
      <c r="CL1"/>
      <c r="CM1"/>
      <c r="CN1"/>
      <c r="CO1"/>
      <c r="CP1"/>
      <c r="CQ1"/>
      <c r="CR1"/>
      <c r="CS1"/>
      <c r="CT1"/>
      <c r="CU1"/>
      <c r="CV1"/>
      <c r="CW1"/>
      <c r="CX1"/>
      <c r="CY1"/>
      <c r="CZ1"/>
      <c r="DA1"/>
      <c r="DB1"/>
      <c r="DC1"/>
      <c r="DD1"/>
      <c r="DE1"/>
      <c r="DF1"/>
      <c r="DG1"/>
      <c r="DH1"/>
      <c r="DI1"/>
      <c r="DJ1"/>
      <c r="DK1"/>
      <c r="DL1"/>
      <c r="DM1"/>
      <c r="DN1"/>
      <c r="DO1"/>
      <c r="DP1"/>
      <c r="DQ1"/>
      <c r="DR1"/>
      <c r="DS1"/>
      <c r="DT1"/>
      <c r="DU1"/>
      <c r="DV1"/>
      <c r="DW1"/>
      <c r="DX1"/>
      <c r="DY1"/>
      <c r="DZ1"/>
      <c r="EA1"/>
      <c r="EB1"/>
      <c r="EC1"/>
      <c r="ED1"/>
      <c r="EE1"/>
      <c r="EF1"/>
      <c r="EG1"/>
      <c r="EH1"/>
      <c r="EI1"/>
      <c r="EJ1"/>
      <c r="EK1"/>
      <c r="EL1"/>
      <c r="EM1"/>
      <c r="EN1"/>
      <c r="EO1"/>
      <c r="EP1"/>
      <c r="EQ1"/>
      <c r="ER1"/>
      <c r="ES1"/>
      <c r="ET1"/>
      <c r="EU1"/>
      <c r="EV1"/>
      <c r="EW1"/>
      <c r="EX1"/>
      <c r="EY1"/>
      <c r="EZ1"/>
      <c r="FA1"/>
      <c r="FB1"/>
      <c r="FC1"/>
      <c r="FD1"/>
      <c r="FE1"/>
      <c r="FF1"/>
      <c r="FG1"/>
      <c r="FH1"/>
      <c r="FI1"/>
      <c r="FJ1"/>
      <c r="FK1"/>
      <c r="FL1"/>
    </row>
    <row r="2" spans="1:168" s="14" customFormat="1" x14ac:dyDescent="0.2">
      <c r="A2" s="36" t="str">
        <f>_xll.ciqfunctions.udf.CIQ($A$10,"IQ_QUICK_COMP",1)</f>
        <v>NYSE:ORCL</v>
      </c>
      <c r="B2" s="36" t="str">
        <f>_xll.ciqfunctions.udf.CIQ($A2, "IQ_COMPANY_NAME")</f>
        <v>Oracle Corporation</v>
      </c>
      <c r="C2" s="13">
        <f>_xll.ciqfunctions.udf.CIQ($A2,"IQ_PERIODDATE",IQ_FY,DateToday)</f>
        <v>46173</v>
      </c>
      <c r="D2" s="13">
        <f>_xll.ciqfunctions.udf.CIQ($A2,"IQ_PERIODDATE",IQ_LTM,DateToday)</f>
        <v>46173</v>
      </c>
      <c r="E2" s="11">
        <f>_xll.ciqfunctions.udf.CIQ($A2, "IQ_LASTSALEPRICE",DateToday,Ccy,Conv)</f>
        <v>129.87</v>
      </c>
      <c r="F2" s="11">
        <f>_xll.ciqfunctions.udf.CIQ($A2, "IQ_YEARHIGH",DateToday,Ccy,Conv)</f>
        <v>345.72</v>
      </c>
      <c r="G2" s="11">
        <f>_xll.ciqfunctions.udf.CIQ($A2, "IQ_YEARLOW",DateToday,Ccy,Conv)</f>
        <v>114.5</v>
      </c>
      <c r="H2" s="37">
        <f t="shared" ref="H2:H10" si="0">IF(ISERROR(E2/F2), "NA", E2/F2)</f>
        <v>0.37565081568899689</v>
      </c>
      <c r="I2" s="37">
        <f t="shared" ref="I2:I10" si="1">IF(ISERROR(E2/G2), "NA", E2/G2)</f>
        <v>1.1342358078602621</v>
      </c>
      <c r="J2" s="4">
        <f>_xll.ciqfunctions.udf.CIQ($A2, "IQ_SHARESOUTSTANDING",DateToday)</f>
        <v>2880.471</v>
      </c>
      <c r="K2" s="22">
        <f t="shared" ref="K2:K10" si="2">IF(ISERROR(J2*E2), "NA", J2*E2)</f>
        <v>374086.76877000002</v>
      </c>
      <c r="L2" s="4">
        <f>_xll.ciqfunctions.udf.CIQ($A2, "IQ_CASH_ST_INVEST",IQ_FQ,DateToday,,"F",Ccy,Conv)</f>
        <v>31894</v>
      </c>
      <c r="M2" s="4">
        <f>_xll.ciqfunctions.udf.CIQ($A2, "IQ_TOTAL_DEBT",IQ_FQ,DateToday,,"F",Ccy,Conv)</f>
        <v>167432</v>
      </c>
      <c r="N2" s="4">
        <f>_xll.ciqfunctions.udf.CIQ($A2, "IQ_PREF_EQUITY",IQ_FQ,DateToday,,"F",Ccy,Conv)</f>
        <v>4954</v>
      </c>
      <c r="O2" s="4">
        <f>_xll.ciqfunctions.udf.CIQ($A2, "IQ_MINORITY_INTEREST_TOTAL",IQ_FQ,DateToday,,"F",Ccy,Conv)</f>
        <v>548</v>
      </c>
      <c r="P2" s="22">
        <f>IF(ISERROR(K2-L2+M2+N2+O2), "NA", K2-L2+M2+N2+O2)</f>
        <v>515126.76877000002</v>
      </c>
      <c r="Q2" s="4">
        <f>_xll.ciqfunctions.udf.CIQ($A2, "IQ_TOTAL_REV", IQ_FY,DateToday,,,Ccy,Conv)</f>
        <v>67357</v>
      </c>
      <c r="R2" s="4">
        <f>_xll.ciqfunctions.udf.CIQ($A2, "IQ_TOTAL_REV", IQ_LTM,DateToday,,,Ccy,Conv)</f>
        <v>67357</v>
      </c>
      <c r="S2" s="4">
        <f>_xll.ciqfunctions.udf.CIQ($A2, "IQ_REVENUE_EST", IQ_CY+ 1,DateToday,,,Ccy,Conv)</f>
        <v>76643.032200000001</v>
      </c>
      <c r="T2" s="4">
        <f>_xll.ciqfunctions.udf.CIQ($A2, "IQ_REVENUE_EST", IQ_CY+ 2,DateToday,,,Ccy,Conv)</f>
        <v>107242.21279999999</v>
      </c>
      <c r="U2" s="4">
        <f>_xll.ciqfunctions.udf.CIQ($A2, "IQ_EBITDA", IQ_FY,DateToday,,,Ccy,Conv)</f>
        <v>30494</v>
      </c>
      <c r="V2" s="4">
        <f>_xll.ciqfunctions.udf.CIQ($A2, "IQ_EBITDA", IQ_LTM,DateToday,,,Ccy,Conv)</f>
        <v>30494</v>
      </c>
      <c r="W2" s="4">
        <f>_xll.ciqfunctions.udf.CIQ($A2, "IQ_EBITDA_EST", IQ_CY+ 1,DateToday,,,Ccy,Conv)</f>
        <v>43057.492200000001</v>
      </c>
      <c r="X2" s="4">
        <f>_xll.ciqfunctions.udf.CIQ($A2, "IQ_EBITDA_EST", IQ_CY+ 2,DateToday,,,Ccy,Conv)</f>
        <v>59308.154799999997</v>
      </c>
      <c r="Y2" s="11">
        <f>_xll.ciqfunctions.udf.CIQ($A2, "IQ_DILUT_EPS_EXCL", IQ_FY,DateToday,,,Ccy,Conv)</f>
        <v>5.83</v>
      </c>
      <c r="Z2" s="11">
        <f>_xll.ciqfunctions.udf.CIQ($A2, "IQ_DILUT_EPS_EXCL", IQ_LTM,DateToday,,,Ccy,Conv)</f>
        <v>5.83</v>
      </c>
      <c r="AA2" s="11">
        <f>_xll.ciqfunctions.udf.CIQ($A2, "IQ_EPS_EST", IQ_CY+ 1,DateToday,,,Ccy,Conv)</f>
        <v>7.5248999999999997</v>
      </c>
      <c r="AB2" s="11">
        <f>_xll.ciqfunctions.udf.CIQ($A2, "IQ_EPS_EST", IQ_CY+ 2,DateToday,,,Ccy,Conv)</f>
        <v>9.1816999999999993</v>
      </c>
      <c r="AC2" s="20">
        <f>_xll.ciqfunctions.udf.CIQ($A2, "IQ_TEV_TOTAL_REV",IQ_LTM,$C2)</f>
        <v>12.140219999999999</v>
      </c>
      <c r="AD2" s="20">
        <f>_xll.ciqfunctions.udf.CIQ($A2, "IQ_TEV_TOTAL_REV",IQ_LTM,DateToday)</f>
        <v>7.64771</v>
      </c>
      <c r="AE2" s="38">
        <f t="shared" ref="AE2:AE10" si="3">IF(ISERROR($P2/S2), "NA", $P2/S2)</f>
        <v>6.7211167666980689</v>
      </c>
      <c r="AF2" s="38">
        <f t="shared" ref="AF2:AF10" si="4">IF(ISERROR($P2/T2), "NA", $P2/T2)</f>
        <v>4.803395559644775</v>
      </c>
      <c r="AG2" s="20">
        <f>_xll.ciqfunctions.udf.CIQ($A2, "IQ_TEV_EBITDA",IQ_LTM,$C2)</f>
        <v>26.034020000000002</v>
      </c>
      <c r="AH2" s="20">
        <f>_xll.ciqfunctions.udf.CIQ($A2, "IQ_TEV_EBITDA",IQ_LTM,DateToday)</f>
        <v>15.47485</v>
      </c>
      <c r="AI2" s="20">
        <f>_xll.ciqfunctions.udf.CIQ($A2, "IQ_TEV_EBITDA_FWD",IQ_CY+1,DateToday)</f>
        <v>11.963699999999999</v>
      </c>
      <c r="AJ2" s="20">
        <f>_xll.ciqfunctions.udf.CIQ($A2, "IQ_TEV_EBITDA_FWD",IQ_CY+2,DateToday)</f>
        <v>8.6856000000000009</v>
      </c>
      <c r="AK2" s="20">
        <f>_xll.ciqfunctions.udf.CIQ($A2, "IQ_PE_EXCL",IQ_LTM,$C2)</f>
        <v>40.51323</v>
      </c>
      <c r="AL2" s="20">
        <f>_xll.ciqfunctions.udf.CIQ($A2, "IQ_PE_EXCL",IQ_LTM,DateToday)</f>
        <v>22.276160000000001</v>
      </c>
      <c r="AM2" s="20">
        <f>_xll.ciqfunctions.udf.CIQ($A2, "IQ_PE_EXCL_FWD",IQ_CY+1,DateToday)</f>
        <v>17.258700000000001</v>
      </c>
      <c r="AN2" s="20">
        <f>_xll.ciqfunctions.udf.CIQ($A2, "IQ_PE_EXCL_FWD",IQ_CY+2,DateToday)</f>
        <v>14.144439999999999</v>
      </c>
      <c r="AO2" s="20">
        <f>_xll.ciqfunctions.udf.CIQ($A2, "IQ_PBV",IQ_LTM,DateToday,)</f>
        <v>9.9596699999999991</v>
      </c>
      <c r="AP2" s="20" t="str">
        <f>_xll.ciqfunctions.udf.CIQ($A2, "IQ_PTBV",IQ_LTM,DateToday,)</f>
        <v>NM</v>
      </c>
      <c r="AQ2" s="4">
        <f>_xll.ciqfunctions.udf.CIQ($A2, "IQ_GROSS_MARGIN", IQ_FY- 2,DateToday)</f>
        <v>71.407200000000003</v>
      </c>
      <c r="AR2" s="4">
        <f>_xll.ciqfunctions.udf.CIQ($A2, "IQ_GROSS_MARGIN", IQ_FY- 1,DateToday,)</f>
        <v>70.509900000000002</v>
      </c>
      <c r="AS2" s="4">
        <f>_xll.ciqfunctions.udf.CIQ($A2, "IQ_GROSS_MARGIN", IQ_FY,DateToday,)</f>
        <v>65.822400000000002</v>
      </c>
      <c r="AT2" s="4">
        <f>_xll.ciqfunctions.udf.CIQ($A2, "IQ_GROSS_MARGIN", IQ_LTM,DateToday,)</f>
        <v>65.822400000000002</v>
      </c>
      <c r="AU2" s="4">
        <f>_xll.ciqfunctions.udf.CIQ($A2, "IQ_EBITDA_MARGIN", IQ_FY- 2,DateToday,)</f>
        <v>41.343600000000002</v>
      </c>
      <c r="AV2" s="4">
        <f>_xll.ciqfunctions.udf.CIQ($A2, "IQ_EBITDA_MARGIN", IQ_FY- 1,DateToday,)</f>
        <v>38.908299999999997</v>
      </c>
      <c r="AW2" s="4">
        <f>_xll.ciqfunctions.udf.CIQ($A2, "IQ_EBITDA_MARGIN", IQ_FY,DateToday,)</f>
        <v>45.272199999999998</v>
      </c>
      <c r="AX2" s="4">
        <f>_xll.ciqfunctions.udf.CIQ($A2, "IQ_EBITDA_MARGIN", IQ_LTM,DateToday,)</f>
        <v>45.272199999999998</v>
      </c>
      <c r="AY2" s="4">
        <f>_xll.ciqfunctions.udf.CIQ($A2, "IQ_NI_MARGIN", IQ_FY- 2,DateToday,)</f>
        <v>19.763500000000001</v>
      </c>
      <c r="AZ2" s="4">
        <f>_xll.ciqfunctions.udf.CIQ($A2, "IQ_NI_MARGIN", IQ_FY- 1,DateToday,)</f>
        <v>21.678000000000001</v>
      </c>
      <c r="BA2" s="4">
        <f>_xll.ciqfunctions.udf.CIQ($A2, "IQ_NI_MARGIN", IQ_FY,DateToday,)</f>
        <v>25.367799999999999</v>
      </c>
      <c r="BB2" s="4">
        <f>_xll.ciqfunctions.udf.CIQ($A2, "IQ_NI_MARGIN", IQ_LTM,DateToday,)</f>
        <v>25.367799999999999</v>
      </c>
      <c r="BC2" s="4">
        <f>_xll.ciqfunctions.udf.CIQ($A2, "IQ_TOTAL_REV_5YR_ANN_CAGR",IQ_LTM,DateToday,)</f>
        <v>10.7211</v>
      </c>
      <c r="BD2" s="4">
        <f>_xll.ciqfunctions.udf.CIQ($A2, "IQ_TOTAL_REV_3YR_ANN_CAGR",IQ_LTM,DateToday,)</f>
        <v>10.476699999999999</v>
      </c>
      <c r="BE2" s="4">
        <f>_xll.ciqfunctions.udf.CIQ($A2, "IQ_TOTAL_REV_1YR_ANN_GROWTH", IQ_FY,DateToday,)</f>
        <v>17.348700000000001</v>
      </c>
      <c r="BF2" s="4">
        <f>_xll.ciqfunctions.udf.CIQ($A2, "IQ_TOTAL_REV_1YR_ANN_GROWTH",IQ_LTM,DateToday,)</f>
        <v>17.348700000000001</v>
      </c>
      <c r="BG2" s="4">
        <f>_xll.ciqfunctions.udf.CIQ($A2, "IQ_EBITDA_5YR_ANN_CAGR",IQ_LTM,DateToday,)</f>
        <v>10.429500000000001</v>
      </c>
      <c r="BH2" s="4">
        <f>_xll.ciqfunctions.udf.CIQ($A2, "IQ_EBITDA_3YR_ANN_CAGR",IQ_LTM,DateToday,)</f>
        <v>15.525399999999999</v>
      </c>
      <c r="BI2" s="4">
        <f>_xll.ciqfunctions.udf.CIQ($A2, "IQ_EBITDA_1YR_ANN_GROWTH", IQ_FY,DateToday,)</f>
        <v>36.542299999999997</v>
      </c>
      <c r="BJ2" s="4">
        <f>_xll.ciqfunctions.udf.CIQ($A2, "IQ_EBITDA_1YR_ANN_GROWTH",IQ_LTM,DateToday,)</f>
        <v>36.542299999999997</v>
      </c>
      <c r="BK2" s="4">
        <f>_xll.ciqfunctions.udf.CIQ($A2, "IQ_EPS_5YR_ANN_CAGR",IQ_LTM,DateToday,)</f>
        <v>5.0827</v>
      </c>
      <c r="BL2" s="4">
        <f>_xll.ciqfunctions.udf.CIQ($A2, "IQ_EPS_3YR_ANN_CAGR",IQ_LTM,DateToday,)</f>
        <v>23.835000000000001</v>
      </c>
      <c r="BM2" s="4">
        <f>_xll.ciqfunctions.udf.CIQ($A2, "IQ_EPS_1YR_ANN_GROWTH", IQ_FY,DateToday,)</f>
        <v>34.331699999999998</v>
      </c>
      <c r="BN2" s="4">
        <f>_xll.ciqfunctions.udf.CIQ($A2, "IQ_EPS_1YR_ANN_GROWTH", IQ_LTM,DateToday,)</f>
        <v>34.331699999999998</v>
      </c>
      <c r="BO2" s="20">
        <f>_xll.ciqfunctions.udf.CIQ($A2, "IQ_TOTAL_DEBT_EBITDA",IQ_LTM,DateToday,)</f>
        <v>5.0297999999999998</v>
      </c>
      <c r="BP2" s="20">
        <f>_xll.ciqfunctions.udf.CIQ($A2, "IQ_NET_DEBT_EBITDA",IQ_LTM,DateToday,)</f>
        <v>4.0716799999999997</v>
      </c>
      <c r="BQ2" s="38">
        <f t="shared" ref="BQ2:BQ10" si="5">IF(ISERROR((M2+N2)/V2), "NA", (M2+N2)/V2)</f>
        <v>5.6531120876237946</v>
      </c>
      <c r="BR2" s="20">
        <f>_xll.ciqfunctions.udf.CIQ($A2, "IQ_EBITDA_INT",IQ_LTM,DateToday,)</f>
        <v>7.2381000000000002</v>
      </c>
      <c r="BS2" s="20" t="str">
        <f>_xll.ciqfunctions.udf.CIQ($A2, "IQ_EBITDA_CAPEX_INT",IQ_LTM,DateToday,)</f>
        <v>NM</v>
      </c>
      <c r="BT2" s="4">
        <f>_xll.ciqfunctions.udf.CIQ($A2, "IQ_TOTAL_DEBT_EQUITY",IQ_FQ,DateToday,)</f>
        <v>388.87029999999999</v>
      </c>
      <c r="BU2" s="4">
        <f>_xll.ciqfunctions.udf.CIQ($A2, "IQ_TOTAL_DEBT_CAPITAL",IQ_FQ,DateToday,)</f>
        <v>79.544600000000003</v>
      </c>
      <c r="BV2" s="4">
        <f>_xll.ciqfunctions.udf.CIQ($A2, "IQ_RETURN_EQUITY",IQ_LTM,DateToday)</f>
        <v>53.375999999999998</v>
      </c>
      <c r="BW2" s="4">
        <f>_xll.ciqfunctions.udf.CIQ($A2, "IQ_RETURN_ASSETS",IQ_LTM,DateToday)</f>
        <v>6.5053999999999998</v>
      </c>
      <c r="BX2" s="4">
        <f>_xll.ciqfunctions.udf.CIQ($A2, "IQ_RETURN_INVESTED_CAPITAL",IQ_LTM,DateToday)</f>
        <v>6.6390000000000002</v>
      </c>
      <c r="BY2" s="20">
        <f>_xll.ciqfunctions.udf.CIQ($A2, "IQ_CURRENT_RATIO",IQ_FQ,DateToday,)</f>
        <v>1.115</v>
      </c>
      <c r="BZ2" s="20">
        <f>_xll.ciqfunctions.udf.CIQ($A2, "IQ_QUICK_RATIO",IQ_FQ,DateToday,)</f>
        <v>1.01233</v>
      </c>
      <c r="CA2" s="4">
        <f>_xll.ciqfunctions.udf.CIQ($A2, "IQ_DAYS_SALES_OUT",IQ_LTM,DateToday,)</f>
        <v>51.324840000000002</v>
      </c>
      <c r="CB2" s="4">
        <f>_xll.ciqfunctions.udf.CIQ($A2, "IQ_DAYS_INVENTORY_OUT",IQ_LTM,DateToday,)</f>
        <v>0</v>
      </c>
      <c r="CC2" s="4">
        <f>_xll.ciqfunctions.udf.CIQ($A2, "IQ_DAYS_PAYABLE_OUT",IQ_LTM,DateToday,)</f>
        <v>127.554</v>
      </c>
      <c r="CD2" s="4">
        <f>_xll.ciqfunctions.udf.CIQ($A2, "IQ_CASH_CONVERSION",IQ_LTM,DateToday,)</f>
        <v>0</v>
      </c>
      <c r="CE2" s="20">
        <f>_xll.ciqfunctions.udf.CIQ($A2, "IQ_ASSET_TURNS",IQ_LTM,DateToday,)</f>
        <v>0.31319999999999998</v>
      </c>
      <c r="CF2" s="20">
        <f>_xll.ciqfunctions.udf.CIQ($A2, "IQ_FIXED_ASSET_TURNS",IQ_LTM,DateToday,)</f>
        <v>0.72304999999999997</v>
      </c>
      <c r="CG2" s="20">
        <f>_xll.ciqfunctions.udf.CIQ($A2, "IQ_AR_TURNS",IQ_LTM,DateToday,)</f>
        <v>7.1115500000000003</v>
      </c>
      <c r="CH2" s="20">
        <f>_xll.ciqfunctions.udf.CIQ($A2, "IQ_INVENTORY_TURNS",IQ_LTM,DateToday,)</f>
        <v>0</v>
      </c>
      <c r="CI2"/>
      <c r="CJ2"/>
      <c r="CK2"/>
      <c r="CL2"/>
      <c r="CM2"/>
      <c r="CN2"/>
      <c r="CO2"/>
      <c r="CP2"/>
      <c r="CQ2"/>
      <c r="CR2"/>
      <c r="CS2"/>
      <c r="CT2"/>
      <c r="CU2"/>
      <c r="CV2"/>
      <c r="CW2"/>
      <c r="CX2"/>
      <c r="CY2"/>
      <c r="CZ2"/>
      <c r="DA2"/>
      <c r="DB2"/>
      <c r="DC2"/>
      <c r="DD2"/>
      <c r="DE2"/>
      <c r="DF2"/>
      <c r="DG2"/>
      <c r="DH2"/>
      <c r="DI2"/>
      <c r="DJ2"/>
      <c r="DK2"/>
      <c r="DL2"/>
      <c r="DM2"/>
      <c r="DN2"/>
      <c r="DO2"/>
      <c r="DP2"/>
      <c r="DQ2"/>
      <c r="DR2"/>
      <c r="DS2"/>
      <c r="DT2"/>
      <c r="DU2"/>
      <c r="DV2"/>
      <c r="DW2"/>
      <c r="DX2"/>
      <c r="DY2"/>
      <c r="DZ2"/>
      <c r="EA2"/>
      <c r="EB2"/>
      <c r="EC2"/>
      <c r="ED2"/>
      <c r="EE2"/>
      <c r="EF2"/>
      <c r="EG2"/>
      <c r="EH2"/>
      <c r="EI2"/>
      <c r="EJ2"/>
      <c r="EK2"/>
      <c r="EL2"/>
      <c r="EM2"/>
      <c r="EN2"/>
      <c r="EO2"/>
      <c r="EP2"/>
      <c r="EQ2"/>
      <c r="ER2"/>
      <c r="ES2"/>
      <c r="ET2"/>
      <c r="EU2"/>
      <c r="EV2"/>
      <c r="EW2"/>
      <c r="EX2"/>
      <c r="EY2"/>
      <c r="EZ2"/>
      <c r="FA2"/>
      <c r="FB2"/>
      <c r="FC2"/>
      <c r="FD2"/>
      <c r="FE2"/>
      <c r="FF2"/>
      <c r="FG2"/>
      <c r="FH2"/>
      <c r="FI2"/>
      <c r="FJ2"/>
      <c r="FK2"/>
      <c r="FL2"/>
    </row>
    <row r="3" spans="1:168" s="1" customFormat="1" x14ac:dyDescent="0.2">
      <c r="A3" s="36" t="str">
        <f>_xll.ciqfunctions.udf.CIQ($A$10,"IQ_QUICK_COMP",2)</f>
        <v>NasdaqGS:GOOGL</v>
      </c>
      <c r="B3" s="36" t="str">
        <f>_xll.ciqfunctions.udf.CIQ($A3, "IQ_COMPANY_NAME")</f>
        <v>Alphabet Inc.</v>
      </c>
      <c r="C3" s="13">
        <f>_xll.ciqfunctions.udf.CIQ($A3,"IQ_PERIODDATE",IQ_FY,DateToday)</f>
        <v>46022</v>
      </c>
      <c r="D3" s="13">
        <f>_xll.ciqfunctions.udf.CIQ($A3,"IQ_PERIODDATE",IQ_LTM,DateToday)</f>
        <v>46203</v>
      </c>
      <c r="E3" s="11">
        <f>_xll.ciqfunctions.udf.CIQ($A3, "IQ_LASTSALEPRICE",DateToday,Ccy,Conv)</f>
        <v>356.13</v>
      </c>
      <c r="F3" s="11">
        <f>_xll.ciqfunctions.udf.CIQ($A3, "IQ_YEARHIGH",DateToday,Ccy,Conv)</f>
        <v>408.61</v>
      </c>
      <c r="G3" s="11">
        <f>_xll.ciqfunctions.udf.CIQ($A3, "IQ_YEARLOW",DateToday,Ccy,Conv)</f>
        <v>187.82</v>
      </c>
      <c r="H3" s="37">
        <f t="shared" si="0"/>
        <v>0.87156457257531628</v>
      </c>
      <c r="I3" s="37">
        <f t="shared" si="1"/>
        <v>1.8961239484612928</v>
      </c>
      <c r="J3" s="4">
        <f>_xll.ciqfunctions.udf.CIQ($A3, "IQ_SHARESOUTSTANDING",DateToday)</f>
        <v>12230</v>
      </c>
      <c r="K3" s="22">
        <f t="shared" si="2"/>
        <v>4355469.9000000004</v>
      </c>
      <c r="L3" s="4">
        <f>_xll.ciqfunctions.udf.CIQ($A3, "IQ_CASH_ST_INVEST",IQ_FQ,DateToday,,"F",Ccy,Conv)</f>
        <v>242474</v>
      </c>
      <c r="M3" s="4">
        <f>_xll.ciqfunctions.udf.CIQ($A3, "IQ_TOTAL_DEBT",IQ_FQ,DateToday,,"F",Ccy,Conv)</f>
        <v>120791</v>
      </c>
      <c r="N3" s="4">
        <f>_xll.ciqfunctions.udf.CIQ($A3, "IQ_PREF_EQUITY",IQ_FQ,DateToday,,"F",Ccy,Conv)</f>
        <v>18023</v>
      </c>
      <c r="O3" s="4">
        <f>_xll.ciqfunctions.udf.CIQ($A3, "IQ_MINORITY_INTEREST_TOTAL",IQ_FQ,DateToday,,"F",Ccy,Conv)</f>
        <v>0</v>
      </c>
      <c r="P3" s="22">
        <f t="shared" ref="P3:P10" si="6">IF(ISERROR(K3-L3+M3+N3+O3), "NA",K3-L3+M3+N3+O3)</f>
        <v>4251809.9000000004</v>
      </c>
      <c r="Q3" s="4">
        <f>_xll.ciqfunctions.udf.CIQ($A3, "IQ_TOTAL_REV", IQ_FY,DateToday,,,Ccy,Conv)</f>
        <v>402836</v>
      </c>
      <c r="R3" s="4">
        <f>_xll.ciqfunctions.udf.CIQ($A3, "IQ_TOTAL_REV", IQ_LTM,DateToday,,,Ccy,Conv)</f>
        <v>445866</v>
      </c>
      <c r="S3" s="4">
        <f>_xll.ciqfunctions.udf.CIQ($A3, "IQ_REVENUE_EST", IQ_CY+ 1,DateToday,,,Ccy,Conv)</f>
        <v>497702.57261999999</v>
      </c>
      <c r="T3" s="4">
        <f>_xll.ciqfunctions.udf.CIQ($A3, "IQ_REVENUE_EST", IQ_CY+ 2,DateToday,,,Ccy,Conv)</f>
        <v>605844.99040000001</v>
      </c>
      <c r="U3" s="4">
        <f>_xll.ciqfunctions.udf.CIQ($A3, "IQ_EBITDA", IQ_FY,DateToday,,,Ccy,Conv)</f>
        <v>150175</v>
      </c>
      <c r="V3" s="4">
        <f>_xll.ciqfunctions.udf.CIQ($A3, "IQ_EBITDA", IQ_LTM,DateToday,,,Ccy,Conv)</f>
        <v>173164</v>
      </c>
      <c r="W3" s="4">
        <f>_xll.ciqfunctions.udf.CIQ($A3, "IQ_EBITDA_EST", IQ_CY+ 1,DateToday,,,Ccy,Conv)</f>
        <v>231454.71689000001</v>
      </c>
      <c r="X3" s="4">
        <f>_xll.ciqfunctions.udf.CIQ($A3, "IQ_EBITDA_EST", IQ_CY+ 2,DateToday,,,Ccy,Conv)</f>
        <v>294832.62615000003</v>
      </c>
      <c r="Y3" s="11">
        <f>_xll.ciqfunctions.udf.CIQ($A3, "IQ_DILUT_EPS_EXCL", IQ_FY,DateToday,,,Ccy,Conv)</f>
        <v>10.80057</v>
      </c>
      <c r="Z3" s="11">
        <f>_xll.ciqfunctions.udf.CIQ($A3, "IQ_DILUT_EPS_EXCL", IQ_LTM,DateToday,,,Ccy,Conv)</f>
        <v>19.930579999999999</v>
      </c>
      <c r="AA3" s="11">
        <f>_xll.ciqfunctions.udf.CIQ($A3, "IQ_EPS_EST", IQ_CY+ 1,DateToday,,,Ccy,Conv)</f>
        <v>20.575710000000001</v>
      </c>
      <c r="AB3" s="11">
        <f>_xll.ciqfunctions.udf.CIQ($A3, "IQ_EPS_EST", IQ_CY+ 2,DateToday,,,Ccy,Conv)</f>
        <v>14.73443</v>
      </c>
      <c r="AC3" s="20">
        <f>_xll.ciqfunctions.udf.CIQ($A3, "IQ_TEV_TOTAL_REV",IQ_LTM,#REF!)</f>
        <v>9.5425199999999997</v>
      </c>
      <c r="AD3" s="20">
        <f>_xll.ciqfunctions.udf.CIQ($A3, "IQ_TEV_TOTAL_REV",IQ_LTM,DateToday)</f>
        <v>9.5425199999999997</v>
      </c>
      <c r="AE3" s="38">
        <f t="shared" si="3"/>
        <v>8.5428730609481747</v>
      </c>
      <c r="AF3" s="38">
        <f t="shared" si="4"/>
        <v>7.0179830936504191</v>
      </c>
      <c r="AG3" s="20">
        <f>_xll.ciqfunctions.udf.CIQ($A3, "IQ_TEV_EBITDA",IQ_LTM,#REF!)</f>
        <v>23.8339</v>
      </c>
      <c r="AH3" s="20">
        <f>_xll.ciqfunctions.udf.CIQ($A3, "IQ_TEV_EBITDA",IQ_LTM,DateToday)</f>
        <v>23.8339</v>
      </c>
      <c r="AI3" s="20">
        <f>_xll.ciqfunctions.udf.CIQ($A3, "IQ_TEV_EBITDA_FWD",IQ_CY+1,DateToday)</f>
        <v>18.382359999999998</v>
      </c>
      <c r="AJ3" s="20">
        <f>_xll.ciqfunctions.udf.CIQ($A3, "IQ_TEV_EBITDA_FWD",IQ_CY+2,DateToday)</f>
        <v>14.43085</v>
      </c>
      <c r="AK3" s="20">
        <f>_xll.ciqfunctions.udf.CIQ($A3, "IQ_PE_EXCL",IQ_LTM,#REF!)</f>
        <v>17.86852</v>
      </c>
      <c r="AL3" s="20">
        <f>_xll.ciqfunctions.udf.CIQ($A3, "IQ_PE_EXCL",IQ_LTM,DateToday)</f>
        <v>17.86852</v>
      </c>
      <c r="AM3" s="20">
        <f>_xll.ciqfunctions.udf.CIQ($A3, "IQ_PE_EXCL_FWD",IQ_CY+1,DateToday)</f>
        <v>17.30827</v>
      </c>
      <c r="AN3" s="20">
        <f>_xll.ciqfunctions.udf.CIQ($A3, "IQ_PE_EXCL_FWD",IQ_CY+2,DateToday)</f>
        <v>24.169920000000001</v>
      </c>
      <c r="AO3" s="20">
        <f>_xll.ciqfunctions.udf.CIQ($A3, "IQ_PBV",IQ_LTM,DateToday,)</f>
        <v>6.9972200000000004</v>
      </c>
      <c r="AP3" s="20">
        <f>_xll.ciqfunctions.udf.CIQ($A3, "IQ_PTBV",IQ_LTM,DateToday,)</f>
        <v>7.8402900000000004</v>
      </c>
      <c r="AQ3" s="4">
        <f>_xll.ciqfunctions.udf.CIQ($A3, "IQ_GROSS_MARGIN", IQ_FY- 2,DateToday,)</f>
        <v>56.625</v>
      </c>
      <c r="AR3" s="4">
        <f>_xll.ciqfunctions.udf.CIQ($A3, "IQ_GROSS_MARGIN", IQ_FY- 1,DateToday,)</f>
        <v>58.200400000000002</v>
      </c>
      <c r="AS3" s="4">
        <f>_xll.ciqfunctions.udf.CIQ($A3, "IQ_GROSS_MARGIN", IQ_FY,DateToday,)</f>
        <v>59.652299999999997</v>
      </c>
      <c r="AT3" s="4">
        <f>_xll.ciqfunctions.udf.CIQ($A3, "IQ_GROSS_MARGIN", IQ_LTM,DateToday,)</f>
        <v>60.896500000000003</v>
      </c>
      <c r="AU3" s="4">
        <f>_xll.ciqfunctions.udf.CIQ($A3, "IQ_EBITDA_MARGIN", IQ_FY- 2,DateToday,)</f>
        <v>31.308</v>
      </c>
      <c r="AV3" s="4">
        <f>_xll.ciqfunctions.udf.CIQ($A3, "IQ_EBITDA_MARGIN", IQ_FY- 1,DateToday,)</f>
        <v>36.484099999999998</v>
      </c>
      <c r="AW3" s="4">
        <f>_xll.ciqfunctions.udf.CIQ($A3, "IQ_EBITDA_MARGIN", IQ_FY,DateToday,)</f>
        <v>37.279400000000003</v>
      </c>
      <c r="AX3" s="4">
        <f>_xll.ciqfunctions.udf.CIQ($A3, "IQ_EBITDA_MARGIN", IQ_LTM,DateToday,)</f>
        <v>38.837600000000002</v>
      </c>
      <c r="AY3" s="4">
        <f>_xll.ciqfunctions.udf.CIQ($A3, "IQ_NI_MARGIN", IQ_FY- 2,DateToday,)</f>
        <v>24.006599999999999</v>
      </c>
      <c r="AZ3" s="4">
        <f>_xll.ciqfunctions.udf.CIQ($A3, "IQ_NI_MARGIN", IQ_FY- 1,DateToday,)</f>
        <v>28.6036</v>
      </c>
      <c r="BA3" s="4">
        <f>_xll.ciqfunctions.udf.CIQ($A3, "IQ_NI_MARGIN", IQ_FY,DateToday,)</f>
        <v>32.809800000000003</v>
      </c>
      <c r="BB3" s="4">
        <f>_xll.ciqfunctions.udf.CIQ($A3, "IQ_NI_MARGIN", IQ_LTM,DateToday,)</f>
        <v>54.770899999999997</v>
      </c>
      <c r="BC3" s="4">
        <f>_xll.ciqfunctions.udf.CIQ($A3, "IQ_TOTAL_REV_5YR_ANN_CAGR",IQ_LTM,DateToday,)</f>
        <v>15.146800000000001</v>
      </c>
      <c r="BD3" s="4">
        <f>_xll.ciqfunctions.udf.CIQ($A3, "IQ_TOTAL_REV_3YR_ANN_CAGR",IQ_LTM,DateToday,)</f>
        <v>15.478999999999999</v>
      </c>
      <c r="BE3" s="4">
        <f>_xll.ciqfunctions.udf.CIQ($A3, "IQ_TOTAL_REV_1YR_ANN_GROWTH", IQ_FY,DateToday,)</f>
        <v>15.09</v>
      </c>
      <c r="BF3" s="4">
        <f>_xll.ciqfunctions.udf.CIQ($A3, "IQ_TOTAL_REV_1YR_ANN_GROWTH",IQ_LTM,DateToday,)</f>
        <v>20.0504</v>
      </c>
      <c r="BG3" s="4">
        <f>_xll.ciqfunctions.udf.CIQ($A3, "IQ_EBITDA_5YR_ANN_CAGR",IQ_LTM,DateToday,)</f>
        <v>18.043199999999999</v>
      </c>
      <c r="BH3" s="4">
        <f>_xll.ciqfunctions.udf.CIQ($A3, "IQ_EBITDA_3YR_ANN_CAGR",IQ_LTM,DateToday,)</f>
        <v>26.373200000000001</v>
      </c>
      <c r="BI3" s="4">
        <f>_xll.ciqfunctions.udf.CIQ($A3, "IQ_EBITDA_1YR_ANN_GROWTH", IQ_FY,DateToday,)</f>
        <v>17.5989</v>
      </c>
      <c r="BJ3" s="4">
        <f>_xll.ciqfunctions.udf.CIQ($A3, "IQ_EBITDA_1YR_ANN_GROWTH",IQ_LTM,DateToday,)</f>
        <v>24.318100000000001</v>
      </c>
      <c r="BK3" s="4">
        <f>_xll.ciqfunctions.udf.CIQ($A3, "IQ_EPS_5YR_ANN_CAGR",IQ_LTM,DateToday,)</f>
        <v>34.022199999999998</v>
      </c>
      <c r="BL3" s="4">
        <f>_xll.ciqfunctions.udf.CIQ($A3, "IQ_EPS_3YR_ANN_CAGR",IQ_LTM,DateToday,)</f>
        <v>61.609499999999997</v>
      </c>
      <c r="BM3" s="4">
        <f>_xll.ciqfunctions.udf.CIQ($A3, "IQ_EPS_1YR_ANN_GROWTH", IQ_FY,DateToday,)</f>
        <v>34.366199999999999</v>
      </c>
      <c r="BN3" s="4">
        <f>_xll.ciqfunctions.udf.CIQ($A3, "IQ_EPS_1YR_ANN_GROWTH", IQ_LTM,DateToday,)</f>
        <v>112.4782</v>
      </c>
      <c r="BO3" s="20">
        <f>_xll.ciqfunctions.udf.CIQ($A3, "IQ_TOTAL_DEBT_EBITDA",IQ_LTM,DateToday,)</f>
        <v>0.67630000000000001</v>
      </c>
      <c r="BP3" s="20" t="str">
        <f>_xll.ciqfunctions.udf.CIQ($A3, "IQ_NET_DEBT_EBITDA",IQ_LTM,DateToday,)</f>
        <v>NM</v>
      </c>
      <c r="BQ3" s="39">
        <f t="shared" si="5"/>
        <v>0.8016331339077406</v>
      </c>
      <c r="BR3" s="20">
        <f>_xll.ciqfunctions.udf.CIQ($A3, "IQ_EBITDA_INT",IQ_LTM,DateToday,)</f>
        <v>79.3095</v>
      </c>
      <c r="BS3" s="20">
        <f>_xll.ciqfunctions.udf.CIQ($A3, "IQ_EBITDA_CAPEX_INT",IQ_LTM,DateToday,)</f>
        <v>20.51643</v>
      </c>
      <c r="BT3" s="4">
        <f>_xll.ciqfunctions.udf.CIQ($A3, "IQ_TOTAL_DEBT_EQUITY",IQ_FQ,DateToday,)</f>
        <v>18.859400000000001</v>
      </c>
      <c r="BU3" s="4">
        <f>_xll.ciqfunctions.udf.CIQ($A3, "IQ_TOTAL_DEBT_CAPITAL",IQ_FQ,DateToday,)</f>
        <v>15.867000000000001</v>
      </c>
      <c r="BV3" s="4">
        <f>_xll.ciqfunctions.udf.CIQ($A3, "IQ_RETURN_EQUITY",IQ_LTM,DateToday)</f>
        <v>48.675600000000003</v>
      </c>
      <c r="BW3" s="4">
        <f>_xll.ciqfunctions.udf.CIQ($A3, "IQ_RETURN_ASSETS",IQ_LTM,DateToday)</f>
        <v>12.958500000000001</v>
      </c>
      <c r="BX3" s="4">
        <f>_xll.ciqfunctions.udf.CIQ($A3, "IQ_RETURN_INVESTED_CAPITAL",IQ_LTM,DateToday)</f>
        <v>40.022399999999998</v>
      </c>
      <c r="BY3" s="20">
        <f>_xll.ciqfunctions.udf.CIQ($A3, "IQ_CURRENT_RATIO",IQ_FQ,DateToday,)</f>
        <v>2.7239800000000001</v>
      </c>
      <c r="BZ3" s="20">
        <f>_xll.ciqfunctions.udf.CIQ($A3, "IQ_QUICK_RATIO",IQ_FQ,DateToday,)</f>
        <v>2.4712299999999998</v>
      </c>
      <c r="CA3" s="4">
        <f>_xll.ciqfunctions.udf.CIQ($A3, "IQ_DAYS_SALES_OUT",IQ_LTM,DateToday,)</f>
        <v>50.846330000000002</v>
      </c>
      <c r="CB3" s="4">
        <f>_xll.ciqfunctions.udf.CIQ($A3, "IQ_DAYS_INVENTORY_OUT",IQ_LTM,DateToday,)</f>
        <v>0</v>
      </c>
      <c r="CC3" s="4">
        <f>_xll.ciqfunctions.udf.CIQ($A3, "IQ_DAYS_PAYABLE_OUT",IQ_LTM,DateToday,)</f>
        <v>0</v>
      </c>
      <c r="CD3" s="4">
        <f>_xll.ciqfunctions.udf.CIQ($A3, "IQ_CASH_CONVERSION",IQ_LTM,DateToday,)</f>
        <v>0</v>
      </c>
      <c r="CE3" s="20">
        <f>_xll.ciqfunctions.udf.CIQ($A3, "IQ_ASSET_TURNS",IQ_LTM,DateToday,)</f>
        <v>0.62619999999999998</v>
      </c>
      <c r="CF3" s="20">
        <f>_xll.ciqfunctions.udf.CIQ($A3, "IQ_FIXED_ASSET_TURNS",IQ_LTM,DateToday,)</f>
        <v>1.6027</v>
      </c>
      <c r="CG3" s="20">
        <f>_xll.ciqfunctions.udf.CIQ($A3, "IQ_AR_TURNS",IQ_LTM,DateToday,)</f>
        <v>7.1784800000000004</v>
      </c>
      <c r="CH3" s="20">
        <f>_xll.ciqfunctions.udf.CIQ($A3, "IQ_INVENTORY_TURNS",IQ_LTM,DateToday,)</f>
        <v>0</v>
      </c>
      <c r="CI3"/>
      <c r="CJ3"/>
      <c r="CK3"/>
      <c r="CL3"/>
      <c r="CM3"/>
      <c r="CN3"/>
      <c r="CO3"/>
      <c r="CP3"/>
      <c r="CQ3"/>
      <c r="CR3"/>
      <c r="CS3"/>
      <c r="CT3"/>
      <c r="CU3"/>
      <c r="CV3"/>
      <c r="CW3"/>
      <c r="CX3"/>
      <c r="CY3"/>
      <c r="CZ3"/>
      <c r="DA3"/>
      <c r="DB3"/>
      <c r="DC3"/>
      <c r="DD3"/>
      <c r="DE3"/>
      <c r="DF3"/>
      <c r="DG3"/>
      <c r="DH3"/>
      <c r="DI3"/>
      <c r="DJ3"/>
      <c r="DK3"/>
      <c r="DL3"/>
      <c r="DM3"/>
      <c r="DN3"/>
      <c r="DO3"/>
      <c r="DP3"/>
      <c r="DQ3"/>
      <c r="DR3"/>
      <c r="DS3"/>
      <c r="DT3"/>
      <c r="DU3"/>
      <c r="DV3"/>
      <c r="DW3"/>
      <c r="DX3"/>
      <c r="DY3"/>
      <c r="DZ3"/>
      <c r="EA3"/>
      <c r="EB3"/>
      <c r="EC3"/>
      <c r="ED3"/>
      <c r="EE3"/>
      <c r="EF3"/>
      <c r="EG3"/>
      <c r="EH3"/>
      <c r="EI3"/>
      <c r="EJ3"/>
      <c r="EK3"/>
      <c r="EL3"/>
      <c r="EM3"/>
      <c r="EN3"/>
      <c r="EO3"/>
      <c r="EP3"/>
      <c r="EQ3"/>
      <c r="ER3"/>
      <c r="ES3"/>
      <c r="ET3"/>
      <c r="EU3"/>
      <c r="EV3"/>
      <c r="EW3"/>
      <c r="EX3"/>
      <c r="EY3"/>
      <c r="EZ3"/>
      <c r="FA3"/>
      <c r="FB3"/>
      <c r="FC3"/>
      <c r="FD3"/>
      <c r="FE3"/>
      <c r="FF3"/>
      <c r="FG3"/>
      <c r="FH3"/>
      <c r="FI3"/>
      <c r="FJ3"/>
      <c r="FK3"/>
      <c r="FL3"/>
    </row>
    <row r="4" spans="1:168" s="1" customFormat="1" x14ac:dyDescent="0.2">
      <c r="A4" s="36" t="str">
        <f>_xll.ciqfunctions.udf.CIQ($A$10,"IQ_QUICK_COMP",3)</f>
        <v>NasdaqGS:NVDA</v>
      </c>
      <c r="B4" s="36" t="str">
        <f>_xll.ciqfunctions.udf.CIQ($A4, "IQ_COMPANY_NAME")</f>
        <v>NVIDIA Corporation</v>
      </c>
      <c r="C4" s="13">
        <f>_xll.ciqfunctions.udf.CIQ($A4,"IQ_PERIODDATE",IQ_FY,DateToday)</f>
        <v>46047</v>
      </c>
      <c r="D4" s="13">
        <f>_xll.ciqfunctions.udf.CIQ($A4,"IQ_PERIODDATE",IQ_LTM,DateToday)</f>
        <v>46138</v>
      </c>
      <c r="E4" s="11">
        <f>_xll.ciqfunctions.udf.CIQ($A4, "IQ_LASTSALEPRICE",DateToday,Ccy,Conv)</f>
        <v>200.75</v>
      </c>
      <c r="F4" s="11">
        <f>_xll.ciqfunctions.udf.CIQ($A4, "IQ_YEARHIGH",DateToday,Ccy,Conv)</f>
        <v>236.54</v>
      </c>
      <c r="G4" s="11">
        <f>_xll.ciqfunctions.udf.CIQ($A4, "IQ_YEARLOW",DateToday,Ccy,Conv)</f>
        <v>164.07</v>
      </c>
      <c r="H4" s="37">
        <f t="shared" si="0"/>
        <v>0.84869366703305993</v>
      </c>
      <c r="I4" s="37">
        <f t="shared" si="1"/>
        <v>1.2235631133052967</v>
      </c>
      <c r="J4" s="4">
        <f>_xll.ciqfunctions.udf.CIQ($A4, "IQ_SHARESOUTSTANDING",DateToday)</f>
        <v>24220.525229999999</v>
      </c>
      <c r="K4" s="22">
        <f t="shared" si="2"/>
        <v>4862270.4399224995</v>
      </c>
      <c r="L4" s="4">
        <f>_xll.ciqfunctions.udf.CIQ($A4, "IQ_CASH_ST_INVEST",IQ_FQ,DateToday,,"F",Ccy,Conv)</f>
        <v>53172</v>
      </c>
      <c r="M4" s="4">
        <f>_xll.ciqfunctions.udf.CIQ($A4, "IQ_TOTAL_DEBT",IQ_FQ,DateToday,,"F",Ccy,Conv)</f>
        <v>12814</v>
      </c>
      <c r="N4" s="4">
        <f>_xll.ciqfunctions.udf.CIQ($A4, "IQ_PREF_EQUITY",IQ_FQ,DateToday,,"F",Ccy,Conv)</f>
        <v>0</v>
      </c>
      <c r="O4" s="4">
        <f>_xll.ciqfunctions.udf.CIQ($A4, "IQ_MINORITY_INTEREST_TOTAL",IQ_FQ,DateToday,,"F",Ccy,Conv)</f>
        <v>0</v>
      </c>
      <c r="P4" s="22">
        <f t="shared" si="6"/>
        <v>4821912.4399224995</v>
      </c>
      <c r="Q4" s="4">
        <f>_xll.ciqfunctions.udf.CIQ($A4, "IQ_TOTAL_REV", IQ_FY,DateToday,,,Ccy,Conv)</f>
        <v>215938</v>
      </c>
      <c r="R4" s="4">
        <f>_xll.ciqfunctions.udf.CIQ($A4, "IQ_TOTAL_REV", IQ_LTM,DateToday,,,Ccy,Conv)</f>
        <v>253491</v>
      </c>
      <c r="S4" s="4">
        <f>_xll.ciqfunctions.udf.CIQ($A4, "IQ_REVENUE_EST", IQ_CY+ 1,DateToday,,,Ccy,Conv)</f>
        <v>393852.73210000002</v>
      </c>
      <c r="T4" s="4">
        <f>_xll.ciqfunctions.udf.CIQ($A4, "IQ_REVENUE_EST", IQ_CY+ 2,DateToday,,,Ccy,Conv)</f>
        <v>561509.43987</v>
      </c>
      <c r="U4" s="4">
        <f>_xll.ciqfunctions.udf.CIQ($A4, "IQ_EBITDA", IQ_FY,DateToday,,,Ccy,Conv)</f>
        <v>133230</v>
      </c>
      <c r="V4" s="4">
        <f>_xll.ciqfunctions.udf.CIQ($A4, "IQ_EBITDA", IQ_LTM,DateToday,,,Ccy,Conv)</f>
        <v>165514</v>
      </c>
      <c r="W4" s="4">
        <f>_xll.ciqfunctions.udf.CIQ($A4, "IQ_EBITDA_EST", IQ_CY+ 1,DateToday,,,Ccy,Conv)</f>
        <v>265954.47058000002</v>
      </c>
      <c r="X4" s="4">
        <f>_xll.ciqfunctions.udf.CIQ($A4, "IQ_EBITDA_EST", IQ_CY+ 2,DateToday,,,Ccy,Conv)</f>
        <v>384303.71688000002</v>
      </c>
      <c r="Y4" s="11">
        <f>_xll.ciqfunctions.udf.CIQ($A4, "IQ_DILUT_EPS_EXCL", IQ_FY,DateToday,,,Ccy,Conv)</f>
        <v>4.9000000000000004</v>
      </c>
      <c r="Z4" s="11">
        <f>_xll.ciqfunctions.udf.CIQ($A4, "IQ_DILUT_EPS_EXCL", IQ_LTM,DateToday,,,Ccy,Conv)</f>
        <v>6.5296500000000002</v>
      </c>
      <c r="AA4" s="11">
        <f>_xll.ciqfunctions.udf.CIQ($A4, "IQ_EPS_EST", IQ_CY+ 1,DateToday,,,Ccy,Conv)</f>
        <v>8.9957399999999996</v>
      </c>
      <c r="AB4" s="11">
        <f>_xll.ciqfunctions.udf.CIQ($A4, "IQ_EPS_EST", IQ_CY+ 2,DateToday,,,Ccy,Conv)</f>
        <v>12.89043</v>
      </c>
      <c r="AC4" s="20">
        <f>_xll.ciqfunctions.udf.CIQ($A4, "IQ_TEV_TOTAL_REV",IQ_LTM,#REF!)</f>
        <v>19.022030000000001</v>
      </c>
      <c r="AD4" s="20">
        <f>_xll.ciqfunctions.udf.CIQ($A4, "IQ_TEV_TOTAL_REV",IQ_LTM,DateToday)</f>
        <v>19.022030000000001</v>
      </c>
      <c r="AE4" s="38">
        <f t="shared" si="3"/>
        <v>12.242932565713943</v>
      </c>
      <c r="AF4" s="38">
        <f t="shared" si="4"/>
        <v>8.5874111769854888</v>
      </c>
      <c r="AG4" s="20">
        <f>_xll.ciqfunctions.udf.CIQ($A4, "IQ_TEV_EBITDA",IQ_LTM,#REF!)</f>
        <v>29.039619999999999</v>
      </c>
      <c r="AH4" s="20">
        <f>_xll.ciqfunctions.udf.CIQ($A4, "IQ_TEV_EBITDA",IQ_LTM,DateToday)</f>
        <v>29.039619999999999</v>
      </c>
      <c r="AI4" s="20">
        <f>_xll.ciqfunctions.udf.CIQ($A4, "IQ_TEV_EBITDA_FWD",IQ_CY+1,DateToday)</f>
        <v>18.130590000000002</v>
      </c>
      <c r="AJ4" s="20">
        <f>_xll.ciqfunctions.udf.CIQ($A4, "IQ_TEV_EBITDA_FWD",IQ_CY+2,DateToday)</f>
        <v>12.547140000000001</v>
      </c>
      <c r="AK4" s="20">
        <f>_xll.ciqfunctions.udf.CIQ($A4, "IQ_PE_EXCL",IQ_LTM,#REF!)</f>
        <v>30.74437</v>
      </c>
      <c r="AL4" s="20">
        <f>_xll.ciqfunctions.udf.CIQ($A4, "IQ_PE_EXCL",IQ_LTM,DateToday)</f>
        <v>30.74437</v>
      </c>
      <c r="AM4" s="20">
        <f>_xll.ciqfunctions.udf.CIQ($A4, "IQ_PE_EXCL_FWD",IQ_CY+1,DateToday)</f>
        <v>22.316120000000002</v>
      </c>
      <c r="AN4" s="20">
        <f>_xll.ciqfunctions.udf.CIQ($A4, "IQ_PE_EXCL_FWD",IQ_CY+2,DateToday)</f>
        <v>15.57357</v>
      </c>
      <c r="AO4" s="20">
        <f>_xll.ciqfunctions.udf.CIQ($A4, "IQ_PBV",IQ_LTM,DateToday,)</f>
        <v>24.874749999999999</v>
      </c>
      <c r="AP4" s="20">
        <f>_xll.ciqfunctions.udf.CIQ($A4, "IQ_PTBV",IQ_LTM,DateToday,)</f>
        <v>28.358599999999999</v>
      </c>
      <c r="AQ4" s="4">
        <f>_xll.ciqfunctions.udf.CIQ($A4, "IQ_GROSS_MARGIN", IQ_FY- 2,DateToday,)</f>
        <v>72.717500000000001</v>
      </c>
      <c r="AR4" s="4">
        <f>_xll.ciqfunctions.udf.CIQ($A4, "IQ_GROSS_MARGIN", IQ_FY- 1,DateToday,)</f>
        <v>74.988600000000005</v>
      </c>
      <c r="AS4" s="4">
        <f>_xll.ciqfunctions.udf.CIQ($A4, "IQ_GROSS_MARGIN", IQ_FY,DateToday,)</f>
        <v>71.067999999999998</v>
      </c>
      <c r="AT4" s="4">
        <f>_xll.ciqfunctions.udf.CIQ($A4, "IQ_GROSS_MARGIN", IQ_LTM,DateToday,)</f>
        <v>74.145399999999995</v>
      </c>
      <c r="AU4" s="4">
        <f>_xll.ciqfunctions.udf.CIQ($A4, "IQ_EBITDA_MARGIN", IQ_FY- 2,DateToday,)</f>
        <v>56.596899999999998</v>
      </c>
      <c r="AV4" s="4">
        <f>_xll.ciqfunctions.udf.CIQ($A4, "IQ_EBITDA_MARGIN", IQ_FY- 1,DateToday,)</f>
        <v>63.8459</v>
      </c>
      <c r="AW4" s="4">
        <f>_xll.ciqfunctions.udf.CIQ($A4, "IQ_EBITDA_MARGIN", IQ_FY,DateToday,)</f>
        <v>61.6982</v>
      </c>
      <c r="AX4" s="4">
        <f>_xll.ciqfunctions.udf.CIQ($A4, "IQ_EBITDA_MARGIN", IQ_LTM,DateToday,)</f>
        <v>65.293800000000005</v>
      </c>
      <c r="AY4" s="4">
        <f>_xll.ciqfunctions.udf.CIQ($A4, "IQ_NI_MARGIN", IQ_FY- 2,DateToday,)</f>
        <v>48.849299999999999</v>
      </c>
      <c r="AZ4" s="4">
        <f>_xll.ciqfunctions.udf.CIQ($A4, "IQ_NI_MARGIN", IQ_FY- 1,DateToday,)</f>
        <v>55.847999999999999</v>
      </c>
      <c r="BA4" s="4">
        <f>_xll.ciqfunctions.udf.CIQ($A4, "IQ_NI_MARGIN", IQ_FY,DateToday,)</f>
        <v>55.602499999999999</v>
      </c>
      <c r="BB4" s="4">
        <f>_xll.ciqfunctions.udf.CIQ($A4, "IQ_NI_MARGIN", IQ_LTM,DateToday,)</f>
        <v>62.965899999999998</v>
      </c>
      <c r="BC4" s="4">
        <f>_xll.ciqfunctions.udf.CIQ($A4, "IQ_TOTAL_REV_5YR_ANN_CAGR",IQ_LTM,DateToday,)</f>
        <v>67.447699999999998</v>
      </c>
      <c r="BD4" s="4">
        <f>_xll.ciqfunctions.udf.CIQ($A4, "IQ_TOTAL_REV_3YR_ANN_CAGR",IQ_LTM,DateToday,)</f>
        <v>113.96559999999999</v>
      </c>
      <c r="BE4" s="4">
        <f>_xll.ciqfunctions.udf.CIQ($A4, "IQ_TOTAL_REV_1YR_ANN_GROWTH", IQ_FY,DateToday,)</f>
        <v>65.473500000000001</v>
      </c>
      <c r="BF4" s="4">
        <f>_xll.ciqfunctions.udf.CIQ($A4, "IQ_TOTAL_REV_1YR_ANN_GROWTH",IQ_LTM,DateToday,)</f>
        <v>70.683700000000002</v>
      </c>
      <c r="BG4" s="4">
        <f>_xll.ciqfunctions.udf.CIQ($A4, "IQ_EBITDA_5YR_ANN_CAGR",IQ_LTM,DateToday,)</f>
        <v>88.400899999999993</v>
      </c>
      <c r="BH4" s="4">
        <f>_xll.ciqfunctions.udf.CIQ($A4, "IQ_EBITDA_3YR_ANN_CAGR",IQ_LTM,DateToday,)</f>
        <v>200.65780000000001</v>
      </c>
      <c r="BI4" s="4">
        <f>_xll.ciqfunctions.udf.CIQ($A4, "IQ_EBITDA_1YR_ANN_GROWTH", IQ_FY,DateToday,)</f>
        <v>59.907299999999999</v>
      </c>
      <c r="BJ4" s="4">
        <f>_xll.ciqfunctions.udf.CIQ($A4, "IQ_EBITDA_1YR_ANN_GROWTH",IQ_LTM,DateToday,)</f>
        <v>87.557599999999994</v>
      </c>
      <c r="BK4" s="4">
        <f>_xll.ciqfunctions.udf.CIQ($A4, "IQ_EPS_5YR_ANN_CAGR",IQ_LTM,DateToday,)</f>
        <v>98.435699999999997</v>
      </c>
      <c r="BL4" s="4">
        <f>_xll.ciqfunctions.udf.CIQ($A4, "IQ_EPS_3YR_ANN_CAGR",IQ_LTM,DateToday,)</f>
        <v>225.3612</v>
      </c>
      <c r="BM4" s="4">
        <f>_xll.ciqfunctions.udf.CIQ($A4, "IQ_EPS_1YR_ANN_GROWTH", IQ_FY,DateToday,)</f>
        <v>66.666600000000003</v>
      </c>
      <c r="BN4" s="4">
        <f>_xll.ciqfunctions.udf.CIQ($A4, "IQ_EPS_1YR_ANN_GROWTH", IQ_LTM,DateToday,)</f>
        <v>110.58459999999999</v>
      </c>
      <c r="BO4" s="20">
        <f>_xll.ciqfunctions.udf.CIQ($A4, "IQ_TOTAL_DEBT_EBITDA",IQ_LTM,DateToday,)</f>
        <v>7.7170000000000002E-2</v>
      </c>
      <c r="BP4" s="20" t="str">
        <f>_xll.ciqfunctions.udf.CIQ($A4, "IQ_NET_DEBT_EBITDA",IQ_LTM,DateToday,)</f>
        <v>NM</v>
      </c>
      <c r="BQ4" s="39">
        <f t="shared" si="5"/>
        <v>7.7419432797225615E-2</v>
      </c>
      <c r="BR4" s="20">
        <f>_xll.ciqfunctions.udf.CIQ($A4, "IQ_EBITDA_INT",IQ_LTM,DateToday,)</f>
        <v>557.20133999999996</v>
      </c>
      <c r="BS4" s="20">
        <f>_xll.ciqfunctions.udf.CIQ($A4, "IQ_EBITDA_CAPEX_INT",IQ_LTM,DateToday,)</f>
        <v>535.14765</v>
      </c>
      <c r="BT4" s="4">
        <f>_xll.ciqfunctions.udf.CIQ($A4, "IQ_TOTAL_DEBT_EQUITY",IQ_FQ,DateToday,)</f>
        <v>6.5552999999999999</v>
      </c>
      <c r="BU4" s="4">
        <f>_xll.ciqfunctions.udf.CIQ($A4, "IQ_TOTAL_DEBT_CAPITAL",IQ_FQ,DateToday,)</f>
        <v>6.1520000000000001</v>
      </c>
      <c r="BV4" s="4">
        <f>_xll.ciqfunctions.udf.CIQ($A4, "IQ_RETURN_EQUITY",IQ_LTM,DateToday)</f>
        <v>114.288</v>
      </c>
      <c r="BW4" s="4">
        <f>_xll.ciqfunctions.udf.CIQ($A4, "IQ_RETURN_ASSETS",IQ_LTM,DateToday)</f>
        <v>52.7271</v>
      </c>
      <c r="BX4" s="4">
        <f>_xll.ciqfunctions.udf.CIQ($A4, "IQ_RETURN_INVESTED_CAPITAL",IQ_LTM,DateToday)</f>
        <v>104.91500000000001</v>
      </c>
      <c r="BY4" s="20">
        <f>_xll.ciqfunctions.udf.CIQ($A4, "IQ_CURRENT_RATIO",IQ_FQ,DateToday,)</f>
        <v>3.4407800000000002</v>
      </c>
      <c r="BZ4" s="20">
        <f>_xll.ciqfunctions.udf.CIQ($A4, "IQ_QUICK_RATIO",IQ_FQ,DateToday,)</f>
        <v>2.1393200000000001</v>
      </c>
      <c r="CA4" s="4">
        <f>_xll.ciqfunctions.udf.CIQ($A4, "IQ_DAYS_SALES_OUT",IQ_LTM,DateToday,)</f>
        <v>45.11889</v>
      </c>
      <c r="CB4" s="4">
        <f>_xll.ciqfunctions.udf.CIQ($A4, "IQ_DAYS_INVENTORY_OUT",IQ_LTM,DateToday,)</f>
        <v>103.10881999999999</v>
      </c>
      <c r="CC4" s="4">
        <f>_xll.ciqfunctions.udf.CIQ($A4, "IQ_DAYS_PAYABLE_OUT",IQ_LTM,DateToday,)</f>
        <v>46.471879999999999</v>
      </c>
      <c r="CD4" s="4">
        <f>_xll.ciqfunctions.udf.CIQ($A4, "IQ_CASH_CONVERSION",IQ_LTM,DateToday,)</f>
        <v>101.75584000000001</v>
      </c>
      <c r="CE4" s="20">
        <f>_xll.ciqfunctions.udf.CIQ($A4, "IQ_ASSET_TURNS",IQ_LTM,DateToday,)</f>
        <v>1.3177700000000001</v>
      </c>
      <c r="CF4" s="20">
        <f>_xll.ciqfunctions.udf.CIQ($A4, "IQ_FIXED_ASSET_TURNS",IQ_LTM,DateToday,)</f>
        <v>19.798570000000002</v>
      </c>
      <c r="CG4" s="20">
        <f>_xll.ciqfunctions.udf.CIQ($A4, "IQ_AR_TURNS",IQ_LTM,DateToday,)</f>
        <v>8.0675699999999999</v>
      </c>
      <c r="CH4" s="20">
        <f>_xll.ciqfunctions.udf.CIQ($A4, "IQ_INVENTORY_TURNS",IQ_LTM,DateToday,)</f>
        <v>3.5302500000000001</v>
      </c>
      <c r="CI4"/>
      <c r="CJ4"/>
      <c r="CK4"/>
      <c r="CL4"/>
      <c r="CM4"/>
      <c r="CN4"/>
      <c r="CO4"/>
      <c r="CP4"/>
      <c r="CQ4"/>
      <c r="CR4"/>
      <c r="CS4"/>
      <c r="CT4"/>
      <c r="CU4"/>
      <c r="CV4"/>
      <c r="CW4"/>
      <c r="CX4"/>
      <c r="CY4"/>
      <c r="CZ4"/>
      <c r="DA4"/>
      <c r="DB4"/>
      <c r="DC4"/>
      <c r="DD4"/>
      <c r="DE4"/>
      <c r="DF4"/>
      <c r="DG4"/>
      <c r="DH4"/>
      <c r="DI4"/>
      <c r="DJ4"/>
      <c r="DK4"/>
      <c r="DL4"/>
      <c r="DM4"/>
      <c r="DN4"/>
      <c r="DO4"/>
      <c r="DP4"/>
      <c r="DQ4"/>
      <c r="DR4"/>
      <c r="DS4"/>
      <c r="DT4"/>
      <c r="DU4"/>
      <c r="DV4"/>
      <c r="DW4"/>
      <c r="DX4"/>
      <c r="DY4"/>
      <c r="DZ4"/>
      <c r="EA4"/>
      <c r="EB4"/>
      <c r="EC4"/>
      <c r="ED4"/>
      <c r="EE4"/>
      <c r="EF4"/>
      <c r="EG4"/>
      <c r="EH4"/>
      <c r="EI4"/>
      <c r="EJ4"/>
      <c r="EK4"/>
      <c r="EL4"/>
      <c r="EM4"/>
      <c r="EN4"/>
      <c r="EO4"/>
      <c r="EP4"/>
      <c r="EQ4"/>
      <c r="ER4"/>
      <c r="ES4"/>
      <c r="ET4"/>
      <c r="EU4"/>
      <c r="EV4"/>
      <c r="EW4"/>
      <c r="EX4"/>
      <c r="EY4"/>
      <c r="EZ4"/>
      <c r="FA4"/>
      <c r="FB4"/>
      <c r="FC4"/>
      <c r="FD4"/>
      <c r="FE4"/>
      <c r="FF4"/>
      <c r="FG4"/>
      <c r="FH4"/>
      <c r="FI4"/>
      <c r="FJ4"/>
      <c r="FK4"/>
      <c r="FL4"/>
    </row>
    <row r="5" spans="1:168" s="1" customFormat="1" x14ac:dyDescent="0.2">
      <c r="A5" s="36" t="str">
        <f>_xll.ciqfunctions.udf.CIQ($A$10,"IQ_QUICK_COMP",4)</f>
        <v>NYSE:CRM</v>
      </c>
      <c r="B5" s="36" t="str">
        <f>_xll.ciqfunctions.udf.CIQ($A5, "IQ_COMPANY_NAME")</f>
        <v>Salesforce, Inc.</v>
      </c>
      <c r="C5" s="13">
        <f>_xll.ciqfunctions.udf.CIQ($A5,"IQ_PERIODDATE",IQ_FY,DateToday)</f>
        <v>46053</v>
      </c>
      <c r="D5" s="13">
        <f>_xll.ciqfunctions.udf.CIQ($A5,"IQ_PERIODDATE",IQ_LTM,DateToday)</f>
        <v>46142</v>
      </c>
      <c r="E5" s="11">
        <f>_xll.ciqfunctions.udf.CIQ($A5, "IQ_LASTSALEPRICE",DateToday,Ccy,Conv)</f>
        <v>184.02</v>
      </c>
      <c r="F5" s="11">
        <f>_xll.ciqfunctions.udf.CIQ($A5, "IQ_YEARHIGH",DateToday,Ccy,Conv)</f>
        <v>269.11</v>
      </c>
      <c r="G5" s="11">
        <f>_xll.ciqfunctions.udf.CIQ($A5, "IQ_YEARLOW",DateToday,Ccy,Conv)</f>
        <v>146.32</v>
      </c>
      <c r="H5" s="37">
        <f t="shared" si="0"/>
        <v>0.68380959458957302</v>
      </c>
      <c r="I5" s="37">
        <f t="shared" si="1"/>
        <v>1.2576544559868783</v>
      </c>
      <c r="J5" s="4">
        <f>_xll.ciqfunctions.udf.CIQ($A5, "IQ_SHARESOUTSTANDING",DateToday)</f>
        <v>819</v>
      </c>
      <c r="K5" s="22">
        <f t="shared" si="2"/>
        <v>150712.38</v>
      </c>
      <c r="L5" s="4">
        <f>_xll.ciqfunctions.udf.CIQ($A5, "IQ_CASH_ST_INVEST",IQ_FQ,DateToday,,"F",Ccy,Conv)</f>
        <v>11837</v>
      </c>
      <c r="M5" s="4">
        <f>_xll.ciqfunctions.udf.CIQ($A5, "IQ_TOTAL_DEBT",IQ_FQ,DateToday,,"F",Ccy,Conv)</f>
        <v>42548</v>
      </c>
      <c r="N5" s="4">
        <f>_xll.ciqfunctions.udf.CIQ($A5, "IQ_PREF_EQUITY",IQ_FQ,DateToday,,"F",Ccy,Conv)</f>
        <v>0</v>
      </c>
      <c r="O5" s="4">
        <f>_xll.ciqfunctions.udf.CIQ($A5, "IQ_MINORITY_INTEREST_TOTAL",IQ_FQ,DateToday,,"F",Ccy,Conv)</f>
        <v>0</v>
      </c>
      <c r="P5" s="22">
        <f t="shared" si="6"/>
        <v>181423.38</v>
      </c>
      <c r="Q5" s="4">
        <f>_xll.ciqfunctions.udf.CIQ($A5, "IQ_TOTAL_REV", IQ_FY,DateToday,,,Ccy,Conv)</f>
        <v>41525</v>
      </c>
      <c r="R5" s="4">
        <f>_xll.ciqfunctions.udf.CIQ($A5, "IQ_TOTAL_REV", IQ_LTM,DateToday,,,Ccy,Conv)</f>
        <v>42829</v>
      </c>
      <c r="S5" s="4">
        <f>_xll.ciqfunctions.udf.CIQ($A5, "IQ_REVENUE_EST", IQ_CY+ 1,DateToday,,,Ccy,Conv)</f>
        <v>46106.759680000003</v>
      </c>
      <c r="T5" s="4">
        <f>_xll.ciqfunctions.udf.CIQ($A5, "IQ_REVENUE_EST", IQ_CY+ 2,DateToday,,,Ccy,Conv)</f>
        <v>50513.597609999997</v>
      </c>
      <c r="U5" s="4">
        <f>_xll.ciqfunctions.udf.CIQ($A5, "IQ_EBITDA", IQ_FY,DateToday,,,Ccy,Conv)</f>
        <v>12548</v>
      </c>
      <c r="V5" s="4">
        <f>_xll.ciqfunctions.udf.CIQ($A5, "IQ_EBITDA", IQ_LTM,DateToday,,,Ccy,Conv)</f>
        <v>12895</v>
      </c>
      <c r="W5" s="4">
        <f>_xll.ciqfunctions.udf.CIQ($A5, "IQ_EBITDA_EST", IQ_CY+ 1,DateToday,,,Ccy,Conv)</f>
        <v>17911.74368</v>
      </c>
      <c r="X5" s="4">
        <f>_xll.ciqfunctions.udf.CIQ($A5, "IQ_EBITDA_EST", IQ_CY+ 2,DateToday,,,Ccy,Conv)</f>
        <v>19336.410090000001</v>
      </c>
      <c r="Y5" s="11">
        <f>_xll.ciqfunctions.udf.CIQ($A5, "IQ_DILUT_EPS_EXCL", IQ_FY,DateToday,,,Ccy,Conv)</f>
        <v>7.8</v>
      </c>
      <c r="Z5" s="11">
        <f>_xll.ciqfunctions.udf.CIQ($A5, "IQ_DILUT_EPS_EXCL", IQ_LTM,DateToday,,,Ccy,Conv)</f>
        <v>8.6145700000000005</v>
      </c>
      <c r="AA5" s="11">
        <f>_xll.ciqfunctions.udf.CIQ($A5, "IQ_EPS_EST", IQ_CY+ 1,DateToday,,,Ccy,Conv)</f>
        <v>14.133319999999999</v>
      </c>
      <c r="AB5" s="11">
        <f>_xll.ciqfunctions.udf.CIQ($A5, "IQ_EPS_EST", IQ_CY+ 2,DateToday,,,Ccy,Conv)</f>
        <v>15.51229</v>
      </c>
      <c r="AC5" s="20">
        <f>_xll.ciqfunctions.udf.CIQ($A5, "IQ_TEV_TOTAL_REV",IQ_LTM,#REF!)</f>
        <v>4.2359900000000001</v>
      </c>
      <c r="AD5" s="20">
        <f>_xll.ciqfunctions.udf.CIQ($A5, "IQ_TEV_TOTAL_REV",IQ_LTM,DateToday)</f>
        <v>4.2359900000000001</v>
      </c>
      <c r="AE5" s="38">
        <f t="shared" si="3"/>
        <v>3.9348542656034247</v>
      </c>
      <c r="AF5" s="38">
        <f t="shared" si="4"/>
        <v>3.591575112125537</v>
      </c>
      <c r="AG5" s="20">
        <f>_xll.ciqfunctions.udf.CIQ($A5, "IQ_TEV_EBITDA",IQ_LTM,#REF!)</f>
        <v>13.430809999999999</v>
      </c>
      <c r="AH5" s="20">
        <f>_xll.ciqfunctions.udf.CIQ($A5, "IQ_TEV_EBITDA",IQ_LTM,DateToday)</f>
        <v>13.430809999999999</v>
      </c>
      <c r="AI5" s="20">
        <f>_xll.ciqfunctions.udf.CIQ($A5, "IQ_TEV_EBITDA_FWD",IQ_CY+1,DateToday)</f>
        <v>10.128740000000001</v>
      </c>
      <c r="AJ5" s="20">
        <f>_xll.ciqfunctions.udf.CIQ($A5, "IQ_TEV_EBITDA_FWD",IQ_CY+2,DateToday)</f>
        <v>9.3824699999999996</v>
      </c>
      <c r="AK5" s="20">
        <f>_xll.ciqfunctions.udf.CIQ($A5, "IQ_PE_EXCL",IQ_LTM,#REF!)</f>
        <v>21.36148</v>
      </c>
      <c r="AL5" s="20">
        <f>_xll.ciqfunctions.udf.CIQ($A5, "IQ_PE_EXCL",IQ_LTM,DateToday)</f>
        <v>21.36148</v>
      </c>
      <c r="AM5" s="20">
        <f>_xll.ciqfunctions.udf.CIQ($A5, "IQ_PE_EXCL_FWD",IQ_CY+1,DateToday)</f>
        <v>13.020300000000001</v>
      </c>
      <c r="AN5" s="20">
        <f>_xll.ciqfunctions.udf.CIQ($A5, "IQ_PE_EXCL_FWD",IQ_CY+2,DateToday)</f>
        <v>11.86285</v>
      </c>
      <c r="AO5" s="20">
        <f>_xll.ciqfunctions.udf.CIQ($A5, "IQ_PBV",IQ_LTM,DateToday,)</f>
        <v>4.4022899999999998</v>
      </c>
      <c r="AP5" s="20" t="str">
        <f>_xll.ciqfunctions.udf.CIQ($A5, "IQ_PTBV",IQ_LTM,DateToday,)</f>
        <v>NM</v>
      </c>
      <c r="AQ5" s="4">
        <f>_xll.ciqfunctions.udf.CIQ($A5, "IQ_GROSS_MARGIN", IQ_FY- 2,DateToday,)</f>
        <v>75.497</v>
      </c>
      <c r="AR5" s="4">
        <f>_xll.ciqfunctions.udf.CIQ($A5, "IQ_GROSS_MARGIN", IQ_FY- 1,DateToday,)</f>
        <v>77.1922</v>
      </c>
      <c r="AS5" s="4">
        <f>_xll.ciqfunctions.udf.CIQ($A5, "IQ_GROSS_MARGIN", IQ_FY,DateToday,)</f>
        <v>77.676000000000002</v>
      </c>
      <c r="AT5" s="4">
        <f>_xll.ciqfunctions.udf.CIQ($A5, "IQ_GROSS_MARGIN", IQ_LTM,DateToday,)</f>
        <v>77.643600000000006</v>
      </c>
      <c r="AU5" s="4">
        <f>_xll.ciqfunctions.udf.CIQ($A5, "IQ_EBITDA_MARGIN", IQ_FY- 2,DateToday,)</f>
        <v>28.568100000000001</v>
      </c>
      <c r="AV5" s="4">
        <f>_xll.ciqfunctions.udf.CIQ($A5, "IQ_EBITDA_MARGIN", IQ_FY- 1,DateToday,)</f>
        <v>29.404900000000001</v>
      </c>
      <c r="AW5" s="4">
        <f>_xll.ciqfunctions.udf.CIQ($A5, "IQ_EBITDA_MARGIN", IQ_FY,DateToday,)</f>
        <v>30.2179</v>
      </c>
      <c r="AX5" s="4">
        <f>_xll.ciqfunctions.udf.CIQ($A5, "IQ_EBITDA_MARGIN", IQ_LTM,DateToday,)</f>
        <v>30.1081</v>
      </c>
      <c r="AY5" s="4">
        <f>_xll.ciqfunctions.udf.CIQ($A5, "IQ_NI_MARGIN", IQ_FY- 2,DateToday,)</f>
        <v>11.865600000000001</v>
      </c>
      <c r="AZ5" s="4">
        <f>_xll.ciqfunctions.udf.CIQ($A5, "IQ_NI_MARGIN", IQ_FY- 1,DateToday,)</f>
        <v>16.353000000000002</v>
      </c>
      <c r="BA5" s="4">
        <f>_xll.ciqfunctions.udf.CIQ($A5, "IQ_NI_MARGIN", IQ_FY,DateToday,)</f>
        <v>17.957799999999999</v>
      </c>
      <c r="BB5" s="4">
        <f>_xll.ciqfunctions.udf.CIQ($A5, "IQ_NI_MARGIN", IQ_LTM,DateToday,)</f>
        <v>18.732600000000001</v>
      </c>
      <c r="BC5" s="4">
        <f>_xll.ciqfunctions.udf.CIQ($A5, "IQ_TOTAL_REV_5YR_ANN_CAGR",IQ_LTM,DateToday,)</f>
        <v>13.8917</v>
      </c>
      <c r="BD5" s="4">
        <f>_xll.ciqfunctions.udf.CIQ($A5, "IQ_TOTAL_REV_3YR_ANN_CAGR",IQ_LTM,DateToday,)</f>
        <v>9.9886999999999997</v>
      </c>
      <c r="BE5" s="4">
        <f>_xll.ciqfunctions.udf.CIQ($A5, "IQ_TOTAL_REV_1YR_ANN_GROWTH", IQ_FY,DateToday,)</f>
        <v>9.5791000000000004</v>
      </c>
      <c r="BF5" s="4">
        <f>_xll.ciqfunctions.udf.CIQ($A5, "IQ_TOTAL_REV_1YR_ANN_GROWTH",IQ_LTM,DateToday,)</f>
        <v>10.9818</v>
      </c>
      <c r="BG5" s="4">
        <f>_xll.ciqfunctions.udf.CIQ($A5, "IQ_EBITDA_5YR_ANN_CAGR",IQ_LTM,DateToday,)</f>
        <v>27.533999999999999</v>
      </c>
      <c r="BH5" s="4">
        <f>_xll.ciqfunctions.udf.CIQ($A5, "IQ_EBITDA_3YR_ANN_CAGR",IQ_LTM,DateToday,)</f>
        <v>22.0365</v>
      </c>
      <c r="BI5" s="4">
        <f>_xll.ciqfunctions.udf.CIQ($A5, "IQ_EBITDA_1YR_ANN_GROWTH", IQ_FY,DateToday,)</f>
        <v>12.6088</v>
      </c>
      <c r="BJ5" s="4">
        <f>_xll.ciqfunctions.udf.CIQ($A5, "IQ_EBITDA_1YR_ANN_GROWTH",IQ_LTM,DateToday,)</f>
        <v>13.432399999999999</v>
      </c>
      <c r="BK5" s="4">
        <f>_xll.ciqfunctions.udf.CIQ($A5, "IQ_EPS_5YR_ANN_CAGR",IQ_LTM,DateToday,)</f>
        <v>12.6774</v>
      </c>
      <c r="BL5" s="4">
        <f>_xll.ciqfunctions.udf.CIQ($A5, "IQ_EPS_3YR_ANN_CAGR",IQ_LTM,DateToday,)</f>
        <v>183.19120000000001</v>
      </c>
      <c r="BM5" s="4">
        <f>_xll.ciqfunctions.udf.CIQ($A5, "IQ_EPS_1YR_ANN_GROWTH", IQ_FY,DateToday,)</f>
        <v>22.641500000000001</v>
      </c>
      <c r="BN5" s="4">
        <f>_xll.ciqfunctions.udf.CIQ($A5, "IQ_EPS_1YR_ANN_GROWTH", IQ_LTM,DateToday,)</f>
        <v>34.803600000000003</v>
      </c>
      <c r="BO5" s="20">
        <f>_xll.ciqfunctions.udf.CIQ($A5, "IQ_TOTAL_DEBT_EBITDA",IQ_LTM,DateToday,)</f>
        <v>3.1498400000000002</v>
      </c>
      <c r="BP5" s="20">
        <f>_xll.ciqfunctions.udf.CIQ($A5, "IQ_NET_DEBT_EBITDA",IQ_LTM,DateToday,)</f>
        <v>2.2735400000000001</v>
      </c>
      <c r="BQ5" s="39">
        <f t="shared" si="5"/>
        <v>3.2995734780922836</v>
      </c>
      <c r="BR5" s="20">
        <f>_xll.ciqfunctions.udf.CIQ($A5, "IQ_EBITDA_INT",IQ_LTM,DateToday,)</f>
        <v>22.588629999999998</v>
      </c>
      <c r="BS5" s="20">
        <f>_xll.ciqfunctions.udf.CIQ($A5, "IQ_EBITDA_CAPEX_INT",IQ_LTM,DateToday,)</f>
        <v>21.652170000000002</v>
      </c>
      <c r="BT5" s="4">
        <f>_xll.ciqfunctions.udf.CIQ($A5, "IQ_TOTAL_DEBT_EQUITY",IQ_FQ,DateToday,)</f>
        <v>124.2821</v>
      </c>
      <c r="BU5" s="4">
        <f>_xll.ciqfunctions.udf.CIQ($A5, "IQ_TOTAL_DEBT_CAPITAL",IQ_FQ,DateToday,)</f>
        <v>55.4133</v>
      </c>
      <c r="BV5" s="4">
        <f>_xll.ciqfunctions.udf.CIQ($A5, "IQ_RETURN_EQUITY",IQ_LTM,DateToday)</f>
        <v>16.908100000000001</v>
      </c>
      <c r="BW5" s="4">
        <f>_xll.ciqfunctions.udf.CIQ($A5, "IQ_RETURN_ASSETS",IQ_LTM,DateToday)</f>
        <v>5.7028999999999996</v>
      </c>
      <c r="BX5" s="4">
        <f>_xll.ciqfunctions.udf.CIQ($A5, "IQ_RETURN_INVESTED_CAPITAL",IQ_LTM,DateToday)</f>
        <v>8.6613000000000007</v>
      </c>
      <c r="BY5" s="20">
        <f>_xll.ciqfunctions.udf.CIQ($A5, "IQ_CURRENT_RATIO",IQ_FQ,DateToday,)</f>
        <v>0.78586999999999996</v>
      </c>
      <c r="BZ5" s="20">
        <f>_xll.ciqfunctions.udf.CIQ($A5, "IQ_QUICK_RATIO",IQ_FQ,DateToday,)</f>
        <v>0.61512</v>
      </c>
      <c r="CA5" s="4">
        <f>_xll.ciqfunctions.udf.CIQ($A5, "IQ_DAYS_SALES_OUT",IQ_LTM,DateToday,)</f>
        <v>40.199280000000002</v>
      </c>
      <c r="CB5" s="4">
        <f>_xll.ciqfunctions.udf.CIQ($A5, "IQ_DAYS_INVENTORY_OUT",IQ_LTM,DateToday,)</f>
        <v>0</v>
      </c>
      <c r="CC5" s="4">
        <f>_xll.ciqfunctions.udf.CIQ($A5, "IQ_DAYS_PAYABLE_OUT",IQ_LTM,DateToday,)</f>
        <v>156.00648000000001</v>
      </c>
      <c r="CD5" s="4">
        <f>_xll.ciqfunctions.udf.CIQ($A5, "IQ_CASH_CONVERSION",IQ_LTM,DateToday,)</f>
        <v>0</v>
      </c>
      <c r="CE5" s="20">
        <f>_xll.ciqfunctions.udf.CIQ($A5, "IQ_ASSET_TURNS",IQ_LTM,DateToday,)</f>
        <v>0.41725000000000001</v>
      </c>
      <c r="CF5" s="20">
        <f>_xll.ciqfunctions.udf.CIQ($A5, "IQ_FIXED_ASSET_TURNS",IQ_LTM,DateToday,)</f>
        <v>8.3171199999999992</v>
      </c>
      <c r="CG5" s="20">
        <f>_xll.ciqfunctions.udf.CIQ($A5, "IQ_AR_TURNS",IQ_LTM,DateToday,)</f>
        <v>9.0797100000000004</v>
      </c>
      <c r="CH5" s="20">
        <f>_xll.ciqfunctions.udf.CIQ($A5, "IQ_INVENTORY_TURNS",IQ_LTM,DateToday,)</f>
        <v>0</v>
      </c>
      <c r="CI5"/>
      <c r="CJ5"/>
      <c r="CK5"/>
      <c r="CL5"/>
      <c r="CM5"/>
      <c r="CN5"/>
      <c r="CO5"/>
      <c r="CP5"/>
      <c r="CQ5"/>
      <c r="CR5"/>
      <c r="CS5"/>
      <c r="CT5"/>
      <c r="CU5"/>
      <c r="CV5"/>
      <c r="CW5"/>
      <c r="CX5"/>
      <c r="CY5"/>
      <c r="CZ5"/>
      <c r="DA5"/>
      <c r="DB5"/>
      <c r="DC5"/>
      <c r="DD5"/>
      <c r="DE5"/>
      <c r="DF5"/>
      <c r="DG5"/>
      <c r="DH5"/>
      <c r="DI5"/>
      <c r="DJ5"/>
      <c r="DK5"/>
      <c r="DL5"/>
      <c r="DM5"/>
      <c r="DN5"/>
      <c r="DO5"/>
      <c r="DP5"/>
      <c r="DQ5"/>
      <c r="DR5"/>
      <c r="DS5"/>
      <c r="DT5"/>
      <c r="DU5"/>
      <c r="DV5"/>
      <c r="DW5"/>
      <c r="DX5"/>
      <c r="DY5"/>
      <c r="DZ5"/>
      <c r="EA5"/>
      <c r="EB5"/>
      <c r="EC5"/>
      <c r="ED5"/>
      <c r="EE5"/>
      <c r="EF5"/>
      <c r="EG5"/>
      <c r="EH5"/>
      <c r="EI5"/>
      <c r="EJ5"/>
      <c r="EK5"/>
      <c r="EL5"/>
      <c r="EM5"/>
      <c r="EN5"/>
      <c r="EO5"/>
      <c r="EP5"/>
      <c r="EQ5"/>
      <c r="ER5"/>
      <c r="ES5"/>
      <c r="ET5"/>
      <c r="EU5"/>
      <c r="EV5"/>
      <c r="EW5"/>
      <c r="EX5"/>
      <c r="EY5"/>
      <c r="EZ5"/>
      <c r="FA5"/>
      <c r="FB5"/>
      <c r="FC5"/>
      <c r="FD5"/>
      <c r="FE5"/>
      <c r="FF5"/>
      <c r="FG5"/>
      <c r="FH5"/>
      <c r="FI5"/>
      <c r="FJ5"/>
      <c r="FK5"/>
      <c r="FL5"/>
    </row>
    <row r="6" spans="1:168" s="1" customFormat="1" x14ac:dyDescent="0.2">
      <c r="A6" s="36" t="str">
        <f>_xll.ciqfunctions.udf.CIQ($A$10,"IQ_QUICK_COMP",5)</f>
        <v>NasdaqGS:AMZN</v>
      </c>
      <c r="B6" s="36" t="str">
        <f>_xll.ciqfunctions.udf.CIQ($A6, "IQ_COMPANY_NAME")</f>
        <v>Amazon.com, Inc.</v>
      </c>
      <c r="C6" s="13">
        <f>_xll.ciqfunctions.udf.CIQ($A6,"IQ_PERIODDATE",IQ_FY,DateToday)</f>
        <v>46022</v>
      </c>
      <c r="D6" s="13">
        <f>_xll.ciqfunctions.udf.CIQ($A6,"IQ_PERIODDATE",IQ_LTM,DateToday)</f>
        <v>46203</v>
      </c>
      <c r="E6" s="11">
        <f>_xll.ciqfunctions.udf.CIQ($A6, "IQ_LASTSALEPRICE",DateToday,Ccy,Conv)</f>
        <v>271.58</v>
      </c>
      <c r="F6" s="11">
        <f>_xll.ciqfunctions.udf.CIQ($A6, "IQ_YEARHIGH",DateToday,Ccy,Conv)</f>
        <v>278.56</v>
      </c>
      <c r="G6" s="11">
        <f>_xll.ciqfunctions.udf.CIQ($A6, "IQ_YEARLOW",DateToday,Ccy,Conv)</f>
        <v>196</v>
      </c>
      <c r="H6" s="37">
        <f t="shared" si="0"/>
        <v>0.97494256174612282</v>
      </c>
      <c r="I6" s="37">
        <f t="shared" si="1"/>
        <v>1.3856122448979591</v>
      </c>
      <c r="J6" s="4">
        <f>_xll.ciqfunctions.udf.CIQ($A6, "IQ_SHARESOUTSTANDING",DateToday)</f>
        <v>10786.31357</v>
      </c>
      <c r="K6" s="22">
        <f t="shared" si="2"/>
        <v>2929347.0393405999</v>
      </c>
      <c r="L6" s="4">
        <f>_xll.ciqfunctions.udf.CIQ($A6, "IQ_CASH_ST_INVEST",IQ_FQ,DateToday,,"F",Ccy,Conv)</f>
        <v>122988</v>
      </c>
      <c r="M6" s="4">
        <f>_xll.ciqfunctions.udf.CIQ($A6, "IQ_TOTAL_DEBT",IQ_FQ,DateToday,,"F",Ccy,Conv)</f>
        <v>251635</v>
      </c>
      <c r="N6" s="4">
        <f>_xll.ciqfunctions.udf.CIQ($A6, "IQ_PREF_EQUITY",IQ_FQ,DateToday,,"F",Ccy,Conv)</f>
        <v>0</v>
      </c>
      <c r="O6" s="4">
        <f>_xll.ciqfunctions.udf.CIQ($A6, "IQ_MINORITY_INTEREST_TOTAL",IQ_FQ,DateToday,,"F",Ccy,Conv)</f>
        <v>0</v>
      </c>
      <c r="P6" s="22">
        <f t="shared" si="6"/>
        <v>3057994.0393405999</v>
      </c>
      <c r="Q6" s="4">
        <f>_xll.ciqfunctions.udf.CIQ($A6, "IQ_TOTAL_REV", IQ_FY,DateToday,,,Ccy,Conv)</f>
        <v>716924</v>
      </c>
      <c r="R6" s="4">
        <f>_xll.ciqfunctions.udf.CIQ($A6, "IQ_TOTAL_REV", IQ_LTM,DateToday,,,Ccy,Conv)</f>
        <v>775680</v>
      </c>
      <c r="S6" s="4">
        <f>_xll.ciqfunctions.udf.CIQ($A6, "IQ_REVENUE_EST", IQ_CY+ 1,DateToday,,,Ccy,Conv)</f>
        <v>827039.89910000004</v>
      </c>
      <c r="T6" s="4">
        <f>_xll.ciqfunctions.udf.CIQ($A6, "IQ_REVENUE_EST", IQ_CY+ 2,DateToday,,,Ccy,Conv)</f>
        <v>942793.48228</v>
      </c>
      <c r="U6" s="4">
        <f>_xll.ciqfunctions.udf.CIQ($A6, "IQ_EBITDA", IQ_FY,DateToday,,,Ccy,Conv)</f>
        <v>145731</v>
      </c>
      <c r="V6" s="4">
        <f>_xll.ciqfunctions.udf.CIQ($A6, "IQ_EBITDA", IQ_LTM,DateToday,,,Ccy,Conv)</f>
        <v>168912</v>
      </c>
      <c r="W6" s="4">
        <f>_xll.ciqfunctions.udf.CIQ($A6, "IQ_EBITDA_EST", IQ_CY+ 1,DateToday,,,Ccy,Conv)</f>
        <v>218371.95277999999</v>
      </c>
      <c r="X6" s="4">
        <f>_xll.ciqfunctions.udf.CIQ($A6, "IQ_EBITDA_EST", IQ_CY+ 2,DateToday,,,Ccy,Conv)</f>
        <v>271432.76831999997</v>
      </c>
      <c r="Y6" s="11">
        <f>_xll.ciqfunctions.udf.CIQ($A6, "IQ_DILUT_EPS_EXCL", IQ_FY,DateToday,,,Ccy,Conv)</f>
        <v>7.17</v>
      </c>
      <c r="Z6" s="11">
        <f>_xll.ciqfunctions.udf.CIQ($A6, "IQ_DILUT_EPS_EXCL", IQ_LTM,DateToday,,,Ccy,Conv)</f>
        <v>12.435890000000001</v>
      </c>
      <c r="AA6" s="11">
        <f>_xll.ciqfunctions.udf.CIQ($A6, "IQ_EPS_EST", IQ_CY+ 1,DateToday,,,Ccy,Conv)</f>
        <v>11.83906</v>
      </c>
      <c r="AB6" s="11">
        <f>_xll.ciqfunctions.udf.CIQ($A6, "IQ_EPS_EST", IQ_CY+ 2,DateToday,,,Ccy,Conv)</f>
        <v>10.27108</v>
      </c>
      <c r="AC6" s="20">
        <f>_xll.ciqfunctions.udf.CIQ($A6, "IQ_TEV_TOTAL_REV",IQ_LTM,#REF!)</f>
        <v>3.9423400000000002</v>
      </c>
      <c r="AD6" s="20">
        <f>_xll.ciqfunctions.udf.CIQ($A6, "IQ_TEV_TOTAL_REV",IQ_LTM,DateToday)</f>
        <v>3.9423400000000002</v>
      </c>
      <c r="AE6" s="38">
        <f t="shared" si="3"/>
        <v>3.6975169428565238</v>
      </c>
      <c r="AF6" s="38">
        <f t="shared" si="4"/>
        <v>3.2435460117366479</v>
      </c>
      <c r="AG6" s="20">
        <f>_xll.ciqfunctions.udf.CIQ($A6, "IQ_TEV_EBITDA",IQ_LTM,#REF!)</f>
        <v>16.395340000000001</v>
      </c>
      <c r="AH6" s="20">
        <f>_xll.ciqfunctions.udf.CIQ($A6, "IQ_TEV_EBITDA",IQ_LTM,DateToday)</f>
        <v>16.395340000000001</v>
      </c>
      <c r="AI6" s="20">
        <f>_xll.ciqfunctions.udf.CIQ($A6, "IQ_TEV_EBITDA_FWD",IQ_CY+1,DateToday)</f>
        <v>14.0036</v>
      </c>
      <c r="AJ6" s="20">
        <f>_xll.ciqfunctions.udf.CIQ($A6, "IQ_TEV_EBITDA_FWD",IQ_CY+2,DateToday)</f>
        <v>11.266120000000001</v>
      </c>
      <c r="AK6" s="20">
        <f>_xll.ciqfunctions.udf.CIQ($A6, "IQ_PE_EXCL",IQ_LTM,#REF!)</f>
        <v>21.83841</v>
      </c>
      <c r="AL6" s="20">
        <f>_xll.ciqfunctions.udf.CIQ($A6, "IQ_PE_EXCL",IQ_LTM,DateToday)</f>
        <v>21.83841</v>
      </c>
      <c r="AM6" s="20">
        <f>_xll.ciqfunctions.udf.CIQ($A6, "IQ_PE_EXCL_FWD",IQ_CY+1,DateToday)</f>
        <v>22.939319999999999</v>
      </c>
      <c r="AN6" s="20">
        <f>_xll.ciqfunctions.udf.CIQ($A6, "IQ_PE_EXCL_FWD",IQ_CY+2,DateToday)</f>
        <v>26.441230000000001</v>
      </c>
      <c r="AO6" s="20">
        <f>_xll.ciqfunctions.udf.CIQ($A6, "IQ_PBV",IQ_LTM,DateToday,)</f>
        <v>5.3088100000000003</v>
      </c>
      <c r="AP6" s="20">
        <f>_xll.ciqfunctions.udf.CIQ($A6, "IQ_PTBV",IQ_LTM,DateToday,)</f>
        <v>5.5450799999999996</v>
      </c>
      <c r="AQ6" s="4">
        <f>_xll.ciqfunctions.udf.CIQ($A6, "IQ_GROSS_MARGIN", IQ_FY- 2,DateToday,)</f>
        <v>46.981999999999999</v>
      </c>
      <c r="AR6" s="4">
        <f>_xll.ciqfunctions.udf.CIQ($A6, "IQ_GROSS_MARGIN", IQ_FY- 1,DateToday,)</f>
        <v>48.854300000000002</v>
      </c>
      <c r="AS6" s="4">
        <f>_xll.ciqfunctions.udf.CIQ($A6, "IQ_GROSS_MARGIN", IQ_FY,DateToday,)</f>
        <v>50.285600000000002</v>
      </c>
      <c r="AT6" s="4">
        <f>_xll.ciqfunctions.udf.CIQ($A6, "IQ_GROSS_MARGIN", IQ_LTM,DateToday,)</f>
        <v>50.769599999999997</v>
      </c>
      <c r="AU6" s="4">
        <f>_xll.ciqfunctions.udf.CIQ($A6, "IQ_EBITDA_MARGIN", IQ_FY- 2,DateToday,)</f>
        <v>14.877700000000001</v>
      </c>
      <c r="AV6" s="4">
        <f>_xll.ciqfunctions.udf.CIQ($A6, "IQ_EBITDA_MARGIN", IQ_FY- 1,DateToday,)</f>
        <v>19.0275</v>
      </c>
      <c r="AW6" s="4">
        <f>_xll.ciqfunctions.udf.CIQ($A6, "IQ_EBITDA_MARGIN", IQ_FY,DateToday,)</f>
        <v>20.327200000000001</v>
      </c>
      <c r="AX6" s="4">
        <f>_xll.ciqfunctions.udf.CIQ($A6, "IQ_EBITDA_MARGIN", IQ_LTM,DateToday,)</f>
        <v>21.7759</v>
      </c>
      <c r="AY6" s="4">
        <f>_xll.ciqfunctions.udf.CIQ($A6, "IQ_NI_MARGIN", IQ_FY- 2,DateToday,)</f>
        <v>5.2931999999999997</v>
      </c>
      <c r="AZ6" s="4">
        <f>_xll.ciqfunctions.udf.CIQ($A6, "IQ_NI_MARGIN", IQ_FY- 1,DateToday,)</f>
        <v>9.2871000000000006</v>
      </c>
      <c r="BA6" s="4">
        <f>_xll.ciqfunctions.udf.CIQ($A6, "IQ_NI_MARGIN", IQ_FY,DateToday,)</f>
        <v>10.8337</v>
      </c>
      <c r="BB6" s="4">
        <f>_xll.ciqfunctions.udf.CIQ($A6, "IQ_NI_MARGIN", IQ_LTM,DateToday,)</f>
        <v>17.440300000000001</v>
      </c>
      <c r="BC6" s="4">
        <f>_xll.ciqfunctions.udf.CIQ($A6, "IQ_TOTAL_REV_5YR_ANN_CAGR",IQ_LTM,DateToday,)</f>
        <v>11.84</v>
      </c>
      <c r="BD6" s="4">
        <f>_xll.ciqfunctions.udf.CIQ($A6, "IQ_TOTAL_REV_3YR_ANN_CAGR",IQ_LTM,DateToday,)</f>
        <v>12.967700000000001</v>
      </c>
      <c r="BE6" s="4">
        <f>_xll.ciqfunctions.udf.CIQ($A6, "IQ_TOTAL_REV_1YR_ANN_GROWTH", IQ_FY,DateToday,)</f>
        <v>12.377700000000001</v>
      </c>
      <c r="BF6" s="4">
        <f>_xll.ciqfunctions.udf.CIQ($A6, "IQ_TOTAL_REV_1YR_ANN_GROWTH",IQ_LTM,DateToday,)</f>
        <v>15.766500000000001</v>
      </c>
      <c r="BG6" s="4">
        <f>_xll.ciqfunctions.udf.CIQ($A6, "IQ_EBITDA_5YR_ANN_CAGR",IQ_LTM,DateToday,)</f>
        <v>23.279399999999999</v>
      </c>
      <c r="BH6" s="4">
        <f>_xll.ciqfunctions.udf.CIQ($A6, "IQ_EBITDA_3YR_ANN_CAGR",IQ_LTM,DateToday,)</f>
        <v>37.993699999999997</v>
      </c>
      <c r="BI6" s="4">
        <f>_xll.ciqfunctions.udf.CIQ($A6, "IQ_EBITDA_1YR_ANN_GROWTH", IQ_FY,DateToday,)</f>
        <v>20.053799999999999</v>
      </c>
      <c r="BJ6" s="4">
        <f>_xll.ciqfunctions.udf.CIQ($A6, "IQ_EBITDA_1YR_ANN_GROWTH",IQ_LTM,DateToday,)</f>
        <v>25.350200000000001</v>
      </c>
      <c r="BK6" s="4">
        <f>_xll.ciqfunctions.udf.CIQ($A6, "IQ_EPS_5YR_ANN_CAGR",IQ_LTM,DateToday,)</f>
        <v>34.043799999999997</v>
      </c>
      <c r="BL6" s="4">
        <f>_xll.ciqfunctions.udf.CIQ($A6, "IQ_EPS_3YR_ANN_CAGR",IQ_LTM,DateToday,)</f>
        <v>114.24290000000001</v>
      </c>
      <c r="BM6" s="4">
        <f>_xll.ciqfunctions.udf.CIQ($A6, "IQ_EPS_1YR_ANN_GROWTH", IQ_FY,DateToday,)</f>
        <v>29.656400000000001</v>
      </c>
      <c r="BN6" s="4">
        <f>_xll.ciqfunctions.udf.CIQ($A6, "IQ_EPS_1YR_ANN_GROWTH", IQ_LTM,DateToday,)</f>
        <v>89.662800000000004</v>
      </c>
      <c r="BO6" s="20">
        <f>_xll.ciqfunctions.udf.CIQ($A6, "IQ_TOTAL_DEBT_EBITDA",IQ_LTM,DateToday,)</f>
        <v>1.3450200000000001</v>
      </c>
      <c r="BP6" s="20">
        <f>_xll.ciqfunctions.udf.CIQ($A6, "IQ_NET_DEBT_EBITDA",IQ_LTM,DateToday,)</f>
        <v>0.68764000000000003</v>
      </c>
      <c r="BQ6" s="39">
        <f t="shared" si="5"/>
        <v>1.4897402197594014</v>
      </c>
      <c r="BR6" s="20">
        <f>_xll.ciqfunctions.udf.CIQ($A6, "IQ_EBITDA_INT",IQ_LTM,DateToday,)</f>
        <v>56.165120000000002</v>
      </c>
      <c r="BS6" s="20">
        <f>_xll.ciqfunctions.udf.CIQ($A6, "IQ_EBITDA_CAPEX_INT",IQ_LTM,DateToday,)</f>
        <v>4.2203499999999998</v>
      </c>
      <c r="BT6" s="4">
        <f>_xll.ciqfunctions.udf.CIQ($A6, "IQ_TOTAL_DEBT_EQUITY",IQ_FQ,DateToday,)</f>
        <v>45.617400000000004</v>
      </c>
      <c r="BU6" s="4">
        <f>_xll.ciqfunctions.udf.CIQ($A6, "IQ_TOTAL_DEBT_CAPITAL",IQ_FQ,DateToday,)</f>
        <v>31.326899999999998</v>
      </c>
      <c r="BV6" s="4">
        <f>_xll.ciqfunctions.udf.CIQ($A6, "IQ_RETURN_EQUITY",IQ_LTM,DateToday)</f>
        <v>30.558299999999999</v>
      </c>
      <c r="BW6" s="4">
        <f>_xll.ciqfunctions.udf.CIQ($A6, "IQ_RETURN_ASSETS",IQ_LTM,DateToday)</f>
        <v>6.5888</v>
      </c>
      <c r="BX6" s="4">
        <f>_xll.ciqfunctions.udf.CIQ($A6, "IQ_RETURN_INVESTED_CAPITAL",IQ_LTM,DateToday)</f>
        <v>20.867000000000001</v>
      </c>
      <c r="BY6" s="20">
        <f>_xll.ciqfunctions.udf.CIQ($A6, "IQ_CURRENT_RATIO",IQ_FQ,DateToday,)</f>
        <v>1.03312</v>
      </c>
      <c r="BZ6" s="20">
        <f>_xll.ciqfunctions.udf.CIQ($A6, "IQ_QUICK_RATIO",IQ_FQ,DateToday,)</f>
        <v>0.84301000000000004</v>
      </c>
      <c r="CA6" s="4">
        <f>_xll.ciqfunctions.udf.CIQ($A6, "IQ_DAYS_SALES_OUT",IQ_LTM,DateToday,)</f>
        <v>27.785990000000002</v>
      </c>
      <c r="CB6" s="4">
        <f>_xll.ciqfunctions.udf.CIQ($A6, "IQ_DAYS_INVENTORY_OUT",IQ_LTM,DateToday,)</f>
        <v>37.759250000000002</v>
      </c>
      <c r="CC6" s="4">
        <f>_xll.ciqfunctions.udf.CIQ($A6, "IQ_DAYS_PAYABLE_OUT",IQ_LTM,DateToday,)</f>
        <v>118.25234</v>
      </c>
      <c r="CD6" s="4">
        <f>_xll.ciqfunctions.udf.CIQ($A6, "IQ_CASH_CONVERSION",IQ_LTM,DateToday,)</f>
        <v>-52.707099999999997</v>
      </c>
      <c r="CE6" s="20">
        <f>_xll.ciqfunctions.udf.CIQ($A6, "IQ_ASSET_TURNS",IQ_LTM,DateToday,)</f>
        <v>0.87260000000000004</v>
      </c>
      <c r="CF6" s="20">
        <f>_xll.ciqfunctions.udf.CIQ($A6, "IQ_FIXED_ASSET_TURNS",IQ_LTM,DateToday,)</f>
        <v>1.68896</v>
      </c>
      <c r="CG6" s="20">
        <f>_xll.ciqfunctions.udf.CIQ($A6, "IQ_AR_TURNS",IQ_LTM,DateToday,)</f>
        <v>13.13599</v>
      </c>
      <c r="CH6" s="20">
        <f>_xll.ciqfunctions.udf.CIQ($A6, "IQ_INVENTORY_TURNS",IQ_LTM,DateToday,)</f>
        <v>9.6664899999999996</v>
      </c>
      <c r="CI6"/>
      <c r="CJ6"/>
      <c r="CK6"/>
      <c r="CL6"/>
      <c r="CM6"/>
      <c r="CN6"/>
      <c r="CO6"/>
      <c r="CP6"/>
      <c r="CQ6"/>
      <c r="CR6"/>
      <c r="CS6"/>
      <c r="CT6"/>
      <c r="CU6"/>
      <c r="CV6"/>
      <c r="CW6"/>
      <c r="CX6"/>
      <c r="CY6"/>
      <c r="CZ6"/>
      <c r="DA6"/>
      <c r="DB6"/>
      <c r="DC6"/>
      <c r="DD6"/>
      <c r="DE6"/>
      <c r="DF6"/>
      <c r="DG6"/>
      <c r="DH6"/>
      <c r="DI6"/>
      <c r="DJ6"/>
      <c r="DK6"/>
      <c r="DL6"/>
      <c r="DM6"/>
      <c r="DN6"/>
      <c r="DO6"/>
      <c r="DP6"/>
      <c r="DQ6"/>
      <c r="DR6"/>
      <c r="DS6"/>
      <c r="DT6"/>
      <c r="DU6"/>
      <c r="DV6"/>
      <c r="DW6"/>
      <c r="DX6"/>
      <c r="DY6"/>
      <c r="DZ6"/>
      <c r="EA6"/>
      <c r="EB6"/>
      <c r="EC6"/>
      <c r="ED6"/>
      <c r="EE6"/>
      <c r="EF6"/>
      <c r="EG6"/>
      <c r="EH6"/>
      <c r="EI6"/>
      <c r="EJ6"/>
      <c r="EK6"/>
      <c r="EL6"/>
      <c r="EM6"/>
      <c r="EN6"/>
      <c r="EO6"/>
      <c r="EP6"/>
      <c r="EQ6"/>
      <c r="ER6"/>
      <c r="ES6"/>
      <c r="ET6"/>
      <c r="EU6"/>
      <c r="EV6"/>
      <c r="EW6"/>
      <c r="EX6"/>
      <c r="EY6"/>
      <c r="EZ6"/>
      <c r="FA6"/>
      <c r="FB6"/>
      <c r="FC6"/>
      <c r="FD6"/>
      <c r="FE6"/>
      <c r="FF6"/>
      <c r="FG6"/>
      <c r="FH6"/>
      <c r="FI6"/>
      <c r="FJ6"/>
      <c r="FK6"/>
      <c r="FL6"/>
    </row>
    <row r="7" spans="1:168" s="1" customFormat="1" x14ac:dyDescent="0.2">
      <c r="A7" s="36" t="str">
        <f>_xll.ciqfunctions.udf.CIQ($A$10,"IQ_QUICK_COMP",6)</f>
        <v>NYSE:NOW</v>
      </c>
      <c r="B7" s="36" t="str">
        <f>_xll.ciqfunctions.udf.CIQ($A7, "IQ_COMPANY_NAME")</f>
        <v>ServiceNow, Inc.</v>
      </c>
      <c r="C7" s="13">
        <f>_xll.ciqfunctions.udf.CIQ($A7,"IQ_PERIODDATE",IQ_FY,DateToday)</f>
        <v>46022</v>
      </c>
      <c r="D7" s="13">
        <f>_xll.ciqfunctions.udf.CIQ($A7,"IQ_PERIODDATE",IQ_LTM,DateToday)</f>
        <v>46203</v>
      </c>
      <c r="E7" s="11">
        <f>_xll.ciqfunctions.udf.CIQ($A7, "IQ_LASTSALEPRICE",DateToday,Ccy,Conv)</f>
        <v>111.23</v>
      </c>
      <c r="F7" s="11">
        <f>_xll.ciqfunctions.udf.CIQ($A7, "IQ_YEARHIGH",DateToday,Ccy,Conv)</f>
        <v>194.726</v>
      </c>
      <c r="G7" s="11">
        <f>_xll.ciqfunctions.udf.CIQ($A7, "IQ_YEARLOW",DateToday,Ccy,Conv)</f>
        <v>81.239999999999995</v>
      </c>
      <c r="H7" s="37">
        <f t="shared" si="0"/>
        <v>0.57121288374433821</v>
      </c>
      <c r="I7" s="37">
        <f t="shared" si="1"/>
        <v>1.369153126538651</v>
      </c>
      <c r="J7" s="4">
        <f>_xll.ciqfunctions.udf.CIQ($A7, "IQ_SHARESOUTSTANDING",DateToday)</f>
        <v>1033.8620000000001</v>
      </c>
      <c r="K7" s="22">
        <f t="shared" si="2"/>
        <v>114996.47026000002</v>
      </c>
      <c r="L7" s="4">
        <f>_xll.ciqfunctions.udf.CIQ($A7, "IQ_CASH_ST_INVEST",IQ_FQ,DateToday,,"F",Ccy,Conv)</f>
        <v>4664</v>
      </c>
      <c r="M7" s="4">
        <f>_xll.ciqfunctions.udf.CIQ($A7, "IQ_TOTAL_DEBT",IQ_FQ,DateToday,,"F",Ccy,Conv)</f>
        <v>8453</v>
      </c>
      <c r="N7" s="4">
        <f>_xll.ciqfunctions.udf.CIQ($A7, "IQ_PREF_EQUITY",IQ_FQ,DateToday,,"F",Ccy,Conv)</f>
        <v>0</v>
      </c>
      <c r="O7" s="4">
        <f>_xll.ciqfunctions.udf.CIQ($A7, "IQ_MINORITY_INTEREST_TOTAL",IQ_FQ,DateToday,,"F",Ccy,Conv)</f>
        <v>0</v>
      </c>
      <c r="P7" s="22">
        <f t="shared" si="6"/>
        <v>118785.47026000002</v>
      </c>
      <c r="Q7" s="4">
        <f>_xll.ciqfunctions.udf.CIQ($A7, "IQ_TOTAL_REV", IQ_FY,DateToday,,,Ccy,Conv)</f>
        <v>13278</v>
      </c>
      <c r="R7" s="4">
        <f>_xll.ciqfunctions.udf.CIQ($A7, "IQ_TOTAL_REV", IQ_LTM,DateToday,,,Ccy,Conv)</f>
        <v>14732</v>
      </c>
      <c r="S7" s="4">
        <f>_xll.ciqfunctions.udf.CIQ($A7, "IQ_REVENUE_EST", IQ_CY+ 1,DateToday,,,Ccy,Conv)</f>
        <v>16219.28911</v>
      </c>
      <c r="T7" s="4">
        <f>_xll.ciqfunctions.udf.CIQ($A7, "IQ_REVENUE_EST", IQ_CY+ 2,DateToday,,,Ccy,Conv)</f>
        <v>19262.432929999999</v>
      </c>
      <c r="U7" s="4">
        <f>_xll.ciqfunctions.udf.CIQ($A7, "IQ_EBITDA", IQ_FY,DateToday,,,Ccy,Conv)</f>
        <v>2738</v>
      </c>
      <c r="V7" s="4">
        <f>_xll.ciqfunctions.udf.CIQ($A7, "IQ_EBITDA", IQ_LTM,DateToday,,,Ccy,Conv)</f>
        <v>2897</v>
      </c>
      <c r="W7" s="4">
        <f>_xll.ciqfunctions.udf.CIQ($A7, "IQ_EBITDA_EST", IQ_CY+ 1,DateToday,,,Ccy,Conv)</f>
        <v>6060.0612700000001</v>
      </c>
      <c r="X7" s="4">
        <f>_xll.ciqfunctions.udf.CIQ($A7, "IQ_EBITDA_EST", IQ_CY+ 2,DateToday,,,Ccy,Conv)</f>
        <v>7311.0583699999997</v>
      </c>
      <c r="Y7" s="11">
        <f>_xll.ciqfunctions.udf.CIQ($A7, "IQ_DILUT_EPS_EXCL", IQ_FY,DateToday,,,Ccy,Conv)</f>
        <v>1.67</v>
      </c>
      <c r="Z7" s="11">
        <f>_xll.ciqfunctions.udf.CIQ($A7, "IQ_DILUT_EPS_EXCL", IQ_LTM,DateToday,,,Ccy,Conv)</f>
        <v>1.6005499999999999</v>
      </c>
      <c r="AA7" s="11">
        <f>_xll.ciqfunctions.udf.CIQ($A7, "IQ_EPS_EST", IQ_CY+ 1,DateToday,,,Ccy,Conv)</f>
        <v>4.0676399999999999</v>
      </c>
      <c r="AB7" s="11">
        <f>_xll.ciqfunctions.udf.CIQ($A7, "IQ_EPS_EST", IQ_CY+ 2,DateToday,,,Ccy,Conv)</f>
        <v>5.0061900000000001</v>
      </c>
      <c r="AC7" s="20">
        <f>_xll.ciqfunctions.udf.CIQ($A7, "IQ_TEV_TOTAL_REV",IQ_LTM,#REF!)</f>
        <v>7.92441</v>
      </c>
      <c r="AD7" s="20">
        <f>_xll.ciqfunctions.udf.CIQ($A7, "IQ_TEV_TOTAL_REV",IQ_LTM,DateToday)</f>
        <v>7.92441</v>
      </c>
      <c r="AE7" s="38">
        <f t="shared" si="3"/>
        <v>7.3237161909126369</v>
      </c>
      <c r="AF7" s="38">
        <f t="shared" si="4"/>
        <v>6.1666909206987706</v>
      </c>
      <c r="AG7" s="20">
        <f>_xll.ciqfunctions.udf.CIQ($A7, "IQ_TEV_EBITDA",IQ_LTM,#REF!)</f>
        <v>38.188569999999999</v>
      </c>
      <c r="AH7" s="20">
        <f>_xll.ciqfunctions.udf.CIQ($A7, "IQ_TEV_EBITDA",IQ_LTM,DateToday)</f>
        <v>38.188569999999999</v>
      </c>
      <c r="AI7" s="20">
        <f>_xll.ciqfunctions.udf.CIQ($A7, "IQ_TEV_EBITDA_FWD",IQ_CY+1,DateToday)</f>
        <v>19.264240000000001</v>
      </c>
      <c r="AJ7" s="20">
        <f>_xll.ciqfunctions.udf.CIQ($A7, "IQ_TEV_EBITDA_FWD",IQ_CY+2,DateToday)</f>
        <v>15.967930000000001</v>
      </c>
      <c r="AK7" s="20">
        <f>_xll.ciqfunctions.udf.CIQ($A7, "IQ_PE_EXCL",IQ_LTM,#REF!)</f>
        <v>69.495080000000002</v>
      </c>
      <c r="AL7" s="20">
        <f>_xll.ciqfunctions.udf.CIQ($A7, "IQ_PE_EXCL",IQ_LTM,DateToday)</f>
        <v>69.495080000000002</v>
      </c>
      <c r="AM7" s="20">
        <f>_xll.ciqfunctions.udf.CIQ($A7, "IQ_PE_EXCL_FWD",IQ_CY+1,DateToday)</f>
        <v>27.345089999999999</v>
      </c>
      <c r="AN7" s="20">
        <f>_xll.ciqfunctions.udf.CIQ($A7, "IQ_PE_EXCL_FWD",IQ_CY+2,DateToday)</f>
        <v>22.218489999999999</v>
      </c>
      <c r="AO7" s="20">
        <f>_xll.ciqfunctions.udf.CIQ($A7, "IQ_PBV",IQ_LTM,DateToday,)</f>
        <v>9.1879600000000003</v>
      </c>
      <c r="AP7" s="20" t="str">
        <f>_xll.ciqfunctions.udf.CIQ($A7, "IQ_PTBV",IQ_LTM,DateToday,)</f>
        <v>NM</v>
      </c>
      <c r="AQ7" s="4">
        <f>_xll.ciqfunctions.udf.CIQ($A7, "IQ_GROSS_MARGIN", IQ_FY- 2,DateToday,)</f>
        <v>78.586500000000001</v>
      </c>
      <c r="AR7" s="4">
        <f>_xll.ciqfunctions.udf.CIQ($A7, "IQ_GROSS_MARGIN", IQ_FY- 1,DateToday,)</f>
        <v>79.178799999999995</v>
      </c>
      <c r="AS7" s="4">
        <f>_xll.ciqfunctions.udf.CIQ($A7, "IQ_GROSS_MARGIN", IQ_FY,DateToday,)</f>
        <v>77.534199999999998</v>
      </c>
      <c r="AT7" s="4">
        <f>_xll.ciqfunctions.udf.CIQ($A7, "IQ_GROSS_MARGIN", IQ_LTM,DateToday,)</f>
        <v>74.769199999999998</v>
      </c>
      <c r="AU7" s="4">
        <f>_xll.ciqfunctions.udf.CIQ($A7, "IQ_EBITDA_MARGIN", IQ_FY- 2,DateToday,)</f>
        <v>15.1822</v>
      </c>
      <c r="AV7" s="4">
        <f>_xll.ciqfunctions.udf.CIQ($A7, "IQ_EBITDA_MARGIN", IQ_FY- 1,DateToday,)</f>
        <v>17.853200000000001</v>
      </c>
      <c r="AW7" s="4">
        <f>_xll.ciqfunctions.udf.CIQ($A7, "IQ_EBITDA_MARGIN", IQ_FY,DateToday,)</f>
        <v>20.6205</v>
      </c>
      <c r="AX7" s="4">
        <f>_xll.ciqfunctions.udf.CIQ($A7, "IQ_EBITDA_MARGIN", IQ_LTM,DateToday,)</f>
        <v>19.6646</v>
      </c>
      <c r="AY7" s="4">
        <f>_xll.ciqfunctions.udf.CIQ($A7, "IQ_NI_MARGIN", IQ_FY- 2,DateToday,)</f>
        <v>19.295500000000001</v>
      </c>
      <c r="AZ7" s="4">
        <f>_xll.ciqfunctions.udf.CIQ($A7, "IQ_NI_MARGIN", IQ_FY- 1,DateToday,)</f>
        <v>12.9734</v>
      </c>
      <c r="BA7" s="4">
        <f>_xll.ciqfunctions.udf.CIQ($A7, "IQ_NI_MARGIN", IQ_FY,DateToday,)</f>
        <v>13.1646</v>
      </c>
      <c r="BB7" s="4">
        <f>_xll.ciqfunctions.udf.CIQ($A7, "IQ_NI_MARGIN", IQ_LTM,DateToday,)</f>
        <v>11.335800000000001</v>
      </c>
      <c r="BC7" s="4">
        <f>_xll.ciqfunctions.udf.CIQ($A7, "IQ_TOTAL_REV_5YR_ANN_CAGR",IQ_LTM,DateToday,)</f>
        <v>23.2927</v>
      </c>
      <c r="BD7" s="4">
        <f>_xll.ciqfunctions.udf.CIQ($A7, "IQ_TOTAL_REV_3YR_ANN_CAGR",IQ_LTM,DateToday,)</f>
        <v>22.485099999999999</v>
      </c>
      <c r="BE7" s="4">
        <f>_xll.ciqfunctions.udf.CIQ($A7, "IQ_TOTAL_REV_1YR_ANN_GROWTH", IQ_FY,DateToday,)</f>
        <v>20.884899999999998</v>
      </c>
      <c r="BF7" s="4">
        <f>_xll.ciqfunctions.udf.CIQ($A7, "IQ_TOTAL_REV_1YR_ANN_GROWTH",IQ_LTM,DateToday,)</f>
        <v>22.186199999999999</v>
      </c>
      <c r="BG7" s="4">
        <f>_xll.ciqfunctions.udf.CIQ($A7, "IQ_EBITDA_5YR_ANN_CAGR",IQ_LTM,DateToday,)</f>
        <v>35.552900000000001</v>
      </c>
      <c r="BH7" s="4">
        <f>_xll.ciqfunctions.udf.CIQ($A7, "IQ_EBITDA_3YR_ANN_CAGR",IQ_LTM,DateToday,)</f>
        <v>42.745699999999999</v>
      </c>
      <c r="BI7" s="4">
        <f>_xll.ciqfunctions.udf.CIQ($A7, "IQ_EBITDA_1YR_ANN_GROWTH", IQ_FY,DateToday,)</f>
        <v>39.622599999999998</v>
      </c>
      <c r="BJ7" s="4">
        <f>_xll.ciqfunctions.udf.CIQ($A7, "IQ_EBITDA_1YR_ANN_GROWTH",IQ_LTM,DateToday,)</f>
        <v>26.285900000000002</v>
      </c>
      <c r="BK7" s="4">
        <f>_xll.ciqfunctions.udf.CIQ($A7, "IQ_EPS_5YR_ANN_CAGR",IQ_LTM,DateToday,)</f>
        <v>56.592100000000002</v>
      </c>
      <c r="BL7" s="4">
        <f>_xll.ciqfunctions.udf.CIQ($A7, "IQ_EPS_3YR_ANN_CAGR",IQ_LTM,DateToday,)</f>
        <v>4.7195</v>
      </c>
      <c r="BM7" s="4">
        <f>_xll.ciqfunctions.udf.CIQ($A7, "IQ_EPS_1YR_ANN_GROWTH", IQ_FY,DateToday,)</f>
        <v>21.8978</v>
      </c>
      <c r="BN7" s="4">
        <f>_xll.ciqfunctions.udf.CIQ($A7, "IQ_EPS_1YR_ANN_GROWTH", IQ_LTM,DateToday,)</f>
        <v>0.45040000000000002</v>
      </c>
      <c r="BO7" s="20">
        <f>_xll.ciqfunctions.udf.CIQ($A7, "IQ_TOTAL_DEBT_EBITDA",IQ_LTM,DateToday,)</f>
        <v>2.7651300000000001</v>
      </c>
      <c r="BP7" s="20">
        <f>_xll.ciqfunctions.udf.CIQ($A7, "IQ_NET_DEBT_EBITDA",IQ_LTM,DateToday,)</f>
        <v>0.57115000000000005</v>
      </c>
      <c r="BQ7" s="39">
        <f t="shared" si="5"/>
        <v>2.9178460476354848</v>
      </c>
      <c r="BR7" s="20">
        <f>_xll.ciqfunctions.udf.CIQ($A7, "IQ_EBITDA_INT",IQ_LTM,DateToday,)</f>
        <v>36.831330000000001</v>
      </c>
      <c r="BS7" s="20">
        <f>_xll.ciqfunctions.udf.CIQ($A7, "IQ_EBITDA_CAPEX_INT",IQ_LTM,DateToday,)</f>
        <v>28.06024</v>
      </c>
      <c r="BT7" s="4">
        <f>_xll.ciqfunctions.udf.CIQ($A7, "IQ_TOTAL_DEBT_EQUITY",IQ_FQ,DateToday,)</f>
        <v>67.537499999999994</v>
      </c>
      <c r="BU7" s="4">
        <f>_xll.ciqfunctions.udf.CIQ($A7, "IQ_TOTAL_DEBT_CAPITAL",IQ_FQ,DateToday,)</f>
        <v>40.311799999999998</v>
      </c>
      <c r="BV7" s="4">
        <f>_xll.ciqfunctions.udf.CIQ($A7, "IQ_RETURN_EQUITY",IQ_LTM,DateToday)</f>
        <v>14.244199999999999</v>
      </c>
      <c r="BW7" s="4">
        <f>_xll.ciqfunctions.udf.CIQ($A7, "IQ_RETURN_ASSETS",IQ_LTM,DateToday)</f>
        <v>4.2491000000000003</v>
      </c>
      <c r="BX7" s="4">
        <f>_xll.ciqfunctions.udf.CIQ($A7, "IQ_RETURN_INVESTED_CAPITAL",IQ_LTM,DateToday)</f>
        <v>9.7347000000000001</v>
      </c>
      <c r="BY7" s="20">
        <f>_xll.ciqfunctions.udf.CIQ($A7, "IQ_CURRENT_RATIO",IQ_FQ,DateToday,)</f>
        <v>0.70057000000000003</v>
      </c>
      <c r="BZ7" s="20">
        <f>_xll.ciqfunctions.udf.CIQ($A7, "IQ_QUICK_RATIO",IQ_FQ,DateToday,)</f>
        <v>0.56488000000000005</v>
      </c>
      <c r="CA7" s="4">
        <f>_xll.ciqfunctions.udf.CIQ($A7, "IQ_DAYS_SALES_OUT",IQ_LTM,DateToday,)</f>
        <v>48.276000000000003</v>
      </c>
      <c r="CB7" s="4">
        <f>_xll.ciqfunctions.udf.CIQ($A7, "IQ_DAYS_INVENTORY_OUT",IQ_LTM,DateToday,)</f>
        <v>0</v>
      </c>
      <c r="CC7" s="4">
        <f>_xll.ciqfunctions.udf.CIQ($A7, "IQ_DAYS_PAYABLE_OUT",IQ_LTM,DateToday,)</f>
        <v>18.313510000000001</v>
      </c>
      <c r="CD7" s="4">
        <f>_xll.ciqfunctions.udf.CIQ($A7, "IQ_CASH_CONVERSION",IQ_LTM,DateToday,)</f>
        <v>0</v>
      </c>
      <c r="CE7" s="20">
        <f>_xll.ciqfunctions.udf.CIQ($A7, "IQ_ASSET_TURNS",IQ_LTM,DateToday,)</f>
        <v>0.54849999999999999</v>
      </c>
      <c r="CF7" s="20">
        <f>_xll.ciqfunctions.udf.CIQ($A7, "IQ_FIXED_ASSET_TURNS",IQ_LTM,DateToday,)</f>
        <v>5.06602</v>
      </c>
      <c r="CG7" s="20">
        <f>_xll.ciqfunctions.udf.CIQ($A7, "IQ_AR_TURNS",IQ_LTM,DateToday,)</f>
        <v>7.5606900000000001</v>
      </c>
      <c r="CH7" s="20">
        <f>_xll.ciqfunctions.udf.CIQ($A7, "IQ_INVENTORY_TURNS",IQ_LTM,DateToday,)</f>
        <v>0</v>
      </c>
      <c r="CI7"/>
      <c r="CJ7"/>
      <c r="CK7"/>
      <c r="CL7"/>
      <c r="CM7"/>
      <c r="CN7"/>
      <c r="CO7"/>
      <c r="CP7"/>
      <c r="CQ7"/>
      <c r="CR7"/>
      <c r="CS7"/>
      <c r="CT7"/>
      <c r="CU7"/>
      <c r="CV7"/>
      <c r="CW7"/>
      <c r="CX7"/>
      <c r="CY7"/>
      <c r="CZ7"/>
      <c r="DA7"/>
      <c r="DB7"/>
      <c r="DC7"/>
      <c r="DD7"/>
      <c r="DE7"/>
      <c r="DF7"/>
      <c r="DG7"/>
      <c r="DH7"/>
      <c r="DI7"/>
      <c r="DJ7"/>
      <c r="DK7"/>
      <c r="DL7"/>
      <c r="DM7"/>
      <c r="DN7"/>
      <c r="DO7"/>
      <c r="DP7"/>
      <c r="DQ7"/>
      <c r="DR7"/>
      <c r="DS7"/>
      <c r="DT7"/>
      <c r="DU7"/>
      <c r="DV7"/>
      <c r="DW7"/>
      <c r="DX7"/>
      <c r="DY7"/>
      <c r="DZ7"/>
      <c r="EA7"/>
      <c r="EB7"/>
      <c r="EC7"/>
      <c r="ED7"/>
      <c r="EE7"/>
      <c r="EF7"/>
      <c r="EG7"/>
      <c r="EH7"/>
      <c r="EI7"/>
      <c r="EJ7"/>
      <c r="EK7"/>
      <c r="EL7"/>
      <c r="EM7"/>
      <c r="EN7"/>
      <c r="EO7"/>
      <c r="EP7"/>
      <c r="EQ7"/>
      <c r="ER7"/>
      <c r="ES7"/>
      <c r="ET7"/>
      <c r="EU7"/>
      <c r="EV7"/>
      <c r="EW7"/>
      <c r="EX7"/>
      <c r="EY7"/>
      <c r="EZ7"/>
      <c r="FA7"/>
      <c r="FB7"/>
      <c r="FC7"/>
      <c r="FD7"/>
      <c r="FE7"/>
      <c r="FF7"/>
      <c r="FG7"/>
      <c r="FH7"/>
      <c r="FI7"/>
      <c r="FJ7"/>
      <c r="FK7"/>
      <c r="FL7"/>
    </row>
    <row r="8" spans="1:168" s="1" customFormat="1" x14ac:dyDescent="0.2">
      <c r="A8" s="36" t="str">
        <f>_xll.ciqfunctions.udf.CIQ($A$10,"IQ_QUICK_COMP",7)</f>
        <v>NYSE:SNOW</v>
      </c>
      <c r="B8" s="36" t="str">
        <f>_xll.ciqfunctions.udf.CIQ($A8, "IQ_COMPANY_NAME")</f>
        <v>Snowflake Inc.</v>
      </c>
      <c r="C8" s="13">
        <f>_xll.ciqfunctions.udf.CIQ($A8,"IQ_PERIODDATE",IQ_FY,DateToday)</f>
        <v>46053</v>
      </c>
      <c r="D8" s="13">
        <f>_xll.ciqfunctions.udf.CIQ($A8,"IQ_PERIODDATE",IQ_LTM,DateToday)</f>
        <v>46142</v>
      </c>
      <c r="E8" s="11">
        <f>_xll.ciqfunctions.udf.CIQ($A8, "IQ_LASTSALEPRICE",DateToday,Ccy,Conv)</f>
        <v>293.27999999999997</v>
      </c>
      <c r="F8" s="11">
        <f>_xll.ciqfunctions.udf.CIQ($A8, "IQ_YEARHIGH",DateToday,Ccy,Conv)</f>
        <v>304.17</v>
      </c>
      <c r="G8" s="11">
        <f>_xll.ciqfunctions.udf.CIQ($A8, "IQ_YEARLOW",DateToday,Ccy,Conv)</f>
        <v>118.3</v>
      </c>
      <c r="H8" s="37">
        <f t="shared" si="0"/>
        <v>0.96419765262846424</v>
      </c>
      <c r="I8" s="37">
        <f t="shared" si="1"/>
        <v>2.4791208791208788</v>
      </c>
      <c r="J8" s="4">
        <f>_xll.ciqfunctions.udf.CIQ($A8, "IQ_SHARESOUTSTANDING",DateToday)</f>
        <v>346.60291999999998</v>
      </c>
      <c r="K8" s="22">
        <f t="shared" si="2"/>
        <v>101651.70437759999</v>
      </c>
      <c r="L8" s="4">
        <f>_xll.ciqfunctions.udf.CIQ($A8, "IQ_CASH_ST_INVEST",IQ_FQ,DateToday,,"F",Ccy,Conv)</f>
        <v>2954.998</v>
      </c>
      <c r="M8" s="4">
        <f>_xll.ciqfunctions.udf.CIQ($A8, "IQ_TOTAL_DEBT",IQ_FQ,DateToday,,"F",Ccy,Conv)</f>
        <v>2772.0949999999998</v>
      </c>
      <c r="N8" s="4">
        <f>_xll.ciqfunctions.udf.CIQ($A8, "IQ_PREF_EQUITY",IQ_FQ,DateToday,,"F",Ccy,Conv)</f>
        <v>0</v>
      </c>
      <c r="O8" s="4">
        <f>_xll.ciqfunctions.udf.CIQ($A8, "IQ_MINORITY_INTEREST_TOTAL",IQ_FQ,DateToday,,"F",Ccy,Conv)</f>
        <v>0</v>
      </c>
      <c r="P8" s="22">
        <f t="shared" si="6"/>
        <v>101468.80137759999</v>
      </c>
      <c r="Q8" s="4">
        <f>_xll.ciqfunctions.udf.CIQ($A8, "IQ_TOTAL_REV", IQ_FY,DateToday,,,Ccy,Conv)</f>
        <v>4683.9459999999999</v>
      </c>
      <c r="R8" s="4">
        <f>_xll.ciqfunctions.udf.CIQ($A8, "IQ_TOTAL_REV", IQ_LTM,DateToday,,,Ccy,Conv)</f>
        <v>5032.8230000000003</v>
      </c>
      <c r="S8" s="4">
        <f>_xll.ciqfunctions.udf.CIQ($A8, "IQ_REVENUE_EST", IQ_CY+ 1,DateToday,,,Ccy,Conv)</f>
        <v>6084.0856999999996</v>
      </c>
      <c r="T8" s="4">
        <f>_xll.ciqfunctions.udf.CIQ($A8, "IQ_REVENUE_EST", IQ_CY+ 2,DateToday,,,Ccy,Conv)</f>
        <v>7648.5313100000003</v>
      </c>
      <c r="U8" s="4">
        <f>_xll.ciqfunctions.udf.CIQ($A8, "IQ_EBITDA", IQ_FY,DateToday,,,Ccy,Conv)</f>
        <v>-1177.607</v>
      </c>
      <c r="V8" s="4">
        <f>_xll.ciqfunctions.udf.CIQ($A8, "IQ_EBITDA", IQ_LTM,DateToday,,,Ccy,Conv)</f>
        <v>-1126.6669999999999</v>
      </c>
      <c r="W8" s="4">
        <f>_xll.ciqfunctions.udf.CIQ($A8, "IQ_EBITDA_EST", IQ_CY+ 1,DateToday,,,Ccy,Conv)</f>
        <v>1053.7479499999999</v>
      </c>
      <c r="X8" s="4">
        <f>_xll.ciqfunctions.udf.CIQ($A8, "IQ_EBITDA_EST", IQ_CY+ 2,DateToday,,,Ccy,Conv)</f>
        <v>1402.3357000000001</v>
      </c>
      <c r="Y8" s="11">
        <f>_xll.ciqfunctions.udf.CIQ($A8, "IQ_DILUT_EPS_EXCL", IQ_FY,DateToday,,,Ccy,Conv)</f>
        <v>-3.9456099999999998</v>
      </c>
      <c r="Z8" s="11">
        <f>_xll.ciqfunctions.udf.CIQ($A8, "IQ_DILUT_EPS_EXCL", IQ_LTM,DateToday,,,Ccy,Conv)</f>
        <v>-3.5138799999999999</v>
      </c>
      <c r="AA8" s="11">
        <f>_xll.ciqfunctions.udf.CIQ($A8, "IQ_EPS_EST", IQ_CY+ 1,DateToday,,,Ccy,Conv)</f>
        <v>1.9355899999999999</v>
      </c>
      <c r="AB8" s="11">
        <f>_xll.ciqfunctions.udf.CIQ($A8, "IQ_EPS_EST", IQ_CY+ 2,DateToday,,,Ccy,Conv)</f>
        <v>2.6988500000000002</v>
      </c>
      <c r="AC8" s="20">
        <f>_xll.ciqfunctions.udf.CIQ($A8, "IQ_TEV_TOTAL_REV",IQ_LTM,#REF!)</f>
        <v>19.87546</v>
      </c>
      <c r="AD8" s="20">
        <f>_xll.ciqfunctions.udf.CIQ($A8, "IQ_TEV_TOTAL_REV",IQ_LTM,DateToday)</f>
        <v>19.87546</v>
      </c>
      <c r="AE8" s="38">
        <f t="shared" si="3"/>
        <v>16.677740318089207</v>
      </c>
      <c r="AF8" s="38">
        <f t="shared" si="4"/>
        <v>13.266442571129382</v>
      </c>
      <c r="AG8" s="20" t="str">
        <f>_xll.ciqfunctions.udf.CIQ($A8, "IQ_TEV_EBITDA",IQ_LTM,#REF!)</f>
        <v>NM</v>
      </c>
      <c r="AH8" s="20" t="str">
        <f>_xll.ciqfunctions.udf.CIQ($A8, "IQ_TEV_EBITDA",IQ_LTM,DateToday)</f>
        <v>NM</v>
      </c>
      <c r="AI8" s="20">
        <f>_xll.ciqfunctions.udf.CIQ($A8, "IQ_TEV_EBITDA_FWD",IQ_CY+1,DateToday)</f>
        <v>94.927520000000001</v>
      </c>
      <c r="AJ8" s="20">
        <f>_xll.ciqfunctions.udf.CIQ($A8, "IQ_TEV_EBITDA_FWD",IQ_CY+2,DateToday)</f>
        <v>71.330759999999998</v>
      </c>
      <c r="AK8" s="20" t="str">
        <f>_xll.ciqfunctions.udf.CIQ($A8, "IQ_PE_EXCL",IQ_LTM,#REF!)</f>
        <v>NM</v>
      </c>
      <c r="AL8" s="20" t="str">
        <f>_xll.ciqfunctions.udf.CIQ($A8, "IQ_PE_EXCL",IQ_LTM,DateToday)</f>
        <v>NM</v>
      </c>
      <c r="AM8" s="20">
        <f>_xll.ciqfunctions.udf.CIQ($A8, "IQ_PE_EXCL_FWD",IQ_CY+1,DateToday)</f>
        <v>151.51969</v>
      </c>
      <c r="AN8" s="20">
        <f>_xll.ciqfunctions.udf.CIQ($A8, "IQ_PE_EXCL_FWD",IQ_CY+2,DateToday)</f>
        <v>108.66851</v>
      </c>
      <c r="AO8" s="20">
        <f>_xll.ciqfunctions.udf.CIQ($A8, "IQ_PBV",IQ_LTM,DateToday,)</f>
        <v>52.405050000000003</v>
      </c>
      <c r="AP8" s="20" t="str">
        <f>_xll.ciqfunctions.udf.CIQ($A8, "IQ_PTBV",IQ_LTM,DateToday,)</f>
        <v>NM</v>
      </c>
      <c r="AQ8" s="4">
        <f>_xll.ciqfunctions.udf.CIQ($A8, "IQ_GROSS_MARGIN", IQ_FY- 2,DateToday,)</f>
        <v>67.982799999999997</v>
      </c>
      <c r="AR8" s="4">
        <f>_xll.ciqfunctions.udf.CIQ($A8, "IQ_GROSS_MARGIN", IQ_FY- 1,DateToday,)</f>
        <v>66.504599999999996</v>
      </c>
      <c r="AS8" s="4">
        <f>_xll.ciqfunctions.udf.CIQ($A8, "IQ_GROSS_MARGIN", IQ_FY,DateToday,)</f>
        <v>67.168599999999998</v>
      </c>
      <c r="AT8" s="4">
        <f>_xll.ciqfunctions.udf.CIQ($A8, "IQ_GROSS_MARGIN", IQ_LTM,DateToday,)</f>
        <v>67.145200000000003</v>
      </c>
      <c r="AU8" s="4">
        <f>_xll.ciqfunctions.udf.CIQ($A8, "IQ_EBITDA_MARGIN", IQ_FY- 2,DateToday,)</f>
        <v>-35.160299999999999</v>
      </c>
      <c r="AV8" s="4">
        <f>_xll.ciqfunctions.udf.CIQ($A8, "IQ_EBITDA_MARGIN", IQ_FY- 1,DateToday,)</f>
        <v>-36.672800000000002</v>
      </c>
      <c r="AW8" s="4">
        <f>_xll.ciqfunctions.udf.CIQ($A8, "IQ_EBITDA_MARGIN", IQ_FY,DateToday,)</f>
        <v>-25.141300000000001</v>
      </c>
      <c r="AX8" s="4">
        <f>_xll.ciqfunctions.udf.CIQ($A8, "IQ_EBITDA_MARGIN", IQ_LTM,DateToday,)</f>
        <v>-22.386299999999999</v>
      </c>
      <c r="AY8" s="4">
        <f>_xll.ciqfunctions.udf.CIQ($A8, "IQ_NI_MARGIN", IQ_FY- 2,DateToday,)</f>
        <v>-29.791499999999999</v>
      </c>
      <c r="AZ8" s="4">
        <f>_xll.ciqfunctions.udf.CIQ($A8, "IQ_NI_MARGIN", IQ_FY- 1,DateToday,)</f>
        <v>-35.452199999999998</v>
      </c>
      <c r="BA8" s="4">
        <f>_xll.ciqfunctions.udf.CIQ($A8, "IQ_NI_MARGIN", IQ_FY,DateToday,)</f>
        <v>-28.429300000000001</v>
      </c>
      <c r="BB8" s="4">
        <f>_xll.ciqfunctions.udf.CIQ($A8, "IQ_NI_MARGIN", IQ_LTM,DateToday,)</f>
        <v>-23.785699999999999</v>
      </c>
      <c r="BC8" s="4">
        <f>_xll.ciqfunctions.udf.CIQ($A8, "IQ_TOTAL_REV_5YR_ANN_CAGR",IQ_LTM,DateToday,)</f>
        <v>47.859200000000001</v>
      </c>
      <c r="BD8" s="4">
        <f>_xll.ciqfunctions.udf.CIQ($A8, "IQ_TOTAL_REV_3YR_ANN_CAGR",IQ_LTM,DateToday,)</f>
        <v>30.454999999999998</v>
      </c>
      <c r="BE8" s="4">
        <f>_xll.ciqfunctions.udf.CIQ($A8, "IQ_TOTAL_REV_1YR_ANN_GROWTH", IQ_FY,DateToday,)</f>
        <v>29.162500000000001</v>
      </c>
      <c r="BF8" s="4">
        <f>_xll.ciqfunctions.udf.CIQ($A8, "IQ_TOTAL_REV_1YR_ANN_GROWTH",IQ_LTM,DateToday,)</f>
        <v>31.071200000000001</v>
      </c>
      <c r="BG8" s="4" t="str">
        <f>_xll.ciqfunctions.udf.CIQ($A8, "IQ_EBITDA_5YR_ANN_CAGR",IQ_LTM,DateToday,)</f>
        <v>NM</v>
      </c>
      <c r="BH8" s="4" t="str">
        <f>_xll.ciqfunctions.udf.CIQ($A8, "IQ_EBITDA_3YR_ANN_CAGR",IQ_LTM,DateToday,)</f>
        <v>NM</v>
      </c>
      <c r="BI8" s="4" t="str">
        <f>_xll.ciqfunctions.udf.CIQ($A8, "IQ_EBITDA_1YR_ANN_GROWTH", IQ_FY,DateToday,)</f>
        <v>NM</v>
      </c>
      <c r="BJ8" s="4" t="str">
        <f>_xll.ciqfunctions.udf.CIQ($A8, "IQ_EBITDA_1YR_ANN_GROWTH",IQ_LTM,DateToday,)</f>
        <v>NM</v>
      </c>
      <c r="BK8" s="4" t="str">
        <f>_xll.ciqfunctions.udf.CIQ($A8, "IQ_EPS_5YR_ANN_CAGR",IQ_LTM,DateToday,)</f>
        <v>NM</v>
      </c>
      <c r="BL8" s="4" t="str">
        <f>_xll.ciqfunctions.udf.CIQ($A8, "IQ_EPS_3YR_ANN_CAGR",IQ_LTM,DateToday,)</f>
        <v>NM</v>
      </c>
      <c r="BM8" s="4" t="str">
        <f>_xll.ciqfunctions.udf.CIQ($A8, "IQ_EPS_1YR_ANN_GROWTH", IQ_FY,DateToday,)</f>
        <v>NM</v>
      </c>
      <c r="BN8" s="4" t="str">
        <f>_xll.ciqfunctions.udf.CIQ($A8, "IQ_EPS_1YR_ANN_GROWTH", IQ_LTM,DateToday,)</f>
        <v>NM</v>
      </c>
      <c r="BO8" s="20" t="str">
        <f>_xll.ciqfunctions.udf.CIQ($A8, "IQ_TOTAL_DEBT_EBITDA",IQ_LTM,DateToday,)</f>
        <v>NM</v>
      </c>
      <c r="BP8" s="20" t="str">
        <f>_xll.ciqfunctions.udf.CIQ($A8, "IQ_NET_DEBT_EBITDA",IQ_LTM,DateToday,)</f>
        <v>NM</v>
      </c>
      <c r="BQ8" s="39">
        <f t="shared" si="5"/>
        <v>-2.4604386211720057</v>
      </c>
      <c r="BR8" s="20" t="str">
        <f>_xll.ciqfunctions.udf.CIQ($A8, "IQ_EBITDA_INT",IQ_LTM,DateToday,)</f>
        <v>NM</v>
      </c>
      <c r="BS8" s="20" t="str">
        <f>_xll.ciqfunctions.udf.CIQ($A8, "IQ_EBITDA_CAPEX_INT",IQ_LTM,DateToday,)</f>
        <v>NM</v>
      </c>
      <c r="BT8" s="4">
        <f>_xll.ciqfunctions.udf.CIQ($A8, "IQ_TOTAL_DEBT_EQUITY",IQ_FQ,DateToday,)</f>
        <v>142.9119</v>
      </c>
      <c r="BU8" s="4">
        <f>_xll.ciqfunctions.udf.CIQ($A8, "IQ_TOTAL_DEBT_CAPITAL",IQ_FQ,DateToday,)</f>
        <v>58.832799999999999</v>
      </c>
      <c r="BV8" s="4">
        <f>_xll.ciqfunctions.udf.CIQ($A8, "IQ_RETURN_EQUITY",IQ_LTM,DateToday)</f>
        <v>-54.868899999999996</v>
      </c>
      <c r="BW8" s="4">
        <f>_xll.ciqfunctions.udf.CIQ($A8, "IQ_RETURN_ASSETS",IQ_LTM,DateToday)</f>
        <v>-9.6796000000000006</v>
      </c>
      <c r="BX8" s="4">
        <f>_xll.ciqfunctions.udf.CIQ($A8, "IQ_RETURN_INVESTED_CAPITAL",IQ_LTM,DateToday)</f>
        <v>-24.394500000000001</v>
      </c>
      <c r="BY8" s="20">
        <f>_xll.ciqfunctions.udf.CIQ($A8, "IQ_CURRENT_RATIO",IQ_FQ,DateToday,)</f>
        <v>1.0528999999999999</v>
      </c>
      <c r="BZ8" s="20">
        <f>_xll.ciqfunctions.udf.CIQ($A8, "IQ_QUICK_RATIO",IQ_FQ,DateToday,)</f>
        <v>0.94142000000000003</v>
      </c>
      <c r="CA8" s="4">
        <f>_xll.ciqfunctions.udf.CIQ($A8, "IQ_DAYS_SALES_OUT",IQ_LTM,DateToday,)</f>
        <v>40.259140000000002</v>
      </c>
      <c r="CB8" s="4">
        <f>_xll.ciqfunctions.udf.CIQ($A8, "IQ_DAYS_INVENTORY_OUT",IQ_LTM,DateToday,)</f>
        <v>0</v>
      </c>
      <c r="CC8" s="4">
        <f>_xll.ciqfunctions.udf.CIQ($A8, "IQ_DAYS_PAYABLE_OUT",IQ_LTM,DateToday,)</f>
        <v>23.213640000000002</v>
      </c>
      <c r="CD8" s="4">
        <f>_xll.ciqfunctions.udf.CIQ($A8, "IQ_CASH_CONVERSION",IQ_LTM,DateToday,)</f>
        <v>0</v>
      </c>
      <c r="CE8" s="20">
        <f>_xll.ciqfunctions.udf.CIQ($A8, "IQ_ASSET_TURNS",IQ_LTM,DateToday,)</f>
        <v>0.60231000000000001</v>
      </c>
      <c r="CF8" s="20">
        <f>_xll.ciqfunctions.udf.CIQ($A8, "IQ_FIXED_ASSET_TURNS",IQ_LTM,DateToday,)</f>
        <v>11.20801</v>
      </c>
      <c r="CG8" s="20">
        <f>_xll.ciqfunctions.udf.CIQ($A8, "IQ_AR_TURNS",IQ_LTM,DateToday,)</f>
        <v>9.0662199999999995</v>
      </c>
      <c r="CH8" s="20">
        <f>_xll.ciqfunctions.udf.CIQ($A8, "IQ_INVENTORY_TURNS",IQ_LTM,DateToday,)</f>
        <v>0</v>
      </c>
      <c r="CI8"/>
      <c r="CJ8"/>
      <c r="CK8"/>
      <c r="CL8"/>
      <c r="CM8"/>
      <c r="CN8"/>
      <c r="CO8"/>
      <c r="CP8"/>
      <c r="CQ8"/>
      <c r="CR8"/>
      <c r="CS8"/>
      <c r="CT8"/>
      <c r="CU8"/>
      <c r="CV8"/>
      <c r="CW8"/>
      <c r="CX8"/>
      <c r="CY8"/>
      <c r="CZ8"/>
      <c r="DA8"/>
      <c r="DB8"/>
      <c r="DC8"/>
      <c r="DD8"/>
      <c r="DE8"/>
      <c r="DF8"/>
      <c r="DG8"/>
      <c r="DH8"/>
      <c r="DI8"/>
      <c r="DJ8"/>
      <c r="DK8"/>
      <c r="DL8"/>
      <c r="DM8"/>
      <c r="DN8"/>
      <c r="DO8"/>
      <c r="DP8"/>
      <c r="DQ8"/>
      <c r="DR8"/>
      <c r="DS8"/>
      <c r="DT8"/>
      <c r="DU8"/>
      <c r="DV8"/>
      <c r="DW8"/>
      <c r="DX8"/>
      <c r="DY8"/>
      <c r="DZ8"/>
      <c r="EA8"/>
      <c r="EB8"/>
      <c r="EC8"/>
      <c r="ED8"/>
      <c r="EE8"/>
      <c r="EF8"/>
      <c r="EG8"/>
      <c r="EH8"/>
      <c r="EI8"/>
      <c r="EJ8"/>
      <c r="EK8"/>
      <c r="EL8"/>
      <c r="EM8"/>
      <c r="EN8"/>
      <c r="EO8"/>
      <c r="EP8"/>
      <c r="EQ8"/>
      <c r="ER8"/>
      <c r="ES8"/>
      <c r="ET8"/>
      <c r="EU8"/>
      <c r="EV8"/>
      <c r="EW8"/>
      <c r="EX8"/>
      <c r="EY8"/>
      <c r="EZ8"/>
      <c r="FA8"/>
      <c r="FB8"/>
      <c r="FC8"/>
      <c r="FD8"/>
      <c r="FE8"/>
      <c r="FF8"/>
      <c r="FG8"/>
      <c r="FH8"/>
      <c r="FI8"/>
      <c r="FJ8"/>
      <c r="FK8"/>
      <c r="FL8"/>
    </row>
    <row r="9" spans="1:168" s="1" customFormat="1" x14ac:dyDescent="0.2">
      <c r="A9" s="36" t="str">
        <f>_xll.ciqfunctions.udf.CIQ($A$10,"IQ_QUICK_COMP",8)</f>
        <v>NYSE:S</v>
      </c>
      <c r="B9" s="36" t="str">
        <f>_xll.ciqfunctions.udf.CIQ($A9, "IQ_COMPANY_NAME")</f>
        <v>SentinelOne, Inc.</v>
      </c>
      <c r="C9" s="13">
        <f>_xll.ciqfunctions.udf.CIQ($A9,"IQ_PERIODDATE",IQ_FY,DateToday)</f>
        <v>46053</v>
      </c>
      <c r="D9" s="13">
        <f>_xll.ciqfunctions.udf.CIQ($A9,"IQ_PERIODDATE",IQ_LTM,DateToday)</f>
        <v>46142</v>
      </c>
      <c r="E9" s="11">
        <f>_xll.ciqfunctions.udf.CIQ($A9, "IQ_LASTSALEPRICE",DateToday,Ccy,Conv)</f>
        <v>19.059999999999999</v>
      </c>
      <c r="F9" s="11">
        <f>_xll.ciqfunctions.udf.CIQ($A9, "IQ_YEARHIGH",DateToday,Ccy,Conv)</f>
        <v>20.71</v>
      </c>
      <c r="G9" s="11">
        <f>_xll.ciqfunctions.udf.CIQ($A9, "IQ_YEARLOW",DateToday,Ccy,Conv)</f>
        <v>11.81</v>
      </c>
      <c r="H9" s="37">
        <f t="shared" si="0"/>
        <v>0.92032834379526784</v>
      </c>
      <c r="I9" s="37">
        <f t="shared" si="1"/>
        <v>1.6138865368331921</v>
      </c>
      <c r="J9" s="4">
        <f>_xll.ciqfunctions.udf.CIQ($A9, "IQ_SHARESOUTSTANDING",DateToday)</f>
        <v>342.80372</v>
      </c>
      <c r="K9" s="22">
        <f t="shared" si="2"/>
        <v>6533.8389031999995</v>
      </c>
      <c r="L9" s="4">
        <f>_xll.ciqfunctions.udf.CIQ($A9, "IQ_CASH_ST_INVEST",IQ_FQ,DateToday,,"F",Ccy,Conv)</f>
        <v>656.78700000000003</v>
      </c>
      <c r="M9" s="4">
        <f>_xll.ciqfunctions.udf.CIQ($A9, "IQ_TOTAL_DEBT",IQ_FQ,DateToday,,"F",Ccy,Conv)</f>
        <v>0</v>
      </c>
      <c r="N9" s="4">
        <f>_xll.ciqfunctions.udf.CIQ($A9, "IQ_PREF_EQUITY",IQ_FQ,DateToday,,"F",Ccy,Conv)</f>
        <v>0</v>
      </c>
      <c r="O9" s="4">
        <f>_xll.ciqfunctions.udf.CIQ($A9, "IQ_MINORITY_INTEREST_TOTAL",IQ_FQ,DateToday,,"F",Ccy,Conv)</f>
        <v>0</v>
      </c>
      <c r="P9" s="22">
        <f t="shared" si="6"/>
        <v>5877.0519031999993</v>
      </c>
      <c r="Q9" s="4">
        <f>_xll.ciqfunctions.udf.CIQ($A9, "IQ_TOTAL_REV", IQ_FY,DateToday,,,Ccy,Conv)</f>
        <v>1001.278</v>
      </c>
      <c r="R9" s="4">
        <f>_xll.ciqfunctions.udf.CIQ($A9, "IQ_TOTAL_REV", IQ_LTM,DateToday,,,Ccy,Conv)</f>
        <v>1048.9059999999999</v>
      </c>
      <c r="S9" s="4">
        <f>_xll.ciqfunctions.udf.CIQ($A9, "IQ_REVENUE_EST", IQ_CY+ 1,DateToday,,,Ccy,Conv)</f>
        <v>1200.19272</v>
      </c>
      <c r="T9" s="4">
        <f>_xll.ciqfunctions.udf.CIQ($A9, "IQ_REVENUE_EST", IQ_CY+ 2,DateToday,,,Ccy,Conv)</f>
        <v>1412.3276000000001</v>
      </c>
      <c r="U9" s="4">
        <f>_xll.ciqfunctions.udf.CIQ($A9, "IQ_EBITDA", IQ_FY,DateToday,,,Ccy,Conv)</f>
        <v>-268.11099999999999</v>
      </c>
      <c r="V9" s="4">
        <f>_xll.ciqfunctions.udf.CIQ($A9, "IQ_EBITDA", IQ_LTM,DateToday,,,Ccy,Conv)</f>
        <v>-259.49</v>
      </c>
      <c r="W9" s="4">
        <f>_xll.ciqfunctions.udf.CIQ($A9, "IQ_EBITDA_EST", IQ_CY+ 1,DateToday,,,Ccy,Conv)</f>
        <v>129.54400000000001</v>
      </c>
      <c r="X9" s="4">
        <f>_xll.ciqfunctions.udf.CIQ($A9, "IQ_EBITDA_EST", IQ_CY+ 2,DateToday,,,Ccy,Conv)</f>
        <v>199.14267000000001</v>
      </c>
      <c r="Y9" s="11">
        <f>_xll.ciqfunctions.udf.CIQ($A9, "IQ_DILUT_EPS_EXCL", IQ_FY,DateToday,,,Ccy,Conv)</f>
        <v>-1.3653999999999999</v>
      </c>
      <c r="Z9" s="11">
        <f>_xll.ciqfunctions.udf.CIQ($A9, "IQ_DILUT_EPS_EXCL", IQ_LTM,DateToday,,,Ccy,Conv)</f>
        <v>-0.95889999999999997</v>
      </c>
      <c r="AA9" s="11">
        <f>_xll.ciqfunctions.udf.CIQ($A9, "IQ_EPS_EST", IQ_CY+ 1,DateToday,,,Ccy,Conv)</f>
        <v>0.34816999999999998</v>
      </c>
      <c r="AB9" s="11">
        <f>_xll.ciqfunctions.udf.CIQ($A9, "IQ_EPS_EST", IQ_CY+ 2,DateToday,,,Ccy,Conv)</f>
        <v>0.49353000000000002</v>
      </c>
      <c r="AC9" s="20">
        <f>_xll.ciqfunctions.udf.CIQ($A9, "IQ_TEV_TOTAL_REV",IQ_LTM,#REF!)</f>
        <v>5.6030300000000004</v>
      </c>
      <c r="AD9" s="20">
        <f>_xll.ciqfunctions.udf.CIQ($A9, "IQ_TEV_TOTAL_REV",IQ_LTM,DateToday)</f>
        <v>5.6030300000000004</v>
      </c>
      <c r="AE9" s="38">
        <f t="shared" si="3"/>
        <v>4.8967568335192029</v>
      </c>
      <c r="AF9" s="38">
        <f t="shared" si="4"/>
        <v>4.161252603999241</v>
      </c>
      <c r="AG9" s="20" t="str">
        <f>_xll.ciqfunctions.udf.CIQ($A9, "IQ_TEV_EBITDA",IQ_LTM,#REF!)</f>
        <v>NM</v>
      </c>
      <c r="AH9" s="20" t="str">
        <f>_xll.ciqfunctions.udf.CIQ($A9, "IQ_TEV_EBITDA",IQ_LTM,DateToday)</f>
        <v>NM</v>
      </c>
      <c r="AI9" s="20">
        <f>_xll.ciqfunctions.udf.CIQ($A9, "IQ_TEV_EBITDA_FWD",IQ_CY+1,DateToday)</f>
        <v>45.367229999999999</v>
      </c>
      <c r="AJ9" s="20">
        <f>_xll.ciqfunctions.udf.CIQ($A9, "IQ_TEV_EBITDA_FWD",IQ_CY+2,DateToday)</f>
        <v>29.511769999999999</v>
      </c>
      <c r="AK9" s="20" t="str">
        <f>_xll.ciqfunctions.udf.CIQ($A9, "IQ_PE_EXCL",IQ_LTM,#REF!)</f>
        <v>NM</v>
      </c>
      <c r="AL9" s="20" t="str">
        <f>_xll.ciqfunctions.udf.CIQ($A9, "IQ_PE_EXCL",IQ_LTM,DateToday)</f>
        <v>NM</v>
      </c>
      <c r="AM9" s="20">
        <f>_xll.ciqfunctions.udf.CIQ($A9, "IQ_PE_EXCL_FWD",IQ_CY+1,DateToday)</f>
        <v>54.743369999999999</v>
      </c>
      <c r="AN9" s="20">
        <f>_xll.ciqfunctions.udf.CIQ($A9, "IQ_PE_EXCL_FWD",IQ_CY+2,DateToday)</f>
        <v>38.61974</v>
      </c>
      <c r="AO9" s="20">
        <f>_xll.ciqfunctions.udf.CIQ($A9, "IQ_PBV",IQ_LTM,DateToday,)</f>
        <v>4.5257899999999998</v>
      </c>
      <c r="AP9" s="20">
        <f>_xll.ciqfunctions.udf.CIQ($A9, "IQ_PTBV",IQ_LTM,DateToday,)</f>
        <v>16.014880000000002</v>
      </c>
      <c r="AQ9" s="4">
        <f>_xll.ciqfunctions.udf.CIQ($A9, "IQ_GROSS_MARGIN", IQ_FY- 2,DateToday,)</f>
        <v>71.253299999999996</v>
      </c>
      <c r="AR9" s="4">
        <f>_xll.ciqfunctions.udf.CIQ($A9, "IQ_GROSS_MARGIN", IQ_FY- 1,DateToday,)</f>
        <v>74.301100000000005</v>
      </c>
      <c r="AS9" s="4">
        <f>_xll.ciqfunctions.udf.CIQ($A9, "IQ_GROSS_MARGIN", IQ_FY,DateToday,)</f>
        <v>74.115300000000005</v>
      </c>
      <c r="AT9" s="4">
        <f>_xll.ciqfunctions.udf.CIQ($A9, "IQ_GROSS_MARGIN", IQ_LTM,DateToday,)</f>
        <v>73.247299999999996</v>
      </c>
      <c r="AU9" s="4">
        <f>_xll.ciqfunctions.udf.CIQ($A9, "IQ_EBITDA_MARGIN", IQ_FY- 2,DateToday,)</f>
        <v>-54.604399999999998</v>
      </c>
      <c r="AV9" s="4">
        <f>_xll.ciqfunctions.udf.CIQ($A9, "IQ_EBITDA_MARGIN", IQ_FY- 1,DateToday,)</f>
        <v>-36.3855</v>
      </c>
      <c r="AW9" s="4">
        <f>_xll.ciqfunctions.udf.CIQ($A9, "IQ_EBITDA_MARGIN", IQ_FY,DateToday,)</f>
        <v>-26.776800000000001</v>
      </c>
      <c r="AX9" s="4">
        <f>_xll.ciqfunctions.udf.CIQ($A9, "IQ_EBITDA_MARGIN", IQ_LTM,DateToday,)</f>
        <v>-24.739100000000001</v>
      </c>
      <c r="AY9" s="4">
        <f>_xll.ciqfunctions.udf.CIQ($A9, "IQ_NI_MARGIN", IQ_FY- 2,DateToday,)</f>
        <v>-54.526400000000002</v>
      </c>
      <c r="AZ9" s="4">
        <f>_xll.ciqfunctions.udf.CIQ($A9, "IQ_NI_MARGIN", IQ_FY- 1,DateToday,)</f>
        <v>-35.113100000000003</v>
      </c>
      <c r="BA9" s="4">
        <f>_xll.ciqfunctions.udf.CIQ($A9, "IQ_NI_MARGIN", IQ_FY,DateToday,)</f>
        <v>-45.015900000000002</v>
      </c>
      <c r="BB9" s="4">
        <f>_xll.ciqfunctions.udf.CIQ($A9, "IQ_NI_MARGIN", IQ_LTM,DateToday,)</f>
        <v>-30.384599999999999</v>
      </c>
      <c r="BC9" s="4">
        <f>_xll.ciqfunctions.udf.CIQ($A9, "IQ_TOTAL_REV_5YR_ANN_CAGR",IQ_LTM,DateToday,)</f>
        <v>56.286499999999997</v>
      </c>
      <c r="BD9" s="4">
        <f>_xll.ciqfunctions.udf.CIQ($A9, "IQ_TOTAL_REV_3YR_ANN_CAGR",IQ_LTM,DateToday,)</f>
        <v>30.009899999999998</v>
      </c>
      <c r="BE9" s="4">
        <f>_xll.ciqfunctions.udf.CIQ($A9, "IQ_TOTAL_REV_1YR_ANN_GROWTH", IQ_FY,DateToday,)</f>
        <v>21.889900000000001</v>
      </c>
      <c r="BF9" s="4">
        <f>_xll.ciqfunctions.udf.CIQ($A9, "IQ_TOTAL_REV_1YR_ANN_GROWTH",IQ_LTM,DateToday,)</f>
        <v>21.382100000000001</v>
      </c>
      <c r="BG9" s="4" t="str">
        <f>_xll.ciqfunctions.udf.CIQ($A9, "IQ_EBITDA_5YR_ANN_CAGR",IQ_LTM,DateToday,)</f>
        <v>NM</v>
      </c>
      <c r="BH9" s="4" t="str">
        <f>_xll.ciqfunctions.udf.CIQ($A9, "IQ_EBITDA_3YR_ANN_CAGR",IQ_LTM,DateToday,)</f>
        <v>NM</v>
      </c>
      <c r="BI9" s="4" t="str">
        <f>_xll.ciqfunctions.udf.CIQ($A9, "IQ_EBITDA_1YR_ANN_GROWTH", IQ_FY,DateToday,)</f>
        <v>NM</v>
      </c>
      <c r="BJ9" s="4" t="str">
        <f>_xll.ciqfunctions.udf.CIQ($A9, "IQ_EBITDA_1YR_ANN_GROWTH",IQ_LTM,DateToday,)</f>
        <v>NM</v>
      </c>
      <c r="BK9" s="4" t="str">
        <f>_xll.ciqfunctions.udf.CIQ($A9, "IQ_EPS_5YR_ANN_CAGR",IQ_LTM,DateToday,)</f>
        <v>NM</v>
      </c>
      <c r="BL9" s="4" t="str">
        <f>_xll.ciqfunctions.udf.CIQ($A9, "IQ_EPS_3YR_ANN_CAGR",IQ_LTM,DateToday,)</f>
        <v>NM</v>
      </c>
      <c r="BM9" s="4" t="str">
        <f>_xll.ciqfunctions.udf.CIQ($A9, "IQ_EPS_1YR_ANN_GROWTH", IQ_FY,DateToday,)</f>
        <v>NM</v>
      </c>
      <c r="BN9" s="4" t="str">
        <f>_xll.ciqfunctions.udf.CIQ($A9, "IQ_EPS_1YR_ANN_GROWTH", IQ_LTM,DateToday,)</f>
        <v>NM</v>
      </c>
      <c r="BO9" s="20">
        <f>_xll.ciqfunctions.udf.CIQ($A9, "IQ_TOTAL_DEBT_EBITDA",IQ_LTM,DateToday,)</f>
        <v>0</v>
      </c>
      <c r="BP9" s="20" t="str">
        <f>_xll.ciqfunctions.udf.CIQ($A9, "IQ_NET_DEBT_EBITDA",IQ_LTM,DateToday,)</f>
        <v>NM</v>
      </c>
      <c r="BQ9" s="39">
        <f t="shared" si="5"/>
        <v>0</v>
      </c>
      <c r="BR9" s="20">
        <f>_xll.ciqfunctions.udf.CIQ($A9, "IQ_EBITDA_INT",IQ_LTM,DateToday,)</f>
        <v>0</v>
      </c>
      <c r="BS9" s="20">
        <f>_xll.ciqfunctions.udf.CIQ($A9, "IQ_EBITDA_CAPEX_INT",IQ_LTM,DateToday,)</f>
        <v>0</v>
      </c>
      <c r="BT9" s="4">
        <f>_xll.ciqfunctions.udf.CIQ($A9, "IQ_TOTAL_DEBT_EQUITY",IQ_FQ,DateToday,)</f>
        <v>0</v>
      </c>
      <c r="BU9" s="4">
        <f>_xll.ciqfunctions.udf.CIQ($A9, "IQ_TOTAL_DEBT_CAPITAL",IQ_FQ,DateToday,)</f>
        <v>0</v>
      </c>
      <c r="BV9" s="4">
        <f>_xll.ciqfunctions.udf.CIQ($A9, "IQ_RETURN_EQUITY",IQ_LTM,DateToday)</f>
        <v>-21.356200000000001</v>
      </c>
      <c r="BW9" s="4">
        <f>_xll.ciqfunctions.udf.CIQ($A9, "IQ_RETURN_ASSETS",IQ_LTM,DateToday)</f>
        <v>-7.9428999999999998</v>
      </c>
      <c r="BX9" s="4">
        <f>_xll.ciqfunctions.udf.CIQ($A9, "IQ_RETURN_INVESTED_CAPITAL",IQ_LTM,DateToday)</f>
        <v>-21.2667</v>
      </c>
      <c r="BY9" s="20">
        <f>_xll.ciqfunctions.udf.CIQ($A9, "IQ_CURRENT_RATIO",IQ_FQ,DateToday,)</f>
        <v>1.43668</v>
      </c>
      <c r="BZ9" s="20">
        <f>_xll.ciqfunctions.udf.CIQ($A9, "IQ_QUICK_RATIO",IQ_FQ,DateToday,)</f>
        <v>1.2457199999999999</v>
      </c>
      <c r="CA9" s="4">
        <f>_xll.ciqfunctions.udf.CIQ($A9, "IQ_DAYS_SALES_OUT",IQ_LTM,DateToday,)</f>
        <v>58.408029999999997</v>
      </c>
      <c r="CB9" s="4">
        <f>_xll.ciqfunctions.udf.CIQ($A9, "IQ_DAYS_INVENTORY_OUT",IQ_LTM,DateToday,)</f>
        <v>0</v>
      </c>
      <c r="CC9" s="4">
        <f>_xll.ciqfunctions.udf.CIQ($A9, "IQ_DAYS_PAYABLE_OUT",IQ_LTM,DateToday,)</f>
        <v>18.988029999999998</v>
      </c>
      <c r="CD9" s="4">
        <f>_xll.ciqfunctions.udf.CIQ($A9, "IQ_CASH_CONVERSION",IQ_LTM,DateToday,)</f>
        <v>0</v>
      </c>
      <c r="CE9" s="20">
        <f>_xll.ciqfunctions.udf.CIQ($A9, "IQ_ASSET_TURNS",IQ_LTM,DateToday,)</f>
        <v>0.44255</v>
      </c>
      <c r="CF9" s="20">
        <f>_xll.ciqfunctions.udf.CIQ($A9, "IQ_FIXED_ASSET_TURNS",IQ_LTM,DateToday,)</f>
        <v>12.82391</v>
      </c>
      <c r="CG9" s="20">
        <f>_xll.ciqfunctions.udf.CIQ($A9, "IQ_AR_TURNS",IQ_LTM,DateToday,)</f>
        <v>6.2491000000000003</v>
      </c>
      <c r="CH9" s="20">
        <f>_xll.ciqfunctions.udf.CIQ($A9, "IQ_INVENTORY_TURNS",IQ_LTM,DateToday,)</f>
        <v>0</v>
      </c>
      <c r="CI9"/>
      <c r="CJ9"/>
      <c r="CK9"/>
      <c r="CL9"/>
      <c r="CM9"/>
      <c r="CN9"/>
      <c r="CO9"/>
      <c r="CP9"/>
      <c r="CQ9"/>
      <c r="CR9"/>
      <c r="CS9"/>
      <c r="CT9"/>
      <c r="CU9"/>
      <c r="CV9"/>
      <c r="CW9"/>
      <c r="CX9"/>
      <c r="CY9"/>
      <c r="CZ9"/>
      <c r="DA9"/>
      <c r="DB9"/>
      <c r="DC9"/>
      <c r="DD9"/>
      <c r="DE9"/>
      <c r="DF9"/>
      <c r="DG9"/>
      <c r="DH9"/>
      <c r="DI9"/>
      <c r="DJ9"/>
      <c r="DK9"/>
      <c r="DL9"/>
      <c r="DM9"/>
      <c r="DN9"/>
      <c r="DO9"/>
      <c r="DP9"/>
      <c r="DQ9"/>
      <c r="DR9"/>
      <c r="DS9"/>
      <c r="DT9"/>
      <c r="DU9"/>
      <c r="DV9"/>
      <c r="DW9"/>
      <c r="DX9"/>
      <c r="DY9"/>
      <c r="DZ9"/>
      <c r="EA9"/>
      <c r="EB9"/>
      <c r="EC9"/>
      <c r="ED9"/>
      <c r="EE9"/>
      <c r="EF9"/>
      <c r="EG9"/>
      <c r="EH9"/>
      <c r="EI9"/>
      <c r="EJ9"/>
      <c r="EK9"/>
      <c r="EL9"/>
      <c r="EM9"/>
      <c r="EN9"/>
      <c r="EO9"/>
      <c r="EP9"/>
      <c r="EQ9"/>
      <c r="ER9"/>
      <c r="ES9"/>
      <c r="ET9"/>
      <c r="EU9"/>
      <c r="EV9"/>
      <c r="EW9"/>
      <c r="EX9"/>
      <c r="EY9"/>
      <c r="EZ9"/>
      <c r="FA9"/>
      <c r="FB9"/>
      <c r="FC9"/>
      <c r="FD9"/>
      <c r="FE9"/>
      <c r="FF9"/>
      <c r="FG9"/>
      <c r="FH9"/>
      <c r="FI9"/>
      <c r="FJ9"/>
      <c r="FK9"/>
      <c r="FL9"/>
    </row>
    <row r="10" spans="1:168" s="14" customFormat="1" x14ac:dyDescent="0.2">
      <c r="A10" s="60" t="str">
        <f>InputTicker</f>
        <v>NASDAQ:MSFT</v>
      </c>
      <c r="B10" s="61" t="str">
        <f>_xll.ciqfunctions.udf.CIQ($A10, "IQ_COMPANY_NAME")</f>
        <v>Microsoft Corporation</v>
      </c>
      <c r="C10" s="62">
        <f>_xll.ciqfunctions.udf.CIQ($A10,"IQ_PERIODDATE",IQ_FY,DateToday)</f>
        <v>46203</v>
      </c>
      <c r="D10" s="62">
        <f>_xll.ciqfunctions.udf.CIQ($A10,"IQ_PERIODDATE",IQ_LTM,DateToday)</f>
        <v>46203</v>
      </c>
      <c r="E10" s="63">
        <f>_xll.ciqfunctions.udf.CIQ($A10, "IQ_LASTSALEPRICE",DateToday,Ccy,Conv)</f>
        <v>464.72</v>
      </c>
      <c r="F10" s="63">
        <f>_xll.ciqfunctions.udf.CIQ($A10, "IQ_YEARHIGH",DateToday,Ccy,Conv)</f>
        <v>553.72</v>
      </c>
      <c r="G10" s="63">
        <f>_xll.ciqfunctions.udf.CIQ($A10, "IQ_YEARLOW",DateToday,Ccy,Conv)</f>
        <v>349.2</v>
      </c>
      <c r="H10" s="64">
        <f t="shared" si="0"/>
        <v>0.83926894459293511</v>
      </c>
      <c r="I10" s="64">
        <f t="shared" si="1"/>
        <v>1.3308132875143186</v>
      </c>
      <c r="J10" s="10">
        <f>_xll.ciqfunctions.udf.CIQ($A10, "IQ_SHARESOUTSTANDING",DateToday)</f>
        <v>7425.5454900000004</v>
      </c>
      <c r="K10" s="65">
        <f t="shared" si="2"/>
        <v>3450799.5001128004</v>
      </c>
      <c r="L10" s="10">
        <f>_xll.ciqfunctions.udf.CIQ($A10, "IQ_CASH_ST_INVEST",IQ_FQ,DateToday,,"F",Ccy,Conv)</f>
        <v>76651</v>
      </c>
      <c r="M10" s="10">
        <f>_xll.ciqfunctions.udf.CIQ($A10, "IQ_TOTAL_DEBT",IQ_FQ,DateToday,,"F",Ccy,Conv)</f>
        <v>128813</v>
      </c>
      <c r="N10" s="10">
        <f>_xll.ciqfunctions.udf.CIQ($A10, "IQ_PREF_EQUITY",IQ_FQ,DateToday,,"F",Ccy,Conv)</f>
        <v>0</v>
      </c>
      <c r="O10" s="10">
        <f>_xll.ciqfunctions.udf.CIQ($A10, "IQ_MINORITY_INTEREST_TOTAL",IQ_FQ,DateToday,,"F",Ccy,Conv)</f>
        <v>0</v>
      </c>
      <c r="P10" s="65">
        <f t="shared" si="6"/>
        <v>3502961.5001128004</v>
      </c>
      <c r="Q10" s="10">
        <f>_xll.ciqfunctions.udf.CIQ($A10, "IQ_TOTAL_REV", IQ_FY,DateToday,,,Ccy,Conv)</f>
        <v>331839</v>
      </c>
      <c r="R10" s="10">
        <f>_xll.ciqfunctions.udf.CIQ($A10, "IQ_TOTAL_REV", IQ_LTM,DateToday,,,Ccy,Conv)</f>
        <v>331839</v>
      </c>
      <c r="S10" s="10">
        <f>_xll.ciqfunctions.udf.CIQ($A10, "IQ_REVENUE_EST", IQ_CY+ 1,DateToday,,,Ccy,Conv)</f>
        <v>358956.24300000002</v>
      </c>
      <c r="T10" s="10">
        <f>_xll.ciqfunctions.udf.CIQ($A10, "IQ_REVENUE_EST", IQ_CY+ 2,DateToday,,,Ccy,Conv)</f>
        <v>425604.05469999998</v>
      </c>
      <c r="U10" s="10">
        <f>_xll.ciqfunctions.udf.CIQ($A10, "IQ_EBITDA", IQ_FY,DateToday,,,Ccy,Conv)</f>
        <v>194237</v>
      </c>
      <c r="V10" s="10">
        <f>_xll.ciqfunctions.udf.CIQ($A10, "IQ_EBITDA", IQ_LTM,DateToday,,,Ccy,Conv)</f>
        <v>194237</v>
      </c>
      <c r="W10" s="10">
        <f>_xll.ciqfunctions.udf.CIQ($A10, "IQ_EBITDA_EST", IQ_CY+ 1,DateToday,,,Ccy,Conv)</f>
        <v>216229.65640000001</v>
      </c>
      <c r="X10" s="10">
        <f>_xll.ciqfunctions.udf.CIQ($A10, "IQ_EBITDA_EST", IQ_CY+ 2,DateToday,,,Ccy,Conv)</f>
        <v>266897.49690000003</v>
      </c>
      <c r="Y10" s="63">
        <f>_xll.ciqfunctions.udf.CIQ($A10, "IQ_DILUT_EPS_EXCL", IQ_FY,DateToday,,,Ccy,Conv)</f>
        <v>17.95</v>
      </c>
      <c r="Z10" s="63">
        <f>_xll.ciqfunctions.udf.CIQ($A10, "IQ_DILUT_EPS_EXCL", IQ_LTM,DateToday,,,Ccy,Conv)</f>
        <v>17.95</v>
      </c>
      <c r="AA10" s="63">
        <f>_xll.ciqfunctions.udf.CIQ($A10, "IQ_EPS_EST", IQ_CY+ 1,DateToday,,,Ccy,Conv)</f>
        <v>18.532800000000002</v>
      </c>
      <c r="AB10" s="63">
        <f>_xll.ciqfunctions.udf.CIQ($A10, "IQ_EPS_EST", IQ_CY+ 2,DateToday,,,Ccy,Conv)</f>
        <v>21.247299999999999</v>
      </c>
      <c r="AC10" s="66">
        <f>_xll.ciqfunctions.udf.CIQ($A10, "IQ_TEV_TOTAL_REV",IQ_LTM,#REF!)</f>
        <v>10.55621</v>
      </c>
      <c r="AD10" s="66">
        <f>_xll.ciqfunctions.udf.CIQ($A10, "IQ_TEV_TOTAL_REV",IQ_LTM,DateToday)</f>
        <v>10.55621</v>
      </c>
      <c r="AE10" s="67">
        <f t="shared" si="3"/>
        <v>9.7587423771671258</v>
      </c>
      <c r="AF10" s="67">
        <f t="shared" si="4"/>
        <v>8.2305642096900833</v>
      </c>
      <c r="AG10" s="66">
        <f>_xll.ciqfunctions.udf.CIQ($A10, "IQ_TEV_EBITDA",IQ_LTM,#REF!)</f>
        <v>17.0107</v>
      </c>
      <c r="AH10" s="66">
        <f>_xll.ciqfunctions.udf.CIQ($A10, "IQ_TEV_EBITDA",IQ_LTM,DateToday)</f>
        <v>17.0107</v>
      </c>
      <c r="AI10" s="66">
        <f>_xll.ciqfunctions.udf.CIQ($A10, "IQ_TEV_EBITDA_FWD",IQ_CY+1,DateToday)</f>
        <v>16.200189999999999</v>
      </c>
      <c r="AJ10" s="66">
        <f>_xll.ciqfunctions.udf.CIQ($A10, "IQ_TEV_EBITDA_FWD",IQ_CY+2,DateToday)</f>
        <v>13.124739999999999</v>
      </c>
      <c r="AK10" s="66">
        <f>_xll.ciqfunctions.udf.CIQ($A10, "IQ_PE_EXCL",IQ_LTM,#REF!)</f>
        <v>25.889690000000002</v>
      </c>
      <c r="AL10" s="66">
        <f>_xll.ciqfunctions.udf.CIQ($A10, "IQ_PE_EXCL",IQ_LTM,DateToday)</f>
        <v>25.889690000000002</v>
      </c>
      <c r="AM10" s="66">
        <f>_xll.ciqfunctions.udf.CIQ($A10, "IQ_PE_EXCL_FWD",IQ_CY+1,DateToday)</f>
        <v>25.07554</v>
      </c>
      <c r="AN10" s="66">
        <f>_xll.ciqfunctions.udf.CIQ($A10, "IQ_PE_EXCL_FWD",IQ_CY+2,DateToday)</f>
        <v>21.871960000000001</v>
      </c>
      <c r="AO10" s="66">
        <f>_xll.ciqfunctions.udf.CIQ($A10, "IQ_PBV",IQ_LTM,DateToday,)</f>
        <v>7.8019400000000001</v>
      </c>
      <c r="AP10" s="66">
        <f>_xll.ciqfunctions.udf.CIQ($A10, "IQ_PTBV",IQ_LTM,DateToday,)</f>
        <v>11.348800000000001</v>
      </c>
      <c r="AQ10" s="10">
        <f>_xll.ciqfunctions.udf.CIQ($A10, "IQ_GROSS_MARGIN", IQ_FY- 2,DateToday,)</f>
        <v>69.764399999999995</v>
      </c>
      <c r="AR10" s="10">
        <f>_xll.ciqfunctions.udf.CIQ($A10, "IQ_GROSS_MARGIN", IQ_FY- 1,DateToday,)</f>
        <v>68.823700000000002</v>
      </c>
      <c r="AS10" s="10">
        <f>_xll.ciqfunctions.udf.CIQ($A10, "IQ_GROSS_MARGIN", IQ_FY,DateToday,)</f>
        <v>67.944000000000003</v>
      </c>
      <c r="AT10" s="10">
        <f>_xll.ciqfunctions.udf.CIQ($A10, "IQ_GROSS_MARGIN", IQ_LTM,DateToday,)</f>
        <v>67.944000000000003</v>
      </c>
      <c r="AU10" s="10">
        <f>_xll.ciqfunctions.udf.CIQ($A10, "IQ_EBITDA_MARGIN", IQ_FY- 2,DateToday,)</f>
        <v>52.8035</v>
      </c>
      <c r="AV10" s="10">
        <f>_xll.ciqfunctions.udf.CIQ($A10, "IQ_EBITDA_MARGIN", IQ_FY- 1,DateToday,)</f>
        <v>55.560699999999997</v>
      </c>
      <c r="AW10" s="10">
        <f>_xll.ciqfunctions.udf.CIQ($A10, "IQ_EBITDA_MARGIN", IQ_FY,DateToday,)</f>
        <v>58.533499999999997</v>
      </c>
      <c r="AX10" s="10">
        <f>_xll.ciqfunctions.udf.CIQ($A10, "IQ_EBITDA_MARGIN", IQ_LTM,DateToday,)</f>
        <v>58.533499999999997</v>
      </c>
      <c r="AY10" s="10">
        <f>_xll.ciqfunctions.udf.CIQ($A10, "IQ_NI_MARGIN", IQ_FY- 2,DateToday,)</f>
        <v>35.9559</v>
      </c>
      <c r="AZ10" s="10">
        <f>_xll.ciqfunctions.udf.CIQ($A10, "IQ_NI_MARGIN", IQ_FY- 1,DateToday,)</f>
        <v>36.146000000000001</v>
      </c>
      <c r="BA10" s="10">
        <f>_xll.ciqfunctions.udf.CIQ($A10, "IQ_NI_MARGIN", IQ_FY,DateToday,)</f>
        <v>40.305300000000003</v>
      </c>
      <c r="BB10" s="10">
        <f>_xll.ciqfunctions.udf.CIQ($A10, "IQ_NI_MARGIN", IQ_LTM,DateToday,)</f>
        <v>40.305300000000003</v>
      </c>
      <c r="BC10" s="10">
        <f>_xll.ciqfunctions.udf.CIQ($A10, "IQ_TOTAL_REV_5YR_ANN_CAGR",IQ_LTM,DateToday,)</f>
        <v>14.571899999999999</v>
      </c>
      <c r="BD10" s="10">
        <f>_xll.ciqfunctions.udf.CIQ($A10, "IQ_TOTAL_REV_3YR_ANN_CAGR",IQ_LTM,DateToday,)</f>
        <v>16.123999999999999</v>
      </c>
      <c r="BE10" s="10">
        <f>_xll.ciqfunctions.udf.CIQ($A10, "IQ_TOTAL_REV_1YR_ANN_GROWTH", IQ_FY,DateToday,)</f>
        <v>17.788599999999999</v>
      </c>
      <c r="BF10" s="10">
        <f>_xll.ciqfunctions.udf.CIQ($A10, "IQ_TOTAL_REV_1YR_ANN_GROWTH",IQ_LTM,DateToday,)</f>
        <v>17.788599999999999</v>
      </c>
      <c r="BG10" s="10">
        <f>_xll.ciqfunctions.udf.CIQ($A10, "IQ_EBITDA_5YR_ANN_CAGR",IQ_LTM,DateToday,)</f>
        <v>19.170000000000002</v>
      </c>
      <c r="BH10" s="10">
        <f>_xll.ciqfunctions.udf.CIQ($A10, "IQ_EBITDA_3YR_ANN_CAGR",IQ_LTM,DateToday,)</f>
        <v>23.939900000000002</v>
      </c>
      <c r="BI10" s="10">
        <f>_xll.ciqfunctions.udf.CIQ($A10, "IQ_EBITDA_1YR_ANN_GROWTH", IQ_FY,DateToday,)</f>
        <v>24.090800000000002</v>
      </c>
      <c r="BJ10" s="10">
        <f>_xll.ciqfunctions.udf.CIQ($A10, "IQ_EBITDA_1YR_ANN_GROWTH",IQ_LTM,DateToday,)</f>
        <v>24.090800000000002</v>
      </c>
      <c r="BK10" s="10">
        <f>_xll.ciqfunctions.udf.CIQ($A10, "IQ_EPS_5YR_ANN_CAGR",IQ_LTM,DateToday,)</f>
        <v>17.396100000000001</v>
      </c>
      <c r="BL10" s="10">
        <f>_xll.ciqfunctions.udf.CIQ($A10, "IQ_EPS_3YR_ANN_CAGR",IQ_LTM,DateToday,)</f>
        <v>22.856000000000002</v>
      </c>
      <c r="BM10" s="10">
        <f>_xll.ciqfunctions.udf.CIQ($A10, "IQ_EPS_1YR_ANN_GROWTH", IQ_FY,DateToday,)</f>
        <v>31.598199999999999</v>
      </c>
      <c r="BN10" s="10">
        <f>_xll.ciqfunctions.udf.CIQ($A10, "IQ_EPS_1YR_ANN_GROWTH", IQ_LTM,DateToday,)</f>
        <v>31.598199999999999</v>
      </c>
      <c r="BO10" s="66">
        <f>_xll.ciqfunctions.udf.CIQ($A10, "IQ_TOTAL_DEBT_EBITDA",IQ_LTM,DateToday,)</f>
        <v>0.64020999999999995</v>
      </c>
      <c r="BP10" s="66">
        <f>_xll.ciqfunctions.udf.CIQ($A10, "IQ_NET_DEBT_EBITDA",IQ_LTM,DateToday,)</f>
        <v>0.25924999999999998</v>
      </c>
      <c r="BQ10" s="68">
        <f t="shared" si="5"/>
        <v>0.66317436945587094</v>
      </c>
      <c r="BR10" s="66">
        <f>_xll.ciqfunctions.udf.CIQ($A10, "IQ_EBITDA_INT",IQ_LTM,DateToday,)</f>
        <v>65.305099999999996</v>
      </c>
      <c r="BS10" s="66">
        <f>_xll.ciqfunctions.udf.CIQ($A10, "IQ_EBITDA_CAPEX_INT",IQ_LTM,DateToday,)</f>
        <v>27.671859999999999</v>
      </c>
      <c r="BT10" s="10">
        <f>_xll.ciqfunctions.udf.CIQ($A10, "IQ_TOTAL_DEBT_EQUITY",IQ_FQ,DateToday,)</f>
        <v>29.117699999999999</v>
      </c>
      <c r="BU10" s="10">
        <f>_xll.ciqfunctions.udf.CIQ($A10, "IQ_TOTAL_DEBT_CAPITAL",IQ_FQ,DateToday,)</f>
        <v>22.551200000000001</v>
      </c>
      <c r="BV10" s="10">
        <f>_xll.ciqfunctions.udf.CIQ($A10, "IQ_RETURN_EQUITY",IQ_LTM,DateToday)</f>
        <v>34.038600000000002</v>
      </c>
      <c r="BW10" s="10">
        <f>_xll.ciqfunctions.udf.CIQ($A10, "IQ_RETURN_ASSETS",IQ_LTM,DateToday)</f>
        <v>14.087999999999999</v>
      </c>
      <c r="BX10" s="10">
        <f>_xll.ciqfunctions.udf.CIQ($A10, "IQ_RETURN_INVESTED_CAPITAL",IQ_LTM,DateToday)</f>
        <v>20.8993</v>
      </c>
      <c r="BY10" s="66">
        <f>_xll.ciqfunctions.udf.CIQ($A10, "IQ_CURRENT_RATIO",IQ_FQ,DateToday,)</f>
        <v>1.2303299999999999</v>
      </c>
      <c r="BZ10" s="66">
        <f>_xll.ciqfunctions.udf.CIQ($A10, "IQ_QUICK_RATIO",IQ_FQ,DateToday,)</f>
        <v>1.09775</v>
      </c>
      <c r="CA10" s="10">
        <f>_xll.ciqfunctions.udf.CIQ($A10, "IQ_DAYS_SALES_OUT",IQ_LTM,DateToday,)</f>
        <v>82.923990000000003</v>
      </c>
      <c r="CB10" s="10">
        <f>_xll.ciqfunctions.udf.CIQ($A10, "IQ_DAYS_INVENTORY_OUT",IQ_LTM,DateToday,)</f>
        <v>4.0058800000000003</v>
      </c>
      <c r="CC10" s="10">
        <f>_xll.ciqfunctions.udf.CIQ($A10, "IQ_DAYS_PAYABLE_OUT",IQ_LTM,DateToday,)</f>
        <v>119.81819</v>
      </c>
      <c r="CD10" s="10">
        <f>_xll.ciqfunctions.udf.CIQ($A10, "IQ_CASH_CONVERSION",IQ_LTM,DateToday,)</f>
        <v>-32.888330000000003</v>
      </c>
      <c r="CE10" s="66">
        <f>_xll.ciqfunctions.udf.CIQ($A10, "IQ_ASSET_TURNS",IQ_LTM,DateToday,)</f>
        <v>0.48183999999999999</v>
      </c>
      <c r="CF10" s="66">
        <f>_xll.ciqfunctions.udf.CIQ($A10, "IQ_FIXED_ASSET_TURNS",IQ_LTM,DateToday,)</f>
        <v>1.17042</v>
      </c>
      <c r="CG10" s="66">
        <f>_xll.ciqfunctions.udf.CIQ($A10, "IQ_AR_TURNS",IQ_LTM,DateToday,)</f>
        <v>4.4016000000000002</v>
      </c>
      <c r="CH10" s="66">
        <f>_xll.ciqfunctions.udf.CIQ($A10, "IQ_INVENTORY_TURNS",IQ_LTM,DateToday,)</f>
        <v>91.112629999999996</v>
      </c>
      <c r="CI10"/>
      <c r="CJ10"/>
      <c r="CK10"/>
      <c r="CL10"/>
      <c r="CM10"/>
      <c r="CN10"/>
      <c r="CO10"/>
      <c r="CP10"/>
      <c r="CQ10"/>
      <c r="CR10"/>
      <c r="CS10"/>
      <c r="CT10"/>
      <c r="CU10"/>
      <c r="CV10"/>
      <c r="CW10"/>
      <c r="CX10"/>
      <c r="CY10"/>
      <c r="CZ10"/>
      <c r="DA10"/>
      <c r="DB10"/>
      <c r="DC10"/>
      <c r="DD10"/>
      <c r="DE10"/>
      <c r="DF10"/>
      <c r="DG10"/>
      <c r="DH10"/>
      <c r="DI10"/>
      <c r="DJ10"/>
      <c r="DK10"/>
      <c r="DL10"/>
      <c r="DM10"/>
      <c r="DN10"/>
      <c r="DO10"/>
      <c r="DP10"/>
      <c r="DQ10"/>
      <c r="DR10"/>
      <c r="DS10"/>
      <c r="DT10"/>
      <c r="DU10"/>
      <c r="DV10"/>
      <c r="DW10"/>
      <c r="DX10"/>
      <c r="DY10"/>
      <c r="DZ10"/>
      <c r="EA10"/>
      <c r="EB10"/>
      <c r="EC10"/>
      <c r="ED10"/>
      <c r="EE10"/>
      <c r="EF10"/>
      <c r="EG10"/>
      <c r="EH10"/>
      <c r="EI10"/>
      <c r="EJ10"/>
      <c r="EK10"/>
      <c r="EL10"/>
      <c r="EM10"/>
      <c r="EN10"/>
      <c r="EO10"/>
      <c r="EP10"/>
      <c r="EQ10"/>
      <c r="ER10"/>
      <c r="ES10"/>
      <c r="ET10"/>
      <c r="EU10"/>
      <c r="EV10"/>
      <c r="EW10"/>
      <c r="EX10"/>
      <c r="EY10"/>
      <c r="EZ10"/>
      <c r="FA10"/>
      <c r="FB10"/>
      <c r="FC10"/>
      <c r="FD10"/>
      <c r="FE10"/>
      <c r="FF10"/>
      <c r="FG10"/>
      <c r="FH10"/>
      <c r="FI10"/>
      <c r="FJ10"/>
      <c r="FK10"/>
      <c r="FL10"/>
    </row>
  </sheetData>
  <phoneticPr fontId="0" type="noConversion"/>
  <printOptions horizontalCentered="1"/>
  <pageMargins left="0" right="0" top="0.25" bottom="0.25" header="0.5" footer="0.25"/>
  <pageSetup scale="56" fitToWidth="7" orientation="landscape" r:id="rId1"/>
  <headerFooter alignWithMargins="0">
    <oddFooter>&amp;C&amp;"Times New Roman,Regular"&amp;11&amp;P of &amp;N</oddFooter>
  </headerFooter>
  <colBreaks count="6" manualBreakCount="6">
    <brk id="16" max="1048575" man="1"/>
    <brk id="28" max="1048575" man="1"/>
    <brk id="42" max="1048575" man="1"/>
    <brk id="54" max="1048575" man="1"/>
    <brk id="66" max="1048575" man="1"/>
    <brk id="76" max="1048575" man="1"/>
  </col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41F65D8D85C643B279395178BBB636" ma:contentTypeVersion="10" ma:contentTypeDescription="Create a new document." ma:contentTypeScope="" ma:versionID="5485f5b32512d653f7453980de4c8998">
  <xsd:schema xmlns:xsd="http://www.w3.org/2001/XMLSchema" xmlns:xs="http://www.w3.org/2001/XMLSchema" xmlns:p="http://schemas.microsoft.com/office/2006/metadata/properties" xmlns:ns3="d0640473-7254-4dee-a68e-1aa7dfe87080" targetNamespace="http://schemas.microsoft.com/office/2006/metadata/properties" ma:root="true" ma:fieldsID="840fc2309eebaf0bed357e94e47325f3" ns3:_="">
    <xsd:import namespace="d0640473-7254-4dee-a68e-1aa7dfe87080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0640473-7254-4dee-a68e-1aa7dfe870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3EB6BFC5-2350-491A-A2BD-DF7D1D851D3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7BD9CC6-B147-4C24-8FF1-F5911A43A60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0640473-7254-4dee-a68e-1aa7dfe8708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D655590-134C-4BB6-A148-E23000AF82E3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4.xml><?xml version="1.0" encoding="utf-8"?>
<ds:datastoreItem xmlns:ds="http://schemas.openxmlformats.org/officeDocument/2006/customXml" ds:itemID="{BC413BBB-3D79-405A-85C3-05E4A0559BD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8</vt:i4>
      </vt:variant>
    </vt:vector>
  </HeadingPairs>
  <TitlesOfParts>
    <vt:vector size="13" baseType="lpstr">
      <vt:lpstr>Input_Raw</vt:lpstr>
      <vt:lpstr>Input</vt:lpstr>
      <vt:lpstr>Financial Statements</vt:lpstr>
      <vt:lpstr>Common Size</vt:lpstr>
      <vt:lpstr>Detailed Comps</vt:lpstr>
      <vt:lpstr>Ccy</vt:lpstr>
      <vt:lpstr>Conv</vt:lpstr>
      <vt:lpstr>Date</vt:lpstr>
      <vt:lpstr>InputTicker</vt:lpstr>
      <vt:lpstr>'Common Size'!Print_Area</vt:lpstr>
      <vt:lpstr>'Detailed Comps'!Print_Area</vt:lpstr>
      <vt:lpstr>'Financial Statements'!Print_Area</vt:lpstr>
      <vt:lpstr>'Detailed Comps'!Print_Titles</vt:lpstr>
    </vt:vector>
  </TitlesOfParts>
  <Manager>Capital IQ, Inc.</Manager>
  <Company>Capital IQ,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Capital IQ, Inc.</dc:creator>
  <cp:lastModifiedBy>Patrik Šmid</cp:lastModifiedBy>
  <cp:lastPrinted>2012-06-05T17:05:55Z</cp:lastPrinted>
  <dcterms:created xsi:type="dcterms:W3CDTF">2002-03-18T23:28:38Z</dcterms:created>
  <dcterms:modified xsi:type="dcterms:W3CDTF">2026-08-01T22:25:21Z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{B4D9AC75-597D-4044-A6A8-5AE76CDFFFDC}</vt:lpwstr>
  </property>
  <property fmtid="{D5CDD505-2E9C-101B-9397-08002B2CF9AE}" pid="3" name="ContentTypeId">
    <vt:lpwstr>0x010100BA41F65D8D85C643B279395178BBB636</vt:lpwstr>
  </property>
</Properties>
</file>